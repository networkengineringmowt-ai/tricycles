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6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drawings/drawing17.xml" ContentType="application/vnd.openxmlformats-officedocument.drawing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16-NORTHERN BYPASS-XX\MCC DATA\"/>
    </mc:Choice>
  </mc:AlternateContent>
  <bookViews>
    <workbookView xWindow="-120" yWindow="-120" windowWidth="20730" windowHeight="11160" tabRatio="940" firstSheet="12" activeTab="16"/>
  </bookViews>
  <sheets>
    <sheet name="22.07 Lubigi-Masanafu" sheetId="93" r:id="rId1"/>
    <sheet name="22.07 Masanafu-Lubigi" sheetId="94" r:id="rId2"/>
    <sheet name="23.07 Lubigi-Masanafu" sheetId="95" r:id="rId3"/>
    <sheet name="23.07 Masanafu-Lubigi" sheetId="96" r:id="rId4"/>
    <sheet name="24.07 Lubigi-Masanafu" sheetId="97" r:id="rId5"/>
    <sheet name="24.07 Masanafu-Lubigi" sheetId="98" r:id="rId6"/>
    <sheet name="25.07 Lubigi-Masanafu" sheetId="99" r:id="rId7"/>
    <sheet name="25.07 Masanafu-Lubigi" sheetId="100" r:id="rId8"/>
    <sheet name="26.07 Lubigi-Masanafu-24h" sheetId="101" r:id="rId9"/>
    <sheet name="26.07 Masanafu-Lubigi-24h" sheetId="109" r:id="rId10"/>
    <sheet name="27.07 Lubigi-Masanafu-24h" sheetId="105" r:id="rId11"/>
    <sheet name="27.07 Masanafu-Lubigi-24h" sheetId="110" r:id="rId12"/>
    <sheet name="28.07 Lubigi-Masanafu" sheetId="103" r:id="rId13"/>
    <sheet name="28.07 Masanafu-Lubigi" sheetId="104" r:id="rId14"/>
    <sheet name="Avg Week Lubigi-Masanafu" sheetId="107" r:id="rId15"/>
    <sheet name="Avg Week Masanafu-Lubigi" sheetId="108" r:id="rId16"/>
    <sheet name="Avg Week Lubigi-Masanafu-2Dir" sheetId="111" r:id="rId17"/>
  </sheets>
  <definedNames>
    <definedName name="_xlnm.Print_Area" localSheetId="0">'22.07 Lubigi-Masanafu'!$A$1:$AF$60</definedName>
    <definedName name="_xlnm.Print_Area" localSheetId="1">'22.07 Masanafu-Lubigi'!$A$1:$AF$60</definedName>
    <definedName name="_xlnm.Print_Area" localSheetId="2">'23.07 Lubigi-Masanafu'!$A$1:$AF$60</definedName>
    <definedName name="_xlnm.Print_Area" localSheetId="3">'23.07 Masanafu-Lubigi'!$A$1:$AF$60</definedName>
    <definedName name="_xlnm.Print_Area" localSheetId="4">'24.07 Lubigi-Masanafu'!$A$1:$AF$60</definedName>
    <definedName name="_xlnm.Print_Area" localSheetId="5">'24.07 Masanafu-Lubigi'!$A$1:$AF$60</definedName>
    <definedName name="_xlnm.Print_Area" localSheetId="6">'25.07 Lubigi-Masanafu'!$A$1:$AF$60</definedName>
    <definedName name="_xlnm.Print_Area" localSheetId="7">'25.07 Masanafu-Lubigi'!$A$1:$AF$60</definedName>
    <definedName name="_xlnm.Print_Area" localSheetId="8">'26.07 Lubigi-Masanafu-24h'!$A$1:$AF$108</definedName>
    <definedName name="_xlnm.Print_Area" localSheetId="9">'26.07 Masanafu-Lubigi-24h'!$A$1:$AF$108</definedName>
    <definedName name="_xlnm.Print_Area" localSheetId="10">'27.07 Lubigi-Masanafu-24h'!$A$1:$AF$108</definedName>
    <definedName name="_xlnm.Print_Area" localSheetId="11">'27.07 Masanafu-Lubigi-24h'!$A$1:$AF$108</definedName>
    <definedName name="_xlnm.Print_Area" localSheetId="12">'28.07 Lubigi-Masanafu'!$A$1:$AF$60</definedName>
    <definedName name="_xlnm.Print_Area" localSheetId="13">'28.07 Masanafu-Lubigi'!$A$1:$AF$60</definedName>
    <definedName name="_xlnm.Print_Area" localSheetId="14">'Avg Week Lubigi-Masanafu'!$A$1:$AF$108</definedName>
    <definedName name="_xlnm.Print_Area" localSheetId="16">'Avg Week Lubigi-Masanafu-2Dir'!$A$1:$AF$108</definedName>
    <definedName name="_xlnm.Print_Area" localSheetId="15">'Avg Week Masanafu-Lubigi'!$A$1:$AF$108</definedName>
    <definedName name="_xlnm.Print_Titles" localSheetId="0">'22.07 Lubigi-Masanafu'!$1:$8</definedName>
    <definedName name="_xlnm.Print_Titles" localSheetId="1">'22.07 Masanafu-Lubigi'!$1:$8</definedName>
    <definedName name="_xlnm.Print_Titles" localSheetId="2">'23.07 Lubigi-Masanafu'!$1:$8</definedName>
    <definedName name="_xlnm.Print_Titles" localSheetId="3">'23.07 Masanafu-Lubigi'!$1:$8</definedName>
    <definedName name="_xlnm.Print_Titles" localSheetId="4">'24.07 Lubigi-Masanafu'!$1:$8</definedName>
    <definedName name="_xlnm.Print_Titles" localSheetId="5">'24.07 Masanafu-Lubigi'!$1:$8</definedName>
    <definedName name="_xlnm.Print_Titles" localSheetId="6">'25.07 Lubigi-Masanafu'!$1:$8</definedName>
    <definedName name="_xlnm.Print_Titles" localSheetId="7">'25.07 Masanafu-Lubigi'!$1:$8</definedName>
    <definedName name="_xlnm.Print_Titles" localSheetId="8">'26.07 Lubigi-Masanafu-24h'!$1:$8</definedName>
    <definedName name="_xlnm.Print_Titles" localSheetId="9">'26.07 Masanafu-Lubigi-24h'!$1:$8</definedName>
    <definedName name="_xlnm.Print_Titles" localSheetId="10">'27.07 Lubigi-Masanafu-24h'!$1:$8</definedName>
    <definedName name="_xlnm.Print_Titles" localSheetId="11">'27.07 Masanafu-Lubigi-24h'!$1:$8</definedName>
    <definedName name="_xlnm.Print_Titles" localSheetId="12">'28.07 Lubigi-Masanafu'!$1:$8</definedName>
    <definedName name="_xlnm.Print_Titles" localSheetId="13">'28.07 Masanafu-Lubigi'!$1:$8</definedName>
    <definedName name="_xlnm.Print_Titles" localSheetId="14">'Avg Week Lubigi-Masanafu'!$1:$8</definedName>
    <definedName name="_xlnm.Print_Titles" localSheetId="16">'Avg Week Lubigi-Masanafu-2Dir'!$1:$8</definedName>
    <definedName name="_xlnm.Print_Titles" localSheetId="15">'Avg Week Masanafu-Lubigi'!$1:$8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06" i="111" l="1"/>
  <c r="O106" i="111"/>
  <c r="N106" i="111"/>
  <c r="M106" i="111"/>
  <c r="L106" i="111"/>
  <c r="K106" i="111"/>
  <c r="J106" i="111"/>
  <c r="I106" i="111"/>
  <c r="H106" i="111"/>
  <c r="G106" i="111"/>
  <c r="F106" i="111"/>
  <c r="E106" i="111"/>
  <c r="D106" i="111"/>
  <c r="C106" i="111"/>
  <c r="P106" i="107"/>
  <c r="O106" i="107"/>
  <c r="N106" i="107"/>
  <c r="M106" i="107"/>
  <c r="L106" i="107"/>
  <c r="K106" i="107"/>
  <c r="J106" i="107"/>
  <c r="I106" i="107"/>
  <c r="H106" i="107"/>
  <c r="G106" i="107"/>
  <c r="F106" i="107"/>
  <c r="E106" i="107"/>
  <c r="D106" i="107"/>
  <c r="C106" i="107"/>
  <c r="P106" i="108"/>
  <c r="O106" i="108"/>
  <c r="N106" i="108"/>
  <c r="M106" i="108"/>
  <c r="L106" i="108"/>
  <c r="K106" i="108"/>
  <c r="J106" i="108"/>
  <c r="I106" i="108"/>
  <c r="H106" i="108"/>
  <c r="G106" i="108"/>
  <c r="F106" i="108"/>
  <c r="E106" i="108"/>
  <c r="D106" i="108"/>
  <c r="C106" i="108"/>
  <c r="P58" i="108" l="1"/>
  <c r="P59" i="108"/>
  <c r="P60" i="108"/>
  <c r="P61" i="108"/>
  <c r="P62" i="108"/>
  <c r="P63" i="108"/>
  <c r="P64" i="108"/>
  <c r="P65" i="108"/>
  <c r="AF23" i="108" s="1"/>
  <c r="P66" i="108"/>
  <c r="P67" i="108"/>
  <c r="AF24" i="108" s="1"/>
  <c r="P68" i="108"/>
  <c r="P69" i="108"/>
  <c r="P70" i="108"/>
  <c r="P71" i="108"/>
  <c r="P72" i="108"/>
  <c r="P73" i="108"/>
  <c r="P74" i="108"/>
  <c r="P75" i="108"/>
  <c r="AF26" i="108" s="1"/>
  <c r="P76" i="108"/>
  <c r="P77" i="108"/>
  <c r="P78" i="108"/>
  <c r="P79" i="108"/>
  <c r="P80" i="108"/>
  <c r="P81" i="108"/>
  <c r="AF27" i="108" s="1"/>
  <c r="P82" i="108"/>
  <c r="P83" i="108"/>
  <c r="AF28" i="108" s="1"/>
  <c r="P84" i="108"/>
  <c r="P85" i="108"/>
  <c r="P86" i="108"/>
  <c r="P87" i="108"/>
  <c r="P88" i="108"/>
  <c r="P89" i="108"/>
  <c r="AF29" i="108" s="1"/>
  <c r="P90" i="108"/>
  <c r="P91" i="108"/>
  <c r="AF30" i="108" s="1"/>
  <c r="P92" i="108"/>
  <c r="P93" i="108"/>
  <c r="P94" i="108"/>
  <c r="P95" i="108"/>
  <c r="P96" i="108"/>
  <c r="P97" i="108"/>
  <c r="AF31" i="108" s="1"/>
  <c r="P98" i="108"/>
  <c r="P99" i="108"/>
  <c r="AF32" i="108" s="1"/>
  <c r="P100" i="108"/>
  <c r="P101" i="108"/>
  <c r="P102" i="108"/>
  <c r="P103" i="108"/>
  <c r="P104" i="108"/>
  <c r="P105" i="108"/>
  <c r="AF33" i="108" s="1"/>
  <c r="O58" i="108"/>
  <c r="O59" i="108"/>
  <c r="O60" i="108"/>
  <c r="O61" i="108"/>
  <c r="O62" i="108"/>
  <c r="O63" i="108"/>
  <c r="O64" i="108"/>
  <c r="AE23" i="108" s="1"/>
  <c r="O65" i="108"/>
  <c r="O66" i="108"/>
  <c r="O67" i="108"/>
  <c r="O68" i="108"/>
  <c r="O69" i="108"/>
  <c r="O70" i="108"/>
  <c r="O71" i="108"/>
  <c r="O72" i="108"/>
  <c r="AE25" i="108" s="1"/>
  <c r="O73" i="108"/>
  <c r="O74" i="108"/>
  <c r="O75" i="108"/>
  <c r="O76" i="108"/>
  <c r="O77" i="108"/>
  <c r="AE26" i="108" s="1"/>
  <c r="O78" i="108"/>
  <c r="AE27" i="108" s="1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O91" i="108"/>
  <c r="O92" i="108"/>
  <c r="O93" i="108"/>
  <c r="O94" i="108"/>
  <c r="O95" i="108"/>
  <c r="O96" i="108"/>
  <c r="O97" i="108"/>
  <c r="O98" i="108"/>
  <c r="O99" i="108"/>
  <c r="O100" i="108"/>
  <c r="O101" i="108"/>
  <c r="O102" i="108"/>
  <c r="O103" i="108"/>
  <c r="O104" i="108"/>
  <c r="AE33" i="108" s="1"/>
  <c r="O105" i="108"/>
  <c r="D58" i="108"/>
  <c r="E58" i="108"/>
  <c r="F58" i="108"/>
  <c r="G58" i="108"/>
  <c r="H58" i="108"/>
  <c r="I58" i="108"/>
  <c r="J58" i="108"/>
  <c r="K58" i="108"/>
  <c r="AA22" i="108" s="1"/>
  <c r="L58" i="108"/>
  <c r="M58" i="108"/>
  <c r="N58" i="108"/>
  <c r="D59" i="108"/>
  <c r="E59" i="108"/>
  <c r="F59" i="108"/>
  <c r="G59" i="108"/>
  <c r="H59" i="108"/>
  <c r="X22" i="108" s="1"/>
  <c r="I59" i="108"/>
  <c r="J59" i="108"/>
  <c r="K59" i="108"/>
  <c r="L59" i="108"/>
  <c r="M59" i="108"/>
  <c r="N59" i="108"/>
  <c r="D60" i="108"/>
  <c r="E60" i="108"/>
  <c r="E60" i="111" s="1"/>
  <c r="F60" i="108"/>
  <c r="G60" i="108"/>
  <c r="H60" i="108"/>
  <c r="I60" i="108"/>
  <c r="J60" i="108"/>
  <c r="K60" i="108"/>
  <c r="L60" i="108"/>
  <c r="M60" i="108"/>
  <c r="AC22" i="108" s="1"/>
  <c r="N60" i="108"/>
  <c r="D61" i="108"/>
  <c r="E61" i="108"/>
  <c r="F61" i="108"/>
  <c r="G61" i="108"/>
  <c r="H61" i="108"/>
  <c r="I61" i="108"/>
  <c r="J61" i="108"/>
  <c r="Z22" i="108" s="1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L62" i="108"/>
  <c r="M62" i="108"/>
  <c r="N62" i="108"/>
  <c r="D63" i="108"/>
  <c r="T23" i="108" s="1"/>
  <c r="E63" i="108"/>
  <c r="F63" i="108"/>
  <c r="G63" i="108"/>
  <c r="H63" i="108"/>
  <c r="I63" i="108"/>
  <c r="J63" i="108"/>
  <c r="K63" i="108"/>
  <c r="L63" i="108"/>
  <c r="AB23" i="108" s="1"/>
  <c r="M63" i="108"/>
  <c r="N63" i="108"/>
  <c r="D64" i="108"/>
  <c r="E64" i="108"/>
  <c r="F64" i="108"/>
  <c r="G64" i="108"/>
  <c r="H64" i="108"/>
  <c r="I64" i="108"/>
  <c r="I64" i="111" s="1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N65" i="111" s="1"/>
  <c r="AD23" i="111" s="1"/>
  <c r="D66" i="108"/>
  <c r="E66" i="108"/>
  <c r="F66" i="108"/>
  <c r="G66" i="108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U24" i="108" s="1"/>
  <c r="F68" i="108"/>
  <c r="G68" i="108"/>
  <c r="H68" i="108"/>
  <c r="I68" i="108"/>
  <c r="J68" i="108"/>
  <c r="K68" i="108"/>
  <c r="L68" i="108"/>
  <c r="M68" i="108"/>
  <c r="AC24" i="108" s="1"/>
  <c r="N68" i="108"/>
  <c r="D69" i="108"/>
  <c r="E69" i="108"/>
  <c r="F69" i="108"/>
  <c r="G69" i="108"/>
  <c r="H69" i="108"/>
  <c r="I69" i="108"/>
  <c r="J69" i="108"/>
  <c r="Z24" i="108" s="1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L70" i="108"/>
  <c r="M70" i="108"/>
  <c r="N70" i="108"/>
  <c r="D71" i="108"/>
  <c r="T25" i="108" s="1"/>
  <c r="E71" i="108"/>
  <c r="F71" i="108"/>
  <c r="G71" i="108"/>
  <c r="H71" i="108"/>
  <c r="I71" i="108"/>
  <c r="J71" i="108"/>
  <c r="K71" i="108"/>
  <c r="L71" i="108"/>
  <c r="AB25" i="108" s="1"/>
  <c r="M71" i="108"/>
  <c r="N71" i="108"/>
  <c r="D72" i="108"/>
  <c r="E72" i="108"/>
  <c r="F72" i="108"/>
  <c r="G72" i="108"/>
  <c r="H72" i="108"/>
  <c r="I72" i="108"/>
  <c r="Y25" i="108" s="1"/>
  <c r="J72" i="108"/>
  <c r="K72" i="108"/>
  <c r="L72" i="108"/>
  <c r="M72" i="108"/>
  <c r="N72" i="108"/>
  <c r="D73" i="108"/>
  <c r="E73" i="108"/>
  <c r="F73" i="108"/>
  <c r="V25" i="108" s="1"/>
  <c r="G73" i="108"/>
  <c r="H73" i="108"/>
  <c r="I73" i="108"/>
  <c r="J73" i="108"/>
  <c r="K73" i="108"/>
  <c r="L73" i="108"/>
  <c r="M73" i="108"/>
  <c r="N73" i="108"/>
  <c r="AD25" i="108" s="1"/>
  <c r="D74" i="108"/>
  <c r="E74" i="108"/>
  <c r="F74" i="108"/>
  <c r="G74" i="108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X26" i="108" s="1"/>
  <c r="I75" i="108"/>
  <c r="J75" i="108"/>
  <c r="K75" i="108"/>
  <c r="L75" i="108"/>
  <c r="M75" i="108"/>
  <c r="N75" i="108"/>
  <c r="D76" i="108"/>
  <c r="E76" i="108"/>
  <c r="E76" i="111" s="1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J77" i="111" s="1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T27" i="108" s="1"/>
  <c r="E79" i="108"/>
  <c r="F79" i="108"/>
  <c r="G79" i="108"/>
  <c r="H79" i="108"/>
  <c r="I79" i="108"/>
  <c r="J79" i="108"/>
  <c r="K79" i="108"/>
  <c r="L79" i="108"/>
  <c r="AB27" i="108" s="1"/>
  <c r="M79" i="108"/>
  <c r="N79" i="108"/>
  <c r="D80" i="108"/>
  <c r="E80" i="108"/>
  <c r="F80" i="108"/>
  <c r="G80" i="108"/>
  <c r="H80" i="108"/>
  <c r="I80" i="108"/>
  <c r="Y27" i="108" s="1"/>
  <c r="J80" i="108"/>
  <c r="K80" i="108"/>
  <c r="L80" i="108"/>
  <c r="M80" i="108"/>
  <c r="N80" i="108"/>
  <c r="D81" i="108"/>
  <c r="E81" i="108"/>
  <c r="F81" i="108"/>
  <c r="V27" i="108" s="1"/>
  <c r="G81" i="108"/>
  <c r="H81" i="108"/>
  <c r="I81" i="108"/>
  <c r="J81" i="108"/>
  <c r="K81" i="108"/>
  <c r="L81" i="108"/>
  <c r="M81" i="108"/>
  <c r="N81" i="108"/>
  <c r="AD27" i="108" s="1"/>
  <c r="D82" i="108"/>
  <c r="E82" i="108"/>
  <c r="F82" i="108"/>
  <c r="G82" i="108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X28" i="108" s="1"/>
  <c r="I83" i="108"/>
  <c r="J83" i="108"/>
  <c r="K83" i="108"/>
  <c r="L83" i="108"/>
  <c r="M83" i="108"/>
  <c r="N83" i="108"/>
  <c r="D84" i="108"/>
  <c r="E84" i="108"/>
  <c r="U28" i="108" s="1"/>
  <c r="F84" i="108"/>
  <c r="G84" i="108"/>
  <c r="H84" i="108"/>
  <c r="I84" i="108"/>
  <c r="J84" i="108"/>
  <c r="K84" i="108"/>
  <c r="L84" i="108"/>
  <c r="M84" i="108"/>
  <c r="AC28" i="108" s="1"/>
  <c r="N84" i="108"/>
  <c r="D85" i="108"/>
  <c r="E85" i="108"/>
  <c r="F85" i="108"/>
  <c r="G85" i="108"/>
  <c r="H85" i="108"/>
  <c r="I85" i="108"/>
  <c r="J85" i="108"/>
  <c r="Z28" i="108" s="1"/>
  <c r="K85" i="108"/>
  <c r="L85" i="108"/>
  <c r="M85" i="108"/>
  <c r="N85" i="108"/>
  <c r="D86" i="108"/>
  <c r="E86" i="108"/>
  <c r="F86" i="108"/>
  <c r="G86" i="108"/>
  <c r="W29" i="108" s="1"/>
  <c r="H86" i="108"/>
  <c r="I86" i="108"/>
  <c r="J86" i="108"/>
  <c r="K86" i="108"/>
  <c r="L86" i="108"/>
  <c r="M86" i="108"/>
  <c r="N86" i="108"/>
  <c r="D87" i="108"/>
  <c r="T29" i="108" s="1"/>
  <c r="E87" i="108"/>
  <c r="F87" i="108"/>
  <c r="G87" i="108"/>
  <c r="H87" i="108"/>
  <c r="I87" i="108"/>
  <c r="J87" i="108"/>
  <c r="K87" i="108"/>
  <c r="L87" i="108"/>
  <c r="L87" i="111" s="1"/>
  <c r="AB29" i="111" s="1"/>
  <c r="M87" i="108"/>
  <c r="N87" i="108"/>
  <c r="D88" i="108"/>
  <c r="E88" i="108"/>
  <c r="F88" i="108"/>
  <c r="G88" i="108"/>
  <c r="H88" i="108"/>
  <c r="I88" i="108"/>
  <c r="Y29" i="108" s="1"/>
  <c r="J88" i="108"/>
  <c r="K88" i="108"/>
  <c r="L88" i="108"/>
  <c r="M88" i="108"/>
  <c r="N88" i="108"/>
  <c r="D89" i="108"/>
  <c r="E89" i="108"/>
  <c r="F89" i="108"/>
  <c r="V29" i="108" s="1"/>
  <c r="G89" i="108"/>
  <c r="H89" i="108"/>
  <c r="I89" i="108"/>
  <c r="J89" i="108"/>
  <c r="K89" i="108"/>
  <c r="L89" i="108"/>
  <c r="M89" i="108"/>
  <c r="N89" i="108"/>
  <c r="AD29" i="108" s="1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X30" i="108" s="1"/>
  <c r="I91" i="108"/>
  <c r="J91" i="108"/>
  <c r="K91" i="108"/>
  <c r="L91" i="108"/>
  <c r="M91" i="108"/>
  <c r="N91" i="108"/>
  <c r="D92" i="108"/>
  <c r="E92" i="108"/>
  <c r="U30" i="108" s="1"/>
  <c r="F92" i="108"/>
  <c r="G92" i="108"/>
  <c r="H92" i="108"/>
  <c r="I92" i="108"/>
  <c r="J92" i="108"/>
  <c r="K92" i="108"/>
  <c r="L92" i="108"/>
  <c r="M92" i="108"/>
  <c r="AC30" i="108" s="1"/>
  <c r="N92" i="108"/>
  <c r="D93" i="108"/>
  <c r="E93" i="108"/>
  <c r="F93" i="108"/>
  <c r="G93" i="108"/>
  <c r="H93" i="108"/>
  <c r="I93" i="108"/>
  <c r="J93" i="108"/>
  <c r="J93" i="111" s="1"/>
  <c r="K93" i="108"/>
  <c r="L93" i="108"/>
  <c r="M93" i="108"/>
  <c r="N93" i="108"/>
  <c r="D94" i="108"/>
  <c r="E94" i="108"/>
  <c r="F94" i="108"/>
  <c r="G94" i="108"/>
  <c r="W31" i="108" s="1"/>
  <c r="H94" i="108"/>
  <c r="I94" i="108"/>
  <c r="J94" i="108"/>
  <c r="K94" i="108"/>
  <c r="L94" i="108"/>
  <c r="M94" i="108"/>
  <c r="N94" i="108"/>
  <c r="D95" i="108"/>
  <c r="T31" i="108" s="1"/>
  <c r="E95" i="108"/>
  <c r="F95" i="108"/>
  <c r="G95" i="108"/>
  <c r="H95" i="108"/>
  <c r="I95" i="108"/>
  <c r="J95" i="108"/>
  <c r="K95" i="108"/>
  <c r="L95" i="108"/>
  <c r="AB31" i="108" s="1"/>
  <c r="M95" i="108"/>
  <c r="N95" i="108"/>
  <c r="D96" i="108"/>
  <c r="E96" i="108"/>
  <c r="F96" i="108"/>
  <c r="G96" i="108"/>
  <c r="H96" i="108"/>
  <c r="I96" i="108"/>
  <c r="Y31" i="108" s="1"/>
  <c r="J96" i="108"/>
  <c r="K96" i="108"/>
  <c r="L96" i="108"/>
  <c r="M96" i="108"/>
  <c r="N96" i="108"/>
  <c r="D97" i="108"/>
  <c r="E97" i="108"/>
  <c r="F97" i="108"/>
  <c r="V31" i="108" s="1"/>
  <c r="G97" i="108"/>
  <c r="H97" i="108"/>
  <c r="I97" i="108"/>
  <c r="J97" i="108"/>
  <c r="K97" i="108"/>
  <c r="L97" i="108"/>
  <c r="M97" i="108"/>
  <c r="N97" i="108"/>
  <c r="AD31" i="108" s="1"/>
  <c r="D98" i="108"/>
  <c r="E98" i="108"/>
  <c r="F98" i="108"/>
  <c r="G98" i="108"/>
  <c r="H98" i="108"/>
  <c r="I98" i="108"/>
  <c r="J98" i="108"/>
  <c r="K98" i="108"/>
  <c r="AA32" i="108" s="1"/>
  <c r="L98" i="108"/>
  <c r="M98" i="108"/>
  <c r="N98" i="108"/>
  <c r="D99" i="108"/>
  <c r="E99" i="108"/>
  <c r="F99" i="108"/>
  <c r="G99" i="108"/>
  <c r="H99" i="108"/>
  <c r="X32" i="108" s="1"/>
  <c r="I99" i="108"/>
  <c r="J99" i="108"/>
  <c r="K99" i="108"/>
  <c r="L99" i="108"/>
  <c r="M99" i="108"/>
  <c r="N99" i="108"/>
  <c r="D100" i="108"/>
  <c r="E100" i="108"/>
  <c r="U32" i="108" s="1"/>
  <c r="F100" i="108"/>
  <c r="G100" i="108"/>
  <c r="H100" i="108"/>
  <c r="I100" i="108"/>
  <c r="J100" i="108"/>
  <c r="K100" i="108"/>
  <c r="L100" i="108"/>
  <c r="M100" i="108"/>
  <c r="M100" i="111" s="1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Y33" i="108" s="1"/>
  <c r="J104" i="108"/>
  <c r="K104" i="108"/>
  <c r="L104" i="108"/>
  <c r="M104" i="108"/>
  <c r="N104" i="108"/>
  <c r="D105" i="108"/>
  <c r="E105" i="108"/>
  <c r="F105" i="108"/>
  <c r="V33" i="108" s="1"/>
  <c r="G105" i="108"/>
  <c r="H105" i="108"/>
  <c r="I105" i="108"/>
  <c r="J105" i="108"/>
  <c r="K105" i="108"/>
  <c r="L105" i="108"/>
  <c r="M105" i="108"/>
  <c r="N105" i="108"/>
  <c r="AD33" i="108" s="1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S26" i="108" s="1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S30" i="108" s="1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P58" i="107"/>
  <c r="P59" i="107"/>
  <c r="P60" i="107"/>
  <c r="P61" i="107"/>
  <c r="P62" i="107"/>
  <c r="P63" i="107"/>
  <c r="P64" i="107"/>
  <c r="P65" i="107"/>
  <c r="AF23" i="107" s="1"/>
  <c r="P66" i="107"/>
  <c r="P67" i="107"/>
  <c r="P68" i="107"/>
  <c r="P69" i="107"/>
  <c r="P70" i="107"/>
  <c r="P71" i="107"/>
  <c r="P72" i="107"/>
  <c r="P73" i="107"/>
  <c r="AF25" i="107" s="1"/>
  <c r="P74" i="107"/>
  <c r="P75" i="107"/>
  <c r="P76" i="107"/>
  <c r="P77" i="107"/>
  <c r="P78" i="107"/>
  <c r="P79" i="107"/>
  <c r="P80" i="107"/>
  <c r="P81" i="107"/>
  <c r="AF27" i="107" s="1"/>
  <c r="P82" i="107"/>
  <c r="P83" i="107"/>
  <c r="P84" i="107"/>
  <c r="P85" i="107"/>
  <c r="P86" i="107"/>
  <c r="P87" i="107"/>
  <c r="P88" i="107"/>
  <c r="P89" i="107"/>
  <c r="P90" i="107"/>
  <c r="P91" i="107"/>
  <c r="P92" i="107"/>
  <c r="P93" i="107"/>
  <c r="P94" i="107"/>
  <c r="P95" i="107"/>
  <c r="P96" i="107"/>
  <c r="P97" i="107"/>
  <c r="AF31" i="107" s="1"/>
  <c r="P98" i="107"/>
  <c r="P99" i="107"/>
  <c r="P100" i="107"/>
  <c r="P101" i="107"/>
  <c r="P102" i="107"/>
  <c r="P103" i="107"/>
  <c r="P104" i="107"/>
  <c r="P105" i="107"/>
  <c r="O58" i="107"/>
  <c r="O59" i="107"/>
  <c r="O60" i="107"/>
  <c r="O61" i="107"/>
  <c r="O62" i="107"/>
  <c r="O63" i="107"/>
  <c r="AE23" i="107" s="1"/>
  <c r="O64" i="107"/>
  <c r="O65" i="107"/>
  <c r="O66" i="107"/>
  <c r="O67" i="107"/>
  <c r="O68" i="107"/>
  <c r="O69" i="107"/>
  <c r="O70" i="107"/>
  <c r="O71" i="107"/>
  <c r="AE25" i="107" s="1"/>
  <c r="O72" i="107"/>
  <c r="O73" i="107"/>
  <c r="O74" i="107"/>
  <c r="O75" i="107"/>
  <c r="O76" i="107"/>
  <c r="O77" i="107"/>
  <c r="O78" i="107"/>
  <c r="O79" i="107"/>
  <c r="AE27" i="107" s="1"/>
  <c r="O80" i="107"/>
  <c r="O81" i="107"/>
  <c r="O82" i="107"/>
  <c r="O83" i="107"/>
  <c r="O84" i="107"/>
  <c r="O85" i="107"/>
  <c r="O86" i="107"/>
  <c r="O87" i="107"/>
  <c r="AE29" i="107" s="1"/>
  <c r="O88" i="107"/>
  <c r="O89" i="107"/>
  <c r="O90" i="107"/>
  <c r="O91" i="107"/>
  <c r="O92" i="107"/>
  <c r="O93" i="107"/>
  <c r="O94" i="107"/>
  <c r="O95" i="107"/>
  <c r="O96" i="107"/>
  <c r="O97" i="107"/>
  <c r="AE31" i="107" s="1"/>
  <c r="O98" i="107"/>
  <c r="O99" i="107"/>
  <c r="O100" i="107"/>
  <c r="O101" i="107"/>
  <c r="O102" i="107"/>
  <c r="O103" i="107"/>
  <c r="AE33" i="107" s="1"/>
  <c r="O104" i="107"/>
  <c r="O105" i="107"/>
  <c r="D58" i="107"/>
  <c r="E58" i="107"/>
  <c r="F58" i="107"/>
  <c r="G58" i="107"/>
  <c r="H58" i="107"/>
  <c r="I58" i="107"/>
  <c r="I58" i="111" s="1"/>
  <c r="J58" i="107"/>
  <c r="K58" i="107"/>
  <c r="L58" i="107"/>
  <c r="M58" i="107"/>
  <c r="N58" i="107"/>
  <c r="D59" i="107"/>
  <c r="E59" i="107"/>
  <c r="F59" i="107"/>
  <c r="F59" i="111" s="1"/>
  <c r="G59" i="107"/>
  <c r="H59" i="107"/>
  <c r="H59" i="111" s="1"/>
  <c r="X22" i="111" s="1"/>
  <c r="I59" i="107"/>
  <c r="J59" i="107"/>
  <c r="K59" i="107"/>
  <c r="L59" i="107"/>
  <c r="M59" i="107"/>
  <c r="N59" i="107"/>
  <c r="N59" i="111" s="1"/>
  <c r="D60" i="107"/>
  <c r="E60" i="107"/>
  <c r="F60" i="107"/>
  <c r="G60" i="107"/>
  <c r="H60" i="107"/>
  <c r="I60" i="107"/>
  <c r="J60" i="107"/>
  <c r="K60" i="107"/>
  <c r="K60" i="111" s="1"/>
  <c r="L60" i="107"/>
  <c r="M60" i="107"/>
  <c r="M60" i="111" s="1"/>
  <c r="N60" i="107"/>
  <c r="D61" i="107"/>
  <c r="E61" i="107"/>
  <c r="F61" i="107"/>
  <c r="G61" i="107"/>
  <c r="H61" i="107"/>
  <c r="H61" i="111" s="1"/>
  <c r="I61" i="107"/>
  <c r="J61" i="107"/>
  <c r="J61" i="111" s="1"/>
  <c r="K61" i="107"/>
  <c r="L61" i="107"/>
  <c r="M61" i="107"/>
  <c r="N61" i="107"/>
  <c r="D62" i="107"/>
  <c r="E62" i="107"/>
  <c r="E62" i="111" s="1"/>
  <c r="F62" i="107"/>
  <c r="G62" i="107"/>
  <c r="G62" i="111" s="1"/>
  <c r="H62" i="107"/>
  <c r="I62" i="107"/>
  <c r="J62" i="107"/>
  <c r="K62" i="107"/>
  <c r="L62" i="107"/>
  <c r="M62" i="107"/>
  <c r="M62" i="111" s="1"/>
  <c r="N62" i="107"/>
  <c r="D63" i="107"/>
  <c r="D63" i="111" s="1"/>
  <c r="T23" i="111" s="1"/>
  <c r="E63" i="107"/>
  <c r="F63" i="107"/>
  <c r="G63" i="107"/>
  <c r="H63" i="107"/>
  <c r="I63" i="107"/>
  <c r="J63" i="107"/>
  <c r="J63" i="111" s="1"/>
  <c r="K63" i="107"/>
  <c r="L63" i="107"/>
  <c r="L63" i="111" s="1"/>
  <c r="AB23" i="111" s="1"/>
  <c r="M63" i="107"/>
  <c r="N63" i="107"/>
  <c r="D64" i="107"/>
  <c r="E64" i="107"/>
  <c r="F64" i="107"/>
  <c r="G64" i="107"/>
  <c r="G64" i="111" s="1"/>
  <c r="H64" i="107"/>
  <c r="I64" i="107"/>
  <c r="J64" i="107"/>
  <c r="K64" i="107"/>
  <c r="L64" i="107"/>
  <c r="M64" i="107"/>
  <c r="N64" i="107"/>
  <c r="D65" i="107"/>
  <c r="D65" i="111" s="1"/>
  <c r="E65" i="107"/>
  <c r="F65" i="107"/>
  <c r="F65" i="111" s="1"/>
  <c r="V23" i="111" s="1"/>
  <c r="G65" i="107"/>
  <c r="H65" i="107"/>
  <c r="I65" i="107"/>
  <c r="J65" i="107"/>
  <c r="K65" i="107"/>
  <c r="L65" i="107"/>
  <c r="L65" i="111" s="1"/>
  <c r="M65" i="107"/>
  <c r="N65" i="107"/>
  <c r="D66" i="107"/>
  <c r="E66" i="107"/>
  <c r="F66" i="107"/>
  <c r="G66" i="107"/>
  <c r="H66" i="107"/>
  <c r="I66" i="107"/>
  <c r="I66" i="111" s="1"/>
  <c r="J66" i="107"/>
  <c r="K66" i="107"/>
  <c r="K66" i="111" s="1"/>
  <c r="AA24" i="111" s="1"/>
  <c r="L66" i="107"/>
  <c r="M66" i="107"/>
  <c r="N66" i="107"/>
  <c r="D67" i="107"/>
  <c r="E67" i="107"/>
  <c r="F67" i="107"/>
  <c r="F67" i="111" s="1"/>
  <c r="G67" i="107"/>
  <c r="H67" i="107"/>
  <c r="H67" i="111" s="1"/>
  <c r="X24" i="111" s="1"/>
  <c r="I67" i="107"/>
  <c r="J67" i="107"/>
  <c r="K67" i="107"/>
  <c r="L67" i="107"/>
  <c r="M67" i="107"/>
  <c r="N67" i="107"/>
  <c r="N67" i="111" s="1"/>
  <c r="D68" i="107"/>
  <c r="E68" i="107"/>
  <c r="E68" i="111" s="1"/>
  <c r="F68" i="107"/>
  <c r="G68" i="107"/>
  <c r="H68" i="107"/>
  <c r="I68" i="107"/>
  <c r="J68" i="107"/>
  <c r="K68" i="107"/>
  <c r="K68" i="111" s="1"/>
  <c r="L68" i="107"/>
  <c r="M68" i="107"/>
  <c r="M68" i="111" s="1"/>
  <c r="N68" i="107"/>
  <c r="D69" i="107"/>
  <c r="E69" i="107"/>
  <c r="F69" i="107"/>
  <c r="G69" i="107"/>
  <c r="H69" i="107"/>
  <c r="H69" i="111" s="1"/>
  <c r="I69" i="107"/>
  <c r="J69" i="107"/>
  <c r="J69" i="111" s="1"/>
  <c r="K69" i="107"/>
  <c r="L69" i="107"/>
  <c r="M69" i="107"/>
  <c r="N69" i="107"/>
  <c r="D70" i="107"/>
  <c r="E70" i="107"/>
  <c r="E70" i="111" s="1"/>
  <c r="U25" i="111" s="1"/>
  <c r="F70" i="107"/>
  <c r="G70" i="107"/>
  <c r="H70" i="107"/>
  <c r="I70" i="107"/>
  <c r="J70" i="107"/>
  <c r="K70" i="107"/>
  <c r="L70" i="107"/>
  <c r="M70" i="107"/>
  <c r="M70" i="111" s="1"/>
  <c r="N70" i="107"/>
  <c r="D71" i="107"/>
  <c r="D71" i="111" s="1"/>
  <c r="T25" i="111" s="1"/>
  <c r="E71" i="107"/>
  <c r="F71" i="107"/>
  <c r="G71" i="107"/>
  <c r="H71" i="107"/>
  <c r="I71" i="107"/>
  <c r="J71" i="107"/>
  <c r="J71" i="111" s="1"/>
  <c r="K71" i="107"/>
  <c r="L71" i="107"/>
  <c r="M71" i="107"/>
  <c r="N71" i="107"/>
  <c r="D72" i="107"/>
  <c r="E72" i="107"/>
  <c r="F72" i="107"/>
  <c r="G72" i="107"/>
  <c r="G72" i="111" s="1"/>
  <c r="H72" i="107"/>
  <c r="I72" i="107"/>
  <c r="I72" i="111" s="1"/>
  <c r="J72" i="107"/>
  <c r="K72" i="107"/>
  <c r="L72" i="107"/>
  <c r="M72" i="107"/>
  <c r="N72" i="107"/>
  <c r="D73" i="107"/>
  <c r="D73" i="111" s="1"/>
  <c r="E73" i="107"/>
  <c r="F73" i="107"/>
  <c r="F73" i="111" s="1"/>
  <c r="G73" i="107"/>
  <c r="H73" i="107"/>
  <c r="I73" i="107"/>
  <c r="J73" i="107"/>
  <c r="K73" i="107"/>
  <c r="L73" i="107"/>
  <c r="L73" i="111" s="1"/>
  <c r="M73" i="107"/>
  <c r="N73" i="107"/>
  <c r="N73" i="111" s="1"/>
  <c r="D74" i="107"/>
  <c r="E74" i="107"/>
  <c r="F74" i="107"/>
  <c r="G74" i="107"/>
  <c r="H74" i="107"/>
  <c r="I74" i="107"/>
  <c r="I74" i="111" s="1"/>
  <c r="J74" i="107"/>
  <c r="K74" i="107"/>
  <c r="K74" i="111" s="1"/>
  <c r="AA26" i="111" s="1"/>
  <c r="L74" i="107"/>
  <c r="M74" i="107"/>
  <c r="N74" i="107"/>
  <c r="D75" i="107"/>
  <c r="E75" i="107"/>
  <c r="F75" i="107"/>
  <c r="F75" i="111" s="1"/>
  <c r="G75" i="107"/>
  <c r="H75" i="107"/>
  <c r="H75" i="111" s="1"/>
  <c r="I75" i="107"/>
  <c r="J75" i="107"/>
  <c r="K75" i="107"/>
  <c r="L75" i="107"/>
  <c r="M75" i="107"/>
  <c r="N75" i="107"/>
  <c r="N75" i="111" s="1"/>
  <c r="D76" i="107"/>
  <c r="E76" i="107"/>
  <c r="F76" i="107"/>
  <c r="G76" i="107"/>
  <c r="H76" i="107"/>
  <c r="I76" i="107"/>
  <c r="J76" i="107"/>
  <c r="K76" i="107"/>
  <c r="K76" i="111" s="1"/>
  <c r="L76" i="107"/>
  <c r="M76" i="107"/>
  <c r="M76" i="111" s="1"/>
  <c r="N76" i="107"/>
  <c r="D77" i="107"/>
  <c r="E77" i="107"/>
  <c r="F77" i="107"/>
  <c r="G77" i="107"/>
  <c r="H77" i="107"/>
  <c r="H77" i="111" s="1"/>
  <c r="I77" i="107"/>
  <c r="J77" i="107"/>
  <c r="K77" i="107"/>
  <c r="L77" i="107"/>
  <c r="M77" i="107"/>
  <c r="N77" i="107"/>
  <c r="D78" i="107"/>
  <c r="E78" i="107"/>
  <c r="E78" i="111" s="1"/>
  <c r="F78" i="107"/>
  <c r="G78" i="107"/>
  <c r="G78" i="111" s="1"/>
  <c r="W27" i="111" s="1"/>
  <c r="H78" i="107"/>
  <c r="I78" i="107"/>
  <c r="J78" i="107"/>
  <c r="K78" i="107"/>
  <c r="L78" i="107"/>
  <c r="M78" i="107"/>
  <c r="M78" i="111" s="1"/>
  <c r="N78" i="107"/>
  <c r="D79" i="107"/>
  <c r="D79" i="111" s="1"/>
  <c r="T27" i="111" s="1"/>
  <c r="E79" i="107"/>
  <c r="F79" i="107"/>
  <c r="G79" i="107"/>
  <c r="H79" i="107"/>
  <c r="I79" i="107"/>
  <c r="J79" i="107"/>
  <c r="J79" i="111" s="1"/>
  <c r="K79" i="107"/>
  <c r="L79" i="107"/>
  <c r="L79" i="111" s="1"/>
  <c r="AB27" i="111" s="1"/>
  <c r="M79" i="107"/>
  <c r="N79" i="107"/>
  <c r="D80" i="107"/>
  <c r="E80" i="107"/>
  <c r="F80" i="107"/>
  <c r="G80" i="107"/>
  <c r="G80" i="111" s="1"/>
  <c r="H80" i="107"/>
  <c r="I80" i="107"/>
  <c r="I80" i="111" s="1"/>
  <c r="J80" i="107"/>
  <c r="K80" i="107"/>
  <c r="L80" i="107"/>
  <c r="M80" i="107"/>
  <c r="N80" i="107"/>
  <c r="D81" i="107"/>
  <c r="D81" i="111" s="1"/>
  <c r="E81" i="107"/>
  <c r="F81" i="107"/>
  <c r="F81" i="111" s="1"/>
  <c r="G81" i="107"/>
  <c r="H81" i="107"/>
  <c r="I81" i="107"/>
  <c r="J81" i="107"/>
  <c r="K81" i="107"/>
  <c r="L81" i="107"/>
  <c r="L81" i="111" s="1"/>
  <c r="M81" i="107"/>
  <c r="N81" i="107"/>
  <c r="D82" i="107"/>
  <c r="E82" i="107"/>
  <c r="F82" i="107"/>
  <c r="G82" i="107"/>
  <c r="H82" i="107"/>
  <c r="I82" i="107"/>
  <c r="I82" i="111" s="1"/>
  <c r="J82" i="107"/>
  <c r="K82" i="107"/>
  <c r="AA28" i="107" s="1"/>
  <c r="L82" i="107"/>
  <c r="M82" i="107"/>
  <c r="N82" i="107"/>
  <c r="D83" i="107"/>
  <c r="E83" i="107"/>
  <c r="F83" i="107"/>
  <c r="F83" i="111" s="1"/>
  <c r="G83" i="107"/>
  <c r="H83" i="107"/>
  <c r="X28" i="107" s="1"/>
  <c r="I83" i="107"/>
  <c r="J83" i="107"/>
  <c r="K83" i="107"/>
  <c r="L83" i="107"/>
  <c r="M83" i="107"/>
  <c r="N83" i="107"/>
  <c r="N83" i="111" s="1"/>
  <c r="D84" i="107"/>
  <c r="E84" i="107"/>
  <c r="E84" i="111" s="1"/>
  <c r="F84" i="107"/>
  <c r="G84" i="107"/>
  <c r="H84" i="107"/>
  <c r="I84" i="107"/>
  <c r="J84" i="107"/>
  <c r="K84" i="107"/>
  <c r="K84" i="111" s="1"/>
  <c r="L84" i="107"/>
  <c r="M84" i="107"/>
  <c r="AC28" i="107" s="1"/>
  <c r="N84" i="107"/>
  <c r="D85" i="107"/>
  <c r="E85" i="107"/>
  <c r="F85" i="107"/>
  <c r="G85" i="107"/>
  <c r="H85" i="107"/>
  <c r="H85" i="111" s="1"/>
  <c r="I85" i="107"/>
  <c r="J85" i="107"/>
  <c r="Z28" i="107" s="1"/>
  <c r="K85" i="107"/>
  <c r="L85" i="107"/>
  <c r="M85" i="107"/>
  <c r="N85" i="107"/>
  <c r="D86" i="107"/>
  <c r="E86" i="107"/>
  <c r="E86" i="111" s="1"/>
  <c r="F86" i="107"/>
  <c r="G86" i="107"/>
  <c r="H86" i="107"/>
  <c r="I86" i="107"/>
  <c r="J86" i="107"/>
  <c r="K86" i="107"/>
  <c r="L86" i="107"/>
  <c r="M86" i="107"/>
  <c r="M86" i="111" s="1"/>
  <c r="N86" i="107"/>
  <c r="D87" i="107"/>
  <c r="E87" i="107"/>
  <c r="F87" i="107"/>
  <c r="G87" i="107"/>
  <c r="H87" i="107"/>
  <c r="I87" i="107"/>
  <c r="J87" i="107"/>
  <c r="J87" i="111" s="1"/>
  <c r="K87" i="107"/>
  <c r="L87" i="107"/>
  <c r="M87" i="107"/>
  <c r="N87" i="107"/>
  <c r="D88" i="107"/>
  <c r="E88" i="107"/>
  <c r="F88" i="107"/>
  <c r="G88" i="107"/>
  <c r="G88" i="111" s="1"/>
  <c r="H88" i="107"/>
  <c r="I88" i="107"/>
  <c r="Y29" i="107" s="1"/>
  <c r="J88" i="107"/>
  <c r="K88" i="107"/>
  <c r="L88" i="107"/>
  <c r="M88" i="107"/>
  <c r="N88" i="107"/>
  <c r="D89" i="107"/>
  <c r="D89" i="111" s="1"/>
  <c r="E89" i="107"/>
  <c r="F89" i="107"/>
  <c r="G89" i="107"/>
  <c r="H89" i="107"/>
  <c r="I89" i="107"/>
  <c r="J89" i="107"/>
  <c r="K89" i="107"/>
  <c r="L89" i="107"/>
  <c r="L89" i="111" s="1"/>
  <c r="M89" i="107"/>
  <c r="N89" i="107"/>
  <c r="N89" i="111" s="1"/>
  <c r="D90" i="107"/>
  <c r="E90" i="107"/>
  <c r="F90" i="107"/>
  <c r="G90" i="107"/>
  <c r="H90" i="107"/>
  <c r="I90" i="107"/>
  <c r="I90" i="111" s="1"/>
  <c r="J90" i="107"/>
  <c r="K90" i="107"/>
  <c r="K90" i="111" s="1"/>
  <c r="AA30" i="111" s="1"/>
  <c r="L90" i="107"/>
  <c r="M90" i="107"/>
  <c r="N90" i="107"/>
  <c r="D91" i="107"/>
  <c r="E91" i="107"/>
  <c r="F91" i="107"/>
  <c r="F91" i="111" s="1"/>
  <c r="G91" i="107"/>
  <c r="H91" i="107"/>
  <c r="X30" i="107" s="1"/>
  <c r="I91" i="107"/>
  <c r="J91" i="107"/>
  <c r="K91" i="107"/>
  <c r="L91" i="107"/>
  <c r="M91" i="107"/>
  <c r="N91" i="107"/>
  <c r="N91" i="111" s="1"/>
  <c r="D92" i="107"/>
  <c r="E92" i="107"/>
  <c r="E92" i="111" s="1"/>
  <c r="F92" i="107"/>
  <c r="G92" i="107"/>
  <c r="H92" i="107"/>
  <c r="I92" i="107"/>
  <c r="J92" i="107"/>
  <c r="K92" i="107"/>
  <c r="K92" i="111" s="1"/>
  <c r="L92" i="107"/>
  <c r="M92" i="107"/>
  <c r="M92" i="111" s="1"/>
  <c r="N92" i="107"/>
  <c r="D93" i="107"/>
  <c r="E93" i="107"/>
  <c r="F93" i="107"/>
  <c r="G93" i="107"/>
  <c r="H93" i="107"/>
  <c r="H93" i="111" s="1"/>
  <c r="I93" i="107"/>
  <c r="J93" i="107"/>
  <c r="Z30" i="107" s="1"/>
  <c r="K93" i="107"/>
  <c r="L93" i="107"/>
  <c r="M93" i="107"/>
  <c r="N93" i="107"/>
  <c r="D94" i="107"/>
  <c r="E94" i="107"/>
  <c r="E94" i="111" s="1"/>
  <c r="F94" i="107"/>
  <c r="G94" i="107"/>
  <c r="G94" i="111" s="1"/>
  <c r="W31" i="111" s="1"/>
  <c r="H94" i="107"/>
  <c r="I94" i="107"/>
  <c r="J94" i="107"/>
  <c r="K94" i="107"/>
  <c r="L94" i="107"/>
  <c r="M94" i="107"/>
  <c r="M94" i="111" s="1"/>
  <c r="N94" i="107"/>
  <c r="D95" i="107"/>
  <c r="E95" i="107"/>
  <c r="F95" i="107"/>
  <c r="G95" i="107"/>
  <c r="H95" i="107"/>
  <c r="I95" i="107"/>
  <c r="J95" i="107"/>
  <c r="J95" i="111" s="1"/>
  <c r="K95" i="107"/>
  <c r="L95" i="107"/>
  <c r="M95" i="107"/>
  <c r="N95" i="107"/>
  <c r="D96" i="107"/>
  <c r="E96" i="107"/>
  <c r="F96" i="107"/>
  <c r="G96" i="107"/>
  <c r="G96" i="111" s="1"/>
  <c r="H96" i="107"/>
  <c r="I96" i="107"/>
  <c r="Y31" i="107" s="1"/>
  <c r="J96" i="107"/>
  <c r="K96" i="107"/>
  <c r="L96" i="107"/>
  <c r="M96" i="107"/>
  <c r="N96" i="107"/>
  <c r="D97" i="107"/>
  <c r="D97" i="111" s="1"/>
  <c r="E97" i="107"/>
  <c r="F97" i="107"/>
  <c r="F97" i="111" s="1"/>
  <c r="G97" i="107"/>
  <c r="H97" i="107"/>
  <c r="I97" i="107"/>
  <c r="J97" i="107"/>
  <c r="K97" i="107"/>
  <c r="L97" i="107"/>
  <c r="L97" i="111" s="1"/>
  <c r="M97" i="107"/>
  <c r="N97" i="107"/>
  <c r="AD31" i="107" s="1"/>
  <c r="D98" i="107"/>
  <c r="E98" i="107"/>
  <c r="F98" i="107"/>
  <c r="G98" i="107"/>
  <c r="H98" i="107"/>
  <c r="I98" i="107"/>
  <c r="I98" i="111" s="1"/>
  <c r="J98" i="107"/>
  <c r="K98" i="107"/>
  <c r="K98" i="111" s="1"/>
  <c r="L98" i="107"/>
  <c r="M98" i="107"/>
  <c r="N98" i="107"/>
  <c r="D99" i="107"/>
  <c r="E99" i="107"/>
  <c r="F99" i="107"/>
  <c r="F99" i="111" s="1"/>
  <c r="G99" i="107"/>
  <c r="H99" i="107"/>
  <c r="X32" i="107" s="1"/>
  <c r="I99" i="107"/>
  <c r="J99" i="107"/>
  <c r="K99" i="107"/>
  <c r="L99" i="107"/>
  <c r="M99" i="107"/>
  <c r="N99" i="107"/>
  <c r="N99" i="111" s="1"/>
  <c r="D100" i="107"/>
  <c r="E100" i="107"/>
  <c r="U32" i="107" s="1"/>
  <c r="F100" i="107"/>
  <c r="G100" i="107"/>
  <c r="H100" i="107"/>
  <c r="I100" i="107"/>
  <c r="J100" i="107"/>
  <c r="K100" i="107"/>
  <c r="K100" i="111" s="1"/>
  <c r="L100" i="107"/>
  <c r="M100" i="107"/>
  <c r="AC32" i="107" s="1"/>
  <c r="N100" i="107"/>
  <c r="D101" i="107"/>
  <c r="E101" i="107"/>
  <c r="F101" i="107"/>
  <c r="G101" i="107"/>
  <c r="H101" i="107"/>
  <c r="H101" i="111" s="1"/>
  <c r="I101" i="107"/>
  <c r="J101" i="107"/>
  <c r="J101" i="111" s="1"/>
  <c r="K101" i="107"/>
  <c r="L101" i="107"/>
  <c r="M101" i="107"/>
  <c r="N101" i="107"/>
  <c r="D102" i="107"/>
  <c r="E102" i="107"/>
  <c r="E102" i="111" s="1"/>
  <c r="F102" i="107"/>
  <c r="G102" i="107"/>
  <c r="G102" i="111" s="1"/>
  <c r="H102" i="107"/>
  <c r="I102" i="107"/>
  <c r="J102" i="107"/>
  <c r="K102" i="107"/>
  <c r="L102" i="107"/>
  <c r="M102" i="107"/>
  <c r="M102" i="111" s="1"/>
  <c r="AC33" i="111" s="1"/>
  <c r="N102" i="107"/>
  <c r="D103" i="107"/>
  <c r="D103" i="111" s="1"/>
  <c r="T33" i="111" s="1"/>
  <c r="E103" i="107"/>
  <c r="F103" i="107"/>
  <c r="G103" i="107"/>
  <c r="H103" i="107"/>
  <c r="I103" i="107"/>
  <c r="J103" i="107"/>
  <c r="J103" i="111" s="1"/>
  <c r="K103" i="107"/>
  <c r="L103" i="107"/>
  <c r="L103" i="111" s="1"/>
  <c r="AB33" i="111" s="1"/>
  <c r="M103" i="107"/>
  <c r="N103" i="107"/>
  <c r="D104" i="107"/>
  <c r="E104" i="107"/>
  <c r="F104" i="107"/>
  <c r="G104" i="107"/>
  <c r="G104" i="111" s="1"/>
  <c r="H104" i="107"/>
  <c r="I104" i="107"/>
  <c r="Y33" i="107" s="1"/>
  <c r="J104" i="107"/>
  <c r="K104" i="107"/>
  <c r="L104" i="107"/>
  <c r="M104" i="107"/>
  <c r="N104" i="107"/>
  <c r="D105" i="107"/>
  <c r="D105" i="111" s="1"/>
  <c r="E105" i="107"/>
  <c r="F105" i="107"/>
  <c r="V33" i="107" s="1"/>
  <c r="G105" i="107"/>
  <c r="H105" i="107"/>
  <c r="I105" i="107"/>
  <c r="J105" i="107"/>
  <c r="K105" i="107"/>
  <c r="L105" i="107"/>
  <c r="L105" i="111" s="1"/>
  <c r="M105" i="107"/>
  <c r="N105" i="107"/>
  <c r="AD33" i="107" s="1"/>
  <c r="C59" i="107"/>
  <c r="C60" i="107"/>
  <c r="C61" i="107"/>
  <c r="C62" i="107"/>
  <c r="C63" i="107"/>
  <c r="C64" i="107"/>
  <c r="C65" i="107"/>
  <c r="C66" i="107"/>
  <c r="S24" i="107" s="1"/>
  <c r="C67" i="107"/>
  <c r="C68" i="107"/>
  <c r="C69" i="107"/>
  <c r="C70" i="107"/>
  <c r="C71" i="107"/>
  <c r="C72" i="107"/>
  <c r="C73" i="107"/>
  <c r="C74" i="107"/>
  <c r="S26" i="107" s="1"/>
  <c r="C75" i="107"/>
  <c r="C76" i="107"/>
  <c r="C77" i="107"/>
  <c r="C78" i="107"/>
  <c r="C79" i="107"/>
  <c r="C80" i="107"/>
  <c r="C81" i="107"/>
  <c r="C82" i="107"/>
  <c r="S28" i="107" s="1"/>
  <c r="C83" i="107"/>
  <c r="C84" i="107"/>
  <c r="C85" i="107"/>
  <c r="C86" i="107"/>
  <c r="C87" i="107"/>
  <c r="C88" i="107"/>
  <c r="C89" i="107"/>
  <c r="C90" i="107"/>
  <c r="S30" i="107" s="1"/>
  <c r="C91" i="107"/>
  <c r="C92" i="107"/>
  <c r="C93" i="107"/>
  <c r="C94" i="107"/>
  <c r="C95" i="107"/>
  <c r="C96" i="107"/>
  <c r="C97" i="107"/>
  <c r="C98" i="107"/>
  <c r="S32" i="107" s="1"/>
  <c r="C99" i="107"/>
  <c r="C100" i="107"/>
  <c r="C101" i="107"/>
  <c r="C102" i="107"/>
  <c r="C103" i="107"/>
  <c r="C104" i="107"/>
  <c r="C105" i="107"/>
  <c r="C58" i="107"/>
  <c r="D58" i="111"/>
  <c r="E58" i="111"/>
  <c r="F58" i="111"/>
  <c r="G58" i="111"/>
  <c r="H58" i="111"/>
  <c r="J58" i="111"/>
  <c r="L58" i="111"/>
  <c r="M58" i="111"/>
  <c r="N58" i="111"/>
  <c r="D59" i="111"/>
  <c r="E59" i="111"/>
  <c r="G59" i="111"/>
  <c r="I59" i="111"/>
  <c r="J59" i="111"/>
  <c r="K59" i="111"/>
  <c r="L59" i="111"/>
  <c r="M59" i="111"/>
  <c r="D60" i="111"/>
  <c r="F60" i="111"/>
  <c r="G60" i="111"/>
  <c r="W22" i="111" s="1"/>
  <c r="H60" i="111"/>
  <c r="I60" i="111"/>
  <c r="J60" i="111"/>
  <c r="L60" i="111"/>
  <c r="N60" i="111"/>
  <c r="D61" i="111"/>
  <c r="E61" i="111"/>
  <c r="F61" i="111"/>
  <c r="G61" i="111"/>
  <c r="I61" i="111"/>
  <c r="K61" i="111"/>
  <c r="L61" i="111"/>
  <c r="M61" i="111"/>
  <c r="N61" i="111"/>
  <c r="D62" i="111"/>
  <c r="F62" i="111"/>
  <c r="H62" i="111"/>
  <c r="I62" i="111"/>
  <c r="J62" i="111"/>
  <c r="K62" i="111"/>
  <c r="L62" i="111"/>
  <c r="N62" i="111"/>
  <c r="E63" i="111"/>
  <c r="F63" i="111"/>
  <c r="G63" i="111"/>
  <c r="H63" i="111"/>
  <c r="I63" i="111"/>
  <c r="K63" i="111"/>
  <c r="M63" i="111"/>
  <c r="N63" i="111"/>
  <c r="D64" i="111"/>
  <c r="E64" i="111"/>
  <c r="F64" i="111"/>
  <c r="H64" i="111"/>
  <c r="J64" i="111"/>
  <c r="K64" i="111"/>
  <c r="AA23" i="111" s="1"/>
  <c r="L64" i="111"/>
  <c r="M64" i="111"/>
  <c r="N64" i="111"/>
  <c r="E65" i="111"/>
  <c r="G65" i="111"/>
  <c r="H65" i="111"/>
  <c r="I65" i="111"/>
  <c r="J65" i="111"/>
  <c r="K65" i="111"/>
  <c r="M65" i="111"/>
  <c r="D66" i="111"/>
  <c r="E66" i="111"/>
  <c r="F66" i="111"/>
  <c r="G66" i="111"/>
  <c r="H66" i="111"/>
  <c r="J66" i="111"/>
  <c r="L66" i="111"/>
  <c r="M66" i="111"/>
  <c r="N66" i="111"/>
  <c r="D67" i="111"/>
  <c r="E67" i="111"/>
  <c r="G67" i="111"/>
  <c r="I67" i="111"/>
  <c r="J67" i="111"/>
  <c r="K67" i="111"/>
  <c r="L67" i="111"/>
  <c r="M67" i="111"/>
  <c r="D68" i="111"/>
  <c r="F68" i="111"/>
  <c r="G68" i="111"/>
  <c r="H68" i="111"/>
  <c r="I68" i="111"/>
  <c r="J68" i="111"/>
  <c r="L68" i="111"/>
  <c r="N68" i="111"/>
  <c r="D69" i="111"/>
  <c r="T24" i="111" s="1"/>
  <c r="E69" i="111"/>
  <c r="F69" i="111"/>
  <c r="G69" i="111"/>
  <c r="I69" i="111"/>
  <c r="K69" i="111"/>
  <c r="L69" i="111"/>
  <c r="AB24" i="111" s="1"/>
  <c r="M69" i="111"/>
  <c r="N69" i="111"/>
  <c r="D70" i="111"/>
  <c r="F70" i="111"/>
  <c r="H70" i="111"/>
  <c r="I70" i="111"/>
  <c r="J70" i="111"/>
  <c r="K70" i="111"/>
  <c r="L70" i="111"/>
  <c r="N70" i="111"/>
  <c r="E71" i="111"/>
  <c r="F71" i="111"/>
  <c r="G71" i="111"/>
  <c r="H71" i="111"/>
  <c r="I71" i="111"/>
  <c r="K71" i="111"/>
  <c r="L71" i="111"/>
  <c r="AB25" i="111" s="1"/>
  <c r="M71" i="111"/>
  <c r="N71" i="111"/>
  <c r="D72" i="111"/>
  <c r="E72" i="111"/>
  <c r="F72" i="111"/>
  <c r="H72" i="111"/>
  <c r="J72" i="111"/>
  <c r="K72" i="111"/>
  <c r="AA25" i="111" s="1"/>
  <c r="L72" i="111"/>
  <c r="M72" i="111"/>
  <c r="N72" i="111"/>
  <c r="E73" i="111"/>
  <c r="G73" i="111"/>
  <c r="H73" i="111"/>
  <c r="X25" i="111" s="1"/>
  <c r="I73" i="111"/>
  <c r="J73" i="111"/>
  <c r="K73" i="111"/>
  <c r="M73" i="111"/>
  <c r="D74" i="111"/>
  <c r="E74" i="111"/>
  <c r="F74" i="111"/>
  <c r="G74" i="111"/>
  <c r="H74" i="111"/>
  <c r="J74" i="111"/>
  <c r="L74" i="111"/>
  <c r="M74" i="111"/>
  <c r="N74" i="111"/>
  <c r="D75" i="111"/>
  <c r="E75" i="111"/>
  <c r="G75" i="111"/>
  <c r="I75" i="111"/>
  <c r="J75" i="111"/>
  <c r="K75" i="111"/>
  <c r="L75" i="111"/>
  <c r="M75" i="111"/>
  <c r="D76" i="111"/>
  <c r="F76" i="111"/>
  <c r="V26" i="111" s="1"/>
  <c r="G76" i="111"/>
  <c r="H76" i="111"/>
  <c r="I76" i="111"/>
  <c r="J76" i="111"/>
  <c r="L76" i="111"/>
  <c r="N76" i="111"/>
  <c r="D77" i="111"/>
  <c r="E77" i="111"/>
  <c r="F77" i="111"/>
  <c r="G77" i="111"/>
  <c r="I77" i="111"/>
  <c r="K77" i="111"/>
  <c r="L77" i="111"/>
  <c r="M77" i="111"/>
  <c r="N77" i="111"/>
  <c r="D78" i="111"/>
  <c r="F78" i="111"/>
  <c r="H78" i="111"/>
  <c r="I78" i="111"/>
  <c r="J78" i="111"/>
  <c r="K78" i="111"/>
  <c r="L78" i="111"/>
  <c r="N78" i="111"/>
  <c r="E79" i="111"/>
  <c r="F79" i="111"/>
  <c r="G79" i="111"/>
  <c r="H79" i="111"/>
  <c r="I79" i="111"/>
  <c r="K79" i="111"/>
  <c r="M79" i="111"/>
  <c r="N79" i="111"/>
  <c r="D80" i="111"/>
  <c r="E80" i="111"/>
  <c r="F80" i="111"/>
  <c r="H80" i="111"/>
  <c r="J80" i="111"/>
  <c r="K80" i="111"/>
  <c r="L80" i="111"/>
  <c r="M80" i="111"/>
  <c r="N80" i="111"/>
  <c r="E81" i="111"/>
  <c r="G81" i="111"/>
  <c r="H81" i="111"/>
  <c r="I81" i="111"/>
  <c r="J81" i="111"/>
  <c r="K81" i="111"/>
  <c r="M81" i="111"/>
  <c r="D82" i="111"/>
  <c r="E82" i="111"/>
  <c r="F82" i="111"/>
  <c r="G82" i="111"/>
  <c r="H82" i="111"/>
  <c r="J82" i="111"/>
  <c r="L82" i="111"/>
  <c r="M82" i="111"/>
  <c r="N82" i="111"/>
  <c r="D83" i="111"/>
  <c r="E83" i="111"/>
  <c r="G83" i="111"/>
  <c r="I83" i="111"/>
  <c r="J83" i="111"/>
  <c r="K83" i="111"/>
  <c r="L83" i="111"/>
  <c r="M83" i="111"/>
  <c r="D84" i="111"/>
  <c r="F84" i="111"/>
  <c r="G84" i="111"/>
  <c r="H84" i="111"/>
  <c r="I84" i="111"/>
  <c r="J84" i="111"/>
  <c r="L84" i="111"/>
  <c r="N84" i="111"/>
  <c r="D85" i="111"/>
  <c r="E85" i="111"/>
  <c r="F85" i="111"/>
  <c r="G85" i="111"/>
  <c r="I85" i="111"/>
  <c r="K85" i="111"/>
  <c r="L85" i="111"/>
  <c r="AB28" i="111" s="1"/>
  <c r="M85" i="111"/>
  <c r="N85" i="111"/>
  <c r="D86" i="111"/>
  <c r="F86" i="111"/>
  <c r="H86" i="111"/>
  <c r="I86" i="111"/>
  <c r="J86" i="111"/>
  <c r="K86" i="111"/>
  <c r="L86" i="111"/>
  <c r="N86" i="111"/>
  <c r="E87" i="111"/>
  <c r="F87" i="111"/>
  <c r="G87" i="111"/>
  <c r="H87" i="111"/>
  <c r="I87" i="111"/>
  <c r="K87" i="111"/>
  <c r="M87" i="111"/>
  <c r="N87" i="111"/>
  <c r="D88" i="111"/>
  <c r="E88" i="111"/>
  <c r="F88" i="111"/>
  <c r="H88" i="111"/>
  <c r="J88" i="111"/>
  <c r="K88" i="111"/>
  <c r="L88" i="111"/>
  <c r="M88" i="111"/>
  <c r="N88" i="111"/>
  <c r="E89" i="111"/>
  <c r="G89" i="111"/>
  <c r="H89" i="111"/>
  <c r="X29" i="111" s="1"/>
  <c r="I89" i="111"/>
  <c r="J89" i="111"/>
  <c r="K89" i="111"/>
  <c r="M89" i="111"/>
  <c r="D90" i="111"/>
  <c r="E90" i="111"/>
  <c r="F90" i="111"/>
  <c r="G90" i="111"/>
  <c r="H90" i="111"/>
  <c r="J90" i="111"/>
  <c r="L90" i="111"/>
  <c r="M90" i="111"/>
  <c r="N90" i="111"/>
  <c r="D91" i="111"/>
  <c r="E91" i="111"/>
  <c r="G91" i="111"/>
  <c r="I91" i="111"/>
  <c r="J91" i="111"/>
  <c r="K91" i="111"/>
  <c r="L91" i="111"/>
  <c r="M91" i="111"/>
  <c r="D92" i="111"/>
  <c r="F92" i="111"/>
  <c r="G92" i="111"/>
  <c r="H92" i="111"/>
  <c r="I92" i="111"/>
  <c r="J92" i="111"/>
  <c r="L92" i="111"/>
  <c r="N92" i="111"/>
  <c r="D93" i="111"/>
  <c r="E93" i="111"/>
  <c r="F93" i="111"/>
  <c r="G93" i="111"/>
  <c r="I93" i="111"/>
  <c r="K93" i="111"/>
  <c r="L93" i="111"/>
  <c r="M93" i="111"/>
  <c r="N93" i="111"/>
  <c r="D94" i="111"/>
  <c r="F94" i="111"/>
  <c r="H94" i="111"/>
  <c r="I94" i="111"/>
  <c r="J94" i="111"/>
  <c r="K94" i="111"/>
  <c r="L94" i="111"/>
  <c r="N94" i="111"/>
  <c r="D95" i="111"/>
  <c r="T31" i="111" s="1"/>
  <c r="E95" i="111"/>
  <c r="F95" i="111"/>
  <c r="G95" i="111"/>
  <c r="H95" i="111"/>
  <c r="I95" i="111"/>
  <c r="K95" i="111"/>
  <c r="M95" i="111"/>
  <c r="N95" i="111"/>
  <c r="D96" i="111"/>
  <c r="E96" i="111"/>
  <c r="F96" i="111"/>
  <c r="H96" i="111"/>
  <c r="J96" i="111"/>
  <c r="K96" i="111"/>
  <c r="AA31" i="111" s="1"/>
  <c r="L96" i="111"/>
  <c r="M96" i="111"/>
  <c r="N96" i="111"/>
  <c r="E97" i="111"/>
  <c r="G97" i="111"/>
  <c r="H97" i="111"/>
  <c r="X31" i="111" s="1"/>
  <c r="I97" i="111"/>
  <c r="J97" i="111"/>
  <c r="K97" i="111"/>
  <c r="M97" i="111"/>
  <c r="D98" i="111"/>
  <c r="E98" i="111"/>
  <c r="F98" i="111"/>
  <c r="G98" i="111"/>
  <c r="H98" i="111"/>
  <c r="J98" i="111"/>
  <c r="L98" i="111"/>
  <c r="M98" i="111"/>
  <c r="N98" i="111"/>
  <c r="D99" i="111"/>
  <c r="E99" i="111"/>
  <c r="G99" i="111"/>
  <c r="I99" i="111"/>
  <c r="J99" i="111"/>
  <c r="K99" i="111"/>
  <c r="L99" i="111"/>
  <c r="M99" i="111"/>
  <c r="D100" i="111"/>
  <c r="F100" i="111"/>
  <c r="G100" i="111"/>
  <c r="H100" i="111"/>
  <c r="I100" i="111"/>
  <c r="J100" i="111"/>
  <c r="L100" i="111"/>
  <c r="N100" i="111"/>
  <c r="D101" i="111"/>
  <c r="E101" i="111"/>
  <c r="F101" i="111"/>
  <c r="G101" i="111"/>
  <c r="I101" i="111"/>
  <c r="K101" i="111"/>
  <c r="L101" i="111"/>
  <c r="M101" i="111"/>
  <c r="N101" i="111"/>
  <c r="D102" i="111"/>
  <c r="F102" i="111"/>
  <c r="H102" i="111"/>
  <c r="I102" i="111"/>
  <c r="J102" i="111"/>
  <c r="K102" i="111"/>
  <c r="L102" i="111"/>
  <c r="N102" i="111"/>
  <c r="E103" i="111"/>
  <c r="F103" i="111"/>
  <c r="G103" i="111"/>
  <c r="H103" i="111"/>
  <c r="I103" i="111"/>
  <c r="K103" i="111"/>
  <c r="M103" i="111"/>
  <c r="N103" i="111"/>
  <c r="D104" i="111"/>
  <c r="E104" i="111"/>
  <c r="F104" i="111"/>
  <c r="H104" i="111"/>
  <c r="J104" i="111"/>
  <c r="K104" i="111"/>
  <c r="AA33" i="111" s="1"/>
  <c r="L104" i="111"/>
  <c r="M104" i="111"/>
  <c r="N104" i="111"/>
  <c r="E105" i="111"/>
  <c r="G105" i="111"/>
  <c r="H105" i="111"/>
  <c r="I105" i="111"/>
  <c r="J105" i="111"/>
  <c r="K105" i="111"/>
  <c r="M105" i="111"/>
  <c r="C59" i="111"/>
  <c r="C60" i="111"/>
  <c r="C61" i="111"/>
  <c r="C62" i="111"/>
  <c r="C63" i="111"/>
  <c r="C64" i="111"/>
  <c r="C65" i="111"/>
  <c r="C67" i="111"/>
  <c r="C68" i="111"/>
  <c r="C69" i="111"/>
  <c r="C70" i="111"/>
  <c r="S25" i="111" s="1"/>
  <c r="C71" i="111"/>
  <c r="C72" i="111"/>
  <c r="C73" i="111"/>
  <c r="C75" i="111"/>
  <c r="C76" i="111"/>
  <c r="C77" i="111"/>
  <c r="C78" i="111"/>
  <c r="C79" i="111"/>
  <c r="C80" i="111"/>
  <c r="C81" i="111"/>
  <c r="C83" i="111"/>
  <c r="C84" i="111"/>
  <c r="C85" i="111"/>
  <c r="C86" i="111"/>
  <c r="C87" i="111"/>
  <c r="C88" i="111"/>
  <c r="C89" i="111"/>
  <c r="C91" i="111"/>
  <c r="C92" i="111"/>
  <c r="C93" i="111"/>
  <c r="C94" i="111"/>
  <c r="C95" i="111"/>
  <c r="C96" i="111"/>
  <c r="C97" i="111"/>
  <c r="C99" i="111"/>
  <c r="C100" i="111"/>
  <c r="C101" i="111"/>
  <c r="C102" i="111"/>
  <c r="C103" i="111"/>
  <c r="C104" i="111"/>
  <c r="C105" i="111"/>
  <c r="C58" i="111"/>
  <c r="Y37" i="108"/>
  <c r="AC33" i="108"/>
  <c r="AB33" i="108"/>
  <c r="AA33" i="108"/>
  <c r="Z33" i="108"/>
  <c r="X33" i="108"/>
  <c r="U33" i="108"/>
  <c r="T33" i="108"/>
  <c r="S33" i="108"/>
  <c r="AE32" i="108"/>
  <c r="AD32" i="108"/>
  <c r="AB32" i="108"/>
  <c r="Z32" i="108"/>
  <c r="Y32" i="108"/>
  <c r="W32" i="108"/>
  <c r="V32" i="108"/>
  <c r="T32" i="108"/>
  <c r="S32" i="108"/>
  <c r="AE31" i="108"/>
  <c r="AC31" i="108"/>
  <c r="AA31" i="108"/>
  <c r="Z31" i="108"/>
  <c r="X31" i="108"/>
  <c r="U31" i="108"/>
  <c r="S31" i="108"/>
  <c r="AE30" i="108"/>
  <c r="AD30" i="108"/>
  <c r="AB30" i="108"/>
  <c r="Y30" i="108"/>
  <c r="W30" i="108"/>
  <c r="V30" i="108"/>
  <c r="T30" i="108"/>
  <c r="AE29" i="108"/>
  <c r="AC29" i="108"/>
  <c r="AA29" i="108"/>
  <c r="Z29" i="108"/>
  <c r="X29" i="108"/>
  <c r="U29" i="108"/>
  <c r="S29" i="108"/>
  <c r="AE28" i="108"/>
  <c r="AD28" i="108"/>
  <c r="AB28" i="108"/>
  <c r="Y28" i="108"/>
  <c r="W28" i="108"/>
  <c r="V28" i="108"/>
  <c r="T28" i="108"/>
  <c r="S28" i="108"/>
  <c r="AC27" i="108"/>
  <c r="AA27" i="108"/>
  <c r="Z27" i="108"/>
  <c r="X27" i="108"/>
  <c r="W27" i="108"/>
  <c r="U27" i="108"/>
  <c r="S27" i="108"/>
  <c r="AD26" i="108"/>
  <c r="AC26" i="108"/>
  <c r="AB26" i="108"/>
  <c r="Y26" i="108"/>
  <c r="W26" i="108"/>
  <c r="V26" i="108"/>
  <c r="U26" i="108"/>
  <c r="T26" i="108"/>
  <c r="AF25" i="108"/>
  <c r="AC25" i="108"/>
  <c r="AA25" i="108"/>
  <c r="Z25" i="108"/>
  <c r="X25" i="108"/>
  <c r="U25" i="108"/>
  <c r="S25" i="108"/>
  <c r="AE24" i="108"/>
  <c r="AD24" i="108"/>
  <c r="AB24" i="108"/>
  <c r="Y24" i="108"/>
  <c r="X24" i="108"/>
  <c r="W24" i="108"/>
  <c r="V24" i="108"/>
  <c r="T24" i="108"/>
  <c r="S24" i="108"/>
  <c r="AD23" i="108"/>
  <c r="AC23" i="108"/>
  <c r="AA23" i="108"/>
  <c r="Z23" i="108"/>
  <c r="X23" i="108"/>
  <c r="V23" i="108"/>
  <c r="U23" i="108"/>
  <c r="S23" i="108"/>
  <c r="AF22" i="108"/>
  <c r="AE22" i="108"/>
  <c r="AD22" i="108"/>
  <c r="AB22" i="108"/>
  <c r="Y22" i="108"/>
  <c r="W22" i="108"/>
  <c r="V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E36" i="108" s="1"/>
  <c r="AD20" i="108"/>
  <c r="AC20" i="108"/>
  <c r="AB20" i="108"/>
  <c r="AA20" i="108"/>
  <c r="Z20" i="108"/>
  <c r="Y20" i="108"/>
  <c r="X20" i="108"/>
  <c r="W20" i="108"/>
  <c r="W36" i="108" s="1"/>
  <c r="V20" i="108"/>
  <c r="U20" i="108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C35" i="108" s="1"/>
  <c r="AB15" i="108"/>
  <c r="AA15" i="108"/>
  <c r="Z15" i="108"/>
  <c r="Y15" i="108"/>
  <c r="X15" i="108"/>
  <c r="W15" i="108"/>
  <c r="V15" i="108"/>
  <c r="U15" i="108"/>
  <c r="U35" i="108" s="1"/>
  <c r="T15" i="108"/>
  <c r="S15" i="108"/>
  <c r="AF14" i="108"/>
  <c r="AE14" i="108"/>
  <c r="AD14" i="108"/>
  <c r="AC14" i="108"/>
  <c r="AB14" i="108"/>
  <c r="AA14" i="108"/>
  <c r="AA38" i="108" s="1"/>
  <c r="Z14" i="108"/>
  <c r="Y14" i="108"/>
  <c r="X14" i="108"/>
  <c r="W14" i="108"/>
  <c r="V14" i="108"/>
  <c r="U14" i="108"/>
  <c r="T14" i="108"/>
  <c r="S14" i="108"/>
  <c r="S38" i="108" s="1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5" i="108" s="1"/>
  <c r="Z13" i="108"/>
  <c r="Z35" i="108" s="1"/>
  <c r="Y13" i="108"/>
  <c r="Y35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5" i="108" s="1"/>
  <c r="AF12" i="108"/>
  <c r="AE12" i="108"/>
  <c r="AE40" i="108" s="1"/>
  <c r="AD12" i="108"/>
  <c r="AC12" i="108"/>
  <c r="AB12" i="108"/>
  <c r="AA12" i="108"/>
  <c r="Z12" i="108"/>
  <c r="Y12" i="108"/>
  <c r="X12" i="108"/>
  <c r="W12" i="108"/>
  <c r="W40" i="108" s="1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34" i="108" s="1"/>
  <c r="AE10" i="108"/>
  <c r="AE34" i="108" s="1"/>
  <c r="AD10" i="108"/>
  <c r="AC10" i="108"/>
  <c r="AB10" i="108"/>
  <c r="AB40" i="108" s="1"/>
  <c r="AA10" i="108"/>
  <c r="AA40" i="108" s="1"/>
  <c r="Z10" i="108"/>
  <c r="Z40" i="108" s="1"/>
  <c r="Y10" i="108"/>
  <c r="Y40" i="108" s="1"/>
  <c r="X10" i="108"/>
  <c r="X34" i="108" s="1"/>
  <c r="W10" i="108"/>
  <c r="W34" i="108" s="1"/>
  <c r="V10" i="108"/>
  <c r="U10" i="108"/>
  <c r="T10" i="108"/>
  <c r="T40" i="108" s="1"/>
  <c r="S10" i="108"/>
  <c r="S34" i="108" s="1"/>
  <c r="AF37" i="107"/>
  <c r="AE37" i="107"/>
  <c r="W37" i="107"/>
  <c r="AF33" i="107"/>
  <c r="AA33" i="107"/>
  <c r="X33" i="107"/>
  <c r="W33" i="107"/>
  <c r="T33" i="107"/>
  <c r="S33" i="107"/>
  <c r="AF32" i="107"/>
  <c r="AE32" i="107"/>
  <c r="AB32" i="107"/>
  <c r="Z32" i="107"/>
  <c r="W32" i="107"/>
  <c r="T32" i="107"/>
  <c r="AA31" i="107"/>
  <c r="X31" i="107"/>
  <c r="W31" i="107"/>
  <c r="U31" i="107"/>
  <c r="S31" i="107"/>
  <c r="AF30" i="107"/>
  <c r="AE30" i="107"/>
  <c r="AB30" i="107"/>
  <c r="Y30" i="107"/>
  <c r="W30" i="107"/>
  <c r="T30" i="107"/>
  <c r="AF29" i="107"/>
  <c r="AD29" i="107"/>
  <c r="AA29" i="107"/>
  <c r="X29" i="107"/>
  <c r="V29" i="107"/>
  <c r="S29" i="107"/>
  <c r="AF28" i="107"/>
  <c r="AE28" i="107"/>
  <c r="AB28" i="107"/>
  <c r="Y28" i="107"/>
  <c r="W28" i="107"/>
  <c r="U28" i="107"/>
  <c r="T28" i="107"/>
  <c r="AD27" i="107"/>
  <c r="AB27" i="107"/>
  <c r="AA27" i="107"/>
  <c r="X27" i="107"/>
  <c r="V27" i="107"/>
  <c r="T27" i="107"/>
  <c r="S27" i="107"/>
  <c r="AF26" i="107"/>
  <c r="AE26" i="107"/>
  <c r="AC26" i="107"/>
  <c r="AB26" i="107"/>
  <c r="Z26" i="107"/>
  <c r="W26" i="107"/>
  <c r="U26" i="107"/>
  <c r="T26" i="107"/>
  <c r="AD25" i="107"/>
  <c r="AA25" i="107"/>
  <c r="Y25" i="107"/>
  <c r="X25" i="107"/>
  <c r="W25" i="107"/>
  <c r="V25" i="107"/>
  <c r="S25" i="107"/>
  <c r="AF24" i="107"/>
  <c r="AE24" i="107"/>
  <c r="AC24" i="107"/>
  <c r="AB24" i="107"/>
  <c r="Z24" i="107"/>
  <c r="W24" i="107"/>
  <c r="U24" i="107"/>
  <c r="T24" i="107"/>
  <c r="AD23" i="107"/>
  <c r="AB23" i="107"/>
  <c r="AA23" i="107"/>
  <c r="Z23" i="107"/>
  <c r="Y23" i="107"/>
  <c r="X23" i="107"/>
  <c r="V23" i="107"/>
  <c r="T23" i="107"/>
  <c r="S23" i="107"/>
  <c r="AF22" i="107"/>
  <c r="AE22" i="107"/>
  <c r="AD22" i="107"/>
  <c r="AC22" i="107"/>
  <c r="AB22" i="107"/>
  <c r="Z22" i="107"/>
  <c r="X22" i="107"/>
  <c r="W22" i="107"/>
  <c r="U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D36" i="107" s="1"/>
  <c r="AC20" i="107"/>
  <c r="AC36" i="107" s="1"/>
  <c r="AB20" i="107"/>
  <c r="AA20" i="107"/>
  <c r="Z20" i="107"/>
  <c r="Y20" i="107"/>
  <c r="X20" i="107"/>
  <c r="W20" i="107"/>
  <c r="V20" i="107"/>
  <c r="V36" i="107" s="1"/>
  <c r="U20" i="107"/>
  <c r="U36" i="107" s="1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6" i="107" s="1"/>
  <c r="AA19" i="107"/>
  <c r="AA36" i="107" s="1"/>
  <c r="Z19" i="107"/>
  <c r="Z39" i="107" s="1"/>
  <c r="Y19" i="107"/>
  <c r="Y39" i="107" s="1"/>
  <c r="X19" i="107"/>
  <c r="X39" i="107" s="1"/>
  <c r="W19" i="107"/>
  <c r="W39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B35" i="107" s="1"/>
  <c r="AA15" i="107"/>
  <c r="AA35" i="107" s="1"/>
  <c r="Z15" i="107"/>
  <c r="Y15" i="107"/>
  <c r="X15" i="107"/>
  <c r="W15" i="107"/>
  <c r="V15" i="107"/>
  <c r="U15" i="107"/>
  <c r="T15" i="107"/>
  <c r="T35" i="107" s="1"/>
  <c r="S15" i="107"/>
  <c r="S35" i="107" s="1"/>
  <c r="AF14" i="107"/>
  <c r="AE14" i="107"/>
  <c r="AD14" i="107"/>
  <c r="AC14" i="107"/>
  <c r="AC35" i="107" s="1"/>
  <c r="AB14" i="107"/>
  <c r="AA14" i="107"/>
  <c r="Z14" i="107"/>
  <c r="Z38" i="107" s="1"/>
  <c r="Y14" i="107"/>
  <c r="Y38" i="107" s="1"/>
  <c r="X14" i="107"/>
  <c r="W14" i="107"/>
  <c r="V14" i="107"/>
  <c r="U14" i="107"/>
  <c r="U35" i="107" s="1"/>
  <c r="T14" i="107"/>
  <c r="S14" i="107"/>
  <c r="AF13" i="107"/>
  <c r="AF38" i="107" s="1"/>
  <c r="AE13" i="107"/>
  <c r="AE38" i="107" s="1"/>
  <c r="AD13" i="107"/>
  <c r="AD38" i="107" s="1"/>
  <c r="AC13" i="107"/>
  <c r="AC38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8" i="107" s="1"/>
  <c r="V13" i="107"/>
  <c r="V38" i="107" s="1"/>
  <c r="U13" i="107"/>
  <c r="U38" i="107" s="1"/>
  <c r="T13" i="107"/>
  <c r="T38" i="107" s="1"/>
  <c r="S13" i="107"/>
  <c r="S38" i="107" s="1"/>
  <c r="AF12" i="107"/>
  <c r="AE12" i="107"/>
  <c r="AD12" i="107"/>
  <c r="AD40" i="107" s="1"/>
  <c r="AC12" i="107"/>
  <c r="AC40" i="107" s="1"/>
  <c r="AB12" i="107"/>
  <c r="AA12" i="107"/>
  <c r="Z12" i="107"/>
  <c r="Y12" i="107"/>
  <c r="X12" i="107"/>
  <c r="W12" i="107"/>
  <c r="V12" i="107"/>
  <c r="V40" i="107" s="1"/>
  <c r="U12" i="107"/>
  <c r="U40" i="107" s="1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34" i="107" s="1"/>
  <c r="AE10" i="107"/>
  <c r="AE34" i="107" s="1"/>
  <c r="AD10" i="107"/>
  <c r="AC10" i="107"/>
  <c r="AB10" i="107"/>
  <c r="AB40" i="107" s="1"/>
  <c r="AA10" i="107"/>
  <c r="AA40" i="107" s="1"/>
  <c r="Z10" i="107"/>
  <c r="Z40" i="107" s="1"/>
  <c r="Y10" i="107"/>
  <c r="Y34" i="107" s="1"/>
  <c r="X10" i="107"/>
  <c r="X34" i="107" s="1"/>
  <c r="W10" i="107"/>
  <c r="W34" i="107" s="1"/>
  <c r="V10" i="107"/>
  <c r="U10" i="107"/>
  <c r="T10" i="107"/>
  <c r="T40" i="107" s="1"/>
  <c r="S10" i="107"/>
  <c r="S40" i="107" s="1"/>
  <c r="U41" i="108" l="1"/>
  <c r="U22" i="108"/>
  <c r="AB29" i="108"/>
  <c r="F105" i="111"/>
  <c r="V33" i="111" s="1"/>
  <c r="V30" i="111"/>
  <c r="N81" i="111"/>
  <c r="AD27" i="111" s="1"/>
  <c r="W26" i="111"/>
  <c r="K58" i="111"/>
  <c r="AA22" i="111" s="1"/>
  <c r="AA32" i="111"/>
  <c r="U33" i="111"/>
  <c r="Y32" i="111"/>
  <c r="Z31" i="111"/>
  <c r="AC31" i="111"/>
  <c r="U31" i="111"/>
  <c r="Y30" i="111"/>
  <c r="Z29" i="111"/>
  <c r="AC29" i="111"/>
  <c r="U29" i="111"/>
  <c r="AD28" i="111"/>
  <c r="V28" i="111"/>
  <c r="Y28" i="111"/>
  <c r="Z27" i="111"/>
  <c r="AC27" i="111"/>
  <c r="U27" i="111"/>
  <c r="AD26" i="111"/>
  <c r="Y26" i="111"/>
  <c r="Z25" i="111"/>
  <c r="AC25" i="111"/>
  <c r="AD24" i="111"/>
  <c r="V24" i="111"/>
  <c r="Y24" i="111"/>
  <c r="Z23" i="111"/>
  <c r="AC23" i="111"/>
  <c r="U23" i="111"/>
  <c r="AD22" i="111"/>
  <c r="Y22" i="111"/>
  <c r="W30" i="111"/>
  <c r="T30" i="111"/>
  <c r="F89" i="111"/>
  <c r="V29" i="111" s="1"/>
  <c r="Y23" i="108"/>
  <c r="AC32" i="108"/>
  <c r="AC41" i="108" s="1"/>
  <c r="W32" i="111"/>
  <c r="H99" i="111"/>
  <c r="O99" i="111" s="1"/>
  <c r="AB30" i="111"/>
  <c r="T26" i="111"/>
  <c r="Z30" i="108"/>
  <c r="W28" i="111"/>
  <c r="H83" i="111"/>
  <c r="X28" i="111" s="1"/>
  <c r="AA27" i="111"/>
  <c r="AB26" i="111"/>
  <c r="T22" i="111"/>
  <c r="W23" i="111"/>
  <c r="Z26" i="108"/>
  <c r="Z41" i="108" s="1"/>
  <c r="Z42" i="108" s="1"/>
  <c r="G70" i="111"/>
  <c r="W25" i="111" s="1"/>
  <c r="V41" i="108"/>
  <c r="V42" i="108" s="1"/>
  <c r="T28" i="111"/>
  <c r="X27" i="111"/>
  <c r="W24" i="111"/>
  <c r="AB22" i="111"/>
  <c r="W33" i="111"/>
  <c r="X26" i="111"/>
  <c r="AD41" i="108"/>
  <c r="X33" i="111"/>
  <c r="AA29" i="111"/>
  <c r="X23" i="111"/>
  <c r="V31" i="111"/>
  <c r="AD25" i="111"/>
  <c r="U24" i="111"/>
  <c r="T31" i="107"/>
  <c r="AB29" i="107"/>
  <c r="T29" i="107"/>
  <c r="W29" i="107"/>
  <c r="W41" i="107" s="1"/>
  <c r="W42" i="107" s="1"/>
  <c r="X32" i="111"/>
  <c r="AB31" i="107"/>
  <c r="Y22" i="107"/>
  <c r="V24" i="107"/>
  <c r="AD24" i="107"/>
  <c r="AA26" i="107"/>
  <c r="U27" i="107"/>
  <c r="AC27" i="107"/>
  <c r="U29" i="107"/>
  <c r="AA30" i="107"/>
  <c r="V31" i="107"/>
  <c r="AA32" i="107"/>
  <c r="U33" i="107"/>
  <c r="O103" i="111"/>
  <c r="O94" i="111"/>
  <c r="O76" i="111"/>
  <c r="P67" i="111"/>
  <c r="N105" i="111"/>
  <c r="O105" i="111" s="1"/>
  <c r="E100" i="111"/>
  <c r="U32" i="111" s="1"/>
  <c r="AD30" i="111"/>
  <c r="U30" i="111"/>
  <c r="I88" i="111"/>
  <c r="Y29" i="111" s="1"/>
  <c r="K82" i="111"/>
  <c r="AA28" i="111" s="1"/>
  <c r="Y27" i="111"/>
  <c r="AC24" i="111"/>
  <c r="Z24" i="111"/>
  <c r="O59" i="111"/>
  <c r="AC23" i="107"/>
  <c r="Z25" i="107"/>
  <c r="Z41" i="107" s="1"/>
  <c r="Z42" i="107" s="1"/>
  <c r="W27" i="107"/>
  <c r="AC30" i="107"/>
  <c r="T32" i="111"/>
  <c r="L95" i="111"/>
  <c r="AB31" i="111" s="1"/>
  <c r="Z30" i="111"/>
  <c r="U26" i="111"/>
  <c r="Y23" i="111"/>
  <c r="O75" i="111"/>
  <c r="AA22" i="107"/>
  <c r="U23" i="107"/>
  <c r="X24" i="107"/>
  <c r="Y24" i="107"/>
  <c r="V26" i="107"/>
  <c r="AD26" i="107"/>
  <c r="U30" i="107"/>
  <c r="AD30" i="107"/>
  <c r="Z31" i="107"/>
  <c r="V32" i="107"/>
  <c r="AD32" i="107"/>
  <c r="Z33" i="107"/>
  <c r="AD33" i="111"/>
  <c r="AB32" i="111"/>
  <c r="AD32" i="111"/>
  <c r="I96" i="111"/>
  <c r="M84" i="111"/>
  <c r="AC26" i="111"/>
  <c r="AC30" i="111"/>
  <c r="AC41" i="107"/>
  <c r="AC42" i="107" s="1"/>
  <c r="W23" i="107"/>
  <c r="T25" i="107"/>
  <c r="AB25" i="107"/>
  <c r="Y27" i="107"/>
  <c r="AD28" i="107"/>
  <c r="AD41" i="107" s="1"/>
  <c r="AD42" i="107" s="1"/>
  <c r="Z29" i="107"/>
  <c r="V30" i="107"/>
  <c r="V32" i="111"/>
  <c r="AC32" i="111"/>
  <c r="H91" i="111"/>
  <c r="X30" i="111" s="1"/>
  <c r="J85" i="111"/>
  <c r="Z28" i="111" s="1"/>
  <c r="Z26" i="111"/>
  <c r="U22" i="111"/>
  <c r="V41" i="107"/>
  <c r="V42" i="107" s="1"/>
  <c r="AC25" i="107"/>
  <c r="Z27" i="107"/>
  <c r="AB33" i="107"/>
  <c r="V22" i="111"/>
  <c r="P58" i="111"/>
  <c r="O79" i="111"/>
  <c r="O70" i="111"/>
  <c r="AE25" i="111" s="1"/>
  <c r="O61" i="111"/>
  <c r="Z32" i="111"/>
  <c r="N97" i="111"/>
  <c r="AD31" i="111" s="1"/>
  <c r="AD29" i="111"/>
  <c r="G86" i="111"/>
  <c r="W29" i="111" s="1"/>
  <c r="U28" i="111"/>
  <c r="Y25" i="111"/>
  <c r="AC22" i="111"/>
  <c r="V27" i="111"/>
  <c r="V22" i="107"/>
  <c r="AA24" i="107"/>
  <c r="U25" i="107"/>
  <c r="U41" i="107" s="1"/>
  <c r="U42" i="107" s="1"/>
  <c r="X26" i="107"/>
  <c r="AC31" i="107"/>
  <c r="Y26" i="107"/>
  <c r="V28" i="107"/>
  <c r="AC29" i="107"/>
  <c r="Y32" i="107"/>
  <c r="Y41" i="107" s="1"/>
  <c r="Y42" i="107" s="1"/>
  <c r="AC33" i="107"/>
  <c r="O96" i="111"/>
  <c r="O78" i="111"/>
  <c r="O69" i="111"/>
  <c r="O60" i="111"/>
  <c r="I104" i="111"/>
  <c r="Y33" i="111" s="1"/>
  <c r="Y31" i="111"/>
  <c r="D87" i="111"/>
  <c r="T29" i="111" s="1"/>
  <c r="AC28" i="111"/>
  <c r="V25" i="111"/>
  <c r="O67" i="111"/>
  <c r="Z22" i="111"/>
  <c r="O86" i="111"/>
  <c r="O77" i="111"/>
  <c r="O68" i="111"/>
  <c r="P59" i="111"/>
  <c r="O102" i="111"/>
  <c r="O93" i="111"/>
  <c r="O84" i="111"/>
  <c r="P75" i="111"/>
  <c r="O65" i="111"/>
  <c r="O101" i="111"/>
  <c r="O92" i="111"/>
  <c r="P83" i="111"/>
  <c r="O73" i="111"/>
  <c r="O64" i="111"/>
  <c r="O100" i="111"/>
  <c r="O81" i="111"/>
  <c r="O72" i="111"/>
  <c r="O63" i="111"/>
  <c r="P99" i="111"/>
  <c r="O80" i="111"/>
  <c r="AE27" i="111" s="1"/>
  <c r="O71" i="111"/>
  <c r="O62" i="111"/>
  <c r="Z33" i="111"/>
  <c r="P105" i="111"/>
  <c r="P81" i="111"/>
  <c r="P73" i="111"/>
  <c r="P65" i="111"/>
  <c r="C98" i="111"/>
  <c r="C90" i="111"/>
  <c r="C82" i="111"/>
  <c r="C74" i="111"/>
  <c r="C66" i="111"/>
  <c r="P96" i="111"/>
  <c r="P80" i="111"/>
  <c r="P72" i="111"/>
  <c r="P64" i="111"/>
  <c r="P103" i="111"/>
  <c r="P95" i="111"/>
  <c r="P87" i="111"/>
  <c r="P79" i="111"/>
  <c r="P71" i="111"/>
  <c r="P63" i="111"/>
  <c r="S33" i="111"/>
  <c r="S31" i="111"/>
  <c r="S29" i="111"/>
  <c r="S27" i="111"/>
  <c r="S23" i="111"/>
  <c r="P102" i="111"/>
  <c r="P94" i="111"/>
  <c r="P86" i="111"/>
  <c r="P78" i="111"/>
  <c r="P70" i="111"/>
  <c r="P62" i="111"/>
  <c r="P101" i="111"/>
  <c r="P93" i="111"/>
  <c r="P85" i="111"/>
  <c r="P77" i="111"/>
  <c r="P69" i="111"/>
  <c r="P61" i="111"/>
  <c r="P92" i="111"/>
  <c r="P84" i="111"/>
  <c r="P76" i="111"/>
  <c r="P68" i="111"/>
  <c r="P60" i="111"/>
  <c r="S22" i="111"/>
  <c r="O58" i="111"/>
  <c r="U42" i="108"/>
  <c r="Y34" i="108"/>
  <c r="U36" i="108"/>
  <c r="AC36" i="108"/>
  <c r="W37" i="108"/>
  <c r="AE37" i="108"/>
  <c r="Y38" i="108"/>
  <c r="S39" i="108"/>
  <c r="AA39" i="108"/>
  <c r="U40" i="108"/>
  <c r="AC40" i="108"/>
  <c r="W41" i="108"/>
  <c r="W42" i="108" s="1"/>
  <c r="AE41" i="108"/>
  <c r="AE42" i="108" s="1"/>
  <c r="Z34" i="108"/>
  <c r="T35" i="108"/>
  <c r="AB35" i="108"/>
  <c r="V36" i="108"/>
  <c r="AD36" i="108"/>
  <c r="X37" i="108"/>
  <c r="AF37" i="108"/>
  <c r="Z38" i="108"/>
  <c r="T39" i="108"/>
  <c r="AB39" i="108"/>
  <c r="V40" i="108"/>
  <c r="AD40" i="108"/>
  <c r="AD42" i="108" s="1"/>
  <c r="X41" i="108"/>
  <c r="X42" i="108" s="1"/>
  <c r="AF41" i="108"/>
  <c r="AF42" i="108" s="1"/>
  <c r="T34" i="108"/>
  <c r="AB34" i="108"/>
  <c r="V35" i="108"/>
  <c r="AD35" i="108"/>
  <c r="X36" i="108"/>
  <c r="AF36" i="108"/>
  <c r="Z37" i="108"/>
  <c r="X40" i="108"/>
  <c r="AF40" i="108"/>
  <c r="U34" i="108"/>
  <c r="AC34" i="108"/>
  <c r="W35" i="108"/>
  <c r="AE35" i="108"/>
  <c r="Y36" i="108"/>
  <c r="S37" i="108"/>
  <c r="AA37" i="108"/>
  <c r="S41" i="108"/>
  <c r="S42" i="108" s="1"/>
  <c r="AA41" i="108"/>
  <c r="AA42" i="108" s="1"/>
  <c r="Y41" i="108"/>
  <c r="Y42" i="108" s="1"/>
  <c r="V34" i="108"/>
  <c r="AD34" i="108"/>
  <c r="X35" i="108"/>
  <c r="AF35" i="108"/>
  <c r="Z36" i="108"/>
  <c r="T37" i="108"/>
  <c r="AB37" i="108"/>
  <c r="T41" i="108"/>
  <c r="T42" i="108" s="1"/>
  <c r="AB41" i="108"/>
  <c r="AB42" i="108" s="1"/>
  <c r="AA34" i="108"/>
  <c r="U37" i="108"/>
  <c r="AC37" i="108"/>
  <c r="S40" i="108"/>
  <c r="V37" i="108"/>
  <c r="AD37" i="108"/>
  <c r="Z34" i="107"/>
  <c r="X37" i="107"/>
  <c r="T39" i="107"/>
  <c r="AA34" i="107"/>
  <c r="W36" i="107"/>
  <c r="AE36" i="107"/>
  <c r="Y37" i="107"/>
  <c r="W40" i="107"/>
  <c r="AE40" i="107"/>
  <c r="S34" i="107"/>
  <c r="T34" i="107"/>
  <c r="AB34" i="107"/>
  <c r="V35" i="107"/>
  <c r="AD35" i="107"/>
  <c r="X36" i="107"/>
  <c r="AF36" i="107"/>
  <c r="Z37" i="107"/>
  <c r="X40" i="107"/>
  <c r="AF40" i="107"/>
  <c r="X41" i="107"/>
  <c r="X42" i="107" s="1"/>
  <c r="U34" i="107"/>
  <c r="AC34" i="107"/>
  <c r="W35" i="107"/>
  <c r="AE35" i="107"/>
  <c r="Y36" i="107"/>
  <c r="S37" i="107"/>
  <c r="AA37" i="107"/>
  <c r="Y40" i="107"/>
  <c r="S41" i="107"/>
  <c r="S42" i="107" s="1"/>
  <c r="AA41" i="107"/>
  <c r="AA42" i="107" s="1"/>
  <c r="AA39" i="107"/>
  <c r="AF41" i="107"/>
  <c r="V34" i="107"/>
  <c r="AD34" i="107"/>
  <c r="X35" i="107"/>
  <c r="AF35" i="107"/>
  <c r="Z36" i="107"/>
  <c r="T37" i="107"/>
  <c r="AB37" i="107"/>
  <c r="T41" i="107"/>
  <c r="T42" i="107" s="1"/>
  <c r="AB41" i="107"/>
  <c r="AB42" i="107" s="1"/>
  <c r="S39" i="107"/>
  <c r="AE41" i="107"/>
  <c r="AE42" i="107" s="1"/>
  <c r="AB39" i="107"/>
  <c r="U37" i="107"/>
  <c r="AC37" i="107"/>
  <c r="V37" i="107"/>
  <c r="AD37" i="107"/>
  <c r="C3" i="94"/>
  <c r="P88" i="111" l="1"/>
  <c r="P91" i="111"/>
  <c r="O95" i="111"/>
  <c r="AE31" i="111" s="1"/>
  <c r="P89" i="111"/>
  <c r="P97" i="111"/>
  <c r="O89" i="111"/>
  <c r="O87" i="111"/>
  <c r="O97" i="111"/>
  <c r="AC42" i="108"/>
  <c r="O83" i="111"/>
  <c r="P100" i="111"/>
  <c r="AE23" i="111"/>
  <c r="O85" i="111"/>
  <c r="AE22" i="111"/>
  <c r="AF25" i="111"/>
  <c r="AF22" i="111"/>
  <c r="O88" i="111"/>
  <c r="AE33" i="111"/>
  <c r="P104" i="111"/>
  <c r="AF31" i="111"/>
  <c r="AF23" i="111"/>
  <c r="AF33" i="111"/>
  <c r="O104" i="111"/>
  <c r="O91" i="111"/>
  <c r="AF29" i="111"/>
  <c r="S24" i="111"/>
  <c r="P66" i="111"/>
  <c r="AF24" i="111" s="1"/>
  <c r="O66" i="111"/>
  <c r="AE24" i="111" s="1"/>
  <c r="S26" i="111"/>
  <c r="P74" i="111"/>
  <c r="AF26" i="111" s="1"/>
  <c r="O74" i="111"/>
  <c r="AE26" i="111" s="1"/>
  <c r="S28" i="111"/>
  <c r="O82" i="111"/>
  <c r="AE28" i="111" s="1"/>
  <c r="P82" i="111"/>
  <c r="AF28" i="111" s="1"/>
  <c r="S30" i="111"/>
  <c r="P90" i="111"/>
  <c r="O90" i="111"/>
  <c r="S32" i="111"/>
  <c r="P98" i="111"/>
  <c r="O98" i="111"/>
  <c r="AE32" i="111" s="1"/>
  <c r="AF27" i="111"/>
  <c r="AF42" i="107"/>
  <c r="K6" i="98"/>
  <c r="K6" i="99" s="1"/>
  <c r="K6" i="100" s="1"/>
  <c r="K6" i="101" s="1"/>
  <c r="K6" i="109" s="1"/>
  <c r="K6" i="105" s="1"/>
  <c r="K6" i="110" s="1"/>
  <c r="K6" i="103" s="1"/>
  <c r="K5" i="101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4"/>
  <c r="G5" i="94"/>
  <c r="G6" i="104"/>
  <c r="G6" i="108" s="1"/>
  <c r="G6" i="110"/>
  <c r="G6" i="100"/>
  <c r="G6" i="98"/>
  <c r="G6" i="109"/>
  <c r="G6" i="103"/>
  <c r="G6" i="107" s="1"/>
  <c r="G6" i="105"/>
  <c r="G6" i="101"/>
  <c r="G6" i="99"/>
  <c r="G6" i="97"/>
  <c r="D6" i="104"/>
  <c r="D6" i="108" s="1"/>
  <c r="D6" i="110"/>
  <c r="D6" i="109"/>
  <c r="D6" i="100"/>
  <c r="D6" i="98"/>
  <c r="D6" i="103"/>
  <c r="D6" i="107" s="1"/>
  <c r="D6" i="105"/>
  <c r="D6" i="101"/>
  <c r="D6" i="99"/>
  <c r="D6" i="97"/>
  <c r="D5" i="104"/>
  <c r="D5" i="110"/>
  <c r="D5" i="109"/>
  <c r="D5" i="100"/>
  <c r="D5" i="98"/>
  <c r="D5" i="96"/>
  <c r="D5" i="94"/>
  <c r="AF32" i="111" l="1"/>
  <c r="AE30" i="111"/>
  <c r="AF30" i="111"/>
  <c r="AE29" i="111"/>
  <c r="K5" i="107"/>
  <c r="K5" i="108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W19" i="105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Y19" i="103"/>
  <c r="X19" i="103"/>
  <c r="W19" i="103"/>
  <c r="V19" i="103"/>
  <c r="U19" i="103"/>
  <c r="U24" i="103" s="1"/>
  <c r="T19" i="103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V19" i="99"/>
  <c r="V27" i="99" s="1"/>
  <c r="U19" i="99"/>
  <c r="T19" i="99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Y19" i="97"/>
  <c r="X19" i="97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D27" i="103" l="1"/>
  <c r="W27" i="99"/>
  <c r="W39" i="101"/>
  <c r="X27" i="103"/>
  <c r="Z27" i="97"/>
  <c r="AD38" i="101"/>
  <c r="Y27" i="103"/>
  <c r="T27" i="103"/>
  <c r="W27" i="103"/>
  <c r="Z27" i="103"/>
  <c r="S27" i="103"/>
  <c r="V27" i="103"/>
  <c r="Z39" i="105"/>
  <c r="V39" i="105"/>
  <c r="AA39" i="105"/>
  <c r="W39" i="105"/>
  <c r="U39" i="109"/>
  <c r="Y39" i="109"/>
  <c r="AC39" i="109"/>
  <c r="AA39" i="101"/>
  <c r="V39" i="101"/>
  <c r="S39" i="101"/>
  <c r="T27" i="99"/>
  <c r="AA27" i="99"/>
  <c r="X27" i="97"/>
  <c r="T27" i="97"/>
  <c r="AB27" i="97"/>
  <c r="AA26" i="95"/>
  <c r="X26" i="98"/>
  <c r="X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V39" i="109" s="1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S35" i="110" l="1"/>
  <c r="AD26" i="97"/>
  <c r="X23" i="103"/>
  <c r="T26" i="103"/>
  <c r="AB26" i="103"/>
  <c r="S38" i="110"/>
  <c r="W38" i="110"/>
  <c r="U38" i="110"/>
  <c r="T36" i="105"/>
  <c r="S38" i="105"/>
  <c r="Y38" i="105"/>
  <c r="AF33" i="101"/>
  <c r="AF32" i="101"/>
  <c r="X26" i="96"/>
  <c r="Z26" i="95"/>
  <c r="AF25" i="101"/>
  <c r="AF28" i="101"/>
  <c r="U38" i="109"/>
  <c r="AB26" i="9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T10" i="111" s="1"/>
  <c r="M57" i="111"/>
  <c r="I57" i="111"/>
  <c r="G57" i="111"/>
  <c r="M56" i="111"/>
  <c r="K56" i="111"/>
  <c r="I56" i="111"/>
  <c r="C56" i="111"/>
  <c r="G55" i="111"/>
  <c r="E55" i="111"/>
  <c r="K54" i="111"/>
  <c r="I54" i="111"/>
  <c r="Y21" i="111" s="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S20" i="111" s="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U18" i="111" s="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AB20" i="111" s="1"/>
  <c r="H50" i="111"/>
  <c r="D50" i="111"/>
  <c r="T20" i="111" s="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AB18" i="111" s="1"/>
  <c r="H42" i="111"/>
  <c r="D42" i="111"/>
  <c r="T18" i="111" s="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AB16" i="111" s="1"/>
  <c r="H34" i="111"/>
  <c r="D34" i="111"/>
  <c r="T16" i="111" s="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AB14" i="111" s="1"/>
  <c r="H26" i="111"/>
  <c r="D26" i="111"/>
  <c r="T14" i="111" s="1"/>
  <c r="L25" i="111"/>
  <c r="H25" i="111"/>
  <c r="D25" i="111"/>
  <c r="H24" i="111"/>
  <c r="F24" i="111"/>
  <c r="N23" i="111"/>
  <c r="L23" i="111"/>
  <c r="J23" i="111"/>
  <c r="D23" i="111"/>
  <c r="N22" i="111"/>
  <c r="H22" i="111"/>
  <c r="X13" i="111" s="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W15" i="111" s="1"/>
  <c r="M29" i="111"/>
  <c r="I29" i="111"/>
  <c r="E29" i="111"/>
  <c r="M28" i="111"/>
  <c r="I28" i="111"/>
  <c r="E28" i="111"/>
  <c r="M27" i="111"/>
  <c r="I27" i="111"/>
  <c r="E27" i="111"/>
  <c r="M26" i="111"/>
  <c r="AC14" i="111" s="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W13" i="111" s="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W11" i="111" s="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AD21" i="111" s="1"/>
  <c r="J54" i="11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F46" i="111"/>
  <c r="V19" i="111" s="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V13" i="111" s="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AB12" i="111" s="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Z11" i="111" s="1"/>
  <c r="D14" i="111"/>
  <c r="T11" i="111" s="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AD10" i="111" s="1"/>
  <c r="H10" i="111"/>
  <c r="X10" i="111" s="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S19" i="111" s="1"/>
  <c r="M45" i="111"/>
  <c r="I45" i="111"/>
  <c r="E45" i="111"/>
  <c r="M44" i="111"/>
  <c r="I44" i="111"/>
  <c r="E44" i="111"/>
  <c r="M43" i="111"/>
  <c r="I43" i="111"/>
  <c r="E43" i="111"/>
  <c r="M42" i="111"/>
  <c r="AC18" i="111" s="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AC13" i="111" s="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AC11" i="111" s="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S39" i="111" l="1"/>
  <c r="S36" i="111"/>
  <c r="AD39" i="111"/>
  <c r="Z12" i="111"/>
  <c r="AC10" i="111"/>
  <c r="Y12" i="111"/>
  <c r="Y14" i="111"/>
  <c r="AC16" i="111"/>
  <c r="W17" i="111"/>
  <c r="W35" i="111" s="1"/>
  <c r="Y19" i="111"/>
  <c r="U21" i="111"/>
  <c r="T12" i="111"/>
  <c r="T34" i="111" s="1"/>
  <c r="AA11" i="111"/>
  <c r="AA13" i="111"/>
  <c r="Y15" i="111"/>
  <c r="S10" i="111"/>
  <c r="Y18" i="111"/>
  <c r="U20" i="111"/>
  <c r="Z10" i="111"/>
  <c r="AC12" i="111"/>
  <c r="AC40" i="111" s="1"/>
  <c r="Y17" i="111"/>
  <c r="AA19" i="111"/>
  <c r="AC21" i="111"/>
  <c r="V12" i="111"/>
  <c r="V14" i="111"/>
  <c r="V35" i="111" s="1"/>
  <c r="V16" i="111"/>
  <c r="V18" i="111"/>
  <c r="V20" i="111"/>
  <c r="V39" i="111" s="1"/>
  <c r="AA15" i="111"/>
  <c r="T15" i="111"/>
  <c r="T35" i="111" s="1"/>
  <c r="T17" i="111"/>
  <c r="T19" i="111"/>
  <c r="T21" i="111"/>
  <c r="AA18" i="111"/>
  <c r="AA20" i="111"/>
  <c r="AB10" i="111"/>
  <c r="AC17" i="111"/>
  <c r="AC19" i="111"/>
  <c r="AC39" i="111" s="1"/>
  <c r="Z14" i="111"/>
  <c r="Z16" i="111"/>
  <c r="Z18" i="111"/>
  <c r="Z20" i="111"/>
  <c r="S12" i="111"/>
  <c r="S14" i="111"/>
  <c r="V11" i="111"/>
  <c r="X15" i="111"/>
  <c r="X17" i="111"/>
  <c r="X19" i="111"/>
  <c r="X21" i="111"/>
  <c r="S17" i="111"/>
  <c r="AC20" i="111"/>
  <c r="W10" i="111"/>
  <c r="U11" i="111"/>
  <c r="U13" i="111"/>
  <c r="U15" i="111"/>
  <c r="W20" i="111"/>
  <c r="V10" i="111"/>
  <c r="AD12" i="111"/>
  <c r="AD14" i="111"/>
  <c r="AD16" i="111"/>
  <c r="AD18" i="111"/>
  <c r="AD20" i="111"/>
  <c r="AD36" i="111" s="1"/>
  <c r="W12" i="111"/>
  <c r="U14" i="111"/>
  <c r="U16" i="111"/>
  <c r="X11" i="111"/>
  <c r="AD13" i="111"/>
  <c r="AB15" i="111"/>
  <c r="AB38" i="111" s="1"/>
  <c r="AB17" i="111"/>
  <c r="AB19" i="111"/>
  <c r="AB21" i="111"/>
  <c r="U17" i="111"/>
  <c r="U19" i="111"/>
  <c r="U39" i="111" s="1"/>
  <c r="W21" i="111"/>
  <c r="AA10" i="111"/>
  <c r="Y11" i="111"/>
  <c r="Y13" i="111"/>
  <c r="AC15" i="111"/>
  <c r="Y20" i="111"/>
  <c r="X34" i="111"/>
  <c r="T38" i="111"/>
  <c r="AA12" i="111"/>
  <c r="AA14" i="111"/>
  <c r="Y16" i="111"/>
  <c r="AD11" i="111"/>
  <c r="AD34" i="111" s="1"/>
  <c r="AA17" i="111"/>
  <c r="W19" i="111"/>
  <c r="W38" i="111"/>
  <c r="AC38" i="111"/>
  <c r="AC35" i="111"/>
  <c r="AD41" i="111"/>
  <c r="AD37" i="111"/>
  <c r="V38" i="111"/>
  <c r="V36" i="111"/>
  <c r="U10" i="111"/>
  <c r="U40" i="111" s="1"/>
  <c r="AA21" i="111"/>
  <c r="AB11" i="111"/>
  <c r="Z13" i="111"/>
  <c r="Z15" i="111"/>
  <c r="Z17" i="111"/>
  <c r="Z19" i="111"/>
  <c r="Z21" i="111"/>
  <c r="S11" i="111"/>
  <c r="S13" i="111"/>
  <c r="S35" i="111" s="1"/>
  <c r="X12" i="111"/>
  <c r="X37" i="111" s="1"/>
  <c r="X14" i="111"/>
  <c r="X40" i="111" s="1"/>
  <c r="X16" i="111"/>
  <c r="X41" i="111" s="1"/>
  <c r="X18" i="111"/>
  <c r="X20" i="111"/>
  <c r="Y10" i="111"/>
  <c r="S18" i="111"/>
  <c r="D107" i="107"/>
  <c r="J108" i="107"/>
  <c r="F107" i="107"/>
  <c r="F108" i="107"/>
  <c r="L108" i="107"/>
  <c r="D108" i="107"/>
  <c r="N108" i="107"/>
  <c r="AA42" i="110"/>
  <c r="S42" i="110"/>
  <c r="V22" i="93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AF15" i="111" s="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AE10" i="111" s="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AE19" i="111" s="1"/>
  <c r="O48" i="111"/>
  <c r="O50" i="111"/>
  <c r="O51" i="111"/>
  <c r="O53" i="111"/>
  <c r="P55" i="111"/>
  <c r="O56" i="111"/>
  <c r="P57" i="111"/>
  <c r="P14" i="11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AF13" i="111" s="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F107" i="105"/>
  <c r="H107" i="108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X42" i="111" l="1"/>
  <c r="AE37" i="111"/>
  <c r="AE20" i="111"/>
  <c r="AE39" i="111" s="1"/>
  <c r="AF21" i="111"/>
  <c r="AE13" i="111"/>
  <c r="Z39" i="111"/>
  <c r="Z36" i="111"/>
  <c r="AB36" i="111"/>
  <c r="AB39" i="111"/>
  <c r="U38" i="111"/>
  <c r="U35" i="111"/>
  <c r="Z40" i="111"/>
  <c r="Z37" i="111"/>
  <c r="Z34" i="111"/>
  <c r="Z41" i="111"/>
  <c r="T37" i="111"/>
  <c r="AF11" i="111"/>
  <c r="AF10" i="111"/>
  <c r="Y35" i="111"/>
  <c r="X35" i="111"/>
  <c r="T36" i="111"/>
  <c r="T39" i="111"/>
  <c r="U36" i="111"/>
  <c r="Y39" i="111"/>
  <c r="Y36" i="111"/>
  <c r="T40" i="111"/>
  <c r="AF16" i="111"/>
  <c r="AF20" i="111"/>
  <c r="AF19" i="111"/>
  <c r="W34" i="111"/>
  <c r="W37" i="111"/>
  <c r="W40" i="111"/>
  <c r="W41" i="111"/>
  <c r="X38" i="111"/>
  <c r="AC41" i="111"/>
  <c r="AC42" i="111" s="1"/>
  <c r="AC34" i="111"/>
  <c r="AC37" i="111"/>
  <c r="AF12" i="111"/>
  <c r="AE11" i="111"/>
  <c r="AE34" i="111" s="1"/>
  <c r="AF14" i="111"/>
  <c r="AF38" i="111" s="1"/>
  <c r="Z35" i="111"/>
  <c r="Z38" i="111"/>
  <c r="AD40" i="111"/>
  <c r="W39" i="111"/>
  <c r="W36" i="111"/>
  <c r="AA40" i="111"/>
  <c r="AA41" i="111"/>
  <c r="AA42" i="111" s="1"/>
  <c r="AA34" i="111"/>
  <c r="AA37" i="111"/>
  <c r="AD38" i="111"/>
  <c r="AD35" i="111"/>
  <c r="AC36" i="111"/>
  <c r="AA36" i="111"/>
  <c r="AA39" i="111"/>
  <c r="S40" i="111"/>
  <c r="S41" i="111"/>
  <c r="S42" i="111" s="1"/>
  <c r="S34" i="111"/>
  <c r="S37" i="111"/>
  <c r="AF18" i="111"/>
  <c r="AE15" i="111"/>
  <c r="AE14" i="111"/>
  <c r="AE16" i="111"/>
  <c r="AA35" i="111"/>
  <c r="Y38" i="111"/>
  <c r="S38" i="111"/>
  <c r="V41" i="111"/>
  <c r="V34" i="111"/>
  <c r="V40" i="111"/>
  <c r="V37" i="111"/>
  <c r="AB40" i="111"/>
  <c r="AB37" i="111"/>
  <c r="AB41" i="111"/>
  <c r="AB42" i="111" s="1"/>
  <c r="AB34" i="111"/>
  <c r="AA38" i="111"/>
  <c r="AE17" i="111"/>
  <c r="AE18" i="111"/>
  <c r="U41" i="111"/>
  <c r="U42" i="111" s="1"/>
  <c r="U34" i="111"/>
  <c r="U37" i="111"/>
  <c r="AD42" i="111"/>
  <c r="X39" i="111"/>
  <c r="X36" i="111"/>
  <c r="AB35" i="111"/>
  <c r="T41" i="111"/>
  <c r="T42" i="111" s="1"/>
  <c r="AE21" i="111"/>
  <c r="AF17" i="111"/>
  <c r="Y34" i="111"/>
  <c r="Y37" i="111"/>
  <c r="Y40" i="111"/>
  <c r="Y41" i="111"/>
  <c r="Y42" i="111" s="1"/>
  <c r="J107" i="107"/>
  <c r="N107" i="107"/>
  <c r="L107" i="107"/>
  <c r="E107" i="107"/>
  <c r="M107" i="107"/>
  <c r="C107" i="107"/>
  <c r="G107" i="107"/>
  <c r="K107" i="107"/>
  <c r="I107" i="107"/>
  <c r="C108" i="107"/>
  <c r="G108" i="107"/>
  <c r="I108" i="107"/>
  <c r="E108" i="107"/>
  <c r="K108" i="107"/>
  <c r="H108" i="107"/>
  <c r="H107" i="107"/>
  <c r="K108" i="111"/>
  <c r="N107" i="111"/>
  <c r="J107" i="108"/>
  <c r="AF42" i="110"/>
  <c r="AE42" i="110"/>
  <c r="AE42" i="109"/>
  <c r="AF42" i="109"/>
  <c r="L107" i="108"/>
  <c r="G107" i="108"/>
  <c r="G108" i="108"/>
  <c r="F108" i="108"/>
  <c r="C108" i="108"/>
  <c r="K108" i="108"/>
  <c r="N108" i="108"/>
  <c r="L108" i="108"/>
  <c r="D108" i="108"/>
  <c r="I108" i="108"/>
  <c r="E108" i="108"/>
  <c r="J108" i="108"/>
  <c r="D107" i="108"/>
  <c r="M107" i="108"/>
  <c r="K107" i="108"/>
  <c r="C107" i="108"/>
  <c r="N107" i="108"/>
  <c r="F107" i="108"/>
  <c r="I107" i="108"/>
  <c r="E107" i="108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5" i="111" l="1"/>
  <c r="V42" i="111"/>
  <c r="AF39" i="111"/>
  <c r="AF36" i="111"/>
  <c r="AE38" i="111"/>
  <c r="AE35" i="111"/>
  <c r="AE36" i="111"/>
  <c r="AF34" i="111"/>
  <c r="AF41" i="111"/>
  <c r="AF37" i="111"/>
  <c r="AF40" i="111"/>
  <c r="AE40" i="111"/>
  <c r="W42" i="111"/>
  <c r="AE41" i="111"/>
  <c r="AE42" i="111" s="1"/>
  <c r="Z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</calcChain>
</file>

<file path=xl/sharedStrings.xml><?xml version="1.0" encoding="utf-8"?>
<sst xmlns="http://schemas.openxmlformats.org/spreadsheetml/2006/main" count="2342" uniqueCount="183">
  <si>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</si>
  <si>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</si>
  <si>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</si>
  <si>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</si>
  <si>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</si>
  <si>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</si>
  <si>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</si>
  <si>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</si>
  <si>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</si>
  <si>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</si>
  <si>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</si>
  <si>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</si>
  <si>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</si>
  <si>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</si>
  <si>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</si>
  <si>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</si>
  <si>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</si>
  <si>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</si>
  <si>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</si>
  <si>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</si>
  <si>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</si>
  <si>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</si>
  <si>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</si>
  <si>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</si>
  <si>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</si>
  <si>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</si>
  <si>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</si>
  <si>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</si>
  <si>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</si>
  <si>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</si>
  <si>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</si>
  <si>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</si>
  <si>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</si>
  <si>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</si>
  <si>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</si>
  <si>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</si>
  <si>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</si>
  <si>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</si>
  <si>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</si>
  <si>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</si>
  <si>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</si>
  <si>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</si>
  <si>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</si>
  <si>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</si>
  <si>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</si>
  <si>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</si>
  <si>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</si>
  <si>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</si>
  <si>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</si>
  <si>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</si>
  <si>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</si>
  <si>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</si>
  <si>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</si>
  <si>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</si>
  <si>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</si>
  <si>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</si>
  <si>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</si>
  <si>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</si>
  <si>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</si>
  <si>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</si>
  <si>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</si>
  <si>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</si>
  <si>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</si>
  <si>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</si>
  <si>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</si>
  <si>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</si>
  <si>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</si>
  <si>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</si>
  <si>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</si>
  <si>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</si>
  <si>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</si>
  <si>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</si>
  <si>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</si>
  <si>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</si>
  <si>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</si>
  <si>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</si>
  <si>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</si>
  <si>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</si>
  <si>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</si>
  <si>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</si>
  <si>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</si>
  <si>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</si>
  <si>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</si>
  <si>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</si>
  <si>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</si>
  <si>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</si>
  <si>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</si>
  <si>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</si>
  <si>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</si>
  <si>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</si>
  <si>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</si>
  <si>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</si>
  <si>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</si>
  <si>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</si>
  <si>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</si>
  <si>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</si>
  <si>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</si>
  <si>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</si>
  <si>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</si>
  <si>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</si>
  <si>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</si>
  <si>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</si>
  <si>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</si>
  <si>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</si>
  <si>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</si>
  <si>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</si>
  <si>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</si>
  <si>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</si>
  <si>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</si>
  <si>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</si>
  <si>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</si>
  <si>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</si>
  <si>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</si>
  <si>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</si>
  <si>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</si>
  <si>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</si>
  <si>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</si>
  <si>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</si>
  <si>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</si>
  <si>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</si>
  <si>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</si>
  <si>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</si>
  <si>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</si>
  <si>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</si>
  <si>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</si>
  <si>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</si>
  <si>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</si>
  <si>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</si>
  <si>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</si>
  <si>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</si>
  <si>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</si>
  <si>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</si>
  <si>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</si>
  <si>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</si>
  <si>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</si>
  <si>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</si>
  <si>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</si>
  <si>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</si>
  <si>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</si>
  <si>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</si>
  <si>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</si>
  <si>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</si>
  <si>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</si>
  <si>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</si>
  <si>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</si>
  <si>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</si>
  <si>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</si>
  <si>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</si>
  <si>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</si>
  <si>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</si>
  <si>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</si>
  <si>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</si>
  <si>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</si>
  <si>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</si>
  <si>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</si>
  <si>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</si>
  <si>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</si>
  <si>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</si>
  <si>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</si>
  <si>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</si>
  <si>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</si>
  <si>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</si>
  <si>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</si>
  <si>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</si>
  <si>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</si>
  <si>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</si>
  <si>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</si>
  <si>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</si>
  <si>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</si>
  <si>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</si>
  <si>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MCC - C1 - STN16 - NORTHERN BYPASS</t>
  </si>
  <si>
    <t>Lubigi</t>
  </si>
  <si>
    <t>Masanafu</t>
  </si>
  <si>
    <t>Isaac</t>
  </si>
  <si>
    <t>Ismael Osaama</t>
  </si>
  <si>
    <t>Mbaha James</t>
  </si>
  <si>
    <t>Northern Bypass</t>
  </si>
  <si>
    <t>Higenyi Edward</t>
  </si>
  <si>
    <t>Wakoli Christopher</t>
  </si>
  <si>
    <t>Ngugo Hamuza</t>
  </si>
  <si>
    <t>Yiga Elly</t>
  </si>
  <si>
    <t>Naluhoba Muhamadi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</si>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</sst>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_-;\-* #,##0_-;_-* &quot;-&quot;_-;_-@_-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3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Lubigi-Masanafu'!$AE$9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Lubigi-Masanafu'!$AE$10:$AE$21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222</c:v>
                </c:pt>
                <c:pt idx="4">
                  <c:v>562</c:v>
                </c:pt>
                <c:pt idx="5">
                  <c:v>574</c:v>
                </c:pt>
                <c:pt idx="6">
                  <c:v>503</c:v>
                </c:pt>
                <c:pt idx="7">
                  <c:v>481</c:v>
                </c:pt>
                <c:pt idx="8">
                  <c:v>330</c:v>
                </c:pt>
                <c:pt idx="9">
                  <c:v>510</c:v>
                </c:pt>
                <c:pt idx="10">
                  <c:v>724</c:v>
                </c:pt>
                <c:pt idx="11">
                  <c:v>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Lubigi-Masanafu'!$AF$9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Lubigi-Masanafu'!$AF$10:$AF$21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410</c:v>
                </c:pt>
                <c:pt idx="4">
                  <c:v>1192</c:v>
                </c:pt>
                <c:pt idx="5">
                  <c:v>955</c:v>
                </c:pt>
                <c:pt idx="6">
                  <c:v>815</c:v>
                </c:pt>
                <c:pt idx="7">
                  <c:v>887</c:v>
                </c:pt>
                <c:pt idx="8">
                  <c:v>463</c:v>
                </c:pt>
                <c:pt idx="9">
                  <c:v>947</c:v>
                </c:pt>
                <c:pt idx="10">
                  <c:v>1219</c:v>
                </c:pt>
                <c:pt idx="11">
                  <c:v>1338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Lubigi-Masanafu'!$C$59:$N$59</c:f>
              <c:numCache>
                <c:formatCode>0.0%</c:formatCode>
                <c:ptCount val="12"/>
                <c:pt idx="0">
                  <c:v>0.22270848529054219</c:v>
                </c:pt>
                <c:pt idx="1">
                  <c:v>9.506442985655239E-2</c:v>
                </c:pt>
                <c:pt idx="2">
                  <c:v>5.2030148310235835E-2</c:v>
                </c:pt>
                <c:pt idx="3">
                  <c:v>7.2210065645514229E-2</c:v>
                </c:pt>
                <c:pt idx="4">
                  <c:v>7.9017748601993686E-3</c:v>
                </c:pt>
                <c:pt idx="5">
                  <c:v>6.078288353999514E-4</c:v>
                </c:pt>
                <c:pt idx="6">
                  <c:v>5.5312424021395572E-2</c:v>
                </c:pt>
                <c:pt idx="7">
                  <c:v>6.3943593484074884E-2</c:v>
                </c:pt>
                <c:pt idx="8">
                  <c:v>1.4831023583758814E-2</c:v>
                </c:pt>
                <c:pt idx="9">
                  <c:v>8.5096036955993192E-4</c:v>
                </c:pt>
                <c:pt idx="10">
                  <c:v>0.41453926574276684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Lubigi-Masanafu'!$C$60:$N$60</c:f>
              <c:numCache>
                <c:formatCode>0.00%</c:formatCode>
                <c:ptCount val="12"/>
                <c:pt idx="0">
                  <c:v>0.38039867109634551</c:v>
                </c:pt>
                <c:pt idx="1">
                  <c:v>0.16237541528239202</c:v>
                </c:pt>
                <c:pt idx="2">
                  <c:v>8.8870431893687707E-2</c:v>
                </c:pt>
                <c:pt idx="3">
                  <c:v>0.12333887043189369</c:v>
                </c:pt>
                <c:pt idx="4">
                  <c:v>1.3496677740863787E-2</c:v>
                </c:pt>
                <c:pt idx="5">
                  <c:v>1.0382059800664453E-3</c:v>
                </c:pt>
                <c:pt idx="6">
                  <c:v>9.4476744186046513E-2</c:v>
                </c:pt>
                <c:pt idx="7">
                  <c:v>0.10921926910299003</c:v>
                </c:pt>
                <c:pt idx="8">
                  <c:v>2.5332225913621262E-2</c:v>
                </c:pt>
                <c:pt idx="9">
                  <c:v>1.4534883720930232E-3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Masanafu-Lubigi'!$AE$9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Masanafu-Lubigi'!$AE$10:$AE$21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212</c:v>
                </c:pt>
                <c:pt idx="4">
                  <c:v>506</c:v>
                </c:pt>
                <c:pt idx="5">
                  <c:v>455</c:v>
                </c:pt>
                <c:pt idx="6">
                  <c:v>464</c:v>
                </c:pt>
                <c:pt idx="7">
                  <c:v>512</c:v>
                </c:pt>
                <c:pt idx="8">
                  <c:v>411</c:v>
                </c:pt>
                <c:pt idx="9">
                  <c:v>602</c:v>
                </c:pt>
                <c:pt idx="10">
                  <c:v>585</c:v>
                </c:pt>
                <c:pt idx="11">
                  <c:v>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Masanafu-Lubigi'!$AF$9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Masanafu-Lubigi'!$AF$10:$AF$21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514</c:v>
                </c:pt>
                <c:pt idx="4">
                  <c:v>1078</c:v>
                </c:pt>
                <c:pt idx="5">
                  <c:v>979</c:v>
                </c:pt>
                <c:pt idx="6">
                  <c:v>948</c:v>
                </c:pt>
                <c:pt idx="7">
                  <c:v>966</c:v>
                </c:pt>
                <c:pt idx="8">
                  <c:v>753</c:v>
                </c:pt>
                <c:pt idx="9">
                  <c:v>1071</c:v>
                </c:pt>
                <c:pt idx="10">
                  <c:v>1008</c:v>
                </c:pt>
                <c:pt idx="11">
                  <c:v>1050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Masanafu-Lubigi'!$C$59:$N$59</c:f>
              <c:numCache>
                <c:formatCode>0.0%</c:formatCode>
                <c:ptCount val="12"/>
                <c:pt idx="0">
                  <c:v>0.20473287916816063</c:v>
                </c:pt>
                <c:pt idx="1">
                  <c:v>5.187044340862914E-2</c:v>
                </c:pt>
                <c:pt idx="2">
                  <c:v>5.9639058204852394E-2</c:v>
                </c:pt>
                <c:pt idx="3">
                  <c:v>8.1032628182144142E-2</c:v>
                </c:pt>
                <c:pt idx="4">
                  <c:v>5.0197203298673358E-3</c:v>
                </c:pt>
                <c:pt idx="5">
                  <c:v>1.3146886578223975E-3</c:v>
                </c:pt>
                <c:pt idx="6">
                  <c:v>6.1073264013385919E-2</c:v>
                </c:pt>
                <c:pt idx="7">
                  <c:v>2.6532807457870206E-2</c:v>
                </c:pt>
                <c:pt idx="8">
                  <c:v>5.8563403848452249E-3</c:v>
                </c:pt>
                <c:pt idx="9">
                  <c:v>0.12</c:v>
                </c:pt>
                <c:pt idx="10">
                  <c:v>0.48583721764073146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Masanafu-Lubigi'!$S$9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Masanafu-Lubigi'!$S$10:$S$21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82</c:v>
                </c:pt>
                <c:pt idx="4">
                  <c:v>234</c:v>
                </c:pt>
                <c:pt idx="5">
                  <c:v>171</c:v>
                </c:pt>
                <c:pt idx="6">
                  <c:v>193</c:v>
                </c:pt>
                <c:pt idx="7">
                  <c:v>190</c:v>
                </c:pt>
                <c:pt idx="8">
                  <c:v>156</c:v>
                </c:pt>
                <c:pt idx="9">
                  <c:v>275</c:v>
                </c:pt>
                <c:pt idx="10">
                  <c:v>201</c:v>
                </c:pt>
                <c:pt idx="11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Masanafu-Lubigi'!$T$9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Masanafu-Lubigi'!$T$10:$T$21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13</c:v>
                </c:pt>
                <c:pt idx="4">
                  <c:v>51</c:v>
                </c:pt>
                <c:pt idx="5">
                  <c:v>40</c:v>
                </c:pt>
                <c:pt idx="6">
                  <c:v>35</c:v>
                </c:pt>
                <c:pt idx="7">
                  <c:v>49</c:v>
                </c:pt>
                <c:pt idx="8">
                  <c:v>46</c:v>
                </c:pt>
                <c:pt idx="9">
                  <c:v>56</c:v>
                </c:pt>
                <c:pt idx="10">
                  <c:v>75</c:v>
                </c:pt>
                <c:pt idx="11">
                  <c:v>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Masanafu-Lubigi'!$U$9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</c:v>
                </c:pt>
                <c:pt idx="4">
                  <c:v>56</c:v>
                </c:pt>
                <c:pt idx="5">
                  <c:v>48</c:v>
                </c:pt>
                <c:pt idx="6">
                  <c:v>65</c:v>
                </c:pt>
                <c:pt idx="7">
                  <c:v>62</c:v>
                </c:pt>
                <c:pt idx="8">
                  <c:v>57</c:v>
                </c:pt>
                <c:pt idx="9">
                  <c:v>48</c:v>
                </c:pt>
                <c:pt idx="10">
                  <c:v>70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Masanafu-Lubigi'!$V$9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Masanafu-Lubigi'!$V$10:$V$21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22</c:v>
                </c:pt>
                <c:pt idx="4">
                  <c:v>55</c:v>
                </c:pt>
                <c:pt idx="5">
                  <c:v>84</c:v>
                </c:pt>
                <c:pt idx="6">
                  <c:v>71</c:v>
                </c:pt>
                <c:pt idx="7">
                  <c:v>67</c:v>
                </c:pt>
                <c:pt idx="8">
                  <c:v>57</c:v>
                </c:pt>
                <c:pt idx="9">
                  <c:v>79</c:v>
                </c:pt>
                <c:pt idx="10">
                  <c:v>119</c:v>
                </c:pt>
                <c:pt idx="11">
                  <c:v>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Masanafu-Lubigi'!$W$9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8</c:v>
                </c:pt>
                <c:pt idx="9">
                  <c:v>5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Masanafu-Lubigi'!$X$9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Masanafu-Lubigi'!$Y$9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</c:v>
                </c:pt>
                <c:pt idx="4">
                  <c:v>59</c:v>
                </c:pt>
                <c:pt idx="5">
                  <c:v>58</c:v>
                </c:pt>
                <c:pt idx="6">
                  <c:v>49</c:v>
                </c:pt>
                <c:pt idx="7">
                  <c:v>70</c:v>
                </c:pt>
                <c:pt idx="8">
                  <c:v>48</c:v>
                </c:pt>
                <c:pt idx="9">
                  <c:v>92</c:v>
                </c:pt>
                <c:pt idx="10">
                  <c:v>69</c:v>
                </c:pt>
                <c:pt idx="1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Masanafu-Lubigi'!$Z$9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27</c:v>
                </c:pt>
                <c:pt idx="4">
                  <c:v>29</c:v>
                </c:pt>
                <c:pt idx="5">
                  <c:v>24</c:v>
                </c:pt>
                <c:pt idx="6">
                  <c:v>27</c:v>
                </c:pt>
                <c:pt idx="7">
                  <c:v>44</c:v>
                </c:pt>
                <c:pt idx="8">
                  <c:v>15</c:v>
                </c:pt>
                <c:pt idx="9">
                  <c:v>31</c:v>
                </c:pt>
                <c:pt idx="10">
                  <c:v>18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Masanafu-Lubigi'!$AA$9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2</c:v>
                </c:pt>
                <c:pt idx="5">
                  <c:v>6</c:v>
                </c:pt>
                <c:pt idx="6">
                  <c:v>4</c:v>
                </c:pt>
                <c:pt idx="7">
                  <c:v>6</c:v>
                </c:pt>
                <c:pt idx="8">
                  <c:v>7</c:v>
                </c:pt>
                <c:pt idx="9">
                  <c:v>5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Masanafu-Lubigi'!$AB$9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19</c:v>
                </c:pt>
                <c:pt idx="5">
                  <c:v>18</c:v>
                </c:pt>
                <c:pt idx="6">
                  <c:v>18</c:v>
                </c:pt>
                <c:pt idx="7">
                  <c:v>22</c:v>
                </c:pt>
                <c:pt idx="8">
                  <c:v>16</c:v>
                </c:pt>
                <c:pt idx="9">
                  <c:v>9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Masanafu-Lubigi'!$AC$9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Masanafu-Lubigi'!$AC$10:$AC$21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302</c:v>
                </c:pt>
                <c:pt idx="4">
                  <c:v>572</c:v>
                </c:pt>
                <c:pt idx="5">
                  <c:v>524</c:v>
                </c:pt>
                <c:pt idx="6">
                  <c:v>484</c:v>
                </c:pt>
                <c:pt idx="7">
                  <c:v>454</c:v>
                </c:pt>
                <c:pt idx="8">
                  <c:v>342</c:v>
                </c:pt>
                <c:pt idx="9">
                  <c:v>469</c:v>
                </c:pt>
                <c:pt idx="10">
                  <c:v>423</c:v>
                </c:pt>
                <c:pt idx="11">
                  <c:v>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Masanafu-Lubigi'!$AD$9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Masanafu-Lubigi'!$AD$10:$AD$21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Masanafu-Lubigi'!$C$60:$N$60</c:f>
              <c:numCache>
                <c:formatCode>0.00%</c:formatCode>
                <c:ptCount val="12"/>
                <c:pt idx="0">
                  <c:v>0.39818688981868899</c:v>
                </c:pt>
                <c:pt idx="1">
                  <c:v>0.10088331008833101</c:v>
                </c:pt>
                <c:pt idx="2">
                  <c:v>0.11599256159925617</c:v>
                </c:pt>
                <c:pt idx="3">
                  <c:v>0.15760111576011157</c:v>
                </c:pt>
                <c:pt idx="4">
                  <c:v>9.7629009762900971E-3</c:v>
                </c:pt>
                <c:pt idx="5">
                  <c:v>2.5569502556950256E-3</c:v>
                </c:pt>
                <c:pt idx="6">
                  <c:v>0.11878196187819619</c:v>
                </c:pt>
                <c:pt idx="7">
                  <c:v>5.1603905160390519E-2</c:v>
                </c:pt>
                <c:pt idx="8">
                  <c:v>1.1390051139005115E-2</c:v>
                </c:pt>
                <c:pt idx="9">
                  <c:v>3.3240353324035334E-2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Lubigi-Masanafu'!$AE$9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Lubigi-Masanafu'!$AE$10:$AE$21</c:f>
              <c:numCache>
                <c:formatCode>0</c:formatCode>
                <c:ptCount val="12"/>
                <c:pt idx="0">
                  <c:v>484</c:v>
                </c:pt>
                <c:pt idx="1">
                  <c:v>491</c:v>
                </c:pt>
                <c:pt idx="2">
                  <c:v>518</c:v>
                </c:pt>
                <c:pt idx="3">
                  <c:v>522</c:v>
                </c:pt>
                <c:pt idx="4">
                  <c:v>590</c:v>
                </c:pt>
                <c:pt idx="5">
                  <c:v>446</c:v>
                </c:pt>
                <c:pt idx="6">
                  <c:v>504</c:v>
                </c:pt>
                <c:pt idx="7">
                  <c:v>404</c:v>
                </c:pt>
                <c:pt idx="8">
                  <c:v>510</c:v>
                </c:pt>
                <c:pt idx="9">
                  <c:v>529</c:v>
                </c:pt>
                <c:pt idx="10">
                  <c:v>621</c:v>
                </c:pt>
                <c:pt idx="11">
                  <c:v>457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Lubigi-Masanafu'!$AF$9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Lubigi-Masanafu'!$AF$10:$AF$21</c:f>
              <c:numCache>
                <c:formatCode>0</c:formatCode>
                <c:ptCount val="12"/>
                <c:pt idx="0">
                  <c:v>978</c:v>
                </c:pt>
                <c:pt idx="1">
                  <c:v>1203</c:v>
                </c:pt>
                <c:pt idx="2">
                  <c:v>1227</c:v>
                </c:pt>
                <c:pt idx="3">
                  <c:v>1061</c:v>
                </c:pt>
                <c:pt idx="4">
                  <c:v>988</c:v>
                </c:pt>
                <c:pt idx="5">
                  <c:v>856</c:v>
                </c:pt>
                <c:pt idx="6">
                  <c:v>902</c:v>
                </c:pt>
                <c:pt idx="7">
                  <c:v>665</c:v>
                </c:pt>
                <c:pt idx="8">
                  <c:v>887</c:v>
                </c:pt>
                <c:pt idx="9">
                  <c:v>823</c:v>
                </c:pt>
                <c:pt idx="10">
                  <c:v>1047</c:v>
                </c:pt>
                <c:pt idx="11">
                  <c:v>863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Lubigi-Masanafu'!$C$59:$N$59</c:f>
              <c:numCache>
                <c:formatCode>0.0%</c:formatCode>
                <c:ptCount val="12"/>
                <c:pt idx="0">
                  <c:v>0.22260869565217392</c:v>
                </c:pt>
                <c:pt idx="1">
                  <c:v>6.1043478260869567E-2</c:v>
                </c:pt>
                <c:pt idx="2">
                  <c:v>4.4869565217391306E-2</c:v>
                </c:pt>
                <c:pt idx="3">
                  <c:v>7.1826086956521734E-2</c:v>
                </c:pt>
                <c:pt idx="4">
                  <c:v>6.6086956521739133E-3</c:v>
                </c:pt>
                <c:pt idx="5">
                  <c:v>1.6521739130434783E-3</c:v>
                </c:pt>
                <c:pt idx="6">
                  <c:v>4.4608695652173916E-2</c:v>
                </c:pt>
                <c:pt idx="7">
                  <c:v>3.173913043478261E-2</c:v>
                </c:pt>
                <c:pt idx="8">
                  <c:v>2.2782608695652174E-2</c:v>
                </c:pt>
                <c:pt idx="9">
                  <c:v>2.0608695652173912E-2</c:v>
                </c:pt>
                <c:pt idx="10">
                  <c:v>0.47165217391304348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Lubigi-Masanafu'!$S$9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Lubigi-Masanafu'!$S$10:$S$21</c:f>
              <c:numCache>
                <c:formatCode>0</c:formatCode>
                <c:ptCount val="12"/>
                <c:pt idx="0">
                  <c:v>208</c:v>
                </c:pt>
                <c:pt idx="1">
                  <c:v>198</c:v>
                </c:pt>
                <c:pt idx="2">
                  <c:v>217</c:v>
                </c:pt>
                <c:pt idx="3">
                  <c:v>179</c:v>
                </c:pt>
                <c:pt idx="4">
                  <c:v>248</c:v>
                </c:pt>
                <c:pt idx="5">
                  <c:v>189</c:v>
                </c:pt>
                <c:pt idx="6">
                  <c:v>224</c:v>
                </c:pt>
                <c:pt idx="7">
                  <c:v>139</c:v>
                </c:pt>
                <c:pt idx="8">
                  <c:v>197</c:v>
                </c:pt>
                <c:pt idx="9">
                  <c:v>232</c:v>
                </c:pt>
                <c:pt idx="10">
                  <c:v>284</c:v>
                </c:pt>
                <c:pt idx="11">
                  <c:v>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Lubigi-Masanafu'!$T$9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Lubigi-Masanafu'!$T$10:$T$21</c:f>
              <c:numCache>
                <c:formatCode>0</c:formatCode>
                <c:ptCount val="12"/>
                <c:pt idx="0">
                  <c:v>78</c:v>
                </c:pt>
                <c:pt idx="1">
                  <c:v>83</c:v>
                </c:pt>
                <c:pt idx="2">
                  <c:v>47</c:v>
                </c:pt>
                <c:pt idx="3">
                  <c:v>78</c:v>
                </c:pt>
                <c:pt idx="4">
                  <c:v>66</c:v>
                </c:pt>
                <c:pt idx="5">
                  <c:v>38</c:v>
                </c:pt>
                <c:pt idx="6">
                  <c:v>42</c:v>
                </c:pt>
                <c:pt idx="7">
                  <c:v>41</c:v>
                </c:pt>
                <c:pt idx="8">
                  <c:v>60</c:v>
                </c:pt>
                <c:pt idx="9">
                  <c:v>60</c:v>
                </c:pt>
                <c:pt idx="10">
                  <c:v>73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Lubigi-Masanafu'!$U$9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Lubigi-Masanafu'!$U$10:$U$21</c:f>
              <c:numCache>
                <c:formatCode>0</c:formatCode>
                <c:ptCount val="12"/>
                <c:pt idx="0">
                  <c:v>47</c:v>
                </c:pt>
                <c:pt idx="1">
                  <c:v>43</c:v>
                </c:pt>
                <c:pt idx="2">
                  <c:v>41</c:v>
                </c:pt>
                <c:pt idx="3">
                  <c:v>60</c:v>
                </c:pt>
                <c:pt idx="4">
                  <c:v>54</c:v>
                </c:pt>
                <c:pt idx="5">
                  <c:v>33</c:v>
                </c:pt>
                <c:pt idx="6">
                  <c:v>42</c:v>
                </c:pt>
                <c:pt idx="7">
                  <c:v>50</c:v>
                </c:pt>
                <c:pt idx="8">
                  <c:v>34</c:v>
                </c:pt>
                <c:pt idx="9">
                  <c:v>45</c:v>
                </c:pt>
                <c:pt idx="10">
                  <c:v>43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Lubigi-Masanafu'!$V$9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Lubigi-Masanafu'!$V$10:$V$21</c:f>
              <c:numCache>
                <c:formatCode>0</c:formatCode>
                <c:ptCount val="12"/>
                <c:pt idx="0">
                  <c:v>63</c:v>
                </c:pt>
                <c:pt idx="1">
                  <c:v>72</c:v>
                </c:pt>
                <c:pt idx="2">
                  <c:v>85</c:v>
                </c:pt>
                <c:pt idx="3">
                  <c:v>80</c:v>
                </c:pt>
                <c:pt idx="4">
                  <c:v>70</c:v>
                </c:pt>
                <c:pt idx="5">
                  <c:v>70</c:v>
                </c:pt>
                <c:pt idx="6">
                  <c:v>69</c:v>
                </c:pt>
                <c:pt idx="7">
                  <c:v>55</c:v>
                </c:pt>
                <c:pt idx="8">
                  <c:v>52</c:v>
                </c:pt>
                <c:pt idx="9">
                  <c:v>62</c:v>
                </c:pt>
                <c:pt idx="10">
                  <c:v>96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Lubigi-Masanafu'!$W$9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Lubigi-Masanafu'!$W$10:$W$21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9</c:v>
                </c:pt>
                <c:pt idx="3">
                  <c:v>7</c:v>
                </c:pt>
                <c:pt idx="4">
                  <c:v>11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Lubigi-Masanafu'!$X$9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Lubigi-Masanafu'!$X$10:$X$21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Lubigi-Masanafu'!$Y$9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Lubigi-Masanafu'!$Y$10:$Y$21</c:f>
              <c:numCache>
                <c:formatCode>0</c:formatCode>
                <c:ptCount val="12"/>
                <c:pt idx="0">
                  <c:v>32</c:v>
                </c:pt>
                <c:pt idx="1">
                  <c:v>40</c:v>
                </c:pt>
                <c:pt idx="2">
                  <c:v>59</c:v>
                </c:pt>
                <c:pt idx="3">
                  <c:v>48</c:v>
                </c:pt>
                <c:pt idx="4">
                  <c:v>45</c:v>
                </c:pt>
                <c:pt idx="5">
                  <c:v>29</c:v>
                </c:pt>
                <c:pt idx="6">
                  <c:v>42</c:v>
                </c:pt>
                <c:pt idx="7">
                  <c:v>35</c:v>
                </c:pt>
                <c:pt idx="8">
                  <c:v>56</c:v>
                </c:pt>
                <c:pt idx="9">
                  <c:v>54</c:v>
                </c:pt>
                <c:pt idx="10">
                  <c:v>47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Lubigi-Masanafu'!$Z$9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Lubigi-Masanafu'!$Z$10:$Z$21</c:f>
              <c:numCache>
                <c:formatCode>0</c:formatCode>
                <c:ptCount val="12"/>
                <c:pt idx="0">
                  <c:v>25</c:v>
                </c:pt>
                <c:pt idx="1">
                  <c:v>17</c:v>
                </c:pt>
                <c:pt idx="2">
                  <c:v>28</c:v>
                </c:pt>
                <c:pt idx="3">
                  <c:v>28</c:v>
                </c:pt>
                <c:pt idx="4">
                  <c:v>36</c:v>
                </c:pt>
                <c:pt idx="5">
                  <c:v>38</c:v>
                </c:pt>
                <c:pt idx="6">
                  <c:v>40</c:v>
                </c:pt>
                <c:pt idx="7">
                  <c:v>23</c:v>
                </c:pt>
                <c:pt idx="8">
                  <c:v>40</c:v>
                </c:pt>
                <c:pt idx="9">
                  <c:v>25</c:v>
                </c:pt>
                <c:pt idx="10">
                  <c:v>31</c:v>
                </c:pt>
                <c:pt idx="1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Lubigi-Masanafu'!$AA$9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Lubigi-Masanafu'!$AA$10:$AA$21</c:f>
              <c:numCache>
                <c:formatCode>0</c:formatCode>
                <c:ptCount val="12"/>
                <c:pt idx="0">
                  <c:v>10</c:v>
                </c:pt>
                <c:pt idx="1">
                  <c:v>15</c:v>
                </c:pt>
                <c:pt idx="2">
                  <c:v>14</c:v>
                </c:pt>
                <c:pt idx="3">
                  <c:v>20</c:v>
                </c:pt>
                <c:pt idx="4">
                  <c:v>35</c:v>
                </c:pt>
                <c:pt idx="5">
                  <c:v>23</c:v>
                </c:pt>
                <c:pt idx="6">
                  <c:v>20</c:v>
                </c:pt>
                <c:pt idx="7">
                  <c:v>34</c:v>
                </c:pt>
                <c:pt idx="8">
                  <c:v>35</c:v>
                </c:pt>
                <c:pt idx="9">
                  <c:v>25</c:v>
                </c:pt>
                <c:pt idx="10">
                  <c:v>21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Lubigi-Masanafu'!$AB$9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Lubigi-Masanafu'!$AB$10:$AB$21</c:f>
              <c:numCache>
                <c:formatCode>0</c:formatCode>
                <c:ptCount val="12"/>
                <c:pt idx="0">
                  <c:v>11</c:v>
                </c:pt>
                <c:pt idx="1">
                  <c:v>19</c:v>
                </c:pt>
                <c:pt idx="2">
                  <c:v>16</c:v>
                </c:pt>
                <c:pt idx="3">
                  <c:v>20</c:v>
                </c:pt>
                <c:pt idx="4">
                  <c:v>24</c:v>
                </c:pt>
                <c:pt idx="5">
                  <c:v>19</c:v>
                </c:pt>
                <c:pt idx="6">
                  <c:v>19</c:v>
                </c:pt>
                <c:pt idx="7">
                  <c:v>21</c:v>
                </c:pt>
                <c:pt idx="8">
                  <c:v>30</c:v>
                </c:pt>
                <c:pt idx="9">
                  <c:v>21</c:v>
                </c:pt>
                <c:pt idx="10">
                  <c:v>19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Lubigi-Masanafu'!$AC$9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Lubigi-Masanafu'!$AC$10:$AC$21</c:f>
              <c:numCache>
                <c:formatCode>0</c:formatCode>
                <c:ptCount val="12"/>
                <c:pt idx="0">
                  <c:v>494</c:v>
                </c:pt>
                <c:pt idx="1">
                  <c:v>712</c:v>
                </c:pt>
                <c:pt idx="2">
                  <c:v>709</c:v>
                </c:pt>
                <c:pt idx="3">
                  <c:v>539</c:v>
                </c:pt>
                <c:pt idx="4">
                  <c:v>398</c:v>
                </c:pt>
                <c:pt idx="5">
                  <c:v>410</c:v>
                </c:pt>
                <c:pt idx="6">
                  <c:v>398</c:v>
                </c:pt>
                <c:pt idx="7">
                  <c:v>261</c:v>
                </c:pt>
                <c:pt idx="8">
                  <c:v>377</c:v>
                </c:pt>
                <c:pt idx="9">
                  <c:v>294</c:v>
                </c:pt>
                <c:pt idx="10">
                  <c:v>426</c:v>
                </c:pt>
                <c:pt idx="11">
                  <c:v>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Lubigi-Masanafu'!$AD$9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Lubigi-Masanafu'!$AD$10:$AD$21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Lubigi-Masanafu'!$C$60:$N$60</c:f>
              <c:numCache>
                <c:formatCode>0.00%</c:formatCode>
                <c:ptCount val="12"/>
                <c:pt idx="0">
                  <c:v>0.42132982225148125</c:v>
                </c:pt>
                <c:pt idx="1">
                  <c:v>0.11553653719552337</c:v>
                </c:pt>
                <c:pt idx="2">
                  <c:v>8.492429229756418E-2</c:v>
                </c:pt>
                <c:pt idx="3">
                  <c:v>0.13594470046082949</c:v>
                </c:pt>
                <c:pt idx="4">
                  <c:v>1.2508229098090849E-2</c:v>
                </c:pt>
                <c:pt idx="5">
                  <c:v>3.1270572745227122E-3</c:v>
                </c:pt>
                <c:pt idx="6">
                  <c:v>8.4430546412113228E-2</c:v>
                </c:pt>
                <c:pt idx="7">
                  <c:v>6.007241606319947E-2</c:v>
                </c:pt>
                <c:pt idx="8">
                  <c:v>4.3120473996050034E-2</c:v>
                </c:pt>
                <c:pt idx="9">
                  <c:v>3.9005924950625409E-2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Masanafu-Lubigi'!$AE$9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Masanafu-Lubigi'!$AE$10:$AE$21</c:f>
              <c:numCache>
                <c:formatCode>0</c:formatCode>
                <c:ptCount val="12"/>
                <c:pt idx="0">
                  <c:v>874</c:v>
                </c:pt>
                <c:pt idx="1">
                  <c:v>544</c:v>
                </c:pt>
                <c:pt idx="2">
                  <c:v>497</c:v>
                </c:pt>
                <c:pt idx="3">
                  <c:v>482</c:v>
                </c:pt>
                <c:pt idx="4">
                  <c:v>526</c:v>
                </c:pt>
                <c:pt idx="5">
                  <c:v>600</c:v>
                </c:pt>
                <c:pt idx="6">
                  <c:v>671</c:v>
                </c:pt>
                <c:pt idx="7">
                  <c:v>475</c:v>
                </c:pt>
                <c:pt idx="8">
                  <c:v>641</c:v>
                </c:pt>
                <c:pt idx="9">
                  <c:v>808</c:v>
                </c:pt>
                <c:pt idx="10">
                  <c:v>909</c:v>
                </c:pt>
                <c:pt idx="11">
                  <c:v>855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Masanafu-Lubigi'!$AF$9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Masanafu-Lubigi'!$AF$10:$AF$21</c:f>
              <c:numCache>
                <c:formatCode>0</c:formatCode>
                <c:ptCount val="12"/>
                <c:pt idx="0">
                  <c:v>1370</c:v>
                </c:pt>
                <c:pt idx="1">
                  <c:v>1165</c:v>
                </c:pt>
                <c:pt idx="2">
                  <c:v>997</c:v>
                </c:pt>
                <c:pt idx="3">
                  <c:v>999</c:v>
                </c:pt>
                <c:pt idx="4">
                  <c:v>865</c:v>
                </c:pt>
                <c:pt idx="5">
                  <c:v>863</c:v>
                </c:pt>
                <c:pt idx="6">
                  <c:v>1027</c:v>
                </c:pt>
                <c:pt idx="7">
                  <c:v>728</c:v>
                </c:pt>
                <c:pt idx="8">
                  <c:v>1094</c:v>
                </c:pt>
                <c:pt idx="9">
                  <c:v>1302</c:v>
                </c:pt>
                <c:pt idx="10">
                  <c:v>1485</c:v>
                </c:pt>
                <c:pt idx="11">
                  <c:v>1387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Masanafu-Lubigi'!$C$59:$N$59</c:f>
              <c:numCache>
                <c:formatCode>0.0%</c:formatCode>
                <c:ptCount val="12"/>
                <c:pt idx="0">
                  <c:v>0.23656075892184911</c:v>
                </c:pt>
                <c:pt idx="1">
                  <c:v>9.0573708778798376E-2</c:v>
                </c:pt>
                <c:pt idx="2">
                  <c:v>6.0608342117151034E-2</c:v>
                </c:pt>
                <c:pt idx="3">
                  <c:v>9.2004216232495106E-2</c:v>
                </c:pt>
                <c:pt idx="4">
                  <c:v>5.8726095467550067E-3</c:v>
                </c:pt>
                <c:pt idx="5">
                  <c:v>1.355217587712694E-3</c:v>
                </c:pt>
                <c:pt idx="6">
                  <c:v>4.110826682728505E-2</c:v>
                </c:pt>
                <c:pt idx="7">
                  <c:v>2.484565577473272E-2</c:v>
                </c:pt>
                <c:pt idx="8">
                  <c:v>2.0328263815690407E-2</c:v>
                </c:pt>
                <c:pt idx="9">
                  <c:v>2.0177684083722332E-2</c:v>
                </c:pt>
                <c:pt idx="10">
                  <c:v>0.40656527631380818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Masanafu-Lubigi'!$S$9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Masanafu-Lubigi'!$S$10:$S$21</c:f>
              <c:numCache>
                <c:formatCode>0</c:formatCode>
                <c:ptCount val="12"/>
                <c:pt idx="0">
                  <c:v>267</c:v>
                </c:pt>
                <c:pt idx="1">
                  <c:v>253</c:v>
                </c:pt>
                <c:pt idx="2">
                  <c:v>212</c:v>
                </c:pt>
                <c:pt idx="3">
                  <c:v>228</c:v>
                </c:pt>
                <c:pt idx="4">
                  <c:v>241</c:v>
                </c:pt>
                <c:pt idx="5">
                  <c:v>278</c:v>
                </c:pt>
                <c:pt idx="6">
                  <c:v>268</c:v>
                </c:pt>
                <c:pt idx="7">
                  <c:v>199</c:v>
                </c:pt>
                <c:pt idx="8">
                  <c:v>266</c:v>
                </c:pt>
                <c:pt idx="9">
                  <c:v>308</c:v>
                </c:pt>
                <c:pt idx="10">
                  <c:v>350</c:v>
                </c:pt>
                <c:pt idx="11">
                  <c:v>272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Masanafu-Lubigi'!$T$9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Masanafu-Lubigi'!$T$10:$T$21</c:f>
              <c:numCache>
                <c:formatCode>0</c:formatCode>
                <c:ptCount val="12"/>
                <c:pt idx="0">
                  <c:v>212</c:v>
                </c:pt>
                <c:pt idx="1">
                  <c:v>70</c:v>
                </c:pt>
                <c:pt idx="2">
                  <c:v>82</c:v>
                </c:pt>
                <c:pt idx="3">
                  <c:v>57</c:v>
                </c:pt>
                <c:pt idx="4">
                  <c:v>47</c:v>
                </c:pt>
                <c:pt idx="5">
                  <c:v>73</c:v>
                </c:pt>
                <c:pt idx="6">
                  <c:v>84</c:v>
                </c:pt>
                <c:pt idx="7">
                  <c:v>66</c:v>
                </c:pt>
                <c:pt idx="8">
                  <c:v>89</c:v>
                </c:pt>
                <c:pt idx="9">
                  <c:v>115</c:v>
                </c:pt>
                <c:pt idx="10">
                  <c:v>158</c:v>
                </c:pt>
                <c:pt idx="11">
                  <c:v>150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Masanafu-Lubigi'!$U$9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Masanafu-Lubigi'!$U$10:$U$21</c:f>
              <c:numCache>
                <c:formatCode>0</c:formatCode>
                <c:ptCount val="12"/>
                <c:pt idx="0">
                  <c:v>82</c:v>
                </c:pt>
                <c:pt idx="1">
                  <c:v>26</c:v>
                </c:pt>
                <c:pt idx="2">
                  <c:v>33</c:v>
                </c:pt>
                <c:pt idx="3">
                  <c:v>36</c:v>
                </c:pt>
                <c:pt idx="4">
                  <c:v>43</c:v>
                </c:pt>
                <c:pt idx="5">
                  <c:v>49</c:v>
                </c:pt>
                <c:pt idx="6">
                  <c:v>55</c:v>
                </c:pt>
                <c:pt idx="7">
                  <c:v>61</c:v>
                </c:pt>
                <c:pt idx="8">
                  <c:v>47</c:v>
                </c:pt>
                <c:pt idx="9">
                  <c:v>116</c:v>
                </c:pt>
                <c:pt idx="10">
                  <c:v>108</c:v>
                </c:pt>
                <c:pt idx="11">
                  <c:v>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Masanafu-Lubigi'!$V$9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Masanafu-Lubigi'!$V$10:$V$21</c:f>
              <c:numCache>
                <c:formatCode>0</c:formatCode>
                <c:ptCount val="12"/>
                <c:pt idx="0">
                  <c:v>144</c:v>
                </c:pt>
                <c:pt idx="1">
                  <c:v>89</c:v>
                </c:pt>
                <c:pt idx="2">
                  <c:v>86</c:v>
                </c:pt>
                <c:pt idx="3">
                  <c:v>56</c:v>
                </c:pt>
                <c:pt idx="4">
                  <c:v>74</c:v>
                </c:pt>
                <c:pt idx="5">
                  <c:v>76</c:v>
                </c:pt>
                <c:pt idx="6">
                  <c:v>129</c:v>
                </c:pt>
                <c:pt idx="7">
                  <c:v>57</c:v>
                </c:pt>
                <c:pt idx="8">
                  <c:v>67</c:v>
                </c:pt>
                <c:pt idx="9">
                  <c:v>122</c:v>
                </c:pt>
                <c:pt idx="10">
                  <c:v>149</c:v>
                </c:pt>
                <c:pt idx="11">
                  <c:v>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Masanafu-Lubigi'!$W$9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Masanafu-Lubigi'!$W$10:$W$21</c:f>
              <c:numCache>
                <c:formatCode>0</c:formatCode>
                <c:ptCount val="12"/>
                <c:pt idx="0">
                  <c:v>22</c:v>
                </c:pt>
                <c:pt idx="1">
                  <c:v>4</c:v>
                </c:pt>
                <c:pt idx="2">
                  <c:v>9</c:v>
                </c:pt>
                <c:pt idx="3">
                  <c:v>7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5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Masanafu-Lubigi'!$X$9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Masanafu-Lubigi'!$X$10:$X$21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Masanafu-Lubigi'!$Y$9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Masanafu-Lubigi'!$Y$10:$Y$21</c:f>
              <c:numCache>
                <c:formatCode>0</c:formatCode>
                <c:ptCount val="12"/>
                <c:pt idx="0">
                  <c:v>28</c:v>
                </c:pt>
                <c:pt idx="1">
                  <c:v>50</c:v>
                </c:pt>
                <c:pt idx="2">
                  <c:v>40</c:v>
                </c:pt>
                <c:pt idx="3">
                  <c:v>35</c:v>
                </c:pt>
                <c:pt idx="4">
                  <c:v>47</c:v>
                </c:pt>
                <c:pt idx="5">
                  <c:v>51</c:v>
                </c:pt>
                <c:pt idx="6">
                  <c:v>66</c:v>
                </c:pt>
                <c:pt idx="7">
                  <c:v>40</c:v>
                </c:pt>
                <c:pt idx="8">
                  <c:v>68</c:v>
                </c:pt>
                <c:pt idx="9">
                  <c:v>56</c:v>
                </c:pt>
                <c:pt idx="10">
                  <c:v>35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Masanafu-Lubigi'!$Z$9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Masanafu-Lubigi'!$Z$10:$Z$21</c:f>
              <c:numCache>
                <c:formatCode>0</c:formatCode>
                <c:ptCount val="12"/>
                <c:pt idx="0">
                  <c:v>48</c:v>
                </c:pt>
                <c:pt idx="1">
                  <c:v>23</c:v>
                </c:pt>
                <c:pt idx="2">
                  <c:v>11</c:v>
                </c:pt>
                <c:pt idx="3">
                  <c:v>23</c:v>
                </c:pt>
                <c:pt idx="4">
                  <c:v>19</c:v>
                </c:pt>
                <c:pt idx="5">
                  <c:v>20</c:v>
                </c:pt>
                <c:pt idx="6">
                  <c:v>22</c:v>
                </c:pt>
                <c:pt idx="7">
                  <c:v>16</c:v>
                </c:pt>
                <c:pt idx="8">
                  <c:v>36</c:v>
                </c:pt>
                <c:pt idx="9">
                  <c:v>31</c:v>
                </c:pt>
                <c:pt idx="10">
                  <c:v>50</c:v>
                </c:pt>
                <c:pt idx="1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Masanafu-Lubigi'!$AA$9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Masanafu-Lubigi'!$AA$10:$AA$21</c:f>
              <c:numCache>
                <c:formatCode>0</c:formatCode>
                <c:ptCount val="12"/>
                <c:pt idx="0">
                  <c:v>45</c:v>
                </c:pt>
                <c:pt idx="1">
                  <c:v>9</c:v>
                </c:pt>
                <c:pt idx="2">
                  <c:v>14</c:v>
                </c:pt>
                <c:pt idx="3">
                  <c:v>23</c:v>
                </c:pt>
                <c:pt idx="4">
                  <c:v>24</c:v>
                </c:pt>
                <c:pt idx="5">
                  <c:v>26</c:v>
                </c:pt>
                <c:pt idx="6">
                  <c:v>23</c:v>
                </c:pt>
                <c:pt idx="7">
                  <c:v>17</c:v>
                </c:pt>
                <c:pt idx="8">
                  <c:v>34</c:v>
                </c:pt>
                <c:pt idx="9">
                  <c:v>22</c:v>
                </c:pt>
                <c:pt idx="10">
                  <c:v>18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Masanafu-Lubigi'!$AB$9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Masanafu-Lubigi'!$AB$10:$AB$21</c:f>
              <c:numCache>
                <c:formatCode>0</c:formatCode>
                <c:ptCount val="12"/>
                <c:pt idx="0">
                  <c:v>21</c:v>
                </c:pt>
                <c:pt idx="1">
                  <c:v>17</c:v>
                </c:pt>
                <c:pt idx="2">
                  <c:v>9</c:v>
                </c:pt>
                <c:pt idx="3">
                  <c:v>17</c:v>
                </c:pt>
                <c:pt idx="4">
                  <c:v>28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32</c:v>
                </c:pt>
                <c:pt idx="9">
                  <c:v>31</c:v>
                </c:pt>
                <c:pt idx="10">
                  <c:v>31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Masanafu-Lubigi'!$AC$9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Masanafu-Lubigi'!$AC$10:$AC$21</c:f>
              <c:numCache>
                <c:formatCode>0</c:formatCode>
                <c:ptCount val="12"/>
                <c:pt idx="0">
                  <c:v>496</c:v>
                </c:pt>
                <c:pt idx="1">
                  <c:v>621</c:v>
                </c:pt>
                <c:pt idx="2">
                  <c:v>500</c:v>
                </c:pt>
                <c:pt idx="3">
                  <c:v>517</c:v>
                </c:pt>
                <c:pt idx="4">
                  <c:v>339</c:v>
                </c:pt>
                <c:pt idx="5">
                  <c:v>263</c:v>
                </c:pt>
                <c:pt idx="6">
                  <c:v>356</c:v>
                </c:pt>
                <c:pt idx="7">
                  <c:v>253</c:v>
                </c:pt>
                <c:pt idx="8">
                  <c:v>453</c:v>
                </c:pt>
                <c:pt idx="9">
                  <c:v>494</c:v>
                </c:pt>
                <c:pt idx="10">
                  <c:v>576</c:v>
                </c:pt>
                <c:pt idx="11">
                  <c:v>532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Masanafu-Lubigi'!$AD$9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Masanafu-Lubigi'!$AD$10:$AD$21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Masanafu-Lubigi'!$C$60:$N$60</c:f>
              <c:numCache>
                <c:formatCode>0.00%</c:formatCode>
                <c:ptCount val="12"/>
                <c:pt idx="0">
                  <c:v>0.39862978939355492</c:v>
                </c:pt>
                <c:pt idx="1">
                  <c:v>0.15262623699568637</c:v>
                </c:pt>
                <c:pt idx="2">
                  <c:v>0.10213143872113677</c:v>
                </c:pt>
                <c:pt idx="3">
                  <c:v>0.1550367926922101</c:v>
                </c:pt>
                <c:pt idx="4">
                  <c:v>9.8959654909921337E-3</c:v>
                </c:pt>
                <c:pt idx="5">
                  <c:v>2.283684344075108E-3</c:v>
                </c:pt>
                <c:pt idx="6">
                  <c:v>6.9271758436944941E-2</c:v>
                </c:pt>
                <c:pt idx="7">
                  <c:v>4.1867546308043645E-2</c:v>
                </c:pt>
                <c:pt idx="8">
                  <c:v>3.4255265161126619E-2</c:v>
                </c:pt>
                <c:pt idx="9">
                  <c:v>3.400152245622938E-2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Lubigi-Masanafu'!$AE$9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Lubigi-Masanafu'!$AE$10:$AE$21</c:f>
              <c:numCache>
                <c:formatCode>0</c:formatCode>
                <c:ptCount val="12"/>
                <c:pt idx="0">
                  <c:v>456</c:v>
                </c:pt>
                <c:pt idx="1">
                  <c:v>470</c:v>
                </c:pt>
                <c:pt idx="2">
                  <c:v>485</c:v>
                </c:pt>
                <c:pt idx="3">
                  <c:v>573</c:v>
                </c:pt>
                <c:pt idx="4">
                  <c:v>515</c:v>
                </c:pt>
                <c:pt idx="5">
                  <c:v>548</c:v>
                </c:pt>
                <c:pt idx="6">
                  <c:v>541</c:v>
                </c:pt>
                <c:pt idx="7">
                  <c:v>463</c:v>
                </c:pt>
                <c:pt idx="8">
                  <c:v>524</c:v>
                </c:pt>
                <c:pt idx="9">
                  <c:v>580</c:v>
                </c:pt>
                <c:pt idx="10">
                  <c:v>580</c:v>
                </c:pt>
                <c:pt idx="11">
                  <c:v>660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Lubigi-Masanafu'!$AF$9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Lubigi-Masanafu'!$AF$10:$AF$21</c:f>
              <c:numCache>
                <c:formatCode>0</c:formatCode>
                <c:ptCount val="12"/>
                <c:pt idx="0">
                  <c:v>959</c:v>
                </c:pt>
                <c:pt idx="1">
                  <c:v>911</c:v>
                </c:pt>
                <c:pt idx="2">
                  <c:v>922</c:v>
                </c:pt>
                <c:pt idx="3">
                  <c:v>1084</c:v>
                </c:pt>
                <c:pt idx="4">
                  <c:v>937</c:v>
                </c:pt>
                <c:pt idx="5">
                  <c:v>1033</c:v>
                </c:pt>
                <c:pt idx="6">
                  <c:v>874</c:v>
                </c:pt>
                <c:pt idx="7">
                  <c:v>858</c:v>
                </c:pt>
                <c:pt idx="8">
                  <c:v>1001</c:v>
                </c:pt>
                <c:pt idx="9">
                  <c:v>997</c:v>
                </c:pt>
                <c:pt idx="10">
                  <c:v>1051</c:v>
                </c:pt>
                <c:pt idx="11">
                  <c:v>1165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Lubigi-Masanafu'!$C$59:$N$59</c:f>
              <c:numCache>
                <c:formatCode>0.0%</c:formatCode>
                <c:ptCount val="12"/>
                <c:pt idx="0">
                  <c:v>0.23685549525101765</c:v>
                </c:pt>
                <c:pt idx="1">
                  <c:v>6.3517639077340565E-2</c:v>
                </c:pt>
                <c:pt idx="2">
                  <c:v>4.5200135685210314E-2</c:v>
                </c:pt>
                <c:pt idx="3">
                  <c:v>7.1065128900949792E-2</c:v>
                </c:pt>
                <c:pt idx="4">
                  <c:v>7.8018995929443691E-3</c:v>
                </c:pt>
                <c:pt idx="5">
                  <c:v>1.8656716417910447E-3</c:v>
                </c:pt>
                <c:pt idx="6">
                  <c:v>3.816146540027137E-2</c:v>
                </c:pt>
                <c:pt idx="7">
                  <c:v>3.2903663500678429E-2</c:v>
                </c:pt>
                <c:pt idx="8">
                  <c:v>2.4423337856173677E-2</c:v>
                </c:pt>
                <c:pt idx="9">
                  <c:v>2.0437584803256446E-2</c:v>
                </c:pt>
                <c:pt idx="10">
                  <c:v>0.45768317503392131</c:v>
                </c:pt>
                <c:pt idx="11">
                  <c:v>8.4803256445047483E-5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Lubigi-Masanafu'!$S$9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Lubigi-Masanafu'!$S$10:$S$21</c:f>
              <c:numCache>
                <c:formatCode>0</c:formatCode>
                <c:ptCount val="12"/>
                <c:pt idx="0">
                  <c:v>218</c:v>
                </c:pt>
                <c:pt idx="1">
                  <c:v>167</c:v>
                </c:pt>
                <c:pt idx="2">
                  <c:v>180</c:v>
                </c:pt>
                <c:pt idx="3">
                  <c:v>230</c:v>
                </c:pt>
                <c:pt idx="4">
                  <c:v>219</c:v>
                </c:pt>
                <c:pt idx="5">
                  <c:v>225</c:v>
                </c:pt>
                <c:pt idx="6">
                  <c:v>234</c:v>
                </c:pt>
                <c:pt idx="7">
                  <c:v>221</c:v>
                </c:pt>
                <c:pt idx="8">
                  <c:v>207</c:v>
                </c:pt>
                <c:pt idx="9">
                  <c:v>265</c:v>
                </c:pt>
                <c:pt idx="10">
                  <c:v>276</c:v>
                </c:pt>
                <c:pt idx="11">
                  <c:v>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Lubigi-Masanafu'!$T$9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Lubigi-Masanafu'!$T$10:$T$21</c:f>
              <c:numCache>
                <c:formatCode>0</c:formatCode>
                <c:ptCount val="12"/>
                <c:pt idx="0">
                  <c:v>53</c:v>
                </c:pt>
                <c:pt idx="1">
                  <c:v>72</c:v>
                </c:pt>
                <c:pt idx="2">
                  <c:v>66</c:v>
                </c:pt>
                <c:pt idx="3">
                  <c:v>67</c:v>
                </c:pt>
                <c:pt idx="4">
                  <c:v>62</c:v>
                </c:pt>
                <c:pt idx="5">
                  <c:v>69</c:v>
                </c:pt>
                <c:pt idx="6">
                  <c:v>64</c:v>
                </c:pt>
                <c:pt idx="7">
                  <c:v>37</c:v>
                </c:pt>
                <c:pt idx="8">
                  <c:v>72</c:v>
                </c:pt>
                <c:pt idx="9">
                  <c:v>71</c:v>
                </c:pt>
                <c:pt idx="10">
                  <c:v>54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Lubigi-Masanafu'!$U$9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Lubigi-Masanafu'!$U$10:$U$21</c:f>
              <c:numCache>
                <c:formatCode>0</c:formatCode>
                <c:ptCount val="12"/>
                <c:pt idx="0">
                  <c:v>30</c:v>
                </c:pt>
                <c:pt idx="1">
                  <c:v>47</c:v>
                </c:pt>
                <c:pt idx="2">
                  <c:v>42</c:v>
                </c:pt>
                <c:pt idx="3">
                  <c:v>56</c:v>
                </c:pt>
                <c:pt idx="4">
                  <c:v>42</c:v>
                </c:pt>
                <c:pt idx="5">
                  <c:v>46</c:v>
                </c:pt>
                <c:pt idx="6">
                  <c:v>35</c:v>
                </c:pt>
                <c:pt idx="7">
                  <c:v>25</c:v>
                </c:pt>
                <c:pt idx="8">
                  <c:v>49</c:v>
                </c:pt>
                <c:pt idx="9">
                  <c:v>56</c:v>
                </c:pt>
                <c:pt idx="10">
                  <c:v>52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Lubigi-Masanafu'!$V$9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Lubigi-Masanafu'!$V$10:$V$21</c:f>
              <c:numCache>
                <c:formatCode>0</c:formatCode>
                <c:ptCount val="12"/>
                <c:pt idx="0">
                  <c:v>63</c:v>
                </c:pt>
                <c:pt idx="1">
                  <c:v>73</c:v>
                </c:pt>
                <c:pt idx="2">
                  <c:v>60</c:v>
                </c:pt>
                <c:pt idx="3">
                  <c:v>78</c:v>
                </c:pt>
                <c:pt idx="4">
                  <c:v>62</c:v>
                </c:pt>
                <c:pt idx="5">
                  <c:v>83</c:v>
                </c:pt>
                <c:pt idx="6">
                  <c:v>67</c:v>
                </c:pt>
                <c:pt idx="7">
                  <c:v>69</c:v>
                </c:pt>
                <c:pt idx="8">
                  <c:v>60</c:v>
                </c:pt>
                <c:pt idx="9">
                  <c:v>76</c:v>
                </c:pt>
                <c:pt idx="10">
                  <c:v>60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Lubigi-Masanafu'!$W$9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Lubigi-Masanafu'!$W$10:$W$21</c:f>
              <c:numCache>
                <c:formatCode>0</c:formatCode>
                <c:ptCount val="12"/>
                <c:pt idx="0">
                  <c:v>14</c:v>
                </c:pt>
                <c:pt idx="1">
                  <c:v>2</c:v>
                </c:pt>
                <c:pt idx="2">
                  <c:v>18</c:v>
                </c:pt>
                <c:pt idx="3">
                  <c:v>8</c:v>
                </c:pt>
                <c:pt idx="4">
                  <c:v>4</c:v>
                </c:pt>
                <c:pt idx="5">
                  <c:v>8</c:v>
                </c:pt>
                <c:pt idx="6">
                  <c:v>18</c:v>
                </c:pt>
                <c:pt idx="7">
                  <c:v>2</c:v>
                </c:pt>
                <c:pt idx="8">
                  <c:v>0</c:v>
                </c:pt>
                <c:pt idx="9">
                  <c:v>3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Lubigi-Masanafu'!$X$9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Lubigi-Masanafu'!$Y$9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Lubigi-Masanafu'!$Y$10:$Y$21</c:f>
              <c:numCache>
                <c:formatCode>0</c:formatCode>
                <c:ptCount val="12"/>
                <c:pt idx="0">
                  <c:v>33</c:v>
                </c:pt>
                <c:pt idx="1">
                  <c:v>28</c:v>
                </c:pt>
                <c:pt idx="2">
                  <c:v>48</c:v>
                </c:pt>
                <c:pt idx="3">
                  <c:v>39</c:v>
                </c:pt>
                <c:pt idx="4">
                  <c:v>41</c:v>
                </c:pt>
                <c:pt idx="5">
                  <c:v>32</c:v>
                </c:pt>
                <c:pt idx="6">
                  <c:v>35</c:v>
                </c:pt>
                <c:pt idx="7">
                  <c:v>30</c:v>
                </c:pt>
                <c:pt idx="8">
                  <c:v>43</c:v>
                </c:pt>
                <c:pt idx="9">
                  <c:v>36</c:v>
                </c:pt>
                <c:pt idx="10">
                  <c:v>53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Lubigi-Masanafu'!$Z$9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Lubigi-Masanafu'!$Z$10:$Z$21</c:f>
              <c:numCache>
                <c:formatCode>0</c:formatCode>
                <c:ptCount val="12"/>
                <c:pt idx="0">
                  <c:v>29</c:v>
                </c:pt>
                <c:pt idx="1">
                  <c:v>38</c:v>
                </c:pt>
                <c:pt idx="2">
                  <c:v>28</c:v>
                </c:pt>
                <c:pt idx="3">
                  <c:v>34</c:v>
                </c:pt>
                <c:pt idx="4">
                  <c:v>32</c:v>
                </c:pt>
                <c:pt idx="5">
                  <c:v>34</c:v>
                </c:pt>
                <c:pt idx="6">
                  <c:v>24</c:v>
                </c:pt>
                <c:pt idx="7">
                  <c:v>38</c:v>
                </c:pt>
                <c:pt idx="8">
                  <c:v>42</c:v>
                </c:pt>
                <c:pt idx="9">
                  <c:v>35</c:v>
                </c:pt>
                <c:pt idx="10">
                  <c:v>24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Lubigi-Masanafu'!$AA$9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Lubigi-Masanafu'!$AA$10:$AA$21</c:f>
              <c:numCache>
                <c:formatCode>0</c:formatCode>
                <c:ptCount val="12"/>
                <c:pt idx="0">
                  <c:v>11</c:v>
                </c:pt>
                <c:pt idx="1">
                  <c:v>31</c:v>
                </c:pt>
                <c:pt idx="2">
                  <c:v>19</c:v>
                </c:pt>
                <c:pt idx="3">
                  <c:v>27</c:v>
                </c:pt>
                <c:pt idx="4">
                  <c:v>29</c:v>
                </c:pt>
                <c:pt idx="5">
                  <c:v>30</c:v>
                </c:pt>
                <c:pt idx="6">
                  <c:v>35</c:v>
                </c:pt>
                <c:pt idx="7">
                  <c:v>14</c:v>
                </c:pt>
                <c:pt idx="8">
                  <c:v>26</c:v>
                </c:pt>
                <c:pt idx="9">
                  <c:v>22</c:v>
                </c:pt>
                <c:pt idx="10">
                  <c:v>27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Lubigi-Masanafu'!$AB$9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Lubigi-Masanafu'!$AB$10:$AB$21</c:f>
              <c:numCache>
                <c:formatCode>0</c:formatCode>
                <c:ptCount val="12"/>
                <c:pt idx="0">
                  <c:v>5</c:v>
                </c:pt>
                <c:pt idx="1">
                  <c:v>11</c:v>
                </c:pt>
                <c:pt idx="2">
                  <c:v>21</c:v>
                </c:pt>
                <c:pt idx="3">
                  <c:v>32</c:v>
                </c:pt>
                <c:pt idx="4">
                  <c:v>21</c:v>
                </c:pt>
                <c:pt idx="5">
                  <c:v>20</c:v>
                </c:pt>
                <c:pt idx="6">
                  <c:v>26</c:v>
                </c:pt>
                <c:pt idx="7">
                  <c:v>26</c:v>
                </c:pt>
                <c:pt idx="8">
                  <c:v>23</c:v>
                </c:pt>
                <c:pt idx="9">
                  <c:v>15</c:v>
                </c:pt>
                <c:pt idx="10">
                  <c:v>26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Lubigi-Masanafu'!$AC$9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Lubigi-Masanafu'!$AC$10:$AC$21</c:f>
              <c:numCache>
                <c:formatCode>0</c:formatCode>
                <c:ptCount val="12"/>
                <c:pt idx="0">
                  <c:v>503</c:v>
                </c:pt>
                <c:pt idx="1">
                  <c:v>441</c:v>
                </c:pt>
                <c:pt idx="2">
                  <c:v>437</c:v>
                </c:pt>
                <c:pt idx="3">
                  <c:v>511</c:v>
                </c:pt>
                <c:pt idx="4">
                  <c:v>422</c:v>
                </c:pt>
                <c:pt idx="5">
                  <c:v>485</c:v>
                </c:pt>
                <c:pt idx="6">
                  <c:v>333</c:v>
                </c:pt>
                <c:pt idx="7">
                  <c:v>395</c:v>
                </c:pt>
                <c:pt idx="8">
                  <c:v>477</c:v>
                </c:pt>
                <c:pt idx="9">
                  <c:v>417</c:v>
                </c:pt>
                <c:pt idx="10">
                  <c:v>471</c:v>
                </c:pt>
                <c:pt idx="11">
                  <c:v>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Lubigi-Masanafu'!$AD$9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Lubigi-Masanafu'!$AD$10:$AD$21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Lubigi-Masanafu'!$C$60:$N$60</c:f>
              <c:numCache>
                <c:formatCode>0.00%</c:formatCode>
                <c:ptCount val="12"/>
                <c:pt idx="0">
                  <c:v>0.43674745895230649</c:v>
                </c:pt>
                <c:pt idx="1">
                  <c:v>0.11712275215011728</c:v>
                </c:pt>
                <c:pt idx="2">
                  <c:v>8.3346364347146207E-2</c:v>
                </c:pt>
                <c:pt idx="3">
                  <c:v>0.1310398749022674</c:v>
                </c:pt>
                <c:pt idx="4">
                  <c:v>1.4386239249413605E-2</c:v>
                </c:pt>
                <c:pt idx="5">
                  <c:v>3.4401876465989054E-3</c:v>
                </c:pt>
                <c:pt idx="6">
                  <c:v>7.0367474589523069E-2</c:v>
                </c:pt>
                <c:pt idx="7">
                  <c:v>6.0672400312744332E-2</c:v>
                </c:pt>
                <c:pt idx="8">
                  <c:v>4.5035183737294759E-2</c:v>
                </c:pt>
                <c:pt idx="9">
                  <c:v>3.7685691946833466E-2</c:v>
                </c:pt>
                <c:pt idx="11">
                  <c:v>1.5637216575449569E-4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Masanafu-Lubigi'!$AE$9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Masanafu-Lubigi'!$AE$10:$AE$21</c:f>
              <c:numCache>
                <c:formatCode>0</c:formatCode>
                <c:ptCount val="12"/>
                <c:pt idx="0">
                  <c:v>554</c:v>
                </c:pt>
                <c:pt idx="1">
                  <c:v>628</c:v>
                </c:pt>
                <c:pt idx="2">
                  <c:v>701</c:v>
                </c:pt>
                <c:pt idx="3">
                  <c:v>773</c:v>
                </c:pt>
                <c:pt idx="4">
                  <c:v>684</c:v>
                </c:pt>
                <c:pt idx="5">
                  <c:v>655</c:v>
                </c:pt>
                <c:pt idx="6">
                  <c:v>567</c:v>
                </c:pt>
                <c:pt idx="7">
                  <c:v>723</c:v>
                </c:pt>
                <c:pt idx="8">
                  <c:v>779</c:v>
                </c:pt>
                <c:pt idx="9">
                  <c:v>741</c:v>
                </c:pt>
                <c:pt idx="10">
                  <c:v>760</c:v>
                </c:pt>
                <c:pt idx="11">
                  <c:v>778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Masanafu-Lubigi'!$AF$9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Masanafu-Lubigi'!$AF$10:$AF$21</c:f>
              <c:numCache>
                <c:formatCode>0</c:formatCode>
                <c:ptCount val="12"/>
                <c:pt idx="0">
                  <c:v>1040</c:v>
                </c:pt>
                <c:pt idx="1">
                  <c:v>1156</c:v>
                </c:pt>
                <c:pt idx="2">
                  <c:v>1214</c:v>
                </c:pt>
                <c:pt idx="3">
                  <c:v>1246</c:v>
                </c:pt>
                <c:pt idx="4">
                  <c:v>1083</c:v>
                </c:pt>
                <c:pt idx="5">
                  <c:v>1130</c:v>
                </c:pt>
                <c:pt idx="6">
                  <c:v>1146</c:v>
                </c:pt>
                <c:pt idx="7">
                  <c:v>1165</c:v>
                </c:pt>
                <c:pt idx="8">
                  <c:v>1217</c:v>
                </c:pt>
                <c:pt idx="9">
                  <c:v>1154</c:v>
                </c:pt>
                <c:pt idx="10">
                  <c:v>1219</c:v>
                </c:pt>
                <c:pt idx="11">
                  <c:v>1118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Masanafu-Lubigi'!$C$59:$N$59</c:f>
              <c:numCache>
                <c:formatCode>0.0%</c:formatCode>
                <c:ptCount val="12"/>
                <c:pt idx="0">
                  <c:v>0.29111463133640553</c:v>
                </c:pt>
                <c:pt idx="1">
                  <c:v>8.1725230414746539E-2</c:v>
                </c:pt>
                <c:pt idx="2">
                  <c:v>4.8099078341013825E-2</c:v>
                </c:pt>
                <c:pt idx="3">
                  <c:v>7.0780529953917051E-2</c:v>
                </c:pt>
                <c:pt idx="4">
                  <c:v>4.6802995391705066E-3</c:v>
                </c:pt>
                <c:pt idx="5">
                  <c:v>7.9205069124423967E-4</c:v>
                </c:pt>
                <c:pt idx="6">
                  <c:v>3.3626152073732721E-2</c:v>
                </c:pt>
                <c:pt idx="7">
                  <c:v>3.0241935483870969E-2</c:v>
                </c:pt>
                <c:pt idx="8">
                  <c:v>2.0521313364055299E-2</c:v>
                </c:pt>
                <c:pt idx="9">
                  <c:v>1.893721198156682E-2</c:v>
                </c:pt>
                <c:pt idx="10">
                  <c:v>0.39926555299539168</c:v>
                </c:pt>
                <c:pt idx="11">
                  <c:v>2.1601382488479264E-4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Masanafu-Lubigi'!$C$60:$N$60</c:f>
              <c:numCache>
                <c:formatCode>0.00%</c:formatCode>
                <c:ptCount val="12"/>
                <c:pt idx="0">
                  <c:v>0.48459786647488912</c:v>
                </c:pt>
                <c:pt idx="1">
                  <c:v>0.13604219105837229</c:v>
                </c:pt>
                <c:pt idx="2">
                  <c:v>8.0067122138319555E-2</c:v>
                </c:pt>
                <c:pt idx="3">
                  <c:v>0.11782332494306605</c:v>
                </c:pt>
                <c:pt idx="4">
                  <c:v>7.7909624835191182E-3</c:v>
                </c:pt>
                <c:pt idx="5">
                  <c:v>1.3184705741340046E-3</c:v>
                </c:pt>
                <c:pt idx="6">
                  <c:v>5.5975068920052738E-2</c:v>
                </c:pt>
                <c:pt idx="7">
                  <c:v>5.034160373966199E-2</c:v>
                </c:pt>
                <c:pt idx="8">
                  <c:v>3.4160373966199212E-2</c:v>
                </c:pt>
                <c:pt idx="9">
                  <c:v>3.1523432817931199E-2</c:v>
                </c:pt>
                <c:pt idx="11">
                  <c:v>3.595828838547285E-4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Lubigi-Masanafu'!$AE$9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Lubigi-Masanafu'!$AE$10:$AE$21</c:f>
              <c:numCache>
                <c:formatCode>0</c:formatCode>
                <c:ptCount val="12"/>
                <c:pt idx="0">
                  <c:v>479</c:v>
                </c:pt>
                <c:pt idx="1">
                  <c:v>529</c:v>
                </c:pt>
                <c:pt idx="2">
                  <c:v>515</c:v>
                </c:pt>
                <c:pt idx="3">
                  <c:v>732</c:v>
                </c:pt>
                <c:pt idx="4">
                  <c:v>498</c:v>
                </c:pt>
                <c:pt idx="5">
                  <c:v>622</c:v>
                </c:pt>
                <c:pt idx="6">
                  <c:v>598</c:v>
                </c:pt>
                <c:pt idx="7">
                  <c:v>552</c:v>
                </c:pt>
                <c:pt idx="8">
                  <c:v>535</c:v>
                </c:pt>
                <c:pt idx="9">
                  <c:v>657</c:v>
                </c:pt>
                <c:pt idx="10">
                  <c:v>779</c:v>
                </c:pt>
                <c:pt idx="11">
                  <c:v>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Lubigi-Masanafu'!$AF$9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Lubigi-Masanafu'!$AF$10:$AF$21</c:f>
              <c:numCache>
                <c:formatCode>0</c:formatCode>
                <c:ptCount val="12"/>
                <c:pt idx="0">
                  <c:v>1033</c:v>
                </c:pt>
                <c:pt idx="1">
                  <c:v>1297</c:v>
                </c:pt>
                <c:pt idx="2">
                  <c:v>1273</c:v>
                </c:pt>
                <c:pt idx="3">
                  <c:v>1839</c:v>
                </c:pt>
                <c:pt idx="4">
                  <c:v>1331</c:v>
                </c:pt>
                <c:pt idx="5">
                  <c:v>1191</c:v>
                </c:pt>
                <c:pt idx="6">
                  <c:v>1124</c:v>
                </c:pt>
                <c:pt idx="7">
                  <c:v>990</c:v>
                </c:pt>
                <c:pt idx="8">
                  <c:v>901</c:v>
                </c:pt>
                <c:pt idx="9">
                  <c:v>1227</c:v>
                </c:pt>
                <c:pt idx="10">
                  <c:v>1781</c:v>
                </c:pt>
                <c:pt idx="11">
                  <c:v>1604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Lubigi-Masanafu'!$C$59:$N$59</c:f>
              <c:numCache>
                <c:formatCode>0.0%</c:formatCode>
                <c:ptCount val="12"/>
                <c:pt idx="0">
                  <c:v>0.21146815470463728</c:v>
                </c:pt>
                <c:pt idx="1">
                  <c:v>4.3679045603232637E-2</c:v>
                </c:pt>
                <c:pt idx="2">
                  <c:v>4.0728625489064203E-2</c:v>
                </c:pt>
                <c:pt idx="3">
                  <c:v>6.2664357642229496E-2</c:v>
                </c:pt>
                <c:pt idx="4">
                  <c:v>7.0553524469245078E-3</c:v>
                </c:pt>
                <c:pt idx="5">
                  <c:v>1.0262330831890194E-3</c:v>
                </c:pt>
                <c:pt idx="6">
                  <c:v>2.5399268808928229E-2</c:v>
                </c:pt>
                <c:pt idx="7">
                  <c:v>3.5854018343916362E-2</c:v>
                </c:pt>
                <c:pt idx="8">
                  <c:v>1.712526457571676E-2</c:v>
                </c:pt>
                <c:pt idx="9">
                  <c:v>1.9241870309794112E-2</c:v>
                </c:pt>
                <c:pt idx="10">
                  <c:v>0.53556539028926942</c:v>
                </c:pt>
                <c:pt idx="11">
                  <c:v>1.9241870309794111E-4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Lubigi-Masanafu'!$S$9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Lubigi-Masanafu'!$S$10:$S$21</c:f>
              <c:numCache>
                <c:formatCode>0</c:formatCode>
                <c:ptCount val="12"/>
                <c:pt idx="0">
                  <c:v>225</c:v>
                </c:pt>
                <c:pt idx="1">
                  <c:v>239</c:v>
                </c:pt>
                <c:pt idx="2">
                  <c:v>198</c:v>
                </c:pt>
                <c:pt idx="3">
                  <c:v>329</c:v>
                </c:pt>
                <c:pt idx="4">
                  <c:v>210</c:v>
                </c:pt>
                <c:pt idx="5">
                  <c:v>297</c:v>
                </c:pt>
                <c:pt idx="6">
                  <c:v>283</c:v>
                </c:pt>
                <c:pt idx="7">
                  <c:v>215</c:v>
                </c:pt>
                <c:pt idx="8">
                  <c:v>236</c:v>
                </c:pt>
                <c:pt idx="9">
                  <c:v>290</c:v>
                </c:pt>
                <c:pt idx="10">
                  <c:v>397</c:v>
                </c:pt>
                <c:pt idx="11">
                  <c:v>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Lubigi-Masanafu'!$T$9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Lubigi-Masanafu'!$T$10:$T$21</c:f>
              <c:numCache>
                <c:formatCode>0</c:formatCode>
                <c:ptCount val="12"/>
                <c:pt idx="0">
                  <c:v>47</c:v>
                </c:pt>
                <c:pt idx="1">
                  <c:v>56</c:v>
                </c:pt>
                <c:pt idx="2">
                  <c:v>60</c:v>
                </c:pt>
                <c:pt idx="3">
                  <c:v>67</c:v>
                </c:pt>
                <c:pt idx="4">
                  <c:v>50</c:v>
                </c:pt>
                <c:pt idx="5">
                  <c:v>50</c:v>
                </c:pt>
                <c:pt idx="6">
                  <c:v>49</c:v>
                </c:pt>
                <c:pt idx="7">
                  <c:v>54</c:v>
                </c:pt>
                <c:pt idx="8">
                  <c:v>47</c:v>
                </c:pt>
                <c:pt idx="9">
                  <c:v>61</c:v>
                </c:pt>
                <c:pt idx="10">
                  <c:v>65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Lubigi-Masanafu'!$U$9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Lubigi-Masanafu'!$U$10:$U$21</c:f>
              <c:numCache>
                <c:formatCode>0</c:formatCode>
                <c:ptCount val="12"/>
                <c:pt idx="0">
                  <c:v>44</c:v>
                </c:pt>
                <c:pt idx="1">
                  <c:v>42</c:v>
                </c:pt>
                <c:pt idx="2">
                  <c:v>58</c:v>
                </c:pt>
                <c:pt idx="3">
                  <c:v>63</c:v>
                </c:pt>
                <c:pt idx="4">
                  <c:v>37</c:v>
                </c:pt>
                <c:pt idx="5">
                  <c:v>55</c:v>
                </c:pt>
                <c:pt idx="6">
                  <c:v>47</c:v>
                </c:pt>
                <c:pt idx="7">
                  <c:v>51</c:v>
                </c:pt>
                <c:pt idx="8">
                  <c:v>63</c:v>
                </c:pt>
                <c:pt idx="9">
                  <c:v>59</c:v>
                </c:pt>
                <c:pt idx="10">
                  <c:v>64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Lubigi-Masanafu'!$V$9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Lubigi-Masanafu'!$V$10:$V$21</c:f>
              <c:numCache>
                <c:formatCode>0</c:formatCode>
                <c:ptCount val="12"/>
                <c:pt idx="0">
                  <c:v>73</c:v>
                </c:pt>
                <c:pt idx="1">
                  <c:v>77</c:v>
                </c:pt>
                <c:pt idx="2">
                  <c:v>79</c:v>
                </c:pt>
                <c:pt idx="3">
                  <c:v>89</c:v>
                </c:pt>
                <c:pt idx="4">
                  <c:v>72</c:v>
                </c:pt>
                <c:pt idx="5">
                  <c:v>71</c:v>
                </c:pt>
                <c:pt idx="6">
                  <c:v>81</c:v>
                </c:pt>
                <c:pt idx="7">
                  <c:v>78</c:v>
                </c:pt>
                <c:pt idx="8">
                  <c:v>72</c:v>
                </c:pt>
                <c:pt idx="9">
                  <c:v>75</c:v>
                </c:pt>
                <c:pt idx="10">
                  <c:v>98</c:v>
                </c:pt>
                <c:pt idx="11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Lubigi-Masanafu'!$W$9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Lubigi-Masanafu'!$W$10:$W$21</c:f>
              <c:numCache>
                <c:formatCode>0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15</c:v>
                </c:pt>
                <c:pt idx="3">
                  <c:v>17</c:v>
                </c:pt>
                <c:pt idx="4">
                  <c:v>24</c:v>
                </c:pt>
                <c:pt idx="5">
                  <c:v>17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Lubigi-Masanafu'!$X$9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Lubigi-Masanafu'!$Y$9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Lubigi-Masanafu'!$Y$10:$Y$21</c:f>
              <c:numCache>
                <c:formatCode>0</c:formatCode>
                <c:ptCount val="12"/>
                <c:pt idx="0">
                  <c:v>25</c:v>
                </c:pt>
                <c:pt idx="1">
                  <c:v>22</c:v>
                </c:pt>
                <c:pt idx="2">
                  <c:v>28</c:v>
                </c:pt>
                <c:pt idx="3">
                  <c:v>36</c:v>
                </c:pt>
                <c:pt idx="4">
                  <c:v>24</c:v>
                </c:pt>
                <c:pt idx="5">
                  <c:v>35</c:v>
                </c:pt>
                <c:pt idx="6">
                  <c:v>32</c:v>
                </c:pt>
                <c:pt idx="7">
                  <c:v>42</c:v>
                </c:pt>
                <c:pt idx="8">
                  <c:v>32</c:v>
                </c:pt>
                <c:pt idx="9">
                  <c:v>56</c:v>
                </c:pt>
                <c:pt idx="10">
                  <c:v>37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Lubigi-Masanafu'!$Z$9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Lubigi-Masanafu'!$Z$10:$Z$21</c:f>
              <c:numCache>
                <c:formatCode>0</c:formatCode>
                <c:ptCount val="12"/>
                <c:pt idx="0">
                  <c:v>27</c:v>
                </c:pt>
                <c:pt idx="1">
                  <c:v>36</c:v>
                </c:pt>
                <c:pt idx="2">
                  <c:v>35</c:v>
                </c:pt>
                <c:pt idx="3">
                  <c:v>60</c:v>
                </c:pt>
                <c:pt idx="4">
                  <c:v>36</c:v>
                </c:pt>
                <c:pt idx="5">
                  <c:v>48</c:v>
                </c:pt>
                <c:pt idx="6">
                  <c:v>55</c:v>
                </c:pt>
                <c:pt idx="7">
                  <c:v>55</c:v>
                </c:pt>
                <c:pt idx="8">
                  <c:v>38</c:v>
                </c:pt>
                <c:pt idx="9">
                  <c:v>54</c:v>
                </c:pt>
                <c:pt idx="10">
                  <c:v>63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Lubigi-Masanafu'!$AA$9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Lubigi-Masanafu'!$AA$10:$AA$21</c:f>
              <c:numCache>
                <c:formatCode>0</c:formatCode>
                <c:ptCount val="12"/>
                <c:pt idx="0">
                  <c:v>12</c:v>
                </c:pt>
                <c:pt idx="1">
                  <c:v>30</c:v>
                </c:pt>
                <c:pt idx="2">
                  <c:v>27</c:v>
                </c:pt>
                <c:pt idx="3">
                  <c:v>25</c:v>
                </c:pt>
                <c:pt idx="4">
                  <c:v>20</c:v>
                </c:pt>
                <c:pt idx="5">
                  <c:v>22</c:v>
                </c:pt>
                <c:pt idx="6">
                  <c:v>17</c:v>
                </c:pt>
                <c:pt idx="7">
                  <c:v>31</c:v>
                </c:pt>
                <c:pt idx="8">
                  <c:v>19</c:v>
                </c:pt>
                <c:pt idx="9">
                  <c:v>24</c:v>
                </c:pt>
                <c:pt idx="10">
                  <c:v>22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Lubigi-Masanafu'!$AB$9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Lubigi-Masanafu'!$AB$10:$AB$21</c:f>
              <c:numCache>
                <c:formatCode>0</c:formatCode>
                <c:ptCount val="12"/>
                <c:pt idx="0">
                  <c:v>14</c:v>
                </c:pt>
                <c:pt idx="1">
                  <c:v>16</c:v>
                </c:pt>
                <c:pt idx="2">
                  <c:v>13</c:v>
                </c:pt>
                <c:pt idx="3">
                  <c:v>41</c:v>
                </c:pt>
                <c:pt idx="4">
                  <c:v>23</c:v>
                </c:pt>
                <c:pt idx="5">
                  <c:v>24</c:v>
                </c:pt>
                <c:pt idx="6">
                  <c:v>30</c:v>
                </c:pt>
                <c:pt idx="7">
                  <c:v>25</c:v>
                </c:pt>
                <c:pt idx="8">
                  <c:v>24</c:v>
                </c:pt>
                <c:pt idx="9">
                  <c:v>35</c:v>
                </c:pt>
                <c:pt idx="10">
                  <c:v>28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Lubigi-Masanafu'!$AC$9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Lubigi-Masanafu'!$AC$10:$AC$21</c:f>
              <c:numCache>
                <c:formatCode>0</c:formatCode>
                <c:ptCount val="12"/>
                <c:pt idx="0">
                  <c:v>554</c:v>
                </c:pt>
                <c:pt idx="1">
                  <c:v>768</c:v>
                </c:pt>
                <c:pt idx="2">
                  <c:v>758</c:v>
                </c:pt>
                <c:pt idx="3">
                  <c:v>1107</c:v>
                </c:pt>
                <c:pt idx="4">
                  <c:v>833</c:v>
                </c:pt>
                <c:pt idx="5">
                  <c:v>569</c:v>
                </c:pt>
                <c:pt idx="6">
                  <c:v>526</c:v>
                </c:pt>
                <c:pt idx="7">
                  <c:v>438</c:v>
                </c:pt>
                <c:pt idx="8">
                  <c:v>366</c:v>
                </c:pt>
                <c:pt idx="9">
                  <c:v>570</c:v>
                </c:pt>
                <c:pt idx="10">
                  <c:v>1002</c:v>
                </c:pt>
                <c:pt idx="11">
                  <c:v>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Lubigi-Masanafu'!$AD$9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Lubigi-Masanafu'!$AD$10:$AD$21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Lubigi-Masanafu'!$C$60:$N$60</c:f>
              <c:numCache>
                <c:formatCode>0.00%</c:formatCode>
                <c:ptCount val="12"/>
                <c:pt idx="0">
                  <c:v>0.4553238502969203</c:v>
                </c:pt>
                <c:pt idx="1">
                  <c:v>9.4047783455323844E-2</c:v>
                </c:pt>
                <c:pt idx="2">
                  <c:v>8.7695069741748372E-2</c:v>
                </c:pt>
                <c:pt idx="3">
                  <c:v>0.13492611517746167</c:v>
                </c:pt>
                <c:pt idx="4">
                  <c:v>1.5191271923767435E-2</c:v>
                </c:pt>
                <c:pt idx="5">
                  <c:v>2.2096395525479907E-3</c:v>
                </c:pt>
                <c:pt idx="6">
                  <c:v>5.4688578925562767E-2</c:v>
                </c:pt>
                <c:pt idx="7">
                  <c:v>7.719928186714542E-2</c:v>
                </c:pt>
                <c:pt idx="8">
                  <c:v>3.6873360033144592E-2</c:v>
                </c:pt>
                <c:pt idx="9">
                  <c:v>4.1430741610274824E-2</c:v>
                </c:pt>
                <c:pt idx="11">
                  <c:v>4.1430741610274822E-4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Masanafu-Lubigi'!$AE$9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Masanafu-Lubigi'!$AE$10:$AE$21</c:f>
              <c:numCache>
                <c:formatCode>0</c:formatCode>
                <c:ptCount val="12"/>
                <c:pt idx="0">
                  <c:v>360</c:v>
                </c:pt>
                <c:pt idx="1">
                  <c:v>572</c:v>
                </c:pt>
                <c:pt idx="2">
                  <c:v>493</c:v>
                </c:pt>
                <c:pt idx="3">
                  <c:v>285</c:v>
                </c:pt>
                <c:pt idx="4">
                  <c:v>769</c:v>
                </c:pt>
                <c:pt idx="5">
                  <c:v>645</c:v>
                </c:pt>
                <c:pt idx="6">
                  <c:v>576</c:v>
                </c:pt>
                <c:pt idx="7">
                  <c:v>569</c:v>
                </c:pt>
                <c:pt idx="8">
                  <c:v>736</c:v>
                </c:pt>
                <c:pt idx="9">
                  <c:v>1036</c:v>
                </c:pt>
                <c:pt idx="10">
                  <c:v>783</c:v>
                </c:pt>
                <c:pt idx="11">
                  <c:v>788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Masanafu-Lubigi'!$AF$9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Masanafu-Lubigi'!$AF$10:$AF$21</c:f>
              <c:numCache>
                <c:formatCode>0</c:formatCode>
                <c:ptCount val="12"/>
                <c:pt idx="0">
                  <c:v>956</c:v>
                </c:pt>
                <c:pt idx="1">
                  <c:v>1510</c:v>
                </c:pt>
                <c:pt idx="2">
                  <c:v>1255</c:v>
                </c:pt>
                <c:pt idx="3">
                  <c:v>1058</c:v>
                </c:pt>
                <c:pt idx="4">
                  <c:v>1568</c:v>
                </c:pt>
                <c:pt idx="5">
                  <c:v>1656</c:v>
                </c:pt>
                <c:pt idx="6">
                  <c:v>1097</c:v>
                </c:pt>
                <c:pt idx="7">
                  <c:v>1056</c:v>
                </c:pt>
                <c:pt idx="8">
                  <c:v>1233</c:v>
                </c:pt>
                <c:pt idx="9">
                  <c:v>1634</c:v>
                </c:pt>
                <c:pt idx="10">
                  <c:v>1407</c:v>
                </c:pt>
                <c:pt idx="11">
                  <c:v>1571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Masanafu-Lubigi'!$C$59:$N$59</c:f>
              <c:numCache>
                <c:formatCode>0.0%</c:formatCode>
                <c:ptCount val="12"/>
                <c:pt idx="0">
                  <c:v>0.21923629773139178</c:v>
                </c:pt>
                <c:pt idx="1">
                  <c:v>3.8935066558340101E-2</c:v>
                </c:pt>
                <c:pt idx="2">
                  <c:v>3.4560339978751325E-2</c:v>
                </c:pt>
                <c:pt idx="3">
                  <c:v>6.5745890881819882E-2</c:v>
                </c:pt>
                <c:pt idx="4">
                  <c:v>4.9996875195300293E-3</c:v>
                </c:pt>
                <c:pt idx="5">
                  <c:v>8.7494531591775519E-4</c:v>
                </c:pt>
                <c:pt idx="6">
                  <c:v>4.8934441597400159E-2</c:v>
                </c:pt>
                <c:pt idx="7">
                  <c:v>2.1186175864008498E-2</c:v>
                </c:pt>
                <c:pt idx="8">
                  <c:v>2.2311105555902756E-2</c:v>
                </c:pt>
                <c:pt idx="9">
                  <c:v>1.8811324292231736E-2</c:v>
                </c:pt>
                <c:pt idx="10">
                  <c:v>0.52427973251671767</c:v>
                </c:pt>
                <c:pt idx="11">
                  <c:v>1.2499218798825074E-4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Masanafu-Lubigi'!$S$9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Masanafu-Lubigi'!$S$10:$S$21</c:f>
              <c:numCache>
                <c:formatCode>0</c:formatCode>
                <c:ptCount val="12"/>
                <c:pt idx="0">
                  <c:v>177</c:v>
                </c:pt>
                <c:pt idx="1">
                  <c:v>283</c:v>
                </c:pt>
                <c:pt idx="2">
                  <c:v>232</c:v>
                </c:pt>
                <c:pt idx="3">
                  <c:v>121</c:v>
                </c:pt>
                <c:pt idx="4">
                  <c:v>304</c:v>
                </c:pt>
                <c:pt idx="5">
                  <c:v>313</c:v>
                </c:pt>
                <c:pt idx="6">
                  <c:v>245</c:v>
                </c:pt>
                <c:pt idx="7">
                  <c:v>243</c:v>
                </c:pt>
                <c:pt idx="8">
                  <c:v>331</c:v>
                </c:pt>
                <c:pt idx="9">
                  <c:v>470</c:v>
                </c:pt>
                <c:pt idx="10">
                  <c:v>377</c:v>
                </c:pt>
                <c:pt idx="11">
                  <c:v>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Masanafu-Lubigi'!$T$9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Masanafu-Lubigi'!$T$10:$T$21</c:f>
              <c:numCache>
                <c:formatCode>0</c:formatCode>
                <c:ptCount val="12"/>
                <c:pt idx="0">
                  <c:v>21</c:v>
                </c:pt>
                <c:pt idx="1">
                  <c:v>27</c:v>
                </c:pt>
                <c:pt idx="2">
                  <c:v>43</c:v>
                </c:pt>
                <c:pt idx="3">
                  <c:v>22</c:v>
                </c:pt>
                <c:pt idx="4">
                  <c:v>65</c:v>
                </c:pt>
                <c:pt idx="5">
                  <c:v>56</c:v>
                </c:pt>
                <c:pt idx="6">
                  <c:v>47</c:v>
                </c:pt>
                <c:pt idx="7">
                  <c:v>50</c:v>
                </c:pt>
                <c:pt idx="8">
                  <c:v>79</c:v>
                </c:pt>
                <c:pt idx="9">
                  <c:v>83</c:v>
                </c:pt>
                <c:pt idx="10">
                  <c:v>56</c:v>
                </c:pt>
                <c:pt idx="11">
                  <c:v>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Masanafu-Lubigi'!$U$9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Masanafu-Lubigi'!$U$10:$U$21</c:f>
              <c:numCache>
                <c:formatCode>0</c:formatCode>
                <c:ptCount val="12"/>
                <c:pt idx="0">
                  <c:v>21</c:v>
                </c:pt>
                <c:pt idx="1">
                  <c:v>44</c:v>
                </c:pt>
                <c:pt idx="2">
                  <c:v>30</c:v>
                </c:pt>
                <c:pt idx="3">
                  <c:v>19</c:v>
                </c:pt>
                <c:pt idx="4">
                  <c:v>41</c:v>
                </c:pt>
                <c:pt idx="5">
                  <c:v>49</c:v>
                </c:pt>
                <c:pt idx="6">
                  <c:v>35</c:v>
                </c:pt>
                <c:pt idx="7">
                  <c:v>37</c:v>
                </c:pt>
                <c:pt idx="8">
                  <c:v>61</c:v>
                </c:pt>
                <c:pt idx="9">
                  <c:v>78</c:v>
                </c:pt>
                <c:pt idx="10">
                  <c:v>85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Masanafu-Lubigi'!$V$9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Masanafu-Lubigi'!$V$10:$V$21</c:f>
              <c:numCache>
                <c:formatCode>0</c:formatCode>
                <c:ptCount val="12"/>
                <c:pt idx="0">
                  <c:v>55</c:v>
                </c:pt>
                <c:pt idx="1">
                  <c:v>53</c:v>
                </c:pt>
                <c:pt idx="2">
                  <c:v>65</c:v>
                </c:pt>
                <c:pt idx="3">
                  <c:v>44</c:v>
                </c:pt>
                <c:pt idx="4">
                  <c:v>167</c:v>
                </c:pt>
                <c:pt idx="5">
                  <c:v>77</c:v>
                </c:pt>
                <c:pt idx="6">
                  <c:v>73</c:v>
                </c:pt>
                <c:pt idx="7">
                  <c:v>72</c:v>
                </c:pt>
                <c:pt idx="8">
                  <c:v>106</c:v>
                </c:pt>
                <c:pt idx="9">
                  <c:v>114</c:v>
                </c:pt>
                <c:pt idx="10">
                  <c:v>105</c:v>
                </c:pt>
                <c:pt idx="11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Masanafu-Lubigi'!$W$9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Masanafu-Lubigi'!$W$10:$W$21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9</c:v>
                </c:pt>
                <c:pt idx="10">
                  <c:v>18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Masanafu-Lubigi'!$X$9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Masanafu-Lubigi'!$X$10:$X$21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Masanafu-Lubigi'!$Y$9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Masanafu-Lubigi'!$Y$10:$Y$21</c:f>
              <c:numCache>
                <c:formatCode>0</c:formatCode>
                <c:ptCount val="12"/>
                <c:pt idx="0">
                  <c:v>33</c:v>
                </c:pt>
                <c:pt idx="1">
                  <c:v>89</c:v>
                </c:pt>
                <c:pt idx="2">
                  <c:v>50</c:v>
                </c:pt>
                <c:pt idx="3">
                  <c:v>34</c:v>
                </c:pt>
                <c:pt idx="4">
                  <c:v>66</c:v>
                </c:pt>
                <c:pt idx="5">
                  <c:v>75</c:v>
                </c:pt>
                <c:pt idx="6">
                  <c:v>81</c:v>
                </c:pt>
                <c:pt idx="7">
                  <c:v>64</c:v>
                </c:pt>
                <c:pt idx="8">
                  <c:v>69</c:v>
                </c:pt>
                <c:pt idx="9">
                  <c:v>119</c:v>
                </c:pt>
                <c:pt idx="10">
                  <c:v>60</c:v>
                </c:pt>
                <c:pt idx="11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Masanafu-Lubigi'!$Z$9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Masanafu-Lubigi'!$Z$10:$Z$21</c:f>
              <c:numCache>
                <c:formatCode>0</c:formatCode>
                <c:ptCount val="12"/>
                <c:pt idx="0">
                  <c:v>24</c:v>
                </c:pt>
                <c:pt idx="1">
                  <c:v>15</c:v>
                </c:pt>
                <c:pt idx="2">
                  <c:v>19</c:v>
                </c:pt>
                <c:pt idx="3">
                  <c:v>11</c:v>
                </c:pt>
                <c:pt idx="4">
                  <c:v>34</c:v>
                </c:pt>
                <c:pt idx="5">
                  <c:v>25</c:v>
                </c:pt>
                <c:pt idx="6">
                  <c:v>24</c:v>
                </c:pt>
                <c:pt idx="7">
                  <c:v>26</c:v>
                </c:pt>
                <c:pt idx="8">
                  <c:v>31</c:v>
                </c:pt>
                <c:pt idx="9">
                  <c:v>73</c:v>
                </c:pt>
                <c:pt idx="10">
                  <c:v>28</c:v>
                </c:pt>
                <c:pt idx="1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Masanafu-Lubigi'!$AA$9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Masanafu-Lubigi'!$AA$10:$AA$21</c:f>
              <c:numCache>
                <c:formatCode>0</c:formatCode>
                <c:ptCount val="12"/>
                <c:pt idx="0">
                  <c:v>16</c:v>
                </c:pt>
                <c:pt idx="1">
                  <c:v>30</c:v>
                </c:pt>
                <c:pt idx="2">
                  <c:v>37</c:v>
                </c:pt>
                <c:pt idx="3">
                  <c:v>19</c:v>
                </c:pt>
                <c:pt idx="4">
                  <c:v>44</c:v>
                </c:pt>
                <c:pt idx="5">
                  <c:v>27</c:v>
                </c:pt>
                <c:pt idx="6">
                  <c:v>30</c:v>
                </c:pt>
                <c:pt idx="7">
                  <c:v>43</c:v>
                </c:pt>
                <c:pt idx="8">
                  <c:v>29</c:v>
                </c:pt>
                <c:pt idx="9">
                  <c:v>51</c:v>
                </c:pt>
                <c:pt idx="10">
                  <c:v>15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Masanafu-Lubigi'!$AB$9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Masanafu-Lubigi'!$AB$10:$AB$21</c:f>
              <c:numCache>
                <c:formatCode>0</c:formatCode>
                <c:ptCount val="12"/>
                <c:pt idx="0">
                  <c:v>9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43</c:v>
                </c:pt>
                <c:pt idx="5">
                  <c:v>22</c:v>
                </c:pt>
                <c:pt idx="6">
                  <c:v>34</c:v>
                </c:pt>
                <c:pt idx="7">
                  <c:v>30</c:v>
                </c:pt>
                <c:pt idx="8">
                  <c:v>28</c:v>
                </c:pt>
                <c:pt idx="9">
                  <c:v>38</c:v>
                </c:pt>
                <c:pt idx="10">
                  <c:v>38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Masanafu-Lubigi'!$AC$9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Masanafu-Lubigi'!$AC$10:$AC$21</c:f>
              <c:numCache>
                <c:formatCode>0</c:formatCode>
                <c:ptCount val="12"/>
                <c:pt idx="0">
                  <c:v>596</c:v>
                </c:pt>
                <c:pt idx="1">
                  <c:v>938</c:v>
                </c:pt>
                <c:pt idx="2">
                  <c:v>762</c:v>
                </c:pt>
                <c:pt idx="3">
                  <c:v>773</c:v>
                </c:pt>
                <c:pt idx="4">
                  <c:v>799</c:v>
                </c:pt>
                <c:pt idx="5">
                  <c:v>1011</c:v>
                </c:pt>
                <c:pt idx="6">
                  <c:v>521</c:v>
                </c:pt>
                <c:pt idx="7">
                  <c:v>487</c:v>
                </c:pt>
                <c:pt idx="8">
                  <c:v>497</c:v>
                </c:pt>
                <c:pt idx="9">
                  <c:v>598</c:v>
                </c:pt>
                <c:pt idx="10">
                  <c:v>624</c:v>
                </c:pt>
                <c:pt idx="11">
                  <c:v>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Masanafu-Lubigi'!$AD$9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Masanafu-Lubigi'!$AD$10:$AD$21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Masanafu-Lubigi'!$C$60:$N$60</c:f>
              <c:numCache>
                <c:formatCode>0.00%</c:formatCode>
                <c:ptCount val="12"/>
                <c:pt idx="0">
                  <c:v>0.46085128744088283</c:v>
                </c:pt>
                <c:pt idx="1">
                  <c:v>8.1844456121912768E-2</c:v>
                </c:pt>
                <c:pt idx="2">
                  <c:v>7.2648449816079874E-2</c:v>
                </c:pt>
                <c:pt idx="3">
                  <c:v>0.13820283762480295</c:v>
                </c:pt>
                <c:pt idx="4">
                  <c:v>1.0509721492380452E-2</c:v>
                </c:pt>
                <c:pt idx="5">
                  <c:v>1.8392012611665792E-3</c:v>
                </c:pt>
                <c:pt idx="6">
                  <c:v>0.10286389910667368</c:v>
                </c:pt>
                <c:pt idx="7">
                  <c:v>4.4534944823962162E-2</c:v>
                </c:pt>
                <c:pt idx="8">
                  <c:v>4.6899632159747767E-2</c:v>
                </c:pt>
                <c:pt idx="9">
                  <c:v>3.9542827115081447E-2</c:v>
                </c:pt>
                <c:pt idx="11">
                  <c:v>2.6274303730951129E-4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Lubigi-Masanafu-24h'!$AE$9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Lubigi-Masanafu-24h'!$R$10:$R$33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Lubigi-Masanafu-24h'!$AE$10:$AE$33</c:f>
              <c:numCache>
                <c:formatCode>0</c:formatCode>
                <c:ptCount val="24"/>
                <c:pt idx="0">
                  <c:v>538</c:v>
                </c:pt>
                <c:pt idx="1">
                  <c:v>722</c:v>
                </c:pt>
                <c:pt idx="2">
                  <c:v>887</c:v>
                </c:pt>
                <c:pt idx="3">
                  <c:v>995</c:v>
                </c:pt>
                <c:pt idx="4">
                  <c:v>662</c:v>
                </c:pt>
                <c:pt idx="5">
                  <c:v>698</c:v>
                </c:pt>
                <c:pt idx="6">
                  <c:v>726</c:v>
                </c:pt>
                <c:pt idx="7">
                  <c:v>634</c:v>
                </c:pt>
                <c:pt idx="8">
                  <c:v>716</c:v>
                </c:pt>
                <c:pt idx="9">
                  <c:v>840</c:v>
                </c:pt>
                <c:pt idx="10">
                  <c:v>949</c:v>
                </c:pt>
                <c:pt idx="11">
                  <c:v>867</c:v>
                </c:pt>
                <c:pt idx="12">
                  <c:v>1235</c:v>
                </c:pt>
                <c:pt idx="13">
                  <c:v>1638</c:v>
                </c:pt>
                <c:pt idx="14">
                  <c:v>922</c:v>
                </c:pt>
                <c:pt idx="15">
                  <c:v>745</c:v>
                </c:pt>
                <c:pt idx="16">
                  <c:v>375</c:v>
                </c:pt>
                <c:pt idx="17">
                  <c:v>265</c:v>
                </c:pt>
                <c:pt idx="18">
                  <c:v>90</c:v>
                </c:pt>
                <c:pt idx="19">
                  <c:v>55</c:v>
                </c:pt>
                <c:pt idx="20">
                  <c:v>80</c:v>
                </c:pt>
                <c:pt idx="21">
                  <c:v>139</c:v>
                </c:pt>
                <c:pt idx="22">
                  <c:v>271</c:v>
                </c:pt>
                <c:pt idx="23">
                  <c:v>561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Lubigi-Masanafu-24h'!$AF$9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Lubigi-Masanafu-24h'!$R$10:$R$33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Lubigi-Masanafu-24h'!$AF$10:$AF$33</c:f>
              <c:numCache>
                <c:formatCode>0</c:formatCode>
                <c:ptCount val="24"/>
                <c:pt idx="0">
                  <c:v>1078</c:v>
                </c:pt>
                <c:pt idx="1">
                  <c:v>1455</c:v>
                </c:pt>
                <c:pt idx="2">
                  <c:v>1466</c:v>
                </c:pt>
                <c:pt idx="3">
                  <c:v>1683</c:v>
                </c:pt>
                <c:pt idx="4">
                  <c:v>1339</c:v>
                </c:pt>
                <c:pt idx="5">
                  <c:v>1311</c:v>
                </c:pt>
                <c:pt idx="6">
                  <c:v>1399</c:v>
                </c:pt>
                <c:pt idx="7">
                  <c:v>1223</c:v>
                </c:pt>
                <c:pt idx="8">
                  <c:v>1288</c:v>
                </c:pt>
                <c:pt idx="9">
                  <c:v>1364</c:v>
                </c:pt>
                <c:pt idx="10">
                  <c:v>1511</c:v>
                </c:pt>
                <c:pt idx="11">
                  <c:v>1526</c:v>
                </c:pt>
                <c:pt idx="12">
                  <c:v>1882</c:v>
                </c:pt>
                <c:pt idx="13">
                  <c:v>2110</c:v>
                </c:pt>
                <c:pt idx="14">
                  <c:v>1260</c:v>
                </c:pt>
                <c:pt idx="15">
                  <c:v>1044</c:v>
                </c:pt>
                <c:pt idx="16">
                  <c:v>664</c:v>
                </c:pt>
                <c:pt idx="17">
                  <c:v>446</c:v>
                </c:pt>
                <c:pt idx="18">
                  <c:v>158</c:v>
                </c:pt>
                <c:pt idx="19">
                  <c:v>88</c:v>
                </c:pt>
                <c:pt idx="20">
                  <c:v>103</c:v>
                </c:pt>
                <c:pt idx="21">
                  <c:v>196</c:v>
                </c:pt>
                <c:pt idx="22">
                  <c:v>388</c:v>
                </c:pt>
                <c:pt idx="23">
                  <c:v>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Lubigi-Masanafu-24h'!$C$9:$N$9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Lubigi-Masanafu-24h'!$C$107:$N$107</c:f>
              <c:numCache>
                <c:formatCode>0.0%</c:formatCode>
                <c:ptCount val="12"/>
                <c:pt idx="0">
                  <c:v>0.23872064276885044</c:v>
                </c:pt>
                <c:pt idx="1">
                  <c:v>4.6623918417799753E-2</c:v>
                </c:pt>
                <c:pt idx="2">
                  <c:v>4.1409147095179233E-2</c:v>
                </c:pt>
                <c:pt idx="3">
                  <c:v>0.1053770086526576</c:v>
                </c:pt>
                <c:pt idx="4">
                  <c:v>6.8371446229913476E-3</c:v>
                </c:pt>
                <c:pt idx="5">
                  <c:v>1.5451174289245982E-3</c:v>
                </c:pt>
                <c:pt idx="6">
                  <c:v>6.2886279357231151E-2</c:v>
                </c:pt>
                <c:pt idx="7">
                  <c:v>4.4228986402966623E-2</c:v>
                </c:pt>
                <c:pt idx="8">
                  <c:v>3.3335908529048205E-2</c:v>
                </c:pt>
                <c:pt idx="9">
                  <c:v>2.1902039555006182E-2</c:v>
                </c:pt>
                <c:pt idx="10">
                  <c:v>0.39701792336217551</c:v>
                </c:pt>
                <c:pt idx="11">
                  <c:v>1.1588380716934487E-4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Lubigi-Masanafu-24h'!$C$9:$N$9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Lubigi-Masanafu-24h'!$C$108:$N$108</c:f>
              <c:numCache>
                <c:formatCode>0.00%</c:formatCode>
                <c:ptCount val="12"/>
                <c:pt idx="0">
                  <c:v>0.39590006406149902</c:v>
                </c:pt>
                <c:pt idx="1">
                  <c:v>7.7322229340166554E-2</c:v>
                </c:pt>
                <c:pt idx="2">
                  <c:v>6.8673926969891094E-2</c:v>
                </c:pt>
                <c:pt idx="3">
                  <c:v>0.17475976937860346</c:v>
                </c:pt>
                <c:pt idx="4">
                  <c:v>1.1338885329916721E-2</c:v>
                </c:pt>
                <c:pt idx="5">
                  <c:v>2.5624599615631004E-3</c:v>
                </c:pt>
                <c:pt idx="6">
                  <c:v>0.1042921204356182</c:v>
                </c:pt>
                <c:pt idx="7">
                  <c:v>7.3350416399743754E-2</c:v>
                </c:pt>
                <c:pt idx="8">
                  <c:v>5.5285073670723897E-2</c:v>
                </c:pt>
                <c:pt idx="9">
                  <c:v>3.6322869955156947E-2</c:v>
                </c:pt>
                <c:pt idx="11">
                  <c:v>1.9218449711723255E-4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Masanafu-Lubigi-24h'!$AE$9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Masanafu-Lubigi-24h'!$R$10:$R$33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Masanafu-Lubigi-24h'!$AE$10:$AE$33</c:f>
              <c:numCache>
                <c:formatCode>0</c:formatCode>
                <c:ptCount val="24"/>
                <c:pt idx="0">
                  <c:v>625</c:v>
                </c:pt>
                <c:pt idx="1">
                  <c:v>575</c:v>
                </c:pt>
                <c:pt idx="2">
                  <c:v>601</c:v>
                </c:pt>
                <c:pt idx="3">
                  <c:v>659</c:v>
                </c:pt>
                <c:pt idx="4">
                  <c:v>706</c:v>
                </c:pt>
                <c:pt idx="5">
                  <c:v>802</c:v>
                </c:pt>
                <c:pt idx="6">
                  <c:v>821</c:v>
                </c:pt>
                <c:pt idx="7">
                  <c:v>831</c:v>
                </c:pt>
                <c:pt idx="8">
                  <c:v>1209</c:v>
                </c:pt>
                <c:pt idx="9">
                  <c:v>749</c:v>
                </c:pt>
                <c:pt idx="10">
                  <c:v>1096</c:v>
                </c:pt>
                <c:pt idx="11">
                  <c:v>1168</c:v>
                </c:pt>
                <c:pt idx="12">
                  <c:v>922</c:v>
                </c:pt>
                <c:pt idx="13">
                  <c:v>788</c:v>
                </c:pt>
                <c:pt idx="14">
                  <c:v>726</c:v>
                </c:pt>
                <c:pt idx="15">
                  <c:v>463</c:v>
                </c:pt>
                <c:pt idx="16">
                  <c:v>453</c:v>
                </c:pt>
                <c:pt idx="17">
                  <c:v>194</c:v>
                </c:pt>
                <c:pt idx="18">
                  <c:v>121</c:v>
                </c:pt>
                <c:pt idx="19">
                  <c:v>105</c:v>
                </c:pt>
                <c:pt idx="20">
                  <c:v>106</c:v>
                </c:pt>
                <c:pt idx="21">
                  <c:v>238</c:v>
                </c:pt>
                <c:pt idx="22">
                  <c:v>182</c:v>
                </c:pt>
                <c:pt idx="23">
                  <c:v>421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Masanafu-Lubigi-24h'!$AF$9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Masanafu-Lubigi-24h'!$R$10:$R$33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Masanafu-Lubigi-24h'!$AF$10:$AF$33</c:f>
              <c:numCache>
                <c:formatCode>0</c:formatCode>
                <c:ptCount val="24"/>
                <c:pt idx="0">
                  <c:v>926</c:v>
                </c:pt>
                <c:pt idx="1">
                  <c:v>1297</c:v>
                </c:pt>
                <c:pt idx="2">
                  <c:v>1136</c:v>
                </c:pt>
                <c:pt idx="3">
                  <c:v>1213</c:v>
                </c:pt>
                <c:pt idx="4">
                  <c:v>1251</c:v>
                </c:pt>
                <c:pt idx="5">
                  <c:v>1312</c:v>
                </c:pt>
                <c:pt idx="6">
                  <c:v>1266</c:v>
                </c:pt>
                <c:pt idx="7">
                  <c:v>1363</c:v>
                </c:pt>
                <c:pt idx="8">
                  <c:v>1734</c:v>
                </c:pt>
                <c:pt idx="9">
                  <c:v>1219</c:v>
                </c:pt>
                <c:pt idx="10">
                  <c:v>1532</c:v>
                </c:pt>
                <c:pt idx="11">
                  <c:v>1586</c:v>
                </c:pt>
                <c:pt idx="12">
                  <c:v>1371</c:v>
                </c:pt>
                <c:pt idx="13">
                  <c:v>1110</c:v>
                </c:pt>
                <c:pt idx="14">
                  <c:v>1154</c:v>
                </c:pt>
                <c:pt idx="15">
                  <c:v>787</c:v>
                </c:pt>
                <c:pt idx="16">
                  <c:v>713</c:v>
                </c:pt>
                <c:pt idx="17">
                  <c:v>302</c:v>
                </c:pt>
                <c:pt idx="18">
                  <c:v>174</c:v>
                </c:pt>
                <c:pt idx="19">
                  <c:v>148</c:v>
                </c:pt>
                <c:pt idx="20">
                  <c:v>137</c:v>
                </c:pt>
                <c:pt idx="21">
                  <c:v>282</c:v>
                </c:pt>
                <c:pt idx="22">
                  <c:v>252</c:v>
                </c:pt>
                <c:pt idx="23">
                  <c:v>814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Masanafu-Lubigi-24h'!$C$9:$N$9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Masanafu-Lubigi-24h'!$C$107:$N$107</c:f>
              <c:numCache>
                <c:formatCode>0.0%</c:formatCode>
                <c:ptCount val="12"/>
                <c:pt idx="0">
                  <c:v>0.27046232505741152</c:v>
                </c:pt>
                <c:pt idx="1">
                  <c:v>8.5618960960180249E-2</c:v>
                </c:pt>
                <c:pt idx="2">
                  <c:v>5.5461675115906238E-2</c:v>
                </c:pt>
                <c:pt idx="3">
                  <c:v>9.5021448069673733E-2</c:v>
                </c:pt>
                <c:pt idx="4">
                  <c:v>6.1094501494865462E-3</c:v>
                </c:pt>
                <c:pt idx="5">
                  <c:v>1.3432124442133541E-3</c:v>
                </c:pt>
                <c:pt idx="6">
                  <c:v>4.376272802114476E-2</c:v>
                </c:pt>
                <c:pt idx="7">
                  <c:v>3.4403570345335588E-2</c:v>
                </c:pt>
                <c:pt idx="8">
                  <c:v>1.6508514233718966E-2</c:v>
                </c:pt>
                <c:pt idx="9">
                  <c:v>2.1968022877940984E-2</c:v>
                </c:pt>
                <c:pt idx="10">
                  <c:v>0.36908011612288227</c:v>
                </c:pt>
                <c:pt idx="11">
                  <c:v>2.599766021058105E-4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Masanafu-Lubigi-24h'!$C$9:$N$9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Masanafu-Lubigi-24h'!$C$108:$N$108</c:f>
              <c:numCache>
                <c:formatCode>0.00%</c:formatCode>
                <c:ptCount val="12"/>
                <c:pt idx="0">
                  <c:v>0.42867934894581416</c:v>
                </c:pt>
                <c:pt idx="1">
                  <c:v>0.13570496531831605</c:v>
                </c:pt>
                <c:pt idx="2">
                  <c:v>8.7906050408625785E-2</c:v>
                </c:pt>
                <c:pt idx="3">
                  <c:v>0.15060778792665339</c:v>
                </c:pt>
                <c:pt idx="4">
                  <c:v>9.683400865325183E-3</c:v>
                </c:pt>
                <c:pt idx="5">
                  <c:v>2.1289746583339057E-3</c:v>
                </c:pt>
                <c:pt idx="6">
                  <c:v>6.9363367900556278E-2</c:v>
                </c:pt>
                <c:pt idx="7">
                  <c:v>5.4529221894100678E-2</c:v>
                </c:pt>
                <c:pt idx="8">
                  <c:v>2.6165785316942518E-2</c:v>
                </c:pt>
                <c:pt idx="9">
                  <c:v>3.4819037154041617E-2</c:v>
                </c:pt>
                <c:pt idx="11">
                  <c:v>4.1205961129043336E-4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Lubigi-Masanafu-24h'!$AE$9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Lubigi-Masanafu-24h'!$R$10:$R$33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Lubigi-Masanafu-24h'!$AE$10:$AE$33</c:f>
              <c:numCache>
                <c:formatCode>0</c:formatCode>
                <c:ptCount val="24"/>
                <c:pt idx="0">
                  <c:v>792</c:v>
                </c:pt>
                <c:pt idx="1">
                  <c:v>737</c:v>
                </c:pt>
                <c:pt idx="2">
                  <c:v>530</c:v>
                </c:pt>
                <c:pt idx="3">
                  <c:v>581</c:v>
                </c:pt>
                <c:pt idx="4">
                  <c:v>703</c:v>
                </c:pt>
                <c:pt idx="5">
                  <c:v>669</c:v>
                </c:pt>
                <c:pt idx="6">
                  <c:v>654</c:v>
                </c:pt>
                <c:pt idx="7">
                  <c:v>612</c:v>
                </c:pt>
                <c:pt idx="8">
                  <c:v>642</c:v>
                </c:pt>
                <c:pt idx="9">
                  <c:v>592</c:v>
                </c:pt>
                <c:pt idx="10">
                  <c:v>900</c:v>
                </c:pt>
                <c:pt idx="11">
                  <c:v>1022</c:v>
                </c:pt>
                <c:pt idx="12">
                  <c:v>1448</c:v>
                </c:pt>
                <c:pt idx="13">
                  <c:v>1456</c:v>
                </c:pt>
                <c:pt idx="14">
                  <c:v>881</c:v>
                </c:pt>
                <c:pt idx="15">
                  <c:v>814</c:v>
                </c:pt>
                <c:pt idx="16">
                  <c:v>971</c:v>
                </c:pt>
                <c:pt idx="17">
                  <c:v>1011</c:v>
                </c:pt>
                <c:pt idx="18">
                  <c:v>531</c:v>
                </c:pt>
                <c:pt idx="19">
                  <c:v>323</c:v>
                </c:pt>
                <c:pt idx="20">
                  <c:v>333</c:v>
                </c:pt>
                <c:pt idx="21">
                  <c:v>373</c:v>
                </c:pt>
                <c:pt idx="22">
                  <c:v>190</c:v>
                </c:pt>
                <c:pt idx="23">
                  <c:v>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Lubigi-Masanafu-24h'!$AF$9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Lubigi-Masanafu-24h'!$R$10:$R$33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Lubigi-Masanafu-24h'!$AF$10:$AF$33</c:f>
              <c:numCache>
                <c:formatCode>0</c:formatCode>
                <c:ptCount val="24"/>
                <c:pt idx="0">
                  <c:v>1202</c:v>
                </c:pt>
                <c:pt idx="1">
                  <c:v>1072</c:v>
                </c:pt>
                <c:pt idx="2">
                  <c:v>845</c:v>
                </c:pt>
                <c:pt idx="3">
                  <c:v>1131</c:v>
                </c:pt>
                <c:pt idx="4">
                  <c:v>1262</c:v>
                </c:pt>
                <c:pt idx="5">
                  <c:v>1283</c:v>
                </c:pt>
                <c:pt idx="6">
                  <c:v>1188</c:v>
                </c:pt>
                <c:pt idx="7">
                  <c:v>1146</c:v>
                </c:pt>
                <c:pt idx="8">
                  <c:v>1151</c:v>
                </c:pt>
                <c:pt idx="9">
                  <c:v>1087</c:v>
                </c:pt>
                <c:pt idx="10">
                  <c:v>1381</c:v>
                </c:pt>
                <c:pt idx="11">
                  <c:v>1490</c:v>
                </c:pt>
                <c:pt idx="12">
                  <c:v>1861</c:v>
                </c:pt>
                <c:pt idx="13">
                  <c:v>1866</c:v>
                </c:pt>
                <c:pt idx="14">
                  <c:v>1126</c:v>
                </c:pt>
                <c:pt idx="15">
                  <c:v>1233</c:v>
                </c:pt>
                <c:pt idx="16">
                  <c:v>1446</c:v>
                </c:pt>
                <c:pt idx="17">
                  <c:v>1409</c:v>
                </c:pt>
                <c:pt idx="18">
                  <c:v>740</c:v>
                </c:pt>
                <c:pt idx="19">
                  <c:v>469</c:v>
                </c:pt>
                <c:pt idx="20">
                  <c:v>523</c:v>
                </c:pt>
                <c:pt idx="21">
                  <c:v>496</c:v>
                </c:pt>
                <c:pt idx="22">
                  <c:v>304</c:v>
                </c:pt>
                <c:pt idx="23">
                  <c:v>1180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Lubigi-Masanafu-24h'!$C$9:$N$9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Lubigi-Masanafu-24h'!$C$107:$N$107</c:f>
              <c:numCache>
                <c:formatCode>0.0%</c:formatCode>
                <c:ptCount val="12"/>
                <c:pt idx="0">
                  <c:v>0.21787958796623405</c:v>
                </c:pt>
                <c:pt idx="1">
                  <c:v>9.2744784500390462E-2</c:v>
                </c:pt>
                <c:pt idx="2">
                  <c:v>6.9093748837901162E-2</c:v>
                </c:pt>
                <c:pt idx="3">
                  <c:v>0.10769402402290729</c:v>
                </c:pt>
                <c:pt idx="4">
                  <c:v>3.7187162991335391E-3</c:v>
                </c:pt>
                <c:pt idx="5">
                  <c:v>1.3387378676880742E-3</c:v>
                </c:pt>
                <c:pt idx="6">
                  <c:v>3.291063924733182E-2</c:v>
                </c:pt>
                <c:pt idx="7">
                  <c:v>6.8275631252091781E-2</c:v>
                </c:pt>
                <c:pt idx="8">
                  <c:v>3.9158082629876169E-2</c:v>
                </c:pt>
                <c:pt idx="9">
                  <c:v>2.2609795098731917E-2</c:v>
                </c:pt>
                <c:pt idx="10">
                  <c:v>0.34453906511472238</c:v>
                </c:pt>
                <c:pt idx="11">
                  <c:v>3.7187162991335389E-5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Lubigi-Masanafu-24h'!$C$9:$N$9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Lubigi-Masanafu-24h'!$C$108:$N$108</c:f>
              <c:numCache>
                <c:formatCode>0.00%</c:formatCode>
                <c:ptCount val="12"/>
                <c:pt idx="0">
                  <c:v>0.33240667196187451</c:v>
                </c:pt>
                <c:pt idx="1">
                  <c:v>0.14149551798479518</c:v>
                </c:pt>
                <c:pt idx="2">
                  <c:v>0.10541245886758198</c:v>
                </c:pt>
                <c:pt idx="3">
                  <c:v>0.16430273459661862</c:v>
                </c:pt>
                <c:pt idx="4">
                  <c:v>5.6734369681152846E-3</c:v>
                </c:pt>
                <c:pt idx="5">
                  <c:v>2.0424373085215024E-3</c:v>
                </c:pt>
                <c:pt idx="6">
                  <c:v>5.0209917167820264E-2</c:v>
                </c:pt>
                <c:pt idx="7">
                  <c:v>0.10416430273459662</c:v>
                </c:pt>
                <c:pt idx="8">
                  <c:v>5.9741291274253941E-2</c:v>
                </c:pt>
                <c:pt idx="9">
                  <c:v>3.4494496766140928E-2</c:v>
                </c:pt>
                <c:pt idx="11">
                  <c:v>5.6734369681152839E-5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Masanafu-Lubigi-24h'!$AE$9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Masanafu-Lubigi-24h'!$R$10:$R$33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Masanafu-Lubigi-24h'!$AE$10:$AE$33</c:f>
              <c:numCache>
                <c:formatCode>0</c:formatCode>
                <c:ptCount val="24"/>
                <c:pt idx="0">
                  <c:v>469</c:v>
                </c:pt>
                <c:pt idx="1">
                  <c:v>438</c:v>
                </c:pt>
                <c:pt idx="2">
                  <c:v>574</c:v>
                </c:pt>
                <c:pt idx="3">
                  <c:v>943</c:v>
                </c:pt>
                <c:pt idx="4">
                  <c:v>909</c:v>
                </c:pt>
                <c:pt idx="5">
                  <c:v>1054</c:v>
                </c:pt>
                <c:pt idx="6">
                  <c:v>952</c:v>
                </c:pt>
                <c:pt idx="7">
                  <c:v>842</c:v>
                </c:pt>
                <c:pt idx="8">
                  <c:v>908</c:v>
                </c:pt>
                <c:pt idx="9">
                  <c:v>762</c:v>
                </c:pt>
                <c:pt idx="10">
                  <c:v>794</c:v>
                </c:pt>
                <c:pt idx="11">
                  <c:v>970</c:v>
                </c:pt>
                <c:pt idx="12">
                  <c:v>1304</c:v>
                </c:pt>
                <c:pt idx="13">
                  <c:v>884</c:v>
                </c:pt>
                <c:pt idx="14">
                  <c:v>1280</c:v>
                </c:pt>
                <c:pt idx="15">
                  <c:v>953</c:v>
                </c:pt>
                <c:pt idx="16">
                  <c:v>785</c:v>
                </c:pt>
                <c:pt idx="17">
                  <c:v>625</c:v>
                </c:pt>
                <c:pt idx="18">
                  <c:v>133</c:v>
                </c:pt>
                <c:pt idx="19">
                  <c:v>51</c:v>
                </c:pt>
                <c:pt idx="20">
                  <c:v>85</c:v>
                </c:pt>
                <c:pt idx="21">
                  <c:v>94</c:v>
                </c:pt>
                <c:pt idx="22">
                  <c:v>129</c:v>
                </c:pt>
                <c:pt idx="23">
                  <c:v>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Masanafu-Lubigi-24h'!$AF$9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Masanafu-Lubigi-24h'!$R$10:$R$33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Masanafu-Lubigi-24h'!$AF$10:$AF$33</c:f>
              <c:numCache>
                <c:formatCode>0</c:formatCode>
                <c:ptCount val="24"/>
                <c:pt idx="0">
                  <c:v>761</c:v>
                </c:pt>
                <c:pt idx="1">
                  <c:v>980</c:v>
                </c:pt>
                <c:pt idx="2">
                  <c:v>1130</c:v>
                </c:pt>
                <c:pt idx="3">
                  <c:v>1200</c:v>
                </c:pt>
                <c:pt idx="4">
                  <c:v>1292</c:v>
                </c:pt>
                <c:pt idx="5">
                  <c:v>1544</c:v>
                </c:pt>
                <c:pt idx="6">
                  <c:v>1548</c:v>
                </c:pt>
                <c:pt idx="7">
                  <c:v>1315</c:v>
                </c:pt>
                <c:pt idx="8">
                  <c:v>1412</c:v>
                </c:pt>
                <c:pt idx="9">
                  <c:v>1244</c:v>
                </c:pt>
                <c:pt idx="10">
                  <c:v>1256</c:v>
                </c:pt>
                <c:pt idx="11">
                  <c:v>1407</c:v>
                </c:pt>
                <c:pt idx="12">
                  <c:v>1888</c:v>
                </c:pt>
                <c:pt idx="13">
                  <c:v>1487</c:v>
                </c:pt>
                <c:pt idx="14">
                  <c:v>1879</c:v>
                </c:pt>
                <c:pt idx="15">
                  <c:v>1540</c:v>
                </c:pt>
                <c:pt idx="16">
                  <c:v>1175</c:v>
                </c:pt>
                <c:pt idx="17">
                  <c:v>890</c:v>
                </c:pt>
                <c:pt idx="18">
                  <c:v>198</c:v>
                </c:pt>
                <c:pt idx="19">
                  <c:v>71</c:v>
                </c:pt>
                <c:pt idx="20">
                  <c:v>113</c:v>
                </c:pt>
                <c:pt idx="21">
                  <c:v>127</c:v>
                </c:pt>
                <c:pt idx="22">
                  <c:v>238</c:v>
                </c:pt>
                <c:pt idx="23">
                  <c:v>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Masanafu-Lubigi-24h'!$C$9:$N$9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Masanafu-Lubigi-24h'!$C$107:$N$107</c:f>
              <c:numCache>
                <c:formatCode>0.0%</c:formatCode>
                <c:ptCount val="12"/>
                <c:pt idx="0">
                  <c:v>0.24927136667979519</c:v>
                </c:pt>
                <c:pt idx="1">
                  <c:v>8.148877510831036E-2</c:v>
                </c:pt>
                <c:pt idx="2">
                  <c:v>5.9157148483654984E-2</c:v>
                </c:pt>
                <c:pt idx="3">
                  <c:v>0.10082709728239464</c:v>
                </c:pt>
                <c:pt idx="4">
                  <c:v>6.6167782591571482E-3</c:v>
                </c:pt>
                <c:pt idx="5">
                  <c:v>3.3871602993304451E-3</c:v>
                </c:pt>
                <c:pt idx="6">
                  <c:v>3.3753446238676647E-2</c:v>
                </c:pt>
                <c:pt idx="7">
                  <c:v>3.5998424576604959E-2</c:v>
                </c:pt>
                <c:pt idx="8">
                  <c:v>3.7298148877510831E-2</c:v>
                </c:pt>
                <c:pt idx="9">
                  <c:v>3.3871602993304453E-2</c:v>
                </c:pt>
                <c:pt idx="10">
                  <c:v>0.3582906656163844</c:v>
                </c:pt>
                <c:pt idx="11">
                  <c:v>3.9385584875935406E-5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Masanafu-Lubigi-24h'!$C$9:$N$9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Masanafu-Lubigi-24h'!$C$108:$N$108</c:f>
              <c:numCache>
                <c:formatCode>0.00%</c:formatCode>
                <c:ptCount val="12"/>
                <c:pt idx="0">
                  <c:v>0.38844902718959062</c:v>
                </c:pt>
                <c:pt idx="1">
                  <c:v>0.1269870496532253</c:v>
                </c:pt>
                <c:pt idx="2">
                  <c:v>9.2186828699441475E-2</c:v>
                </c:pt>
                <c:pt idx="3">
                  <c:v>0.15712269072607868</c:v>
                </c:pt>
                <c:pt idx="4">
                  <c:v>1.0311176578898913E-2</c:v>
                </c:pt>
                <c:pt idx="5">
                  <c:v>5.278340391579206E-3</c:v>
                </c:pt>
                <c:pt idx="6">
                  <c:v>5.2599275762597437E-2</c:v>
                </c:pt>
                <c:pt idx="7">
                  <c:v>5.6097710673295283E-2</c:v>
                </c:pt>
                <c:pt idx="8">
                  <c:v>5.8123120358436135E-2</c:v>
                </c:pt>
                <c:pt idx="9">
                  <c:v>5.278340391579206E-2</c:v>
                </c:pt>
                <c:pt idx="11">
                  <c:v>6.1376051064874487E-5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Lubigi-Masanafu'!$AE$9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Lubigi-Masanafu'!$AE$10:$AE$21</c:f>
              <c:numCache>
                <c:formatCode>0</c:formatCode>
                <c:ptCount val="12"/>
                <c:pt idx="0">
                  <c:v>432</c:v>
                </c:pt>
                <c:pt idx="1">
                  <c:v>453</c:v>
                </c:pt>
                <c:pt idx="2">
                  <c:v>494</c:v>
                </c:pt>
                <c:pt idx="3">
                  <c:v>560</c:v>
                </c:pt>
                <c:pt idx="4">
                  <c:v>560</c:v>
                </c:pt>
                <c:pt idx="5">
                  <c:v>665</c:v>
                </c:pt>
                <c:pt idx="6">
                  <c:v>654</c:v>
                </c:pt>
                <c:pt idx="7">
                  <c:v>452</c:v>
                </c:pt>
                <c:pt idx="8">
                  <c:v>692</c:v>
                </c:pt>
                <c:pt idx="9">
                  <c:v>610</c:v>
                </c:pt>
                <c:pt idx="10">
                  <c:v>719</c:v>
                </c:pt>
                <c:pt idx="11">
                  <c:v>699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Lubigi-Masanafu'!$AF$9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Lubigi-Masanafu'!$AF$10:$AF$21</c:f>
              <c:numCache>
                <c:formatCode>0</c:formatCode>
                <c:ptCount val="12"/>
                <c:pt idx="0">
                  <c:v>928</c:v>
                </c:pt>
                <c:pt idx="1">
                  <c:v>987</c:v>
                </c:pt>
                <c:pt idx="2">
                  <c:v>1063</c:v>
                </c:pt>
                <c:pt idx="3">
                  <c:v>1098</c:v>
                </c:pt>
                <c:pt idx="4">
                  <c:v>1224</c:v>
                </c:pt>
                <c:pt idx="5">
                  <c:v>1353</c:v>
                </c:pt>
                <c:pt idx="6">
                  <c:v>1360</c:v>
                </c:pt>
                <c:pt idx="7">
                  <c:v>987</c:v>
                </c:pt>
                <c:pt idx="8">
                  <c:v>1176</c:v>
                </c:pt>
                <c:pt idx="9">
                  <c:v>1213</c:v>
                </c:pt>
                <c:pt idx="10">
                  <c:v>1316</c:v>
                </c:pt>
                <c:pt idx="11">
                  <c:v>1314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Lubigi-Masanafu'!$C$59:$N$59</c:f>
              <c:numCache>
                <c:formatCode>0.0%</c:formatCode>
                <c:ptCount val="12"/>
                <c:pt idx="0">
                  <c:v>0.25244311291818244</c:v>
                </c:pt>
                <c:pt idx="1">
                  <c:v>4.0088451387402808E-2</c:v>
                </c:pt>
                <c:pt idx="2">
                  <c:v>3.6664526713745628E-2</c:v>
                </c:pt>
                <c:pt idx="3">
                  <c:v>8.8736714458948568E-2</c:v>
                </c:pt>
                <c:pt idx="4">
                  <c:v>7.133176403452457E-3</c:v>
                </c:pt>
                <c:pt idx="5">
                  <c:v>1.9259576289321636E-3</c:v>
                </c:pt>
                <c:pt idx="6">
                  <c:v>4.4154361937370712E-2</c:v>
                </c:pt>
                <c:pt idx="7">
                  <c:v>3.994578785933376E-3</c:v>
                </c:pt>
                <c:pt idx="8">
                  <c:v>9.2731293244881947E-3</c:v>
                </c:pt>
                <c:pt idx="9">
                  <c:v>1.4123689278835866E-2</c:v>
                </c:pt>
                <c:pt idx="10">
                  <c:v>0.50139096939867323</c:v>
                </c:pt>
                <c:pt idx="11">
                  <c:v>7.133176403452457E-5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Lubigi-Masanafu'!$S$9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Lubigi-Masanafu'!$S$10:$S$21</c:f>
              <c:numCache>
                <c:formatCode>0</c:formatCode>
                <c:ptCount val="12"/>
                <c:pt idx="0">
                  <c:v>149</c:v>
                </c:pt>
                <c:pt idx="1">
                  <c:v>230</c:v>
                </c:pt>
                <c:pt idx="2">
                  <c:v>193</c:v>
                </c:pt>
                <c:pt idx="3">
                  <c:v>310</c:v>
                </c:pt>
                <c:pt idx="4">
                  <c:v>312</c:v>
                </c:pt>
                <c:pt idx="5">
                  <c:v>387</c:v>
                </c:pt>
                <c:pt idx="6">
                  <c:v>344</c:v>
                </c:pt>
                <c:pt idx="7">
                  <c:v>242</c:v>
                </c:pt>
                <c:pt idx="8">
                  <c:v>401</c:v>
                </c:pt>
                <c:pt idx="9">
                  <c:v>288</c:v>
                </c:pt>
                <c:pt idx="10">
                  <c:v>336</c:v>
                </c:pt>
                <c:pt idx="11">
                  <c:v>347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Lubigi-Masanafu'!$T$9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Lubigi-Masanafu'!$T$10:$T$21</c:f>
              <c:numCache>
                <c:formatCode>0</c:formatCode>
                <c:ptCount val="12"/>
                <c:pt idx="0">
                  <c:v>27</c:v>
                </c:pt>
                <c:pt idx="1">
                  <c:v>49</c:v>
                </c:pt>
                <c:pt idx="2">
                  <c:v>38</c:v>
                </c:pt>
                <c:pt idx="3">
                  <c:v>36</c:v>
                </c:pt>
                <c:pt idx="4">
                  <c:v>54</c:v>
                </c:pt>
                <c:pt idx="5">
                  <c:v>58</c:v>
                </c:pt>
                <c:pt idx="6">
                  <c:v>54</c:v>
                </c:pt>
                <c:pt idx="7">
                  <c:v>30</c:v>
                </c:pt>
                <c:pt idx="8">
                  <c:v>49</c:v>
                </c:pt>
                <c:pt idx="9">
                  <c:v>53</c:v>
                </c:pt>
                <c:pt idx="10">
                  <c:v>66</c:v>
                </c:pt>
                <c:pt idx="11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Lubigi-Masanafu'!$U$9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Lubigi-Masanafu'!$U$10:$U$21</c:f>
              <c:numCache>
                <c:formatCode>0</c:formatCode>
                <c:ptCount val="12"/>
                <c:pt idx="0">
                  <c:v>24</c:v>
                </c:pt>
                <c:pt idx="1">
                  <c:v>35</c:v>
                </c:pt>
                <c:pt idx="2">
                  <c:v>64</c:v>
                </c:pt>
                <c:pt idx="3">
                  <c:v>28</c:v>
                </c:pt>
                <c:pt idx="4">
                  <c:v>32</c:v>
                </c:pt>
                <c:pt idx="5">
                  <c:v>46</c:v>
                </c:pt>
                <c:pt idx="6">
                  <c:v>66</c:v>
                </c:pt>
                <c:pt idx="7">
                  <c:v>46</c:v>
                </c:pt>
                <c:pt idx="8">
                  <c:v>30</c:v>
                </c:pt>
                <c:pt idx="9">
                  <c:v>38</c:v>
                </c:pt>
                <c:pt idx="10">
                  <c:v>49</c:v>
                </c:pt>
                <c:pt idx="1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Lubigi-Masanafu'!$V$9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Lubigi-Masanafu'!$V$10:$V$21</c:f>
              <c:numCache>
                <c:formatCode>0</c:formatCode>
                <c:ptCount val="12"/>
                <c:pt idx="0">
                  <c:v>144</c:v>
                </c:pt>
                <c:pt idx="1">
                  <c:v>69</c:v>
                </c:pt>
                <c:pt idx="2">
                  <c:v>98</c:v>
                </c:pt>
                <c:pt idx="3">
                  <c:v>104</c:v>
                </c:pt>
                <c:pt idx="4">
                  <c:v>85</c:v>
                </c:pt>
                <c:pt idx="5">
                  <c:v>88</c:v>
                </c:pt>
                <c:pt idx="6">
                  <c:v>87</c:v>
                </c:pt>
                <c:pt idx="7">
                  <c:v>60</c:v>
                </c:pt>
                <c:pt idx="8">
                  <c:v>104</c:v>
                </c:pt>
                <c:pt idx="9">
                  <c:v>120</c:v>
                </c:pt>
                <c:pt idx="10">
                  <c:v>138</c:v>
                </c:pt>
                <c:pt idx="11">
                  <c:v>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Lubigi-Masanafu'!$W$9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Lubigi-Masanafu'!$W$10:$W$21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8</c:v>
                </c:pt>
                <c:pt idx="3">
                  <c:v>3</c:v>
                </c:pt>
                <c:pt idx="4">
                  <c:v>12</c:v>
                </c:pt>
                <c:pt idx="5">
                  <c:v>6</c:v>
                </c:pt>
                <c:pt idx="6">
                  <c:v>2</c:v>
                </c:pt>
                <c:pt idx="7">
                  <c:v>5</c:v>
                </c:pt>
                <c:pt idx="8">
                  <c:v>5</c:v>
                </c:pt>
                <c:pt idx="9">
                  <c:v>18</c:v>
                </c:pt>
                <c:pt idx="10">
                  <c:v>18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Lubigi-Masanafu'!$X$9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Lubigi-Masanafu'!$X$10:$X$21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Lubigi-Masanafu'!$Y$9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Lubigi-Masanafu'!$Y$10:$Y$21</c:f>
              <c:numCache>
                <c:formatCode>0</c:formatCode>
                <c:ptCount val="12"/>
                <c:pt idx="0">
                  <c:v>29</c:v>
                </c:pt>
                <c:pt idx="1">
                  <c:v>29</c:v>
                </c:pt>
                <c:pt idx="2">
                  <c:v>60</c:v>
                </c:pt>
                <c:pt idx="3">
                  <c:v>48</c:v>
                </c:pt>
                <c:pt idx="4">
                  <c:v>37</c:v>
                </c:pt>
                <c:pt idx="5">
                  <c:v>53</c:v>
                </c:pt>
                <c:pt idx="6">
                  <c:v>64</c:v>
                </c:pt>
                <c:pt idx="7">
                  <c:v>46</c:v>
                </c:pt>
                <c:pt idx="8">
                  <c:v>68</c:v>
                </c:pt>
                <c:pt idx="9">
                  <c:v>63</c:v>
                </c:pt>
                <c:pt idx="10">
                  <c:v>66</c:v>
                </c:pt>
                <c:pt idx="1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Lubigi-Masanafu'!$Z$9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Lubigi-Masanafu'!$Z$10:$Z$21</c:f>
              <c:numCache>
                <c:formatCode>0</c:formatCode>
                <c:ptCount val="12"/>
                <c:pt idx="0">
                  <c:v>20</c:v>
                </c:pt>
                <c:pt idx="1">
                  <c:v>9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4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Lubigi-Masanafu'!$AA$9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Lubigi-Masanafu'!$AA$10:$AA$21</c:f>
              <c:numCache>
                <c:formatCode>0</c:formatCode>
                <c:ptCount val="12"/>
                <c:pt idx="0">
                  <c:v>11</c:v>
                </c:pt>
                <c:pt idx="1">
                  <c:v>13</c:v>
                </c:pt>
                <c:pt idx="2">
                  <c:v>11</c:v>
                </c:pt>
                <c:pt idx="3">
                  <c:v>6</c:v>
                </c:pt>
                <c:pt idx="4">
                  <c:v>11</c:v>
                </c:pt>
                <c:pt idx="5">
                  <c:v>10</c:v>
                </c:pt>
                <c:pt idx="6">
                  <c:v>15</c:v>
                </c:pt>
                <c:pt idx="7">
                  <c:v>13</c:v>
                </c:pt>
                <c:pt idx="8">
                  <c:v>13</c:v>
                </c:pt>
                <c:pt idx="9">
                  <c:v>5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Lubigi-Masanafu'!$AB$9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Lubigi-Masanafu'!$AB$10:$AB$21</c:f>
              <c:numCache>
                <c:formatCode>0</c:formatCode>
                <c:ptCount val="12"/>
                <c:pt idx="0">
                  <c:v>19</c:v>
                </c:pt>
                <c:pt idx="1">
                  <c:v>13</c:v>
                </c:pt>
                <c:pt idx="2">
                  <c:v>15</c:v>
                </c:pt>
                <c:pt idx="3">
                  <c:v>23</c:v>
                </c:pt>
                <c:pt idx="4">
                  <c:v>15</c:v>
                </c:pt>
                <c:pt idx="5">
                  <c:v>14</c:v>
                </c:pt>
                <c:pt idx="6">
                  <c:v>18</c:v>
                </c:pt>
                <c:pt idx="7">
                  <c:v>8</c:v>
                </c:pt>
                <c:pt idx="8">
                  <c:v>17</c:v>
                </c:pt>
                <c:pt idx="9">
                  <c:v>18</c:v>
                </c:pt>
                <c:pt idx="10">
                  <c:v>20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Lubigi-Masanafu'!$AC$9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Lubigi-Masanafu'!$AC$10:$AC$21</c:f>
              <c:numCache>
                <c:formatCode>0</c:formatCode>
                <c:ptCount val="12"/>
                <c:pt idx="0">
                  <c:v>496</c:v>
                </c:pt>
                <c:pt idx="1">
                  <c:v>534</c:v>
                </c:pt>
                <c:pt idx="2">
                  <c:v>569</c:v>
                </c:pt>
                <c:pt idx="3">
                  <c:v>538</c:v>
                </c:pt>
                <c:pt idx="4">
                  <c:v>664</c:v>
                </c:pt>
                <c:pt idx="5">
                  <c:v>688</c:v>
                </c:pt>
                <c:pt idx="6">
                  <c:v>706</c:v>
                </c:pt>
                <c:pt idx="7">
                  <c:v>535</c:v>
                </c:pt>
                <c:pt idx="8">
                  <c:v>484</c:v>
                </c:pt>
                <c:pt idx="9">
                  <c:v>603</c:v>
                </c:pt>
                <c:pt idx="10">
                  <c:v>597</c:v>
                </c:pt>
                <c:pt idx="11">
                  <c:v>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Lubigi-Masanafu'!$AD$9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Lubigi-Masanafu'!$AD$10:$AD$21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Lubigi-Masanafu'!$C$60:$N$60</c:f>
              <c:numCache>
                <c:formatCode>0.00%</c:formatCode>
                <c:ptCount val="12"/>
                <c:pt idx="0">
                  <c:v>0.50629470672389132</c:v>
                </c:pt>
                <c:pt idx="1">
                  <c:v>8.040057224606581E-2</c:v>
                </c:pt>
                <c:pt idx="2">
                  <c:v>7.3533619456366231E-2</c:v>
                </c:pt>
                <c:pt idx="3">
                  <c:v>0.17796852646638053</c:v>
                </c:pt>
                <c:pt idx="4">
                  <c:v>1.4306151645207439E-2</c:v>
                </c:pt>
                <c:pt idx="5">
                  <c:v>3.8626609442060085E-3</c:v>
                </c:pt>
                <c:pt idx="6">
                  <c:v>8.8555078683834054E-2</c:v>
                </c:pt>
                <c:pt idx="7">
                  <c:v>8.0114449213161652E-3</c:v>
                </c:pt>
                <c:pt idx="8">
                  <c:v>1.8597997138769671E-2</c:v>
                </c:pt>
                <c:pt idx="9">
                  <c:v>2.8326180257510731E-2</c:v>
                </c:pt>
                <c:pt idx="11">
                  <c:v>1.430615164520744E-4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Masanafu-Lubigi'!$AE$9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Masanafu-Lubigi'!$AE$10:$AE$21</c:f>
              <c:numCache>
                <c:formatCode>0</c:formatCode>
                <c:ptCount val="12"/>
                <c:pt idx="0">
                  <c:v>540</c:v>
                </c:pt>
                <c:pt idx="1">
                  <c:v>633</c:v>
                </c:pt>
                <c:pt idx="2">
                  <c:v>708</c:v>
                </c:pt>
                <c:pt idx="3">
                  <c:v>725</c:v>
                </c:pt>
                <c:pt idx="4">
                  <c:v>839</c:v>
                </c:pt>
                <c:pt idx="5">
                  <c:v>866</c:v>
                </c:pt>
                <c:pt idx="6">
                  <c:v>635</c:v>
                </c:pt>
                <c:pt idx="7">
                  <c:v>836</c:v>
                </c:pt>
                <c:pt idx="8">
                  <c:v>745</c:v>
                </c:pt>
                <c:pt idx="9">
                  <c:v>858</c:v>
                </c:pt>
                <c:pt idx="10">
                  <c:v>698</c:v>
                </c:pt>
                <c:pt idx="11">
                  <c:v>1073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Masanafu-Lubigi'!$AF$9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Masanafu-Lubigi'!$AF$10:$AF$21</c:f>
              <c:numCache>
                <c:formatCode>0</c:formatCode>
                <c:ptCount val="12"/>
                <c:pt idx="0">
                  <c:v>998</c:v>
                </c:pt>
                <c:pt idx="1">
                  <c:v>1079</c:v>
                </c:pt>
                <c:pt idx="2">
                  <c:v>1205</c:v>
                </c:pt>
                <c:pt idx="3">
                  <c:v>1182</c:v>
                </c:pt>
                <c:pt idx="4">
                  <c:v>1341</c:v>
                </c:pt>
                <c:pt idx="5">
                  <c:v>1370</c:v>
                </c:pt>
                <c:pt idx="6">
                  <c:v>1183</c:v>
                </c:pt>
                <c:pt idx="7">
                  <c:v>1203</c:v>
                </c:pt>
                <c:pt idx="8">
                  <c:v>1182</c:v>
                </c:pt>
                <c:pt idx="9">
                  <c:v>1372</c:v>
                </c:pt>
                <c:pt idx="10">
                  <c:v>1106</c:v>
                </c:pt>
                <c:pt idx="11">
                  <c:v>1567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Masanafu-Lubigi'!$C$59:$N$59</c:f>
              <c:numCache>
                <c:formatCode>0.0%</c:formatCode>
                <c:ptCount val="12"/>
                <c:pt idx="0">
                  <c:v>0.29679469840411143</c:v>
                </c:pt>
                <c:pt idx="1">
                  <c:v>9.7038139031647277E-2</c:v>
                </c:pt>
                <c:pt idx="2">
                  <c:v>4.104679469840411E-2</c:v>
                </c:pt>
                <c:pt idx="3">
                  <c:v>0.11299702461455234</c:v>
                </c:pt>
                <c:pt idx="4">
                  <c:v>5.7479037057073306E-3</c:v>
                </c:pt>
                <c:pt idx="5">
                  <c:v>1.5553151203678659E-3</c:v>
                </c:pt>
                <c:pt idx="6">
                  <c:v>3.0903435217744118E-2</c:v>
                </c:pt>
                <c:pt idx="7">
                  <c:v>1.2780632945631594E-2</c:v>
                </c:pt>
                <c:pt idx="8">
                  <c:v>5.3421693264809307E-3</c:v>
                </c:pt>
                <c:pt idx="9">
                  <c:v>1.4876927238301325E-2</c:v>
                </c:pt>
                <c:pt idx="10">
                  <c:v>0.38084933730051396</c:v>
                </c:pt>
                <c:pt idx="11">
                  <c:v>6.7622396537733297E-5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Masanafu-Lubigi'!$S$9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Masanafu-Lubigi'!$S$10:$S$21</c:f>
              <c:numCache>
                <c:formatCode>0</c:formatCode>
                <c:ptCount val="12"/>
                <c:pt idx="0">
                  <c:v>293</c:v>
                </c:pt>
                <c:pt idx="1">
                  <c:v>278</c:v>
                </c:pt>
                <c:pt idx="2">
                  <c:v>341</c:v>
                </c:pt>
                <c:pt idx="3">
                  <c:v>379</c:v>
                </c:pt>
                <c:pt idx="4">
                  <c:v>455</c:v>
                </c:pt>
                <c:pt idx="5">
                  <c:v>388</c:v>
                </c:pt>
                <c:pt idx="6">
                  <c:v>279</c:v>
                </c:pt>
                <c:pt idx="7">
                  <c:v>258</c:v>
                </c:pt>
                <c:pt idx="8">
                  <c:v>343</c:v>
                </c:pt>
                <c:pt idx="9">
                  <c:v>450</c:v>
                </c:pt>
                <c:pt idx="10">
                  <c:v>403</c:v>
                </c:pt>
                <c:pt idx="11">
                  <c:v>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Masanafu-Lubigi'!$T$9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Masanafu-Lubigi'!$R$10:$R$21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Masanafu-Lubigi'!$T$10:$T$21</c:f>
              <c:numCache>
                <c:formatCode>0</c:formatCode>
                <c:ptCount val="12"/>
                <c:pt idx="0">
                  <c:v>54</c:v>
                </c:pt>
                <c:pt idx="1">
                  <c:v>58</c:v>
                </c:pt>
                <c:pt idx="2">
                  <c:v>97</c:v>
                </c:pt>
                <c:pt idx="3">
                  <c:v>96</c:v>
                </c:pt>
                <c:pt idx="4">
                  <c:v>119</c:v>
                </c:pt>
                <c:pt idx="5">
                  <c:v>133</c:v>
                </c:pt>
                <c:pt idx="6">
                  <c:v>73</c:v>
                </c:pt>
                <c:pt idx="7">
                  <c:v>205</c:v>
                </c:pt>
                <c:pt idx="8">
                  <c:v>113</c:v>
                </c:pt>
                <c:pt idx="9">
                  <c:v>158</c:v>
                </c:pt>
                <c:pt idx="10">
                  <c:v>90</c:v>
                </c:pt>
                <c:pt idx="11">
                  <c:v>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Masanafu-Lubigi'!$U$9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Masanafu-Lubigi'!$U$10:$U$21</c:f>
              <c:numCache>
                <c:formatCode>0</c:formatCode>
                <c:ptCount val="12"/>
                <c:pt idx="0">
                  <c:v>21</c:v>
                </c:pt>
                <c:pt idx="1">
                  <c:v>29</c:v>
                </c:pt>
                <c:pt idx="2">
                  <c:v>42</c:v>
                </c:pt>
                <c:pt idx="3">
                  <c:v>48</c:v>
                </c:pt>
                <c:pt idx="4">
                  <c:v>43</c:v>
                </c:pt>
                <c:pt idx="5">
                  <c:v>84</c:v>
                </c:pt>
                <c:pt idx="6">
                  <c:v>48</c:v>
                </c:pt>
                <c:pt idx="7">
                  <c:v>76</c:v>
                </c:pt>
                <c:pt idx="8">
                  <c:v>67</c:v>
                </c:pt>
                <c:pt idx="9">
                  <c:v>43</c:v>
                </c:pt>
                <c:pt idx="10">
                  <c:v>37</c:v>
                </c:pt>
                <c:pt idx="1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Masanafu-Lubigi'!$V$9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Masanafu-Lubigi'!$V$10:$V$21</c:f>
              <c:numCache>
                <c:formatCode>0</c:formatCode>
                <c:ptCount val="12"/>
                <c:pt idx="0">
                  <c:v>77</c:v>
                </c:pt>
                <c:pt idx="1">
                  <c:v>162</c:v>
                </c:pt>
                <c:pt idx="2">
                  <c:v>132</c:v>
                </c:pt>
                <c:pt idx="3">
                  <c:v>110</c:v>
                </c:pt>
                <c:pt idx="4">
                  <c:v>121</c:v>
                </c:pt>
                <c:pt idx="5">
                  <c:v>190</c:v>
                </c:pt>
                <c:pt idx="6">
                  <c:v>163</c:v>
                </c:pt>
                <c:pt idx="7">
                  <c:v>205</c:v>
                </c:pt>
                <c:pt idx="8">
                  <c:v>124</c:v>
                </c:pt>
                <c:pt idx="9">
                  <c:v>107</c:v>
                </c:pt>
                <c:pt idx="10">
                  <c:v>94</c:v>
                </c:pt>
                <c:pt idx="11">
                  <c:v>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Masanafu-Lubigi'!$W$9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Masanafu-Lubigi'!$W$10:$W$21</c:f>
              <c:numCache>
                <c:formatCode>0</c:formatCode>
                <c:ptCount val="12"/>
                <c:pt idx="0">
                  <c:v>16</c:v>
                </c:pt>
                <c:pt idx="1">
                  <c:v>13</c:v>
                </c:pt>
                <c:pt idx="2">
                  <c:v>20</c:v>
                </c:pt>
                <c:pt idx="3">
                  <c:v>12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7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Masanafu-Lubigi'!$X$9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Masanafu-Lubigi'!$X$10:$X$21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Masanafu-Lubigi'!$Y$9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Masanafu-Lubigi'!$Y$10:$Y$21</c:f>
              <c:numCache>
                <c:formatCode>0</c:formatCode>
                <c:ptCount val="12"/>
                <c:pt idx="0">
                  <c:v>43</c:v>
                </c:pt>
                <c:pt idx="1">
                  <c:v>49</c:v>
                </c:pt>
                <c:pt idx="2">
                  <c:v>38</c:v>
                </c:pt>
                <c:pt idx="3">
                  <c:v>39</c:v>
                </c:pt>
                <c:pt idx="4">
                  <c:v>36</c:v>
                </c:pt>
                <c:pt idx="5">
                  <c:v>34</c:v>
                </c:pt>
                <c:pt idx="6">
                  <c:v>33</c:v>
                </c:pt>
                <c:pt idx="7">
                  <c:v>38</c:v>
                </c:pt>
                <c:pt idx="8">
                  <c:v>45</c:v>
                </c:pt>
                <c:pt idx="9">
                  <c:v>46</c:v>
                </c:pt>
                <c:pt idx="10">
                  <c:v>31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Masanafu-Lubigi'!$Z$9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Masanafu-Lubigi'!$Z$10:$Z$21</c:f>
              <c:numCache>
                <c:formatCode>0</c:formatCode>
                <c:ptCount val="12"/>
                <c:pt idx="0">
                  <c:v>15</c:v>
                </c:pt>
                <c:pt idx="1">
                  <c:v>17</c:v>
                </c:pt>
                <c:pt idx="2">
                  <c:v>15</c:v>
                </c:pt>
                <c:pt idx="3">
                  <c:v>21</c:v>
                </c:pt>
                <c:pt idx="4">
                  <c:v>16</c:v>
                </c:pt>
                <c:pt idx="5">
                  <c:v>12</c:v>
                </c:pt>
                <c:pt idx="6">
                  <c:v>12</c:v>
                </c:pt>
                <c:pt idx="7">
                  <c:v>17</c:v>
                </c:pt>
                <c:pt idx="8">
                  <c:v>22</c:v>
                </c:pt>
                <c:pt idx="9">
                  <c:v>21</c:v>
                </c:pt>
                <c:pt idx="10">
                  <c:v>10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Masanafu-Lubigi'!$AA$9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Masanafu-Lubigi'!$AA$10:$AA$21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  <c:pt idx="5">
                  <c:v>9</c:v>
                </c:pt>
                <c:pt idx="6">
                  <c:v>9</c:v>
                </c:pt>
                <c:pt idx="7">
                  <c:v>18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Masanafu-Lubigi'!$AB$9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Masanafu-Lubigi'!$AB$10:$AB$21</c:f>
              <c:numCache>
                <c:formatCode>0</c:formatCode>
                <c:ptCount val="12"/>
                <c:pt idx="0">
                  <c:v>14</c:v>
                </c:pt>
                <c:pt idx="1">
                  <c:v>18</c:v>
                </c:pt>
                <c:pt idx="2">
                  <c:v>15</c:v>
                </c:pt>
                <c:pt idx="3">
                  <c:v>16</c:v>
                </c:pt>
                <c:pt idx="4">
                  <c:v>43</c:v>
                </c:pt>
                <c:pt idx="5">
                  <c:v>13</c:v>
                </c:pt>
                <c:pt idx="6">
                  <c:v>15</c:v>
                </c:pt>
                <c:pt idx="7">
                  <c:v>16</c:v>
                </c:pt>
                <c:pt idx="8">
                  <c:v>19</c:v>
                </c:pt>
                <c:pt idx="9">
                  <c:v>18</c:v>
                </c:pt>
                <c:pt idx="10">
                  <c:v>23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Masanafu-Lubigi'!$AC$9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Masanafu-Lubigi'!$AC$10:$AC$21</c:f>
              <c:numCache>
                <c:formatCode>0</c:formatCode>
                <c:ptCount val="12"/>
                <c:pt idx="0">
                  <c:v>458</c:v>
                </c:pt>
                <c:pt idx="1">
                  <c:v>446</c:v>
                </c:pt>
                <c:pt idx="2">
                  <c:v>497</c:v>
                </c:pt>
                <c:pt idx="3">
                  <c:v>457</c:v>
                </c:pt>
                <c:pt idx="4">
                  <c:v>502</c:v>
                </c:pt>
                <c:pt idx="5">
                  <c:v>504</c:v>
                </c:pt>
                <c:pt idx="6">
                  <c:v>548</c:v>
                </c:pt>
                <c:pt idx="7">
                  <c:v>367</c:v>
                </c:pt>
                <c:pt idx="8">
                  <c:v>437</c:v>
                </c:pt>
                <c:pt idx="9">
                  <c:v>514</c:v>
                </c:pt>
                <c:pt idx="10">
                  <c:v>408</c:v>
                </c:pt>
                <c:pt idx="11">
                  <c:v>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Masanafu-Lubigi'!$AD$9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Masanafu-Lubigi'!$AD$10:$AD$21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Masanafu-Lubigi'!$C$60:$N$60</c:f>
              <c:numCache>
                <c:formatCode>0.00%</c:formatCode>
                <c:ptCount val="12"/>
                <c:pt idx="0">
                  <c:v>0.47935779816513763</c:v>
                </c:pt>
                <c:pt idx="1">
                  <c:v>0.15672782874617738</c:v>
                </c:pt>
                <c:pt idx="2">
                  <c:v>6.6295325469637401E-2</c:v>
                </c:pt>
                <c:pt idx="3">
                  <c:v>0.18250327653997378</c:v>
                </c:pt>
                <c:pt idx="4">
                  <c:v>9.2835299257317608E-3</c:v>
                </c:pt>
                <c:pt idx="5">
                  <c:v>2.5120139799038881E-3</c:v>
                </c:pt>
                <c:pt idx="6">
                  <c:v>4.9912625600698993E-2</c:v>
                </c:pt>
                <c:pt idx="7">
                  <c:v>2.0642201834862386E-2</c:v>
                </c:pt>
                <c:pt idx="8">
                  <c:v>8.6282219309742249E-3</c:v>
                </c:pt>
                <c:pt idx="9">
                  <c:v>2.4027959807776323E-2</c:v>
                </c:pt>
                <c:pt idx="11">
                  <c:v>1.0921799912625601E-4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Lubigi-Masanafu'!$AE$9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Lubigi-Masanafu'!$R$10:$R$33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Lubigi-Masanafu'!$AE$10:$AE$33</c:f>
              <c:numCache>
                <c:formatCode>0</c:formatCode>
                <c:ptCount val="24"/>
                <c:pt idx="0">
                  <c:v>454.42857142857139</c:v>
                </c:pt>
                <c:pt idx="1">
                  <c:v>485.99999999999994</c:v>
                </c:pt>
                <c:pt idx="2">
                  <c:v>489.85714285714289</c:v>
                </c:pt>
                <c:pt idx="3">
                  <c:v>597.85714285714289</c:v>
                </c:pt>
                <c:pt idx="4">
                  <c:v>584.28571428571422</c:v>
                </c:pt>
                <c:pt idx="5">
                  <c:v>603.14285714285711</c:v>
                </c:pt>
                <c:pt idx="6">
                  <c:v>597.14285714285722</c:v>
                </c:pt>
                <c:pt idx="7">
                  <c:v>514</c:v>
                </c:pt>
                <c:pt idx="8">
                  <c:v>564.14285714285711</c:v>
                </c:pt>
                <c:pt idx="9">
                  <c:v>616.85714285714289</c:v>
                </c:pt>
                <c:pt idx="10">
                  <c:v>753.14285714285711</c:v>
                </c:pt>
                <c:pt idx="11">
                  <c:v>765.71428571428578</c:v>
                </c:pt>
                <c:pt idx="12">
                  <c:v>1341.5</c:v>
                </c:pt>
                <c:pt idx="13">
                  <c:v>1547</c:v>
                </c:pt>
                <c:pt idx="14">
                  <c:v>901.5</c:v>
                </c:pt>
                <c:pt idx="15">
                  <c:v>779.5</c:v>
                </c:pt>
                <c:pt idx="16">
                  <c:v>673</c:v>
                </c:pt>
                <c:pt idx="17">
                  <c:v>638</c:v>
                </c:pt>
                <c:pt idx="18">
                  <c:v>310.5</c:v>
                </c:pt>
                <c:pt idx="19">
                  <c:v>189</c:v>
                </c:pt>
                <c:pt idx="20">
                  <c:v>206.5</c:v>
                </c:pt>
                <c:pt idx="21">
                  <c:v>256</c:v>
                </c:pt>
                <c:pt idx="22">
                  <c:v>230.5</c:v>
                </c:pt>
                <c:pt idx="23">
                  <c:v>711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Lubigi-Masanafu'!$AF$9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Lubigi-Masanafu'!$R$10:$R$33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Lubigi-Masanafu'!$AF$10:$AF$33</c:f>
              <c:numCache>
                <c:formatCode>0</c:formatCode>
                <c:ptCount val="24"/>
                <c:pt idx="0">
                  <c:v>882.57142857142856</c:v>
                </c:pt>
                <c:pt idx="1">
                  <c:v>989.28571428571422</c:v>
                </c:pt>
                <c:pt idx="2">
                  <c:v>970.85714285714289</c:v>
                </c:pt>
                <c:pt idx="3">
                  <c:v>1186.5714285714284</c:v>
                </c:pt>
                <c:pt idx="4">
                  <c:v>1181.8571428571429</c:v>
                </c:pt>
                <c:pt idx="5">
                  <c:v>1140.2857142857144</c:v>
                </c:pt>
                <c:pt idx="6">
                  <c:v>1094.5714285714284</c:v>
                </c:pt>
                <c:pt idx="7">
                  <c:v>965.14285714285711</c:v>
                </c:pt>
                <c:pt idx="8">
                  <c:v>980.99999999999989</c:v>
                </c:pt>
                <c:pt idx="9">
                  <c:v>1094</c:v>
                </c:pt>
                <c:pt idx="10">
                  <c:v>1329.4285714285716</c:v>
                </c:pt>
                <c:pt idx="11">
                  <c:v>1328.5714285714284</c:v>
                </c:pt>
                <c:pt idx="12">
                  <c:v>1871.5</c:v>
                </c:pt>
                <c:pt idx="13">
                  <c:v>1988</c:v>
                </c:pt>
                <c:pt idx="14">
                  <c:v>1193</c:v>
                </c:pt>
                <c:pt idx="15">
                  <c:v>1138.5</c:v>
                </c:pt>
                <c:pt idx="16">
                  <c:v>1055</c:v>
                </c:pt>
                <c:pt idx="17">
                  <c:v>927.5</c:v>
                </c:pt>
                <c:pt idx="18">
                  <c:v>449</c:v>
                </c:pt>
                <c:pt idx="19">
                  <c:v>278.5</c:v>
                </c:pt>
                <c:pt idx="20">
                  <c:v>313</c:v>
                </c:pt>
                <c:pt idx="21">
                  <c:v>346</c:v>
                </c:pt>
                <c:pt idx="22">
                  <c:v>346</c:v>
                </c:pt>
                <c:pt idx="23">
                  <c:v>1043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9166614173228346E-2"/>
          <c:y val="5.2457556206396666E-2"/>
          <c:w val="0.81633343832020999"/>
          <c:h val="0.758621721498295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Lubigi-Masanafu'!$C$107:$N$107</c:f>
              <c:numCache>
                <c:formatCode>0.0%</c:formatCode>
                <c:ptCount val="12"/>
                <c:pt idx="0">
                  <c:v>0.22292946422218529</c:v>
                </c:pt>
                <c:pt idx="1">
                  <c:v>6.9667125204563252E-2</c:v>
                </c:pt>
                <c:pt idx="2">
                  <c:v>5.8825273343927141E-2</c:v>
                </c:pt>
                <c:pt idx="3">
                  <c:v>0.10112835898773807</c:v>
                </c:pt>
                <c:pt idx="4">
                  <c:v>5.2326684533832981E-3</c:v>
                </c:pt>
                <c:pt idx="5">
                  <c:v>1.3785783744040983E-3</c:v>
                </c:pt>
                <c:pt idx="6">
                  <c:v>4.6566302208097148E-2</c:v>
                </c:pt>
                <c:pt idx="7">
                  <c:v>5.3186443089912959E-2</c:v>
                </c:pt>
                <c:pt idx="8">
                  <c:v>3.4983279178426585E-2</c:v>
                </c:pt>
                <c:pt idx="9">
                  <c:v>2.0770580841021753E-2</c:v>
                </c:pt>
                <c:pt idx="10">
                  <c:v>0.3852785617721699</c:v>
                </c:pt>
                <c:pt idx="11">
                  <c:v>5.3364324170481229E-5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Lubigi-Masanafu'!$S$9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'Avg Week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Lubigi-Masanafu'!$S$10:$S$21</c:f>
              <c:numCache>
                <c:formatCode>0</c:formatCode>
                <c:ptCount val="12"/>
                <c:pt idx="0">
                  <c:v>195.71428571428572</c:v>
                </c:pt>
                <c:pt idx="1">
                  <c:v>208</c:v>
                </c:pt>
                <c:pt idx="2">
                  <c:v>198.57142857142856</c:v>
                </c:pt>
                <c:pt idx="3">
                  <c:v>248.28571428571428</c:v>
                </c:pt>
                <c:pt idx="4">
                  <c:v>251</c:v>
                </c:pt>
                <c:pt idx="5">
                  <c:v>267.14285714285711</c:v>
                </c:pt>
                <c:pt idx="6">
                  <c:v>270.71428571428578</c:v>
                </c:pt>
                <c:pt idx="7">
                  <c:v>213.57142857142856</c:v>
                </c:pt>
                <c:pt idx="8">
                  <c:v>250.42857142857142</c:v>
                </c:pt>
                <c:pt idx="9">
                  <c:v>267.85714285714289</c:v>
                </c:pt>
                <c:pt idx="10">
                  <c:v>350.42857142857144</c:v>
                </c:pt>
                <c:pt idx="11">
                  <c:v>341.85714285714283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68-4FCD-A619-4501F07B66D1}"/>
            </c:ext>
          </c:extLst>
        </c:ser>
        <c:ser>
          <c:idx val="1"/>
          <c:order val="1"/>
          <c:tx>
            <c:strRef>
              <c:f>'Avg Week Lubigi-Masanafu'!$T$9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'Avg Week Lubigi-Masanafu'!$R$10:$R$21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'Avg Week Lubigi-Masanafu'!$T$10:$T$21</c:f>
              <c:numCache>
                <c:formatCode>0</c:formatCode>
                <c:ptCount val="12"/>
                <c:pt idx="0">
                  <c:v>49.428571428571423</c:v>
                </c:pt>
                <c:pt idx="1">
                  <c:v>51.142857142857146</c:v>
                </c:pt>
                <c:pt idx="2">
                  <c:v>40.142857142857139</c:v>
                </c:pt>
                <c:pt idx="3">
                  <c:v>61.571428571428577</c:v>
                </c:pt>
                <c:pt idx="4">
                  <c:v>72</c:v>
                </c:pt>
                <c:pt idx="5">
                  <c:v>70.285714285714278</c:v>
                </c:pt>
                <c:pt idx="6">
                  <c:v>64.857142857142861</c:v>
                </c:pt>
                <c:pt idx="7">
                  <c:v>53.714285714285715</c:v>
                </c:pt>
                <c:pt idx="8">
                  <c:v>63.714285714285708</c:v>
                </c:pt>
                <c:pt idx="9">
                  <c:v>72</c:v>
                </c:pt>
                <c:pt idx="10">
                  <c:v>82.142857142857139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68-4FCD-A619-4501F07B66D1}"/>
            </c:ext>
          </c:extLst>
        </c:ser>
        <c:ser>
          <c:idx val="2"/>
          <c:order val="2"/>
          <c:tx>
            <c:strRef>
              <c:f>'Avg Week Lubigi-Masanafu'!$U$9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Lubigi-Masanafu'!$U$10:$U$21</c:f>
              <c:numCache>
                <c:formatCode>0</c:formatCode>
                <c:ptCount val="12"/>
                <c:pt idx="0">
                  <c:v>33.857142857142854</c:v>
                </c:pt>
                <c:pt idx="1">
                  <c:v>36.857142857142854</c:v>
                </c:pt>
                <c:pt idx="2">
                  <c:v>39.285714285714285</c:v>
                </c:pt>
                <c:pt idx="3">
                  <c:v>43.571428571428569</c:v>
                </c:pt>
                <c:pt idx="4">
                  <c:v>43.571428571428569</c:v>
                </c:pt>
                <c:pt idx="5">
                  <c:v>47.857142857142861</c:v>
                </c:pt>
                <c:pt idx="6">
                  <c:v>44.857142857142861</c:v>
                </c:pt>
                <c:pt idx="7">
                  <c:v>45.857142857142854</c:v>
                </c:pt>
                <c:pt idx="8">
                  <c:v>43.857142857142854</c:v>
                </c:pt>
                <c:pt idx="9">
                  <c:v>48.714285714285715</c:v>
                </c:pt>
                <c:pt idx="10">
                  <c:v>55.857142857142861</c:v>
                </c:pt>
                <c:pt idx="11">
                  <c:v>60.142857142857146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68-4FCD-A619-4501F07B66D1}"/>
            </c:ext>
          </c:extLst>
        </c:ser>
        <c:ser>
          <c:idx val="3"/>
          <c:order val="3"/>
          <c:tx>
            <c:strRef>
              <c:f>'Avg Week Lubigi-Masanafu'!$V$9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Lubigi-Masanafu'!$V$10:$V$21</c:f>
              <c:numCache>
                <c:formatCode>0</c:formatCode>
                <c:ptCount val="12"/>
                <c:pt idx="0">
                  <c:v>79.571428571428569</c:v>
                </c:pt>
                <c:pt idx="1">
                  <c:v>87.571428571428569</c:v>
                </c:pt>
                <c:pt idx="2">
                  <c:v>89.571428571428584</c:v>
                </c:pt>
                <c:pt idx="3">
                  <c:v>96.714285714285722</c:v>
                </c:pt>
                <c:pt idx="4">
                  <c:v>78.571428571428584</c:v>
                </c:pt>
                <c:pt idx="5">
                  <c:v>86.714285714285722</c:v>
                </c:pt>
                <c:pt idx="6">
                  <c:v>83.142857142857153</c:v>
                </c:pt>
                <c:pt idx="7">
                  <c:v>67.714285714285722</c:v>
                </c:pt>
                <c:pt idx="8">
                  <c:v>69.285714285714292</c:v>
                </c:pt>
                <c:pt idx="9">
                  <c:v>87</c:v>
                </c:pt>
                <c:pt idx="10">
                  <c:v>104.85714285714286</c:v>
                </c:pt>
                <c:pt idx="11">
                  <c:v>115.28571428571429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68-4FCD-A619-4501F07B66D1}"/>
            </c:ext>
          </c:extLst>
        </c:ser>
        <c:ser>
          <c:idx val="4"/>
          <c:order val="4"/>
          <c:tx>
            <c:strRef>
              <c:f>'Avg Week Lubigi-Masanafu'!$W$9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Lubigi-Masanafu'!$W$10:$W$21</c:f>
              <c:numCache>
                <c:formatCode>0</c:formatCode>
                <c:ptCount val="12"/>
                <c:pt idx="0">
                  <c:v>8.1428571428571441</c:v>
                </c:pt>
                <c:pt idx="1">
                  <c:v>5.8571428571428568</c:v>
                </c:pt>
                <c:pt idx="2">
                  <c:v>9.8571428571428577</c:v>
                </c:pt>
                <c:pt idx="3">
                  <c:v>12</c:v>
                </c:pt>
                <c:pt idx="4">
                  <c:v>13.285714285714285</c:v>
                </c:pt>
                <c:pt idx="5">
                  <c:v>8.5714285714285712</c:v>
                </c:pt>
                <c:pt idx="6">
                  <c:v>6.5714285714285712</c:v>
                </c:pt>
                <c:pt idx="7">
                  <c:v>2.8571428571428572</c:v>
                </c:pt>
                <c:pt idx="8">
                  <c:v>3</c:v>
                </c:pt>
                <c:pt idx="9">
                  <c:v>4.5714285714285712</c:v>
                </c:pt>
                <c:pt idx="10">
                  <c:v>5.7142857142857135</c:v>
                </c:pt>
                <c:pt idx="11">
                  <c:v>13.142857142857142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668-4FCD-A619-4501F07B66D1}"/>
            </c:ext>
          </c:extLst>
        </c:ser>
        <c:ser>
          <c:idx val="5"/>
          <c:order val="5"/>
          <c:tx>
            <c:strRef>
              <c:f>'Avg Week Lubigi-Masanafu'!$X$9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Lubigi-Masanafu'!$X$10:$X$21</c:f>
              <c:numCache>
                <c:formatCode>0</c:formatCode>
                <c:ptCount val="12"/>
                <c:pt idx="0">
                  <c:v>0.71428571428571419</c:v>
                </c:pt>
                <c:pt idx="1">
                  <c:v>1</c:v>
                </c:pt>
                <c:pt idx="2">
                  <c:v>1.2857142857142856</c:v>
                </c:pt>
                <c:pt idx="3">
                  <c:v>3</c:v>
                </c:pt>
                <c:pt idx="4">
                  <c:v>1.5714285714285712</c:v>
                </c:pt>
                <c:pt idx="5">
                  <c:v>1.857142857142857</c:v>
                </c:pt>
                <c:pt idx="6">
                  <c:v>0.85714285714285698</c:v>
                </c:pt>
                <c:pt idx="7">
                  <c:v>0.71428571428571419</c:v>
                </c:pt>
                <c:pt idx="8">
                  <c:v>1.1428571428571428</c:v>
                </c:pt>
                <c:pt idx="9">
                  <c:v>1.2857142857142856</c:v>
                </c:pt>
                <c:pt idx="10">
                  <c:v>3.2857142857142856</c:v>
                </c:pt>
                <c:pt idx="11">
                  <c:v>2.9999999999999996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668-4FCD-A619-4501F07B66D1}"/>
            </c:ext>
          </c:extLst>
        </c:ser>
        <c:ser>
          <c:idx val="6"/>
          <c:order val="6"/>
          <c:tx>
            <c:strRef>
              <c:f>'Avg Week Lubigi-Masanafu'!$Y$9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Lubigi-Masanafu'!$Y$10:$Y$21</c:f>
              <c:numCache>
                <c:formatCode>0</c:formatCode>
                <c:ptCount val="12"/>
                <c:pt idx="0">
                  <c:v>32.142857142857146</c:v>
                </c:pt>
                <c:pt idx="1">
                  <c:v>39.428571428571431</c:v>
                </c:pt>
                <c:pt idx="2">
                  <c:v>47.714285714285708</c:v>
                </c:pt>
                <c:pt idx="3">
                  <c:v>44.857142857142854</c:v>
                </c:pt>
                <c:pt idx="4">
                  <c:v>42.714285714285708</c:v>
                </c:pt>
                <c:pt idx="5">
                  <c:v>40.285714285714285</c:v>
                </c:pt>
                <c:pt idx="6">
                  <c:v>42.285714285714285</c:v>
                </c:pt>
                <c:pt idx="7">
                  <c:v>42.142857142857139</c:v>
                </c:pt>
                <c:pt idx="8">
                  <c:v>45.142857142857139</c:v>
                </c:pt>
                <c:pt idx="9">
                  <c:v>50.285714285714292</c:v>
                </c:pt>
                <c:pt idx="10">
                  <c:v>62.857142857142861</c:v>
                </c:pt>
                <c:pt idx="11">
                  <c:v>50.571428571428577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668-4FCD-A619-4501F07B66D1}"/>
            </c:ext>
          </c:extLst>
        </c:ser>
        <c:ser>
          <c:idx val="7"/>
          <c:order val="7"/>
          <c:tx>
            <c:strRef>
              <c:f>'Avg Week Lubigi-Masanafu'!$Z$9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Lubigi-Masanafu'!$Z$10:$Z$21</c:f>
              <c:numCache>
                <c:formatCode>0</c:formatCode>
                <c:ptCount val="12"/>
                <c:pt idx="0">
                  <c:v>25.571428571428569</c:v>
                </c:pt>
                <c:pt idx="1">
                  <c:v>22.714285714285712</c:v>
                </c:pt>
                <c:pt idx="2">
                  <c:v>25.428571428571431</c:v>
                </c:pt>
                <c:pt idx="3">
                  <c:v>38.571428571428569</c:v>
                </c:pt>
                <c:pt idx="4">
                  <c:v>40.571428571428569</c:v>
                </c:pt>
                <c:pt idx="5">
                  <c:v>39.571428571428569</c:v>
                </c:pt>
                <c:pt idx="6">
                  <c:v>41.714285714285715</c:v>
                </c:pt>
                <c:pt idx="7">
                  <c:v>44.857142857142854</c:v>
                </c:pt>
                <c:pt idx="8">
                  <c:v>45.571428571428569</c:v>
                </c:pt>
                <c:pt idx="9">
                  <c:v>44.142857142857146</c:v>
                </c:pt>
                <c:pt idx="10">
                  <c:v>41.714285714285715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668-4FCD-A619-4501F07B66D1}"/>
            </c:ext>
          </c:extLst>
        </c:ser>
        <c:ser>
          <c:idx val="8"/>
          <c:order val="8"/>
          <c:tx>
            <c:strRef>
              <c:f>'Avg Week Lubigi-Masanafu'!$AA$9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Lubigi-Masanafu'!$AA$10:$AA$21</c:f>
              <c:numCache>
                <c:formatCode>0</c:formatCode>
                <c:ptCount val="12"/>
                <c:pt idx="0">
                  <c:v>16.571428571428573</c:v>
                </c:pt>
                <c:pt idx="1">
                  <c:v>18.285714285714285</c:v>
                </c:pt>
                <c:pt idx="2">
                  <c:v>20.428571428571431</c:v>
                </c:pt>
                <c:pt idx="3">
                  <c:v>24.714285714285715</c:v>
                </c:pt>
                <c:pt idx="4">
                  <c:v>23</c:v>
                </c:pt>
                <c:pt idx="5">
                  <c:v>21.714285714285715</c:v>
                </c:pt>
                <c:pt idx="6">
                  <c:v>19.857142857142858</c:v>
                </c:pt>
                <c:pt idx="7">
                  <c:v>23.142857142857142</c:v>
                </c:pt>
                <c:pt idx="8">
                  <c:v>21.571428571428573</c:v>
                </c:pt>
                <c:pt idx="9">
                  <c:v>20.571428571428573</c:v>
                </c:pt>
                <c:pt idx="10">
                  <c:v>26.571428571428569</c:v>
                </c:pt>
                <c:pt idx="11">
                  <c:v>23.428571428571427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668-4FCD-A619-4501F07B66D1}"/>
            </c:ext>
          </c:extLst>
        </c:ser>
        <c:ser>
          <c:idx val="9"/>
          <c:order val="9"/>
          <c:tx>
            <c:strRef>
              <c:f>'Avg Week Lubigi-Masanafu'!$AB$9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Lubigi-Masanafu'!$AB$10:$AB$21</c:f>
              <c:numCache>
                <c:formatCode>0</c:formatCode>
                <c:ptCount val="12"/>
                <c:pt idx="0">
                  <c:v>12.428571428571431</c:v>
                </c:pt>
                <c:pt idx="1">
                  <c:v>15.142857142857142</c:v>
                </c:pt>
                <c:pt idx="2">
                  <c:v>17.571428571428569</c:v>
                </c:pt>
                <c:pt idx="3">
                  <c:v>24.428571428571431</c:v>
                </c:pt>
                <c:pt idx="4">
                  <c:v>17.857142857142858</c:v>
                </c:pt>
                <c:pt idx="5">
                  <c:v>18.571428571428573</c:v>
                </c:pt>
                <c:pt idx="6">
                  <c:v>22.142857142857146</c:v>
                </c:pt>
                <c:pt idx="7">
                  <c:v>19.428571428571427</c:v>
                </c:pt>
                <c:pt idx="8">
                  <c:v>20.428571428571427</c:v>
                </c:pt>
                <c:pt idx="9">
                  <c:v>20.428571428571427</c:v>
                </c:pt>
                <c:pt idx="10">
                  <c:v>19.714285714285715</c:v>
                </c:pt>
                <c:pt idx="11">
                  <c:v>23.285714285714285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668-4FCD-A619-4501F07B66D1}"/>
            </c:ext>
          </c:extLst>
        </c:ser>
        <c:ser>
          <c:idx val="10"/>
          <c:order val="10"/>
          <c:tx>
            <c:strRef>
              <c:f>'Avg Week Lubigi-Masanafu'!$AC$9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Lubigi-Masanafu'!$AC$10:$AC$21</c:f>
              <c:numCache>
                <c:formatCode>0</c:formatCode>
                <c:ptCount val="12"/>
                <c:pt idx="0">
                  <c:v>428.14285714285711</c:v>
                </c:pt>
                <c:pt idx="1">
                  <c:v>503.28571428571428</c:v>
                </c:pt>
                <c:pt idx="2">
                  <c:v>480.99999999999994</c:v>
                </c:pt>
                <c:pt idx="3">
                  <c:v>588.71428571428567</c:v>
                </c:pt>
                <c:pt idx="4">
                  <c:v>597.57142857142856</c:v>
                </c:pt>
                <c:pt idx="5">
                  <c:v>537.14285714285711</c:v>
                </c:pt>
                <c:pt idx="6">
                  <c:v>497.42857142857144</c:v>
                </c:pt>
                <c:pt idx="7">
                  <c:v>451.14285714285711</c:v>
                </c:pt>
                <c:pt idx="8">
                  <c:v>416.85714285714283</c:v>
                </c:pt>
                <c:pt idx="9">
                  <c:v>477.14285714285711</c:v>
                </c:pt>
                <c:pt idx="10">
                  <c:v>576.28571428571422</c:v>
                </c:pt>
                <c:pt idx="11">
                  <c:v>562.85714285714289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668-4FCD-A619-4501F07B66D1}"/>
            </c:ext>
          </c:extLst>
        </c:ser>
        <c:ser>
          <c:idx val="11"/>
          <c:order val="11"/>
          <c:tx>
            <c:strRef>
              <c:f>'Avg Week Lubigi-Masanafu'!$AD$9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'Avg Week Lubigi-Masanafu'!$AD$10:$AD$21</c:f>
              <c:numCache>
                <c:formatCode>0</c:formatCode>
                <c:ptCount val="12"/>
                <c:pt idx="0">
                  <c:v>0.2857142857142857</c:v>
                </c:pt>
                <c:pt idx="1">
                  <c:v>0</c:v>
                </c:pt>
                <c:pt idx="2">
                  <c:v>0</c:v>
                </c:pt>
                <c:pt idx="3">
                  <c:v>0.14285714285714285</c:v>
                </c:pt>
                <c:pt idx="4">
                  <c:v>0.14285714285714285</c:v>
                </c:pt>
                <c:pt idx="5">
                  <c:v>0.5714285714285714</c:v>
                </c:pt>
                <c:pt idx="6">
                  <c:v>0.14285714285714285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668-4FCD-A619-4501F07B66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387648"/>
        <c:axId val="117389184"/>
      </c:lineChart>
      <c:catAx>
        <c:axId val="117387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389184"/>
        <c:crosses val="autoZero"/>
        <c:auto val="1"/>
        <c:lblAlgn val="ctr"/>
        <c:lblOffset val="100"/>
        <c:noMultiLvlLbl val="0"/>
      </c:catAx>
      <c:valAx>
        <c:axId val="11738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38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7646587530033067"/>
          <c:y val="0.25418137668009116"/>
          <c:w val="0.82101228366016787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Lubigi-Masanafu'!$C$9:$N$9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Lubigi-Masanafu'!$C$108:$N$108</c:f>
              <c:numCache>
                <c:formatCode>0.00%</c:formatCode>
                <c:ptCount val="12"/>
                <c:pt idx="0">
                  <c:v>0.36265119509230853</c:v>
                </c:pt>
                <c:pt idx="1">
                  <c:v>0.11333121129695006</c:v>
                </c:pt>
                <c:pt idx="2">
                  <c:v>9.5694195265929746E-2</c:v>
                </c:pt>
                <c:pt idx="3">
                  <c:v>0.16451087061365435</c:v>
                </c:pt>
                <c:pt idx="4">
                  <c:v>8.5122595829233948E-3</c:v>
                </c:pt>
                <c:pt idx="5">
                  <c:v>2.2426066323282595E-3</c:v>
                </c:pt>
                <c:pt idx="6">
                  <c:v>7.5751876073075222E-2</c:v>
                </c:pt>
                <c:pt idx="7">
                  <c:v>8.6521210718212865E-2</c:v>
                </c:pt>
                <c:pt idx="8">
                  <c:v>5.6909157551555845E-2</c:v>
                </c:pt>
                <c:pt idx="9">
                  <c:v>3.3788606593745781E-2</c:v>
                </c:pt>
                <c:pt idx="11">
                  <c:v>8.6810579315932631E-5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768263269416904"/>
          <c:y val="7.742288759550657E-2"/>
          <c:w val="0.81652842231930312"/>
          <c:h val="0.75862172149829554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Masanafu-Lubigi'!$C$107:$N$107</c:f>
              <c:numCache>
                <c:formatCode>0.0%</c:formatCode>
                <c:ptCount val="12"/>
                <c:pt idx="0">
                  <c:v>0.24388068638419241</c:v>
                </c:pt>
                <c:pt idx="1">
                  <c:v>8.3402927690150175E-2</c:v>
                </c:pt>
                <c:pt idx="2">
                  <c:v>5.6199675401414989E-2</c:v>
                </c:pt>
                <c:pt idx="3">
                  <c:v>0.10470037659738744</c:v>
                </c:pt>
                <c:pt idx="4">
                  <c:v>5.6978081716905892E-3</c:v>
                </c:pt>
                <c:pt idx="5">
                  <c:v>1.7742621685076343E-3</c:v>
                </c:pt>
                <c:pt idx="6">
                  <c:v>4.19204891038873E-2</c:v>
                </c:pt>
                <c:pt idx="7">
                  <c:v>3.0981831933567582E-2</c:v>
                </c:pt>
                <c:pt idx="8">
                  <c:v>1.9573609819895057E-2</c:v>
                </c:pt>
                <c:pt idx="9">
                  <c:v>2.0906670028205409E-2</c:v>
                </c:pt>
                <c:pt idx="10">
                  <c:v>0.39087972519420766</c:v>
                </c:pt>
                <c:pt idx="11">
                  <c:v>8.193750689378061E-5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5716763803316125"/>
          <c:y val="0.25616562908259605"/>
          <c:w val="0.82101228366016787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Masanafu-Lubigi'!$C$9:$N$9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Masanafu-Lubigi'!$C$108:$N$108</c:f>
              <c:numCache>
                <c:formatCode>0.00%</c:formatCode>
                <c:ptCount val="12"/>
                <c:pt idx="0">
                  <c:v>0.40038182354371576</c:v>
                </c:pt>
                <c:pt idx="1">
                  <c:v>0.13692357837988856</c:v>
                </c:pt>
                <c:pt idx="2">
                  <c:v>9.2263675543115528E-2</c:v>
                </c:pt>
                <c:pt idx="3">
                  <c:v>0.17188785356187558</c:v>
                </c:pt>
                <c:pt idx="4">
                  <c:v>9.3541594449589437E-3</c:v>
                </c:pt>
                <c:pt idx="5">
                  <c:v>2.9128273050397602E-3</c:v>
                </c:pt>
                <c:pt idx="6">
                  <c:v>6.8821365562413653E-2</c:v>
                </c:pt>
                <c:pt idx="7">
                  <c:v>5.0863241981964256E-2</c:v>
                </c:pt>
                <c:pt idx="8">
                  <c:v>3.2134228049026554E-2</c:v>
                </c:pt>
                <c:pt idx="9">
                  <c:v>3.4322728848372591E-2</c:v>
                </c:pt>
                <c:pt idx="11">
                  <c:v>1.3451777962883438E-4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Masanafu-Lubigi'!$AE$9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Masanafu-Lubigi'!$R$10:$R$33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Masanafu-Lubigi'!$AE$10:$AE$33</c:f>
              <c:numCache>
                <c:formatCode>0</c:formatCode>
                <c:ptCount val="24"/>
                <c:pt idx="0">
                  <c:v>488.85714285714289</c:v>
                </c:pt>
                <c:pt idx="1">
                  <c:v>484.28571428571433</c:v>
                </c:pt>
                <c:pt idx="2">
                  <c:v>510.57142857142867</c:v>
                </c:pt>
                <c:pt idx="3">
                  <c:v>582.71428571428567</c:v>
                </c:pt>
                <c:pt idx="4">
                  <c:v>705.57142857142844</c:v>
                </c:pt>
                <c:pt idx="5">
                  <c:v>725.28571428571422</c:v>
                </c:pt>
                <c:pt idx="6">
                  <c:v>669.42857142857133</c:v>
                </c:pt>
                <c:pt idx="7">
                  <c:v>684</c:v>
                </c:pt>
                <c:pt idx="8">
                  <c:v>775.57142857142867</c:v>
                </c:pt>
                <c:pt idx="9">
                  <c:v>793.71428571428578</c:v>
                </c:pt>
                <c:pt idx="10">
                  <c:v>803.57142857142856</c:v>
                </c:pt>
                <c:pt idx="11">
                  <c:v>883.85714285714289</c:v>
                </c:pt>
                <c:pt idx="12">
                  <c:v>1113</c:v>
                </c:pt>
                <c:pt idx="13">
                  <c:v>836</c:v>
                </c:pt>
                <c:pt idx="14">
                  <c:v>1003</c:v>
                </c:pt>
                <c:pt idx="15">
                  <c:v>708</c:v>
                </c:pt>
                <c:pt idx="16">
                  <c:v>619</c:v>
                </c:pt>
                <c:pt idx="17">
                  <c:v>409.5</c:v>
                </c:pt>
                <c:pt idx="18">
                  <c:v>127</c:v>
                </c:pt>
                <c:pt idx="19">
                  <c:v>78</c:v>
                </c:pt>
                <c:pt idx="20">
                  <c:v>95.5</c:v>
                </c:pt>
                <c:pt idx="21">
                  <c:v>166</c:v>
                </c:pt>
                <c:pt idx="22">
                  <c:v>155.5</c:v>
                </c:pt>
                <c:pt idx="23">
                  <c:v>388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482-47C8-895E-AF54ABC86E2E}"/>
            </c:ext>
          </c:extLst>
        </c:ser>
        <c:ser>
          <c:idx val="1"/>
          <c:order val="1"/>
          <c:tx>
            <c:strRef>
              <c:f>'Avg Week Masanafu-Lubigi'!$AF$9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Masanafu-Lubigi'!$R$10:$R$33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Masanafu-Lubigi'!$AF$10:$AF$33</c:f>
              <c:numCache>
                <c:formatCode>0</c:formatCode>
                <c:ptCount val="24"/>
                <c:pt idx="0">
                  <c:v>864.42857142857133</c:v>
                </c:pt>
                <c:pt idx="1">
                  <c:v>1026.7142857142858</c:v>
                </c:pt>
                <c:pt idx="2">
                  <c:v>991.00000000000011</c:v>
                </c:pt>
                <c:pt idx="3">
                  <c:v>1058.8571428571427</c:v>
                </c:pt>
                <c:pt idx="4">
                  <c:v>1211.1428571428569</c:v>
                </c:pt>
                <c:pt idx="5">
                  <c:v>1264.8571428571429</c:v>
                </c:pt>
                <c:pt idx="6">
                  <c:v>1173.5714285714284</c:v>
                </c:pt>
                <c:pt idx="7">
                  <c:v>1113.7142857142858</c:v>
                </c:pt>
                <c:pt idx="8">
                  <c:v>1232.1428571428569</c:v>
                </c:pt>
                <c:pt idx="9">
                  <c:v>1285.1428571428571</c:v>
                </c:pt>
                <c:pt idx="10">
                  <c:v>1287.5714285714284</c:v>
                </c:pt>
                <c:pt idx="11">
                  <c:v>1383.7142857142858</c:v>
                </c:pt>
                <c:pt idx="12">
                  <c:v>1629.5</c:v>
                </c:pt>
                <c:pt idx="13">
                  <c:v>1298.5</c:v>
                </c:pt>
                <c:pt idx="14">
                  <c:v>1516.5</c:v>
                </c:pt>
                <c:pt idx="15">
                  <c:v>1163.5</c:v>
                </c:pt>
                <c:pt idx="16">
                  <c:v>944</c:v>
                </c:pt>
                <c:pt idx="17">
                  <c:v>596</c:v>
                </c:pt>
                <c:pt idx="18">
                  <c:v>186</c:v>
                </c:pt>
                <c:pt idx="19">
                  <c:v>109.5</c:v>
                </c:pt>
                <c:pt idx="20">
                  <c:v>125</c:v>
                </c:pt>
                <c:pt idx="21">
                  <c:v>204.5</c:v>
                </c:pt>
                <c:pt idx="22">
                  <c:v>245</c:v>
                </c:pt>
                <c:pt idx="23">
                  <c:v>754.5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482-47C8-895E-AF54ABC86E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9580499246104875E-2"/>
          <c:y val="0.1361570499848872"/>
          <c:w val="0.82383736016065923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Lubigi-Masanafu-2Dir'!$C$9:$N$9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Lubigi-Masanafu-2Dir'!$C$107:$N$107</c:f>
              <c:numCache>
                <c:formatCode>0.0%</c:formatCode>
                <c:ptCount val="12"/>
                <c:pt idx="0">
                  <c:v>0.23308519917692586</c:v>
                </c:pt>
                <c:pt idx="1">
                  <c:v>7.632531289192647E-2</c:v>
                </c:pt>
                <c:pt idx="2">
                  <c:v>5.7552561108064393E-2</c:v>
                </c:pt>
                <c:pt idx="3">
                  <c:v>0.10285983144393916</c:v>
                </c:pt>
                <c:pt idx="4">
                  <c:v>5.4581367176938043E-3</c:v>
                </c:pt>
                <c:pt idx="5">
                  <c:v>1.5703791060143384E-3</c:v>
                </c:pt>
                <c:pt idx="6">
                  <c:v>4.4314326348608893E-2</c:v>
                </c:pt>
                <c:pt idx="7">
                  <c:v>4.2423149954400968E-2</c:v>
                </c:pt>
                <c:pt idx="8">
                  <c:v>2.751371408407028E-2</c:v>
                </c:pt>
                <c:pt idx="9">
                  <c:v>2.0836547671240834E-2</c:v>
                </c:pt>
                <c:pt idx="10">
                  <c:v>0.38799362682720795</c:v>
                </c:pt>
                <c:pt idx="11">
                  <c:v>6.7214669907228483E-5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407964331764506E-2"/>
          <c:y val="0.1518889431750324"/>
          <c:w val="0.82101228366016787"/>
          <c:h val="0.84809323077039611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Lubigi-Masanafu-2Dir'!$C$9:$N$9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Lubigi-Masanafu-2Dir'!$C$108:$N$108</c:f>
              <c:numCache>
                <c:formatCode>0.00%</c:formatCode>
                <c:ptCount val="12"/>
                <c:pt idx="0">
                  <c:v>0.38085420249556329</c:v>
                </c:pt>
                <c:pt idx="1">
                  <c:v>0.12471326482473899</c:v>
                </c:pt>
                <c:pt idx="2">
                  <c:v>9.403915323577057E-2</c:v>
                </c:pt>
                <c:pt idx="3">
                  <c:v>0.16806986978042138</c:v>
                </c:pt>
                <c:pt idx="4">
                  <c:v>8.9184311748217188E-3</c:v>
                </c:pt>
                <c:pt idx="5">
                  <c:v>2.565952210388113E-3</c:v>
                </c:pt>
                <c:pt idx="6">
                  <c:v>7.2408275944697231E-2</c:v>
                </c:pt>
                <c:pt idx="7">
                  <c:v>6.9318150617401056E-2</c:v>
                </c:pt>
                <c:pt idx="8">
                  <c:v>4.4956580993482778E-2</c:v>
                </c:pt>
                <c:pt idx="9">
                  <c:v>3.4046291974410371E-2</c:v>
                </c:pt>
                <c:pt idx="11">
                  <c:v>1.0982674830454955E-4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Lubigi-Masanafu-2Dir'!$AE$9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Lubigi-Masanafu-2Dir'!$R$10:$R$33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Lubigi-Masanafu-2Dir'!$AE$10:$AE$33</c:f>
              <c:numCache>
                <c:formatCode>0</c:formatCode>
                <c:ptCount val="24"/>
                <c:pt idx="0">
                  <c:v>943.28571428571433</c:v>
                </c:pt>
                <c:pt idx="1">
                  <c:v>970.28571428571433</c:v>
                </c:pt>
                <c:pt idx="2">
                  <c:v>1000.4285714285716</c:v>
                </c:pt>
                <c:pt idx="3">
                  <c:v>1180.5714285714289</c:v>
                </c:pt>
                <c:pt idx="4">
                  <c:v>1289.8571428571429</c:v>
                </c:pt>
                <c:pt idx="5">
                  <c:v>1328.4285714285716</c:v>
                </c:pt>
                <c:pt idx="6">
                  <c:v>1266.5714285714289</c:v>
                </c:pt>
                <c:pt idx="7">
                  <c:v>1198</c:v>
                </c:pt>
                <c:pt idx="8">
                  <c:v>1339.7142857142858</c:v>
                </c:pt>
                <c:pt idx="9">
                  <c:v>1410.5714285714284</c:v>
                </c:pt>
                <c:pt idx="10">
                  <c:v>1556.7142857142856</c:v>
                </c:pt>
                <c:pt idx="11">
                  <c:v>1649.5714285714287</c:v>
                </c:pt>
                <c:pt idx="12">
                  <c:v>2454.5</c:v>
                </c:pt>
                <c:pt idx="13">
                  <c:v>2383</c:v>
                </c:pt>
                <c:pt idx="14">
                  <c:v>1904.5</c:v>
                </c:pt>
                <c:pt idx="15">
                  <c:v>1487.5</c:v>
                </c:pt>
                <c:pt idx="16">
                  <c:v>1292</c:v>
                </c:pt>
                <c:pt idx="17">
                  <c:v>1047.5</c:v>
                </c:pt>
                <c:pt idx="18">
                  <c:v>437.5</c:v>
                </c:pt>
                <c:pt idx="19">
                  <c:v>267</c:v>
                </c:pt>
                <c:pt idx="20">
                  <c:v>302</c:v>
                </c:pt>
                <c:pt idx="21">
                  <c:v>422</c:v>
                </c:pt>
                <c:pt idx="22">
                  <c:v>386</c:v>
                </c:pt>
                <c:pt idx="23">
                  <c:v>1099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F7-4CBB-9DF6-9771F651A29B}"/>
            </c:ext>
          </c:extLst>
        </c:ser>
        <c:ser>
          <c:idx val="1"/>
          <c:order val="1"/>
          <c:tx>
            <c:strRef>
              <c:f>'Avg Week Lubigi-Masanafu-2Dir'!$AF$9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Lubigi-Masanafu-2Dir'!$R$10:$R$33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Lubigi-Masanafu-2Dir'!$AF$10:$AF$33</c:f>
              <c:numCache>
                <c:formatCode>0</c:formatCode>
                <c:ptCount val="24"/>
                <c:pt idx="0">
                  <c:v>1747</c:v>
                </c:pt>
                <c:pt idx="1">
                  <c:v>2016</c:v>
                </c:pt>
                <c:pt idx="2">
                  <c:v>1961.8571428571427</c:v>
                </c:pt>
                <c:pt idx="3">
                  <c:v>2245.4285714285716</c:v>
                </c:pt>
                <c:pt idx="4">
                  <c:v>2393</c:v>
                </c:pt>
                <c:pt idx="5">
                  <c:v>2405.1428571428573</c:v>
                </c:pt>
                <c:pt idx="6">
                  <c:v>2268.1428571428573</c:v>
                </c:pt>
                <c:pt idx="7">
                  <c:v>2078.8571428571427</c:v>
                </c:pt>
                <c:pt idx="8">
                  <c:v>2213.1428571428569</c:v>
                </c:pt>
                <c:pt idx="9">
                  <c:v>2379.1428571428569</c:v>
                </c:pt>
                <c:pt idx="10">
                  <c:v>2617</c:v>
                </c:pt>
                <c:pt idx="11">
                  <c:v>2712.2857142857147</c:v>
                </c:pt>
                <c:pt idx="12">
                  <c:v>3501</c:v>
                </c:pt>
                <c:pt idx="13">
                  <c:v>3286.5</c:v>
                </c:pt>
                <c:pt idx="14">
                  <c:v>2709.5</c:v>
                </c:pt>
                <c:pt idx="15">
                  <c:v>2302</c:v>
                </c:pt>
                <c:pt idx="16">
                  <c:v>1999</c:v>
                </c:pt>
                <c:pt idx="17">
                  <c:v>1523.5</c:v>
                </c:pt>
                <c:pt idx="18">
                  <c:v>635</c:v>
                </c:pt>
                <c:pt idx="19">
                  <c:v>388</c:v>
                </c:pt>
                <c:pt idx="20">
                  <c:v>438</c:v>
                </c:pt>
                <c:pt idx="21">
                  <c:v>550.5</c:v>
                </c:pt>
                <c:pt idx="22">
                  <c:v>591</c:v>
                </c:pt>
                <c:pt idx="23">
                  <c:v>1797.5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7F7-4CBB-9DF6-9771F651A29B}"/>
            </c:ext>
          </c:extLst>
        </c:ser>
        <c:ser>
          <c:idx val="5"/>
          <c:order val="2"/>
          <c:tx>
            <c:strRef>
              <c:f>'Avg Week Lubigi-Masanafu-2Dir'!$AC$9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Lubigi-Masanafu-2Dir'!$R$10:$R$33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Lubigi-Masanafu-2Dir'!$AC$10:$AC$33</c:f>
              <c:numCache>
                <c:formatCode>0</c:formatCode>
                <c:ptCount val="24"/>
                <c:pt idx="0">
                  <c:v>803.71428571428578</c:v>
                </c:pt>
                <c:pt idx="1">
                  <c:v>1045.7142857142858</c:v>
                </c:pt>
                <c:pt idx="2">
                  <c:v>961.42857142857133</c:v>
                </c:pt>
                <c:pt idx="3">
                  <c:v>1064.8571428571429</c:v>
                </c:pt>
                <c:pt idx="4">
                  <c:v>1103.1428571428571</c:v>
                </c:pt>
                <c:pt idx="5">
                  <c:v>1076.7142857142858</c:v>
                </c:pt>
                <c:pt idx="6">
                  <c:v>1001.5714285714284</c:v>
                </c:pt>
                <c:pt idx="7">
                  <c:v>880.85714285714289</c:v>
                </c:pt>
                <c:pt idx="8">
                  <c:v>873.42857142857156</c:v>
                </c:pt>
                <c:pt idx="9">
                  <c:v>968.57142857142867</c:v>
                </c:pt>
                <c:pt idx="10">
                  <c:v>1060.2857142857142</c:v>
                </c:pt>
                <c:pt idx="11">
                  <c:v>1062.7142857142858</c:v>
                </c:pt>
                <c:pt idx="12">
                  <c:v>1046.5</c:v>
                </c:pt>
                <c:pt idx="13">
                  <c:v>903.5</c:v>
                </c:pt>
                <c:pt idx="14">
                  <c:v>805</c:v>
                </c:pt>
                <c:pt idx="15">
                  <c:v>814.5</c:v>
                </c:pt>
                <c:pt idx="16">
                  <c:v>707</c:v>
                </c:pt>
                <c:pt idx="17">
                  <c:v>476</c:v>
                </c:pt>
                <c:pt idx="18">
                  <c:v>197.5</c:v>
                </c:pt>
                <c:pt idx="19">
                  <c:v>121</c:v>
                </c:pt>
                <c:pt idx="20">
                  <c:v>136</c:v>
                </c:pt>
                <c:pt idx="21">
                  <c:v>128.5</c:v>
                </c:pt>
                <c:pt idx="22">
                  <c:v>205</c:v>
                </c:pt>
                <c:pt idx="23">
                  <c:v>698.5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F7-4CBB-9DF6-9771F651A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Lubigi-Masanafu-2Dir'!$S$9:$AF$9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Lubigi-Masanafu-2Dir'!$S$41:$AF$41</c:f>
              <c:numCache>
                <c:formatCode>_-* #,##0_-;\-* #,##0_-;_-* "-"_-;_-@_-</c:formatCode>
                <c:ptCount val="14"/>
                <c:pt idx="0">
                  <c:v>10898.714285714286</c:v>
                </c:pt>
                <c:pt idx="1">
                  <c:v>3568.8571428571427</c:v>
                </c:pt>
                <c:pt idx="2">
                  <c:v>2691.0714285714284</c:v>
                </c:pt>
                <c:pt idx="3">
                  <c:v>4809.5714285714284</c:v>
                </c:pt>
                <c:pt idx="4">
                  <c:v>255.21428571428572</c:v>
                </c:pt>
                <c:pt idx="5">
                  <c:v>73.428571428571416</c:v>
                </c:pt>
                <c:pt idx="6">
                  <c:v>2072.0714285714284</c:v>
                </c:pt>
                <c:pt idx="7">
                  <c:v>1983.6428571428571</c:v>
                </c:pt>
                <c:pt idx="8">
                  <c:v>1286.5</c:v>
                </c:pt>
                <c:pt idx="9">
                  <c:v>974.28571428571433</c:v>
                </c:pt>
                <c:pt idx="10">
                  <c:v>18142</c:v>
                </c:pt>
                <c:pt idx="11">
                  <c:v>3.1428571428571423</c:v>
                </c:pt>
                <c:pt idx="12">
                  <c:v>28616.5</c:v>
                </c:pt>
                <c:pt idx="13">
                  <c:v>46758.5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E6-41C0-9407-74BBCE3E6BD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Lubigi-Masanafu-2Dir'!$S$9:$AF$9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Lubigi-Masanafu-2Dir'!$S$42:$AF$42</c:f>
              <c:numCache>
                <c:formatCode>0.000</c:formatCode>
                <c:ptCount val="14"/>
                <c:pt idx="0">
                  <c:v>1.6204545454545456</c:v>
                </c:pt>
                <c:pt idx="1">
                  <c:v>2.0017628205128206</c:v>
                </c:pt>
                <c:pt idx="2">
                  <c:v>2.2101959403965736</c:v>
                </c:pt>
                <c:pt idx="3">
                  <c:v>2.2178524374176547</c:v>
                </c:pt>
                <c:pt idx="4">
                  <c:v>1.4691611842105263</c:v>
                </c:pt>
                <c:pt idx="5">
                  <c:v>1.7306397306397305</c:v>
                </c:pt>
                <c:pt idx="6">
                  <c:v>1.9069813305285301</c:v>
                </c:pt>
                <c:pt idx="7">
                  <c:v>2.409840333217633</c:v>
                </c:pt>
                <c:pt idx="8">
                  <c:v>2.3138489208633093</c:v>
                </c:pt>
                <c:pt idx="9">
                  <c:v>1.7577319587628866</c:v>
                </c:pt>
                <c:pt idx="10">
                  <c:v>1.5241535747290598</c:v>
                </c:pt>
                <c:pt idx="11">
                  <c:v>1</c:v>
                </c:pt>
                <c:pt idx="12">
                  <c:v>1.890874851328135</c:v>
                </c:pt>
                <c:pt idx="13">
                  <c:v>1.7294263416799203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0-4F9E-8E95-95ACF2C43C8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4.xml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5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jpe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5.jpeg"/><Relationship Id="rId5" Type="http://schemas.openxmlformats.org/officeDocument/2006/relationships/image" Target="../media/image5.emf"/><Relationship Id="rId15" Type="http://schemas.openxmlformats.org/officeDocument/2006/relationships/chart" Target="../charts/chart57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6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8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2.xml"/><Relationship Id="rId2" Type="http://schemas.openxmlformats.org/officeDocument/2006/relationships/image" Target="../media/image2.emf"/><Relationship Id="rId16" Type="http://schemas.openxmlformats.org/officeDocument/2006/relationships/chart" Target="../charts/chart61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60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476251</xdr:colOff>
      <xdr:row>74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107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0528A59-0010-4D7E-82B3-4199F0C17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279400</xdr:rowOff>
    </xdr:from>
    <xdr:to>
      <xdr:col>31</xdr:col>
      <xdr:colOff>492125</xdr:colOff>
      <xdr:row>74</xdr:row>
      <xdr:rowOff>285749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149224</xdr:colOff>
      <xdr:row>43</xdr:row>
      <xdr:rowOff>0</xdr:rowOff>
    </xdr:from>
    <xdr:to>
      <xdr:col>27</xdr:col>
      <xdr:colOff>714374</xdr:colOff>
      <xdr:row>58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0EA96EE-6639-4AAC-A556-3D8F7EB82E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279400</xdr:rowOff>
    </xdr:from>
    <xdr:to>
      <xdr:col>25</xdr:col>
      <xdr:colOff>0</xdr:colOff>
      <xdr:row>91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60</xdr:row>
      <xdr:rowOff>1</xdr:rowOff>
    </xdr:from>
    <xdr:to>
      <xdr:col>25</xdr:col>
      <xdr:colOff>0</xdr:colOff>
      <xdr:row>75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60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E4401B0-735C-40D1-96FF-7632263552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14676</xdr:colOff>
      <xdr:row>60</xdr:row>
      <xdr:rowOff>6785</xdr:rowOff>
    </xdr:from>
    <xdr:to>
      <xdr:col>31</xdr:col>
      <xdr:colOff>697301</xdr:colOff>
      <xdr:row>75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2D7BBD9-98AD-4383-8A03-E59B5AC1A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713176</xdr:colOff>
      <xdr:row>75</xdr:row>
      <xdr:rowOff>2454</xdr:rowOff>
    </xdr:from>
    <xdr:to>
      <xdr:col>31</xdr:col>
      <xdr:colOff>698500</xdr:colOff>
      <xdr:row>91</xdr:row>
      <xdr:rowOff>31749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2500B9D-DB7F-4778-9504-B7DB37698A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126"/>
  <sheetViews>
    <sheetView view="pageBreakPreview" zoomScale="60" workbookViewId="0">
      <selection activeCell="H21" sqref="H2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1" t="s">
        <v>96</v>
      </c>
      <c r="C3" s="63" t="s">
        <v>170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58" t="s">
        <v>176</v>
      </c>
      <c r="H5" s="59"/>
      <c r="I5" s="14"/>
      <c r="J5" s="2" t="s">
        <v>5</v>
      </c>
      <c r="K5" s="58" t="s">
        <v>178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171</v>
      </c>
      <c r="E6" s="59"/>
      <c r="F6" s="2" t="s">
        <v>2</v>
      </c>
      <c r="G6" s="58" t="s">
        <v>172</v>
      </c>
      <c r="H6" s="59"/>
      <c r="J6" s="2" t="s">
        <v>21</v>
      </c>
      <c r="K6" s="58" t="s">
        <v>173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0</v>
      </c>
      <c r="AF10" s="31">
        <f t="shared" si="2"/>
        <v>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0</v>
      </c>
      <c r="AF11" s="31">
        <f t="shared" si="3"/>
        <v>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0</v>
      </c>
      <c r="AF12" s="31">
        <f t="shared" si="4"/>
        <v>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75</v>
      </c>
      <c r="T13" s="17">
        <f t="shared" si="5"/>
        <v>40</v>
      </c>
      <c r="U13" s="17">
        <f t="shared" si="5"/>
        <v>17</v>
      </c>
      <c r="V13" s="17">
        <f t="shared" si="5"/>
        <v>38</v>
      </c>
      <c r="W13" s="17">
        <f t="shared" si="5"/>
        <v>5</v>
      </c>
      <c r="X13" s="17">
        <f t="shared" si="5"/>
        <v>1</v>
      </c>
      <c r="Y13" s="17">
        <f t="shared" si="5"/>
        <v>22</v>
      </c>
      <c r="Z13" s="17">
        <f t="shared" si="5"/>
        <v>18</v>
      </c>
      <c r="AA13" s="17">
        <f t="shared" si="5"/>
        <v>6</v>
      </c>
      <c r="AB13" s="17">
        <f t="shared" si="5"/>
        <v>0</v>
      </c>
      <c r="AC13" s="17">
        <f t="shared" si="5"/>
        <v>188</v>
      </c>
      <c r="AD13" s="17">
        <f t="shared" si="5"/>
        <v>0</v>
      </c>
      <c r="AE13" s="31">
        <f t="shared" si="5"/>
        <v>222</v>
      </c>
      <c r="AF13" s="31">
        <f t="shared" si="5"/>
        <v>410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247</v>
      </c>
      <c r="T14" s="17">
        <f t="shared" si="6"/>
        <v>68</v>
      </c>
      <c r="U14" s="17">
        <f t="shared" si="6"/>
        <v>52</v>
      </c>
      <c r="V14" s="17">
        <f t="shared" si="6"/>
        <v>68</v>
      </c>
      <c r="W14" s="17">
        <f t="shared" si="6"/>
        <v>3</v>
      </c>
      <c r="X14" s="17">
        <f t="shared" si="6"/>
        <v>0</v>
      </c>
      <c r="Y14" s="17">
        <f t="shared" si="6"/>
        <v>54</v>
      </c>
      <c r="Z14" s="17">
        <f t="shared" si="6"/>
        <v>52</v>
      </c>
      <c r="AA14" s="17">
        <f t="shared" si="6"/>
        <v>18</v>
      </c>
      <c r="AB14" s="17">
        <f t="shared" si="6"/>
        <v>0</v>
      </c>
      <c r="AC14" s="17">
        <f t="shared" si="6"/>
        <v>630</v>
      </c>
      <c r="AD14" s="17">
        <f t="shared" si="6"/>
        <v>0</v>
      </c>
      <c r="AE14" s="31">
        <f t="shared" si="6"/>
        <v>562</v>
      </c>
      <c r="AF14" s="31">
        <f t="shared" si="6"/>
        <v>1192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189</v>
      </c>
      <c r="T15" s="17">
        <f t="shared" si="7"/>
        <v>90</v>
      </c>
      <c r="U15" s="17">
        <f t="shared" si="7"/>
        <v>58</v>
      </c>
      <c r="V15" s="17">
        <f t="shared" si="7"/>
        <v>82</v>
      </c>
      <c r="W15" s="17">
        <f t="shared" si="7"/>
        <v>10</v>
      </c>
      <c r="X15" s="17">
        <f t="shared" si="7"/>
        <v>0</v>
      </c>
      <c r="Y15" s="17">
        <f t="shared" si="7"/>
        <v>71</v>
      </c>
      <c r="Z15" s="17">
        <f t="shared" si="7"/>
        <v>54</v>
      </c>
      <c r="AA15" s="17">
        <f t="shared" si="7"/>
        <v>17</v>
      </c>
      <c r="AB15" s="17">
        <f t="shared" si="7"/>
        <v>3</v>
      </c>
      <c r="AC15" s="17">
        <f t="shared" si="7"/>
        <v>381</v>
      </c>
      <c r="AD15" s="17">
        <f t="shared" si="7"/>
        <v>0</v>
      </c>
      <c r="AE15" s="31">
        <f t="shared" si="7"/>
        <v>574</v>
      </c>
      <c r="AF15" s="31">
        <f t="shared" si="7"/>
        <v>955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188</v>
      </c>
      <c r="T16" s="17">
        <f t="shared" si="8"/>
        <v>76</v>
      </c>
      <c r="U16" s="17">
        <f t="shared" si="8"/>
        <v>44</v>
      </c>
      <c r="V16" s="17">
        <f t="shared" si="8"/>
        <v>60</v>
      </c>
      <c r="W16" s="17">
        <f t="shared" si="8"/>
        <v>4</v>
      </c>
      <c r="X16" s="17">
        <f t="shared" si="8"/>
        <v>0</v>
      </c>
      <c r="Y16" s="17">
        <f t="shared" si="8"/>
        <v>54</v>
      </c>
      <c r="Z16" s="17">
        <f t="shared" si="8"/>
        <v>55</v>
      </c>
      <c r="AA16" s="17">
        <f t="shared" si="8"/>
        <v>19</v>
      </c>
      <c r="AB16" s="17">
        <f t="shared" si="8"/>
        <v>3</v>
      </c>
      <c r="AC16" s="17">
        <f t="shared" si="8"/>
        <v>312</v>
      </c>
      <c r="AD16" s="17">
        <f t="shared" si="8"/>
        <v>0</v>
      </c>
      <c r="AE16" s="31">
        <f t="shared" si="8"/>
        <v>503</v>
      </c>
      <c r="AF16" s="31">
        <f t="shared" si="8"/>
        <v>815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164</v>
      </c>
      <c r="T17" s="17">
        <f t="shared" si="9"/>
        <v>62</v>
      </c>
      <c r="U17" s="17">
        <f t="shared" si="9"/>
        <v>40</v>
      </c>
      <c r="V17" s="17">
        <f t="shared" si="9"/>
        <v>59</v>
      </c>
      <c r="W17" s="17">
        <f t="shared" si="9"/>
        <v>0</v>
      </c>
      <c r="X17" s="17">
        <f t="shared" si="9"/>
        <v>0</v>
      </c>
      <c r="Y17" s="17">
        <f t="shared" si="9"/>
        <v>69</v>
      </c>
      <c r="Z17" s="17">
        <f t="shared" si="9"/>
        <v>82</v>
      </c>
      <c r="AA17" s="17">
        <f t="shared" si="9"/>
        <v>5</v>
      </c>
      <c r="AB17" s="17">
        <f t="shared" si="9"/>
        <v>0</v>
      </c>
      <c r="AC17" s="17">
        <f t="shared" si="9"/>
        <v>406</v>
      </c>
      <c r="AD17" s="17">
        <f t="shared" si="9"/>
        <v>0</v>
      </c>
      <c r="AE17" s="31">
        <f t="shared" si="9"/>
        <v>481</v>
      </c>
      <c r="AF17" s="31">
        <f t="shared" si="9"/>
        <v>887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112</v>
      </c>
      <c r="T18" s="17">
        <f t="shared" si="10"/>
        <v>53</v>
      </c>
      <c r="U18" s="17">
        <f t="shared" si="10"/>
        <v>27</v>
      </c>
      <c r="V18" s="17">
        <f t="shared" si="10"/>
        <v>39</v>
      </c>
      <c r="W18" s="17">
        <f t="shared" si="10"/>
        <v>2</v>
      </c>
      <c r="X18" s="17">
        <f t="shared" si="10"/>
        <v>0</v>
      </c>
      <c r="Y18" s="17">
        <f t="shared" si="10"/>
        <v>39</v>
      </c>
      <c r="Z18" s="17">
        <f t="shared" si="10"/>
        <v>51</v>
      </c>
      <c r="AA18" s="17">
        <f t="shared" si="10"/>
        <v>7</v>
      </c>
      <c r="AB18" s="17">
        <f t="shared" si="10"/>
        <v>0</v>
      </c>
      <c r="AC18" s="17">
        <f t="shared" si="10"/>
        <v>133</v>
      </c>
      <c r="AD18" s="17">
        <f t="shared" si="10"/>
        <v>0</v>
      </c>
      <c r="AE18" s="31">
        <f t="shared" si="10"/>
        <v>330</v>
      </c>
      <c r="AF18" s="31">
        <f t="shared" si="10"/>
        <v>463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151</v>
      </c>
      <c r="T19" s="17">
        <f t="shared" si="11"/>
        <v>94</v>
      </c>
      <c r="U19" s="17">
        <f t="shared" si="11"/>
        <v>47</v>
      </c>
      <c r="V19" s="17">
        <f t="shared" si="11"/>
        <v>68</v>
      </c>
      <c r="W19" s="17">
        <f t="shared" si="11"/>
        <v>2</v>
      </c>
      <c r="X19" s="17">
        <f t="shared" si="11"/>
        <v>0</v>
      </c>
      <c r="Y19" s="17">
        <f t="shared" si="11"/>
        <v>40</v>
      </c>
      <c r="Z19" s="17">
        <f t="shared" si="11"/>
        <v>88</v>
      </c>
      <c r="AA19" s="17">
        <f t="shared" si="11"/>
        <v>20</v>
      </c>
      <c r="AB19" s="17">
        <f t="shared" si="11"/>
        <v>0</v>
      </c>
      <c r="AC19" s="17">
        <f t="shared" si="11"/>
        <v>437</v>
      </c>
      <c r="AD19" s="17">
        <f t="shared" si="11"/>
        <v>0</v>
      </c>
      <c r="AE19" s="31">
        <f t="shared" si="11"/>
        <v>510</v>
      </c>
      <c r="AF19" s="31">
        <f t="shared" si="11"/>
        <v>947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379</v>
      </c>
      <c r="T20" s="17">
        <f t="shared" si="12"/>
        <v>108</v>
      </c>
      <c r="U20" s="17">
        <f t="shared" si="12"/>
        <v>51</v>
      </c>
      <c r="V20" s="17">
        <f t="shared" si="12"/>
        <v>70</v>
      </c>
      <c r="W20" s="17">
        <f t="shared" si="12"/>
        <v>1</v>
      </c>
      <c r="X20" s="17">
        <f t="shared" si="12"/>
        <v>0</v>
      </c>
      <c r="Y20" s="17">
        <f t="shared" si="12"/>
        <v>61</v>
      </c>
      <c r="Z20" s="17">
        <f t="shared" si="12"/>
        <v>48</v>
      </c>
      <c r="AA20" s="17">
        <f t="shared" si="12"/>
        <v>6</v>
      </c>
      <c r="AB20" s="17">
        <f t="shared" si="12"/>
        <v>0</v>
      </c>
      <c r="AC20" s="17">
        <f t="shared" si="12"/>
        <v>495</v>
      </c>
      <c r="AD20" s="17">
        <f t="shared" si="12"/>
        <v>0</v>
      </c>
      <c r="AE20" s="31">
        <f t="shared" si="12"/>
        <v>724</v>
      </c>
      <c r="AF20" s="31">
        <f t="shared" si="12"/>
        <v>1219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0</v>
      </c>
      <c r="P21" s="15">
        <f t="shared" si="1"/>
        <v>0</v>
      </c>
      <c r="R21" s="36" t="s">
        <v>20</v>
      </c>
      <c r="S21" s="34">
        <f t="shared" ref="S21:AF21" si="13">SUM(C54:C57)</f>
        <v>327</v>
      </c>
      <c r="T21" s="17">
        <f t="shared" si="13"/>
        <v>191</v>
      </c>
      <c r="U21" s="17">
        <f t="shared" si="13"/>
        <v>92</v>
      </c>
      <c r="V21" s="17">
        <f t="shared" si="13"/>
        <v>110</v>
      </c>
      <c r="W21" s="17">
        <f t="shared" si="13"/>
        <v>38</v>
      </c>
      <c r="X21" s="17">
        <f t="shared" si="13"/>
        <v>4</v>
      </c>
      <c r="Y21" s="17">
        <f t="shared" si="13"/>
        <v>45</v>
      </c>
      <c r="Z21" s="17">
        <f t="shared" si="13"/>
        <v>78</v>
      </c>
      <c r="AA21" s="17">
        <f t="shared" si="13"/>
        <v>24</v>
      </c>
      <c r="AB21" s="17">
        <f t="shared" si="13"/>
        <v>1</v>
      </c>
      <c r="AC21" s="17">
        <f t="shared" si="13"/>
        <v>428</v>
      </c>
      <c r="AD21" s="17">
        <f t="shared" si="13"/>
        <v>0</v>
      </c>
      <c r="AE21" s="31">
        <f t="shared" si="13"/>
        <v>910</v>
      </c>
      <c r="AF21" s="31">
        <f t="shared" si="13"/>
        <v>1338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0</v>
      </c>
      <c r="P22" s="15">
        <f t="shared" si="1"/>
        <v>0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0</v>
      </c>
      <c r="AF22" s="40">
        <f t="shared" si="14"/>
        <v>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0</v>
      </c>
      <c r="N23" s="50">
        <v>0</v>
      </c>
      <c r="O23" s="15">
        <f t="shared" si="0"/>
        <v>0</v>
      </c>
      <c r="P23" s="15">
        <f t="shared" si="1"/>
        <v>0</v>
      </c>
      <c r="R23" s="38" t="s">
        <v>91</v>
      </c>
      <c r="S23" s="39">
        <f>MAX(S13:S18)</f>
        <v>247</v>
      </c>
      <c r="T23" s="39">
        <f t="shared" ref="T23:AF23" si="15">MAX(T13:T18)</f>
        <v>90</v>
      </c>
      <c r="U23" s="39">
        <f t="shared" si="15"/>
        <v>58</v>
      </c>
      <c r="V23" s="39">
        <f t="shared" si="15"/>
        <v>82</v>
      </c>
      <c r="W23" s="39">
        <f t="shared" si="15"/>
        <v>10</v>
      </c>
      <c r="X23" s="39">
        <f t="shared" si="15"/>
        <v>1</v>
      </c>
      <c r="Y23" s="39">
        <f t="shared" si="15"/>
        <v>71</v>
      </c>
      <c r="Z23" s="39">
        <f t="shared" si="15"/>
        <v>82</v>
      </c>
      <c r="AA23" s="39">
        <f t="shared" si="15"/>
        <v>19</v>
      </c>
      <c r="AB23" s="39">
        <f t="shared" si="15"/>
        <v>3</v>
      </c>
      <c r="AC23" s="39">
        <f t="shared" si="15"/>
        <v>630</v>
      </c>
      <c r="AD23" s="39">
        <f t="shared" si="15"/>
        <v>0</v>
      </c>
      <c r="AE23" s="40">
        <f t="shared" si="15"/>
        <v>574</v>
      </c>
      <c r="AF23" s="40">
        <f t="shared" si="15"/>
        <v>1192</v>
      </c>
    </row>
    <row r="24" spans="2:32" ht="23.1" customHeight="1" x14ac:dyDescent="0.25">
      <c r="B24" s="23" t="s">
        <v>51</v>
      </c>
      <c r="C24" s="50">
        <v>38</v>
      </c>
      <c r="D24" s="50">
        <v>15</v>
      </c>
      <c r="E24" s="50">
        <v>6</v>
      </c>
      <c r="F24" s="50">
        <v>19</v>
      </c>
      <c r="G24" s="50">
        <v>3</v>
      </c>
      <c r="H24" s="50">
        <v>1</v>
      </c>
      <c r="I24" s="50">
        <v>11</v>
      </c>
      <c r="J24" s="50">
        <v>9</v>
      </c>
      <c r="K24" s="50">
        <v>1</v>
      </c>
      <c r="L24" s="50">
        <v>0</v>
      </c>
      <c r="M24" s="50">
        <v>72</v>
      </c>
      <c r="N24" s="50">
        <v>0</v>
      </c>
      <c r="O24" s="15">
        <f t="shared" si="0"/>
        <v>103</v>
      </c>
      <c r="P24" s="15">
        <f t="shared" si="1"/>
        <v>175</v>
      </c>
      <c r="R24" s="38" t="s">
        <v>92</v>
      </c>
      <c r="S24" s="39">
        <f>MAX(S19:S21)</f>
        <v>379</v>
      </c>
      <c r="T24" s="39">
        <f t="shared" ref="T24:AF24" si="16">MAX(T19:T21)</f>
        <v>191</v>
      </c>
      <c r="U24" s="39">
        <f t="shared" si="16"/>
        <v>92</v>
      </c>
      <c r="V24" s="39">
        <f t="shared" si="16"/>
        <v>110</v>
      </c>
      <c r="W24" s="39">
        <f t="shared" si="16"/>
        <v>38</v>
      </c>
      <c r="X24" s="39">
        <f t="shared" si="16"/>
        <v>4</v>
      </c>
      <c r="Y24" s="39">
        <f t="shared" si="16"/>
        <v>61</v>
      </c>
      <c r="Z24" s="39">
        <f t="shared" si="16"/>
        <v>88</v>
      </c>
      <c r="AA24" s="39">
        <f t="shared" si="16"/>
        <v>24</v>
      </c>
      <c r="AB24" s="39">
        <f t="shared" si="16"/>
        <v>1</v>
      </c>
      <c r="AC24" s="39">
        <f t="shared" si="16"/>
        <v>495</v>
      </c>
      <c r="AD24" s="39">
        <f t="shared" si="16"/>
        <v>0</v>
      </c>
      <c r="AE24" s="40">
        <f t="shared" si="16"/>
        <v>910</v>
      </c>
      <c r="AF24" s="40">
        <f t="shared" si="16"/>
        <v>1338</v>
      </c>
    </row>
    <row r="25" spans="2:32" ht="23.1" customHeight="1" x14ac:dyDescent="0.25">
      <c r="B25" s="23" t="s">
        <v>52</v>
      </c>
      <c r="C25" s="50">
        <v>37</v>
      </c>
      <c r="D25" s="50">
        <v>25</v>
      </c>
      <c r="E25" s="50">
        <v>11</v>
      </c>
      <c r="F25" s="50">
        <v>19</v>
      </c>
      <c r="G25" s="50">
        <v>2</v>
      </c>
      <c r="H25" s="50">
        <v>0</v>
      </c>
      <c r="I25" s="50">
        <v>11</v>
      </c>
      <c r="J25" s="50">
        <v>9</v>
      </c>
      <c r="K25" s="50">
        <v>5</v>
      </c>
      <c r="L25" s="50">
        <v>0</v>
      </c>
      <c r="M25" s="50">
        <v>116</v>
      </c>
      <c r="N25" s="50">
        <v>0</v>
      </c>
      <c r="O25" s="15">
        <f t="shared" si="0"/>
        <v>119</v>
      </c>
      <c r="P25" s="15">
        <f t="shared" si="1"/>
        <v>235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0</v>
      </c>
      <c r="AF25" s="32">
        <f t="shared" si="17"/>
        <v>0</v>
      </c>
    </row>
    <row r="26" spans="2:32" ht="23.1" customHeight="1" x14ac:dyDescent="0.25">
      <c r="B26" s="23" t="s">
        <v>53</v>
      </c>
      <c r="C26" s="50">
        <v>51</v>
      </c>
      <c r="D26" s="50">
        <v>18</v>
      </c>
      <c r="E26" s="50">
        <v>20</v>
      </c>
      <c r="F26" s="50">
        <v>21</v>
      </c>
      <c r="G26" s="50">
        <v>2</v>
      </c>
      <c r="H26" s="50">
        <v>0</v>
      </c>
      <c r="I26" s="50">
        <v>14</v>
      </c>
      <c r="J26" s="50">
        <v>15</v>
      </c>
      <c r="K26" s="50">
        <v>4</v>
      </c>
      <c r="L26" s="50">
        <v>0</v>
      </c>
      <c r="M26" s="50">
        <v>150</v>
      </c>
      <c r="N26" s="50">
        <v>0</v>
      </c>
      <c r="O26" s="15">
        <f t="shared" si="0"/>
        <v>145</v>
      </c>
      <c r="P26" s="15">
        <f t="shared" si="1"/>
        <v>295</v>
      </c>
      <c r="R26" s="28" t="s">
        <v>86</v>
      </c>
      <c r="S26" s="16">
        <f t="shared" ref="S26:AF26" si="18">SUM(S13:S18)</f>
        <v>975</v>
      </c>
      <c r="T26" s="16">
        <f t="shared" si="18"/>
        <v>389</v>
      </c>
      <c r="U26" s="16">
        <f t="shared" si="18"/>
        <v>238</v>
      </c>
      <c r="V26" s="16">
        <f t="shared" si="18"/>
        <v>346</v>
      </c>
      <c r="W26" s="16">
        <f t="shared" si="18"/>
        <v>24</v>
      </c>
      <c r="X26" s="16">
        <f t="shared" si="18"/>
        <v>1</v>
      </c>
      <c r="Y26" s="16">
        <f t="shared" si="18"/>
        <v>309</v>
      </c>
      <c r="Z26" s="16">
        <f t="shared" si="18"/>
        <v>312</v>
      </c>
      <c r="AA26" s="16">
        <f t="shared" si="18"/>
        <v>72</v>
      </c>
      <c r="AB26" s="16">
        <f t="shared" si="18"/>
        <v>6</v>
      </c>
      <c r="AC26" s="16">
        <f t="shared" si="18"/>
        <v>2050</v>
      </c>
      <c r="AD26" s="16">
        <f t="shared" si="18"/>
        <v>0</v>
      </c>
      <c r="AE26" s="32">
        <f t="shared" si="18"/>
        <v>2672</v>
      </c>
      <c r="AF26" s="32">
        <f t="shared" si="18"/>
        <v>4722</v>
      </c>
    </row>
    <row r="27" spans="2:32" ht="23.1" customHeight="1" x14ac:dyDescent="0.25">
      <c r="B27" s="23" t="s">
        <v>54</v>
      </c>
      <c r="C27" s="50">
        <v>70</v>
      </c>
      <c r="D27" s="50">
        <v>24</v>
      </c>
      <c r="E27" s="50">
        <v>11</v>
      </c>
      <c r="F27" s="50">
        <v>15</v>
      </c>
      <c r="G27" s="50">
        <v>0</v>
      </c>
      <c r="H27" s="50">
        <v>0</v>
      </c>
      <c r="I27" s="50">
        <v>18</v>
      </c>
      <c r="J27" s="50">
        <v>12</v>
      </c>
      <c r="K27" s="50">
        <v>1</v>
      </c>
      <c r="L27" s="50">
        <v>0</v>
      </c>
      <c r="M27" s="50">
        <v>170</v>
      </c>
      <c r="N27" s="50">
        <v>0</v>
      </c>
      <c r="O27" s="15">
        <f t="shared" si="0"/>
        <v>151</v>
      </c>
      <c r="P27" s="15">
        <f t="shared" si="1"/>
        <v>321</v>
      </c>
      <c r="R27" s="29" t="s">
        <v>87</v>
      </c>
      <c r="S27" s="16">
        <f t="shared" ref="S27:AF27" si="19">SUM(S19:S21)</f>
        <v>857</v>
      </c>
      <c r="T27" s="16">
        <f t="shared" si="19"/>
        <v>393</v>
      </c>
      <c r="U27" s="16">
        <f t="shared" si="19"/>
        <v>190</v>
      </c>
      <c r="V27" s="16">
        <f t="shared" si="19"/>
        <v>248</v>
      </c>
      <c r="W27" s="16">
        <f t="shared" si="19"/>
        <v>41</v>
      </c>
      <c r="X27" s="16">
        <f t="shared" si="19"/>
        <v>4</v>
      </c>
      <c r="Y27" s="16">
        <f t="shared" si="19"/>
        <v>146</v>
      </c>
      <c r="Z27" s="16">
        <f t="shared" si="19"/>
        <v>214</v>
      </c>
      <c r="AA27" s="16">
        <f t="shared" si="19"/>
        <v>50</v>
      </c>
      <c r="AB27" s="16">
        <f t="shared" si="19"/>
        <v>1</v>
      </c>
      <c r="AC27" s="16">
        <f t="shared" si="19"/>
        <v>1360</v>
      </c>
      <c r="AD27" s="16">
        <f t="shared" si="19"/>
        <v>0</v>
      </c>
      <c r="AE27" s="32">
        <f t="shared" si="19"/>
        <v>2144</v>
      </c>
      <c r="AF27" s="32">
        <f t="shared" si="19"/>
        <v>3504</v>
      </c>
    </row>
    <row r="28" spans="2:32" ht="23.1" customHeight="1" x14ac:dyDescent="0.25">
      <c r="B28" s="23" t="s">
        <v>55</v>
      </c>
      <c r="C28" s="50">
        <v>74</v>
      </c>
      <c r="D28" s="50">
        <v>12</v>
      </c>
      <c r="E28" s="50">
        <v>9</v>
      </c>
      <c r="F28" s="50">
        <v>18</v>
      </c>
      <c r="G28" s="50">
        <v>1</v>
      </c>
      <c r="H28" s="50">
        <v>0</v>
      </c>
      <c r="I28" s="50">
        <v>14</v>
      </c>
      <c r="J28" s="50">
        <v>16</v>
      </c>
      <c r="K28" s="50">
        <v>7</v>
      </c>
      <c r="L28" s="50">
        <v>0</v>
      </c>
      <c r="M28" s="50">
        <v>175</v>
      </c>
      <c r="N28" s="50">
        <v>0</v>
      </c>
      <c r="O28" s="15">
        <f t="shared" si="0"/>
        <v>151</v>
      </c>
      <c r="P28" s="15">
        <f t="shared" si="1"/>
        <v>326</v>
      </c>
      <c r="R28" s="5" t="s">
        <v>17</v>
      </c>
      <c r="S28" s="16">
        <f t="shared" ref="S28:AF28" si="20">SUM(S10:S21)</f>
        <v>1832</v>
      </c>
      <c r="T28" s="16">
        <f t="shared" si="20"/>
        <v>782</v>
      </c>
      <c r="U28" s="16">
        <f t="shared" si="20"/>
        <v>428</v>
      </c>
      <c r="V28" s="16">
        <f t="shared" si="20"/>
        <v>594</v>
      </c>
      <c r="W28" s="16">
        <f t="shared" si="20"/>
        <v>65</v>
      </c>
      <c r="X28" s="16">
        <f t="shared" si="20"/>
        <v>5</v>
      </c>
      <c r="Y28" s="16">
        <f t="shared" si="20"/>
        <v>455</v>
      </c>
      <c r="Z28" s="16">
        <f t="shared" si="20"/>
        <v>526</v>
      </c>
      <c r="AA28" s="16">
        <f t="shared" si="20"/>
        <v>122</v>
      </c>
      <c r="AB28" s="16">
        <f t="shared" si="20"/>
        <v>7</v>
      </c>
      <c r="AC28" s="16">
        <f t="shared" si="20"/>
        <v>3410</v>
      </c>
      <c r="AD28" s="16">
        <f t="shared" si="20"/>
        <v>0</v>
      </c>
      <c r="AE28" s="32">
        <f t="shared" si="20"/>
        <v>4816</v>
      </c>
      <c r="AF28" s="32">
        <f t="shared" si="20"/>
        <v>8226</v>
      </c>
    </row>
    <row r="29" spans="2:32" ht="23.1" customHeight="1" x14ac:dyDescent="0.25">
      <c r="B29" s="23" t="s">
        <v>56</v>
      </c>
      <c r="C29" s="50">
        <v>52</v>
      </c>
      <c r="D29" s="50">
        <v>14</v>
      </c>
      <c r="E29" s="50">
        <v>12</v>
      </c>
      <c r="F29" s="50">
        <v>14</v>
      </c>
      <c r="G29" s="50">
        <v>0</v>
      </c>
      <c r="H29" s="50">
        <v>0</v>
      </c>
      <c r="I29" s="50">
        <v>8</v>
      </c>
      <c r="J29" s="50">
        <v>9</v>
      </c>
      <c r="K29" s="50">
        <v>6</v>
      </c>
      <c r="L29" s="50">
        <v>0</v>
      </c>
      <c r="M29" s="50">
        <v>135</v>
      </c>
      <c r="N29" s="50">
        <v>0</v>
      </c>
      <c r="O29" s="15">
        <f t="shared" si="0"/>
        <v>115</v>
      </c>
      <c r="P29" s="15">
        <f t="shared" si="1"/>
        <v>250</v>
      </c>
      <c r="R29"/>
      <c r="S29" s="20"/>
      <c r="T29" s="19"/>
    </row>
    <row r="30" spans="2:32" ht="23.1" customHeight="1" x14ac:dyDescent="0.25">
      <c r="B30" s="23" t="s">
        <v>57</v>
      </c>
      <c r="C30" s="50">
        <v>61</v>
      </c>
      <c r="D30" s="50">
        <v>26</v>
      </c>
      <c r="E30" s="50">
        <v>16</v>
      </c>
      <c r="F30" s="50">
        <v>20</v>
      </c>
      <c r="G30" s="50">
        <v>3</v>
      </c>
      <c r="H30" s="50">
        <v>0</v>
      </c>
      <c r="I30" s="50">
        <v>22</v>
      </c>
      <c r="J30" s="50">
        <v>17</v>
      </c>
      <c r="K30" s="50">
        <v>5</v>
      </c>
      <c r="L30" s="50">
        <v>0</v>
      </c>
      <c r="M30" s="50">
        <v>115</v>
      </c>
      <c r="N30" s="50">
        <v>0</v>
      </c>
      <c r="O30" s="15">
        <f t="shared" si="0"/>
        <v>170</v>
      </c>
      <c r="P30" s="15">
        <f t="shared" si="1"/>
        <v>285</v>
      </c>
    </row>
    <row r="31" spans="2:32" ht="23.1" customHeight="1" x14ac:dyDescent="0.25">
      <c r="B31" s="24" t="s">
        <v>58</v>
      </c>
      <c r="C31" s="50">
        <v>48</v>
      </c>
      <c r="D31" s="50">
        <v>36</v>
      </c>
      <c r="E31" s="50">
        <v>15</v>
      </c>
      <c r="F31" s="50">
        <v>16</v>
      </c>
      <c r="G31" s="50">
        <v>3</v>
      </c>
      <c r="H31" s="50">
        <v>0</v>
      </c>
      <c r="I31" s="50">
        <v>17</v>
      </c>
      <c r="J31" s="50">
        <v>17</v>
      </c>
      <c r="K31" s="50">
        <v>4</v>
      </c>
      <c r="L31" s="50">
        <v>1</v>
      </c>
      <c r="M31" s="50">
        <v>91</v>
      </c>
      <c r="N31" s="50">
        <v>0</v>
      </c>
      <c r="O31" s="15">
        <f t="shared" si="0"/>
        <v>157</v>
      </c>
      <c r="P31" s="15">
        <f t="shared" si="1"/>
        <v>248</v>
      </c>
    </row>
    <row r="32" spans="2:32" ht="23.1" customHeight="1" x14ac:dyDescent="0.25">
      <c r="B32" s="24" t="s">
        <v>59</v>
      </c>
      <c r="C32" s="50">
        <v>40</v>
      </c>
      <c r="D32" s="50">
        <v>17</v>
      </c>
      <c r="E32" s="50">
        <v>17</v>
      </c>
      <c r="F32" s="50">
        <v>21</v>
      </c>
      <c r="G32" s="50">
        <v>3</v>
      </c>
      <c r="H32" s="50">
        <v>0</v>
      </c>
      <c r="I32" s="50">
        <v>22</v>
      </c>
      <c r="J32" s="50">
        <v>11</v>
      </c>
      <c r="K32" s="50">
        <v>6</v>
      </c>
      <c r="L32" s="50">
        <v>1</v>
      </c>
      <c r="M32" s="50">
        <v>105</v>
      </c>
      <c r="N32" s="50">
        <v>0</v>
      </c>
      <c r="O32" s="15">
        <f t="shared" si="0"/>
        <v>138</v>
      </c>
      <c r="P32" s="15">
        <f t="shared" si="1"/>
        <v>243</v>
      </c>
    </row>
    <row r="33" spans="2:20" ht="23.1" customHeight="1" x14ac:dyDescent="0.25">
      <c r="B33" s="23" t="s">
        <v>60</v>
      </c>
      <c r="C33" s="50">
        <v>40</v>
      </c>
      <c r="D33" s="50">
        <v>11</v>
      </c>
      <c r="E33" s="50">
        <v>10</v>
      </c>
      <c r="F33" s="50">
        <v>25</v>
      </c>
      <c r="G33" s="50">
        <v>1</v>
      </c>
      <c r="H33" s="50">
        <v>0</v>
      </c>
      <c r="I33" s="50">
        <v>10</v>
      </c>
      <c r="J33" s="50">
        <v>9</v>
      </c>
      <c r="K33" s="50">
        <v>2</v>
      </c>
      <c r="L33" s="50">
        <v>1</v>
      </c>
      <c r="M33" s="50">
        <v>70</v>
      </c>
      <c r="N33" s="50">
        <v>0</v>
      </c>
      <c r="O33" s="15">
        <f t="shared" si="0"/>
        <v>109</v>
      </c>
      <c r="P33" s="15">
        <f t="shared" si="1"/>
        <v>179</v>
      </c>
    </row>
    <row r="34" spans="2:20" ht="23.1" customHeight="1" x14ac:dyDescent="0.25">
      <c r="B34" s="24" t="s">
        <v>61</v>
      </c>
      <c r="C34" s="50">
        <v>54</v>
      </c>
      <c r="D34" s="50">
        <v>24</v>
      </c>
      <c r="E34" s="50">
        <v>10</v>
      </c>
      <c r="F34" s="50">
        <v>18</v>
      </c>
      <c r="G34" s="50">
        <v>0</v>
      </c>
      <c r="H34" s="50">
        <v>0</v>
      </c>
      <c r="I34" s="50">
        <v>15</v>
      </c>
      <c r="J34" s="50">
        <v>13</v>
      </c>
      <c r="K34" s="50">
        <v>3</v>
      </c>
      <c r="L34" s="50">
        <v>0</v>
      </c>
      <c r="M34" s="50">
        <v>82</v>
      </c>
      <c r="N34" s="50">
        <v>0</v>
      </c>
      <c r="O34" s="15">
        <f t="shared" si="0"/>
        <v>137</v>
      </c>
      <c r="P34" s="15">
        <f t="shared" si="1"/>
        <v>219</v>
      </c>
    </row>
    <row r="35" spans="2:20" ht="23.1" customHeight="1" x14ac:dyDescent="0.25">
      <c r="B35" s="24" t="s">
        <v>62</v>
      </c>
      <c r="C35" s="50">
        <v>58</v>
      </c>
      <c r="D35" s="50">
        <v>11</v>
      </c>
      <c r="E35" s="50">
        <v>12</v>
      </c>
      <c r="F35" s="50">
        <v>18</v>
      </c>
      <c r="G35" s="50">
        <v>1</v>
      </c>
      <c r="H35" s="50">
        <v>0</v>
      </c>
      <c r="I35" s="50">
        <v>10</v>
      </c>
      <c r="J35" s="50">
        <v>18</v>
      </c>
      <c r="K35" s="50">
        <v>3</v>
      </c>
      <c r="L35" s="50">
        <v>0</v>
      </c>
      <c r="M35" s="50">
        <v>96</v>
      </c>
      <c r="N35" s="50">
        <v>0</v>
      </c>
      <c r="O35" s="15">
        <f t="shared" si="0"/>
        <v>131</v>
      </c>
      <c r="P35" s="15">
        <f t="shared" si="1"/>
        <v>227</v>
      </c>
    </row>
    <row r="36" spans="2:20" ht="23.1" customHeight="1" x14ac:dyDescent="0.25">
      <c r="B36" s="24" t="s">
        <v>63</v>
      </c>
      <c r="C36" s="50">
        <v>43</v>
      </c>
      <c r="D36" s="50">
        <v>26</v>
      </c>
      <c r="E36" s="50">
        <v>8</v>
      </c>
      <c r="F36" s="50">
        <v>12</v>
      </c>
      <c r="G36" s="50">
        <v>2</v>
      </c>
      <c r="H36" s="50">
        <v>0</v>
      </c>
      <c r="I36" s="50">
        <v>11</v>
      </c>
      <c r="J36" s="50">
        <v>9</v>
      </c>
      <c r="K36" s="50">
        <v>5</v>
      </c>
      <c r="L36" s="50">
        <v>0</v>
      </c>
      <c r="M36" s="50">
        <v>75</v>
      </c>
      <c r="N36" s="50">
        <v>0</v>
      </c>
      <c r="O36" s="15">
        <f t="shared" si="0"/>
        <v>116</v>
      </c>
      <c r="P36" s="15">
        <f t="shared" si="1"/>
        <v>191</v>
      </c>
    </row>
    <row r="37" spans="2:20" ht="23.1" customHeight="1" x14ac:dyDescent="0.25">
      <c r="B37" s="23" t="s">
        <v>64</v>
      </c>
      <c r="C37" s="50">
        <v>33</v>
      </c>
      <c r="D37" s="50">
        <v>15</v>
      </c>
      <c r="E37" s="50">
        <v>14</v>
      </c>
      <c r="F37" s="50">
        <v>12</v>
      </c>
      <c r="G37" s="50">
        <v>1</v>
      </c>
      <c r="H37" s="50">
        <v>0</v>
      </c>
      <c r="I37" s="50">
        <v>18</v>
      </c>
      <c r="J37" s="50">
        <v>15</v>
      </c>
      <c r="K37" s="50">
        <v>8</v>
      </c>
      <c r="L37" s="50">
        <v>3</v>
      </c>
      <c r="M37" s="50">
        <v>59</v>
      </c>
      <c r="N37" s="50">
        <v>0</v>
      </c>
      <c r="O37" s="15">
        <f t="shared" si="0"/>
        <v>119</v>
      </c>
      <c r="P37" s="15">
        <f t="shared" si="1"/>
        <v>178</v>
      </c>
    </row>
    <row r="38" spans="2:20" ht="23.1" customHeight="1" x14ac:dyDescent="0.25">
      <c r="B38" s="24" t="s">
        <v>65</v>
      </c>
      <c r="C38" s="50">
        <v>29</v>
      </c>
      <c r="D38" s="50">
        <v>16</v>
      </c>
      <c r="E38" s="50">
        <v>9</v>
      </c>
      <c r="F38" s="50">
        <v>25</v>
      </c>
      <c r="G38" s="50">
        <v>0</v>
      </c>
      <c r="H38" s="50">
        <v>0</v>
      </c>
      <c r="I38" s="50">
        <v>17</v>
      </c>
      <c r="J38" s="50">
        <v>7</v>
      </c>
      <c r="K38" s="50">
        <v>0</v>
      </c>
      <c r="L38" s="50">
        <v>0</v>
      </c>
      <c r="M38" s="50">
        <v>125</v>
      </c>
      <c r="N38" s="50">
        <v>0</v>
      </c>
      <c r="O38" s="15">
        <f t="shared" si="0"/>
        <v>103</v>
      </c>
      <c r="P38" s="15">
        <f t="shared" si="1"/>
        <v>228</v>
      </c>
    </row>
    <row r="39" spans="2:20" ht="23.1" customHeight="1" x14ac:dyDescent="0.25">
      <c r="B39" s="24" t="s">
        <v>66</v>
      </c>
      <c r="C39" s="50">
        <v>57</v>
      </c>
      <c r="D39" s="50">
        <v>13</v>
      </c>
      <c r="E39" s="50">
        <v>14</v>
      </c>
      <c r="F39" s="50">
        <v>9</v>
      </c>
      <c r="G39" s="50">
        <v>0</v>
      </c>
      <c r="H39" s="50">
        <v>0</v>
      </c>
      <c r="I39" s="50">
        <v>18</v>
      </c>
      <c r="J39" s="50">
        <v>12</v>
      </c>
      <c r="K39" s="50">
        <v>1</v>
      </c>
      <c r="L39" s="50">
        <v>0</v>
      </c>
      <c r="M39" s="50">
        <v>120</v>
      </c>
      <c r="N39" s="50">
        <v>0</v>
      </c>
      <c r="O39" s="15">
        <f t="shared" si="0"/>
        <v>124</v>
      </c>
      <c r="P39" s="15">
        <f t="shared" si="1"/>
        <v>244</v>
      </c>
    </row>
    <row r="40" spans="2:20" ht="23.1" customHeight="1" x14ac:dyDescent="0.25">
      <c r="B40" s="24" t="s">
        <v>67</v>
      </c>
      <c r="C40" s="50">
        <v>32</v>
      </c>
      <c r="D40" s="50">
        <v>15</v>
      </c>
      <c r="E40" s="50">
        <v>5</v>
      </c>
      <c r="F40" s="50">
        <v>10</v>
      </c>
      <c r="G40" s="50">
        <v>0</v>
      </c>
      <c r="H40" s="50">
        <v>0</v>
      </c>
      <c r="I40" s="50">
        <v>15</v>
      </c>
      <c r="J40" s="50">
        <v>37</v>
      </c>
      <c r="K40" s="50">
        <v>0</v>
      </c>
      <c r="L40" s="50">
        <v>0</v>
      </c>
      <c r="M40" s="50">
        <v>80</v>
      </c>
      <c r="N40" s="50">
        <v>0</v>
      </c>
      <c r="O40" s="15">
        <f t="shared" si="0"/>
        <v>114</v>
      </c>
      <c r="P40" s="15">
        <f t="shared" si="1"/>
        <v>194</v>
      </c>
    </row>
    <row r="41" spans="2:20" ht="23.1" customHeight="1" x14ac:dyDescent="0.25">
      <c r="B41" s="23" t="s">
        <v>68</v>
      </c>
      <c r="C41" s="50">
        <v>46</v>
      </c>
      <c r="D41" s="50">
        <v>18</v>
      </c>
      <c r="E41" s="50">
        <v>12</v>
      </c>
      <c r="F41" s="50">
        <v>15</v>
      </c>
      <c r="G41" s="50">
        <v>0</v>
      </c>
      <c r="H41" s="50">
        <v>0</v>
      </c>
      <c r="I41" s="50">
        <v>19</v>
      </c>
      <c r="J41" s="50">
        <v>26</v>
      </c>
      <c r="K41" s="50">
        <v>4</v>
      </c>
      <c r="L41" s="50">
        <v>0</v>
      </c>
      <c r="M41" s="50">
        <v>81</v>
      </c>
      <c r="N41" s="50">
        <v>0</v>
      </c>
      <c r="O41" s="15">
        <f t="shared" si="0"/>
        <v>140</v>
      </c>
      <c r="P41" s="15">
        <f t="shared" si="1"/>
        <v>221</v>
      </c>
    </row>
    <row r="42" spans="2:20" ht="23.1" customHeight="1" x14ac:dyDescent="0.25">
      <c r="B42" s="24" t="s">
        <v>69</v>
      </c>
      <c r="C42" s="50">
        <v>45</v>
      </c>
      <c r="D42" s="50">
        <v>19</v>
      </c>
      <c r="E42" s="50">
        <v>11</v>
      </c>
      <c r="F42" s="50">
        <v>13</v>
      </c>
      <c r="G42" s="50">
        <v>1</v>
      </c>
      <c r="H42" s="50">
        <v>0</v>
      </c>
      <c r="I42" s="50">
        <v>19</v>
      </c>
      <c r="J42" s="50">
        <v>18</v>
      </c>
      <c r="K42" s="50">
        <v>2</v>
      </c>
      <c r="L42" s="50">
        <v>0</v>
      </c>
      <c r="M42" s="50">
        <v>48</v>
      </c>
      <c r="N42" s="50">
        <v>0</v>
      </c>
      <c r="O42" s="15">
        <f t="shared" si="0"/>
        <v>128</v>
      </c>
      <c r="P42" s="15">
        <f t="shared" si="1"/>
        <v>176</v>
      </c>
    </row>
    <row r="43" spans="2:20" ht="23.1" customHeight="1" x14ac:dyDescent="0.25">
      <c r="B43" s="23" t="s">
        <v>70</v>
      </c>
      <c r="C43" s="50">
        <v>31</v>
      </c>
      <c r="D43" s="50">
        <v>6</v>
      </c>
      <c r="E43" s="50">
        <v>8</v>
      </c>
      <c r="F43" s="50">
        <v>8</v>
      </c>
      <c r="G43" s="50">
        <v>0</v>
      </c>
      <c r="H43" s="50">
        <v>0</v>
      </c>
      <c r="I43" s="50">
        <v>7</v>
      </c>
      <c r="J43" s="50">
        <v>4</v>
      </c>
      <c r="K43" s="50">
        <v>2</v>
      </c>
      <c r="L43" s="50">
        <v>0</v>
      </c>
      <c r="M43" s="50">
        <v>21</v>
      </c>
      <c r="N43" s="50">
        <v>0</v>
      </c>
      <c r="O43" s="15">
        <f t="shared" si="0"/>
        <v>66</v>
      </c>
      <c r="P43" s="15">
        <f t="shared" si="1"/>
        <v>87</v>
      </c>
    </row>
    <row r="44" spans="2:20" ht="23.1" customHeight="1" x14ac:dyDescent="0.25">
      <c r="B44" s="25" t="s">
        <v>71</v>
      </c>
      <c r="C44" s="50">
        <v>22</v>
      </c>
      <c r="D44" s="50">
        <v>14</v>
      </c>
      <c r="E44" s="50">
        <v>5</v>
      </c>
      <c r="F44" s="50">
        <v>12</v>
      </c>
      <c r="G44" s="50">
        <v>0</v>
      </c>
      <c r="H44" s="50">
        <v>0</v>
      </c>
      <c r="I44" s="50">
        <v>7</v>
      </c>
      <c r="J44" s="50">
        <v>22</v>
      </c>
      <c r="K44" s="50">
        <v>2</v>
      </c>
      <c r="L44" s="50">
        <v>0</v>
      </c>
      <c r="M44" s="50">
        <v>29</v>
      </c>
      <c r="N44" s="50">
        <v>0</v>
      </c>
      <c r="O44" s="15">
        <f t="shared" si="0"/>
        <v>84</v>
      </c>
      <c r="P44" s="15">
        <f t="shared" si="1"/>
        <v>113</v>
      </c>
    </row>
    <row r="45" spans="2:20" ht="23.1" customHeight="1" x14ac:dyDescent="0.25">
      <c r="B45" s="23" t="s">
        <v>72</v>
      </c>
      <c r="C45" s="50">
        <v>14</v>
      </c>
      <c r="D45" s="50">
        <v>14</v>
      </c>
      <c r="E45" s="50">
        <v>3</v>
      </c>
      <c r="F45" s="50">
        <v>6</v>
      </c>
      <c r="G45" s="50">
        <v>1</v>
      </c>
      <c r="H45" s="50">
        <v>0</v>
      </c>
      <c r="I45" s="50">
        <v>6</v>
      </c>
      <c r="J45" s="50">
        <v>7</v>
      </c>
      <c r="K45" s="50">
        <v>1</v>
      </c>
      <c r="L45" s="50">
        <v>0</v>
      </c>
      <c r="M45" s="50">
        <v>35</v>
      </c>
      <c r="N45" s="50">
        <v>0</v>
      </c>
      <c r="O45" s="15">
        <f t="shared" si="0"/>
        <v>52</v>
      </c>
      <c r="P45" s="15">
        <f t="shared" si="1"/>
        <v>87</v>
      </c>
    </row>
    <row r="46" spans="2:20" ht="23.1" customHeight="1" x14ac:dyDescent="0.25">
      <c r="B46" s="24" t="s">
        <v>73</v>
      </c>
      <c r="C46" s="50">
        <v>35</v>
      </c>
      <c r="D46" s="50">
        <v>26</v>
      </c>
      <c r="E46" s="50">
        <v>14</v>
      </c>
      <c r="F46" s="50">
        <v>16</v>
      </c>
      <c r="G46" s="50">
        <v>1</v>
      </c>
      <c r="H46" s="50">
        <v>0</v>
      </c>
      <c r="I46" s="50">
        <v>8</v>
      </c>
      <c r="J46" s="50">
        <v>18</v>
      </c>
      <c r="K46" s="50">
        <v>10</v>
      </c>
      <c r="L46" s="50">
        <v>0</v>
      </c>
      <c r="M46" s="50">
        <v>116</v>
      </c>
      <c r="N46" s="50">
        <v>0</v>
      </c>
      <c r="O46" s="15">
        <f t="shared" si="0"/>
        <v>128</v>
      </c>
      <c r="P46" s="15">
        <f t="shared" si="1"/>
        <v>244</v>
      </c>
      <c r="R46" s="8"/>
      <c r="T46"/>
    </row>
    <row r="47" spans="2:20" ht="23.1" customHeight="1" x14ac:dyDescent="0.25">
      <c r="B47" s="24" t="s">
        <v>74</v>
      </c>
      <c r="C47" s="50">
        <v>19</v>
      </c>
      <c r="D47" s="50">
        <v>16</v>
      </c>
      <c r="E47" s="50">
        <v>12</v>
      </c>
      <c r="F47" s="50">
        <v>18</v>
      </c>
      <c r="G47" s="50">
        <v>1</v>
      </c>
      <c r="H47" s="50">
        <v>0</v>
      </c>
      <c r="I47" s="50">
        <v>10</v>
      </c>
      <c r="J47" s="50">
        <v>30</v>
      </c>
      <c r="K47" s="50">
        <v>2</v>
      </c>
      <c r="L47" s="50">
        <v>0</v>
      </c>
      <c r="M47" s="50">
        <v>94</v>
      </c>
      <c r="N47" s="50">
        <v>0</v>
      </c>
      <c r="O47" s="15">
        <f t="shared" si="0"/>
        <v>108</v>
      </c>
      <c r="P47" s="15">
        <f t="shared" si="1"/>
        <v>202</v>
      </c>
      <c r="R47" s="8"/>
      <c r="T47"/>
    </row>
    <row r="48" spans="2:20" ht="23.1" customHeight="1" x14ac:dyDescent="0.25">
      <c r="B48" s="24" t="s">
        <v>75</v>
      </c>
      <c r="C48" s="50">
        <v>40</v>
      </c>
      <c r="D48" s="50">
        <v>27</v>
      </c>
      <c r="E48" s="50">
        <v>16</v>
      </c>
      <c r="F48" s="50">
        <v>19</v>
      </c>
      <c r="G48" s="50">
        <v>0</v>
      </c>
      <c r="H48" s="50">
        <v>0</v>
      </c>
      <c r="I48" s="50">
        <v>10</v>
      </c>
      <c r="J48" s="50">
        <v>25</v>
      </c>
      <c r="K48" s="50">
        <v>3</v>
      </c>
      <c r="L48" s="50">
        <v>0</v>
      </c>
      <c r="M48" s="50">
        <v>110</v>
      </c>
      <c r="N48" s="50">
        <v>0</v>
      </c>
      <c r="O48" s="15">
        <f t="shared" si="0"/>
        <v>140</v>
      </c>
      <c r="P48" s="15">
        <f t="shared" si="1"/>
        <v>250</v>
      </c>
      <c r="R48" s="8"/>
      <c r="T48"/>
    </row>
    <row r="49" spans="2:20" ht="23.1" customHeight="1" x14ac:dyDescent="0.25">
      <c r="B49" s="23" t="s">
        <v>76</v>
      </c>
      <c r="C49" s="50">
        <v>57</v>
      </c>
      <c r="D49" s="50">
        <v>25</v>
      </c>
      <c r="E49" s="50">
        <v>5</v>
      </c>
      <c r="F49" s="50">
        <v>15</v>
      </c>
      <c r="G49" s="50">
        <v>0</v>
      </c>
      <c r="H49" s="50">
        <v>0</v>
      </c>
      <c r="I49" s="50">
        <v>12</v>
      </c>
      <c r="J49" s="50">
        <v>15</v>
      </c>
      <c r="K49" s="50">
        <v>5</v>
      </c>
      <c r="L49" s="50">
        <v>0</v>
      </c>
      <c r="M49" s="50">
        <v>117</v>
      </c>
      <c r="N49" s="50">
        <v>0</v>
      </c>
      <c r="O49" s="15">
        <f t="shared" si="0"/>
        <v>134</v>
      </c>
      <c r="P49" s="15">
        <f t="shared" si="1"/>
        <v>251</v>
      </c>
      <c r="R49" s="8"/>
      <c r="T49"/>
    </row>
    <row r="50" spans="2:20" ht="23.1" customHeight="1" x14ac:dyDescent="0.25">
      <c r="B50" s="24" t="s">
        <v>77</v>
      </c>
      <c r="C50" s="50">
        <v>70</v>
      </c>
      <c r="D50" s="50">
        <v>34</v>
      </c>
      <c r="E50" s="50">
        <v>14</v>
      </c>
      <c r="F50" s="50">
        <v>17</v>
      </c>
      <c r="G50" s="50">
        <v>0</v>
      </c>
      <c r="H50" s="50">
        <v>0</v>
      </c>
      <c r="I50" s="50">
        <v>17</v>
      </c>
      <c r="J50" s="50">
        <v>9</v>
      </c>
      <c r="K50" s="50">
        <v>2</v>
      </c>
      <c r="L50" s="50">
        <v>0</v>
      </c>
      <c r="M50" s="50">
        <v>111</v>
      </c>
      <c r="N50" s="50">
        <v>0</v>
      </c>
      <c r="O50" s="15">
        <f t="shared" si="0"/>
        <v>163</v>
      </c>
      <c r="P50" s="15">
        <f t="shared" si="1"/>
        <v>274</v>
      </c>
      <c r="R50" s="8"/>
      <c r="T50"/>
    </row>
    <row r="51" spans="2:20" ht="23.1" customHeight="1" x14ac:dyDescent="0.25">
      <c r="B51" s="24" t="s">
        <v>78</v>
      </c>
      <c r="C51" s="50">
        <v>68</v>
      </c>
      <c r="D51" s="50">
        <v>23</v>
      </c>
      <c r="E51" s="50">
        <v>8</v>
      </c>
      <c r="F51" s="50">
        <v>22</v>
      </c>
      <c r="G51" s="50">
        <v>0</v>
      </c>
      <c r="H51" s="50">
        <v>0</v>
      </c>
      <c r="I51" s="50">
        <v>14</v>
      </c>
      <c r="J51" s="50">
        <v>16</v>
      </c>
      <c r="K51" s="50">
        <v>0</v>
      </c>
      <c r="L51" s="50">
        <v>0</v>
      </c>
      <c r="M51" s="50">
        <v>145</v>
      </c>
      <c r="N51" s="50">
        <v>0</v>
      </c>
      <c r="O51" s="15">
        <f t="shared" si="0"/>
        <v>151</v>
      </c>
      <c r="P51" s="15">
        <f t="shared" si="1"/>
        <v>296</v>
      </c>
      <c r="R51" s="8"/>
      <c r="T51"/>
    </row>
    <row r="52" spans="2:20" ht="23.1" customHeight="1" x14ac:dyDescent="0.25">
      <c r="B52" s="24" t="s">
        <v>79</v>
      </c>
      <c r="C52" s="50">
        <v>191</v>
      </c>
      <c r="D52" s="50">
        <v>27</v>
      </c>
      <c r="E52" s="50">
        <v>10</v>
      </c>
      <c r="F52" s="50">
        <v>21</v>
      </c>
      <c r="G52" s="50">
        <v>0</v>
      </c>
      <c r="H52" s="50">
        <v>0</v>
      </c>
      <c r="I52" s="50">
        <v>19</v>
      </c>
      <c r="J52" s="50">
        <v>16</v>
      </c>
      <c r="K52" s="50">
        <v>1</v>
      </c>
      <c r="L52" s="50">
        <v>0</v>
      </c>
      <c r="M52" s="50">
        <v>134</v>
      </c>
      <c r="N52" s="50">
        <v>0</v>
      </c>
      <c r="O52" s="15">
        <f t="shared" si="0"/>
        <v>285</v>
      </c>
      <c r="P52" s="15">
        <f t="shared" si="1"/>
        <v>419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24</v>
      </c>
      <c r="E53" s="50">
        <v>19</v>
      </c>
      <c r="F53" s="50">
        <v>10</v>
      </c>
      <c r="G53" s="50">
        <v>1</v>
      </c>
      <c r="H53" s="50">
        <v>0</v>
      </c>
      <c r="I53" s="50">
        <v>11</v>
      </c>
      <c r="J53" s="50">
        <v>7</v>
      </c>
      <c r="K53" s="50">
        <v>3</v>
      </c>
      <c r="L53" s="50">
        <v>0</v>
      </c>
      <c r="M53" s="50">
        <v>105</v>
      </c>
      <c r="N53" s="50">
        <v>0</v>
      </c>
      <c r="O53" s="15">
        <f t="shared" si="0"/>
        <v>125</v>
      </c>
      <c r="P53" s="15">
        <f t="shared" si="1"/>
        <v>230</v>
      </c>
      <c r="R53" s="8"/>
      <c r="T53"/>
    </row>
    <row r="54" spans="2:20" ht="23.1" customHeight="1" x14ac:dyDescent="0.25">
      <c r="B54" s="23" t="s">
        <v>81</v>
      </c>
      <c r="C54" s="50">
        <v>80</v>
      </c>
      <c r="D54" s="50">
        <v>35</v>
      </c>
      <c r="E54" s="50">
        <v>19</v>
      </c>
      <c r="F54" s="50">
        <v>18</v>
      </c>
      <c r="G54" s="50">
        <v>2</v>
      </c>
      <c r="H54" s="50">
        <v>0</v>
      </c>
      <c r="I54" s="50">
        <v>13</v>
      </c>
      <c r="J54" s="50">
        <v>18</v>
      </c>
      <c r="K54" s="50">
        <v>10</v>
      </c>
      <c r="L54" s="50">
        <v>0</v>
      </c>
      <c r="M54" s="50">
        <v>85</v>
      </c>
      <c r="N54" s="50">
        <v>0</v>
      </c>
      <c r="O54" s="15">
        <f t="shared" si="0"/>
        <v>195</v>
      </c>
      <c r="P54" s="15">
        <f t="shared" si="1"/>
        <v>280</v>
      </c>
      <c r="R54" s="8"/>
      <c r="T54"/>
    </row>
    <row r="55" spans="2:20" ht="23.1" customHeight="1" x14ac:dyDescent="0.25">
      <c r="B55" s="23" t="s">
        <v>82</v>
      </c>
      <c r="C55" s="50">
        <v>60</v>
      </c>
      <c r="D55" s="50">
        <v>43</v>
      </c>
      <c r="E55" s="50">
        <v>22</v>
      </c>
      <c r="F55" s="50">
        <v>25</v>
      </c>
      <c r="G55" s="50">
        <v>4</v>
      </c>
      <c r="H55" s="50">
        <v>0</v>
      </c>
      <c r="I55" s="50">
        <v>10</v>
      </c>
      <c r="J55" s="50">
        <v>9</v>
      </c>
      <c r="K55" s="50">
        <v>5</v>
      </c>
      <c r="L55" s="50">
        <v>0</v>
      </c>
      <c r="M55" s="50">
        <v>97</v>
      </c>
      <c r="N55" s="50">
        <v>0</v>
      </c>
      <c r="O55" s="15">
        <f t="shared" si="0"/>
        <v>178</v>
      </c>
      <c r="P55" s="15">
        <f t="shared" si="1"/>
        <v>275</v>
      </c>
      <c r="R55" s="8"/>
      <c r="T55"/>
    </row>
    <row r="56" spans="2:20" ht="23.1" customHeight="1" x14ac:dyDescent="0.25">
      <c r="B56" s="23" t="s">
        <v>83</v>
      </c>
      <c r="C56" s="50">
        <v>102</v>
      </c>
      <c r="D56" s="50">
        <v>62</v>
      </c>
      <c r="E56" s="50">
        <v>24</v>
      </c>
      <c r="F56" s="50">
        <v>35</v>
      </c>
      <c r="G56" s="50">
        <v>14</v>
      </c>
      <c r="H56" s="50">
        <v>2</v>
      </c>
      <c r="I56" s="50">
        <v>12</v>
      </c>
      <c r="J56" s="50">
        <v>24</v>
      </c>
      <c r="K56" s="50">
        <v>6</v>
      </c>
      <c r="L56" s="50">
        <v>1</v>
      </c>
      <c r="M56" s="50">
        <v>95</v>
      </c>
      <c r="N56" s="50">
        <v>0</v>
      </c>
      <c r="O56" s="15">
        <f t="shared" si="0"/>
        <v>282</v>
      </c>
      <c r="P56" s="15">
        <f t="shared" si="1"/>
        <v>377</v>
      </c>
      <c r="R56" s="8"/>
      <c r="T56"/>
    </row>
    <row r="57" spans="2:20" ht="23.1" customHeight="1" x14ac:dyDescent="0.25">
      <c r="B57" s="23" t="s">
        <v>84</v>
      </c>
      <c r="C57" s="50">
        <v>85</v>
      </c>
      <c r="D57" s="50">
        <v>51</v>
      </c>
      <c r="E57" s="50">
        <v>27</v>
      </c>
      <c r="F57" s="50">
        <v>32</v>
      </c>
      <c r="G57" s="50">
        <v>18</v>
      </c>
      <c r="H57" s="50">
        <v>2</v>
      </c>
      <c r="I57" s="50">
        <v>10</v>
      </c>
      <c r="J57" s="50">
        <v>27</v>
      </c>
      <c r="K57" s="50">
        <v>3</v>
      </c>
      <c r="L57" s="50">
        <v>0</v>
      </c>
      <c r="M57" s="50">
        <v>151</v>
      </c>
      <c r="N57" s="50">
        <v>0</v>
      </c>
      <c r="O57" s="15">
        <f t="shared" si="0"/>
        <v>255</v>
      </c>
      <c r="P57" s="15">
        <f t="shared" si="1"/>
        <v>406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1832</v>
      </c>
      <c r="D58" s="16">
        <f t="shared" si="21"/>
        <v>782</v>
      </c>
      <c r="E58" s="16">
        <f t="shared" si="21"/>
        <v>428</v>
      </c>
      <c r="F58" s="16">
        <f t="shared" si="21"/>
        <v>594</v>
      </c>
      <c r="G58" s="16">
        <f t="shared" si="21"/>
        <v>65</v>
      </c>
      <c r="H58" s="16">
        <f t="shared" si="21"/>
        <v>5</v>
      </c>
      <c r="I58" s="16">
        <f t="shared" si="21"/>
        <v>455</v>
      </c>
      <c r="J58" s="16">
        <f t="shared" si="21"/>
        <v>526</v>
      </c>
      <c r="K58" s="16">
        <f t="shared" si="21"/>
        <v>122</v>
      </c>
      <c r="L58" s="16">
        <f t="shared" si="21"/>
        <v>7</v>
      </c>
      <c r="M58" s="16">
        <f t="shared" si="21"/>
        <v>3410</v>
      </c>
      <c r="N58" s="16">
        <f t="shared" si="21"/>
        <v>0</v>
      </c>
      <c r="O58" s="16">
        <f t="shared" si="21"/>
        <v>4816</v>
      </c>
      <c r="P58" s="16">
        <f t="shared" si="21"/>
        <v>8226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0.22270848529054219</v>
      </c>
      <c r="D59" s="43">
        <f t="shared" si="22"/>
        <v>9.506442985655239E-2</v>
      </c>
      <c r="E59" s="43">
        <f t="shared" si="22"/>
        <v>5.2030148310235835E-2</v>
      </c>
      <c r="F59" s="43">
        <f t="shared" si="22"/>
        <v>7.2210065645514229E-2</v>
      </c>
      <c r="G59" s="43">
        <f t="shared" si="22"/>
        <v>7.9017748601993686E-3</v>
      </c>
      <c r="H59" s="43">
        <f t="shared" si="22"/>
        <v>6.078288353999514E-4</v>
      </c>
      <c r="I59" s="43">
        <f t="shared" si="22"/>
        <v>5.5312424021395572E-2</v>
      </c>
      <c r="J59" s="43">
        <f t="shared" si="22"/>
        <v>6.3943593484074884E-2</v>
      </c>
      <c r="K59" s="43">
        <f t="shared" si="22"/>
        <v>1.4831023583758814E-2</v>
      </c>
      <c r="L59" s="43">
        <f t="shared" si="22"/>
        <v>8.5096036955993192E-4</v>
      </c>
      <c r="M59" s="43">
        <f t="shared" si="22"/>
        <v>0.41453926574276684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0.38039867109634551</v>
      </c>
      <c r="D60" s="44">
        <f t="shared" ref="D60:N60" si="23">D58/$O$58</f>
        <v>0.16237541528239202</v>
      </c>
      <c r="E60" s="44">
        <f t="shared" si="23"/>
        <v>8.8870431893687707E-2</v>
      </c>
      <c r="F60" s="44">
        <f t="shared" si="23"/>
        <v>0.12333887043189369</v>
      </c>
      <c r="G60" s="44">
        <f t="shared" si="23"/>
        <v>1.3496677740863787E-2</v>
      </c>
      <c r="H60" s="44">
        <f t="shared" si="23"/>
        <v>1.0382059800664453E-3</v>
      </c>
      <c r="I60" s="44">
        <f t="shared" si="23"/>
        <v>9.4476744186046513E-2</v>
      </c>
      <c r="J60" s="44">
        <f t="shared" si="23"/>
        <v>0.10921926910299003</v>
      </c>
      <c r="K60" s="44">
        <f t="shared" si="23"/>
        <v>2.5332225913621262E-2</v>
      </c>
      <c r="L60" s="44">
        <f t="shared" si="23"/>
        <v>1.4534883720930232E-3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Lubigi-Masanafu'!D5</f>
        <v>22.07.19</v>
      </c>
      <c r="E5" s="3"/>
      <c r="F5" s="41" t="s">
        <v>1</v>
      </c>
      <c r="G5" s="64" t="str">
        <f>'22.07 Lubigi-Masanafu'!G5:H5</f>
        <v>Northern Bypass</v>
      </c>
      <c r="H5" s="65"/>
      <c r="I5" s="14"/>
      <c r="J5" s="2" t="s">
        <v>5</v>
      </c>
      <c r="K5" s="64" t="s">
        <v>177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58" t="s">
        <v>172</v>
      </c>
      <c r="E6" s="59"/>
      <c r="F6" s="2" t="s">
        <v>2</v>
      </c>
      <c r="G6" s="58" t="s">
        <v>171</v>
      </c>
      <c r="H6" s="59"/>
      <c r="J6" s="2" t="s">
        <v>21</v>
      </c>
      <c r="K6" s="64" t="str">
        <f>'22.07 Lubigi-Masanafu'!K6:L6</f>
        <v>Isaac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0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0</v>
      </c>
      <c r="AD10" s="17">
        <f t="shared" si="2"/>
        <v>0</v>
      </c>
      <c r="AE10" s="31">
        <f t="shared" si="2"/>
        <v>0</v>
      </c>
      <c r="AF10" s="31">
        <f t="shared" si="2"/>
        <v>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0</v>
      </c>
      <c r="AD11" s="17">
        <f t="shared" si="3"/>
        <v>0</v>
      </c>
      <c r="AE11" s="31">
        <f t="shared" si="3"/>
        <v>0</v>
      </c>
      <c r="AF11" s="31">
        <f t="shared" si="3"/>
        <v>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0</v>
      </c>
      <c r="N12" s="50">
        <v>0</v>
      </c>
      <c r="O12" s="15">
        <f t="shared" si="0"/>
        <v>0</v>
      </c>
      <c r="P12" s="15">
        <f t="shared" si="1"/>
        <v>0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0</v>
      </c>
      <c r="AD12" s="17">
        <f t="shared" si="4"/>
        <v>0</v>
      </c>
      <c r="AE12" s="31">
        <f t="shared" si="4"/>
        <v>0</v>
      </c>
      <c r="AF12" s="31">
        <f t="shared" si="4"/>
        <v>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0</v>
      </c>
      <c r="N13" s="50">
        <v>0</v>
      </c>
      <c r="O13" s="15">
        <f t="shared" si="0"/>
        <v>0</v>
      </c>
      <c r="P13" s="15">
        <f t="shared" si="1"/>
        <v>0</v>
      </c>
      <c r="R13" s="1" t="s">
        <v>9</v>
      </c>
      <c r="S13" s="17">
        <f t="shared" ref="S13:AF13" si="5">SUM(C22:C25)</f>
        <v>82</v>
      </c>
      <c r="T13" s="17">
        <f t="shared" si="5"/>
        <v>13</v>
      </c>
      <c r="U13" s="17">
        <f t="shared" si="5"/>
        <v>40</v>
      </c>
      <c r="V13" s="17">
        <f t="shared" si="5"/>
        <v>22</v>
      </c>
      <c r="W13" s="17">
        <f t="shared" si="5"/>
        <v>3</v>
      </c>
      <c r="X13" s="17">
        <f t="shared" si="5"/>
        <v>0</v>
      </c>
      <c r="Y13" s="17">
        <f t="shared" si="5"/>
        <v>18</v>
      </c>
      <c r="Z13" s="17">
        <f t="shared" si="5"/>
        <v>27</v>
      </c>
      <c r="AA13" s="17">
        <f t="shared" si="5"/>
        <v>5</v>
      </c>
      <c r="AB13" s="17">
        <f t="shared" si="5"/>
        <v>2</v>
      </c>
      <c r="AC13" s="17">
        <f t="shared" si="5"/>
        <v>302</v>
      </c>
      <c r="AD13" s="17">
        <f t="shared" si="5"/>
        <v>0</v>
      </c>
      <c r="AE13" s="31">
        <f t="shared" si="5"/>
        <v>212</v>
      </c>
      <c r="AF13" s="31">
        <f t="shared" si="5"/>
        <v>514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0</v>
      </c>
      <c r="N14" s="50">
        <v>0</v>
      </c>
      <c r="O14" s="15">
        <f t="shared" si="0"/>
        <v>0</v>
      </c>
      <c r="P14" s="15">
        <f t="shared" si="1"/>
        <v>0</v>
      </c>
      <c r="R14" s="1" t="s">
        <v>10</v>
      </c>
      <c r="S14" s="17">
        <f t="shared" ref="S14:AF14" si="6">SUM(C26:C29)</f>
        <v>234</v>
      </c>
      <c r="T14" s="17">
        <f t="shared" si="6"/>
        <v>51</v>
      </c>
      <c r="U14" s="17">
        <f t="shared" si="6"/>
        <v>56</v>
      </c>
      <c r="V14" s="17">
        <f t="shared" si="6"/>
        <v>55</v>
      </c>
      <c r="W14" s="17">
        <f t="shared" si="6"/>
        <v>1</v>
      </c>
      <c r="X14" s="17">
        <f t="shared" si="6"/>
        <v>0</v>
      </c>
      <c r="Y14" s="17">
        <f t="shared" si="6"/>
        <v>59</v>
      </c>
      <c r="Z14" s="17">
        <f t="shared" si="6"/>
        <v>29</v>
      </c>
      <c r="AA14" s="17">
        <f t="shared" si="6"/>
        <v>2</v>
      </c>
      <c r="AB14" s="17">
        <f t="shared" si="6"/>
        <v>19</v>
      </c>
      <c r="AC14" s="17">
        <f t="shared" si="6"/>
        <v>572</v>
      </c>
      <c r="AD14" s="17">
        <f t="shared" si="6"/>
        <v>0</v>
      </c>
      <c r="AE14" s="31">
        <f t="shared" si="6"/>
        <v>506</v>
      </c>
      <c r="AF14" s="31">
        <f t="shared" si="6"/>
        <v>1078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0</v>
      </c>
      <c r="N15" s="50">
        <v>0</v>
      </c>
      <c r="O15" s="15">
        <f t="shared" si="0"/>
        <v>0</v>
      </c>
      <c r="P15" s="15">
        <f t="shared" si="1"/>
        <v>0</v>
      </c>
      <c r="R15" s="1" t="s">
        <v>11</v>
      </c>
      <c r="S15" s="17">
        <f t="shared" ref="S15:AF15" si="7">SUM(C30:C33)</f>
        <v>171</v>
      </c>
      <c r="T15" s="17">
        <f t="shared" si="7"/>
        <v>40</v>
      </c>
      <c r="U15" s="17">
        <f t="shared" si="7"/>
        <v>48</v>
      </c>
      <c r="V15" s="17">
        <f t="shared" si="7"/>
        <v>84</v>
      </c>
      <c r="W15" s="17">
        <f t="shared" si="7"/>
        <v>5</v>
      </c>
      <c r="X15" s="17">
        <f t="shared" si="7"/>
        <v>1</v>
      </c>
      <c r="Y15" s="17">
        <f t="shared" si="7"/>
        <v>58</v>
      </c>
      <c r="Z15" s="17">
        <f t="shared" si="7"/>
        <v>24</v>
      </c>
      <c r="AA15" s="17">
        <f t="shared" si="7"/>
        <v>6</v>
      </c>
      <c r="AB15" s="17">
        <f t="shared" si="7"/>
        <v>18</v>
      </c>
      <c r="AC15" s="17">
        <f t="shared" si="7"/>
        <v>524</v>
      </c>
      <c r="AD15" s="17">
        <f t="shared" si="7"/>
        <v>0</v>
      </c>
      <c r="AE15" s="31">
        <f t="shared" si="7"/>
        <v>455</v>
      </c>
      <c r="AF15" s="31">
        <f t="shared" si="7"/>
        <v>979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0</v>
      </c>
      <c r="N16" s="50">
        <v>0</v>
      </c>
      <c r="O16" s="15">
        <f t="shared" si="0"/>
        <v>0</v>
      </c>
      <c r="P16" s="15">
        <f t="shared" si="1"/>
        <v>0</v>
      </c>
      <c r="R16" s="1" t="s">
        <v>12</v>
      </c>
      <c r="S16" s="17">
        <f t="shared" ref="S16:AF16" si="8">SUM(C34:C37)</f>
        <v>193</v>
      </c>
      <c r="T16" s="17">
        <f t="shared" si="8"/>
        <v>35</v>
      </c>
      <c r="U16" s="17">
        <f t="shared" si="8"/>
        <v>65</v>
      </c>
      <c r="V16" s="17">
        <f t="shared" si="8"/>
        <v>71</v>
      </c>
      <c r="W16" s="17">
        <f t="shared" si="8"/>
        <v>2</v>
      </c>
      <c r="X16" s="17">
        <f t="shared" si="8"/>
        <v>0</v>
      </c>
      <c r="Y16" s="17">
        <f t="shared" si="8"/>
        <v>49</v>
      </c>
      <c r="Z16" s="17">
        <f t="shared" si="8"/>
        <v>27</v>
      </c>
      <c r="AA16" s="17">
        <f t="shared" si="8"/>
        <v>4</v>
      </c>
      <c r="AB16" s="17">
        <f t="shared" si="8"/>
        <v>18</v>
      </c>
      <c r="AC16" s="17">
        <f t="shared" si="8"/>
        <v>484</v>
      </c>
      <c r="AD16" s="17">
        <f t="shared" si="8"/>
        <v>0</v>
      </c>
      <c r="AE16" s="31">
        <f t="shared" si="8"/>
        <v>464</v>
      </c>
      <c r="AF16" s="31">
        <f t="shared" si="8"/>
        <v>948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0</v>
      </c>
      <c r="N17" s="50">
        <v>0</v>
      </c>
      <c r="O17" s="15">
        <f t="shared" si="0"/>
        <v>0</v>
      </c>
      <c r="P17" s="15">
        <f t="shared" si="1"/>
        <v>0</v>
      </c>
      <c r="R17" s="1" t="s">
        <v>13</v>
      </c>
      <c r="S17" s="17">
        <f t="shared" ref="S17:AF17" si="9">SUM(C38:C41)</f>
        <v>190</v>
      </c>
      <c r="T17" s="17">
        <f t="shared" si="9"/>
        <v>49</v>
      </c>
      <c r="U17" s="17">
        <f t="shared" si="9"/>
        <v>62</v>
      </c>
      <c r="V17" s="17">
        <f t="shared" si="9"/>
        <v>67</v>
      </c>
      <c r="W17" s="17">
        <f t="shared" si="9"/>
        <v>2</v>
      </c>
      <c r="X17" s="17">
        <f t="shared" si="9"/>
        <v>0</v>
      </c>
      <c r="Y17" s="17">
        <f t="shared" si="9"/>
        <v>70</v>
      </c>
      <c r="Z17" s="17">
        <f t="shared" si="9"/>
        <v>44</v>
      </c>
      <c r="AA17" s="17">
        <f t="shared" si="9"/>
        <v>6</v>
      </c>
      <c r="AB17" s="17">
        <f t="shared" si="9"/>
        <v>22</v>
      </c>
      <c r="AC17" s="17">
        <f t="shared" si="9"/>
        <v>454</v>
      </c>
      <c r="AD17" s="17">
        <f t="shared" si="9"/>
        <v>0</v>
      </c>
      <c r="AE17" s="31">
        <f t="shared" si="9"/>
        <v>512</v>
      </c>
      <c r="AF17" s="31">
        <f t="shared" si="9"/>
        <v>966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15">
        <f t="shared" si="0"/>
        <v>0</v>
      </c>
      <c r="P18" s="15">
        <f t="shared" si="1"/>
        <v>0</v>
      </c>
      <c r="R18" s="1" t="s">
        <v>14</v>
      </c>
      <c r="S18" s="17">
        <f t="shared" ref="S18:AF18" si="10">SUM(C42:C45)</f>
        <v>156</v>
      </c>
      <c r="T18" s="17">
        <f t="shared" si="10"/>
        <v>46</v>
      </c>
      <c r="U18" s="17">
        <f t="shared" si="10"/>
        <v>57</v>
      </c>
      <c r="V18" s="17">
        <f t="shared" si="10"/>
        <v>57</v>
      </c>
      <c r="W18" s="17">
        <f t="shared" si="10"/>
        <v>8</v>
      </c>
      <c r="X18" s="17">
        <f t="shared" si="10"/>
        <v>1</v>
      </c>
      <c r="Y18" s="17">
        <f t="shared" si="10"/>
        <v>48</v>
      </c>
      <c r="Z18" s="17">
        <f t="shared" si="10"/>
        <v>15</v>
      </c>
      <c r="AA18" s="17">
        <f t="shared" si="10"/>
        <v>7</v>
      </c>
      <c r="AB18" s="17">
        <f t="shared" si="10"/>
        <v>16</v>
      </c>
      <c r="AC18" s="17">
        <f t="shared" si="10"/>
        <v>342</v>
      </c>
      <c r="AD18" s="17">
        <f t="shared" si="10"/>
        <v>0</v>
      </c>
      <c r="AE18" s="31">
        <f t="shared" si="10"/>
        <v>411</v>
      </c>
      <c r="AF18" s="31">
        <f t="shared" si="10"/>
        <v>753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0</v>
      </c>
      <c r="N19" s="50">
        <v>0</v>
      </c>
      <c r="O19" s="15">
        <f t="shared" si="0"/>
        <v>0</v>
      </c>
      <c r="P19" s="15">
        <f t="shared" si="1"/>
        <v>0</v>
      </c>
      <c r="R19" s="1" t="s">
        <v>15</v>
      </c>
      <c r="S19" s="17">
        <f t="shared" ref="S19:AF19" si="11">SUM(C46:C49)</f>
        <v>275</v>
      </c>
      <c r="T19" s="17">
        <f t="shared" si="11"/>
        <v>56</v>
      </c>
      <c r="U19" s="17">
        <f t="shared" si="11"/>
        <v>48</v>
      </c>
      <c r="V19" s="17">
        <f t="shared" si="11"/>
        <v>79</v>
      </c>
      <c r="W19" s="17">
        <f t="shared" si="11"/>
        <v>5</v>
      </c>
      <c r="X19" s="17">
        <f t="shared" si="11"/>
        <v>2</v>
      </c>
      <c r="Y19" s="17">
        <f t="shared" si="11"/>
        <v>92</v>
      </c>
      <c r="Z19" s="17">
        <f t="shared" si="11"/>
        <v>31</v>
      </c>
      <c r="AA19" s="17">
        <f t="shared" si="11"/>
        <v>5</v>
      </c>
      <c r="AB19" s="17">
        <f t="shared" si="11"/>
        <v>9</v>
      </c>
      <c r="AC19" s="17">
        <f t="shared" si="11"/>
        <v>469</v>
      </c>
      <c r="AD19" s="17">
        <f t="shared" si="11"/>
        <v>0</v>
      </c>
      <c r="AE19" s="31">
        <f t="shared" si="11"/>
        <v>602</v>
      </c>
      <c r="AF19" s="31">
        <f t="shared" si="11"/>
        <v>1071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0</v>
      </c>
      <c r="N20" s="50">
        <v>0</v>
      </c>
      <c r="O20" s="15">
        <f t="shared" si="0"/>
        <v>0</v>
      </c>
      <c r="P20" s="15">
        <f t="shared" si="1"/>
        <v>0</v>
      </c>
      <c r="R20" s="1" t="s">
        <v>16</v>
      </c>
      <c r="S20" s="17">
        <f t="shared" ref="S20:AF20" si="12">SUM(C50:C53)</f>
        <v>201</v>
      </c>
      <c r="T20" s="17">
        <f t="shared" si="12"/>
        <v>75</v>
      </c>
      <c r="U20" s="17">
        <f t="shared" si="12"/>
        <v>70</v>
      </c>
      <c r="V20" s="17">
        <f t="shared" si="12"/>
        <v>119</v>
      </c>
      <c r="W20" s="17">
        <f t="shared" si="12"/>
        <v>8</v>
      </c>
      <c r="X20" s="17">
        <f t="shared" si="12"/>
        <v>2</v>
      </c>
      <c r="Y20" s="17">
        <f t="shared" si="12"/>
        <v>69</v>
      </c>
      <c r="Z20" s="17">
        <f t="shared" si="12"/>
        <v>18</v>
      </c>
      <c r="AA20" s="17">
        <f t="shared" si="12"/>
        <v>4</v>
      </c>
      <c r="AB20" s="17">
        <f t="shared" si="12"/>
        <v>19</v>
      </c>
      <c r="AC20" s="17">
        <f t="shared" si="12"/>
        <v>423</v>
      </c>
      <c r="AD20" s="17">
        <f t="shared" si="12"/>
        <v>0</v>
      </c>
      <c r="AE20" s="31">
        <f t="shared" si="12"/>
        <v>585</v>
      </c>
      <c r="AF20" s="31">
        <f t="shared" si="12"/>
        <v>1008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0</v>
      </c>
      <c r="N21" s="50">
        <v>0</v>
      </c>
      <c r="O21" s="15">
        <f t="shared" si="0"/>
        <v>0</v>
      </c>
      <c r="P21" s="15">
        <f t="shared" si="1"/>
        <v>0</v>
      </c>
      <c r="R21" s="36" t="s">
        <v>20</v>
      </c>
      <c r="S21" s="34">
        <f t="shared" ref="S21:AF21" si="13">SUM(C54:C57)</f>
        <v>211</v>
      </c>
      <c r="T21" s="17">
        <f t="shared" si="13"/>
        <v>69</v>
      </c>
      <c r="U21" s="17">
        <f t="shared" si="13"/>
        <v>53</v>
      </c>
      <c r="V21" s="17">
        <f t="shared" si="13"/>
        <v>124</v>
      </c>
      <c r="W21" s="17">
        <f t="shared" si="13"/>
        <v>8</v>
      </c>
      <c r="X21" s="17">
        <f t="shared" si="13"/>
        <v>5</v>
      </c>
      <c r="Y21" s="17">
        <f t="shared" si="13"/>
        <v>48</v>
      </c>
      <c r="Z21" s="17">
        <f t="shared" si="13"/>
        <v>7</v>
      </c>
      <c r="AA21" s="17">
        <f t="shared" si="13"/>
        <v>10</v>
      </c>
      <c r="AB21" s="17">
        <f t="shared" si="13"/>
        <v>20</v>
      </c>
      <c r="AC21" s="17">
        <f t="shared" si="13"/>
        <v>495</v>
      </c>
      <c r="AD21" s="17">
        <f t="shared" si="13"/>
        <v>0</v>
      </c>
      <c r="AE21" s="31">
        <f t="shared" si="13"/>
        <v>555</v>
      </c>
      <c r="AF21" s="31">
        <f t="shared" si="13"/>
        <v>1050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15">
        <f t="shared" si="0"/>
        <v>0</v>
      </c>
      <c r="P22" s="15">
        <f t="shared" si="1"/>
        <v>0</v>
      </c>
      <c r="R22" s="38" t="s">
        <v>90</v>
      </c>
      <c r="S22" s="39">
        <f>MAX(S10:S12)</f>
        <v>0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0</v>
      </c>
      <c r="W22" s="39">
        <f t="shared" si="14"/>
        <v>0</v>
      </c>
      <c r="X22" s="39">
        <f t="shared" si="14"/>
        <v>0</v>
      </c>
      <c r="Y22" s="39">
        <f t="shared" si="14"/>
        <v>0</v>
      </c>
      <c r="Z22" s="39">
        <f t="shared" si="14"/>
        <v>0</v>
      </c>
      <c r="AA22" s="39">
        <f t="shared" si="14"/>
        <v>0</v>
      </c>
      <c r="AB22" s="39">
        <f t="shared" si="14"/>
        <v>0</v>
      </c>
      <c r="AC22" s="39">
        <f t="shared" si="14"/>
        <v>0</v>
      </c>
      <c r="AD22" s="39">
        <f t="shared" si="14"/>
        <v>0</v>
      </c>
      <c r="AE22" s="40">
        <f t="shared" si="14"/>
        <v>0</v>
      </c>
      <c r="AF22" s="40">
        <f t="shared" si="14"/>
        <v>0</v>
      </c>
    </row>
    <row r="23" spans="2:32" ht="23.1" customHeight="1" x14ac:dyDescent="0.25">
      <c r="B23" s="23" t="s">
        <v>50</v>
      </c>
      <c r="C23" s="50">
        <v>29</v>
      </c>
      <c r="D23" s="50">
        <v>6</v>
      </c>
      <c r="E23" s="50">
        <v>17</v>
      </c>
      <c r="F23" s="50">
        <v>10</v>
      </c>
      <c r="G23" s="50">
        <v>1</v>
      </c>
      <c r="H23" s="50">
        <v>0</v>
      </c>
      <c r="I23" s="50">
        <v>10</v>
      </c>
      <c r="J23" s="50">
        <v>8</v>
      </c>
      <c r="K23" s="50">
        <v>3</v>
      </c>
      <c r="L23" s="50">
        <v>1</v>
      </c>
      <c r="M23" s="50">
        <v>121</v>
      </c>
      <c r="N23" s="50">
        <v>0</v>
      </c>
      <c r="O23" s="15">
        <f t="shared" si="0"/>
        <v>85</v>
      </c>
      <c r="P23" s="15">
        <f t="shared" si="1"/>
        <v>206</v>
      </c>
      <c r="R23" s="38" t="s">
        <v>91</v>
      </c>
      <c r="S23" s="39">
        <f>MAX(S13:S18)</f>
        <v>234</v>
      </c>
      <c r="T23" s="39">
        <f t="shared" ref="T23:AF23" si="15">MAX(T13:T18)</f>
        <v>51</v>
      </c>
      <c r="U23" s="39">
        <f t="shared" si="15"/>
        <v>65</v>
      </c>
      <c r="V23" s="39">
        <f t="shared" si="15"/>
        <v>84</v>
      </c>
      <c r="W23" s="39">
        <f t="shared" si="15"/>
        <v>8</v>
      </c>
      <c r="X23" s="39">
        <f t="shared" si="15"/>
        <v>1</v>
      </c>
      <c r="Y23" s="39">
        <f t="shared" si="15"/>
        <v>70</v>
      </c>
      <c r="Z23" s="39">
        <f t="shared" si="15"/>
        <v>44</v>
      </c>
      <c r="AA23" s="39">
        <f t="shared" si="15"/>
        <v>7</v>
      </c>
      <c r="AB23" s="39">
        <f t="shared" si="15"/>
        <v>22</v>
      </c>
      <c r="AC23" s="39">
        <f t="shared" si="15"/>
        <v>572</v>
      </c>
      <c r="AD23" s="39">
        <f t="shared" si="15"/>
        <v>0</v>
      </c>
      <c r="AE23" s="40">
        <f t="shared" si="15"/>
        <v>512</v>
      </c>
      <c r="AF23" s="40">
        <f t="shared" si="15"/>
        <v>1078</v>
      </c>
    </row>
    <row r="24" spans="2:32" ht="23.1" customHeight="1" x14ac:dyDescent="0.25">
      <c r="B24" s="23" t="s">
        <v>51</v>
      </c>
      <c r="C24" s="50">
        <v>5</v>
      </c>
      <c r="D24" s="50">
        <v>1</v>
      </c>
      <c r="E24" s="50">
        <v>8</v>
      </c>
      <c r="F24" s="50">
        <v>2</v>
      </c>
      <c r="G24" s="50">
        <v>1</v>
      </c>
      <c r="H24" s="50">
        <v>0</v>
      </c>
      <c r="I24" s="50">
        <v>1</v>
      </c>
      <c r="J24" s="50">
        <v>11</v>
      </c>
      <c r="K24" s="50">
        <v>1</v>
      </c>
      <c r="L24" s="50">
        <v>0</v>
      </c>
      <c r="M24" s="50">
        <v>85</v>
      </c>
      <c r="N24" s="50">
        <v>0</v>
      </c>
      <c r="O24" s="15">
        <f t="shared" si="0"/>
        <v>30</v>
      </c>
      <c r="P24" s="15">
        <f t="shared" si="1"/>
        <v>115</v>
      </c>
      <c r="R24" s="38" t="s">
        <v>92</v>
      </c>
      <c r="S24" s="39">
        <f>MAX(S19:S21)</f>
        <v>275</v>
      </c>
      <c r="T24" s="39">
        <f t="shared" ref="T24:AF24" si="16">MAX(T19:T21)</f>
        <v>75</v>
      </c>
      <c r="U24" s="39">
        <f t="shared" si="16"/>
        <v>70</v>
      </c>
      <c r="V24" s="39">
        <f t="shared" si="16"/>
        <v>124</v>
      </c>
      <c r="W24" s="39">
        <f t="shared" si="16"/>
        <v>8</v>
      </c>
      <c r="X24" s="39">
        <f t="shared" si="16"/>
        <v>5</v>
      </c>
      <c r="Y24" s="39">
        <f t="shared" si="16"/>
        <v>92</v>
      </c>
      <c r="Z24" s="39">
        <f t="shared" si="16"/>
        <v>31</v>
      </c>
      <c r="AA24" s="39">
        <f t="shared" si="16"/>
        <v>10</v>
      </c>
      <c r="AB24" s="39">
        <f t="shared" si="16"/>
        <v>20</v>
      </c>
      <c r="AC24" s="39">
        <f t="shared" si="16"/>
        <v>495</v>
      </c>
      <c r="AD24" s="39">
        <f t="shared" si="16"/>
        <v>0</v>
      </c>
      <c r="AE24" s="40">
        <f t="shared" si="16"/>
        <v>602</v>
      </c>
      <c r="AF24" s="40">
        <f t="shared" si="16"/>
        <v>1071</v>
      </c>
    </row>
    <row r="25" spans="2:32" ht="23.1" customHeight="1" x14ac:dyDescent="0.25">
      <c r="B25" s="23" t="s">
        <v>52</v>
      </c>
      <c r="C25" s="50">
        <v>48</v>
      </c>
      <c r="D25" s="50">
        <v>6</v>
      </c>
      <c r="E25" s="50">
        <v>15</v>
      </c>
      <c r="F25" s="50">
        <v>10</v>
      </c>
      <c r="G25" s="50">
        <v>1</v>
      </c>
      <c r="H25" s="50">
        <v>0</v>
      </c>
      <c r="I25" s="50">
        <v>7</v>
      </c>
      <c r="J25" s="50">
        <v>8</v>
      </c>
      <c r="K25" s="50">
        <v>1</v>
      </c>
      <c r="L25" s="50">
        <v>1</v>
      </c>
      <c r="M25" s="50">
        <v>96</v>
      </c>
      <c r="N25" s="50">
        <v>0</v>
      </c>
      <c r="O25" s="15">
        <f t="shared" si="0"/>
        <v>97</v>
      </c>
      <c r="P25" s="15">
        <f t="shared" si="1"/>
        <v>193</v>
      </c>
      <c r="R25" s="37" t="s">
        <v>85</v>
      </c>
      <c r="S25" s="35">
        <f t="shared" ref="S25:AF25" si="17">SUM(S10:S12)</f>
        <v>0</v>
      </c>
      <c r="T25" s="16">
        <f t="shared" si="17"/>
        <v>0</v>
      </c>
      <c r="U25" s="16">
        <f t="shared" si="17"/>
        <v>0</v>
      </c>
      <c r="V25" s="16">
        <f t="shared" si="17"/>
        <v>0</v>
      </c>
      <c r="W25" s="16">
        <f t="shared" si="17"/>
        <v>0</v>
      </c>
      <c r="X25" s="16">
        <f t="shared" si="17"/>
        <v>0</v>
      </c>
      <c r="Y25" s="16">
        <f t="shared" si="17"/>
        <v>0</v>
      </c>
      <c r="Z25" s="16">
        <f t="shared" si="17"/>
        <v>0</v>
      </c>
      <c r="AA25" s="16">
        <f t="shared" si="17"/>
        <v>0</v>
      </c>
      <c r="AB25" s="16">
        <f t="shared" si="17"/>
        <v>0</v>
      </c>
      <c r="AC25" s="16">
        <f t="shared" si="17"/>
        <v>0</v>
      </c>
      <c r="AD25" s="16">
        <f t="shared" si="17"/>
        <v>0</v>
      </c>
      <c r="AE25" s="32">
        <f t="shared" si="17"/>
        <v>0</v>
      </c>
      <c r="AF25" s="32">
        <f t="shared" si="17"/>
        <v>0</v>
      </c>
    </row>
    <row r="26" spans="2:32" ht="23.1" customHeight="1" x14ac:dyDescent="0.25">
      <c r="B26" s="23" t="s">
        <v>53</v>
      </c>
      <c r="C26" s="50">
        <v>66</v>
      </c>
      <c r="D26" s="50">
        <v>12</v>
      </c>
      <c r="E26" s="50">
        <v>12</v>
      </c>
      <c r="F26" s="50">
        <v>15</v>
      </c>
      <c r="G26" s="50">
        <v>0</v>
      </c>
      <c r="H26" s="50">
        <v>0</v>
      </c>
      <c r="I26" s="50">
        <v>14</v>
      </c>
      <c r="J26" s="50">
        <v>4</v>
      </c>
      <c r="K26" s="50">
        <v>0</v>
      </c>
      <c r="L26" s="50">
        <v>2</v>
      </c>
      <c r="M26" s="50">
        <v>150</v>
      </c>
      <c r="N26" s="50">
        <v>0</v>
      </c>
      <c r="O26" s="15">
        <f t="shared" si="0"/>
        <v>125</v>
      </c>
      <c r="P26" s="15">
        <f t="shared" si="1"/>
        <v>275</v>
      </c>
      <c r="R26" s="28" t="s">
        <v>86</v>
      </c>
      <c r="S26" s="16">
        <f t="shared" ref="S26:AF26" si="18">SUM(S13:S18)</f>
        <v>1026</v>
      </c>
      <c r="T26" s="16">
        <f t="shared" si="18"/>
        <v>234</v>
      </c>
      <c r="U26" s="16">
        <f t="shared" si="18"/>
        <v>328</v>
      </c>
      <c r="V26" s="16">
        <f t="shared" si="18"/>
        <v>356</v>
      </c>
      <c r="W26" s="16">
        <f t="shared" si="18"/>
        <v>21</v>
      </c>
      <c r="X26" s="16">
        <f t="shared" si="18"/>
        <v>2</v>
      </c>
      <c r="Y26" s="16">
        <f t="shared" si="18"/>
        <v>302</v>
      </c>
      <c r="Z26" s="16">
        <f t="shared" si="18"/>
        <v>166</v>
      </c>
      <c r="AA26" s="16">
        <f t="shared" si="18"/>
        <v>30</v>
      </c>
      <c r="AB26" s="16">
        <f t="shared" si="18"/>
        <v>95</v>
      </c>
      <c r="AC26" s="16">
        <f t="shared" si="18"/>
        <v>2678</v>
      </c>
      <c r="AD26" s="16">
        <f t="shared" si="18"/>
        <v>0</v>
      </c>
      <c r="AE26" s="32">
        <f t="shared" si="18"/>
        <v>2560</v>
      </c>
      <c r="AF26" s="32">
        <f t="shared" si="18"/>
        <v>5238</v>
      </c>
    </row>
    <row r="27" spans="2:32" ht="23.1" customHeight="1" x14ac:dyDescent="0.25">
      <c r="B27" s="23" t="s">
        <v>54</v>
      </c>
      <c r="C27" s="50">
        <v>59</v>
      </c>
      <c r="D27" s="50">
        <v>11</v>
      </c>
      <c r="E27" s="50">
        <v>15</v>
      </c>
      <c r="F27" s="50">
        <v>16</v>
      </c>
      <c r="G27" s="50">
        <v>0</v>
      </c>
      <c r="H27" s="50">
        <v>0</v>
      </c>
      <c r="I27" s="50">
        <v>13</v>
      </c>
      <c r="J27" s="50">
        <v>8</v>
      </c>
      <c r="K27" s="50">
        <v>1</v>
      </c>
      <c r="L27" s="50">
        <v>4</v>
      </c>
      <c r="M27" s="50">
        <v>147</v>
      </c>
      <c r="N27" s="50">
        <v>0</v>
      </c>
      <c r="O27" s="15">
        <f t="shared" si="0"/>
        <v>127</v>
      </c>
      <c r="P27" s="15">
        <f t="shared" si="1"/>
        <v>274</v>
      </c>
      <c r="R27" s="29" t="s">
        <v>87</v>
      </c>
      <c r="S27" s="16">
        <f t="shared" ref="S27:AF27" si="19">SUM(S19:S21)</f>
        <v>687</v>
      </c>
      <c r="T27" s="16">
        <f t="shared" si="19"/>
        <v>200</v>
      </c>
      <c r="U27" s="16">
        <f t="shared" si="19"/>
        <v>171</v>
      </c>
      <c r="V27" s="16">
        <f t="shared" si="19"/>
        <v>322</v>
      </c>
      <c r="W27" s="16">
        <f t="shared" si="19"/>
        <v>21</v>
      </c>
      <c r="X27" s="16">
        <f t="shared" si="19"/>
        <v>9</v>
      </c>
      <c r="Y27" s="16">
        <f t="shared" si="19"/>
        <v>209</v>
      </c>
      <c r="Z27" s="16">
        <f t="shared" si="19"/>
        <v>56</v>
      </c>
      <c r="AA27" s="16">
        <f t="shared" si="19"/>
        <v>19</v>
      </c>
      <c r="AB27" s="16">
        <f t="shared" si="19"/>
        <v>48</v>
      </c>
      <c r="AC27" s="16">
        <f t="shared" si="19"/>
        <v>1387</v>
      </c>
      <c r="AD27" s="16">
        <f t="shared" si="19"/>
        <v>0</v>
      </c>
      <c r="AE27" s="32">
        <f t="shared" si="19"/>
        <v>1742</v>
      </c>
      <c r="AF27" s="32">
        <f t="shared" si="19"/>
        <v>3129</v>
      </c>
    </row>
    <row r="28" spans="2:32" ht="23.1" customHeight="1" x14ac:dyDescent="0.25">
      <c r="B28" s="23" t="s">
        <v>55</v>
      </c>
      <c r="C28" s="50">
        <v>59</v>
      </c>
      <c r="D28" s="50">
        <v>12</v>
      </c>
      <c r="E28" s="50">
        <v>11</v>
      </c>
      <c r="F28" s="50">
        <v>8</v>
      </c>
      <c r="G28" s="50">
        <v>1</v>
      </c>
      <c r="H28" s="50">
        <v>0</v>
      </c>
      <c r="I28" s="50">
        <v>21</v>
      </c>
      <c r="J28" s="50">
        <v>8</v>
      </c>
      <c r="K28" s="50">
        <v>1</v>
      </c>
      <c r="L28" s="50">
        <v>5</v>
      </c>
      <c r="M28" s="50">
        <v>130</v>
      </c>
      <c r="N28" s="50">
        <v>0</v>
      </c>
      <c r="O28" s="15">
        <f t="shared" si="0"/>
        <v>126</v>
      </c>
      <c r="P28" s="15">
        <f t="shared" si="1"/>
        <v>256</v>
      </c>
      <c r="R28" s="5" t="s">
        <v>17</v>
      </c>
      <c r="S28" s="16">
        <f t="shared" ref="S28:AF28" si="20">SUM(S10:S21)</f>
        <v>1713</v>
      </c>
      <c r="T28" s="16">
        <f t="shared" si="20"/>
        <v>434</v>
      </c>
      <c r="U28" s="16">
        <f t="shared" si="20"/>
        <v>499</v>
      </c>
      <c r="V28" s="16">
        <f t="shared" si="20"/>
        <v>678</v>
      </c>
      <c r="W28" s="16">
        <f t="shared" si="20"/>
        <v>42</v>
      </c>
      <c r="X28" s="16">
        <f t="shared" si="20"/>
        <v>11</v>
      </c>
      <c r="Y28" s="16">
        <f t="shared" si="20"/>
        <v>511</v>
      </c>
      <c r="Z28" s="16">
        <f t="shared" si="20"/>
        <v>222</v>
      </c>
      <c r="AA28" s="16">
        <f t="shared" si="20"/>
        <v>49</v>
      </c>
      <c r="AB28" s="16">
        <f t="shared" si="20"/>
        <v>143</v>
      </c>
      <c r="AC28" s="16">
        <f t="shared" si="20"/>
        <v>4065</v>
      </c>
      <c r="AD28" s="16">
        <f t="shared" si="20"/>
        <v>0</v>
      </c>
      <c r="AE28" s="32">
        <f t="shared" si="20"/>
        <v>4302</v>
      </c>
      <c r="AF28" s="32">
        <f t="shared" si="20"/>
        <v>8367</v>
      </c>
    </row>
    <row r="29" spans="2:32" ht="23.1" customHeight="1" x14ac:dyDescent="0.25">
      <c r="B29" s="23" t="s">
        <v>56</v>
      </c>
      <c r="C29" s="50">
        <v>50</v>
      </c>
      <c r="D29" s="50">
        <v>16</v>
      </c>
      <c r="E29" s="50">
        <v>18</v>
      </c>
      <c r="F29" s="50">
        <v>16</v>
      </c>
      <c r="G29" s="50">
        <v>0</v>
      </c>
      <c r="H29" s="50">
        <v>0</v>
      </c>
      <c r="I29" s="50">
        <v>11</v>
      </c>
      <c r="J29" s="50">
        <v>9</v>
      </c>
      <c r="K29" s="50">
        <v>0</v>
      </c>
      <c r="L29" s="50">
        <v>8</v>
      </c>
      <c r="M29" s="50">
        <v>145</v>
      </c>
      <c r="N29" s="50">
        <v>0</v>
      </c>
      <c r="O29" s="15">
        <f t="shared" si="0"/>
        <v>128</v>
      </c>
      <c r="P29" s="15">
        <f t="shared" si="1"/>
        <v>273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7</v>
      </c>
      <c r="E30" s="50">
        <v>12</v>
      </c>
      <c r="F30" s="50">
        <v>24</v>
      </c>
      <c r="G30" s="50">
        <v>1</v>
      </c>
      <c r="H30" s="50">
        <v>0</v>
      </c>
      <c r="I30" s="50">
        <v>12</v>
      </c>
      <c r="J30" s="50">
        <v>10</v>
      </c>
      <c r="K30" s="50">
        <v>2</v>
      </c>
      <c r="L30" s="50">
        <v>5</v>
      </c>
      <c r="M30" s="50">
        <v>133</v>
      </c>
      <c r="N30" s="50">
        <v>0</v>
      </c>
      <c r="O30" s="15">
        <f t="shared" si="0"/>
        <v>116</v>
      </c>
      <c r="P30" s="15">
        <f t="shared" si="1"/>
        <v>249</v>
      </c>
    </row>
    <row r="31" spans="2:32" ht="23.1" customHeight="1" x14ac:dyDescent="0.25">
      <c r="B31" s="24" t="s">
        <v>58</v>
      </c>
      <c r="C31" s="50">
        <v>48</v>
      </c>
      <c r="D31" s="50">
        <v>15</v>
      </c>
      <c r="E31" s="50">
        <v>11</v>
      </c>
      <c r="F31" s="50">
        <v>25</v>
      </c>
      <c r="G31" s="50">
        <v>4</v>
      </c>
      <c r="H31" s="50">
        <v>0</v>
      </c>
      <c r="I31" s="50">
        <v>19</v>
      </c>
      <c r="J31" s="50">
        <v>8</v>
      </c>
      <c r="K31" s="50">
        <v>2</v>
      </c>
      <c r="L31" s="50">
        <v>4</v>
      </c>
      <c r="M31" s="50">
        <v>158</v>
      </c>
      <c r="N31" s="50">
        <v>0</v>
      </c>
      <c r="O31" s="15">
        <f t="shared" si="0"/>
        <v>136</v>
      </c>
      <c r="P31" s="15">
        <f t="shared" si="1"/>
        <v>294</v>
      </c>
    </row>
    <row r="32" spans="2:32" ht="23.1" customHeight="1" x14ac:dyDescent="0.25">
      <c r="B32" s="24" t="s">
        <v>59</v>
      </c>
      <c r="C32" s="50">
        <v>43</v>
      </c>
      <c r="D32" s="50">
        <v>13</v>
      </c>
      <c r="E32" s="50">
        <v>16</v>
      </c>
      <c r="F32" s="50">
        <v>24</v>
      </c>
      <c r="G32" s="50">
        <v>0</v>
      </c>
      <c r="H32" s="50">
        <v>1</v>
      </c>
      <c r="I32" s="50">
        <v>10</v>
      </c>
      <c r="J32" s="50">
        <v>5</v>
      </c>
      <c r="K32" s="50">
        <v>1</v>
      </c>
      <c r="L32" s="50">
        <v>4</v>
      </c>
      <c r="M32" s="50">
        <v>129</v>
      </c>
      <c r="N32" s="50">
        <v>0</v>
      </c>
      <c r="O32" s="15">
        <f t="shared" si="0"/>
        <v>117</v>
      </c>
      <c r="P32" s="15">
        <f t="shared" si="1"/>
        <v>246</v>
      </c>
    </row>
    <row r="33" spans="2:20" ht="23.1" customHeight="1" x14ac:dyDescent="0.25">
      <c r="B33" s="23" t="s">
        <v>60</v>
      </c>
      <c r="C33" s="50">
        <v>37</v>
      </c>
      <c r="D33" s="50">
        <v>5</v>
      </c>
      <c r="E33" s="50">
        <v>9</v>
      </c>
      <c r="F33" s="50">
        <v>11</v>
      </c>
      <c r="G33" s="50">
        <v>0</v>
      </c>
      <c r="H33" s="50">
        <v>0</v>
      </c>
      <c r="I33" s="50">
        <v>17</v>
      </c>
      <c r="J33" s="50">
        <v>1</v>
      </c>
      <c r="K33" s="50">
        <v>1</v>
      </c>
      <c r="L33" s="50">
        <v>5</v>
      </c>
      <c r="M33" s="50">
        <v>104</v>
      </c>
      <c r="N33" s="50">
        <v>0</v>
      </c>
      <c r="O33" s="15">
        <f t="shared" si="0"/>
        <v>86</v>
      </c>
      <c r="P33" s="15">
        <f t="shared" si="1"/>
        <v>190</v>
      </c>
    </row>
    <row r="34" spans="2:20" ht="23.1" customHeight="1" x14ac:dyDescent="0.25">
      <c r="B34" s="24" t="s">
        <v>61</v>
      </c>
      <c r="C34" s="50">
        <v>55</v>
      </c>
      <c r="D34" s="50">
        <v>13</v>
      </c>
      <c r="E34" s="50">
        <v>20</v>
      </c>
      <c r="F34" s="50">
        <v>21</v>
      </c>
      <c r="G34" s="50">
        <v>0</v>
      </c>
      <c r="H34" s="50">
        <v>0</v>
      </c>
      <c r="I34" s="50">
        <v>19</v>
      </c>
      <c r="J34" s="50">
        <v>4</v>
      </c>
      <c r="K34" s="50">
        <v>0</v>
      </c>
      <c r="L34" s="50">
        <v>4</v>
      </c>
      <c r="M34" s="50">
        <v>128</v>
      </c>
      <c r="N34" s="50">
        <v>0</v>
      </c>
      <c r="O34" s="15">
        <f t="shared" si="0"/>
        <v>136</v>
      </c>
      <c r="P34" s="15">
        <f t="shared" si="1"/>
        <v>264</v>
      </c>
    </row>
    <row r="35" spans="2:20" ht="23.1" customHeight="1" x14ac:dyDescent="0.25">
      <c r="B35" s="24" t="s">
        <v>62</v>
      </c>
      <c r="C35" s="50">
        <v>42</v>
      </c>
      <c r="D35" s="50">
        <v>11</v>
      </c>
      <c r="E35" s="50">
        <v>11</v>
      </c>
      <c r="F35" s="50">
        <v>20</v>
      </c>
      <c r="G35" s="50">
        <v>1</v>
      </c>
      <c r="H35" s="50">
        <v>0</v>
      </c>
      <c r="I35" s="50">
        <v>15</v>
      </c>
      <c r="J35" s="50">
        <v>8</v>
      </c>
      <c r="K35" s="50">
        <v>1</v>
      </c>
      <c r="L35" s="50">
        <v>2</v>
      </c>
      <c r="M35" s="50">
        <v>120</v>
      </c>
      <c r="N35" s="50">
        <v>0</v>
      </c>
      <c r="O35" s="15">
        <f t="shared" si="0"/>
        <v>111</v>
      </c>
      <c r="P35" s="15">
        <f t="shared" si="1"/>
        <v>231</v>
      </c>
    </row>
    <row r="36" spans="2:20" ht="23.1" customHeight="1" x14ac:dyDescent="0.25">
      <c r="B36" s="24" t="s">
        <v>63</v>
      </c>
      <c r="C36" s="50">
        <v>48</v>
      </c>
      <c r="D36" s="50">
        <v>7</v>
      </c>
      <c r="E36" s="50">
        <v>15</v>
      </c>
      <c r="F36" s="50">
        <v>18</v>
      </c>
      <c r="G36" s="50">
        <v>1</v>
      </c>
      <c r="H36" s="50">
        <v>0</v>
      </c>
      <c r="I36" s="50">
        <v>6</v>
      </c>
      <c r="J36" s="50">
        <v>4</v>
      </c>
      <c r="K36" s="50">
        <v>0</v>
      </c>
      <c r="L36" s="50">
        <v>5</v>
      </c>
      <c r="M36" s="50">
        <v>135</v>
      </c>
      <c r="N36" s="50">
        <v>0</v>
      </c>
      <c r="O36" s="15">
        <f t="shared" si="0"/>
        <v>104</v>
      </c>
      <c r="P36" s="15">
        <f t="shared" si="1"/>
        <v>239</v>
      </c>
    </row>
    <row r="37" spans="2:20" ht="23.1" customHeight="1" x14ac:dyDescent="0.25">
      <c r="B37" s="23" t="s">
        <v>64</v>
      </c>
      <c r="C37" s="50">
        <v>48</v>
      </c>
      <c r="D37" s="50">
        <v>4</v>
      </c>
      <c r="E37" s="50">
        <v>19</v>
      </c>
      <c r="F37" s="50">
        <v>12</v>
      </c>
      <c r="G37" s="50">
        <v>0</v>
      </c>
      <c r="H37" s="50">
        <v>0</v>
      </c>
      <c r="I37" s="50">
        <v>9</v>
      </c>
      <c r="J37" s="50">
        <v>11</v>
      </c>
      <c r="K37" s="50">
        <v>3</v>
      </c>
      <c r="L37" s="50">
        <v>7</v>
      </c>
      <c r="M37" s="50">
        <v>101</v>
      </c>
      <c r="N37" s="50">
        <v>0</v>
      </c>
      <c r="O37" s="15">
        <f t="shared" si="0"/>
        <v>113</v>
      </c>
      <c r="P37" s="15">
        <f t="shared" si="1"/>
        <v>214</v>
      </c>
    </row>
    <row r="38" spans="2:20" ht="23.1" customHeight="1" x14ac:dyDescent="0.25">
      <c r="B38" s="24" t="s">
        <v>65</v>
      </c>
      <c r="C38" s="50">
        <v>35</v>
      </c>
      <c r="D38" s="50">
        <v>14</v>
      </c>
      <c r="E38" s="50">
        <v>11</v>
      </c>
      <c r="F38" s="50">
        <v>13</v>
      </c>
      <c r="G38" s="50">
        <v>0</v>
      </c>
      <c r="H38" s="50">
        <v>0</v>
      </c>
      <c r="I38" s="50">
        <v>15</v>
      </c>
      <c r="J38" s="50">
        <v>10</v>
      </c>
      <c r="K38" s="50">
        <v>2</v>
      </c>
      <c r="L38" s="50">
        <v>5</v>
      </c>
      <c r="M38" s="50">
        <v>122</v>
      </c>
      <c r="N38" s="50">
        <v>0</v>
      </c>
      <c r="O38" s="15">
        <f t="shared" si="0"/>
        <v>105</v>
      </c>
      <c r="P38" s="15">
        <f t="shared" si="1"/>
        <v>227</v>
      </c>
    </row>
    <row r="39" spans="2:20" ht="23.1" customHeight="1" x14ac:dyDescent="0.25">
      <c r="B39" s="24" t="s">
        <v>66</v>
      </c>
      <c r="C39" s="50">
        <v>55</v>
      </c>
      <c r="D39" s="50">
        <v>16</v>
      </c>
      <c r="E39" s="50">
        <v>16</v>
      </c>
      <c r="F39" s="50">
        <v>14</v>
      </c>
      <c r="G39" s="50">
        <v>0</v>
      </c>
      <c r="H39" s="50">
        <v>0</v>
      </c>
      <c r="I39" s="50">
        <v>17</v>
      </c>
      <c r="J39" s="50">
        <v>17</v>
      </c>
      <c r="K39" s="50">
        <v>0</v>
      </c>
      <c r="L39" s="50">
        <v>4</v>
      </c>
      <c r="M39" s="50">
        <v>118</v>
      </c>
      <c r="N39" s="50">
        <v>0</v>
      </c>
      <c r="O39" s="15">
        <f t="shared" si="0"/>
        <v>139</v>
      </c>
      <c r="P39" s="15">
        <f t="shared" si="1"/>
        <v>257</v>
      </c>
    </row>
    <row r="40" spans="2:20" ht="23.1" customHeight="1" x14ac:dyDescent="0.25">
      <c r="B40" s="24" t="s">
        <v>67</v>
      </c>
      <c r="C40" s="50">
        <v>60</v>
      </c>
      <c r="D40" s="50">
        <v>7</v>
      </c>
      <c r="E40" s="50">
        <v>15</v>
      </c>
      <c r="F40" s="50">
        <v>19</v>
      </c>
      <c r="G40" s="50">
        <v>1</v>
      </c>
      <c r="H40" s="50">
        <v>0</v>
      </c>
      <c r="I40" s="50">
        <v>22</v>
      </c>
      <c r="J40" s="50">
        <v>7</v>
      </c>
      <c r="K40" s="50">
        <v>4</v>
      </c>
      <c r="L40" s="50">
        <v>6</v>
      </c>
      <c r="M40" s="50">
        <v>104</v>
      </c>
      <c r="N40" s="50">
        <v>0</v>
      </c>
      <c r="O40" s="15">
        <f t="shared" si="0"/>
        <v>141</v>
      </c>
      <c r="P40" s="15">
        <f t="shared" si="1"/>
        <v>245</v>
      </c>
    </row>
    <row r="41" spans="2:20" ht="23.1" customHeight="1" x14ac:dyDescent="0.25">
      <c r="B41" s="23" t="s">
        <v>68</v>
      </c>
      <c r="C41" s="50">
        <v>40</v>
      </c>
      <c r="D41" s="50">
        <v>12</v>
      </c>
      <c r="E41" s="50">
        <v>20</v>
      </c>
      <c r="F41" s="50">
        <v>21</v>
      </c>
      <c r="G41" s="50">
        <v>1</v>
      </c>
      <c r="H41" s="50">
        <v>0</v>
      </c>
      <c r="I41" s="50">
        <v>16</v>
      </c>
      <c r="J41" s="50">
        <v>10</v>
      </c>
      <c r="K41" s="50">
        <v>0</v>
      </c>
      <c r="L41" s="50">
        <v>7</v>
      </c>
      <c r="M41" s="50">
        <v>110</v>
      </c>
      <c r="N41" s="50">
        <v>0</v>
      </c>
      <c r="O41" s="15">
        <f t="shared" si="0"/>
        <v>127</v>
      </c>
      <c r="P41" s="15">
        <f t="shared" si="1"/>
        <v>237</v>
      </c>
    </row>
    <row r="42" spans="2:20" ht="23.1" customHeight="1" x14ac:dyDescent="0.25">
      <c r="B42" s="24" t="s">
        <v>69</v>
      </c>
      <c r="C42" s="50">
        <v>58</v>
      </c>
      <c r="D42" s="50">
        <v>14</v>
      </c>
      <c r="E42" s="50">
        <v>22</v>
      </c>
      <c r="F42" s="50">
        <v>21</v>
      </c>
      <c r="G42" s="50">
        <v>0</v>
      </c>
      <c r="H42" s="50">
        <v>0</v>
      </c>
      <c r="I42" s="50">
        <v>19</v>
      </c>
      <c r="J42" s="50">
        <v>9</v>
      </c>
      <c r="K42" s="50">
        <v>0</v>
      </c>
      <c r="L42" s="50">
        <v>5</v>
      </c>
      <c r="M42" s="50">
        <v>210</v>
      </c>
      <c r="N42" s="50">
        <v>0</v>
      </c>
      <c r="O42" s="15">
        <f t="shared" si="0"/>
        <v>148</v>
      </c>
      <c r="P42" s="15">
        <f t="shared" si="1"/>
        <v>358</v>
      </c>
    </row>
    <row r="43" spans="2:20" ht="23.1" customHeight="1" x14ac:dyDescent="0.25">
      <c r="B43" s="23" t="s">
        <v>70</v>
      </c>
      <c r="C43" s="50">
        <v>32</v>
      </c>
      <c r="D43" s="50">
        <v>10</v>
      </c>
      <c r="E43" s="50">
        <v>10</v>
      </c>
      <c r="F43" s="50">
        <v>19</v>
      </c>
      <c r="G43" s="50">
        <v>2</v>
      </c>
      <c r="H43" s="50">
        <v>0</v>
      </c>
      <c r="I43" s="50">
        <v>13</v>
      </c>
      <c r="J43" s="50">
        <v>3</v>
      </c>
      <c r="K43" s="50">
        <v>2</v>
      </c>
      <c r="L43" s="50">
        <v>3</v>
      </c>
      <c r="M43" s="50">
        <v>67</v>
      </c>
      <c r="N43" s="50">
        <v>0</v>
      </c>
      <c r="O43" s="15">
        <f t="shared" si="0"/>
        <v>94</v>
      </c>
      <c r="P43" s="15">
        <f t="shared" si="1"/>
        <v>161</v>
      </c>
    </row>
    <row r="44" spans="2:20" ht="23.1" customHeight="1" x14ac:dyDescent="0.25">
      <c r="B44" s="25" t="s">
        <v>71</v>
      </c>
      <c r="C44" s="50">
        <v>42</v>
      </c>
      <c r="D44" s="50">
        <v>13</v>
      </c>
      <c r="E44" s="50">
        <v>11</v>
      </c>
      <c r="F44" s="50">
        <v>12</v>
      </c>
      <c r="G44" s="50">
        <v>2</v>
      </c>
      <c r="H44" s="50">
        <v>0</v>
      </c>
      <c r="I44" s="50">
        <v>10</v>
      </c>
      <c r="J44" s="50">
        <v>2</v>
      </c>
      <c r="K44" s="50">
        <v>5</v>
      </c>
      <c r="L44" s="50">
        <v>4</v>
      </c>
      <c r="M44" s="50">
        <v>43</v>
      </c>
      <c r="N44" s="50">
        <v>0</v>
      </c>
      <c r="O44" s="15">
        <f t="shared" si="0"/>
        <v>101</v>
      </c>
      <c r="P44" s="15">
        <f t="shared" si="1"/>
        <v>144</v>
      </c>
    </row>
    <row r="45" spans="2:20" ht="23.1" customHeight="1" x14ac:dyDescent="0.25">
      <c r="B45" s="23" t="s">
        <v>72</v>
      </c>
      <c r="C45" s="50">
        <v>24</v>
      </c>
      <c r="D45" s="50">
        <v>9</v>
      </c>
      <c r="E45" s="50">
        <v>14</v>
      </c>
      <c r="F45" s="50">
        <v>5</v>
      </c>
      <c r="G45" s="50">
        <v>4</v>
      </c>
      <c r="H45" s="50">
        <v>1</v>
      </c>
      <c r="I45" s="50">
        <v>6</v>
      </c>
      <c r="J45" s="50">
        <v>1</v>
      </c>
      <c r="K45" s="50">
        <v>0</v>
      </c>
      <c r="L45" s="50">
        <v>4</v>
      </c>
      <c r="M45" s="50">
        <v>22</v>
      </c>
      <c r="N45" s="50">
        <v>0</v>
      </c>
      <c r="O45" s="15">
        <f t="shared" si="0"/>
        <v>68</v>
      </c>
      <c r="P45" s="15">
        <f t="shared" si="1"/>
        <v>90</v>
      </c>
    </row>
    <row r="46" spans="2:20" ht="23.1" customHeight="1" x14ac:dyDescent="0.25">
      <c r="B46" s="24" t="s">
        <v>73</v>
      </c>
      <c r="C46" s="50">
        <v>51</v>
      </c>
      <c r="D46" s="50">
        <v>13</v>
      </c>
      <c r="E46" s="50">
        <v>13</v>
      </c>
      <c r="F46" s="50">
        <v>17</v>
      </c>
      <c r="G46" s="50">
        <v>0</v>
      </c>
      <c r="H46" s="50">
        <v>0</v>
      </c>
      <c r="I46" s="50">
        <v>32</v>
      </c>
      <c r="J46" s="50">
        <v>4</v>
      </c>
      <c r="K46" s="50">
        <v>2</v>
      </c>
      <c r="L46" s="50">
        <v>4</v>
      </c>
      <c r="M46" s="50">
        <v>61</v>
      </c>
      <c r="N46" s="50">
        <v>0</v>
      </c>
      <c r="O46" s="15">
        <f t="shared" si="0"/>
        <v>136</v>
      </c>
      <c r="P46" s="15">
        <f t="shared" si="1"/>
        <v>197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19</v>
      </c>
      <c r="E47" s="50">
        <v>20</v>
      </c>
      <c r="F47" s="50">
        <v>21</v>
      </c>
      <c r="G47" s="50">
        <v>3</v>
      </c>
      <c r="H47" s="50">
        <v>1</v>
      </c>
      <c r="I47" s="50">
        <v>18</v>
      </c>
      <c r="J47" s="50">
        <v>6</v>
      </c>
      <c r="K47" s="50">
        <v>0</v>
      </c>
      <c r="L47" s="50">
        <v>2</v>
      </c>
      <c r="M47" s="50">
        <v>99</v>
      </c>
      <c r="N47" s="50">
        <v>0</v>
      </c>
      <c r="O47" s="15">
        <f t="shared" si="0"/>
        <v>160</v>
      </c>
      <c r="P47" s="15">
        <f t="shared" si="1"/>
        <v>259</v>
      </c>
      <c r="R47" s="8"/>
      <c r="T47"/>
    </row>
    <row r="48" spans="2:20" ht="23.1" customHeight="1" x14ac:dyDescent="0.25">
      <c r="B48" s="24" t="s">
        <v>75</v>
      </c>
      <c r="C48" s="50">
        <v>110</v>
      </c>
      <c r="D48" s="50">
        <v>17</v>
      </c>
      <c r="E48" s="50">
        <v>11</v>
      </c>
      <c r="F48" s="50">
        <v>15</v>
      </c>
      <c r="G48" s="50">
        <v>1</v>
      </c>
      <c r="H48" s="50">
        <v>0</v>
      </c>
      <c r="I48" s="50">
        <v>20</v>
      </c>
      <c r="J48" s="50">
        <v>11</v>
      </c>
      <c r="K48" s="50">
        <v>2</v>
      </c>
      <c r="L48" s="50">
        <v>2</v>
      </c>
      <c r="M48" s="50">
        <v>94</v>
      </c>
      <c r="N48" s="50">
        <v>0</v>
      </c>
      <c r="O48" s="15">
        <f t="shared" si="0"/>
        <v>189</v>
      </c>
      <c r="P48" s="15">
        <f t="shared" si="1"/>
        <v>283</v>
      </c>
      <c r="R48" s="8"/>
      <c r="T48"/>
    </row>
    <row r="49" spans="2:20" ht="23.1" customHeight="1" x14ac:dyDescent="0.25">
      <c r="B49" s="23" t="s">
        <v>76</v>
      </c>
      <c r="C49" s="50">
        <v>44</v>
      </c>
      <c r="D49" s="50">
        <v>7</v>
      </c>
      <c r="E49" s="50">
        <v>4</v>
      </c>
      <c r="F49" s="50">
        <v>26</v>
      </c>
      <c r="G49" s="50">
        <v>1</v>
      </c>
      <c r="H49" s="50">
        <v>1</v>
      </c>
      <c r="I49" s="50">
        <v>22</v>
      </c>
      <c r="J49" s="50">
        <v>10</v>
      </c>
      <c r="K49" s="50">
        <v>1</v>
      </c>
      <c r="L49" s="50">
        <v>1</v>
      </c>
      <c r="M49" s="50">
        <v>215</v>
      </c>
      <c r="N49" s="50">
        <v>0</v>
      </c>
      <c r="O49" s="15">
        <f t="shared" si="0"/>
        <v>117</v>
      </c>
      <c r="P49" s="15">
        <f t="shared" si="1"/>
        <v>332</v>
      </c>
      <c r="R49" s="8"/>
      <c r="T49"/>
    </row>
    <row r="50" spans="2:20" ht="23.1" customHeight="1" x14ac:dyDescent="0.25">
      <c r="B50" s="24" t="s">
        <v>77</v>
      </c>
      <c r="C50" s="50">
        <v>46</v>
      </c>
      <c r="D50" s="50">
        <v>16</v>
      </c>
      <c r="E50" s="50">
        <v>24</v>
      </c>
      <c r="F50" s="50">
        <v>34</v>
      </c>
      <c r="G50" s="50">
        <v>0</v>
      </c>
      <c r="H50" s="50">
        <v>2</v>
      </c>
      <c r="I50" s="50">
        <v>17</v>
      </c>
      <c r="J50" s="50">
        <v>9</v>
      </c>
      <c r="K50" s="50">
        <v>0</v>
      </c>
      <c r="L50" s="50">
        <v>3</v>
      </c>
      <c r="M50" s="50">
        <v>103</v>
      </c>
      <c r="N50" s="50">
        <v>0</v>
      </c>
      <c r="O50" s="15">
        <f t="shared" si="0"/>
        <v>151</v>
      </c>
      <c r="P50" s="15">
        <f t="shared" si="1"/>
        <v>254</v>
      </c>
      <c r="R50" s="8"/>
      <c r="T50"/>
    </row>
    <row r="51" spans="2:20" ht="23.1" customHeight="1" x14ac:dyDescent="0.25">
      <c r="B51" s="24" t="s">
        <v>78</v>
      </c>
      <c r="C51" s="50">
        <v>43</v>
      </c>
      <c r="D51" s="50">
        <v>16</v>
      </c>
      <c r="E51" s="50">
        <v>13</v>
      </c>
      <c r="F51" s="50">
        <v>19</v>
      </c>
      <c r="G51" s="50">
        <v>5</v>
      </c>
      <c r="H51" s="50">
        <v>0</v>
      </c>
      <c r="I51" s="50">
        <v>12</v>
      </c>
      <c r="J51" s="50">
        <v>4</v>
      </c>
      <c r="K51" s="50">
        <v>2</v>
      </c>
      <c r="L51" s="50">
        <v>7</v>
      </c>
      <c r="M51" s="50">
        <v>100</v>
      </c>
      <c r="N51" s="50">
        <v>0</v>
      </c>
      <c r="O51" s="15">
        <f t="shared" si="0"/>
        <v>121</v>
      </c>
      <c r="P51" s="15">
        <f t="shared" si="1"/>
        <v>221</v>
      </c>
      <c r="R51" s="8"/>
      <c r="T51"/>
    </row>
    <row r="52" spans="2:20" ht="23.1" customHeight="1" x14ac:dyDescent="0.25">
      <c r="B52" s="24" t="s">
        <v>79</v>
      </c>
      <c r="C52" s="50">
        <v>67</v>
      </c>
      <c r="D52" s="50">
        <v>23</v>
      </c>
      <c r="E52" s="50">
        <v>15</v>
      </c>
      <c r="F52" s="50">
        <v>42</v>
      </c>
      <c r="G52" s="50">
        <v>1</v>
      </c>
      <c r="H52" s="50">
        <v>0</v>
      </c>
      <c r="I52" s="50">
        <v>22</v>
      </c>
      <c r="J52" s="50">
        <v>3</v>
      </c>
      <c r="K52" s="50">
        <v>1</v>
      </c>
      <c r="L52" s="50">
        <v>7</v>
      </c>
      <c r="M52" s="50">
        <v>103</v>
      </c>
      <c r="N52" s="50">
        <v>0</v>
      </c>
      <c r="O52" s="15">
        <f t="shared" si="0"/>
        <v>181</v>
      </c>
      <c r="P52" s="15">
        <f t="shared" si="1"/>
        <v>284</v>
      </c>
      <c r="R52" s="8"/>
      <c r="T52"/>
    </row>
    <row r="53" spans="2:20" ht="23.1" customHeight="1" x14ac:dyDescent="0.25">
      <c r="B53" s="23" t="s">
        <v>80</v>
      </c>
      <c r="C53" s="50">
        <v>45</v>
      </c>
      <c r="D53" s="50">
        <v>20</v>
      </c>
      <c r="E53" s="50">
        <v>18</v>
      </c>
      <c r="F53" s="50">
        <v>24</v>
      </c>
      <c r="G53" s="50">
        <v>2</v>
      </c>
      <c r="H53" s="50">
        <v>0</v>
      </c>
      <c r="I53" s="50">
        <v>18</v>
      </c>
      <c r="J53" s="50">
        <v>2</v>
      </c>
      <c r="K53" s="50">
        <v>1</v>
      </c>
      <c r="L53" s="50">
        <v>2</v>
      </c>
      <c r="M53" s="50">
        <v>117</v>
      </c>
      <c r="N53" s="50">
        <v>0</v>
      </c>
      <c r="O53" s="15">
        <f t="shared" si="0"/>
        <v>132</v>
      </c>
      <c r="P53" s="15">
        <f t="shared" si="1"/>
        <v>249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15</v>
      </c>
      <c r="E54" s="50">
        <v>17</v>
      </c>
      <c r="F54" s="50">
        <v>27</v>
      </c>
      <c r="G54" s="50">
        <v>2</v>
      </c>
      <c r="H54" s="50">
        <v>0</v>
      </c>
      <c r="I54" s="50">
        <v>8</v>
      </c>
      <c r="J54" s="50">
        <v>4</v>
      </c>
      <c r="K54" s="50">
        <v>4</v>
      </c>
      <c r="L54" s="50">
        <v>4</v>
      </c>
      <c r="M54" s="50">
        <v>120</v>
      </c>
      <c r="N54" s="50">
        <v>0</v>
      </c>
      <c r="O54" s="15">
        <f t="shared" si="0"/>
        <v>135</v>
      </c>
      <c r="P54" s="15">
        <f t="shared" si="1"/>
        <v>255</v>
      </c>
      <c r="R54" s="8"/>
      <c r="T54"/>
    </row>
    <row r="55" spans="2:20" ht="23.1" customHeight="1" x14ac:dyDescent="0.25">
      <c r="B55" s="23" t="s">
        <v>82</v>
      </c>
      <c r="C55" s="50">
        <v>65</v>
      </c>
      <c r="D55" s="50">
        <v>20</v>
      </c>
      <c r="E55" s="50">
        <v>15</v>
      </c>
      <c r="F55" s="50">
        <v>18</v>
      </c>
      <c r="G55" s="50">
        <v>2</v>
      </c>
      <c r="H55" s="50">
        <v>2</v>
      </c>
      <c r="I55" s="50">
        <v>14</v>
      </c>
      <c r="J55" s="50">
        <v>1</v>
      </c>
      <c r="K55" s="50">
        <v>2</v>
      </c>
      <c r="L55" s="50">
        <v>5</v>
      </c>
      <c r="M55" s="50">
        <v>115</v>
      </c>
      <c r="N55" s="50">
        <v>0</v>
      </c>
      <c r="O55" s="15">
        <f t="shared" si="0"/>
        <v>144</v>
      </c>
      <c r="P55" s="15">
        <f t="shared" si="1"/>
        <v>259</v>
      </c>
      <c r="R55" s="8"/>
      <c r="T55"/>
    </row>
    <row r="56" spans="2:20" ht="23.1" customHeight="1" x14ac:dyDescent="0.25">
      <c r="B56" s="23" t="s">
        <v>83</v>
      </c>
      <c r="C56" s="50">
        <v>52</v>
      </c>
      <c r="D56" s="50">
        <v>22</v>
      </c>
      <c r="E56" s="50">
        <v>8</v>
      </c>
      <c r="F56" s="50">
        <v>39</v>
      </c>
      <c r="G56" s="50">
        <v>3</v>
      </c>
      <c r="H56" s="50">
        <v>3</v>
      </c>
      <c r="I56" s="50">
        <v>12</v>
      </c>
      <c r="J56" s="50">
        <v>0</v>
      </c>
      <c r="K56" s="50">
        <v>2</v>
      </c>
      <c r="L56" s="50">
        <v>4</v>
      </c>
      <c r="M56" s="50">
        <v>130</v>
      </c>
      <c r="N56" s="50">
        <v>0</v>
      </c>
      <c r="O56" s="15">
        <f t="shared" si="0"/>
        <v>145</v>
      </c>
      <c r="P56" s="15">
        <f t="shared" si="1"/>
        <v>275</v>
      </c>
      <c r="R56" s="8"/>
      <c r="T56"/>
    </row>
    <row r="57" spans="2:20" ht="23.1" customHeight="1" x14ac:dyDescent="0.25">
      <c r="B57" s="23" t="s">
        <v>84</v>
      </c>
      <c r="C57" s="50">
        <v>40</v>
      </c>
      <c r="D57" s="50">
        <v>12</v>
      </c>
      <c r="E57" s="50">
        <v>13</v>
      </c>
      <c r="F57" s="50">
        <v>40</v>
      </c>
      <c r="G57" s="50">
        <v>1</v>
      </c>
      <c r="H57" s="50">
        <v>0</v>
      </c>
      <c r="I57" s="50">
        <v>14</v>
      </c>
      <c r="J57" s="50">
        <v>2</v>
      </c>
      <c r="K57" s="50">
        <v>2</v>
      </c>
      <c r="L57" s="50">
        <v>7</v>
      </c>
      <c r="M57" s="50">
        <v>130</v>
      </c>
      <c r="N57" s="50">
        <v>0</v>
      </c>
      <c r="O57" s="15">
        <f t="shared" si="0"/>
        <v>131</v>
      </c>
      <c r="P57" s="15">
        <f t="shared" si="1"/>
        <v>261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1713</v>
      </c>
      <c r="D58" s="16">
        <f t="shared" si="21"/>
        <v>434</v>
      </c>
      <c r="E58" s="16">
        <f t="shared" si="21"/>
        <v>499</v>
      </c>
      <c r="F58" s="16">
        <f t="shared" si="21"/>
        <v>678</v>
      </c>
      <c r="G58" s="16">
        <f t="shared" si="21"/>
        <v>42</v>
      </c>
      <c r="H58" s="16">
        <f t="shared" si="21"/>
        <v>11</v>
      </c>
      <c r="I58" s="16">
        <f t="shared" si="21"/>
        <v>511</v>
      </c>
      <c r="J58" s="16">
        <f t="shared" si="21"/>
        <v>222</v>
      </c>
      <c r="K58" s="16">
        <f t="shared" si="21"/>
        <v>49</v>
      </c>
      <c r="L58" s="16">
        <f t="shared" si="21"/>
        <v>143</v>
      </c>
      <c r="M58" s="16">
        <f t="shared" si="21"/>
        <v>4065</v>
      </c>
      <c r="N58" s="16">
        <f t="shared" si="21"/>
        <v>0</v>
      </c>
      <c r="O58" s="16">
        <f t="shared" si="21"/>
        <v>4302</v>
      </c>
      <c r="P58" s="16">
        <f t="shared" si="21"/>
        <v>8367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0.20473287916816063</v>
      </c>
      <c r="D59" s="43">
        <f t="shared" si="22"/>
        <v>5.187044340862914E-2</v>
      </c>
      <c r="E59" s="43">
        <f t="shared" si="22"/>
        <v>5.9639058204852394E-2</v>
      </c>
      <c r="F59" s="43">
        <f t="shared" si="22"/>
        <v>8.1032628182144142E-2</v>
      </c>
      <c r="G59" s="43">
        <f t="shared" si="22"/>
        <v>5.0197203298673358E-3</v>
      </c>
      <c r="H59" s="43">
        <f t="shared" si="22"/>
        <v>1.3146886578223975E-3</v>
      </c>
      <c r="I59" s="43">
        <f t="shared" si="22"/>
        <v>6.1073264013385919E-2</v>
      </c>
      <c r="J59" s="43">
        <f t="shared" si="22"/>
        <v>2.6532807457870206E-2</v>
      </c>
      <c r="K59" s="43">
        <f t="shared" si="22"/>
        <v>5.8563403848452249E-3</v>
      </c>
      <c r="L59" s="43">
        <v>0.12</v>
      </c>
      <c r="M59" s="43">
        <f t="shared" si="22"/>
        <v>0.48583721764073146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0.39818688981868899</v>
      </c>
      <c r="D60" s="44">
        <f t="shared" ref="D60:N60" si="23">D58/$O$58</f>
        <v>0.10088331008833101</v>
      </c>
      <c r="E60" s="44">
        <f t="shared" si="23"/>
        <v>0.11599256159925617</v>
      </c>
      <c r="F60" s="44">
        <f t="shared" si="23"/>
        <v>0.15760111576011157</v>
      </c>
      <c r="G60" s="44">
        <f t="shared" si="23"/>
        <v>9.7629009762900971E-3</v>
      </c>
      <c r="H60" s="44">
        <f t="shared" si="23"/>
        <v>2.5569502556950256E-3</v>
      </c>
      <c r="I60" s="44">
        <f t="shared" si="23"/>
        <v>0.11878196187819619</v>
      </c>
      <c r="J60" s="44">
        <f t="shared" si="23"/>
        <v>5.1603905160390519E-2</v>
      </c>
      <c r="K60" s="44">
        <f t="shared" si="23"/>
        <v>1.1390051139005115E-2</v>
      </c>
      <c r="L60" s="44">
        <f t="shared" si="23"/>
        <v>3.3240353324035334E-2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4" zoomScaleSheetLayoutView="64" workbookViewId="0">
      <selection activeCell="J9" sqref="J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67" t="s">
        <v>176</v>
      </c>
      <c r="H5" s="68"/>
      <c r="I5" s="14"/>
      <c r="J5" s="2" t="s">
        <v>5</v>
      </c>
      <c r="K5" s="67" t="s">
        <v>174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171</v>
      </c>
      <c r="E6" s="68"/>
      <c r="F6" s="2" t="s">
        <v>2</v>
      </c>
      <c r="G6" s="67" t="s">
        <v>172</v>
      </c>
      <c r="H6" s="68"/>
      <c r="J6" s="2" t="s">
        <v>21</v>
      </c>
      <c r="K6" s="67" t="s">
        <v>173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32</v>
      </c>
      <c r="D10" s="50">
        <v>11</v>
      </c>
      <c r="E10" s="50">
        <v>7</v>
      </c>
      <c r="F10" s="50">
        <v>13</v>
      </c>
      <c r="G10" s="50">
        <v>1</v>
      </c>
      <c r="H10" s="50">
        <v>0</v>
      </c>
      <c r="I10" s="50">
        <v>6</v>
      </c>
      <c r="J10" s="50">
        <v>4</v>
      </c>
      <c r="K10" s="50">
        <v>0</v>
      </c>
      <c r="L10" s="50">
        <v>3</v>
      </c>
      <c r="M10" s="50">
        <v>76</v>
      </c>
      <c r="N10" s="50">
        <v>0</v>
      </c>
      <c r="O10" s="15">
        <f t="shared" ref="O10:O57" si="0">SUM(C10:L10,N10)</f>
        <v>77</v>
      </c>
      <c r="P10" s="15">
        <f t="shared" ref="P10:P57" si="1">SUM(C10:N10)</f>
        <v>153</v>
      </c>
      <c r="R10" s="1" t="s">
        <v>6</v>
      </c>
      <c r="S10" s="17">
        <f t="shared" ref="S10:AF10" si="2">SUM(C10:C13)</f>
        <v>208</v>
      </c>
      <c r="T10" s="17">
        <f t="shared" si="2"/>
        <v>78</v>
      </c>
      <c r="U10" s="17">
        <f t="shared" si="2"/>
        <v>47</v>
      </c>
      <c r="V10" s="17">
        <f t="shared" si="2"/>
        <v>63</v>
      </c>
      <c r="W10" s="17">
        <f t="shared" si="2"/>
        <v>8</v>
      </c>
      <c r="X10" s="17">
        <f t="shared" si="2"/>
        <v>2</v>
      </c>
      <c r="Y10" s="17">
        <f t="shared" si="2"/>
        <v>32</v>
      </c>
      <c r="Z10" s="17">
        <f t="shared" si="2"/>
        <v>25</v>
      </c>
      <c r="AA10" s="17">
        <f t="shared" si="2"/>
        <v>10</v>
      </c>
      <c r="AB10" s="17">
        <f t="shared" si="2"/>
        <v>11</v>
      </c>
      <c r="AC10" s="17">
        <f t="shared" si="2"/>
        <v>494</v>
      </c>
      <c r="AD10" s="17">
        <f t="shared" si="2"/>
        <v>0</v>
      </c>
      <c r="AE10" s="31">
        <f t="shared" si="2"/>
        <v>484</v>
      </c>
      <c r="AF10" s="31">
        <f t="shared" si="2"/>
        <v>978</v>
      </c>
    </row>
    <row r="11" spans="2:32" s="6" customFormat="1" ht="23.1" customHeight="1" x14ac:dyDescent="0.25">
      <c r="B11" s="23" t="s">
        <v>38</v>
      </c>
      <c r="C11" s="50">
        <v>54</v>
      </c>
      <c r="D11" s="50">
        <v>26</v>
      </c>
      <c r="E11" s="50">
        <v>13</v>
      </c>
      <c r="F11" s="50">
        <v>13</v>
      </c>
      <c r="G11" s="50">
        <v>2</v>
      </c>
      <c r="H11" s="50">
        <v>2</v>
      </c>
      <c r="I11" s="50">
        <v>6</v>
      </c>
      <c r="J11" s="50">
        <v>9</v>
      </c>
      <c r="K11" s="50">
        <v>2</v>
      </c>
      <c r="L11" s="50">
        <v>2</v>
      </c>
      <c r="M11" s="50">
        <v>100</v>
      </c>
      <c r="N11" s="50">
        <v>0</v>
      </c>
      <c r="O11" s="15">
        <f t="shared" si="0"/>
        <v>129</v>
      </c>
      <c r="P11" s="15">
        <f t="shared" si="1"/>
        <v>229</v>
      </c>
      <c r="R11" s="1" t="s">
        <v>7</v>
      </c>
      <c r="S11" s="17">
        <f t="shared" ref="S11:AF11" si="3">SUM(C14:C17)</f>
        <v>198</v>
      </c>
      <c r="T11" s="17">
        <f t="shared" si="3"/>
        <v>83</v>
      </c>
      <c r="U11" s="17">
        <f t="shared" si="3"/>
        <v>43</v>
      </c>
      <c r="V11" s="17">
        <f t="shared" si="3"/>
        <v>72</v>
      </c>
      <c r="W11" s="17">
        <f t="shared" si="3"/>
        <v>3</v>
      </c>
      <c r="X11" s="17">
        <f t="shared" si="3"/>
        <v>1</v>
      </c>
      <c r="Y11" s="17">
        <f t="shared" si="3"/>
        <v>40</v>
      </c>
      <c r="Z11" s="17">
        <f t="shared" si="3"/>
        <v>17</v>
      </c>
      <c r="AA11" s="17">
        <f t="shared" si="3"/>
        <v>15</v>
      </c>
      <c r="AB11" s="17">
        <f t="shared" si="3"/>
        <v>19</v>
      </c>
      <c r="AC11" s="17">
        <f t="shared" si="3"/>
        <v>712</v>
      </c>
      <c r="AD11" s="17">
        <f t="shared" si="3"/>
        <v>0</v>
      </c>
      <c r="AE11" s="31">
        <f t="shared" si="3"/>
        <v>491</v>
      </c>
      <c r="AF11" s="31">
        <f t="shared" si="3"/>
        <v>1203</v>
      </c>
    </row>
    <row r="12" spans="2:32" ht="23.1" customHeight="1" x14ac:dyDescent="0.25">
      <c r="B12" s="23" t="s">
        <v>39</v>
      </c>
      <c r="C12" s="50">
        <v>65</v>
      </c>
      <c r="D12" s="50">
        <v>16</v>
      </c>
      <c r="E12" s="50">
        <v>14</v>
      </c>
      <c r="F12" s="50">
        <v>20</v>
      </c>
      <c r="G12" s="50">
        <v>4</v>
      </c>
      <c r="H12" s="50">
        <v>0</v>
      </c>
      <c r="I12" s="50">
        <v>9</v>
      </c>
      <c r="J12" s="50">
        <v>4</v>
      </c>
      <c r="K12" s="50">
        <v>3</v>
      </c>
      <c r="L12" s="50">
        <v>5</v>
      </c>
      <c r="M12" s="50">
        <v>160</v>
      </c>
      <c r="N12" s="50">
        <v>0</v>
      </c>
      <c r="O12" s="15">
        <f t="shared" si="0"/>
        <v>140</v>
      </c>
      <c r="P12" s="15">
        <f t="shared" si="1"/>
        <v>300</v>
      </c>
      <c r="R12" s="1" t="s">
        <v>8</v>
      </c>
      <c r="S12" s="17">
        <f t="shared" ref="S12:AF12" si="4">SUM(C18:C21)</f>
        <v>217</v>
      </c>
      <c r="T12" s="17">
        <f t="shared" si="4"/>
        <v>47</v>
      </c>
      <c r="U12" s="17">
        <f t="shared" si="4"/>
        <v>41</v>
      </c>
      <c r="V12" s="17">
        <f t="shared" si="4"/>
        <v>85</v>
      </c>
      <c r="W12" s="17">
        <f t="shared" si="4"/>
        <v>9</v>
      </c>
      <c r="X12" s="17">
        <f t="shared" si="4"/>
        <v>2</v>
      </c>
      <c r="Y12" s="17">
        <f t="shared" si="4"/>
        <v>59</v>
      </c>
      <c r="Z12" s="17">
        <f t="shared" si="4"/>
        <v>28</v>
      </c>
      <c r="AA12" s="17">
        <f t="shared" si="4"/>
        <v>14</v>
      </c>
      <c r="AB12" s="17">
        <f t="shared" si="4"/>
        <v>16</v>
      </c>
      <c r="AC12" s="17">
        <f t="shared" si="4"/>
        <v>709</v>
      </c>
      <c r="AD12" s="17">
        <f t="shared" si="4"/>
        <v>0</v>
      </c>
      <c r="AE12" s="31">
        <f t="shared" si="4"/>
        <v>518</v>
      </c>
      <c r="AF12" s="31">
        <f t="shared" si="4"/>
        <v>1227</v>
      </c>
    </row>
    <row r="13" spans="2:32" ht="23.1" customHeight="1" x14ac:dyDescent="0.25">
      <c r="B13" s="23" t="s">
        <v>40</v>
      </c>
      <c r="C13" s="50">
        <v>57</v>
      </c>
      <c r="D13" s="50">
        <v>25</v>
      </c>
      <c r="E13" s="50">
        <v>13</v>
      </c>
      <c r="F13" s="50">
        <v>17</v>
      </c>
      <c r="G13" s="50">
        <v>1</v>
      </c>
      <c r="H13" s="50">
        <v>0</v>
      </c>
      <c r="I13" s="50">
        <v>11</v>
      </c>
      <c r="J13" s="50">
        <v>8</v>
      </c>
      <c r="K13" s="50">
        <v>5</v>
      </c>
      <c r="L13" s="50">
        <v>1</v>
      </c>
      <c r="M13" s="50">
        <v>158</v>
      </c>
      <c r="N13" s="50">
        <v>0</v>
      </c>
      <c r="O13" s="15">
        <f t="shared" si="0"/>
        <v>138</v>
      </c>
      <c r="P13" s="15">
        <f t="shared" si="1"/>
        <v>296</v>
      </c>
      <c r="R13" s="1" t="s">
        <v>9</v>
      </c>
      <c r="S13" s="17">
        <f t="shared" ref="S13:AF13" si="5">SUM(C22:C25)</f>
        <v>179</v>
      </c>
      <c r="T13" s="17">
        <f t="shared" si="5"/>
        <v>78</v>
      </c>
      <c r="U13" s="17">
        <f t="shared" si="5"/>
        <v>60</v>
      </c>
      <c r="V13" s="17">
        <f t="shared" si="5"/>
        <v>80</v>
      </c>
      <c r="W13" s="17">
        <f t="shared" si="5"/>
        <v>7</v>
      </c>
      <c r="X13" s="17">
        <f t="shared" si="5"/>
        <v>2</v>
      </c>
      <c r="Y13" s="17">
        <f t="shared" si="5"/>
        <v>48</v>
      </c>
      <c r="Z13" s="17">
        <f t="shared" si="5"/>
        <v>28</v>
      </c>
      <c r="AA13" s="17">
        <f t="shared" si="5"/>
        <v>20</v>
      </c>
      <c r="AB13" s="17">
        <f t="shared" si="5"/>
        <v>20</v>
      </c>
      <c r="AC13" s="17">
        <f t="shared" si="5"/>
        <v>539</v>
      </c>
      <c r="AD13" s="17">
        <f t="shared" si="5"/>
        <v>0</v>
      </c>
      <c r="AE13" s="31">
        <f t="shared" si="5"/>
        <v>522</v>
      </c>
      <c r="AF13" s="31">
        <f t="shared" si="5"/>
        <v>1061</v>
      </c>
    </row>
    <row r="14" spans="2:32" ht="23.1" customHeight="1" x14ac:dyDescent="0.25">
      <c r="B14" s="23" t="s">
        <v>41</v>
      </c>
      <c r="C14" s="50">
        <v>52</v>
      </c>
      <c r="D14" s="50">
        <v>15</v>
      </c>
      <c r="E14" s="50">
        <v>4</v>
      </c>
      <c r="F14" s="50">
        <v>22</v>
      </c>
      <c r="G14" s="50">
        <v>1</v>
      </c>
      <c r="H14" s="50">
        <v>0</v>
      </c>
      <c r="I14" s="50">
        <v>8</v>
      </c>
      <c r="J14" s="50">
        <v>2</v>
      </c>
      <c r="K14" s="50">
        <v>1</v>
      </c>
      <c r="L14" s="50">
        <v>6</v>
      </c>
      <c r="M14" s="50">
        <v>171</v>
      </c>
      <c r="N14" s="50">
        <v>0</v>
      </c>
      <c r="O14" s="15">
        <f t="shared" si="0"/>
        <v>111</v>
      </c>
      <c r="P14" s="15">
        <f t="shared" si="1"/>
        <v>282</v>
      </c>
      <c r="R14" s="1" t="s">
        <v>10</v>
      </c>
      <c r="S14" s="17">
        <f t="shared" ref="S14:AF14" si="6">SUM(C26:C29)</f>
        <v>248</v>
      </c>
      <c r="T14" s="17">
        <f t="shared" si="6"/>
        <v>66</v>
      </c>
      <c r="U14" s="17">
        <f t="shared" si="6"/>
        <v>54</v>
      </c>
      <c r="V14" s="17">
        <f t="shared" si="6"/>
        <v>70</v>
      </c>
      <c r="W14" s="17">
        <f t="shared" si="6"/>
        <v>11</v>
      </c>
      <c r="X14" s="17">
        <f t="shared" si="6"/>
        <v>1</v>
      </c>
      <c r="Y14" s="17">
        <f t="shared" si="6"/>
        <v>45</v>
      </c>
      <c r="Z14" s="17">
        <f t="shared" si="6"/>
        <v>36</v>
      </c>
      <c r="AA14" s="17">
        <f t="shared" si="6"/>
        <v>35</v>
      </c>
      <c r="AB14" s="17">
        <f t="shared" si="6"/>
        <v>24</v>
      </c>
      <c r="AC14" s="17">
        <f t="shared" si="6"/>
        <v>398</v>
      </c>
      <c r="AD14" s="17">
        <f t="shared" si="6"/>
        <v>0</v>
      </c>
      <c r="AE14" s="31">
        <f t="shared" si="6"/>
        <v>590</v>
      </c>
      <c r="AF14" s="31">
        <f t="shared" si="6"/>
        <v>988</v>
      </c>
    </row>
    <row r="15" spans="2:32" ht="23.1" customHeight="1" x14ac:dyDescent="0.25">
      <c r="B15" s="23" t="s">
        <v>42</v>
      </c>
      <c r="C15" s="50">
        <v>41</v>
      </c>
      <c r="D15" s="50">
        <v>22</v>
      </c>
      <c r="E15" s="50">
        <v>11</v>
      </c>
      <c r="F15" s="50">
        <v>11</v>
      </c>
      <c r="G15" s="50">
        <v>0</v>
      </c>
      <c r="H15" s="50">
        <v>1</v>
      </c>
      <c r="I15" s="50">
        <v>8</v>
      </c>
      <c r="J15" s="50">
        <v>3</v>
      </c>
      <c r="K15" s="50">
        <v>4</v>
      </c>
      <c r="L15" s="50">
        <v>4</v>
      </c>
      <c r="M15" s="50">
        <v>174</v>
      </c>
      <c r="N15" s="50">
        <v>0</v>
      </c>
      <c r="O15" s="15">
        <f t="shared" si="0"/>
        <v>105</v>
      </c>
      <c r="P15" s="15">
        <f t="shared" si="1"/>
        <v>279</v>
      </c>
      <c r="R15" s="1" t="s">
        <v>11</v>
      </c>
      <c r="S15" s="17">
        <f t="shared" ref="S15:AF15" si="7">SUM(C30:C33)</f>
        <v>189</v>
      </c>
      <c r="T15" s="17">
        <f t="shared" si="7"/>
        <v>38</v>
      </c>
      <c r="U15" s="17">
        <f t="shared" si="7"/>
        <v>33</v>
      </c>
      <c r="V15" s="17">
        <f t="shared" si="7"/>
        <v>70</v>
      </c>
      <c r="W15" s="17">
        <f t="shared" si="7"/>
        <v>6</v>
      </c>
      <c r="X15" s="17">
        <f t="shared" si="7"/>
        <v>1</v>
      </c>
      <c r="Y15" s="17">
        <f t="shared" si="7"/>
        <v>29</v>
      </c>
      <c r="Z15" s="17">
        <f t="shared" si="7"/>
        <v>38</v>
      </c>
      <c r="AA15" s="17">
        <f t="shared" si="7"/>
        <v>23</v>
      </c>
      <c r="AB15" s="17">
        <f t="shared" si="7"/>
        <v>19</v>
      </c>
      <c r="AC15" s="17">
        <f t="shared" si="7"/>
        <v>410</v>
      </c>
      <c r="AD15" s="17">
        <f t="shared" si="7"/>
        <v>0</v>
      </c>
      <c r="AE15" s="31">
        <f t="shared" si="7"/>
        <v>446</v>
      </c>
      <c r="AF15" s="31">
        <f t="shared" si="7"/>
        <v>856</v>
      </c>
    </row>
    <row r="16" spans="2:32" ht="23.1" customHeight="1" x14ac:dyDescent="0.25">
      <c r="B16" s="23" t="s">
        <v>43</v>
      </c>
      <c r="C16" s="50">
        <v>60</v>
      </c>
      <c r="D16" s="50">
        <v>18</v>
      </c>
      <c r="E16" s="50">
        <v>11</v>
      </c>
      <c r="F16" s="50">
        <v>22</v>
      </c>
      <c r="G16" s="50">
        <v>1</v>
      </c>
      <c r="H16" s="50">
        <v>0</v>
      </c>
      <c r="I16" s="50">
        <v>9</v>
      </c>
      <c r="J16" s="50">
        <v>6</v>
      </c>
      <c r="K16" s="50">
        <v>5</v>
      </c>
      <c r="L16" s="50">
        <v>7</v>
      </c>
      <c r="M16" s="50">
        <v>209</v>
      </c>
      <c r="N16" s="50">
        <v>0</v>
      </c>
      <c r="O16" s="15">
        <f t="shared" si="0"/>
        <v>139</v>
      </c>
      <c r="P16" s="15">
        <f t="shared" si="1"/>
        <v>348</v>
      </c>
      <c r="R16" s="1" t="s">
        <v>12</v>
      </c>
      <c r="S16" s="17">
        <f t="shared" ref="S16:AF16" si="8">SUM(C34:C37)</f>
        <v>224</v>
      </c>
      <c r="T16" s="17">
        <f t="shared" si="8"/>
        <v>42</v>
      </c>
      <c r="U16" s="17">
        <f t="shared" si="8"/>
        <v>42</v>
      </c>
      <c r="V16" s="17">
        <f t="shared" si="8"/>
        <v>69</v>
      </c>
      <c r="W16" s="17">
        <f t="shared" si="8"/>
        <v>6</v>
      </c>
      <c r="X16" s="17">
        <f t="shared" si="8"/>
        <v>0</v>
      </c>
      <c r="Y16" s="17">
        <f t="shared" si="8"/>
        <v>42</v>
      </c>
      <c r="Z16" s="17">
        <f t="shared" si="8"/>
        <v>40</v>
      </c>
      <c r="AA16" s="17">
        <f t="shared" si="8"/>
        <v>20</v>
      </c>
      <c r="AB16" s="17">
        <f t="shared" si="8"/>
        <v>19</v>
      </c>
      <c r="AC16" s="17">
        <f t="shared" si="8"/>
        <v>398</v>
      </c>
      <c r="AD16" s="17">
        <f t="shared" si="8"/>
        <v>0</v>
      </c>
      <c r="AE16" s="31">
        <f t="shared" si="8"/>
        <v>504</v>
      </c>
      <c r="AF16" s="31">
        <f t="shared" si="8"/>
        <v>902</v>
      </c>
    </row>
    <row r="17" spans="2:32" ht="23.1" customHeight="1" x14ac:dyDescent="0.25">
      <c r="B17" s="23" t="s">
        <v>44</v>
      </c>
      <c r="C17" s="50">
        <v>45</v>
      </c>
      <c r="D17" s="50">
        <v>28</v>
      </c>
      <c r="E17" s="50">
        <v>17</v>
      </c>
      <c r="F17" s="50">
        <v>17</v>
      </c>
      <c r="G17" s="50">
        <v>1</v>
      </c>
      <c r="H17" s="50">
        <v>0</v>
      </c>
      <c r="I17" s="50">
        <v>15</v>
      </c>
      <c r="J17" s="50">
        <v>6</v>
      </c>
      <c r="K17" s="50">
        <v>5</v>
      </c>
      <c r="L17" s="50">
        <v>2</v>
      </c>
      <c r="M17" s="50">
        <v>158</v>
      </c>
      <c r="N17" s="50">
        <v>0</v>
      </c>
      <c r="O17" s="15">
        <f t="shared" si="0"/>
        <v>136</v>
      </c>
      <c r="P17" s="15">
        <f t="shared" si="1"/>
        <v>294</v>
      </c>
      <c r="R17" s="1" t="s">
        <v>13</v>
      </c>
      <c r="S17" s="17">
        <f t="shared" ref="S17:AF17" si="9">SUM(C38:C41)</f>
        <v>139</v>
      </c>
      <c r="T17" s="17">
        <f t="shared" si="9"/>
        <v>41</v>
      </c>
      <c r="U17" s="17">
        <f t="shared" si="9"/>
        <v>50</v>
      </c>
      <c r="V17" s="17">
        <f t="shared" si="9"/>
        <v>55</v>
      </c>
      <c r="W17" s="17">
        <f t="shared" si="9"/>
        <v>4</v>
      </c>
      <c r="X17" s="17">
        <f t="shared" si="9"/>
        <v>2</v>
      </c>
      <c r="Y17" s="17">
        <f t="shared" si="9"/>
        <v>35</v>
      </c>
      <c r="Z17" s="17">
        <f t="shared" si="9"/>
        <v>23</v>
      </c>
      <c r="AA17" s="17">
        <f t="shared" si="9"/>
        <v>34</v>
      </c>
      <c r="AB17" s="17">
        <f t="shared" si="9"/>
        <v>21</v>
      </c>
      <c r="AC17" s="17">
        <f t="shared" si="9"/>
        <v>261</v>
      </c>
      <c r="AD17" s="17">
        <f t="shared" si="9"/>
        <v>0</v>
      </c>
      <c r="AE17" s="31">
        <f t="shared" si="9"/>
        <v>404</v>
      </c>
      <c r="AF17" s="31">
        <f t="shared" si="9"/>
        <v>665</v>
      </c>
    </row>
    <row r="18" spans="2:32" ht="23.1" customHeight="1" x14ac:dyDescent="0.25">
      <c r="B18" s="23" t="s">
        <v>45</v>
      </c>
      <c r="C18" s="50">
        <v>59</v>
      </c>
      <c r="D18" s="50">
        <v>17</v>
      </c>
      <c r="E18" s="50">
        <v>8</v>
      </c>
      <c r="F18" s="50">
        <v>15</v>
      </c>
      <c r="G18" s="50">
        <v>4</v>
      </c>
      <c r="H18" s="50">
        <v>0</v>
      </c>
      <c r="I18" s="50">
        <v>15</v>
      </c>
      <c r="J18" s="50">
        <v>10</v>
      </c>
      <c r="K18" s="50">
        <v>3</v>
      </c>
      <c r="L18" s="50">
        <v>4</v>
      </c>
      <c r="M18" s="50">
        <v>194</v>
      </c>
      <c r="N18" s="50">
        <v>0</v>
      </c>
      <c r="O18" s="15">
        <f t="shared" si="0"/>
        <v>135</v>
      </c>
      <c r="P18" s="15">
        <f t="shared" si="1"/>
        <v>329</v>
      </c>
      <c r="R18" s="1" t="s">
        <v>14</v>
      </c>
      <c r="S18" s="17">
        <f t="shared" ref="S18:AF18" si="10">SUM(C42:C45)</f>
        <v>197</v>
      </c>
      <c r="T18" s="17">
        <f t="shared" si="10"/>
        <v>60</v>
      </c>
      <c r="U18" s="17">
        <f t="shared" si="10"/>
        <v>34</v>
      </c>
      <c r="V18" s="17">
        <f t="shared" si="10"/>
        <v>52</v>
      </c>
      <c r="W18" s="17">
        <f t="shared" si="10"/>
        <v>3</v>
      </c>
      <c r="X18" s="17">
        <f t="shared" si="10"/>
        <v>3</v>
      </c>
      <c r="Y18" s="17">
        <f t="shared" si="10"/>
        <v>56</v>
      </c>
      <c r="Z18" s="17">
        <f t="shared" si="10"/>
        <v>40</v>
      </c>
      <c r="AA18" s="17">
        <f t="shared" si="10"/>
        <v>35</v>
      </c>
      <c r="AB18" s="17">
        <f t="shared" si="10"/>
        <v>30</v>
      </c>
      <c r="AC18" s="17">
        <f t="shared" si="10"/>
        <v>377</v>
      </c>
      <c r="AD18" s="17">
        <f t="shared" si="10"/>
        <v>0</v>
      </c>
      <c r="AE18" s="31">
        <f t="shared" si="10"/>
        <v>510</v>
      </c>
      <c r="AF18" s="31">
        <f t="shared" si="10"/>
        <v>887</v>
      </c>
    </row>
    <row r="19" spans="2:32" ht="23.1" customHeight="1" x14ac:dyDescent="0.25">
      <c r="B19" s="23" t="s">
        <v>46</v>
      </c>
      <c r="C19" s="50">
        <v>46</v>
      </c>
      <c r="D19" s="50">
        <v>12</v>
      </c>
      <c r="E19" s="50">
        <v>11</v>
      </c>
      <c r="F19" s="50">
        <v>23</v>
      </c>
      <c r="G19" s="50">
        <v>2</v>
      </c>
      <c r="H19" s="50">
        <v>1</v>
      </c>
      <c r="I19" s="50">
        <v>10</v>
      </c>
      <c r="J19" s="50">
        <v>6</v>
      </c>
      <c r="K19" s="50">
        <v>5</v>
      </c>
      <c r="L19" s="50">
        <v>4</v>
      </c>
      <c r="M19" s="50">
        <v>195</v>
      </c>
      <c r="N19" s="50">
        <v>0</v>
      </c>
      <c r="O19" s="15">
        <f t="shared" si="0"/>
        <v>120</v>
      </c>
      <c r="P19" s="15">
        <f t="shared" si="1"/>
        <v>315</v>
      </c>
      <c r="R19" s="1" t="s">
        <v>15</v>
      </c>
      <c r="S19" s="17">
        <f t="shared" ref="S19:AF19" si="11">SUM(C46:C49)</f>
        <v>232</v>
      </c>
      <c r="T19" s="17">
        <f t="shared" si="11"/>
        <v>60</v>
      </c>
      <c r="U19" s="17">
        <f t="shared" si="11"/>
        <v>45</v>
      </c>
      <c r="V19" s="17">
        <f t="shared" si="11"/>
        <v>62</v>
      </c>
      <c r="W19" s="17">
        <f t="shared" si="11"/>
        <v>5</v>
      </c>
      <c r="X19" s="17">
        <f t="shared" si="11"/>
        <v>0</v>
      </c>
      <c r="Y19" s="17">
        <f t="shared" si="11"/>
        <v>54</v>
      </c>
      <c r="Z19" s="17">
        <f t="shared" si="11"/>
        <v>25</v>
      </c>
      <c r="AA19" s="17">
        <f t="shared" si="11"/>
        <v>25</v>
      </c>
      <c r="AB19" s="17">
        <f t="shared" si="11"/>
        <v>21</v>
      </c>
      <c r="AC19" s="17">
        <f t="shared" si="11"/>
        <v>294</v>
      </c>
      <c r="AD19" s="17">
        <f t="shared" si="11"/>
        <v>0</v>
      </c>
      <c r="AE19" s="31">
        <f t="shared" si="11"/>
        <v>529</v>
      </c>
      <c r="AF19" s="31">
        <f t="shared" si="11"/>
        <v>823</v>
      </c>
    </row>
    <row r="20" spans="2:32" ht="23.1" customHeight="1" x14ac:dyDescent="0.25">
      <c r="B20" s="23" t="s">
        <v>47</v>
      </c>
      <c r="C20" s="50">
        <v>62</v>
      </c>
      <c r="D20" s="50">
        <v>10</v>
      </c>
      <c r="E20" s="50">
        <v>13</v>
      </c>
      <c r="F20" s="50">
        <v>22</v>
      </c>
      <c r="G20" s="50">
        <v>1</v>
      </c>
      <c r="H20" s="50">
        <v>1</v>
      </c>
      <c r="I20" s="50">
        <v>17</v>
      </c>
      <c r="J20" s="50">
        <v>10</v>
      </c>
      <c r="K20" s="50">
        <v>1</v>
      </c>
      <c r="L20" s="50">
        <v>5</v>
      </c>
      <c r="M20" s="50">
        <v>155</v>
      </c>
      <c r="N20" s="50">
        <v>0</v>
      </c>
      <c r="O20" s="15">
        <f t="shared" si="0"/>
        <v>142</v>
      </c>
      <c r="P20" s="15">
        <f t="shared" si="1"/>
        <v>297</v>
      </c>
      <c r="R20" s="1" t="s">
        <v>16</v>
      </c>
      <c r="S20" s="17">
        <f t="shared" ref="S20:AF20" si="12">SUM(C50:C53)</f>
        <v>284</v>
      </c>
      <c r="T20" s="17">
        <f t="shared" si="12"/>
        <v>73</v>
      </c>
      <c r="U20" s="17">
        <f t="shared" si="12"/>
        <v>43</v>
      </c>
      <c r="V20" s="17">
        <f t="shared" si="12"/>
        <v>96</v>
      </c>
      <c r="W20" s="17">
        <f t="shared" si="12"/>
        <v>4</v>
      </c>
      <c r="X20" s="17">
        <f t="shared" si="12"/>
        <v>3</v>
      </c>
      <c r="Y20" s="17">
        <f t="shared" si="12"/>
        <v>47</v>
      </c>
      <c r="Z20" s="17">
        <f t="shared" si="12"/>
        <v>31</v>
      </c>
      <c r="AA20" s="17">
        <f t="shared" si="12"/>
        <v>21</v>
      </c>
      <c r="AB20" s="17">
        <f t="shared" si="12"/>
        <v>19</v>
      </c>
      <c r="AC20" s="17">
        <f t="shared" si="12"/>
        <v>426</v>
      </c>
      <c r="AD20" s="17">
        <f t="shared" si="12"/>
        <v>0</v>
      </c>
      <c r="AE20" s="31">
        <f t="shared" si="12"/>
        <v>621</v>
      </c>
      <c r="AF20" s="31">
        <f t="shared" si="12"/>
        <v>1047</v>
      </c>
    </row>
    <row r="21" spans="2:32" ht="23.1" customHeight="1" x14ac:dyDescent="0.25">
      <c r="B21" s="23" t="s">
        <v>48</v>
      </c>
      <c r="C21" s="50">
        <v>50</v>
      </c>
      <c r="D21" s="50">
        <v>8</v>
      </c>
      <c r="E21" s="50">
        <v>9</v>
      </c>
      <c r="F21" s="50">
        <v>25</v>
      </c>
      <c r="G21" s="50">
        <v>2</v>
      </c>
      <c r="H21" s="50">
        <v>0</v>
      </c>
      <c r="I21" s="50">
        <v>17</v>
      </c>
      <c r="J21" s="50">
        <v>2</v>
      </c>
      <c r="K21" s="50">
        <v>5</v>
      </c>
      <c r="L21" s="50">
        <v>3</v>
      </c>
      <c r="M21" s="50">
        <v>165</v>
      </c>
      <c r="N21" s="50">
        <v>0</v>
      </c>
      <c r="O21" s="15">
        <f t="shared" si="0"/>
        <v>121</v>
      </c>
      <c r="P21" s="15">
        <f t="shared" si="1"/>
        <v>286</v>
      </c>
      <c r="R21" s="36" t="s">
        <v>20</v>
      </c>
      <c r="S21" s="34">
        <f t="shared" ref="S21:AF21" si="13">SUM(C54:C57)</f>
        <v>245</v>
      </c>
      <c r="T21" s="17">
        <f t="shared" si="13"/>
        <v>36</v>
      </c>
      <c r="U21" s="17">
        <f t="shared" si="13"/>
        <v>24</v>
      </c>
      <c r="V21" s="17">
        <f t="shared" si="13"/>
        <v>52</v>
      </c>
      <c r="W21" s="17">
        <f t="shared" si="13"/>
        <v>10</v>
      </c>
      <c r="X21" s="17">
        <f t="shared" si="13"/>
        <v>2</v>
      </c>
      <c r="Y21" s="17">
        <f t="shared" si="13"/>
        <v>26</v>
      </c>
      <c r="Z21" s="17">
        <f t="shared" si="13"/>
        <v>34</v>
      </c>
      <c r="AA21" s="17">
        <f t="shared" si="13"/>
        <v>10</v>
      </c>
      <c r="AB21" s="17">
        <f t="shared" si="13"/>
        <v>18</v>
      </c>
      <c r="AC21" s="17">
        <f t="shared" si="13"/>
        <v>406</v>
      </c>
      <c r="AD21" s="17">
        <f t="shared" si="13"/>
        <v>0</v>
      </c>
      <c r="AE21" s="31">
        <f t="shared" si="13"/>
        <v>457</v>
      </c>
      <c r="AF21" s="31">
        <f t="shared" si="13"/>
        <v>863</v>
      </c>
    </row>
    <row r="22" spans="2:32" ht="23.1" customHeight="1" x14ac:dyDescent="0.25">
      <c r="B22" s="23" t="s">
        <v>49</v>
      </c>
      <c r="C22" s="50">
        <v>40</v>
      </c>
      <c r="D22" s="50">
        <v>18</v>
      </c>
      <c r="E22" s="50">
        <v>18</v>
      </c>
      <c r="F22" s="50">
        <v>17</v>
      </c>
      <c r="G22" s="50">
        <v>3</v>
      </c>
      <c r="H22" s="50">
        <v>0</v>
      </c>
      <c r="I22" s="50">
        <v>8</v>
      </c>
      <c r="J22" s="50">
        <v>10</v>
      </c>
      <c r="K22" s="50">
        <v>4</v>
      </c>
      <c r="L22" s="50">
        <v>3</v>
      </c>
      <c r="M22" s="50">
        <v>140</v>
      </c>
      <c r="N22" s="50">
        <v>0</v>
      </c>
      <c r="O22" s="15">
        <f t="shared" si="0"/>
        <v>121</v>
      </c>
      <c r="P22" s="15">
        <f t="shared" si="1"/>
        <v>261</v>
      </c>
      <c r="R22" s="38" t="s">
        <v>90</v>
      </c>
      <c r="S22" s="39">
        <f>MAX(S10:S12)</f>
        <v>217</v>
      </c>
      <c r="T22" s="39">
        <f t="shared" ref="T22:AF22" si="14">MAX(T10:T12)</f>
        <v>83</v>
      </c>
      <c r="U22" s="39">
        <f t="shared" si="14"/>
        <v>47</v>
      </c>
      <c r="V22" s="39">
        <f t="shared" si="14"/>
        <v>85</v>
      </c>
      <c r="W22" s="39">
        <f t="shared" si="14"/>
        <v>9</v>
      </c>
      <c r="X22" s="39">
        <f t="shared" si="14"/>
        <v>2</v>
      </c>
      <c r="Y22" s="39">
        <f t="shared" si="14"/>
        <v>59</v>
      </c>
      <c r="Z22" s="39">
        <f t="shared" si="14"/>
        <v>28</v>
      </c>
      <c r="AA22" s="39">
        <f t="shared" si="14"/>
        <v>15</v>
      </c>
      <c r="AB22" s="39">
        <f t="shared" si="14"/>
        <v>19</v>
      </c>
      <c r="AC22" s="39">
        <f t="shared" si="14"/>
        <v>712</v>
      </c>
      <c r="AD22" s="39">
        <f t="shared" si="14"/>
        <v>0</v>
      </c>
      <c r="AE22" s="40">
        <f t="shared" si="14"/>
        <v>518</v>
      </c>
      <c r="AF22" s="40">
        <f t="shared" si="14"/>
        <v>1227</v>
      </c>
    </row>
    <row r="23" spans="2:32" ht="23.1" customHeight="1" x14ac:dyDescent="0.25">
      <c r="B23" s="23" t="s">
        <v>50</v>
      </c>
      <c r="C23" s="50">
        <v>54</v>
      </c>
      <c r="D23" s="50">
        <v>25</v>
      </c>
      <c r="E23" s="50">
        <v>15</v>
      </c>
      <c r="F23" s="50">
        <v>23</v>
      </c>
      <c r="G23" s="50">
        <v>3</v>
      </c>
      <c r="H23" s="50">
        <v>0</v>
      </c>
      <c r="I23" s="50">
        <v>16</v>
      </c>
      <c r="J23" s="50">
        <v>10</v>
      </c>
      <c r="K23" s="50">
        <v>2</v>
      </c>
      <c r="L23" s="50">
        <v>6</v>
      </c>
      <c r="M23" s="50">
        <v>165</v>
      </c>
      <c r="N23" s="50">
        <v>0</v>
      </c>
      <c r="O23" s="15">
        <f t="shared" si="0"/>
        <v>154</v>
      </c>
      <c r="P23" s="15">
        <f t="shared" si="1"/>
        <v>319</v>
      </c>
      <c r="R23" s="38" t="s">
        <v>91</v>
      </c>
      <c r="S23" s="39">
        <f>MAX(S13:S18)</f>
        <v>248</v>
      </c>
      <c r="T23" s="39">
        <f t="shared" ref="T23:AF23" si="15">MAX(T13:T18)</f>
        <v>78</v>
      </c>
      <c r="U23" s="39">
        <f t="shared" si="15"/>
        <v>60</v>
      </c>
      <c r="V23" s="39">
        <f t="shared" si="15"/>
        <v>80</v>
      </c>
      <c r="W23" s="39">
        <f t="shared" si="15"/>
        <v>11</v>
      </c>
      <c r="X23" s="39">
        <f t="shared" si="15"/>
        <v>3</v>
      </c>
      <c r="Y23" s="39">
        <f t="shared" si="15"/>
        <v>56</v>
      </c>
      <c r="Z23" s="39">
        <f t="shared" si="15"/>
        <v>40</v>
      </c>
      <c r="AA23" s="39">
        <f t="shared" si="15"/>
        <v>35</v>
      </c>
      <c r="AB23" s="39">
        <f t="shared" si="15"/>
        <v>30</v>
      </c>
      <c r="AC23" s="39">
        <f t="shared" si="15"/>
        <v>539</v>
      </c>
      <c r="AD23" s="39">
        <f t="shared" si="15"/>
        <v>0</v>
      </c>
      <c r="AE23" s="40">
        <f t="shared" si="15"/>
        <v>590</v>
      </c>
      <c r="AF23" s="40">
        <f t="shared" si="15"/>
        <v>1061</v>
      </c>
    </row>
    <row r="24" spans="2:32" ht="23.1" customHeight="1" x14ac:dyDescent="0.25">
      <c r="B24" s="23" t="s">
        <v>51</v>
      </c>
      <c r="C24" s="50">
        <v>40</v>
      </c>
      <c r="D24" s="50">
        <v>18</v>
      </c>
      <c r="E24" s="50">
        <v>11</v>
      </c>
      <c r="F24" s="50">
        <v>10</v>
      </c>
      <c r="G24" s="50">
        <v>0</v>
      </c>
      <c r="H24" s="50">
        <v>0</v>
      </c>
      <c r="I24" s="50">
        <v>8</v>
      </c>
      <c r="J24" s="50">
        <v>3</v>
      </c>
      <c r="K24" s="50">
        <v>7</v>
      </c>
      <c r="L24" s="50">
        <v>6</v>
      </c>
      <c r="M24" s="50">
        <v>100</v>
      </c>
      <c r="N24" s="50">
        <v>0</v>
      </c>
      <c r="O24" s="15">
        <f t="shared" si="0"/>
        <v>103</v>
      </c>
      <c r="P24" s="15">
        <f t="shared" si="1"/>
        <v>203</v>
      </c>
      <c r="R24" s="38" t="s">
        <v>92</v>
      </c>
      <c r="S24" s="39">
        <f>MAX(S19:S21)</f>
        <v>284</v>
      </c>
      <c r="T24" s="39">
        <f t="shared" ref="T24:AF24" si="16">MAX(T19:T21)</f>
        <v>73</v>
      </c>
      <c r="U24" s="39">
        <f t="shared" si="16"/>
        <v>45</v>
      </c>
      <c r="V24" s="39">
        <f t="shared" si="16"/>
        <v>96</v>
      </c>
      <c r="W24" s="39">
        <f t="shared" si="16"/>
        <v>10</v>
      </c>
      <c r="X24" s="39">
        <f t="shared" si="16"/>
        <v>3</v>
      </c>
      <c r="Y24" s="39">
        <f t="shared" si="16"/>
        <v>54</v>
      </c>
      <c r="Z24" s="39">
        <f t="shared" si="16"/>
        <v>34</v>
      </c>
      <c r="AA24" s="39">
        <f t="shared" si="16"/>
        <v>25</v>
      </c>
      <c r="AB24" s="39">
        <f t="shared" si="16"/>
        <v>21</v>
      </c>
      <c r="AC24" s="39">
        <f t="shared" si="16"/>
        <v>426</v>
      </c>
      <c r="AD24" s="39">
        <f t="shared" si="16"/>
        <v>0</v>
      </c>
      <c r="AE24" s="40">
        <f t="shared" si="16"/>
        <v>621</v>
      </c>
      <c r="AF24" s="40">
        <f t="shared" si="16"/>
        <v>1047</v>
      </c>
    </row>
    <row r="25" spans="2:32" ht="23.1" customHeight="1" x14ac:dyDescent="0.25">
      <c r="B25" s="23" t="s">
        <v>52</v>
      </c>
      <c r="C25" s="50">
        <v>45</v>
      </c>
      <c r="D25" s="50">
        <v>17</v>
      </c>
      <c r="E25" s="50">
        <v>16</v>
      </c>
      <c r="F25" s="50">
        <v>30</v>
      </c>
      <c r="G25" s="50">
        <v>1</v>
      </c>
      <c r="H25" s="50">
        <v>2</v>
      </c>
      <c r="I25" s="50">
        <v>16</v>
      </c>
      <c r="J25" s="50">
        <v>5</v>
      </c>
      <c r="K25" s="50">
        <v>7</v>
      </c>
      <c r="L25" s="50">
        <v>5</v>
      </c>
      <c r="M25" s="50">
        <v>134</v>
      </c>
      <c r="N25" s="50">
        <v>0</v>
      </c>
      <c r="O25" s="15">
        <f t="shared" si="0"/>
        <v>144</v>
      </c>
      <c r="P25" s="15">
        <f t="shared" si="1"/>
        <v>278</v>
      </c>
      <c r="R25" s="37" t="s">
        <v>85</v>
      </c>
      <c r="S25" s="35">
        <f t="shared" ref="S25:AF25" si="17">SUM(S10:S12)</f>
        <v>623</v>
      </c>
      <c r="T25" s="16">
        <f t="shared" si="17"/>
        <v>208</v>
      </c>
      <c r="U25" s="16">
        <f t="shared" si="17"/>
        <v>131</v>
      </c>
      <c r="V25" s="16">
        <f t="shared" si="17"/>
        <v>220</v>
      </c>
      <c r="W25" s="16">
        <f t="shared" si="17"/>
        <v>20</v>
      </c>
      <c r="X25" s="16">
        <f t="shared" si="17"/>
        <v>5</v>
      </c>
      <c r="Y25" s="16">
        <f t="shared" si="17"/>
        <v>131</v>
      </c>
      <c r="Z25" s="16">
        <f t="shared" si="17"/>
        <v>70</v>
      </c>
      <c r="AA25" s="16">
        <f t="shared" si="17"/>
        <v>39</v>
      </c>
      <c r="AB25" s="16">
        <f t="shared" si="17"/>
        <v>46</v>
      </c>
      <c r="AC25" s="16">
        <f t="shared" si="17"/>
        <v>1915</v>
      </c>
      <c r="AD25" s="16">
        <f t="shared" si="17"/>
        <v>0</v>
      </c>
      <c r="AE25" s="32">
        <f t="shared" si="17"/>
        <v>1493</v>
      </c>
      <c r="AF25" s="32">
        <f t="shared" si="17"/>
        <v>3408</v>
      </c>
    </row>
    <row r="26" spans="2:32" ht="23.1" customHeight="1" x14ac:dyDescent="0.25">
      <c r="B26" s="23" t="s">
        <v>53</v>
      </c>
      <c r="C26" s="50">
        <v>63</v>
      </c>
      <c r="D26" s="50">
        <v>18</v>
      </c>
      <c r="E26" s="50">
        <v>16</v>
      </c>
      <c r="F26" s="50">
        <v>22</v>
      </c>
      <c r="G26" s="50">
        <v>4</v>
      </c>
      <c r="H26" s="50">
        <v>1</v>
      </c>
      <c r="I26" s="50">
        <v>14</v>
      </c>
      <c r="J26" s="50">
        <v>8</v>
      </c>
      <c r="K26" s="50">
        <v>12</v>
      </c>
      <c r="L26" s="50">
        <v>5</v>
      </c>
      <c r="M26" s="50">
        <v>121</v>
      </c>
      <c r="N26" s="50">
        <v>0</v>
      </c>
      <c r="O26" s="15">
        <f t="shared" si="0"/>
        <v>163</v>
      </c>
      <c r="P26" s="15">
        <f t="shared" si="1"/>
        <v>284</v>
      </c>
      <c r="R26" s="28" t="s">
        <v>86</v>
      </c>
      <c r="S26" s="16">
        <f t="shared" ref="S26:AF26" si="18">SUM(S13:S18)</f>
        <v>1176</v>
      </c>
      <c r="T26" s="16">
        <f t="shared" si="18"/>
        <v>325</v>
      </c>
      <c r="U26" s="16">
        <f t="shared" si="18"/>
        <v>273</v>
      </c>
      <c r="V26" s="16">
        <f t="shared" si="18"/>
        <v>396</v>
      </c>
      <c r="W26" s="16">
        <f t="shared" si="18"/>
        <v>37</v>
      </c>
      <c r="X26" s="16">
        <f t="shared" si="18"/>
        <v>9</v>
      </c>
      <c r="Y26" s="16">
        <f t="shared" si="18"/>
        <v>255</v>
      </c>
      <c r="Z26" s="16">
        <f t="shared" si="18"/>
        <v>205</v>
      </c>
      <c r="AA26" s="16">
        <f t="shared" si="18"/>
        <v>167</v>
      </c>
      <c r="AB26" s="16">
        <f t="shared" si="18"/>
        <v>133</v>
      </c>
      <c r="AC26" s="16">
        <f t="shared" si="18"/>
        <v>2383</v>
      </c>
      <c r="AD26" s="16">
        <f t="shared" si="18"/>
        <v>0</v>
      </c>
      <c r="AE26" s="32">
        <f t="shared" si="18"/>
        <v>2976</v>
      </c>
      <c r="AF26" s="32">
        <f t="shared" si="18"/>
        <v>5359</v>
      </c>
    </row>
    <row r="27" spans="2:32" ht="23.1" customHeight="1" x14ac:dyDescent="0.25">
      <c r="B27" s="23" t="s">
        <v>54</v>
      </c>
      <c r="C27" s="50">
        <v>69</v>
      </c>
      <c r="D27" s="50">
        <v>14</v>
      </c>
      <c r="E27" s="50">
        <v>15</v>
      </c>
      <c r="F27" s="50">
        <v>14</v>
      </c>
      <c r="G27" s="50">
        <v>1</v>
      </c>
      <c r="H27" s="50">
        <v>0</v>
      </c>
      <c r="I27" s="50">
        <v>7</v>
      </c>
      <c r="J27" s="50">
        <v>8</v>
      </c>
      <c r="K27" s="50">
        <v>6</v>
      </c>
      <c r="L27" s="50">
        <v>8</v>
      </c>
      <c r="M27" s="50">
        <v>100</v>
      </c>
      <c r="N27" s="50">
        <v>0</v>
      </c>
      <c r="O27" s="15">
        <f t="shared" si="0"/>
        <v>142</v>
      </c>
      <c r="P27" s="15">
        <f t="shared" si="1"/>
        <v>242</v>
      </c>
      <c r="R27" s="29" t="s">
        <v>87</v>
      </c>
      <c r="S27" s="16">
        <f t="shared" ref="S27:AF27" si="19">SUM(S19:S21)</f>
        <v>761</v>
      </c>
      <c r="T27" s="16">
        <f t="shared" si="19"/>
        <v>169</v>
      </c>
      <c r="U27" s="16">
        <f t="shared" si="19"/>
        <v>112</v>
      </c>
      <c r="V27" s="16">
        <f t="shared" si="19"/>
        <v>210</v>
      </c>
      <c r="W27" s="16">
        <f t="shared" si="19"/>
        <v>19</v>
      </c>
      <c r="X27" s="16">
        <f t="shared" si="19"/>
        <v>5</v>
      </c>
      <c r="Y27" s="16">
        <f t="shared" si="19"/>
        <v>127</v>
      </c>
      <c r="Z27" s="16">
        <f t="shared" si="19"/>
        <v>90</v>
      </c>
      <c r="AA27" s="16">
        <f t="shared" si="19"/>
        <v>56</v>
      </c>
      <c r="AB27" s="16">
        <f t="shared" si="19"/>
        <v>58</v>
      </c>
      <c r="AC27" s="16">
        <f t="shared" si="19"/>
        <v>1126</v>
      </c>
      <c r="AD27" s="16">
        <f t="shared" si="19"/>
        <v>0</v>
      </c>
      <c r="AE27" s="32">
        <f t="shared" si="19"/>
        <v>1607</v>
      </c>
      <c r="AF27" s="32">
        <f t="shared" si="19"/>
        <v>2733</v>
      </c>
    </row>
    <row r="28" spans="2:32" ht="23.1" customHeight="1" x14ac:dyDescent="0.25">
      <c r="B28" s="23" t="s">
        <v>55</v>
      </c>
      <c r="C28" s="50">
        <v>56</v>
      </c>
      <c r="D28" s="50">
        <v>13</v>
      </c>
      <c r="E28" s="50">
        <v>8</v>
      </c>
      <c r="F28" s="50">
        <v>18</v>
      </c>
      <c r="G28" s="50">
        <v>5</v>
      </c>
      <c r="H28" s="50">
        <v>0</v>
      </c>
      <c r="I28" s="50">
        <v>13</v>
      </c>
      <c r="J28" s="50">
        <v>9</v>
      </c>
      <c r="K28" s="50">
        <v>6</v>
      </c>
      <c r="L28" s="50">
        <v>5</v>
      </c>
      <c r="M28" s="50">
        <v>63</v>
      </c>
      <c r="N28" s="50">
        <v>0</v>
      </c>
      <c r="O28" s="15">
        <f t="shared" si="0"/>
        <v>133</v>
      </c>
      <c r="P28" s="15">
        <f t="shared" si="1"/>
        <v>196</v>
      </c>
      <c r="R28" s="5" t="s">
        <v>17</v>
      </c>
      <c r="S28" s="16">
        <f t="shared" ref="S28:AF28" si="20">SUM(S10:S21)</f>
        <v>2560</v>
      </c>
      <c r="T28" s="16">
        <f t="shared" si="20"/>
        <v>702</v>
      </c>
      <c r="U28" s="16">
        <f t="shared" si="20"/>
        <v>516</v>
      </c>
      <c r="V28" s="16">
        <f t="shared" si="20"/>
        <v>826</v>
      </c>
      <c r="W28" s="16">
        <f t="shared" si="20"/>
        <v>76</v>
      </c>
      <c r="X28" s="16">
        <f t="shared" si="20"/>
        <v>19</v>
      </c>
      <c r="Y28" s="16">
        <f t="shared" si="20"/>
        <v>513</v>
      </c>
      <c r="Z28" s="16">
        <f t="shared" si="20"/>
        <v>365</v>
      </c>
      <c r="AA28" s="16">
        <f t="shared" si="20"/>
        <v>262</v>
      </c>
      <c r="AB28" s="16">
        <f t="shared" si="20"/>
        <v>237</v>
      </c>
      <c r="AC28" s="16">
        <f t="shared" si="20"/>
        <v>5424</v>
      </c>
      <c r="AD28" s="16">
        <f t="shared" si="20"/>
        <v>0</v>
      </c>
      <c r="AE28" s="32">
        <f t="shared" si="20"/>
        <v>6076</v>
      </c>
      <c r="AF28" s="32">
        <f t="shared" si="20"/>
        <v>11500</v>
      </c>
    </row>
    <row r="29" spans="2:32" ht="23.1" customHeight="1" x14ac:dyDescent="0.25">
      <c r="B29" s="23" t="s">
        <v>56</v>
      </c>
      <c r="C29" s="50">
        <v>60</v>
      </c>
      <c r="D29" s="50">
        <v>21</v>
      </c>
      <c r="E29" s="50">
        <v>15</v>
      </c>
      <c r="F29" s="50">
        <v>16</v>
      </c>
      <c r="G29" s="50">
        <v>1</v>
      </c>
      <c r="H29" s="50">
        <v>0</v>
      </c>
      <c r="I29" s="50">
        <v>11</v>
      </c>
      <c r="J29" s="50">
        <v>11</v>
      </c>
      <c r="K29" s="50">
        <v>11</v>
      </c>
      <c r="L29" s="50">
        <v>6</v>
      </c>
      <c r="M29" s="50">
        <v>114</v>
      </c>
      <c r="N29" s="50">
        <v>0</v>
      </c>
      <c r="O29" s="15">
        <f t="shared" si="0"/>
        <v>152</v>
      </c>
      <c r="P29" s="15">
        <f t="shared" si="1"/>
        <v>266</v>
      </c>
      <c r="R29"/>
      <c r="S29" s="20"/>
      <c r="T29" s="19"/>
    </row>
    <row r="30" spans="2:32" ht="23.1" customHeight="1" x14ac:dyDescent="0.25">
      <c r="B30" s="23" t="s">
        <v>57</v>
      </c>
      <c r="C30" s="50">
        <v>50</v>
      </c>
      <c r="D30" s="50">
        <v>11</v>
      </c>
      <c r="E30" s="50">
        <v>10</v>
      </c>
      <c r="F30" s="50">
        <v>16</v>
      </c>
      <c r="G30" s="50">
        <v>1</v>
      </c>
      <c r="H30" s="50">
        <v>0</v>
      </c>
      <c r="I30" s="50">
        <v>7</v>
      </c>
      <c r="J30" s="50">
        <v>9</v>
      </c>
      <c r="K30" s="50">
        <v>5</v>
      </c>
      <c r="L30" s="50">
        <v>3</v>
      </c>
      <c r="M30" s="50">
        <v>96</v>
      </c>
      <c r="N30" s="50">
        <v>0</v>
      </c>
      <c r="O30" s="15">
        <f t="shared" si="0"/>
        <v>112</v>
      </c>
      <c r="P30" s="15">
        <f t="shared" si="1"/>
        <v>208</v>
      </c>
    </row>
    <row r="31" spans="2:32" ht="23.1" customHeight="1" x14ac:dyDescent="0.25">
      <c r="B31" s="24" t="s">
        <v>58</v>
      </c>
      <c r="C31" s="50">
        <v>66</v>
      </c>
      <c r="D31" s="50">
        <v>15</v>
      </c>
      <c r="E31" s="50">
        <v>8</v>
      </c>
      <c r="F31" s="50">
        <v>30</v>
      </c>
      <c r="G31" s="50">
        <v>2</v>
      </c>
      <c r="H31" s="50">
        <v>0</v>
      </c>
      <c r="I31" s="50">
        <v>12</v>
      </c>
      <c r="J31" s="50">
        <v>9</v>
      </c>
      <c r="K31" s="50">
        <v>5</v>
      </c>
      <c r="L31" s="50">
        <v>4</v>
      </c>
      <c r="M31" s="50">
        <v>109</v>
      </c>
      <c r="N31" s="50">
        <v>0</v>
      </c>
      <c r="O31" s="15">
        <f t="shared" si="0"/>
        <v>151</v>
      </c>
      <c r="P31" s="15">
        <f t="shared" si="1"/>
        <v>260</v>
      </c>
    </row>
    <row r="32" spans="2:32" ht="23.1" customHeight="1" x14ac:dyDescent="0.25">
      <c r="B32" s="24" t="s">
        <v>59</v>
      </c>
      <c r="C32" s="50">
        <v>37</v>
      </c>
      <c r="D32" s="50">
        <v>8</v>
      </c>
      <c r="E32" s="50">
        <v>5</v>
      </c>
      <c r="F32" s="50">
        <v>11</v>
      </c>
      <c r="G32" s="50">
        <v>2</v>
      </c>
      <c r="H32" s="50">
        <v>1</v>
      </c>
      <c r="I32" s="50">
        <v>2</v>
      </c>
      <c r="J32" s="50">
        <v>9</v>
      </c>
      <c r="K32" s="50">
        <v>5</v>
      </c>
      <c r="L32" s="50">
        <v>9</v>
      </c>
      <c r="M32" s="50">
        <v>105</v>
      </c>
      <c r="N32" s="50">
        <v>0</v>
      </c>
      <c r="O32" s="15">
        <f t="shared" si="0"/>
        <v>89</v>
      </c>
      <c r="P32" s="15">
        <f t="shared" si="1"/>
        <v>194</v>
      </c>
    </row>
    <row r="33" spans="2:20" ht="23.1" customHeight="1" x14ac:dyDescent="0.25">
      <c r="B33" s="23" t="s">
        <v>60</v>
      </c>
      <c r="C33" s="50">
        <v>36</v>
      </c>
      <c r="D33" s="50">
        <v>4</v>
      </c>
      <c r="E33" s="50">
        <v>10</v>
      </c>
      <c r="F33" s="50">
        <v>13</v>
      </c>
      <c r="G33" s="50">
        <v>1</v>
      </c>
      <c r="H33" s="50">
        <v>0</v>
      </c>
      <c r="I33" s="50">
        <v>8</v>
      </c>
      <c r="J33" s="50">
        <v>11</v>
      </c>
      <c r="K33" s="50">
        <v>8</v>
      </c>
      <c r="L33" s="50">
        <v>3</v>
      </c>
      <c r="M33" s="50">
        <v>100</v>
      </c>
      <c r="N33" s="50">
        <v>0</v>
      </c>
      <c r="O33" s="15">
        <f t="shared" si="0"/>
        <v>94</v>
      </c>
      <c r="P33" s="15">
        <f t="shared" si="1"/>
        <v>194</v>
      </c>
    </row>
    <row r="34" spans="2:20" ht="23.1" customHeight="1" x14ac:dyDescent="0.25">
      <c r="B34" s="24" t="s">
        <v>61</v>
      </c>
      <c r="C34" s="50">
        <v>65</v>
      </c>
      <c r="D34" s="50">
        <v>14</v>
      </c>
      <c r="E34" s="50">
        <v>13</v>
      </c>
      <c r="F34" s="50">
        <v>27</v>
      </c>
      <c r="G34" s="50">
        <v>3</v>
      </c>
      <c r="H34" s="50">
        <v>0</v>
      </c>
      <c r="I34" s="50">
        <v>12</v>
      </c>
      <c r="J34" s="50">
        <v>5</v>
      </c>
      <c r="K34" s="50">
        <v>3</v>
      </c>
      <c r="L34" s="50">
        <v>6</v>
      </c>
      <c r="M34" s="50">
        <v>120</v>
      </c>
      <c r="N34" s="50">
        <v>0</v>
      </c>
      <c r="O34" s="15">
        <f t="shared" si="0"/>
        <v>148</v>
      </c>
      <c r="P34" s="15">
        <f t="shared" si="1"/>
        <v>268</v>
      </c>
    </row>
    <row r="35" spans="2:20" ht="23.1" customHeight="1" x14ac:dyDescent="0.25">
      <c r="B35" s="24" t="s">
        <v>62</v>
      </c>
      <c r="C35" s="50">
        <v>70</v>
      </c>
      <c r="D35" s="50">
        <v>18</v>
      </c>
      <c r="E35" s="50">
        <v>21</v>
      </c>
      <c r="F35" s="50">
        <v>24</v>
      </c>
      <c r="G35" s="50">
        <v>2</v>
      </c>
      <c r="H35" s="50">
        <v>0</v>
      </c>
      <c r="I35" s="50">
        <v>13</v>
      </c>
      <c r="J35" s="50">
        <v>26</v>
      </c>
      <c r="K35" s="50">
        <v>8</v>
      </c>
      <c r="L35" s="50">
        <v>4</v>
      </c>
      <c r="M35" s="50">
        <v>130</v>
      </c>
      <c r="N35" s="50">
        <v>0</v>
      </c>
      <c r="O35" s="15">
        <f t="shared" si="0"/>
        <v>186</v>
      </c>
      <c r="P35" s="15">
        <f t="shared" si="1"/>
        <v>316</v>
      </c>
    </row>
    <row r="36" spans="2:20" ht="23.1" customHeight="1" x14ac:dyDescent="0.25">
      <c r="B36" s="24" t="s">
        <v>63</v>
      </c>
      <c r="C36" s="50">
        <v>24</v>
      </c>
      <c r="D36" s="50">
        <v>4</v>
      </c>
      <c r="E36" s="50">
        <v>6</v>
      </c>
      <c r="F36" s="50">
        <v>14</v>
      </c>
      <c r="G36" s="50">
        <v>1</v>
      </c>
      <c r="H36" s="50">
        <v>0</v>
      </c>
      <c r="I36" s="50">
        <v>4</v>
      </c>
      <c r="J36" s="50">
        <v>5</v>
      </c>
      <c r="K36" s="50">
        <v>7</v>
      </c>
      <c r="L36" s="50">
        <v>3</v>
      </c>
      <c r="M36" s="50">
        <v>53</v>
      </c>
      <c r="N36" s="50">
        <v>0</v>
      </c>
      <c r="O36" s="15">
        <f t="shared" si="0"/>
        <v>68</v>
      </c>
      <c r="P36" s="15">
        <f t="shared" si="1"/>
        <v>121</v>
      </c>
    </row>
    <row r="37" spans="2:20" ht="23.1" customHeight="1" x14ac:dyDescent="0.25">
      <c r="B37" s="23" t="s">
        <v>64</v>
      </c>
      <c r="C37" s="50">
        <v>65</v>
      </c>
      <c r="D37" s="50">
        <v>6</v>
      </c>
      <c r="E37" s="50">
        <v>2</v>
      </c>
      <c r="F37" s="50">
        <v>4</v>
      </c>
      <c r="G37" s="50">
        <v>0</v>
      </c>
      <c r="H37" s="50">
        <v>0</v>
      </c>
      <c r="I37" s="50">
        <v>13</v>
      </c>
      <c r="J37" s="50">
        <v>4</v>
      </c>
      <c r="K37" s="50">
        <v>2</v>
      </c>
      <c r="L37" s="50">
        <v>6</v>
      </c>
      <c r="M37" s="50">
        <v>95</v>
      </c>
      <c r="N37" s="50">
        <v>0</v>
      </c>
      <c r="O37" s="15">
        <f t="shared" si="0"/>
        <v>102</v>
      </c>
      <c r="P37" s="15">
        <f t="shared" si="1"/>
        <v>197</v>
      </c>
    </row>
    <row r="38" spans="2:20" ht="23.1" customHeight="1" x14ac:dyDescent="0.25">
      <c r="B38" s="24" t="s">
        <v>65</v>
      </c>
      <c r="C38" s="50">
        <v>30</v>
      </c>
      <c r="D38" s="50">
        <v>4</v>
      </c>
      <c r="E38" s="50">
        <v>9</v>
      </c>
      <c r="F38" s="50">
        <v>14</v>
      </c>
      <c r="G38" s="50">
        <v>0</v>
      </c>
      <c r="H38" s="50">
        <v>0</v>
      </c>
      <c r="I38" s="50">
        <v>6</v>
      </c>
      <c r="J38" s="50">
        <v>4</v>
      </c>
      <c r="K38" s="50">
        <v>4</v>
      </c>
      <c r="L38" s="50">
        <v>1</v>
      </c>
      <c r="M38" s="50">
        <v>38</v>
      </c>
      <c r="N38" s="50">
        <v>0</v>
      </c>
      <c r="O38" s="15">
        <f t="shared" si="0"/>
        <v>72</v>
      </c>
      <c r="P38" s="15">
        <f t="shared" si="1"/>
        <v>110</v>
      </c>
    </row>
    <row r="39" spans="2:20" ht="23.1" customHeight="1" x14ac:dyDescent="0.25">
      <c r="B39" s="24" t="s">
        <v>66</v>
      </c>
      <c r="C39" s="50">
        <v>39</v>
      </c>
      <c r="D39" s="50">
        <v>13</v>
      </c>
      <c r="E39" s="50">
        <v>12</v>
      </c>
      <c r="F39" s="50">
        <v>14</v>
      </c>
      <c r="G39" s="50">
        <v>1</v>
      </c>
      <c r="H39" s="50">
        <v>0</v>
      </c>
      <c r="I39" s="50">
        <v>7</v>
      </c>
      <c r="J39" s="50">
        <v>8</v>
      </c>
      <c r="K39" s="50">
        <v>9</v>
      </c>
      <c r="L39" s="50">
        <v>4</v>
      </c>
      <c r="M39" s="50">
        <v>57</v>
      </c>
      <c r="N39" s="50">
        <v>0</v>
      </c>
      <c r="O39" s="15">
        <f t="shared" si="0"/>
        <v>107</v>
      </c>
      <c r="P39" s="15">
        <f t="shared" si="1"/>
        <v>164</v>
      </c>
    </row>
    <row r="40" spans="2:20" ht="23.1" customHeight="1" x14ac:dyDescent="0.25">
      <c r="B40" s="24" t="s">
        <v>67</v>
      </c>
      <c r="C40" s="50">
        <v>40</v>
      </c>
      <c r="D40" s="50">
        <v>14</v>
      </c>
      <c r="E40" s="50">
        <v>22</v>
      </c>
      <c r="F40" s="50">
        <v>13</v>
      </c>
      <c r="G40" s="50">
        <v>2</v>
      </c>
      <c r="H40" s="50">
        <v>0</v>
      </c>
      <c r="I40" s="50">
        <v>14</v>
      </c>
      <c r="J40" s="50">
        <v>9</v>
      </c>
      <c r="K40" s="50">
        <v>15</v>
      </c>
      <c r="L40" s="50">
        <v>7</v>
      </c>
      <c r="M40" s="50">
        <v>82</v>
      </c>
      <c r="N40" s="50">
        <v>0</v>
      </c>
      <c r="O40" s="15">
        <f t="shared" si="0"/>
        <v>136</v>
      </c>
      <c r="P40" s="15">
        <f t="shared" si="1"/>
        <v>218</v>
      </c>
    </row>
    <row r="41" spans="2:20" ht="23.1" customHeight="1" x14ac:dyDescent="0.25">
      <c r="B41" s="23" t="s">
        <v>68</v>
      </c>
      <c r="C41" s="50">
        <v>30</v>
      </c>
      <c r="D41" s="50">
        <v>10</v>
      </c>
      <c r="E41" s="50">
        <v>7</v>
      </c>
      <c r="F41" s="50">
        <v>14</v>
      </c>
      <c r="G41" s="50">
        <v>1</v>
      </c>
      <c r="H41" s="50">
        <v>2</v>
      </c>
      <c r="I41" s="50">
        <v>8</v>
      </c>
      <c r="J41" s="50">
        <v>2</v>
      </c>
      <c r="K41" s="50">
        <v>6</v>
      </c>
      <c r="L41" s="50">
        <v>9</v>
      </c>
      <c r="M41" s="50">
        <v>84</v>
      </c>
      <c r="N41" s="50">
        <v>0</v>
      </c>
      <c r="O41" s="15">
        <f t="shared" si="0"/>
        <v>89</v>
      </c>
      <c r="P41" s="15">
        <f t="shared" si="1"/>
        <v>173</v>
      </c>
    </row>
    <row r="42" spans="2:20" ht="23.1" customHeight="1" x14ac:dyDescent="0.25">
      <c r="B42" s="24" t="s">
        <v>69</v>
      </c>
      <c r="C42" s="50">
        <v>60</v>
      </c>
      <c r="D42" s="50">
        <v>10</v>
      </c>
      <c r="E42" s="50">
        <v>9</v>
      </c>
      <c r="F42" s="50">
        <v>17</v>
      </c>
      <c r="G42" s="50">
        <v>0</v>
      </c>
      <c r="H42" s="50">
        <v>1</v>
      </c>
      <c r="I42" s="50">
        <v>12</v>
      </c>
      <c r="J42" s="50">
        <v>19</v>
      </c>
      <c r="K42" s="50">
        <v>7</v>
      </c>
      <c r="L42" s="50">
        <v>9</v>
      </c>
      <c r="M42" s="50">
        <v>84</v>
      </c>
      <c r="N42" s="50">
        <v>0</v>
      </c>
      <c r="O42" s="15">
        <f t="shared" si="0"/>
        <v>144</v>
      </c>
      <c r="P42" s="15">
        <f t="shared" si="1"/>
        <v>228</v>
      </c>
    </row>
    <row r="43" spans="2:20" ht="23.1" customHeight="1" x14ac:dyDescent="0.25">
      <c r="B43" s="23" t="s">
        <v>70</v>
      </c>
      <c r="C43" s="50">
        <v>39</v>
      </c>
      <c r="D43" s="50">
        <v>16</v>
      </c>
      <c r="E43" s="50">
        <v>8</v>
      </c>
      <c r="F43" s="50">
        <v>12</v>
      </c>
      <c r="G43" s="50">
        <v>0</v>
      </c>
      <c r="H43" s="50">
        <v>0</v>
      </c>
      <c r="I43" s="50">
        <v>10</v>
      </c>
      <c r="J43" s="50">
        <v>4</v>
      </c>
      <c r="K43" s="50">
        <v>8</v>
      </c>
      <c r="L43" s="50">
        <v>12</v>
      </c>
      <c r="M43" s="50">
        <v>80</v>
      </c>
      <c r="N43" s="50">
        <v>0</v>
      </c>
      <c r="O43" s="15">
        <f t="shared" si="0"/>
        <v>109</v>
      </c>
      <c r="P43" s="15">
        <f t="shared" si="1"/>
        <v>189</v>
      </c>
    </row>
    <row r="44" spans="2:20" ht="23.1" customHeight="1" x14ac:dyDescent="0.25">
      <c r="B44" s="25" t="s">
        <v>71</v>
      </c>
      <c r="C44" s="50">
        <v>46</v>
      </c>
      <c r="D44" s="50">
        <v>22</v>
      </c>
      <c r="E44" s="50">
        <v>11</v>
      </c>
      <c r="F44" s="50">
        <v>14</v>
      </c>
      <c r="G44" s="50">
        <v>3</v>
      </c>
      <c r="H44" s="50">
        <v>1</v>
      </c>
      <c r="I44" s="50">
        <v>18</v>
      </c>
      <c r="J44" s="50">
        <v>6</v>
      </c>
      <c r="K44" s="50">
        <v>6</v>
      </c>
      <c r="L44" s="50">
        <v>1</v>
      </c>
      <c r="M44" s="50">
        <v>140</v>
      </c>
      <c r="N44" s="50">
        <v>0</v>
      </c>
      <c r="O44" s="15">
        <f t="shared" si="0"/>
        <v>128</v>
      </c>
      <c r="P44" s="15">
        <f t="shared" si="1"/>
        <v>268</v>
      </c>
    </row>
    <row r="45" spans="2:20" ht="23.1" customHeight="1" x14ac:dyDescent="0.25">
      <c r="B45" s="23" t="s">
        <v>72</v>
      </c>
      <c r="C45" s="50">
        <v>52</v>
      </c>
      <c r="D45" s="50">
        <v>12</v>
      </c>
      <c r="E45" s="50">
        <v>6</v>
      </c>
      <c r="F45" s="50">
        <v>9</v>
      </c>
      <c r="G45" s="50">
        <v>0</v>
      </c>
      <c r="H45" s="50">
        <v>1</v>
      </c>
      <c r="I45" s="50">
        <v>16</v>
      </c>
      <c r="J45" s="50">
        <v>11</v>
      </c>
      <c r="K45" s="50">
        <v>14</v>
      </c>
      <c r="L45" s="50">
        <v>8</v>
      </c>
      <c r="M45" s="50">
        <v>73</v>
      </c>
      <c r="N45" s="50">
        <v>0</v>
      </c>
      <c r="O45" s="15">
        <f t="shared" si="0"/>
        <v>129</v>
      </c>
      <c r="P45" s="15">
        <f t="shared" si="1"/>
        <v>202</v>
      </c>
    </row>
    <row r="46" spans="2:20" ht="23.1" customHeight="1" x14ac:dyDescent="0.25">
      <c r="B46" s="24" t="s">
        <v>73</v>
      </c>
      <c r="C46" s="50">
        <v>45</v>
      </c>
      <c r="D46" s="50">
        <v>17</v>
      </c>
      <c r="E46" s="50">
        <v>8</v>
      </c>
      <c r="F46" s="50">
        <v>19</v>
      </c>
      <c r="G46" s="50">
        <v>2</v>
      </c>
      <c r="H46" s="50">
        <v>0</v>
      </c>
      <c r="I46" s="50">
        <v>12</v>
      </c>
      <c r="J46" s="50">
        <v>8</v>
      </c>
      <c r="K46" s="50">
        <v>7</v>
      </c>
      <c r="L46" s="50">
        <v>7</v>
      </c>
      <c r="M46" s="50">
        <v>69</v>
      </c>
      <c r="N46" s="50">
        <v>0</v>
      </c>
      <c r="O46" s="15">
        <f t="shared" si="0"/>
        <v>125</v>
      </c>
      <c r="P46" s="15">
        <f t="shared" si="1"/>
        <v>194</v>
      </c>
      <c r="R46" s="8"/>
      <c r="T46"/>
    </row>
    <row r="47" spans="2:20" ht="23.1" customHeight="1" x14ac:dyDescent="0.25">
      <c r="B47" s="24" t="s">
        <v>74</v>
      </c>
      <c r="C47" s="50">
        <v>70</v>
      </c>
      <c r="D47" s="50">
        <v>17</v>
      </c>
      <c r="E47" s="50">
        <v>15</v>
      </c>
      <c r="F47" s="50">
        <v>24</v>
      </c>
      <c r="G47" s="50">
        <v>1</v>
      </c>
      <c r="H47" s="50">
        <v>0</v>
      </c>
      <c r="I47" s="50">
        <v>15</v>
      </c>
      <c r="J47" s="50">
        <v>9</v>
      </c>
      <c r="K47" s="50">
        <v>7</v>
      </c>
      <c r="L47" s="50">
        <v>10</v>
      </c>
      <c r="M47" s="50">
        <v>81</v>
      </c>
      <c r="N47" s="50">
        <v>0</v>
      </c>
      <c r="O47" s="15">
        <f t="shared" si="0"/>
        <v>168</v>
      </c>
      <c r="P47" s="15">
        <f t="shared" si="1"/>
        <v>249</v>
      </c>
      <c r="R47" s="8"/>
      <c r="T47"/>
    </row>
    <row r="48" spans="2:20" ht="23.1" customHeight="1" x14ac:dyDescent="0.25">
      <c r="B48" s="24" t="s">
        <v>75</v>
      </c>
      <c r="C48" s="50">
        <v>54</v>
      </c>
      <c r="D48" s="50">
        <v>19</v>
      </c>
      <c r="E48" s="50">
        <v>13</v>
      </c>
      <c r="F48" s="50">
        <v>13</v>
      </c>
      <c r="G48" s="50">
        <v>1</v>
      </c>
      <c r="H48" s="50">
        <v>0</v>
      </c>
      <c r="I48" s="50">
        <v>15</v>
      </c>
      <c r="J48" s="50">
        <v>6</v>
      </c>
      <c r="K48" s="50">
        <v>8</v>
      </c>
      <c r="L48" s="50">
        <v>1</v>
      </c>
      <c r="M48" s="50">
        <v>79</v>
      </c>
      <c r="N48" s="50">
        <v>0</v>
      </c>
      <c r="O48" s="15">
        <f t="shared" si="0"/>
        <v>130</v>
      </c>
      <c r="P48" s="15">
        <f t="shared" si="1"/>
        <v>209</v>
      </c>
      <c r="R48" s="8"/>
      <c r="T48"/>
    </row>
    <row r="49" spans="2:20" ht="23.1" customHeight="1" x14ac:dyDescent="0.25">
      <c r="B49" s="23" t="s">
        <v>76</v>
      </c>
      <c r="C49" s="50">
        <v>63</v>
      </c>
      <c r="D49" s="50">
        <v>7</v>
      </c>
      <c r="E49" s="50">
        <v>9</v>
      </c>
      <c r="F49" s="50">
        <v>6</v>
      </c>
      <c r="G49" s="50">
        <v>1</v>
      </c>
      <c r="H49" s="50">
        <v>0</v>
      </c>
      <c r="I49" s="50">
        <v>12</v>
      </c>
      <c r="J49" s="50">
        <v>2</v>
      </c>
      <c r="K49" s="50">
        <v>3</v>
      </c>
      <c r="L49" s="50">
        <v>3</v>
      </c>
      <c r="M49" s="50">
        <v>65</v>
      </c>
      <c r="N49" s="50">
        <v>0</v>
      </c>
      <c r="O49" s="15">
        <f t="shared" si="0"/>
        <v>106</v>
      </c>
      <c r="P49" s="15">
        <f t="shared" si="1"/>
        <v>171</v>
      </c>
      <c r="R49" s="8"/>
      <c r="T49"/>
    </row>
    <row r="50" spans="2:20" ht="23.1" customHeight="1" x14ac:dyDescent="0.25">
      <c r="B50" s="24" t="s">
        <v>77</v>
      </c>
      <c r="C50" s="50">
        <v>80</v>
      </c>
      <c r="D50" s="50">
        <v>20</v>
      </c>
      <c r="E50" s="50">
        <v>11</v>
      </c>
      <c r="F50" s="50">
        <v>24</v>
      </c>
      <c r="G50" s="50">
        <v>0</v>
      </c>
      <c r="H50" s="50">
        <v>0</v>
      </c>
      <c r="I50" s="50">
        <v>22</v>
      </c>
      <c r="J50" s="50">
        <v>9</v>
      </c>
      <c r="K50" s="50">
        <v>7</v>
      </c>
      <c r="L50" s="50">
        <v>6</v>
      </c>
      <c r="M50" s="50">
        <v>130</v>
      </c>
      <c r="N50" s="50">
        <v>0</v>
      </c>
      <c r="O50" s="15">
        <f t="shared" si="0"/>
        <v>179</v>
      </c>
      <c r="P50" s="15">
        <f t="shared" si="1"/>
        <v>309</v>
      </c>
      <c r="R50" s="8"/>
      <c r="T50"/>
    </row>
    <row r="51" spans="2:20" ht="23.1" customHeight="1" x14ac:dyDescent="0.25">
      <c r="B51" s="24" t="s">
        <v>78</v>
      </c>
      <c r="C51" s="50">
        <v>74</v>
      </c>
      <c r="D51" s="50">
        <v>25</v>
      </c>
      <c r="E51" s="50">
        <v>7</v>
      </c>
      <c r="F51" s="50">
        <v>28</v>
      </c>
      <c r="G51" s="50">
        <v>2</v>
      </c>
      <c r="H51" s="50">
        <v>2</v>
      </c>
      <c r="I51" s="50">
        <v>4</v>
      </c>
      <c r="J51" s="50">
        <v>9</v>
      </c>
      <c r="K51" s="50">
        <v>2</v>
      </c>
      <c r="L51" s="50">
        <v>1</v>
      </c>
      <c r="M51" s="50">
        <v>123</v>
      </c>
      <c r="N51" s="50">
        <v>0</v>
      </c>
      <c r="O51" s="15">
        <f t="shared" si="0"/>
        <v>154</v>
      </c>
      <c r="P51" s="15">
        <f t="shared" si="1"/>
        <v>277</v>
      </c>
      <c r="R51" s="8"/>
      <c r="T51"/>
    </row>
    <row r="52" spans="2:20" ht="23.1" customHeight="1" x14ac:dyDescent="0.25">
      <c r="B52" s="24" t="s">
        <v>79</v>
      </c>
      <c r="C52" s="50">
        <v>66</v>
      </c>
      <c r="D52" s="50">
        <v>17</v>
      </c>
      <c r="E52" s="50">
        <v>10</v>
      </c>
      <c r="F52" s="50">
        <v>27</v>
      </c>
      <c r="G52" s="50">
        <v>2</v>
      </c>
      <c r="H52" s="50">
        <v>0</v>
      </c>
      <c r="I52" s="50">
        <v>10</v>
      </c>
      <c r="J52" s="50">
        <v>9</v>
      </c>
      <c r="K52" s="50">
        <v>6</v>
      </c>
      <c r="L52" s="50">
        <v>2</v>
      </c>
      <c r="M52" s="50">
        <v>88</v>
      </c>
      <c r="N52" s="50">
        <v>0</v>
      </c>
      <c r="O52" s="15">
        <f t="shared" si="0"/>
        <v>149</v>
      </c>
      <c r="P52" s="15">
        <f t="shared" si="1"/>
        <v>237</v>
      </c>
      <c r="R52" s="8"/>
      <c r="T52"/>
    </row>
    <row r="53" spans="2:20" ht="23.1" customHeight="1" x14ac:dyDescent="0.25">
      <c r="B53" s="23" t="s">
        <v>80</v>
      </c>
      <c r="C53" s="50">
        <v>64</v>
      </c>
      <c r="D53" s="50">
        <v>11</v>
      </c>
      <c r="E53" s="50">
        <v>15</v>
      </c>
      <c r="F53" s="50">
        <v>17</v>
      </c>
      <c r="G53" s="50">
        <v>0</v>
      </c>
      <c r="H53" s="50">
        <v>1</v>
      </c>
      <c r="I53" s="50">
        <v>11</v>
      </c>
      <c r="J53" s="50">
        <v>4</v>
      </c>
      <c r="K53" s="50">
        <v>6</v>
      </c>
      <c r="L53" s="50">
        <v>10</v>
      </c>
      <c r="M53" s="50">
        <v>85</v>
      </c>
      <c r="N53" s="50">
        <v>0</v>
      </c>
      <c r="O53" s="15">
        <f t="shared" si="0"/>
        <v>139</v>
      </c>
      <c r="P53" s="15">
        <f t="shared" si="1"/>
        <v>224</v>
      </c>
      <c r="R53" s="8"/>
      <c r="T53"/>
    </row>
    <row r="54" spans="2:20" ht="23.1" customHeight="1" x14ac:dyDescent="0.25">
      <c r="B54" s="23" t="s">
        <v>81</v>
      </c>
      <c r="C54" s="50">
        <v>80</v>
      </c>
      <c r="D54" s="50">
        <v>17</v>
      </c>
      <c r="E54" s="50">
        <v>5</v>
      </c>
      <c r="F54" s="50">
        <v>16</v>
      </c>
      <c r="G54" s="50">
        <v>4</v>
      </c>
      <c r="H54" s="50">
        <v>0</v>
      </c>
      <c r="I54" s="50">
        <v>13</v>
      </c>
      <c r="J54" s="50">
        <v>12</v>
      </c>
      <c r="K54" s="50">
        <v>5</v>
      </c>
      <c r="L54" s="50">
        <v>0</v>
      </c>
      <c r="M54" s="50">
        <v>106</v>
      </c>
      <c r="N54" s="50">
        <v>0</v>
      </c>
      <c r="O54" s="15">
        <f t="shared" si="0"/>
        <v>152</v>
      </c>
      <c r="P54" s="15">
        <f t="shared" si="1"/>
        <v>258</v>
      </c>
      <c r="R54" s="8"/>
      <c r="T54"/>
    </row>
    <row r="55" spans="2:20" ht="23.1" customHeight="1" x14ac:dyDescent="0.25">
      <c r="B55" s="23" t="s">
        <v>82</v>
      </c>
      <c r="C55" s="50">
        <v>65</v>
      </c>
      <c r="D55" s="50">
        <v>7</v>
      </c>
      <c r="E55" s="50">
        <v>7</v>
      </c>
      <c r="F55" s="50">
        <v>8</v>
      </c>
      <c r="G55" s="50">
        <v>2</v>
      </c>
      <c r="H55" s="50">
        <v>1</v>
      </c>
      <c r="I55" s="50">
        <v>3</v>
      </c>
      <c r="J55" s="50">
        <v>7</v>
      </c>
      <c r="K55" s="50">
        <v>2</v>
      </c>
      <c r="L55" s="50">
        <v>9</v>
      </c>
      <c r="M55" s="50">
        <v>100</v>
      </c>
      <c r="N55" s="50">
        <v>0</v>
      </c>
      <c r="O55" s="15">
        <f t="shared" si="0"/>
        <v>111</v>
      </c>
      <c r="P55" s="15">
        <f t="shared" si="1"/>
        <v>211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8</v>
      </c>
      <c r="E56" s="50">
        <v>9</v>
      </c>
      <c r="F56" s="50">
        <v>15</v>
      </c>
      <c r="G56" s="50">
        <v>0</v>
      </c>
      <c r="H56" s="50">
        <v>1</v>
      </c>
      <c r="I56" s="50">
        <v>5</v>
      </c>
      <c r="J56" s="50">
        <v>13</v>
      </c>
      <c r="K56" s="50">
        <v>2</v>
      </c>
      <c r="L56" s="50">
        <v>7</v>
      </c>
      <c r="M56" s="50">
        <v>85</v>
      </c>
      <c r="N56" s="50">
        <v>0</v>
      </c>
      <c r="O56" s="15">
        <f t="shared" si="0"/>
        <v>95</v>
      </c>
      <c r="P56" s="15">
        <f t="shared" si="1"/>
        <v>180</v>
      </c>
      <c r="R56" s="8"/>
      <c r="T56"/>
    </row>
    <row r="57" spans="2:20" ht="23.1" customHeight="1" x14ac:dyDescent="0.25">
      <c r="B57" s="23" t="s">
        <v>84</v>
      </c>
      <c r="C57" s="50">
        <v>65</v>
      </c>
      <c r="D57" s="50">
        <v>4</v>
      </c>
      <c r="E57" s="50">
        <v>3</v>
      </c>
      <c r="F57" s="50">
        <v>13</v>
      </c>
      <c r="G57" s="50">
        <v>4</v>
      </c>
      <c r="H57" s="50">
        <v>0</v>
      </c>
      <c r="I57" s="50">
        <v>5</v>
      </c>
      <c r="J57" s="50">
        <v>2</v>
      </c>
      <c r="K57" s="50">
        <v>1</v>
      </c>
      <c r="L57" s="50">
        <v>2</v>
      </c>
      <c r="M57" s="50">
        <v>115</v>
      </c>
      <c r="N57" s="50">
        <v>0</v>
      </c>
      <c r="O57" s="15">
        <f t="shared" si="0"/>
        <v>99</v>
      </c>
      <c r="P57" s="15">
        <f t="shared" si="1"/>
        <v>214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2560</v>
      </c>
      <c r="D58" s="16">
        <f t="shared" si="21"/>
        <v>702</v>
      </c>
      <c r="E58" s="16">
        <f t="shared" si="21"/>
        <v>516</v>
      </c>
      <c r="F58" s="16">
        <f t="shared" si="21"/>
        <v>826</v>
      </c>
      <c r="G58" s="16">
        <f t="shared" si="21"/>
        <v>76</v>
      </c>
      <c r="H58" s="16">
        <f t="shared" si="21"/>
        <v>19</v>
      </c>
      <c r="I58" s="16">
        <f t="shared" si="21"/>
        <v>513</v>
      </c>
      <c r="J58" s="16">
        <f t="shared" si="21"/>
        <v>365</v>
      </c>
      <c r="K58" s="16">
        <f t="shared" si="21"/>
        <v>262</v>
      </c>
      <c r="L58" s="16">
        <f t="shared" si="21"/>
        <v>237</v>
      </c>
      <c r="M58" s="16">
        <f t="shared" si="21"/>
        <v>5424</v>
      </c>
      <c r="N58" s="16">
        <f t="shared" si="21"/>
        <v>0</v>
      </c>
      <c r="O58" s="16">
        <f t="shared" si="21"/>
        <v>6076</v>
      </c>
      <c r="P58" s="16">
        <f t="shared" si="21"/>
        <v>11500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0.22260869565217392</v>
      </c>
      <c r="D59" s="43">
        <f t="shared" si="22"/>
        <v>6.1043478260869567E-2</v>
      </c>
      <c r="E59" s="43">
        <f t="shared" si="22"/>
        <v>4.4869565217391306E-2</v>
      </c>
      <c r="F59" s="43">
        <f t="shared" si="22"/>
        <v>7.1826086956521734E-2</v>
      </c>
      <c r="G59" s="43">
        <f t="shared" si="22"/>
        <v>6.6086956521739133E-3</v>
      </c>
      <c r="H59" s="43">
        <f t="shared" si="22"/>
        <v>1.6521739130434783E-3</v>
      </c>
      <c r="I59" s="43">
        <f t="shared" si="22"/>
        <v>4.4608695652173916E-2</v>
      </c>
      <c r="J59" s="43">
        <f t="shared" si="22"/>
        <v>3.173913043478261E-2</v>
      </c>
      <c r="K59" s="43">
        <f t="shared" si="22"/>
        <v>2.2782608695652174E-2</v>
      </c>
      <c r="L59" s="43">
        <f t="shared" si="22"/>
        <v>2.0608695652173912E-2</v>
      </c>
      <c r="M59" s="43">
        <f t="shared" si="22"/>
        <v>0.47165217391304348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0.42132982225148125</v>
      </c>
      <c r="D60" s="44">
        <f t="shared" ref="D60:N60" si="23">D58/$O$58</f>
        <v>0.11553653719552337</v>
      </c>
      <c r="E60" s="44">
        <f t="shared" si="23"/>
        <v>8.492429229756418E-2</v>
      </c>
      <c r="F60" s="44">
        <f t="shared" si="23"/>
        <v>0.13594470046082949</v>
      </c>
      <c r="G60" s="44">
        <f t="shared" si="23"/>
        <v>1.2508229098090849E-2</v>
      </c>
      <c r="H60" s="44">
        <f t="shared" si="23"/>
        <v>3.1270572745227122E-3</v>
      </c>
      <c r="I60" s="44">
        <f t="shared" si="23"/>
        <v>8.4430546412113228E-2</v>
      </c>
      <c r="J60" s="44">
        <f t="shared" si="23"/>
        <v>6.007241606319947E-2</v>
      </c>
      <c r="K60" s="44">
        <f t="shared" si="23"/>
        <v>4.3120473996050034E-2</v>
      </c>
      <c r="L60" s="44">
        <f t="shared" si="23"/>
        <v>3.9005924950625409E-2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D6" sqref="D6:E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Lubigi-Masanafu'!D5</f>
        <v>23.07.19</v>
      </c>
      <c r="E5" s="3"/>
      <c r="F5" s="41" t="s">
        <v>1</v>
      </c>
      <c r="G5" s="67" t="str">
        <f>'22.07 Lubigi-Masanafu'!G5:H5</f>
        <v>Northern Bypass</v>
      </c>
      <c r="H5" s="68"/>
      <c r="I5" s="14"/>
      <c r="J5" s="2" t="s">
        <v>5</v>
      </c>
      <c r="K5" s="67" t="s">
        <v>175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">
        <v>172</v>
      </c>
      <c r="E6" s="68"/>
      <c r="F6" s="2" t="s">
        <v>2</v>
      </c>
      <c r="G6" s="67" t="s">
        <v>171</v>
      </c>
      <c r="H6" s="68"/>
      <c r="J6" s="2" t="s">
        <v>21</v>
      </c>
      <c r="K6" s="67" t="str">
        <f>'22.07 Lubigi-Masanafu'!K6:L6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77</v>
      </c>
      <c r="D10" s="50">
        <v>45</v>
      </c>
      <c r="E10" s="50">
        <v>16</v>
      </c>
      <c r="F10" s="50">
        <v>60</v>
      </c>
      <c r="G10" s="50">
        <v>15</v>
      </c>
      <c r="H10" s="50">
        <v>3</v>
      </c>
      <c r="I10" s="50">
        <v>7</v>
      </c>
      <c r="J10" s="50">
        <v>10</v>
      </c>
      <c r="K10" s="50">
        <v>17</v>
      </c>
      <c r="L10" s="50">
        <v>9</v>
      </c>
      <c r="M10" s="50">
        <v>142</v>
      </c>
      <c r="N10" s="50">
        <v>0</v>
      </c>
      <c r="O10" s="15">
        <f t="shared" ref="O10:O57" si="0">SUM(C10:L10,N10)</f>
        <v>259</v>
      </c>
      <c r="P10" s="15">
        <f t="shared" ref="P10:P57" si="1">SUM(C10:N10)</f>
        <v>401</v>
      </c>
      <c r="R10" s="1" t="s">
        <v>6</v>
      </c>
      <c r="S10" s="17">
        <f t="shared" ref="S10:AF10" si="2">SUM(C10:C13)</f>
        <v>267</v>
      </c>
      <c r="T10" s="17">
        <f t="shared" si="2"/>
        <v>212</v>
      </c>
      <c r="U10" s="17">
        <f t="shared" si="2"/>
        <v>82</v>
      </c>
      <c r="V10" s="17">
        <f t="shared" si="2"/>
        <v>144</v>
      </c>
      <c r="W10" s="17">
        <f t="shared" si="2"/>
        <v>22</v>
      </c>
      <c r="X10" s="17">
        <f t="shared" si="2"/>
        <v>5</v>
      </c>
      <c r="Y10" s="17">
        <f t="shared" si="2"/>
        <v>28</v>
      </c>
      <c r="Z10" s="17">
        <f t="shared" si="2"/>
        <v>48</v>
      </c>
      <c r="AA10" s="17">
        <f t="shared" si="2"/>
        <v>45</v>
      </c>
      <c r="AB10" s="17">
        <f t="shared" si="2"/>
        <v>21</v>
      </c>
      <c r="AC10" s="17">
        <f t="shared" si="2"/>
        <v>496</v>
      </c>
      <c r="AD10" s="17">
        <f t="shared" si="2"/>
        <v>0</v>
      </c>
      <c r="AE10" s="31">
        <f t="shared" si="2"/>
        <v>874</v>
      </c>
      <c r="AF10" s="31">
        <f t="shared" si="2"/>
        <v>1370</v>
      </c>
    </row>
    <row r="11" spans="2:32" s="6" customFormat="1" ht="23.1" customHeight="1" x14ac:dyDescent="0.25">
      <c r="B11" s="23" t="s">
        <v>38</v>
      </c>
      <c r="C11" s="50">
        <v>75</v>
      </c>
      <c r="D11" s="50">
        <v>35</v>
      </c>
      <c r="E11" s="50">
        <v>30</v>
      </c>
      <c r="F11" s="50">
        <v>35</v>
      </c>
      <c r="G11" s="50">
        <v>7</v>
      </c>
      <c r="H11" s="50">
        <v>2</v>
      </c>
      <c r="I11" s="50">
        <v>10</v>
      </c>
      <c r="J11" s="50">
        <v>30</v>
      </c>
      <c r="K11" s="50">
        <v>19</v>
      </c>
      <c r="L11" s="50">
        <v>5</v>
      </c>
      <c r="M11" s="50">
        <v>113</v>
      </c>
      <c r="N11" s="50">
        <v>0</v>
      </c>
      <c r="O11" s="15">
        <f t="shared" si="0"/>
        <v>248</v>
      </c>
      <c r="P11" s="15">
        <f t="shared" si="1"/>
        <v>361</v>
      </c>
      <c r="R11" s="1" t="s">
        <v>7</v>
      </c>
      <c r="S11" s="17">
        <f t="shared" ref="S11:AF11" si="3">SUM(C14:C17)</f>
        <v>253</v>
      </c>
      <c r="T11" s="17">
        <f t="shared" si="3"/>
        <v>70</v>
      </c>
      <c r="U11" s="17">
        <f t="shared" si="3"/>
        <v>26</v>
      </c>
      <c r="V11" s="17">
        <f t="shared" si="3"/>
        <v>89</v>
      </c>
      <c r="W11" s="17">
        <f t="shared" si="3"/>
        <v>4</v>
      </c>
      <c r="X11" s="17">
        <f t="shared" si="3"/>
        <v>3</v>
      </c>
      <c r="Y11" s="17">
        <f t="shared" si="3"/>
        <v>50</v>
      </c>
      <c r="Z11" s="17">
        <f t="shared" si="3"/>
        <v>23</v>
      </c>
      <c r="AA11" s="17">
        <f t="shared" si="3"/>
        <v>9</v>
      </c>
      <c r="AB11" s="17">
        <f t="shared" si="3"/>
        <v>17</v>
      </c>
      <c r="AC11" s="17">
        <f t="shared" si="3"/>
        <v>621</v>
      </c>
      <c r="AD11" s="17">
        <f t="shared" si="3"/>
        <v>0</v>
      </c>
      <c r="AE11" s="31">
        <f t="shared" si="3"/>
        <v>544</v>
      </c>
      <c r="AF11" s="31">
        <f t="shared" si="3"/>
        <v>1165</v>
      </c>
    </row>
    <row r="12" spans="2:32" ht="23.1" customHeight="1" x14ac:dyDescent="0.25">
      <c r="B12" s="23" t="s">
        <v>39</v>
      </c>
      <c r="C12" s="50">
        <v>86</v>
      </c>
      <c r="D12" s="50">
        <v>111</v>
      </c>
      <c r="E12" s="50">
        <v>32</v>
      </c>
      <c r="F12" s="50">
        <v>42</v>
      </c>
      <c r="G12" s="50">
        <v>0</v>
      </c>
      <c r="H12" s="50">
        <v>0</v>
      </c>
      <c r="I12" s="50">
        <v>6</v>
      </c>
      <c r="J12" s="50">
        <v>3</v>
      </c>
      <c r="K12" s="50">
        <v>8</v>
      </c>
      <c r="L12" s="50">
        <v>3</v>
      </c>
      <c r="M12" s="50">
        <v>136</v>
      </c>
      <c r="N12" s="50">
        <v>0</v>
      </c>
      <c r="O12" s="15">
        <f t="shared" si="0"/>
        <v>291</v>
      </c>
      <c r="P12" s="15">
        <f t="shared" si="1"/>
        <v>427</v>
      </c>
      <c r="R12" s="1" t="s">
        <v>8</v>
      </c>
      <c r="S12" s="17">
        <f t="shared" ref="S12:AF12" si="4">SUM(C18:C21)</f>
        <v>212</v>
      </c>
      <c r="T12" s="17">
        <f t="shared" si="4"/>
        <v>82</v>
      </c>
      <c r="U12" s="17">
        <f t="shared" si="4"/>
        <v>33</v>
      </c>
      <c r="V12" s="17">
        <f t="shared" si="4"/>
        <v>86</v>
      </c>
      <c r="W12" s="17">
        <f t="shared" si="4"/>
        <v>9</v>
      </c>
      <c r="X12" s="17">
        <f t="shared" si="4"/>
        <v>1</v>
      </c>
      <c r="Y12" s="17">
        <f t="shared" si="4"/>
        <v>40</v>
      </c>
      <c r="Z12" s="17">
        <f t="shared" si="4"/>
        <v>11</v>
      </c>
      <c r="AA12" s="17">
        <f t="shared" si="4"/>
        <v>14</v>
      </c>
      <c r="AB12" s="17">
        <f t="shared" si="4"/>
        <v>9</v>
      </c>
      <c r="AC12" s="17">
        <f t="shared" si="4"/>
        <v>500</v>
      </c>
      <c r="AD12" s="17">
        <f t="shared" si="4"/>
        <v>0</v>
      </c>
      <c r="AE12" s="31">
        <f t="shared" si="4"/>
        <v>497</v>
      </c>
      <c r="AF12" s="31">
        <f t="shared" si="4"/>
        <v>997</v>
      </c>
    </row>
    <row r="13" spans="2:32" ht="23.1" customHeight="1" x14ac:dyDescent="0.25">
      <c r="B13" s="23" t="s">
        <v>40</v>
      </c>
      <c r="C13" s="50">
        <v>29</v>
      </c>
      <c r="D13" s="50">
        <v>21</v>
      </c>
      <c r="E13" s="50">
        <v>4</v>
      </c>
      <c r="F13" s="50">
        <v>7</v>
      </c>
      <c r="G13" s="50">
        <v>0</v>
      </c>
      <c r="H13" s="50">
        <v>0</v>
      </c>
      <c r="I13" s="50">
        <v>5</v>
      </c>
      <c r="J13" s="50">
        <v>5</v>
      </c>
      <c r="K13" s="50">
        <v>1</v>
      </c>
      <c r="L13" s="50">
        <v>4</v>
      </c>
      <c r="M13" s="50">
        <v>105</v>
      </c>
      <c r="N13" s="50">
        <v>0</v>
      </c>
      <c r="O13" s="15">
        <f t="shared" si="0"/>
        <v>76</v>
      </c>
      <c r="P13" s="15">
        <f t="shared" si="1"/>
        <v>181</v>
      </c>
      <c r="R13" s="1" t="s">
        <v>9</v>
      </c>
      <c r="S13" s="17">
        <f t="shared" ref="S13:AF13" si="5">SUM(C22:C25)</f>
        <v>228</v>
      </c>
      <c r="T13" s="17">
        <f t="shared" si="5"/>
        <v>57</v>
      </c>
      <c r="U13" s="17">
        <f t="shared" si="5"/>
        <v>36</v>
      </c>
      <c r="V13" s="17">
        <f t="shared" si="5"/>
        <v>56</v>
      </c>
      <c r="W13" s="17">
        <f t="shared" si="5"/>
        <v>7</v>
      </c>
      <c r="X13" s="17">
        <f t="shared" si="5"/>
        <v>0</v>
      </c>
      <c r="Y13" s="17">
        <f t="shared" si="5"/>
        <v>35</v>
      </c>
      <c r="Z13" s="17">
        <f t="shared" si="5"/>
        <v>23</v>
      </c>
      <c r="AA13" s="17">
        <f t="shared" si="5"/>
        <v>23</v>
      </c>
      <c r="AB13" s="17">
        <f t="shared" si="5"/>
        <v>17</v>
      </c>
      <c r="AC13" s="17">
        <f t="shared" si="5"/>
        <v>517</v>
      </c>
      <c r="AD13" s="17">
        <f t="shared" si="5"/>
        <v>0</v>
      </c>
      <c r="AE13" s="31">
        <f t="shared" si="5"/>
        <v>482</v>
      </c>
      <c r="AF13" s="31">
        <f t="shared" si="5"/>
        <v>999</v>
      </c>
    </row>
    <row r="14" spans="2:32" ht="23.1" customHeight="1" x14ac:dyDescent="0.25">
      <c r="B14" s="23" t="s">
        <v>41</v>
      </c>
      <c r="C14" s="50">
        <v>70</v>
      </c>
      <c r="D14" s="50">
        <v>17</v>
      </c>
      <c r="E14" s="50">
        <v>6</v>
      </c>
      <c r="F14" s="50">
        <v>23</v>
      </c>
      <c r="G14" s="50">
        <v>1</v>
      </c>
      <c r="H14" s="50">
        <v>0</v>
      </c>
      <c r="I14" s="50">
        <v>10</v>
      </c>
      <c r="J14" s="50">
        <v>5</v>
      </c>
      <c r="K14" s="50">
        <v>4</v>
      </c>
      <c r="L14" s="50">
        <v>4</v>
      </c>
      <c r="M14" s="50">
        <v>157</v>
      </c>
      <c r="N14" s="50">
        <v>0</v>
      </c>
      <c r="O14" s="15">
        <f t="shared" si="0"/>
        <v>140</v>
      </c>
      <c r="P14" s="15">
        <f t="shared" si="1"/>
        <v>297</v>
      </c>
      <c r="R14" s="1" t="s">
        <v>10</v>
      </c>
      <c r="S14" s="17">
        <f t="shared" ref="S14:AF14" si="6">SUM(C26:C29)</f>
        <v>241</v>
      </c>
      <c r="T14" s="17">
        <f t="shared" si="6"/>
        <v>47</v>
      </c>
      <c r="U14" s="17">
        <f t="shared" si="6"/>
        <v>43</v>
      </c>
      <c r="V14" s="17">
        <f t="shared" si="6"/>
        <v>74</v>
      </c>
      <c r="W14" s="17">
        <f t="shared" si="6"/>
        <v>2</v>
      </c>
      <c r="X14" s="17">
        <f t="shared" si="6"/>
        <v>1</v>
      </c>
      <c r="Y14" s="17">
        <f t="shared" si="6"/>
        <v>47</v>
      </c>
      <c r="Z14" s="17">
        <f t="shared" si="6"/>
        <v>19</v>
      </c>
      <c r="AA14" s="17">
        <f t="shared" si="6"/>
        <v>24</v>
      </c>
      <c r="AB14" s="17">
        <f t="shared" si="6"/>
        <v>28</v>
      </c>
      <c r="AC14" s="17">
        <f t="shared" si="6"/>
        <v>339</v>
      </c>
      <c r="AD14" s="17">
        <f t="shared" si="6"/>
        <v>0</v>
      </c>
      <c r="AE14" s="31">
        <f t="shared" si="6"/>
        <v>526</v>
      </c>
      <c r="AF14" s="31">
        <f t="shared" si="6"/>
        <v>865</v>
      </c>
    </row>
    <row r="15" spans="2:32" ht="23.1" customHeight="1" x14ac:dyDescent="0.25">
      <c r="B15" s="23" t="s">
        <v>42</v>
      </c>
      <c r="C15" s="50">
        <v>61</v>
      </c>
      <c r="D15" s="50">
        <v>25</v>
      </c>
      <c r="E15" s="50">
        <v>6</v>
      </c>
      <c r="F15" s="50">
        <v>30</v>
      </c>
      <c r="G15" s="50">
        <v>0</v>
      </c>
      <c r="H15" s="50">
        <v>0</v>
      </c>
      <c r="I15" s="50">
        <v>20</v>
      </c>
      <c r="J15" s="50">
        <v>8</v>
      </c>
      <c r="K15" s="50">
        <v>4</v>
      </c>
      <c r="L15" s="50">
        <v>4</v>
      </c>
      <c r="M15" s="50">
        <v>183</v>
      </c>
      <c r="N15" s="50">
        <v>0</v>
      </c>
      <c r="O15" s="15">
        <f t="shared" si="0"/>
        <v>158</v>
      </c>
      <c r="P15" s="15">
        <f t="shared" si="1"/>
        <v>341</v>
      </c>
      <c r="R15" s="1" t="s">
        <v>11</v>
      </c>
      <c r="S15" s="17">
        <f t="shared" ref="S15:AF15" si="7">SUM(C30:C33)</f>
        <v>278</v>
      </c>
      <c r="T15" s="17">
        <f t="shared" si="7"/>
        <v>73</v>
      </c>
      <c r="U15" s="17">
        <f t="shared" si="7"/>
        <v>49</v>
      </c>
      <c r="V15" s="17">
        <f t="shared" si="7"/>
        <v>76</v>
      </c>
      <c r="W15" s="17">
        <f t="shared" si="7"/>
        <v>3</v>
      </c>
      <c r="X15" s="17">
        <f t="shared" si="7"/>
        <v>2</v>
      </c>
      <c r="Y15" s="17">
        <f t="shared" si="7"/>
        <v>51</v>
      </c>
      <c r="Z15" s="17">
        <f t="shared" si="7"/>
        <v>20</v>
      </c>
      <c r="AA15" s="17">
        <f t="shared" si="7"/>
        <v>26</v>
      </c>
      <c r="AB15" s="17">
        <f t="shared" si="7"/>
        <v>22</v>
      </c>
      <c r="AC15" s="17">
        <f t="shared" si="7"/>
        <v>263</v>
      </c>
      <c r="AD15" s="17">
        <f t="shared" si="7"/>
        <v>0</v>
      </c>
      <c r="AE15" s="31">
        <f t="shared" si="7"/>
        <v>600</v>
      </c>
      <c r="AF15" s="31">
        <f t="shared" si="7"/>
        <v>863</v>
      </c>
    </row>
    <row r="16" spans="2:32" ht="23.1" customHeight="1" x14ac:dyDescent="0.25">
      <c r="B16" s="23" t="s">
        <v>43</v>
      </c>
      <c r="C16" s="50">
        <v>50</v>
      </c>
      <c r="D16" s="50">
        <v>11</v>
      </c>
      <c r="E16" s="50">
        <v>7</v>
      </c>
      <c r="F16" s="50">
        <v>14</v>
      </c>
      <c r="G16" s="50">
        <v>1</v>
      </c>
      <c r="H16" s="50">
        <v>2</v>
      </c>
      <c r="I16" s="50">
        <v>12</v>
      </c>
      <c r="J16" s="50">
        <v>6</v>
      </c>
      <c r="K16" s="50">
        <v>1</v>
      </c>
      <c r="L16" s="50">
        <v>5</v>
      </c>
      <c r="M16" s="50">
        <v>152</v>
      </c>
      <c r="N16" s="50">
        <v>0</v>
      </c>
      <c r="O16" s="15">
        <f t="shared" si="0"/>
        <v>109</v>
      </c>
      <c r="P16" s="15">
        <f t="shared" si="1"/>
        <v>261</v>
      </c>
      <c r="R16" s="1" t="s">
        <v>12</v>
      </c>
      <c r="S16" s="17">
        <f t="shared" ref="S16:AF16" si="8">SUM(C34:C37)</f>
        <v>268</v>
      </c>
      <c r="T16" s="17">
        <f t="shared" si="8"/>
        <v>84</v>
      </c>
      <c r="U16" s="17">
        <f t="shared" si="8"/>
        <v>55</v>
      </c>
      <c r="V16" s="17">
        <f t="shared" si="8"/>
        <v>129</v>
      </c>
      <c r="W16" s="17">
        <f t="shared" si="8"/>
        <v>3</v>
      </c>
      <c r="X16" s="17">
        <f t="shared" si="8"/>
        <v>0</v>
      </c>
      <c r="Y16" s="17">
        <f t="shared" si="8"/>
        <v>66</v>
      </c>
      <c r="Z16" s="17">
        <f t="shared" si="8"/>
        <v>22</v>
      </c>
      <c r="AA16" s="17">
        <f t="shared" si="8"/>
        <v>23</v>
      </c>
      <c r="AB16" s="17">
        <f t="shared" si="8"/>
        <v>21</v>
      </c>
      <c r="AC16" s="17">
        <f t="shared" si="8"/>
        <v>356</v>
      </c>
      <c r="AD16" s="17">
        <f t="shared" si="8"/>
        <v>0</v>
      </c>
      <c r="AE16" s="31">
        <f t="shared" si="8"/>
        <v>671</v>
      </c>
      <c r="AF16" s="31">
        <f t="shared" si="8"/>
        <v>1027</v>
      </c>
    </row>
    <row r="17" spans="2:32" ht="23.1" customHeight="1" x14ac:dyDescent="0.25">
      <c r="B17" s="23" t="s">
        <v>44</v>
      </c>
      <c r="C17" s="50">
        <v>72</v>
      </c>
      <c r="D17" s="50">
        <v>17</v>
      </c>
      <c r="E17" s="50">
        <v>7</v>
      </c>
      <c r="F17" s="50">
        <v>22</v>
      </c>
      <c r="G17" s="50">
        <v>2</v>
      </c>
      <c r="H17" s="50">
        <v>1</v>
      </c>
      <c r="I17" s="50">
        <v>8</v>
      </c>
      <c r="J17" s="50">
        <v>4</v>
      </c>
      <c r="K17" s="50">
        <v>0</v>
      </c>
      <c r="L17" s="50">
        <v>4</v>
      </c>
      <c r="M17" s="50">
        <v>129</v>
      </c>
      <c r="N17" s="50">
        <v>0</v>
      </c>
      <c r="O17" s="15">
        <f t="shared" si="0"/>
        <v>137</v>
      </c>
      <c r="P17" s="15">
        <f t="shared" si="1"/>
        <v>266</v>
      </c>
      <c r="R17" s="1" t="s">
        <v>13</v>
      </c>
      <c r="S17" s="17">
        <f t="shared" ref="S17:AF17" si="9">SUM(C38:C41)</f>
        <v>199</v>
      </c>
      <c r="T17" s="17">
        <f t="shared" si="9"/>
        <v>66</v>
      </c>
      <c r="U17" s="17">
        <f t="shared" si="9"/>
        <v>61</v>
      </c>
      <c r="V17" s="17">
        <f t="shared" si="9"/>
        <v>57</v>
      </c>
      <c r="W17" s="17">
        <f t="shared" si="9"/>
        <v>4</v>
      </c>
      <c r="X17" s="17">
        <f t="shared" si="9"/>
        <v>1</v>
      </c>
      <c r="Y17" s="17">
        <f t="shared" si="9"/>
        <v>40</v>
      </c>
      <c r="Z17" s="17">
        <f t="shared" si="9"/>
        <v>16</v>
      </c>
      <c r="AA17" s="17">
        <f t="shared" si="9"/>
        <v>17</v>
      </c>
      <c r="AB17" s="17">
        <f t="shared" si="9"/>
        <v>14</v>
      </c>
      <c r="AC17" s="17">
        <f t="shared" si="9"/>
        <v>253</v>
      </c>
      <c r="AD17" s="17">
        <f t="shared" si="9"/>
        <v>0</v>
      </c>
      <c r="AE17" s="31">
        <f t="shared" si="9"/>
        <v>475</v>
      </c>
      <c r="AF17" s="31">
        <f t="shared" si="9"/>
        <v>728</v>
      </c>
    </row>
    <row r="18" spans="2:32" ht="23.1" customHeight="1" x14ac:dyDescent="0.25">
      <c r="B18" s="23" t="s">
        <v>45</v>
      </c>
      <c r="C18" s="50">
        <v>60</v>
      </c>
      <c r="D18" s="50">
        <v>21</v>
      </c>
      <c r="E18" s="50">
        <v>14</v>
      </c>
      <c r="F18" s="50">
        <v>37</v>
      </c>
      <c r="G18" s="50">
        <v>2</v>
      </c>
      <c r="H18" s="50">
        <v>0</v>
      </c>
      <c r="I18" s="50">
        <v>13</v>
      </c>
      <c r="J18" s="50">
        <v>3</v>
      </c>
      <c r="K18" s="50">
        <v>5</v>
      </c>
      <c r="L18" s="50">
        <v>2</v>
      </c>
      <c r="M18" s="50">
        <v>152</v>
      </c>
      <c r="N18" s="50">
        <v>0</v>
      </c>
      <c r="O18" s="15">
        <f t="shared" si="0"/>
        <v>157</v>
      </c>
      <c r="P18" s="15">
        <f t="shared" si="1"/>
        <v>309</v>
      </c>
      <c r="R18" s="1" t="s">
        <v>14</v>
      </c>
      <c r="S18" s="17">
        <f t="shared" ref="S18:AF18" si="10">SUM(C42:C45)</f>
        <v>266</v>
      </c>
      <c r="T18" s="17">
        <f t="shared" si="10"/>
        <v>89</v>
      </c>
      <c r="U18" s="17">
        <f t="shared" si="10"/>
        <v>47</v>
      </c>
      <c r="V18" s="17">
        <f t="shared" si="10"/>
        <v>67</v>
      </c>
      <c r="W18" s="17">
        <f t="shared" si="10"/>
        <v>2</v>
      </c>
      <c r="X18" s="17">
        <f t="shared" si="10"/>
        <v>0</v>
      </c>
      <c r="Y18" s="17">
        <f t="shared" si="10"/>
        <v>68</v>
      </c>
      <c r="Z18" s="17">
        <f t="shared" si="10"/>
        <v>36</v>
      </c>
      <c r="AA18" s="17">
        <f t="shared" si="10"/>
        <v>34</v>
      </c>
      <c r="AB18" s="17">
        <f t="shared" si="10"/>
        <v>32</v>
      </c>
      <c r="AC18" s="17">
        <f t="shared" si="10"/>
        <v>453</v>
      </c>
      <c r="AD18" s="17">
        <f t="shared" si="10"/>
        <v>0</v>
      </c>
      <c r="AE18" s="31">
        <f t="shared" si="10"/>
        <v>641</v>
      </c>
      <c r="AF18" s="31">
        <f t="shared" si="10"/>
        <v>1094</v>
      </c>
    </row>
    <row r="19" spans="2:32" ht="23.1" customHeight="1" x14ac:dyDescent="0.25">
      <c r="B19" s="23" t="s">
        <v>46</v>
      </c>
      <c r="C19" s="50">
        <v>38</v>
      </c>
      <c r="D19" s="50">
        <v>18</v>
      </c>
      <c r="E19" s="50">
        <v>9</v>
      </c>
      <c r="F19" s="50">
        <v>13</v>
      </c>
      <c r="G19" s="50">
        <v>0</v>
      </c>
      <c r="H19" s="50">
        <v>0</v>
      </c>
      <c r="I19" s="50">
        <v>4</v>
      </c>
      <c r="J19" s="50">
        <v>2</v>
      </c>
      <c r="K19" s="50">
        <v>2</v>
      </c>
      <c r="L19" s="50">
        <v>0</v>
      </c>
      <c r="M19" s="50">
        <v>93</v>
      </c>
      <c r="N19" s="50">
        <v>0</v>
      </c>
      <c r="O19" s="15">
        <f t="shared" si="0"/>
        <v>86</v>
      </c>
      <c r="P19" s="15">
        <f t="shared" si="1"/>
        <v>179</v>
      </c>
      <c r="R19" s="1" t="s">
        <v>15</v>
      </c>
      <c r="S19" s="17">
        <f t="shared" ref="S19:AF19" si="11">SUM(C46:C49)</f>
        <v>308</v>
      </c>
      <c r="T19" s="17">
        <f t="shared" si="11"/>
        <v>115</v>
      </c>
      <c r="U19" s="17">
        <f t="shared" si="11"/>
        <v>116</v>
      </c>
      <c r="V19" s="17">
        <f t="shared" si="11"/>
        <v>122</v>
      </c>
      <c r="W19" s="17">
        <f t="shared" si="11"/>
        <v>5</v>
      </c>
      <c r="X19" s="17">
        <f t="shared" si="11"/>
        <v>2</v>
      </c>
      <c r="Y19" s="17">
        <f t="shared" si="11"/>
        <v>56</v>
      </c>
      <c r="Z19" s="17">
        <f t="shared" si="11"/>
        <v>31</v>
      </c>
      <c r="AA19" s="17">
        <f t="shared" si="11"/>
        <v>22</v>
      </c>
      <c r="AB19" s="17">
        <f t="shared" si="11"/>
        <v>31</v>
      </c>
      <c r="AC19" s="17">
        <f t="shared" si="11"/>
        <v>494</v>
      </c>
      <c r="AD19" s="17">
        <f t="shared" si="11"/>
        <v>0</v>
      </c>
      <c r="AE19" s="31">
        <f t="shared" si="11"/>
        <v>808</v>
      </c>
      <c r="AF19" s="31">
        <f t="shared" si="11"/>
        <v>1302</v>
      </c>
    </row>
    <row r="20" spans="2:32" ht="23.1" customHeight="1" x14ac:dyDescent="0.25">
      <c r="B20" s="23" t="s">
        <v>47</v>
      </c>
      <c r="C20" s="50">
        <v>52</v>
      </c>
      <c r="D20" s="50">
        <v>18</v>
      </c>
      <c r="E20" s="50">
        <v>3</v>
      </c>
      <c r="F20" s="50">
        <v>20</v>
      </c>
      <c r="G20" s="50">
        <v>2</v>
      </c>
      <c r="H20" s="50">
        <v>0</v>
      </c>
      <c r="I20" s="50">
        <v>16</v>
      </c>
      <c r="J20" s="50">
        <v>2</v>
      </c>
      <c r="K20" s="50">
        <v>3</v>
      </c>
      <c r="L20" s="50">
        <v>4</v>
      </c>
      <c r="M20" s="50">
        <v>105</v>
      </c>
      <c r="N20" s="50">
        <v>0</v>
      </c>
      <c r="O20" s="15">
        <f t="shared" si="0"/>
        <v>120</v>
      </c>
      <c r="P20" s="15">
        <f t="shared" si="1"/>
        <v>225</v>
      </c>
      <c r="R20" s="1" t="s">
        <v>16</v>
      </c>
      <c r="S20" s="17">
        <f t="shared" ref="S20:AF20" si="12">SUM(C50:C53)</f>
        <v>350</v>
      </c>
      <c r="T20" s="17">
        <f t="shared" si="12"/>
        <v>158</v>
      </c>
      <c r="U20" s="17">
        <f t="shared" si="12"/>
        <v>108</v>
      </c>
      <c r="V20" s="17">
        <f t="shared" si="12"/>
        <v>149</v>
      </c>
      <c r="W20" s="17">
        <f t="shared" si="12"/>
        <v>9</v>
      </c>
      <c r="X20" s="17">
        <f t="shared" si="12"/>
        <v>1</v>
      </c>
      <c r="Y20" s="17">
        <f t="shared" si="12"/>
        <v>35</v>
      </c>
      <c r="Z20" s="17">
        <f t="shared" si="12"/>
        <v>50</v>
      </c>
      <c r="AA20" s="17">
        <f t="shared" si="12"/>
        <v>18</v>
      </c>
      <c r="AB20" s="17">
        <f t="shared" si="12"/>
        <v>31</v>
      </c>
      <c r="AC20" s="17">
        <f t="shared" si="12"/>
        <v>576</v>
      </c>
      <c r="AD20" s="17">
        <f t="shared" si="12"/>
        <v>0</v>
      </c>
      <c r="AE20" s="31">
        <f t="shared" si="12"/>
        <v>909</v>
      </c>
      <c r="AF20" s="31">
        <f t="shared" si="12"/>
        <v>1485</v>
      </c>
    </row>
    <row r="21" spans="2:32" ht="23.1" customHeight="1" x14ac:dyDescent="0.25">
      <c r="B21" s="23" t="s">
        <v>48</v>
      </c>
      <c r="C21" s="50">
        <v>62</v>
      </c>
      <c r="D21" s="50">
        <v>25</v>
      </c>
      <c r="E21" s="50">
        <v>7</v>
      </c>
      <c r="F21" s="50">
        <v>16</v>
      </c>
      <c r="G21" s="50">
        <v>5</v>
      </c>
      <c r="H21" s="50">
        <v>1</v>
      </c>
      <c r="I21" s="50">
        <v>7</v>
      </c>
      <c r="J21" s="50">
        <v>4</v>
      </c>
      <c r="K21" s="50">
        <v>4</v>
      </c>
      <c r="L21" s="50">
        <v>3</v>
      </c>
      <c r="M21" s="50">
        <v>150</v>
      </c>
      <c r="N21" s="50">
        <v>0</v>
      </c>
      <c r="O21" s="15">
        <f t="shared" si="0"/>
        <v>134</v>
      </c>
      <c r="P21" s="15">
        <f t="shared" si="1"/>
        <v>284</v>
      </c>
      <c r="R21" s="36" t="s">
        <v>20</v>
      </c>
      <c r="S21" s="34">
        <f t="shared" ref="S21:AF21" si="13">SUM(C54:C57)</f>
        <v>272</v>
      </c>
      <c r="T21" s="17">
        <f t="shared" si="13"/>
        <v>150</v>
      </c>
      <c r="U21" s="17">
        <f t="shared" si="13"/>
        <v>149</v>
      </c>
      <c r="V21" s="17">
        <f t="shared" si="13"/>
        <v>173</v>
      </c>
      <c r="W21" s="17">
        <f t="shared" si="13"/>
        <v>8</v>
      </c>
      <c r="X21" s="17">
        <f t="shared" si="13"/>
        <v>2</v>
      </c>
      <c r="Y21" s="17">
        <f t="shared" si="13"/>
        <v>30</v>
      </c>
      <c r="Z21" s="17">
        <f t="shared" si="13"/>
        <v>31</v>
      </c>
      <c r="AA21" s="17">
        <f t="shared" si="13"/>
        <v>15</v>
      </c>
      <c r="AB21" s="17">
        <f t="shared" si="13"/>
        <v>25</v>
      </c>
      <c r="AC21" s="17">
        <f t="shared" si="13"/>
        <v>532</v>
      </c>
      <c r="AD21" s="17">
        <f t="shared" si="13"/>
        <v>0</v>
      </c>
      <c r="AE21" s="31">
        <f t="shared" si="13"/>
        <v>855</v>
      </c>
      <c r="AF21" s="31">
        <f t="shared" si="13"/>
        <v>1387</v>
      </c>
    </row>
    <row r="22" spans="2:32" ht="23.1" customHeight="1" x14ac:dyDescent="0.25">
      <c r="B22" s="23" t="s">
        <v>49</v>
      </c>
      <c r="C22" s="50">
        <v>50</v>
      </c>
      <c r="D22" s="50">
        <v>17</v>
      </c>
      <c r="E22" s="50">
        <v>8</v>
      </c>
      <c r="F22" s="50">
        <v>12</v>
      </c>
      <c r="G22" s="50">
        <v>0</v>
      </c>
      <c r="H22" s="50">
        <v>0</v>
      </c>
      <c r="I22" s="50">
        <v>9</v>
      </c>
      <c r="J22" s="50">
        <v>3</v>
      </c>
      <c r="K22" s="50">
        <v>6</v>
      </c>
      <c r="L22" s="50">
        <v>4</v>
      </c>
      <c r="M22" s="50">
        <v>107</v>
      </c>
      <c r="N22" s="50">
        <v>0</v>
      </c>
      <c r="O22" s="15">
        <f t="shared" si="0"/>
        <v>109</v>
      </c>
      <c r="P22" s="15">
        <f t="shared" si="1"/>
        <v>216</v>
      </c>
      <c r="R22" s="38" t="s">
        <v>90</v>
      </c>
      <c r="S22" s="39">
        <f>MAX(S10:S12)</f>
        <v>267</v>
      </c>
      <c r="T22" s="39">
        <f t="shared" ref="T22:AF22" si="14">MAX(T10:T12)</f>
        <v>212</v>
      </c>
      <c r="U22" s="39">
        <f t="shared" si="14"/>
        <v>82</v>
      </c>
      <c r="V22" s="39">
        <f t="shared" si="14"/>
        <v>144</v>
      </c>
      <c r="W22" s="39">
        <f t="shared" si="14"/>
        <v>22</v>
      </c>
      <c r="X22" s="39">
        <f t="shared" si="14"/>
        <v>5</v>
      </c>
      <c r="Y22" s="39">
        <f t="shared" si="14"/>
        <v>50</v>
      </c>
      <c r="Z22" s="39">
        <f t="shared" si="14"/>
        <v>48</v>
      </c>
      <c r="AA22" s="39">
        <f t="shared" si="14"/>
        <v>45</v>
      </c>
      <c r="AB22" s="39">
        <f t="shared" si="14"/>
        <v>21</v>
      </c>
      <c r="AC22" s="39">
        <f t="shared" si="14"/>
        <v>621</v>
      </c>
      <c r="AD22" s="39">
        <f t="shared" si="14"/>
        <v>0</v>
      </c>
      <c r="AE22" s="40">
        <f t="shared" si="14"/>
        <v>874</v>
      </c>
      <c r="AF22" s="40">
        <f t="shared" si="14"/>
        <v>1370</v>
      </c>
    </row>
    <row r="23" spans="2:32" ht="23.1" customHeight="1" x14ac:dyDescent="0.25">
      <c r="B23" s="23" t="s">
        <v>50</v>
      </c>
      <c r="C23" s="50">
        <v>44</v>
      </c>
      <c r="D23" s="50">
        <v>9</v>
      </c>
      <c r="E23" s="50">
        <v>9</v>
      </c>
      <c r="F23" s="50">
        <v>13</v>
      </c>
      <c r="G23" s="50">
        <v>3</v>
      </c>
      <c r="H23" s="50">
        <v>0</v>
      </c>
      <c r="I23" s="50">
        <v>12</v>
      </c>
      <c r="J23" s="50">
        <v>5</v>
      </c>
      <c r="K23" s="50">
        <v>7</v>
      </c>
      <c r="L23" s="50">
        <v>1</v>
      </c>
      <c r="M23" s="50">
        <v>135</v>
      </c>
      <c r="N23" s="50">
        <v>0</v>
      </c>
      <c r="O23" s="15">
        <f t="shared" si="0"/>
        <v>103</v>
      </c>
      <c r="P23" s="15">
        <f t="shared" si="1"/>
        <v>238</v>
      </c>
      <c r="R23" s="38" t="s">
        <v>91</v>
      </c>
      <c r="S23" s="39">
        <f>MAX(S13:S18)</f>
        <v>278</v>
      </c>
      <c r="T23" s="39">
        <f t="shared" ref="T23:AF23" si="15">MAX(T13:T18)</f>
        <v>89</v>
      </c>
      <c r="U23" s="39">
        <f t="shared" si="15"/>
        <v>61</v>
      </c>
      <c r="V23" s="39">
        <f t="shared" si="15"/>
        <v>129</v>
      </c>
      <c r="W23" s="39">
        <f t="shared" si="15"/>
        <v>7</v>
      </c>
      <c r="X23" s="39">
        <f t="shared" si="15"/>
        <v>2</v>
      </c>
      <c r="Y23" s="39">
        <f t="shared" si="15"/>
        <v>68</v>
      </c>
      <c r="Z23" s="39">
        <f t="shared" si="15"/>
        <v>36</v>
      </c>
      <c r="AA23" s="39">
        <f t="shared" si="15"/>
        <v>34</v>
      </c>
      <c r="AB23" s="39">
        <f t="shared" si="15"/>
        <v>32</v>
      </c>
      <c r="AC23" s="39">
        <f t="shared" si="15"/>
        <v>517</v>
      </c>
      <c r="AD23" s="39">
        <f t="shared" si="15"/>
        <v>0</v>
      </c>
      <c r="AE23" s="40">
        <f t="shared" si="15"/>
        <v>671</v>
      </c>
      <c r="AF23" s="40">
        <f t="shared" si="15"/>
        <v>1094</v>
      </c>
    </row>
    <row r="24" spans="2:32" ht="23.1" customHeight="1" x14ac:dyDescent="0.25">
      <c r="B24" s="23" t="s">
        <v>51</v>
      </c>
      <c r="C24" s="50">
        <v>76</v>
      </c>
      <c r="D24" s="50">
        <v>20</v>
      </c>
      <c r="E24" s="50">
        <v>12</v>
      </c>
      <c r="F24" s="50">
        <v>16</v>
      </c>
      <c r="G24" s="50">
        <v>2</v>
      </c>
      <c r="H24" s="50">
        <v>0</v>
      </c>
      <c r="I24" s="50">
        <v>8</v>
      </c>
      <c r="J24" s="50">
        <v>3</v>
      </c>
      <c r="K24" s="50">
        <v>4</v>
      </c>
      <c r="L24" s="50">
        <v>6</v>
      </c>
      <c r="M24" s="50">
        <v>133</v>
      </c>
      <c r="N24" s="50">
        <v>0</v>
      </c>
      <c r="O24" s="15">
        <f t="shared" si="0"/>
        <v>147</v>
      </c>
      <c r="P24" s="15">
        <f t="shared" si="1"/>
        <v>280</v>
      </c>
      <c r="R24" s="38" t="s">
        <v>92</v>
      </c>
      <c r="S24" s="39">
        <f>MAX(S19:S21)</f>
        <v>350</v>
      </c>
      <c r="T24" s="39">
        <f t="shared" ref="T24:AF24" si="16">MAX(T19:T21)</f>
        <v>158</v>
      </c>
      <c r="U24" s="39">
        <f t="shared" si="16"/>
        <v>149</v>
      </c>
      <c r="V24" s="39">
        <f t="shared" si="16"/>
        <v>173</v>
      </c>
      <c r="W24" s="39">
        <f t="shared" si="16"/>
        <v>9</v>
      </c>
      <c r="X24" s="39">
        <f t="shared" si="16"/>
        <v>2</v>
      </c>
      <c r="Y24" s="39">
        <f t="shared" si="16"/>
        <v>56</v>
      </c>
      <c r="Z24" s="39">
        <f t="shared" si="16"/>
        <v>50</v>
      </c>
      <c r="AA24" s="39">
        <f t="shared" si="16"/>
        <v>22</v>
      </c>
      <c r="AB24" s="39">
        <f t="shared" si="16"/>
        <v>31</v>
      </c>
      <c r="AC24" s="39">
        <f t="shared" si="16"/>
        <v>576</v>
      </c>
      <c r="AD24" s="39">
        <f t="shared" si="16"/>
        <v>0</v>
      </c>
      <c r="AE24" s="40">
        <f t="shared" si="16"/>
        <v>909</v>
      </c>
      <c r="AF24" s="40">
        <f t="shared" si="16"/>
        <v>1485</v>
      </c>
    </row>
    <row r="25" spans="2:32" ht="23.1" customHeight="1" x14ac:dyDescent="0.25">
      <c r="B25" s="23" t="s">
        <v>52</v>
      </c>
      <c r="C25" s="50">
        <v>58</v>
      </c>
      <c r="D25" s="50">
        <v>11</v>
      </c>
      <c r="E25" s="50">
        <v>7</v>
      </c>
      <c r="F25" s="50">
        <v>15</v>
      </c>
      <c r="G25" s="50">
        <v>2</v>
      </c>
      <c r="H25" s="50">
        <v>0</v>
      </c>
      <c r="I25" s="50">
        <v>6</v>
      </c>
      <c r="J25" s="50">
        <v>12</v>
      </c>
      <c r="K25" s="50">
        <v>6</v>
      </c>
      <c r="L25" s="50">
        <v>6</v>
      </c>
      <c r="M25" s="50">
        <v>142</v>
      </c>
      <c r="N25" s="50">
        <v>0</v>
      </c>
      <c r="O25" s="15">
        <f t="shared" si="0"/>
        <v>123</v>
      </c>
      <c r="P25" s="15">
        <f t="shared" si="1"/>
        <v>265</v>
      </c>
      <c r="R25" s="37" t="s">
        <v>85</v>
      </c>
      <c r="S25" s="35">
        <f t="shared" ref="S25:AF25" si="17">SUM(S10:S12)</f>
        <v>732</v>
      </c>
      <c r="T25" s="16">
        <f t="shared" si="17"/>
        <v>364</v>
      </c>
      <c r="U25" s="16">
        <f t="shared" si="17"/>
        <v>141</v>
      </c>
      <c r="V25" s="16">
        <f t="shared" si="17"/>
        <v>319</v>
      </c>
      <c r="W25" s="16">
        <f t="shared" si="17"/>
        <v>35</v>
      </c>
      <c r="X25" s="16">
        <f t="shared" si="17"/>
        <v>9</v>
      </c>
      <c r="Y25" s="16">
        <f t="shared" si="17"/>
        <v>118</v>
      </c>
      <c r="Z25" s="16">
        <f t="shared" si="17"/>
        <v>82</v>
      </c>
      <c r="AA25" s="16">
        <f t="shared" si="17"/>
        <v>68</v>
      </c>
      <c r="AB25" s="16">
        <f t="shared" si="17"/>
        <v>47</v>
      </c>
      <c r="AC25" s="16">
        <f t="shared" si="17"/>
        <v>1617</v>
      </c>
      <c r="AD25" s="16">
        <f t="shared" si="17"/>
        <v>0</v>
      </c>
      <c r="AE25" s="32">
        <f t="shared" si="17"/>
        <v>1915</v>
      </c>
      <c r="AF25" s="32">
        <f t="shared" si="17"/>
        <v>3532</v>
      </c>
    </row>
    <row r="26" spans="2:32" ht="23.1" customHeight="1" x14ac:dyDescent="0.25">
      <c r="B26" s="23" t="s">
        <v>53</v>
      </c>
      <c r="C26" s="50">
        <v>60</v>
      </c>
      <c r="D26" s="50">
        <v>17</v>
      </c>
      <c r="E26" s="50">
        <v>9</v>
      </c>
      <c r="F26" s="50">
        <v>13</v>
      </c>
      <c r="G26" s="50">
        <v>0</v>
      </c>
      <c r="H26" s="50">
        <v>1</v>
      </c>
      <c r="I26" s="50">
        <v>8</v>
      </c>
      <c r="J26" s="50">
        <v>4</v>
      </c>
      <c r="K26" s="50">
        <v>8</v>
      </c>
      <c r="L26" s="50">
        <v>2</v>
      </c>
      <c r="M26" s="50">
        <v>100</v>
      </c>
      <c r="N26" s="50">
        <v>0</v>
      </c>
      <c r="O26" s="15">
        <f t="shared" si="0"/>
        <v>122</v>
      </c>
      <c r="P26" s="15">
        <f t="shared" si="1"/>
        <v>222</v>
      </c>
      <c r="R26" s="28" t="s">
        <v>86</v>
      </c>
      <c r="S26" s="16">
        <f t="shared" ref="S26:AF26" si="18">SUM(S13:S18)</f>
        <v>1480</v>
      </c>
      <c r="T26" s="16">
        <f t="shared" si="18"/>
        <v>416</v>
      </c>
      <c r="U26" s="16">
        <f t="shared" si="18"/>
        <v>291</v>
      </c>
      <c r="V26" s="16">
        <f t="shared" si="18"/>
        <v>459</v>
      </c>
      <c r="W26" s="16">
        <f t="shared" si="18"/>
        <v>21</v>
      </c>
      <c r="X26" s="16">
        <f t="shared" si="18"/>
        <v>4</v>
      </c>
      <c r="Y26" s="16">
        <f t="shared" si="18"/>
        <v>307</v>
      </c>
      <c r="Z26" s="16">
        <f t="shared" si="18"/>
        <v>136</v>
      </c>
      <c r="AA26" s="16">
        <f t="shared" si="18"/>
        <v>147</v>
      </c>
      <c r="AB26" s="16">
        <f t="shared" si="18"/>
        <v>134</v>
      </c>
      <c r="AC26" s="16">
        <f t="shared" si="18"/>
        <v>2181</v>
      </c>
      <c r="AD26" s="16">
        <f t="shared" si="18"/>
        <v>0</v>
      </c>
      <c r="AE26" s="32">
        <f t="shared" si="18"/>
        <v>3395</v>
      </c>
      <c r="AF26" s="32">
        <f t="shared" si="18"/>
        <v>5576</v>
      </c>
    </row>
    <row r="27" spans="2:32" ht="23.1" customHeight="1" x14ac:dyDescent="0.25">
      <c r="B27" s="23" t="s">
        <v>54</v>
      </c>
      <c r="C27" s="50">
        <v>57</v>
      </c>
      <c r="D27" s="50">
        <v>8</v>
      </c>
      <c r="E27" s="50">
        <v>10</v>
      </c>
      <c r="F27" s="50">
        <v>21</v>
      </c>
      <c r="G27" s="50">
        <v>0</v>
      </c>
      <c r="H27" s="50">
        <v>0</v>
      </c>
      <c r="I27" s="50">
        <v>17</v>
      </c>
      <c r="J27" s="50">
        <v>7</v>
      </c>
      <c r="K27" s="50">
        <v>2</v>
      </c>
      <c r="L27" s="50">
        <v>2</v>
      </c>
      <c r="M27" s="50">
        <v>82</v>
      </c>
      <c r="N27" s="50">
        <v>0</v>
      </c>
      <c r="O27" s="15">
        <f t="shared" si="0"/>
        <v>124</v>
      </c>
      <c r="P27" s="15">
        <f t="shared" si="1"/>
        <v>206</v>
      </c>
      <c r="R27" s="29" t="s">
        <v>87</v>
      </c>
      <c r="S27" s="16">
        <f t="shared" ref="S27:AF27" si="19">SUM(S19:S21)</f>
        <v>930</v>
      </c>
      <c r="T27" s="16">
        <f t="shared" si="19"/>
        <v>423</v>
      </c>
      <c r="U27" s="16">
        <f t="shared" si="19"/>
        <v>373</v>
      </c>
      <c r="V27" s="16">
        <f t="shared" si="19"/>
        <v>444</v>
      </c>
      <c r="W27" s="16">
        <f t="shared" si="19"/>
        <v>22</v>
      </c>
      <c r="X27" s="16">
        <f t="shared" si="19"/>
        <v>5</v>
      </c>
      <c r="Y27" s="16">
        <f t="shared" si="19"/>
        <v>121</v>
      </c>
      <c r="Z27" s="16">
        <f t="shared" si="19"/>
        <v>112</v>
      </c>
      <c r="AA27" s="16">
        <f t="shared" si="19"/>
        <v>55</v>
      </c>
      <c r="AB27" s="16">
        <f t="shared" si="19"/>
        <v>87</v>
      </c>
      <c r="AC27" s="16">
        <f t="shared" si="19"/>
        <v>1602</v>
      </c>
      <c r="AD27" s="16">
        <f t="shared" si="19"/>
        <v>0</v>
      </c>
      <c r="AE27" s="32">
        <f t="shared" si="19"/>
        <v>2572</v>
      </c>
      <c r="AF27" s="32">
        <f t="shared" si="19"/>
        <v>4174</v>
      </c>
    </row>
    <row r="28" spans="2:32" ht="23.1" customHeight="1" x14ac:dyDescent="0.25">
      <c r="B28" s="23" t="s">
        <v>55</v>
      </c>
      <c r="C28" s="50">
        <v>70</v>
      </c>
      <c r="D28" s="50">
        <v>8</v>
      </c>
      <c r="E28" s="50">
        <v>12</v>
      </c>
      <c r="F28" s="50">
        <v>23</v>
      </c>
      <c r="G28" s="50">
        <v>2</v>
      </c>
      <c r="H28" s="50">
        <v>0</v>
      </c>
      <c r="I28" s="50">
        <v>8</v>
      </c>
      <c r="J28" s="50">
        <v>3</v>
      </c>
      <c r="K28" s="50">
        <v>5</v>
      </c>
      <c r="L28" s="50">
        <v>11</v>
      </c>
      <c r="M28" s="50">
        <v>102</v>
      </c>
      <c r="N28" s="50">
        <v>0</v>
      </c>
      <c r="O28" s="15">
        <f t="shared" si="0"/>
        <v>142</v>
      </c>
      <c r="P28" s="15">
        <f t="shared" si="1"/>
        <v>244</v>
      </c>
      <c r="R28" s="5" t="s">
        <v>17</v>
      </c>
      <c r="S28" s="16">
        <f t="shared" ref="S28:AF28" si="20">SUM(S10:S21)</f>
        <v>3142</v>
      </c>
      <c r="T28" s="16">
        <f t="shared" si="20"/>
        <v>1203</v>
      </c>
      <c r="U28" s="16">
        <f t="shared" si="20"/>
        <v>805</v>
      </c>
      <c r="V28" s="16">
        <f t="shared" si="20"/>
        <v>1222</v>
      </c>
      <c r="W28" s="16">
        <f t="shared" si="20"/>
        <v>78</v>
      </c>
      <c r="X28" s="16">
        <f t="shared" si="20"/>
        <v>18</v>
      </c>
      <c r="Y28" s="16">
        <f t="shared" si="20"/>
        <v>546</v>
      </c>
      <c r="Z28" s="16">
        <f t="shared" si="20"/>
        <v>330</v>
      </c>
      <c r="AA28" s="16">
        <f t="shared" si="20"/>
        <v>270</v>
      </c>
      <c r="AB28" s="16">
        <f t="shared" si="20"/>
        <v>268</v>
      </c>
      <c r="AC28" s="16">
        <f t="shared" si="20"/>
        <v>5400</v>
      </c>
      <c r="AD28" s="16">
        <f t="shared" si="20"/>
        <v>0</v>
      </c>
      <c r="AE28" s="32">
        <f t="shared" si="20"/>
        <v>7882</v>
      </c>
      <c r="AF28" s="32">
        <f t="shared" si="20"/>
        <v>13282</v>
      </c>
    </row>
    <row r="29" spans="2:32" ht="23.1" customHeight="1" x14ac:dyDescent="0.25">
      <c r="B29" s="23" t="s">
        <v>56</v>
      </c>
      <c r="C29" s="50">
        <v>54</v>
      </c>
      <c r="D29" s="50">
        <v>14</v>
      </c>
      <c r="E29" s="50">
        <v>12</v>
      </c>
      <c r="F29" s="50">
        <v>17</v>
      </c>
      <c r="G29" s="50">
        <v>0</v>
      </c>
      <c r="H29" s="50">
        <v>0</v>
      </c>
      <c r="I29" s="50">
        <v>14</v>
      </c>
      <c r="J29" s="50">
        <v>5</v>
      </c>
      <c r="K29" s="50">
        <v>9</v>
      </c>
      <c r="L29" s="50">
        <v>13</v>
      </c>
      <c r="M29" s="50">
        <v>55</v>
      </c>
      <c r="N29" s="50">
        <v>0</v>
      </c>
      <c r="O29" s="15">
        <f t="shared" si="0"/>
        <v>138</v>
      </c>
      <c r="P29" s="15">
        <f t="shared" si="1"/>
        <v>193</v>
      </c>
      <c r="R29"/>
      <c r="S29" s="20"/>
      <c r="T29" s="19"/>
    </row>
    <row r="30" spans="2:32" ht="23.1" customHeight="1" x14ac:dyDescent="0.25">
      <c r="B30" s="23" t="s">
        <v>57</v>
      </c>
      <c r="C30" s="50">
        <v>61</v>
      </c>
      <c r="D30" s="50">
        <v>14</v>
      </c>
      <c r="E30" s="50">
        <v>15</v>
      </c>
      <c r="F30" s="50">
        <v>16</v>
      </c>
      <c r="G30" s="50">
        <v>0</v>
      </c>
      <c r="H30" s="50">
        <v>0</v>
      </c>
      <c r="I30" s="50">
        <v>12</v>
      </c>
      <c r="J30" s="50">
        <v>7</v>
      </c>
      <c r="K30" s="50">
        <v>4</v>
      </c>
      <c r="L30" s="50">
        <v>4</v>
      </c>
      <c r="M30" s="50">
        <v>60</v>
      </c>
      <c r="N30" s="50">
        <v>0</v>
      </c>
      <c r="O30" s="15">
        <f t="shared" si="0"/>
        <v>133</v>
      </c>
      <c r="P30" s="15">
        <f t="shared" si="1"/>
        <v>193</v>
      </c>
    </row>
    <row r="31" spans="2:32" ht="23.1" customHeight="1" x14ac:dyDescent="0.25">
      <c r="B31" s="24" t="s">
        <v>58</v>
      </c>
      <c r="C31" s="50">
        <v>65</v>
      </c>
      <c r="D31" s="50">
        <v>22</v>
      </c>
      <c r="E31" s="50">
        <v>17</v>
      </c>
      <c r="F31" s="50">
        <v>21</v>
      </c>
      <c r="G31" s="50">
        <v>1</v>
      </c>
      <c r="H31" s="50">
        <v>0</v>
      </c>
      <c r="I31" s="50">
        <v>21</v>
      </c>
      <c r="J31" s="50">
        <v>6</v>
      </c>
      <c r="K31" s="50">
        <v>9</v>
      </c>
      <c r="L31" s="50">
        <v>8</v>
      </c>
      <c r="M31" s="50">
        <v>52</v>
      </c>
      <c r="N31" s="50">
        <v>0</v>
      </c>
      <c r="O31" s="15">
        <f t="shared" si="0"/>
        <v>170</v>
      </c>
      <c r="P31" s="15">
        <f t="shared" si="1"/>
        <v>222</v>
      </c>
    </row>
    <row r="32" spans="2:32" ht="23.1" customHeight="1" x14ac:dyDescent="0.25">
      <c r="B32" s="24" t="s">
        <v>59</v>
      </c>
      <c r="C32" s="50">
        <v>80</v>
      </c>
      <c r="D32" s="50">
        <v>19</v>
      </c>
      <c r="E32" s="50">
        <v>8</v>
      </c>
      <c r="F32" s="50">
        <v>20</v>
      </c>
      <c r="G32" s="50">
        <v>0</v>
      </c>
      <c r="H32" s="50">
        <v>1</v>
      </c>
      <c r="I32" s="50">
        <v>7</v>
      </c>
      <c r="J32" s="50">
        <v>3</v>
      </c>
      <c r="K32" s="50">
        <v>4</v>
      </c>
      <c r="L32" s="50">
        <v>3</v>
      </c>
      <c r="M32" s="50">
        <v>70</v>
      </c>
      <c r="N32" s="50">
        <v>0</v>
      </c>
      <c r="O32" s="15">
        <f t="shared" si="0"/>
        <v>145</v>
      </c>
      <c r="P32" s="15">
        <f t="shared" si="1"/>
        <v>215</v>
      </c>
    </row>
    <row r="33" spans="2:20" ht="23.1" customHeight="1" x14ac:dyDescent="0.25">
      <c r="B33" s="23" t="s">
        <v>60</v>
      </c>
      <c r="C33" s="50">
        <v>72</v>
      </c>
      <c r="D33" s="50">
        <v>18</v>
      </c>
      <c r="E33" s="50">
        <v>9</v>
      </c>
      <c r="F33" s="50">
        <v>19</v>
      </c>
      <c r="G33" s="50">
        <v>2</v>
      </c>
      <c r="H33" s="50">
        <v>1</v>
      </c>
      <c r="I33" s="50">
        <v>11</v>
      </c>
      <c r="J33" s="50">
        <v>4</v>
      </c>
      <c r="K33" s="50">
        <v>9</v>
      </c>
      <c r="L33" s="50">
        <v>7</v>
      </c>
      <c r="M33" s="50">
        <v>81</v>
      </c>
      <c r="N33" s="50">
        <v>0</v>
      </c>
      <c r="O33" s="15">
        <f t="shared" si="0"/>
        <v>152</v>
      </c>
      <c r="P33" s="15">
        <f t="shared" si="1"/>
        <v>233</v>
      </c>
    </row>
    <row r="34" spans="2:20" ht="23.1" customHeight="1" x14ac:dyDescent="0.25">
      <c r="B34" s="24" t="s">
        <v>61</v>
      </c>
      <c r="C34" s="50">
        <v>67</v>
      </c>
      <c r="D34" s="50">
        <v>23</v>
      </c>
      <c r="E34" s="50">
        <v>11</v>
      </c>
      <c r="F34" s="50">
        <v>23</v>
      </c>
      <c r="G34" s="50">
        <v>0</v>
      </c>
      <c r="H34" s="50">
        <v>0</v>
      </c>
      <c r="I34" s="50">
        <v>14</v>
      </c>
      <c r="J34" s="50">
        <v>5</v>
      </c>
      <c r="K34" s="50">
        <v>7</v>
      </c>
      <c r="L34" s="50">
        <v>8</v>
      </c>
      <c r="M34" s="50">
        <v>83</v>
      </c>
      <c r="N34" s="50">
        <v>0</v>
      </c>
      <c r="O34" s="15">
        <f t="shared" si="0"/>
        <v>158</v>
      </c>
      <c r="P34" s="15">
        <f t="shared" si="1"/>
        <v>241</v>
      </c>
    </row>
    <row r="35" spans="2:20" ht="23.1" customHeight="1" x14ac:dyDescent="0.25">
      <c r="B35" s="24" t="s">
        <v>62</v>
      </c>
      <c r="C35" s="50">
        <v>66</v>
      </c>
      <c r="D35" s="50">
        <v>20</v>
      </c>
      <c r="E35" s="50">
        <v>8</v>
      </c>
      <c r="F35" s="50">
        <v>51</v>
      </c>
      <c r="G35" s="50">
        <v>0</v>
      </c>
      <c r="H35" s="50">
        <v>0</v>
      </c>
      <c r="I35" s="50">
        <v>17</v>
      </c>
      <c r="J35" s="50">
        <v>6</v>
      </c>
      <c r="K35" s="50">
        <v>2</v>
      </c>
      <c r="L35" s="50">
        <v>7</v>
      </c>
      <c r="M35" s="50">
        <v>92</v>
      </c>
      <c r="N35" s="50">
        <v>0</v>
      </c>
      <c r="O35" s="15">
        <f t="shared" si="0"/>
        <v>177</v>
      </c>
      <c r="P35" s="15">
        <f t="shared" si="1"/>
        <v>269</v>
      </c>
    </row>
    <row r="36" spans="2:20" ht="23.1" customHeight="1" x14ac:dyDescent="0.25">
      <c r="B36" s="24" t="s">
        <v>63</v>
      </c>
      <c r="C36" s="50">
        <v>73</v>
      </c>
      <c r="D36" s="50">
        <v>18</v>
      </c>
      <c r="E36" s="50">
        <v>20</v>
      </c>
      <c r="F36" s="50">
        <v>25</v>
      </c>
      <c r="G36" s="50">
        <v>1</v>
      </c>
      <c r="H36" s="50">
        <v>0</v>
      </c>
      <c r="I36" s="50">
        <v>28</v>
      </c>
      <c r="J36" s="50">
        <v>8</v>
      </c>
      <c r="K36" s="50">
        <v>8</v>
      </c>
      <c r="L36" s="50">
        <v>2</v>
      </c>
      <c r="M36" s="50">
        <v>96</v>
      </c>
      <c r="N36" s="50">
        <v>0</v>
      </c>
      <c r="O36" s="15">
        <f t="shared" si="0"/>
        <v>183</v>
      </c>
      <c r="P36" s="15">
        <f t="shared" si="1"/>
        <v>279</v>
      </c>
    </row>
    <row r="37" spans="2:20" ht="23.1" customHeight="1" x14ac:dyDescent="0.25">
      <c r="B37" s="23" t="s">
        <v>64</v>
      </c>
      <c r="C37" s="50">
        <v>62</v>
      </c>
      <c r="D37" s="50">
        <v>23</v>
      </c>
      <c r="E37" s="50">
        <v>16</v>
      </c>
      <c r="F37" s="50">
        <v>30</v>
      </c>
      <c r="G37" s="50">
        <v>2</v>
      </c>
      <c r="H37" s="50">
        <v>0</v>
      </c>
      <c r="I37" s="50">
        <v>7</v>
      </c>
      <c r="J37" s="50">
        <v>3</v>
      </c>
      <c r="K37" s="50">
        <v>6</v>
      </c>
      <c r="L37" s="50">
        <v>4</v>
      </c>
      <c r="M37" s="50">
        <v>85</v>
      </c>
      <c r="N37" s="50">
        <v>0</v>
      </c>
      <c r="O37" s="15">
        <f t="shared" si="0"/>
        <v>153</v>
      </c>
      <c r="P37" s="15">
        <f t="shared" si="1"/>
        <v>238</v>
      </c>
    </row>
    <row r="38" spans="2:20" ht="23.1" customHeight="1" x14ac:dyDescent="0.25">
      <c r="B38" s="24" t="s">
        <v>65</v>
      </c>
      <c r="C38" s="50">
        <v>38</v>
      </c>
      <c r="D38" s="50">
        <v>12</v>
      </c>
      <c r="E38" s="50">
        <v>22</v>
      </c>
      <c r="F38" s="50">
        <v>18</v>
      </c>
      <c r="G38" s="50">
        <v>0</v>
      </c>
      <c r="H38" s="50">
        <v>0</v>
      </c>
      <c r="I38" s="50">
        <v>8</v>
      </c>
      <c r="J38" s="50">
        <v>2</v>
      </c>
      <c r="K38" s="50">
        <v>2</v>
      </c>
      <c r="L38" s="50">
        <v>1</v>
      </c>
      <c r="M38" s="50">
        <v>68</v>
      </c>
      <c r="N38" s="50">
        <v>0</v>
      </c>
      <c r="O38" s="15">
        <f t="shared" si="0"/>
        <v>103</v>
      </c>
      <c r="P38" s="15">
        <f t="shared" si="1"/>
        <v>171</v>
      </c>
    </row>
    <row r="39" spans="2:20" ht="23.1" customHeight="1" x14ac:dyDescent="0.25">
      <c r="B39" s="24" t="s">
        <v>66</v>
      </c>
      <c r="C39" s="50">
        <v>52</v>
      </c>
      <c r="D39" s="50">
        <v>28</v>
      </c>
      <c r="E39" s="50">
        <v>14</v>
      </c>
      <c r="F39" s="50">
        <v>19</v>
      </c>
      <c r="G39" s="50">
        <v>1</v>
      </c>
      <c r="H39" s="50">
        <v>0</v>
      </c>
      <c r="I39" s="50">
        <v>13</v>
      </c>
      <c r="J39" s="50">
        <v>7</v>
      </c>
      <c r="K39" s="50">
        <v>4</v>
      </c>
      <c r="L39" s="50">
        <v>3</v>
      </c>
      <c r="M39" s="50">
        <v>73</v>
      </c>
      <c r="N39" s="50">
        <v>0</v>
      </c>
      <c r="O39" s="15">
        <f t="shared" si="0"/>
        <v>141</v>
      </c>
      <c r="P39" s="15">
        <f t="shared" si="1"/>
        <v>214</v>
      </c>
    </row>
    <row r="40" spans="2:20" ht="23.1" customHeight="1" x14ac:dyDescent="0.25">
      <c r="B40" s="24" t="s">
        <v>67</v>
      </c>
      <c r="C40" s="50">
        <v>53</v>
      </c>
      <c r="D40" s="50">
        <v>9</v>
      </c>
      <c r="E40" s="50">
        <v>10</v>
      </c>
      <c r="F40" s="50">
        <v>9</v>
      </c>
      <c r="G40" s="50">
        <v>1</v>
      </c>
      <c r="H40" s="50">
        <v>1</v>
      </c>
      <c r="I40" s="50">
        <v>7</v>
      </c>
      <c r="J40" s="50">
        <v>2</v>
      </c>
      <c r="K40" s="50">
        <v>4</v>
      </c>
      <c r="L40" s="50">
        <v>6</v>
      </c>
      <c r="M40" s="50">
        <v>77</v>
      </c>
      <c r="N40" s="50">
        <v>0</v>
      </c>
      <c r="O40" s="15">
        <f t="shared" si="0"/>
        <v>102</v>
      </c>
      <c r="P40" s="15">
        <f t="shared" si="1"/>
        <v>179</v>
      </c>
    </row>
    <row r="41" spans="2:20" ht="23.1" customHeight="1" x14ac:dyDescent="0.25">
      <c r="B41" s="23" t="s">
        <v>68</v>
      </c>
      <c r="C41" s="50">
        <v>56</v>
      </c>
      <c r="D41" s="50">
        <v>17</v>
      </c>
      <c r="E41" s="50">
        <v>15</v>
      </c>
      <c r="F41" s="50">
        <v>11</v>
      </c>
      <c r="G41" s="50">
        <v>2</v>
      </c>
      <c r="H41" s="50">
        <v>0</v>
      </c>
      <c r="I41" s="50">
        <v>12</v>
      </c>
      <c r="J41" s="50">
        <v>5</v>
      </c>
      <c r="K41" s="50">
        <v>7</v>
      </c>
      <c r="L41" s="50">
        <v>4</v>
      </c>
      <c r="M41" s="50">
        <v>35</v>
      </c>
      <c r="N41" s="50">
        <v>0</v>
      </c>
      <c r="O41" s="15">
        <f t="shared" si="0"/>
        <v>129</v>
      </c>
      <c r="P41" s="15">
        <f t="shared" si="1"/>
        <v>164</v>
      </c>
    </row>
    <row r="42" spans="2:20" ht="23.1" customHeight="1" x14ac:dyDescent="0.25">
      <c r="B42" s="24" t="s">
        <v>69</v>
      </c>
      <c r="C42" s="50">
        <v>74</v>
      </c>
      <c r="D42" s="50">
        <v>24</v>
      </c>
      <c r="E42" s="50">
        <v>12</v>
      </c>
      <c r="F42" s="50">
        <v>23</v>
      </c>
      <c r="G42" s="50">
        <v>0</v>
      </c>
      <c r="H42" s="50">
        <v>0</v>
      </c>
      <c r="I42" s="50">
        <v>23</v>
      </c>
      <c r="J42" s="50">
        <v>9</v>
      </c>
      <c r="K42" s="50">
        <v>8</v>
      </c>
      <c r="L42" s="50">
        <v>9</v>
      </c>
      <c r="M42" s="50">
        <v>117</v>
      </c>
      <c r="N42" s="50">
        <v>0</v>
      </c>
      <c r="O42" s="15">
        <f t="shared" si="0"/>
        <v>182</v>
      </c>
      <c r="P42" s="15">
        <f t="shared" si="1"/>
        <v>299</v>
      </c>
    </row>
    <row r="43" spans="2:20" ht="23.1" customHeight="1" x14ac:dyDescent="0.25">
      <c r="B43" s="23" t="s">
        <v>70</v>
      </c>
      <c r="C43" s="50">
        <v>70</v>
      </c>
      <c r="D43" s="50">
        <v>15</v>
      </c>
      <c r="E43" s="50">
        <v>16</v>
      </c>
      <c r="F43" s="50">
        <v>11</v>
      </c>
      <c r="G43" s="50">
        <v>1</v>
      </c>
      <c r="H43" s="50">
        <v>0</v>
      </c>
      <c r="I43" s="50">
        <v>12</v>
      </c>
      <c r="J43" s="50">
        <v>6</v>
      </c>
      <c r="K43" s="50">
        <v>8</v>
      </c>
      <c r="L43" s="50">
        <v>4</v>
      </c>
      <c r="M43" s="50">
        <v>110</v>
      </c>
      <c r="N43" s="50">
        <v>0</v>
      </c>
      <c r="O43" s="15">
        <f t="shared" si="0"/>
        <v>143</v>
      </c>
      <c r="P43" s="15">
        <f t="shared" si="1"/>
        <v>253</v>
      </c>
    </row>
    <row r="44" spans="2:20" ht="23.1" customHeight="1" x14ac:dyDescent="0.25">
      <c r="B44" s="25" t="s">
        <v>71</v>
      </c>
      <c r="C44" s="50">
        <v>60</v>
      </c>
      <c r="D44" s="50">
        <v>33</v>
      </c>
      <c r="E44" s="50">
        <v>7</v>
      </c>
      <c r="F44" s="50">
        <v>14</v>
      </c>
      <c r="G44" s="50">
        <v>1</v>
      </c>
      <c r="H44" s="50">
        <v>0</v>
      </c>
      <c r="I44" s="50">
        <v>20</v>
      </c>
      <c r="J44" s="50">
        <v>9</v>
      </c>
      <c r="K44" s="50">
        <v>7</v>
      </c>
      <c r="L44" s="50">
        <v>9</v>
      </c>
      <c r="M44" s="50">
        <v>114</v>
      </c>
      <c r="N44" s="50">
        <v>0</v>
      </c>
      <c r="O44" s="15">
        <f t="shared" si="0"/>
        <v>160</v>
      </c>
      <c r="P44" s="15">
        <f t="shared" si="1"/>
        <v>274</v>
      </c>
    </row>
    <row r="45" spans="2:20" ht="23.1" customHeight="1" x14ac:dyDescent="0.25">
      <c r="B45" s="23" t="s">
        <v>72</v>
      </c>
      <c r="C45" s="50">
        <v>62</v>
      </c>
      <c r="D45" s="50">
        <v>17</v>
      </c>
      <c r="E45" s="50">
        <v>12</v>
      </c>
      <c r="F45" s="50">
        <v>19</v>
      </c>
      <c r="G45" s="50">
        <v>0</v>
      </c>
      <c r="H45" s="50">
        <v>0</v>
      </c>
      <c r="I45" s="50">
        <v>13</v>
      </c>
      <c r="J45" s="50">
        <v>12</v>
      </c>
      <c r="K45" s="50">
        <v>11</v>
      </c>
      <c r="L45" s="50">
        <v>10</v>
      </c>
      <c r="M45" s="50">
        <v>112</v>
      </c>
      <c r="N45" s="50">
        <v>0</v>
      </c>
      <c r="O45" s="15">
        <f t="shared" si="0"/>
        <v>156</v>
      </c>
      <c r="P45" s="15">
        <f t="shared" si="1"/>
        <v>268</v>
      </c>
    </row>
    <row r="46" spans="2:20" ht="23.1" customHeight="1" x14ac:dyDescent="0.25">
      <c r="B46" s="24" t="s">
        <v>73</v>
      </c>
      <c r="C46" s="50">
        <v>85</v>
      </c>
      <c r="D46" s="50">
        <v>27</v>
      </c>
      <c r="E46" s="50">
        <v>35</v>
      </c>
      <c r="F46" s="50">
        <v>26</v>
      </c>
      <c r="G46" s="50">
        <v>0</v>
      </c>
      <c r="H46" s="50">
        <v>0</v>
      </c>
      <c r="I46" s="50">
        <v>23</v>
      </c>
      <c r="J46" s="50">
        <v>8</v>
      </c>
      <c r="K46" s="50">
        <v>4</v>
      </c>
      <c r="L46" s="50">
        <v>15</v>
      </c>
      <c r="M46" s="50">
        <v>110</v>
      </c>
      <c r="N46" s="50">
        <v>0</v>
      </c>
      <c r="O46" s="15">
        <f t="shared" si="0"/>
        <v>223</v>
      </c>
      <c r="P46" s="15">
        <f t="shared" si="1"/>
        <v>333</v>
      </c>
      <c r="R46" s="8"/>
      <c r="T46"/>
    </row>
    <row r="47" spans="2:20" ht="23.1" customHeight="1" x14ac:dyDescent="0.25">
      <c r="B47" s="24" t="s">
        <v>74</v>
      </c>
      <c r="C47" s="50">
        <v>87</v>
      </c>
      <c r="D47" s="50">
        <v>31</v>
      </c>
      <c r="E47" s="50">
        <v>14</v>
      </c>
      <c r="F47" s="50">
        <v>18</v>
      </c>
      <c r="G47" s="50">
        <v>1</v>
      </c>
      <c r="H47" s="50">
        <v>0</v>
      </c>
      <c r="I47" s="50">
        <v>14</v>
      </c>
      <c r="J47" s="50">
        <v>9</v>
      </c>
      <c r="K47" s="50">
        <v>10</v>
      </c>
      <c r="L47" s="50">
        <v>4</v>
      </c>
      <c r="M47" s="50">
        <v>143</v>
      </c>
      <c r="N47" s="50">
        <v>0</v>
      </c>
      <c r="O47" s="15">
        <f t="shared" si="0"/>
        <v>188</v>
      </c>
      <c r="P47" s="15">
        <f t="shared" si="1"/>
        <v>331</v>
      </c>
      <c r="R47" s="8"/>
      <c r="T47"/>
    </row>
    <row r="48" spans="2:20" ht="23.1" customHeight="1" x14ac:dyDescent="0.25">
      <c r="B48" s="24" t="s">
        <v>75</v>
      </c>
      <c r="C48" s="50">
        <v>77</v>
      </c>
      <c r="D48" s="50">
        <v>18</v>
      </c>
      <c r="E48" s="50">
        <v>33</v>
      </c>
      <c r="F48" s="50">
        <v>42</v>
      </c>
      <c r="G48" s="50">
        <v>3</v>
      </c>
      <c r="H48" s="50">
        <v>1</v>
      </c>
      <c r="I48" s="50">
        <v>12</v>
      </c>
      <c r="J48" s="50">
        <v>7</v>
      </c>
      <c r="K48" s="50">
        <v>4</v>
      </c>
      <c r="L48" s="50">
        <v>10</v>
      </c>
      <c r="M48" s="50">
        <v>122</v>
      </c>
      <c r="N48" s="50">
        <v>0</v>
      </c>
      <c r="O48" s="15">
        <f t="shared" si="0"/>
        <v>207</v>
      </c>
      <c r="P48" s="15">
        <f t="shared" si="1"/>
        <v>329</v>
      </c>
      <c r="R48" s="8"/>
      <c r="T48"/>
    </row>
    <row r="49" spans="2:20" ht="23.1" customHeight="1" x14ac:dyDescent="0.25">
      <c r="B49" s="23" t="s">
        <v>76</v>
      </c>
      <c r="C49" s="50">
        <v>59</v>
      </c>
      <c r="D49" s="50">
        <v>39</v>
      </c>
      <c r="E49" s="50">
        <v>34</v>
      </c>
      <c r="F49" s="50">
        <v>36</v>
      </c>
      <c r="G49" s="50">
        <v>1</v>
      </c>
      <c r="H49" s="50">
        <v>1</v>
      </c>
      <c r="I49" s="50">
        <v>7</v>
      </c>
      <c r="J49" s="50">
        <v>7</v>
      </c>
      <c r="K49" s="50">
        <v>4</v>
      </c>
      <c r="L49" s="50">
        <v>2</v>
      </c>
      <c r="M49" s="50">
        <v>119</v>
      </c>
      <c r="N49" s="50">
        <v>0</v>
      </c>
      <c r="O49" s="15">
        <f t="shared" si="0"/>
        <v>190</v>
      </c>
      <c r="P49" s="15">
        <f t="shared" si="1"/>
        <v>309</v>
      </c>
      <c r="R49" s="8"/>
      <c r="T49"/>
    </row>
    <row r="50" spans="2:20" ht="23.1" customHeight="1" x14ac:dyDescent="0.25">
      <c r="B50" s="24" t="s">
        <v>77</v>
      </c>
      <c r="C50" s="50">
        <v>86</v>
      </c>
      <c r="D50" s="50">
        <v>22</v>
      </c>
      <c r="E50" s="50">
        <v>26</v>
      </c>
      <c r="F50" s="50">
        <v>38</v>
      </c>
      <c r="G50" s="50">
        <v>2</v>
      </c>
      <c r="H50" s="50">
        <v>1</v>
      </c>
      <c r="I50" s="50">
        <v>13</v>
      </c>
      <c r="J50" s="50">
        <v>15</v>
      </c>
      <c r="K50" s="50">
        <v>9</v>
      </c>
      <c r="L50" s="50">
        <v>8</v>
      </c>
      <c r="M50" s="50">
        <v>143</v>
      </c>
      <c r="N50" s="50">
        <v>0</v>
      </c>
      <c r="O50" s="15">
        <f t="shared" si="0"/>
        <v>220</v>
      </c>
      <c r="P50" s="15">
        <f t="shared" si="1"/>
        <v>363</v>
      </c>
      <c r="R50" s="8"/>
      <c r="T50"/>
    </row>
    <row r="51" spans="2:20" ht="23.1" customHeight="1" x14ac:dyDescent="0.25">
      <c r="B51" s="24" t="s">
        <v>78</v>
      </c>
      <c r="C51" s="50">
        <v>75</v>
      </c>
      <c r="D51" s="50">
        <v>27</v>
      </c>
      <c r="E51" s="50">
        <v>23</v>
      </c>
      <c r="F51" s="50">
        <v>26</v>
      </c>
      <c r="G51" s="50">
        <v>3</v>
      </c>
      <c r="H51" s="50">
        <v>0</v>
      </c>
      <c r="I51" s="50">
        <v>8</v>
      </c>
      <c r="J51" s="50">
        <v>8</v>
      </c>
      <c r="K51" s="50">
        <v>3</v>
      </c>
      <c r="L51" s="50">
        <v>7</v>
      </c>
      <c r="M51" s="50">
        <v>163</v>
      </c>
      <c r="N51" s="50">
        <v>0</v>
      </c>
      <c r="O51" s="15">
        <f t="shared" si="0"/>
        <v>180</v>
      </c>
      <c r="P51" s="15">
        <f t="shared" si="1"/>
        <v>343</v>
      </c>
      <c r="R51" s="8"/>
      <c r="T51"/>
    </row>
    <row r="52" spans="2:20" ht="23.1" customHeight="1" x14ac:dyDescent="0.25">
      <c r="B52" s="24" t="s">
        <v>79</v>
      </c>
      <c r="C52" s="50">
        <v>95</v>
      </c>
      <c r="D52" s="50">
        <v>45</v>
      </c>
      <c r="E52" s="50">
        <v>32</v>
      </c>
      <c r="F52" s="50">
        <v>45</v>
      </c>
      <c r="G52" s="50">
        <v>1</v>
      </c>
      <c r="H52" s="50">
        <v>0</v>
      </c>
      <c r="I52" s="50">
        <v>6</v>
      </c>
      <c r="J52" s="50">
        <v>17</v>
      </c>
      <c r="K52" s="50">
        <v>2</v>
      </c>
      <c r="L52" s="50">
        <v>8</v>
      </c>
      <c r="M52" s="50">
        <v>150</v>
      </c>
      <c r="N52" s="50">
        <v>0</v>
      </c>
      <c r="O52" s="15">
        <f t="shared" si="0"/>
        <v>251</v>
      </c>
      <c r="P52" s="15">
        <f t="shared" si="1"/>
        <v>401</v>
      </c>
      <c r="R52" s="8"/>
      <c r="T52"/>
    </row>
    <row r="53" spans="2:20" ht="23.1" customHeight="1" x14ac:dyDescent="0.25">
      <c r="B53" s="23" t="s">
        <v>80</v>
      </c>
      <c r="C53" s="50">
        <v>94</v>
      </c>
      <c r="D53" s="50">
        <v>64</v>
      </c>
      <c r="E53" s="50">
        <v>27</v>
      </c>
      <c r="F53" s="50">
        <v>40</v>
      </c>
      <c r="G53" s="50">
        <v>3</v>
      </c>
      <c r="H53" s="50">
        <v>0</v>
      </c>
      <c r="I53" s="50">
        <v>8</v>
      </c>
      <c r="J53" s="50">
        <v>10</v>
      </c>
      <c r="K53" s="50">
        <v>4</v>
      </c>
      <c r="L53" s="50">
        <v>8</v>
      </c>
      <c r="M53" s="50">
        <v>120</v>
      </c>
      <c r="N53" s="50">
        <v>0</v>
      </c>
      <c r="O53" s="15">
        <f t="shared" si="0"/>
        <v>258</v>
      </c>
      <c r="P53" s="15">
        <f t="shared" si="1"/>
        <v>378</v>
      </c>
      <c r="R53" s="8"/>
      <c r="T53"/>
    </row>
    <row r="54" spans="2:20" ht="23.1" customHeight="1" x14ac:dyDescent="0.25">
      <c r="B54" s="23" t="s">
        <v>81</v>
      </c>
      <c r="C54" s="50">
        <v>69</v>
      </c>
      <c r="D54" s="50">
        <v>38</v>
      </c>
      <c r="E54" s="50">
        <v>20</v>
      </c>
      <c r="F54" s="50">
        <v>26</v>
      </c>
      <c r="G54" s="50">
        <v>4</v>
      </c>
      <c r="H54" s="50">
        <v>1</v>
      </c>
      <c r="I54" s="50">
        <v>9</v>
      </c>
      <c r="J54" s="50">
        <v>4</v>
      </c>
      <c r="K54" s="50">
        <v>2</v>
      </c>
      <c r="L54" s="50">
        <v>8</v>
      </c>
      <c r="M54" s="50">
        <v>120</v>
      </c>
      <c r="N54" s="50">
        <v>0</v>
      </c>
      <c r="O54" s="15">
        <f t="shared" si="0"/>
        <v>181</v>
      </c>
      <c r="P54" s="15">
        <f t="shared" si="1"/>
        <v>301</v>
      </c>
      <c r="R54" s="8"/>
      <c r="T54"/>
    </row>
    <row r="55" spans="2:20" ht="23.1" customHeight="1" x14ac:dyDescent="0.25">
      <c r="B55" s="23" t="s">
        <v>82</v>
      </c>
      <c r="C55" s="50">
        <v>66</v>
      </c>
      <c r="D55" s="50">
        <v>47</v>
      </c>
      <c r="E55" s="50">
        <v>48</v>
      </c>
      <c r="F55" s="50">
        <v>53</v>
      </c>
      <c r="G55" s="50">
        <v>1</v>
      </c>
      <c r="H55" s="50">
        <v>0</v>
      </c>
      <c r="I55" s="50">
        <v>7</v>
      </c>
      <c r="J55" s="50">
        <v>9</v>
      </c>
      <c r="K55" s="50">
        <v>4</v>
      </c>
      <c r="L55" s="50">
        <v>6</v>
      </c>
      <c r="M55" s="50">
        <v>133</v>
      </c>
      <c r="N55" s="50">
        <v>0</v>
      </c>
      <c r="O55" s="15">
        <f t="shared" si="0"/>
        <v>241</v>
      </c>
      <c r="P55" s="15">
        <f t="shared" si="1"/>
        <v>374</v>
      </c>
      <c r="R55" s="8"/>
      <c r="T55"/>
    </row>
    <row r="56" spans="2:20" ht="23.1" customHeight="1" x14ac:dyDescent="0.25">
      <c r="B56" s="23" t="s">
        <v>83</v>
      </c>
      <c r="C56" s="50">
        <v>58</v>
      </c>
      <c r="D56" s="50">
        <v>24</v>
      </c>
      <c r="E56" s="50">
        <v>37</v>
      </c>
      <c r="F56" s="50">
        <v>32</v>
      </c>
      <c r="G56" s="50">
        <v>0</v>
      </c>
      <c r="H56" s="50">
        <v>0</v>
      </c>
      <c r="I56" s="50">
        <v>5</v>
      </c>
      <c r="J56" s="50">
        <v>6</v>
      </c>
      <c r="K56" s="50">
        <v>5</v>
      </c>
      <c r="L56" s="50">
        <v>5</v>
      </c>
      <c r="M56" s="50">
        <v>121</v>
      </c>
      <c r="N56" s="50">
        <v>0</v>
      </c>
      <c r="O56" s="15">
        <f t="shared" si="0"/>
        <v>172</v>
      </c>
      <c r="P56" s="15">
        <f t="shared" si="1"/>
        <v>293</v>
      </c>
      <c r="R56" s="8"/>
      <c r="T56"/>
    </row>
    <row r="57" spans="2:20" ht="23.1" customHeight="1" x14ac:dyDescent="0.25">
      <c r="B57" s="23" t="s">
        <v>84</v>
      </c>
      <c r="C57" s="50">
        <v>79</v>
      </c>
      <c r="D57" s="50">
        <v>41</v>
      </c>
      <c r="E57" s="50">
        <v>44</v>
      </c>
      <c r="F57" s="50">
        <v>62</v>
      </c>
      <c r="G57" s="50">
        <v>3</v>
      </c>
      <c r="H57" s="50">
        <v>1</v>
      </c>
      <c r="I57" s="50">
        <v>9</v>
      </c>
      <c r="J57" s="50">
        <v>12</v>
      </c>
      <c r="K57" s="50">
        <v>4</v>
      </c>
      <c r="L57" s="50">
        <v>6</v>
      </c>
      <c r="M57" s="50">
        <v>158</v>
      </c>
      <c r="N57" s="50">
        <v>0</v>
      </c>
      <c r="O57" s="15">
        <f t="shared" si="0"/>
        <v>261</v>
      </c>
      <c r="P57" s="15">
        <f t="shared" si="1"/>
        <v>419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3142</v>
      </c>
      <c r="D58" s="16">
        <f t="shared" si="21"/>
        <v>1203</v>
      </c>
      <c r="E58" s="16">
        <f t="shared" si="21"/>
        <v>805</v>
      </c>
      <c r="F58" s="16">
        <f t="shared" si="21"/>
        <v>1222</v>
      </c>
      <c r="G58" s="16">
        <f t="shared" si="21"/>
        <v>78</v>
      </c>
      <c r="H58" s="16">
        <f t="shared" si="21"/>
        <v>18</v>
      </c>
      <c r="I58" s="16">
        <f t="shared" si="21"/>
        <v>546</v>
      </c>
      <c r="J58" s="16">
        <f t="shared" si="21"/>
        <v>330</v>
      </c>
      <c r="K58" s="16">
        <f t="shared" si="21"/>
        <v>270</v>
      </c>
      <c r="L58" s="16">
        <f t="shared" si="21"/>
        <v>268</v>
      </c>
      <c r="M58" s="16">
        <f t="shared" si="21"/>
        <v>5400</v>
      </c>
      <c r="N58" s="16">
        <f t="shared" si="21"/>
        <v>0</v>
      </c>
      <c r="O58" s="16">
        <f t="shared" si="21"/>
        <v>7882</v>
      </c>
      <c r="P58" s="16">
        <f t="shared" si="21"/>
        <v>13282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0.23656075892184911</v>
      </c>
      <c r="D59" s="43">
        <f t="shared" si="22"/>
        <v>9.0573708778798376E-2</v>
      </c>
      <c r="E59" s="43">
        <f t="shared" si="22"/>
        <v>6.0608342117151034E-2</v>
      </c>
      <c r="F59" s="43">
        <f t="shared" si="22"/>
        <v>9.2004216232495106E-2</v>
      </c>
      <c r="G59" s="43">
        <f t="shared" si="22"/>
        <v>5.8726095467550067E-3</v>
      </c>
      <c r="H59" s="43">
        <f t="shared" si="22"/>
        <v>1.355217587712694E-3</v>
      </c>
      <c r="I59" s="43">
        <f t="shared" si="22"/>
        <v>4.110826682728505E-2</v>
      </c>
      <c r="J59" s="43">
        <f t="shared" si="22"/>
        <v>2.484565577473272E-2</v>
      </c>
      <c r="K59" s="43">
        <f t="shared" si="22"/>
        <v>2.0328263815690407E-2</v>
      </c>
      <c r="L59" s="43">
        <f t="shared" si="22"/>
        <v>2.0177684083722332E-2</v>
      </c>
      <c r="M59" s="43">
        <f t="shared" si="22"/>
        <v>0.40656527631380818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0.39862978939355492</v>
      </c>
      <c r="D60" s="44">
        <f t="shared" ref="D60:N60" si="23">D58/$O$58</f>
        <v>0.15262623699568637</v>
      </c>
      <c r="E60" s="44">
        <f t="shared" si="23"/>
        <v>0.10213143872113677</v>
      </c>
      <c r="F60" s="44">
        <f t="shared" si="23"/>
        <v>0.1550367926922101</v>
      </c>
      <c r="G60" s="44">
        <f t="shared" si="23"/>
        <v>9.8959654909921337E-3</v>
      </c>
      <c r="H60" s="44">
        <f t="shared" si="23"/>
        <v>2.283684344075108E-3</v>
      </c>
      <c r="I60" s="44">
        <f t="shared" si="23"/>
        <v>6.9271758436944941E-2</v>
      </c>
      <c r="J60" s="44">
        <f t="shared" si="23"/>
        <v>4.1867546308043645E-2</v>
      </c>
      <c r="K60" s="44">
        <f t="shared" si="23"/>
        <v>3.4255265161126619E-2</v>
      </c>
      <c r="L60" s="44">
        <f t="shared" si="23"/>
        <v>3.400152245622938E-2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67" t="str">
        <f>'22.07 Lubigi-Masanafu'!G5:H5</f>
        <v>Northern Bypass</v>
      </c>
      <c r="H5" s="68"/>
      <c r="I5" s="14"/>
      <c r="J5" s="2" t="s">
        <v>5</v>
      </c>
      <c r="K5" s="67" t="s">
        <v>174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Lubigi-Masanafu'!D6:E6</f>
        <v>Lubigi</v>
      </c>
      <c r="E6" s="68"/>
      <c r="F6" s="2" t="s">
        <v>2</v>
      </c>
      <c r="G6" s="67" t="str">
        <f>'22.07 Lubigi-Masanafu'!G6:H6</f>
        <v>Masanafu</v>
      </c>
      <c r="H6" s="68"/>
      <c r="J6" s="2" t="s">
        <v>21</v>
      </c>
      <c r="K6" s="67" t="str">
        <f>'22.07 Lubigi-Masanafu'!K6:L6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43</v>
      </c>
      <c r="D10" s="50">
        <v>9</v>
      </c>
      <c r="E10" s="50">
        <v>4</v>
      </c>
      <c r="F10" s="50">
        <v>17</v>
      </c>
      <c r="G10" s="50">
        <v>3</v>
      </c>
      <c r="H10" s="50">
        <v>0</v>
      </c>
      <c r="I10" s="50">
        <v>5</v>
      </c>
      <c r="J10" s="50">
        <v>4</v>
      </c>
      <c r="K10" s="50">
        <v>0</v>
      </c>
      <c r="L10" s="50">
        <v>2</v>
      </c>
      <c r="M10" s="50">
        <v>118</v>
      </c>
      <c r="N10" s="50">
        <v>0</v>
      </c>
      <c r="O10" s="15">
        <f t="shared" ref="O10:O57" si="0">SUM(C10:L10,N10)</f>
        <v>87</v>
      </c>
      <c r="P10" s="15">
        <f t="shared" ref="P10:P57" si="1">SUM(C10:N10)</f>
        <v>205</v>
      </c>
      <c r="R10" s="1" t="s">
        <v>6</v>
      </c>
      <c r="S10" s="17">
        <f t="shared" ref="S10:AF10" si="2">SUM(C10:C13)</f>
        <v>218</v>
      </c>
      <c r="T10" s="17">
        <f t="shared" si="2"/>
        <v>53</v>
      </c>
      <c r="U10" s="17">
        <f t="shared" si="2"/>
        <v>30</v>
      </c>
      <c r="V10" s="17">
        <f t="shared" si="2"/>
        <v>63</v>
      </c>
      <c r="W10" s="17">
        <f t="shared" si="2"/>
        <v>14</v>
      </c>
      <c r="X10" s="17">
        <f t="shared" si="2"/>
        <v>0</v>
      </c>
      <c r="Y10" s="17">
        <f t="shared" si="2"/>
        <v>33</v>
      </c>
      <c r="Z10" s="17">
        <f t="shared" si="2"/>
        <v>29</v>
      </c>
      <c r="AA10" s="17">
        <f t="shared" si="2"/>
        <v>11</v>
      </c>
      <c r="AB10" s="17">
        <f t="shared" si="2"/>
        <v>5</v>
      </c>
      <c r="AC10" s="17">
        <f t="shared" si="2"/>
        <v>503</v>
      </c>
      <c r="AD10" s="17">
        <f t="shared" si="2"/>
        <v>0</v>
      </c>
      <c r="AE10" s="31">
        <f t="shared" si="2"/>
        <v>456</v>
      </c>
      <c r="AF10" s="31">
        <f t="shared" si="2"/>
        <v>959</v>
      </c>
    </row>
    <row r="11" spans="2:32" s="6" customFormat="1" ht="23.1" customHeight="1" x14ac:dyDescent="0.25">
      <c r="B11" s="23" t="s">
        <v>38</v>
      </c>
      <c r="C11" s="50">
        <v>54</v>
      </c>
      <c r="D11" s="50">
        <v>13</v>
      </c>
      <c r="E11" s="50">
        <v>8</v>
      </c>
      <c r="F11" s="50">
        <v>19</v>
      </c>
      <c r="G11" s="50">
        <v>5</v>
      </c>
      <c r="H11" s="50">
        <v>0</v>
      </c>
      <c r="I11" s="50">
        <v>6</v>
      </c>
      <c r="J11" s="50">
        <v>6</v>
      </c>
      <c r="K11" s="50">
        <v>4</v>
      </c>
      <c r="L11" s="50">
        <v>1</v>
      </c>
      <c r="M11" s="50">
        <v>114</v>
      </c>
      <c r="N11" s="50">
        <v>0</v>
      </c>
      <c r="O11" s="15">
        <f t="shared" si="0"/>
        <v>116</v>
      </c>
      <c r="P11" s="15">
        <f t="shared" si="1"/>
        <v>230</v>
      </c>
      <c r="R11" s="1" t="s">
        <v>7</v>
      </c>
      <c r="S11" s="17">
        <f t="shared" ref="S11:AF11" si="3">SUM(C14:C17)</f>
        <v>167</v>
      </c>
      <c r="T11" s="17">
        <f t="shared" si="3"/>
        <v>72</v>
      </c>
      <c r="U11" s="17">
        <f t="shared" si="3"/>
        <v>47</v>
      </c>
      <c r="V11" s="17">
        <f t="shared" si="3"/>
        <v>73</v>
      </c>
      <c r="W11" s="17">
        <f t="shared" si="3"/>
        <v>2</v>
      </c>
      <c r="X11" s="17">
        <f t="shared" si="3"/>
        <v>1</v>
      </c>
      <c r="Y11" s="17">
        <f t="shared" si="3"/>
        <v>28</v>
      </c>
      <c r="Z11" s="17">
        <f t="shared" si="3"/>
        <v>38</v>
      </c>
      <c r="AA11" s="17">
        <f t="shared" si="3"/>
        <v>31</v>
      </c>
      <c r="AB11" s="17">
        <f t="shared" si="3"/>
        <v>11</v>
      </c>
      <c r="AC11" s="17">
        <f t="shared" si="3"/>
        <v>441</v>
      </c>
      <c r="AD11" s="17">
        <f t="shared" si="3"/>
        <v>0</v>
      </c>
      <c r="AE11" s="31">
        <f t="shared" si="3"/>
        <v>470</v>
      </c>
      <c r="AF11" s="31">
        <f t="shared" si="3"/>
        <v>911</v>
      </c>
    </row>
    <row r="12" spans="2:32" ht="23.1" customHeight="1" x14ac:dyDescent="0.25">
      <c r="B12" s="23" t="s">
        <v>39</v>
      </c>
      <c r="C12" s="50">
        <v>65</v>
      </c>
      <c r="D12" s="50">
        <v>16</v>
      </c>
      <c r="E12" s="50">
        <v>9</v>
      </c>
      <c r="F12" s="50">
        <v>14</v>
      </c>
      <c r="G12" s="50">
        <v>2</v>
      </c>
      <c r="H12" s="50">
        <v>0</v>
      </c>
      <c r="I12" s="50">
        <v>13</v>
      </c>
      <c r="J12" s="50">
        <v>8</v>
      </c>
      <c r="K12" s="50">
        <v>5</v>
      </c>
      <c r="L12" s="50">
        <v>1</v>
      </c>
      <c r="M12" s="50">
        <v>142</v>
      </c>
      <c r="N12" s="50">
        <v>0</v>
      </c>
      <c r="O12" s="15">
        <f t="shared" si="0"/>
        <v>133</v>
      </c>
      <c r="P12" s="15">
        <f t="shared" si="1"/>
        <v>275</v>
      </c>
      <c r="R12" s="1" t="s">
        <v>8</v>
      </c>
      <c r="S12" s="17">
        <f t="shared" ref="S12:AF12" si="4">SUM(C18:C21)</f>
        <v>180</v>
      </c>
      <c r="T12" s="17">
        <f t="shared" si="4"/>
        <v>66</v>
      </c>
      <c r="U12" s="17">
        <f t="shared" si="4"/>
        <v>42</v>
      </c>
      <c r="V12" s="17">
        <f t="shared" si="4"/>
        <v>60</v>
      </c>
      <c r="W12" s="17">
        <f t="shared" si="4"/>
        <v>18</v>
      </c>
      <c r="X12" s="17">
        <f t="shared" si="4"/>
        <v>3</v>
      </c>
      <c r="Y12" s="17">
        <f t="shared" si="4"/>
        <v>48</v>
      </c>
      <c r="Z12" s="17">
        <f t="shared" si="4"/>
        <v>28</v>
      </c>
      <c r="AA12" s="17">
        <f t="shared" si="4"/>
        <v>19</v>
      </c>
      <c r="AB12" s="17">
        <f t="shared" si="4"/>
        <v>21</v>
      </c>
      <c r="AC12" s="17">
        <f t="shared" si="4"/>
        <v>437</v>
      </c>
      <c r="AD12" s="17">
        <f t="shared" si="4"/>
        <v>0</v>
      </c>
      <c r="AE12" s="31">
        <f t="shared" si="4"/>
        <v>485</v>
      </c>
      <c r="AF12" s="31">
        <f t="shared" si="4"/>
        <v>922</v>
      </c>
    </row>
    <row r="13" spans="2:32" ht="23.1" customHeight="1" x14ac:dyDescent="0.25">
      <c r="B13" s="23" t="s">
        <v>40</v>
      </c>
      <c r="C13" s="50">
        <v>56</v>
      </c>
      <c r="D13" s="50">
        <v>15</v>
      </c>
      <c r="E13" s="50">
        <v>9</v>
      </c>
      <c r="F13" s="50">
        <v>13</v>
      </c>
      <c r="G13" s="50">
        <v>4</v>
      </c>
      <c r="H13" s="50">
        <v>0</v>
      </c>
      <c r="I13" s="50">
        <v>9</v>
      </c>
      <c r="J13" s="50">
        <v>11</v>
      </c>
      <c r="K13" s="50">
        <v>2</v>
      </c>
      <c r="L13" s="50">
        <v>1</v>
      </c>
      <c r="M13" s="50">
        <v>129</v>
      </c>
      <c r="N13" s="50">
        <v>0</v>
      </c>
      <c r="O13" s="15">
        <f t="shared" si="0"/>
        <v>120</v>
      </c>
      <c r="P13" s="15">
        <f t="shared" si="1"/>
        <v>249</v>
      </c>
      <c r="R13" s="1" t="s">
        <v>9</v>
      </c>
      <c r="S13" s="17">
        <f t="shared" ref="S13:AF13" si="5">SUM(C22:C25)</f>
        <v>230</v>
      </c>
      <c r="T13" s="17">
        <f t="shared" si="5"/>
        <v>67</v>
      </c>
      <c r="U13" s="17">
        <f t="shared" si="5"/>
        <v>56</v>
      </c>
      <c r="V13" s="17">
        <f t="shared" si="5"/>
        <v>78</v>
      </c>
      <c r="W13" s="17">
        <f t="shared" si="5"/>
        <v>8</v>
      </c>
      <c r="X13" s="17">
        <f t="shared" si="5"/>
        <v>2</v>
      </c>
      <c r="Y13" s="17">
        <f t="shared" si="5"/>
        <v>39</v>
      </c>
      <c r="Z13" s="17">
        <f t="shared" si="5"/>
        <v>34</v>
      </c>
      <c r="AA13" s="17">
        <f t="shared" si="5"/>
        <v>27</v>
      </c>
      <c r="AB13" s="17">
        <f t="shared" si="5"/>
        <v>32</v>
      </c>
      <c r="AC13" s="17">
        <f t="shared" si="5"/>
        <v>511</v>
      </c>
      <c r="AD13" s="17">
        <f t="shared" si="5"/>
        <v>0</v>
      </c>
      <c r="AE13" s="31">
        <f t="shared" si="5"/>
        <v>573</v>
      </c>
      <c r="AF13" s="31">
        <f t="shared" si="5"/>
        <v>1084</v>
      </c>
    </row>
    <row r="14" spans="2:32" ht="23.1" customHeight="1" x14ac:dyDescent="0.25">
      <c r="B14" s="23" t="s">
        <v>41</v>
      </c>
      <c r="C14" s="50">
        <v>45</v>
      </c>
      <c r="D14" s="50">
        <v>21</v>
      </c>
      <c r="E14" s="50">
        <v>8</v>
      </c>
      <c r="F14" s="50">
        <v>11</v>
      </c>
      <c r="G14" s="50">
        <v>0</v>
      </c>
      <c r="H14" s="50">
        <v>0</v>
      </c>
      <c r="I14" s="50">
        <v>12</v>
      </c>
      <c r="J14" s="50">
        <v>11</v>
      </c>
      <c r="K14" s="50">
        <v>12</v>
      </c>
      <c r="L14" s="50">
        <v>2</v>
      </c>
      <c r="M14" s="50">
        <v>130</v>
      </c>
      <c r="N14" s="50">
        <v>0</v>
      </c>
      <c r="O14" s="15">
        <f t="shared" si="0"/>
        <v>122</v>
      </c>
      <c r="P14" s="15">
        <f t="shared" si="1"/>
        <v>252</v>
      </c>
      <c r="R14" s="1" t="s">
        <v>10</v>
      </c>
      <c r="S14" s="17">
        <f t="shared" ref="S14:AF14" si="6">SUM(C26:C29)</f>
        <v>219</v>
      </c>
      <c r="T14" s="17">
        <f t="shared" si="6"/>
        <v>62</v>
      </c>
      <c r="U14" s="17">
        <f t="shared" si="6"/>
        <v>42</v>
      </c>
      <c r="V14" s="17">
        <f t="shared" si="6"/>
        <v>62</v>
      </c>
      <c r="W14" s="17">
        <f t="shared" si="6"/>
        <v>4</v>
      </c>
      <c r="X14" s="17">
        <f t="shared" si="6"/>
        <v>3</v>
      </c>
      <c r="Y14" s="17">
        <f t="shared" si="6"/>
        <v>41</v>
      </c>
      <c r="Z14" s="17">
        <f t="shared" si="6"/>
        <v>32</v>
      </c>
      <c r="AA14" s="17">
        <f t="shared" si="6"/>
        <v>29</v>
      </c>
      <c r="AB14" s="17">
        <f t="shared" si="6"/>
        <v>21</v>
      </c>
      <c r="AC14" s="17">
        <f t="shared" si="6"/>
        <v>422</v>
      </c>
      <c r="AD14" s="17">
        <f t="shared" si="6"/>
        <v>0</v>
      </c>
      <c r="AE14" s="31">
        <f t="shared" si="6"/>
        <v>515</v>
      </c>
      <c r="AF14" s="31">
        <f t="shared" si="6"/>
        <v>937</v>
      </c>
    </row>
    <row r="15" spans="2:32" ht="23.1" customHeight="1" x14ac:dyDescent="0.25">
      <c r="B15" s="23" t="s">
        <v>42</v>
      </c>
      <c r="C15" s="50">
        <v>5</v>
      </c>
      <c r="D15" s="50">
        <v>15</v>
      </c>
      <c r="E15" s="50">
        <v>11</v>
      </c>
      <c r="F15" s="50">
        <v>23</v>
      </c>
      <c r="G15" s="50">
        <v>1</v>
      </c>
      <c r="H15" s="50">
        <v>1</v>
      </c>
      <c r="I15" s="50">
        <v>2</v>
      </c>
      <c r="J15" s="50">
        <v>8</v>
      </c>
      <c r="K15" s="50">
        <v>2</v>
      </c>
      <c r="L15" s="50">
        <v>1</v>
      </c>
      <c r="M15" s="50">
        <v>165</v>
      </c>
      <c r="N15" s="50">
        <v>0</v>
      </c>
      <c r="O15" s="15">
        <f t="shared" si="0"/>
        <v>69</v>
      </c>
      <c r="P15" s="15">
        <f t="shared" si="1"/>
        <v>234</v>
      </c>
      <c r="R15" s="1" t="s">
        <v>11</v>
      </c>
      <c r="S15" s="17">
        <f t="shared" ref="S15:AF15" si="7">SUM(C30:C33)</f>
        <v>225</v>
      </c>
      <c r="T15" s="17">
        <f t="shared" si="7"/>
        <v>69</v>
      </c>
      <c r="U15" s="17">
        <f t="shared" si="7"/>
        <v>46</v>
      </c>
      <c r="V15" s="17">
        <f t="shared" si="7"/>
        <v>83</v>
      </c>
      <c r="W15" s="17">
        <f t="shared" si="7"/>
        <v>8</v>
      </c>
      <c r="X15" s="17">
        <f t="shared" si="7"/>
        <v>0</v>
      </c>
      <c r="Y15" s="17">
        <f t="shared" si="7"/>
        <v>32</v>
      </c>
      <c r="Z15" s="17">
        <f t="shared" si="7"/>
        <v>34</v>
      </c>
      <c r="AA15" s="17">
        <f t="shared" si="7"/>
        <v>30</v>
      </c>
      <c r="AB15" s="17">
        <f t="shared" si="7"/>
        <v>20</v>
      </c>
      <c r="AC15" s="17">
        <f t="shared" si="7"/>
        <v>485</v>
      </c>
      <c r="AD15" s="17">
        <f t="shared" si="7"/>
        <v>1</v>
      </c>
      <c r="AE15" s="31">
        <f t="shared" si="7"/>
        <v>548</v>
      </c>
      <c r="AF15" s="31">
        <f t="shared" si="7"/>
        <v>1033</v>
      </c>
    </row>
    <row r="16" spans="2:32" ht="23.1" customHeight="1" x14ac:dyDescent="0.25">
      <c r="B16" s="23" t="s">
        <v>43</v>
      </c>
      <c r="C16" s="50">
        <v>62</v>
      </c>
      <c r="D16" s="50">
        <v>18</v>
      </c>
      <c r="E16" s="50">
        <v>13</v>
      </c>
      <c r="F16" s="50">
        <v>20</v>
      </c>
      <c r="G16" s="50">
        <v>1</v>
      </c>
      <c r="H16" s="50">
        <v>0</v>
      </c>
      <c r="I16" s="50">
        <v>8</v>
      </c>
      <c r="J16" s="50">
        <v>13</v>
      </c>
      <c r="K16" s="50">
        <v>9</v>
      </c>
      <c r="L16" s="50">
        <v>5</v>
      </c>
      <c r="M16" s="50">
        <v>130</v>
      </c>
      <c r="N16" s="50">
        <v>0</v>
      </c>
      <c r="O16" s="15">
        <f t="shared" si="0"/>
        <v>149</v>
      </c>
      <c r="P16" s="15">
        <f t="shared" si="1"/>
        <v>279</v>
      </c>
      <c r="R16" s="1" t="s">
        <v>12</v>
      </c>
      <c r="S16" s="17">
        <f t="shared" ref="S16:AF16" si="8">SUM(C34:C37)</f>
        <v>234</v>
      </c>
      <c r="T16" s="17">
        <f t="shared" si="8"/>
        <v>64</v>
      </c>
      <c r="U16" s="17">
        <f t="shared" si="8"/>
        <v>35</v>
      </c>
      <c r="V16" s="17">
        <f t="shared" si="8"/>
        <v>67</v>
      </c>
      <c r="W16" s="17">
        <f t="shared" si="8"/>
        <v>18</v>
      </c>
      <c r="X16" s="17">
        <f t="shared" si="8"/>
        <v>3</v>
      </c>
      <c r="Y16" s="17">
        <f t="shared" si="8"/>
        <v>35</v>
      </c>
      <c r="Z16" s="17">
        <f t="shared" si="8"/>
        <v>24</v>
      </c>
      <c r="AA16" s="17">
        <f t="shared" si="8"/>
        <v>35</v>
      </c>
      <c r="AB16" s="17">
        <f t="shared" si="8"/>
        <v>26</v>
      </c>
      <c r="AC16" s="17">
        <f t="shared" si="8"/>
        <v>333</v>
      </c>
      <c r="AD16" s="17">
        <f t="shared" si="8"/>
        <v>0</v>
      </c>
      <c r="AE16" s="31">
        <f t="shared" si="8"/>
        <v>541</v>
      </c>
      <c r="AF16" s="31">
        <f t="shared" si="8"/>
        <v>874</v>
      </c>
    </row>
    <row r="17" spans="2:32" ht="23.1" customHeight="1" x14ac:dyDescent="0.25">
      <c r="B17" s="23" t="s">
        <v>44</v>
      </c>
      <c r="C17" s="50">
        <v>55</v>
      </c>
      <c r="D17" s="50">
        <v>18</v>
      </c>
      <c r="E17" s="50">
        <v>15</v>
      </c>
      <c r="F17" s="50">
        <v>19</v>
      </c>
      <c r="G17" s="50">
        <v>0</v>
      </c>
      <c r="H17" s="50">
        <v>0</v>
      </c>
      <c r="I17" s="50">
        <v>6</v>
      </c>
      <c r="J17" s="50">
        <v>6</v>
      </c>
      <c r="K17" s="50">
        <v>8</v>
      </c>
      <c r="L17" s="50">
        <v>3</v>
      </c>
      <c r="M17" s="50">
        <v>16</v>
      </c>
      <c r="N17" s="50">
        <v>0</v>
      </c>
      <c r="O17" s="15">
        <f t="shared" si="0"/>
        <v>130</v>
      </c>
      <c r="P17" s="15">
        <f t="shared" si="1"/>
        <v>146</v>
      </c>
      <c r="R17" s="1" t="s">
        <v>13</v>
      </c>
      <c r="S17" s="17">
        <f t="shared" ref="S17:AF17" si="9">SUM(C38:C41)</f>
        <v>221</v>
      </c>
      <c r="T17" s="17">
        <f t="shared" si="9"/>
        <v>37</v>
      </c>
      <c r="U17" s="17">
        <f t="shared" si="9"/>
        <v>25</v>
      </c>
      <c r="V17" s="17">
        <f t="shared" si="9"/>
        <v>69</v>
      </c>
      <c r="W17" s="17">
        <f t="shared" si="9"/>
        <v>2</v>
      </c>
      <c r="X17" s="17">
        <f t="shared" si="9"/>
        <v>1</v>
      </c>
      <c r="Y17" s="17">
        <f t="shared" si="9"/>
        <v>30</v>
      </c>
      <c r="Z17" s="17">
        <f t="shared" si="9"/>
        <v>38</v>
      </c>
      <c r="AA17" s="17">
        <f t="shared" si="9"/>
        <v>14</v>
      </c>
      <c r="AB17" s="17">
        <f t="shared" si="9"/>
        <v>26</v>
      </c>
      <c r="AC17" s="17">
        <f t="shared" si="9"/>
        <v>395</v>
      </c>
      <c r="AD17" s="17">
        <f t="shared" si="9"/>
        <v>0</v>
      </c>
      <c r="AE17" s="31">
        <f t="shared" si="9"/>
        <v>463</v>
      </c>
      <c r="AF17" s="31">
        <f t="shared" si="9"/>
        <v>858</v>
      </c>
    </row>
    <row r="18" spans="2:32" ht="23.1" customHeight="1" x14ac:dyDescent="0.25">
      <c r="B18" s="23" t="s">
        <v>45</v>
      </c>
      <c r="C18" s="50">
        <v>32</v>
      </c>
      <c r="D18" s="50">
        <v>15</v>
      </c>
      <c r="E18" s="50">
        <v>6</v>
      </c>
      <c r="F18" s="50">
        <v>14</v>
      </c>
      <c r="G18" s="50">
        <v>2</v>
      </c>
      <c r="H18" s="50">
        <v>0</v>
      </c>
      <c r="I18" s="50">
        <v>8</v>
      </c>
      <c r="J18" s="50">
        <v>4</v>
      </c>
      <c r="K18" s="50">
        <v>3</v>
      </c>
      <c r="L18" s="50">
        <v>4</v>
      </c>
      <c r="M18" s="50">
        <v>100</v>
      </c>
      <c r="N18" s="50">
        <v>0</v>
      </c>
      <c r="O18" s="15">
        <f t="shared" si="0"/>
        <v>88</v>
      </c>
      <c r="P18" s="15">
        <f t="shared" si="1"/>
        <v>188</v>
      </c>
      <c r="R18" s="1" t="s">
        <v>14</v>
      </c>
      <c r="S18" s="17">
        <f t="shared" ref="S18:AF18" si="10">SUM(C42:C45)</f>
        <v>207</v>
      </c>
      <c r="T18" s="17">
        <f t="shared" si="10"/>
        <v>72</v>
      </c>
      <c r="U18" s="17">
        <f t="shared" si="10"/>
        <v>49</v>
      </c>
      <c r="V18" s="17">
        <f t="shared" si="10"/>
        <v>60</v>
      </c>
      <c r="W18" s="17">
        <f t="shared" si="10"/>
        <v>0</v>
      </c>
      <c r="X18" s="17">
        <f t="shared" si="10"/>
        <v>2</v>
      </c>
      <c r="Y18" s="17">
        <f t="shared" si="10"/>
        <v>43</v>
      </c>
      <c r="Z18" s="17">
        <f t="shared" si="10"/>
        <v>42</v>
      </c>
      <c r="AA18" s="17">
        <f t="shared" si="10"/>
        <v>26</v>
      </c>
      <c r="AB18" s="17">
        <f t="shared" si="10"/>
        <v>23</v>
      </c>
      <c r="AC18" s="17">
        <f t="shared" si="10"/>
        <v>477</v>
      </c>
      <c r="AD18" s="17">
        <f t="shared" si="10"/>
        <v>0</v>
      </c>
      <c r="AE18" s="31">
        <f t="shared" si="10"/>
        <v>524</v>
      </c>
      <c r="AF18" s="31">
        <f t="shared" si="10"/>
        <v>1001</v>
      </c>
    </row>
    <row r="19" spans="2:32" ht="23.1" customHeight="1" x14ac:dyDescent="0.25">
      <c r="B19" s="23" t="s">
        <v>46</v>
      </c>
      <c r="C19" s="50">
        <v>41</v>
      </c>
      <c r="D19" s="50">
        <v>15</v>
      </c>
      <c r="E19" s="50">
        <v>16</v>
      </c>
      <c r="F19" s="50">
        <v>22</v>
      </c>
      <c r="G19" s="50">
        <v>4</v>
      </c>
      <c r="H19" s="50">
        <v>3</v>
      </c>
      <c r="I19" s="50">
        <v>17</v>
      </c>
      <c r="J19" s="50">
        <v>12</v>
      </c>
      <c r="K19" s="50">
        <v>4</v>
      </c>
      <c r="L19" s="50">
        <v>8</v>
      </c>
      <c r="M19" s="50">
        <v>116</v>
      </c>
      <c r="N19" s="50">
        <v>0</v>
      </c>
      <c r="O19" s="15">
        <f t="shared" si="0"/>
        <v>142</v>
      </c>
      <c r="P19" s="15">
        <f t="shared" si="1"/>
        <v>258</v>
      </c>
      <c r="R19" s="1" t="s">
        <v>15</v>
      </c>
      <c r="S19" s="17">
        <f t="shared" ref="S19:AF19" si="11">SUM(C46:C49)</f>
        <v>265</v>
      </c>
      <c r="T19" s="17">
        <f t="shared" si="11"/>
        <v>71</v>
      </c>
      <c r="U19" s="17">
        <f t="shared" si="11"/>
        <v>56</v>
      </c>
      <c r="V19" s="17">
        <f t="shared" si="11"/>
        <v>76</v>
      </c>
      <c r="W19" s="17">
        <f t="shared" si="11"/>
        <v>3</v>
      </c>
      <c r="X19" s="17">
        <f t="shared" si="11"/>
        <v>1</v>
      </c>
      <c r="Y19" s="17">
        <f t="shared" si="11"/>
        <v>36</v>
      </c>
      <c r="Z19" s="17">
        <f t="shared" si="11"/>
        <v>35</v>
      </c>
      <c r="AA19" s="17">
        <f t="shared" si="11"/>
        <v>22</v>
      </c>
      <c r="AB19" s="17">
        <f t="shared" si="11"/>
        <v>15</v>
      </c>
      <c r="AC19" s="17">
        <f t="shared" si="11"/>
        <v>417</v>
      </c>
      <c r="AD19" s="17">
        <f t="shared" si="11"/>
        <v>0</v>
      </c>
      <c r="AE19" s="31">
        <f t="shared" si="11"/>
        <v>580</v>
      </c>
      <c r="AF19" s="31">
        <f t="shared" si="11"/>
        <v>997</v>
      </c>
    </row>
    <row r="20" spans="2:32" ht="23.1" customHeight="1" x14ac:dyDescent="0.25">
      <c r="B20" s="23" t="s">
        <v>47</v>
      </c>
      <c r="C20" s="50">
        <v>67</v>
      </c>
      <c r="D20" s="50">
        <v>12</v>
      </c>
      <c r="E20" s="50">
        <v>7</v>
      </c>
      <c r="F20" s="50">
        <v>12</v>
      </c>
      <c r="G20" s="50">
        <v>0</v>
      </c>
      <c r="H20" s="50">
        <v>0</v>
      </c>
      <c r="I20" s="50">
        <v>12</v>
      </c>
      <c r="J20" s="50">
        <v>1</v>
      </c>
      <c r="K20" s="50">
        <v>5</v>
      </c>
      <c r="L20" s="50">
        <v>3</v>
      </c>
      <c r="M20" s="50">
        <v>81</v>
      </c>
      <c r="N20" s="50">
        <v>0</v>
      </c>
      <c r="O20" s="15">
        <f t="shared" si="0"/>
        <v>119</v>
      </c>
      <c r="P20" s="15">
        <f t="shared" si="1"/>
        <v>200</v>
      </c>
      <c r="R20" s="1" t="s">
        <v>16</v>
      </c>
      <c r="S20" s="17">
        <f t="shared" ref="S20:AF20" si="12">SUM(C50:C53)</f>
        <v>276</v>
      </c>
      <c r="T20" s="17">
        <f t="shared" si="12"/>
        <v>54</v>
      </c>
      <c r="U20" s="17">
        <f t="shared" si="12"/>
        <v>52</v>
      </c>
      <c r="V20" s="17">
        <f t="shared" si="12"/>
        <v>60</v>
      </c>
      <c r="W20" s="17">
        <f t="shared" si="12"/>
        <v>5</v>
      </c>
      <c r="X20" s="17">
        <f t="shared" si="12"/>
        <v>3</v>
      </c>
      <c r="Y20" s="17">
        <f t="shared" si="12"/>
        <v>53</v>
      </c>
      <c r="Z20" s="17">
        <f t="shared" si="12"/>
        <v>24</v>
      </c>
      <c r="AA20" s="17">
        <f t="shared" si="12"/>
        <v>27</v>
      </c>
      <c r="AB20" s="17">
        <f t="shared" si="12"/>
        <v>26</v>
      </c>
      <c r="AC20" s="17">
        <f t="shared" si="12"/>
        <v>471</v>
      </c>
      <c r="AD20" s="17">
        <f t="shared" si="12"/>
        <v>0</v>
      </c>
      <c r="AE20" s="31">
        <f t="shared" si="12"/>
        <v>580</v>
      </c>
      <c r="AF20" s="31">
        <f t="shared" si="12"/>
        <v>1051</v>
      </c>
    </row>
    <row r="21" spans="2:32" ht="23.1" customHeight="1" x14ac:dyDescent="0.25">
      <c r="B21" s="23" t="s">
        <v>48</v>
      </c>
      <c r="C21" s="50">
        <v>40</v>
      </c>
      <c r="D21" s="50">
        <v>24</v>
      </c>
      <c r="E21" s="50">
        <v>13</v>
      </c>
      <c r="F21" s="50">
        <v>12</v>
      </c>
      <c r="G21" s="50">
        <v>12</v>
      </c>
      <c r="H21" s="50">
        <v>0</v>
      </c>
      <c r="I21" s="50">
        <v>11</v>
      </c>
      <c r="J21" s="50">
        <v>11</v>
      </c>
      <c r="K21" s="50">
        <v>7</v>
      </c>
      <c r="L21" s="50">
        <v>6</v>
      </c>
      <c r="M21" s="50">
        <v>140</v>
      </c>
      <c r="N21" s="50">
        <v>0</v>
      </c>
      <c r="O21" s="15">
        <f t="shared" si="0"/>
        <v>136</v>
      </c>
      <c r="P21" s="15">
        <f t="shared" si="1"/>
        <v>276</v>
      </c>
      <c r="R21" s="36" t="s">
        <v>20</v>
      </c>
      <c r="S21" s="34">
        <f t="shared" ref="S21:AF21" si="13">SUM(C54:C57)</f>
        <v>351</v>
      </c>
      <c r="T21" s="17">
        <f t="shared" si="13"/>
        <v>62</v>
      </c>
      <c r="U21" s="17">
        <f t="shared" si="13"/>
        <v>53</v>
      </c>
      <c r="V21" s="17">
        <f t="shared" si="13"/>
        <v>87</v>
      </c>
      <c r="W21" s="17">
        <f t="shared" si="13"/>
        <v>10</v>
      </c>
      <c r="X21" s="17">
        <f t="shared" si="13"/>
        <v>3</v>
      </c>
      <c r="Y21" s="17">
        <f t="shared" si="13"/>
        <v>32</v>
      </c>
      <c r="Z21" s="17">
        <f t="shared" si="13"/>
        <v>30</v>
      </c>
      <c r="AA21" s="17">
        <f t="shared" si="13"/>
        <v>17</v>
      </c>
      <c r="AB21" s="17">
        <f t="shared" si="13"/>
        <v>15</v>
      </c>
      <c r="AC21" s="17">
        <f t="shared" si="13"/>
        <v>505</v>
      </c>
      <c r="AD21" s="17">
        <f t="shared" si="13"/>
        <v>0</v>
      </c>
      <c r="AE21" s="31">
        <f t="shared" si="13"/>
        <v>660</v>
      </c>
      <c r="AF21" s="31">
        <f t="shared" si="13"/>
        <v>1165</v>
      </c>
    </row>
    <row r="22" spans="2:32" ht="23.1" customHeight="1" x14ac:dyDescent="0.25">
      <c r="B22" s="23" t="s">
        <v>49</v>
      </c>
      <c r="C22" s="50">
        <v>50</v>
      </c>
      <c r="D22" s="50">
        <v>20</v>
      </c>
      <c r="E22" s="50">
        <v>11</v>
      </c>
      <c r="F22" s="50">
        <v>16</v>
      </c>
      <c r="G22" s="50">
        <v>3</v>
      </c>
      <c r="H22" s="50">
        <v>1</v>
      </c>
      <c r="I22" s="50">
        <v>5</v>
      </c>
      <c r="J22" s="50">
        <v>15</v>
      </c>
      <c r="K22" s="50">
        <v>10</v>
      </c>
      <c r="L22" s="50">
        <v>6</v>
      </c>
      <c r="M22" s="50">
        <v>161</v>
      </c>
      <c r="N22" s="50">
        <v>0</v>
      </c>
      <c r="O22" s="15">
        <f t="shared" si="0"/>
        <v>137</v>
      </c>
      <c r="P22" s="15">
        <f t="shared" si="1"/>
        <v>298</v>
      </c>
      <c r="R22" s="38" t="s">
        <v>90</v>
      </c>
      <c r="S22" s="39">
        <f>MAX(S10:S12)</f>
        <v>218</v>
      </c>
      <c r="T22" s="39">
        <f t="shared" ref="T22:AF22" si="14">MAX(T10:T12)</f>
        <v>72</v>
      </c>
      <c r="U22" s="39">
        <f t="shared" si="14"/>
        <v>47</v>
      </c>
      <c r="V22" s="39">
        <f t="shared" si="14"/>
        <v>73</v>
      </c>
      <c r="W22" s="39">
        <f t="shared" si="14"/>
        <v>18</v>
      </c>
      <c r="X22" s="39">
        <f t="shared" si="14"/>
        <v>3</v>
      </c>
      <c r="Y22" s="39">
        <f t="shared" si="14"/>
        <v>48</v>
      </c>
      <c r="Z22" s="39">
        <f t="shared" si="14"/>
        <v>38</v>
      </c>
      <c r="AA22" s="39">
        <f t="shared" si="14"/>
        <v>31</v>
      </c>
      <c r="AB22" s="39">
        <f t="shared" si="14"/>
        <v>21</v>
      </c>
      <c r="AC22" s="39">
        <f t="shared" si="14"/>
        <v>503</v>
      </c>
      <c r="AD22" s="39">
        <f t="shared" si="14"/>
        <v>0</v>
      </c>
      <c r="AE22" s="40">
        <f t="shared" si="14"/>
        <v>485</v>
      </c>
      <c r="AF22" s="40">
        <f t="shared" si="14"/>
        <v>959</v>
      </c>
    </row>
    <row r="23" spans="2:32" ht="23.1" customHeight="1" x14ac:dyDescent="0.25">
      <c r="B23" s="23" t="s">
        <v>50</v>
      </c>
      <c r="C23" s="50">
        <v>16</v>
      </c>
      <c r="D23" s="50">
        <v>5</v>
      </c>
      <c r="E23" s="50">
        <v>14</v>
      </c>
      <c r="F23" s="50">
        <v>22</v>
      </c>
      <c r="G23" s="50">
        <v>2</v>
      </c>
      <c r="H23" s="50">
        <v>0</v>
      </c>
      <c r="I23" s="50">
        <v>9</v>
      </c>
      <c r="J23" s="50">
        <v>8</v>
      </c>
      <c r="K23" s="50">
        <v>2</v>
      </c>
      <c r="L23" s="50">
        <v>12</v>
      </c>
      <c r="M23" s="50">
        <v>95</v>
      </c>
      <c r="N23" s="50">
        <v>0</v>
      </c>
      <c r="O23" s="15">
        <f t="shared" si="0"/>
        <v>90</v>
      </c>
      <c r="P23" s="15">
        <f t="shared" si="1"/>
        <v>185</v>
      </c>
      <c r="R23" s="38" t="s">
        <v>91</v>
      </c>
      <c r="S23" s="39">
        <f>MAX(S13:S18)</f>
        <v>234</v>
      </c>
      <c r="T23" s="39">
        <f t="shared" ref="T23:AF23" si="15">MAX(T13:T18)</f>
        <v>72</v>
      </c>
      <c r="U23" s="39">
        <f t="shared" si="15"/>
        <v>56</v>
      </c>
      <c r="V23" s="39">
        <f t="shared" si="15"/>
        <v>83</v>
      </c>
      <c r="W23" s="39">
        <f t="shared" si="15"/>
        <v>18</v>
      </c>
      <c r="X23" s="39">
        <f t="shared" si="15"/>
        <v>3</v>
      </c>
      <c r="Y23" s="39">
        <f t="shared" si="15"/>
        <v>43</v>
      </c>
      <c r="Z23" s="39">
        <f t="shared" si="15"/>
        <v>42</v>
      </c>
      <c r="AA23" s="39">
        <f t="shared" si="15"/>
        <v>35</v>
      </c>
      <c r="AB23" s="39">
        <f t="shared" si="15"/>
        <v>32</v>
      </c>
      <c r="AC23" s="39">
        <f t="shared" si="15"/>
        <v>511</v>
      </c>
      <c r="AD23" s="39">
        <f t="shared" si="15"/>
        <v>1</v>
      </c>
      <c r="AE23" s="40">
        <f t="shared" si="15"/>
        <v>573</v>
      </c>
      <c r="AF23" s="40">
        <f t="shared" si="15"/>
        <v>1084</v>
      </c>
    </row>
    <row r="24" spans="2:32" ht="23.1" customHeight="1" x14ac:dyDescent="0.25">
      <c r="B24" s="23" t="s">
        <v>51</v>
      </c>
      <c r="C24" s="50">
        <v>100</v>
      </c>
      <c r="D24" s="50">
        <v>22</v>
      </c>
      <c r="E24" s="50">
        <v>9</v>
      </c>
      <c r="F24" s="50">
        <v>11</v>
      </c>
      <c r="G24" s="50">
        <v>0</v>
      </c>
      <c r="H24" s="50">
        <v>1</v>
      </c>
      <c r="I24" s="50">
        <v>12</v>
      </c>
      <c r="J24" s="50">
        <v>6</v>
      </c>
      <c r="K24" s="50">
        <v>8</v>
      </c>
      <c r="L24" s="50">
        <v>6</v>
      </c>
      <c r="M24" s="50">
        <v>140</v>
      </c>
      <c r="N24" s="50">
        <v>0</v>
      </c>
      <c r="O24" s="15">
        <f t="shared" si="0"/>
        <v>175</v>
      </c>
      <c r="P24" s="15">
        <f t="shared" si="1"/>
        <v>315</v>
      </c>
      <c r="R24" s="38" t="s">
        <v>92</v>
      </c>
      <c r="S24" s="39">
        <f>MAX(S19:S21)</f>
        <v>351</v>
      </c>
      <c r="T24" s="39">
        <f t="shared" ref="T24:AF24" si="16">MAX(T19:T21)</f>
        <v>71</v>
      </c>
      <c r="U24" s="39">
        <f t="shared" si="16"/>
        <v>56</v>
      </c>
      <c r="V24" s="39">
        <f t="shared" si="16"/>
        <v>87</v>
      </c>
      <c r="W24" s="39">
        <f t="shared" si="16"/>
        <v>10</v>
      </c>
      <c r="X24" s="39">
        <f t="shared" si="16"/>
        <v>3</v>
      </c>
      <c r="Y24" s="39">
        <f t="shared" si="16"/>
        <v>53</v>
      </c>
      <c r="Z24" s="39">
        <f t="shared" si="16"/>
        <v>35</v>
      </c>
      <c r="AA24" s="39">
        <f t="shared" si="16"/>
        <v>27</v>
      </c>
      <c r="AB24" s="39">
        <f t="shared" si="16"/>
        <v>26</v>
      </c>
      <c r="AC24" s="39">
        <f t="shared" si="16"/>
        <v>505</v>
      </c>
      <c r="AD24" s="39">
        <f t="shared" si="16"/>
        <v>0</v>
      </c>
      <c r="AE24" s="40">
        <f t="shared" si="16"/>
        <v>660</v>
      </c>
      <c r="AF24" s="40">
        <f t="shared" si="16"/>
        <v>1165</v>
      </c>
    </row>
    <row r="25" spans="2:32" ht="23.1" customHeight="1" x14ac:dyDescent="0.25">
      <c r="B25" s="23" t="s">
        <v>52</v>
      </c>
      <c r="C25" s="50">
        <v>64</v>
      </c>
      <c r="D25" s="50">
        <v>20</v>
      </c>
      <c r="E25" s="50">
        <v>22</v>
      </c>
      <c r="F25" s="50">
        <v>29</v>
      </c>
      <c r="G25" s="50">
        <v>3</v>
      </c>
      <c r="H25" s="50">
        <v>0</v>
      </c>
      <c r="I25" s="50">
        <v>13</v>
      </c>
      <c r="J25" s="50">
        <v>5</v>
      </c>
      <c r="K25" s="50">
        <v>7</v>
      </c>
      <c r="L25" s="50">
        <v>8</v>
      </c>
      <c r="M25" s="50">
        <v>115</v>
      </c>
      <c r="N25" s="50">
        <v>0</v>
      </c>
      <c r="O25" s="15">
        <f t="shared" si="0"/>
        <v>171</v>
      </c>
      <c r="P25" s="15">
        <f t="shared" si="1"/>
        <v>286</v>
      </c>
      <c r="R25" s="37" t="s">
        <v>85</v>
      </c>
      <c r="S25" s="35">
        <f t="shared" ref="S25:AF25" si="17">SUM(S10:S12)</f>
        <v>565</v>
      </c>
      <c r="T25" s="16">
        <f t="shared" si="17"/>
        <v>191</v>
      </c>
      <c r="U25" s="16">
        <f t="shared" si="17"/>
        <v>119</v>
      </c>
      <c r="V25" s="16">
        <f t="shared" si="17"/>
        <v>196</v>
      </c>
      <c r="W25" s="16">
        <f t="shared" si="17"/>
        <v>34</v>
      </c>
      <c r="X25" s="16">
        <f t="shared" si="17"/>
        <v>4</v>
      </c>
      <c r="Y25" s="16">
        <f t="shared" si="17"/>
        <v>109</v>
      </c>
      <c r="Z25" s="16">
        <f t="shared" si="17"/>
        <v>95</v>
      </c>
      <c r="AA25" s="16">
        <f t="shared" si="17"/>
        <v>61</v>
      </c>
      <c r="AB25" s="16">
        <f t="shared" si="17"/>
        <v>37</v>
      </c>
      <c r="AC25" s="16">
        <f t="shared" si="17"/>
        <v>1381</v>
      </c>
      <c r="AD25" s="16">
        <f t="shared" si="17"/>
        <v>0</v>
      </c>
      <c r="AE25" s="32">
        <f t="shared" si="17"/>
        <v>1411</v>
      </c>
      <c r="AF25" s="32">
        <f t="shared" si="17"/>
        <v>2792</v>
      </c>
    </row>
    <row r="26" spans="2:32" ht="23.1" customHeight="1" x14ac:dyDescent="0.25">
      <c r="B26" s="23" t="s">
        <v>53</v>
      </c>
      <c r="C26" s="50">
        <v>38</v>
      </c>
      <c r="D26" s="50">
        <v>10</v>
      </c>
      <c r="E26" s="50">
        <v>10</v>
      </c>
      <c r="F26" s="50">
        <v>14</v>
      </c>
      <c r="G26" s="50">
        <v>1</v>
      </c>
      <c r="H26" s="50">
        <v>0</v>
      </c>
      <c r="I26" s="50">
        <v>8</v>
      </c>
      <c r="J26" s="50">
        <v>7</v>
      </c>
      <c r="K26" s="50">
        <v>7</v>
      </c>
      <c r="L26" s="50">
        <v>2</v>
      </c>
      <c r="M26" s="50">
        <v>68</v>
      </c>
      <c r="N26" s="50">
        <v>0</v>
      </c>
      <c r="O26" s="15">
        <f t="shared" si="0"/>
        <v>97</v>
      </c>
      <c r="P26" s="15">
        <f t="shared" si="1"/>
        <v>165</v>
      </c>
      <c r="R26" s="28" t="s">
        <v>86</v>
      </c>
      <c r="S26" s="16">
        <f t="shared" ref="S26:AF26" si="18">SUM(S13:S18)</f>
        <v>1336</v>
      </c>
      <c r="T26" s="16">
        <f t="shared" si="18"/>
        <v>371</v>
      </c>
      <c r="U26" s="16">
        <f t="shared" si="18"/>
        <v>253</v>
      </c>
      <c r="V26" s="16">
        <f t="shared" si="18"/>
        <v>419</v>
      </c>
      <c r="W26" s="16">
        <f t="shared" si="18"/>
        <v>40</v>
      </c>
      <c r="X26" s="16">
        <f t="shared" si="18"/>
        <v>11</v>
      </c>
      <c r="Y26" s="16">
        <f t="shared" si="18"/>
        <v>220</v>
      </c>
      <c r="Z26" s="16">
        <f t="shared" si="18"/>
        <v>204</v>
      </c>
      <c r="AA26" s="16">
        <f t="shared" si="18"/>
        <v>161</v>
      </c>
      <c r="AB26" s="16">
        <f t="shared" si="18"/>
        <v>148</v>
      </c>
      <c r="AC26" s="16">
        <f t="shared" si="18"/>
        <v>2623</v>
      </c>
      <c r="AD26" s="16">
        <f t="shared" si="18"/>
        <v>1</v>
      </c>
      <c r="AE26" s="32">
        <f t="shared" si="18"/>
        <v>3164</v>
      </c>
      <c r="AF26" s="32">
        <f t="shared" si="18"/>
        <v>5787</v>
      </c>
    </row>
    <row r="27" spans="2:32" ht="23.1" customHeight="1" x14ac:dyDescent="0.25">
      <c r="B27" s="23" t="s">
        <v>54</v>
      </c>
      <c r="C27" s="50">
        <v>60</v>
      </c>
      <c r="D27" s="50">
        <v>21</v>
      </c>
      <c r="E27" s="50">
        <v>1</v>
      </c>
      <c r="F27" s="50">
        <v>20</v>
      </c>
      <c r="G27" s="50">
        <v>0</v>
      </c>
      <c r="H27" s="50">
        <v>0</v>
      </c>
      <c r="I27" s="50">
        <v>9</v>
      </c>
      <c r="J27" s="50">
        <v>8</v>
      </c>
      <c r="K27" s="50">
        <v>7</v>
      </c>
      <c r="L27" s="50">
        <v>9</v>
      </c>
      <c r="M27" s="50">
        <v>143</v>
      </c>
      <c r="N27" s="50">
        <v>0</v>
      </c>
      <c r="O27" s="15">
        <f t="shared" si="0"/>
        <v>135</v>
      </c>
      <c r="P27" s="15">
        <f t="shared" si="1"/>
        <v>278</v>
      </c>
      <c r="R27" s="29" t="s">
        <v>87</v>
      </c>
      <c r="S27" s="16">
        <f t="shared" ref="S27:AF27" si="19">SUM(S19:S21)</f>
        <v>892</v>
      </c>
      <c r="T27" s="16">
        <f t="shared" si="19"/>
        <v>187</v>
      </c>
      <c r="U27" s="16">
        <f t="shared" si="19"/>
        <v>161</v>
      </c>
      <c r="V27" s="16">
        <f t="shared" si="19"/>
        <v>223</v>
      </c>
      <c r="W27" s="16">
        <f t="shared" si="19"/>
        <v>18</v>
      </c>
      <c r="X27" s="16">
        <f t="shared" si="19"/>
        <v>7</v>
      </c>
      <c r="Y27" s="16">
        <f t="shared" si="19"/>
        <v>121</v>
      </c>
      <c r="Z27" s="16">
        <f t="shared" si="19"/>
        <v>89</v>
      </c>
      <c r="AA27" s="16">
        <f t="shared" si="19"/>
        <v>66</v>
      </c>
      <c r="AB27" s="16">
        <f t="shared" si="19"/>
        <v>56</v>
      </c>
      <c r="AC27" s="16">
        <f t="shared" si="19"/>
        <v>1393</v>
      </c>
      <c r="AD27" s="16">
        <f t="shared" si="19"/>
        <v>0</v>
      </c>
      <c r="AE27" s="32">
        <f t="shared" si="19"/>
        <v>1820</v>
      </c>
      <c r="AF27" s="32">
        <f t="shared" si="19"/>
        <v>3213</v>
      </c>
    </row>
    <row r="28" spans="2:32" ht="23.1" customHeight="1" x14ac:dyDescent="0.25">
      <c r="B28" s="23" t="s">
        <v>55</v>
      </c>
      <c r="C28" s="50">
        <v>68</v>
      </c>
      <c r="D28" s="50">
        <v>19</v>
      </c>
      <c r="E28" s="50">
        <v>19</v>
      </c>
      <c r="F28" s="50">
        <v>15</v>
      </c>
      <c r="G28" s="50">
        <v>1</v>
      </c>
      <c r="H28" s="50">
        <v>0</v>
      </c>
      <c r="I28" s="50">
        <v>10</v>
      </c>
      <c r="J28" s="50">
        <v>8</v>
      </c>
      <c r="K28" s="50">
        <v>8</v>
      </c>
      <c r="L28" s="50">
        <v>5</v>
      </c>
      <c r="M28" s="50">
        <v>138</v>
      </c>
      <c r="N28" s="50">
        <v>0</v>
      </c>
      <c r="O28" s="15">
        <f t="shared" si="0"/>
        <v>153</v>
      </c>
      <c r="P28" s="15">
        <f t="shared" si="1"/>
        <v>291</v>
      </c>
      <c r="R28" s="5" t="s">
        <v>17</v>
      </c>
      <c r="S28" s="16">
        <f t="shared" ref="S28:AF28" si="20">SUM(S10:S21)</f>
        <v>2793</v>
      </c>
      <c r="T28" s="16">
        <f t="shared" si="20"/>
        <v>749</v>
      </c>
      <c r="U28" s="16">
        <f t="shared" si="20"/>
        <v>533</v>
      </c>
      <c r="V28" s="16">
        <f t="shared" si="20"/>
        <v>838</v>
      </c>
      <c r="W28" s="16">
        <f t="shared" si="20"/>
        <v>92</v>
      </c>
      <c r="X28" s="16">
        <f t="shared" si="20"/>
        <v>22</v>
      </c>
      <c r="Y28" s="16">
        <f t="shared" si="20"/>
        <v>450</v>
      </c>
      <c r="Z28" s="16">
        <f t="shared" si="20"/>
        <v>388</v>
      </c>
      <c r="AA28" s="16">
        <f t="shared" si="20"/>
        <v>288</v>
      </c>
      <c r="AB28" s="16">
        <f t="shared" si="20"/>
        <v>241</v>
      </c>
      <c r="AC28" s="16">
        <f t="shared" si="20"/>
        <v>5397</v>
      </c>
      <c r="AD28" s="16">
        <f t="shared" si="20"/>
        <v>1</v>
      </c>
      <c r="AE28" s="32">
        <f t="shared" si="20"/>
        <v>6395</v>
      </c>
      <c r="AF28" s="32">
        <f t="shared" si="20"/>
        <v>11792</v>
      </c>
    </row>
    <row r="29" spans="2:32" ht="23.1" customHeight="1" x14ac:dyDescent="0.25">
      <c r="B29" s="23" t="s">
        <v>56</v>
      </c>
      <c r="C29" s="50">
        <v>53</v>
      </c>
      <c r="D29" s="50">
        <v>12</v>
      </c>
      <c r="E29" s="50">
        <v>12</v>
      </c>
      <c r="F29" s="50">
        <v>13</v>
      </c>
      <c r="G29" s="50">
        <v>2</v>
      </c>
      <c r="H29" s="50">
        <v>3</v>
      </c>
      <c r="I29" s="50">
        <v>14</v>
      </c>
      <c r="J29" s="50">
        <v>9</v>
      </c>
      <c r="K29" s="50">
        <v>7</v>
      </c>
      <c r="L29" s="50">
        <v>5</v>
      </c>
      <c r="M29" s="50">
        <v>73</v>
      </c>
      <c r="N29" s="50">
        <v>0</v>
      </c>
      <c r="O29" s="15">
        <f t="shared" si="0"/>
        <v>130</v>
      </c>
      <c r="P29" s="15">
        <f t="shared" si="1"/>
        <v>203</v>
      </c>
      <c r="R29"/>
      <c r="S29" s="20"/>
      <c r="T29" s="19"/>
    </row>
    <row r="30" spans="2:32" ht="23.1" customHeight="1" x14ac:dyDescent="0.25">
      <c r="B30" s="23" t="s">
        <v>57</v>
      </c>
      <c r="C30" s="50">
        <v>50</v>
      </c>
      <c r="D30" s="50">
        <v>14</v>
      </c>
      <c r="E30" s="50">
        <v>9</v>
      </c>
      <c r="F30" s="50">
        <v>10</v>
      </c>
      <c r="G30" s="50">
        <v>2</v>
      </c>
      <c r="H30" s="50">
        <v>0</v>
      </c>
      <c r="I30" s="50">
        <v>9</v>
      </c>
      <c r="J30" s="50">
        <v>8</v>
      </c>
      <c r="K30" s="50">
        <v>10</v>
      </c>
      <c r="L30" s="50">
        <v>5</v>
      </c>
      <c r="M30" s="50">
        <v>63</v>
      </c>
      <c r="N30" s="50">
        <v>0</v>
      </c>
      <c r="O30" s="15">
        <f t="shared" si="0"/>
        <v>117</v>
      </c>
      <c r="P30" s="15">
        <f t="shared" si="1"/>
        <v>180</v>
      </c>
    </row>
    <row r="31" spans="2:32" ht="23.1" customHeight="1" x14ac:dyDescent="0.25">
      <c r="B31" s="24" t="s">
        <v>58</v>
      </c>
      <c r="C31" s="50">
        <v>56</v>
      </c>
      <c r="D31" s="50">
        <v>19</v>
      </c>
      <c r="E31" s="50">
        <v>18</v>
      </c>
      <c r="F31" s="50">
        <v>15</v>
      </c>
      <c r="G31" s="50">
        <v>4</v>
      </c>
      <c r="H31" s="50">
        <v>0</v>
      </c>
      <c r="I31" s="50">
        <v>9</v>
      </c>
      <c r="J31" s="50">
        <v>12</v>
      </c>
      <c r="K31" s="50">
        <v>9</v>
      </c>
      <c r="L31" s="50">
        <v>8</v>
      </c>
      <c r="M31" s="50">
        <v>117</v>
      </c>
      <c r="N31" s="50">
        <v>1</v>
      </c>
      <c r="O31" s="15">
        <f t="shared" si="0"/>
        <v>151</v>
      </c>
      <c r="P31" s="15">
        <f t="shared" si="1"/>
        <v>268</v>
      </c>
    </row>
    <row r="32" spans="2:32" ht="23.1" customHeight="1" x14ac:dyDescent="0.25">
      <c r="B32" s="24" t="s">
        <v>59</v>
      </c>
      <c r="C32" s="50">
        <v>72</v>
      </c>
      <c r="D32" s="50">
        <v>18</v>
      </c>
      <c r="E32" s="50">
        <v>13</v>
      </c>
      <c r="F32" s="50">
        <v>17</v>
      </c>
      <c r="G32" s="50">
        <v>0</v>
      </c>
      <c r="H32" s="50">
        <v>0</v>
      </c>
      <c r="I32" s="50">
        <v>6</v>
      </c>
      <c r="J32" s="50">
        <v>9</v>
      </c>
      <c r="K32" s="50">
        <v>8</v>
      </c>
      <c r="L32" s="50">
        <v>4</v>
      </c>
      <c r="M32" s="50">
        <v>150</v>
      </c>
      <c r="N32" s="50">
        <v>0</v>
      </c>
      <c r="O32" s="15">
        <f t="shared" si="0"/>
        <v>147</v>
      </c>
      <c r="P32" s="15">
        <f t="shared" si="1"/>
        <v>297</v>
      </c>
    </row>
    <row r="33" spans="2:20" ht="23.1" customHeight="1" x14ac:dyDescent="0.25">
      <c r="B33" s="23" t="s">
        <v>60</v>
      </c>
      <c r="C33" s="50">
        <v>47</v>
      </c>
      <c r="D33" s="50">
        <v>18</v>
      </c>
      <c r="E33" s="50">
        <v>6</v>
      </c>
      <c r="F33" s="50">
        <v>41</v>
      </c>
      <c r="G33" s="50">
        <v>2</v>
      </c>
      <c r="H33" s="50">
        <v>0</v>
      </c>
      <c r="I33" s="50">
        <v>8</v>
      </c>
      <c r="J33" s="50">
        <v>5</v>
      </c>
      <c r="K33" s="50">
        <v>3</v>
      </c>
      <c r="L33" s="50">
        <v>3</v>
      </c>
      <c r="M33" s="50">
        <v>155</v>
      </c>
      <c r="N33" s="50">
        <v>0</v>
      </c>
      <c r="O33" s="15">
        <f t="shared" si="0"/>
        <v>133</v>
      </c>
      <c r="P33" s="15">
        <f t="shared" si="1"/>
        <v>288</v>
      </c>
    </row>
    <row r="34" spans="2:20" ht="23.1" customHeight="1" x14ac:dyDescent="0.25">
      <c r="B34" s="24" t="s">
        <v>61</v>
      </c>
      <c r="C34" s="50">
        <v>60</v>
      </c>
      <c r="D34" s="50">
        <v>22</v>
      </c>
      <c r="E34" s="50">
        <v>8</v>
      </c>
      <c r="F34" s="50">
        <v>15</v>
      </c>
      <c r="G34" s="50">
        <v>6</v>
      </c>
      <c r="H34" s="50">
        <v>0</v>
      </c>
      <c r="I34" s="50">
        <v>7</v>
      </c>
      <c r="J34" s="50">
        <v>14</v>
      </c>
      <c r="K34" s="50">
        <v>5</v>
      </c>
      <c r="L34" s="50">
        <v>3</v>
      </c>
      <c r="M34" s="50">
        <v>78</v>
      </c>
      <c r="N34" s="50">
        <v>0</v>
      </c>
      <c r="O34" s="15">
        <f t="shared" si="0"/>
        <v>140</v>
      </c>
      <c r="P34" s="15">
        <f t="shared" si="1"/>
        <v>218</v>
      </c>
    </row>
    <row r="35" spans="2:20" ht="23.1" customHeight="1" x14ac:dyDescent="0.25">
      <c r="B35" s="24" t="s">
        <v>62</v>
      </c>
      <c r="C35" s="50">
        <v>57</v>
      </c>
      <c r="D35" s="50">
        <v>18</v>
      </c>
      <c r="E35" s="50">
        <v>10</v>
      </c>
      <c r="F35" s="50">
        <v>19</v>
      </c>
      <c r="G35" s="50">
        <v>4</v>
      </c>
      <c r="H35" s="50">
        <v>2</v>
      </c>
      <c r="I35" s="50">
        <v>11</v>
      </c>
      <c r="J35" s="50">
        <v>4</v>
      </c>
      <c r="K35" s="50">
        <v>12</v>
      </c>
      <c r="L35" s="50">
        <v>3</v>
      </c>
      <c r="M35" s="50">
        <v>77</v>
      </c>
      <c r="N35" s="50">
        <v>0</v>
      </c>
      <c r="O35" s="15">
        <f t="shared" si="0"/>
        <v>140</v>
      </c>
      <c r="P35" s="15">
        <f t="shared" si="1"/>
        <v>217</v>
      </c>
    </row>
    <row r="36" spans="2:20" ht="23.1" customHeight="1" x14ac:dyDescent="0.25">
      <c r="B36" s="24" t="s">
        <v>63</v>
      </c>
      <c r="C36" s="50">
        <v>58</v>
      </c>
      <c r="D36" s="50">
        <v>16</v>
      </c>
      <c r="E36" s="50">
        <v>10</v>
      </c>
      <c r="F36" s="50">
        <v>15</v>
      </c>
      <c r="G36" s="50">
        <v>4</v>
      </c>
      <c r="H36" s="50">
        <v>1</v>
      </c>
      <c r="I36" s="50">
        <v>7</v>
      </c>
      <c r="J36" s="50">
        <v>5</v>
      </c>
      <c r="K36" s="50">
        <v>11</v>
      </c>
      <c r="L36" s="50">
        <v>12</v>
      </c>
      <c r="M36" s="50">
        <v>105</v>
      </c>
      <c r="N36" s="50">
        <v>0</v>
      </c>
      <c r="O36" s="15">
        <f t="shared" si="0"/>
        <v>139</v>
      </c>
      <c r="P36" s="15">
        <f t="shared" si="1"/>
        <v>244</v>
      </c>
    </row>
    <row r="37" spans="2:20" ht="23.1" customHeight="1" x14ac:dyDescent="0.25">
      <c r="B37" s="23" t="s">
        <v>64</v>
      </c>
      <c r="C37" s="50">
        <v>59</v>
      </c>
      <c r="D37" s="50">
        <v>8</v>
      </c>
      <c r="E37" s="50">
        <v>7</v>
      </c>
      <c r="F37" s="50">
        <v>18</v>
      </c>
      <c r="G37" s="50">
        <v>4</v>
      </c>
      <c r="H37" s="50">
        <v>0</v>
      </c>
      <c r="I37" s="50">
        <v>10</v>
      </c>
      <c r="J37" s="50">
        <v>1</v>
      </c>
      <c r="K37" s="50">
        <v>7</v>
      </c>
      <c r="L37" s="50">
        <v>8</v>
      </c>
      <c r="M37" s="50">
        <v>73</v>
      </c>
      <c r="N37" s="50">
        <v>0</v>
      </c>
      <c r="O37" s="15">
        <f t="shared" si="0"/>
        <v>122</v>
      </c>
      <c r="P37" s="15">
        <f t="shared" si="1"/>
        <v>195</v>
      </c>
    </row>
    <row r="38" spans="2:20" ht="23.1" customHeight="1" x14ac:dyDescent="0.25">
      <c r="B38" s="24" t="s">
        <v>65</v>
      </c>
      <c r="C38" s="50">
        <v>53</v>
      </c>
      <c r="D38" s="50">
        <v>5</v>
      </c>
      <c r="E38" s="50">
        <v>4</v>
      </c>
      <c r="F38" s="50">
        <v>17</v>
      </c>
      <c r="G38" s="50">
        <v>1</v>
      </c>
      <c r="H38" s="50">
        <v>0</v>
      </c>
      <c r="I38" s="50">
        <v>4</v>
      </c>
      <c r="J38" s="50">
        <v>12</v>
      </c>
      <c r="K38" s="50">
        <v>4</v>
      </c>
      <c r="L38" s="50">
        <v>2</v>
      </c>
      <c r="M38" s="50">
        <v>73</v>
      </c>
      <c r="N38" s="50">
        <v>0</v>
      </c>
      <c r="O38" s="15">
        <f t="shared" si="0"/>
        <v>102</v>
      </c>
      <c r="P38" s="15">
        <f t="shared" si="1"/>
        <v>175</v>
      </c>
    </row>
    <row r="39" spans="2:20" ht="23.1" customHeight="1" x14ac:dyDescent="0.25">
      <c r="B39" s="24" t="s">
        <v>66</v>
      </c>
      <c r="C39" s="50">
        <v>80</v>
      </c>
      <c r="D39" s="50">
        <v>14</v>
      </c>
      <c r="E39" s="50">
        <v>8</v>
      </c>
      <c r="F39" s="50">
        <v>17</v>
      </c>
      <c r="G39" s="50">
        <v>0</v>
      </c>
      <c r="H39" s="50">
        <v>0</v>
      </c>
      <c r="I39" s="50">
        <v>7</v>
      </c>
      <c r="J39" s="50">
        <v>10</v>
      </c>
      <c r="K39" s="50">
        <v>5</v>
      </c>
      <c r="L39" s="50">
        <v>6</v>
      </c>
      <c r="M39" s="50">
        <v>119</v>
      </c>
      <c r="N39" s="50">
        <v>0</v>
      </c>
      <c r="O39" s="15">
        <f t="shared" si="0"/>
        <v>147</v>
      </c>
      <c r="P39" s="15">
        <f t="shared" si="1"/>
        <v>266</v>
      </c>
    </row>
    <row r="40" spans="2:20" ht="23.1" customHeight="1" x14ac:dyDescent="0.25">
      <c r="B40" s="24" t="s">
        <v>67</v>
      </c>
      <c r="C40" s="50">
        <v>40</v>
      </c>
      <c r="D40" s="50">
        <v>6</v>
      </c>
      <c r="E40" s="50">
        <v>7</v>
      </c>
      <c r="F40" s="50">
        <v>10</v>
      </c>
      <c r="G40" s="50">
        <v>0</v>
      </c>
      <c r="H40" s="50">
        <v>1</v>
      </c>
      <c r="I40" s="50">
        <v>7</v>
      </c>
      <c r="J40" s="50">
        <v>7</v>
      </c>
      <c r="K40" s="50">
        <v>3</v>
      </c>
      <c r="L40" s="50">
        <v>10</v>
      </c>
      <c r="M40" s="50">
        <v>86</v>
      </c>
      <c r="N40" s="50">
        <v>0</v>
      </c>
      <c r="O40" s="15">
        <f t="shared" si="0"/>
        <v>91</v>
      </c>
      <c r="P40" s="15">
        <f t="shared" si="1"/>
        <v>177</v>
      </c>
    </row>
    <row r="41" spans="2:20" ht="23.1" customHeight="1" x14ac:dyDescent="0.25">
      <c r="B41" s="23" t="s">
        <v>68</v>
      </c>
      <c r="C41" s="50">
        <v>48</v>
      </c>
      <c r="D41" s="50">
        <v>12</v>
      </c>
      <c r="E41" s="50">
        <v>6</v>
      </c>
      <c r="F41" s="50">
        <v>25</v>
      </c>
      <c r="G41" s="50">
        <v>1</v>
      </c>
      <c r="H41" s="50">
        <v>0</v>
      </c>
      <c r="I41" s="50">
        <v>12</v>
      </c>
      <c r="J41" s="50">
        <v>9</v>
      </c>
      <c r="K41" s="50">
        <v>2</v>
      </c>
      <c r="L41" s="50">
        <v>8</v>
      </c>
      <c r="M41" s="50">
        <v>117</v>
      </c>
      <c r="N41" s="50">
        <v>0</v>
      </c>
      <c r="O41" s="15">
        <f t="shared" si="0"/>
        <v>123</v>
      </c>
      <c r="P41" s="15">
        <f t="shared" si="1"/>
        <v>240</v>
      </c>
    </row>
    <row r="42" spans="2:20" ht="23.1" customHeight="1" x14ac:dyDescent="0.25">
      <c r="B42" s="24" t="s">
        <v>69</v>
      </c>
      <c r="C42" s="50">
        <v>56</v>
      </c>
      <c r="D42" s="50">
        <v>14</v>
      </c>
      <c r="E42" s="50">
        <v>20</v>
      </c>
      <c r="F42" s="50">
        <v>16</v>
      </c>
      <c r="G42" s="50">
        <v>0</v>
      </c>
      <c r="H42" s="50">
        <v>0</v>
      </c>
      <c r="I42" s="50">
        <v>10</v>
      </c>
      <c r="J42" s="50">
        <v>14</v>
      </c>
      <c r="K42" s="50">
        <v>1</v>
      </c>
      <c r="L42" s="50">
        <v>3</v>
      </c>
      <c r="M42" s="50">
        <v>129</v>
      </c>
      <c r="N42" s="50">
        <v>0</v>
      </c>
      <c r="O42" s="15">
        <f t="shared" si="0"/>
        <v>134</v>
      </c>
      <c r="P42" s="15">
        <f t="shared" si="1"/>
        <v>263</v>
      </c>
    </row>
    <row r="43" spans="2:20" ht="23.1" customHeight="1" x14ac:dyDescent="0.25">
      <c r="B43" s="23" t="s">
        <v>70</v>
      </c>
      <c r="C43" s="50">
        <v>54</v>
      </c>
      <c r="D43" s="50">
        <v>26</v>
      </c>
      <c r="E43" s="50">
        <v>12</v>
      </c>
      <c r="F43" s="50">
        <v>17</v>
      </c>
      <c r="G43" s="50">
        <v>0</v>
      </c>
      <c r="H43" s="50">
        <v>0</v>
      </c>
      <c r="I43" s="50">
        <v>16</v>
      </c>
      <c r="J43" s="50">
        <v>13</v>
      </c>
      <c r="K43" s="50">
        <v>7</v>
      </c>
      <c r="L43" s="50">
        <v>3</v>
      </c>
      <c r="M43" s="50">
        <v>106</v>
      </c>
      <c r="N43" s="50">
        <v>0</v>
      </c>
      <c r="O43" s="15">
        <f t="shared" si="0"/>
        <v>148</v>
      </c>
      <c r="P43" s="15">
        <f t="shared" si="1"/>
        <v>254</v>
      </c>
    </row>
    <row r="44" spans="2:20" ht="23.1" customHeight="1" x14ac:dyDescent="0.25">
      <c r="B44" s="25" t="s">
        <v>71</v>
      </c>
      <c r="C44" s="50">
        <v>50</v>
      </c>
      <c r="D44" s="50">
        <v>14</v>
      </c>
      <c r="E44" s="50">
        <v>10</v>
      </c>
      <c r="F44" s="50">
        <v>16</v>
      </c>
      <c r="G44" s="50">
        <v>0</v>
      </c>
      <c r="H44" s="50">
        <v>1</v>
      </c>
      <c r="I44" s="50">
        <v>11</v>
      </c>
      <c r="J44" s="50">
        <v>10</v>
      </c>
      <c r="K44" s="50">
        <v>7</v>
      </c>
      <c r="L44" s="50">
        <v>7</v>
      </c>
      <c r="M44" s="50">
        <v>115</v>
      </c>
      <c r="N44" s="50">
        <v>0</v>
      </c>
      <c r="O44" s="15">
        <f t="shared" si="0"/>
        <v>126</v>
      </c>
      <c r="P44" s="15">
        <f t="shared" si="1"/>
        <v>241</v>
      </c>
    </row>
    <row r="45" spans="2:20" ht="23.1" customHeight="1" x14ac:dyDescent="0.25">
      <c r="B45" s="23" t="s">
        <v>72</v>
      </c>
      <c r="C45" s="50">
        <v>47</v>
      </c>
      <c r="D45" s="50">
        <v>18</v>
      </c>
      <c r="E45" s="50">
        <v>7</v>
      </c>
      <c r="F45" s="50">
        <v>11</v>
      </c>
      <c r="G45" s="50">
        <v>0</v>
      </c>
      <c r="H45" s="50">
        <v>1</v>
      </c>
      <c r="I45" s="50">
        <v>6</v>
      </c>
      <c r="J45" s="50">
        <v>5</v>
      </c>
      <c r="K45" s="50">
        <v>11</v>
      </c>
      <c r="L45" s="50">
        <v>10</v>
      </c>
      <c r="M45" s="50">
        <v>127</v>
      </c>
      <c r="N45" s="50">
        <v>0</v>
      </c>
      <c r="O45" s="15">
        <f t="shared" si="0"/>
        <v>116</v>
      </c>
      <c r="P45" s="15">
        <f t="shared" si="1"/>
        <v>243</v>
      </c>
    </row>
    <row r="46" spans="2:20" ht="23.1" customHeight="1" x14ac:dyDescent="0.25">
      <c r="B46" s="24" t="s">
        <v>73</v>
      </c>
      <c r="C46" s="50">
        <v>58</v>
      </c>
      <c r="D46" s="50">
        <v>14</v>
      </c>
      <c r="E46" s="50">
        <v>12</v>
      </c>
      <c r="F46" s="50">
        <v>16</v>
      </c>
      <c r="G46" s="50">
        <v>0</v>
      </c>
      <c r="H46" s="50">
        <v>0</v>
      </c>
      <c r="I46" s="50">
        <v>16</v>
      </c>
      <c r="J46" s="50">
        <v>8</v>
      </c>
      <c r="K46" s="50">
        <v>6</v>
      </c>
      <c r="L46" s="50">
        <v>3</v>
      </c>
      <c r="M46" s="50">
        <v>102</v>
      </c>
      <c r="N46" s="50">
        <v>0</v>
      </c>
      <c r="O46" s="15">
        <f t="shared" si="0"/>
        <v>133</v>
      </c>
      <c r="P46" s="15">
        <f t="shared" si="1"/>
        <v>235</v>
      </c>
      <c r="R46" s="8"/>
      <c r="T46"/>
    </row>
    <row r="47" spans="2:20" ht="23.1" customHeight="1" x14ac:dyDescent="0.25">
      <c r="B47" s="24" t="s">
        <v>74</v>
      </c>
      <c r="C47" s="50">
        <v>78</v>
      </c>
      <c r="D47" s="50">
        <v>17</v>
      </c>
      <c r="E47" s="50">
        <v>11</v>
      </c>
      <c r="F47" s="50">
        <v>33</v>
      </c>
      <c r="G47" s="50">
        <v>0</v>
      </c>
      <c r="H47" s="50">
        <v>1</v>
      </c>
      <c r="I47" s="50">
        <v>8</v>
      </c>
      <c r="J47" s="50">
        <v>7</v>
      </c>
      <c r="K47" s="50">
        <v>5</v>
      </c>
      <c r="L47" s="50">
        <v>4</v>
      </c>
      <c r="M47" s="50">
        <v>108</v>
      </c>
      <c r="N47" s="50">
        <v>0</v>
      </c>
      <c r="O47" s="15">
        <f t="shared" si="0"/>
        <v>164</v>
      </c>
      <c r="P47" s="15">
        <f t="shared" si="1"/>
        <v>272</v>
      </c>
      <c r="R47" s="8"/>
      <c r="T47"/>
    </row>
    <row r="48" spans="2:20" ht="23.1" customHeight="1" x14ac:dyDescent="0.25">
      <c r="B48" s="24" t="s">
        <v>75</v>
      </c>
      <c r="C48" s="50">
        <v>71</v>
      </c>
      <c r="D48" s="50">
        <v>26</v>
      </c>
      <c r="E48" s="50">
        <v>20</v>
      </c>
      <c r="F48" s="50">
        <v>15</v>
      </c>
      <c r="G48" s="50">
        <v>3</v>
      </c>
      <c r="H48" s="50">
        <v>0</v>
      </c>
      <c r="I48" s="50">
        <v>8</v>
      </c>
      <c r="J48" s="50">
        <v>13</v>
      </c>
      <c r="K48" s="50">
        <v>8</v>
      </c>
      <c r="L48" s="50">
        <v>4</v>
      </c>
      <c r="M48" s="50">
        <v>115</v>
      </c>
      <c r="N48" s="50">
        <v>0</v>
      </c>
      <c r="O48" s="15">
        <f t="shared" si="0"/>
        <v>168</v>
      </c>
      <c r="P48" s="15">
        <f t="shared" si="1"/>
        <v>283</v>
      </c>
      <c r="R48" s="8"/>
      <c r="T48"/>
    </row>
    <row r="49" spans="2:20" ht="23.1" customHeight="1" x14ac:dyDescent="0.25">
      <c r="B49" s="23" t="s">
        <v>76</v>
      </c>
      <c r="C49" s="50">
        <v>58</v>
      </c>
      <c r="D49" s="50">
        <v>14</v>
      </c>
      <c r="E49" s="50">
        <v>13</v>
      </c>
      <c r="F49" s="50">
        <v>12</v>
      </c>
      <c r="G49" s="50">
        <v>0</v>
      </c>
      <c r="H49" s="50">
        <v>0</v>
      </c>
      <c r="I49" s="50">
        <v>4</v>
      </c>
      <c r="J49" s="50">
        <v>7</v>
      </c>
      <c r="K49" s="50">
        <v>3</v>
      </c>
      <c r="L49" s="50">
        <v>4</v>
      </c>
      <c r="M49" s="50">
        <v>92</v>
      </c>
      <c r="N49" s="50">
        <v>0</v>
      </c>
      <c r="O49" s="15">
        <f t="shared" si="0"/>
        <v>115</v>
      </c>
      <c r="P49" s="15">
        <f t="shared" si="1"/>
        <v>207</v>
      </c>
      <c r="R49" s="8"/>
      <c r="T49"/>
    </row>
    <row r="50" spans="2:20" ht="23.1" customHeight="1" x14ac:dyDescent="0.25">
      <c r="B50" s="24" t="s">
        <v>77</v>
      </c>
      <c r="C50" s="50">
        <v>38</v>
      </c>
      <c r="D50" s="50">
        <v>17</v>
      </c>
      <c r="E50" s="50">
        <v>13</v>
      </c>
      <c r="F50" s="50">
        <v>17</v>
      </c>
      <c r="G50" s="50">
        <v>1</v>
      </c>
      <c r="H50" s="50">
        <v>0</v>
      </c>
      <c r="I50" s="50">
        <v>9</v>
      </c>
      <c r="J50" s="50">
        <v>4</v>
      </c>
      <c r="K50" s="50">
        <v>9</v>
      </c>
      <c r="L50" s="50">
        <v>7</v>
      </c>
      <c r="M50" s="50">
        <v>110</v>
      </c>
      <c r="N50" s="50">
        <v>0</v>
      </c>
      <c r="O50" s="15">
        <f t="shared" si="0"/>
        <v>115</v>
      </c>
      <c r="P50" s="15">
        <f t="shared" si="1"/>
        <v>225</v>
      </c>
      <c r="R50" s="8"/>
      <c r="T50"/>
    </row>
    <row r="51" spans="2:20" ht="23.1" customHeight="1" x14ac:dyDescent="0.25">
      <c r="B51" s="24" t="s">
        <v>78</v>
      </c>
      <c r="C51" s="50">
        <v>66</v>
      </c>
      <c r="D51" s="50">
        <v>17</v>
      </c>
      <c r="E51" s="50">
        <v>17</v>
      </c>
      <c r="F51" s="50">
        <v>18</v>
      </c>
      <c r="G51" s="50">
        <v>0</v>
      </c>
      <c r="H51" s="50">
        <v>1</v>
      </c>
      <c r="I51" s="50">
        <v>16</v>
      </c>
      <c r="J51" s="50">
        <v>10</v>
      </c>
      <c r="K51" s="50">
        <v>5</v>
      </c>
      <c r="L51" s="50">
        <v>5</v>
      </c>
      <c r="M51" s="50">
        <v>125</v>
      </c>
      <c r="N51" s="50">
        <v>0</v>
      </c>
      <c r="O51" s="15">
        <f t="shared" si="0"/>
        <v>155</v>
      </c>
      <c r="P51" s="15">
        <f t="shared" si="1"/>
        <v>280</v>
      </c>
      <c r="R51" s="8"/>
      <c r="T51"/>
    </row>
    <row r="52" spans="2:20" ht="23.1" customHeight="1" x14ac:dyDescent="0.25">
      <c r="B52" s="24" t="s">
        <v>79</v>
      </c>
      <c r="C52" s="50">
        <v>62</v>
      </c>
      <c r="D52" s="50">
        <v>11</v>
      </c>
      <c r="E52" s="50">
        <v>8</v>
      </c>
      <c r="F52" s="50">
        <v>10</v>
      </c>
      <c r="G52" s="50">
        <v>3</v>
      </c>
      <c r="H52" s="50">
        <v>0</v>
      </c>
      <c r="I52" s="50">
        <v>5</v>
      </c>
      <c r="J52" s="50">
        <v>7</v>
      </c>
      <c r="K52" s="50">
        <v>7</v>
      </c>
      <c r="L52" s="50">
        <v>8</v>
      </c>
      <c r="M52" s="50">
        <v>85</v>
      </c>
      <c r="N52" s="50">
        <v>0</v>
      </c>
      <c r="O52" s="15">
        <f t="shared" si="0"/>
        <v>121</v>
      </c>
      <c r="P52" s="15">
        <f t="shared" si="1"/>
        <v>206</v>
      </c>
      <c r="R52" s="8"/>
      <c r="T52"/>
    </row>
    <row r="53" spans="2:20" ht="23.1" customHeight="1" x14ac:dyDescent="0.25">
      <c r="B53" s="23" t="s">
        <v>80</v>
      </c>
      <c r="C53" s="50">
        <v>110</v>
      </c>
      <c r="D53" s="50">
        <v>9</v>
      </c>
      <c r="E53" s="50">
        <v>14</v>
      </c>
      <c r="F53" s="50">
        <v>15</v>
      </c>
      <c r="G53" s="50">
        <v>1</v>
      </c>
      <c r="H53" s="50">
        <v>2</v>
      </c>
      <c r="I53" s="50">
        <v>23</v>
      </c>
      <c r="J53" s="50">
        <v>3</v>
      </c>
      <c r="K53" s="50">
        <v>6</v>
      </c>
      <c r="L53" s="50">
        <v>6</v>
      </c>
      <c r="M53" s="50">
        <v>151</v>
      </c>
      <c r="N53" s="50">
        <v>0</v>
      </c>
      <c r="O53" s="15">
        <f t="shared" si="0"/>
        <v>189</v>
      </c>
      <c r="P53" s="15">
        <f t="shared" si="1"/>
        <v>340</v>
      </c>
      <c r="R53" s="8"/>
      <c r="T53"/>
    </row>
    <row r="54" spans="2:20" ht="23.1" customHeight="1" x14ac:dyDescent="0.25">
      <c r="B54" s="23" t="s">
        <v>81</v>
      </c>
      <c r="C54" s="50">
        <v>110</v>
      </c>
      <c r="D54" s="50">
        <v>11</v>
      </c>
      <c r="E54" s="50">
        <v>6</v>
      </c>
      <c r="F54" s="50">
        <v>12</v>
      </c>
      <c r="G54" s="50">
        <v>0</v>
      </c>
      <c r="H54" s="50">
        <v>0</v>
      </c>
      <c r="I54" s="50">
        <v>10</v>
      </c>
      <c r="J54" s="50">
        <v>7</v>
      </c>
      <c r="K54" s="50">
        <v>5</v>
      </c>
      <c r="L54" s="50">
        <v>1</v>
      </c>
      <c r="M54" s="50">
        <v>110</v>
      </c>
      <c r="N54" s="50">
        <v>0</v>
      </c>
      <c r="O54" s="15">
        <f t="shared" si="0"/>
        <v>162</v>
      </c>
      <c r="P54" s="15">
        <f t="shared" si="1"/>
        <v>272</v>
      </c>
      <c r="R54" s="8"/>
      <c r="T54"/>
    </row>
    <row r="55" spans="2:20" ht="23.1" customHeight="1" x14ac:dyDescent="0.25">
      <c r="B55" s="23" t="s">
        <v>82</v>
      </c>
      <c r="C55" s="50">
        <v>113</v>
      </c>
      <c r="D55" s="50">
        <v>14</v>
      </c>
      <c r="E55" s="50">
        <v>27</v>
      </c>
      <c r="F55" s="50">
        <v>32</v>
      </c>
      <c r="G55" s="50">
        <v>6</v>
      </c>
      <c r="H55" s="50">
        <v>3</v>
      </c>
      <c r="I55" s="50">
        <v>6</v>
      </c>
      <c r="J55" s="50">
        <v>6</v>
      </c>
      <c r="K55" s="50">
        <v>3</v>
      </c>
      <c r="L55" s="50">
        <v>5</v>
      </c>
      <c r="M55" s="50">
        <v>140</v>
      </c>
      <c r="N55" s="50">
        <v>0</v>
      </c>
      <c r="O55" s="15">
        <f t="shared" si="0"/>
        <v>215</v>
      </c>
      <c r="P55" s="15">
        <f t="shared" si="1"/>
        <v>355</v>
      </c>
      <c r="R55" s="8"/>
      <c r="T55"/>
    </row>
    <row r="56" spans="2:20" ht="23.1" customHeight="1" x14ac:dyDescent="0.25">
      <c r="B56" s="23" t="s">
        <v>83</v>
      </c>
      <c r="C56" s="50">
        <v>56</v>
      </c>
      <c r="D56" s="50">
        <v>16</v>
      </c>
      <c r="E56" s="50">
        <v>8</v>
      </c>
      <c r="F56" s="50">
        <v>20</v>
      </c>
      <c r="G56" s="50">
        <v>2</v>
      </c>
      <c r="H56" s="50">
        <v>0</v>
      </c>
      <c r="I56" s="50">
        <v>7</v>
      </c>
      <c r="J56" s="50">
        <v>4</v>
      </c>
      <c r="K56" s="50">
        <v>6</v>
      </c>
      <c r="L56" s="50">
        <v>2</v>
      </c>
      <c r="M56" s="50">
        <v>120</v>
      </c>
      <c r="N56" s="50">
        <v>0</v>
      </c>
      <c r="O56" s="15">
        <f t="shared" si="0"/>
        <v>121</v>
      </c>
      <c r="P56" s="15">
        <f t="shared" si="1"/>
        <v>241</v>
      </c>
      <c r="R56" s="8"/>
      <c r="T56"/>
    </row>
    <row r="57" spans="2:20" ht="23.1" customHeight="1" x14ac:dyDescent="0.25">
      <c r="B57" s="23" t="s">
        <v>84</v>
      </c>
      <c r="C57" s="50">
        <v>72</v>
      </c>
      <c r="D57" s="50">
        <v>21</v>
      </c>
      <c r="E57" s="50">
        <v>12</v>
      </c>
      <c r="F57" s="50">
        <v>23</v>
      </c>
      <c r="G57" s="50">
        <v>2</v>
      </c>
      <c r="H57" s="50">
        <v>0</v>
      </c>
      <c r="I57" s="50">
        <v>9</v>
      </c>
      <c r="J57" s="50">
        <v>13</v>
      </c>
      <c r="K57" s="50">
        <v>3</v>
      </c>
      <c r="L57" s="50">
        <v>7</v>
      </c>
      <c r="M57" s="50">
        <v>135</v>
      </c>
      <c r="N57" s="50">
        <v>0</v>
      </c>
      <c r="O57" s="15">
        <f t="shared" si="0"/>
        <v>162</v>
      </c>
      <c r="P57" s="15">
        <f t="shared" si="1"/>
        <v>297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2793</v>
      </c>
      <c r="D58" s="16">
        <f t="shared" si="21"/>
        <v>749</v>
      </c>
      <c r="E58" s="16">
        <f t="shared" si="21"/>
        <v>533</v>
      </c>
      <c r="F58" s="16">
        <f t="shared" si="21"/>
        <v>838</v>
      </c>
      <c r="G58" s="16">
        <f t="shared" si="21"/>
        <v>92</v>
      </c>
      <c r="H58" s="16">
        <f t="shared" si="21"/>
        <v>22</v>
      </c>
      <c r="I58" s="16">
        <f t="shared" si="21"/>
        <v>450</v>
      </c>
      <c r="J58" s="16">
        <f t="shared" si="21"/>
        <v>388</v>
      </c>
      <c r="K58" s="16">
        <f t="shared" si="21"/>
        <v>288</v>
      </c>
      <c r="L58" s="16">
        <f t="shared" si="21"/>
        <v>241</v>
      </c>
      <c r="M58" s="16">
        <f t="shared" si="21"/>
        <v>5397</v>
      </c>
      <c r="N58" s="16">
        <f t="shared" si="21"/>
        <v>1</v>
      </c>
      <c r="O58" s="16">
        <f t="shared" si="21"/>
        <v>6395</v>
      </c>
      <c r="P58" s="16">
        <f t="shared" si="21"/>
        <v>11792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0.23685549525101765</v>
      </c>
      <c r="D59" s="43">
        <f t="shared" si="22"/>
        <v>6.3517639077340565E-2</v>
      </c>
      <c r="E59" s="43">
        <f t="shared" si="22"/>
        <v>4.5200135685210314E-2</v>
      </c>
      <c r="F59" s="43">
        <f t="shared" si="22"/>
        <v>7.1065128900949792E-2</v>
      </c>
      <c r="G59" s="43">
        <f t="shared" si="22"/>
        <v>7.8018995929443691E-3</v>
      </c>
      <c r="H59" s="43">
        <f t="shared" si="22"/>
        <v>1.8656716417910447E-3</v>
      </c>
      <c r="I59" s="43">
        <f t="shared" si="22"/>
        <v>3.816146540027137E-2</v>
      </c>
      <c r="J59" s="43">
        <f t="shared" si="22"/>
        <v>3.2903663500678429E-2</v>
      </c>
      <c r="K59" s="43">
        <f t="shared" si="22"/>
        <v>2.4423337856173677E-2</v>
      </c>
      <c r="L59" s="43">
        <f t="shared" si="22"/>
        <v>2.0437584803256446E-2</v>
      </c>
      <c r="M59" s="43">
        <f t="shared" si="22"/>
        <v>0.45768317503392131</v>
      </c>
      <c r="N59" s="43">
        <f t="shared" si="22"/>
        <v>8.4803256445047483E-5</v>
      </c>
      <c r="R59" s="8"/>
      <c r="T59"/>
    </row>
    <row r="60" spans="2:20" ht="23.1" customHeight="1" x14ac:dyDescent="0.25">
      <c r="B60" s="42" t="s">
        <v>94</v>
      </c>
      <c r="C60" s="44">
        <f>C58/$O$58</f>
        <v>0.43674745895230649</v>
      </c>
      <c r="D60" s="44">
        <f t="shared" ref="D60:N60" si="23">D58/$O$58</f>
        <v>0.11712275215011728</v>
      </c>
      <c r="E60" s="44">
        <f t="shared" si="23"/>
        <v>8.3346364347146207E-2</v>
      </c>
      <c r="F60" s="44">
        <f t="shared" si="23"/>
        <v>0.1310398749022674</v>
      </c>
      <c r="G60" s="44">
        <f t="shared" si="23"/>
        <v>1.4386239249413605E-2</v>
      </c>
      <c r="H60" s="44">
        <f t="shared" si="23"/>
        <v>3.4401876465989054E-3</v>
      </c>
      <c r="I60" s="44">
        <f t="shared" si="23"/>
        <v>7.0367474589523069E-2</v>
      </c>
      <c r="J60" s="44">
        <f t="shared" si="23"/>
        <v>6.0672400312744332E-2</v>
      </c>
      <c r="K60" s="44">
        <f t="shared" si="23"/>
        <v>4.5035183737294759E-2</v>
      </c>
      <c r="L60" s="44">
        <f t="shared" si="23"/>
        <v>3.7685691946833466E-2</v>
      </c>
      <c r="M60" s="44"/>
      <c r="N60" s="44">
        <f t="shared" si="23"/>
        <v>1.5637216575449569E-4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G1" zoomScale="60" workbookViewId="0">
      <selection activeCell="C55" sqref="C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Lubigi-Masanafu'!D5</f>
        <v>24.07.19</v>
      </c>
      <c r="E5" s="3"/>
      <c r="F5" s="41" t="s">
        <v>1</v>
      </c>
      <c r="G5" s="67" t="str">
        <f>'22.07 Lubigi-Masanafu'!G5:H5</f>
        <v>Northern Bypass</v>
      </c>
      <c r="H5" s="68"/>
      <c r="I5" s="14"/>
      <c r="J5" s="2" t="s">
        <v>5</v>
      </c>
      <c r="K5" s="67" t="s">
        <v>175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Masanafu-Lubigi'!D6:E6</f>
        <v>Masanafu</v>
      </c>
      <c r="E6" s="68"/>
      <c r="F6" s="2" t="s">
        <v>2</v>
      </c>
      <c r="G6" s="67" t="str">
        <f>'22.07 Masanafu-Lubigi'!G6:H6</f>
        <v>Lubigi</v>
      </c>
      <c r="H6" s="68"/>
      <c r="J6" s="2" t="s">
        <v>21</v>
      </c>
      <c r="K6" s="67" t="str">
        <f>'22.07 Lubigi-Masanafu'!K6:L6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81</v>
      </c>
      <c r="D10" s="50">
        <v>20</v>
      </c>
      <c r="E10" s="50">
        <v>3</v>
      </c>
      <c r="F10" s="50">
        <v>42</v>
      </c>
      <c r="G10" s="50">
        <v>3</v>
      </c>
      <c r="H10" s="50">
        <v>0</v>
      </c>
      <c r="I10" s="50">
        <v>5</v>
      </c>
      <c r="J10" s="50">
        <v>5</v>
      </c>
      <c r="K10" s="50">
        <v>6</v>
      </c>
      <c r="L10" s="50">
        <v>3</v>
      </c>
      <c r="M10" s="50">
        <v>93</v>
      </c>
      <c r="N10" s="50">
        <v>0</v>
      </c>
      <c r="O10" s="15">
        <f t="shared" ref="O10:O57" si="0">SUM(C10:L10,N10)</f>
        <v>168</v>
      </c>
      <c r="P10" s="15">
        <f t="shared" ref="P10:P57" si="1">SUM(C10:N10)</f>
        <v>261</v>
      </c>
      <c r="R10" s="1" t="s">
        <v>6</v>
      </c>
      <c r="S10" s="17">
        <f t="shared" ref="S10:AF10" si="2">SUM(C10:C13)</f>
        <v>272</v>
      </c>
      <c r="T10" s="17">
        <f t="shared" si="2"/>
        <v>55</v>
      </c>
      <c r="U10" s="17">
        <f t="shared" si="2"/>
        <v>22</v>
      </c>
      <c r="V10" s="17">
        <f t="shared" si="2"/>
        <v>97</v>
      </c>
      <c r="W10" s="17">
        <f t="shared" si="2"/>
        <v>5</v>
      </c>
      <c r="X10" s="17">
        <f t="shared" si="2"/>
        <v>0</v>
      </c>
      <c r="Y10" s="17">
        <f t="shared" si="2"/>
        <v>32</v>
      </c>
      <c r="Z10" s="17">
        <f t="shared" si="2"/>
        <v>34</v>
      </c>
      <c r="AA10" s="17">
        <f t="shared" si="2"/>
        <v>17</v>
      </c>
      <c r="AB10" s="17">
        <f t="shared" si="2"/>
        <v>20</v>
      </c>
      <c r="AC10" s="17">
        <f t="shared" si="2"/>
        <v>486</v>
      </c>
      <c r="AD10" s="17">
        <f t="shared" si="2"/>
        <v>0</v>
      </c>
      <c r="AE10" s="31">
        <f t="shared" si="2"/>
        <v>554</v>
      </c>
      <c r="AF10" s="31">
        <f t="shared" si="2"/>
        <v>1040</v>
      </c>
    </row>
    <row r="11" spans="2:32" s="6" customFormat="1" ht="23.1" customHeight="1" x14ac:dyDescent="0.25">
      <c r="B11" s="23" t="s">
        <v>38</v>
      </c>
      <c r="C11" s="50">
        <v>103</v>
      </c>
      <c r="D11" s="50">
        <v>12</v>
      </c>
      <c r="E11" s="50">
        <v>10</v>
      </c>
      <c r="F11" s="50">
        <v>29</v>
      </c>
      <c r="G11" s="50">
        <v>0</v>
      </c>
      <c r="H11" s="50">
        <v>0</v>
      </c>
      <c r="I11" s="50">
        <v>12</v>
      </c>
      <c r="J11" s="50">
        <v>13</v>
      </c>
      <c r="K11" s="50">
        <v>5</v>
      </c>
      <c r="L11" s="50">
        <v>4</v>
      </c>
      <c r="M11" s="50">
        <v>130</v>
      </c>
      <c r="N11" s="50">
        <v>0</v>
      </c>
      <c r="O11" s="15">
        <f t="shared" si="0"/>
        <v>188</v>
      </c>
      <c r="P11" s="15">
        <f t="shared" si="1"/>
        <v>318</v>
      </c>
      <c r="R11" s="1" t="s">
        <v>7</v>
      </c>
      <c r="S11" s="17">
        <f t="shared" ref="S11:AF11" si="3">SUM(C14:C17)</f>
        <v>373</v>
      </c>
      <c r="T11" s="17">
        <f t="shared" si="3"/>
        <v>50</v>
      </c>
      <c r="U11" s="17">
        <f t="shared" si="3"/>
        <v>36</v>
      </c>
      <c r="V11" s="17">
        <f t="shared" si="3"/>
        <v>68</v>
      </c>
      <c r="W11" s="17">
        <f t="shared" si="3"/>
        <v>3</v>
      </c>
      <c r="X11" s="17">
        <f t="shared" si="3"/>
        <v>1</v>
      </c>
      <c r="Y11" s="17">
        <f t="shared" si="3"/>
        <v>26</v>
      </c>
      <c r="Z11" s="17">
        <f t="shared" si="3"/>
        <v>39</v>
      </c>
      <c r="AA11" s="17">
        <f t="shared" si="3"/>
        <v>13</v>
      </c>
      <c r="AB11" s="17">
        <f t="shared" si="3"/>
        <v>19</v>
      </c>
      <c r="AC11" s="17">
        <f t="shared" si="3"/>
        <v>528</v>
      </c>
      <c r="AD11" s="17">
        <f t="shared" si="3"/>
        <v>0</v>
      </c>
      <c r="AE11" s="31">
        <f t="shared" si="3"/>
        <v>628</v>
      </c>
      <c r="AF11" s="31">
        <f t="shared" si="3"/>
        <v>1156</v>
      </c>
    </row>
    <row r="12" spans="2:32" ht="23.1" customHeight="1" x14ac:dyDescent="0.25">
      <c r="B12" s="23" t="s">
        <v>39</v>
      </c>
      <c r="C12" s="50">
        <v>41</v>
      </c>
      <c r="D12" s="50">
        <v>7</v>
      </c>
      <c r="E12" s="50">
        <v>3</v>
      </c>
      <c r="F12" s="50">
        <v>9</v>
      </c>
      <c r="G12" s="50">
        <v>0</v>
      </c>
      <c r="H12" s="50">
        <v>0</v>
      </c>
      <c r="I12" s="50">
        <v>9</v>
      </c>
      <c r="J12" s="50">
        <v>7</v>
      </c>
      <c r="K12" s="50">
        <v>2</v>
      </c>
      <c r="L12" s="50">
        <v>3</v>
      </c>
      <c r="M12" s="50">
        <v>145</v>
      </c>
      <c r="N12" s="50">
        <v>0</v>
      </c>
      <c r="O12" s="15">
        <f t="shared" si="0"/>
        <v>81</v>
      </c>
      <c r="P12" s="15">
        <f t="shared" si="1"/>
        <v>226</v>
      </c>
      <c r="R12" s="1" t="s">
        <v>8</v>
      </c>
      <c r="S12" s="17">
        <f t="shared" ref="S12:AF12" si="4">SUM(C18:C21)</f>
        <v>367</v>
      </c>
      <c r="T12" s="17">
        <f t="shared" si="4"/>
        <v>116</v>
      </c>
      <c r="U12" s="17">
        <f t="shared" si="4"/>
        <v>38</v>
      </c>
      <c r="V12" s="17">
        <f t="shared" si="4"/>
        <v>60</v>
      </c>
      <c r="W12" s="17">
        <f t="shared" si="4"/>
        <v>5</v>
      </c>
      <c r="X12" s="17">
        <f t="shared" si="4"/>
        <v>2</v>
      </c>
      <c r="Y12" s="17">
        <f t="shared" si="4"/>
        <v>29</v>
      </c>
      <c r="Z12" s="17">
        <f t="shared" si="4"/>
        <v>41</v>
      </c>
      <c r="AA12" s="17">
        <f t="shared" si="4"/>
        <v>27</v>
      </c>
      <c r="AB12" s="17">
        <f t="shared" si="4"/>
        <v>16</v>
      </c>
      <c r="AC12" s="17">
        <f t="shared" si="4"/>
        <v>513</v>
      </c>
      <c r="AD12" s="17">
        <f t="shared" si="4"/>
        <v>0</v>
      </c>
      <c r="AE12" s="31">
        <f t="shared" si="4"/>
        <v>701</v>
      </c>
      <c r="AF12" s="31">
        <f t="shared" si="4"/>
        <v>1214</v>
      </c>
    </row>
    <row r="13" spans="2:32" ht="23.1" customHeight="1" x14ac:dyDescent="0.25">
      <c r="B13" s="23" t="s">
        <v>40</v>
      </c>
      <c r="C13" s="50">
        <v>47</v>
      </c>
      <c r="D13" s="50">
        <v>16</v>
      </c>
      <c r="E13" s="50">
        <v>6</v>
      </c>
      <c r="F13" s="50">
        <v>17</v>
      </c>
      <c r="G13" s="50">
        <v>2</v>
      </c>
      <c r="H13" s="50">
        <v>0</v>
      </c>
      <c r="I13" s="50">
        <v>6</v>
      </c>
      <c r="J13" s="50">
        <v>9</v>
      </c>
      <c r="K13" s="50">
        <v>4</v>
      </c>
      <c r="L13" s="50">
        <v>10</v>
      </c>
      <c r="M13" s="50">
        <v>118</v>
      </c>
      <c r="N13" s="50">
        <v>0</v>
      </c>
      <c r="O13" s="15">
        <f t="shared" si="0"/>
        <v>117</v>
      </c>
      <c r="P13" s="15">
        <f t="shared" si="1"/>
        <v>235</v>
      </c>
      <c r="R13" s="1" t="s">
        <v>9</v>
      </c>
      <c r="S13" s="17">
        <f t="shared" ref="S13:AF13" si="5">SUM(C22:C25)</f>
        <v>435</v>
      </c>
      <c r="T13" s="17">
        <f t="shared" si="5"/>
        <v>103</v>
      </c>
      <c r="U13" s="17">
        <f t="shared" si="5"/>
        <v>53</v>
      </c>
      <c r="V13" s="17">
        <f t="shared" si="5"/>
        <v>53</v>
      </c>
      <c r="W13" s="17">
        <f t="shared" si="5"/>
        <v>2</v>
      </c>
      <c r="X13" s="17">
        <f t="shared" si="5"/>
        <v>0</v>
      </c>
      <c r="Y13" s="17">
        <f t="shared" si="5"/>
        <v>37</v>
      </c>
      <c r="Z13" s="17">
        <f t="shared" si="5"/>
        <v>32</v>
      </c>
      <c r="AA13" s="17">
        <f t="shared" si="5"/>
        <v>36</v>
      </c>
      <c r="AB13" s="17">
        <f t="shared" si="5"/>
        <v>22</v>
      </c>
      <c r="AC13" s="17">
        <f t="shared" si="5"/>
        <v>473</v>
      </c>
      <c r="AD13" s="17">
        <f t="shared" si="5"/>
        <v>0</v>
      </c>
      <c r="AE13" s="31">
        <f t="shared" si="5"/>
        <v>773</v>
      </c>
      <c r="AF13" s="31">
        <f t="shared" si="5"/>
        <v>1246</v>
      </c>
    </row>
    <row r="14" spans="2:32" ht="23.1" customHeight="1" x14ac:dyDescent="0.25">
      <c r="B14" s="23" t="s">
        <v>41</v>
      </c>
      <c r="C14" s="50">
        <v>97</v>
      </c>
      <c r="D14" s="50">
        <v>10</v>
      </c>
      <c r="E14" s="50">
        <v>8</v>
      </c>
      <c r="F14" s="50">
        <v>23</v>
      </c>
      <c r="G14" s="50">
        <v>0</v>
      </c>
      <c r="H14" s="50">
        <v>0</v>
      </c>
      <c r="I14" s="50">
        <v>5</v>
      </c>
      <c r="J14" s="50">
        <v>11</v>
      </c>
      <c r="K14" s="50">
        <v>2</v>
      </c>
      <c r="L14" s="50">
        <v>3</v>
      </c>
      <c r="M14" s="50">
        <v>146</v>
      </c>
      <c r="N14" s="50">
        <v>0</v>
      </c>
      <c r="O14" s="15">
        <f t="shared" si="0"/>
        <v>159</v>
      </c>
      <c r="P14" s="15">
        <f t="shared" si="1"/>
        <v>305</v>
      </c>
      <c r="R14" s="1" t="s">
        <v>10</v>
      </c>
      <c r="S14" s="17">
        <f t="shared" ref="S14:AF14" si="6">SUM(C26:C29)</f>
        <v>356</v>
      </c>
      <c r="T14" s="17">
        <f t="shared" si="6"/>
        <v>70</v>
      </c>
      <c r="U14" s="17">
        <f t="shared" si="6"/>
        <v>59</v>
      </c>
      <c r="V14" s="17">
        <f t="shared" si="6"/>
        <v>68</v>
      </c>
      <c r="W14" s="17">
        <f t="shared" si="6"/>
        <v>1</v>
      </c>
      <c r="X14" s="17">
        <f t="shared" si="6"/>
        <v>0</v>
      </c>
      <c r="Y14" s="17">
        <f t="shared" si="6"/>
        <v>38</v>
      </c>
      <c r="Z14" s="17">
        <f t="shared" si="6"/>
        <v>40</v>
      </c>
      <c r="AA14" s="17">
        <f t="shared" si="6"/>
        <v>30</v>
      </c>
      <c r="AB14" s="17">
        <f t="shared" si="6"/>
        <v>22</v>
      </c>
      <c r="AC14" s="17">
        <f t="shared" si="6"/>
        <v>399</v>
      </c>
      <c r="AD14" s="17">
        <f t="shared" si="6"/>
        <v>0</v>
      </c>
      <c r="AE14" s="31">
        <f t="shared" si="6"/>
        <v>684</v>
      </c>
      <c r="AF14" s="31">
        <f t="shared" si="6"/>
        <v>1083</v>
      </c>
    </row>
    <row r="15" spans="2:32" ht="23.1" customHeight="1" x14ac:dyDescent="0.25">
      <c r="B15" s="23" t="s">
        <v>42</v>
      </c>
      <c r="C15" s="50">
        <v>82</v>
      </c>
      <c r="D15" s="50">
        <v>14</v>
      </c>
      <c r="E15" s="50">
        <v>6</v>
      </c>
      <c r="F15" s="50">
        <v>20</v>
      </c>
      <c r="G15" s="50">
        <v>0</v>
      </c>
      <c r="H15" s="50">
        <v>1</v>
      </c>
      <c r="I15" s="50">
        <v>6</v>
      </c>
      <c r="J15" s="50">
        <v>16</v>
      </c>
      <c r="K15" s="50">
        <v>3</v>
      </c>
      <c r="L15" s="50">
        <v>9</v>
      </c>
      <c r="M15" s="50">
        <v>126</v>
      </c>
      <c r="N15" s="50">
        <v>0</v>
      </c>
      <c r="O15" s="15">
        <f t="shared" si="0"/>
        <v>157</v>
      </c>
      <c r="P15" s="15">
        <f t="shared" si="1"/>
        <v>283</v>
      </c>
      <c r="R15" s="1" t="s">
        <v>11</v>
      </c>
      <c r="S15" s="17">
        <f t="shared" ref="S15:AF15" si="7">SUM(C30:C33)</f>
        <v>282</v>
      </c>
      <c r="T15" s="17">
        <f t="shared" si="7"/>
        <v>81</v>
      </c>
      <c r="U15" s="17">
        <f t="shared" si="7"/>
        <v>65</v>
      </c>
      <c r="V15" s="17">
        <f t="shared" si="7"/>
        <v>90</v>
      </c>
      <c r="W15" s="17">
        <f t="shared" si="7"/>
        <v>3</v>
      </c>
      <c r="X15" s="17">
        <f t="shared" si="7"/>
        <v>0</v>
      </c>
      <c r="Y15" s="17">
        <f t="shared" si="7"/>
        <v>59</v>
      </c>
      <c r="Z15" s="17">
        <f t="shared" si="7"/>
        <v>38</v>
      </c>
      <c r="AA15" s="17">
        <f t="shared" si="7"/>
        <v>17</v>
      </c>
      <c r="AB15" s="17">
        <f t="shared" si="7"/>
        <v>20</v>
      </c>
      <c r="AC15" s="17">
        <f t="shared" si="7"/>
        <v>475</v>
      </c>
      <c r="AD15" s="17">
        <f t="shared" si="7"/>
        <v>0</v>
      </c>
      <c r="AE15" s="31">
        <f t="shared" si="7"/>
        <v>655</v>
      </c>
      <c r="AF15" s="31">
        <f t="shared" si="7"/>
        <v>1130</v>
      </c>
    </row>
    <row r="16" spans="2:32" ht="23.1" customHeight="1" x14ac:dyDescent="0.25">
      <c r="B16" s="23" t="s">
        <v>43</v>
      </c>
      <c r="C16" s="50">
        <v>96</v>
      </c>
      <c r="D16" s="50">
        <v>15</v>
      </c>
      <c r="E16" s="50">
        <v>9</v>
      </c>
      <c r="F16" s="50">
        <v>14</v>
      </c>
      <c r="G16" s="50">
        <v>1</v>
      </c>
      <c r="H16" s="50">
        <v>0</v>
      </c>
      <c r="I16" s="50">
        <v>4</v>
      </c>
      <c r="J16" s="50">
        <v>6</v>
      </c>
      <c r="K16" s="50">
        <v>6</v>
      </c>
      <c r="L16" s="50">
        <v>5</v>
      </c>
      <c r="M16" s="50">
        <v>138</v>
      </c>
      <c r="N16" s="50">
        <v>0</v>
      </c>
      <c r="O16" s="15">
        <f t="shared" si="0"/>
        <v>156</v>
      </c>
      <c r="P16" s="15">
        <f t="shared" si="1"/>
        <v>294</v>
      </c>
      <c r="R16" s="1" t="s">
        <v>12</v>
      </c>
      <c r="S16" s="17">
        <f t="shared" ref="S16:AF16" si="8">SUM(C34:C37)</f>
        <v>233</v>
      </c>
      <c r="T16" s="17">
        <f t="shared" si="8"/>
        <v>73</v>
      </c>
      <c r="U16" s="17">
        <f t="shared" si="8"/>
        <v>48</v>
      </c>
      <c r="V16" s="17">
        <f t="shared" si="8"/>
        <v>75</v>
      </c>
      <c r="W16" s="17">
        <f t="shared" si="8"/>
        <v>5</v>
      </c>
      <c r="X16" s="17">
        <f t="shared" si="8"/>
        <v>0</v>
      </c>
      <c r="Y16" s="17">
        <f t="shared" si="8"/>
        <v>37</v>
      </c>
      <c r="Z16" s="17">
        <f t="shared" si="8"/>
        <v>46</v>
      </c>
      <c r="AA16" s="17">
        <f t="shared" si="8"/>
        <v>26</v>
      </c>
      <c r="AB16" s="17">
        <f t="shared" si="8"/>
        <v>23</v>
      </c>
      <c r="AC16" s="17">
        <f t="shared" si="8"/>
        <v>579</v>
      </c>
      <c r="AD16" s="17">
        <f t="shared" si="8"/>
        <v>1</v>
      </c>
      <c r="AE16" s="31">
        <f t="shared" si="8"/>
        <v>567</v>
      </c>
      <c r="AF16" s="31">
        <f t="shared" si="8"/>
        <v>1146</v>
      </c>
    </row>
    <row r="17" spans="2:32" ht="23.1" customHeight="1" x14ac:dyDescent="0.25">
      <c r="B17" s="23" t="s">
        <v>44</v>
      </c>
      <c r="C17" s="50">
        <v>98</v>
      </c>
      <c r="D17" s="50">
        <v>11</v>
      </c>
      <c r="E17" s="50">
        <v>13</v>
      </c>
      <c r="F17" s="50">
        <v>11</v>
      </c>
      <c r="G17" s="50">
        <v>2</v>
      </c>
      <c r="H17" s="50">
        <v>0</v>
      </c>
      <c r="I17" s="50">
        <v>11</v>
      </c>
      <c r="J17" s="50">
        <v>6</v>
      </c>
      <c r="K17" s="50">
        <v>2</v>
      </c>
      <c r="L17" s="50">
        <v>2</v>
      </c>
      <c r="M17" s="50">
        <v>118</v>
      </c>
      <c r="N17" s="50">
        <v>0</v>
      </c>
      <c r="O17" s="15">
        <f t="shared" si="0"/>
        <v>156</v>
      </c>
      <c r="P17" s="15">
        <f t="shared" si="1"/>
        <v>274</v>
      </c>
      <c r="R17" s="1" t="s">
        <v>13</v>
      </c>
      <c r="S17" s="17">
        <f t="shared" ref="S17:AF17" si="9">SUM(C38:C41)</f>
        <v>323</v>
      </c>
      <c r="T17" s="17">
        <f t="shared" si="9"/>
        <v>111</v>
      </c>
      <c r="U17" s="17">
        <f t="shared" si="9"/>
        <v>65</v>
      </c>
      <c r="V17" s="17">
        <f t="shared" si="9"/>
        <v>78</v>
      </c>
      <c r="W17" s="17">
        <f t="shared" si="9"/>
        <v>1</v>
      </c>
      <c r="X17" s="17">
        <f t="shared" si="9"/>
        <v>0</v>
      </c>
      <c r="Y17" s="17">
        <f t="shared" si="9"/>
        <v>40</v>
      </c>
      <c r="Z17" s="17">
        <f t="shared" si="9"/>
        <v>42</v>
      </c>
      <c r="AA17" s="17">
        <f t="shared" si="9"/>
        <v>30</v>
      </c>
      <c r="AB17" s="17">
        <f t="shared" si="9"/>
        <v>33</v>
      </c>
      <c r="AC17" s="17">
        <f t="shared" si="9"/>
        <v>442</v>
      </c>
      <c r="AD17" s="17">
        <f t="shared" si="9"/>
        <v>0</v>
      </c>
      <c r="AE17" s="31">
        <f t="shared" si="9"/>
        <v>723</v>
      </c>
      <c r="AF17" s="31">
        <f t="shared" si="9"/>
        <v>1165</v>
      </c>
    </row>
    <row r="18" spans="2:32" ht="23.1" customHeight="1" x14ac:dyDescent="0.25">
      <c r="B18" s="23" t="s">
        <v>45</v>
      </c>
      <c r="C18" s="50">
        <v>73</v>
      </c>
      <c r="D18" s="50">
        <v>24</v>
      </c>
      <c r="E18" s="50">
        <v>5</v>
      </c>
      <c r="F18" s="50">
        <v>8</v>
      </c>
      <c r="G18" s="50">
        <v>0</v>
      </c>
      <c r="H18" s="50">
        <v>0</v>
      </c>
      <c r="I18" s="50">
        <v>2</v>
      </c>
      <c r="J18" s="50">
        <v>14</v>
      </c>
      <c r="K18" s="50">
        <v>6</v>
      </c>
      <c r="L18" s="50">
        <v>3</v>
      </c>
      <c r="M18" s="50">
        <v>148</v>
      </c>
      <c r="N18" s="50">
        <v>0</v>
      </c>
      <c r="O18" s="15">
        <f t="shared" si="0"/>
        <v>135</v>
      </c>
      <c r="P18" s="15">
        <f t="shared" si="1"/>
        <v>283</v>
      </c>
      <c r="R18" s="1" t="s">
        <v>14</v>
      </c>
      <c r="S18" s="17">
        <f t="shared" ref="S18:AF18" si="10">SUM(C42:C45)</f>
        <v>342</v>
      </c>
      <c r="T18" s="17">
        <f t="shared" si="10"/>
        <v>119</v>
      </c>
      <c r="U18" s="17">
        <f t="shared" si="10"/>
        <v>71</v>
      </c>
      <c r="V18" s="17">
        <f t="shared" si="10"/>
        <v>88</v>
      </c>
      <c r="W18" s="17">
        <f t="shared" si="10"/>
        <v>5</v>
      </c>
      <c r="X18" s="17">
        <f t="shared" si="10"/>
        <v>2</v>
      </c>
      <c r="Y18" s="17">
        <f t="shared" si="10"/>
        <v>62</v>
      </c>
      <c r="Z18" s="17">
        <f t="shared" si="10"/>
        <v>32</v>
      </c>
      <c r="AA18" s="17">
        <f t="shared" si="10"/>
        <v>33</v>
      </c>
      <c r="AB18" s="17">
        <f t="shared" si="10"/>
        <v>24</v>
      </c>
      <c r="AC18" s="17">
        <f t="shared" si="10"/>
        <v>438</v>
      </c>
      <c r="AD18" s="17">
        <f t="shared" si="10"/>
        <v>1</v>
      </c>
      <c r="AE18" s="31">
        <f t="shared" si="10"/>
        <v>779</v>
      </c>
      <c r="AF18" s="31">
        <f t="shared" si="10"/>
        <v>1217</v>
      </c>
    </row>
    <row r="19" spans="2:32" ht="23.1" customHeight="1" x14ac:dyDescent="0.25">
      <c r="B19" s="23" t="s">
        <v>46</v>
      </c>
      <c r="C19" s="50">
        <v>93</v>
      </c>
      <c r="D19" s="50">
        <v>48</v>
      </c>
      <c r="E19" s="50">
        <v>20</v>
      </c>
      <c r="F19" s="50">
        <v>23</v>
      </c>
      <c r="G19" s="50">
        <v>0</v>
      </c>
      <c r="H19" s="50">
        <v>0</v>
      </c>
      <c r="I19" s="50">
        <v>12</v>
      </c>
      <c r="J19" s="50">
        <v>13</v>
      </c>
      <c r="K19" s="50">
        <v>9</v>
      </c>
      <c r="L19" s="50">
        <v>2</v>
      </c>
      <c r="M19" s="50">
        <v>157</v>
      </c>
      <c r="N19" s="50">
        <v>0</v>
      </c>
      <c r="O19" s="15">
        <f t="shared" si="0"/>
        <v>220</v>
      </c>
      <c r="P19" s="15">
        <f t="shared" si="1"/>
        <v>377</v>
      </c>
      <c r="R19" s="1" t="s">
        <v>15</v>
      </c>
      <c r="S19" s="17">
        <f t="shared" ref="S19:AF19" si="11">SUM(C46:C49)</f>
        <v>327</v>
      </c>
      <c r="T19" s="17">
        <f t="shared" si="11"/>
        <v>94</v>
      </c>
      <c r="U19" s="17">
        <f t="shared" si="11"/>
        <v>90</v>
      </c>
      <c r="V19" s="17">
        <f t="shared" si="11"/>
        <v>106</v>
      </c>
      <c r="W19" s="17">
        <f t="shared" si="11"/>
        <v>3</v>
      </c>
      <c r="X19" s="17">
        <f t="shared" si="11"/>
        <v>3</v>
      </c>
      <c r="Y19" s="17">
        <f t="shared" si="11"/>
        <v>45</v>
      </c>
      <c r="Z19" s="17">
        <f t="shared" si="11"/>
        <v>29</v>
      </c>
      <c r="AA19" s="17">
        <f t="shared" si="11"/>
        <v>22</v>
      </c>
      <c r="AB19" s="17">
        <f t="shared" si="11"/>
        <v>22</v>
      </c>
      <c r="AC19" s="17">
        <f t="shared" si="11"/>
        <v>413</v>
      </c>
      <c r="AD19" s="17">
        <f t="shared" si="11"/>
        <v>0</v>
      </c>
      <c r="AE19" s="31">
        <f t="shared" si="11"/>
        <v>741</v>
      </c>
      <c r="AF19" s="31">
        <f t="shared" si="11"/>
        <v>1154</v>
      </c>
    </row>
    <row r="20" spans="2:32" ht="23.1" customHeight="1" x14ac:dyDescent="0.25">
      <c r="B20" s="23" t="s">
        <v>47</v>
      </c>
      <c r="C20" s="50">
        <v>88</v>
      </c>
      <c r="D20" s="50">
        <v>24</v>
      </c>
      <c r="E20" s="50">
        <v>8</v>
      </c>
      <c r="F20" s="50">
        <v>10</v>
      </c>
      <c r="G20" s="50">
        <v>4</v>
      </c>
      <c r="H20" s="50">
        <v>2</v>
      </c>
      <c r="I20" s="50">
        <v>7</v>
      </c>
      <c r="J20" s="50">
        <v>8</v>
      </c>
      <c r="K20" s="50">
        <v>3</v>
      </c>
      <c r="L20" s="50">
        <v>4</v>
      </c>
      <c r="M20" s="50">
        <v>90</v>
      </c>
      <c r="N20" s="50">
        <v>0</v>
      </c>
      <c r="O20" s="15">
        <f t="shared" si="0"/>
        <v>158</v>
      </c>
      <c r="P20" s="15">
        <f t="shared" si="1"/>
        <v>248</v>
      </c>
      <c r="R20" s="1" t="s">
        <v>16</v>
      </c>
      <c r="S20" s="17">
        <f t="shared" ref="S20:AF20" si="12">SUM(C50:C53)</f>
        <v>327</v>
      </c>
      <c r="T20" s="17">
        <f t="shared" si="12"/>
        <v>159</v>
      </c>
      <c r="U20" s="17">
        <f t="shared" si="12"/>
        <v>61</v>
      </c>
      <c r="V20" s="17">
        <f t="shared" si="12"/>
        <v>97</v>
      </c>
      <c r="W20" s="17">
        <f t="shared" si="12"/>
        <v>18</v>
      </c>
      <c r="X20" s="17">
        <f t="shared" si="12"/>
        <v>3</v>
      </c>
      <c r="Y20" s="17">
        <f t="shared" si="12"/>
        <v>34</v>
      </c>
      <c r="Z20" s="17">
        <f t="shared" si="12"/>
        <v>26</v>
      </c>
      <c r="AA20" s="17">
        <f t="shared" si="12"/>
        <v>15</v>
      </c>
      <c r="AB20" s="17">
        <f t="shared" si="12"/>
        <v>19</v>
      </c>
      <c r="AC20" s="17">
        <f t="shared" si="12"/>
        <v>459</v>
      </c>
      <c r="AD20" s="17">
        <f t="shared" si="12"/>
        <v>1</v>
      </c>
      <c r="AE20" s="31">
        <f t="shared" si="12"/>
        <v>760</v>
      </c>
      <c r="AF20" s="31">
        <f t="shared" si="12"/>
        <v>1219</v>
      </c>
    </row>
    <row r="21" spans="2:32" ht="23.1" customHeight="1" x14ac:dyDescent="0.25">
      <c r="B21" s="23" t="s">
        <v>48</v>
      </c>
      <c r="C21" s="50">
        <v>113</v>
      </c>
      <c r="D21" s="50">
        <v>20</v>
      </c>
      <c r="E21" s="50">
        <v>5</v>
      </c>
      <c r="F21" s="50">
        <v>19</v>
      </c>
      <c r="G21" s="50">
        <v>1</v>
      </c>
      <c r="H21" s="50">
        <v>0</v>
      </c>
      <c r="I21" s="50">
        <v>8</v>
      </c>
      <c r="J21" s="50">
        <v>6</v>
      </c>
      <c r="K21" s="50">
        <v>9</v>
      </c>
      <c r="L21" s="50">
        <v>7</v>
      </c>
      <c r="M21" s="50">
        <v>118</v>
      </c>
      <c r="N21" s="50">
        <v>0</v>
      </c>
      <c r="O21" s="15">
        <f t="shared" si="0"/>
        <v>188</v>
      </c>
      <c r="P21" s="15">
        <f t="shared" si="1"/>
        <v>306</v>
      </c>
      <c r="R21" s="36" t="s">
        <v>20</v>
      </c>
      <c r="S21" s="34">
        <f t="shared" ref="S21:AF21" si="13">SUM(C54:C57)</f>
        <v>406</v>
      </c>
      <c r="T21" s="17">
        <f t="shared" si="13"/>
        <v>104</v>
      </c>
      <c r="U21" s="17">
        <f t="shared" si="13"/>
        <v>60</v>
      </c>
      <c r="V21" s="17">
        <f t="shared" si="13"/>
        <v>103</v>
      </c>
      <c r="W21" s="17">
        <f t="shared" si="13"/>
        <v>14</v>
      </c>
      <c r="X21" s="17">
        <f t="shared" si="13"/>
        <v>0</v>
      </c>
      <c r="Y21" s="17">
        <f t="shared" si="13"/>
        <v>28</v>
      </c>
      <c r="Z21" s="17">
        <f t="shared" si="13"/>
        <v>21</v>
      </c>
      <c r="AA21" s="17">
        <f t="shared" si="13"/>
        <v>19</v>
      </c>
      <c r="AB21" s="17">
        <f t="shared" si="13"/>
        <v>23</v>
      </c>
      <c r="AC21" s="17">
        <f t="shared" si="13"/>
        <v>340</v>
      </c>
      <c r="AD21" s="17">
        <f t="shared" si="13"/>
        <v>0</v>
      </c>
      <c r="AE21" s="31">
        <f t="shared" si="13"/>
        <v>778</v>
      </c>
      <c r="AF21" s="31">
        <f t="shared" si="13"/>
        <v>1118</v>
      </c>
    </row>
    <row r="22" spans="2:32" ht="23.1" customHeight="1" x14ac:dyDescent="0.25">
      <c r="B22" s="23" t="s">
        <v>49</v>
      </c>
      <c r="C22" s="50">
        <v>110</v>
      </c>
      <c r="D22" s="50">
        <v>17</v>
      </c>
      <c r="E22" s="50">
        <v>14</v>
      </c>
      <c r="F22" s="50">
        <v>20</v>
      </c>
      <c r="G22" s="50">
        <v>1</v>
      </c>
      <c r="H22" s="50">
        <v>0</v>
      </c>
      <c r="I22" s="50">
        <v>8</v>
      </c>
      <c r="J22" s="50">
        <v>7</v>
      </c>
      <c r="K22" s="50">
        <v>16</v>
      </c>
      <c r="L22" s="50">
        <v>5</v>
      </c>
      <c r="M22" s="50">
        <v>112</v>
      </c>
      <c r="N22" s="50">
        <v>0</v>
      </c>
      <c r="O22" s="15">
        <f t="shared" si="0"/>
        <v>198</v>
      </c>
      <c r="P22" s="15">
        <f t="shared" si="1"/>
        <v>310</v>
      </c>
      <c r="R22" s="38" t="s">
        <v>90</v>
      </c>
      <c r="S22" s="39">
        <f>MAX(S10:S12)</f>
        <v>373</v>
      </c>
      <c r="T22" s="39">
        <f t="shared" ref="T22:AF22" si="14">MAX(T10:T12)</f>
        <v>116</v>
      </c>
      <c r="U22" s="39">
        <f t="shared" si="14"/>
        <v>38</v>
      </c>
      <c r="V22" s="39">
        <f t="shared" si="14"/>
        <v>97</v>
      </c>
      <c r="W22" s="39">
        <f t="shared" si="14"/>
        <v>5</v>
      </c>
      <c r="X22" s="39">
        <f t="shared" si="14"/>
        <v>2</v>
      </c>
      <c r="Y22" s="39">
        <f t="shared" si="14"/>
        <v>32</v>
      </c>
      <c r="Z22" s="39">
        <f t="shared" si="14"/>
        <v>41</v>
      </c>
      <c r="AA22" s="39">
        <f t="shared" si="14"/>
        <v>27</v>
      </c>
      <c r="AB22" s="39">
        <f t="shared" si="14"/>
        <v>20</v>
      </c>
      <c r="AC22" s="39">
        <f t="shared" si="14"/>
        <v>528</v>
      </c>
      <c r="AD22" s="39">
        <f t="shared" si="14"/>
        <v>0</v>
      </c>
      <c r="AE22" s="40">
        <f t="shared" si="14"/>
        <v>701</v>
      </c>
      <c r="AF22" s="40">
        <f t="shared" si="14"/>
        <v>1214</v>
      </c>
    </row>
    <row r="23" spans="2:32" ht="23.1" customHeight="1" x14ac:dyDescent="0.25">
      <c r="B23" s="23" t="s">
        <v>50</v>
      </c>
      <c r="C23" s="50">
        <v>103</v>
      </c>
      <c r="D23" s="50">
        <v>19</v>
      </c>
      <c r="E23" s="50">
        <v>14</v>
      </c>
      <c r="F23" s="50">
        <v>15</v>
      </c>
      <c r="G23" s="50">
        <v>0</v>
      </c>
      <c r="H23" s="50">
        <v>0</v>
      </c>
      <c r="I23" s="50">
        <v>15</v>
      </c>
      <c r="J23" s="50">
        <v>4</v>
      </c>
      <c r="K23" s="50">
        <v>5</v>
      </c>
      <c r="L23" s="50">
        <v>6</v>
      </c>
      <c r="M23" s="50">
        <v>133</v>
      </c>
      <c r="N23" s="50">
        <v>0</v>
      </c>
      <c r="O23" s="15">
        <f t="shared" si="0"/>
        <v>181</v>
      </c>
      <c r="P23" s="15">
        <f t="shared" si="1"/>
        <v>314</v>
      </c>
      <c r="R23" s="38" t="s">
        <v>91</v>
      </c>
      <c r="S23" s="39">
        <f>MAX(S13:S18)</f>
        <v>435</v>
      </c>
      <c r="T23" s="39">
        <f t="shared" ref="T23:AF23" si="15">MAX(T13:T18)</f>
        <v>119</v>
      </c>
      <c r="U23" s="39">
        <f t="shared" si="15"/>
        <v>71</v>
      </c>
      <c r="V23" s="39">
        <f t="shared" si="15"/>
        <v>90</v>
      </c>
      <c r="W23" s="39">
        <f t="shared" si="15"/>
        <v>5</v>
      </c>
      <c r="X23" s="39">
        <f t="shared" si="15"/>
        <v>2</v>
      </c>
      <c r="Y23" s="39">
        <f t="shared" si="15"/>
        <v>62</v>
      </c>
      <c r="Z23" s="39">
        <f t="shared" si="15"/>
        <v>46</v>
      </c>
      <c r="AA23" s="39">
        <f t="shared" si="15"/>
        <v>36</v>
      </c>
      <c r="AB23" s="39">
        <f t="shared" si="15"/>
        <v>33</v>
      </c>
      <c r="AC23" s="39">
        <f t="shared" si="15"/>
        <v>579</v>
      </c>
      <c r="AD23" s="39">
        <f t="shared" si="15"/>
        <v>1</v>
      </c>
      <c r="AE23" s="40">
        <f t="shared" si="15"/>
        <v>779</v>
      </c>
      <c r="AF23" s="40">
        <f t="shared" si="15"/>
        <v>1246</v>
      </c>
    </row>
    <row r="24" spans="2:32" ht="23.1" customHeight="1" x14ac:dyDescent="0.25">
      <c r="B24" s="23" t="s">
        <v>51</v>
      </c>
      <c r="C24" s="50">
        <v>92</v>
      </c>
      <c r="D24" s="50">
        <v>24</v>
      </c>
      <c r="E24" s="50">
        <v>13</v>
      </c>
      <c r="F24" s="50">
        <v>14</v>
      </c>
      <c r="G24" s="50">
        <v>1</v>
      </c>
      <c r="H24" s="50">
        <v>0</v>
      </c>
      <c r="I24" s="50">
        <v>8</v>
      </c>
      <c r="J24" s="50">
        <v>13</v>
      </c>
      <c r="K24" s="50">
        <v>6</v>
      </c>
      <c r="L24" s="50">
        <v>5</v>
      </c>
      <c r="M24" s="50">
        <v>123</v>
      </c>
      <c r="N24" s="50">
        <v>0</v>
      </c>
      <c r="O24" s="15">
        <f t="shared" si="0"/>
        <v>176</v>
      </c>
      <c r="P24" s="15">
        <f t="shared" si="1"/>
        <v>299</v>
      </c>
      <c r="R24" s="38" t="s">
        <v>92</v>
      </c>
      <c r="S24" s="39">
        <f>MAX(S19:S21)</f>
        <v>406</v>
      </c>
      <c r="T24" s="39">
        <f t="shared" ref="T24:AF24" si="16">MAX(T19:T21)</f>
        <v>159</v>
      </c>
      <c r="U24" s="39">
        <f t="shared" si="16"/>
        <v>90</v>
      </c>
      <c r="V24" s="39">
        <f t="shared" si="16"/>
        <v>106</v>
      </c>
      <c r="W24" s="39">
        <f t="shared" si="16"/>
        <v>18</v>
      </c>
      <c r="X24" s="39">
        <f t="shared" si="16"/>
        <v>3</v>
      </c>
      <c r="Y24" s="39">
        <f t="shared" si="16"/>
        <v>45</v>
      </c>
      <c r="Z24" s="39">
        <f t="shared" si="16"/>
        <v>29</v>
      </c>
      <c r="AA24" s="39">
        <f t="shared" si="16"/>
        <v>22</v>
      </c>
      <c r="AB24" s="39">
        <f t="shared" si="16"/>
        <v>23</v>
      </c>
      <c r="AC24" s="39">
        <f t="shared" si="16"/>
        <v>459</v>
      </c>
      <c r="AD24" s="39">
        <f t="shared" si="16"/>
        <v>1</v>
      </c>
      <c r="AE24" s="40">
        <f t="shared" si="16"/>
        <v>778</v>
      </c>
      <c r="AF24" s="40">
        <f t="shared" si="16"/>
        <v>1219</v>
      </c>
    </row>
    <row r="25" spans="2:32" ht="23.1" customHeight="1" x14ac:dyDescent="0.25">
      <c r="B25" s="23" t="s">
        <v>52</v>
      </c>
      <c r="C25" s="50">
        <v>130</v>
      </c>
      <c r="D25" s="50">
        <v>43</v>
      </c>
      <c r="E25" s="50">
        <v>12</v>
      </c>
      <c r="F25" s="50">
        <v>4</v>
      </c>
      <c r="G25" s="50">
        <v>0</v>
      </c>
      <c r="H25" s="50">
        <v>0</v>
      </c>
      <c r="I25" s="50">
        <v>6</v>
      </c>
      <c r="J25" s="50">
        <v>8</v>
      </c>
      <c r="K25" s="50">
        <v>9</v>
      </c>
      <c r="L25" s="50">
        <v>6</v>
      </c>
      <c r="M25" s="50">
        <v>105</v>
      </c>
      <c r="N25" s="50">
        <v>0</v>
      </c>
      <c r="O25" s="15">
        <f t="shared" si="0"/>
        <v>218</v>
      </c>
      <c r="P25" s="15">
        <f t="shared" si="1"/>
        <v>323</v>
      </c>
      <c r="R25" s="37" t="s">
        <v>85</v>
      </c>
      <c r="S25" s="35">
        <f t="shared" ref="S25:AF25" si="17">SUM(S10:S12)</f>
        <v>1012</v>
      </c>
      <c r="T25" s="16">
        <f t="shared" si="17"/>
        <v>221</v>
      </c>
      <c r="U25" s="16">
        <f t="shared" si="17"/>
        <v>96</v>
      </c>
      <c r="V25" s="16">
        <f t="shared" si="17"/>
        <v>225</v>
      </c>
      <c r="W25" s="16">
        <f t="shared" si="17"/>
        <v>13</v>
      </c>
      <c r="X25" s="16">
        <f t="shared" si="17"/>
        <v>3</v>
      </c>
      <c r="Y25" s="16">
        <f t="shared" si="17"/>
        <v>87</v>
      </c>
      <c r="Z25" s="16">
        <f t="shared" si="17"/>
        <v>114</v>
      </c>
      <c r="AA25" s="16">
        <f t="shared" si="17"/>
        <v>57</v>
      </c>
      <c r="AB25" s="16">
        <f t="shared" si="17"/>
        <v>55</v>
      </c>
      <c r="AC25" s="16">
        <f t="shared" si="17"/>
        <v>1527</v>
      </c>
      <c r="AD25" s="16">
        <f t="shared" si="17"/>
        <v>0</v>
      </c>
      <c r="AE25" s="32">
        <f t="shared" si="17"/>
        <v>1883</v>
      </c>
      <c r="AF25" s="32">
        <f t="shared" si="17"/>
        <v>3410</v>
      </c>
    </row>
    <row r="26" spans="2:32" ht="23.1" customHeight="1" x14ac:dyDescent="0.25">
      <c r="B26" s="23" t="s">
        <v>53</v>
      </c>
      <c r="C26" s="50">
        <v>113</v>
      </c>
      <c r="D26" s="50">
        <v>15</v>
      </c>
      <c r="E26" s="50">
        <v>18</v>
      </c>
      <c r="F26" s="50">
        <v>9</v>
      </c>
      <c r="G26" s="50">
        <v>1</v>
      </c>
      <c r="H26" s="50">
        <v>0</v>
      </c>
      <c r="I26" s="50">
        <v>12</v>
      </c>
      <c r="J26" s="50">
        <v>7</v>
      </c>
      <c r="K26" s="50">
        <v>9</v>
      </c>
      <c r="L26" s="50">
        <v>3</v>
      </c>
      <c r="M26" s="50">
        <v>95</v>
      </c>
      <c r="N26" s="50">
        <v>0</v>
      </c>
      <c r="O26" s="15">
        <f t="shared" si="0"/>
        <v>187</v>
      </c>
      <c r="P26" s="15">
        <f t="shared" si="1"/>
        <v>282</v>
      </c>
      <c r="R26" s="28" t="s">
        <v>86</v>
      </c>
      <c r="S26" s="16">
        <f t="shared" ref="S26:AF26" si="18">SUM(S13:S18)</f>
        <v>1971</v>
      </c>
      <c r="T26" s="16">
        <f t="shared" si="18"/>
        <v>557</v>
      </c>
      <c r="U26" s="16">
        <f t="shared" si="18"/>
        <v>361</v>
      </c>
      <c r="V26" s="16">
        <f t="shared" si="18"/>
        <v>452</v>
      </c>
      <c r="W26" s="16">
        <f t="shared" si="18"/>
        <v>17</v>
      </c>
      <c r="X26" s="16">
        <f t="shared" si="18"/>
        <v>2</v>
      </c>
      <c r="Y26" s="16">
        <f t="shared" si="18"/>
        <v>273</v>
      </c>
      <c r="Z26" s="16">
        <f t="shared" si="18"/>
        <v>230</v>
      </c>
      <c r="AA26" s="16">
        <f t="shared" si="18"/>
        <v>172</v>
      </c>
      <c r="AB26" s="16">
        <f t="shared" si="18"/>
        <v>144</v>
      </c>
      <c r="AC26" s="16">
        <f t="shared" si="18"/>
        <v>2806</v>
      </c>
      <c r="AD26" s="16">
        <f t="shared" si="18"/>
        <v>2</v>
      </c>
      <c r="AE26" s="32">
        <f t="shared" si="18"/>
        <v>4181</v>
      </c>
      <c r="AF26" s="32">
        <f t="shared" si="18"/>
        <v>6987</v>
      </c>
    </row>
    <row r="27" spans="2:32" ht="23.1" customHeight="1" x14ac:dyDescent="0.25">
      <c r="B27" s="23" t="s">
        <v>54</v>
      </c>
      <c r="C27" s="50">
        <v>73</v>
      </c>
      <c r="D27" s="50">
        <v>16</v>
      </c>
      <c r="E27" s="50">
        <v>13</v>
      </c>
      <c r="F27" s="50">
        <v>23</v>
      </c>
      <c r="G27" s="50">
        <v>0</v>
      </c>
      <c r="H27" s="50">
        <v>0</v>
      </c>
      <c r="I27" s="50">
        <v>11</v>
      </c>
      <c r="J27" s="50">
        <v>10</v>
      </c>
      <c r="K27" s="50">
        <v>3</v>
      </c>
      <c r="L27" s="50">
        <v>9</v>
      </c>
      <c r="M27" s="50">
        <v>99</v>
      </c>
      <c r="N27" s="50">
        <v>0</v>
      </c>
      <c r="O27" s="15">
        <f t="shared" si="0"/>
        <v>158</v>
      </c>
      <c r="P27" s="15">
        <f t="shared" si="1"/>
        <v>257</v>
      </c>
      <c r="R27" s="29" t="s">
        <v>87</v>
      </c>
      <c r="S27" s="16">
        <f t="shared" ref="S27:AF27" si="19">SUM(S19:S21)</f>
        <v>1060</v>
      </c>
      <c r="T27" s="16">
        <f t="shared" si="19"/>
        <v>357</v>
      </c>
      <c r="U27" s="16">
        <f t="shared" si="19"/>
        <v>211</v>
      </c>
      <c r="V27" s="16">
        <f t="shared" si="19"/>
        <v>306</v>
      </c>
      <c r="W27" s="16">
        <f t="shared" si="19"/>
        <v>35</v>
      </c>
      <c r="X27" s="16">
        <f t="shared" si="19"/>
        <v>6</v>
      </c>
      <c r="Y27" s="16">
        <f t="shared" si="19"/>
        <v>107</v>
      </c>
      <c r="Z27" s="16">
        <f t="shared" si="19"/>
        <v>76</v>
      </c>
      <c r="AA27" s="16">
        <f t="shared" si="19"/>
        <v>56</v>
      </c>
      <c r="AB27" s="16">
        <f t="shared" si="19"/>
        <v>64</v>
      </c>
      <c r="AC27" s="16">
        <f t="shared" si="19"/>
        <v>1212</v>
      </c>
      <c r="AD27" s="16">
        <f t="shared" si="19"/>
        <v>1</v>
      </c>
      <c r="AE27" s="32">
        <f t="shared" si="19"/>
        <v>2279</v>
      </c>
      <c r="AF27" s="32">
        <f t="shared" si="19"/>
        <v>3491</v>
      </c>
    </row>
    <row r="28" spans="2:32" ht="23.1" customHeight="1" x14ac:dyDescent="0.25">
      <c r="B28" s="23" t="s">
        <v>55</v>
      </c>
      <c r="C28" s="50">
        <v>80</v>
      </c>
      <c r="D28" s="50">
        <v>21</v>
      </c>
      <c r="E28" s="50">
        <v>15</v>
      </c>
      <c r="F28" s="50">
        <v>9</v>
      </c>
      <c r="G28" s="50">
        <v>0</v>
      </c>
      <c r="H28" s="50">
        <v>0</v>
      </c>
      <c r="I28" s="50">
        <v>4</v>
      </c>
      <c r="J28" s="50">
        <v>11</v>
      </c>
      <c r="K28" s="50">
        <v>1</v>
      </c>
      <c r="L28" s="50">
        <v>5</v>
      </c>
      <c r="M28" s="50">
        <v>113</v>
      </c>
      <c r="N28" s="50">
        <v>0</v>
      </c>
      <c r="O28" s="15">
        <f t="shared" si="0"/>
        <v>146</v>
      </c>
      <c r="P28" s="15">
        <f t="shared" si="1"/>
        <v>259</v>
      </c>
      <c r="R28" s="5" t="s">
        <v>17</v>
      </c>
      <c r="S28" s="16">
        <f t="shared" ref="S28:AF28" si="20">SUM(S10:S21)</f>
        <v>4043</v>
      </c>
      <c r="T28" s="16">
        <f t="shared" si="20"/>
        <v>1135</v>
      </c>
      <c r="U28" s="16">
        <f t="shared" si="20"/>
        <v>668</v>
      </c>
      <c r="V28" s="16">
        <f t="shared" si="20"/>
        <v>983</v>
      </c>
      <c r="W28" s="16">
        <f t="shared" si="20"/>
        <v>65</v>
      </c>
      <c r="X28" s="16">
        <f t="shared" si="20"/>
        <v>11</v>
      </c>
      <c r="Y28" s="16">
        <f t="shared" si="20"/>
        <v>467</v>
      </c>
      <c r="Z28" s="16">
        <f t="shared" si="20"/>
        <v>420</v>
      </c>
      <c r="AA28" s="16">
        <f t="shared" si="20"/>
        <v>285</v>
      </c>
      <c r="AB28" s="16">
        <f t="shared" si="20"/>
        <v>263</v>
      </c>
      <c r="AC28" s="16">
        <f t="shared" si="20"/>
        <v>5545</v>
      </c>
      <c r="AD28" s="16">
        <f t="shared" si="20"/>
        <v>3</v>
      </c>
      <c r="AE28" s="32">
        <f t="shared" si="20"/>
        <v>8343</v>
      </c>
      <c r="AF28" s="32">
        <f t="shared" si="20"/>
        <v>13888</v>
      </c>
    </row>
    <row r="29" spans="2:32" ht="23.1" customHeight="1" x14ac:dyDescent="0.25">
      <c r="B29" s="23" t="s">
        <v>56</v>
      </c>
      <c r="C29" s="50">
        <v>90</v>
      </c>
      <c r="D29" s="50">
        <v>18</v>
      </c>
      <c r="E29" s="50">
        <v>13</v>
      </c>
      <c r="F29" s="50">
        <v>27</v>
      </c>
      <c r="G29" s="50">
        <v>0</v>
      </c>
      <c r="H29" s="50">
        <v>0</v>
      </c>
      <c r="I29" s="50">
        <v>11</v>
      </c>
      <c r="J29" s="50">
        <v>12</v>
      </c>
      <c r="K29" s="50">
        <v>17</v>
      </c>
      <c r="L29" s="50">
        <v>5</v>
      </c>
      <c r="M29" s="50">
        <v>92</v>
      </c>
      <c r="N29" s="50">
        <v>0</v>
      </c>
      <c r="O29" s="15">
        <f t="shared" si="0"/>
        <v>193</v>
      </c>
      <c r="P29" s="15">
        <f t="shared" si="1"/>
        <v>285</v>
      </c>
      <c r="R29"/>
      <c r="S29" s="20"/>
      <c r="T29" s="19"/>
    </row>
    <row r="30" spans="2:32" ht="23.1" customHeight="1" x14ac:dyDescent="0.25">
      <c r="B30" s="23" t="s">
        <v>57</v>
      </c>
      <c r="C30" s="50">
        <v>91</v>
      </c>
      <c r="D30" s="50">
        <v>27</v>
      </c>
      <c r="E30" s="50">
        <v>29</v>
      </c>
      <c r="F30" s="50">
        <v>28</v>
      </c>
      <c r="G30" s="50">
        <v>1</v>
      </c>
      <c r="H30" s="50">
        <v>0</v>
      </c>
      <c r="I30" s="50">
        <v>13</v>
      </c>
      <c r="J30" s="50">
        <v>10</v>
      </c>
      <c r="K30" s="50">
        <v>8</v>
      </c>
      <c r="L30" s="50">
        <v>8</v>
      </c>
      <c r="M30" s="50">
        <v>118</v>
      </c>
      <c r="N30" s="50">
        <v>0</v>
      </c>
      <c r="O30" s="15">
        <f t="shared" si="0"/>
        <v>215</v>
      </c>
      <c r="P30" s="15">
        <f t="shared" si="1"/>
        <v>333</v>
      </c>
    </row>
    <row r="31" spans="2:32" ht="23.1" customHeight="1" x14ac:dyDescent="0.25">
      <c r="B31" s="24" t="s">
        <v>58</v>
      </c>
      <c r="C31" s="50">
        <v>92</v>
      </c>
      <c r="D31" s="50">
        <v>28</v>
      </c>
      <c r="E31" s="50">
        <v>12</v>
      </c>
      <c r="F31" s="50">
        <v>33</v>
      </c>
      <c r="G31" s="50">
        <v>0</v>
      </c>
      <c r="H31" s="50">
        <v>0</v>
      </c>
      <c r="I31" s="50">
        <v>18</v>
      </c>
      <c r="J31" s="50">
        <v>9</v>
      </c>
      <c r="K31" s="50">
        <v>4</v>
      </c>
      <c r="L31" s="50">
        <v>5</v>
      </c>
      <c r="M31" s="50">
        <v>113</v>
      </c>
      <c r="N31" s="50">
        <v>0</v>
      </c>
      <c r="O31" s="15">
        <f t="shared" si="0"/>
        <v>201</v>
      </c>
      <c r="P31" s="15">
        <f t="shared" si="1"/>
        <v>314</v>
      </c>
    </row>
    <row r="32" spans="2:32" ht="23.1" customHeight="1" x14ac:dyDescent="0.25">
      <c r="B32" s="24" t="s">
        <v>59</v>
      </c>
      <c r="C32" s="50">
        <v>42</v>
      </c>
      <c r="D32" s="50">
        <v>9</v>
      </c>
      <c r="E32" s="50">
        <v>13</v>
      </c>
      <c r="F32" s="50">
        <v>17</v>
      </c>
      <c r="G32" s="50">
        <v>1</v>
      </c>
      <c r="H32" s="50">
        <v>0</v>
      </c>
      <c r="I32" s="50">
        <v>13</v>
      </c>
      <c r="J32" s="50">
        <v>6</v>
      </c>
      <c r="K32" s="50">
        <v>1</v>
      </c>
      <c r="L32" s="50">
        <v>0</v>
      </c>
      <c r="M32" s="50">
        <v>125</v>
      </c>
      <c r="N32" s="50">
        <v>0</v>
      </c>
      <c r="O32" s="15">
        <f t="shared" si="0"/>
        <v>102</v>
      </c>
      <c r="P32" s="15">
        <f t="shared" si="1"/>
        <v>227</v>
      </c>
    </row>
    <row r="33" spans="2:20" ht="23.1" customHeight="1" x14ac:dyDescent="0.25">
      <c r="B33" s="23" t="s">
        <v>60</v>
      </c>
      <c r="C33" s="50">
        <v>57</v>
      </c>
      <c r="D33" s="50">
        <v>17</v>
      </c>
      <c r="E33" s="50">
        <v>11</v>
      </c>
      <c r="F33" s="50">
        <v>12</v>
      </c>
      <c r="G33" s="50">
        <v>1</v>
      </c>
      <c r="H33" s="50">
        <v>0</v>
      </c>
      <c r="I33" s="50">
        <v>15</v>
      </c>
      <c r="J33" s="50">
        <v>13</v>
      </c>
      <c r="K33" s="50">
        <v>4</v>
      </c>
      <c r="L33" s="50">
        <v>7</v>
      </c>
      <c r="M33" s="50">
        <v>119</v>
      </c>
      <c r="N33" s="50">
        <v>0</v>
      </c>
      <c r="O33" s="15">
        <f t="shared" si="0"/>
        <v>137</v>
      </c>
      <c r="P33" s="15">
        <f t="shared" si="1"/>
        <v>256</v>
      </c>
    </row>
    <row r="34" spans="2:20" ht="23.1" customHeight="1" x14ac:dyDescent="0.25">
      <c r="B34" s="24" t="s">
        <v>61</v>
      </c>
      <c r="C34" s="50">
        <v>49</v>
      </c>
      <c r="D34" s="50">
        <v>16</v>
      </c>
      <c r="E34" s="50">
        <v>6</v>
      </c>
      <c r="F34" s="50">
        <v>14</v>
      </c>
      <c r="G34" s="50">
        <v>2</v>
      </c>
      <c r="H34" s="50">
        <v>0</v>
      </c>
      <c r="I34" s="50">
        <v>8</v>
      </c>
      <c r="J34" s="50">
        <v>9</v>
      </c>
      <c r="K34" s="50">
        <v>5</v>
      </c>
      <c r="L34" s="50">
        <v>3</v>
      </c>
      <c r="M34" s="50">
        <v>145</v>
      </c>
      <c r="N34" s="50">
        <v>0</v>
      </c>
      <c r="O34" s="15">
        <f t="shared" si="0"/>
        <v>112</v>
      </c>
      <c r="P34" s="15">
        <f t="shared" si="1"/>
        <v>257</v>
      </c>
    </row>
    <row r="35" spans="2:20" ht="23.1" customHeight="1" x14ac:dyDescent="0.25">
      <c r="B35" s="24" t="s">
        <v>62</v>
      </c>
      <c r="C35" s="50">
        <v>49</v>
      </c>
      <c r="D35" s="50">
        <v>17</v>
      </c>
      <c r="E35" s="50">
        <v>7</v>
      </c>
      <c r="F35" s="50">
        <v>13</v>
      </c>
      <c r="G35" s="50">
        <v>1</v>
      </c>
      <c r="H35" s="50">
        <v>0</v>
      </c>
      <c r="I35" s="50">
        <v>6</v>
      </c>
      <c r="J35" s="50">
        <v>13</v>
      </c>
      <c r="K35" s="50">
        <v>5</v>
      </c>
      <c r="L35" s="50">
        <v>7</v>
      </c>
      <c r="M35" s="50">
        <v>158</v>
      </c>
      <c r="N35" s="50">
        <v>0</v>
      </c>
      <c r="O35" s="15">
        <f t="shared" si="0"/>
        <v>118</v>
      </c>
      <c r="P35" s="15">
        <f t="shared" si="1"/>
        <v>276</v>
      </c>
    </row>
    <row r="36" spans="2:20" ht="23.1" customHeight="1" x14ac:dyDescent="0.25">
      <c r="B36" s="24" t="s">
        <v>63</v>
      </c>
      <c r="C36" s="50">
        <v>52</v>
      </c>
      <c r="D36" s="50">
        <v>15</v>
      </c>
      <c r="E36" s="50">
        <v>11</v>
      </c>
      <c r="F36" s="50">
        <v>13</v>
      </c>
      <c r="G36" s="50">
        <v>1</v>
      </c>
      <c r="H36" s="50">
        <v>0</v>
      </c>
      <c r="I36" s="50">
        <v>6</v>
      </c>
      <c r="J36" s="50">
        <v>11</v>
      </c>
      <c r="K36" s="50">
        <v>5</v>
      </c>
      <c r="L36" s="50">
        <v>10</v>
      </c>
      <c r="M36" s="50">
        <v>153</v>
      </c>
      <c r="N36" s="50">
        <v>1</v>
      </c>
      <c r="O36" s="15">
        <f t="shared" si="0"/>
        <v>125</v>
      </c>
      <c r="P36" s="15">
        <f t="shared" si="1"/>
        <v>278</v>
      </c>
    </row>
    <row r="37" spans="2:20" ht="23.1" customHeight="1" x14ac:dyDescent="0.25">
      <c r="B37" s="23" t="s">
        <v>64</v>
      </c>
      <c r="C37" s="50">
        <v>83</v>
      </c>
      <c r="D37" s="50">
        <v>25</v>
      </c>
      <c r="E37" s="50">
        <v>24</v>
      </c>
      <c r="F37" s="50">
        <v>35</v>
      </c>
      <c r="G37" s="50">
        <v>1</v>
      </c>
      <c r="H37" s="50">
        <v>0</v>
      </c>
      <c r="I37" s="50">
        <v>17</v>
      </c>
      <c r="J37" s="50">
        <v>13</v>
      </c>
      <c r="K37" s="50">
        <v>11</v>
      </c>
      <c r="L37" s="50">
        <v>3</v>
      </c>
      <c r="M37" s="50">
        <v>123</v>
      </c>
      <c r="N37" s="50">
        <v>0</v>
      </c>
      <c r="O37" s="15">
        <f t="shared" si="0"/>
        <v>212</v>
      </c>
      <c r="P37" s="15">
        <f t="shared" si="1"/>
        <v>335</v>
      </c>
    </row>
    <row r="38" spans="2:20" ht="23.1" customHeight="1" x14ac:dyDescent="0.25">
      <c r="B38" s="24" t="s">
        <v>65</v>
      </c>
      <c r="C38" s="50">
        <v>97</v>
      </c>
      <c r="D38" s="50">
        <v>49</v>
      </c>
      <c r="E38" s="50">
        <v>22</v>
      </c>
      <c r="F38" s="50">
        <v>32</v>
      </c>
      <c r="G38" s="50">
        <v>1</v>
      </c>
      <c r="H38" s="50">
        <v>0</v>
      </c>
      <c r="I38" s="50">
        <v>13</v>
      </c>
      <c r="J38" s="50">
        <v>13</v>
      </c>
      <c r="K38" s="50">
        <v>17</v>
      </c>
      <c r="L38" s="50">
        <v>18</v>
      </c>
      <c r="M38" s="50">
        <v>129</v>
      </c>
      <c r="N38" s="50">
        <v>0</v>
      </c>
      <c r="O38" s="15">
        <f t="shared" si="0"/>
        <v>262</v>
      </c>
      <c r="P38" s="15">
        <f t="shared" si="1"/>
        <v>391</v>
      </c>
    </row>
    <row r="39" spans="2:20" ht="23.1" customHeight="1" x14ac:dyDescent="0.25">
      <c r="B39" s="24" t="s">
        <v>66</v>
      </c>
      <c r="C39" s="50">
        <v>91</v>
      </c>
      <c r="D39" s="50">
        <v>22</v>
      </c>
      <c r="E39" s="50">
        <v>18</v>
      </c>
      <c r="F39" s="50">
        <v>17</v>
      </c>
      <c r="G39" s="50">
        <v>0</v>
      </c>
      <c r="H39" s="50">
        <v>0</v>
      </c>
      <c r="I39" s="50">
        <v>9</v>
      </c>
      <c r="J39" s="50">
        <v>16</v>
      </c>
      <c r="K39" s="50">
        <v>8</v>
      </c>
      <c r="L39" s="50">
        <v>6</v>
      </c>
      <c r="M39" s="50">
        <v>114</v>
      </c>
      <c r="N39" s="50">
        <v>0</v>
      </c>
      <c r="O39" s="15">
        <f t="shared" si="0"/>
        <v>187</v>
      </c>
      <c r="P39" s="15">
        <f t="shared" si="1"/>
        <v>301</v>
      </c>
    </row>
    <row r="40" spans="2:20" ht="23.1" customHeight="1" x14ac:dyDescent="0.25">
      <c r="B40" s="24" t="s">
        <v>67</v>
      </c>
      <c r="C40" s="50">
        <v>87</v>
      </c>
      <c r="D40" s="50">
        <v>13</v>
      </c>
      <c r="E40" s="50">
        <v>12</v>
      </c>
      <c r="F40" s="50">
        <v>16</v>
      </c>
      <c r="G40" s="50">
        <v>0</v>
      </c>
      <c r="H40" s="50">
        <v>0</v>
      </c>
      <c r="I40" s="50">
        <v>7</v>
      </c>
      <c r="J40" s="50">
        <v>9</v>
      </c>
      <c r="K40" s="50">
        <v>3</v>
      </c>
      <c r="L40" s="50">
        <v>5</v>
      </c>
      <c r="M40" s="50">
        <v>80</v>
      </c>
      <c r="N40" s="50">
        <v>0</v>
      </c>
      <c r="O40" s="15">
        <f t="shared" si="0"/>
        <v>152</v>
      </c>
      <c r="P40" s="15">
        <f t="shared" si="1"/>
        <v>232</v>
      </c>
    </row>
    <row r="41" spans="2:20" ht="23.1" customHeight="1" x14ac:dyDescent="0.25">
      <c r="B41" s="23" t="s">
        <v>68</v>
      </c>
      <c r="C41" s="50">
        <v>48</v>
      </c>
      <c r="D41" s="50">
        <v>27</v>
      </c>
      <c r="E41" s="50">
        <v>13</v>
      </c>
      <c r="F41" s="50">
        <v>13</v>
      </c>
      <c r="G41" s="50">
        <v>0</v>
      </c>
      <c r="H41" s="50">
        <v>0</v>
      </c>
      <c r="I41" s="50">
        <v>11</v>
      </c>
      <c r="J41" s="50">
        <v>4</v>
      </c>
      <c r="K41" s="50">
        <v>2</v>
      </c>
      <c r="L41" s="50">
        <v>4</v>
      </c>
      <c r="M41" s="50">
        <v>119</v>
      </c>
      <c r="N41" s="50">
        <v>0</v>
      </c>
      <c r="O41" s="15">
        <f t="shared" si="0"/>
        <v>122</v>
      </c>
      <c r="P41" s="15">
        <f t="shared" si="1"/>
        <v>241</v>
      </c>
    </row>
    <row r="42" spans="2:20" ht="23.1" customHeight="1" x14ac:dyDescent="0.25">
      <c r="B42" s="24" t="s">
        <v>69</v>
      </c>
      <c r="C42" s="50">
        <v>89</v>
      </c>
      <c r="D42" s="50">
        <v>29</v>
      </c>
      <c r="E42" s="50">
        <v>15</v>
      </c>
      <c r="F42" s="50">
        <v>28</v>
      </c>
      <c r="G42" s="50">
        <v>2</v>
      </c>
      <c r="H42" s="50">
        <v>0</v>
      </c>
      <c r="I42" s="50">
        <v>21</v>
      </c>
      <c r="J42" s="50">
        <v>6</v>
      </c>
      <c r="K42" s="50">
        <v>10</v>
      </c>
      <c r="L42" s="50">
        <v>9</v>
      </c>
      <c r="M42" s="50">
        <v>135</v>
      </c>
      <c r="N42" s="50">
        <v>0</v>
      </c>
      <c r="O42" s="15">
        <f t="shared" si="0"/>
        <v>209</v>
      </c>
      <c r="P42" s="15">
        <f t="shared" si="1"/>
        <v>344</v>
      </c>
    </row>
    <row r="43" spans="2:20" ht="23.1" customHeight="1" x14ac:dyDescent="0.25">
      <c r="B43" s="23" t="s">
        <v>70</v>
      </c>
      <c r="C43" s="50">
        <v>81</v>
      </c>
      <c r="D43" s="50">
        <v>31</v>
      </c>
      <c r="E43" s="50">
        <v>13</v>
      </c>
      <c r="F43" s="50">
        <v>15</v>
      </c>
      <c r="G43" s="50">
        <v>2</v>
      </c>
      <c r="H43" s="50">
        <v>0</v>
      </c>
      <c r="I43" s="50">
        <v>22</v>
      </c>
      <c r="J43" s="50">
        <v>11</v>
      </c>
      <c r="K43" s="50">
        <v>7</v>
      </c>
      <c r="L43" s="50">
        <v>7</v>
      </c>
      <c r="M43" s="50">
        <v>83</v>
      </c>
      <c r="N43" s="50">
        <v>0</v>
      </c>
      <c r="O43" s="15">
        <f t="shared" si="0"/>
        <v>189</v>
      </c>
      <c r="P43" s="15">
        <f t="shared" si="1"/>
        <v>272</v>
      </c>
    </row>
    <row r="44" spans="2:20" ht="23.1" customHeight="1" x14ac:dyDescent="0.25">
      <c r="B44" s="25" t="s">
        <v>71</v>
      </c>
      <c r="C44" s="50">
        <v>70</v>
      </c>
      <c r="D44" s="50">
        <v>26</v>
      </c>
      <c r="E44" s="50">
        <v>13</v>
      </c>
      <c r="F44" s="50">
        <v>18</v>
      </c>
      <c r="G44" s="50">
        <v>1</v>
      </c>
      <c r="H44" s="50">
        <v>1</v>
      </c>
      <c r="I44" s="50">
        <v>10</v>
      </c>
      <c r="J44" s="50">
        <v>7</v>
      </c>
      <c r="K44" s="50">
        <v>4</v>
      </c>
      <c r="L44" s="50">
        <v>3</v>
      </c>
      <c r="M44" s="50">
        <v>120</v>
      </c>
      <c r="N44" s="50">
        <v>1</v>
      </c>
      <c r="O44" s="15">
        <f t="shared" si="0"/>
        <v>154</v>
      </c>
      <c r="P44" s="15">
        <f t="shared" si="1"/>
        <v>274</v>
      </c>
    </row>
    <row r="45" spans="2:20" ht="23.1" customHeight="1" x14ac:dyDescent="0.25">
      <c r="B45" s="23" t="s">
        <v>72</v>
      </c>
      <c r="C45" s="50">
        <v>102</v>
      </c>
      <c r="D45" s="50">
        <v>33</v>
      </c>
      <c r="E45" s="50">
        <v>30</v>
      </c>
      <c r="F45" s="50">
        <v>27</v>
      </c>
      <c r="G45" s="50">
        <v>0</v>
      </c>
      <c r="H45" s="50">
        <v>1</v>
      </c>
      <c r="I45" s="50">
        <v>9</v>
      </c>
      <c r="J45" s="50">
        <v>8</v>
      </c>
      <c r="K45" s="50">
        <v>12</v>
      </c>
      <c r="L45" s="50">
        <v>5</v>
      </c>
      <c r="M45" s="50">
        <v>100</v>
      </c>
      <c r="N45" s="50">
        <v>0</v>
      </c>
      <c r="O45" s="15">
        <f t="shared" si="0"/>
        <v>227</v>
      </c>
      <c r="P45" s="15">
        <f t="shared" si="1"/>
        <v>327</v>
      </c>
    </row>
    <row r="46" spans="2:20" ht="23.1" customHeight="1" x14ac:dyDescent="0.25">
      <c r="B46" s="24" t="s">
        <v>73</v>
      </c>
      <c r="C46" s="50">
        <v>96</v>
      </c>
      <c r="D46" s="50">
        <v>42</v>
      </c>
      <c r="E46" s="50">
        <v>47</v>
      </c>
      <c r="F46" s="50">
        <v>42</v>
      </c>
      <c r="G46" s="50">
        <v>1</v>
      </c>
      <c r="H46" s="50">
        <v>0</v>
      </c>
      <c r="I46" s="50">
        <v>12</v>
      </c>
      <c r="J46" s="50">
        <v>5</v>
      </c>
      <c r="K46" s="50">
        <v>3</v>
      </c>
      <c r="L46" s="50">
        <v>4</v>
      </c>
      <c r="M46" s="50">
        <v>76</v>
      </c>
      <c r="N46" s="50">
        <v>0</v>
      </c>
      <c r="O46" s="15">
        <f t="shared" si="0"/>
        <v>252</v>
      </c>
      <c r="P46" s="15">
        <f t="shared" si="1"/>
        <v>328</v>
      </c>
      <c r="R46" s="8"/>
      <c r="T46"/>
    </row>
    <row r="47" spans="2:20" ht="23.1" customHeight="1" x14ac:dyDescent="0.25">
      <c r="B47" s="24" t="s">
        <v>74</v>
      </c>
      <c r="C47" s="50">
        <v>54</v>
      </c>
      <c r="D47" s="50">
        <v>17</v>
      </c>
      <c r="E47" s="50">
        <v>13</v>
      </c>
      <c r="F47" s="50">
        <v>24</v>
      </c>
      <c r="G47" s="50">
        <v>1</v>
      </c>
      <c r="H47" s="50">
        <v>0</v>
      </c>
      <c r="I47" s="50">
        <v>10</v>
      </c>
      <c r="J47" s="50">
        <v>9</v>
      </c>
      <c r="K47" s="50">
        <v>5</v>
      </c>
      <c r="L47" s="50">
        <v>7</v>
      </c>
      <c r="M47" s="50">
        <v>95</v>
      </c>
      <c r="N47" s="50">
        <v>0</v>
      </c>
      <c r="O47" s="15">
        <f t="shared" si="0"/>
        <v>140</v>
      </c>
      <c r="P47" s="15">
        <f t="shared" si="1"/>
        <v>235</v>
      </c>
      <c r="R47" s="8"/>
      <c r="T47"/>
    </row>
    <row r="48" spans="2:20" ht="23.1" customHeight="1" x14ac:dyDescent="0.25">
      <c r="B48" s="24" t="s">
        <v>75</v>
      </c>
      <c r="C48" s="50">
        <v>90</v>
      </c>
      <c r="D48" s="50">
        <v>25</v>
      </c>
      <c r="E48" s="50">
        <v>19</v>
      </c>
      <c r="F48" s="50">
        <v>22</v>
      </c>
      <c r="G48" s="50">
        <v>0</v>
      </c>
      <c r="H48" s="50">
        <v>0</v>
      </c>
      <c r="I48" s="50">
        <v>15</v>
      </c>
      <c r="J48" s="50">
        <v>8</v>
      </c>
      <c r="K48" s="50">
        <v>5</v>
      </c>
      <c r="L48" s="50">
        <v>7</v>
      </c>
      <c r="M48" s="50">
        <v>83</v>
      </c>
      <c r="N48" s="50">
        <v>0</v>
      </c>
      <c r="O48" s="15">
        <f t="shared" si="0"/>
        <v>191</v>
      </c>
      <c r="P48" s="15">
        <f t="shared" si="1"/>
        <v>274</v>
      </c>
      <c r="R48" s="8"/>
      <c r="T48"/>
    </row>
    <row r="49" spans="2:20" ht="23.1" customHeight="1" x14ac:dyDescent="0.25">
      <c r="B49" s="23" t="s">
        <v>76</v>
      </c>
      <c r="C49" s="50">
        <v>87</v>
      </c>
      <c r="D49" s="50">
        <v>10</v>
      </c>
      <c r="E49" s="50">
        <v>11</v>
      </c>
      <c r="F49" s="50">
        <v>18</v>
      </c>
      <c r="G49" s="50">
        <v>1</v>
      </c>
      <c r="H49" s="50">
        <v>3</v>
      </c>
      <c r="I49" s="50">
        <v>8</v>
      </c>
      <c r="J49" s="50">
        <v>7</v>
      </c>
      <c r="K49" s="50">
        <v>9</v>
      </c>
      <c r="L49" s="50">
        <v>4</v>
      </c>
      <c r="M49" s="50">
        <v>159</v>
      </c>
      <c r="N49" s="50">
        <v>0</v>
      </c>
      <c r="O49" s="15">
        <f t="shared" si="0"/>
        <v>158</v>
      </c>
      <c r="P49" s="15">
        <f t="shared" si="1"/>
        <v>317</v>
      </c>
      <c r="R49" s="8"/>
      <c r="T49"/>
    </row>
    <row r="50" spans="2:20" ht="23.1" customHeight="1" x14ac:dyDescent="0.25">
      <c r="B50" s="24" t="s">
        <v>77</v>
      </c>
      <c r="C50" s="50">
        <v>74</v>
      </c>
      <c r="D50" s="50">
        <v>23</v>
      </c>
      <c r="E50" s="50">
        <v>10</v>
      </c>
      <c r="F50" s="50">
        <v>21</v>
      </c>
      <c r="G50" s="50">
        <v>6</v>
      </c>
      <c r="H50" s="50">
        <v>0</v>
      </c>
      <c r="I50" s="50">
        <v>8</v>
      </c>
      <c r="J50" s="50">
        <v>7</v>
      </c>
      <c r="K50" s="50">
        <v>1</v>
      </c>
      <c r="L50" s="50">
        <v>5</v>
      </c>
      <c r="M50" s="50">
        <v>104</v>
      </c>
      <c r="N50" s="50">
        <v>0</v>
      </c>
      <c r="O50" s="15">
        <f t="shared" si="0"/>
        <v>155</v>
      </c>
      <c r="P50" s="15">
        <f t="shared" si="1"/>
        <v>259</v>
      </c>
      <c r="R50" s="8"/>
      <c r="T50"/>
    </row>
    <row r="51" spans="2:20" ht="23.1" customHeight="1" x14ac:dyDescent="0.25">
      <c r="B51" s="24" t="s">
        <v>78</v>
      </c>
      <c r="C51" s="50">
        <v>85</v>
      </c>
      <c r="D51" s="50">
        <v>27</v>
      </c>
      <c r="E51" s="50">
        <v>11</v>
      </c>
      <c r="F51" s="50">
        <v>21</v>
      </c>
      <c r="G51" s="50">
        <v>9</v>
      </c>
      <c r="H51" s="50">
        <v>3</v>
      </c>
      <c r="I51" s="50">
        <v>6</v>
      </c>
      <c r="J51" s="50">
        <v>7</v>
      </c>
      <c r="K51" s="50">
        <v>2</v>
      </c>
      <c r="L51" s="50">
        <v>5</v>
      </c>
      <c r="M51" s="50">
        <v>128</v>
      </c>
      <c r="N51" s="50">
        <v>0</v>
      </c>
      <c r="O51" s="15">
        <f t="shared" si="0"/>
        <v>176</v>
      </c>
      <c r="P51" s="15">
        <f t="shared" si="1"/>
        <v>304</v>
      </c>
      <c r="R51" s="8"/>
      <c r="T51"/>
    </row>
    <row r="52" spans="2:20" ht="23.1" customHeight="1" x14ac:dyDescent="0.25">
      <c r="B52" s="24" t="s">
        <v>79</v>
      </c>
      <c r="C52" s="50">
        <v>104</v>
      </c>
      <c r="D52" s="50">
        <v>46</v>
      </c>
      <c r="E52" s="50">
        <v>10</v>
      </c>
      <c r="F52" s="50">
        <v>34</v>
      </c>
      <c r="G52" s="50">
        <v>1</v>
      </c>
      <c r="H52" s="50">
        <v>0</v>
      </c>
      <c r="I52" s="50">
        <v>12</v>
      </c>
      <c r="J52" s="50">
        <v>6</v>
      </c>
      <c r="K52" s="50">
        <v>9</v>
      </c>
      <c r="L52" s="50">
        <v>5</v>
      </c>
      <c r="M52" s="50">
        <v>105</v>
      </c>
      <c r="N52" s="50">
        <v>1</v>
      </c>
      <c r="O52" s="15">
        <f t="shared" si="0"/>
        <v>228</v>
      </c>
      <c r="P52" s="15">
        <f t="shared" si="1"/>
        <v>333</v>
      </c>
      <c r="R52" s="8"/>
      <c r="T52"/>
    </row>
    <row r="53" spans="2:20" ht="23.1" customHeight="1" x14ac:dyDescent="0.25">
      <c r="B53" s="23" t="s">
        <v>80</v>
      </c>
      <c r="C53" s="50">
        <v>64</v>
      </c>
      <c r="D53" s="50">
        <v>63</v>
      </c>
      <c r="E53" s="50">
        <v>30</v>
      </c>
      <c r="F53" s="50">
        <v>21</v>
      </c>
      <c r="G53" s="50">
        <v>2</v>
      </c>
      <c r="H53" s="50">
        <v>0</v>
      </c>
      <c r="I53" s="50">
        <v>8</v>
      </c>
      <c r="J53" s="50">
        <v>6</v>
      </c>
      <c r="K53" s="50">
        <v>3</v>
      </c>
      <c r="L53" s="50">
        <v>4</v>
      </c>
      <c r="M53" s="50">
        <v>122</v>
      </c>
      <c r="N53" s="50">
        <v>0</v>
      </c>
      <c r="O53" s="15">
        <f t="shared" si="0"/>
        <v>201</v>
      </c>
      <c r="P53" s="15">
        <f t="shared" si="1"/>
        <v>323</v>
      </c>
      <c r="R53" s="8"/>
      <c r="T53"/>
    </row>
    <row r="54" spans="2:20" ht="23.1" customHeight="1" x14ac:dyDescent="0.25">
      <c r="B54" s="23" t="s">
        <v>81</v>
      </c>
      <c r="C54" s="50">
        <v>90</v>
      </c>
      <c r="D54" s="50">
        <v>37</v>
      </c>
      <c r="E54" s="50">
        <v>13</v>
      </c>
      <c r="F54" s="50">
        <v>25</v>
      </c>
      <c r="G54" s="50">
        <v>6</v>
      </c>
      <c r="H54" s="50">
        <v>0</v>
      </c>
      <c r="I54" s="50">
        <v>5</v>
      </c>
      <c r="J54" s="50">
        <v>3</v>
      </c>
      <c r="K54" s="50">
        <v>5</v>
      </c>
      <c r="L54" s="50">
        <v>5</v>
      </c>
      <c r="M54" s="50">
        <v>55</v>
      </c>
      <c r="N54" s="50">
        <v>0</v>
      </c>
      <c r="O54" s="15">
        <f t="shared" si="0"/>
        <v>189</v>
      </c>
      <c r="P54" s="15">
        <f t="shared" si="1"/>
        <v>244</v>
      </c>
      <c r="R54" s="8"/>
      <c r="T54"/>
    </row>
    <row r="55" spans="2:20" ht="23.1" customHeight="1" x14ac:dyDescent="0.25">
      <c r="B55" s="23" t="s">
        <v>82</v>
      </c>
      <c r="C55" s="50">
        <v>102</v>
      </c>
      <c r="D55" s="50">
        <v>18</v>
      </c>
      <c r="E55" s="50">
        <v>18</v>
      </c>
      <c r="F55" s="50">
        <v>26</v>
      </c>
      <c r="G55" s="50">
        <v>4</v>
      </c>
      <c r="H55" s="50">
        <v>0</v>
      </c>
      <c r="I55" s="50">
        <v>12</v>
      </c>
      <c r="J55" s="50">
        <v>5</v>
      </c>
      <c r="K55" s="50">
        <v>2</v>
      </c>
      <c r="L55" s="50">
        <v>3</v>
      </c>
      <c r="M55" s="50">
        <v>78</v>
      </c>
      <c r="N55" s="50">
        <v>0</v>
      </c>
      <c r="O55" s="15">
        <f t="shared" si="0"/>
        <v>190</v>
      </c>
      <c r="P55" s="15">
        <f t="shared" si="1"/>
        <v>268</v>
      </c>
      <c r="R55" s="8"/>
      <c r="T55"/>
    </row>
    <row r="56" spans="2:20" ht="23.1" customHeight="1" x14ac:dyDescent="0.25">
      <c r="B56" s="23" t="s">
        <v>83</v>
      </c>
      <c r="C56" s="50">
        <v>124</v>
      </c>
      <c r="D56" s="50">
        <v>15</v>
      </c>
      <c r="E56" s="50">
        <v>18</v>
      </c>
      <c r="F56" s="50">
        <v>24</v>
      </c>
      <c r="G56" s="50">
        <v>2</v>
      </c>
      <c r="H56" s="50">
        <v>0</v>
      </c>
      <c r="I56" s="50">
        <v>8</v>
      </c>
      <c r="J56" s="50">
        <v>8</v>
      </c>
      <c r="K56" s="50">
        <v>10</v>
      </c>
      <c r="L56" s="50">
        <v>11</v>
      </c>
      <c r="M56" s="50">
        <v>123</v>
      </c>
      <c r="N56" s="50">
        <v>0</v>
      </c>
      <c r="O56" s="15">
        <f t="shared" si="0"/>
        <v>220</v>
      </c>
      <c r="P56" s="15">
        <f t="shared" si="1"/>
        <v>343</v>
      </c>
      <c r="R56" s="8"/>
      <c r="T56"/>
    </row>
    <row r="57" spans="2:20" ht="23.1" customHeight="1" x14ac:dyDescent="0.25">
      <c r="B57" s="23" t="s">
        <v>84</v>
      </c>
      <c r="C57" s="50">
        <v>90</v>
      </c>
      <c r="D57" s="50">
        <v>34</v>
      </c>
      <c r="E57" s="50">
        <v>11</v>
      </c>
      <c r="F57" s="50">
        <v>28</v>
      </c>
      <c r="G57" s="50">
        <v>2</v>
      </c>
      <c r="H57" s="50">
        <v>0</v>
      </c>
      <c r="I57" s="50">
        <v>3</v>
      </c>
      <c r="J57" s="50">
        <v>5</v>
      </c>
      <c r="K57" s="50">
        <v>2</v>
      </c>
      <c r="L57" s="50">
        <v>4</v>
      </c>
      <c r="M57" s="50">
        <v>84</v>
      </c>
      <c r="N57" s="50">
        <v>0</v>
      </c>
      <c r="O57" s="15">
        <f t="shared" si="0"/>
        <v>179</v>
      </c>
      <c r="P57" s="15">
        <f t="shared" si="1"/>
        <v>263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4043</v>
      </c>
      <c r="D58" s="16">
        <f t="shared" si="21"/>
        <v>1135</v>
      </c>
      <c r="E58" s="16">
        <f t="shared" si="21"/>
        <v>668</v>
      </c>
      <c r="F58" s="16">
        <f t="shared" si="21"/>
        <v>983</v>
      </c>
      <c r="G58" s="16">
        <f t="shared" si="21"/>
        <v>65</v>
      </c>
      <c r="H58" s="16">
        <f t="shared" si="21"/>
        <v>11</v>
      </c>
      <c r="I58" s="16">
        <f t="shared" si="21"/>
        <v>467</v>
      </c>
      <c r="J58" s="16">
        <f t="shared" si="21"/>
        <v>420</v>
      </c>
      <c r="K58" s="16">
        <f t="shared" si="21"/>
        <v>285</v>
      </c>
      <c r="L58" s="16">
        <f t="shared" si="21"/>
        <v>263</v>
      </c>
      <c r="M58" s="16">
        <f t="shared" si="21"/>
        <v>5545</v>
      </c>
      <c r="N58" s="16">
        <f t="shared" si="21"/>
        <v>3</v>
      </c>
      <c r="O58" s="16">
        <f t="shared" si="21"/>
        <v>8343</v>
      </c>
      <c r="P58" s="16">
        <f t="shared" si="21"/>
        <v>13888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0.29111463133640553</v>
      </c>
      <c r="D59" s="43">
        <f t="shared" si="22"/>
        <v>8.1725230414746539E-2</v>
      </c>
      <c r="E59" s="43">
        <f t="shared" si="22"/>
        <v>4.8099078341013825E-2</v>
      </c>
      <c r="F59" s="43">
        <f t="shared" si="22"/>
        <v>7.0780529953917051E-2</v>
      </c>
      <c r="G59" s="43">
        <f t="shared" si="22"/>
        <v>4.6802995391705066E-3</v>
      </c>
      <c r="H59" s="43">
        <f t="shared" si="22"/>
        <v>7.9205069124423967E-4</v>
      </c>
      <c r="I59" s="43">
        <f t="shared" si="22"/>
        <v>3.3626152073732721E-2</v>
      </c>
      <c r="J59" s="43">
        <f t="shared" si="22"/>
        <v>3.0241935483870969E-2</v>
      </c>
      <c r="K59" s="43">
        <f t="shared" si="22"/>
        <v>2.0521313364055299E-2</v>
      </c>
      <c r="L59" s="43">
        <f t="shared" si="22"/>
        <v>1.893721198156682E-2</v>
      </c>
      <c r="M59" s="43">
        <f t="shared" si="22"/>
        <v>0.39926555299539168</v>
      </c>
      <c r="N59" s="43">
        <f t="shared" si="22"/>
        <v>2.1601382488479264E-4</v>
      </c>
      <c r="R59" s="8"/>
      <c r="T59"/>
    </row>
    <row r="60" spans="2:20" ht="23.1" customHeight="1" x14ac:dyDescent="0.25">
      <c r="B60" s="42" t="s">
        <v>94</v>
      </c>
      <c r="C60" s="44">
        <f>C58/$O$58</f>
        <v>0.48459786647488912</v>
      </c>
      <c r="D60" s="44">
        <f t="shared" ref="D60:N60" si="23">D58/$O$58</f>
        <v>0.13604219105837229</v>
      </c>
      <c r="E60" s="44">
        <f t="shared" si="23"/>
        <v>8.0067122138319555E-2</v>
      </c>
      <c r="F60" s="44">
        <f t="shared" si="23"/>
        <v>0.11782332494306605</v>
      </c>
      <c r="G60" s="44">
        <f t="shared" si="23"/>
        <v>7.7909624835191182E-3</v>
      </c>
      <c r="H60" s="44">
        <f t="shared" si="23"/>
        <v>1.3184705741340046E-3</v>
      </c>
      <c r="I60" s="44">
        <f t="shared" si="23"/>
        <v>5.5975068920052738E-2</v>
      </c>
      <c r="J60" s="44">
        <f t="shared" si="23"/>
        <v>5.034160373966199E-2</v>
      </c>
      <c r="K60" s="44">
        <f t="shared" si="23"/>
        <v>3.4160373966199212E-2</v>
      </c>
      <c r="L60" s="44">
        <f t="shared" si="23"/>
        <v>3.1523432817931199E-2</v>
      </c>
      <c r="M60" s="44"/>
      <c r="N60" s="44">
        <f t="shared" si="23"/>
        <v>3.595828838547285E-4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N57" sqref="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67" t="str">
        <f>'24.07 Masanafu-Lubigi'!G5:H5</f>
        <v>Northern Bypass</v>
      </c>
      <c r="H5" s="68"/>
      <c r="I5" s="14"/>
      <c r="J5" s="2" t="s">
        <v>5</v>
      </c>
      <c r="K5" s="67" t="s">
        <v>179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Lubigi-Masanafu'!D6:E6</f>
        <v>Lubigi</v>
      </c>
      <c r="E6" s="68"/>
      <c r="F6" s="2" t="s">
        <v>2</v>
      </c>
      <c r="G6" s="67" t="str">
        <f>'22.07 Lubigi-Masanafu'!G6:H6</f>
        <v>Masanafu</v>
      </c>
      <c r="H6" s="68"/>
      <c r="J6" s="2" t="s">
        <v>21</v>
      </c>
      <c r="K6" s="67" t="str">
        <f>'24.07 Masanafu-Lubigi'!K6:L6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34</v>
      </c>
      <c r="D10" s="50">
        <v>6</v>
      </c>
      <c r="E10" s="50">
        <v>4</v>
      </c>
      <c r="F10" s="50">
        <v>5</v>
      </c>
      <c r="G10" s="50">
        <v>3</v>
      </c>
      <c r="H10" s="50">
        <v>0</v>
      </c>
      <c r="I10" s="50">
        <v>3</v>
      </c>
      <c r="J10" s="50">
        <v>2</v>
      </c>
      <c r="K10" s="50">
        <v>3</v>
      </c>
      <c r="L10" s="50">
        <v>5</v>
      </c>
      <c r="M10" s="50">
        <v>67</v>
      </c>
      <c r="N10" s="50">
        <v>1</v>
      </c>
      <c r="O10" s="15">
        <f t="shared" ref="O10:O57" si="0">SUM(C10:L10,N10)</f>
        <v>66</v>
      </c>
      <c r="P10" s="15">
        <f t="shared" ref="P10:P57" si="1">SUM(C10:N10)</f>
        <v>133</v>
      </c>
      <c r="R10" s="1" t="s">
        <v>6</v>
      </c>
      <c r="S10" s="17">
        <f t="shared" ref="S10:AF10" si="2">SUM(C10:C13)</f>
        <v>225</v>
      </c>
      <c r="T10" s="17">
        <f t="shared" si="2"/>
        <v>47</v>
      </c>
      <c r="U10" s="17">
        <f t="shared" si="2"/>
        <v>44</v>
      </c>
      <c r="V10" s="17">
        <f t="shared" si="2"/>
        <v>73</v>
      </c>
      <c r="W10" s="17">
        <f t="shared" si="2"/>
        <v>11</v>
      </c>
      <c r="X10" s="17">
        <f t="shared" si="2"/>
        <v>0</v>
      </c>
      <c r="Y10" s="17">
        <f t="shared" si="2"/>
        <v>25</v>
      </c>
      <c r="Z10" s="17">
        <f t="shared" si="2"/>
        <v>27</v>
      </c>
      <c r="AA10" s="17">
        <f t="shared" si="2"/>
        <v>12</v>
      </c>
      <c r="AB10" s="17">
        <f t="shared" si="2"/>
        <v>14</v>
      </c>
      <c r="AC10" s="17">
        <f t="shared" si="2"/>
        <v>554</v>
      </c>
      <c r="AD10" s="17">
        <f t="shared" si="2"/>
        <v>1</v>
      </c>
      <c r="AE10" s="31">
        <f t="shared" si="2"/>
        <v>479</v>
      </c>
      <c r="AF10" s="31">
        <f t="shared" si="2"/>
        <v>1033</v>
      </c>
    </row>
    <row r="11" spans="2:32" s="6" customFormat="1" ht="23.1" customHeight="1" x14ac:dyDescent="0.25">
      <c r="B11" s="23" t="s">
        <v>38</v>
      </c>
      <c r="C11" s="50">
        <v>54</v>
      </c>
      <c r="D11" s="50">
        <v>11</v>
      </c>
      <c r="E11" s="50">
        <v>13</v>
      </c>
      <c r="F11" s="50">
        <v>20</v>
      </c>
      <c r="G11" s="50">
        <v>3</v>
      </c>
      <c r="H11" s="50">
        <v>0</v>
      </c>
      <c r="I11" s="50">
        <v>5</v>
      </c>
      <c r="J11" s="50">
        <v>6</v>
      </c>
      <c r="K11" s="50">
        <v>0</v>
      </c>
      <c r="L11" s="50">
        <v>1</v>
      </c>
      <c r="M11" s="50">
        <v>160</v>
      </c>
      <c r="N11" s="50">
        <v>0</v>
      </c>
      <c r="O11" s="15">
        <f t="shared" si="0"/>
        <v>113</v>
      </c>
      <c r="P11" s="15">
        <f t="shared" si="1"/>
        <v>273</v>
      </c>
      <c r="R11" s="1" t="s">
        <v>7</v>
      </c>
      <c r="S11" s="17">
        <f t="shared" ref="S11:AF11" si="3">SUM(C14:C17)</f>
        <v>239</v>
      </c>
      <c r="T11" s="17">
        <f t="shared" si="3"/>
        <v>56</v>
      </c>
      <c r="U11" s="17">
        <f t="shared" si="3"/>
        <v>42</v>
      </c>
      <c r="V11" s="17">
        <f t="shared" si="3"/>
        <v>77</v>
      </c>
      <c r="W11" s="17">
        <f t="shared" si="3"/>
        <v>10</v>
      </c>
      <c r="X11" s="17">
        <f t="shared" si="3"/>
        <v>1</v>
      </c>
      <c r="Y11" s="17">
        <f t="shared" si="3"/>
        <v>22</v>
      </c>
      <c r="Z11" s="17">
        <f t="shared" si="3"/>
        <v>36</v>
      </c>
      <c r="AA11" s="17">
        <f t="shared" si="3"/>
        <v>30</v>
      </c>
      <c r="AB11" s="17">
        <f t="shared" si="3"/>
        <v>16</v>
      </c>
      <c r="AC11" s="17">
        <f t="shared" si="3"/>
        <v>768</v>
      </c>
      <c r="AD11" s="17">
        <f t="shared" si="3"/>
        <v>0</v>
      </c>
      <c r="AE11" s="31">
        <f t="shared" si="3"/>
        <v>529</v>
      </c>
      <c r="AF11" s="31">
        <f t="shared" si="3"/>
        <v>1297</v>
      </c>
    </row>
    <row r="12" spans="2:32" ht="23.1" customHeight="1" x14ac:dyDescent="0.25">
      <c r="B12" s="23" t="s">
        <v>39</v>
      </c>
      <c r="C12" s="50">
        <v>69</v>
      </c>
      <c r="D12" s="50">
        <v>18</v>
      </c>
      <c r="E12" s="50">
        <v>16</v>
      </c>
      <c r="F12" s="50">
        <v>22</v>
      </c>
      <c r="G12" s="50">
        <v>4</v>
      </c>
      <c r="H12" s="50">
        <v>0</v>
      </c>
      <c r="I12" s="50">
        <v>7</v>
      </c>
      <c r="J12" s="50">
        <v>9</v>
      </c>
      <c r="K12" s="50">
        <v>7</v>
      </c>
      <c r="L12" s="50">
        <v>1</v>
      </c>
      <c r="M12" s="50">
        <v>171</v>
      </c>
      <c r="N12" s="50">
        <v>0</v>
      </c>
      <c r="O12" s="15">
        <f t="shared" si="0"/>
        <v>153</v>
      </c>
      <c r="P12" s="15">
        <f t="shared" si="1"/>
        <v>324</v>
      </c>
      <c r="R12" s="1" t="s">
        <v>8</v>
      </c>
      <c r="S12" s="17">
        <f t="shared" ref="S12:AF12" si="4">SUM(C18:C21)</f>
        <v>198</v>
      </c>
      <c r="T12" s="17">
        <f t="shared" si="4"/>
        <v>60</v>
      </c>
      <c r="U12" s="17">
        <f t="shared" si="4"/>
        <v>58</v>
      </c>
      <c r="V12" s="17">
        <f t="shared" si="4"/>
        <v>79</v>
      </c>
      <c r="W12" s="17">
        <f t="shared" si="4"/>
        <v>15</v>
      </c>
      <c r="X12" s="17">
        <f t="shared" si="4"/>
        <v>2</v>
      </c>
      <c r="Y12" s="17">
        <f t="shared" si="4"/>
        <v>28</v>
      </c>
      <c r="Z12" s="17">
        <f t="shared" si="4"/>
        <v>35</v>
      </c>
      <c r="AA12" s="17">
        <f t="shared" si="4"/>
        <v>27</v>
      </c>
      <c r="AB12" s="17">
        <f t="shared" si="4"/>
        <v>13</v>
      </c>
      <c r="AC12" s="17">
        <f t="shared" si="4"/>
        <v>758</v>
      </c>
      <c r="AD12" s="17">
        <f t="shared" si="4"/>
        <v>0</v>
      </c>
      <c r="AE12" s="31">
        <f t="shared" si="4"/>
        <v>515</v>
      </c>
      <c r="AF12" s="31">
        <f t="shared" si="4"/>
        <v>1273</v>
      </c>
    </row>
    <row r="13" spans="2:32" ht="23.1" customHeight="1" x14ac:dyDescent="0.25">
      <c r="B13" s="23" t="s">
        <v>40</v>
      </c>
      <c r="C13" s="50">
        <v>68</v>
      </c>
      <c r="D13" s="50">
        <v>12</v>
      </c>
      <c r="E13" s="50">
        <v>11</v>
      </c>
      <c r="F13" s="50">
        <v>26</v>
      </c>
      <c r="G13" s="50">
        <v>1</v>
      </c>
      <c r="H13" s="50">
        <v>0</v>
      </c>
      <c r="I13" s="50">
        <v>10</v>
      </c>
      <c r="J13" s="50">
        <v>10</v>
      </c>
      <c r="K13" s="50">
        <v>2</v>
      </c>
      <c r="L13" s="50">
        <v>7</v>
      </c>
      <c r="M13" s="50">
        <v>156</v>
      </c>
      <c r="N13" s="50">
        <v>0</v>
      </c>
      <c r="O13" s="15">
        <f t="shared" si="0"/>
        <v>147</v>
      </c>
      <c r="P13" s="15">
        <f t="shared" si="1"/>
        <v>303</v>
      </c>
      <c r="R13" s="1" t="s">
        <v>9</v>
      </c>
      <c r="S13" s="17">
        <f t="shared" ref="S13:AF13" si="5">SUM(C22:C25)</f>
        <v>329</v>
      </c>
      <c r="T13" s="17">
        <f t="shared" si="5"/>
        <v>67</v>
      </c>
      <c r="U13" s="17">
        <f t="shared" si="5"/>
        <v>63</v>
      </c>
      <c r="V13" s="17">
        <f t="shared" si="5"/>
        <v>89</v>
      </c>
      <c r="W13" s="17">
        <f t="shared" si="5"/>
        <v>17</v>
      </c>
      <c r="X13" s="17">
        <f t="shared" si="5"/>
        <v>5</v>
      </c>
      <c r="Y13" s="17">
        <f t="shared" si="5"/>
        <v>36</v>
      </c>
      <c r="Z13" s="17">
        <f t="shared" si="5"/>
        <v>60</v>
      </c>
      <c r="AA13" s="17">
        <f t="shared" si="5"/>
        <v>25</v>
      </c>
      <c r="AB13" s="17">
        <f t="shared" si="5"/>
        <v>41</v>
      </c>
      <c r="AC13" s="17">
        <f t="shared" si="5"/>
        <v>1107</v>
      </c>
      <c r="AD13" s="17">
        <f t="shared" si="5"/>
        <v>0</v>
      </c>
      <c r="AE13" s="31">
        <f t="shared" si="5"/>
        <v>732</v>
      </c>
      <c r="AF13" s="31">
        <f t="shared" si="5"/>
        <v>1839</v>
      </c>
    </row>
    <row r="14" spans="2:32" ht="23.1" customHeight="1" x14ac:dyDescent="0.25">
      <c r="B14" s="23" t="s">
        <v>41</v>
      </c>
      <c r="C14" s="50">
        <v>60</v>
      </c>
      <c r="D14" s="50">
        <v>7</v>
      </c>
      <c r="E14" s="50">
        <v>11</v>
      </c>
      <c r="F14" s="50">
        <v>11</v>
      </c>
      <c r="G14" s="50">
        <v>1</v>
      </c>
      <c r="H14" s="50">
        <v>0</v>
      </c>
      <c r="I14" s="50">
        <v>3</v>
      </c>
      <c r="J14" s="50">
        <v>10</v>
      </c>
      <c r="K14" s="50">
        <v>3</v>
      </c>
      <c r="L14" s="50">
        <v>5</v>
      </c>
      <c r="M14" s="50">
        <v>155</v>
      </c>
      <c r="N14" s="50">
        <v>0</v>
      </c>
      <c r="O14" s="15">
        <f t="shared" si="0"/>
        <v>111</v>
      </c>
      <c r="P14" s="15">
        <f t="shared" si="1"/>
        <v>266</v>
      </c>
      <c r="R14" s="1" t="s">
        <v>10</v>
      </c>
      <c r="S14" s="17">
        <f t="shared" ref="S14:AF14" si="6">SUM(C26:C29)</f>
        <v>210</v>
      </c>
      <c r="T14" s="17">
        <f t="shared" si="6"/>
        <v>50</v>
      </c>
      <c r="U14" s="17">
        <f t="shared" si="6"/>
        <v>37</v>
      </c>
      <c r="V14" s="17">
        <f t="shared" si="6"/>
        <v>72</v>
      </c>
      <c r="W14" s="17">
        <f t="shared" si="6"/>
        <v>24</v>
      </c>
      <c r="X14" s="17">
        <f t="shared" si="6"/>
        <v>2</v>
      </c>
      <c r="Y14" s="17">
        <f t="shared" si="6"/>
        <v>24</v>
      </c>
      <c r="Z14" s="17">
        <f t="shared" si="6"/>
        <v>36</v>
      </c>
      <c r="AA14" s="17">
        <f t="shared" si="6"/>
        <v>20</v>
      </c>
      <c r="AB14" s="17">
        <f t="shared" si="6"/>
        <v>23</v>
      </c>
      <c r="AC14" s="17">
        <f t="shared" si="6"/>
        <v>833</v>
      </c>
      <c r="AD14" s="17">
        <f t="shared" si="6"/>
        <v>0</v>
      </c>
      <c r="AE14" s="31">
        <f t="shared" si="6"/>
        <v>498</v>
      </c>
      <c r="AF14" s="31">
        <f t="shared" si="6"/>
        <v>1331</v>
      </c>
    </row>
    <row r="15" spans="2:32" ht="23.1" customHeight="1" x14ac:dyDescent="0.25">
      <c r="B15" s="23" t="s">
        <v>42</v>
      </c>
      <c r="C15" s="50">
        <v>61</v>
      </c>
      <c r="D15" s="50">
        <v>21</v>
      </c>
      <c r="E15" s="50">
        <v>12</v>
      </c>
      <c r="F15" s="50">
        <v>21</v>
      </c>
      <c r="G15" s="50">
        <v>3</v>
      </c>
      <c r="H15" s="50">
        <v>1</v>
      </c>
      <c r="I15" s="50">
        <v>9</v>
      </c>
      <c r="J15" s="50">
        <v>7</v>
      </c>
      <c r="K15" s="50">
        <v>8</v>
      </c>
      <c r="L15" s="50">
        <v>2</v>
      </c>
      <c r="M15" s="50">
        <v>118</v>
      </c>
      <c r="N15" s="50">
        <v>0</v>
      </c>
      <c r="O15" s="15">
        <f t="shared" si="0"/>
        <v>145</v>
      </c>
      <c r="P15" s="15">
        <f t="shared" si="1"/>
        <v>263</v>
      </c>
      <c r="R15" s="1" t="s">
        <v>11</v>
      </c>
      <c r="S15" s="17">
        <f t="shared" ref="S15:AF15" si="7">SUM(C30:C33)</f>
        <v>297</v>
      </c>
      <c r="T15" s="17">
        <f t="shared" si="7"/>
        <v>50</v>
      </c>
      <c r="U15" s="17">
        <f t="shared" si="7"/>
        <v>55</v>
      </c>
      <c r="V15" s="17">
        <f t="shared" si="7"/>
        <v>71</v>
      </c>
      <c r="W15" s="17">
        <f t="shared" si="7"/>
        <v>17</v>
      </c>
      <c r="X15" s="17">
        <f t="shared" si="7"/>
        <v>2</v>
      </c>
      <c r="Y15" s="17">
        <f t="shared" si="7"/>
        <v>35</v>
      </c>
      <c r="Z15" s="17">
        <f t="shared" si="7"/>
        <v>48</v>
      </c>
      <c r="AA15" s="17">
        <f t="shared" si="7"/>
        <v>22</v>
      </c>
      <c r="AB15" s="17">
        <f t="shared" si="7"/>
        <v>24</v>
      </c>
      <c r="AC15" s="17">
        <f t="shared" si="7"/>
        <v>569</v>
      </c>
      <c r="AD15" s="17">
        <f t="shared" si="7"/>
        <v>1</v>
      </c>
      <c r="AE15" s="31">
        <f t="shared" si="7"/>
        <v>622</v>
      </c>
      <c r="AF15" s="31">
        <f t="shared" si="7"/>
        <v>1191</v>
      </c>
    </row>
    <row r="16" spans="2:32" ht="23.1" customHeight="1" x14ac:dyDescent="0.25">
      <c r="B16" s="23" t="s">
        <v>43</v>
      </c>
      <c r="C16" s="50">
        <v>61</v>
      </c>
      <c r="D16" s="50">
        <v>14</v>
      </c>
      <c r="E16" s="50">
        <v>11</v>
      </c>
      <c r="F16" s="50">
        <v>26</v>
      </c>
      <c r="G16" s="50">
        <v>2</v>
      </c>
      <c r="H16" s="50">
        <v>0</v>
      </c>
      <c r="I16" s="50">
        <v>7</v>
      </c>
      <c r="J16" s="50">
        <v>7</v>
      </c>
      <c r="K16" s="50">
        <v>7</v>
      </c>
      <c r="L16" s="50">
        <v>5</v>
      </c>
      <c r="M16" s="50">
        <v>290</v>
      </c>
      <c r="N16" s="50">
        <v>0</v>
      </c>
      <c r="O16" s="15">
        <f t="shared" si="0"/>
        <v>140</v>
      </c>
      <c r="P16" s="15">
        <f t="shared" si="1"/>
        <v>430</v>
      </c>
      <c r="R16" s="1" t="s">
        <v>12</v>
      </c>
      <c r="S16" s="17">
        <f t="shared" ref="S16:AF16" si="8">SUM(C34:C37)</f>
        <v>283</v>
      </c>
      <c r="T16" s="17">
        <f t="shared" si="8"/>
        <v>49</v>
      </c>
      <c r="U16" s="17">
        <f t="shared" si="8"/>
        <v>47</v>
      </c>
      <c r="V16" s="17">
        <f t="shared" si="8"/>
        <v>81</v>
      </c>
      <c r="W16" s="17">
        <f t="shared" si="8"/>
        <v>2</v>
      </c>
      <c r="X16" s="17">
        <f t="shared" si="8"/>
        <v>1</v>
      </c>
      <c r="Y16" s="17">
        <f t="shared" si="8"/>
        <v>32</v>
      </c>
      <c r="Z16" s="17">
        <f t="shared" si="8"/>
        <v>55</v>
      </c>
      <c r="AA16" s="17">
        <f t="shared" si="8"/>
        <v>17</v>
      </c>
      <c r="AB16" s="17">
        <f t="shared" si="8"/>
        <v>30</v>
      </c>
      <c r="AC16" s="17">
        <f t="shared" si="8"/>
        <v>526</v>
      </c>
      <c r="AD16" s="17">
        <f t="shared" si="8"/>
        <v>1</v>
      </c>
      <c r="AE16" s="31">
        <f t="shared" si="8"/>
        <v>598</v>
      </c>
      <c r="AF16" s="31">
        <f t="shared" si="8"/>
        <v>1124</v>
      </c>
    </row>
    <row r="17" spans="2:32" ht="23.1" customHeight="1" x14ac:dyDescent="0.25">
      <c r="B17" s="23" t="s">
        <v>44</v>
      </c>
      <c r="C17" s="50">
        <v>57</v>
      </c>
      <c r="D17" s="50">
        <v>14</v>
      </c>
      <c r="E17" s="50">
        <v>8</v>
      </c>
      <c r="F17" s="50">
        <v>19</v>
      </c>
      <c r="G17" s="50">
        <v>4</v>
      </c>
      <c r="H17" s="50">
        <v>0</v>
      </c>
      <c r="I17" s="50">
        <v>3</v>
      </c>
      <c r="J17" s="50">
        <v>12</v>
      </c>
      <c r="K17" s="50">
        <v>12</v>
      </c>
      <c r="L17" s="50">
        <v>4</v>
      </c>
      <c r="M17" s="50">
        <v>205</v>
      </c>
      <c r="N17" s="50">
        <v>0</v>
      </c>
      <c r="O17" s="15">
        <f t="shared" si="0"/>
        <v>133</v>
      </c>
      <c r="P17" s="15">
        <f t="shared" si="1"/>
        <v>338</v>
      </c>
      <c r="R17" s="1" t="s">
        <v>13</v>
      </c>
      <c r="S17" s="17">
        <f t="shared" ref="S17:AF17" si="9">SUM(C38:C41)</f>
        <v>215</v>
      </c>
      <c r="T17" s="17">
        <f t="shared" si="9"/>
        <v>54</v>
      </c>
      <c r="U17" s="17">
        <f t="shared" si="9"/>
        <v>51</v>
      </c>
      <c r="V17" s="17">
        <f t="shared" si="9"/>
        <v>78</v>
      </c>
      <c r="W17" s="17">
        <f t="shared" si="9"/>
        <v>1</v>
      </c>
      <c r="X17" s="17">
        <f t="shared" si="9"/>
        <v>0</v>
      </c>
      <c r="Y17" s="17">
        <f t="shared" si="9"/>
        <v>42</v>
      </c>
      <c r="Z17" s="17">
        <f t="shared" si="9"/>
        <v>55</v>
      </c>
      <c r="AA17" s="17">
        <f t="shared" si="9"/>
        <v>31</v>
      </c>
      <c r="AB17" s="17">
        <f t="shared" si="9"/>
        <v>25</v>
      </c>
      <c r="AC17" s="17">
        <f t="shared" si="9"/>
        <v>438</v>
      </c>
      <c r="AD17" s="17">
        <f t="shared" si="9"/>
        <v>0</v>
      </c>
      <c r="AE17" s="31">
        <f t="shared" si="9"/>
        <v>552</v>
      </c>
      <c r="AF17" s="31">
        <f t="shared" si="9"/>
        <v>990</v>
      </c>
    </row>
    <row r="18" spans="2:32" ht="23.1" customHeight="1" x14ac:dyDescent="0.25">
      <c r="B18" s="23" t="s">
        <v>45</v>
      </c>
      <c r="C18" s="50">
        <v>44</v>
      </c>
      <c r="D18" s="50">
        <v>10</v>
      </c>
      <c r="E18" s="50">
        <v>12</v>
      </c>
      <c r="F18" s="50">
        <v>16</v>
      </c>
      <c r="G18" s="50">
        <v>1</v>
      </c>
      <c r="H18" s="50">
        <v>1</v>
      </c>
      <c r="I18" s="50">
        <v>9</v>
      </c>
      <c r="J18" s="50">
        <v>7</v>
      </c>
      <c r="K18" s="50">
        <v>12</v>
      </c>
      <c r="L18" s="50">
        <v>7</v>
      </c>
      <c r="M18" s="50">
        <v>217</v>
      </c>
      <c r="N18" s="50">
        <v>0</v>
      </c>
      <c r="O18" s="15">
        <f t="shared" si="0"/>
        <v>119</v>
      </c>
      <c r="P18" s="15">
        <f t="shared" si="1"/>
        <v>336</v>
      </c>
      <c r="R18" s="1" t="s">
        <v>14</v>
      </c>
      <c r="S18" s="17">
        <f t="shared" ref="S18:AF18" si="10">SUM(C42:C45)</f>
        <v>236</v>
      </c>
      <c r="T18" s="17">
        <f t="shared" si="10"/>
        <v>47</v>
      </c>
      <c r="U18" s="17">
        <f t="shared" si="10"/>
        <v>63</v>
      </c>
      <c r="V18" s="17">
        <f t="shared" si="10"/>
        <v>72</v>
      </c>
      <c r="W18" s="17">
        <f t="shared" si="10"/>
        <v>4</v>
      </c>
      <c r="X18" s="17">
        <f t="shared" si="10"/>
        <v>0</v>
      </c>
      <c r="Y18" s="17">
        <f t="shared" si="10"/>
        <v>32</v>
      </c>
      <c r="Z18" s="17">
        <f t="shared" si="10"/>
        <v>38</v>
      </c>
      <c r="AA18" s="17">
        <f t="shared" si="10"/>
        <v>19</v>
      </c>
      <c r="AB18" s="17">
        <f t="shared" si="10"/>
        <v>24</v>
      </c>
      <c r="AC18" s="17">
        <f t="shared" si="10"/>
        <v>366</v>
      </c>
      <c r="AD18" s="17">
        <f t="shared" si="10"/>
        <v>0</v>
      </c>
      <c r="AE18" s="31">
        <f t="shared" si="10"/>
        <v>535</v>
      </c>
      <c r="AF18" s="31">
        <f t="shared" si="10"/>
        <v>901</v>
      </c>
    </row>
    <row r="19" spans="2:32" ht="23.1" customHeight="1" x14ac:dyDescent="0.25">
      <c r="B19" s="23" t="s">
        <v>46</v>
      </c>
      <c r="C19" s="50">
        <v>58</v>
      </c>
      <c r="D19" s="50">
        <v>19</v>
      </c>
      <c r="E19" s="50">
        <v>17</v>
      </c>
      <c r="F19" s="50">
        <v>20</v>
      </c>
      <c r="G19" s="50">
        <v>2</v>
      </c>
      <c r="H19" s="50">
        <v>1</v>
      </c>
      <c r="I19" s="50">
        <v>5</v>
      </c>
      <c r="J19" s="50">
        <v>10</v>
      </c>
      <c r="K19" s="50">
        <v>5</v>
      </c>
      <c r="L19" s="50">
        <v>2</v>
      </c>
      <c r="M19" s="50">
        <v>218</v>
      </c>
      <c r="N19" s="50">
        <v>0</v>
      </c>
      <c r="O19" s="15">
        <f t="shared" si="0"/>
        <v>139</v>
      </c>
      <c r="P19" s="15">
        <f t="shared" si="1"/>
        <v>357</v>
      </c>
      <c r="R19" s="1" t="s">
        <v>15</v>
      </c>
      <c r="S19" s="17">
        <f t="shared" ref="S19:AF19" si="11">SUM(C46:C49)</f>
        <v>290</v>
      </c>
      <c r="T19" s="17">
        <f t="shared" si="11"/>
        <v>61</v>
      </c>
      <c r="U19" s="17">
        <f t="shared" si="11"/>
        <v>59</v>
      </c>
      <c r="V19" s="17">
        <f t="shared" si="11"/>
        <v>75</v>
      </c>
      <c r="W19" s="17">
        <f t="shared" si="11"/>
        <v>1</v>
      </c>
      <c r="X19" s="17">
        <f t="shared" si="11"/>
        <v>2</v>
      </c>
      <c r="Y19" s="17">
        <f t="shared" si="11"/>
        <v>56</v>
      </c>
      <c r="Z19" s="17">
        <f t="shared" si="11"/>
        <v>54</v>
      </c>
      <c r="AA19" s="17">
        <f t="shared" si="11"/>
        <v>24</v>
      </c>
      <c r="AB19" s="17">
        <f t="shared" si="11"/>
        <v>35</v>
      </c>
      <c r="AC19" s="17">
        <f t="shared" si="11"/>
        <v>570</v>
      </c>
      <c r="AD19" s="17">
        <f t="shared" si="11"/>
        <v>0</v>
      </c>
      <c r="AE19" s="31">
        <f t="shared" si="11"/>
        <v>657</v>
      </c>
      <c r="AF19" s="31">
        <f t="shared" si="11"/>
        <v>1227</v>
      </c>
    </row>
    <row r="20" spans="2:32" ht="23.1" customHeight="1" x14ac:dyDescent="0.25">
      <c r="B20" s="23" t="s">
        <v>47</v>
      </c>
      <c r="C20" s="50">
        <v>59</v>
      </c>
      <c r="D20" s="50">
        <v>16</v>
      </c>
      <c r="E20" s="50">
        <v>10</v>
      </c>
      <c r="F20" s="50">
        <v>25</v>
      </c>
      <c r="G20" s="50">
        <v>9</v>
      </c>
      <c r="H20" s="50">
        <v>0</v>
      </c>
      <c r="I20" s="50">
        <v>9</v>
      </c>
      <c r="J20" s="50">
        <v>6</v>
      </c>
      <c r="K20" s="50">
        <v>5</v>
      </c>
      <c r="L20" s="50">
        <v>3</v>
      </c>
      <c r="M20" s="50">
        <v>173</v>
      </c>
      <c r="N20" s="50">
        <v>0</v>
      </c>
      <c r="O20" s="15">
        <f t="shared" si="0"/>
        <v>142</v>
      </c>
      <c r="P20" s="15">
        <f t="shared" si="1"/>
        <v>315</v>
      </c>
      <c r="R20" s="1" t="s">
        <v>16</v>
      </c>
      <c r="S20" s="17">
        <f t="shared" ref="S20:AF20" si="12">SUM(C50:C53)</f>
        <v>397</v>
      </c>
      <c r="T20" s="17">
        <f t="shared" si="12"/>
        <v>65</v>
      </c>
      <c r="U20" s="17">
        <f t="shared" si="12"/>
        <v>64</v>
      </c>
      <c r="V20" s="17">
        <f t="shared" si="12"/>
        <v>98</v>
      </c>
      <c r="W20" s="17">
        <f t="shared" si="12"/>
        <v>4</v>
      </c>
      <c r="X20" s="17">
        <f t="shared" si="12"/>
        <v>1</v>
      </c>
      <c r="Y20" s="17">
        <f t="shared" si="12"/>
        <v>37</v>
      </c>
      <c r="Z20" s="17">
        <f t="shared" si="12"/>
        <v>63</v>
      </c>
      <c r="AA20" s="17">
        <f t="shared" si="12"/>
        <v>22</v>
      </c>
      <c r="AB20" s="17">
        <f t="shared" si="12"/>
        <v>28</v>
      </c>
      <c r="AC20" s="17">
        <f t="shared" si="12"/>
        <v>1002</v>
      </c>
      <c r="AD20" s="17">
        <f t="shared" si="12"/>
        <v>0</v>
      </c>
      <c r="AE20" s="31">
        <f t="shared" si="12"/>
        <v>779</v>
      </c>
      <c r="AF20" s="31">
        <f t="shared" si="12"/>
        <v>1781</v>
      </c>
    </row>
    <row r="21" spans="2:32" ht="23.1" customHeight="1" x14ac:dyDescent="0.25">
      <c r="B21" s="23" t="s">
        <v>48</v>
      </c>
      <c r="C21" s="50">
        <v>37</v>
      </c>
      <c r="D21" s="50">
        <v>15</v>
      </c>
      <c r="E21" s="50">
        <v>19</v>
      </c>
      <c r="F21" s="50">
        <v>18</v>
      </c>
      <c r="G21" s="50">
        <v>3</v>
      </c>
      <c r="H21" s="50">
        <v>0</v>
      </c>
      <c r="I21" s="50">
        <v>5</v>
      </c>
      <c r="J21" s="50">
        <v>12</v>
      </c>
      <c r="K21" s="50">
        <v>5</v>
      </c>
      <c r="L21" s="50">
        <v>1</v>
      </c>
      <c r="M21" s="50">
        <v>150</v>
      </c>
      <c r="N21" s="50">
        <v>0</v>
      </c>
      <c r="O21" s="15">
        <f t="shared" si="0"/>
        <v>115</v>
      </c>
      <c r="P21" s="15">
        <f t="shared" si="1"/>
        <v>265</v>
      </c>
      <c r="R21" s="36" t="s">
        <v>20</v>
      </c>
      <c r="S21" s="34">
        <f t="shared" ref="S21:AF21" si="13">SUM(C54:C57)</f>
        <v>378</v>
      </c>
      <c r="T21" s="17">
        <f t="shared" si="13"/>
        <v>75</v>
      </c>
      <c r="U21" s="17">
        <f t="shared" si="13"/>
        <v>52</v>
      </c>
      <c r="V21" s="17">
        <f t="shared" si="13"/>
        <v>112</v>
      </c>
      <c r="W21" s="17">
        <f t="shared" si="13"/>
        <v>4</v>
      </c>
      <c r="X21" s="17">
        <f t="shared" si="13"/>
        <v>0</v>
      </c>
      <c r="Y21" s="17">
        <f t="shared" si="13"/>
        <v>27</v>
      </c>
      <c r="Z21" s="17">
        <f t="shared" si="13"/>
        <v>52</v>
      </c>
      <c r="AA21" s="17">
        <f t="shared" si="13"/>
        <v>18</v>
      </c>
      <c r="AB21" s="17">
        <f t="shared" si="13"/>
        <v>27</v>
      </c>
      <c r="AC21" s="17">
        <f t="shared" si="13"/>
        <v>859</v>
      </c>
      <c r="AD21" s="17">
        <f t="shared" si="13"/>
        <v>0</v>
      </c>
      <c r="AE21" s="31">
        <f t="shared" si="13"/>
        <v>745</v>
      </c>
      <c r="AF21" s="31">
        <f t="shared" si="13"/>
        <v>1604</v>
      </c>
    </row>
    <row r="22" spans="2:32" ht="23.1" customHeight="1" x14ac:dyDescent="0.25">
      <c r="B22" s="23" t="s">
        <v>49</v>
      </c>
      <c r="C22" s="50">
        <v>84</v>
      </c>
      <c r="D22" s="50">
        <v>11</v>
      </c>
      <c r="E22" s="50">
        <v>17</v>
      </c>
      <c r="F22" s="50">
        <v>28</v>
      </c>
      <c r="G22" s="50">
        <v>4</v>
      </c>
      <c r="H22" s="50">
        <v>2</v>
      </c>
      <c r="I22" s="50">
        <v>12</v>
      </c>
      <c r="J22" s="50">
        <v>12</v>
      </c>
      <c r="K22" s="50">
        <v>4</v>
      </c>
      <c r="L22" s="50">
        <v>5</v>
      </c>
      <c r="M22" s="50">
        <v>219</v>
      </c>
      <c r="N22" s="50">
        <v>0</v>
      </c>
      <c r="O22" s="15">
        <f t="shared" si="0"/>
        <v>179</v>
      </c>
      <c r="P22" s="15">
        <f t="shared" si="1"/>
        <v>398</v>
      </c>
      <c r="R22" s="38" t="s">
        <v>90</v>
      </c>
      <c r="S22" s="39">
        <f>MAX(S10:S12)</f>
        <v>239</v>
      </c>
      <c r="T22" s="39">
        <f t="shared" ref="T22:AF22" si="14">MAX(T10:T12)</f>
        <v>60</v>
      </c>
      <c r="U22" s="39">
        <f t="shared" si="14"/>
        <v>58</v>
      </c>
      <c r="V22" s="39">
        <f t="shared" si="14"/>
        <v>79</v>
      </c>
      <c r="W22" s="39">
        <f t="shared" si="14"/>
        <v>15</v>
      </c>
      <c r="X22" s="39">
        <f t="shared" si="14"/>
        <v>2</v>
      </c>
      <c r="Y22" s="39">
        <f t="shared" si="14"/>
        <v>28</v>
      </c>
      <c r="Z22" s="39">
        <f t="shared" si="14"/>
        <v>36</v>
      </c>
      <c r="AA22" s="39">
        <f t="shared" si="14"/>
        <v>30</v>
      </c>
      <c r="AB22" s="39">
        <f t="shared" si="14"/>
        <v>16</v>
      </c>
      <c r="AC22" s="39">
        <f t="shared" si="14"/>
        <v>768</v>
      </c>
      <c r="AD22" s="39">
        <f t="shared" si="14"/>
        <v>1</v>
      </c>
      <c r="AE22" s="40">
        <f t="shared" si="14"/>
        <v>529</v>
      </c>
      <c r="AF22" s="40">
        <f t="shared" si="14"/>
        <v>1297</v>
      </c>
    </row>
    <row r="23" spans="2:32" ht="23.1" customHeight="1" x14ac:dyDescent="0.25">
      <c r="B23" s="23" t="s">
        <v>50</v>
      </c>
      <c r="C23" s="50">
        <v>104</v>
      </c>
      <c r="D23" s="50">
        <v>20</v>
      </c>
      <c r="E23" s="50">
        <v>21</v>
      </c>
      <c r="F23" s="50">
        <v>26</v>
      </c>
      <c r="G23" s="50">
        <v>2</v>
      </c>
      <c r="H23" s="50">
        <v>1</v>
      </c>
      <c r="I23" s="50">
        <v>12</v>
      </c>
      <c r="J23" s="50">
        <v>0</v>
      </c>
      <c r="K23" s="50">
        <v>4</v>
      </c>
      <c r="L23" s="50">
        <v>14</v>
      </c>
      <c r="M23" s="50">
        <v>273</v>
      </c>
      <c r="N23" s="50">
        <v>0</v>
      </c>
      <c r="O23" s="15">
        <f t="shared" si="0"/>
        <v>204</v>
      </c>
      <c r="P23" s="15">
        <f t="shared" si="1"/>
        <v>477</v>
      </c>
      <c r="R23" s="38" t="s">
        <v>91</v>
      </c>
      <c r="S23" s="39">
        <f>MAX(S13:S18)</f>
        <v>329</v>
      </c>
      <c r="T23" s="39">
        <f t="shared" ref="T23:AF23" si="15">MAX(T13:T18)</f>
        <v>67</v>
      </c>
      <c r="U23" s="39">
        <f t="shared" si="15"/>
        <v>63</v>
      </c>
      <c r="V23" s="39">
        <f t="shared" si="15"/>
        <v>89</v>
      </c>
      <c r="W23" s="39">
        <f t="shared" si="15"/>
        <v>24</v>
      </c>
      <c r="X23" s="39">
        <f t="shared" si="15"/>
        <v>5</v>
      </c>
      <c r="Y23" s="39">
        <f t="shared" si="15"/>
        <v>42</v>
      </c>
      <c r="Z23" s="39">
        <f t="shared" si="15"/>
        <v>60</v>
      </c>
      <c r="AA23" s="39">
        <f t="shared" si="15"/>
        <v>31</v>
      </c>
      <c r="AB23" s="39">
        <f t="shared" si="15"/>
        <v>41</v>
      </c>
      <c r="AC23" s="39">
        <f t="shared" si="15"/>
        <v>1107</v>
      </c>
      <c r="AD23" s="39">
        <f t="shared" si="15"/>
        <v>1</v>
      </c>
      <c r="AE23" s="40">
        <f t="shared" si="15"/>
        <v>732</v>
      </c>
      <c r="AF23" s="40">
        <f t="shared" si="15"/>
        <v>1839</v>
      </c>
    </row>
    <row r="24" spans="2:32" ht="23.1" customHeight="1" x14ac:dyDescent="0.25">
      <c r="B24" s="23" t="s">
        <v>51</v>
      </c>
      <c r="C24" s="50">
        <v>60</v>
      </c>
      <c r="D24" s="50">
        <v>21</v>
      </c>
      <c r="E24" s="50">
        <v>13</v>
      </c>
      <c r="F24" s="50">
        <v>13</v>
      </c>
      <c r="G24" s="50">
        <v>9</v>
      </c>
      <c r="H24" s="50">
        <v>1</v>
      </c>
      <c r="I24" s="50">
        <v>3</v>
      </c>
      <c r="J24" s="50">
        <v>34</v>
      </c>
      <c r="K24" s="50">
        <v>7</v>
      </c>
      <c r="L24" s="50">
        <v>10</v>
      </c>
      <c r="M24" s="50">
        <v>317</v>
      </c>
      <c r="N24" s="50">
        <v>0</v>
      </c>
      <c r="O24" s="15">
        <f t="shared" si="0"/>
        <v>171</v>
      </c>
      <c r="P24" s="15">
        <f t="shared" si="1"/>
        <v>488</v>
      </c>
      <c r="R24" s="38" t="s">
        <v>92</v>
      </c>
      <c r="S24" s="39">
        <f>MAX(S19:S21)</f>
        <v>397</v>
      </c>
      <c r="T24" s="39">
        <f t="shared" ref="T24:AF24" si="16">MAX(T19:T21)</f>
        <v>75</v>
      </c>
      <c r="U24" s="39">
        <f t="shared" si="16"/>
        <v>64</v>
      </c>
      <c r="V24" s="39">
        <f t="shared" si="16"/>
        <v>112</v>
      </c>
      <c r="W24" s="39">
        <f t="shared" si="16"/>
        <v>4</v>
      </c>
      <c r="X24" s="39">
        <f t="shared" si="16"/>
        <v>2</v>
      </c>
      <c r="Y24" s="39">
        <f t="shared" si="16"/>
        <v>56</v>
      </c>
      <c r="Z24" s="39">
        <f t="shared" si="16"/>
        <v>63</v>
      </c>
      <c r="AA24" s="39">
        <f t="shared" si="16"/>
        <v>24</v>
      </c>
      <c r="AB24" s="39">
        <f t="shared" si="16"/>
        <v>35</v>
      </c>
      <c r="AC24" s="39">
        <f t="shared" si="16"/>
        <v>1002</v>
      </c>
      <c r="AD24" s="39">
        <f t="shared" si="16"/>
        <v>0</v>
      </c>
      <c r="AE24" s="40">
        <f t="shared" si="16"/>
        <v>779</v>
      </c>
      <c r="AF24" s="40">
        <f t="shared" si="16"/>
        <v>1781</v>
      </c>
    </row>
    <row r="25" spans="2:32" ht="23.1" customHeight="1" x14ac:dyDescent="0.25">
      <c r="B25" s="23" t="s">
        <v>52</v>
      </c>
      <c r="C25" s="50">
        <v>81</v>
      </c>
      <c r="D25" s="50">
        <v>15</v>
      </c>
      <c r="E25" s="50">
        <v>12</v>
      </c>
      <c r="F25" s="50">
        <v>22</v>
      </c>
      <c r="G25" s="50">
        <v>2</v>
      </c>
      <c r="H25" s="50">
        <v>1</v>
      </c>
      <c r="I25" s="50">
        <v>9</v>
      </c>
      <c r="J25" s="50">
        <v>14</v>
      </c>
      <c r="K25" s="50">
        <v>10</v>
      </c>
      <c r="L25" s="50">
        <v>12</v>
      </c>
      <c r="M25" s="50">
        <v>298</v>
      </c>
      <c r="N25" s="50">
        <v>0</v>
      </c>
      <c r="O25" s="15">
        <f t="shared" si="0"/>
        <v>178</v>
      </c>
      <c r="P25" s="15">
        <f t="shared" si="1"/>
        <v>476</v>
      </c>
      <c r="R25" s="37" t="s">
        <v>85</v>
      </c>
      <c r="S25" s="35">
        <f t="shared" ref="S25:AF25" si="17">SUM(S10:S12)</f>
        <v>662</v>
      </c>
      <c r="T25" s="16">
        <f t="shared" si="17"/>
        <v>163</v>
      </c>
      <c r="U25" s="16">
        <f t="shared" si="17"/>
        <v>144</v>
      </c>
      <c r="V25" s="16">
        <f t="shared" si="17"/>
        <v>229</v>
      </c>
      <c r="W25" s="16">
        <f t="shared" si="17"/>
        <v>36</v>
      </c>
      <c r="X25" s="16">
        <f t="shared" si="17"/>
        <v>3</v>
      </c>
      <c r="Y25" s="16">
        <f t="shared" si="17"/>
        <v>75</v>
      </c>
      <c r="Z25" s="16">
        <f t="shared" si="17"/>
        <v>98</v>
      </c>
      <c r="AA25" s="16">
        <f t="shared" si="17"/>
        <v>69</v>
      </c>
      <c r="AB25" s="16">
        <f t="shared" si="17"/>
        <v>43</v>
      </c>
      <c r="AC25" s="16">
        <f t="shared" si="17"/>
        <v>2080</v>
      </c>
      <c r="AD25" s="16">
        <f t="shared" si="17"/>
        <v>1</v>
      </c>
      <c r="AE25" s="32">
        <f t="shared" si="17"/>
        <v>1523</v>
      </c>
      <c r="AF25" s="32">
        <f t="shared" si="17"/>
        <v>3603</v>
      </c>
    </row>
    <row r="26" spans="2:32" ht="23.1" customHeight="1" x14ac:dyDescent="0.25">
      <c r="B26" s="23" t="s">
        <v>53</v>
      </c>
      <c r="C26" s="50">
        <v>53</v>
      </c>
      <c r="D26" s="50">
        <v>15</v>
      </c>
      <c r="E26" s="50">
        <v>10</v>
      </c>
      <c r="F26" s="50">
        <v>18</v>
      </c>
      <c r="G26" s="50">
        <v>10</v>
      </c>
      <c r="H26" s="50">
        <v>2</v>
      </c>
      <c r="I26" s="50">
        <v>8</v>
      </c>
      <c r="J26" s="50">
        <v>8</v>
      </c>
      <c r="K26" s="50">
        <v>7</v>
      </c>
      <c r="L26" s="50">
        <v>9</v>
      </c>
      <c r="M26" s="50">
        <v>204</v>
      </c>
      <c r="N26" s="50">
        <v>0</v>
      </c>
      <c r="O26" s="15">
        <f t="shared" si="0"/>
        <v>140</v>
      </c>
      <c r="P26" s="15">
        <f t="shared" si="1"/>
        <v>344</v>
      </c>
      <c r="R26" s="28" t="s">
        <v>86</v>
      </c>
      <c r="S26" s="16">
        <f t="shared" ref="S26:AF26" si="18">SUM(S13:S18)</f>
        <v>1570</v>
      </c>
      <c r="T26" s="16">
        <f t="shared" si="18"/>
        <v>317</v>
      </c>
      <c r="U26" s="16">
        <f t="shared" si="18"/>
        <v>316</v>
      </c>
      <c r="V26" s="16">
        <f t="shared" si="18"/>
        <v>463</v>
      </c>
      <c r="W26" s="16">
        <f t="shared" si="18"/>
        <v>65</v>
      </c>
      <c r="X26" s="16">
        <f t="shared" si="18"/>
        <v>10</v>
      </c>
      <c r="Y26" s="16">
        <f t="shared" si="18"/>
        <v>201</v>
      </c>
      <c r="Z26" s="16">
        <f t="shared" si="18"/>
        <v>292</v>
      </c>
      <c r="AA26" s="16">
        <f t="shared" si="18"/>
        <v>134</v>
      </c>
      <c r="AB26" s="16">
        <f t="shared" si="18"/>
        <v>167</v>
      </c>
      <c r="AC26" s="16">
        <f t="shared" si="18"/>
        <v>3839</v>
      </c>
      <c r="AD26" s="16">
        <f t="shared" si="18"/>
        <v>2</v>
      </c>
      <c r="AE26" s="32">
        <f t="shared" si="18"/>
        <v>3537</v>
      </c>
      <c r="AF26" s="32">
        <f t="shared" si="18"/>
        <v>7376</v>
      </c>
    </row>
    <row r="27" spans="2:32" ht="23.1" customHeight="1" x14ac:dyDescent="0.25">
      <c r="B27" s="23" t="s">
        <v>54</v>
      </c>
      <c r="C27" s="50">
        <v>54</v>
      </c>
      <c r="D27" s="50">
        <v>9</v>
      </c>
      <c r="E27" s="50">
        <v>8</v>
      </c>
      <c r="F27" s="50">
        <v>17</v>
      </c>
      <c r="G27" s="50">
        <v>3</v>
      </c>
      <c r="H27" s="50">
        <v>0</v>
      </c>
      <c r="I27" s="50">
        <v>7</v>
      </c>
      <c r="J27" s="50">
        <v>14</v>
      </c>
      <c r="K27" s="50">
        <v>6</v>
      </c>
      <c r="L27" s="50">
        <v>8</v>
      </c>
      <c r="M27" s="50">
        <v>271</v>
      </c>
      <c r="N27" s="50">
        <v>0</v>
      </c>
      <c r="O27" s="15">
        <f t="shared" si="0"/>
        <v>126</v>
      </c>
      <c r="P27" s="15">
        <f t="shared" si="1"/>
        <v>397</v>
      </c>
      <c r="R27" s="29" t="s">
        <v>87</v>
      </c>
      <c r="S27" s="16">
        <f t="shared" ref="S27:AF27" si="19">SUM(S19:S21)</f>
        <v>1065</v>
      </c>
      <c r="T27" s="16">
        <f t="shared" si="19"/>
        <v>201</v>
      </c>
      <c r="U27" s="16">
        <f t="shared" si="19"/>
        <v>175</v>
      </c>
      <c r="V27" s="16">
        <f t="shared" si="19"/>
        <v>285</v>
      </c>
      <c r="W27" s="16">
        <f t="shared" si="19"/>
        <v>9</v>
      </c>
      <c r="X27" s="16">
        <f t="shared" si="19"/>
        <v>3</v>
      </c>
      <c r="Y27" s="16">
        <f t="shared" si="19"/>
        <v>120</v>
      </c>
      <c r="Z27" s="16">
        <f t="shared" si="19"/>
        <v>169</v>
      </c>
      <c r="AA27" s="16">
        <f t="shared" si="19"/>
        <v>64</v>
      </c>
      <c r="AB27" s="16">
        <f t="shared" si="19"/>
        <v>90</v>
      </c>
      <c r="AC27" s="16">
        <f t="shared" si="19"/>
        <v>2431</v>
      </c>
      <c r="AD27" s="16">
        <f t="shared" si="19"/>
        <v>0</v>
      </c>
      <c r="AE27" s="32">
        <f t="shared" si="19"/>
        <v>2181</v>
      </c>
      <c r="AF27" s="32">
        <f t="shared" si="19"/>
        <v>4612</v>
      </c>
    </row>
    <row r="28" spans="2:32" ht="23.1" customHeight="1" x14ac:dyDescent="0.25">
      <c r="B28" s="23" t="s">
        <v>55</v>
      </c>
      <c r="C28" s="50">
        <v>31</v>
      </c>
      <c r="D28" s="50">
        <v>8</v>
      </c>
      <c r="E28" s="50">
        <v>6</v>
      </c>
      <c r="F28" s="50">
        <v>11</v>
      </c>
      <c r="G28" s="50">
        <v>2</v>
      </c>
      <c r="H28" s="50">
        <v>0</v>
      </c>
      <c r="I28" s="50">
        <v>2</v>
      </c>
      <c r="J28" s="50">
        <v>2</v>
      </c>
      <c r="K28" s="50">
        <v>3</v>
      </c>
      <c r="L28" s="50">
        <v>2</v>
      </c>
      <c r="M28" s="50">
        <v>178</v>
      </c>
      <c r="N28" s="50">
        <v>0</v>
      </c>
      <c r="O28" s="15">
        <f t="shared" si="0"/>
        <v>67</v>
      </c>
      <c r="P28" s="15">
        <f t="shared" si="1"/>
        <v>245</v>
      </c>
      <c r="R28" s="5" t="s">
        <v>17</v>
      </c>
      <c r="S28" s="16">
        <f t="shared" ref="S28:AF28" si="20">SUM(S10:S21)</f>
        <v>3297</v>
      </c>
      <c r="T28" s="16">
        <f t="shared" si="20"/>
        <v>681</v>
      </c>
      <c r="U28" s="16">
        <f t="shared" si="20"/>
        <v>635</v>
      </c>
      <c r="V28" s="16">
        <f t="shared" si="20"/>
        <v>977</v>
      </c>
      <c r="W28" s="16">
        <f t="shared" si="20"/>
        <v>110</v>
      </c>
      <c r="X28" s="16">
        <f t="shared" si="20"/>
        <v>16</v>
      </c>
      <c r="Y28" s="16">
        <f t="shared" si="20"/>
        <v>396</v>
      </c>
      <c r="Z28" s="16">
        <f t="shared" si="20"/>
        <v>559</v>
      </c>
      <c r="AA28" s="16">
        <f t="shared" si="20"/>
        <v>267</v>
      </c>
      <c r="AB28" s="16">
        <f t="shared" si="20"/>
        <v>300</v>
      </c>
      <c r="AC28" s="16">
        <f t="shared" si="20"/>
        <v>8350</v>
      </c>
      <c r="AD28" s="16">
        <f t="shared" si="20"/>
        <v>3</v>
      </c>
      <c r="AE28" s="32">
        <f t="shared" si="20"/>
        <v>7241</v>
      </c>
      <c r="AF28" s="32">
        <f t="shared" si="20"/>
        <v>15591</v>
      </c>
    </row>
    <row r="29" spans="2:32" ht="23.1" customHeight="1" x14ac:dyDescent="0.25">
      <c r="B29" s="23" t="s">
        <v>56</v>
      </c>
      <c r="C29" s="50">
        <v>72</v>
      </c>
      <c r="D29" s="50">
        <v>18</v>
      </c>
      <c r="E29" s="50">
        <v>13</v>
      </c>
      <c r="F29" s="50">
        <v>26</v>
      </c>
      <c r="G29" s="50">
        <v>9</v>
      </c>
      <c r="H29" s="50">
        <v>0</v>
      </c>
      <c r="I29" s="50">
        <v>7</v>
      </c>
      <c r="J29" s="50">
        <v>12</v>
      </c>
      <c r="K29" s="50">
        <v>4</v>
      </c>
      <c r="L29" s="50">
        <v>4</v>
      </c>
      <c r="M29" s="50">
        <v>180</v>
      </c>
      <c r="N29" s="50">
        <v>0</v>
      </c>
      <c r="O29" s="15">
        <f t="shared" si="0"/>
        <v>165</v>
      </c>
      <c r="P29" s="15">
        <f t="shared" si="1"/>
        <v>345</v>
      </c>
      <c r="R29"/>
      <c r="S29" s="20"/>
      <c r="T29" s="19"/>
    </row>
    <row r="30" spans="2:32" ht="23.1" customHeight="1" x14ac:dyDescent="0.25">
      <c r="B30" s="23" t="s">
        <v>57</v>
      </c>
      <c r="C30" s="50">
        <v>80</v>
      </c>
      <c r="D30" s="50">
        <v>16</v>
      </c>
      <c r="E30" s="50">
        <v>17</v>
      </c>
      <c r="F30" s="50">
        <v>15</v>
      </c>
      <c r="G30" s="50">
        <v>4</v>
      </c>
      <c r="H30" s="50">
        <v>1</v>
      </c>
      <c r="I30" s="50">
        <v>8</v>
      </c>
      <c r="J30" s="50">
        <v>12</v>
      </c>
      <c r="K30" s="50">
        <v>4</v>
      </c>
      <c r="L30" s="50">
        <v>8</v>
      </c>
      <c r="M30" s="50">
        <v>205</v>
      </c>
      <c r="N30" s="50">
        <v>0</v>
      </c>
      <c r="O30" s="15">
        <f t="shared" si="0"/>
        <v>165</v>
      </c>
      <c r="P30" s="15">
        <f t="shared" si="1"/>
        <v>370</v>
      </c>
    </row>
    <row r="31" spans="2:32" ht="23.1" customHeight="1" x14ac:dyDescent="0.25">
      <c r="B31" s="24" t="s">
        <v>58</v>
      </c>
      <c r="C31" s="50">
        <v>69</v>
      </c>
      <c r="D31" s="50">
        <v>8</v>
      </c>
      <c r="E31" s="50">
        <v>19</v>
      </c>
      <c r="F31" s="50">
        <v>14</v>
      </c>
      <c r="G31" s="50">
        <v>1</v>
      </c>
      <c r="H31" s="50">
        <v>0</v>
      </c>
      <c r="I31" s="50">
        <v>5</v>
      </c>
      <c r="J31" s="50">
        <v>10</v>
      </c>
      <c r="K31" s="50">
        <v>8</v>
      </c>
      <c r="L31" s="50">
        <v>4</v>
      </c>
      <c r="M31" s="50">
        <v>132</v>
      </c>
      <c r="N31" s="50">
        <v>1</v>
      </c>
      <c r="O31" s="15">
        <f t="shared" si="0"/>
        <v>139</v>
      </c>
      <c r="P31" s="15">
        <f t="shared" si="1"/>
        <v>271</v>
      </c>
    </row>
    <row r="32" spans="2:32" ht="23.1" customHeight="1" x14ac:dyDescent="0.25">
      <c r="B32" s="24" t="s">
        <v>59</v>
      </c>
      <c r="C32" s="50">
        <v>68</v>
      </c>
      <c r="D32" s="50">
        <v>13</v>
      </c>
      <c r="E32" s="50">
        <v>8</v>
      </c>
      <c r="F32" s="50">
        <v>31</v>
      </c>
      <c r="G32" s="50">
        <v>9</v>
      </c>
      <c r="H32" s="50">
        <v>0</v>
      </c>
      <c r="I32" s="50">
        <v>14</v>
      </c>
      <c r="J32" s="50">
        <v>12</v>
      </c>
      <c r="K32" s="50">
        <v>4</v>
      </c>
      <c r="L32" s="50">
        <v>3</v>
      </c>
      <c r="M32" s="50">
        <v>111</v>
      </c>
      <c r="N32" s="50">
        <v>0</v>
      </c>
      <c r="O32" s="15">
        <f t="shared" si="0"/>
        <v>162</v>
      </c>
      <c r="P32" s="15">
        <f t="shared" si="1"/>
        <v>273</v>
      </c>
    </row>
    <row r="33" spans="2:20" ht="23.1" customHeight="1" x14ac:dyDescent="0.25">
      <c r="B33" s="23" t="s">
        <v>60</v>
      </c>
      <c r="C33" s="50">
        <v>80</v>
      </c>
      <c r="D33" s="50">
        <v>13</v>
      </c>
      <c r="E33" s="50">
        <v>11</v>
      </c>
      <c r="F33" s="50">
        <v>11</v>
      </c>
      <c r="G33" s="50">
        <v>3</v>
      </c>
      <c r="H33" s="50">
        <v>1</v>
      </c>
      <c r="I33" s="50">
        <v>8</v>
      </c>
      <c r="J33" s="50">
        <v>14</v>
      </c>
      <c r="K33" s="50">
        <v>6</v>
      </c>
      <c r="L33" s="50">
        <v>9</v>
      </c>
      <c r="M33" s="50">
        <v>121</v>
      </c>
      <c r="N33" s="50">
        <v>0</v>
      </c>
      <c r="O33" s="15">
        <f t="shared" si="0"/>
        <v>156</v>
      </c>
      <c r="P33" s="15">
        <f t="shared" si="1"/>
        <v>277</v>
      </c>
    </row>
    <row r="34" spans="2:20" ht="23.1" customHeight="1" x14ac:dyDescent="0.25">
      <c r="B34" s="24" t="s">
        <v>61</v>
      </c>
      <c r="C34" s="50">
        <v>84</v>
      </c>
      <c r="D34" s="50">
        <v>12</v>
      </c>
      <c r="E34" s="50">
        <v>10</v>
      </c>
      <c r="F34" s="50">
        <v>26</v>
      </c>
      <c r="G34" s="50">
        <v>1</v>
      </c>
      <c r="H34" s="50">
        <v>0</v>
      </c>
      <c r="I34" s="50">
        <v>8</v>
      </c>
      <c r="J34" s="50">
        <v>16</v>
      </c>
      <c r="K34" s="50">
        <v>0</v>
      </c>
      <c r="L34" s="50">
        <v>7</v>
      </c>
      <c r="M34" s="50">
        <v>138</v>
      </c>
      <c r="N34" s="50">
        <v>0</v>
      </c>
      <c r="O34" s="15">
        <f t="shared" si="0"/>
        <v>164</v>
      </c>
      <c r="P34" s="15">
        <f t="shared" si="1"/>
        <v>302</v>
      </c>
    </row>
    <row r="35" spans="2:20" ht="23.1" customHeight="1" x14ac:dyDescent="0.25">
      <c r="B35" s="24" t="s">
        <v>62</v>
      </c>
      <c r="C35" s="50">
        <v>68</v>
      </c>
      <c r="D35" s="50">
        <v>8</v>
      </c>
      <c r="E35" s="50">
        <v>12</v>
      </c>
      <c r="F35" s="50">
        <v>20</v>
      </c>
      <c r="G35" s="50">
        <v>0</v>
      </c>
      <c r="H35" s="50">
        <v>0</v>
      </c>
      <c r="I35" s="50">
        <v>7</v>
      </c>
      <c r="J35" s="50">
        <v>14</v>
      </c>
      <c r="K35" s="50">
        <v>3</v>
      </c>
      <c r="L35" s="50">
        <v>6</v>
      </c>
      <c r="M35" s="50">
        <v>119</v>
      </c>
      <c r="N35" s="50">
        <v>0</v>
      </c>
      <c r="O35" s="15">
        <f t="shared" si="0"/>
        <v>138</v>
      </c>
      <c r="P35" s="15">
        <f t="shared" si="1"/>
        <v>257</v>
      </c>
    </row>
    <row r="36" spans="2:20" ht="23.1" customHeight="1" x14ac:dyDescent="0.25">
      <c r="B36" s="24" t="s">
        <v>63</v>
      </c>
      <c r="C36" s="50">
        <v>66</v>
      </c>
      <c r="D36" s="50">
        <v>15</v>
      </c>
      <c r="E36" s="50">
        <v>12</v>
      </c>
      <c r="F36" s="50">
        <v>17</v>
      </c>
      <c r="G36" s="50">
        <v>1</v>
      </c>
      <c r="H36" s="50">
        <v>1</v>
      </c>
      <c r="I36" s="50">
        <v>8</v>
      </c>
      <c r="J36" s="50">
        <v>13</v>
      </c>
      <c r="K36" s="50">
        <v>6</v>
      </c>
      <c r="L36" s="50">
        <v>8</v>
      </c>
      <c r="M36" s="50">
        <v>129</v>
      </c>
      <c r="N36" s="50">
        <v>1</v>
      </c>
      <c r="O36" s="15">
        <f t="shared" si="0"/>
        <v>148</v>
      </c>
      <c r="P36" s="15">
        <f t="shared" si="1"/>
        <v>277</v>
      </c>
    </row>
    <row r="37" spans="2:20" ht="23.1" customHeight="1" x14ac:dyDescent="0.25">
      <c r="B37" s="23" t="s">
        <v>64</v>
      </c>
      <c r="C37" s="50">
        <v>65</v>
      </c>
      <c r="D37" s="50">
        <v>14</v>
      </c>
      <c r="E37" s="50">
        <v>13</v>
      </c>
      <c r="F37" s="50">
        <v>18</v>
      </c>
      <c r="G37" s="50">
        <v>0</v>
      </c>
      <c r="H37" s="50">
        <v>0</v>
      </c>
      <c r="I37" s="50">
        <v>9</v>
      </c>
      <c r="J37" s="50">
        <v>12</v>
      </c>
      <c r="K37" s="50">
        <v>8</v>
      </c>
      <c r="L37" s="50">
        <v>9</v>
      </c>
      <c r="M37" s="50">
        <v>140</v>
      </c>
      <c r="N37" s="50">
        <v>0</v>
      </c>
      <c r="O37" s="15">
        <f t="shared" si="0"/>
        <v>148</v>
      </c>
      <c r="P37" s="15">
        <f t="shared" si="1"/>
        <v>288</v>
      </c>
    </row>
    <row r="38" spans="2:20" ht="23.1" customHeight="1" x14ac:dyDescent="0.25">
      <c r="B38" s="24" t="s">
        <v>65</v>
      </c>
      <c r="C38" s="50">
        <v>53</v>
      </c>
      <c r="D38" s="50">
        <v>15</v>
      </c>
      <c r="E38" s="50">
        <v>11</v>
      </c>
      <c r="F38" s="50">
        <v>23</v>
      </c>
      <c r="G38" s="50">
        <v>0</v>
      </c>
      <c r="H38" s="50">
        <v>0</v>
      </c>
      <c r="I38" s="50">
        <v>12</v>
      </c>
      <c r="J38" s="50">
        <v>16</v>
      </c>
      <c r="K38" s="50">
        <v>8</v>
      </c>
      <c r="L38" s="50">
        <v>5</v>
      </c>
      <c r="M38" s="50">
        <v>122</v>
      </c>
      <c r="N38" s="50">
        <v>0</v>
      </c>
      <c r="O38" s="15">
        <f t="shared" si="0"/>
        <v>143</v>
      </c>
      <c r="P38" s="15">
        <f t="shared" si="1"/>
        <v>265</v>
      </c>
    </row>
    <row r="39" spans="2:20" ht="23.1" customHeight="1" x14ac:dyDescent="0.25">
      <c r="B39" s="24" t="s">
        <v>66</v>
      </c>
      <c r="C39" s="50">
        <v>46</v>
      </c>
      <c r="D39" s="50">
        <v>10</v>
      </c>
      <c r="E39" s="50">
        <v>12</v>
      </c>
      <c r="F39" s="50">
        <v>15</v>
      </c>
      <c r="G39" s="50">
        <v>1</v>
      </c>
      <c r="H39" s="50">
        <v>0</v>
      </c>
      <c r="I39" s="50">
        <v>9</v>
      </c>
      <c r="J39" s="50">
        <v>13</v>
      </c>
      <c r="K39" s="50">
        <v>11</v>
      </c>
      <c r="L39" s="50">
        <v>7</v>
      </c>
      <c r="M39" s="50">
        <v>112</v>
      </c>
      <c r="N39" s="50">
        <v>0</v>
      </c>
      <c r="O39" s="15">
        <f t="shared" si="0"/>
        <v>124</v>
      </c>
      <c r="P39" s="15">
        <f t="shared" si="1"/>
        <v>236</v>
      </c>
    </row>
    <row r="40" spans="2:20" ht="23.1" customHeight="1" x14ac:dyDescent="0.25">
      <c r="B40" s="24" t="s">
        <v>67</v>
      </c>
      <c r="C40" s="50">
        <v>56</v>
      </c>
      <c r="D40" s="50">
        <v>14</v>
      </c>
      <c r="E40" s="50">
        <v>17</v>
      </c>
      <c r="F40" s="50">
        <v>17</v>
      </c>
      <c r="G40" s="50">
        <v>0</v>
      </c>
      <c r="H40" s="50">
        <v>0</v>
      </c>
      <c r="I40" s="50">
        <v>12</v>
      </c>
      <c r="J40" s="50">
        <v>13</v>
      </c>
      <c r="K40" s="50">
        <v>3</v>
      </c>
      <c r="L40" s="50">
        <v>7</v>
      </c>
      <c r="M40" s="50">
        <v>110</v>
      </c>
      <c r="N40" s="50">
        <v>0</v>
      </c>
      <c r="O40" s="15">
        <f t="shared" si="0"/>
        <v>139</v>
      </c>
      <c r="P40" s="15">
        <f t="shared" si="1"/>
        <v>249</v>
      </c>
    </row>
    <row r="41" spans="2:20" ht="23.1" customHeight="1" x14ac:dyDescent="0.25">
      <c r="B41" s="23" t="s">
        <v>68</v>
      </c>
      <c r="C41" s="50">
        <v>60</v>
      </c>
      <c r="D41" s="50">
        <v>15</v>
      </c>
      <c r="E41" s="50">
        <v>11</v>
      </c>
      <c r="F41" s="50">
        <v>23</v>
      </c>
      <c r="G41" s="50">
        <v>0</v>
      </c>
      <c r="H41" s="50">
        <v>0</v>
      </c>
      <c r="I41" s="50">
        <v>9</v>
      </c>
      <c r="J41" s="50">
        <v>13</v>
      </c>
      <c r="K41" s="50">
        <v>9</v>
      </c>
      <c r="L41" s="50">
        <v>6</v>
      </c>
      <c r="M41" s="50">
        <v>94</v>
      </c>
      <c r="N41" s="50">
        <v>0</v>
      </c>
      <c r="O41" s="15">
        <f t="shared" si="0"/>
        <v>146</v>
      </c>
      <c r="P41" s="15">
        <f t="shared" si="1"/>
        <v>240</v>
      </c>
    </row>
    <row r="42" spans="2:20" ht="23.1" customHeight="1" x14ac:dyDescent="0.25">
      <c r="B42" s="24" t="s">
        <v>69</v>
      </c>
      <c r="C42" s="50">
        <v>49</v>
      </c>
      <c r="D42" s="50">
        <v>12</v>
      </c>
      <c r="E42" s="50">
        <v>20</v>
      </c>
      <c r="F42" s="50">
        <v>20</v>
      </c>
      <c r="G42" s="50">
        <v>1</v>
      </c>
      <c r="H42" s="50">
        <v>0</v>
      </c>
      <c r="I42" s="50">
        <v>5</v>
      </c>
      <c r="J42" s="50">
        <v>8</v>
      </c>
      <c r="K42" s="50">
        <v>6</v>
      </c>
      <c r="L42" s="50">
        <v>7</v>
      </c>
      <c r="M42" s="50">
        <v>102</v>
      </c>
      <c r="N42" s="50">
        <v>0</v>
      </c>
      <c r="O42" s="15">
        <f t="shared" si="0"/>
        <v>128</v>
      </c>
      <c r="P42" s="15">
        <f t="shared" si="1"/>
        <v>230</v>
      </c>
    </row>
    <row r="43" spans="2:20" ht="23.1" customHeight="1" x14ac:dyDescent="0.25">
      <c r="B43" s="23" t="s">
        <v>70</v>
      </c>
      <c r="C43" s="50">
        <v>62</v>
      </c>
      <c r="D43" s="50">
        <v>13</v>
      </c>
      <c r="E43" s="50">
        <v>16</v>
      </c>
      <c r="F43" s="50">
        <v>17</v>
      </c>
      <c r="G43" s="50">
        <v>1</v>
      </c>
      <c r="H43" s="50">
        <v>0</v>
      </c>
      <c r="I43" s="50">
        <v>9</v>
      </c>
      <c r="J43" s="50">
        <v>12</v>
      </c>
      <c r="K43" s="50">
        <v>2</v>
      </c>
      <c r="L43" s="50">
        <v>8</v>
      </c>
      <c r="M43" s="50">
        <v>88</v>
      </c>
      <c r="N43" s="50">
        <v>0</v>
      </c>
      <c r="O43" s="15">
        <f t="shared" si="0"/>
        <v>140</v>
      </c>
      <c r="P43" s="15">
        <f t="shared" si="1"/>
        <v>228</v>
      </c>
    </row>
    <row r="44" spans="2:20" ht="23.1" customHeight="1" x14ac:dyDescent="0.25">
      <c r="B44" s="25" t="s">
        <v>71</v>
      </c>
      <c r="C44" s="50">
        <v>77</v>
      </c>
      <c r="D44" s="50">
        <v>16</v>
      </c>
      <c r="E44" s="50">
        <v>21</v>
      </c>
      <c r="F44" s="50">
        <v>22</v>
      </c>
      <c r="G44" s="50">
        <v>1</v>
      </c>
      <c r="H44" s="50">
        <v>0</v>
      </c>
      <c r="I44" s="50">
        <v>13</v>
      </c>
      <c r="J44" s="50">
        <v>14</v>
      </c>
      <c r="K44" s="50">
        <v>7</v>
      </c>
      <c r="L44" s="50">
        <v>6</v>
      </c>
      <c r="M44" s="50">
        <v>94</v>
      </c>
      <c r="N44" s="50">
        <v>0</v>
      </c>
      <c r="O44" s="15">
        <f t="shared" si="0"/>
        <v>177</v>
      </c>
      <c r="P44" s="15">
        <f t="shared" si="1"/>
        <v>271</v>
      </c>
    </row>
    <row r="45" spans="2:20" ht="23.1" customHeight="1" x14ac:dyDescent="0.25">
      <c r="B45" s="23" t="s">
        <v>72</v>
      </c>
      <c r="C45" s="50">
        <v>48</v>
      </c>
      <c r="D45" s="50">
        <v>6</v>
      </c>
      <c r="E45" s="50">
        <v>6</v>
      </c>
      <c r="F45" s="50">
        <v>13</v>
      </c>
      <c r="G45" s="50">
        <v>1</v>
      </c>
      <c r="H45" s="50">
        <v>0</v>
      </c>
      <c r="I45" s="50">
        <v>5</v>
      </c>
      <c r="J45" s="50">
        <v>4</v>
      </c>
      <c r="K45" s="50">
        <v>4</v>
      </c>
      <c r="L45" s="50">
        <v>3</v>
      </c>
      <c r="M45" s="50">
        <v>82</v>
      </c>
      <c r="N45" s="50">
        <v>0</v>
      </c>
      <c r="O45" s="15">
        <f t="shared" si="0"/>
        <v>90</v>
      </c>
      <c r="P45" s="15">
        <f t="shared" si="1"/>
        <v>172</v>
      </c>
    </row>
    <row r="46" spans="2:20" ht="23.1" customHeight="1" x14ac:dyDescent="0.25">
      <c r="B46" s="24" t="s">
        <v>73</v>
      </c>
      <c r="C46" s="50">
        <v>58</v>
      </c>
      <c r="D46" s="50">
        <v>14</v>
      </c>
      <c r="E46" s="50">
        <v>12</v>
      </c>
      <c r="F46" s="50">
        <v>19</v>
      </c>
      <c r="G46" s="50">
        <v>1</v>
      </c>
      <c r="H46" s="50">
        <v>0</v>
      </c>
      <c r="I46" s="50">
        <v>14</v>
      </c>
      <c r="J46" s="50">
        <v>14</v>
      </c>
      <c r="K46" s="50">
        <v>7</v>
      </c>
      <c r="L46" s="50">
        <v>10</v>
      </c>
      <c r="M46" s="50">
        <v>134</v>
      </c>
      <c r="N46" s="50">
        <v>0</v>
      </c>
      <c r="O46" s="15">
        <f t="shared" si="0"/>
        <v>149</v>
      </c>
      <c r="P46" s="15">
        <f t="shared" si="1"/>
        <v>283</v>
      </c>
      <c r="R46" s="8"/>
      <c r="T46"/>
    </row>
    <row r="47" spans="2:20" ht="23.1" customHeight="1" x14ac:dyDescent="0.25">
      <c r="B47" s="24" t="s">
        <v>74</v>
      </c>
      <c r="C47" s="50">
        <v>81</v>
      </c>
      <c r="D47" s="50">
        <v>13</v>
      </c>
      <c r="E47" s="50">
        <v>17</v>
      </c>
      <c r="F47" s="50">
        <v>21</v>
      </c>
      <c r="G47" s="50">
        <v>0</v>
      </c>
      <c r="H47" s="50">
        <v>0</v>
      </c>
      <c r="I47" s="50">
        <v>12</v>
      </c>
      <c r="J47" s="50">
        <v>18</v>
      </c>
      <c r="K47" s="50">
        <v>7</v>
      </c>
      <c r="L47" s="50">
        <v>13</v>
      </c>
      <c r="M47" s="50">
        <v>154</v>
      </c>
      <c r="N47" s="50">
        <v>0</v>
      </c>
      <c r="O47" s="15">
        <f t="shared" si="0"/>
        <v>182</v>
      </c>
      <c r="P47" s="15">
        <f t="shared" si="1"/>
        <v>336</v>
      </c>
      <c r="R47" s="8"/>
      <c r="T47"/>
    </row>
    <row r="48" spans="2:20" ht="23.1" customHeight="1" x14ac:dyDescent="0.25">
      <c r="B48" s="24" t="s">
        <v>75</v>
      </c>
      <c r="C48" s="50">
        <v>72</v>
      </c>
      <c r="D48" s="50">
        <v>16</v>
      </c>
      <c r="E48" s="50">
        <v>13</v>
      </c>
      <c r="F48" s="50">
        <v>13</v>
      </c>
      <c r="G48" s="50">
        <v>0</v>
      </c>
      <c r="H48" s="50">
        <v>1</v>
      </c>
      <c r="I48" s="50">
        <v>14</v>
      </c>
      <c r="J48" s="50">
        <v>14</v>
      </c>
      <c r="K48" s="50">
        <v>5</v>
      </c>
      <c r="L48" s="50">
        <v>7</v>
      </c>
      <c r="M48" s="50">
        <v>115</v>
      </c>
      <c r="N48" s="50">
        <v>0</v>
      </c>
      <c r="O48" s="15">
        <f t="shared" si="0"/>
        <v>155</v>
      </c>
      <c r="P48" s="15">
        <f t="shared" si="1"/>
        <v>270</v>
      </c>
      <c r="R48" s="8"/>
      <c r="T48"/>
    </row>
    <row r="49" spans="2:20" ht="23.1" customHeight="1" x14ac:dyDescent="0.25">
      <c r="B49" s="23" t="s">
        <v>76</v>
      </c>
      <c r="C49" s="50">
        <v>79</v>
      </c>
      <c r="D49" s="50">
        <v>18</v>
      </c>
      <c r="E49" s="50">
        <v>17</v>
      </c>
      <c r="F49" s="50">
        <v>22</v>
      </c>
      <c r="G49" s="50">
        <v>0</v>
      </c>
      <c r="H49" s="50">
        <v>1</v>
      </c>
      <c r="I49" s="50">
        <v>16</v>
      </c>
      <c r="J49" s="50">
        <v>8</v>
      </c>
      <c r="K49" s="50">
        <v>5</v>
      </c>
      <c r="L49" s="50">
        <v>5</v>
      </c>
      <c r="M49" s="50">
        <v>167</v>
      </c>
      <c r="N49" s="50">
        <v>0</v>
      </c>
      <c r="O49" s="15">
        <f t="shared" si="0"/>
        <v>171</v>
      </c>
      <c r="P49" s="15">
        <f t="shared" si="1"/>
        <v>338</v>
      </c>
      <c r="R49" s="8"/>
      <c r="T49"/>
    </row>
    <row r="50" spans="2:20" ht="23.1" customHeight="1" x14ac:dyDescent="0.25">
      <c r="B50" s="24" t="s">
        <v>77</v>
      </c>
      <c r="C50" s="50">
        <v>104</v>
      </c>
      <c r="D50" s="50">
        <v>17</v>
      </c>
      <c r="E50" s="50">
        <v>18</v>
      </c>
      <c r="F50" s="50">
        <v>16</v>
      </c>
      <c r="G50" s="50">
        <v>1</v>
      </c>
      <c r="H50" s="50">
        <v>0</v>
      </c>
      <c r="I50" s="50">
        <v>14</v>
      </c>
      <c r="J50" s="50">
        <v>11</v>
      </c>
      <c r="K50" s="50">
        <v>4</v>
      </c>
      <c r="L50" s="50">
        <v>9</v>
      </c>
      <c r="M50" s="50">
        <v>201</v>
      </c>
      <c r="N50" s="50">
        <v>0</v>
      </c>
      <c r="O50" s="15">
        <f t="shared" si="0"/>
        <v>194</v>
      </c>
      <c r="P50" s="15">
        <f t="shared" si="1"/>
        <v>395</v>
      </c>
      <c r="R50" s="8"/>
      <c r="T50"/>
    </row>
    <row r="51" spans="2:20" ht="23.1" customHeight="1" x14ac:dyDescent="0.25">
      <c r="B51" s="24" t="s">
        <v>78</v>
      </c>
      <c r="C51" s="50">
        <v>97</v>
      </c>
      <c r="D51" s="50">
        <v>24</v>
      </c>
      <c r="E51" s="50">
        <v>15</v>
      </c>
      <c r="F51" s="50">
        <v>26</v>
      </c>
      <c r="G51" s="50">
        <v>1</v>
      </c>
      <c r="H51" s="50">
        <v>1</v>
      </c>
      <c r="I51" s="50">
        <v>5</v>
      </c>
      <c r="J51" s="50">
        <v>13</v>
      </c>
      <c r="K51" s="50">
        <v>6</v>
      </c>
      <c r="L51" s="50">
        <v>9</v>
      </c>
      <c r="M51" s="50">
        <v>262</v>
      </c>
      <c r="N51" s="50">
        <v>0</v>
      </c>
      <c r="O51" s="15">
        <f t="shared" si="0"/>
        <v>197</v>
      </c>
      <c r="P51" s="15">
        <f t="shared" si="1"/>
        <v>459</v>
      </c>
      <c r="R51" s="8"/>
      <c r="T51"/>
    </row>
    <row r="52" spans="2:20" ht="23.1" customHeight="1" x14ac:dyDescent="0.25">
      <c r="B52" s="24" t="s">
        <v>79</v>
      </c>
      <c r="C52" s="50">
        <v>89</v>
      </c>
      <c r="D52" s="50">
        <v>10</v>
      </c>
      <c r="E52" s="50">
        <v>13</v>
      </c>
      <c r="F52" s="50">
        <v>31</v>
      </c>
      <c r="G52" s="50">
        <v>1</v>
      </c>
      <c r="H52" s="50">
        <v>0</v>
      </c>
      <c r="I52" s="50">
        <v>15</v>
      </c>
      <c r="J52" s="50">
        <v>18</v>
      </c>
      <c r="K52" s="50">
        <v>5</v>
      </c>
      <c r="L52" s="50">
        <v>6</v>
      </c>
      <c r="M52" s="50">
        <v>264</v>
      </c>
      <c r="N52" s="50">
        <v>0</v>
      </c>
      <c r="O52" s="15">
        <f t="shared" si="0"/>
        <v>188</v>
      </c>
      <c r="P52" s="15">
        <f t="shared" si="1"/>
        <v>452</v>
      </c>
      <c r="R52" s="8"/>
      <c r="T52"/>
    </row>
    <row r="53" spans="2:20" ht="23.1" customHeight="1" x14ac:dyDescent="0.25">
      <c r="B53" s="23" t="s">
        <v>80</v>
      </c>
      <c r="C53" s="50">
        <v>107</v>
      </c>
      <c r="D53" s="50">
        <v>14</v>
      </c>
      <c r="E53" s="50">
        <v>18</v>
      </c>
      <c r="F53" s="50">
        <v>25</v>
      </c>
      <c r="G53" s="50">
        <v>1</v>
      </c>
      <c r="H53" s="50">
        <v>0</v>
      </c>
      <c r="I53" s="50">
        <v>3</v>
      </c>
      <c r="J53" s="50">
        <v>21</v>
      </c>
      <c r="K53" s="50">
        <v>7</v>
      </c>
      <c r="L53" s="50">
        <v>4</v>
      </c>
      <c r="M53" s="50">
        <v>275</v>
      </c>
      <c r="N53" s="50">
        <v>0</v>
      </c>
      <c r="O53" s="15">
        <f t="shared" si="0"/>
        <v>200</v>
      </c>
      <c r="P53" s="15">
        <f t="shared" si="1"/>
        <v>475</v>
      </c>
      <c r="R53" s="8"/>
      <c r="T53"/>
    </row>
    <row r="54" spans="2:20" ht="23.1" customHeight="1" x14ac:dyDescent="0.25">
      <c r="B54" s="23" t="s">
        <v>81</v>
      </c>
      <c r="C54" s="50">
        <v>108</v>
      </c>
      <c r="D54" s="50">
        <v>23</v>
      </c>
      <c r="E54" s="50">
        <v>14</v>
      </c>
      <c r="F54" s="50">
        <v>32</v>
      </c>
      <c r="G54" s="50">
        <v>2</v>
      </c>
      <c r="H54" s="50">
        <v>0</v>
      </c>
      <c r="I54" s="50">
        <v>11</v>
      </c>
      <c r="J54" s="50">
        <v>7</v>
      </c>
      <c r="K54" s="50">
        <v>7</v>
      </c>
      <c r="L54" s="50">
        <v>2</v>
      </c>
      <c r="M54" s="50">
        <v>302</v>
      </c>
      <c r="N54" s="50">
        <v>0</v>
      </c>
      <c r="O54" s="15">
        <f t="shared" si="0"/>
        <v>206</v>
      </c>
      <c r="P54" s="15">
        <f t="shared" si="1"/>
        <v>508</v>
      </c>
      <c r="R54" s="8"/>
      <c r="T54"/>
    </row>
    <row r="55" spans="2:20" ht="23.1" customHeight="1" x14ac:dyDescent="0.25">
      <c r="B55" s="23" t="s">
        <v>82</v>
      </c>
      <c r="C55" s="50">
        <v>103</v>
      </c>
      <c r="D55" s="50">
        <v>21</v>
      </c>
      <c r="E55" s="50">
        <v>9</v>
      </c>
      <c r="F55" s="50">
        <v>33</v>
      </c>
      <c r="G55" s="50">
        <v>2</v>
      </c>
      <c r="H55" s="50">
        <v>0</v>
      </c>
      <c r="I55" s="50">
        <v>4</v>
      </c>
      <c r="J55" s="50">
        <v>16</v>
      </c>
      <c r="K55" s="50">
        <v>4</v>
      </c>
      <c r="L55" s="50">
        <v>10</v>
      </c>
      <c r="M55" s="50">
        <v>213</v>
      </c>
      <c r="N55" s="50">
        <v>0</v>
      </c>
      <c r="O55" s="15">
        <f t="shared" si="0"/>
        <v>202</v>
      </c>
      <c r="P55" s="15">
        <f t="shared" si="1"/>
        <v>415</v>
      </c>
      <c r="R55" s="8"/>
      <c r="T55"/>
    </row>
    <row r="56" spans="2:20" ht="23.1" customHeight="1" x14ac:dyDescent="0.25">
      <c r="B56" s="23" t="s">
        <v>83</v>
      </c>
      <c r="C56" s="50">
        <v>84</v>
      </c>
      <c r="D56" s="50">
        <v>14</v>
      </c>
      <c r="E56" s="50">
        <v>18</v>
      </c>
      <c r="F56" s="50">
        <v>22</v>
      </c>
      <c r="G56" s="50">
        <v>0</v>
      </c>
      <c r="H56" s="50">
        <v>0</v>
      </c>
      <c r="I56" s="50">
        <v>6</v>
      </c>
      <c r="J56" s="50">
        <v>14</v>
      </c>
      <c r="K56" s="50">
        <v>4</v>
      </c>
      <c r="L56" s="50">
        <v>11</v>
      </c>
      <c r="M56" s="50">
        <v>156</v>
      </c>
      <c r="N56" s="50">
        <v>0</v>
      </c>
      <c r="O56" s="15">
        <f t="shared" si="0"/>
        <v>173</v>
      </c>
      <c r="P56" s="15">
        <f t="shared" si="1"/>
        <v>329</v>
      </c>
      <c r="R56" s="8"/>
      <c r="T56"/>
    </row>
    <row r="57" spans="2:20" ht="23.1" customHeight="1" x14ac:dyDescent="0.25">
      <c r="B57" s="23" t="s">
        <v>84</v>
      </c>
      <c r="C57" s="50">
        <v>83</v>
      </c>
      <c r="D57" s="50">
        <v>17</v>
      </c>
      <c r="E57" s="50">
        <v>11</v>
      </c>
      <c r="F57" s="50">
        <v>25</v>
      </c>
      <c r="G57" s="50">
        <v>0</v>
      </c>
      <c r="H57" s="50">
        <v>0</v>
      </c>
      <c r="I57" s="50">
        <v>6</v>
      </c>
      <c r="J57" s="50">
        <v>15</v>
      </c>
      <c r="K57" s="50">
        <v>3</v>
      </c>
      <c r="L57" s="50">
        <v>4</v>
      </c>
      <c r="M57" s="50">
        <v>188</v>
      </c>
      <c r="N57" s="50">
        <v>0</v>
      </c>
      <c r="O57" s="15">
        <f t="shared" si="0"/>
        <v>164</v>
      </c>
      <c r="P57" s="15">
        <f t="shared" si="1"/>
        <v>352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3297</v>
      </c>
      <c r="D58" s="16">
        <f t="shared" si="21"/>
        <v>681</v>
      </c>
      <c r="E58" s="16">
        <f t="shared" si="21"/>
        <v>635</v>
      </c>
      <c r="F58" s="16">
        <f t="shared" si="21"/>
        <v>977</v>
      </c>
      <c r="G58" s="16">
        <f t="shared" si="21"/>
        <v>110</v>
      </c>
      <c r="H58" s="16">
        <f t="shared" si="21"/>
        <v>16</v>
      </c>
      <c r="I58" s="16">
        <f t="shared" si="21"/>
        <v>396</v>
      </c>
      <c r="J58" s="16">
        <f t="shared" si="21"/>
        <v>559</v>
      </c>
      <c r="K58" s="16">
        <f t="shared" si="21"/>
        <v>267</v>
      </c>
      <c r="L58" s="16">
        <f t="shared" si="21"/>
        <v>300</v>
      </c>
      <c r="M58" s="16">
        <f t="shared" si="21"/>
        <v>8350</v>
      </c>
      <c r="N58" s="16">
        <f t="shared" si="21"/>
        <v>3</v>
      </c>
      <c r="O58" s="16">
        <f t="shared" si="21"/>
        <v>7241</v>
      </c>
      <c r="P58" s="16">
        <f t="shared" si="21"/>
        <v>15591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0.21146815470463728</v>
      </c>
      <c r="D59" s="43">
        <f t="shared" si="22"/>
        <v>4.3679045603232637E-2</v>
      </c>
      <c r="E59" s="43">
        <f t="shared" si="22"/>
        <v>4.0728625489064203E-2</v>
      </c>
      <c r="F59" s="43">
        <f t="shared" si="22"/>
        <v>6.2664357642229496E-2</v>
      </c>
      <c r="G59" s="43">
        <f t="shared" si="22"/>
        <v>7.0553524469245078E-3</v>
      </c>
      <c r="H59" s="43">
        <f t="shared" si="22"/>
        <v>1.0262330831890194E-3</v>
      </c>
      <c r="I59" s="43">
        <f t="shared" si="22"/>
        <v>2.5399268808928229E-2</v>
      </c>
      <c r="J59" s="43">
        <f t="shared" si="22"/>
        <v>3.5854018343916362E-2</v>
      </c>
      <c r="K59" s="43">
        <f t="shared" si="22"/>
        <v>1.712526457571676E-2</v>
      </c>
      <c r="L59" s="43">
        <f t="shared" si="22"/>
        <v>1.9241870309794112E-2</v>
      </c>
      <c r="M59" s="43">
        <f t="shared" si="22"/>
        <v>0.53556539028926942</v>
      </c>
      <c r="N59" s="43">
        <f t="shared" si="22"/>
        <v>1.9241870309794111E-4</v>
      </c>
      <c r="R59" s="8"/>
      <c r="T59"/>
    </row>
    <row r="60" spans="2:20" ht="23.1" customHeight="1" x14ac:dyDescent="0.25">
      <c r="B60" s="42" t="s">
        <v>94</v>
      </c>
      <c r="C60" s="44">
        <f>C58/$O$58</f>
        <v>0.4553238502969203</v>
      </c>
      <c r="D60" s="44">
        <f t="shared" ref="D60:N60" si="23">D58/$O$58</f>
        <v>9.4047783455323844E-2</v>
      </c>
      <c r="E60" s="44">
        <f t="shared" si="23"/>
        <v>8.7695069741748372E-2</v>
      </c>
      <c r="F60" s="44">
        <f t="shared" si="23"/>
        <v>0.13492611517746167</v>
      </c>
      <c r="G60" s="44">
        <f t="shared" si="23"/>
        <v>1.5191271923767435E-2</v>
      </c>
      <c r="H60" s="44">
        <f t="shared" si="23"/>
        <v>2.2096395525479907E-3</v>
      </c>
      <c r="I60" s="44">
        <f t="shared" si="23"/>
        <v>5.4688578925562767E-2</v>
      </c>
      <c r="J60" s="44">
        <f t="shared" si="23"/>
        <v>7.719928186714542E-2</v>
      </c>
      <c r="K60" s="44">
        <f t="shared" si="23"/>
        <v>3.6873360033144592E-2</v>
      </c>
      <c r="L60" s="44">
        <f t="shared" si="23"/>
        <v>4.1430741610274824E-2</v>
      </c>
      <c r="M60" s="44"/>
      <c r="N60" s="44">
        <f t="shared" si="23"/>
        <v>4.1430741610274822E-4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N27" sqref="N2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Lubigi-Masanafu'!D5</f>
        <v>25.07.19</v>
      </c>
      <c r="E5" s="3"/>
      <c r="F5" s="41" t="s">
        <v>1</v>
      </c>
      <c r="G5" s="67" t="str">
        <f>'25.07 Lubigi-Masanafu'!G5:H5</f>
        <v>Northern Bypass</v>
      </c>
      <c r="H5" s="68"/>
      <c r="I5" s="14"/>
      <c r="J5" s="2" t="s">
        <v>5</v>
      </c>
      <c r="K5" s="67" t="s">
        <v>180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Masanafu-Lubigi'!D6:E6</f>
        <v>Masanafu</v>
      </c>
      <c r="E6" s="68"/>
      <c r="F6" s="2" t="s">
        <v>2</v>
      </c>
      <c r="G6" s="67" t="str">
        <f>'22.07 Masanafu-Lubigi'!G6:H6</f>
        <v>Lubigi</v>
      </c>
      <c r="H6" s="68"/>
      <c r="J6" s="2" t="s">
        <v>21</v>
      </c>
      <c r="K6" s="67" t="str">
        <f>'25.07 Lubigi-Masanafu'!K6:L6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30</v>
      </c>
      <c r="D10" s="50">
        <v>3</v>
      </c>
      <c r="E10" s="50">
        <v>2</v>
      </c>
      <c r="F10" s="50">
        <v>16</v>
      </c>
      <c r="G10" s="50">
        <v>2</v>
      </c>
      <c r="H10" s="50">
        <v>0</v>
      </c>
      <c r="I10" s="50">
        <v>11</v>
      </c>
      <c r="J10" s="50">
        <v>2</v>
      </c>
      <c r="K10" s="50">
        <v>3</v>
      </c>
      <c r="L10" s="50">
        <v>1</v>
      </c>
      <c r="M10" s="50">
        <v>64</v>
      </c>
      <c r="N10" s="50">
        <v>0</v>
      </c>
      <c r="O10" s="15">
        <f t="shared" ref="O10:O57" si="0">SUM(C10:L10,N10)</f>
        <v>70</v>
      </c>
      <c r="P10" s="15">
        <f t="shared" ref="P10:P57" si="1">SUM(C10:N10)</f>
        <v>134</v>
      </c>
      <c r="R10" s="1" t="s">
        <v>6</v>
      </c>
      <c r="S10" s="17">
        <f t="shared" ref="S10:AF10" si="2">SUM(C10:C13)</f>
        <v>177</v>
      </c>
      <c r="T10" s="17">
        <f t="shared" si="2"/>
        <v>21</v>
      </c>
      <c r="U10" s="17">
        <f t="shared" si="2"/>
        <v>21</v>
      </c>
      <c r="V10" s="17">
        <f t="shared" si="2"/>
        <v>55</v>
      </c>
      <c r="W10" s="17">
        <f t="shared" si="2"/>
        <v>4</v>
      </c>
      <c r="X10" s="17">
        <f t="shared" si="2"/>
        <v>0</v>
      </c>
      <c r="Y10" s="17">
        <f t="shared" si="2"/>
        <v>33</v>
      </c>
      <c r="Z10" s="17">
        <f t="shared" si="2"/>
        <v>24</v>
      </c>
      <c r="AA10" s="17">
        <f t="shared" si="2"/>
        <v>16</v>
      </c>
      <c r="AB10" s="17">
        <f t="shared" si="2"/>
        <v>9</v>
      </c>
      <c r="AC10" s="17">
        <f t="shared" si="2"/>
        <v>596</v>
      </c>
      <c r="AD10" s="17">
        <f t="shared" si="2"/>
        <v>0</v>
      </c>
      <c r="AE10" s="31">
        <f t="shared" si="2"/>
        <v>360</v>
      </c>
      <c r="AF10" s="31">
        <f t="shared" si="2"/>
        <v>956</v>
      </c>
    </row>
    <row r="11" spans="2:32" s="6" customFormat="1" ht="23.1" customHeight="1" x14ac:dyDescent="0.25">
      <c r="B11" s="23" t="s">
        <v>38</v>
      </c>
      <c r="C11" s="50">
        <v>63</v>
      </c>
      <c r="D11" s="50">
        <v>7</v>
      </c>
      <c r="E11" s="50">
        <v>6</v>
      </c>
      <c r="F11" s="50">
        <v>17</v>
      </c>
      <c r="G11" s="50">
        <v>1</v>
      </c>
      <c r="H11" s="50">
        <v>0</v>
      </c>
      <c r="I11" s="50">
        <v>7</v>
      </c>
      <c r="J11" s="50">
        <v>10</v>
      </c>
      <c r="K11" s="50">
        <v>5</v>
      </c>
      <c r="L11" s="50">
        <v>6</v>
      </c>
      <c r="M11" s="50">
        <v>150</v>
      </c>
      <c r="N11" s="50">
        <v>0</v>
      </c>
      <c r="O11" s="15">
        <f t="shared" si="0"/>
        <v>122</v>
      </c>
      <c r="P11" s="15">
        <f t="shared" si="1"/>
        <v>272</v>
      </c>
      <c r="R11" s="1" t="s">
        <v>7</v>
      </c>
      <c r="S11" s="17">
        <f t="shared" ref="S11:AF11" si="3">SUM(C14:C17)</f>
        <v>283</v>
      </c>
      <c r="T11" s="17">
        <f t="shared" si="3"/>
        <v>27</v>
      </c>
      <c r="U11" s="17">
        <f t="shared" si="3"/>
        <v>44</v>
      </c>
      <c r="V11" s="17">
        <f t="shared" si="3"/>
        <v>53</v>
      </c>
      <c r="W11" s="17">
        <f t="shared" si="3"/>
        <v>9</v>
      </c>
      <c r="X11" s="17">
        <f t="shared" si="3"/>
        <v>4</v>
      </c>
      <c r="Y11" s="17">
        <f t="shared" si="3"/>
        <v>89</v>
      </c>
      <c r="Z11" s="17">
        <f t="shared" si="3"/>
        <v>15</v>
      </c>
      <c r="AA11" s="17">
        <f t="shared" si="3"/>
        <v>30</v>
      </c>
      <c r="AB11" s="17">
        <f t="shared" si="3"/>
        <v>18</v>
      </c>
      <c r="AC11" s="17">
        <f t="shared" si="3"/>
        <v>938</v>
      </c>
      <c r="AD11" s="17">
        <f t="shared" si="3"/>
        <v>0</v>
      </c>
      <c r="AE11" s="31">
        <f t="shared" si="3"/>
        <v>572</v>
      </c>
      <c r="AF11" s="31">
        <f t="shared" si="3"/>
        <v>1510</v>
      </c>
    </row>
    <row r="12" spans="2:32" ht="23.1" customHeight="1" x14ac:dyDescent="0.25">
      <c r="B12" s="23" t="s">
        <v>39</v>
      </c>
      <c r="C12" s="50">
        <v>43</v>
      </c>
      <c r="D12" s="50">
        <v>4</v>
      </c>
      <c r="E12" s="50">
        <v>4</v>
      </c>
      <c r="F12" s="50">
        <v>8</v>
      </c>
      <c r="G12" s="50">
        <v>1</v>
      </c>
      <c r="H12" s="50">
        <v>0</v>
      </c>
      <c r="I12" s="50">
        <v>4</v>
      </c>
      <c r="J12" s="50">
        <v>7</v>
      </c>
      <c r="K12" s="50">
        <v>3</v>
      </c>
      <c r="L12" s="50">
        <v>0</v>
      </c>
      <c r="M12" s="50">
        <v>192</v>
      </c>
      <c r="N12" s="50">
        <v>0</v>
      </c>
      <c r="O12" s="15">
        <f t="shared" si="0"/>
        <v>74</v>
      </c>
      <c r="P12" s="15">
        <f t="shared" si="1"/>
        <v>266</v>
      </c>
      <c r="R12" s="1" t="s">
        <v>8</v>
      </c>
      <c r="S12" s="17">
        <f t="shared" ref="S12:AF12" si="4">SUM(C18:C21)</f>
        <v>232</v>
      </c>
      <c r="T12" s="17">
        <f t="shared" si="4"/>
        <v>43</v>
      </c>
      <c r="U12" s="17">
        <f t="shared" si="4"/>
        <v>30</v>
      </c>
      <c r="V12" s="17">
        <f t="shared" si="4"/>
        <v>65</v>
      </c>
      <c r="W12" s="17">
        <f t="shared" si="4"/>
        <v>6</v>
      </c>
      <c r="X12" s="17">
        <f t="shared" si="4"/>
        <v>0</v>
      </c>
      <c r="Y12" s="17">
        <f t="shared" si="4"/>
        <v>50</v>
      </c>
      <c r="Z12" s="17">
        <f t="shared" si="4"/>
        <v>19</v>
      </c>
      <c r="AA12" s="17">
        <f t="shared" si="4"/>
        <v>37</v>
      </c>
      <c r="AB12" s="17">
        <f t="shared" si="4"/>
        <v>11</v>
      </c>
      <c r="AC12" s="17">
        <f t="shared" si="4"/>
        <v>762</v>
      </c>
      <c r="AD12" s="17">
        <f t="shared" si="4"/>
        <v>0</v>
      </c>
      <c r="AE12" s="31">
        <f t="shared" si="4"/>
        <v>493</v>
      </c>
      <c r="AF12" s="31">
        <f t="shared" si="4"/>
        <v>1255</v>
      </c>
    </row>
    <row r="13" spans="2:32" ht="23.1" customHeight="1" x14ac:dyDescent="0.25">
      <c r="B13" s="23" t="s">
        <v>40</v>
      </c>
      <c r="C13" s="50">
        <v>41</v>
      </c>
      <c r="D13" s="50">
        <v>7</v>
      </c>
      <c r="E13" s="50">
        <v>9</v>
      </c>
      <c r="F13" s="50">
        <v>14</v>
      </c>
      <c r="G13" s="50">
        <v>0</v>
      </c>
      <c r="H13" s="50">
        <v>0</v>
      </c>
      <c r="I13" s="50">
        <v>11</v>
      </c>
      <c r="J13" s="50">
        <v>5</v>
      </c>
      <c r="K13" s="50">
        <v>5</v>
      </c>
      <c r="L13" s="50">
        <v>2</v>
      </c>
      <c r="M13" s="50">
        <v>190</v>
      </c>
      <c r="N13" s="50">
        <v>0</v>
      </c>
      <c r="O13" s="15">
        <f t="shared" si="0"/>
        <v>94</v>
      </c>
      <c r="P13" s="15">
        <f t="shared" si="1"/>
        <v>284</v>
      </c>
      <c r="R13" s="1" t="s">
        <v>9</v>
      </c>
      <c r="S13" s="17">
        <f t="shared" ref="S13:AF13" si="5">SUM(C22:C25)</f>
        <v>121</v>
      </c>
      <c r="T13" s="17">
        <f t="shared" si="5"/>
        <v>22</v>
      </c>
      <c r="U13" s="17">
        <f t="shared" si="5"/>
        <v>19</v>
      </c>
      <c r="V13" s="17">
        <f t="shared" si="5"/>
        <v>44</v>
      </c>
      <c r="W13" s="17">
        <f t="shared" si="5"/>
        <v>6</v>
      </c>
      <c r="X13" s="17">
        <f t="shared" si="5"/>
        <v>0</v>
      </c>
      <c r="Y13" s="17">
        <f t="shared" si="5"/>
        <v>34</v>
      </c>
      <c r="Z13" s="17">
        <f t="shared" si="5"/>
        <v>11</v>
      </c>
      <c r="AA13" s="17">
        <f t="shared" si="5"/>
        <v>19</v>
      </c>
      <c r="AB13" s="17">
        <f t="shared" si="5"/>
        <v>9</v>
      </c>
      <c r="AC13" s="17">
        <f t="shared" si="5"/>
        <v>773</v>
      </c>
      <c r="AD13" s="17">
        <f t="shared" si="5"/>
        <v>0</v>
      </c>
      <c r="AE13" s="31">
        <f t="shared" si="5"/>
        <v>285</v>
      </c>
      <c r="AF13" s="31">
        <f t="shared" si="5"/>
        <v>1058</v>
      </c>
    </row>
    <row r="14" spans="2:32" ht="23.1" customHeight="1" x14ac:dyDescent="0.25">
      <c r="B14" s="23" t="s">
        <v>41</v>
      </c>
      <c r="C14" s="50">
        <v>80</v>
      </c>
      <c r="D14" s="50">
        <v>10</v>
      </c>
      <c r="E14" s="50">
        <v>6</v>
      </c>
      <c r="F14" s="50">
        <v>15</v>
      </c>
      <c r="G14" s="50">
        <v>0</v>
      </c>
      <c r="H14" s="50">
        <v>0</v>
      </c>
      <c r="I14" s="50">
        <v>25</v>
      </c>
      <c r="J14" s="50">
        <v>4</v>
      </c>
      <c r="K14" s="50">
        <v>5</v>
      </c>
      <c r="L14" s="50">
        <v>3</v>
      </c>
      <c r="M14" s="50">
        <v>255</v>
      </c>
      <c r="N14" s="50">
        <v>0</v>
      </c>
      <c r="O14" s="15">
        <f t="shared" si="0"/>
        <v>148</v>
      </c>
      <c r="P14" s="15">
        <f t="shared" si="1"/>
        <v>403</v>
      </c>
      <c r="R14" s="1" t="s">
        <v>10</v>
      </c>
      <c r="S14" s="17">
        <f t="shared" ref="S14:AF14" si="6">SUM(C26:C29)</f>
        <v>304</v>
      </c>
      <c r="T14" s="17">
        <f t="shared" si="6"/>
        <v>65</v>
      </c>
      <c r="U14" s="17">
        <f t="shared" si="6"/>
        <v>41</v>
      </c>
      <c r="V14" s="17">
        <f t="shared" si="6"/>
        <v>167</v>
      </c>
      <c r="W14" s="17">
        <f t="shared" si="6"/>
        <v>3</v>
      </c>
      <c r="X14" s="17">
        <f t="shared" si="6"/>
        <v>2</v>
      </c>
      <c r="Y14" s="17">
        <f t="shared" si="6"/>
        <v>66</v>
      </c>
      <c r="Z14" s="17">
        <f t="shared" si="6"/>
        <v>34</v>
      </c>
      <c r="AA14" s="17">
        <f t="shared" si="6"/>
        <v>44</v>
      </c>
      <c r="AB14" s="17">
        <f t="shared" si="6"/>
        <v>43</v>
      </c>
      <c r="AC14" s="17">
        <f t="shared" si="6"/>
        <v>799</v>
      </c>
      <c r="AD14" s="17">
        <f t="shared" si="6"/>
        <v>0</v>
      </c>
      <c r="AE14" s="31">
        <f t="shared" si="6"/>
        <v>769</v>
      </c>
      <c r="AF14" s="31">
        <f t="shared" si="6"/>
        <v>1568</v>
      </c>
    </row>
    <row r="15" spans="2:32" ht="23.1" customHeight="1" x14ac:dyDescent="0.25">
      <c r="B15" s="23" t="s">
        <v>42</v>
      </c>
      <c r="C15" s="50">
        <v>50</v>
      </c>
      <c r="D15" s="50">
        <v>1</v>
      </c>
      <c r="E15" s="50">
        <v>15</v>
      </c>
      <c r="F15" s="50">
        <v>10</v>
      </c>
      <c r="G15" s="50">
        <v>3</v>
      </c>
      <c r="H15" s="50">
        <v>2</v>
      </c>
      <c r="I15" s="50">
        <v>17</v>
      </c>
      <c r="J15" s="50">
        <v>0</v>
      </c>
      <c r="K15" s="50">
        <v>9</v>
      </c>
      <c r="L15" s="50">
        <v>8</v>
      </c>
      <c r="M15" s="50">
        <v>290</v>
      </c>
      <c r="N15" s="50">
        <v>0</v>
      </c>
      <c r="O15" s="15">
        <f t="shared" si="0"/>
        <v>115</v>
      </c>
      <c r="P15" s="15">
        <f t="shared" si="1"/>
        <v>405</v>
      </c>
      <c r="R15" s="1" t="s">
        <v>11</v>
      </c>
      <c r="S15" s="17">
        <f t="shared" ref="S15:AF15" si="7">SUM(C30:C33)</f>
        <v>313</v>
      </c>
      <c r="T15" s="17">
        <f t="shared" si="7"/>
        <v>56</v>
      </c>
      <c r="U15" s="17">
        <f t="shared" si="7"/>
        <v>49</v>
      </c>
      <c r="V15" s="17">
        <f t="shared" si="7"/>
        <v>77</v>
      </c>
      <c r="W15" s="17">
        <f t="shared" si="7"/>
        <v>1</v>
      </c>
      <c r="X15" s="17">
        <f t="shared" si="7"/>
        <v>0</v>
      </c>
      <c r="Y15" s="17">
        <f t="shared" si="7"/>
        <v>75</v>
      </c>
      <c r="Z15" s="17">
        <f t="shared" si="7"/>
        <v>25</v>
      </c>
      <c r="AA15" s="17">
        <f t="shared" si="7"/>
        <v>27</v>
      </c>
      <c r="AB15" s="17">
        <f t="shared" si="7"/>
        <v>22</v>
      </c>
      <c r="AC15" s="17">
        <f t="shared" si="7"/>
        <v>1011</v>
      </c>
      <c r="AD15" s="17">
        <f t="shared" si="7"/>
        <v>0</v>
      </c>
      <c r="AE15" s="31">
        <f t="shared" si="7"/>
        <v>645</v>
      </c>
      <c r="AF15" s="31">
        <f t="shared" si="7"/>
        <v>1656</v>
      </c>
    </row>
    <row r="16" spans="2:32" ht="23.1" customHeight="1" x14ac:dyDescent="0.25">
      <c r="B16" s="23" t="s">
        <v>43</v>
      </c>
      <c r="C16" s="50">
        <v>58</v>
      </c>
      <c r="D16" s="50">
        <v>4</v>
      </c>
      <c r="E16" s="50">
        <v>10</v>
      </c>
      <c r="F16" s="50">
        <v>14</v>
      </c>
      <c r="G16" s="50">
        <v>3</v>
      </c>
      <c r="H16" s="50">
        <v>1</v>
      </c>
      <c r="I16" s="50">
        <v>19</v>
      </c>
      <c r="J16" s="50">
        <v>4</v>
      </c>
      <c r="K16" s="50">
        <v>6</v>
      </c>
      <c r="L16" s="50">
        <v>3</v>
      </c>
      <c r="M16" s="50">
        <v>197</v>
      </c>
      <c r="N16" s="50">
        <v>0</v>
      </c>
      <c r="O16" s="15">
        <f t="shared" si="0"/>
        <v>122</v>
      </c>
      <c r="P16" s="15">
        <f t="shared" si="1"/>
        <v>319</v>
      </c>
      <c r="R16" s="1" t="s">
        <v>12</v>
      </c>
      <c r="S16" s="17">
        <f t="shared" ref="S16:AF16" si="8">SUM(C34:C37)</f>
        <v>245</v>
      </c>
      <c r="T16" s="17">
        <f t="shared" si="8"/>
        <v>47</v>
      </c>
      <c r="U16" s="17">
        <f t="shared" si="8"/>
        <v>35</v>
      </c>
      <c r="V16" s="17">
        <f t="shared" si="8"/>
        <v>73</v>
      </c>
      <c r="W16" s="17">
        <f t="shared" si="8"/>
        <v>4</v>
      </c>
      <c r="X16" s="17">
        <f t="shared" si="8"/>
        <v>2</v>
      </c>
      <c r="Y16" s="17">
        <f t="shared" si="8"/>
        <v>81</v>
      </c>
      <c r="Z16" s="17">
        <f t="shared" si="8"/>
        <v>24</v>
      </c>
      <c r="AA16" s="17">
        <f t="shared" si="8"/>
        <v>30</v>
      </c>
      <c r="AB16" s="17">
        <f t="shared" si="8"/>
        <v>34</v>
      </c>
      <c r="AC16" s="17">
        <f t="shared" si="8"/>
        <v>521</v>
      </c>
      <c r="AD16" s="17">
        <f t="shared" si="8"/>
        <v>1</v>
      </c>
      <c r="AE16" s="31">
        <f t="shared" si="8"/>
        <v>576</v>
      </c>
      <c r="AF16" s="31">
        <f t="shared" si="8"/>
        <v>1097</v>
      </c>
    </row>
    <row r="17" spans="2:32" ht="23.1" customHeight="1" x14ac:dyDescent="0.25">
      <c r="B17" s="23" t="s">
        <v>44</v>
      </c>
      <c r="C17" s="50">
        <v>95</v>
      </c>
      <c r="D17" s="50">
        <v>12</v>
      </c>
      <c r="E17" s="50">
        <v>13</v>
      </c>
      <c r="F17" s="50">
        <v>14</v>
      </c>
      <c r="G17" s="50">
        <v>3</v>
      </c>
      <c r="H17" s="50">
        <v>1</v>
      </c>
      <c r="I17" s="50">
        <v>28</v>
      </c>
      <c r="J17" s="50">
        <v>7</v>
      </c>
      <c r="K17" s="50">
        <v>10</v>
      </c>
      <c r="L17" s="50">
        <v>4</v>
      </c>
      <c r="M17" s="50">
        <v>196</v>
      </c>
      <c r="N17" s="50">
        <v>0</v>
      </c>
      <c r="O17" s="15">
        <f t="shared" si="0"/>
        <v>187</v>
      </c>
      <c r="P17" s="15">
        <f t="shared" si="1"/>
        <v>383</v>
      </c>
      <c r="R17" s="1" t="s">
        <v>13</v>
      </c>
      <c r="S17" s="17">
        <f t="shared" ref="S17:AF17" si="9">SUM(C38:C41)</f>
        <v>243</v>
      </c>
      <c r="T17" s="17">
        <f t="shared" si="9"/>
        <v>50</v>
      </c>
      <c r="U17" s="17">
        <f t="shared" si="9"/>
        <v>37</v>
      </c>
      <c r="V17" s="17">
        <f t="shared" si="9"/>
        <v>72</v>
      </c>
      <c r="W17" s="17">
        <f t="shared" si="9"/>
        <v>4</v>
      </c>
      <c r="X17" s="17">
        <f t="shared" si="9"/>
        <v>0</v>
      </c>
      <c r="Y17" s="17">
        <f t="shared" si="9"/>
        <v>64</v>
      </c>
      <c r="Z17" s="17">
        <f t="shared" si="9"/>
        <v>26</v>
      </c>
      <c r="AA17" s="17">
        <f t="shared" si="9"/>
        <v>43</v>
      </c>
      <c r="AB17" s="17">
        <f t="shared" si="9"/>
        <v>30</v>
      </c>
      <c r="AC17" s="17">
        <f t="shared" si="9"/>
        <v>487</v>
      </c>
      <c r="AD17" s="17">
        <f t="shared" si="9"/>
        <v>0</v>
      </c>
      <c r="AE17" s="31">
        <f t="shared" si="9"/>
        <v>569</v>
      </c>
      <c r="AF17" s="31">
        <f t="shared" si="9"/>
        <v>1056</v>
      </c>
    </row>
    <row r="18" spans="2:32" ht="23.1" customHeight="1" x14ac:dyDescent="0.25">
      <c r="B18" s="23" t="s">
        <v>45</v>
      </c>
      <c r="C18" s="50">
        <v>69</v>
      </c>
      <c r="D18" s="50">
        <v>13</v>
      </c>
      <c r="E18" s="50">
        <v>4</v>
      </c>
      <c r="F18" s="50">
        <v>22</v>
      </c>
      <c r="G18" s="50">
        <v>0</v>
      </c>
      <c r="H18" s="50">
        <v>0</v>
      </c>
      <c r="I18" s="50">
        <v>8</v>
      </c>
      <c r="J18" s="50">
        <v>5</v>
      </c>
      <c r="K18" s="50">
        <v>9</v>
      </c>
      <c r="L18" s="50">
        <v>1</v>
      </c>
      <c r="M18" s="50">
        <v>200</v>
      </c>
      <c r="N18" s="50">
        <v>0</v>
      </c>
      <c r="O18" s="15">
        <f t="shared" si="0"/>
        <v>131</v>
      </c>
      <c r="P18" s="15">
        <f t="shared" si="1"/>
        <v>331</v>
      </c>
      <c r="R18" s="1" t="s">
        <v>14</v>
      </c>
      <c r="S18" s="17">
        <f t="shared" ref="S18:AF18" si="10">SUM(C42:C45)</f>
        <v>331</v>
      </c>
      <c r="T18" s="17">
        <f t="shared" si="10"/>
        <v>79</v>
      </c>
      <c r="U18" s="17">
        <f t="shared" si="10"/>
        <v>61</v>
      </c>
      <c r="V18" s="17">
        <f t="shared" si="10"/>
        <v>106</v>
      </c>
      <c r="W18" s="17">
        <f t="shared" si="10"/>
        <v>2</v>
      </c>
      <c r="X18" s="17">
        <f t="shared" si="10"/>
        <v>0</v>
      </c>
      <c r="Y18" s="17">
        <f t="shared" si="10"/>
        <v>69</v>
      </c>
      <c r="Z18" s="17">
        <f t="shared" si="10"/>
        <v>31</v>
      </c>
      <c r="AA18" s="17">
        <f t="shared" si="10"/>
        <v>29</v>
      </c>
      <c r="AB18" s="17">
        <f t="shared" si="10"/>
        <v>28</v>
      </c>
      <c r="AC18" s="17">
        <f t="shared" si="10"/>
        <v>497</v>
      </c>
      <c r="AD18" s="17">
        <f t="shared" si="10"/>
        <v>0</v>
      </c>
      <c r="AE18" s="31">
        <f t="shared" si="10"/>
        <v>736</v>
      </c>
      <c r="AF18" s="31">
        <f t="shared" si="10"/>
        <v>1233</v>
      </c>
    </row>
    <row r="19" spans="2:32" ht="23.1" customHeight="1" x14ac:dyDescent="0.25">
      <c r="B19" s="23" t="s">
        <v>46</v>
      </c>
      <c r="C19" s="50">
        <v>56</v>
      </c>
      <c r="D19" s="50">
        <v>9</v>
      </c>
      <c r="E19" s="50">
        <v>12</v>
      </c>
      <c r="F19" s="50">
        <v>15</v>
      </c>
      <c r="G19" s="50">
        <v>2</v>
      </c>
      <c r="H19" s="50">
        <v>0</v>
      </c>
      <c r="I19" s="50">
        <v>18</v>
      </c>
      <c r="J19" s="50">
        <v>5</v>
      </c>
      <c r="K19" s="50">
        <v>11</v>
      </c>
      <c r="L19" s="50">
        <v>4</v>
      </c>
      <c r="M19" s="50">
        <v>203</v>
      </c>
      <c r="N19" s="50">
        <v>0</v>
      </c>
      <c r="O19" s="15">
        <f t="shared" si="0"/>
        <v>132</v>
      </c>
      <c r="P19" s="15">
        <f t="shared" si="1"/>
        <v>335</v>
      </c>
      <c r="R19" s="1" t="s">
        <v>15</v>
      </c>
      <c r="S19" s="17">
        <f t="shared" ref="S19:AF19" si="11">SUM(C46:C49)</f>
        <v>470</v>
      </c>
      <c r="T19" s="17">
        <f t="shared" si="11"/>
        <v>83</v>
      </c>
      <c r="U19" s="17">
        <f t="shared" si="11"/>
        <v>78</v>
      </c>
      <c r="V19" s="17">
        <f t="shared" si="11"/>
        <v>114</v>
      </c>
      <c r="W19" s="17">
        <f t="shared" si="11"/>
        <v>9</v>
      </c>
      <c r="X19" s="17">
        <f t="shared" si="11"/>
        <v>1</v>
      </c>
      <c r="Y19" s="17">
        <f t="shared" si="11"/>
        <v>119</v>
      </c>
      <c r="Z19" s="17">
        <f t="shared" si="11"/>
        <v>73</v>
      </c>
      <c r="AA19" s="17">
        <f t="shared" si="11"/>
        <v>51</v>
      </c>
      <c r="AB19" s="17">
        <f t="shared" si="11"/>
        <v>38</v>
      </c>
      <c r="AC19" s="17">
        <f t="shared" si="11"/>
        <v>598</v>
      </c>
      <c r="AD19" s="17">
        <f t="shared" si="11"/>
        <v>0</v>
      </c>
      <c r="AE19" s="31">
        <f t="shared" si="11"/>
        <v>1036</v>
      </c>
      <c r="AF19" s="31">
        <f t="shared" si="11"/>
        <v>1634</v>
      </c>
    </row>
    <row r="20" spans="2:32" ht="23.1" customHeight="1" x14ac:dyDescent="0.25">
      <c r="B20" s="23" t="s">
        <v>47</v>
      </c>
      <c r="C20" s="50">
        <v>60</v>
      </c>
      <c r="D20" s="50">
        <v>10</v>
      </c>
      <c r="E20" s="50">
        <v>7</v>
      </c>
      <c r="F20" s="50">
        <v>12</v>
      </c>
      <c r="G20" s="50">
        <v>1</v>
      </c>
      <c r="H20" s="50">
        <v>0</v>
      </c>
      <c r="I20" s="50">
        <v>17</v>
      </c>
      <c r="J20" s="50">
        <v>5</v>
      </c>
      <c r="K20" s="50">
        <v>11</v>
      </c>
      <c r="L20" s="50">
        <v>5</v>
      </c>
      <c r="M20" s="50">
        <v>178</v>
      </c>
      <c r="N20" s="50">
        <v>0</v>
      </c>
      <c r="O20" s="15">
        <f t="shared" si="0"/>
        <v>128</v>
      </c>
      <c r="P20" s="15">
        <f t="shared" si="1"/>
        <v>306</v>
      </c>
      <c r="R20" s="1" t="s">
        <v>16</v>
      </c>
      <c r="S20" s="17">
        <f t="shared" ref="S20:AF20" si="12">SUM(C50:C53)</f>
        <v>377</v>
      </c>
      <c r="T20" s="17">
        <f t="shared" si="12"/>
        <v>56</v>
      </c>
      <c r="U20" s="17">
        <f t="shared" si="12"/>
        <v>85</v>
      </c>
      <c r="V20" s="17">
        <f t="shared" si="12"/>
        <v>105</v>
      </c>
      <c r="W20" s="17">
        <f t="shared" si="12"/>
        <v>18</v>
      </c>
      <c r="X20" s="17">
        <f t="shared" si="12"/>
        <v>1</v>
      </c>
      <c r="Y20" s="17">
        <f t="shared" si="12"/>
        <v>60</v>
      </c>
      <c r="Z20" s="17">
        <f t="shared" si="12"/>
        <v>28</v>
      </c>
      <c r="AA20" s="17">
        <f t="shared" si="12"/>
        <v>15</v>
      </c>
      <c r="AB20" s="17">
        <f t="shared" si="12"/>
        <v>38</v>
      </c>
      <c r="AC20" s="17">
        <f t="shared" si="12"/>
        <v>624</v>
      </c>
      <c r="AD20" s="17">
        <f t="shared" si="12"/>
        <v>0</v>
      </c>
      <c r="AE20" s="31">
        <f t="shared" si="12"/>
        <v>783</v>
      </c>
      <c r="AF20" s="31">
        <f t="shared" si="12"/>
        <v>1407</v>
      </c>
    </row>
    <row r="21" spans="2:32" ht="23.1" customHeight="1" x14ac:dyDescent="0.25">
      <c r="B21" s="23" t="s">
        <v>48</v>
      </c>
      <c r="C21" s="50">
        <v>47</v>
      </c>
      <c r="D21" s="50">
        <v>11</v>
      </c>
      <c r="E21" s="50">
        <v>7</v>
      </c>
      <c r="F21" s="50">
        <v>16</v>
      </c>
      <c r="G21" s="50">
        <v>3</v>
      </c>
      <c r="H21" s="50">
        <v>0</v>
      </c>
      <c r="I21" s="50">
        <v>7</v>
      </c>
      <c r="J21" s="50">
        <v>4</v>
      </c>
      <c r="K21" s="50">
        <v>6</v>
      </c>
      <c r="L21" s="50">
        <v>1</v>
      </c>
      <c r="M21" s="50">
        <v>181</v>
      </c>
      <c r="N21" s="50">
        <v>0</v>
      </c>
      <c r="O21" s="15">
        <f t="shared" si="0"/>
        <v>102</v>
      </c>
      <c r="P21" s="15">
        <f t="shared" si="1"/>
        <v>283</v>
      </c>
      <c r="R21" s="36" t="s">
        <v>20</v>
      </c>
      <c r="S21" s="34">
        <f t="shared" ref="S21:AF21" si="13">SUM(C54:C57)</f>
        <v>412</v>
      </c>
      <c r="T21" s="17">
        <f t="shared" si="13"/>
        <v>74</v>
      </c>
      <c r="U21" s="17">
        <f t="shared" si="13"/>
        <v>53</v>
      </c>
      <c r="V21" s="17">
        <f t="shared" si="13"/>
        <v>121</v>
      </c>
      <c r="W21" s="17">
        <f t="shared" si="13"/>
        <v>14</v>
      </c>
      <c r="X21" s="17">
        <f t="shared" si="13"/>
        <v>4</v>
      </c>
      <c r="Y21" s="17">
        <f t="shared" si="13"/>
        <v>43</v>
      </c>
      <c r="Z21" s="17">
        <f t="shared" si="13"/>
        <v>29</v>
      </c>
      <c r="AA21" s="17">
        <f t="shared" si="13"/>
        <v>16</v>
      </c>
      <c r="AB21" s="17">
        <f t="shared" si="13"/>
        <v>21</v>
      </c>
      <c r="AC21" s="17">
        <f t="shared" si="13"/>
        <v>783</v>
      </c>
      <c r="AD21" s="17">
        <f t="shared" si="13"/>
        <v>1</v>
      </c>
      <c r="AE21" s="31">
        <f t="shared" si="13"/>
        <v>788</v>
      </c>
      <c r="AF21" s="31">
        <f t="shared" si="13"/>
        <v>1571</v>
      </c>
    </row>
    <row r="22" spans="2:32" ht="23.1" customHeight="1" x14ac:dyDescent="0.25">
      <c r="B22" s="23" t="s">
        <v>49</v>
      </c>
      <c r="C22" s="50">
        <v>13</v>
      </c>
      <c r="D22" s="50">
        <v>3</v>
      </c>
      <c r="E22" s="50">
        <v>2</v>
      </c>
      <c r="F22" s="50">
        <v>6</v>
      </c>
      <c r="G22" s="50">
        <v>0</v>
      </c>
      <c r="H22" s="50">
        <v>0</v>
      </c>
      <c r="I22" s="50">
        <v>4</v>
      </c>
      <c r="J22" s="50">
        <v>3</v>
      </c>
      <c r="K22" s="50">
        <v>2</v>
      </c>
      <c r="L22" s="50">
        <v>0</v>
      </c>
      <c r="M22" s="50">
        <v>199</v>
      </c>
      <c r="N22" s="50">
        <v>0</v>
      </c>
      <c r="O22" s="15">
        <f t="shared" si="0"/>
        <v>33</v>
      </c>
      <c r="P22" s="15">
        <f t="shared" si="1"/>
        <v>232</v>
      </c>
      <c r="R22" s="38" t="s">
        <v>90</v>
      </c>
      <c r="S22" s="39">
        <f>MAX(S10:S12)</f>
        <v>283</v>
      </c>
      <c r="T22" s="39">
        <f t="shared" ref="T22:AF22" si="14">MAX(T10:T12)</f>
        <v>43</v>
      </c>
      <c r="U22" s="39">
        <f t="shared" si="14"/>
        <v>44</v>
      </c>
      <c r="V22" s="39">
        <f t="shared" si="14"/>
        <v>65</v>
      </c>
      <c r="W22" s="39">
        <f t="shared" si="14"/>
        <v>9</v>
      </c>
      <c r="X22" s="39">
        <f t="shared" si="14"/>
        <v>4</v>
      </c>
      <c r="Y22" s="39">
        <f t="shared" si="14"/>
        <v>89</v>
      </c>
      <c r="Z22" s="39">
        <f t="shared" si="14"/>
        <v>24</v>
      </c>
      <c r="AA22" s="39">
        <f t="shared" si="14"/>
        <v>37</v>
      </c>
      <c r="AB22" s="39">
        <f t="shared" si="14"/>
        <v>18</v>
      </c>
      <c r="AC22" s="39">
        <f t="shared" si="14"/>
        <v>938</v>
      </c>
      <c r="AD22" s="39">
        <f t="shared" si="14"/>
        <v>0</v>
      </c>
      <c r="AE22" s="40">
        <f t="shared" si="14"/>
        <v>572</v>
      </c>
      <c r="AF22" s="40">
        <f t="shared" si="14"/>
        <v>1510</v>
      </c>
    </row>
    <row r="23" spans="2:32" ht="23.1" customHeight="1" x14ac:dyDescent="0.25">
      <c r="B23" s="23" t="s">
        <v>50</v>
      </c>
      <c r="C23" s="50">
        <v>32</v>
      </c>
      <c r="D23" s="50">
        <v>5</v>
      </c>
      <c r="E23" s="50">
        <v>8</v>
      </c>
      <c r="F23" s="50">
        <v>7</v>
      </c>
      <c r="G23" s="50">
        <v>1</v>
      </c>
      <c r="H23" s="50">
        <v>0</v>
      </c>
      <c r="I23" s="50">
        <v>8</v>
      </c>
      <c r="J23" s="50">
        <v>3</v>
      </c>
      <c r="K23" s="50">
        <v>5</v>
      </c>
      <c r="L23" s="50">
        <v>1</v>
      </c>
      <c r="M23" s="50">
        <v>185</v>
      </c>
      <c r="N23" s="50">
        <v>0</v>
      </c>
      <c r="O23" s="15">
        <f t="shared" si="0"/>
        <v>70</v>
      </c>
      <c r="P23" s="15">
        <f t="shared" si="1"/>
        <v>255</v>
      </c>
      <c r="R23" s="38" t="s">
        <v>91</v>
      </c>
      <c r="S23" s="39">
        <f>MAX(S13:S18)</f>
        <v>331</v>
      </c>
      <c r="T23" s="39">
        <f t="shared" ref="T23:AF23" si="15">MAX(T13:T18)</f>
        <v>79</v>
      </c>
      <c r="U23" s="39">
        <f t="shared" si="15"/>
        <v>61</v>
      </c>
      <c r="V23" s="39">
        <f t="shared" si="15"/>
        <v>167</v>
      </c>
      <c r="W23" s="39">
        <f t="shared" si="15"/>
        <v>6</v>
      </c>
      <c r="X23" s="39">
        <f t="shared" si="15"/>
        <v>2</v>
      </c>
      <c r="Y23" s="39">
        <f t="shared" si="15"/>
        <v>81</v>
      </c>
      <c r="Z23" s="39">
        <f t="shared" si="15"/>
        <v>34</v>
      </c>
      <c r="AA23" s="39">
        <f t="shared" si="15"/>
        <v>44</v>
      </c>
      <c r="AB23" s="39">
        <f t="shared" si="15"/>
        <v>43</v>
      </c>
      <c r="AC23" s="39">
        <f t="shared" si="15"/>
        <v>1011</v>
      </c>
      <c r="AD23" s="39">
        <f t="shared" si="15"/>
        <v>1</v>
      </c>
      <c r="AE23" s="40">
        <f t="shared" si="15"/>
        <v>769</v>
      </c>
      <c r="AF23" s="40">
        <f t="shared" si="15"/>
        <v>1656</v>
      </c>
    </row>
    <row r="24" spans="2:32" ht="23.1" customHeight="1" x14ac:dyDescent="0.25">
      <c r="B24" s="23" t="s">
        <v>51</v>
      </c>
      <c r="C24" s="50">
        <v>37</v>
      </c>
      <c r="D24" s="50">
        <v>4</v>
      </c>
      <c r="E24" s="50">
        <v>6</v>
      </c>
      <c r="F24" s="50">
        <v>18</v>
      </c>
      <c r="G24" s="50">
        <v>4</v>
      </c>
      <c r="H24" s="50">
        <v>0</v>
      </c>
      <c r="I24" s="50">
        <v>13</v>
      </c>
      <c r="J24" s="50">
        <v>2</v>
      </c>
      <c r="K24" s="50">
        <v>5</v>
      </c>
      <c r="L24" s="50">
        <v>3</v>
      </c>
      <c r="M24" s="50">
        <v>205</v>
      </c>
      <c r="N24" s="50">
        <v>0</v>
      </c>
      <c r="O24" s="15">
        <f t="shared" si="0"/>
        <v>92</v>
      </c>
      <c r="P24" s="15">
        <f t="shared" si="1"/>
        <v>297</v>
      </c>
      <c r="R24" s="38" t="s">
        <v>92</v>
      </c>
      <c r="S24" s="39">
        <f>MAX(S19:S21)</f>
        <v>470</v>
      </c>
      <c r="T24" s="39">
        <f t="shared" ref="T24:AF24" si="16">MAX(T19:T21)</f>
        <v>83</v>
      </c>
      <c r="U24" s="39">
        <f t="shared" si="16"/>
        <v>85</v>
      </c>
      <c r="V24" s="39">
        <f t="shared" si="16"/>
        <v>121</v>
      </c>
      <c r="W24" s="39">
        <f t="shared" si="16"/>
        <v>18</v>
      </c>
      <c r="X24" s="39">
        <f t="shared" si="16"/>
        <v>4</v>
      </c>
      <c r="Y24" s="39">
        <f t="shared" si="16"/>
        <v>119</v>
      </c>
      <c r="Z24" s="39">
        <f t="shared" si="16"/>
        <v>73</v>
      </c>
      <c r="AA24" s="39">
        <f t="shared" si="16"/>
        <v>51</v>
      </c>
      <c r="AB24" s="39">
        <f t="shared" si="16"/>
        <v>38</v>
      </c>
      <c r="AC24" s="39">
        <f t="shared" si="16"/>
        <v>783</v>
      </c>
      <c r="AD24" s="39">
        <f t="shared" si="16"/>
        <v>1</v>
      </c>
      <c r="AE24" s="40">
        <f t="shared" si="16"/>
        <v>1036</v>
      </c>
      <c r="AF24" s="40">
        <f t="shared" si="16"/>
        <v>1634</v>
      </c>
    </row>
    <row r="25" spans="2:32" ht="23.1" customHeight="1" x14ac:dyDescent="0.25">
      <c r="B25" s="23" t="s">
        <v>52</v>
      </c>
      <c r="C25" s="50">
        <v>39</v>
      </c>
      <c r="D25" s="50">
        <v>10</v>
      </c>
      <c r="E25" s="50">
        <v>3</v>
      </c>
      <c r="F25" s="50">
        <v>13</v>
      </c>
      <c r="G25" s="50">
        <v>1</v>
      </c>
      <c r="H25" s="50">
        <v>0</v>
      </c>
      <c r="I25" s="50">
        <v>9</v>
      </c>
      <c r="J25" s="50">
        <v>3</v>
      </c>
      <c r="K25" s="50">
        <v>7</v>
      </c>
      <c r="L25" s="50">
        <v>5</v>
      </c>
      <c r="M25" s="50">
        <v>184</v>
      </c>
      <c r="N25" s="50">
        <v>0</v>
      </c>
      <c r="O25" s="15">
        <f t="shared" si="0"/>
        <v>90</v>
      </c>
      <c r="P25" s="15">
        <f t="shared" si="1"/>
        <v>274</v>
      </c>
      <c r="R25" s="37" t="s">
        <v>85</v>
      </c>
      <c r="S25" s="35">
        <f t="shared" ref="S25:AF25" si="17">SUM(S10:S12)</f>
        <v>692</v>
      </c>
      <c r="T25" s="16">
        <f t="shared" si="17"/>
        <v>91</v>
      </c>
      <c r="U25" s="16">
        <f t="shared" si="17"/>
        <v>95</v>
      </c>
      <c r="V25" s="16">
        <f t="shared" si="17"/>
        <v>173</v>
      </c>
      <c r="W25" s="16">
        <f t="shared" si="17"/>
        <v>19</v>
      </c>
      <c r="X25" s="16">
        <f t="shared" si="17"/>
        <v>4</v>
      </c>
      <c r="Y25" s="16">
        <f t="shared" si="17"/>
        <v>172</v>
      </c>
      <c r="Z25" s="16">
        <f t="shared" si="17"/>
        <v>58</v>
      </c>
      <c r="AA25" s="16">
        <f t="shared" si="17"/>
        <v>83</v>
      </c>
      <c r="AB25" s="16">
        <f t="shared" si="17"/>
        <v>38</v>
      </c>
      <c r="AC25" s="16">
        <f t="shared" si="17"/>
        <v>2296</v>
      </c>
      <c r="AD25" s="16">
        <f t="shared" si="17"/>
        <v>0</v>
      </c>
      <c r="AE25" s="32">
        <f t="shared" si="17"/>
        <v>1425</v>
      </c>
      <c r="AF25" s="32">
        <f t="shared" si="17"/>
        <v>3721</v>
      </c>
    </row>
    <row r="26" spans="2:32" ht="23.1" customHeight="1" x14ac:dyDescent="0.25">
      <c r="B26" s="23" t="s">
        <v>53</v>
      </c>
      <c r="C26" s="50">
        <v>21</v>
      </c>
      <c r="D26" s="50">
        <v>7</v>
      </c>
      <c r="E26" s="50">
        <v>1</v>
      </c>
      <c r="F26" s="50">
        <v>10</v>
      </c>
      <c r="G26" s="50">
        <v>1</v>
      </c>
      <c r="H26" s="50">
        <v>0</v>
      </c>
      <c r="I26" s="50">
        <v>7</v>
      </c>
      <c r="J26" s="50">
        <v>5</v>
      </c>
      <c r="K26" s="50">
        <v>5</v>
      </c>
      <c r="L26" s="50">
        <v>2</v>
      </c>
      <c r="M26" s="50">
        <v>160</v>
      </c>
      <c r="N26" s="50">
        <v>0</v>
      </c>
      <c r="O26" s="15">
        <f t="shared" si="0"/>
        <v>59</v>
      </c>
      <c r="P26" s="15">
        <f t="shared" si="1"/>
        <v>219</v>
      </c>
      <c r="R26" s="28" t="s">
        <v>86</v>
      </c>
      <c r="S26" s="16">
        <f t="shared" ref="S26:AF26" si="18">SUM(S13:S18)</f>
        <v>1557</v>
      </c>
      <c r="T26" s="16">
        <f t="shared" si="18"/>
        <v>319</v>
      </c>
      <c r="U26" s="16">
        <f t="shared" si="18"/>
        <v>242</v>
      </c>
      <c r="V26" s="16">
        <f t="shared" si="18"/>
        <v>539</v>
      </c>
      <c r="W26" s="16">
        <f t="shared" si="18"/>
        <v>20</v>
      </c>
      <c r="X26" s="16">
        <f t="shared" si="18"/>
        <v>4</v>
      </c>
      <c r="Y26" s="16">
        <f t="shared" si="18"/>
        <v>389</v>
      </c>
      <c r="Z26" s="16">
        <f t="shared" si="18"/>
        <v>151</v>
      </c>
      <c r="AA26" s="16">
        <f t="shared" si="18"/>
        <v>192</v>
      </c>
      <c r="AB26" s="16">
        <f t="shared" si="18"/>
        <v>166</v>
      </c>
      <c r="AC26" s="16">
        <f t="shared" si="18"/>
        <v>4088</v>
      </c>
      <c r="AD26" s="16">
        <f t="shared" si="18"/>
        <v>1</v>
      </c>
      <c r="AE26" s="32">
        <f t="shared" si="18"/>
        <v>3580</v>
      </c>
      <c r="AF26" s="32">
        <f t="shared" si="18"/>
        <v>7668</v>
      </c>
    </row>
    <row r="27" spans="2:32" ht="23.1" customHeight="1" x14ac:dyDescent="0.25">
      <c r="B27" s="23" t="s">
        <v>54</v>
      </c>
      <c r="C27" s="50">
        <v>75</v>
      </c>
      <c r="D27" s="50">
        <v>12</v>
      </c>
      <c r="E27" s="50">
        <v>15</v>
      </c>
      <c r="F27" s="50">
        <v>38</v>
      </c>
      <c r="G27" s="50">
        <v>2</v>
      </c>
      <c r="H27" s="50">
        <v>1</v>
      </c>
      <c r="I27" s="50">
        <v>22</v>
      </c>
      <c r="J27" s="50">
        <v>10</v>
      </c>
      <c r="K27" s="50">
        <v>10</v>
      </c>
      <c r="L27" s="50">
        <v>8</v>
      </c>
      <c r="M27" s="50">
        <v>199</v>
      </c>
      <c r="N27" s="50">
        <v>0</v>
      </c>
      <c r="O27" s="15">
        <f t="shared" si="0"/>
        <v>193</v>
      </c>
      <c r="P27" s="15">
        <f t="shared" si="1"/>
        <v>392</v>
      </c>
      <c r="R27" s="29" t="s">
        <v>87</v>
      </c>
      <c r="S27" s="16">
        <f t="shared" ref="S27:AF27" si="19">SUM(S19:S21)</f>
        <v>1259</v>
      </c>
      <c r="T27" s="16">
        <f t="shared" si="19"/>
        <v>213</v>
      </c>
      <c r="U27" s="16">
        <f t="shared" si="19"/>
        <v>216</v>
      </c>
      <c r="V27" s="16">
        <f t="shared" si="19"/>
        <v>340</v>
      </c>
      <c r="W27" s="16">
        <f t="shared" si="19"/>
        <v>41</v>
      </c>
      <c r="X27" s="16">
        <f t="shared" si="19"/>
        <v>6</v>
      </c>
      <c r="Y27" s="16">
        <f t="shared" si="19"/>
        <v>222</v>
      </c>
      <c r="Z27" s="16">
        <f t="shared" si="19"/>
        <v>130</v>
      </c>
      <c r="AA27" s="16">
        <f t="shared" si="19"/>
        <v>82</v>
      </c>
      <c r="AB27" s="16">
        <f t="shared" si="19"/>
        <v>97</v>
      </c>
      <c r="AC27" s="16">
        <f t="shared" si="19"/>
        <v>2005</v>
      </c>
      <c r="AD27" s="16">
        <f t="shared" si="19"/>
        <v>1</v>
      </c>
      <c r="AE27" s="32">
        <f t="shared" si="19"/>
        <v>2607</v>
      </c>
      <c r="AF27" s="32">
        <f t="shared" si="19"/>
        <v>4612</v>
      </c>
    </row>
    <row r="28" spans="2:32" ht="23.1" customHeight="1" x14ac:dyDescent="0.25">
      <c r="B28" s="23" t="s">
        <v>55</v>
      </c>
      <c r="C28" s="50">
        <v>120</v>
      </c>
      <c r="D28" s="50">
        <v>26</v>
      </c>
      <c r="E28" s="50">
        <v>13</v>
      </c>
      <c r="F28" s="50">
        <v>49</v>
      </c>
      <c r="G28" s="50">
        <v>0</v>
      </c>
      <c r="H28" s="50">
        <v>1</v>
      </c>
      <c r="I28" s="50">
        <v>25</v>
      </c>
      <c r="J28" s="50">
        <v>8</v>
      </c>
      <c r="K28" s="50">
        <v>15</v>
      </c>
      <c r="L28" s="50">
        <v>21</v>
      </c>
      <c r="M28" s="50">
        <v>200</v>
      </c>
      <c r="N28" s="50">
        <v>0</v>
      </c>
      <c r="O28" s="15">
        <f t="shared" si="0"/>
        <v>278</v>
      </c>
      <c r="P28" s="15">
        <f t="shared" si="1"/>
        <v>478</v>
      </c>
      <c r="R28" s="5" t="s">
        <v>17</v>
      </c>
      <c r="S28" s="16">
        <f t="shared" ref="S28:AF28" si="20">SUM(S10:S21)</f>
        <v>3508</v>
      </c>
      <c r="T28" s="16">
        <f t="shared" si="20"/>
        <v>623</v>
      </c>
      <c r="U28" s="16">
        <f t="shared" si="20"/>
        <v>553</v>
      </c>
      <c r="V28" s="16">
        <f t="shared" si="20"/>
        <v>1052</v>
      </c>
      <c r="W28" s="16">
        <f t="shared" si="20"/>
        <v>80</v>
      </c>
      <c r="X28" s="16">
        <f t="shared" si="20"/>
        <v>14</v>
      </c>
      <c r="Y28" s="16">
        <f t="shared" si="20"/>
        <v>783</v>
      </c>
      <c r="Z28" s="16">
        <f t="shared" si="20"/>
        <v>339</v>
      </c>
      <c r="AA28" s="16">
        <f t="shared" si="20"/>
        <v>357</v>
      </c>
      <c r="AB28" s="16">
        <f t="shared" si="20"/>
        <v>301</v>
      </c>
      <c r="AC28" s="16">
        <f t="shared" si="20"/>
        <v>8389</v>
      </c>
      <c r="AD28" s="16">
        <f t="shared" si="20"/>
        <v>2</v>
      </c>
      <c r="AE28" s="32">
        <f t="shared" si="20"/>
        <v>7612</v>
      </c>
      <c r="AF28" s="32">
        <f t="shared" si="20"/>
        <v>16001</v>
      </c>
    </row>
    <row r="29" spans="2:32" ht="23.1" customHeight="1" x14ac:dyDescent="0.25">
      <c r="B29" s="23" t="s">
        <v>56</v>
      </c>
      <c r="C29" s="50">
        <v>88</v>
      </c>
      <c r="D29" s="50">
        <v>20</v>
      </c>
      <c r="E29" s="50">
        <v>12</v>
      </c>
      <c r="F29" s="50">
        <v>70</v>
      </c>
      <c r="G29" s="50">
        <v>0</v>
      </c>
      <c r="H29" s="50">
        <v>0</v>
      </c>
      <c r="I29" s="50">
        <v>12</v>
      </c>
      <c r="J29" s="50">
        <v>11</v>
      </c>
      <c r="K29" s="50">
        <v>14</v>
      </c>
      <c r="L29" s="50">
        <v>12</v>
      </c>
      <c r="M29" s="50">
        <v>240</v>
      </c>
      <c r="N29" s="50">
        <v>0</v>
      </c>
      <c r="O29" s="15">
        <f t="shared" si="0"/>
        <v>239</v>
      </c>
      <c r="P29" s="15">
        <f t="shared" si="1"/>
        <v>479</v>
      </c>
      <c r="R29"/>
      <c r="S29" s="20"/>
      <c r="T29" s="19"/>
    </row>
    <row r="30" spans="2:32" ht="23.1" customHeight="1" x14ac:dyDescent="0.25">
      <c r="B30" s="23" t="s">
        <v>57</v>
      </c>
      <c r="C30" s="50">
        <v>95</v>
      </c>
      <c r="D30" s="50">
        <v>18</v>
      </c>
      <c r="E30" s="50">
        <v>20</v>
      </c>
      <c r="F30" s="50">
        <v>21</v>
      </c>
      <c r="G30" s="50">
        <v>0</v>
      </c>
      <c r="H30" s="50">
        <v>0</v>
      </c>
      <c r="I30" s="50">
        <v>30</v>
      </c>
      <c r="J30" s="50">
        <v>10</v>
      </c>
      <c r="K30" s="50">
        <v>4</v>
      </c>
      <c r="L30" s="50">
        <v>4</v>
      </c>
      <c r="M30" s="50">
        <v>375</v>
      </c>
      <c r="N30" s="50">
        <v>0</v>
      </c>
      <c r="O30" s="15">
        <f t="shared" si="0"/>
        <v>202</v>
      </c>
      <c r="P30" s="15">
        <f t="shared" si="1"/>
        <v>577</v>
      </c>
    </row>
    <row r="31" spans="2:32" ht="23.1" customHeight="1" x14ac:dyDescent="0.25">
      <c r="B31" s="24" t="s">
        <v>58</v>
      </c>
      <c r="C31" s="50">
        <v>75</v>
      </c>
      <c r="D31" s="50">
        <v>19</v>
      </c>
      <c r="E31" s="50">
        <v>10</v>
      </c>
      <c r="F31" s="50">
        <v>17</v>
      </c>
      <c r="G31" s="50">
        <v>0</v>
      </c>
      <c r="H31" s="50">
        <v>0</v>
      </c>
      <c r="I31" s="50">
        <v>18</v>
      </c>
      <c r="J31" s="50">
        <v>6</v>
      </c>
      <c r="K31" s="50">
        <v>12</v>
      </c>
      <c r="L31" s="50">
        <v>2</v>
      </c>
      <c r="M31" s="50">
        <v>295</v>
      </c>
      <c r="N31" s="50">
        <v>0</v>
      </c>
      <c r="O31" s="15">
        <f t="shared" si="0"/>
        <v>159</v>
      </c>
      <c r="P31" s="15">
        <f t="shared" si="1"/>
        <v>454</v>
      </c>
    </row>
    <row r="32" spans="2:32" ht="23.1" customHeight="1" x14ac:dyDescent="0.25">
      <c r="B32" s="24" t="s">
        <v>59</v>
      </c>
      <c r="C32" s="50">
        <v>58</v>
      </c>
      <c r="D32" s="50">
        <v>8</v>
      </c>
      <c r="E32" s="50">
        <v>10</v>
      </c>
      <c r="F32" s="50">
        <v>21</v>
      </c>
      <c r="G32" s="50">
        <v>1</v>
      </c>
      <c r="H32" s="50">
        <v>0</v>
      </c>
      <c r="I32" s="50">
        <v>12</v>
      </c>
      <c r="J32" s="50">
        <v>2</v>
      </c>
      <c r="K32" s="50">
        <v>6</v>
      </c>
      <c r="L32" s="50">
        <v>9</v>
      </c>
      <c r="M32" s="50">
        <v>159</v>
      </c>
      <c r="N32" s="50">
        <v>0</v>
      </c>
      <c r="O32" s="15">
        <f t="shared" si="0"/>
        <v>127</v>
      </c>
      <c r="P32" s="15">
        <f t="shared" si="1"/>
        <v>286</v>
      </c>
    </row>
    <row r="33" spans="2:20" ht="23.1" customHeight="1" x14ac:dyDescent="0.25">
      <c r="B33" s="23" t="s">
        <v>60</v>
      </c>
      <c r="C33" s="50">
        <v>85</v>
      </c>
      <c r="D33" s="50">
        <v>11</v>
      </c>
      <c r="E33" s="50">
        <v>9</v>
      </c>
      <c r="F33" s="50">
        <v>18</v>
      </c>
      <c r="G33" s="50">
        <v>0</v>
      </c>
      <c r="H33" s="50">
        <v>0</v>
      </c>
      <c r="I33" s="50">
        <v>15</v>
      </c>
      <c r="J33" s="50">
        <v>7</v>
      </c>
      <c r="K33" s="50">
        <v>5</v>
      </c>
      <c r="L33" s="50">
        <v>7</v>
      </c>
      <c r="M33" s="50">
        <v>182</v>
      </c>
      <c r="N33" s="50">
        <v>0</v>
      </c>
      <c r="O33" s="15">
        <f t="shared" si="0"/>
        <v>157</v>
      </c>
      <c r="P33" s="15">
        <f t="shared" si="1"/>
        <v>339</v>
      </c>
    </row>
    <row r="34" spans="2:20" ht="23.1" customHeight="1" x14ac:dyDescent="0.25">
      <c r="B34" s="24" t="s">
        <v>61</v>
      </c>
      <c r="C34" s="50">
        <v>82</v>
      </c>
      <c r="D34" s="50">
        <v>12</v>
      </c>
      <c r="E34" s="50">
        <v>7</v>
      </c>
      <c r="F34" s="50">
        <v>19</v>
      </c>
      <c r="G34" s="50">
        <v>3</v>
      </c>
      <c r="H34" s="50">
        <v>2</v>
      </c>
      <c r="I34" s="50">
        <v>32</v>
      </c>
      <c r="J34" s="50">
        <v>3</v>
      </c>
      <c r="K34" s="50">
        <v>8</v>
      </c>
      <c r="L34" s="50">
        <v>12</v>
      </c>
      <c r="M34" s="50">
        <v>165</v>
      </c>
      <c r="N34" s="50">
        <v>0</v>
      </c>
      <c r="O34" s="15">
        <f t="shared" si="0"/>
        <v>180</v>
      </c>
      <c r="P34" s="15">
        <f t="shared" si="1"/>
        <v>345</v>
      </c>
    </row>
    <row r="35" spans="2:20" ht="23.1" customHeight="1" x14ac:dyDescent="0.25">
      <c r="B35" s="24" t="s">
        <v>62</v>
      </c>
      <c r="C35" s="50">
        <v>45</v>
      </c>
      <c r="D35" s="50">
        <v>12</v>
      </c>
      <c r="E35" s="50">
        <v>11</v>
      </c>
      <c r="F35" s="50">
        <v>20</v>
      </c>
      <c r="G35" s="50">
        <v>0</v>
      </c>
      <c r="H35" s="50">
        <v>0</v>
      </c>
      <c r="I35" s="50">
        <v>12</v>
      </c>
      <c r="J35" s="50">
        <v>6</v>
      </c>
      <c r="K35" s="50">
        <v>4</v>
      </c>
      <c r="L35" s="50">
        <v>7</v>
      </c>
      <c r="M35" s="50">
        <v>97</v>
      </c>
      <c r="N35" s="50">
        <v>1</v>
      </c>
      <c r="O35" s="15">
        <f t="shared" si="0"/>
        <v>118</v>
      </c>
      <c r="P35" s="15">
        <f t="shared" si="1"/>
        <v>215</v>
      </c>
    </row>
    <row r="36" spans="2:20" ht="23.1" customHeight="1" x14ac:dyDescent="0.25">
      <c r="B36" s="24" t="s">
        <v>63</v>
      </c>
      <c r="C36" s="50">
        <v>69</v>
      </c>
      <c r="D36" s="50">
        <v>11</v>
      </c>
      <c r="E36" s="50">
        <v>9</v>
      </c>
      <c r="F36" s="50">
        <v>19</v>
      </c>
      <c r="G36" s="50">
        <v>0</v>
      </c>
      <c r="H36" s="50">
        <v>0</v>
      </c>
      <c r="I36" s="50">
        <v>15</v>
      </c>
      <c r="J36" s="50">
        <v>9</v>
      </c>
      <c r="K36" s="50">
        <v>7</v>
      </c>
      <c r="L36" s="50">
        <v>5</v>
      </c>
      <c r="M36" s="50">
        <v>149</v>
      </c>
      <c r="N36" s="50">
        <v>0</v>
      </c>
      <c r="O36" s="15">
        <f t="shared" si="0"/>
        <v>144</v>
      </c>
      <c r="P36" s="15">
        <f t="shared" si="1"/>
        <v>293</v>
      </c>
    </row>
    <row r="37" spans="2:20" ht="23.1" customHeight="1" x14ac:dyDescent="0.25">
      <c r="B37" s="23" t="s">
        <v>64</v>
      </c>
      <c r="C37" s="50">
        <v>49</v>
      </c>
      <c r="D37" s="50">
        <v>12</v>
      </c>
      <c r="E37" s="50">
        <v>8</v>
      </c>
      <c r="F37" s="50">
        <v>15</v>
      </c>
      <c r="G37" s="50">
        <v>1</v>
      </c>
      <c r="H37" s="50">
        <v>0</v>
      </c>
      <c r="I37" s="50">
        <v>22</v>
      </c>
      <c r="J37" s="50">
        <v>6</v>
      </c>
      <c r="K37" s="50">
        <v>11</v>
      </c>
      <c r="L37" s="50">
        <v>10</v>
      </c>
      <c r="M37" s="50">
        <v>110</v>
      </c>
      <c r="N37" s="50">
        <v>0</v>
      </c>
      <c r="O37" s="15">
        <f t="shared" si="0"/>
        <v>134</v>
      </c>
      <c r="P37" s="15">
        <f t="shared" si="1"/>
        <v>244</v>
      </c>
    </row>
    <row r="38" spans="2:20" ht="23.1" customHeight="1" x14ac:dyDescent="0.25">
      <c r="B38" s="24" t="s">
        <v>65</v>
      </c>
      <c r="C38" s="50">
        <v>63</v>
      </c>
      <c r="D38" s="50">
        <v>8</v>
      </c>
      <c r="E38" s="50">
        <v>7</v>
      </c>
      <c r="F38" s="50">
        <v>17</v>
      </c>
      <c r="G38" s="50">
        <v>1</v>
      </c>
      <c r="H38" s="50">
        <v>0</v>
      </c>
      <c r="I38" s="50">
        <v>14</v>
      </c>
      <c r="J38" s="50">
        <v>7</v>
      </c>
      <c r="K38" s="50">
        <v>10</v>
      </c>
      <c r="L38" s="50">
        <v>14</v>
      </c>
      <c r="M38" s="50">
        <v>110</v>
      </c>
      <c r="N38" s="50">
        <v>0</v>
      </c>
      <c r="O38" s="15">
        <f t="shared" si="0"/>
        <v>141</v>
      </c>
      <c r="P38" s="15">
        <f t="shared" si="1"/>
        <v>251</v>
      </c>
    </row>
    <row r="39" spans="2:20" ht="23.1" customHeight="1" x14ac:dyDescent="0.25">
      <c r="B39" s="24" t="s">
        <v>66</v>
      </c>
      <c r="C39" s="50">
        <v>60</v>
      </c>
      <c r="D39" s="50">
        <v>11</v>
      </c>
      <c r="E39" s="50">
        <v>9</v>
      </c>
      <c r="F39" s="50">
        <v>18</v>
      </c>
      <c r="G39" s="50">
        <v>0</v>
      </c>
      <c r="H39" s="50">
        <v>0</v>
      </c>
      <c r="I39" s="50">
        <v>12</v>
      </c>
      <c r="J39" s="50">
        <v>6</v>
      </c>
      <c r="K39" s="50">
        <v>12</v>
      </c>
      <c r="L39" s="50">
        <v>4</v>
      </c>
      <c r="M39" s="50">
        <v>115</v>
      </c>
      <c r="N39" s="50">
        <v>0</v>
      </c>
      <c r="O39" s="15">
        <f t="shared" si="0"/>
        <v>132</v>
      </c>
      <c r="P39" s="15">
        <f t="shared" si="1"/>
        <v>247</v>
      </c>
    </row>
    <row r="40" spans="2:20" ht="23.1" customHeight="1" x14ac:dyDescent="0.25">
      <c r="B40" s="24" t="s">
        <v>67</v>
      </c>
      <c r="C40" s="50">
        <v>52</v>
      </c>
      <c r="D40" s="50">
        <v>18</v>
      </c>
      <c r="E40" s="50">
        <v>14</v>
      </c>
      <c r="F40" s="50">
        <v>21</v>
      </c>
      <c r="G40" s="50">
        <v>0</v>
      </c>
      <c r="H40" s="50">
        <v>0</v>
      </c>
      <c r="I40" s="50">
        <v>23</v>
      </c>
      <c r="J40" s="50">
        <v>8</v>
      </c>
      <c r="K40" s="50">
        <v>18</v>
      </c>
      <c r="L40" s="50">
        <v>6</v>
      </c>
      <c r="M40" s="50">
        <v>125</v>
      </c>
      <c r="N40" s="50">
        <v>0</v>
      </c>
      <c r="O40" s="15">
        <f t="shared" si="0"/>
        <v>160</v>
      </c>
      <c r="P40" s="15">
        <f t="shared" si="1"/>
        <v>285</v>
      </c>
    </row>
    <row r="41" spans="2:20" ht="23.1" customHeight="1" x14ac:dyDescent="0.25">
      <c r="B41" s="23" t="s">
        <v>68</v>
      </c>
      <c r="C41" s="50">
        <v>68</v>
      </c>
      <c r="D41" s="50">
        <v>13</v>
      </c>
      <c r="E41" s="50">
        <v>7</v>
      </c>
      <c r="F41" s="50">
        <v>16</v>
      </c>
      <c r="G41" s="50">
        <v>3</v>
      </c>
      <c r="H41" s="50">
        <v>0</v>
      </c>
      <c r="I41" s="50">
        <v>15</v>
      </c>
      <c r="J41" s="50">
        <v>5</v>
      </c>
      <c r="K41" s="50">
        <v>3</v>
      </c>
      <c r="L41" s="50">
        <v>6</v>
      </c>
      <c r="M41" s="50">
        <v>137</v>
      </c>
      <c r="N41" s="50">
        <v>0</v>
      </c>
      <c r="O41" s="15">
        <f t="shared" si="0"/>
        <v>136</v>
      </c>
      <c r="P41" s="15">
        <f t="shared" si="1"/>
        <v>273</v>
      </c>
    </row>
    <row r="42" spans="2:20" ht="23.1" customHeight="1" x14ac:dyDescent="0.25">
      <c r="B42" s="24" t="s">
        <v>69</v>
      </c>
      <c r="C42" s="50">
        <v>72</v>
      </c>
      <c r="D42" s="50">
        <v>19</v>
      </c>
      <c r="E42" s="50">
        <v>9</v>
      </c>
      <c r="F42" s="50">
        <v>22</v>
      </c>
      <c r="G42" s="50">
        <v>1</v>
      </c>
      <c r="H42" s="50">
        <v>0</v>
      </c>
      <c r="I42" s="50">
        <v>14</v>
      </c>
      <c r="J42" s="50">
        <v>8</v>
      </c>
      <c r="K42" s="50">
        <v>4</v>
      </c>
      <c r="L42" s="50">
        <v>5</v>
      </c>
      <c r="M42" s="50">
        <v>123</v>
      </c>
      <c r="N42" s="50">
        <v>0</v>
      </c>
      <c r="O42" s="15">
        <f t="shared" si="0"/>
        <v>154</v>
      </c>
      <c r="P42" s="15">
        <f t="shared" si="1"/>
        <v>277</v>
      </c>
    </row>
    <row r="43" spans="2:20" ht="23.1" customHeight="1" x14ac:dyDescent="0.25">
      <c r="B43" s="23" t="s">
        <v>70</v>
      </c>
      <c r="C43" s="50">
        <v>86</v>
      </c>
      <c r="D43" s="50">
        <v>24</v>
      </c>
      <c r="E43" s="50">
        <v>9</v>
      </c>
      <c r="F43" s="50">
        <v>13</v>
      </c>
      <c r="G43" s="50">
        <v>1</v>
      </c>
      <c r="H43" s="50">
        <v>0</v>
      </c>
      <c r="I43" s="50">
        <v>20</v>
      </c>
      <c r="J43" s="50">
        <v>3</v>
      </c>
      <c r="K43" s="50">
        <v>10</v>
      </c>
      <c r="L43" s="50">
        <v>4</v>
      </c>
      <c r="M43" s="50">
        <v>115</v>
      </c>
      <c r="N43" s="50">
        <v>0</v>
      </c>
      <c r="O43" s="15">
        <f t="shared" si="0"/>
        <v>170</v>
      </c>
      <c r="P43" s="15">
        <f t="shared" si="1"/>
        <v>285</v>
      </c>
    </row>
    <row r="44" spans="2:20" ht="23.1" customHeight="1" x14ac:dyDescent="0.25">
      <c r="B44" s="25" t="s">
        <v>71</v>
      </c>
      <c r="C44" s="50">
        <v>80</v>
      </c>
      <c r="D44" s="50">
        <v>16</v>
      </c>
      <c r="E44" s="50">
        <v>13</v>
      </c>
      <c r="F44" s="50">
        <v>18</v>
      </c>
      <c r="G44" s="50">
        <v>0</v>
      </c>
      <c r="H44" s="50">
        <v>0</v>
      </c>
      <c r="I44" s="50">
        <v>13</v>
      </c>
      <c r="J44" s="50">
        <v>12</v>
      </c>
      <c r="K44" s="50">
        <v>10</v>
      </c>
      <c r="L44" s="50">
        <v>6</v>
      </c>
      <c r="M44" s="50">
        <v>139</v>
      </c>
      <c r="N44" s="50">
        <v>0</v>
      </c>
      <c r="O44" s="15">
        <f t="shared" si="0"/>
        <v>168</v>
      </c>
      <c r="P44" s="15">
        <f t="shared" si="1"/>
        <v>307</v>
      </c>
    </row>
    <row r="45" spans="2:20" ht="23.1" customHeight="1" x14ac:dyDescent="0.25">
      <c r="B45" s="23" t="s">
        <v>72</v>
      </c>
      <c r="C45" s="50">
        <v>93</v>
      </c>
      <c r="D45" s="50">
        <v>20</v>
      </c>
      <c r="E45" s="50">
        <v>30</v>
      </c>
      <c r="F45" s="50">
        <v>53</v>
      </c>
      <c r="G45" s="50">
        <v>0</v>
      </c>
      <c r="H45" s="50">
        <v>0</v>
      </c>
      <c r="I45" s="50">
        <v>22</v>
      </c>
      <c r="J45" s="50">
        <v>8</v>
      </c>
      <c r="K45" s="50">
        <v>5</v>
      </c>
      <c r="L45" s="50">
        <v>13</v>
      </c>
      <c r="M45" s="50">
        <v>120</v>
      </c>
      <c r="N45" s="50">
        <v>0</v>
      </c>
      <c r="O45" s="15">
        <f t="shared" si="0"/>
        <v>244</v>
      </c>
      <c r="P45" s="15">
        <f t="shared" si="1"/>
        <v>364</v>
      </c>
    </row>
    <row r="46" spans="2:20" ht="23.1" customHeight="1" x14ac:dyDescent="0.25">
      <c r="B46" s="24" t="s">
        <v>73</v>
      </c>
      <c r="C46" s="50">
        <v>120</v>
      </c>
      <c r="D46" s="50">
        <v>18</v>
      </c>
      <c r="E46" s="50">
        <v>40</v>
      </c>
      <c r="F46" s="50">
        <v>45</v>
      </c>
      <c r="G46" s="50">
        <v>0</v>
      </c>
      <c r="H46" s="50">
        <v>0</v>
      </c>
      <c r="I46" s="50">
        <v>60</v>
      </c>
      <c r="J46" s="50">
        <v>40</v>
      </c>
      <c r="K46" s="50">
        <v>18</v>
      </c>
      <c r="L46" s="50">
        <v>5</v>
      </c>
      <c r="M46" s="50">
        <v>170</v>
      </c>
      <c r="N46" s="50">
        <v>0</v>
      </c>
      <c r="O46" s="15">
        <f t="shared" si="0"/>
        <v>346</v>
      </c>
      <c r="P46" s="15">
        <f t="shared" si="1"/>
        <v>516</v>
      </c>
      <c r="R46" s="8"/>
      <c r="T46"/>
    </row>
    <row r="47" spans="2:20" ht="23.1" customHeight="1" x14ac:dyDescent="0.25">
      <c r="B47" s="24" t="s">
        <v>74</v>
      </c>
      <c r="C47" s="50">
        <v>140</v>
      </c>
      <c r="D47" s="50">
        <v>20</v>
      </c>
      <c r="E47" s="50">
        <v>17</v>
      </c>
      <c r="F47" s="50">
        <v>25</v>
      </c>
      <c r="G47" s="50">
        <v>2</v>
      </c>
      <c r="H47" s="50">
        <v>0</v>
      </c>
      <c r="I47" s="50">
        <v>20</v>
      </c>
      <c r="J47" s="50">
        <v>21</v>
      </c>
      <c r="K47" s="50">
        <v>15</v>
      </c>
      <c r="L47" s="50">
        <v>8</v>
      </c>
      <c r="M47" s="50">
        <v>106</v>
      </c>
      <c r="N47" s="50">
        <v>0</v>
      </c>
      <c r="O47" s="15">
        <f t="shared" si="0"/>
        <v>268</v>
      </c>
      <c r="P47" s="15">
        <f t="shared" si="1"/>
        <v>374</v>
      </c>
      <c r="R47" s="8"/>
      <c r="T47"/>
    </row>
    <row r="48" spans="2:20" ht="23.1" customHeight="1" x14ac:dyDescent="0.25">
      <c r="B48" s="24" t="s">
        <v>75</v>
      </c>
      <c r="C48" s="50">
        <v>128</v>
      </c>
      <c r="D48" s="50">
        <v>22</v>
      </c>
      <c r="E48" s="50">
        <v>11</v>
      </c>
      <c r="F48" s="50">
        <v>24</v>
      </c>
      <c r="G48" s="50">
        <v>1</v>
      </c>
      <c r="H48" s="50">
        <v>0</v>
      </c>
      <c r="I48" s="50">
        <v>18</v>
      </c>
      <c r="J48" s="50">
        <v>5</v>
      </c>
      <c r="K48" s="50">
        <v>10</v>
      </c>
      <c r="L48" s="50">
        <v>14</v>
      </c>
      <c r="M48" s="50">
        <v>143</v>
      </c>
      <c r="N48" s="50">
        <v>0</v>
      </c>
      <c r="O48" s="15">
        <f t="shared" si="0"/>
        <v>233</v>
      </c>
      <c r="P48" s="15">
        <f t="shared" si="1"/>
        <v>376</v>
      </c>
      <c r="R48" s="8"/>
      <c r="T48"/>
    </row>
    <row r="49" spans="2:20" ht="23.1" customHeight="1" x14ac:dyDescent="0.25">
      <c r="B49" s="23" t="s">
        <v>76</v>
      </c>
      <c r="C49" s="50">
        <v>82</v>
      </c>
      <c r="D49" s="50">
        <v>23</v>
      </c>
      <c r="E49" s="50">
        <v>10</v>
      </c>
      <c r="F49" s="50">
        <v>20</v>
      </c>
      <c r="G49" s="50">
        <v>6</v>
      </c>
      <c r="H49" s="50">
        <v>1</v>
      </c>
      <c r="I49" s="50">
        <v>21</v>
      </c>
      <c r="J49" s="50">
        <v>7</v>
      </c>
      <c r="K49" s="50">
        <v>8</v>
      </c>
      <c r="L49" s="50">
        <v>11</v>
      </c>
      <c r="M49" s="50">
        <v>179</v>
      </c>
      <c r="N49" s="50">
        <v>0</v>
      </c>
      <c r="O49" s="15">
        <f t="shared" si="0"/>
        <v>189</v>
      </c>
      <c r="P49" s="15">
        <f t="shared" si="1"/>
        <v>368</v>
      </c>
      <c r="R49" s="8"/>
      <c r="T49"/>
    </row>
    <row r="50" spans="2:20" ht="23.1" customHeight="1" x14ac:dyDescent="0.25">
      <c r="B50" s="24" t="s">
        <v>77</v>
      </c>
      <c r="C50" s="50">
        <v>82</v>
      </c>
      <c r="D50" s="50">
        <v>16</v>
      </c>
      <c r="E50" s="50">
        <v>20</v>
      </c>
      <c r="F50" s="50">
        <v>21</v>
      </c>
      <c r="G50" s="50">
        <v>8</v>
      </c>
      <c r="H50" s="50">
        <v>0</v>
      </c>
      <c r="I50" s="50">
        <v>17</v>
      </c>
      <c r="J50" s="50">
        <v>8</v>
      </c>
      <c r="K50" s="50">
        <v>7</v>
      </c>
      <c r="L50" s="50">
        <v>3</v>
      </c>
      <c r="M50" s="50">
        <v>140</v>
      </c>
      <c r="N50" s="50">
        <v>0</v>
      </c>
      <c r="O50" s="15">
        <f t="shared" si="0"/>
        <v>182</v>
      </c>
      <c r="P50" s="15">
        <f t="shared" si="1"/>
        <v>322</v>
      </c>
      <c r="R50" s="8"/>
      <c r="T50"/>
    </row>
    <row r="51" spans="2:20" ht="23.1" customHeight="1" x14ac:dyDescent="0.25">
      <c r="B51" s="24" t="s">
        <v>78</v>
      </c>
      <c r="C51" s="50">
        <v>102</v>
      </c>
      <c r="D51" s="50">
        <v>14</v>
      </c>
      <c r="E51" s="50">
        <v>28</v>
      </c>
      <c r="F51" s="50">
        <v>29</v>
      </c>
      <c r="G51" s="50">
        <v>4</v>
      </c>
      <c r="H51" s="50">
        <v>0</v>
      </c>
      <c r="I51" s="50">
        <v>28</v>
      </c>
      <c r="J51" s="50">
        <v>11</v>
      </c>
      <c r="K51" s="50">
        <v>2</v>
      </c>
      <c r="L51" s="50">
        <v>16</v>
      </c>
      <c r="M51" s="50">
        <v>200</v>
      </c>
      <c r="N51" s="50">
        <v>0</v>
      </c>
      <c r="O51" s="15">
        <f t="shared" si="0"/>
        <v>234</v>
      </c>
      <c r="P51" s="15">
        <f t="shared" si="1"/>
        <v>434</v>
      </c>
      <c r="R51" s="8"/>
      <c r="T51"/>
    </row>
    <row r="52" spans="2:20" ht="23.1" customHeight="1" x14ac:dyDescent="0.25">
      <c r="B52" s="24" t="s">
        <v>79</v>
      </c>
      <c r="C52" s="50">
        <v>101</v>
      </c>
      <c r="D52" s="50">
        <v>14</v>
      </c>
      <c r="E52" s="50">
        <v>23</v>
      </c>
      <c r="F52" s="50">
        <v>24</v>
      </c>
      <c r="G52" s="50">
        <v>5</v>
      </c>
      <c r="H52" s="50">
        <v>1</v>
      </c>
      <c r="I52" s="50">
        <v>6</v>
      </c>
      <c r="J52" s="50">
        <v>4</v>
      </c>
      <c r="K52" s="50">
        <v>3</v>
      </c>
      <c r="L52" s="50">
        <v>9</v>
      </c>
      <c r="M52" s="50">
        <v>151</v>
      </c>
      <c r="N52" s="50">
        <v>0</v>
      </c>
      <c r="O52" s="15">
        <f t="shared" si="0"/>
        <v>190</v>
      </c>
      <c r="P52" s="15">
        <f t="shared" si="1"/>
        <v>341</v>
      </c>
      <c r="R52" s="8"/>
      <c r="T52"/>
    </row>
    <row r="53" spans="2:20" ht="23.1" customHeight="1" x14ac:dyDescent="0.25">
      <c r="B53" s="23" t="s">
        <v>80</v>
      </c>
      <c r="C53" s="50">
        <v>92</v>
      </c>
      <c r="D53" s="50">
        <v>12</v>
      </c>
      <c r="E53" s="50">
        <v>14</v>
      </c>
      <c r="F53" s="50">
        <v>31</v>
      </c>
      <c r="G53" s="50">
        <v>1</v>
      </c>
      <c r="H53" s="50">
        <v>0</v>
      </c>
      <c r="I53" s="50">
        <v>9</v>
      </c>
      <c r="J53" s="50">
        <v>5</v>
      </c>
      <c r="K53" s="50">
        <v>3</v>
      </c>
      <c r="L53" s="50">
        <v>10</v>
      </c>
      <c r="M53" s="50">
        <v>133</v>
      </c>
      <c r="N53" s="50">
        <v>0</v>
      </c>
      <c r="O53" s="15">
        <f t="shared" si="0"/>
        <v>177</v>
      </c>
      <c r="P53" s="15">
        <f t="shared" si="1"/>
        <v>310</v>
      </c>
      <c r="R53" s="8"/>
      <c r="T53"/>
    </row>
    <row r="54" spans="2:20" ht="23.1" customHeight="1" x14ac:dyDescent="0.25">
      <c r="B54" s="23" t="s">
        <v>81</v>
      </c>
      <c r="C54" s="50">
        <v>106</v>
      </c>
      <c r="D54" s="50">
        <v>21</v>
      </c>
      <c r="E54" s="50">
        <v>18</v>
      </c>
      <c r="F54" s="50">
        <v>30</v>
      </c>
      <c r="G54" s="50">
        <v>2</v>
      </c>
      <c r="H54" s="50">
        <v>3</v>
      </c>
      <c r="I54" s="50">
        <v>11</v>
      </c>
      <c r="J54" s="50">
        <v>5</v>
      </c>
      <c r="K54" s="50">
        <v>6</v>
      </c>
      <c r="L54" s="50">
        <v>5</v>
      </c>
      <c r="M54" s="50">
        <v>208</v>
      </c>
      <c r="N54" s="50">
        <v>0</v>
      </c>
      <c r="O54" s="15">
        <f t="shared" si="0"/>
        <v>207</v>
      </c>
      <c r="P54" s="15">
        <f t="shared" si="1"/>
        <v>415</v>
      </c>
      <c r="R54" s="8"/>
      <c r="T54"/>
    </row>
    <row r="55" spans="2:20" ht="23.1" customHeight="1" x14ac:dyDescent="0.25">
      <c r="B55" s="23" t="s">
        <v>82</v>
      </c>
      <c r="C55" s="50">
        <v>96</v>
      </c>
      <c r="D55" s="50">
        <v>21</v>
      </c>
      <c r="E55" s="50">
        <v>14</v>
      </c>
      <c r="F55" s="50">
        <v>33</v>
      </c>
      <c r="G55" s="50">
        <v>4</v>
      </c>
      <c r="H55" s="50">
        <v>1</v>
      </c>
      <c r="I55" s="50">
        <v>13</v>
      </c>
      <c r="J55" s="50">
        <v>11</v>
      </c>
      <c r="K55" s="50">
        <v>4</v>
      </c>
      <c r="L55" s="50">
        <v>6</v>
      </c>
      <c r="M55" s="50">
        <v>200</v>
      </c>
      <c r="N55" s="50">
        <v>0</v>
      </c>
      <c r="O55" s="15">
        <f t="shared" si="0"/>
        <v>203</v>
      </c>
      <c r="P55" s="15">
        <f t="shared" si="1"/>
        <v>403</v>
      </c>
      <c r="R55" s="8"/>
      <c r="T55"/>
    </row>
    <row r="56" spans="2:20" ht="23.1" customHeight="1" x14ac:dyDescent="0.25">
      <c r="B56" s="23" t="s">
        <v>83</v>
      </c>
      <c r="C56" s="50">
        <v>55</v>
      </c>
      <c r="D56" s="50">
        <v>13</v>
      </c>
      <c r="E56" s="50">
        <v>7</v>
      </c>
      <c r="F56" s="50">
        <v>25</v>
      </c>
      <c r="G56" s="50">
        <v>2</v>
      </c>
      <c r="H56" s="50">
        <v>0</v>
      </c>
      <c r="I56" s="50">
        <v>7</v>
      </c>
      <c r="J56" s="50">
        <v>7</v>
      </c>
      <c r="K56" s="50">
        <v>2</v>
      </c>
      <c r="L56" s="50">
        <v>2</v>
      </c>
      <c r="M56" s="50">
        <v>195</v>
      </c>
      <c r="N56" s="50">
        <v>0</v>
      </c>
      <c r="O56" s="15">
        <f t="shared" si="0"/>
        <v>120</v>
      </c>
      <c r="P56" s="15">
        <f t="shared" si="1"/>
        <v>315</v>
      </c>
      <c r="R56" s="8"/>
      <c r="T56"/>
    </row>
    <row r="57" spans="2:20" ht="23.1" customHeight="1" x14ac:dyDescent="0.25">
      <c r="B57" s="23" t="s">
        <v>84</v>
      </c>
      <c r="C57" s="50">
        <v>155</v>
      </c>
      <c r="D57" s="50">
        <v>19</v>
      </c>
      <c r="E57" s="50">
        <v>14</v>
      </c>
      <c r="F57" s="50">
        <v>33</v>
      </c>
      <c r="G57" s="50">
        <v>6</v>
      </c>
      <c r="H57" s="50">
        <v>0</v>
      </c>
      <c r="I57" s="50">
        <v>12</v>
      </c>
      <c r="J57" s="50">
        <v>6</v>
      </c>
      <c r="K57" s="50">
        <v>4</v>
      </c>
      <c r="L57" s="50">
        <v>8</v>
      </c>
      <c r="M57" s="50">
        <v>180</v>
      </c>
      <c r="N57" s="50">
        <v>1</v>
      </c>
      <c r="O57" s="15">
        <f t="shared" si="0"/>
        <v>258</v>
      </c>
      <c r="P57" s="15">
        <f t="shared" si="1"/>
        <v>438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3508</v>
      </c>
      <c r="D58" s="16">
        <f t="shared" si="21"/>
        <v>623</v>
      </c>
      <c r="E58" s="16">
        <f t="shared" si="21"/>
        <v>553</v>
      </c>
      <c r="F58" s="16">
        <f t="shared" si="21"/>
        <v>1052</v>
      </c>
      <c r="G58" s="16">
        <f t="shared" si="21"/>
        <v>80</v>
      </c>
      <c r="H58" s="16">
        <f t="shared" si="21"/>
        <v>14</v>
      </c>
      <c r="I58" s="16">
        <f t="shared" si="21"/>
        <v>783</v>
      </c>
      <c r="J58" s="16">
        <f t="shared" si="21"/>
        <v>339</v>
      </c>
      <c r="K58" s="16">
        <f t="shared" si="21"/>
        <v>357</v>
      </c>
      <c r="L58" s="16">
        <f t="shared" si="21"/>
        <v>301</v>
      </c>
      <c r="M58" s="16">
        <f t="shared" si="21"/>
        <v>8389</v>
      </c>
      <c r="N58" s="16">
        <f t="shared" si="21"/>
        <v>2</v>
      </c>
      <c r="O58" s="16">
        <f t="shared" si="21"/>
        <v>7612</v>
      </c>
      <c r="P58" s="16">
        <f t="shared" si="21"/>
        <v>16001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0.21923629773139178</v>
      </c>
      <c r="D59" s="43">
        <f t="shared" si="22"/>
        <v>3.8935066558340101E-2</v>
      </c>
      <c r="E59" s="43">
        <f t="shared" si="22"/>
        <v>3.4560339978751325E-2</v>
      </c>
      <c r="F59" s="43">
        <f t="shared" si="22"/>
        <v>6.5745890881819882E-2</v>
      </c>
      <c r="G59" s="43">
        <f t="shared" si="22"/>
        <v>4.9996875195300293E-3</v>
      </c>
      <c r="H59" s="43">
        <f t="shared" si="22"/>
        <v>8.7494531591775519E-4</v>
      </c>
      <c r="I59" s="43">
        <f t="shared" si="22"/>
        <v>4.8934441597400159E-2</v>
      </c>
      <c r="J59" s="43">
        <f t="shared" si="22"/>
        <v>2.1186175864008498E-2</v>
      </c>
      <c r="K59" s="43">
        <f t="shared" si="22"/>
        <v>2.2311105555902756E-2</v>
      </c>
      <c r="L59" s="43">
        <f t="shared" si="22"/>
        <v>1.8811324292231736E-2</v>
      </c>
      <c r="M59" s="43">
        <f t="shared" si="22"/>
        <v>0.52427973251671767</v>
      </c>
      <c r="N59" s="43">
        <f t="shared" si="22"/>
        <v>1.2499218798825074E-4</v>
      </c>
      <c r="R59" s="8"/>
      <c r="T59"/>
    </row>
    <row r="60" spans="2:20" ht="23.1" customHeight="1" x14ac:dyDescent="0.25">
      <c r="B60" s="42" t="s">
        <v>94</v>
      </c>
      <c r="C60" s="44">
        <f>C58/$O$58</f>
        <v>0.46085128744088283</v>
      </c>
      <c r="D60" s="44">
        <f t="shared" ref="D60:N60" si="23">D58/$O$58</f>
        <v>8.1844456121912768E-2</v>
      </c>
      <c r="E60" s="44">
        <f t="shared" si="23"/>
        <v>7.2648449816079874E-2</v>
      </c>
      <c r="F60" s="44">
        <f t="shared" si="23"/>
        <v>0.13820283762480295</v>
      </c>
      <c r="G60" s="44">
        <f t="shared" si="23"/>
        <v>1.0509721492380452E-2</v>
      </c>
      <c r="H60" s="44">
        <f t="shared" si="23"/>
        <v>1.8392012611665792E-3</v>
      </c>
      <c r="I60" s="44">
        <f t="shared" si="23"/>
        <v>0.10286389910667368</v>
      </c>
      <c r="J60" s="44">
        <f t="shared" si="23"/>
        <v>4.4534944823962162E-2</v>
      </c>
      <c r="K60" s="44">
        <f t="shared" si="23"/>
        <v>4.6899632159747767E-2</v>
      </c>
      <c r="L60" s="44">
        <f t="shared" si="23"/>
        <v>3.9542827115081447E-2</v>
      </c>
      <c r="M60" s="44"/>
      <c r="N60" s="44">
        <f t="shared" si="23"/>
        <v>2.6274303730951129E-4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M106" sqref="M10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67" t="str">
        <f>'25.07 Masanafu-Lubigi'!G5:H5</f>
        <v>Northern Bypass</v>
      </c>
      <c r="H5" s="68"/>
      <c r="I5" s="14"/>
      <c r="J5" s="2" t="s">
        <v>5</v>
      </c>
      <c r="K5" s="67" t="str">
        <f>'25.07 Masanafu-Lubigi'!K5:L5</f>
        <v>Yiga Elly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Lubigi-Masanafu'!D6:E6</f>
        <v>Lubigi</v>
      </c>
      <c r="E6" s="68"/>
      <c r="F6" s="2" t="s">
        <v>2</v>
      </c>
      <c r="G6" s="67" t="str">
        <f>'22.07 Lubigi-Masanafu'!G6:H6</f>
        <v>Masanafu</v>
      </c>
      <c r="H6" s="68"/>
      <c r="J6" s="2" t="s">
        <v>21</v>
      </c>
      <c r="K6" s="67" t="str">
        <f>'25.07 Masanafu-Lubigi'!K6:L6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68</v>
      </c>
      <c r="D10" s="50">
        <v>8</v>
      </c>
      <c r="E10" s="50">
        <v>8</v>
      </c>
      <c r="F10" s="50">
        <v>40</v>
      </c>
      <c r="G10" s="50">
        <v>1</v>
      </c>
      <c r="H10" s="50">
        <v>0</v>
      </c>
      <c r="I10" s="50">
        <v>5</v>
      </c>
      <c r="J10" s="50">
        <v>7</v>
      </c>
      <c r="K10" s="50">
        <v>7</v>
      </c>
      <c r="L10" s="50">
        <v>4</v>
      </c>
      <c r="M10" s="50">
        <v>62</v>
      </c>
      <c r="N10" s="50">
        <v>0</v>
      </c>
      <c r="O10" s="15">
        <f t="shared" ref="O10:O57" si="0">SUM(C10:L10,N10)</f>
        <v>148</v>
      </c>
      <c r="P10" s="15">
        <f t="shared" ref="P10:P57" si="1">SUM(C10:N10)</f>
        <v>210</v>
      </c>
      <c r="R10" s="1" t="s">
        <v>6</v>
      </c>
      <c r="S10" s="17">
        <f t="shared" ref="S10:AF10" si="2">SUM(C10:C13)</f>
        <v>280</v>
      </c>
      <c r="T10" s="17">
        <f t="shared" si="2"/>
        <v>49</v>
      </c>
      <c r="U10" s="17">
        <f t="shared" si="2"/>
        <v>36</v>
      </c>
      <c r="V10" s="17">
        <f t="shared" si="2"/>
        <v>79</v>
      </c>
      <c r="W10" s="17">
        <f t="shared" si="2"/>
        <v>11</v>
      </c>
      <c r="X10" s="17">
        <f t="shared" si="2"/>
        <v>1</v>
      </c>
      <c r="Y10" s="17">
        <f t="shared" si="2"/>
        <v>14</v>
      </c>
      <c r="Z10" s="17">
        <f t="shared" si="2"/>
        <v>30</v>
      </c>
      <c r="AA10" s="17">
        <f t="shared" si="2"/>
        <v>24</v>
      </c>
      <c r="AB10" s="17">
        <f t="shared" si="2"/>
        <v>13</v>
      </c>
      <c r="AC10" s="17">
        <f t="shared" si="2"/>
        <v>540</v>
      </c>
      <c r="AD10" s="17">
        <f t="shared" si="2"/>
        <v>1</v>
      </c>
      <c r="AE10" s="31">
        <f t="shared" si="2"/>
        <v>538</v>
      </c>
      <c r="AF10" s="31">
        <f t="shared" si="2"/>
        <v>1078</v>
      </c>
    </row>
    <row r="11" spans="2:32" s="6" customFormat="1" ht="23.1" customHeight="1" x14ac:dyDescent="0.25">
      <c r="B11" s="45" t="s">
        <v>38</v>
      </c>
      <c r="C11" s="50">
        <v>77</v>
      </c>
      <c r="D11" s="50">
        <v>9</v>
      </c>
      <c r="E11" s="50">
        <v>6</v>
      </c>
      <c r="F11" s="50">
        <v>12</v>
      </c>
      <c r="G11" s="50">
        <v>3</v>
      </c>
      <c r="H11" s="50">
        <v>0</v>
      </c>
      <c r="I11" s="50">
        <v>6</v>
      </c>
      <c r="J11" s="50">
        <v>3</v>
      </c>
      <c r="K11" s="50">
        <v>8</v>
      </c>
      <c r="L11" s="50">
        <v>3</v>
      </c>
      <c r="M11" s="50">
        <v>108</v>
      </c>
      <c r="N11" s="50">
        <v>0</v>
      </c>
      <c r="O11" s="15">
        <f t="shared" si="0"/>
        <v>127</v>
      </c>
      <c r="P11" s="15">
        <f t="shared" si="1"/>
        <v>235</v>
      </c>
      <c r="R11" s="1" t="s">
        <v>7</v>
      </c>
      <c r="S11" s="17">
        <f t="shared" ref="S11:AF11" si="3">SUM(C14:C17)</f>
        <v>352</v>
      </c>
      <c r="T11" s="17">
        <f t="shared" si="3"/>
        <v>55</v>
      </c>
      <c r="U11" s="17">
        <f t="shared" si="3"/>
        <v>54</v>
      </c>
      <c r="V11" s="17">
        <f t="shared" si="3"/>
        <v>100</v>
      </c>
      <c r="W11" s="17">
        <f t="shared" si="3"/>
        <v>17</v>
      </c>
      <c r="X11" s="17">
        <f t="shared" si="3"/>
        <v>3</v>
      </c>
      <c r="Y11" s="17">
        <f t="shared" si="3"/>
        <v>80</v>
      </c>
      <c r="Z11" s="17">
        <f t="shared" si="3"/>
        <v>24</v>
      </c>
      <c r="AA11" s="17">
        <f t="shared" si="3"/>
        <v>16</v>
      </c>
      <c r="AB11" s="17">
        <f t="shared" si="3"/>
        <v>21</v>
      </c>
      <c r="AC11" s="17">
        <f t="shared" si="3"/>
        <v>733</v>
      </c>
      <c r="AD11" s="17">
        <f t="shared" si="3"/>
        <v>0</v>
      </c>
      <c r="AE11" s="31">
        <f t="shared" si="3"/>
        <v>722</v>
      </c>
      <c r="AF11" s="31">
        <f t="shared" si="3"/>
        <v>1455</v>
      </c>
    </row>
    <row r="12" spans="2:32" ht="23.1" customHeight="1" x14ac:dyDescent="0.25">
      <c r="B12" s="45" t="s">
        <v>39</v>
      </c>
      <c r="C12" s="50">
        <v>75</v>
      </c>
      <c r="D12" s="50">
        <v>15</v>
      </c>
      <c r="E12" s="50">
        <v>5</v>
      </c>
      <c r="F12" s="50">
        <v>10</v>
      </c>
      <c r="G12" s="50">
        <v>7</v>
      </c>
      <c r="H12" s="50">
        <v>1</v>
      </c>
      <c r="I12" s="50">
        <v>3</v>
      </c>
      <c r="J12" s="50">
        <v>3</v>
      </c>
      <c r="K12" s="50">
        <v>4</v>
      </c>
      <c r="L12" s="50">
        <v>2</v>
      </c>
      <c r="M12" s="50">
        <v>180</v>
      </c>
      <c r="N12" s="50">
        <v>0</v>
      </c>
      <c r="O12" s="15">
        <f t="shared" si="0"/>
        <v>125</v>
      </c>
      <c r="P12" s="15">
        <f t="shared" si="1"/>
        <v>305</v>
      </c>
      <c r="R12" s="1" t="s">
        <v>8</v>
      </c>
      <c r="S12" s="17">
        <f t="shared" ref="S12:AF12" si="4">SUM(C18:C21)</f>
        <v>390</v>
      </c>
      <c r="T12" s="17">
        <f t="shared" si="4"/>
        <v>41</v>
      </c>
      <c r="U12" s="17">
        <f t="shared" si="4"/>
        <v>46</v>
      </c>
      <c r="V12" s="17">
        <f t="shared" si="4"/>
        <v>178</v>
      </c>
      <c r="W12" s="17">
        <f t="shared" si="4"/>
        <v>14</v>
      </c>
      <c r="X12" s="17">
        <f t="shared" si="4"/>
        <v>0</v>
      </c>
      <c r="Y12" s="17">
        <f t="shared" si="4"/>
        <v>81</v>
      </c>
      <c r="Z12" s="17">
        <f t="shared" si="4"/>
        <v>57</v>
      </c>
      <c r="AA12" s="17">
        <f t="shared" si="4"/>
        <v>44</v>
      </c>
      <c r="AB12" s="17">
        <f t="shared" si="4"/>
        <v>36</v>
      </c>
      <c r="AC12" s="17">
        <f t="shared" si="4"/>
        <v>579</v>
      </c>
      <c r="AD12" s="17">
        <f t="shared" si="4"/>
        <v>0</v>
      </c>
      <c r="AE12" s="31">
        <f t="shared" si="4"/>
        <v>887</v>
      </c>
      <c r="AF12" s="31">
        <f t="shared" si="4"/>
        <v>1466</v>
      </c>
    </row>
    <row r="13" spans="2:32" ht="23.1" customHeight="1" x14ac:dyDescent="0.25">
      <c r="B13" s="45" t="s">
        <v>40</v>
      </c>
      <c r="C13" s="50">
        <v>60</v>
      </c>
      <c r="D13" s="50">
        <v>17</v>
      </c>
      <c r="E13" s="50">
        <v>17</v>
      </c>
      <c r="F13" s="50">
        <v>17</v>
      </c>
      <c r="G13" s="50">
        <v>0</v>
      </c>
      <c r="H13" s="50">
        <v>0</v>
      </c>
      <c r="I13" s="50">
        <v>0</v>
      </c>
      <c r="J13" s="50">
        <v>17</v>
      </c>
      <c r="K13" s="50">
        <v>5</v>
      </c>
      <c r="L13" s="50">
        <v>4</v>
      </c>
      <c r="M13" s="50">
        <v>190</v>
      </c>
      <c r="N13" s="50">
        <v>1</v>
      </c>
      <c r="O13" s="15">
        <f t="shared" si="0"/>
        <v>138</v>
      </c>
      <c r="P13" s="15">
        <f t="shared" si="1"/>
        <v>328</v>
      </c>
      <c r="R13" s="1" t="s">
        <v>9</v>
      </c>
      <c r="S13" s="17">
        <f t="shared" ref="S13:AF13" si="5">SUM(C22:C25)</f>
        <v>395</v>
      </c>
      <c r="T13" s="17">
        <f t="shared" si="5"/>
        <v>73</v>
      </c>
      <c r="U13" s="17">
        <f t="shared" si="5"/>
        <v>50</v>
      </c>
      <c r="V13" s="17">
        <f t="shared" si="5"/>
        <v>195</v>
      </c>
      <c r="W13" s="17">
        <f t="shared" si="5"/>
        <v>34</v>
      </c>
      <c r="X13" s="17">
        <f t="shared" si="5"/>
        <v>6</v>
      </c>
      <c r="Y13" s="17">
        <f t="shared" si="5"/>
        <v>102</v>
      </c>
      <c r="Z13" s="17">
        <f t="shared" si="5"/>
        <v>50</v>
      </c>
      <c r="AA13" s="17">
        <f t="shared" si="5"/>
        <v>57</v>
      </c>
      <c r="AB13" s="17">
        <f t="shared" si="5"/>
        <v>32</v>
      </c>
      <c r="AC13" s="17">
        <f t="shared" si="5"/>
        <v>688</v>
      </c>
      <c r="AD13" s="17">
        <f t="shared" si="5"/>
        <v>1</v>
      </c>
      <c r="AE13" s="31">
        <f t="shared" si="5"/>
        <v>995</v>
      </c>
      <c r="AF13" s="31">
        <f t="shared" si="5"/>
        <v>1683</v>
      </c>
    </row>
    <row r="14" spans="2:32" ht="23.1" customHeight="1" x14ac:dyDescent="0.25">
      <c r="B14" s="45" t="s">
        <v>41</v>
      </c>
      <c r="C14" s="50">
        <v>67</v>
      </c>
      <c r="D14" s="50">
        <v>14</v>
      </c>
      <c r="E14" s="50">
        <v>11</v>
      </c>
      <c r="F14" s="50">
        <v>15</v>
      </c>
      <c r="G14" s="50">
        <v>3</v>
      </c>
      <c r="H14" s="50">
        <v>3</v>
      </c>
      <c r="I14" s="50">
        <v>8</v>
      </c>
      <c r="J14" s="50">
        <v>8</v>
      </c>
      <c r="K14" s="50">
        <v>1</v>
      </c>
      <c r="L14" s="50">
        <v>2</v>
      </c>
      <c r="M14" s="50">
        <v>113</v>
      </c>
      <c r="N14" s="50">
        <v>0</v>
      </c>
      <c r="O14" s="15">
        <f t="shared" si="0"/>
        <v>132</v>
      </c>
      <c r="P14" s="15">
        <f t="shared" si="1"/>
        <v>245</v>
      </c>
      <c r="R14" s="1" t="s">
        <v>10</v>
      </c>
      <c r="S14" s="17">
        <f t="shared" ref="S14:AF14" si="6">SUM(C26:C29)</f>
        <v>270</v>
      </c>
      <c r="T14" s="17">
        <f t="shared" si="6"/>
        <v>58</v>
      </c>
      <c r="U14" s="17">
        <f t="shared" si="6"/>
        <v>43</v>
      </c>
      <c r="V14" s="17">
        <f t="shared" si="6"/>
        <v>96</v>
      </c>
      <c r="W14" s="17">
        <f t="shared" si="6"/>
        <v>19</v>
      </c>
      <c r="X14" s="17">
        <f t="shared" si="6"/>
        <v>1</v>
      </c>
      <c r="Y14" s="17">
        <f t="shared" si="6"/>
        <v>77</v>
      </c>
      <c r="Z14" s="17">
        <f t="shared" si="6"/>
        <v>41</v>
      </c>
      <c r="AA14" s="17">
        <f t="shared" si="6"/>
        <v>38</v>
      </c>
      <c r="AB14" s="17">
        <f t="shared" si="6"/>
        <v>19</v>
      </c>
      <c r="AC14" s="17">
        <f t="shared" si="6"/>
        <v>677</v>
      </c>
      <c r="AD14" s="17">
        <f t="shared" si="6"/>
        <v>0</v>
      </c>
      <c r="AE14" s="31">
        <f t="shared" si="6"/>
        <v>662</v>
      </c>
      <c r="AF14" s="31">
        <f t="shared" si="6"/>
        <v>1339</v>
      </c>
    </row>
    <row r="15" spans="2:32" ht="23.1" customHeight="1" x14ac:dyDescent="0.25">
      <c r="B15" s="45" t="s">
        <v>42</v>
      </c>
      <c r="C15" s="50">
        <v>92</v>
      </c>
      <c r="D15" s="50">
        <v>18</v>
      </c>
      <c r="E15" s="50">
        <v>13</v>
      </c>
      <c r="F15" s="50">
        <v>17</v>
      </c>
      <c r="G15" s="50">
        <v>2</v>
      </c>
      <c r="H15" s="50">
        <v>0</v>
      </c>
      <c r="I15" s="50">
        <v>13</v>
      </c>
      <c r="J15" s="50">
        <v>4</v>
      </c>
      <c r="K15" s="50">
        <v>5</v>
      </c>
      <c r="L15" s="50">
        <v>8</v>
      </c>
      <c r="M15" s="50">
        <v>150</v>
      </c>
      <c r="N15" s="50">
        <v>0</v>
      </c>
      <c r="O15" s="15">
        <f t="shared" si="0"/>
        <v>172</v>
      </c>
      <c r="P15" s="15">
        <f t="shared" si="1"/>
        <v>322</v>
      </c>
      <c r="R15" s="1" t="s">
        <v>11</v>
      </c>
      <c r="S15" s="17">
        <f t="shared" ref="S15:AF15" si="7">SUM(C30:C33)</f>
        <v>325</v>
      </c>
      <c r="T15" s="17">
        <f t="shared" si="7"/>
        <v>59</v>
      </c>
      <c r="U15" s="17">
        <f t="shared" si="7"/>
        <v>47</v>
      </c>
      <c r="V15" s="17">
        <f t="shared" si="7"/>
        <v>113</v>
      </c>
      <c r="W15" s="17">
        <f t="shared" si="7"/>
        <v>7</v>
      </c>
      <c r="X15" s="17">
        <f t="shared" si="7"/>
        <v>3</v>
      </c>
      <c r="Y15" s="17">
        <f t="shared" si="7"/>
        <v>53</v>
      </c>
      <c r="Z15" s="17">
        <f t="shared" si="7"/>
        <v>28</v>
      </c>
      <c r="AA15" s="17">
        <f t="shared" si="7"/>
        <v>34</v>
      </c>
      <c r="AB15" s="17">
        <f t="shared" si="7"/>
        <v>28</v>
      </c>
      <c r="AC15" s="17">
        <f t="shared" si="7"/>
        <v>613</v>
      </c>
      <c r="AD15" s="17">
        <f t="shared" si="7"/>
        <v>1</v>
      </c>
      <c r="AE15" s="31">
        <f t="shared" si="7"/>
        <v>698</v>
      </c>
      <c r="AF15" s="31">
        <f t="shared" si="7"/>
        <v>1311</v>
      </c>
    </row>
    <row r="16" spans="2:32" ht="23.1" customHeight="1" x14ac:dyDescent="0.25">
      <c r="B16" s="45" t="s">
        <v>43</v>
      </c>
      <c r="C16" s="50">
        <v>90</v>
      </c>
      <c r="D16" s="50">
        <v>9</v>
      </c>
      <c r="E16" s="50">
        <v>16</v>
      </c>
      <c r="F16" s="50">
        <v>34</v>
      </c>
      <c r="G16" s="50">
        <v>4</v>
      </c>
      <c r="H16" s="50">
        <v>0</v>
      </c>
      <c r="I16" s="50">
        <v>35</v>
      </c>
      <c r="J16" s="50">
        <v>7</v>
      </c>
      <c r="K16" s="50">
        <v>2</v>
      </c>
      <c r="L16" s="50">
        <v>3</v>
      </c>
      <c r="M16" s="50">
        <v>180</v>
      </c>
      <c r="N16" s="50">
        <v>0</v>
      </c>
      <c r="O16" s="15">
        <f t="shared" si="0"/>
        <v>200</v>
      </c>
      <c r="P16" s="15">
        <f t="shared" si="1"/>
        <v>380</v>
      </c>
      <c r="R16" s="1" t="s">
        <v>12</v>
      </c>
      <c r="S16" s="17">
        <f t="shared" ref="S16:AF16" si="8">SUM(C34:C37)</f>
        <v>325</v>
      </c>
      <c r="T16" s="17">
        <f t="shared" si="8"/>
        <v>63</v>
      </c>
      <c r="U16" s="17">
        <f t="shared" si="8"/>
        <v>45</v>
      </c>
      <c r="V16" s="17">
        <f t="shared" si="8"/>
        <v>117</v>
      </c>
      <c r="W16" s="17">
        <f t="shared" si="8"/>
        <v>9</v>
      </c>
      <c r="X16" s="17">
        <f t="shared" si="8"/>
        <v>1</v>
      </c>
      <c r="Y16" s="17">
        <f t="shared" si="8"/>
        <v>64</v>
      </c>
      <c r="Z16" s="17">
        <f t="shared" si="8"/>
        <v>44</v>
      </c>
      <c r="AA16" s="17">
        <f t="shared" si="8"/>
        <v>22</v>
      </c>
      <c r="AB16" s="17">
        <f t="shared" si="8"/>
        <v>36</v>
      </c>
      <c r="AC16" s="17">
        <f t="shared" si="8"/>
        <v>673</v>
      </c>
      <c r="AD16" s="17">
        <f t="shared" si="8"/>
        <v>0</v>
      </c>
      <c r="AE16" s="31">
        <f t="shared" si="8"/>
        <v>726</v>
      </c>
      <c r="AF16" s="31">
        <f t="shared" si="8"/>
        <v>1399</v>
      </c>
    </row>
    <row r="17" spans="2:32" ht="23.1" customHeight="1" x14ac:dyDescent="0.25">
      <c r="B17" s="45" t="s">
        <v>44</v>
      </c>
      <c r="C17" s="50">
        <v>103</v>
      </c>
      <c r="D17" s="50">
        <v>14</v>
      </c>
      <c r="E17" s="50">
        <v>14</v>
      </c>
      <c r="F17" s="50">
        <v>34</v>
      </c>
      <c r="G17" s="50">
        <v>8</v>
      </c>
      <c r="H17" s="50">
        <v>0</v>
      </c>
      <c r="I17" s="50">
        <v>24</v>
      </c>
      <c r="J17" s="50">
        <v>5</v>
      </c>
      <c r="K17" s="50">
        <v>8</v>
      </c>
      <c r="L17" s="50">
        <v>8</v>
      </c>
      <c r="M17" s="50">
        <v>290</v>
      </c>
      <c r="N17" s="50">
        <v>0</v>
      </c>
      <c r="O17" s="15">
        <f t="shared" si="0"/>
        <v>218</v>
      </c>
      <c r="P17" s="15">
        <f t="shared" si="1"/>
        <v>508</v>
      </c>
      <c r="R17" s="1" t="s">
        <v>13</v>
      </c>
      <c r="S17" s="17">
        <f t="shared" ref="S17:AF17" si="9">SUM(C38:C41)</f>
        <v>284</v>
      </c>
      <c r="T17" s="17">
        <f t="shared" si="9"/>
        <v>52</v>
      </c>
      <c r="U17" s="17">
        <f t="shared" si="9"/>
        <v>52</v>
      </c>
      <c r="V17" s="17">
        <f t="shared" si="9"/>
        <v>73</v>
      </c>
      <c r="W17" s="17">
        <f t="shared" si="9"/>
        <v>7</v>
      </c>
      <c r="X17" s="17">
        <f t="shared" si="9"/>
        <v>0</v>
      </c>
      <c r="Y17" s="17">
        <f t="shared" si="9"/>
        <v>54</v>
      </c>
      <c r="Z17" s="17">
        <f t="shared" si="9"/>
        <v>41</v>
      </c>
      <c r="AA17" s="17">
        <f t="shared" si="9"/>
        <v>40</v>
      </c>
      <c r="AB17" s="17">
        <f t="shared" si="9"/>
        <v>31</v>
      </c>
      <c r="AC17" s="17">
        <f t="shared" si="9"/>
        <v>589</v>
      </c>
      <c r="AD17" s="17">
        <f t="shared" si="9"/>
        <v>0</v>
      </c>
      <c r="AE17" s="31">
        <f t="shared" si="9"/>
        <v>634</v>
      </c>
      <c r="AF17" s="31">
        <f t="shared" si="9"/>
        <v>1223</v>
      </c>
    </row>
    <row r="18" spans="2:32" ht="23.1" customHeight="1" x14ac:dyDescent="0.25">
      <c r="B18" s="45" t="s">
        <v>45</v>
      </c>
      <c r="C18" s="50">
        <v>120</v>
      </c>
      <c r="D18" s="50">
        <v>8</v>
      </c>
      <c r="E18" s="50">
        <v>5</v>
      </c>
      <c r="F18" s="50">
        <v>33</v>
      </c>
      <c r="G18" s="50">
        <v>2</v>
      </c>
      <c r="H18" s="50">
        <v>0</v>
      </c>
      <c r="I18" s="50">
        <v>12</v>
      </c>
      <c r="J18" s="50">
        <v>4</v>
      </c>
      <c r="K18" s="50">
        <v>8</v>
      </c>
      <c r="L18" s="50">
        <v>8</v>
      </c>
      <c r="M18" s="50">
        <v>40</v>
      </c>
      <c r="N18" s="50">
        <v>0</v>
      </c>
      <c r="O18" s="15">
        <f t="shared" si="0"/>
        <v>200</v>
      </c>
      <c r="P18" s="15">
        <f t="shared" si="1"/>
        <v>240</v>
      </c>
      <c r="R18" s="1" t="s">
        <v>14</v>
      </c>
      <c r="S18" s="17">
        <f t="shared" ref="S18:AF18" si="10">SUM(C42:C45)</f>
        <v>338</v>
      </c>
      <c r="T18" s="17">
        <f t="shared" si="10"/>
        <v>61</v>
      </c>
      <c r="U18" s="17">
        <f t="shared" si="10"/>
        <v>59</v>
      </c>
      <c r="V18" s="17">
        <f t="shared" si="10"/>
        <v>87</v>
      </c>
      <c r="W18" s="17">
        <f t="shared" si="10"/>
        <v>3</v>
      </c>
      <c r="X18" s="17">
        <f t="shared" si="10"/>
        <v>0</v>
      </c>
      <c r="Y18" s="17">
        <f t="shared" si="10"/>
        <v>66</v>
      </c>
      <c r="Z18" s="17">
        <f t="shared" si="10"/>
        <v>60</v>
      </c>
      <c r="AA18" s="17">
        <f t="shared" si="10"/>
        <v>20</v>
      </c>
      <c r="AB18" s="17">
        <f t="shared" si="10"/>
        <v>22</v>
      </c>
      <c r="AC18" s="17">
        <f t="shared" si="10"/>
        <v>572</v>
      </c>
      <c r="AD18" s="17">
        <f t="shared" si="10"/>
        <v>0</v>
      </c>
      <c r="AE18" s="31">
        <f t="shared" si="10"/>
        <v>716</v>
      </c>
      <c r="AF18" s="31">
        <f t="shared" si="10"/>
        <v>1288</v>
      </c>
    </row>
    <row r="19" spans="2:32" ht="23.1" customHeight="1" x14ac:dyDescent="0.25">
      <c r="B19" s="45" t="s">
        <v>46</v>
      </c>
      <c r="C19" s="50">
        <v>95</v>
      </c>
      <c r="D19" s="50">
        <v>13</v>
      </c>
      <c r="E19" s="50">
        <v>13</v>
      </c>
      <c r="F19" s="50">
        <v>35</v>
      </c>
      <c r="G19" s="50">
        <v>0</v>
      </c>
      <c r="H19" s="50">
        <v>0</v>
      </c>
      <c r="I19" s="50">
        <v>11</v>
      </c>
      <c r="J19" s="50">
        <v>30</v>
      </c>
      <c r="K19" s="50">
        <v>8</v>
      </c>
      <c r="L19" s="50">
        <v>6</v>
      </c>
      <c r="M19" s="50">
        <v>170</v>
      </c>
      <c r="N19" s="50">
        <v>0</v>
      </c>
      <c r="O19" s="15">
        <f t="shared" si="0"/>
        <v>211</v>
      </c>
      <c r="P19" s="15">
        <f t="shared" si="1"/>
        <v>381</v>
      </c>
      <c r="R19" s="1" t="s">
        <v>15</v>
      </c>
      <c r="S19" s="17">
        <f t="shared" ref="S19:AF19" si="11">SUM(C46:C49)</f>
        <v>404</v>
      </c>
      <c r="T19" s="17">
        <f t="shared" si="11"/>
        <v>68</v>
      </c>
      <c r="U19" s="17">
        <f t="shared" si="11"/>
        <v>61</v>
      </c>
      <c r="V19" s="17">
        <f t="shared" si="11"/>
        <v>121</v>
      </c>
      <c r="W19" s="17">
        <f t="shared" si="11"/>
        <v>2</v>
      </c>
      <c r="X19" s="17">
        <f t="shared" si="11"/>
        <v>1</v>
      </c>
      <c r="Y19" s="17">
        <f t="shared" si="11"/>
        <v>89</v>
      </c>
      <c r="Z19" s="17">
        <f t="shared" si="11"/>
        <v>34</v>
      </c>
      <c r="AA19" s="17">
        <f t="shared" si="11"/>
        <v>20</v>
      </c>
      <c r="AB19" s="17">
        <f t="shared" si="11"/>
        <v>40</v>
      </c>
      <c r="AC19" s="17">
        <f t="shared" si="11"/>
        <v>524</v>
      </c>
      <c r="AD19" s="17">
        <f t="shared" si="11"/>
        <v>0</v>
      </c>
      <c r="AE19" s="31">
        <f t="shared" si="11"/>
        <v>840</v>
      </c>
      <c r="AF19" s="31">
        <f t="shared" si="11"/>
        <v>1364</v>
      </c>
    </row>
    <row r="20" spans="2:32" ht="23.1" customHeight="1" x14ac:dyDescent="0.25">
      <c r="B20" s="45" t="s">
        <v>47</v>
      </c>
      <c r="C20" s="50">
        <v>70</v>
      </c>
      <c r="D20" s="50">
        <v>13</v>
      </c>
      <c r="E20" s="50">
        <v>15</v>
      </c>
      <c r="F20" s="50">
        <v>55</v>
      </c>
      <c r="G20" s="50">
        <v>8</v>
      </c>
      <c r="H20" s="50">
        <v>0</v>
      </c>
      <c r="I20" s="50">
        <v>28</v>
      </c>
      <c r="J20" s="50">
        <v>8</v>
      </c>
      <c r="K20" s="50">
        <v>16</v>
      </c>
      <c r="L20" s="50">
        <v>7</v>
      </c>
      <c r="M20" s="50">
        <v>195</v>
      </c>
      <c r="N20" s="50">
        <v>0</v>
      </c>
      <c r="O20" s="15">
        <f t="shared" si="0"/>
        <v>220</v>
      </c>
      <c r="P20" s="15">
        <f t="shared" si="1"/>
        <v>415</v>
      </c>
      <c r="R20" s="1" t="s">
        <v>16</v>
      </c>
      <c r="S20" s="17">
        <f t="shared" ref="S20:AF20" si="12">SUM(C50:C53)</f>
        <v>477</v>
      </c>
      <c r="T20" s="17">
        <f t="shared" si="12"/>
        <v>70</v>
      </c>
      <c r="U20" s="17">
        <f t="shared" si="12"/>
        <v>54</v>
      </c>
      <c r="V20" s="17">
        <f t="shared" si="12"/>
        <v>146</v>
      </c>
      <c r="W20" s="17">
        <f t="shared" si="12"/>
        <v>4</v>
      </c>
      <c r="X20" s="17">
        <f t="shared" si="12"/>
        <v>3</v>
      </c>
      <c r="Y20" s="17">
        <f t="shared" si="12"/>
        <v>85</v>
      </c>
      <c r="Z20" s="17">
        <f t="shared" si="12"/>
        <v>48</v>
      </c>
      <c r="AA20" s="17">
        <f t="shared" si="12"/>
        <v>40</v>
      </c>
      <c r="AB20" s="17">
        <f t="shared" si="12"/>
        <v>22</v>
      </c>
      <c r="AC20" s="17">
        <f t="shared" si="12"/>
        <v>562</v>
      </c>
      <c r="AD20" s="17">
        <f t="shared" si="12"/>
        <v>0</v>
      </c>
      <c r="AE20" s="31">
        <f t="shared" si="12"/>
        <v>949</v>
      </c>
      <c r="AF20" s="31">
        <f t="shared" si="12"/>
        <v>1511</v>
      </c>
    </row>
    <row r="21" spans="2:32" ht="23.1" customHeight="1" x14ac:dyDescent="0.25">
      <c r="B21" s="45" t="s">
        <v>48</v>
      </c>
      <c r="C21" s="50">
        <v>105</v>
      </c>
      <c r="D21" s="50">
        <v>7</v>
      </c>
      <c r="E21" s="50">
        <v>13</v>
      </c>
      <c r="F21" s="50">
        <v>55</v>
      </c>
      <c r="G21" s="50">
        <v>4</v>
      </c>
      <c r="H21" s="50">
        <v>0</v>
      </c>
      <c r="I21" s="50">
        <v>30</v>
      </c>
      <c r="J21" s="50">
        <v>15</v>
      </c>
      <c r="K21" s="50">
        <v>12</v>
      </c>
      <c r="L21" s="50">
        <v>15</v>
      </c>
      <c r="M21" s="50">
        <v>174</v>
      </c>
      <c r="N21" s="50">
        <v>0</v>
      </c>
      <c r="O21" s="15">
        <f t="shared" si="0"/>
        <v>256</v>
      </c>
      <c r="P21" s="15">
        <f t="shared" si="1"/>
        <v>430</v>
      </c>
      <c r="R21" s="36" t="s">
        <v>20</v>
      </c>
      <c r="S21" s="34">
        <f t="shared" ref="S21:AF21" si="13">SUM(C54:C57)</f>
        <v>444</v>
      </c>
      <c r="T21" s="17">
        <f t="shared" si="13"/>
        <v>73</v>
      </c>
      <c r="U21" s="17">
        <f t="shared" si="13"/>
        <v>55</v>
      </c>
      <c r="V21" s="17">
        <f t="shared" si="13"/>
        <v>140</v>
      </c>
      <c r="W21" s="17">
        <f t="shared" si="13"/>
        <v>13</v>
      </c>
      <c r="X21" s="17">
        <f t="shared" si="13"/>
        <v>3</v>
      </c>
      <c r="Y21" s="17">
        <f t="shared" si="13"/>
        <v>49</v>
      </c>
      <c r="Z21" s="17">
        <f t="shared" si="13"/>
        <v>44</v>
      </c>
      <c r="AA21" s="17">
        <f t="shared" si="13"/>
        <v>24</v>
      </c>
      <c r="AB21" s="17">
        <f t="shared" si="13"/>
        <v>22</v>
      </c>
      <c r="AC21" s="17">
        <f t="shared" si="13"/>
        <v>659</v>
      </c>
      <c r="AD21" s="17">
        <f t="shared" si="13"/>
        <v>0</v>
      </c>
      <c r="AE21" s="31">
        <f t="shared" si="13"/>
        <v>867</v>
      </c>
      <c r="AF21" s="31">
        <f t="shared" si="13"/>
        <v>1526</v>
      </c>
    </row>
    <row r="22" spans="2:32" ht="23.1" customHeight="1" x14ac:dyDescent="0.25">
      <c r="B22" s="45" t="s">
        <v>49</v>
      </c>
      <c r="C22" s="50">
        <v>90</v>
      </c>
      <c r="D22" s="50">
        <v>4</v>
      </c>
      <c r="E22" s="50">
        <v>10</v>
      </c>
      <c r="F22" s="50">
        <v>65</v>
      </c>
      <c r="G22" s="50">
        <v>7</v>
      </c>
      <c r="H22" s="50">
        <v>1</v>
      </c>
      <c r="I22" s="50">
        <v>53</v>
      </c>
      <c r="J22" s="50">
        <v>8</v>
      </c>
      <c r="K22" s="50">
        <v>28</v>
      </c>
      <c r="L22" s="50">
        <v>7</v>
      </c>
      <c r="M22" s="50">
        <v>240</v>
      </c>
      <c r="N22" s="50">
        <v>0</v>
      </c>
      <c r="O22" s="15">
        <f t="shared" si="0"/>
        <v>273</v>
      </c>
      <c r="P22" s="15">
        <f t="shared" si="1"/>
        <v>513</v>
      </c>
      <c r="R22" s="36" t="s">
        <v>146</v>
      </c>
      <c r="S22" s="34">
        <f>SUM(C58:C61)</f>
        <v>421</v>
      </c>
      <c r="T22" s="34">
        <f t="shared" ref="T22:AF22" si="14">SUM(D58:D61)</f>
        <v>116</v>
      </c>
      <c r="U22" s="34">
        <f t="shared" si="14"/>
        <v>94</v>
      </c>
      <c r="V22" s="34">
        <f t="shared" si="14"/>
        <v>244</v>
      </c>
      <c r="W22" s="34">
        <f t="shared" si="14"/>
        <v>16</v>
      </c>
      <c r="X22" s="34">
        <f t="shared" si="14"/>
        <v>8</v>
      </c>
      <c r="Y22" s="34">
        <f t="shared" si="14"/>
        <v>150</v>
      </c>
      <c r="Z22" s="34">
        <f t="shared" si="14"/>
        <v>109</v>
      </c>
      <c r="AA22" s="34">
        <f t="shared" si="14"/>
        <v>37</v>
      </c>
      <c r="AB22" s="34">
        <f t="shared" si="14"/>
        <v>40</v>
      </c>
      <c r="AC22" s="34">
        <f t="shared" si="14"/>
        <v>647</v>
      </c>
      <c r="AD22" s="34">
        <f t="shared" si="14"/>
        <v>0</v>
      </c>
      <c r="AE22" s="31">
        <f t="shared" si="14"/>
        <v>1235</v>
      </c>
      <c r="AF22" s="31">
        <f t="shared" si="14"/>
        <v>1882</v>
      </c>
    </row>
    <row r="23" spans="2:32" ht="23.1" customHeight="1" x14ac:dyDescent="0.25">
      <c r="B23" s="45" t="s">
        <v>50</v>
      </c>
      <c r="C23" s="50">
        <v>148</v>
      </c>
      <c r="D23" s="50">
        <v>25</v>
      </c>
      <c r="E23" s="50">
        <v>18</v>
      </c>
      <c r="F23" s="50">
        <v>66</v>
      </c>
      <c r="G23" s="50">
        <v>9</v>
      </c>
      <c r="H23" s="50">
        <v>1</v>
      </c>
      <c r="I23" s="50">
        <v>16</v>
      </c>
      <c r="J23" s="50">
        <v>20</v>
      </c>
      <c r="K23" s="50">
        <v>18</v>
      </c>
      <c r="L23" s="50">
        <v>11</v>
      </c>
      <c r="M23" s="50">
        <v>150</v>
      </c>
      <c r="N23" s="50">
        <v>1</v>
      </c>
      <c r="O23" s="15">
        <f t="shared" si="0"/>
        <v>333</v>
      </c>
      <c r="P23" s="15">
        <f t="shared" si="1"/>
        <v>483</v>
      </c>
      <c r="R23" s="36" t="s">
        <v>147</v>
      </c>
      <c r="S23" s="34">
        <f>SUM(C62:C65)</f>
        <v>295</v>
      </c>
      <c r="T23" s="34">
        <f t="shared" ref="T23:AF23" si="15">SUM(D62:D65)</f>
        <v>161</v>
      </c>
      <c r="U23" s="34">
        <f t="shared" si="15"/>
        <v>180</v>
      </c>
      <c r="V23" s="34">
        <f t="shared" si="15"/>
        <v>289</v>
      </c>
      <c r="W23" s="34">
        <f t="shared" si="15"/>
        <v>3</v>
      </c>
      <c r="X23" s="34">
        <f t="shared" si="15"/>
        <v>5</v>
      </c>
      <c r="Y23" s="34">
        <f t="shared" si="15"/>
        <v>196</v>
      </c>
      <c r="Z23" s="34">
        <f t="shared" si="15"/>
        <v>186</v>
      </c>
      <c r="AA23" s="34">
        <f t="shared" si="15"/>
        <v>224</v>
      </c>
      <c r="AB23" s="34">
        <f t="shared" si="15"/>
        <v>99</v>
      </c>
      <c r="AC23" s="34">
        <f t="shared" si="15"/>
        <v>472</v>
      </c>
      <c r="AD23" s="34">
        <f t="shared" si="15"/>
        <v>0</v>
      </c>
      <c r="AE23" s="31">
        <f t="shared" si="15"/>
        <v>1638</v>
      </c>
      <c r="AF23" s="31">
        <f t="shared" si="15"/>
        <v>2110</v>
      </c>
    </row>
    <row r="24" spans="2:32" ht="23.1" customHeight="1" x14ac:dyDescent="0.25">
      <c r="B24" s="45" t="s">
        <v>51</v>
      </c>
      <c r="C24" s="50">
        <v>96</v>
      </c>
      <c r="D24" s="50">
        <v>25</v>
      </c>
      <c r="E24" s="50">
        <v>13</v>
      </c>
      <c r="F24" s="50">
        <v>29</v>
      </c>
      <c r="G24" s="50">
        <v>11</v>
      </c>
      <c r="H24" s="50">
        <v>3</v>
      </c>
      <c r="I24" s="50">
        <v>18</v>
      </c>
      <c r="J24" s="50">
        <v>10</v>
      </c>
      <c r="K24" s="50">
        <v>8</v>
      </c>
      <c r="L24" s="50">
        <v>8</v>
      </c>
      <c r="M24" s="50">
        <v>170</v>
      </c>
      <c r="N24" s="50">
        <v>0</v>
      </c>
      <c r="O24" s="15">
        <f t="shared" si="0"/>
        <v>221</v>
      </c>
      <c r="P24" s="15">
        <f t="shared" si="1"/>
        <v>391</v>
      </c>
      <c r="R24" s="36" t="s">
        <v>148</v>
      </c>
      <c r="S24" s="34">
        <f>SUM(C66:C69)</f>
        <v>308</v>
      </c>
      <c r="T24" s="34">
        <f t="shared" ref="T24:AF24" si="16">SUM(D66:D69)</f>
        <v>58</v>
      </c>
      <c r="U24" s="34">
        <f t="shared" si="16"/>
        <v>46</v>
      </c>
      <c r="V24" s="34">
        <f t="shared" si="16"/>
        <v>241</v>
      </c>
      <c r="W24" s="34">
        <f t="shared" si="16"/>
        <v>5</v>
      </c>
      <c r="X24" s="34">
        <f t="shared" si="16"/>
        <v>1</v>
      </c>
      <c r="Y24" s="34">
        <f t="shared" si="16"/>
        <v>130</v>
      </c>
      <c r="Z24" s="34">
        <f t="shared" si="16"/>
        <v>76</v>
      </c>
      <c r="AA24" s="34">
        <f t="shared" si="16"/>
        <v>37</v>
      </c>
      <c r="AB24" s="34">
        <f t="shared" si="16"/>
        <v>20</v>
      </c>
      <c r="AC24" s="34">
        <f t="shared" si="16"/>
        <v>338</v>
      </c>
      <c r="AD24" s="34">
        <f t="shared" si="16"/>
        <v>0</v>
      </c>
      <c r="AE24" s="31">
        <f t="shared" si="16"/>
        <v>922</v>
      </c>
      <c r="AF24" s="31">
        <f t="shared" si="16"/>
        <v>1260</v>
      </c>
    </row>
    <row r="25" spans="2:32" ht="23.1" customHeight="1" x14ac:dyDescent="0.25">
      <c r="B25" s="45" t="s">
        <v>52</v>
      </c>
      <c r="C25" s="50">
        <v>61</v>
      </c>
      <c r="D25" s="50">
        <v>19</v>
      </c>
      <c r="E25" s="50">
        <v>9</v>
      </c>
      <c r="F25" s="50">
        <v>35</v>
      </c>
      <c r="G25" s="50">
        <v>7</v>
      </c>
      <c r="H25" s="50">
        <v>1</v>
      </c>
      <c r="I25" s="50">
        <v>15</v>
      </c>
      <c r="J25" s="50">
        <v>12</v>
      </c>
      <c r="K25" s="50">
        <v>3</v>
      </c>
      <c r="L25" s="50">
        <v>6</v>
      </c>
      <c r="M25" s="50">
        <v>128</v>
      </c>
      <c r="N25" s="50">
        <v>0</v>
      </c>
      <c r="O25" s="15">
        <f t="shared" si="0"/>
        <v>168</v>
      </c>
      <c r="P25" s="15">
        <f t="shared" si="1"/>
        <v>296</v>
      </c>
      <c r="R25" s="36" t="s">
        <v>149</v>
      </c>
      <c r="S25" s="34">
        <f>SUM(C70:C73)</f>
        <v>180</v>
      </c>
      <c r="T25" s="34">
        <f t="shared" ref="T25:AF25" si="17">SUM(D70:D73)</f>
        <v>39</v>
      </c>
      <c r="U25" s="34">
        <f t="shared" si="17"/>
        <v>39</v>
      </c>
      <c r="V25" s="34">
        <f t="shared" si="17"/>
        <v>157</v>
      </c>
      <c r="W25" s="34">
        <f t="shared" si="17"/>
        <v>0</v>
      </c>
      <c r="X25" s="34">
        <f t="shared" si="17"/>
        <v>0</v>
      </c>
      <c r="Y25" s="34">
        <f t="shared" si="17"/>
        <v>95</v>
      </c>
      <c r="Z25" s="34">
        <f t="shared" si="17"/>
        <v>109</v>
      </c>
      <c r="AA25" s="34">
        <f t="shared" si="17"/>
        <v>107</v>
      </c>
      <c r="AB25" s="34">
        <f t="shared" si="17"/>
        <v>19</v>
      </c>
      <c r="AC25" s="34">
        <f t="shared" si="17"/>
        <v>299</v>
      </c>
      <c r="AD25" s="34">
        <f t="shared" si="17"/>
        <v>0</v>
      </c>
      <c r="AE25" s="31">
        <f t="shared" si="17"/>
        <v>745</v>
      </c>
      <c r="AF25" s="31">
        <f t="shared" si="17"/>
        <v>1044</v>
      </c>
    </row>
    <row r="26" spans="2:32" ht="23.1" customHeight="1" x14ac:dyDescent="0.25">
      <c r="B26" s="45" t="s">
        <v>53</v>
      </c>
      <c r="C26" s="50">
        <v>65</v>
      </c>
      <c r="D26" s="50">
        <v>13</v>
      </c>
      <c r="E26" s="50">
        <v>10</v>
      </c>
      <c r="F26" s="50">
        <v>27</v>
      </c>
      <c r="G26" s="50">
        <v>7</v>
      </c>
      <c r="H26" s="50">
        <v>0</v>
      </c>
      <c r="I26" s="50">
        <v>29</v>
      </c>
      <c r="J26" s="50">
        <v>8</v>
      </c>
      <c r="K26" s="50">
        <v>12</v>
      </c>
      <c r="L26" s="50">
        <v>6</v>
      </c>
      <c r="M26" s="50">
        <v>185</v>
      </c>
      <c r="N26" s="50">
        <v>0</v>
      </c>
      <c r="O26" s="15">
        <f t="shared" si="0"/>
        <v>177</v>
      </c>
      <c r="P26" s="15">
        <f t="shared" si="1"/>
        <v>362</v>
      </c>
      <c r="R26" s="36" t="s">
        <v>150</v>
      </c>
      <c r="S26" s="34">
        <f>SUM(C74:C77)</f>
        <v>187</v>
      </c>
      <c r="T26" s="34">
        <f t="shared" ref="T26:AF26" si="18">SUM(D74:D77)</f>
        <v>18</v>
      </c>
      <c r="U26" s="34">
        <f t="shared" si="18"/>
        <v>15</v>
      </c>
      <c r="V26" s="34">
        <f t="shared" si="18"/>
        <v>37</v>
      </c>
      <c r="W26" s="34">
        <f t="shared" si="18"/>
        <v>2</v>
      </c>
      <c r="X26" s="34">
        <f t="shared" si="18"/>
        <v>1</v>
      </c>
      <c r="Y26" s="34">
        <f t="shared" si="18"/>
        <v>57</v>
      </c>
      <c r="Z26" s="34">
        <f t="shared" si="18"/>
        <v>39</v>
      </c>
      <c r="AA26" s="34">
        <f t="shared" si="18"/>
        <v>8</v>
      </c>
      <c r="AB26" s="34">
        <f t="shared" si="18"/>
        <v>11</v>
      </c>
      <c r="AC26" s="34">
        <f t="shared" si="18"/>
        <v>289</v>
      </c>
      <c r="AD26" s="34">
        <f t="shared" si="18"/>
        <v>0</v>
      </c>
      <c r="AE26" s="31">
        <f t="shared" si="18"/>
        <v>375</v>
      </c>
      <c r="AF26" s="31">
        <f t="shared" si="18"/>
        <v>664</v>
      </c>
    </row>
    <row r="27" spans="2:32" ht="23.1" customHeight="1" x14ac:dyDescent="0.25">
      <c r="B27" s="45" t="s">
        <v>54</v>
      </c>
      <c r="C27" s="50">
        <v>70</v>
      </c>
      <c r="D27" s="50">
        <v>12</v>
      </c>
      <c r="E27" s="50">
        <v>8</v>
      </c>
      <c r="F27" s="50">
        <v>27</v>
      </c>
      <c r="G27" s="50">
        <v>6</v>
      </c>
      <c r="H27" s="50">
        <v>0</v>
      </c>
      <c r="I27" s="50">
        <v>15</v>
      </c>
      <c r="J27" s="50">
        <v>11</v>
      </c>
      <c r="K27" s="50">
        <v>14</v>
      </c>
      <c r="L27" s="50">
        <v>3</v>
      </c>
      <c r="M27" s="50">
        <v>139</v>
      </c>
      <c r="N27" s="50">
        <v>0</v>
      </c>
      <c r="O27" s="15">
        <f t="shared" si="0"/>
        <v>166</v>
      </c>
      <c r="P27" s="15">
        <f t="shared" si="1"/>
        <v>305</v>
      </c>
      <c r="R27" s="36" t="s">
        <v>151</v>
      </c>
      <c r="S27" s="34">
        <f>SUM(C78:C81)</f>
        <v>87</v>
      </c>
      <c r="T27" s="34">
        <f t="shared" ref="T27:AF27" si="19">SUM(D78:D81)</f>
        <v>12</v>
      </c>
      <c r="U27" s="34">
        <f t="shared" si="19"/>
        <v>13</v>
      </c>
      <c r="V27" s="34">
        <f t="shared" si="19"/>
        <v>80</v>
      </c>
      <c r="W27" s="34">
        <f t="shared" si="19"/>
        <v>4</v>
      </c>
      <c r="X27" s="34">
        <f t="shared" si="19"/>
        <v>1</v>
      </c>
      <c r="Y27" s="34">
        <f t="shared" si="19"/>
        <v>18</v>
      </c>
      <c r="Z27" s="34">
        <f t="shared" si="19"/>
        <v>28</v>
      </c>
      <c r="AA27" s="34">
        <f t="shared" si="19"/>
        <v>15</v>
      </c>
      <c r="AB27" s="34">
        <f t="shared" si="19"/>
        <v>7</v>
      </c>
      <c r="AC27" s="34">
        <f t="shared" si="19"/>
        <v>181</v>
      </c>
      <c r="AD27" s="34">
        <f t="shared" si="19"/>
        <v>0</v>
      </c>
      <c r="AE27" s="31">
        <f t="shared" si="19"/>
        <v>265</v>
      </c>
      <c r="AF27" s="31">
        <f t="shared" si="19"/>
        <v>446</v>
      </c>
    </row>
    <row r="28" spans="2:32" ht="23.1" customHeight="1" x14ac:dyDescent="0.25">
      <c r="B28" s="45" t="s">
        <v>55</v>
      </c>
      <c r="C28" s="50">
        <v>65</v>
      </c>
      <c r="D28" s="50">
        <v>15</v>
      </c>
      <c r="E28" s="50">
        <v>15</v>
      </c>
      <c r="F28" s="50">
        <v>25</v>
      </c>
      <c r="G28" s="50">
        <v>4</v>
      </c>
      <c r="H28" s="50">
        <v>1</v>
      </c>
      <c r="I28" s="50">
        <v>16</v>
      </c>
      <c r="J28" s="50">
        <v>12</v>
      </c>
      <c r="K28" s="50">
        <v>7</v>
      </c>
      <c r="L28" s="50">
        <v>6</v>
      </c>
      <c r="M28" s="50">
        <v>205</v>
      </c>
      <c r="N28" s="50">
        <v>0</v>
      </c>
      <c r="O28" s="15">
        <f t="shared" si="0"/>
        <v>166</v>
      </c>
      <c r="P28" s="15">
        <f t="shared" si="1"/>
        <v>371</v>
      </c>
      <c r="R28" s="36" t="s">
        <v>152</v>
      </c>
      <c r="S28" s="34">
        <f>SUM(C82:C85)</f>
        <v>34</v>
      </c>
      <c r="T28" s="34">
        <f t="shared" ref="T28:AF28" si="20">SUM(D82:D85)</f>
        <v>9</v>
      </c>
      <c r="U28" s="34">
        <f t="shared" si="20"/>
        <v>3</v>
      </c>
      <c r="V28" s="34">
        <f t="shared" si="20"/>
        <v>9</v>
      </c>
      <c r="W28" s="34">
        <f t="shared" si="20"/>
        <v>0</v>
      </c>
      <c r="X28" s="34">
        <f t="shared" si="20"/>
        <v>0</v>
      </c>
      <c r="Y28" s="34">
        <f t="shared" si="20"/>
        <v>12</v>
      </c>
      <c r="Z28" s="34">
        <f t="shared" si="20"/>
        <v>12</v>
      </c>
      <c r="AA28" s="34">
        <f t="shared" si="20"/>
        <v>4</v>
      </c>
      <c r="AB28" s="34">
        <f t="shared" si="20"/>
        <v>7</v>
      </c>
      <c r="AC28" s="34">
        <f t="shared" si="20"/>
        <v>68</v>
      </c>
      <c r="AD28" s="34">
        <f t="shared" si="20"/>
        <v>0</v>
      </c>
      <c r="AE28" s="31">
        <f t="shared" si="20"/>
        <v>90</v>
      </c>
      <c r="AF28" s="31">
        <f t="shared" si="20"/>
        <v>158</v>
      </c>
    </row>
    <row r="29" spans="2:32" ht="23.1" customHeight="1" x14ac:dyDescent="0.25">
      <c r="B29" s="45" t="s">
        <v>56</v>
      </c>
      <c r="C29" s="50">
        <v>70</v>
      </c>
      <c r="D29" s="50">
        <v>18</v>
      </c>
      <c r="E29" s="50">
        <v>10</v>
      </c>
      <c r="F29" s="50">
        <v>17</v>
      </c>
      <c r="G29" s="50">
        <v>2</v>
      </c>
      <c r="H29" s="50">
        <v>0</v>
      </c>
      <c r="I29" s="50">
        <v>17</v>
      </c>
      <c r="J29" s="50">
        <v>10</v>
      </c>
      <c r="K29" s="50">
        <v>5</v>
      </c>
      <c r="L29" s="50">
        <v>4</v>
      </c>
      <c r="M29" s="50">
        <v>148</v>
      </c>
      <c r="N29" s="50">
        <v>0</v>
      </c>
      <c r="O29" s="15">
        <f t="shared" si="0"/>
        <v>153</v>
      </c>
      <c r="P29" s="15">
        <f t="shared" si="1"/>
        <v>301</v>
      </c>
      <c r="R29" s="36" t="s">
        <v>153</v>
      </c>
      <c r="S29" s="34">
        <f>SUM(C86:C89)</f>
        <v>21</v>
      </c>
      <c r="T29" s="34">
        <f t="shared" ref="T29:AF29" si="21">SUM(D86:D89)</f>
        <v>3</v>
      </c>
      <c r="U29" s="34">
        <f t="shared" si="21"/>
        <v>4</v>
      </c>
      <c r="V29" s="34">
        <f t="shared" si="21"/>
        <v>4</v>
      </c>
      <c r="W29" s="34">
        <f t="shared" si="21"/>
        <v>0</v>
      </c>
      <c r="X29" s="34">
        <f t="shared" si="21"/>
        <v>0</v>
      </c>
      <c r="Y29" s="34">
        <f t="shared" si="21"/>
        <v>11</v>
      </c>
      <c r="Z29" s="34">
        <f t="shared" si="21"/>
        <v>8</v>
      </c>
      <c r="AA29" s="34">
        <f t="shared" si="21"/>
        <v>2</v>
      </c>
      <c r="AB29" s="34">
        <f t="shared" si="21"/>
        <v>2</v>
      </c>
      <c r="AC29" s="34">
        <f t="shared" si="21"/>
        <v>33</v>
      </c>
      <c r="AD29" s="34">
        <f t="shared" si="21"/>
        <v>0</v>
      </c>
      <c r="AE29" s="31">
        <f t="shared" si="21"/>
        <v>55</v>
      </c>
      <c r="AF29" s="31">
        <f t="shared" si="21"/>
        <v>88</v>
      </c>
    </row>
    <row r="30" spans="2:32" ht="23.1" customHeight="1" x14ac:dyDescent="0.25">
      <c r="B30" s="45" t="s">
        <v>57</v>
      </c>
      <c r="C30" s="50">
        <v>75</v>
      </c>
      <c r="D30" s="50">
        <v>13</v>
      </c>
      <c r="E30" s="50">
        <v>6</v>
      </c>
      <c r="F30" s="50">
        <v>27</v>
      </c>
      <c r="G30" s="50">
        <v>1</v>
      </c>
      <c r="H30" s="50">
        <v>1</v>
      </c>
      <c r="I30" s="50">
        <v>13</v>
      </c>
      <c r="J30" s="50">
        <v>8</v>
      </c>
      <c r="K30" s="50">
        <v>12</v>
      </c>
      <c r="L30" s="50">
        <v>4</v>
      </c>
      <c r="M30" s="50">
        <v>170</v>
      </c>
      <c r="N30" s="50">
        <v>0</v>
      </c>
      <c r="O30" s="15">
        <f t="shared" si="0"/>
        <v>160</v>
      </c>
      <c r="P30" s="15">
        <f t="shared" si="1"/>
        <v>330</v>
      </c>
      <c r="R30" s="36" t="s">
        <v>154</v>
      </c>
      <c r="S30" s="34">
        <f>SUM(C90:C93)</f>
        <v>24</v>
      </c>
      <c r="T30" s="34">
        <f t="shared" ref="T30:AF30" si="22">SUM(D90:D93)</f>
        <v>2</v>
      </c>
      <c r="U30" s="34">
        <f t="shared" si="22"/>
        <v>7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17</v>
      </c>
      <c r="Z30" s="34">
        <f t="shared" si="22"/>
        <v>14</v>
      </c>
      <c r="AA30" s="34">
        <f t="shared" si="22"/>
        <v>5</v>
      </c>
      <c r="AB30" s="34">
        <f t="shared" si="22"/>
        <v>9</v>
      </c>
      <c r="AC30" s="34">
        <f t="shared" si="22"/>
        <v>23</v>
      </c>
      <c r="AD30" s="34">
        <f t="shared" si="22"/>
        <v>0</v>
      </c>
      <c r="AE30" s="31">
        <f t="shared" si="22"/>
        <v>80</v>
      </c>
      <c r="AF30" s="31">
        <f t="shared" si="22"/>
        <v>103</v>
      </c>
    </row>
    <row r="31" spans="2:32" ht="23.1" customHeight="1" x14ac:dyDescent="0.25">
      <c r="B31" s="46" t="s">
        <v>58</v>
      </c>
      <c r="C31" s="50">
        <v>87</v>
      </c>
      <c r="D31" s="50">
        <v>13</v>
      </c>
      <c r="E31" s="50">
        <v>12</v>
      </c>
      <c r="F31" s="50">
        <v>31</v>
      </c>
      <c r="G31" s="50">
        <v>0</v>
      </c>
      <c r="H31" s="50">
        <v>0</v>
      </c>
      <c r="I31" s="50">
        <v>20</v>
      </c>
      <c r="J31" s="50">
        <v>3</v>
      </c>
      <c r="K31" s="50">
        <v>6</v>
      </c>
      <c r="L31" s="50">
        <v>5</v>
      </c>
      <c r="M31" s="50">
        <v>144</v>
      </c>
      <c r="N31" s="50">
        <v>1</v>
      </c>
      <c r="O31" s="15">
        <f t="shared" si="0"/>
        <v>178</v>
      </c>
      <c r="P31" s="15">
        <f t="shared" si="1"/>
        <v>322</v>
      </c>
      <c r="R31" s="36" t="s">
        <v>155</v>
      </c>
      <c r="S31" s="34">
        <f>SUM(C94:C97)</f>
        <v>42</v>
      </c>
      <c r="T31" s="34">
        <f t="shared" ref="T31:AF31" si="23">SUM(D94:D97)</f>
        <v>7</v>
      </c>
      <c r="U31" s="34">
        <f t="shared" si="23"/>
        <v>14</v>
      </c>
      <c r="V31" s="34">
        <f t="shared" si="23"/>
        <v>4</v>
      </c>
      <c r="W31" s="34">
        <f t="shared" si="23"/>
        <v>1</v>
      </c>
      <c r="X31" s="34">
        <f t="shared" si="23"/>
        <v>1</v>
      </c>
      <c r="Y31" s="34">
        <f t="shared" si="23"/>
        <v>27</v>
      </c>
      <c r="Z31" s="34">
        <f t="shared" si="23"/>
        <v>25</v>
      </c>
      <c r="AA31" s="34">
        <f t="shared" si="23"/>
        <v>9</v>
      </c>
      <c r="AB31" s="34">
        <f t="shared" si="23"/>
        <v>9</v>
      </c>
      <c r="AC31" s="34">
        <f t="shared" si="23"/>
        <v>57</v>
      </c>
      <c r="AD31" s="34">
        <f t="shared" si="23"/>
        <v>0</v>
      </c>
      <c r="AE31" s="31">
        <f t="shared" si="23"/>
        <v>139</v>
      </c>
      <c r="AF31" s="31">
        <f t="shared" si="23"/>
        <v>196</v>
      </c>
    </row>
    <row r="32" spans="2:32" ht="23.1" customHeight="1" x14ac:dyDescent="0.25">
      <c r="B32" s="46" t="s">
        <v>59</v>
      </c>
      <c r="C32" s="50">
        <v>65</v>
      </c>
      <c r="D32" s="50">
        <v>15</v>
      </c>
      <c r="E32" s="50">
        <v>12</v>
      </c>
      <c r="F32" s="50">
        <v>28</v>
      </c>
      <c r="G32" s="50">
        <v>2</v>
      </c>
      <c r="H32" s="50">
        <v>1</v>
      </c>
      <c r="I32" s="50">
        <v>12</v>
      </c>
      <c r="J32" s="50">
        <v>6</v>
      </c>
      <c r="K32" s="50">
        <v>5</v>
      </c>
      <c r="L32" s="50">
        <v>5</v>
      </c>
      <c r="M32" s="50">
        <v>162</v>
      </c>
      <c r="N32" s="50">
        <v>0</v>
      </c>
      <c r="O32" s="15">
        <f t="shared" si="0"/>
        <v>151</v>
      </c>
      <c r="P32" s="15">
        <f t="shared" si="1"/>
        <v>313</v>
      </c>
      <c r="R32" s="33" t="s">
        <v>156</v>
      </c>
      <c r="S32" s="34">
        <f>SUM(C98:C101)</f>
        <v>98</v>
      </c>
      <c r="T32" s="34">
        <f t="shared" ref="T32:AF32" si="24">SUM(D98:D101)</f>
        <v>22</v>
      </c>
      <c r="U32" s="34">
        <f t="shared" si="24"/>
        <v>23</v>
      </c>
      <c r="V32" s="34">
        <f t="shared" si="24"/>
        <v>51</v>
      </c>
      <c r="W32" s="34">
        <f t="shared" si="24"/>
        <v>3</v>
      </c>
      <c r="X32" s="34">
        <f t="shared" si="24"/>
        <v>1</v>
      </c>
      <c r="Y32" s="34">
        <f t="shared" si="24"/>
        <v>28</v>
      </c>
      <c r="Z32" s="34">
        <f t="shared" si="24"/>
        <v>21</v>
      </c>
      <c r="AA32" s="34">
        <f t="shared" si="24"/>
        <v>14</v>
      </c>
      <c r="AB32" s="34">
        <f t="shared" si="24"/>
        <v>10</v>
      </c>
      <c r="AC32" s="34">
        <f t="shared" si="24"/>
        <v>117</v>
      </c>
      <c r="AD32" s="34">
        <f t="shared" si="24"/>
        <v>0</v>
      </c>
      <c r="AE32" s="31">
        <f t="shared" si="24"/>
        <v>271</v>
      </c>
      <c r="AF32" s="31">
        <f t="shared" si="24"/>
        <v>388</v>
      </c>
    </row>
    <row r="33" spans="2:32" ht="23.1" customHeight="1" x14ac:dyDescent="0.25">
      <c r="B33" s="45" t="s">
        <v>60</v>
      </c>
      <c r="C33" s="50">
        <v>98</v>
      </c>
      <c r="D33" s="50">
        <v>18</v>
      </c>
      <c r="E33" s="50">
        <v>17</v>
      </c>
      <c r="F33" s="50">
        <v>27</v>
      </c>
      <c r="G33" s="50">
        <v>4</v>
      </c>
      <c r="H33" s="50">
        <v>1</v>
      </c>
      <c r="I33" s="50">
        <v>8</v>
      </c>
      <c r="J33" s="50">
        <v>11</v>
      </c>
      <c r="K33" s="50">
        <v>11</v>
      </c>
      <c r="L33" s="50">
        <v>14</v>
      </c>
      <c r="M33" s="50">
        <v>137</v>
      </c>
      <c r="N33" s="50">
        <v>0</v>
      </c>
      <c r="O33" s="15">
        <f t="shared" si="0"/>
        <v>209</v>
      </c>
      <c r="P33" s="15">
        <f t="shared" si="1"/>
        <v>346</v>
      </c>
      <c r="R33" s="33" t="s">
        <v>157</v>
      </c>
      <c r="S33" s="34">
        <f>SUM(C102:C105)</f>
        <v>199</v>
      </c>
      <c r="T33" s="34">
        <f t="shared" ref="T33:AF33" si="25">SUM(D102:D105)</f>
        <v>38</v>
      </c>
      <c r="U33" s="34">
        <f t="shared" si="25"/>
        <v>32</v>
      </c>
      <c r="V33" s="34">
        <f t="shared" si="25"/>
        <v>165</v>
      </c>
      <c r="W33" s="34">
        <f t="shared" si="25"/>
        <v>3</v>
      </c>
      <c r="X33" s="34">
        <f t="shared" si="25"/>
        <v>0</v>
      </c>
      <c r="Y33" s="34">
        <f t="shared" si="25"/>
        <v>73</v>
      </c>
      <c r="Z33" s="34">
        <f t="shared" si="25"/>
        <v>17</v>
      </c>
      <c r="AA33" s="34">
        <f t="shared" si="25"/>
        <v>22</v>
      </c>
      <c r="AB33" s="34">
        <f t="shared" si="25"/>
        <v>12</v>
      </c>
      <c r="AC33" s="34">
        <f t="shared" si="25"/>
        <v>345</v>
      </c>
      <c r="AD33" s="34">
        <f t="shared" si="25"/>
        <v>0</v>
      </c>
      <c r="AE33" s="31">
        <f t="shared" si="25"/>
        <v>561</v>
      </c>
      <c r="AF33" s="31">
        <f t="shared" si="25"/>
        <v>906</v>
      </c>
    </row>
    <row r="34" spans="2:32" ht="23.1" customHeight="1" x14ac:dyDescent="0.25">
      <c r="B34" s="46" t="s">
        <v>61</v>
      </c>
      <c r="C34" s="50">
        <v>85</v>
      </c>
      <c r="D34" s="50">
        <v>12</v>
      </c>
      <c r="E34" s="50">
        <v>9</v>
      </c>
      <c r="F34" s="50">
        <v>40</v>
      </c>
      <c r="G34" s="50">
        <v>6</v>
      </c>
      <c r="H34" s="50">
        <v>0</v>
      </c>
      <c r="I34" s="50">
        <v>14</v>
      </c>
      <c r="J34" s="50">
        <v>10</v>
      </c>
      <c r="K34" s="50">
        <v>5</v>
      </c>
      <c r="L34" s="50">
        <v>13</v>
      </c>
      <c r="M34" s="50">
        <v>160</v>
      </c>
      <c r="N34" s="50">
        <v>0</v>
      </c>
      <c r="O34" s="15">
        <f t="shared" si="0"/>
        <v>194</v>
      </c>
      <c r="P34" s="15">
        <f t="shared" si="1"/>
        <v>354</v>
      </c>
      <c r="R34" s="38" t="s">
        <v>90</v>
      </c>
      <c r="S34" s="39">
        <f t="shared" ref="S34:AF34" si="26">MAX(S10:S12)</f>
        <v>390</v>
      </c>
      <c r="T34" s="39">
        <f t="shared" si="26"/>
        <v>55</v>
      </c>
      <c r="U34" s="39">
        <f t="shared" si="26"/>
        <v>54</v>
      </c>
      <c r="V34" s="39">
        <f t="shared" si="26"/>
        <v>178</v>
      </c>
      <c r="W34" s="39">
        <f t="shared" si="26"/>
        <v>17</v>
      </c>
      <c r="X34" s="39">
        <f t="shared" si="26"/>
        <v>3</v>
      </c>
      <c r="Y34" s="39">
        <f t="shared" si="26"/>
        <v>81</v>
      </c>
      <c r="Z34" s="39">
        <f t="shared" si="26"/>
        <v>57</v>
      </c>
      <c r="AA34" s="39">
        <f t="shared" si="26"/>
        <v>44</v>
      </c>
      <c r="AB34" s="39">
        <f t="shared" si="26"/>
        <v>36</v>
      </c>
      <c r="AC34" s="39">
        <f t="shared" si="26"/>
        <v>733</v>
      </c>
      <c r="AD34" s="39">
        <f t="shared" si="26"/>
        <v>1</v>
      </c>
      <c r="AE34" s="40">
        <f t="shared" si="26"/>
        <v>887</v>
      </c>
      <c r="AF34" s="40">
        <f t="shared" si="26"/>
        <v>1466</v>
      </c>
    </row>
    <row r="35" spans="2:32" ht="23.1" customHeight="1" x14ac:dyDescent="0.25">
      <c r="B35" s="46" t="s">
        <v>62</v>
      </c>
      <c r="C35" s="50">
        <v>84</v>
      </c>
      <c r="D35" s="50">
        <v>13</v>
      </c>
      <c r="E35" s="50">
        <v>20</v>
      </c>
      <c r="F35" s="50">
        <v>32</v>
      </c>
      <c r="G35" s="50">
        <v>2</v>
      </c>
      <c r="H35" s="50">
        <v>0</v>
      </c>
      <c r="I35" s="50">
        <v>17</v>
      </c>
      <c r="J35" s="50">
        <v>12</v>
      </c>
      <c r="K35" s="50">
        <v>4</v>
      </c>
      <c r="L35" s="50">
        <v>10</v>
      </c>
      <c r="M35" s="50">
        <v>175</v>
      </c>
      <c r="N35" s="50">
        <v>0</v>
      </c>
      <c r="O35" s="15">
        <f t="shared" si="0"/>
        <v>194</v>
      </c>
      <c r="P35" s="15">
        <f t="shared" si="1"/>
        <v>369</v>
      </c>
      <c r="R35" s="38" t="s">
        <v>91</v>
      </c>
      <c r="S35" s="39">
        <f t="shared" ref="S35:AF35" si="27">MAX(S13:S18)</f>
        <v>395</v>
      </c>
      <c r="T35" s="39">
        <f t="shared" si="27"/>
        <v>73</v>
      </c>
      <c r="U35" s="39">
        <f t="shared" si="27"/>
        <v>59</v>
      </c>
      <c r="V35" s="39">
        <f t="shared" si="27"/>
        <v>195</v>
      </c>
      <c r="W35" s="39">
        <f t="shared" si="27"/>
        <v>34</v>
      </c>
      <c r="X35" s="39">
        <f t="shared" si="27"/>
        <v>6</v>
      </c>
      <c r="Y35" s="39">
        <f t="shared" si="27"/>
        <v>102</v>
      </c>
      <c r="Z35" s="39">
        <f t="shared" si="27"/>
        <v>60</v>
      </c>
      <c r="AA35" s="39">
        <f t="shared" si="27"/>
        <v>57</v>
      </c>
      <c r="AB35" s="39">
        <f t="shared" si="27"/>
        <v>36</v>
      </c>
      <c r="AC35" s="39">
        <f t="shared" si="27"/>
        <v>688</v>
      </c>
      <c r="AD35" s="39">
        <f t="shared" si="27"/>
        <v>1</v>
      </c>
      <c r="AE35" s="40">
        <f t="shared" si="27"/>
        <v>995</v>
      </c>
      <c r="AF35" s="40">
        <f t="shared" si="27"/>
        <v>1683</v>
      </c>
    </row>
    <row r="36" spans="2:32" ht="23.1" customHeight="1" x14ac:dyDescent="0.25">
      <c r="B36" s="46" t="s">
        <v>63</v>
      </c>
      <c r="C36" s="50">
        <v>80</v>
      </c>
      <c r="D36" s="50">
        <v>17</v>
      </c>
      <c r="E36" s="50">
        <v>7</v>
      </c>
      <c r="F36" s="50">
        <v>30</v>
      </c>
      <c r="G36" s="50">
        <v>1</v>
      </c>
      <c r="H36" s="50">
        <v>0</v>
      </c>
      <c r="I36" s="50">
        <v>16</v>
      </c>
      <c r="J36" s="50">
        <v>9</v>
      </c>
      <c r="K36" s="50">
        <v>3</v>
      </c>
      <c r="L36" s="50">
        <v>6</v>
      </c>
      <c r="M36" s="50">
        <v>180</v>
      </c>
      <c r="N36" s="50">
        <v>0</v>
      </c>
      <c r="O36" s="15">
        <f t="shared" si="0"/>
        <v>169</v>
      </c>
      <c r="P36" s="15">
        <f t="shared" si="1"/>
        <v>349</v>
      </c>
      <c r="R36" s="38" t="s">
        <v>92</v>
      </c>
      <c r="S36" s="39">
        <f t="shared" ref="S36:AF36" si="28">MAX(S19:S21)</f>
        <v>477</v>
      </c>
      <c r="T36" s="39">
        <f t="shared" si="28"/>
        <v>73</v>
      </c>
      <c r="U36" s="39">
        <f t="shared" si="28"/>
        <v>61</v>
      </c>
      <c r="V36" s="39">
        <f t="shared" si="28"/>
        <v>146</v>
      </c>
      <c r="W36" s="39">
        <f t="shared" si="28"/>
        <v>13</v>
      </c>
      <c r="X36" s="39">
        <f t="shared" si="28"/>
        <v>3</v>
      </c>
      <c r="Y36" s="39">
        <f t="shared" si="28"/>
        <v>89</v>
      </c>
      <c r="Z36" s="39">
        <f t="shared" si="28"/>
        <v>48</v>
      </c>
      <c r="AA36" s="39">
        <f t="shared" si="28"/>
        <v>40</v>
      </c>
      <c r="AB36" s="39">
        <f t="shared" si="28"/>
        <v>40</v>
      </c>
      <c r="AC36" s="39">
        <f t="shared" si="28"/>
        <v>659</v>
      </c>
      <c r="AD36" s="39">
        <f t="shared" si="28"/>
        <v>0</v>
      </c>
      <c r="AE36" s="40">
        <f t="shared" si="28"/>
        <v>949</v>
      </c>
      <c r="AF36" s="40">
        <f t="shared" si="28"/>
        <v>1526</v>
      </c>
    </row>
    <row r="37" spans="2:32" ht="23.1" customHeight="1" x14ac:dyDescent="0.25">
      <c r="B37" s="45" t="s">
        <v>64</v>
      </c>
      <c r="C37" s="50">
        <v>76</v>
      </c>
      <c r="D37" s="50">
        <v>21</v>
      </c>
      <c r="E37" s="50">
        <v>9</v>
      </c>
      <c r="F37" s="50">
        <v>15</v>
      </c>
      <c r="G37" s="50">
        <v>0</v>
      </c>
      <c r="H37" s="50">
        <v>1</v>
      </c>
      <c r="I37" s="50">
        <v>17</v>
      </c>
      <c r="J37" s="50">
        <v>13</v>
      </c>
      <c r="K37" s="50">
        <v>10</v>
      </c>
      <c r="L37" s="50">
        <v>7</v>
      </c>
      <c r="M37" s="50">
        <v>158</v>
      </c>
      <c r="N37" s="50">
        <v>0</v>
      </c>
      <c r="O37" s="15">
        <f t="shared" si="0"/>
        <v>169</v>
      </c>
      <c r="P37" s="15">
        <f t="shared" si="1"/>
        <v>327</v>
      </c>
      <c r="R37" s="37" t="s">
        <v>85</v>
      </c>
      <c r="S37" s="35">
        <f t="shared" ref="S37:AF37" si="29">SUM(S10:S12)</f>
        <v>1022</v>
      </c>
      <c r="T37" s="16">
        <f t="shared" si="29"/>
        <v>145</v>
      </c>
      <c r="U37" s="16">
        <f t="shared" si="29"/>
        <v>136</v>
      </c>
      <c r="V37" s="16">
        <f t="shared" si="29"/>
        <v>357</v>
      </c>
      <c r="W37" s="16">
        <f t="shared" si="29"/>
        <v>42</v>
      </c>
      <c r="X37" s="16">
        <f t="shared" si="29"/>
        <v>4</v>
      </c>
      <c r="Y37" s="16">
        <f t="shared" si="29"/>
        <v>175</v>
      </c>
      <c r="Z37" s="16">
        <f t="shared" si="29"/>
        <v>111</v>
      </c>
      <c r="AA37" s="16">
        <f t="shared" si="29"/>
        <v>84</v>
      </c>
      <c r="AB37" s="16">
        <f t="shared" si="29"/>
        <v>70</v>
      </c>
      <c r="AC37" s="16">
        <f t="shared" si="29"/>
        <v>1852</v>
      </c>
      <c r="AD37" s="16">
        <f t="shared" si="29"/>
        <v>1</v>
      </c>
      <c r="AE37" s="32">
        <f t="shared" si="29"/>
        <v>2147</v>
      </c>
      <c r="AF37" s="32">
        <f t="shared" si="29"/>
        <v>3999</v>
      </c>
    </row>
    <row r="38" spans="2:32" ht="23.1" customHeight="1" x14ac:dyDescent="0.25">
      <c r="B38" s="46" t="s">
        <v>65</v>
      </c>
      <c r="C38" s="50">
        <v>57</v>
      </c>
      <c r="D38" s="50">
        <v>19</v>
      </c>
      <c r="E38" s="50">
        <v>14</v>
      </c>
      <c r="F38" s="50">
        <v>16</v>
      </c>
      <c r="G38" s="50">
        <v>3</v>
      </c>
      <c r="H38" s="50">
        <v>0</v>
      </c>
      <c r="I38" s="50">
        <v>11</v>
      </c>
      <c r="J38" s="50">
        <v>5</v>
      </c>
      <c r="K38" s="50">
        <v>14</v>
      </c>
      <c r="L38" s="50">
        <v>9</v>
      </c>
      <c r="M38" s="50">
        <v>175</v>
      </c>
      <c r="N38" s="50">
        <v>0</v>
      </c>
      <c r="O38" s="15">
        <f t="shared" si="0"/>
        <v>148</v>
      </c>
      <c r="P38" s="15">
        <f t="shared" si="1"/>
        <v>323</v>
      </c>
      <c r="R38" s="28" t="s">
        <v>86</v>
      </c>
      <c r="S38" s="16">
        <f t="shared" ref="S38:AF38" si="30">SUM(S13:S18)</f>
        <v>1937</v>
      </c>
      <c r="T38" s="16">
        <f t="shared" si="30"/>
        <v>366</v>
      </c>
      <c r="U38" s="16">
        <f t="shared" si="30"/>
        <v>296</v>
      </c>
      <c r="V38" s="16">
        <f t="shared" si="30"/>
        <v>681</v>
      </c>
      <c r="W38" s="16">
        <f t="shared" si="30"/>
        <v>79</v>
      </c>
      <c r="X38" s="16">
        <f t="shared" si="30"/>
        <v>11</v>
      </c>
      <c r="Y38" s="16">
        <f t="shared" si="30"/>
        <v>416</v>
      </c>
      <c r="Z38" s="16">
        <f t="shared" si="30"/>
        <v>264</v>
      </c>
      <c r="AA38" s="16">
        <f t="shared" si="30"/>
        <v>211</v>
      </c>
      <c r="AB38" s="16">
        <f t="shared" si="30"/>
        <v>168</v>
      </c>
      <c r="AC38" s="16">
        <f t="shared" si="30"/>
        <v>3812</v>
      </c>
      <c r="AD38" s="16">
        <f t="shared" si="30"/>
        <v>2</v>
      </c>
      <c r="AE38" s="32">
        <f t="shared" si="30"/>
        <v>4431</v>
      </c>
      <c r="AF38" s="32">
        <f t="shared" si="30"/>
        <v>8243</v>
      </c>
    </row>
    <row r="39" spans="2:32" ht="23.1" customHeight="1" x14ac:dyDescent="0.25">
      <c r="B39" s="46" t="s">
        <v>66</v>
      </c>
      <c r="C39" s="50">
        <v>67</v>
      </c>
      <c r="D39" s="50">
        <v>10</v>
      </c>
      <c r="E39" s="50">
        <v>15</v>
      </c>
      <c r="F39" s="50">
        <v>20</v>
      </c>
      <c r="G39" s="50">
        <v>1</v>
      </c>
      <c r="H39" s="50">
        <v>0</v>
      </c>
      <c r="I39" s="50">
        <v>17</v>
      </c>
      <c r="J39" s="50">
        <v>9</v>
      </c>
      <c r="K39" s="50">
        <v>10</v>
      </c>
      <c r="L39" s="50">
        <v>6</v>
      </c>
      <c r="M39" s="50">
        <v>145</v>
      </c>
      <c r="N39" s="50">
        <v>0</v>
      </c>
      <c r="O39" s="15">
        <f t="shared" si="0"/>
        <v>155</v>
      </c>
      <c r="P39" s="15">
        <f t="shared" si="1"/>
        <v>300</v>
      </c>
      <c r="R39" s="29" t="s">
        <v>87</v>
      </c>
      <c r="S39" s="16">
        <f t="shared" ref="S39:AF39" si="31">SUM(S19:S21)</f>
        <v>1325</v>
      </c>
      <c r="T39" s="16">
        <f t="shared" si="31"/>
        <v>211</v>
      </c>
      <c r="U39" s="16">
        <f t="shared" si="31"/>
        <v>170</v>
      </c>
      <c r="V39" s="16">
        <f t="shared" si="31"/>
        <v>407</v>
      </c>
      <c r="W39" s="16">
        <f t="shared" si="31"/>
        <v>19</v>
      </c>
      <c r="X39" s="16">
        <f t="shared" si="31"/>
        <v>7</v>
      </c>
      <c r="Y39" s="16">
        <f t="shared" si="31"/>
        <v>223</v>
      </c>
      <c r="Z39" s="16">
        <f t="shared" si="31"/>
        <v>126</v>
      </c>
      <c r="AA39" s="16">
        <f t="shared" si="31"/>
        <v>84</v>
      </c>
      <c r="AB39" s="16">
        <f t="shared" si="31"/>
        <v>84</v>
      </c>
      <c r="AC39" s="16">
        <f t="shared" si="31"/>
        <v>1745</v>
      </c>
      <c r="AD39" s="16">
        <f t="shared" si="31"/>
        <v>0</v>
      </c>
      <c r="AE39" s="32">
        <f t="shared" si="31"/>
        <v>2656</v>
      </c>
      <c r="AF39" s="32">
        <f t="shared" si="31"/>
        <v>4401</v>
      </c>
    </row>
    <row r="40" spans="2:32" ht="23.1" customHeight="1" x14ac:dyDescent="0.25">
      <c r="B40" s="46" t="s">
        <v>67</v>
      </c>
      <c r="C40" s="50">
        <v>80</v>
      </c>
      <c r="D40" s="50">
        <v>12</v>
      </c>
      <c r="E40" s="50">
        <v>11</v>
      </c>
      <c r="F40" s="50">
        <v>20</v>
      </c>
      <c r="G40" s="50">
        <v>3</v>
      </c>
      <c r="H40" s="50">
        <v>0</v>
      </c>
      <c r="I40" s="50">
        <v>16</v>
      </c>
      <c r="J40" s="50">
        <v>8</v>
      </c>
      <c r="K40" s="50">
        <v>9</v>
      </c>
      <c r="L40" s="50">
        <v>12</v>
      </c>
      <c r="M40" s="50">
        <v>162</v>
      </c>
      <c r="N40" s="50">
        <v>0</v>
      </c>
      <c r="O40" s="15">
        <f t="shared" si="0"/>
        <v>171</v>
      </c>
      <c r="P40" s="15">
        <f t="shared" si="1"/>
        <v>333</v>
      </c>
      <c r="R40" s="5" t="s">
        <v>17</v>
      </c>
      <c r="S40" s="16">
        <f t="shared" ref="S40:AF40" si="32">SUM(S10:S21)</f>
        <v>4284</v>
      </c>
      <c r="T40" s="16">
        <f t="shared" si="32"/>
        <v>722</v>
      </c>
      <c r="U40" s="16">
        <f t="shared" si="32"/>
        <v>602</v>
      </c>
      <c r="V40" s="16">
        <f t="shared" si="32"/>
        <v>1445</v>
      </c>
      <c r="W40" s="16">
        <f t="shared" si="32"/>
        <v>140</v>
      </c>
      <c r="X40" s="16">
        <f t="shared" si="32"/>
        <v>22</v>
      </c>
      <c r="Y40" s="16">
        <f t="shared" si="32"/>
        <v>814</v>
      </c>
      <c r="Z40" s="16">
        <f t="shared" si="32"/>
        <v>501</v>
      </c>
      <c r="AA40" s="16">
        <f t="shared" si="32"/>
        <v>379</v>
      </c>
      <c r="AB40" s="16">
        <f t="shared" si="32"/>
        <v>322</v>
      </c>
      <c r="AC40" s="16">
        <f t="shared" si="32"/>
        <v>7409</v>
      </c>
      <c r="AD40" s="16">
        <f t="shared" si="32"/>
        <v>3</v>
      </c>
      <c r="AE40" s="32">
        <f t="shared" si="32"/>
        <v>9234</v>
      </c>
      <c r="AF40" s="32">
        <f t="shared" si="32"/>
        <v>16643</v>
      </c>
    </row>
    <row r="41" spans="2:32" ht="23.1" customHeight="1" x14ac:dyDescent="0.25">
      <c r="B41" s="45" t="s">
        <v>68</v>
      </c>
      <c r="C41" s="50">
        <v>80</v>
      </c>
      <c r="D41" s="50">
        <v>11</v>
      </c>
      <c r="E41" s="50">
        <v>12</v>
      </c>
      <c r="F41" s="50">
        <v>17</v>
      </c>
      <c r="G41" s="50">
        <v>0</v>
      </c>
      <c r="H41" s="50">
        <v>0</v>
      </c>
      <c r="I41" s="50">
        <v>10</v>
      </c>
      <c r="J41" s="50">
        <v>19</v>
      </c>
      <c r="K41" s="50">
        <v>7</v>
      </c>
      <c r="L41" s="50">
        <v>4</v>
      </c>
      <c r="M41" s="50">
        <v>107</v>
      </c>
      <c r="N41" s="50">
        <v>0</v>
      </c>
      <c r="O41" s="15">
        <f t="shared" si="0"/>
        <v>160</v>
      </c>
      <c r="P41" s="15">
        <f t="shared" si="1"/>
        <v>267</v>
      </c>
      <c r="R41" s="5" t="s">
        <v>159</v>
      </c>
      <c r="S41" s="16">
        <f>SUM(S10:S33)</f>
        <v>6180</v>
      </c>
      <c r="T41" s="16">
        <f t="shared" ref="T41:AF41" si="33">SUM(T10:T33)</f>
        <v>1207</v>
      </c>
      <c r="U41" s="16">
        <f t="shared" si="33"/>
        <v>1072</v>
      </c>
      <c r="V41" s="16">
        <f t="shared" si="33"/>
        <v>2728</v>
      </c>
      <c r="W41" s="16">
        <f t="shared" si="33"/>
        <v>177</v>
      </c>
      <c r="X41" s="16">
        <f t="shared" si="33"/>
        <v>40</v>
      </c>
      <c r="Y41" s="16">
        <f t="shared" si="33"/>
        <v>1628</v>
      </c>
      <c r="Z41" s="16">
        <f t="shared" si="33"/>
        <v>1145</v>
      </c>
      <c r="AA41" s="16">
        <f t="shared" si="33"/>
        <v>863</v>
      </c>
      <c r="AB41" s="16">
        <f t="shared" si="33"/>
        <v>567</v>
      </c>
      <c r="AC41" s="16">
        <f t="shared" si="33"/>
        <v>10278</v>
      </c>
      <c r="AD41" s="16">
        <f t="shared" si="33"/>
        <v>3</v>
      </c>
      <c r="AE41" s="32">
        <f t="shared" si="33"/>
        <v>15610</v>
      </c>
      <c r="AF41" s="32">
        <f t="shared" si="33"/>
        <v>25888</v>
      </c>
    </row>
    <row r="42" spans="2:32" ht="23.1" customHeight="1" x14ac:dyDescent="0.25">
      <c r="B42" s="46" t="s">
        <v>69</v>
      </c>
      <c r="C42" s="50">
        <v>88</v>
      </c>
      <c r="D42" s="50">
        <v>14</v>
      </c>
      <c r="E42" s="50">
        <v>14</v>
      </c>
      <c r="F42" s="50">
        <v>28</v>
      </c>
      <c r="G42" s="50">
        <v>2</v>
      </c>
      <c r="H42" s="50">
        <v>0</v>
      </c>
      <c r="I42" s="50">
        <v>13</v>
      </c>
      <c r="J42" s="50">
        <v>7</v>
      </c>
      <c r="K42" s="50">
        <v>6</v>
      </c>
      <c r="L42" s="50">
        <v>7</v>
      </c>
      <c r="M42" s="50">
        <v>142</v>
      </c>
      <c r="N42" s="50">
        <v>0</v>
      </c>
      <c r="O42" s="15">
        <f t="shared" si="0"/>
        <v>179</v>
      </c>
      <c r="P42" s="15">
        <f t="shared" si="1"/>
        <v>321</v>
      </c>
      <c r="R42" s="5" t="s">
        <v>160</v>
      </c>
      <c r="S42" s="48">
        <f>S41/S40</f>
        <v>1.4425770308123249</v>
      </c>
      <c r="T42" s="48">
        <f t="shared" ref="T42:AF42" si="34">T41/T40</f>
        <v>1.6717451523545706</v>
      </c>
      <c r="U42" s="48">
        <f t="shared" si="34"/>
        <v>1.7807308970099667</v>
      </c>
      <c r="V42" s="48">
        <f t="shared" si="34"/>
        <v>1.8878892733564014</v>
      </c>
      <c r="W42" s="48">
        <f t="shared" si="34"/>
        <v>1.2642857142857142</v>
      </c>
      <c r="X42" s="48">
        <f t="shared" si="34"/>
        <v>1.8181818181818181</v>
      </c>
      <c r="Y42" s="48">
        <f t="shared" si="34"/>
        <v>2</v>
      </c>
      <c r="Z42" s="48">
        <f t="shared" si="34"/>
        <v>2.2854291417165671</v>
      </c>
      <c r="AA42" s="48">
        <f t="shared" si="34"/>
        <v>2.2770448548812663</v>
      </c>
      <c r="AB42" s="48">
        <f t="shared" si="34"/>
        <v>1.7608695652173914</v>
      </c>
      <c r="AC42" s="48">
        <f t="shared" si="34"/>
        <v>1.3872317451747873</v>
      </c>
      <c r="AD42" s="48">
        <f t="shared" si="34"/>
        <v>1</v>
      </c>
      <c r="AE42" s="48">
        <f t="shared" si="34"/>
        <v>1.6904916612518952</v>
      </c>
      <c r="AF42" s="48">
        <f t="shared" si="34"/>
        <v>1.5554887940876043</v>
      </c>
    </row>
    <row r="43" spans="2:32" ht="23.1" customHeight="1" x14ac:dyDescent="0.25">
      <c r="B43" s="45" t="s">
        <v>70</v>
      </c>
      <c r="C43" s="50">
        <v>80</v>
      </c>
      <c r="D43" s="50">
        <v>7</v>
      </c>
      <c r="E43" s="50">
        <v>12</v>
      </c>
      <c r="F43" s="50">
        <v>12</v>
      </c>
      <c r="G43" s="50">
        <v>0</v>
      </c>
      <c r="H43" s="50">
        <v>0</v>
      </c>
      <c r="I43" s="50">
        <v>12</v>
      </c>
      <c r="J43" s="50">
        <v>15</v>
      </c>
      <c r="K43" s="50">
        <v>5</v>
      </c>
      <c r="L43" s="50">
        <v>3</v>
      </c>
      <c r="M43" s="50">
        <v>120</v>
      </c>
      <c r="N43" s="50">
        <v>0</v>
      </c>
      <c r="O43" s="15">
        <f t="shared" si="0"/>
        <v>146</v>
      </c>
      <c r="P43" s="15">
        <f t="shared" si="1"/>
        <v>266</v>
      </c>
    </row>
    <row r="44" spans="2:32" ht="23.1" customHeight="1" x14ac:dyDescent="0.25">
      <c r="B44" s="47" t="s">
        <v>71</v>
      </c>
      <c r="C44" s="50">
        <v>65</v>
      </c>
      <c r="D44" s="50">
        <v>20</v>
      </c>
      <c r="E44" s="50">
        <v>19</v>
      </c>
      <c r="F44" s="50">
        <v>17</v>
      </c>
      <c r="G44" s="50">
        <v>1</v>
      </c>
      <c r="H44" s="50">
        <v>0</v>
      </c>
      <c r="I44" s="50">
        <v>17</v>
      </c>
      <c r="J44" s="50">
        <v>8</v>
      </c>
      <c r="K44" s="50">
        <v>5</v>
      </c>
      <c r="L44" s="50">
        <v>6</v>
      </c>
      <c r="M44" s="50">
        <v>180</v>
      </c>
      <c r="N44" s="50">
        <v>0</v>
      </c>
      <c r="O44" s="15">
        <f t="shared" si="0"/>
        <v>158</v>
      </c>
      <c r="P44" s="15">
        <f t="shared" si="1"/>
        <v>338</v>
      </c>
    </row>
    <row r="45" spans="2:32" ht="23.1" customHeight="1" x14ac:dyDescent="0.25">
      <c r="B45" s="45" t="s">
        <v>72</v>
      </c>
      <c r="C45" s="50">
        <v>105</v>
      </c>
      <c r="D45" s="50">
        <v>20</v>
      </c>
      <c r="E45" s="50">
        <v>14</v>
      </c>
      <c r="F45" s="50">
        <v>30</v>
      </c>
      <c r="G45" s="50">
        <v>0</v>
      </c>
      <c r="H45" s="50">
        <v>0</v>
      </c>
      <c r="I45" s="50">
        <v>24</v>
      </c>
      <c r="J45" s="50">
        <v>30</v>
      </c>
      <c r="K45" s="50">
        <v>4</v>
      </c>
      <c r="L45" s="50">
        <v>6</v>
      </c>
      <c r="M45" s="50">
        <v>130</v>
      </c>
      <c r="N45" s="50">
        <v>0</v>
      </c>
      <c r="O45" s="15">
        <f t="shared" si="0"/>
        <v>233</v>
      </c>
      <c r="P45" s="15">
        <f t="shared" si="1"/>
        <v>363</v>
      </c>
    </row>
    <row r="46" spans="2:32" ht="23.1" customHeight="1" x14ac:dyDescent="0.25">
      <c r="B46" s="46" t="s">
        <v>73</v>
      </c>
      <c r="C46" s="50">
        <v>82</v>
      </c>
      <c r="D46" s="50">
        <v>18</v>
      </c>
      <c r="E46" s="50">
        <v>17</v>
      </c>
      <c r="F46" s="50">
        <v>20</v>
      </c>
      <c r="G46" s="50">
        <v>0</v>
      </c>
      <c r="H46" s="50">
        <v>0</v>
      </c>
      <c r="I46" s="50">
        <v>14</v>
      </c>
      <c r="J46" s="50">
        <v>5</v>
      </c>
      <c r="K46" s="50">
        <v>6</v>
      </c>
      <c r="L46" s="50">
        <v>19</v>
      </c>
      <c r="M46" s="50">
        <v>146</v>
      </c>
      <c r="N46" s="50">
        <v>0</v>
      </c>
      <c r="O46" s="15">
        <f t="shared" si="0"/>
        <v>181</v>
      </c>
      <c r="P46" s="15">
        <f t="shared" si="1"/>
        <v>327</v>
      </c>
      <c r="R46" s="8"/>
      <c r="T46"/>
    </row>
    <row r="47" spans="2:32" ht="23.1" customHeight="1" x14ac:dyDescent="0.25">
      <c r="B47" s="46" t="s">
        <v>74</v>
      </c>
      <c r="C47" s="50">
        <v>95</v>
      </c>
      <c r="D47" s="50">
        <v>24</v>
      </c>
      <c r="E47" s="50">
        <v>18</v>
      </c>
      <c r="F47" s="50">
        <v>35</v>
      </c>
      <c r="G47" s="50">
        <v>0</v>
      </c>
      <c r="H47" s="50">
        <v>0</v>
      </c>
      <c r="I47" s="50">
        <v>32</v>
      </c>
      <c r="J47" s="50">
        <v>9</v>
      </c>
      <c r="K47" s="50">
        <v>6</v>
      </c>
      <c r="L47" s="50">
        <v>4</v>
      </c>
      <c r="M47" s="50">
        <v>120</v>
      </c>
      <c r="N47" s="50">
        <v>0</v>
      </c>
      <c r="O47" s="15">
        <f t="shared" si="0"/>
        <v>223</v>
      </c>
      <c r="P47" s="15">
        <f t="shared" si="1"/>
        <v>343</v>
      </c>
      <c r="R47" s="8"/>
      <c r="T47"/>
    </row>
    <row r="48" spans="2:32" ht="23.1" customHeight="1" x14ac:dyDescent="0.25">
      <c r="B48" s="46" t="s">
        <v>75</v>
      </c>
      <c r="C48" s="50">
        <v>135</v>
      </c>
      <c r="D48" s="50">
        <v>15</v>
      </c>
      <c r="E48" s="50">
        <v>13</v>
      </c>
      <c r="F48" s="50">
        <v>34</v>
      </c>
      <c r="G48" s="50">
        <v>2</v>
      </c>
      <c r="H48" s="50">
        <v>1</v>
      </c>
      <c r="I48" s="50">
        <v>25</v>
      </c>
      <c r="J48" s="50">
        <v>19</v>
      </c>
      <c r="K48" s="50">
        <v>2</v>
      </c>
      <c r="L48" s="50">
        <v>9</v>
      </c>
      <c r="M48" s="50">
        <v>155</v>
      </c>
      <c r="N48" s="50">
        <v>0</v>
      </c>
      <c r="O48" s="15">
        <f t="shared" si="0"/>
        <v>255</v>
      </c>
      <c r="P48" s="15">
        <f t="shared" si="1"/>
        <v>410</v>
      </c>
      <c r="R48" s="8"/>
      <c r="T48"/>
    </row>
    <row r="49" spans="2:20" ht="23.1" customHeight="1" x14ac:dyDescent="0.25">
      <c r="B49" s="45" t="s">
        <v>76</v>
      </c>
      <c r="C49" s="50">
        <v>92</v>
      </c>
      <c r="D49" s="50">
        <v>11</v>
      </c>
      <c r="E49" s="50">
        <v>13</v>
      </c>
      <c r="F49" s="50">
        <v>32</v>
      </c>
      <c r="G49" s="50">
        <v>0</v>
      </c>
      <c r="H49" s="50">
        <v>0</v>
      </c>
      <c r="I49" s="50">
        <v>18</v>
      </c>
      <c r="J49" s="50">
        <v>1</v>
      </c>
      <c r="K49" s="50">
        <v>6</v>
      </c>
      <c r="L49" s="50">
        <v>8</v>
      </c>
      <c r="M49" s="50">
        <v>103</v>
      </c>
      <c r="N49" s="50">
        <v>0</v>
      </c>
      <c r="O49" s="15">
        <f t="shared" si="0"/>
        <v>181</v>
      </c>
      <c r="P49" s="15">
        <f t="shared" si="1"/>
        <v>284</v>
      </c>
      <c r="R49" s="8"/>
      <c r="T49"/>
    </row>
    <row r="50" spans="2:20" ht="23.1" customHeight="1" x14ac:dyDescent="0.25">
      <c r="B50" s="46" t="s">
        <v>77</v>
      </c>
      <c r="C50" s="50">
        <v>124</v>
      </c>
      <c r="D50" s="50">
        <v>17</v>
      </c>
      <c r="E50" s="50">
        <v>11</v>
      </c>
      <c r="F50" s="50">
        <v>50</v>
      </c>
      <c r="G50" s="50">
        <v>1</v>
      </c>
      <c r="H50" s="50">
        <v>0</v>
      </c>
      <c r="I50" s="50">
        <v>20</v>
      </c>
      <c r="J50" s="50">
        <v>14</v>
      </c>
      <c r="K50" s="50">
        <v>7</v>
      </c>
      <c r="L50" s="50">
        <v>5</v>
      </c>
      <c r="M50" s="50">
        <v>144</v>
      </c>
      <c r="N50" s="50">
        <v>0</v>
      </c>
      <c r="O50" s="15">
        <f t="shared" si="0"/>
        <v>249</v>
      </c>
      <c r="P50" s="15">
        <f t="shared" si="1"/>
        <v>393</v>
      </c>
      <c r="R50" s="8"/>
      <c r="T50"/>
    </row>
    <row r="51" spans="2:20" ht="23.1" customHeight="1" x14ac:dyDescent="0.25">
      <c r="B51" s="46" t="s">
        <v>78</v>
      </c>
      <c r="C51" s="50">
        <v>105</v>
      </c>
      <c r="D51" s="50">
        <v>21</v>
      </c>
      <c r="E51" s="50">
        <v>15</v>
      </c>
      <c r="F51" s="50">
        <v>18</v>
      </c>
      <c r="G51" s="50">
        <v>0</v>
      </c>
      <c r="H51" s="50">
        <v>0</v>
      </c>
      <c r="I51" s="50">
        <v>17</v>
      </c>
      <c r="J51" s="50">
        <v>9</v>
      </c>
      <c r="K51" s="50">
        <v>9</v>
      </c>
      <c r="L51" s="50">
        <v>6</v>
      </c>
      <c r="M51" s="50">
        <v>140</v>
      </c>
      <c r="N51" s="50">
        <v>0</v>
      </c>
      <c r="O51" s="15">
        <f t="shared" si="0"/>
        <v>200</v>
      </c>
      <c r="P51" s="15">
        <f t="shared" si="1"/>
        <v>340</v>
      </c>
      <c r="R51" s="8"/>
      <c r="T51"/>
    </row>
    <row r="52" spans="2:20" ht="23.1" customHeight="1" x14ac:dyDescent="0.25">
      <c r="B52" s="46" t="s">
        <v>79</v>
      </c>
      <c r="C52" s="50">
        <v>103</v>
      </c>
      <c r="D52" s="50">
        <v>14</v>
      </c>
      <c r="E52" s="50">
        <v>13</v>
      </c>
      <c r="F52" s="50">
        <v>23</v>
      </c>
      <c r="G52" s="50">
        <v>1</v>
      </c>
      <c r="H52" s="50">
        <v>2</v>
      </c>
      <c r="I52" s="50">
        <v>6</v>
      </c>
      <c r="J52" s="50">
        <v>5</v>
      </c>
      <c r="K52" s="50">
        <v>6</v>
      </c>
      <c r="L52" s="50">
        <v>4</v>
      </c>
      <c r="M52" s="50">
        <v>128</v>
      </c>
      <c r="N52" s="50">
        <v>0</v>
      </c>
      <c r="O52" s="15">
        <f t="shared" si="0"/>
        <v>177</v>
      </c>
      <c r="P52" s="15">
        <f t="shared" si="1"/>
        <v>305</v>
      </c>
      <c r="R52" s="8"/>
      <c r="T52"/>
    </row>
    <row r="53" spans="2:20" ht="23.1" customHeight="1" x14ac:dyDescent="0.25">
      <c r="B53" s="45" t="s">
        <v>80</v>
      </c>
      <c r="C53" s="50">
        <v>145</v>
      </c>
      <c r="D53" s="50">
        <v>18</v>
      </c>
      <c r="E53" s="50">
        <v>15</v>
      </c>
      <c r="F53" s="50">
        <v>55</v>
      </c>
      <c r="G53" s="50">
        <v>2</v>
      </c>
      <c r="H53" s="50">
        <v>1</v>
      </c>
      <c r="I53" s="50">
        <v>42</v>
      </c>
      <c r="J53" s="50">
        <v>20</v>
      </c>
      <c r="K53" s="50">
        <v>18</v>
      </c>
      <c r="L53" s="50">
        <v>7</v>
      </c>
      <c r="M53" s="50">
        <v>150</v>
      </c>
      <c r="N53" s="50">
        <v>0</v>
      </c>
      <c r="O53" s="15">
        <f t="shared" si="0"/>
        <v>323</v>
      </c>
      <c r="P53" s="15">
        <f t="shared" si="1"/>
        <v>473</v>
      </c>
      <c r="R53" s="8"/>
      <c r="T53"/>
    </row>
    <row r="54" spans="2:20" ht="23.1" customHeight="1" x14ac:dyDescent="0.25">
      <c r="B54" s="45" t="s">
        <v>81</v>
      </c>
      <c r="C54" s="50">
        <v>132</v>
      </c>
      <c r="D54" s="50">
        <v>21</v>
      </c>
      <c r="E54" s="50">
        <v>18</v>
      </c>
      <c r="F54" s="50">
        <v>50</v>
      </c>
      <c r="G54" s="50">
        <v>1</v>
      </c>
      <c r="H54" s="50">
        <v>0</v>
      </c>
      <c r="I54" s="50">
        <v>17</v>
      </c>
      <c r="J54" s="50">
        <v>11</v>
      </c>
      <c r="K54" s="50">
        <v>9</v>
      </c>
      <c r="L54" s="50">
        <v>7</v>
      </c>
      <c r="M54" s="50">
        <v>150</v>
      </c>
      <c r="N54" s="50">
        <v>0</v>
      </c>
      <c r="O54" s="15">
        <f t="shared" si="0"/>
        <v>266</v>
      </c>
      <c r="P54" s="15">
        <f t="shared" si="1"/>
        <v>416</v>
      </c>
      <c r="R54" s="8"/>
      <c r="T54"/>
    </row>
    <row r="55" spans="2:20" ht="23.1" customHeight="1" x14ac:dyDescent="0.25">
      <c r="B55" s="45" t="s">
        <v>82</v>
      </c>
      <c r="C55" s="50">
        <v>128</v>
      </c>
      <c r="D55" s="50">
        <v>20</v>
      </c>
      <c r="E55" s="50">
        <v>8</v>
      </c>
      <c r="F55" s="50">
        <v>28</v>
      </c>
      <c r="G55" s="50">
        <v>2</v>
      </c>
      <c r="H55" s="50">
        <v>3</v>
      </c>
      <c r="I55" s="50">
        <v>18</v>
      </c>
      <c r="J55" s="50">
        <v>18</v>
      </c>
      <c r="K55" s="50">
        <v>5</v>
      </c>
      <c r="L55" s="50">
        <v>7</v>
      </c>
      <c r="M55" s="50">
        <v>209</v>
      </c>
      <c r="N55" s="50">
        <v>0</v>
      </c>
      <c r="O55" s="15">
        <f t="shared" si="0"/>
        <v>237</v>
      </c>
      <c r="P55" s="15">
        <f t="shared" si="1"/>
        <v>446</v>
      </c>
      <c r="R55" s="8"/>
      <c r="T55"/>
    </row>
    <row r="56" spans="2:20" ht="23.1" customHeight="1" x14ac:dyDescent="0.25">
      <c r="B56" s="45" t="s">
        <v>83</v>
      </c>
      <c r="C56" s="50">
        <v>99</v>
      </c>
      <c r="D56" s="50">
        <v>20</v>
      </c>
      <c r="E56" s="50">
        <v>22</v>
      </c>
      <c r="F56" s="50">
        <v>37</v>
      </c>
      <c r="G56" s="50">
        <v>5</v>
      </c>
      <c r="H56" s="50">
        <v>0</v>
      </c>
      <c r="I56" s="50">
        <v>7</v>
      </c>
      <c r="J56" s="50">
        <v>7</v>
      </c>
      <c r="K56" s="50">
        <v>3</v>
      </c>
      <c r="L56" s="50">
        <v>7</v>
      </c>
      <c r="M56" s="50">
        <v>175</v>
      </c>
      <c r="N56" s="50">
        <v>0</v>
      </c>
      <c r="O56" s="15">
        <f t="shared" si="0"/>
        <v>207</v>
      </c>
      <c r="P56" s="15">
        <f t="shared" si="1"/>
        <v>382</v>
      </c>
      <c r="R56" s="8"/>
      <c r="T56"/>
    </row>
    <row r="57" spans="2:20" ht="23.1" customHeight="1" x14ac:dyDescent="0.25">
      <c r="B57" s="45" t="s">
        <v>84</v>
      </c>
      <c r="C57" s="50">
        <v>85</v>
      </c>
      <c r="D57" s="50">
        <v>12</v>
      </c>
      <c r="E57" s="50">
        <v>7</v>
      </c>
      <c r="F57" s="50">
        <v>25</v>
      </c>
      <c r="G57" s="50">
        <v>5</v>
      </c>
      <c r="H57" s="50">
        <v>0</v>
      </c>
      <c r="I57" s="50">
        <v>7</v>
      </c>
      <c r="J57" s="50">
        <v>8</v>
      </c>
      <c r="K57" s="50">
        <v>7</v>
      </c>
      <c r="L57" s="50">
        <v>1</v>
      </c>
      <c r="M57" s="50">
        <v>125</v>
      </c>
      <c r="N57" s="50">
        <v>0</v>
      </c>
      <c r="O57" s="15">
        <f t="shared" si="0"/>
        <v>157</v>
      </c>
      <c r="P57" s="15">
        <f t="shared" si="1"/>
        <v>282</v>
      </c>
      <c r="R57" s="8"/>
      <c r="T57"/>
    </row>
    <row r="58" spans="2:20" ht="23.1" customHeight="1" x14ac:dyDescent="0.25">
      <c r="B58" s="45" t="s">
        <v>99</v>
      </c>
      <c r="C58" s="50">
        <v>122</v>
      </c>
      <c r="D58" s="50">
        <v>25</v>
      </c>
      <c r="E58" s="50">
        <v>15</v>
      </c>
      <c r="F58" s="50">
        <v>41</v>
      </c>
      <c r="G58" s="50">
        <v>5</v>
      </c>
      <c r="H58" s="50">
        <v>2</v>
      </c>
      <c r="I58" s="50">
        <v>23</v>
      </c>
      <c r="J58" s="50">
        <v>15</v>
      </c>
      <c r="K58" s="50">
        <v>6</v>
      </c>
      <c r="L58" s="50">
        <v>2</v>
      </c>
      <c r="M58" s="50">
        <v>200</v>
      </c>
      <c r="N58" s="50">
        <v>0</v>
      </c>
      <c r="O58" s="15">
        <f t="shared" ref="O58:O105" si="35">SUM(C58:L58,N58)</f>
        <v>256</v>
      </c>
      <c r="P58" s="15">
        <f t="shared" ref="P58:P105" si="36">SUM(C58:N58)</f>
        <v>456</v>
      </c>
      <c r="R58" s="8"/>
      <c r="T58"/>
    </row>
    <row r="59" spans="2:20" ht="23.1" customHeight="1" x14ac:dyDescent="0.25">
      <c r="B59" s="45" t="s">
        <v>100</v>
      </c>
      <c r="C59" s="50">
        <v>110</v>
      </c>
      <c r="D59" s="50">
        <v>45</v>
      </c>
      <c r="E59" s="50">
        <v>25</v>
      </c>
      <c r="F59" s="50">
        <v>90</v>
      </c>
      <c r="G59" s="50">
        <v>3</v>
      </c>
      <c r="H59" s="50">
        <v>1</v>
      </c>
      <c r="I59" s="50">
        <v>45</v>
      </c>
      <c r="J59" s="50">
        <v>26</v>
      </c>
      <c r="K59" s="50">
        <v>5</v>
      </c>
      <c r="L59" s="50">
        <v>4</v>
      </c>
      <c r="M59" s="50">
        <v>150</v>
      </c>
      <c r="N59" s="50">
        <v>0</v>
      </c>
      <c r="O59" s="15">
        <f t="shared" si="35"/>
        <v>354</v>
      </c>
      <c r="P59" s="15">
        <f t="shared" si="36"/>
        <v>504</v>
      </c>
      <c r="R59" s="8"/>
      <c r="T59"/>
    </row>
    <row r="60" spans="2:20" ht="23.1" customHeight="1" x14ac:dyDescent="0.25">
      <c r="B60" s="45" t="s">
        <v>101</v>
      </c>
      <c r="C60" s="50">
        <v>75</v>
      </c>
      <c r="D60" s="50">
        <v>16</v>
      </c>
      <c r="E60" s="50">
        <v>12</v>
      </c>
      <c r="F60" s="50">
        <v>50</v>
      </c>
      <c r="G60" s="50">
        <v>1</v>
      </c>
      <c r="H60" s="50">
        <v>0</v>
      </c>
      <c r="I60" s="50">
        <v>27</v>
      </c>
      <c r="J60" s="50">
        <v>16</v>
      </c>
      <c r="K60" s="50">
        <v>1</v>
      </c>
      <c r="L60" s="50">
        <v>4</v>
      </c>
      <c r="M60" s="50">
        <v>132</v>
      </c>
      <c r="N60" s="50">
        <v>0</v>
      </c>
      <c r="O60" s="15">
        <f t="shared" si="35"/>
        <v>202</v>
      </c>
      <c r="P60" s="15">
        <f t="shared" si="36"/>
        <v>334</v>
      </c>
      <c r="R60" s="8"/>
      <c r="T60"/>
    </row>
    <row r="61" spans="2:20" ht="23.1" customHeight="1" x14ac:dyDescent="0.25">
      <c r="B61" s="45" t="s">
        <v>102</v>
      </c>
      <c r="C61" s="50">
        <v>114</v>
      </c>
      <c r="D61" s="50">
        <v>30</v>
      </c>
      <c r="E61" s="50">
        <v>42</v>
      </c>
      <c r="F61" s="50">
        <v>63</v>
      </c>
      <c r="G61" s="50">
        <v>7</v>
      </c>
      <c r="H61" s="50">
        <v>5</v>
      </c>
      <c r="I61" s="50">
        <v>55</v>
      </c>
      <c r="J61" s="50">
        <v>52</v>
      </c>
      <c r="K61" s="50">
        <v>25</v>
      </c>
      <c r="L61" s="50">
        <v>30</v>
      </c>
      <c r="M61" s="50">
        <v>165</v>
      </c>
      <c r="N61" s="50">
        <v>0</v>
      </c>
      <c r="O61" s="15">
        <f t="shared" si="35"/>
        <v>423</v>
      </c>
      <c r="P61" s="15">
        <f t="shared" si="36"/>
        <v>588</v>
      </c>
      <c r="R61" s="8"/>
      <c r="T61"/>
    </row>
    <row r="62" spans="2:20" ht="23.1" customHeight="1" x14ac:dyDescent="0.25">
      <c r="B62" s="45" t="s">
        <v>107</v>
      </c>
      <c r="C62" s="50">
        <v>115</v>
      </c>
      <c r="D62" s="50">
        <v>45</v>
      </c>
      <c r="E62" s="50">
        <v>48</v>
      </c>
      <c r="F62" s="50">
        <v>45</v>
      </c>
      <c r="G62" s="50">
        <v>2</v>
      </c>
      <c r="H62" s="50">
        <v>0</v>
      </c>
      <c r="I62" s="50">
        <v>65</v>
      </c>
      <c r="J62" s="50">
        <v>15</v>
      </c>
      <c r="K62" s="50">
        <v>40</v>
      </c>
      <c r="L62" s="50">
        <v>35</v>
      </c>
      <c r="M62" s="50">
        <v>90</v>
      </c>
      <c r="N62" s="50">
        <v>0</v>
      </c>
      <c r="O62" s="15">
        <f t="shared" si="35"/>
        <v>410</v>
      </c>
      <c r="P62" s="15">
        <f t="shared" si="36"/>
        <v>500</v>
      </c>
      <c r="R62" s="8"/>
      <c r="T62"/>
    </row>
    <row r="63" spans="2:20" ht="23.1" customHeight="1" x14ac:dyDescent="0.25">
      <c r="B63" s="45" t="s">
        <v>108</v>
      </c>
      <c r="C63" s="50">
        <v>85</v>
      </c>
      <c r="D63" s="50">
        <v>43</v>
      </c>
      <c r="E63" s="50">
        <v>49</v>
      </c>
      <c r="F63" s="50">
        <v>95</v>
      </c>
      <c r="G63" s="50">
        <v>1</v>
      </c>
      <c r="H63" s="50">
        <v>5</v>
      </c>
      <c r="I63" s="50">
        <v>32</v>
      </c>
      <c r="J63" s="50">
        <v>63</v>
      </c>
      <c r="K63" s="50">
        <v>75</v>
      </c>
      <c r="L63" s="50">
        <v>20</v>
      </c>
      <c r="M63" s="50">
        <v>125</v>
      </c>
      <c r="N63" s="50">
        <v>0</v>
      </c>
      <c r="O63" s="15">
        <f t="shared" si="35"/>
        <v>468</v>
      </c>
      <c r="P63" s="15">
        <f t="shared" si="36"/>
        <v>593</v>
      </c>
      <c r="R63" s="8"/>
      <c r="T63"/>
    </row>
    <row r="64" spans="2:20" ht="23.1" customHeight="1" x14ac:dyDescent="0.25">
      <c r="B64" s="45" t="s">
        <v>109</v>
      </c>
      <c r="C64" s="50">
        <v>35</v>
      </c>
      <c r="D64" s="50">
        <v>32</v>
      </c>
      <c r="E64" s="50">
        <v>38</v>
      </c>
      <c r="F64" s="50">
        <v>74</v>
      </c>
      <c r="G64" s="50">
        <v>0</v>
      </c>
      <c r="H64" s="50">
        <v>0</v>
      </c>
      <c r="I64" s="50">
        <v>68</v>
      </c>
      <c r="J64" s="50">
        <v>65</v>
      </c>
      <c r="K64" s="50">
        <v>64</v>
      </c>
      <c r="L64" s="50">
        <v>32</v>
      </c>
      <c r="M64" s="50">
        <v>185</v>
      </c>
      <c r="N64" s="50">
        <v>0</v>
      </c>
      <c r="O64" s="15">
        <f t="shared" si="35"/>
        <v>408</v>
      </c>
      <c r="P64" s="15">
        <f t="shared" si="36"/>
        <v>593</v>
      </c>
      <c r="R64" s="8"/>
      <c r="T64"/>
    </row>
    <row r="65" spans="2:20" ht="23.1" customHeight="1" x14ac:dyDescent="0.25">
      <c r="B65" s="45" t="s">
        <v>158</v>
      </c>
      <c r="C65" s="50">
        <v>60</v>
      </c>
      <c r="D65" s="50">
        <v>41</v>
      </c>
      <c r="E65" s="50">
        <v>45</v>
      </c>
      <c r="F65" s="50">
        <v>75</v>
      </c>
      <c r="G65" s="50">
        <v>0</v>
      </c>
      <c r="H65" s="50">
        <v>0</v>
      </c>
      <c r="I65" s="50">
        <v>31</v>
      </c>
      <c r="J65" s="50">
        <v>43</v>
      </c>
      <c r="K65" s="50">
        <v>45</v>
      </c>
      <c r="L65" s="50">
        <v>12</v>
      </c>
      <c r="M65" s="50">
        <v>72</v>
      </c>
      <c r="N65" s="50">
        <v>0</v>
      </c>
      <c r="O65" s="15">
        <f t="shared" si="35"/>
        <v>352</v>
      </c>
      <c r="P65" s="15">
        <f t="shared" si="36"/>
        <v>424</v>
      </c>
      <c r="R65" s="8"/>
      <c r="T65"/>
    </row>
    <row r="66" spans="2:20" ht="23.1" customHeight="1" x14ac:dyDescent="0.25">
      <c r="B66" s="45" t="s">
        <v>103</v>
      </c>
      <c r="C66" s="50">
        <v>105</v>
      </c>
      <c r="D66" s="50">
        <v>26</v>
      </c>
      <c r="E66" s="50">
        <v>21</v>
      </c>
      <c r="F66" s="50">
        <v>68</v>
      </c>
      <c r="G66" s="50">
        <v>3</v>
      </c>
      <c r="H66" s="50">
        <v>0</v>
      </c>
      <c r="I66" s="50">
        <v>31</v>
      </c>
      <c r="J66" s="50">
        <v>14</v>
      </c>
      <c r="K66" s="50">
        <v>16</v>
      </c>
      <c r="L66" s="50">
        <v>13</v>
      </c>
      <c r="M66" s="50">
        <v>75</v>
      </c>
      <c r="N66" s="50">
        <v>0</v>
      </c>
      <c r="O66" s="15">
        <f t="shared" si="35"/>
        <v>297</v>
      </c>
      <c r="P66" s="15">
        <f t="shared" si="36"/>
        <v>372</v>
      </c>
      <c r="R66" s="8"/>
      <c r="T66"/>
    </row>
    <row r="67" spans="2:20" ht="23.1" customHeight="1" x14ac:dyDescent="0.25">
      <c r="B67" s="45" t="s">
        <v>104</v>
      </c>
      <c r="C67" s="50">
        <v>71</v>
      </c>
      <c r="D67" s="50">
        <v>14</v>
      </c>
      <c r="E67" s="50">
        <v>9</v>
      </c>
      <c r="F67" s="50">
        <v>55</v>
      </c>
      <c r="G67" s="50">
        <v>1</v>
      </c>
      <c r="H67" s="50">
        <v>1</v>
      </c>
      <c r="I67" s="50">
        <v>16</v>
      </c>
      <c r="J67" s="50">
        <v>17</v>
      </c>
      <c r="K67" s="50">
        <v>7</v>
      </c>
      <c r="L67" s="50">
        <v>3</v>
      </c>
      <c r="M67" s="50">
        <v>115</v>
      </c>
      <c r="N67" s="50">
        <v>0</v>
      </c>
      <c r="O67" s="15">
        <f t="shared" si="35"/>
        <v>194</v>
      </c>
      <c r="P67" s="15">
        <f t="shared" si="36"/>
        <v>309</v>
      </c>
      <c r="R67" s="8"/>
      <c r="T67"/>
    </row>
    <row r="68" spans="2:20" ht="23.1" customHeight="1" x14ac:dyDescent="0.25">
      <c r="B68" s="45" t="s">
        <v>105</v>
      </c>
      <c r="C68" s="50">
        <v>64</v>
      </c>
      <c r="D68" s="50">
        <v>4</v>
      </c>
      <c r="E68" s="50">
        <v>6</v>
      </c>
      <c r="F68" s="50">
        <v>45</v>
      </c>
      <c r="G68" s="50">
        <v>1</v>
      </c>
      <c r="H68" s="50">
        <v>0</v>
      </c>
      <c r="I68" s="50">
        <v>32</v>
      </c>
      <c r="J68" s="50">
        <v>20</v>
      </c>
      <c r="K68" s="50">
        <v>9</v>
      </c>
      <c r="L68" s="50">
        <v>1</v>
      </c>
      <c r="M68" s="50">
        <v>64</v>
      </c>
      <c r="N68" s="50">
        <v>0</v>
      </c>
      <c r="O68" s="15">
        <f t="shared" si="35"/>
        <v>182</v>
      </c>
      <c r="P68" s="15">
        <f t="shared" si="36"/>
        <v>246</v>
      </c>
      <c r="R68" s="8"/>
      <c r="T68"/>
    </row>
    <row r="69" spans="2:20" ht="23.1" customHeight="1" x14ac:dyDescent="0.25">
      <c r="B69" s="45" t="s">
        <v>106</v>
      </c>
      <c r="C69" s="50">
        <v>68</v>
      </c>
      <c r="D69" s="50">
        <v>14</v>
      </c>
      <c r="E69" s="50">
        <v>10</v>
      </c>
      <c r="F69" s="50">
        <v>73</v>
      </c>
      <c r="G69" s="50">
        <v>0</v>
      </c>
      <c r="H69" s="50">
        <v>0</v>
      </c>
      <c r="I69" s="50">
        <v>51</v>
      </c>
      <c r="J69" s="50">
        <v>25</v>
      </c>
      <c r="K69" s="50">
        <v>5</v>
      </c>
      <c r="L69" s="50">
        <v>3</v>
      </c>
      <c r="M69" s="50">
        <v>84</v>
      </c>
      <c r="N69" s="50">
        <v>0</v>
      </c>
      <c r="O69" s="15">
        <f t="shared" si="35"/>
        <v>249</v>
      </c>
      <c r="P69" s="15">
        <f t="shared" si="36"/>
        <v>333</v>
      </c>
      <c r="R69" s="8"/>
      <c r="T69"/>
    </row>
    <row r="70" spans="2:20" ht="23.1" customHeight="1" x14ac:dyDescent="0.25">
      <c r="B70" s="45" t="s">
        <v>110</v>
      </c>
      <c r="C70" s="50">
        <v>51</v>
      </c>
      <c r="D70" s="50">
        <v>9</v>
      </c>
      <c r="E70" s="50">
        <v>12</v>
      </c>
      <c r="F70" s="50">
        <v>61</v>
      </c>
      <c r="G70" s="50">
        <v>0</v>
      </c>
      <c r="H70" s="50">
        <v>0</v>
      </c>
      <c r="I70" s="50">
        <v>16</v>
      </c>
      <c r="J70" s="50">
        <v>15</v>
      </c>
      <c r="K70" s="50">
        <v>17</v>
      </c>
      <c r="L70" s="50">
        <v>7</v>
      </c>
      <c r="M70" s="50">
        <v>63</v>
      </c>
      <c r="N70" s="50">
        <v>0</v>
      </c>
      <c r="O70" s="15">
        <f t="shared" si="35"/>
        <v>188</v>
      </c>
      <c r="P70" s="15">
        <f t="shared" si="36"/>
        <v>251</v>
      </c>
      <c r="R70" s="8"/>
      <c r="T70"/>
    </row>
    <row r="71" spans="2:20" ht="23.1" customHeight="1" x14ac:dyDescent="0.25">
      <c r="B71" s="45" t="s">
        <v>111</v>
      </c>
      <c r="C71" s="50">
        <v>59</v>
      </c>
      <c r="D71" s="50">
        <v>10</v>
      </c>
      <c r="E71" s="50">
        <v>8</v>
      </c>
      <c r="F71" s="50">
        <v>70</v>
      </c>
      <c r="G71" s="50">
        <v>0</v>
      </c>
      <c r="H71" s="50">
        <v>0</v>
      </c>
      <c r="I71" s="50">
        <v>44</v>
      </c>
      <c r="J71" s="50">
        <v>32</v>
      </c>
      <c r="K71" s="50">
        <v>59</v>
      </c>
      <c r="L71" s="50">
        <v>8</v>
      </c>
      <c r="M71" s="50">
        <v>110</v>
      </c>
      <c r="N71" s="50">
        <v>0</v>
      </c>
      <c r="O71" s="15">
        <f t="shared" si="35"/>
        <v>290</v>
      </c>
      <c r="P71" s="15">
        <f t="shared" si="36"/>
        <v>400</v>
      </c>
      <c r="R71" s="8"/>
      <c r="T71"/>
    </row>
    <row r="72" spans="2:20" ht="23.1" customHeight="1" x14ac:dyDescent="0.25">
      <c r="B72" s="45" t="s">
        <v>112</v>
      </c>
      <c r="C72" s="50">
        <v>15</v>
      </c>
      <c r="D72" s="50">
        <v>15</v>
      </c>
      <c r="E72" s="50">
        <v>13</v>
      </c>
      <c r="F72" s="50">
        <v>17</v>
      </c>
      <c r="G72" s="50">
        <v>0</v>
      </c>
      <c r="H72" s="50">
        <v>0</v>
      </c>
      <c r="I72" s="50">
        <v>18</v>
      </c>
      <c r="J72" s="50">
        <v>52</v>
      </c>
      <c r="K72" s="50">
        <v>26</v>
      </c>
      <c r="L72" s="50">
        <v>2</v>
      </c>
      <c r="M72" s="50">
        <v>16</v>
      </c>
      <c r="N72" s="50">
        <v>0</v>
      </c>
      <c r="O72" s="15">
        <f t="shared" si="35"/>
        <v>158</v>
      </c>
      <c r="P72" s="15">
        <f t="shared" si="36"/>
        <v>174</v>
      </c>
      <c r="R72" s="8"/>
      <c r="T72"/>
    </row>
    <row r="73" spans="2:20" ht="23.1" customHeight="1" x14ac:dyDescent="0.25">
      <c r="B73" s="45" t="s">
        <v>113</v>
      </c>
      <c r="C73" s="50">
        <v>55</v>
      </c>
      <c r="D73" s="50">
        <v>5</v>
      </c>
      <c r="E73" s="50">
        <v>6</v>
      </c>
      <c r="F73" s="50">
        <v>9</v>
      </c>
      <c r="G73" s="50">
        <v>0</v>
      </c>
      <c r="H73" s="50">
        <v>0</v>
      </c>
      <c r="I73" s="50">
        <v>17</v>
      </c>
      <c r="J73" s="50">
        <v>10</v>
      </c>
      <c r="K73" s="50">
        <v>5</v>
      </c>
      <c r="L73" s="50">
        <v>2</v>
      </c>
      <c r="M73" s="50">
        <v>110</v>
      </c>
      <c r="N73" s="50">
        <v>0</v>
      </c>
      <c r="O73" s="15">
        <f t="shared" si="35"/>
        <v>109</v>
      </c>
      <c r="P73" s="15">
        <f t="shared" si="36"/>
        <v>219</v>
      </c>
      <c r="R73" s="8"/>
      <c r="T73"/>
    </row>
    <row r="74" spans="2:20" ht="23.1" customHeight="1" x14ac:dyDescent="0.25">
      <c r="B74" s="45" t="s">
        <v>114</v>
      </c>
      <c r="C74" s="50">
        <v>76</v>
      </c>
      <c r="D74" s="50">
        <v>4</v>
      </c>
      <c r="E74" s="50">
        <v>5</v>
      </c>
      <c r="F74" s="50">
        <v>19</v>
      </c>
      <c r="G74" s="50">
        <v>2</v>
      </c>
      <c r="H74" s="50">
        <v>1</v>
      </c>
      <c r="I74" s="50">
        <v>33</v>
      </c>
      <c r="J74" s="50">
        <v>15</v>
      </c>
      <c r="K74" s="50">
        <v>4</v>
      </c>
      <c r="L74" s="50">
        <v>4</v>
      </c>
      <c r="M74" s="50">
        <v>120</v>
      </c>
      <c r="N74" s="50">
        <v>0</v>
      </c>
      <c r="O74" s="15">
        <f t="shared" si="35"/>
        <v>163</v>
      </c>
      <c r="P74" s="15">
        <f t="shared" si="36"/>
        <v>283</v>
      </c>
      <c r="R74" s="8"/>
      <c r="T74"/>
    </row>
    <row r="75" spans="2:20" ht="23.1" customHeight="1" x14ac:dyDescent="0.25">
      <c r="B75" s="45" t="s">
        <v>115</v>
      </c>
      <c r="C75" s="50">
        <v>45</v>
      </c>
      <c r="D75" s="50">
        <v>8</v>
      </c>
      <c r="E75" s="50">
        <v>2</v>
      </c>
      <c r="F75" s="50">
        <v>11</v>
      </c>
      <c r="G75" s="50">
        <v>0</v>
      </c>
      <c r="H75" s="50">
        <v>0</v>
      </c>
      <c r="I75" s="50">
        <v>10</v>
      </c>
      <c r="J75" s="50">
        <v>12</v>
      </c>
      <c r="K75" s="50">
        <v>0</v>
      </c>
      <c r="L75" s="50">
        <v>4</v>
      </c>
      <c r="M75" s="50">
        <v>69</v>
      </c>
      <c r="N75" s="50">
        <v>0</v>
      </c>
      <c r="O75" s="15">
        <f t="shared" si="35"/>
        <v>92</v>
      </c>
      <c r="P75" s="15">
        <f t="shared" si="36"/>
        <v>161</v>
      </c>
      <c r="R75" s="8"/>
      <c r="T75"/>
    </row>
    <row r="76" spans="2:20" ht="23.1" customHeight="1" x14ac:dyDescent="0.25">
      <c r="B76" s="45" t="s">
        <v>116</v>
      </c>
      <c r="C76" s="50">
        <v>31</v>
      </c>
      <c r="D76" s="50">
        <v>1</v>
      </c>
      <c r="E76" s="50">
        <v>4</v>
      </c>
      <c r="F76" s="50">
        <v>4</v>
      </c>
      <c r="G76" s="50">
        <v>0</v>
      </c>
      <c r="H76" s="50">
        <v>0</v>
      </c>
      <c r="I76" s="50">
        <v>7</v>
      </c>
      <c r="J76" s="50">
        <v>5</v>
      </c>
      <c r="K76" s="50">
        <v>1</v>
      </c>
      <c r="L76" s="50">
        <v>0</v>
      </c>
      <c r="M76" s="50">
        <v>50</v>
      </c>
      <c r="N76" s="50">
        <v>0</v>
      </c>
      <c r="O76" s="15">
        <f t="shared" si="35"/>
        <v>53</v>
      </c>
      <c r="P76" s="15">
        <f t="shared" si="36"/>
        <v>103</v>
      </c>
      <c r="R76" s="8"/>
      <c r="T76"/>
    </row>
    <row r="77" spans="2:20" ht="23.1" customHeight="1" x14ac:dyDescent="0.25">
      <c r="B77" s="45" t="s">
        <v>117</v>
      </c>
      <c r="C77" s="50">
        <v>35</v>
      </c>
      <c r="D77" s="50">
        <v>5</v>
      </c>
      <c r="E77" s="50">
        <v>4</v>
      </c>
      <c r="F77" s="50">
        <v>3</v>
      </c>
      <c r="G77" s="50">
        <v>0</v>
      </c>
      <c r="H77" s="50">
        <v>0</v>
      </c>
      <c r="I77" s="50">
        <v>7</v>
      </c>
      <c r="J77" s="50">
        <v>7</v>
      </c>
      <c r="K77" s="50">
        <v>3</v>
      </c>
      <c r="L77" s="50">
        <v>3</v>
      </c>
      <c r="M77" s="50">
        <v>50</v>
      </c>
      <c r="N77" s="50">
        <v>0</v>
      </c>
      <c r="O77" s="15">
        <f t="shared" si="35"/>
        <v>67</v>
      </c>
      <c r="P77" s="15">
        <f t="shared" si="36"/>
        <v>117</v>
      </c>
      <c r="R77" s="8"/>
      <c r="T77"/>
    </row>
    <row r="78" spans="2:20" ht="23.1" customHeight="1" x14ac:dyDescent="0.25">
      <c r="B78" s="46" t="s">
        <v>118</v>
      </c>
      <c r="C78" s="50">
        <v>36</v>
      </c>
      <c r="D78" s="50">
        <v>4</v>
      </c>
      <c r="E78" s="50">
        <v>5</v>
      </c>
      <c r="F78" s="50">
        <v>11</v>
      </c>
      <c r="G78" s="50">
        <v>4</v>
      </c>
      <c r="H78" s="50">
        <v>1</v>
      </c>
      <c r="I78" s="50">
        <v>3</v>
      </c>
      <c r="J78" s="50">
        <v>6</v>
      </c>
      <c r="K78" s="50">
        <v>7</v>
      </c>
      <c r="L78" s="50">
        <v>3</v>
      </c>
      <c r="M78" s="50">
        <v>80</v>
      </c>
      <c r="N78" s="50">
        <v>0</v>
      </c>
      <c r="O78" s="15">
        <f t="shared" si="35"/>
        <v>80</v>
      </c>
      <c r="P78" s="15">
        <f t="shared" si="36"/>
        <v>160</v>
      </c>
      <c r="R78" s="8"/>
      <c r="T78"/>
    </row>
    <row r="79" spans="2:20" ht="23.1" customHeight="1" x14ac:dyDescent="0.25">
      <c r="B79" s="45" t="s">
        <v>119</v>
      </c>
      <c r="C79" s="50">
        <v>26</v>
      </c>
      <c r="D79" s="50">
        <v>4</v>
      </c>
      <c r="E79" s="50">
        <v>5</v>
      </c>
      <c r="F79" s="50">
        <v>6</v>
      </c>
      <c r="G79" s="50">
        <v>0</v>
      </c>
      <c r="H79" s="50">
        <v>0</v>
      </c>
      <c r="I79" s="50">
        <v>10</v>
      </c>
      <c r="J79" s="50">
        <v>13</v>
      </c>
      <c r="K79" s="50">
        <v>2</v>
      </c>
      <c r="L79" s="50">
        <v>2</v>
      </c>
      <c r="M79" s="50">
        <v>58</v>
      </c>
      <c r="N79" s="50">
        <v>0</v>
      </c>
      <c r="O79" s="15">
        <f t="shared" si="35"/>
        <v>68</v>
      </c>
      <c r="P79" s="15">
        <f t="shared" si="36"/>
        <v>126</v>
      </c>
      <c r="R79" s="8"/>
      <c r="T79"/>
    </row>
    <row r="80" spans="2:20" ht="23.1" customHeight="1" x14ac:dyDescent="0.25">
      <c r="B80" s="47" t="s">
        <v>120</v>
      </c>
      <c r="C80" s="50">
        <v>12</v>
      </c>
      <c r="D80" s="50">
        <v>1</v>
      </c>
      <c r="E80" s="50">
        <v>2</v>
      </c>
      <c r="F80" s="50">
        <v>62</v>
      </c>
      <c r="G80" s="50">
        <v>0</v>
      </c>
      <c r="H80" s="50">
        <v>0</v>
      </c>
      <c r="I80" s="50">
        <v>1</v>
      </c>
      <c r="J80" s="50">
        <v>6</v>
      </c>
      <c r="K80" s="50">
        <v>1</v>
      </c>
      <c r="L80" s="50">
        <v>1</v>
      </c>
      <c r="M80" s="50">
        <v>25</v>
      </c>
      <c r="N80" s="50">
        <v>0</v>
      </c>
      <c r="O80" s="15">
        <f t="shared" si="35"/>
        <v>86</v>
      </c>
      <c r="P80" s="15">
        <f t="shared" si="36"/>
        <v>111</v>
      </c>
      <c r="R80" s="8"/>
      <c r="T80"/>
    </row>
    <row r="81" spans="2:20" ht="23.1" customHeight="1" x14ac:dyDescent="0.25">
      <c r="B81" s="45" t="s">
        <v>121</v>
      </c>
      <c r="C81" s="50">
        <v>13</v>
      </c>
      <c r="D81" s="50">
        <v>3</v>
      </c>
      <c r="E81" s="50">
        <v>1</v>
      </c>
      <c r="F81" s="50">
        <v>1</v>
      </c>
      <c r="G81" s="50">
        <v>0</v>
      </c>
      <c r="H81" s="50">
        <v>0</v>
      </c>
      <c r="I81" s="50">
        <v>4</v>
      </c>
      <c r="J81" s="50">
        <v>3</v>
      </c>
      <c r="K81" s="50">
        <v>5</v>
      </c>
      <c r="L81" s="50">
        <v>1</v>
      </c>
      <c r="M81" s="50">
        <v>18</v>
      </c>
      <c r="N81" s="50">
        <v>0</v>
      </c>
      <c r="O81" s="15">
        <f t="shared" si="35"/>
        <v>31</v>
      </c>
      <c r="P81" s="15">
        <f t="shared" si="36"/>
        <v>49</v>
      </c>
      <c r="R81" s="8"/>
      <c r="T81"/>
    </row>
    <row r="82" spans="2:20" ht="23.1" customHeight="1" x14ac:dyDescent="0.25">
      <c r="B82" s="46" t="s">
        <v>122</v>
      </c>
      <c r="C82" s="50">
        <v>13</v>
      </c>
      <c r="D82" s="50">
        <v>3</v>
      </c>
      <c r="E82" s="50">
        <v>3</v>
      </c>
      <c r="F82" s="50">
        <v>1</v>
      </c>
      <c r="G82" s="50">
        <v>0</v>
      </c>
      <c r="H82" s="50">
        <v>0</v>
      </c>
      <c r="I82" s="50">
        <v>2</v>
      </c>
      <c r="J82" s="50">
        <v>5</v>
      </c>
      <c r="K82" s="50">
        <v>0</v>
      </c>
      <c r="L82" s="50">
        <v>2</v>
      </c>
      <c r="M82" s="50">
        <v>35</v>
      </c>
      <c r="N82" s="50">
        <v>0</v>
      </c>
      <c r="O82" s="15">
        <f t="shared" si="35"/>
        <v>29</v>
      </c>
      <c r="P82" s="15">
        <f t="shared" si="36"/>
        <v>64</v>
      </c>
      <c r="R82" s="8"/>
      <c r="T82"/>
    </row>
    <row r="83" spans="2:20" ht="23.1" customHeight="1" x14ac:dyDescent="0.25">
      <c r="B83" s="45" t="s">
        <v>123</v>
      </c>
      <c r="C83" s="50">
        <v>12</v>
      </c>
      <c r="D83" s="50">
        <v>5</v>
      </c>
      <c r="E83" s="50">
        <v>0</v>
      </c>
      <c r="F83" s="50">
        <v>1</v>
      </c>
      <c r="G83" s="50">
        <v>0</v>
      </c>
      <c r="H83" s="50">
        <v>0</v>
      </c>
      <c r="I83" s="50">
        <v>6</v>
      </c>
      <c r="J83" s="50">
        <v>2</v>
      </c>
      <c r="K83" s="50">
        <v>0</v>
      </c>
      <c r="L83" s="50">
        <v>1</v>
      </c>
      <c r="M83" s="50">
        <v>15</v>
      </c>
      <c r="N83" s="50">
        <v>0</v>
      </c>
      <c r="O83" s="15">
        <f t="shared" si="35"/>
        <v>27</v>
      </c>
      <c r="P83" s="15">
        <f t="shared" si="36"/>
        <v>42</v>
      </c>
      <c r="R83" s="8"/>
      <c r="T83"/>
    </row>
    <row r="84" spans="2:20" ht="23.1" customHeight="1" x14ac:dyDescent="0.25">
      <c r="B84" s="47" t="s">
        <v>124</v>
      </c>
      <c r="C84" s="50">
        <v>6</v>
      </c>
      <c r="D84" s="50">
        <v>1</v>
      </c>
      <c r="E84" s="50">
        <v>0</v>
      </c>
      <c r="F84" s="50">
        <v>4</v>
      </c>
      <c r="G84" s="50">
        <v>0</v>
      </c>
      <c r="H84" s="50">
        <v>0</v>
      </c>
      <c r="I84" s="50">
        <v>2</v>
      </c>
      <c r="J84" s="50">
        <v>4</v>
      </c>
      <c r="K84" s="50">
        <v>4</v>
      </c>
      <c r="L84" s="50">
        <v>4</v>
      </c>
      <c r="M84" s="50">
        <v>14</v>
      </c>
      <c r="N84" s="50">
        <v>0</v>
      </c>
      <c r="O84" s="15">
        <f t="shared" si="35"/>
        <v>25</v>
      </c>
      <c r="P84" s="15">
        <f t="shared" si="36"/>
        <v>39</v>
      </c>
      <c r="R84" s="8"/>
      <c r="T84"/>
    </row>
    <row r="85" spans="2:20" ht="23.1" customHeight="1" x14ac:dyDescent="0.25">
      <c r="B85" s="45" t="s">
        <v>125</v>
      </c>
      <c r="C85" s="50">
        <v>3</v>
      </c>
      <c r="D85" s="50">
        <v>0</v>
      </c>
      <c r="E85" s="50">
        <v>0</v>
      </c>
      <c r="F85" s="50">
        <v>3</v>
      </c>
      <c r="G85" s="50">
        <v>0</v>
      </c>
      <c r="H85" s="50">
        <v>0</v>
      </c>
      <c r="I85" s="50">
        <v>2</v>
      </c>
      <c r="J85" s="50">
        <v>1</v>
      </c>
      <c r="K85" s="50">
        <v>0</v>
      </c>
      <c r="L85" s="50">
        <v>0</v>
      </c>
      <c r="M85" s="50">
        <v>4</v>
      </c>
      <c r="N85" s="50">
        <v>0</v>
      </c>
      <c r="O85" s="15">
        <f t="shared" si="35"/>
        <v>9</v>
      </c>
      <c r="P85" s="15">
        <f t="shared" si="36"/>
        <v>13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0</v>
      </c>
      <c r="E86" s="50">
        <v>2</v>
      </c>
      <c r="F86" s="50">
        <v>0</v>
      </c>
      <c r="G86" s="50">
        <v>0</v>
      </c>
      <c r="H86" s="50">
        <v>0</v>
      </c>
      <c r="I86" s="50">
        <v>0</v>
      </c>
      <c r="J86" s="50">
        <v>4</v>
      </c>
      <c r="K86" s="50">
        <v>0</v>
      </c>
      <c r="L86" s="50">
        <v>1</v>
      </c>
      <c r="M86" s="50">
        <v>3</v>
      </c>
      <c r="N86" s="50">
        <v>0</v>
      </c>
      <c r="O86" s="15">
        <f t="shared" si="35"/>
        <v>10</v>
      </c>
      <c r="P86" s="15">
        <f t="shared" si="36"/>
        <v>13</v>
      </c>
      <c r="R86" s="8"/>
      <c r="T86"/>
    </row>
    <row r="87" spans="2:20" ht="23.1" customHeight="1" x14ac:dyDescent="0.25">
      <c r="B87" s="45" t="s">
        <v>127</v>
      </c>
      <c r="C87" s="50">
        <v>2</v>
      </c>
      <c r="D87" s="50">
        <v>0</v>
      </c>
      <c r="E87" s="50">
        <v>1</v>
      </c>
      <c r="F87" s="50">
        <v>2</v>
      </c>
      <c r="G87" s="50">
        <v>0</v>
      </c>
      <c r="H87" s="50">
        <v>0</v>
      </c>
      <c r="I87" s="50">
        <v>1</v>
      </c>
      <c r="J87" s="50">
        <v>1</v>
      </c>
      <c r="K87" s="50">
        <v>0</v>
      </c>
      <c r="L87" s="50">
        <v>0</v>
      </c>
      <c r="M87" s="50">
        <v>3</v>
      </c>
      <c r="N87" s="50">
        <v>0</v>
      </c>
      <c r="O87" s="15">
        <f t="shared" si="35"/>
        <v>7</v>
      </c>
      <c r="P87" s="15">
        <f t="shared" si="36"/>
        <v>10</v>
      </c>
      <c r="R87" s="8"/>
      <c r="T87"/>
    </row>
    <row r="88" spans="2:20" ht="23.1" customHeight="1" x14ac:dyDescent="0.25">
      <c r="B88" s="47" t="s">
        <v>128</v>
      </c>
      <c r="C88" s="50">
        <v>10</v>
      </c>
      <c r="D88" s="50">
        <v>3</v>
      </c>
      <c r="E88" s="50">
        <v>1</v>
      </c>
      <c r="F88" s="50">
        <v>1</v>
      </c>
      <c r="G88" s="50">
        <v>0</v>
      </c>
      <c r="H88" s="50">
        <v>0</v>
      </c>
      <c r="I88" s="50">
        <v>7</v>
      </c>
      <c r="J88" s="50">
        <v>1</v>
      </c>
      <c r="K88" s="50">
        <v>0</v>
      </c>
      <c r="L88" s="50">
        <v>1</v>
      </c>
      <c r="M88" s="50">
        <v>19</v>
      </c>
      <c r="N88" s="50">
        <v>0</v>
      </c>
      <c r="O88" s="15">
        <f t="shared" si="35"/>
        <v>24</v>
      </c>
      <c r="P88" s="15">
        <f t="shared" si="36"/>
        <v>43</v>
      </c>
      <c r="R88" s="8"/>
      <c r="T88"/>
    </row>
    <row r="89" spans="2:20" ht="23.1" customHeight="1" x14ac:dyDescent="0.25">
      <c r="B89" s="45" t="s">
        <v>129</v>
      </c>
      <c r="C89" s="50">
        <v>6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3</v>
      </c>
      <c r="J89" s="50">
        <v>2</v>
      </c>
      <c r="K89" s="50">
        <v>2</v>
      </c>
      <c r="L89" s="50">
        <v>0</v>
      </c>
      <c r="M89" s="50">
        <v>8</v>
      </c>
      <c r="N89" s="50">
        <v>0</v>
      </c>
      <c r="O89" s="15">
        <f t="shared" si="35"/>
        <v>14</v>
      </c>
      <c r="P89" s="15">
        <f t="shared" si="36"/>
        <v>22</v>
      </c>
      <c r="R89" s="8"/>
      <c r="T89"/>
    </row>
    <row r="90" spans="2:20" ht="23.1" customHeight="1" x14ac:dyDescent="0.25">
      <c r="B90" s="46" t="s">
        <v>130</v>
      </c>
      <c r="C90" s="50">
        <v>6</v>
      </c>
      <c r="D90" s="50">
        <v>1</v>
      </c>
      <c r="E90" s="50">
        <v>2</v>
      </c>
      <c r="F90" s="50">
        <v>0</v>
      </c>
      <c r="G90" s="50">
        <v>0</v>
      </c>
      <c r="H90" s="50">
        <v>0</v>
      </c>
      <c r="I90" s="50">
        <v>5</v>
      </c>
      <c r="J90" s="50">
        <v>6</v>
      </c>
      <c r="K90" s="50">
        <v>2</v>
      </c>
      <c r="L90" s="50">
        <v>3</v>
      </c>
      <c r="M90" s="50">
        <v>7</v>
      </c>
      <c r="N90" s="50">
        <v>0</v>
      </c>
      <c r="O90" s="15">
        <f t="shared" si="35"/>
        <v>25</v>
      </c>
      <c r="P90" s="15">
        <f t="shared" si="36"/>
        <v>32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1</v>
      </c>
      <c r="F91" s="50">
        <v>2</v>
      </c>
      <c r="G91" s="50">
        <v>0</v>
      </c>
      <c r="H91" s="50">
        <v>0</v>
      </c>
      <c r="I91" s="50">
        <v>3</v>
      </c>
      <c r="J91" s="50">
        <v>0</v>
      </c>
      <c r="K91" s="50">
        <v>0</v>
      </c>
      <c r="L91" s="50">
        <v>2</v>
      </c>
      <c r="M91" s="50">
        <v>4</v>
      </c>
      <c r="N91" s="50">
        <v>0</v>
      </c>
      <c r="O91" s="15">
        <f t="shared" si="35"/>
        <v>10</v>
      </c>
      <c r="P91" s="15">
        <f t="shared" si="36"/>
        <v>14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1</v>
      </c>
      <c r="F92" s="50">
        <v>0</v>
      </c>
      <c r="G92" s="50">
        <v>0</v>
      </c>
      <c r="H92" s="50">
        <v>0</v>
      </c>
      <c r="I92" s="50">
        <v>2</v>
      </c>
      <c r="J92" s="50">
        <v>5</v>
      </c>
      <c r="K92" s="50">
        <v>1</v>
      </c>
      <c r="L92" s="50">
        <v>2</v>
      </c>
      <c r="M92" s="50">
        <v>4</v>
      </c>
      <c r="N92" s="50">
        <v>0</v>
      </c>
      <c r="O92" s="15">
        <f t="shared" si="35"/>
        <v>15</v>
      </c>
      <c r="P92" s="15">
        <f t="shared" si="36"/>
        <v>19</v>
      </c>
      <c r="R92" s="8"/>
      <c r="T92"/>
    </row>
    <row r="93" spans="2:20" ht="23.1" customHeight="1" x14ac:dyDescent="0.25">
      <c r="B93" s="45" t="s">
        <v>133</v>
      </c>
      <c r="C93" s="50">
        <v>13</v>
      </c>
      <c r="D93" s="50">
        <v>0</v>
      </c>
      <c r="E93" s="50">
        <v>3</v>
      </c>
      <c r="F93" s="50">
        <v>0</v>
      </c>
      <c r="G93" s="50">
        <v>0</v>
      </c>
      <c r="H93" s="50">
        <v>0</v>
      </c>
      <c r="I93" s="50">
        <v>7</v>
      </c>
      <c r="J93" s="50">
        <v>3</v>
      </c>
      <c r="K93" s="50">
        <v>2</v>
      </c>
      <c r="L93" s="50">
        <v>2</v>
      </c>
      <c r="M93" s="50">
        <v>8</v>
      </c>
      <c r="N93" s="50">
        <v>0</v>
      </c>
      <c r="O93" s="15">
        <f t="shared" si="35"/>
        <v>30</v>
      </c>
      <c r="P93" s="15">
        <f t="shared" si="36"/>
        <v>38</v>
      </c>
      <c r="R93" s="8"/>
      <c r="T93"/>
    </row>
    <row r="94" spans="2:20" ht="23.1" customHeight="1" x14ac:dyDescent="0.25">
      <c r="B94" s="46" t="s">
        <v>134</v>
      </c>
      <c r="C94" s="50">
        <v>13</v>
      </c>
      <c r="D94" s="50">
        <v>0</v>
      </c>
      <c r="E94" s="50">
        <v>3</v>
      </c>
      <c r="F94" s="50">
        <v>1</v>
      </c>
      <c r="G94" s="50">
        <v>1</v>
      </c>
      <c r="H94" s="50">
        <v>0</v>
      </c>
      <c r="I94" s="50">
        <v>9</v>
      </c>
      <c r="J94" s="50">
        <v>12</v>
      </c>
      <c r="K94" s="50">
        <v>0</v>
      </c>
      <c r="L94" s="50">
        <v>3</v>
      </c>
      <c r="M94" s="50">
        <v>13</v>
      </c>
      <c r="N94" s="50">
        <v>0</v>
      </c>
      <c r="O94" s="15">
        <f t="shared" si="35"/>
        <v>42</v>
      </c>
      <c r="P94" s="15">
        <f t="shared" si="36"/>
        <v>55</v>
      </c>
      <c r="R94" s="8"/>
      <c r="T94"/>
    </row>
    <row r="95" spans="2:20" ht="23.1" customHeight="1" x14ac:dyDescent="0.25">
      <c r="B95" s="45" t="s">
        <v>135</v>
      </c>
      <c r="C95" s="50">
        <v>13</v>
      </c>
      <c r="D95" s="50">
        <v>4</v>
      </c>
      <c r="E95" s="50">
        <v>5</v>
      </c>
      <c r="F95" s="50">
        <v>2</v>
      </c>
      <c r="G95" s="50">
        <v>0</v>
      </c>
      <c r="H95" s="50">
        <v>1</v>
      </c>
      <c r="I95" s="50">
        <v>14</v>
      </c>
      <c r="J95" s="50">
        <v>2</v>
      </c>
      <c r="K95" s="50">
        <v>2</v>
      </c>
      <c r="L95" s="50">
        <v>1</v>
      </c>
      <c r="M95" s="50">
        <v>10</v>
      </c>
      <c r="N95" s="50">
        <v>0</v>
      </c>
      <c r="O95" s="15">
        <f t="shared" si="35"/>
        <v>44</v>
      </c>
      <c r="P95" s="15">
        <f t="shared" si="36"/>
        <v>54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3</v>
      </c>
      <c r="E96" s="50">
        <v>3</v>
      </c>
      <c r="F96" s="50">
        <v>1</v>
      </c>
      <c r="G96" s="50">
        <v>0</v>
      </c>
      <c r="H96" s="50">
        <v>0</v>
      </c>
      <c r="I96" s="50">
        <v>0</v>
      </c>
      <c r="J96" s="50">
        <v>5</v>
      </c>
      <c r="K96" s="50">
        <v>1</v>
      </c>
      <c r="L96" s="50">
        <v>2</v>
      </c>
      <c r="M96" s="50">
        <v>21</v>
      </c>
      <c r="N96" s="50">
        <v>0</v>
      </c>
      <c r="O96" s="15">
        <f t="shared" si="35"/>
        <v>23</v>
      </c>
      <c r="P96" s="15">
        <f t="shared" si="36"/>
        <v>44</v>
      </c>
      <c r="R96" s="8"/>
      <c r="T96"/>
    </row>
    <row r="97" spans="2:20" ht="23.1" customHeight="1" x14ac:dyDescent="0.25">
      <c r="B97" s="45" t="s">
        <v>137</v>
      </c>
      <c r="C97" s="50">
        <v>8</v>
      </c>
      <c r="D97" s="50">
        <v>0</v>
      </c>
      <c r="E97" s="50">
        <v>3</v>
      </c>
      <c r="F97" s="50">
        <v>0</v>
      </c>
      <c r="G97" s="50">
        <v>0</v>
      </c>
      <c r="H97" s="50">
        <v>0</v>
      </c>
      <c r="I97" s="50">
        <v>4</v>
      </c>
      <c r="J97" s="50">
        <v>6</v>
      </c>
      <c r="K97" s="50">
        <v>6</v>
      </c>
      <c r="L97" s="50">
        <v>3</v>
      </c>
      <c r="M97" s="50">
        <v>13</v>
      </c>
      <c r="N97" s="50">
        <v>0</v>
      </c>
      <c r="O97" s="15">
        <f t="shared" si="35"/>
        <v>30</v>
      </c>
      <c r="P97" s="15">
        <f t="shared" si="36"/>
        <v>43</v>
      </c>
      <c r="R97" s="8"/>
      <c r="T97"/>
    </row>
    <row r="98" spans="2:20" ht="23.1" customHeight="1" x14ac:dyDescent="0.25">
      <c r="B98" s="46" t="s">
        <v>138</v>
      </c>
      <c r="C98" s="50">
        <v>28</v>
      </c>
      <c r="D98" s="50">
        <v>11</v>
      </c>
      <c r="E98" s="50">
        <v>6</v>
      </c>
      <c r="F98" s="50">
        <v>14</v>
      </c>
      <c r="G98" s="50">
        <v>0</v>
      </c>
      <c r="H98" s="50">
        <v>1</v>
      </c>
      <c r="I98" s="50">
        <v>7</v>
      </c>
      <c r="J98" s="50">
        <v>8</v>
      </c>
      <c r="K98" s="50">
        <v>4</v>
      </c>
      <c r="L98" s="50">
        <v>1</v>
      </c>
      <c r="M98" s="50">
        <v>38</v>
      </c>
      <c r="N98" s="50">
        <v>0</v>
      </c>
      <c r="O98" s="15">
        <f t="shared" si="35"/>
        <v>80</v>
      </c>
      <c r="P98" s="15">
        <f t="shared" si="36"/>
        <v>118</v>
      </c>
      <c r="R98" s="8"/>
      <c r="T98"/>
    </row>
    <row r="99" spans="2:20" ht="23.1" customHeight="1" x14ac:dyDescent="0.25">
      <c r="B99" s="45" t="s">
        <v>139</v>
      </c>
      <c r="C99" s="50">
        <v>28</v>
      </c>
      <c r="D99" s="50">
        <v>2</v>
      </c>
      <c r="E99" s="50">
        <v>4</v>
      </c>
      <c r="F99" s="50">
        <v>15</v>
      </c>
      <c r="G99" s="50">
        <v>1</v>
      </c>
      <c r="H99" s="50">
        <v>0</v>
      </c>
      <c r="I99" s="50">
        <v>3</v>
      </c>
      <c r="J99" s="50">
        <v>7</v>
      </c>
      <c r="K99" s="50">
        <v>1</v>
      </c>
      <c r="L99" s="50">
        <v>5</v>
      </c>
      <c r="M99" s="50">
        <v>24</v>
      </c>
      <c r="N99" s="50">
        <v>0</v>
      </c>
      <c r="O99" s="15">
        <f t="shared" si="35"/>
        <v>66</v>
      </c>
      <c r="P99" s="15">
        <f t="shared" si="36"/>
        <v>90</v>
      </c>
      <c r="R99" s="8"/>
      <c r="T99"/>
    </row>
    <row r="100" spans="2:20" ht="23.1" customHeight="1" x14ac:dyDescent="0.25">
      <c r="B100" s="47" t="s">
        <v>140</v>
      </c>
      <c r="C100" s="50">
        <v>20</v>
      </c>
      <c r="D100" s="50">
        <v>4</v>
      </c>
      <c r="E100" s="50">
        <v>5</v>
      </c>
      <c r="F100" s="50">
        <v>13</v>
      </c>
      <c r="G100" s="50">
        <v>1</v>
      </c>
      <c r="H100" s="50">
        <v>0</v>
      </c>
      <c r="I100" s="50">
        <v>6</v>
      </c>
      <c r="J100" s="50">
        <v>2</v>
      </c>
      <c r="K100" s="50">
        <v>4</v>
      </c>
      <c r="L100" s="50">
        <v>3</v>
      </c>
      <c r="M100" s="50">
        <v>40</v>
      </c>
      <c r="N100" s="50">
        <v>0</v>
      </c>
      <c r="O100" s="15">
        <f t="shared" si="35"/>
        <v>58</v>
      </c>
      <c r="P100" s="15">
        <f t="shared" si="36"/>
        <v>98</v>
      </c>
      <c r="R100" s="8"/>
      <c r="T100"/>
    </row>
    <row r="101" spans="2:20" ht="23.1" customHeight="1" x14ac:dyDescent="0.25">
      <c r="B101" s="45" t="s">
        <v>141</v>
      </c>
      <c r="C101" s="50">
        <v>22</v>
      </c>
      <c r="D101" s="50">
        <v>5</v>
      </c>
      <c r="E101" s="50">
        <v>8</v>
      </c>
      <c r="F101" s="50">
        <v>9</v>
      </c>
      <c r="G101" s="50">
        <v>1</v>
      </c>
      <c r="H101" s="50">
        <v>0</v>
      </c>
      <c r="I101" s="50">
        <v>12</v>
      </c>
      <c r="J101" s="50">
        <v>4</v>
      </c>
      <c r="K101" s="50">
        <v>5</v>
      </c>
      <c r="L101" s="50">
        <v>1</v>
      </c>
      <c r="M101" s="50">
        <v>15</v>
      </c>
      <c r="N101" s="50">
        <v>0</v>
      </c>
      <c r="O101" s="15">
        <f t="shared" si="35"/>
        <v>67</v>
      </c>
      <c r="P101" s="15">
        <f t="shared" si="36"/>
        <v>82</v>
      </c>
      <c r="R101" s="8"/>
      <c r="T101"/>
    </row>
    <row r="102" spans="2:20" ht="23.1" customHeight="1" x14ac:dyDescent="0.25">
      <c r="B102" s="46" t="s">
        <v>142</v>
      </c>
      <c r="C102" s="50">
        <v>34</v>
      </c>
      <c r="D102" s="50">
        <v>6</v>
      </c>
      <c r="E102" s="50">
        <v>7</v>
      </c>
      <c r="F102" s="50">
        <v>25</v>
      </c>
      <c r="G102" s="50">
        <v>1</v>
      </c>
      <c r="H102" s="50">
        <v>0</v>
      </c>
      <c r="I102" s="50">
        <v>9</v>
      </c>
      <c r="J102" s="50">
        <v>7</v>
      </c>
      <c r="K102" s="50">
        <v>6</v>
      </c>
      <c r="L102" s="50">
        <v>6</v>
      </c>
      <c r="M102" s="50">
        <v>38</v>
      </c>
      <c r="N102" s="50">
        <v>0</v>
      </c>
      <c r="O102" s="15">
        <f t="shared" si="35"/>
        <v>101</v>
      </c>
      <c r="P102" s="15">
        <f t="shared" si="36"/>
        <v>139</v>
      </c>
      <c r="R102" s="8"/>
      <c r="T102"/>
    </row>
    <row r="103" spans="2:20" ht="23.1" customHeight="1" x14ac:dyDescent="0.25">
      <c r="B103" s="45" t="s">
        <v>143</v>
      </c>
      <c r="C103" s="50">
        <v>52</v>
      </c>
      <c r="D103" s="50">
        <v>11</v>
      </c>
      <c r="E103" s="50">
        <v>7</v>
      </c>
      <c r="F103" s="50">
        <v>15</v>
      </c>
      <c r="G103" s="50">
        <v>1</v>
      </c>
      <c r="H103" s="50">
        <v>0</v>
      </c>
      <c r="I103" s="50">
        <v>4</v>
      </c>
      <c r="J103" s="50">
        <v>6</v>
      </c>
      <c r="K103" s="50">
        <v>5</v>
      </c>
      <c r="L103" s="50">
        <v>1</v>
      </c>
      <c r="M103" s="50">
        <v>65</v>
      </c>
      <c r="N103" s="50">
        <v>0</v>
      </c>
      <c r="O103" s="15">
        <f t="shared" si="35"/>
        <v>102</v>
      </c>
      <c r="P103" s="15">
        <f t="shared" si="36"/>
        <v>167</v>
      </c>
      <c r="R103" s="8"/>
      <c r="T103"/>
    </row>
    <row r="104" spans="2:20" ht="23.1" customHeight="1" x14ac:dyDescent="0.25">
      <c r="B104" s="47" t="s">
        <v>144</v>
      </c>
      <c r="C104" s="50">
        <v>73</v>
      </c>
      <c r="D104" s="50">
        <v>7</v>
      </c>
      <c r="E104" s="50">
        <v>6</v>
      </c>
      <c r="F104" s="50">
        <v>55</v>
      </c>
      <c r="G104" s="50">
        <v>0</v>
      </c>
      <c r="H104" s="50">
        <v>0</v>
      </c>
      <c r="I104" s="50">
        <v>15</v>
      </c>
      <c r="J104" s="50">
        <v>3</v>
      </c>
      <c r="K104" s="50">
        <v>1</v>
      </c>
      <c r="L104" s="50">
        <v>3</v>
      </c>
      <c r="M104" s="50">
        <v>122</v>
      </c>
      <c r="N104" s="50">
        <v>0</v>
      </c>
      <c r="O104" s="15">
        <f t="shared" si="35"/>
        <v>163</v>
      </c>
      <c r="P104" s="15">
        <f t="shared" si="36"/>
        <v>285</v>
      </c>
      <c r="R104" s="8"/>
      <c r="T104"/>
    </row>
    <row r="105" spans="2:20" ht="23.1" customHeight="1" x14ac:dyDescent="0.25">
      <c r="B105" s="45" t="s">
        <v>145</v>
      </c>
      <c r="C105" s="50">
        <v>40</v>
      </c>
      <c r="D105" s="50">
        <v>14</v>
      </c>
      <c r="E105" s="50">
        <v>12</v>
      </c>
      <c r="F105" s="50">
        <v>70</v>
      </c>
      <c r="G105" s="50">
        <v>1</v>
      </c>
      <c r="H105" s="50">
        <v>0</v>
      </c>
      <c r="I105" s="50">
        <v>45</v>
      </c>
      <c r="J105" s="50">
        <v>1</v>
      </c>
      <c r="K105" s="50">
        <v>10</v>
      </c>
      <c r="L105" s="50">
        <v>2</v>
      </c>
      <c r="M105" s="50">
        <v>120</v>
      </c>
      <c r="N105" s="50">
        <v>0</v>
      </c>
      <c r="O105" s="15">
        <f t="shared" si="35"/>
        <v>195</v>
      </c>
      <c r="P105" s="15">
        <f t="shared" si="36"/>
        <v>315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6180</v>
      </c>
      <c r="D106" s="16">
        <f t="shared" ref="D106:P106" si="37">SUM(D10:D105)</f>
        <v>1207</v>
      </c>
      <c r="E106" s="16">
        <f t="shared" si="37"/>
        <v>1072</v>
      </c>
      <c r="F106" s="16">
        <f t="shared" si="37"/>
        <v>2728</v>
      </c>
      <c r="G106" s="16">
        <f t="shared" si="37"/>
        <v>177</v>
      </c>
      <c r="H106" s="16">
        <f t="shared" si="37"/>
        <v>40</v>
      </c>
      <c r="I106" s="16">
        <f t="shared" si="37"/>
        <v>1628</v>
      </c>
      <c r="J106" s="16">
        <f t="shared" si="37"/>
        <v>1145</v>
      </c>
      <c r="K106" s="16">
        <f t="shared" si="37"/>
        <v>863</v>
      </c>
      <c r="L106" s="16">
        <f t="shared" si="37"/>
        <v>567</v>
      </c>
      <c r="M106" s="16">
        <f t="shared" si="37"/>
        <v>10278</v>
      </c>
      <c r="N106" s="16">
        <f t="shared" si="37"/>
        <v>3</v>
      </c>
      <c r="O106" s="16">
        <f t="shared" si="37"/>
        <v>15610</v>
      </c>
      <c r="P106" s="16">
        <f t="shared" si="37"/>
        <v>25888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0.23872064276885044</v>
      </c>
      <c r="D107" s="43">
        <f t="shared" si="38"/>
        <v>4.6623918417799753E-2</v>
      </c>
      <c r="E107" s="43">
        <f t="shared" si="38"/>
        <v>4.1409147095179233E-2</v>
      </c>
      <c r="F107" s="43">
        <f t="shared" si="38"/>
        <v>0.1053770086526576</v>
      </c>
      <c r="G107" s="43">
        <f t="shared" si="38"/>
        <v>6.8371446229913476E-3</v>
      </c>
      <c r="H107" s="43">
        <f t="shared" si="38"/>
        <v>1.5451174289245982E-3</v>
      </c>
      <c r="I107" s="43">
        <f t="shared" si="38"/>
        <v>6.2886279357231151E-2</v>
      </c>
      <c r="J107" s="43">
        <f t="shared" si="38"/>
        <v>4.4228986402966623E-2</v>
      </c>
      <c r="K107" s="43">
        <f t="shared" si="38"/>
        <v>3.3335908529048205E-2</v>
      </c>
      <c r="L107" s="43">
        <f t="shared" si="38"/>
        <v>2.1902039555006182E-2</v>
      </c>
      <c r="M107" s="43">
        <f t="shared" si="38"/>
        <v>0.39701792336217551</v>
      </c>
      <c r="N107" s="43">
        <f t="shared" si="38"/>
        <v>1.1588380716934487E-4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0.39590006406149902</v>
      </c>
      <c r="D108" s="44">
        <f t="shared" ref="D108:N108" si="39">D106/$O$106</f>
        <v>7.7322229340166554E-2</v>
      </c>
      <c r="E108" s="44">
        <f t="shared" si="39"/>
        <v>6.8673926969891094E-2</v>
      </c>
      <c r="F108" s="44">
        <f t="shared" si="39"/>
        <v>0.17475976937860346</v>
      </c>
      <c r="G108" s="44">
        <f t="shared" si="39"/>
        <v>1.1338885329916721E-2</v>
      </c>
      <c r="H108" s="44">
        <f t="shared" si="39"/>
        <v>2.5624599615631004E-3</v>
      </c>
      <c r="I108" s="44">
        <f t="shared" si="39"/>
        <v>0.1042921204356182</v>
      </c>
      <c r="J108" s="44">
        <f t="shared" si="39"/>
        <v>7.3350416399743754E-2</v>
      </c>
      <c r="K108" s="44">
        <f t="shared" si="39"/>
        <v>5.5285073670723897E-2</v>
      </c>
      <c r="L108" s="44">
        <f t="shared" si="39"/>
        <v>3.6322869955156947E-2</v>
      </c>
      <c r="M108" s="44"/>
      <c r="N108" s="44">
        <f t="shared" si="39"/>
        <v>1.9218449711723255E-4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74"/>
  <sheetViews>
    <sheetView view="pageBreakPreview" topLeftCell="B43" zoomScale="60" workbookViewId="0">
      <selection activeCell="B1" sqref="B1:AE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Lubigi-Masanafu-24h'!D5</f>
        <v>26.07.19</v>
      </c>
      <c r="E5" s="3"/>
      <c r="F5" s="41" t="s">
        <v>1</v>
      </c>
      <c r="G5" s="67" t="str">
        <f>'26.07 Lubigi-Masanafu-24h'!G5:H5</f>
        <v>Northern Bypass</v>
      </c>
      <c r="H5" s="68"/>
      <c r="I5" s="14"/>
      <c r="J5" s="2" t="s">
        <v>5</v>
      </c>
      <c r="K5" s="67" t="s">
        <v>175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Masanafu-Lubigi'!D6:E6</f>
        <v>Masanafu</v>
      </c>
      <c r="E6" s="68"/>
      <c r="F6" s="2" t="s">
        <v>2</v>
      </c>
      <c r="G6" s="67" t="str">
        <f>'23.07 Masanafu-Lubigi'!G6:H6</f>
        <v>Lubigi</v>
      </c>
      <c r="H6" s="68"/>
      <c r="J6" s="2" t="s">
        <v>21</v>
      </c>
      <c r="K6" s="67" t="str">
        <f>'26.07 Lubigi-Masanafu-24h'!K6:L6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208</v>
      </c>
      <c r="T10" s="17">
        <f t="shared" si="2"/>
        <v>140</v>
      </c>
      <c r="U10" s="17">
        <f t="shared" si="2"/>
        <v>75</v>
      </c>
      <c r="V10" s="17">
        <f t="shared" si="2"/>
        <v>81</v>
      </c>
      <c r="W10" s="17">
        <f t="shared" si="2"/>
        <v>12</v>
      </c>
      <c r="X10" s="17">
        <f t="shared" si="2"/>
        <v>1</v>
      </c>
      <c r="Y10" s="17">
        <f t="shared" si="2"/>
        <v>37</v>
      </c>
      <c r="Z10" s="17">
        <f t="shared" si="2"/>
        <v>33</v>
      </c>
      <c r="AA10" s="17">
        <f t="shared" si="2"/>
        <v>18</v>
      </c>
      <c r="AB10" s="17">
        <f t="shared" si="2"/>
        <v>20</v>
      </c>
      <c r="AC10" s="17">
        <f t="shared" si="2"/>
        <v>301</v>
      </c>
      <c r="AD10" s="17">
        <f t="shared" si="2"/>
        <v>0</v>
      </c>
      <c r="AE10" s="31">
        <f t="shared" si="2"/>
        <v>625</v>
      </c>
      <c r="AF10" s="31">
        <f t="shared" si="2"/>
        <v>926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318</v>
      </c>
      <c r="T11" s="17">
        <f t="shared" si="3"/>
        <v>72</v>
      </c>
      <c r="U11" s="17">
        <f t="shared" si="3"/>
        <v>32</v>
      </c>
      <c r="V11" s="17">
        <f t="shared" si="3"/>
        <v>77</v>
      </c>
      <c r="W11" s="17">
        <f t="shared" si="3"/>
        <v>4</v>
      </c>
      <c r="X11" s="17">
        <f t="shared" si="3"/>
        <v>1</v>
      </c>
      <c r="Y11" s="17">
        <f t="shared" si="3"/>
        <v>23</v>
      </c>
      <c r="Z11" s="17">
        <f t="shared" si="3"/>
        <v>20</v>
      </c>
      <c r="AA11" s="17">
        <f t="shared" si="3"/>
        <v>15</v>
      </c>
      <c r="AB11" s="17">
        <f t="shared" si="3"/>
        <v>13</v>
      </c>
      <c r="AC11" s="17">
        <f t="shared" si="3"/>
        <v>722</v>
      </c>
      <c r="AD11" s="17">
        <f t="shared" si="3"/>
        <v>0</v>
      </c>
      <c r="AE11" s="31">
        <f t="shared" si="3"/>
        <v>575</v>
      </c>
      <c r="AF11" s="31">
        <f t="shared" si="3"/>
        <v>1297</v>
      </c>
    </row>
    <row r="12" spans="2:32" ht="23.1" customHeight="1" x14ac:dyDescent="0.25">
      <c r="B12" s="45" t="s">
        <v>39</v>
      </c>
      <c r="C12" s="50">
        <v>83</v>
      </c>
      <c r="D12" s="50">
        <v>58</v>
      </c>
      <c r="E12" s="50">
        <v>42</v>
      </c>
      <c r="F12" s="50">
        <v>28</v>
      </c>
      <c r="G12" s="50">
        <v>4</v>
      </c>
      <c r="H12" s="50">
        <v>1</v>
      </c>
      <c r="I12" s="50">
        <v>24</v>
      </c>
      <c r="J12" s="50">
        <v>18</v>
      </c>
      <c r="K12" s="50">
        <v>8</v>
      </c>
      <c r="L12" s="50">
        <v>8</v>
      </c>
      <c r="M12" s="50">
        <v>108</v>
      </c>
      <c r="N12" s="50">
        <v>0</v>
      </c>
      <c r="O12" s="15">
        <f t="shared" si="0"/>
        <v>274</v>
      </c>
      <c r="P12" s="15">
        <f t="shared" si="1"/>
        <v>382</v>
      </c>
      <c r="R12" s="1" t="s">
        <v>8</v>
      </c>
      <c r="S12" s="17">
        <f t="shared" ref="S12:AF12" si="4">SUM(C18:C21)</f>
        <v>289</v>
      </c>
      <c r="T12" s="17">
        <f t="shared" si="4"/>
        <v>68</v>
      </c>
      <c r="U12" s="17">
        <f t="shared" si="4"/>
        <v>48</v>
      </c>
      <c r="V12" s="17">
        <f t="shared" si="4"/>
        <v>64</v>
      </c>
      <c r="W12" s="17">
        <f t="shared" si="4"/>
        <v>6</v>
      </c>
      <c r="X12" s="17">
        <f t="shared" si="4"/>
        <v>4</v>
      </c>
      <c r="Y12" s="17">
        <f t="shared" si="4"/>
        <v>38</v>
      </c>
      <c r="Z12" s="17">
        <f t="shared" si="4"/>
        <v>36</v>
      </c>
      <c r="AA12" s="17">
        <f t="shared" si="4"/>
        <v>19</v>
      </c>
      <c r="AB12" s="17">
        <f t="shared" si="4"/>
        <v>28</v>
      </c>
      <c r="AC12" s="17">
        <f t="shared" si="4"/>
        <v>535</v>
      </c>
      <c r="AD12" s="17">
        <f t="shared" si="4"/>
        <v>1</v>
      </c>
      <c r="AE12" s="31">
        <f t="shared" si="4"/>
        <v>601</v>
      </c>
      <c r="AF12" s="31">
        <f t="shared" si="4"/>
        <v>1136</v>
      </c>
    </row>
    <row r="13" spans="2:32" ht="23.1" customHeight="1" x14ac:dyDescent="0.25">
      <c r="B13" s="45" t="s">
        <v>40</v>
      </c>
      <c r="C13" s="50">
        <v>125</v>
      </c>
      <c r="D13" s="50">
        <v>82</v>
      </c>
      <c r="E13" s="50">
        <v>33</v>
      </c>
      <c r="F13" s="50">
        <v>53</v>
      </c>
      <c r="G13" s="50">
        <v>8</v>
      </c>
      <c r="H13" s="50">
        <v>0</v>
      </c>
      <c r="I13" s="50">
        <v>13</v>
      </c>
      <c r="J13" s="50">
        <v>15</v>
      </c>
      <c r="K13" s="50">
        <v>10</v>
      </c>
      <c r="L13" s="50">
        <v>12</v>
      </c>
      <c r="M13" s="50">
        <v>193</v>
      </c>
      <c r="N13" s="50">
        <v>0</v>
      </c>
      <c r="O13" s="15">
        <f t="shared" si="0"/>
        <v>351</v>
      </c>
      <c r="P13" s="15">
        <f t="shared" si="1"/>
        <v>544</v>
      </c>
      <c r="R13" s="1" t="s">
        <v>9</v>
      </c>
      <c r="S13" s="17">
        <f t="shared" ref="S13:AF13" si="5">SUM(C22:C25)</f>
        <v>380</v>
      </c>
      <c r="T13" s="17">
        <f t="shared" si="5"/>
        <v>47</v>
      </c>
      <c r="U13" s="17">
        <f t="shared" si="5"/>
        <v>50</v>
      </c>
      <c r="V13" s="17">
        <f t="shared" si="5"/>
        <v>74</v>
      </c>
      <c r="W13" s="17">
        <f t="shared" si="5"/>
        <v>8</v>
      </c>
      <c r="X13" s="17">
        <f t="shared" si="5"/>
        <v>3</v>
      </c>
      <c r="Y13" s="17">
        <f t="shared" si="5"/>
        <v>45</v>
      </c>
      <c r="Z13" s="17">
        <f t="shared" si="5"/>
        <v>22</v>
      </c>
      <c r="AA13" s="17">
        <f t="shared" si="5"/>
        <v>13</v>
      </c>
      <c r="AB13" s="17">
        <f t="shared" si="5"/>
        <v>17</v>
      </c>
      <c r="AC13" s="17">
        <f t="shared" si="5"/>
        <v>554</v>
      </c>
      <c r="AD13" s="17">
        <f t="shared" si="5"/>
        <v>0</v>
      </c>
      <c r="AE13" s="31">
        <f t="shared" si="5"/>
        <v>659</v>
      </c>
      <c r="AF13" s="31">
        <f t="shared" si="5"/>
        <v>1213</v>
      </c>
    </row>
    <row r="14" spans="2:32" ht="23.1" customHeight="1" x14ac:dyDescent="0.25">
      <c r="B14" s="45" t="s">
        <v>41</v>
      </c>
      <c r="C14" s="50">
        <v>82</v>
      </c>
      <c r="D14" s="50">
        <v>41</v>
      </c>
      <c r="E14" s="50">
        <v>7</v>
      </c>
      <c r="F14" s="50">
        <v>11</v>
      </c>
      <c r="G14" s="50">
        <v>0</v>
      </c>
      <c r="H14" s="50">
        <v>0</v>
      </c>
      <c r="I14" s="50">
        <v>4</v>
      </c>
      <c r="J14" s="50">
        <v>2</v>
      </c>
      <c r="K14" s="50">
        <v>4</v>
      </c>
      <c r="L14" s="50">
        <v>2</v>
      </c>
      <c r="M14" s="50">
        <v>167</v>
      </c>
      <c r="N14" s="50">
        <v>0</v>
      </c>
      <c r="O14" s="15">
        <f t="shared" si="0"/>
        <v>153</v>
      </c>
      <c r="P14" s="15">
        <f t="shared" si="1"/>
        <v>320</v>
      </c>
      <c r="R14" s="1" t="s">
        <v>10</v>
      </c>
      <c r="S14" s="17">
        <f t="shared" ref="S14:AF14" si="6">SUM(C26:C29)</f>
        <v>368</v>
      </c>
      <c r="T14" s="17">
        <f t="shared" si="6"/>
        <v>71</v>
      </c>
      <c r="U14" s="17">
        <f t="shared" si="6"/>
        <v>52</v>
      </c>
      <c r="V14" s="17">
        <f t="shared" si="6"/>
        <v>76</v>
      </c>
      <c r="W14" s="17">
        <f t="shared" si="6"/>
        <v>1</v>
      </c>
      <c r="X14" s="17">
        <f t="shared" si="6"/>
        <v>0</v>
      </c>
      <c r="Y14" s="17">
        <f t="shared" si="6"/>
        <v>55</v>
      </c>
      <c r="Z14" s="17">
        <f t="shared" si="6"/>
        <v>32</v>
      </c>
      <c r="AA14" s="17">
        <f t="shared" si="6"/>
        <v>22</v>
      </c>
      <c r="AB14" s="17">
        <f t="shared" si="6"/>
        <v>29</v>
      </c>
      <c r="AC14" s="17">
        <f t="shared" si="6"/>
        <v>545</v>
      </c>
      <c r="AD14" s="17">
        <f t="shared" si="6"/>
        <v>0</v>
      </c>
      <c r="AE14" s="31">
        <f t="shared" si="6"/>
        <v>706</v>
      </c>
      <c r="AF14" s="31">
        <f t="shared" si="6"/>
        <v>1251</v>
      </c>
    </row>
    <row r="15" spans="2:32" ht="23.1" customHeight="1" x14ac:dyDescent="0.25">
      <c r="B15" s="45" t="s">
        <v>42</v>
      </c>
      <c r="C15" s="50">
        <v>67</v>
      </c>
      <c r="D15" s="50">
        <v>8</v>
      </c>
      <c r="E15" s="50">
        <v>3</v>
      </c>
      <c r="F15" s="50">
        <v>27</v>
      </c>
      <c r="G15" s="50">
        <v>0</v>
      </c>
      <c r="H15" s="50">
        <v>1</v>
      </c>
      <c r="I15" s="50">
        <v>2</v>
      </c>
      <c r="J15" s="50">
        <v>1</v>
      </c>
      <c r="K15" s="50">
        <v>1</v>
      </c>
      <c r="L15" s="50">
        <v>6</v>
      </c>
      <c r="M15" s="50">
        <v>198</v>
      </c>
      <c r="N15" s="50">
        <v>0</v>
      </c>
      <c r="O15" s="15">
        <f t="shared" si="0"/>
        <v>116</v>
      </c>
      <c r="P15" s="15">
        <f t="shared" si="1"/>
        <v>314</v>
      </c>
      <c r="R15" s="1" t="s">
        <v>11</v>
      </c>
      <c r="S15" s="17">
        <f t="shared" ref="S15:AF15" si="7">SUM(C30:C33)</f>
        <v>474</v>
      </c>
      <c r="T15" s="17">
        <f t="shared" si="7"/>
        <v>71</v>
      </c>
      <c r="U15" s="17">
        <f t="shared" si="7"/>
        <v>52</v>
      </c>
      <c r="V15" s="17">
        <f t="shared" si="7"/>
        <v>78</v>
      </c>
      <c r="W15" s="17">
        <f t="shared" si="7"/>
        <v>3</v>
      </c>
      <c r="X15" s="17">
        <f t="shared" si="7"/>
        <v>3</v>
      </c>
      <c r="Y15" s="17">
        <f t="shared" si="7"/>
        <v>52</v>
      </c>
      <c r="Z15" s="17">
        <f t="shared" si="7"/>
        <v>22</v>
      </c>
      <c r="AA15" s="17">
        <f t="shared" si="7"/>
        <v>13</v>
      </c>
      <c r="AB15" s="17">
        <f t="shared" si="7"/>
        <v>34</v>
      </c>
      <c r="AC15" s="17">
        <f t="shared" si="7"/>
        <v>510</v>
      </c>
      <c r="AD15" s="17">
        <f t="shared" si="7"/>
        <v>0</v>
      </c>
      <c r="AE15" s="31">
        <f t="shared" si="7"/>
        <v>802</v>
      </c>
      <c r="AF15" s="31">
        <f t="shared" si="7"/>
        <v>1312</v>
      </c>
    </row>
    <row r="16" spans="2:32" ht="23.1" customHeight="1" x14ac:dyDescent="0.25">
      <c r="B16" s="45" t="s">
        <v>43</v>
      </c>
      <c r="C16" s="50">
        <v>50</v>
      </c>
      <c r="D16" s="50">
        <v>8</v>
      </c>
      <c r="E16" s="50">
        <v>8</v>
      </c>
      <c r="F16" s="50">
        <v>25</v>
      </c>
      <c r="G16" s="50">
        <v>0</v>
      </c>
      <c r="H16" s="50">
        <v>0</v>
      </c>
      <c r="I16" s="50">
        <v>4</v>
      </c>
      <c r="J16" s="50">
        <v>4</v>
      </c>
      <c r="K16" s="50">
        <v>7</v>
      </c>
      <c r="L16" s="50">
        <v>1</v>
      </c>
      <c r="M16" s="50">
        <v>173</v>
      </c>
      <c r="N16" s="50">
        <v>0</v>
      </c>
      <c r="O16" s="15">
        <f t="shared" si="0"/>
        <v>107</v>
      </c>
      <c r="P16" s="15">
        <f t="shared" si="1"/>
        <v>280</v>
      </c>
      <c r="R16" s="1" t="s">
        <v>12</v>
      </c>
      <c r="S16" s="17">
        <f t="shared" ref="S16:AF16" si="8">SUM(C34:C37)</f>
        <v>447</v>
      </c>
      <c r="T16" s="17">
        <f t="shared" si="8"/>
        <v>108</v>
      </c>
      <c r="U16" s="17">
        <f t="shared" si="8"/>
        <v>52</v>
      </c>
      <c r="V16" s="17">
        <f t="shared" si="8"/>
        <v>62</v>
      </c>
      <c r="W16" s="17">
        <f t="shared" si="8"/>
        <v>5</v>
      </c>
      <c r="X16" s="17">
        <f t="shared" si="8"/>
        <v>0</v>
      </c>
      <c r="Y16" s="17">
        <f t="shared" si="8"/>
        <v>53</v>
      </c>
      <c r="Z16" s="17">
        <f t="shared" si="8"/>
        <v>34</v>
      </c>
      <c r="AA16" s="17">
        <f t="shared" si="8"/>
        <v>22</v>
      </c>
      <c r="AB16" s="17">
        <f t="shared" si="8"/>
        <v>35</v>
      </c>
      <c r="AC16" s="17">
        <f t="shared" si="8"/>
        <v>445</v>
      </c>
      <c r="AD16" s="17">
        <f t="shared" si="8"/>
        <v>3</v>
      </c>
      <c r="AE16" s="31">
        <f t="shared" si="8"/>
        <v>821</v>
      </c>
      <c r="AF16" s="31">
        <f t="shared" si="8"/>
        <v>1266</v>
      </c>
    </row>
    <row r="17" spans="2:32" ht="23.1" customHeight="1" x14ac:dyDescent="0.25">
      <c r="B17" s="45" t="s">
        <v>44</v>
      </c>
      <c r="C17" s="50">
        <v>119</v>
      </c>
      <c r="D17" s="50">
        <v>15</v>
      </c>
      <c r="E17" s="50">
        <v>14</v>
      </c>
      <c r="F17" s="50">
        <v>14</v>
      </c>
      <c r="G17" s="50">
        <v>4</v>
      </c>
      <c r="H17" s="50">
        <v>0</v>
      </c>
      <c r="I17" s="50">
        <v>13</v>
      </c>
      <c r="J17" s="50">
        <v>13</v>
      </c>
      <c r="K17" s="50">
        <v>3</v>
      </c>
      <c r="L17" s="50">
        <v>4</v>
      </c>
      <c r="M17" s="50">
        <v>184</v>
      </c>
      <c r="N17" s="50">
        <v>0</v>
      </c>
      <c r="O17" s="15">
        <f t="shared" si="0"/>
        <v>199</v>
      </c>
      <c r="P17" s="15">
        <f t="shared" si="1"/>
        <v>383</v>
      </c>
      <c r="R17" s="1" t="s">
        <v>13</v>
      </c>
      <c r="S17" s="17">
        <f t="shared" ref="S17:AF17" si="9">SUM(C38:C41)</f>
        <v>422</v>
      </c>
      <c r="T17" s="17">
        <f t="shared" si="9"/>
        <v>88</v>
      </c>
      <c r="U17" s="17">
        <f t="shared" si="9"/>
        <v>87</v>
      </c>
      <c r="V17" s="17">
        <f t="shared" si="9"/>
        <v>87</v>
      </c>
      <c r="W17" s="17">
        <f t="shared" si="9"/>
        <v>3</v>
      </c>
      <c r="X17" s="17">
        <f t="shared" si="9"/>
        <v>0</v>
      </c>
      <c r="Y17" s="17">
        <f t="shared" si="9"/>
        <v>57</v>
      </c>
      <c r="Z17" s="17">
        <f t="shared" si="9"/>
        <v>16</v>
      </c>
      <c r="AA17" s="17">
        <f t="shared" si="9"/>
        <v>27</v>
      </c>
      <c r="AB17" s="17">
        <f t="shared" si="9"/>
        <v>43</v>
      </c>
      <c r="AC17" s="17">
        <f t="shared" si="9"/>
        <v>532</v>
      </c>
      <c r="AD17" s="17">
        <f t="shared" si="9"/>
        <v>1</v>
      </c>
      <c r="AE17" s="31">
        <f t="shared" si="9"/>
        <v>831</v>
      </c>
      <c r="AF17" s="31">
        <f t="shared" si="9"/>
        <v>1363</v>
      </c>
    </row>
    <row r="18" spans="2:32" ht="23.1" customHeight="1" x14ac:dyDescent="0.25">
      <c r="B18" s="45" t="s">
        <v>45</v>
      </c>
      <c r="C18" s="50">
        <v>60</v>
      </c>
      <c r="D18" s="50">
        <v>20</v>
      </c>
      <c r="E18" s="50">
        <v>10</v>
      </c>
      <c r="F18" s="50">
        <v>12</v>
      </c>
      <c r="G18" s="50">
        <v>1</v>
      </c>
      <c r="H18" s="50">
        <v>1</v>
      </c>
      <c r="I18" s="50">
        <v>7</v>
      </c>
      <c r="J18" s="50">
        <v>7</v>
      </c>
      <c r="K18" s="50">
        <v>8</v>
      </c>
      <c r="L18" s="50">
        <v>6</v>
      </c>
      <c r="M18" s="50">
        <v>85</v>
      </c>
      <c r="N18" s="50">
        <v>0</v>
      </c>
      <c r="O18" s="15">
        <f t="shared" si="0"/>
        <v>132</v>
      </c>
      <c r="P18" s="15">
        <f t="shared" si="1"/>
        <v>217</v>
      </c>
      <c r="R18" s="1" t="s">
        <v>14</v>
      </c>
      <c r="S18" s="17">
        <f t="shared" ref="S18:AF18" si="10">SUM(C42:C45)</f>
        <v>444</v>
      </c>
      <c r="T18" s="17">
        <f t="shared" si="10"/>
        <v>236</v>
      </c>
      <c r="U18" s="17">
        <f t="shared" si="10"/>
        <v>138</v>
      </c>
      <c r="V18" s="17">
        <f t="shared" si="10"/>
        <v>144</v>
      </c>
      <c r="W18" s="17">
        <f t="shared" si="10"/>
        <v>11</v>
      </c>
      <c r="X18" s="17">
        <f t="shared" si="10"/>
        <v>2</v>
      </c>
      <c r="Y18" s="17">
        <f t="shared" si="10"/>
        <v>91</v>
      </c>
      <c r="Z18" s="17">
        <f t="shared" si="10"/>
        <v>67</v>
      </c>
      <c r="AA18" s="17">
        <f t="shared" si="10"/>
        <v>29</v>
      </c>
      <c r="AB18" s="17">
        <f t="shared" si="10"/>
        <v>47</v>
      </c>
      <c r="AC18" s="17">
        <f t="shared" si="10"/>
        <v>525</v>
      </c>
      <c r="AD18" s="17">
        <f t="shared" si="10"/>
        <v>0</v>
      </c>
      <c r="AE18" s="31">
        <f t="shared" si="10"/>
        <v>1209</v>
      </c>
      <c r="AF18" s="31">
        <f t="shared" si="10"/>
        <v>1734</v>
      </c>
    </row>
    <row r="19" spans="2:32" ht="23.1" customHeight="1" x14ac:dyDescent="0.25">
      <c r="B19" s="45" t="s">
        <v>46</v>
      </c>
      <c r="C19" s="50">
        <v>69</v>
      </c>
      <c r="D19" s="50">
        <v>9</v>
      </c>
      <c r="E19" s="50">
        <v>7</v>
      </c>
      <c r="F19" s="50">
        <v>20</v>
      </c>
      <c r="G19" s="50">
        <v>1</v>
      </c>
      <c r="H19" s="50">
        <v>0</v>
      </c>
      <c r="I19" s="50">
        <v>7</v>
      </c>
      <c r="J19" s="50">
        <v>13</v>
      </c>
      <c r="K19" s="50">
        <v>8</v>
      </c>
      <c r="L19" s="50">
        <v>9</v>
      </c>
      <c r="M19" s="50">
        <v>150</v>
      </c>
      <c r="N19" s="50">
        <v>0</v>
      </c>
      <c r="O19" s="15">
        <f t="shared" si="0"/>
        <v>143</v>
      </c>
      <c r="P19" s="15">
        <f t="shared" si="1"/>
        <v>293</v>
      </c>
      <c r="R19" s="1" t="s">
        <v>15</v>
      </c>
      <c r="S19" s="17">
        <f t="shared" ref="S19:AF19" si="11">SUM(C46:C49)</f>
        <v>382</v>
      </c>
      <c r="T19" s="17">
        <f t="shared" si="11"/>
        <v>75</v>
      </c>
      <c r="U19" s="17">
        <f t="shared" si="11"/>
        <v>82</v>
      </c>
      <c r="V19" s="17">
        <f t="shared" si="11"/>
        <v>68</v>
      </c>
      <c r="W19" s="17">
        <f t="shared" si="11"/>
        <v>9</v>
      </c>
      <c r="X19" s="17">
        <f t="shared" si="11"/>
        <v>1</v>
      </c>
      <c r="Y19" s="17">
        <f t="shared" si="11"/>
        <v>51</v>
      </c>
      <c r="Z19" s="17">
        <f t="shared" si="11"/>
        <v>33</v>
      </c>
      <c r="AA19" s="17">
        <f t="shared" si="11"/>
        <v>17</v>
      </c>
      <c r="AB19" s="17">
        <f t="shared" si="11"/>
        <v>30</v>
      </c>
      <c r="AC19" s="17">
        <f t="shared" si="11"/>
        <v>470</v>
      </c>
      <c r="AD19" s="17">
        <f t="shared" si="11"/>
        <v>1</v>
      </c>
      <c r="AE19" s="31">
        <f t="shared" si="11"/>
        <v>749</v>
      </c>
      <c r="AF19" s="31">
        <f t="shared" si="11"/>
        <v>1219</v>
      </c>
    </row>
    <row r="20" spans="2:32" ht="23.1" customHeight="1" x14ac:dyDescent="0.25">
      <c r="B20" s="45" t="s">
        <v>47</v>
      </c>
      <c r="C20" s="50">
        <v>85</v>
      </c>
      <c r="D20" s="50">
        <v>18</v>
      </c>
      <c r="E20" s="50">
        <v>18</v>
      </c>
      <c r="F20" s="50">
        <v>21</v>
      </c>
      <c r="G20" s="50">
        <v>2</v>
      </c>
      <c r="H20" s="50">
        <v>3</v>
      </c>
      <c r="I20" s="50">
        <v>15</v>
      </c>
      <c r="J20" s="50">
        <v>6</v>
      </c>
      <c r="K20" s="50">
        <v>1</v>
      </c>
      <c r="L20" s="50">
        <v>4</v>
      </c>
      <c r="M20" s="50">
        <v>160</v>
      </c>
      <c r="N20" s="50">
        <v>0</v>
      </c>
      <c r="O20" s="15">
        <f t="shared" si="0"/>
        <v>173</v>
      </c>
      <c r="P20" s="15">
        <f t="shared" si="1"/>
        <v>333</v>
      </c>
      <c r="R20" s="1" t="s">
        <v>16</v>
      </c>
      <c r="S20" s="17">
        <f t="shared" ref="S20:AF20" si="12">SUM(C50:C53)</f>
        <v>486</v>
      </c>
      <c r="T20" s="17">
        <f t="shared" si="12"/>
        <v>167</v>
      </c>
      <c r="U20" s="17">
        <f t="shared" si="12"/>
        <v>98</v>
      </c>
      <c r="V20" s="17">
        <f t="shared" si="12"/>
        <v>151</v>
      </c>
      <c r="W20" s="17">
        <f t="shared" si="12"/>
        <v>18</v>
      </c>
      <c r="X20" s="17">
        <f t="shared" si="12"/>
        <v>2</v>
      </c>
      <c r="Y20" s="17">
        <f t="shared" si="12"/>
        <v>69</v>
      </c>
      <c r="Z20" s="17">
        <f t="shared" si="12"/>
        <v>45</v>
      </c>
      <c r="AA20" s="17">
        <f t="shared" si="12"/>
        <v>12</v>
      </c>
      <c r="AB20" s="17">
        <f t="shared" si="12"/>
        <v>48</v>
      </c>
      <c r="AC20" s="17">
        <f t="shared" si="12"/>
        <v>436</v>
      </c>
      <c r="AD20" s="17">
        <f t="shared" si="12"/>
        <v>0</v>
      </c>
      <c r="AE20" s="31">
        <f t="shared" si="12"/>
        <v>1096</v>
      </c>
      <c r="AF20" s="31">
        <f t="shared" si="12"/>
        <v>1532</v>
      </c>
    </row>
    <row r="21" spans="2:32" ht="23.1" customHeight="1" x14ac:dyDescent="0.25">
      <c r="B21" s="45" t="s">
        <v>48</v>
      </c>
      <c r="C21" s="50">
        <v>75</v>
      </c>
      <c r="D21" s="50">
        <v>21</v>
      </c>
      <c r="E21" s="50">
        <v>13</v>
      </c>
      <c r="F21" s="50">
        <v>11</v>
      </c>
      <c r="G21" s="50">
        <v>2</v>
      </c>
      <c r="H21" s="50">
        <v>0</v>
      </c>
      <c r="I21" s="50">
        <v>9</v>
      </c>
      <c r="J21" s="50">
        <v>10</v>
      </c>
      <c r="K21" s="50">
        <v>2</v>
      </c>
      <c r="L21" s="50">
        <v>9</v>
      </c>
      <c r="M21" s="50">
        <v>140</v>
      </c>
      <c r="N21" s="50">
        <v>1</v>
      </c>
      <c r="O21" s="15">
        <f t="shared" si="0"/>
        <v>153</v>
      </c>
      <c r="P21" s="15">
        <f t="shared" si="1"/>
        <v>293</v>
      </c>
      <c r="R21" s="36" t="s">
        <v>20</v>
      </c>
      <c r="S21" s="34">
        <f t="shared" ref="S21:AF21" si="13">SUM(C54:C57)</f>
        <v>383</v>
      </c>
      <c r="T21" s="17">
        <f t="shared" si="13"/>
        <v>238</v>
      </c>
      <c r="U21" s="17">
        <f t="shared" si="13"/>
        <v>140</v>
      </c>
      <c r="V21" s="17">
        <f t="shared" si="13"/>
        <v>267</v>
      </c>
      <c r="W21" s="17">
        <f t="shared" si="13"/>
        <v>24</v>
      </c>
      <c r="X21" s="17">
        <f t="shared" si="13"/>
        <v>3</v>
      </c>
      <c r="Y21" s="17">
        <f t="shared" si="13"/>
        <v>51</v>
      </c>
      <c r="Z21" s="17">
        <f t="shared" si="13"/>
        <v>36</v>
      </c>
      <c r="AA21" s="17">
        <f t="shared" si="13"/>
        <v>7</v>
      </c>
      <c r="AB21" s="17">
        <f t="shared" si="13"/>
        <v>19</v>
      </c>
      <c r="AC21" s="17">
        <f t="shared" si="13"/>
        <v>418</v>
      </c>
      <c r="AD21" s="17">
        <f t="shared" si="13"/>
        <v>0</v>
      </c>
      <c r="AE21" s="31">
        <f t="shared" si="13"/>
        <v>1168</v>
      </c>
      <c r="AF21" s="31">
        <f t="shared" si="13"/>
        <v>1586</v>
      </c>
    </row>
    <row r="22" spans="2:32" ht="23.1" customHeight="1" x14ac:dyDescent="0.25">
      <c r="B22" s="45" t="s">
        <v>49</v>
      </c>
      <c r="C22" s="50">
        <v>26</v>
      </c>
      <c r="D22" s="50">
        <v>9</v>
      </c>
      <c r="E22" s="50">
        <v>9</v>
      </c>
      <c r="F22" s="50">
        <v>10</v>
      </c>
      <c r="G22" s="50">
        <v>3</v>
      </c>
      <c r="H22" s="50">
        <v>0</v>
      </c>
      <c r="I22" s="50">
        <v>11</v>
      </c>
      <c r="J22" s="50">
        <v>3</v>
      </c>
      <c r="K22" s="50">
        <v>2</v>
      </c>
      <c r="L22" s="50">
        <v>6</v>
      </c>
      <c r="M22" s="50">
        <v>104</v>
      </c>
      <c r="N22" s="50">
        <v>0</v>
      </c>
      <c r="O22" s="15">
        <f t="shared" si="0"/>
        <v>79</v>
      </c>
      <c r="P22" s="15">
        <f t="shared" si="1"/>
        <v>183</v>
      </c>
      <c r="R22" s="36" t="s">
        <v>146</v>
      </c>
      <c r="S22" s="34">
        <f>SUM(C58:C61)</f>
        <v>369</v>
      </c>
      <c r="T22" s="34">
        <f t="shared" ref="T22:AF22" si="14">SUM(D58:D61)</f>
        <v>162</v>
      </c>
      <c r="U22" s="34">
        <f t="shared" si="14"/>
        <v>96</v>
      </c>
      <c r="V22" s="34">
        <f t="shared" si="14"/>
        <v>218</v>
      </c>
      <c r="W22" s="34">
        <f t="shared" si="14"/>
        <v>13</v>
      </c>
      <c r="X22" s="34">
        <f t="shared" si="14"/>
        <v>3</v>
      </c>
      <c r="Y22" s="34">
        <f t="shared" si="14"/>
        <v>17</v>
      </c>
      <c r="Z22" s="34">
        <f t="shared" si="14"/>
        <v>15</v>
      </c>
      <c r="AA22" s="34">
        <f t="shared" si="14"/>
        <v>14</v>
      </c>
      <c r="AB22" s="34">
        <f t="shared" si="14"/>
        <v>15</v>
      </c>
      <c r="AC22" s="34">
        <f t="shared" si="14"/>
        <v>449</v>
      </c>
      <c r="AD22" s="34">
        <f t="shared" si="14"/>
        <v>0</v>
      </c>
      <c r="AE22" s="31">
        <f t="shared" si="14"/>
        <v>922</v>
      </c>
      <c r="AF22" s="31">
        <f t="shared" si="14"/>
        <v>1371</v>
      </c>
    </row>
    <row r="23" spans="2:32" ht="23.1" customHeight="1" x14ac:dyDescent="0.25">
      <c r="B23" s="45" t="s">
        <v>50</v>
      </c>
      <c r="C23" s="50">
        <v>135</v>
      </c>
      <c r="D23" s="50">
        <v>23</v>
      </c>
      <c r="E23" s="50">
        <v>10</v>
      </c>
      <c r="F23" s="50">
        <v>36</v>
      </c>
      <c r="G23" s="50">
        <v>1</v>
      </c>
      <c r="H23" s="50">
        <v>2</v>
      </c>
      <c r="I23" s="50">
        <v>20</v>
      </c>
      <c r="J23" s="50">
        <v>9</v>
      </c>
      <c r="K23" s="50">
        <v>6</v>
      </c>
      <c r="L23" s="50">
        <v>2</v>
      </c>
      <c r="M23" s="50">
        <v>149</v>
      </c>
      <c r="N23" s="50">
        <v>0</v>
      </c>
      <c r="O23" s="15">
        <f t="shared" si="0"/>
        <v>244</v>
      </c>
      <c r="P23" s="15">
        <f t="shared" si="1"/>
        <v>393</v>
      </c>
      <c r="R23" s="36" t="s">
        <v>147</v>
      </c>
      <c r="S23" s="34">
        <f>SUM(C62:C65)</f>
        <v>272</v>
      </c>
      <c r="T23" s="34">
        <f t="shared" ref="T23:AF23" si="15">SUM(D62:D65)</f>
        <v>107</v>
      </c>
      <c r="U23" s="34">
        <f t="shared" si="15"/>
        <v>96</v>
      </c>
      <c r="V23" s="34">
        <f t="shared" si="15"/>
        <v>169</v>
      </c>
      <c r="W23" s="34">
        <f t="shared" si="15"/>
        <v>2</v>
      </c>
      <c r="X23" s="34">
        <f t="shared" si="15"/>
        <v>0</v>
      </c>
      <c r="Y23" s="34">
        <f t="shared" si="15"/>
        <v>43</v>
      </c>
      <c r="Z23" s="34">
        <f t="shared" si="15"/>
        <v>39</v>
      </c>
      <c r="AA23" s="34">
        <f t="shared" si="15"/>
        <v>41</v>
      </c>
      <c r="AB23" s="34">
        <f t="shared" si="15"/>
        <v>19</v>
      </c>
      <c r="AC23" s="34">
        <f t="shared" si="15"/>
        <v>322</v>
      </c>
      <c r="AD23" s="34">
        <f t="shared" si="15"/>
        <v>0</v>
      </c>
      <c r="AE23" s="31">
        <f t="shared" si="15"/>
        <v>788</v>
      </c>
      <c r="AF23" s="31">
        <f t="shared" si="15"/>
        <v>1110</v>
      </c>
    </row>
    <row r="24" spans="2:32" ht="23.1" customHeight="1" x14ac:dyDescent="0.25">
      <c r="B24" s="45" t="s">
        <v>51</v>
      </c>
      <c r="C24" s="50">
        <v>114</v>
      </c>
      <c r="D24" s="50">
        <v>4</v>
      </c>
      <c r="E24" s="50">
        <v>10</v>
      </c>
      <c r="F24" s="50">
        <v>15</v>
      </c>
      <c r="G24" s="50">
        <v>0</v>
      </c>
      <c r="H24" s="50">
        <v>1</v>
      </c>
      <c r="I24" s="50">
        <v>4</v>
      </c>
      <c r="J24" s="50">
        <v>4</v>
      </c>
      <c r="K24" s="50">
        <v>2</v>
      </c>
      <c r="L24" s="50">
        <v>5</v>
      </c>
      <c r="M24" s="50">
        <v>164</v>
      </c>
      <c r="N24" s="50">
        <v>0</v>
      </c>
      <c r="O24" s="15">
        <f t="shared" si="0"/>
        <v>159</v>
      </c>
      <c r="P24" s="15">
        <f t="shared" si="1"/>
        <v>323</v>
      </c>
      <c r="R24" s="36" t="s">
        <v>148</v>
      </c>
      <c r="S24" s="34">
        <f>SUM(C66:C69)</f>
        <v>252</v>
      </c>
      <c r="T24" s="34">
        <f t="shared" ref="T24:AF24" si="16">SUM(D66:D69)</f>
        <v>94</v>
      </c>
      <c r="U24" s="34">
        <f t="shared" si="16"/>
        <v>59</v>
      </c>
      <c r="V24" s="34">
        <f t="shared" si="16"/>
        <v>243</v>
      </c>
      <c r="W24" s="34">
        <f t="shared" si="16"/>
        <v>8</v>
      </c>
      <c r="X24" s="34">
        <f t="shared" si="16"/>
        <v>1</v>
      </c>
      <c r="Y24" s="34">
        <f t="shared" si="16"/>
        <v>28</v>
      </c>
      <c r="Z24" s="34">
        <f t="shared" si="16"/>
        <v>14</v>
      </c>
      <c r="AA24" s="34">
        <f t="shared" si="16"/>
        <v>16</v>
      </c>
      <c r="AB24" s="34">
        <f t="shared" si="16"/>
        <v>11</v>
      </c>
      <c r="AC24" s="34">
        <f t="shared" si="16"/>
        <v>428</v>
      </c>
      <c r="AD24" s="34">
        <f t="shared" si="16"/>
        <v>0</v>
      </c>
      <c r="AE24" s="31">
        <f t="shared" si="16"/>
        <v>726</v>
      </c>
      <c r="AF24" s="31">
        <f t="shared" si="16"/>
        <v>1154</v>
      </c>
    </row>
    <row r="25" spans="2:32" ht="23.1" customHeight="1" x14ac:dyDescent="0.25">
      <c r="B25" s="45" t="s">
        <v>52</v>
      </c>
      <c r="C25" s="50">
        <v>105</v>
      </c>
      <c r="D25" s="50">
        <v>11</v>
      </c>
      <c r="E25" s="50">
        <v>21</v>
      </c>
      <c r="F25" s="50">
        <v>13</v>
      </c>
      <c r="G25" s="50">
        <v>4</v>
      </c>
      <c r="H25" s="50">
        <v>0</v>
      </c>
      <c r="I25" s="50">
        <v>10</v>
      </c>
      <c r="J25" s="50">
        <v>6</v>
      </c>
      <c r="K25" s="50">
        <v>3</v>
      </c>
      <c r="L25" s="50">
        <v>4</v>
      </c>
      <c r="M25" s="50">
        <v>137</v>
      </c>
      <c r="N25" s="50">
        <v>0</v>
      </c>
      <c r="O25" s="15">
        <f t="shared" si="0"/>
        <v>177</v>
      </c>
      <c r="P25" s="15">
        <f t="shared" si="1"/>
        <v>314</v>
      </c>
      <c r="R25" s="36" t="s">
        <v>149</v>
      </c>
      <c r="S25" s="34">
        <f>SUM(C70:C73)</f>
        <v>157</v>
      </c>
      <c r="T25" s="34">
        <f t="shared" ref="T25:AF25" si="17">SUM(D70:D73)</f>
        <v>60</v>
      </c>
      <c r="U25" s="34">
        <f t="shared" si="17"/>
        <v>38</v>
      </c>
      <c r="V25" s="34">
        <f t="shared" si="17"/>
        <v>129</v>
      </c>
      <c r="W25" s="34">
        <f t="shared" si="17"/>
        <v>0</v>
      </c>
      <c r="X25" s="34">
        <f t="shared" si="17"/>
        <v>0</v>
      </c>
      <c r="Y25" s="34">
        <f t="shared" si="17"/>
        <v>30</v>
      </c>
      <c r="Z25" s="34">
        <f t="shared" si="17"/>
        <v>29</v>
      </c>
      <c r="AA25" s="34">
        <f t="shared" si="17"/>
        <v>9</v>
      </c>
      <c r="AB25" s="34">
        <f t="shared" si="17"/>
        <v>11</v>
      </c>
      <c r="AC25" s="34">
        <f t="shared" si="17"/>
        <v>324</v>
      </c>
      <c r="AD25" s="34">
        <f t="shared" si="17"/>
        <v>0</v>
      </c>
      <c r="AE25" s="31">
        <f t="shared" si="17"/>
        <v>463</v>
      </c>
      <c r="AF25" s="31">
        <f t="shared" si="17"/>
        <v>787</v>
      </c>
    </row>
    <row r="26" spans="2:32" ht="23.1" customHeight="1" x14ac:dyDescent="0.25">
      <c r="B26" s="45" t="s">
        <v>53</v>
      </c>
      <c r="C26" s="50">
        <v>89</v>
      </c>
      <c r="D26" s="50">
        <v>18</v>
      </c>
      <c r="E26" s="50">
        <v>13</v>
      </c>
      <c r="F26" s="50">
        <v>22</v>
      </c>
      <c r="G26" s="50">
        <v>0</v>
      </c>
      <c r="H26" s="50">
        <v>0</v>
      </c>
      <c r="I26" s="50">
        <v>14</v>
      </c>
      <c r="J26" s="50">
        <v>5</v>
      </c>
      <c r="K26" s="50">
        <v>6</v>
      </c>
      <c r="L26" s="50">
        <v>4</v>
      </c>
      <c r="M26" s="50">
        <v>118</v>
      </c>
      <c r="N26" s="50">
        <v>0</v>
      </c>
      <c r="O26" s="15">
        <f t="shared" si="0"/>
        <v>171</v>
      </c>
      <c r="P26" s="15">
        <f t="shared" si="1"/>
        <v>289</v>
      </c>
      <c r="R26" s="36" t="s">
        <v>150</v>
      </c>
      <c r="S26" s="34">
        <f>SUM(C74:C77)</f>
        <v>225</v>
      </c>
      <c r="T26" s="34">
        <f t="shared" ref="T26:AF26" si="18">SUM(D74:D77)</f>
        <v>38</v>
      </c>
      <c r="U26" s="34">
        <f t="shared" si="18"/>
        <v>27</v>
      </c>
      <c r="V26" s="34">
        <f t="shared" si="18"/>
        <v>34</v>
      </c>
      <c r="W26" s="34">
        <f t="shared" si="18"/>
        <v>1</v>
      </c>
      <c r="X26" s="34">
        <f t="shared" si="18"/>
        <v>1</v>
      </c>
      <c r="Y26" s="34">
        <f t="shared" si="18"/>
        <v>50</v>
      </c>
      <c r="Z26" s="34">
        <f t="shared" si="18"/>
        <v>51</v>
      </c>
      <c r="AA26" s="34">
        <f t="shared" si="18"/>
        <v>20</v>
      </c>
      <c r="AB26" s="34">
        <f t="shared" si="18"/>
        <v>6</v>
      </c>
      <c r="AC26" s="34">
        <f t="shared" si="18"/>
        <v>260</v>
      </c>
      <c r="AD26" s="34">
        <f t="shared" si="18"/>
        <v>0</v>
      </c>
      <c r="AE26" s="31">
        <f t="shared" si="18"/>
        <v>453</v>
      </c>
      <c r="AF26" s="31">
        <f t="shared" si="18"/>
        <v>713</v>
      </c>
    </row>
    <row r="27" spans="2:32" ht="23.1" customHeight="1" x14ac:dyDescent="0.25">
      <c r="B27" s="45" t="s">
        <v>54</v>
      </c>
      <c r="C27" s="50">
        <v>82</v>
      </c>
      <c r="D27" s="50">
        <v>16</v>
      </c>
      <c r="E27" s="50">
        <v>15</v>
      </c>
      <c r="F27" s="50">
        <v>13</v>
      </c>
      <c r="G27" s="50">
        <v>1</v>
      </c>
      <c r="H27" s="50">
        <v>0</v>
      </c>
      <c r="I27" s="50">
        <v>11</v>
      </c>
      <c r="J27" s="50">
        <v>5</v>
      </c>
      <c r="K27" s="50">
        <v>6</v>
      </c>
      <c r="L27" s="50">
        <v>9</v>
      </c>
      <c r="M27" s="50">
        <v>142</v>
      </c>
      <c r="N27" s="50">
        <v>0</v>
      </c>
      <c r="O27" s="15">
        <f t="shared" si="0"/>
        <v>158</v>
      </c>
      <c r="P27" s="15">
        <f t="shared" si="1"/>
        <v>300</v>
      </c>
      <c r="R27" s="36" t="s">
        <v>151</v>
      </c>
      <c r="S27" s="34">
        <f>SUM(C78:C81)</f>
        <v>82</v>
      </c>
      <c r="T27" s="34">
        <f t="shared" ref="T27:AF27" si="19">SUM(D78:D81)</f>
        <v>15</v>
      </c>
      <c r="U27" s="34">
        <f t="shared" si="19"/>
        <v>11</v>
      </c>
      <c r="V27" s="34">
        <f t="shared" si="19"/>
        <v>15</v>
      </c>
      <c r="W27" s="34">
        <f t="shared" si="19"/>
        <v>4</v>
      </c>
      <c r="X27" s="34">
        <f t="shared" si="19"/>
        <v>0</v>
      </c>
      <c r="Y27" s="34">
        <f t="shared" si="19"/>
        <v>26</v>
      </c>
      <c r="Z27" s="34">
        <f t="shared" si="19"/>
        <v>21</v>
      </c>
      <c r="AA27" s="34">
        <f t="shared" si="19"/>
        <v>5</v>
      </c>
      <c r="AB27" s="34">
        <f t="shared" si="19"/>
        <v>15</v>
      </c>
      <c r="AC27" s="34">
        <f t="shared" si="19"/>
        <v>108</v>
      </c>
      <c r="AD27" s="34">
        <f t="shared" si="19"/>
        <v>0</v>
      </c>
      <c r="AE27" s="31">
        <f t="shared" si="19"/>
        <v>194</v>
      </c>
      <c r="AF27" s="31">
        <f t="shared" si="19"/>
        <v>302</v>
      </c>
    </row>
    <row r="28" spans="2:32" ht="23.1" customHeight="1" x14ac:dyDescent="0.25">
      <c r="B28" s="45" t="s">
        <v>55</v>
      </c>
      <c r="C28" s="50">
        <v>97</v>
      </c>
      <c r="D28" s="50">
        <v>11</v>
      </c>
      <c r="E28" s="50">
        <v>13</v>
      </c>
      <c r="F28" s="50">
        <v>19</v>
      </c>
      <c r="G28" s="50">
        <v>0</v>
      </c>
      <c r="H28" s="50">
        <v>0</v>
      </c>
      <c r="I28" s="50">
        <v>18</v>
      </c>
      <c r="J28" s="50">
        <v>13</v>
      </c>
      <c r="K28" s="50">
        <v>6</v>
      </c>
      <c r="L28" s="50">
        <v>4</v>
      </c>
      <c r="M28" s="50">
        <v>119</v>
      </c>
      <c r="N28" s="50">
        <v>0</v>
      </c>
      <c r="O28" s="15">
        <f t="shared" si="0"/>
        <v>181</v>
      </c>
      <c r="P28" s="15">
        <f t="shared" si="1"/>
        <v>300</v>
      </c>
      <c r="R28" s="36" t="s">
        <v>152</v>
      </c>
      <c r="S28" s="34">
        <f>SUM(C82:C85)</f>
        <v>23</v>
      </c>
      <c r="T28" s="34">
        <f t="shared" ref="T28:AF28" si="20">SUM(D82:D85)</f>
        <v>11</v>
      </c>
      <c r="U28" s="34">
        <f t="shared" si="20"/>
        <v>2</v>
      </c>
      <c r="V28" s="34">
        <f t="shared" si="20"/>
        <v>10</v>
      </c>
      <c r="W28" s="34">
        <f t="shared" si="20"/>
        <v>0</v>
      </c>
      <c r="X28" s="34">
        <f t="shared" si="20"/>
        <v>0</v>
      </c>
      <c r="Y28" s="34">
        <f t="shared" si="20"/>
        <v>24</v>
      </c>
      <c r="Z28" s="34">
        <f t="shared" si="20"/>
        <v>32</v>
      </c>
      <c r="AA28" s="34">
        <f t="shared" si="20"/>
        <v>13</v>
      </c>
      <c r="AB28" s="34">
        <f t="shared" si="20"/>
        <v>6</v>
      </c>
      <c r="AC28" s="34">
        <f t="shared" si="20"/>
        <v>53</v>
      </c>
      <c r="AD28" s="34">
        <f t="shared" si="20"/>
        <v>0</v>
      </c>
      <c r="AE28" s="31">
        <f t="shared" si="20"/>
        <v>121</v>
      </c>
      <c r="AF28" s="31">
        <f t="shared" si="20"/>
        <v>174</v>
      </c>
    </row>
    <row r="29" spans="2:32" ht="23.1" customHeight="1" x14ac:dyDescent="0.25">
      <c r="B29" s="45" t="s">
        <v>56</v>
      </c>
      <c r="C29" s="50">
        <v>100</v>
      </c>
      <c r="D29" s="50">
        <v>26</v>
      </c>
      <c r="E29" s="50">
        <v>11</v>
      </c>
      <c r="F29" s="50">
        <v>22</v>
      </c>
      <c r="G29" s="50">
        <v>0</v>
      </c>
      <c r="H29" s="50">
        <v>0</v>
      </c>
      <c r="I29" s="50">
        <v>12</v>
      </c>
      <c r="J29" s="50">
        <v>9</v>
      </c>
      <c r="K29" s="50">
        <v>4</v>
      </c>
      <c r="L29" s="50">
        <v>12</v>
      </c>
      <c r="M29" s="50">
        <v>166</v>
      </c>
      <c r="N29" s="50">
        <v>0</v>
      </c>
      <c r="O29" s="15">
        <f t="shared" si="0"/>
        <v>196</v>
      </c>
      <c r="P29" s="15">
        <f t="shared" si="1"/>
        <v>362</v>
      </c>
      <c r="R29" s="36" t="s">
        <v>153</v>
      </c>
      <c r="S29" s="34">
        <f>SUM(C86:C89)</f>
        <v>21</v>
      </c>
      <c r="T29" s="34">
        <f t="shared" ref="T29:AF29" si="21">SUM(D86:D89)</f>
        <v>5</v>
      </c>
      <c r="U29" s="34">
        <f t="shared" si="21"/>
        <v>8</v>
      </c>
      <c r="V29" s="34">
        <f t="shared" si="21"/>
        <v>7</v>
      </c>
      <c r="W29" s="34">
        <f t="shared" si="21"/>
        <v>0</v>
      </c>
      <c r="X29" s="34">
        <f t="shared" si="21"/>
        <v>0</v>
      </c>
      <c r="Y29" s="34">
        <f t="shared" si="21"/>
        <v>20</v>
      </c>
      <c r="Z29" s="34">
        <f t="shared" si="21"/>
        <v>30</v>
      </c>
      <c r="AA29" s="34">
        <f t="shared" si="21"/>
        <v>5</v>
      </c>
      <c r="AB29" s="34">
        <f t="shared" si="21"/>
        <v>9</v>
      </c>
      <c r="AC29" s="34">
        <f t="shared" si="21"/>
        <v>43</v>
      </c>
      <c r="AD29" s="34">
        <f t="shared" si="21"/>
        <v>0</v>
      </c>
      <c r="AE29" s="31">
        <f t="shared" si="21"/>
        <v>105</v>
      </c>
      <c r="AF29" s="31">
        <f t="shared" si="21"/>
        <v>148</v>
      </c>
    </row>
    <row r="30" spans="2:32" ht="23.1" customHeight="1" x14ac:dyDescent="0.25">
      <c r="B30" s="45" t="s">
        <v>57</v>
      </c>
      <c r="C30" s="50">
        <v>168</v>
      </c>
      <c r="D30" s="50">
        <v>23</v>
      </c>
      <c r="E30" s="50">
        <v>23</v>
      </c>
      <c r="F30" s="50">
        <v>28</v>
      </c>
      <c r="G30" s="50">
        <v>0</v>
      </c>
      <c r="H30" s="50">
        <v>3</v>
      </c>
      <c r="I30" s="50">
        <v>14</v>
      </c>
      <c r="J30" s="50">
        <v>7</v>
      </c>
      <c r="K30" s="50">
        <v>4</v>
      </c>
      <c r="L30" s="50">
        <v>4</v>
      </c>
      <c r="M30" s="50">
        <v>130</v>
      </c>
      <c r="N30" s="50">
        <v>0</v>
      </c>
      <c r="O30" s="15">
        <f t="shared" si="0"/>
        <v>274</v>
      </c>
      <c r="P30" s="15">
        <f t="shared" si="1"/>
        <v>404</v>
      </c>
      <c r="R30" s="36" t="s">
        <v>154</v>
      </c>
      <c r="S30" s="34">
        <f>SUM(C90:C93)</f>
        <v>19</v>
      </c>
      <c r="T30" s="34">
        <f t="shared" ref="T30:AF30" si="22">SUM(D90:D93)</f>
        <v>7</v>
      </c>
      <c r="U30" s="34">
        <f t="shared" si="22"/>
        <v>4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30</v>
      </c>
      <c r="Z30" s="34">
        <f t="shared" si="22"/>
        <v>26</v>
      </c>
      <c r="AA30" s="34">
        <f t="shared" si="22"/>
        <v>9</v>
      </c>
      <c r="AB30" s="34">
        <f t="shared" si="22"/>
        <v>7</v>
      </c>
      <c r="AC30" s="34">
        <f t="shared" si="22"/>
        <v>31</v>
      </c>
      <c r="AD30" s="34">
        <f t="shared" si="22"/>
        <v>0</v>
      </c>
      <c r="AE30" s="31">
        <f t="shared" si="22"/>
        <v>106</v>
      </c>
      <c r="AF30" s="31">
        <f t="shared" si="22"/>
        <v>137</v>
      </c>
    </row>
    <row r="31" spans="2:32" ht="23.1" customHeight="1" x14ac:dyDescent="0.25">
      <c r="B31" s="46" t="s">
        <v>58</v>
      </c>
      <c r="C31" s="50">
        <v>107</v>
      </c>
      <c r="D31" s="50">
        <v>14</v>
      </c>
      <c r="E31" s="50">
        <v>7</v>
      </c>
      <c r="F31" s="50">
        <v>14</v>
      </c>
      <c r="G31" s="50">
        <v>3</v>
      </c>
      <c r="H31" s="50">
        <v>0</v>
      </c>
      <c r="I31" s="50">
        <v>10</v>
      </c>
      <c r="J31" s="50">
        <v>0</v>
      </c>
      <c r="K31" s="50">
        <v>1</v>
      </c>
      <c r="L31" s="50">
        <v>9</v>
      </c>
      <c r="M31" s="50">
        <v>145</v>
      </c>
      <c r="N31" s="50">
        <v>0</v>
      </c>
      <c r="O31" s="15">
        <f t="shared" si="0"/>
        <v>165</v>
      </c>
      <c r="P31" s="15">
        <f t="shared" si="1"/>
        <v>310</v>
      </c>
      <c r="R31" s="36" t="s">
        <v>155</v>
      </c>
      <c r="S31" s="34">
        <f>SUM(C94:C97)</f>
        <v>35</v>
      </c>
      <c r="T31" s="34">
        <f t="shared" ref="T31:AF31" si="23">SUM(D94:D97)</f>
        <v>38</v>
      </c>
      <c r="U31" s="34">
        <f t="shared" si="23"/>
        <v>9</v>
      </c>
      <c r="V31" s="34">
        <f t="shared" si="23"/>
        <v>37</v>
      </c>
      <c r="W31" s="34">
        <f t="shared" si="23"/>
        <v>2</v>
      </c>
      <c r="X31" s="34">
        <f t="shared" si="23"/>
        <v>1</v>
      </c>
      <c r="Y31" s="34">
        <f t="shared" si="23"/>
        <v>45</v>
      </c>
      <c r="Z31" s="34">
        <f t="shared" si="23"/>
        <v>45</v>
      </c>
      <c r="AA31" s="34">
        <f t="shared" si="23"/>
        <v>21</v>
      </c>
      <c r="AB31" s="34">
        <f t="shared" si="23"/>
        <v>5</v>
      </c>
      <c r="AC31" s="34">
        <f t="shared" si="23"/>
        <v>44</v>
      </c>
      <c r="AD31" s="34">
        <f t="shared" si="23"/>
        <v>0</v>
      </c>
      <c r="AE31" s="31">
        <f t="shared" si="23"/>
        <v>238</v>
      </c>
      <c r="AF31" s="31">
        <f t="shared" si="23"/>
        <v>282</v>
      </c>
    </row>
    <row r="32" spans="2:32" ht="23.1" customHeight="1" x14ac:dyDescent="0.25">
      <c r="B32" s="46" t="s">
        <v>59</v>
      </c>
      <c r="C32" s="50">
        <v>108</v>
      </c>
      <c r="D32" s="50">
        <v>16</v>
      </c>
      <c r="E32" s="50">
        <v>9</v>
      </c>
      <c r="F32" s="50">
        <v>22</v>
      </c>
      <c r="G32" s="50">
        <v>0</v>
      </c>
      <c r="H32" s="50">
        <v>0</v>
      </c>
      <c r="I32" s="50">
        <v>17</v>
      </c>
      <c r="J32" s="50">
        <v>9</v>
      </c>
      <c r="K32" s="50">
        <v>3</v>
      </c>
      <c r="L32" s="50">
        <v>9</v>
      </c>
      <c r="M32" s="50">
        <v>117</v>
      </c>
      <c r="N32" s="50">
        <v>0</v>
      </c>
      <c r="O32" s="15">
        <f t="shared" si="0"/>
        <v>193</v>
      </c>
      <c r="P32" s="15">
        <f t="shared" si="1"/>
        <v>310</v>
      </c>
      <c r="R32" s="33" t="s">
        <v>156</v>
      </c>
      <c r="S32" s="34">
        <f>SUM(C98:C101)</f>
        <v>34</v>
      </c>
      <c r="T32" s="34">
        <f t="shared" ref="T32:AF32" si="24">SUM(D98:D101)</f>
        <v>8</v>
      </c>
      <c r="U32" s="34">
        <f t="shared" si="24"/>
        <v>4</v>
      </c>
      <c r="V32" s="34">
        <f t="shared" si="24"/>
        <v>36</v>
      </c>
      <c r="W32" s="34">
        <f t="shared" si="24"/>
        <v>3</v>
      </c>
      <c r="X32" s="34">
        <f t="shared" si="24"/>
        <v>0</v>
      </c>
      <c r="Y32" s="34">
        <f t="shared" si="24"/>
        <v>31</v>
      </c>
      <c r="Z32" s="34">
        <f t="shared" si="24"/>
        <v>43</v>
      </c>
      <c r="AA32" s="34">
        <f t="shared" si="24"/>
        <v>8</v>
      </c>
      <c r="AB32" s="34">
        <f t="shared" si="24"/>
        <v>15</v>
      </c>
      <c r="AC32" s="34">
        <f t="shared" si="24"/>
        <v>70</v>
      </c>
      <c r="AD32" s="34">
        <f t="shared" si="24"/>
        <v>0</v>
      </c>
      <c r="AE32" s="31">
        <f t="shared" si="24"/>
        <v>182</v>
      </c>
      <c r="AF32" s="31">
        <f t="shared" si="24"/>
        <v>252</v>
      </c>
    </row>
    <row r="33" spans="2:32" ht="23.1" customHeight="1" x14ac:dyDescent="0.25">
      <c r="B33" s="45" t="s">
        <v>60</v>
      </c>
      <c r="C33" s="50">
        <v>91</v>
      </c>
      <c r="D33" s="50">
        <v>18</v>
      </c>
      <c r="E33" s="50">
        <v>13</v>
      </c>
      <c r="F33" s="50">
        <v>14</v>
      </c>
      <c r="G33" s="50">
        <v>0</v>
      </c>
      <c r="H33" s="50">
        <v>0</v>
      </c>
      <c r="I33" s="50">
        <v>11</v>
      </c>
      <c r="J33" s="50">
        <v>6</v>
      </c>
      <c r="K33" s="50">
        <v>5</v>
      </c>
      <c r="L33" s="50">
        <v>12</v>
      </c>
      <c r="M33" s="50">
        <v>118</v>
      </c>
      <c r="N33" s="50">
        <v>0</v>
      </c>
      <c r="O33" s="15">
        <f t="shared" si="0"/>
        <v>170</v>
      </c>
      <c r="P33" s="15">
        <f t="shared" si="1"/>
        <v>288</v>
      </c>
      <c r="R33" s="33" t="s">
        <v>157</v>
      </c>
      <c r="S33" s="34">
        <f>SUM(C102:C105)</f>
        <v>152</v>
      </c>
      <c r="T33" s="34">
        <f t="shared" ref="T33:AF33" si="25">SUM(D102:D105)</f>
        <v>50</v>
      </c>
      <c r="U33" s="34">
        <f t="shared" si="25"/>
        <v>20</v>
      </c>
      <c r="V33" s="34">
        <f t="shared" si="25"/>
        <v>62</v>
      </c>
      <c r="W33" s="34">
        <f t="shared" si="25"/>
        <v>4</v>
      </c>
      <c r="X33" s="34">
        <f t="shared" si="25"/>
        <v>5</v>
      </c>
      <c r="Y33" s="34">
        <f t="shared" si="25"/>
        <v>44</v>
      </c>
      <c r="Z33" s="34">
        <f t="shared" si="25"/>
        <v>53</v>
      </c>
      <c r="AA33" s="34">
        <f t="shared" si="25"/>
        <v>6</v>
      </c>
      <c r="AB33" s="34">
        <f t="shared" si="25"/>
        <v>25</v>
      </c>
      <c r="AC33" s="34">
        <f t="shared" si="25"/>
        <v>393</v>
      </c>
      <c r="AD33" s="34">
        <f t="shared" si="25"/>
        <v>0</v>
      </c>
      <c r="AE33" s="31">
        <f t="shared" si="25"/>
        <v>421</v>
      </c>
      <c r="AF33" s="31">
        <f t="shared" si="25"/>
        <v>814</v>
      </c>
    </row>
    <row r="34" spans="2:32" ht="23.1" customHeight="1" x14ac:dyDescent="0.25">
      <c r="B34" s="46" t="s">
        <v>61</v>
      </c>
      <c r="C34" s="50">
        <v>99</v>
      </c>
      <c r="D34" s="50">
        <v>27</v>
      </c>
      <c r="E34" s="50">
        <v>18</v>
      </c>
      <c r="F34" s="50">
        <v>14</v>
      </c>
      <c r="G34" s="50">
        <v>2</v>
      </c>
      <c r="H34" s="50">
        <v>0</v>
      </c>
      <c r="I34" s="50">
        <v>17</v>
      </c>
      <c r="J34" s="50">
        <v>10</v>
      </c>
      <c r="K34" s="50">
        <v>2</v>
      </c>
      <c r="L34" s="50">
        <v>8</v>
      </c>
      <c r="M34" s="50">
        <v>97</v>
      </c>
      <c r="N34" s="50">
        <v>1</v>
      </c>
      <c r="O34" s="15">
        <f t="shared" si="0"/>
        <v>198</v>
      </c>
      <c r="P34" s="15">
        <f t="shared" si="1"/>
        <v>295</v>
      </c>
      <c r="R34" s="38" t="s">
        <v>90</v>
      </c>
      <c r="S34" s="39">
        <f t="shared" ref="S34:AF34" si="26">MAX(S10:S12)</f>
        <v>318</v>
      </c>
      <c r="T34" s="39">
        <f t="shared" si="26"/>
        <v>140</v>
      </c>
      <c r="U34" s="39">
        <f t="shared" si="26"/>
        <v>75</v>
      </c>
      <c r="V34" s="39">
        <f t="shared" si="26"/>
        <v>81</v>
      </c>
      <c r="W34" s="39">
        <f t="shared" si="26"/>
        <v>12</v>
      </c>
      <c r="X34" s="39">
        <f t="shared" si="26"/>
        <v>4</v>
      </c>
      <c r="Y34" s="39">
        <f t="shared" si="26"/>
        <v>38</v>
      </c>
      <c r="Z34" s="39">
        <f t="shared" si="26"/>
        <v>36</v>
      </c>
      <c r="AA34" s="39">
        <f t="shared" si="26"/>
        <v>19</v>
      </c>
      <c r="AB34" s="39">
        <f t="shared" si="26"/>
        <v>28</v>
      </c>
      <c r="AC34" s="39">
        <f t="shared" si="26"/>
        <v>722</v>
      </c>
      <c r="AD34" s="39">
        <f t="shared" si="26"/>
        <v>1</v>
      </c>
      <c r="AE34" s="40">
        <f t="shared" si="26"/>
        <v>625</v>
      </c>
      <c r="AF34" s="40">
        <f t="shared" si="26"/>
        <v>1297</v>
      </c>
    </row>
    <row r="35" spans="2:32" ht="23.1" customHeight="1" x14ac:dyDescent="0.25">
      <c r="B35" s="46" t="s">
        <v>62</v>
      </c>
      <c r="C35" s="50">
        <v>113</v>
      </c>
      <c r="D35" s="50">
        <v>20</v>
      </c>
      <c r="E35" s="50">
        <v>9</v>
      </c>
      <c r="F35" s="50">
        <v>22</v>
      </c>
      <c r="G35" s="50">
        <v>1</v>
      </c>
      <c r="H35" s="50">
        <v>0</v>
      </c>
      <c r="I35" s="50">
        <v>7</v>
      </c>
      <c r="J35" s="50">
        <v>10</v>
      </c>
      <c r="K35" s="50">
        <v>6</v>
      </c>
      <c r="L35" s="50">
        <v>7</v>
      </c>
      <c r="M35" s="50">
        <v>123</v>
      </c>
      <c r="N35" s="50">
        <v>2</v>
      </c>
      <c r="O35" s="15">
        <f t="shared" si="0"/>
        <v>197</v>
      </c>
      <c r="P35" s="15">
        <f t="shared" si="1"/>
        <v>320</v>
      </c>
      <c r="R35" s="38" t="s">
        <v>91</v>
      </c>
      <c r="S35" s="39">
        <f t="shared" ref="S35:AF35" si="27">MAX(S13:S18)</f>
        <v>474</v>
      </c>
      <c r="T35" s="39">
        <f t="shared" si="27"/>
        <v>236</v>
      </c>
      <c r="U35" s="39">
        <f t="shared" si="27"/>
        <v>138</v>
      </c>
      <c r="V35" s="39">
        <f t="shared" si="27"/>
        <v>144</v>
      </c>
      <c r="W35" s="39">
        <f t="shared" si="27"/>
        <v>11</v>
      </c>
      <c r="X35" s="39">
        <f t="shared" si="27"/>
        <v>3</v>
      </c>
      <c r="Y35" s="39">
        <f t="shared" si="27"/>
        <v>91</v>
      </c>
      <c r="Z35" s="39">
        <f t="shared" si="27"/>
        <v>67</v>
      </c>
      <c r="AA35" s="39">
        <f t="shared" si="27"/>
        <v>29</v>
      </c>
      <c r="AB35" s="39">
        <f t="shared" si="27"/>
        <v>47</v>
      </c>
      <c r="AC35" s="39">
        <f t="shared" si="27"/>
        <v>554</v>
      </c>
      <c r="AD35" s="39">
        <f t="shared" si="27"/>
        <v>3</v>
      </c>
      <c r="AE35" s="40">
        <f t="shared" si="27"/>
        <v>1209</v>
      </c>
      <c r="AF35" s="40">
        <f t="shared" si="27"/>
        <v>1734</v>
      </c>
    </row>
    <row r="36" spans="2:32" ht="23.1" customHeight="1" x14ac:dyDescent="0.25">
      <c r="B36" s="46" t="s">
        <v>63</v>
      </c>
      <c r="C36" s="50">
        <v>122</v>
      </c>
      <c r="D36" s="50">
        <v>28</v>
      </c>
      <c r="E36" s="50">
        <v>7</v>
      </c>
      <c r="F36" s="50">
        <v>14</v>
      </c>
      <c r="G36" s="50">
        <v>1</v>
      </c>
      <c r="H36" s="50">
        <v>0</v>
      </c>
      <c r="I36" s="50">
        <v>11</v>
      </c>
      <c r="J36" s="50">
        <v>10</v>
      </c>
      <c r="K36" s="50">
        <v>5</v>
      </c>
      <c r="L36" s="50">
        <v>6</v>
      </c>
      <c r="M36" s="50">
        <v>98</v>
      </c>
      <c r="N36" s="50">
        <v>0</v>
      </c>
      <c r="O36" s="15">
        <f t="shared" si="0"/>
        <v>204</v>
      </c>
      <c r="P36" s="15">
        <f t="shared" si="1"/>
        <v>302</v>
      </c>
      <c r="R36" s="38" t="s">
        <v>92</v>
      </c>
      <c r="S36" s="39">
        <f t="shared" ref="S36:AF36" si="28">MAX(S19:S21)</f>
        <v>486</v>
      </c>
      <c r="T36" s="39">
        <f t="shared" si="28"/>
        <v>238</v>
      </c>
      <c r="U36" s="39">
        <f t="shared" si="28"/>
        <v>140</v>
      </c>
      <c r="V36" s="39">
        <f t="shared" si="28"/>
        <v>267</v>
      </c>
      <c r="W36" s="39">
        <f t="shared" si="28"/>
        <v>24</v>
      </c>
      <c r="X36" s="39">
        <f t="shared" si="28"/>
        <v>3</v>
      </c>
      <c r="Y36" s="39">
        <f t="shared" si="28"/>
        <v>69</v>
      </c>
      <c r="Z36" s="39">
        <f t="shared" si="28"/>
        <v>45</v>
      </c>
      <c r="AA36" s="39">
        <f t="shared" si="28"/>
        <v>17</v>
      </c>
      <c r="AB36" s="39">
        <f t="shared" si="28"/>
        <v>48</v>
      </c>
      <c r="AC36" s="39">
        <f t="shared" si="28"/>
        <v>470</v>
      </c>
      <c r="AD36" s="39">
        <f t="shared" si="28"/>
        <v>1</v>
      </c>
      <c r="AE36" s="40">
        <f t="shared" si="28"/>
        <v>1168</v>
      </c>
      <c r="AF36" s="40">
        <f t="shared" si="28"/>
        <v>1586</v>
      </c>
    </row>
    <row r="37" spans="2:32" ht="23.1" customHeight="1" x14ac:dyDescent="0.25">
      <c r="B37" s="45" t="s">
        <v>64</v>
      </c>
      <c r="C37" s="50">
        <v>113</v>
      </c>
      <c r="D37" s="50">
        <v>33</v>
      </c>
      <c r="E37" s="50">
        <v>18</v>
      </c>
      <c r="F37" s="50">
        <v>12</v>
      </c>
      <c r="G37" s="50">
        <v>1</v>
      </c>
      <c r="H37" s="50">
        <v>0</v>
      </c>
      <c r="I37" s="50">
        <v>18</v>
      </c>
      <c r="J37" s="50">
        <v>4</v>
      </c>
      <c r="K37" s="50">
        <v>9</v>
      </c>
      <c r="L37" s="50">
        <v>14</v>
      </c>
      <c r="M37" s="50">
        <v>127</v>
      </c>
      <c r="N37" s="50">
        <v>0</v>
      </c>
      <c r="O37" s="15">
        <f t="shared" si="0"/>
        <v>222</v>
      </c>
      <c r="P37" s="15">
        <f t="shared" si="1"/>
        <v>349</v>
      </c>
      <c r="R37" s="37" t="s">
        <v>85</v>
      </c>
      <c r="S37" s="35">
        <f t="shared" ref="S37:AF37" si="29">SUM(S10:S12)</f>
        <v>815</v>
      </c>
      <c r="T37" s="16">
        <f t="shared" si="29"/>
        <v>280</v>
      </c>
      <c r="U37" s="16">
        <f t="shared" si="29"/>
        <v>155</v>
      </c>
      <c r="V37" s="16">
        <f t="shared" si="29"/>
        <v>222</v>
      </c>
      <c r="W37" s="16">
        <f t="shared" si="29"/>
        <v>22</v>
      </c>
      <c r="X37" s="16">
        <f t="shared" si="29"/>
        <v>6</v>
      </c>
      <c r="Y37" s="16">
        <f t="shared" si="29"/>
        <v>98</v>
      </c>
      <c r="Z37" s="16">
        <f t="shared" si="29"/>
        <v>89</v>
      </c>
      <c r="AA37" s="16">
        <f t="shared" si="29"/>
        <v>52</v>
      </c>
      <c r="AB37" s="16">
        <f t="shared" si="29"/>
        <v>61</v>
      </c>
      <c r="AC37" s="16">
        <f t="shared" si="29"/>
        <v>1558</v>
      </c>
      <c r="AD37" s="16">
        <f t="shared" si="29"/>
        <v>1</v>
      </c>
      <c r="AE37" s="32">
        <f t="shared" si="29"/>
        <v>1801</v>
      </c>
      <c r="AF37" s="32">
        <f t="shared" si="29"/>
        <v>3359</v>
      </c>
    </row>
    <row r="38" spans="2:32" ht="23.1" customHeight="1" x14ac:dyDescent="0.25">
      <c r="B38" s="46" t="s">
        <v>65</v>
      </c>
      <c r="C38" s="50">
        <v>93</v>
      </c>
      <c r="D38" s="50">
        <v>24</v>
      </c>
      <c r="E38" s="50">
        <v>25</v>
      </c>
      <c r="F38" s="50">
        <v>24</v>
      </c>
      <c r="G38" s="50">
        <v>1</v>
      </c>
      <c r="H38" s="50">
        <v>0</v>
      </c>
      <c r="I38" s="50">
        <v>10</v>
      </c>
      <c r="J38" s="50">
        <v>6</v>
      </c>
      <c r="K38" s="50">
        <v>5</v>
      </c>
      <c r="L38" s="50">
        <v>7</v>
      </c>
      <c r="M38" s="50">
        <v>145</v>
      </c>
      <c r="N38" s="50">
        <v>0</v>
      </c>
      <c r="O38" s="15">
        <f t="shared" si="0"/>
        <v>195</v>
      </c>
      <c r="P38" s="15">
        <f t="shared" si="1"/>
        <v>340</v>
      </c>
      <c r="R38" s="28" t="s">
        <v>86</v>
      </c>
      <c r="S38" s="16">
        <f t="shared" ref="S38:AF38" si="30">SUM(S13:S18)</f>
        <v>2535</v>
      </c>
      <c r="T38" s="16">
        <f t="shared" si="30"/>
        <v>621</v>
      </c>
      <c r="U38" s="16">
        <f t="shared" si="30"/>
        <v>431</v>
      </c>
      <c r="V38" s="16">
        <f t="shared" si="30"/>
        <v>521</v>
      </c>
      <c r="W38" s="16">
        <f t="shared" si="30"/>
        <v>31</v>
      </c>
      <c r="X38" s="16">
        <f t="shared" si="30"/>
        <v>8</v>
      </c>
      <c r="Y38" s="16">
        <f t="shared" si="30"/>
        <v>353</v>
      </c>
      <c r="Z38" s="16">
        <f t="shared" si="30"/>
        <v>193</v>
      </c>
      <c r="AA38" s="16">
        <f t="shared" si="30"/>
        <v>126</v>
      </c>
      <c r="AB38" s="16">
        <f t="shared" si="30"/>
        <v>205</v>
      </c>
      <c r="AC38" s="16">
        <f t="shared" si="30"/>
        <v>3111</v>
      </c>
      <c r="AD38" s="16">
        <f t="shared" si="30"/>
        <v>4</v>
      </c>
      <c r="AE38" s="32">
        <f t="shared" si="30"/>
        <v>5028</v>
      </c>
      <c r="AF38" s="32">
        <f t="shared" si="30"/>
        <v>8139</v>
      </c>
    </row>
    <row r="39" spans="2:32" ht="23.1" customHeight="1" x14ac:dyDescent="0.25">
      <c r="B39" s="46" t="s">
        <v>66</v>
      </c>
      <c r="C39" s="50">
        <v>98</v>
      </c>
      <c r="D39" s="50">
        <v>17</v>
      </c>
      <c r="E39" s="50">
        <v>34</v>
      </c>
      <c r="F39" s="50">
        <v>28</v>
      </c>
      <c r="G39" s="50">
        <v>1</v>
      </c>
      <c r="H39" s="50">
        <v>0</v>
      </c>
      <c r="I39" s="50">
        <v>10</v>
      </c>
      <c r="J39" s="50">
        <v>3</v>
      </c>
      <c r="K39" s="50">
        <v>3</v>
      </c>
      <c r="L39" s="50">
        <v>15</v>
      </c>
      <c r="M39" s="50">
        <v>132</v>
      </c>
      <c r="N39" s="50">
        <v>1</v>
      </c>
      <c r="O39" s="15">
        <f t="shared" si="0"/>
        <v>210</v>
      </c>
      <c r="P39" s="15">
        <f t="shared" si="1"/>
        <v>342</v>
      </c>
      <c r="R39" s="29" t="s">
        <v>87</v>
      </c>
      <c r="S39" s="16">
        <f t="shared" ref="S39:AF39" si="31">SUM(S19:S21)</f>
        <v>1251</v>
      </c>
      <c r="T39" s="16">
        <f t="shared" si="31"/>
        <v>480</v>
      </c>
      <c r="U39" s="16">
        <f t="shared" si="31"/>
        <v>320</v>
      </c>
      <c r="V39" s="16">
        <f t="shared" si="31"/>
        <v>486</v>
      </c>
      <c r="W39" s="16">
        <f t="shared" si="31"/>
        <v>51</v>
      </c>
      <c r="X39" s="16">
        <f t="shared" si="31"/>
        <v>6</v>
      </c>
      <c r="Y39" s="16">
        <f t="shared" si="31"/>
        <v>171</v>
      </c>
      <c r="Z39" s="16">
        <f t="shared" si="31"/>
        <v>114</v>
      </c>
      <c r="AA39" s="16">
        <f t="shared" si="31"/>
        <v>36</v>
      </c>
      <c r="AB39" s="16">
        <f t="shared" si="31"/>
        <v>97</v>
      </c>
      <c r="AC39" s="16">
        <f t="shared" si="31"/>
        <v>1324</v>
      </c>
      <c r="AD39" s="16">
        <f t="shared" si="31"/>
        <v>1</v>
      </c>
      <c r="AE39" s="32">
        <f t="shared" si="31"/>
        <v>3013</v>
      </c>
      <c r="AF39" s="32">
        <f t="shared" si="31"/>
        <v>4337</v>
      </c>
    </row>
    <row r="40" spans="2:32" ht="23.1" customHeight="1" x14ac:dyDescent="0.25">
      <c r="B40" s="46" t="s">
        <v>67</v>
      </c>
      <c r="C40" s="50">
        <v>120</v>
      </c>
      <c r="D40" s="50">
        <v>30</v>
      </c>
      <c r="E40" s="50">
        <v>9</v>
      </c>
      <c r="F40" s="50">
        <v>20</v>
      </c>
      <c r="G40" s="50">
        <v>1</v>
      </c>
      <c r="H40" s="50">
        <v>0</v>
      </c>
      <c r="I40" s="50">
        <v>19</v>
      </c>
      <c r="J40" s="50">
        <v>1</v>
      </c>
      <c r="K40" s="50">
        <v>11</v>
      </c>
      <c r="L40" s="50">
        <v>14</v>
      </c>
      <c r="M40" s="50">
        <v>153</v>
      </c>
      <c r="N40" s="50">
        <v>0</v>
      </c>
      <c r="O40" s="15">
        <f t="shared" si="0"/>
        <v>225</v>
      </c>
      <c r="P40" s="15">
        <f t="shared" si="1"/>
        <v>378</v>
      </c>
      <c r="R40" s="5" t="s">
        <v>17</v>
      </c>
      <c r="S40" s="16">
        <f t="shared" ref="S40:AF40" si="32">SUM(S10:S21)</f>
        <v>4601</v>
      </c>
      <c r="T40" s="16">
        <f t="shared" si="32"/>
        <v>1381</v>
      </c>
      <c r="U40" s="16">
        <f t="shared" si="32"/>
        <v>906</v>
      </c>
      <c r="V40" s="16">
        <f t="shared" si="32"/>
        <v>1229</v>
      </c>
      <c r="W40" s="16">
        <f t="shared" si="32"/>
        <v>104</v>
      </c>
      <c r="X40" s="16">
        <f t="shared" si="32"/>
        <v>20</v>
      </c>
      <c r="Y40" s="16">
        <f t="shared" si="32"/>
        <v>622</v>
      </c>
      <c r="Z40" s="16">
        <f t="shared" si="32"/>
        <v>396</v>
      </c>
      <c r="AA40" s="16">
        <f t="shared" si="32"/>
        <v>214</v>
      </c>
      <c r="AB40" s="16">
        <f t="shared" si="32"/>
        <v>363</v>
      </c>
      <c r="AC40" s="16">
        <f t="shared" si="32"/>
        <v>5993</v>
      </c>
      <c r="AD40" s="16">
        <f t="shared" si="32"/>
        <v>6</v>
      </c>
      <c r="AE40" s="32">
        <f t="shared" si="32"/>
        <v>9842</v>
      </c>
      <c r="AF40" s="32">
        <f t="shared" si="32"/>
        <v>15835</v>
      </c>
    </row>
    <row r="41" spans="2:32" ht="23.1" customHeight="1" x14ac:dyDescent="0.25">
      <c r="B41" s="45" t="s">
        <v>68</v>
      </c>
      <c r="C41" s="50">
        <v>111</v>
      </c>
      <c r="D41" s="50">
        <v>17</v>
      </c>
      <c r="E41" s="50">
        <v>19</v>
      </c>
      <c r="F41" s="50">
        <v>15</v>
      </c>
      <c r="G41" s="50">
        <v>0</v>
      </c>
      <c r="H41" s="50">
        <v>0</v>
      </c>
      <c r="I41" s="50">
        <v>18</v>
      </c>
      <c r="J41" s="50">
        <v>6</v>
      </c>
      <c r="K41" s="50">
        <v>8</v>
      </c>
      <c r="L41" s="50">
        <v>7</v>
      </c>
      <c r="M41" s="50">
        <v>102</v>
      </c>
      <c r="N41" s="50">
        <v>0</v>
      </c>
      <c r="O41" s="15">
        <f t="shared" si="0"/>
        <v>201</v>
      </c>
      <c r="P41" s="15">
        <f t="shared" si="1"/>
        <v>303</v>
      </c>
      <c r="R41" s="5" t="s">
        <v>159</v>
      </c>
      <c r="S41" s="16">
        <f>SUM(S10:S33)</f>
        <v>6242</v>
      </c>
      <c r="T41" s="16">
        <f t="shared" ref="T41:AF41" si="33">SUM(T10:T33)</f>
        <v>1976</v>
      </c>
      <c r="U41" s="16">
        <f t="shared" si="33"/>
        <v>1280</v>
      </c>
      <c r="V41" s="16">
        <f t="shared" si="33"/>
        <v>2193</v>
      </c>
      <c r="W41" s="16">
        <f t="shared" si="33"/>
        <v>141</v>
      </c>
      <c r="X41" s="16">
        <f t="shared" si="33"/>
        <v>31</v>
      </c>
      <c r="Y41" s="16">
        <f t="shared" si="33"/>
        <v>1010</v>
      </c>
      <c r="Z41" s="16">
        <f t="shared" si="33"/>
        <v>794</v>
      </c>
      <c r="AA41" s="16">
        <f t="shared" si="33"/>
        <v>381</v>
      </c>
      <c r="AB41" s="16">
        <f t="shared" si="33"/>
        <v>507</v>
      </c>
      <c r="AC41" s="16">
        <f t="shared" si="33"/>
        <v>8518</v>
      </c>
      <c r="AD41" s="16">
        <f t="shared" si="33"/>
        <v>6</v>
      </c>
      <c r="AE41" s="32">
        <f t="shared" si="33"/>
        <v>14561</v>
      </c>
      <c r="AF41" s="32">
        <f t="shared" si="33"/>
        <v>23079</v>
      </c>
    </row>
    <row r="42" spans="2:32" ht="23.1" customHeight="1" x14ac:dyDescent="0.25">
      <c r="B42" s="46" t="s">
        <v>69</v>
      </c>
      <c r="C42" s="50">
        <v>100</v>
      </c>
      <c r="D42" s="50">
        <v>43</v>
      </c>
      <c r="E42" s="50">
        <v>20</v>
      </c>
      <c r="F42" s="50">
        <v>12</v>
      </c>
      <c r="G42" s="50">
        <v>3</v>
      </c>
      <c r="H42" s="50">
        <v>0</v>
      </c>
      <c r="I42" s="50">
        <v>16</v>
      </c>
      <c r="J42" s="50">
        <v>10</v>
      </c>
      <c r="K42" s="50">
        <v>7</v>
      </c>
      <c r="L42" s="50">
        <v>6</v>
      </c>
      <c r="M42" s="50">
        <v>147</v>
      </c>
      <c r="N42" s="50">
        <v>0</v>
      </c>
      <c r="O42" s="15">
        <f t="shared" si="0"/>
        <v>217</v>
      </c>
      <c r="P42" s="15">
        <f t="shared" si="1"/>
        <v>364</v>
      </c>
      <c r="R42" s="5" t="s">
        <v>160</v>
      </c>
      <c r="S42" s="48">
        <f>S41/S40</f>
        <v>1.3566615953053685</v>
      </c>
      <c r="T42" s="48">
        <f t="shared" ref="T42:AF42" si="34">T41/T40</f>
        <v>1.4308472121650977</v>
      </c>
      <c r="U42" s="48">
        <f t="shared" si="34"/>
        <v>1.4128035320088301</v>
      </c>
      <c r="V42" s="48">
        <f t="shared" si="34"/>
        <v>1.7843775427176567</v>
      </c>
      <c r="W42" s="48">
        <f t="shared" si="34"/>
        <v>1.3557692307692308</v>
      </c>
      <c r="X42" s="48">
        <f t="shared" si="34"/>
        <v>1.55</v>
      </c>
      <c r="Y42" s="48">
        <f t="shared" si="34"/>
        <v>1.6237942122186495</v>
      </c>
      <c r="Z42" s="48">
        <f t="shared" si="34"/>
        <v>2.0050505050505052</v>
      </c>
      <c r="AA42" s="48">
        <f t="shared" si="34"/>
        <v>1.780373831775701</v>
      </c>
      <c r="AB42" s="48">
        <f t="shared" si="34"/>
        <v>1.3966942148760331</v>
      </c>
      <c r="AC42" s="48">
        <f t="shared" si="34"/>
        <v>1.4213248790255297</v>
      </c>
      <c r="AD42" s="48">
        <f t="shared" si="34"/>
        <v>1</v>
      </c>
      <c r="AE42" s="48">
        <f t="shared" si="34"/>
        <v>1.4794757163178216</v>
      </c>
      <c r="AF42" s="48">
        <f t="shared" si="34"/>
        <v>1.4574676349857909</v>
      </c>
    </row>
    <row r="43" spans="2:32" ht="23.1" customHeight="1" x14ac:dyDescent="0.25">
      <c r="B43" s="45" t="s">
        <v>70</v>
      </c>
      <c r="C43" s="50">
        <v>117</v>
      </c>
      <c r="D43" s="50">
        <v>43</v>
      </c>
      <c r="E43" s="50">
        <v>24</v>
      </c>
      <c r="F43" s="50">
        <v>11</v>
      </c>
      <c r="G43" s="50">
        <v>0</v>
      </c>
      <c r="H43" s="50">
        <v>1</v>
      </c>
      <c r="I43" s="50">
        <v>13</v>
      </c>
      <c r="J43" s="50">
        <v>10</v>
      </c>
      <c r="K43" s="50">
        <v>4</v>
      </c>
      <c r="L43" s="50">
        <v>4</v>
      </c>
      <c r="M43" s="50">
        <v>120</v>
      </c>
      <c r="N43" s="50">
        <v>0</v>
      </c>
      <c r="O43" s="15">
        <f t="shared" si="0"/>
        <v>227</v>
      </c>
      <c r="P43" s="15">
        <f t="shared" si="1"/>
        <v>347</v>
      </c>
    </row>
    <row r="44" spans="2:32" ht="23.1" customHeight="1" x14ac:dyDescent="0.25">
      <c r="B44" s="47" t="s">
        <v>71</v>
      </c>
      <c r="C44" s="50">
        <v>104</v>
      </c>
      <c r="D44" s="50">
        <v>68</v>
      </c>
      <c r="E44" s="50">
        <v>17</v>
      </c>
      <c r="F44" s="50">
        <v>21</v>
      </c>
      <c r="G44" s="50">
        <v>4</v>
      </c>
      <c r="H44" s="50">
        <v>0</v>
      </c>
      <c r="I44" s="50">
        <v>22</v>
      </c>
      <c r="J44" s="50">
        <v>9</v>
      </c>
      <c r="K44" s="50">
        <v>4</v>
      </c>
      <c r="L44" s="50">
        <v>15</v>
      </c>
      <c r="M44" s="50">
        <v>130</v>
      </c>
      <c r="N44" s="50">
        <v>0</v>
      </c>
      <c r="O44" s="15">
        <f t="shared" si="0"/>
        <v>264</v>
      </c>
      <c r="P44" s="15">
        <f t="shared" si="1"/>
        <v>394</v>
      </c>
    </row>
    <row r="45" spans="2:32" ht="23.1" customHeight="1" x14ac:dyDescent="0.25">
      <c r="B45" s="45" t="s">
        <v>72</v>
      </c>
      <c r="C45" s="50">
        <v>123</v>
      </c>
      <c r="D45" s="50">
        <v>82</v>
      </c>
      <c r="E45" s="50">
        <v>77</v>
      </c>
      <c r="F45" s="50">
        <v>100</v>
      </c>
      <c r="G45" s="50">
        <v>4</v>
      </c>
      <c r="H45" s="50">
        <v>1</v>
      </c>
      <c r="I45" s="50">
        <v>40</v>
      </c>
      <c r="J45" s="50">
        <v>38</v>
      </c>
      <c r="K45" s="50">
        <v>14</v>
      </c>
      <c r="L45" s="50">
        <v>22</v>
      </c>
      <c r="M45" s="50">
        <v>128</v>
      </c>
      <c r="N45" s="50">
        <v>0</v>
      </c>
      <c r="O45" s="15">
        <f t="shared" si="0"/>
        <v>501</v>
      </c>
      <c r="P45" s="15">
        <f t="shared" si="1"/>
        <v>629</v>
      </c>
    </row>
    <row r="46" spans="2:32" ht="23.1" customHeight="1" x14ac:dyDescent="0.25">
      <c r="B46" s="46" t="s">
        <v>73</v>
      </c>
      <c r="C46" s="50">
        <v>78</v>
      </c>
      <c r="D46" s="50">
        <v>13</v>
      </c>
      <c r="E46" s="50">
        <v>7</v>
      </c>
      <c r="F46" s="50">
        <v>10</v>
      </c>
      <c r="G46" s="50">
        <v>1</v>
      </c>
      <c r="H46" s="50">
        <v>0</v>
      </c>
      <c r="I46" s="50">
        <v>5</v>
      </c>
      <c r="J46" s="50">
        <v>7</v>
      </c>
      <c r="K46" s="50">
        <v>3</v>
      </c>
      <c r="L46" s="50">
        <v>7</v>
      </c>
      <c r="M46" s="50">
        <v>80</v>
      </c>
      <c r="N46" s="50">
        <v>0</v>
      </c>
      <c r="O46" s="15">
        <f t="shared" si="0"/>
        <v>131</v>
      </c>
      <c r="P46" s="15">
        <f t="shared" si="1"/>
        <v>211</v>
      </c>
      <c r="R46" s="8"/>
      <c r="T46"/>
    </row>
    <row r="47" spans="2:32" ht="23.1" customHeight="1" x14ac:dyDescent="0.25">
      <c r="B47" s="46" t="s">
        <v>74</v>
      </c>
      <c r="C47" s="50">
        <v>108</v>
      </c>
      <c r="D47" s="50">
        <v>21</v>
      </c>
      <c r="E47" s="50">
        <v>21</v>
      </c>
      <c r="F47" s="50">
        <v>20</v>
      </c>
      <c r="G47" s="50">
        <v>0</v>
      </c>
      <c r="H47" s="50">
        <v>1</v>
      </c>
      <c r="I47" s="50">
        <v>12</v>
      </c>
      <c r="J47" s="50">
        <v>11</v>
      </c>
      <c r="K47" s="50">
        <v>6</v>
      </c>
      <c r="L47" s="50">
        <v>7</v>
      </c>
      <c r="M47" s="50">
        <v>125</v>
      </c>
      <c r="N47" s="50">
        <v>0</v>
      </c>
      <c r="O47" s="15">
        <f t="shared" si="0"/>
        <v>207</v>
      </c>
      <c r="P47" s="15">
        <f t="shared" si="1"/>
        <v>332</v>
      </c>
      <c r="R47" s="8"/>
      <c r="T47"/>
    </row>
    <row r="48" spans="2:32" ht="23.1" customHeight="1" x14ac:dyDescent="0.25">
      <c r="B48" s="46" t="s">
        <v>75</v>
      </c>
      <c r="C48" s="50">
        <v>103</v>
      </c>
      <c r="D48" s="50">
        <v>22</v>
      </c>
      <c r="E48" s="50">
        <v>17</v>
      </c>
      <c r="F48" s="50">
        <v>18</v>
      </c>
      <c r="G48" s="50">
        <v>7</v>
      </c>
      <c r="H48" s="50">
        <v>0</v>
      </c>
      <c r="I48" s="50">
        <v>12</v>
      </c>
      <c r="J48" s="50">
        <v>13</v>
      </c>
      <c r="K48" s="50">
        <v>7</v>
      </c>
      <c r="L48" s="50">
        <v>11</v>
      </c>
      <c r="M48" s="50">
        <v>138</v>
      </c>
      <c r="N48" s="50">
        <v>0</v>
      </c>
      <c r="O48" s="15">
        <f t="shared" si="0"/>
        <v>210</v>
      </c>
      <c r="P48" s="15">
        <f t="shared" si="1"/>
        <v>348</v>
      </c>
      <c r="R48" s="8"/>
      <c r="T48"/>
    </row>
    <row r="49" spans="2:20" ht="23.1" customHeight="1" x14ac:dyDescent="0.25">
      <c r="B49" s="45" t="s">
        <v>76</v>
      </c>
      <c r="C49" s="50">
        <v>93</v>
      </c>
      <c r="D49" s="50">
        <v>19</v>
      </c>
      <c r="E49" s="50">
        <v>37</v>
      </c>
      <c r="F49" s="50">
        <v>20</v>
      </c>
      <c r="G49" s="50">
        <v>1</v>
      </c>
      <c r="H49" s="50">
        <v>0</v>
      </c>
      <c r="I49" s="50">
        <v>22</v>
      </c>
      <c r="J49" s="50">
        <v>2</v>
      </c>
      <c r="K49" s="50">
        <v>1</v>
      </c>
      <c r="L49" s="50">
        <v>5</v>
      </c>
      <c r="M49" s="50">
        <v>127</v>
      </c>
      <c r="N49" s="50">
        <v>1</v>
      </c>
      <c r="O49" s="15">
        <f t="shared" si="0"/>
        <v>201</v>
      </c>
      <c r="P49" s="15">
        <f t="shared" si="1"/>
        <v>328</v>
      </c>
      <c r="R49" s="8"/>
      <c r="T49"/>
    </row>
    <row r="50" spans="2:20" ht="23.1" customHeight="1" x14ac:dyDescent="0.25">
      <c r="B50" s="46" t="s">
        <v>77</v>
      </c>
      <c r="C50" s="50">
        <v>117</v>
      </c>
      <c r="D50" s="50">
        <v>40</v>
      </c>
      <c r="E50" s="50">
        <v>25</v>
      </c>
      <c r="F50" s="50">
        <v>24</v>
      </c>
      <c r="G50" s="50">
        <v>3</v>
      </c>
      <c r="H50" s="50">
        <v>0</v>
      </c>
      <c r="I50" s="50">
        <v>20</v>
      </c>
      <c r="J50" s="50">
        <v>8</v>
      </c>
      <c r="K50" s="50">
        <v>5</v>
      </c>
      <c r="L50" s="50">
        <v>10</v>
      </c>
      <c r="M50" s="50">
        <v>97</v>
      </c>
      <c r="N50" s="50">
        <v>0</v>
      </c>
      <c r="O50" s="15">
        <f t="shared" si="0"/>
        <v>252</v>
      </c>
      <c r="P50" s="15">
        <f t="shared" si="1"/>
        <v>349</v>
      </c>
      <c r="R50" s="8"/>
      <c r="T50"/>
    </row>
    <row r="51" spans="2:20" ht="23.1" customHeight="1" x14ac:dyDescent="0.25">
      <c r="B51" s="46" t="s">
        <v>78</v>
      </c>
      <c r="C51" s="50">
        <v>106</v>
      </c>
      <c r="D51" s="50">
        <v>20</v>
      </c>
      <c r="E51" s="50">
        <v>17</v>
      </c>
      <c r="F51" s="50">
        <v>28</v>
      </c>
      <c r="G51" s="50">
        <v>1</v>
      </c>
      <c r="H51" s="50">
        <v>1</v>
      </c>
      <c r="I51" s="50">
        <v>17</v>
      </c>
      <c r="J51" s="50">
        <v>12</v>
      </c>
      <c r="K51" s="50">
        <v>3</v>
      </c>
      <c r="L51" s="50">
        <v>4</v>
      </c>
      <c r="M51" s="50">
        <v>78</v>
      </c>
      <c r="N51" s="50">
        <v>0</v>
      </c>
      <c r="O51" s="15">
        <f t="shared" si="0"/>
        <v>209</v>
      </c>
      <c r="P51" s="15">
        <f t="shared" si="1"/>
        <v>287</v>
      </c>
      <c r="R51" s="8"/>
      <c r="T51"/>
    </row>
    <row r="52" spans="2:20" ht="23.1" customHeight="1" x14ac:dyDescent="0.25">
      <c r="B52" s="46" t="s">
        <v>79</v>
      </c>
      <c r="C52" s="50">
        <v>133</v>
      </c>
      <c r="D52" s="50">
        <v>42</v>
      </c>
      <c r="E52" s="50">
        <v>17</v>
      </c>
      <c r="F52" s="50">
        <v>26</v>
      </c>
      <c r="G52" s="50">
        <v>9</v>
      </c>
      <c r="H52" s="50">
        <v>0</v>
      </c>
      <c r="I52" s="50">
        <v>12</v>
      </c>
      <c r="J52" s="50">
        <v>8</v>
      </c>
      <c r="K52" s="50">
        <v>3</v>
      </c>
      <c r="L52" s="50">
        <v>7</v>
      </c>
      <c r="M52" s="50">
        <v>128</v>
      </c>
      <c r="N52" s="50">
        <v>0</v>
      </c>
      <c r="O52" s="15">
        <f t="shared" si="0"/>
        <v>257</v>
      </c>
      <c r="P52" s="15">
        <f t="shared" si="1"/>
        <v>385</v>
      </c>
      <c r="R52" s="8"/>
      <c r="T52"/>
    </row>
    <row r="53" spans="2:20" ht="23.1" customHeight="1" x14ac:dyDescent="0.25">
      <c r="B53" s="45" t="s">
        <v>80</v>
      </c>
      <c r="C53" s="50">
        <v>130</v>
      </c>
      <c r="D53" s="50">
        <v>65</v>
      </c>
      <c r="E53" s="50">
        <v>39</v>
      </c>
      <c r="F53" s="50">
        <v>73</v>
      </c>
      <c r="G53" s="50">
        <v>5</v>
      </c>
      <c r="H53" s="50">
        <v>1</v>
      </c>
      <c r="I53" s="50">
        <v>20</v>
      </c>
      <c r="J53" s="50">
        <v>17</v>
      </c>
      <c r="K53" s="50">
        <v>1</v>
      </c>
      <c r="L53" s="50">
        <v>27</v>
      </c>
      <c r="M53" s="50">
        <v>133</v>
      </c>
      <c r="N53" s="50">
        <v>0</v>
      </c>
      <c r="O53" s="15">
        <f t="shared" si="0"/>
        <v>378</v>
      </c>
      <c r="P53" s="15">
        <f t="shared" si="1"/>
        <v>511</v>
      </c>
      <c r="R53" s="8"/>
      <c r="T53"/>
    </row>
    <row r="54" spans="2:20" ht="23.1" customHeight="1" x14ac:dyDescent="0.25">
      <c r="B54" s="45" t="s">
        <v>81</v>
      </c>
      <c r="C54" s="50">
        <v>103</v>
      </c>
      <c r="D54" s="50">
        <v>102</v>
      </c>
      <c r="E54" s="50">
        <v>40</v>
      </c>
      <c r="F54" s="50">
        <v>68</v>
      </c>
      <c r="G54" s="50">
        <v>2</v>
      </c>
      <c r="H54" s="50">
        <v>2</v>
      </c>
      <c r="I54" s="50">
        <v>12</v>
      </c>
      <c r="J54" s="50">
        <v>7</v>
      </c>
      <c r="K54" s="50">
        <v>2</v>
      </c>
      <c r="L54" s="50">
        <v>0</v>
      </c>
      <c r="M54" s="50">
        <v>95</v>
      </c>
      <c r="N54" s="50">
        <v>0</v>
      </c>
      <c r="O54" s="15">
        <f t="shared" si="0"/>
        <v>338</v>
      </c>
      <c r="P54" s="15">
        <f t="shared" si="1"/>
        <v>433</v>
      </c>
      <c r="R54" s="8"/>
      <c r="T54"/>
    </row>
    <row r="55" spans="2:20" ht="23.1" customHeight="1" x14ac:dyDescent="0.25">
      <c r="B55" s="45" t="s">
        <v>82</v>
      </c>
      <c r="C55" s="50">
        <v>105</v>
      </c>
      <c r="D55" s="50">
        <v>63</v>
      </c>
      <c r="E55" s="50">
        <v>43</v>
      </c>
      <c r="F55" s="50">
        <v>78</v>
      </c>
      <c r="G55" s="50">
        <v>5</v>
      </c>
      <c r="H55" s="50">
        <v>0</v>
      </c>
      <c r="I55" s="50">
        <v>15</v>
      </c>
      <c r="J55" s="50">
        <v>7</v>
      </c>
      <c r="K55" s="50">
        <v>2</v>
      </c>
      <c r="L55" s="50">
        <v>6</v>
      </c>
      <c r="M55" s="50">
        <v>127</v>
      </c>
      <c r="N55" s="50">
        <v>0</v>
      </c>
      <c r="O55" s="15">
        <f t="shared" si="0"/>
        <v>324</v>
      </c>
      <c r="P55" s="15">
        <f t="shared" si="1"/>
        <v>451</v>
      </c>
      <c r="R55" s="8"/>
      <c r="T55"/>
    </row>
    <row r="56" spans="2:20" ht="23.1" customHeight="1" x14ac:dyDescent="0.25">
      <c r="B56" s="45" t="s">
        <v>83</v>
      </c>
      <c r="C56" s="50">
        <v>103</v>
      </c>
      <c r="D56" s="50">
        <v>33</v>
      </c>
      <c r="E56" s="50">
        <v>40</v>
      </c>
      <c r="F56" s="50">
        <v>59</v>
      </c>
      <c r="G56" s="50">
        <v>7</v>
      </c>
      <c r="H56" s="50">
        <v>0</v>
      </c>
      <c r="I56" s="50">
        <v>12</v>
      </c>
      <c r="J56" s="50">
        <v>13</v>
      </c>
      <c r="K56" s="50">
        <v>1</v>
      </c>
      <c r="L56" s="50">
        <v>7</v>
      </c>
      <c r="M56" s="50">
        <v>94</v>
      </c>
      <c r="N56" s="50">
        <v>0</v>
      </c>
      <c r="O56" s="15">
        <f t="shared" si="0"/>
        <v>275</v>
      </c>
      <c r="P56" s="15">
        <f t="shared" si="1"/>
        <v>369</v>
      </c>
      <c r="R56" s="8"/>
      <c r="T56"/>
    </row>
    <row r="57" spans="2:20" ht="23.1" customHeight="1" x14ac:dyDescent="0.25">
      <c r="B57" s="45" t="s">
        <v>84</v>
      </c>
      <c r="C57" s="50">
        <v>72</v>
      </c>
      <c r="D57" s="50">
        <v>40</v>
      </c>
      <c r="E57" s="50">
        <v>17</v>
      </c>
      <c r="F57" s="50">
        <v>62</v>
      </c>
      <c r="G57" s="50">
        <v>10</v>
      </c>
      <c r="H57" s="50">
        <v>1</v>
      </c>
      <c r="I57" s="50">
        <v>12</v>
      </c>
      <c r="J57" s="50">
        <v>9</v>
      </c>
      <c r="K57" s="50">
        <v>2</v>
      </c>
      <c r="L57" s="50">
        <v>6</v>
      </c>
      <c r="M57" s="50">
        <v>102</v>
      </c>
      <c r="N57" s="50">
        <v>0</v>
      </c>
      <c r="O57" s="15">
        <f t="shared" si="0"/>
        <v>231</v>
      </c>
      <c r="P57" s="15">
        <f t="shared" si="1"/>
        <v>333</v>
      </c>
      <c r="R57" s="8"/>
      <c r="T57"/>
    </row>
    <row r="58" spans="2:20" ht="23.1" customHeight="1" x14ac:dyDescent="0.25">
      <c r="B58" s="45" t="s">
        <v>99</v>
      </c>
      <c r="C58" s="50">
        <v>94</v>
      </c>
      <c r="D58" s="50">
        <v>31</v>
      </c>
      <c r="E58" s="50">
        <v>25</v>
      </c>
      <c r="F58" s="50">
        <v>54</v>
      </c>
      <c r="G58" s="50">
        <v>5</v>
      </c>
      <c r="H58" s="50">
        <v>2</v>
      </c>
      <c r="I58" s="50">
        <v>7</v>
      </c>
      <c r="J58" s="50">
        <v>5</v>
      </c>
      <c r="K58" s="50">
        <v>1</v>
      </c>
      <c r="L58" s="50">
        <v>4</v>
      </c>
      <c r="M58" s="50">
        <v>123</v>
      </c>
      <c r="N58" s="50">
        <v>0</v>
      </c>
      <c r="O58" s="15">
        <f t="shared" si="0"/>
        <v>228</v>
      </c>
      <c r="P58" s="15">
        <f t="shared" si="1"/>
        <v>351</v>
      </c>
      <c r="R58" s="8"/>
      <c r="T58"/>
    </row>
    <row r="59" spans="2:20" ht="23.1" customHeight="1" x14ac:dyDescent="0.25">
      <c r="B59" s="45" t="s">
        <v>100</v>
      </c>
      <c r="C59" s="50">
        <v>108</v>
      </c>
      <c r="D59" s="50">
        <v>10</v>
      </c>
      <c r="E59" s="50">
        <v>20</v>
      </c>
      <c r="F59" s="50">
        <v>65</v>
      </c>
      <c r="G59" s="50">
        <v>6</v>
      </c>
      <c r="H59" s="50">
        <v>1</v>
      </c>
      <c r="I59" s="50">
        <v>2</v>
      </c>
      <c r="J59" s="50">
        <v>2</v>
      </c>
      <c r="K59" s="50">
        <v>1</v>
      </c>
      <c r="L59" s="50">
        <v>6</v>
      </c>
      <c r="M59" s="50">
        <v>122</v>
      </c>
      <c r="N59" s="50">
        <v>0</v>
      </c>
      <c r="O59" s="15">
        <f t="shared" si="0"/>
        <v>221</v>
      </c>
      <c r="P59" s="15">
        <f t="shared" si="1"/>
        <v>343</v>
      </c>
      <c r="R59" s="8"/>
      <c r="T59"/>
    </row>
    <row r="60" spans="2:20" ht="23.1" customHeight="1" x14ac:dyDescent="0.25">
      <c r="B60" s="45" t="s">
        <v>101</v>
      </c>
      <c r="C60" s="50">
        <v>82</v>
      </c>
      <c r="D60" s="50">
        <v>58</v>
      </c>
      <c r="E60" s="50">
        <v>27</v>
      </c>
      <c r="F60" s="50">
        <v>47</v>
      </c>
      <c r="G60" s="50">
        <v>2</v>
      </c>
      <c r="H60" s="50">
        <v>0</v>
      </c>
      <c r="I60" s="50">
        <v>2</v>
      </c>
      <c r="J60" s="50">
        <v>6</v>
      </c>
      <c r="K60" s="50">
        <v>6</v>
      </c>
      <c r="L60" s="50">
        <v>2</v>
      </c>
      <c r="M60" s="50">
        <v>103</v>
      </c>
      <c r="N60" s="50">
        <v>0</v>
      </c>
      <c r="O60" s="15">
        <f t="shared" si="0"/>
        <v>232</v>
      </c>
      <c r="P60" s="15">
        <f t="shared" si="1"/>
        <v>335</v>
      </c>
      <c r="R60" s="8"/>
      <c r="T60"/>
    </row>
    <row r="61" spans="2:20" ht="23.1" customHeight="1" x14ac:dyDescent="0.25">
      <c r="B61" s="45" t="s">
        <v>102</v>
      </c>
      <c r="C61" s="50">
        <v>85</v>
      </c>
      <c r="D61" s="50">
        <v>63</v>
      </c>
      <c r="E61" s="50">
        <v>24</v>
      </c>
      <c r="F61" s="50">
        <v>52</v>
      </c>
      <c r="G61" s="50">
        <v>0</v>
      </c>
      <c r="H61" s="50">
        <v>0</v>
      </c>
      <c r="I61" s="50">
        <v>6</v>
      </c>
      <c r="J61" s="50">
        <v>2</v>
      </c>
      <c r="K61" s="50">
        <v>6</v>
      </c>
      <c r="L61" s="50">
        <v>3</v>
      </c>
      <c r="M61" s="50">
        <v>101</v>
      </c>
      <c r="N61" s="50">
        <v>0</v>
      </c>
      <c r="O61" s="15">
        <f t="shared" si="0"/>
        <v>241</v>
      </c>
      <c r="P61" s="15">
        <f t="shared" si="1"/>
        <v>342</v>
      </c>
      <c r="R61" s="8"/>
      <c r="T61"/>
    </row>
    <row r="62" spans="2:20" ht="23.1" customHeight="1" x14ac:dyDescent="0.25">
      <c r="B62" s="45" t="s">
        <v>107</v>
      </c>
      <c r="C62" s="50">
        <v>97</v>
      </c>
      <c r="D62" s="50">
        <v>28</v>
      </c>
      <c r="E62" s="50">
        <v>8</v>
      </c>
      <c r="F62" s="50">
        <v>52</v>
      </c>
      <c r="G62" s="50">
        <v>0</v>
      </c>
      <c r="H62" s="50">
        <v>0</v>
      </c>
      <c r="I62" s="50">
        <v>3</v>
      </c>
      <c r="J62" s="50">
        <v>0</v>
      </c>
      <c r="K62" s="50">
        <v>7</v>
      </c>
      <c r="L62" s="50">
        <v>0</v>
      </c>
      <c r="M62" s="50">
        <v>104</v>
      </c>
      <c r="N62" s="50">
        <v>0</v>
      </c>
      <c r="O62" s="15">
        <f t="shared" si="0"/>
        <v>195</v>
      </c>
      <c r="P62" s="15">
        <f t="shared" si="1"/>
        <v>299</v>
      </c>
      <c r="R62" s="8"/>
      <c r="T62"/>
    </row>
    <row r="63" spans="2:20" ht="23.1" customHeight="1" x14ac:dyDescent="0.25">
      <c r="B63" s="45" t="s">
        <v>108</v>
      </c>
      <c r="C63" s="50">
        <v>63</v>
      </c>
      <c r="D63" s="50">
        <v>16</v>
      </c>
      <c r="E63" s="50">
        <v>6</v>
      </c>
      <c r="F63" s="50">
        <v>47</v>
      </c>
      <c r="G63" s="50">
        <v>0</v>
      </c>
      <c r="H63" s="50">
        <v>0</v>
      </c>
      <c r="I63" s="50">
        <v>17</v>
      </c>
      <c r="J63" s="50">
        <v>7</v>
      </c>
      <c r="K63" s="50">
        <v>3</v>
      </c>
      <c r="L63" s="50">
        <v>0</v>
      </c>
      <c r="M63" s="50">
        <v>77</v>
      </c>
      <c r="N63" s="50">
        <v>0</v>
      </c>
      <c r="O63" s="15">
        <f t="shared" si="0"/>
        <v>159</v>
      </c>
      <c r="P63" s="15">
        <f t="shared" si="1"/>
        <v>236</v>
      </c>
      <c r="R63" s="8"/>
      <c r="T63"/>
    </row>
    <row r="64" spans="2:20" ht="23.1" customHeight="1" x14ac:dyDescent="0.25">
      <c r="B64" s="45" t="s">
        <v>109</v>
      </c>
      <c r="C64" s="50">
        <v>62</v>
      </c>
      <c r="D64" s="50">
        <v>40</v>
      </c>
      <c r="E64" s="50">
        <v>42</v>
      </c>
      <c r="F64" s="50">
        <v>65</v>
      </c>
      <c r="G64" s="50">
        <v>2</v>
      </c>
      <c r="H64" s="50">
        <v>0</v>
      </c>
      <c r="I64" s="50">
        <v>14</v>
      </c>
      <c r="J64" s="50">
        <v>12</v>
      </c>
      <c r="K64" s="50">
        <v>8</v>
      </c>
      <c r="L64" s="50">
        <v>6</v>
      </c>
      <c r="M64" s="50">
        <v>63</v>
      </c>
      <c r="N64" s="50">
        <v>0</v>
      </c>
      <c r="O64" s="15">
        <f t="shared" si="0"/>
        <v>251</v>
      </c>
      <c r="P64" s="15">
        <f t="shared" si="1"/>
        <v>314</v>
      </c>
      <c r="R64" s="8"/>
      <c r="T64"/>
    </row>
    <row r="65" spans="2:20" ht="23.1" customHeight="1" x14ac:dyDescent="0.25">
      <c r="B65" s="45" t="s">
        <v>158</v>
      </c>
      <c r="C65" s="50">
        <v>50</v>
      </c>
      <c r="D65" s="50">
        <v>23</v>
      </c>
      <c r="E65" s="50">
        <v>40</v>
      </c>
      <c r="F65" s="50">
        <v>5</v>
      </c>
      <c r="G65" s="50">
        <v>0</v>
      </c>
      <c r="H65" s="50">
        <v>0</v>
      </c>
      <c r="I65" s="50">
        <v>9</v>
      </c>
      <c r="J65" s="50">
        <v>20</v>
      </c>
      <c r="K65" s="50">
        <v>23</v>
      </c>
      <c r="L65" s="50">
        <v>13</v>
      </c>
      <c r="M65" s="50">
        <v>78</v>
      </c>
      <c r="N65" s="50">
        <v>0</v>
      </c>
      <c r="O65" s="15">
        <f t="shared" si="0"/>
        <v>183</v>
      </c>
      <c r="P65" s="15">
        <f t="shared" si="1"/>
        <v>261</v>
      </c>
      <c r="R65" s="8"/>
      <c r="T65"/>
    </row>
    <row r="66" spans="2:20" ht="23.1" customHeight="1" x14ac:dyDescent="0.25">
      <c r="B66" s="45" t="s">
        <v>103</v>
      </c>
      <c r="C66" s="50">
        <v>72</v>
      </c>
      <c r="D66" s="50">
        <v>25</v>
      </c>
      <c r="E66" s="50">
        <v>26</v>
      </c>
      <c r="F66" s="50">
        <v>92</v>
      </c>
      <c r="G66" s="50">
        <v>6</v>
      </c>
      <c r="H66" s="50">
        <v>1</v>
      </c>
      <c r="I66" s="50">
        <v>9</v>
      </c>
      <c r="J66" s="50">
        <v>2</v>
      </c>
      <c r="K66" s="50">
        <v>7</v>
      </c>
      <c r="L66" s="50">
        <v>3</v>
      </c>
      <c r="M66" s="50">
        <v>106</v>
      </c>
      <c r="N66" s="50">
        <v>0</v>
      </c>
      <c r="O66" s="15">
        <f t="shared" si="0"/>
        <v>243</v>
      </c>
      <c r="P66" s="15">
        <f t="shared" si="1"/>
        <v>349</v>
      </c>
      <c r="R66" s="8"/>
      <c r="T66"/>
    </row>
    <row r="67" spans="2:20" ht="23.1" customHeight="1" x14ac:dyDescent="0.25">
      <c r="B67" s="45" t="s">
        <v>104</v>
      </c>
      <c r="C67" s="50">
        <v>54</v>
      </c>
      <c r="D67" s="50">
        <v>21</v>
      </c>
      <c r="E67" s="50">
        <v>14</v>
      </c>
      <c r="F67" s="50">
        <v>62</v>
      </c>
      <c r="G67" s="50">
        <v>1</v>
      </c>
      <c r="H67" s="50">
        <v>0</v>
      </c>
      <c r="I67" s="50">
        <v>3</v>
      </c>
      <c r="J67" s="50">
        <v>3</v>
      </c>
      <c r="K67" s="50">
        <v>4</v>
      </c>
      <c r="L67" s="50">
        <v>5</v>
      </c>
      <c r="M67" s="50">
        <v>103</v>
      </c>
      <c r="N67" s="50">
        <v>0</v>
      </c>
      <c r="O67" s="15">
        <f t="shared" si="0"/>
        <v>167</v>
      </c>
      <c r="P67" s="15">
        <f t="shared" si="1"/>
        <v>270</v>
      </c>
      <c r="R67" s="8"/>
      <c r="T67"/>
    </row>
    <row r="68" spans="2:20" ht="23.1" customHeight="1" x14ac:dyDescent="0.25">
      <c r="B68" s="45" t="s">
        <v>105</v>
      </c>
      <c r="C68" s="50">
        <v>38</v>
      </c>
      <c r="D68" s="50">
        <v>20</v>
      </c>
      <c r="E68" s="50">
        <v>10</v>
      </c>
      <c r="F68" s="50">
        <v>59</v>
      </c>
      <c r="G68" s="50">
        <v>0</v>
      </c>
      <c r="H68" s="50">
        <v>0</v>
      </c>
      <c r="I68" s="50">
        <v>6</v>
      </c>
      <c r="J68" s="50">
        <v>1</v>
      </c>
      <c r="K68" s="50">
        <v>3</v>
      </c>
      <c r="L68" s="50">
        <v>1</v>
      </c>
      <c r="M68" s="50">
        <v>95</v>
      </c>
      <c r="N68" s="50">
        <v>0</v>
      </c>
      <c r="O68" s="15">
        <f t="shared" si="0"/>
        <v>138</v>
      </c>
      <c r="P68" s="15">
        <f t="shared" si="1"/>
        <v>233</v>
      </c>
      <c r="R68" s="8"/>
      <c r="T68"/>
    </row>
    <row r="69" spans="2:20" ht="23.1" customHeight="1" x14ac:dyDescent="0.25">
      <c r="B69" s="45" t="s">
        <v>106</v>
      </c>
      <c r="C69" s="50">
        <v>88</v>
      </c>
      <c r="D69" s="50">
        <v>28</v>
      </c>
      <c r="E69" s="50">
        <v>9</v>
      </c>
      <c r="F69" s="50">
        <v>30</v>
      </c>
      <c r="G69" s="50">
        <v>1</v>
      </c>
      <c r="H69" s="50">
        <v>0</v>
      </c>
      <c r="I69" s="50">
        <v>10</v>
      </c>
      <c r="J69" s="50">
        <v>8</v>
      </c>
      <c r="K69" s="50">
        <v>2</v>
      </c>
      <c r="L69" s="50">
        <v>2</v>
      </c>
      <c r="M69" s="50">
        <v>124</v>
      </c>
      <c r="N69" s="50">
        <v>0</v>
      </c>
      <c r="O69" s="15">
        <f t="shared" si="0"/>
        <v>178</v>
      </c>
      <c r="P69" s="15">
        <f t="shared" si="1"/>
        <v>302</v>
      </c>
      <c r="R69" s="8"/>
      <c r="T69"/>
    </row>
    <row r="70" spans="2:20" ht="23.1" customHeight="1" x14ac:dyDescent="0.25">
      <c r="B70" s="45" t="s">
        <v>110</v>
      </c>
      <c r="C70" s="50">
        <v>38</v>
      </c>
      <c r="D70" s="50">
        <v>23</v>
      </c>
      <c r="E70" s="50">
        <v>7</v>
      </c>
      <c r="F70" s="50">
        <v>54</v>
      </c>
      <c r="G70" s="50">
        <v>0</v>
      </c>
      <c r="H70" s="50">
        <v>0</v>
      </c>
      <c r="I70" s="50">
        <v>11</v>
      </c>
      <c r="J70" s="50">
        <v>4</v>
      </c>
      <c r="K70" s="50">
        <v>2</v>
      </c>
      <c r="L70" s="50">
        <v>1</v>
      </c>
      <c r="M70" s="50">
        <v>104</v>
      </c>
      <c r="N70" s="50">
        <v>0</v>
      </c>
      <c r="O70" s="15">
        <f t="shared" si="0"/>
        <v>140</v>
      </c>
      <c r="P70" s="15">
        <f t="shared" si="1"/>
        <v>244</v>
      </c>
      <c r="R70" s="8"/>
      <c r="T70"/>
    </row>
    <row r="71" spans="2:20" ht="23.1" customHeight="1" x14ac:dyDescent="0.25">
      <c r="B71" s="45" t="s">
        <v>111</v>
      </c>
      <c r="C71" s="50">
        <v>52</v>
      </c>
      <c r="D71" s="50">
        <v>15</v>
      </c>
      <c r="E71" s="50">
        <v>13</v>
      </c>
      <c r="F71" s="50">
        <v>45</v>
      </c>
      <c r="G71" s="50">
        <v>0</v>
      </c>
      <c r="H71" s="50">
        <v>0</v>
      </c>
      <c r="I71" s="50">
        <v>7</v>
      </c>
      <c r="J71" s="50">
        <v>9</v>
      </c>
      <c r="K71" s="50">
        <v>3</v>
      </c>
      <c r="L71" s="50">
        <v>3</v>
      </c>
      <c r="M71" s="50">
        <v>89</v>
      </c>
      <c r="N71" s="50">
        <v>0</v>
      </c>
      <c r="O71" s="15">
        <f t="shared" si="0"/>
        <v>147</v>
      </c>
      <c r="P71" s="15">
        <f t="shared" si="1"/>
        <v>236</v>
      </c>
      <c r="R71" s="8"/>
      <c r="T71"/>
    </row>
    <row r="72" spans="2:20" ht="23.1" customHeight="1" x14ac:dyDescent="0.25">
      <c r="B72" s="45" t="s">
        <v>112</v>
      </c>
      <c r="C72" s="50">
        <v>19</v>
      </c>
      <c r="D72" s="50">
        <v>3</v>
      </c>
      <c r="E72" s="50">
        <v>3</v>
      </c>
      <c r="F72" s="50">
        <v>6</v>
      </c>
      <c r="G72" s="50">
        <v>0</v>
      </c>
      <c r="H72" s="50">
        <v>0</v>
      </c>
      <c r="I72" s="50">
        <v>3</v>
      </c>
      <c r="J72" s="50">
        <v>4</v>
      </c>
      <c r="K72" s="50">
        <v>4</v>
      </c>
      <c r="L72" s="50">
        <v>0</v>
      </c>
      <c r="M72" s="50">
        <v>58</v>
      </c>
      <c r="N72" s="50">
        <v>0</v>
      </c>
      <c r="O72" s="15">
        <f t="shared" si="0"/>
        <v>42</v>
      </c>
      <c r="P72" s="15">
        <f t="shared" si="1"/>
        <v>100</v>
      </c>
      <c r="R72" s="8"/>
      <c r="T72"/>
    </row>
    <row r="73" spans="2:20" ht="23.1" customHeight="1" x14ac:dyDescent="0.25">
      <c r="B73" s="45" t="s">
        <v>113</v>
      </c>
      <c r="C73" s="50">
        <v>48</v>
      </c>
      <c r="D73" s="50">
        <v>19</v>
      </c>
      <c r="E73" s="50">
        <v>15</v>
      </c>
      <c r="F73" s="50">
        <v>24</v>
      </c>
      <c r="G73" s="50">
        <v>0</v>
      </c>
      <c r="H73" s="50">
        <v>0</v>
      </c>
      <c r="I73" s="50">
        <v>9</v>
      </c>
      <c r="J73" s="50">
        <v>12</v>
      </c>
      <c r="K73" s="50">
        <v>0</v>
      </c>
      <c r="L73" s="50">
        <v>7</v>
      </c>
      <c r="M73" s="50">
        <v>73</v>
      </c>
      <c r="N73" s="50">
        <v>0</v>
      </c>
      <c r="O73" s="15">
        <f t="shared" si="0"/>
        <v>134</v>
      </c>
      <c r="P73" s="15">
        <f t="shared" si="1"/>
        <v>207</v>
      </c>
      <c r="R73" s="8"/>
      <c r="T73"/>
    </row>
    <row r="74" spans="2:20" ht="23.1" customHeight="1" x14ac:dyDescent="0.25">
      <c r="B74" s="45" t="s">
        <v>114</v>
      </c>
      <c r="C74" s="50">
        <v>50</v>
      </c>
      <c r="D74" s="50">
        <v>7</v>
      </c>
      <c r="E74" s="50">
        <v>3</v>
      </c>
      <c r="F74" s="50">
        <v>14</v>
      </c>
      <c r="G74" s="50">
        <v>0</v>
      </c>
      <c r="H74" s="50">
        <v>1</v>
      </c>
      <c r="I74" s="50">
        <v>7</v>
      </c>
      <c r="J74" s="50">
        <v>6</v>
      </c>
      <c r="K74" s="50">
        <v>3</v>
      </c>
      <c r="L74" s="50">
        <v>0</v>
      </c>
      <c r="M74" s="50">
        <v>70</v>
      </c>
      <c r="N74" s="50">
        <v>0</v>
      </c>
      <c r="O74" s="15">
        <f t="shared" ref="O74:O105" si="35">SUM(C74:L74,N74)</f>
        <v>91</v>
      </c>
      <c r="P74" s="15">
        <f t="shared" ref="P74:P105" si="36">SUM(C74:N74)</f>
        <v>161</v>
      </c>
      <c r="R74" s="8"/>
      <c r="T74"/>
    </row>
    <row r="75" spans="2:20" ht="23.1" customHeight="1" x14ac:dyDescent="0.25">
      <c r="B75" s="45" t="s">
        <v>115</v>
      </c>
      <c r="C75" s="50">
        <v>72</v>
      </c>
      <c r="D75" s="50">
        <v>8</v>
      </c>
      <c r="E75" s="50">
        <v>10</v>
      </c>
      <c r="F75" s="50">
        <v>12</v>
      </c>
      <c r="G75" s="50">
        <v>1</v>
      </c>
      <c r="H75" s="50">
        <v>0</v>
      </c>
      <c r="I75" s="50">
        <v>14</v>
      </c>
      <c r="J75" s="50">
        <v>7</v>
      </c>
      <c r="K75" s="50">
        <v>4</v>
      </c>
      <c r="L75" s="50">
        <v>4</v>
      </c>
      <c r="M75" s="50">
        <v>59</v>
      </c>
      <c r="N75" s="50">
        <v>0</v>
      </c>
      <c r="O75" s="15">
        <f t="shared" si="35"/>
        <v>132</v>
      </c>
      <c r="P75" s="15">
        <f t="shared" si="36"/>
        <v>191</v>
      </c>
      <c r="R75" s="8"/>
      <c r="T75"/>
    </row>
    <row r="76" spans="2:20" ht="23.1" customHeight="1" x14ac:dyDescent="0.25">
      <c r="B76" s="45" t="s">
        <v>116</v>
      </c>
      <c r="C76" s="50">
        <v>63</v>
      </c>
      <c r="D76" s="50">
        <v>13</v>
      </c>
      <c r="E76" s="50">
        <v>2</v>
      </c>
      <c r="F76" s="50">
        <v>5</v>
      </c>
      <c r="G76" s="50">
        <v>0</v>
      </c>
      <c r="H76" s="50">
        <v>0</v>
      </c>
      <c r="I76" s="50">
        <v>12</v>
      </c>
      <c r="J76" s="50">
        <v>17</v>
      </c>
      <c r="K76" s="50">
        <v>2</v>
      </c>
      <c r="L76" s="50">
        <v>0</v>
      </c>
      <c r="M76" s="50">
        <v>88</v>
      </c>
      <c r="N76" s="50">
        <v>0</v>
      </c>
      <c r="O76" s="15">
        <f t="shared" si="35"/>
        <v>114</v>
      </c>
      <c r="P76" s="15">
        <f t="shared" si="36"/>
        <v>202</v>
      </c>
      <c r="R76" s="8"/>
      <c r="T76"/>
    </row>
    <row r="77" spans="2:20" ht="23.1" customHeight="1" x14ac:dyDescent="0.25">
      <c r="B77" s="45" t="s">
        <v>117</v>
      </c>
      <c r="C77" s="50">
        <v>40</v>
      </c>
      <c r="D77" s="50">
        <v>10</v>
      </c>
      <c r="E77" s="50">
        <v>12</v>
      </c>
      <c r="F77" s="50">
        <v>3</v>
      </c>
      <c r="G77" s="50">
        <v>0</v>
      </c>
      <c r="H77" s="50">
        <v>0</v>
      </c>
      <c r="I77" s="50">
        <v>17</v>
      </c>
      <c r="J77" s="50">
        <v>21</v>
      </c>
      <c r="K77" s="50">
        <v>11</v>
      </c>
      <c r="L77" s="50">
        <v>2</v>
      </c>
      <c r="M77" s="50">
        <v>43</v>
      </c>
      <c r="N77" s="50">
        <v>0</v>
      </c>
      <c r="O77" s="15">
        <f t="shared" si="35"/>
        <v>116</v>
      </c>
      <c r="P77" s="15">
        <f t="shared" si="36"/>
        <v>159</v>
      </c>
      <c r="R77" s="8"/>
      <c r="T77"/>
    </row>
    <row r="78" spans="2:20" ht="23.1" customHeight="1" x14ac:dyDescent="0.25">
      <c r="B78" s="46" t="s">
        <v>118</v>
      </c>
      <c r="C78" s="50">
        <v>31</v>
      </c>
      <c r="D78" s="50">
        <v>2</v>
      </c>
      <c r="E78" s="50">
        <v>3</v>
      </c>
      <c r="F78" s="50">
        <v>4</v>
      </c>
      <c r="G78" s="50">
        <v>3</v>
      </c>
      <c r="H78" s="50">
        <v>0</v>
      </c>
      <c r="I78" s="50">
        <v>4</v>
      </c>
      <c r="J78" s="50">
        <v>4</v>
      </c>
      <c r="K78" s="50">
        <v>2</v>
      </c>
      <c r="L78" s="50">
        <v>6</v>
      </c>
      <c r="M78" s="50">
        <v>30</v>
      </c>
      <c r="N78" s="50">
        <v>0</v>
      </c>
      <c r="O78" s="15">
        <f t="shared" si="35"/>
        <v>59</v>
      </c>
      <c r="P78" s="15">
        <f t="shared" si="36"/>
        <v>89</v>
      </c>
      <c r="R78" s="8"/>
      <c r="T78"/>
    </row>
    <row r="79" spans="2:20" ht="23.1" customHeight="1" x14ac:dyDescent="0.25">
      <c r="B79" s="45" t="s">
        <v>119</v>
      </c>
      <c r="C79" s="50">
        <v>34</v>
      </c>
      <c r="D79" s="50">
        <v>8</v>
      </c>
      <c r="E79" s="50">
        <v>4</v>
      </c>
      <c r="F79" s="50">
        <v>8</v>
      </c>
      <c r="G79" s="50">
        <v>1</v>
      </c>
      <c r="H79" s="50">
        <v>0</v>
      </c>
      <c r="I79" s="50">
        <v>9</v>
      </c>
      <c r="J79" s="50">
        <v>6</v>
      </c>
      <c r="K79" s="50">
        <v>0</v>
      </c>
      <c r="L79" s="50">
        <v>5</v>
      </c>
      <c r="M79" s="50">
        <v>54</v>
      </c>
      <c r="N79" s="50">
        <v>0</v>
      </c>
      <c r="O79" s="15">
        <f t="shared" si="35"/>
        <v>75</v>
      </c>
      <c r="P79" s="15">
        <f t="shared" si="36"/>
        <v>129</v>
      </c>
      <c r="R79" s="8"/>
      <c r="T79"/>
    </row>
    <row r="80" spans="2:20" ht="23.1" customHeight="1" x14ac:dyDescent="0.25">
      <c r="B80" s="47" t="s">
        <v>120</v>
      </c>
      <c r="C80" s="50">
        <v>8</v>
      </c>
      <c r="D80" s="50">
        <v>4</v>
      </c>
      <c r="E80" s="50">
        <v>3</v>
      </c>
      <c r="F80" s="50">
        <v>3</v>
      </c>
      <c r="G80" s="50">
        <v>0</v>
      </c>
      <c r="H80" s="50">
        <v>0</v>
      </c>
      <c r="I80" s="50">
        <v>4</v>
      </c>
      <c r="J80" s="50">
        <v>5</v>
      </c>
      <c r="K80" s="50">
        <v>0</v>
      </c>
      <c r="L80" s="50">
        <v>1</v>
      </c>
      <c r="M80" s="50">
        <v>12</v>
      </c>
      <c r="N80" s="50">
        <v>0</v>
      </c>
      <c r="O80" s="15">
        <f t="shared" si="35"/>
        <v>28</v>
      </c>
      <c r="P80" s="15">
        <f t="shared" si="36"/>
        <v>40</v>
      </c>
      <c r="R80" s="8"/>
      <c r="T80"/>
    </row>
    <row r="81" spans="2:20" ht="23.1" customHeight="1" x14ac:dyDescent="0.25">
      <c r="B81" s="45" t="s">
        <v>121</v>
      </c>
      <c r="C81" s="50">
        <v>9</v>
      </c>
      <c r="D81" s="50">
        <v>1</v>
      </c>
      <c r="E81" s="50">
        <v>1</v>
      </c>
      <c r="F81" s="50">
        <v>0</v>
      </c>
      <c r="G81" s="50">
        <v>0</v>
      </c>
      <c r="H81" s="50">
        <v>0</v>
      </c>
      <c r="I81" s="50">
        <v>9</v>
      </c>
      <c r="J81" s="50">
        <v>6</v>
      </c>
      <c r="K81" s="50">
        <v>3</v>
      </c>
      <c r="L81" s="50">
        <v>3</v>
      </c>
      <c r="M81" s="50">
        <v>12</v>
      </c>
      <c r="N81" s="50">
        <v>0</v>
      </c>
      <c r="O81" s="15">
        <f t="shared" si="35"/>
        <v>32</v>
      </c>
      <c r="P81" s="15">
        <f t="shared" si="36"/>
        <v>44</v>
      </c>
      <c r="R81" s="8"/>
      <c r="T81"/>
    </row>
    <row r="82" spans="2:20" ht="23.1" customHeight="1" x14ac:dyDescent="0.25">
      <c r="B82" s="46" t="s">
        <v>122</v>
      </c>
      <c r="C82" s="50">
        <v>11</v>
      </c>
      <c r="D82" s="50">
        <v>8</v>
      </c>
      <c r="E82" s="50">
        <v>0</v>
      </c>
      <c r="F82" s="50">
        <v>5</v>
      </c>
      <c r="G82" s="50">
        <v>0</v>
      </c>
      <c r="H82" s="50">
        <v>0</v>
      </c>
      <c r="I82" s="50">
        <v>12</v>
      </c>
      <c r="J82" s="50">
        <v>11</v>
      </c>
      <c r="K82" s="50">
        <v>3</v>
      </c>
      <c r="L82" s="50">
        <v>0</v>
      </c>
      <c r="M82" s="50">
        <v>17</v>
      </c>
      <c r="N82" s="50">
        <v>0</v>
      </c>
      <c r="O82" s="15">
        <f t="shared" si="35"/>
        <v>50</v>
      </c>
      <c r="P82" s="15">
        <f t="shared" si="36"/>
        <v>67</v>
      </c>
      <c r="R82" s="8"/>
      <c r="T82"/>
    </row>
    <row r="83" spans="2:20" ht="23.1" customHeight="1" x14ac:dyDescent="0.25">
      <c r="B83" s="45" t="s">
        <v>123</v>
      </c>
      <c r="C83" s="50">
        <v>4</v>
      </c>
      <c r="D83" s="50">
        <v>1</v>
      </c>
      <c r="E83" s="50">
        <v>0</v>
      </c>
      <c r="F83" s="50">
        <v>3</v>
      </c>
      <c r="G83" s="50">
        <v>0</v>
      </c>
      <c r="H83" s="50">
        <v>0</v>
      </c>
      <c r="I83" s="50">
        <v>6</v>
      </c>
      <c r="J83" s="50">
        <v>6</v>
      </c>
      <c r="K83" s="50">
        <v>1</v>
      </c>
      <c r="L83" s="50">
        <v>4</v>
      </c>
      <c r="M83" s="50">
        <v>17</v>
      </c>
      <c r="N83" s="50">
        <v>0</v>
      </c>
      <c r="O83" s="15">
        <f t="shared" si="35"/>
        <v>25</v>
      </c>
      <c r="P83" s="15">
        <f t="shared" si="36"/>
        <v>42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2</v>
      </c>
      <c r="E84" s="50">
        <v>1</v>
      </c>
      <c r="F84" s="50">
        <v>1</v>
      </c>
      <c r="G84" s="50">
        <v>0</v>
      </c>
      <c r="H84" s="50">
        <v>0</v>
      </c>
      <c r="I84" s="50">
        <v>4</v>
      </c>
      <c r="J84" s="50">
        <v>3</v>
      </c>
      <c r="K84" s="50">
        <v>1</v>
      </c>
      <c r="L84" s="50">
        <v>0</v>
      </c>
      <c r="M84" s="50">
        <v>10</v>
      </c>
      <c r="N84" s="50">
        <v>0</v>
      </c>
      <c r="O84" s="15">
        <f t="shared" si="35"/>
        <v>16</v>
      </c>
      <c r="P84" s="15">
        <f t="shared" si="36"/>
        <v>26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1</v>
      </c>
      <c r="F85" s="50">
        <v>1</v>
      </c>
      <c r="G85" s="50">
        <v>0</v>
      </c>
      <c r="H85" s="50">
        <v>0</v>
      </c>
      <c r="I85" s="50">
        <v>2</v>
      </c>
      <c r="J85" s="50">
        <v>12</v>
      </c>
      <c r="K85" s="50">
        <v>8</v>
      </c>
      <c r="L85" s="50">
        <v>2</v>
      </c>
      <c r="M85" s="50">
        <v>9</v>
      </c>
      <c r="N85" s="50">
        <v>0</v>
      </c>
      <c r="O85" s="15">
        <f t="shared" si="35"/>
        <v>30</v>
      </c>
      <c r="P85" s="15">
        <f t="shared" si="36"/>
        <v>39</v>
      </c>
      <c r="R85" s="8"/>
      <c r="T85"/>
    </row>
    <row r="86" spans="2:20" ht="23.1" customHeight="1" x14ac:dyDescent="0.25">
      <c r="B86" s="46" t="s">
        <v>126</v>
      </c>
      <c r="C86" s="50">
        <v>7</v>
      </c>
      <c r="D86" s="50">
        <v>3</v>
      </c>
      <c r="E86" s="50">
        <v>4</v>
      </c>
      <c r="F86" s="50">
        <v>2</v>
      </c>
      <c r="G86" s="50">
        <v>0</v>
      </c>
      <c r="H86" s="50">
        <v>0</v>
      </c>
      <c r="I86" s="50">
        <v>4</v>
      </c>
      <c r="J86" s="50">
        <v>17</v>
      </c>
      <c r="K86" s="50">
        <v>4</v>
      </c>
      <c r="L86" s="50">
        <v>0</v>
      </c>
      <c r="M86" s="50">
        <v>7</v>
      </c>
      <c r="N86" s="50">
        <v>0</v>
      </c>
      <c r="O86" s="15">
        <f t="shared" si="35"/>
        <v>41</v>
      </c>
      <c r="P86" s="15">
        <f t="shared" si="36"/>
        <v>48</v>
      </c>
      <c r="R86" s="8"/>
      <c r="T86"/>
    </row>
    <row r="87" spans="2:20" ht="23.1" customHeight="1" x14ac:dyDescent="0.25">
      <c r="B87" s="45" t="s">
        <v>127</v>
      </c>
      <c r="C87" s="50">
        <v>4</v>
      </c>
      <c r="D87" s="50">
        <v>2</v>
      </c>
      <c r="E87" s="50">
        <v>4</v>
      </c>
      <c r="F87" s="50">
        <v>0</v>
      </c>
      <c r="G87" s="50">
        <v>0</v>
      </c>
      <c r="H87" s="50">
        <v>0</v>
      </c>
      <c r="I87" s="50">
        <v>4</v>
      </c>
      <c r="J87" s="50">
        <v>1</v>
      </c>
      <c r="K87" s="50">
        <v>0</v>
      </c>
      <c r="L87" s="50">
        <v>3</v>
      </c>
      <c r="M87" s="50">
        <v>11</v>
      </c>
      <c r="N87" s="50">
        <v>0</v>
      </c>
      <c r="O87" s="15">
        <f t="shared" si="35"/>
        <v>18</v>
      </c>
      <c r="P87" s="15">
        <f t="shared" si="36"/>
        <v>29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4</v>
      </c>
      <c r="G88" s="50">
        <v>0</v>
      </c>
      <c r="H88" s="50">
        <v>0</v>
      </c>
      <c r="I88" s="50">
        <v>4</v>
      </c>
      <c r="J88" s="50">
        <v>8</v>
      </c>
      <c r="K88" s="50">
        <v>1</v>
      </c>
      <c r="L88" s="50">
        <v>2</v>
      </c>
      <c r="M88" s="50">
        <v>12</v>
      </c>
      <c r="N88" s="50">
        <v>0</v>
      </c>
      <c r="O88" s="15">
        <f t="shared" si="35"/>
        <v>21</v>
      </c>
      <c r="P88" s="15">
        <f t="shared" si="36"/>
        <v>33</v>
      </c>
      <c r="R88" s="8"/>
      <c r="T88"/>
    </row>
    <row r="89" spans="2:20" ht="23.1" customHeight="1" x14ac:dyDescent="0.25">
      <c r="B89" s="45" t="s">
        <v>129</v>
      </c>
      <c r="C89" s="50">
        <v>8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8</v>
      </c>
      <c r="J89" s="50">
        <v>4</v>
      </c>
      <c r="K89" s="50">
        <v>0</v>
      </c>
      <c r="L89" s="50">
        <v>4</v>
      </c>
      <c r="M89" s="50">
        <v>13</v>
      </c>
      <c r="N89" s="50">
        <v>0</v>
      </c>
      <c r="O89" s="15">
        <f t="shared" si="35"/>
        <v>25</v>
      </c>
      <c r="P89" s="15">
        <f t="shared" si="36"/>
        <v>38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3</v>
      </c>
      <c r="E90" s="50">
        <v>2</v>
      </c>
      <c r="F90" s="50">
        <v>2</v>
      </c>
      <c r="G90" s="50">
        <v>0</v>
      </c>
      <c r="H90" s="50">
        <v>0</v>
      </c>
      <c r="I90" s="50">
        <v>6</v>
      </c>
      <c r="J90" s="50">
        <v>7</v>
      </c>
      <c r="K90" s="50">
        <v>0</v>
      </c>
      <c r="L90" s="50">
        <v>0</v>
      </c>
      <c r="M90" s="50">
        <v>9</v>
      </c>
      <c r="N90" s="50">
        <v>0</v>
      </c>
      <c r="O90" s="15">
        <f t="shared" si="35"/>
        <v>24</v>
      </c>
      <c r="P90" s="15">
        <f t="shared" si="36"/>
        <v>33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2</v>
      </c>
      <c r="E91" s="50">
        <v>0</v>
      </c>
      <c r="F91" s="50">
        <v>2</v>
      </c>
      <c r="G91" s="50">
        <v>0</v>
      </c>
      <c r="H91" s="50">
        <v>0</v>
      </c>
      <c r="I91" s="50">
        <v>2</v>
      </c>
      <c r="J91" s="50">
        <v>3</v>
      </c>
      <c r="K91" s="50">
        <v>5</v>
      </c>
      <c r="L91" s="50">
        <v>0</v>
      </c>
      <c r="M91" s="50">
        <v>7</v>
      </c>
      <c r="N91" s="50">
        <v>0</v>
      </c>
      <c r="O91" s="15">
        <f t="shared" si="35"/>
        <v>20</v>
      </c>
      <c r="P91" s="15">
        <f t="shared" si="36"/>
        <v>27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7</v>
      </c>
      <c r="J92" s="50">
        <v>3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14</v>
      </c>
      <c r="P92" s="15">
        <f t="shared" si="36"/>
        <v>16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2</v>
      </c>
      <c r="E93" s="50">
        <v>2</v>
      </c>
      <c r="F93" s="50">
        <v>0</v>
      </c>
      <c r="G93" s="50">
        <v>0</v>
      </c>
      <c r="H93" s="50">
        <v>0</v>
      </c>
      <c r="I93" s="50">
        <v>15</v>
      </c>
      <c r="J93" s="50">
        <v>13</v>
      </c>
      <c r="K93" s="50">
        <v>4</v>
      </c>
      <c r="L93" s="50">
        <v>7</v>
      </c>
      <c r="M93" s="50">
        <v>13</v>
      </c>
      <c r="N93" s="50">
        <v>0</v>
      </c>
      <c r="O93" s="15">
        <f t="shared" si="35"/>
        <v>48</v>
      </c>
      <c r="P93" s="15">
        <f t="shared" si="36"/>
        <v>61</v>
      </c>
      <c r="R93" s="8"/>
      <c r="T93"/>
    </row>
    <row r="94" spans="2:20" ht="23.1" customHeight="1" x14ac:dyDescent="0.25">
      <c r="B94" s="46" t="s">
        <v>134</v>
      </c>
      <c r="C94" s="50">
        <v>11</v>
      </c>
      <c r="D94" s="50">
        <v>31</v>
      </c>
      <c r="E94" s="50">
        <v>3</v>
      </c>
      <c r="F94" s="50">
        <v>19</v>
      </c>
      <c r="G94" s="50">
        <v>0</v>
      </c>
      <c r="H94" s="50">
        <v>0</v>
      </c>
      <c r="I94" s="50">
        <v>20</v>
      </c>
      <c r="J94" s="50">
        <v>14</v>
      </c>
      <c r="K94" s="50">
        <v>12</v>
      </c>
      <c r="L94" s="50">
        <v>3</v>
      </c>
      <c r="M94" s="50">
        <v>16</v>
      </c>
      <c r="N94" s="50">
        <v>0</v>
      </c>
      <c r="O94" s="15">
        <f t="shared" si="35"/>
        <v>113</v>
      </c>
      <c r="P94" s="15">
        <f t="shared" si="36"/>
        <v>129</v>
      </c>
      <c r="R94" s="8"/>
      <c r="T94"/>
    </row>
    <row r="95" spans="2:20" ht="23.1" customHeight="1" x14ac:dyDescent="0.25">
      <c r="B95" s="45" t="s">
        <v>135</v>
      </c>
      <c r="C95" s="50">
        <v>6</v>
      </c>
      <c r="D95" s="50">
        <v>4</v>
      </c>
      <c r="E95" s="50">
        <v>3</v>
      </c>
      <c r="F95" s="50">
        <v>8</v>
      </c>
      <c r="G95" s="50">
        <v>0</v>
      </c>
      <c r="H95" s="50">
        <v>0</v>
      </c>
      <c r="I95" s="50">
        <v>14</v>
      </c>
      <c r="J95" s="50">
        <v>17</v>
      </c>
      <c r="K95" s="50">
        <v>3</v>
      </c>
      <c r="L95" s="50">
        <v>0</v>
      </c>
      <c r="M95" s="50">
        <v>7</v>
      </c>
      <c r="N95" s="50">
        <v>0</v>
      </c>
      <c r="O95" s="15">
        <f t="shared" si="35"/>
        <v>55</v>
      </c>
      <c r="P95" s="15">
        <f t="shared" si="36"/>
        <v>62</v>
      </c>
      <c r="R95" s="8"/>
      <c r="T95"/>
    </row>
    <row r="96" spans="2:20" ht="23.1" customHeight="1" x14ac:dyDescent="0.25">
      <c r="B96" s="47" t="s">
        <v>136</v>
      </c>
      <c r="C96" s="50">
        <v>11</v>
      </c>
      <c r="D96" s="50">
        <v>2</v>
      </c>
      <c r="E96" s="50">
        <v>1</v>
      </c>
      <c r="F96" s="50">
        <v>3</v>
      </c>
      <c r="G96" s="50">
        <v>1</v>
      </c>
      <c r="H96" s="50">
        <v>0</v>
      </c>
      <c r="I96" s="50">
        <v>8</v>
      </c>
      <c r="J96" s="50">
        <v>12</v>
      </c>
      <c r="K96" s="50">
        <v>4</v>
      </c>
      <c r="L96" s="50">
        <v>1</v>
      </c>
      <c r="M96" s="50">
        <v>10</v>
      </c>
      <c r="N96" s="50">
        <v>0</v>
      </c>
      <c r="O96" s="15">
        <f t="shared" si="35"/>
        <v>43</v>
      </c>
      <c r="P96" s="15">
        <f t="shared" si="36"/>
        <v>53</v>
      </c>
      <c r="R96" s="8"/>
      <c r="T96"/>
    </row>
    <row r="97" spans="2:20" ht="23.1" customHeight="1" x14ac:dyDescent="0.25">
      <c r="B97" s="45" t="s">
        <v>137</v>
      </c>
      <c r="C97" s="50">
        <v>7</v>
      </c>
      <c r="D97" s="50">
        <v>1</v>
      </c>
      <c r="E97" s="50">
        <v>2</v>
      </c>
      <c r="F97" s="50">
        <v>7</v>
      </c>
      <c r="G97" s="50">
        <v>1</v>
      </c>
      <c r="H97" s="50">
        <v>1</v>
      </c>
      <c r="I97" s="50">
        <v>3</v>
      </c>
      <c r="J97" s="50">
        <v>2</v>
      </c>
      <c r="K97" s="50">
        <v>2</v>
      </c>
      <c r="L97" s="50">
        <v>1</v>
      </c>
      <c r="M97" s="50">
        <v>11</v>
      </c>
      <c r="N97" s="50">
        <v>0</v>
      </c>
      <c r="O97" s="15">
        <f t="shared" si="35"/>
        <v>27</v>
      </c>
      <c r="P97" s="15">
        <f t="shared" si="36"/>
        <v>38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2</v>
      </c>
      <c r="E98" s="50">
        <v>2</v>
      </c>
      <c r="F98" s="50">
        <v>4</v>
      </c>
      <c r="G98" s="50">
        <v>2</v>
      </c>
      <c r="H98" s="50">
        <v>0</v>
      </c>
      <c r="I98" s="50">
        <v>7</v>
      </c>
      <c r="J98" s="50">
        <v>12</v>
      </c>
      <c r="K98" s="50">
        <v>2</v>
      </c>
      <c r="L98" s="50">
        <v>5</v>
      </c>
      <c r="M98" s="50">
        <v>4</v>
      </c>
      <c r="N98" s="50">
        <v>0</v>
      </c>
      <c r="O98" s="15">
        <f t="shared" si="35"/>
        <v>39</v>
      </c>
      <c r="P98" s="15">
        <f t="shared" si="36"/>
        <v>43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0</v>
      </c>
      <c r="E99" s="50">
        <v>0</v>
      </c>
      <c r="F99" s="50">
        <v>6</v>
      </c>
      <c r="G99" s="50">
        <v>0</v>
      </c>
      <c r="H99" s="50">
        <v>0</v>
      </c>
      <c r="I99" s="50">
        <v>8</v>
      </c>
      <c r="J99" s="50">
        <v>3</v>
      </c>
      <c r="K99" s="50">
        <v>1</v>
      </c>
      <c r="L99" s="50">
        <v>2</v>
      </c>
      <c r="M99" s="50">
        <v>4</v>
      </c>
      <c r="N99" s="50">
        <v>0</v>
      </c>
      <c r="O99" s="15">
        <f t="shared" si="35"/>
        <v>24</v>
      </c>
      <c r="P99" s="15">
        <f t="shared" si="36"/>
        <v>28</v>
      </c>
      <c r="R99" s="8"/>
      <c r="T99"/>
    </row>
    <row r="100" spans="2:20" ht="23.1" customHeight="1" x14ac:dyDescent="0.25">
      <c r="B100" s="47" t="s">
        <v>140</v>
      </c>
      <c r="C100" s="50">
        <v>8</v>
      </c>
      <c r="D100" s="50">
        <v>3</v>
      </c>
      <c r="E100" s="50">
        <v>1</v>
      </c>
      <c r="F100" s="50">
        <v>11</v>
      </c>
      <c r="G100" s="50">
        <v>0</v>
      </c>
      <c r="H100" s="50">
        <v>0</v>
      </c>
      <c r="I100" s="50">
        <v>7</v>
      </c>
      <c r="J100" s="50">
        <v>9</v>
      </c>
      <c r="K100" s="50">
        <v>2</v>
      </c>
      <c r="L100" s="50">
        <v>2</v>
      </c>
      <c r="M100" s="50">
        <v>26</v>
      </c>
      <c r="N100" s="50">
        <v>0</v>
      </c>
      <c r="O100" s="15">
        <f t="shared" si="35"/>
        <v>43</v>
      </c>
      <c r="P100" s="15">
        <f t="shared" si="36"/>
        <v>69</v>
      </c>
      <c r="R100" s="8"/>
      <c r="T100"/>
    </row>
    <row r="101" spans="2:20" ht="23.1" customHeight="1" x14ac:dyDescent="0.25">
      <c r="B101" s="45" t="s">
        <v>141</v>
      </c>
      <c r="C101" s="50">
        <v>19</v>
      </c>
      <c r="D101" s="50">
        <v>3</v>
      </c>
      <c r="E101" s="50">
        <v>1</v>
      </c>
      <c r="F101" s="50">
        <v>15</v>
      </c>
      <c r="G101" s="50">
        <v>1</v>
      </c>
      <c r="H101" s="50">
        <v>0</v>
      </c>
      <c r="I101" s="50">
        <v>9</v>
      </c>
      <c r="J101" s="50">
        <v>19</v>
      </c>
      <c r="K101" s="50">
        <v>3</v>
      </c>
      <c r="L101" s="50">
        <v>6</v>
      </c>
      <c r="M101" s="50">
        <v>36</v>
      </c>
      <c r="N101" s="50">
        <v>0</v>
      </c>
      <c r="O101" s="15">
        <f t="shared" si="35"/>
        <v>76</v>
      </c>
      <c r="P101" s="15">
        <f t="shared" si="36"/>
        <v>112</v>
      </c>
      <c r="R101" s="8"/>
      <c r="T101"/>
    </row>
    <row r="102" spans="2:20" ht="23.1" customHeight="1" x14ac:dyDescent="0.25">
      <c r="B102" s="46" t="s">
        <v>142</v>
      </c>
      <c r="C102" s="50">
        <v>14</v>
      </c>
      <c r="D102" s="50">
        <v>6</v>
      </c>
      <c r="E102" s="50">
        <v>0</v>
      </c>
      <c r="F102" s="50">
        <v>19</v>
      </c>
      <c r="G102" s="50">
        <v>0</v>
      </c>
      <c r="H102" s="50">
        <v>1</v>
      </c>
      <c r="I102" s="50">
        <v>14</v>
      </c>
      <c r="J102" s="50">
        <v>19</v>
      </c>
      <c r="K102" s="50">
        <v>0</v>
      </c>
      <c r="L102" s="50">
        <v>2</v>
      </c>
      <c r="M102" s="50">
        <v>77</v>
      </c>
      <c r="N102" s="50">
        <v>0</v>
      </c>
      <c r="O102" s="15">
        <f t="shared" si="35"/>
        <v>75</v>
      </c>
      <c r="P102" s="15">
        <f t="shared" si="36"/>
        <v>152</v>
      </c>
      <c r="R102" s="8"/>
      <c r="T102"/>
    </row>
    <row r="103" spans="2:20" ht="23.1" customHeight="1" x14ac:dyDescent="0.25">
      <c r="B103" s="45" t="s">
        <v>143</v>
      </c>
      <c r="C103" s="50">
        <v>20</v>
      </c>
      <c r="D103" s="50">
        <v>7</v>
      </c>
      <c r="E103" s="50">
        <v>2</v>
      </c>
      <c r="F103" s="50">
        <v>13</v>
      </c>
      <c r="G103" s="50">
        <v>0</v>
      </c>
      <c r="H103" s="50">
        <v>1</v>
      </c>
      <c r="I103" s="50">
        <v>14</v>
      </c>
      <c r="J103" s="50">
        <v>14</v>
      </c>
      <c r="K103" s="50">
        <v>1</v>
      </c>
      <c r="L103" s="50">
        <v>2</v>
      </c>
      <c r="M103" s="50">
        <v>85</v>
      </c>
      <c r="N103" s="50">
        <v>0</v>
      </c>
      <c r="O103" s="15">
        <f t="shared" si="35"/>
        <v>74</v>
      </c>
      <c r="P103" s="15">
        <f t="shared" si="36"/>
        <v>159</v>
      </c>
      <c r="R103" s="8"/>
      <c r="T103"/>
    </row>
    <row r="104" spans="2:20" ht="23.1" customHeight="1" x14ac:dyDescent="0.25">
      <c r="B104" s="47" t="s">
        <v>144</v>
      </c>
      <c r="C104" s="50">
        <v>48</v>
      </c>
      <c r="D104" s="50">
        <v>23</v>
      </c>
      <c r="E104" s="50">
        <v>10</v>
      </c>
      <c r="F104" s="50">
        <v>18</v>
      </c>
      <c r="G104" s="50">
        <v>0</v>
      </c>
      <c r="H104" s="50">
        <v>2</v>
      </c>
      <c r="I104" s="50">
        <v>10</v>
      </c>
      <c r="J104" s="50">
        <v>10</v>
      </c>
      <c r="K104" s="50">
        <v>4</v>
      </c>
      <c r="L104" s="50">
        <v>12</v>
      </c>
      <c r="M104" s="50">
        <v>114</v>
      </c>
      <c r="N104" s="50">
        <v>0</v>
      </c>
      <c r="O104" s="15">
        <f t="shared" si="35"/>
        <v>137</v>
      </c>
      <c r="P104" s="15">
        <f t="shared" si="36"/>
        <v>251</v>
      </c>
      <c r="R104" s="8"/>
      <c r="T104"/>
    </row>
    <row r="105" spans="2:20" ht="23.1" customHeight="1" x14ac:dyDescent="0.25">
      <c r="B105" s="45" t="s">
        <v>145</v>
      </c>
      <c r="C105" s="50">
        <v>70</v>
      </c>
      <c r="D105" s="50">
        <v>14</v>
      </c>
      <c r="E105" s="50">
        <v>8</v>
      </c>
      <c r="F105" s="50">
        <v>12</v>
      </c>
      <c r="G105" s="50">
        <v>4</v>
      </c>
      <c r="H105" s="50">
        <v>1</v>
      </c>
      <c r="I105" s="50">
        <v>6</v>
      </c>
      <c r="J105" s="50">
        <v>10</v>
      </c>
      <c r="K105" s="50">
        <v>1</v>
      </c>
      <c r="L105" s="50">
        <v>9</v>
      </c>
      <c r="M105" s="50">
        <v>117</v>
      </c>
      <c r="N105" s="50">
        <v>0</v>
      </c>
      <c r="O105" s="15">
        <f t="shared" si="35"/>
        <v>135</v>
      </c>
      <c r="P105" s="15">
        <f t="shared" si="36"/>
        <v>252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6242</v>
      </c>
      <c r="D106" s="16">
        <f t="shared" ref="D106:P106" si="37">SUM(D10:D105)</f>
        <v>1976</v>
      </c>
      <c r="E106" s="16">
        <f t="shared" si="37"/>
        <v>1280</v>
      </c>
      <c r="F106" s="16">
        <f t="shared" si="37"/>
        <v>2193</v>
      </c>
      <c r="G106" s="16">
        <f t="shared" si="37"/>
        <v>141</v>
      </c>
      <c r="H106" s="16">
        <f t="shared" si="37"/>
        <v>31</v>
      </c>
      <c r="I106" s="16">
        <f t="shared" si="37"/>
        <v>1010</v>
      </c>
      <c r="J106" s="16">
        <f t="shared" si="37"/>
        <v>794</v>
      </c>
      <c r="K106" s="16">
        <f t="shared" si="37"/>
        <v>381</v>
      </c>
      <c r="L106" s="16">
        <f t="shared" si="37"/>
        <v>507</v>
      </c>
      <c r="M106" s="16">
        <f t="shared" si="37"/>
        <v>8518</v>
      </c>
      <c r="N106" s="16">
        <f t="shared" si="37"/>
        <v>6</v>
      </c>
      <c r="O106" s="16">
        <f t="shared" si="37"/>
        <v>14561</v>
      </c>
      <c r="P106" s="16">
        <f t="shared" si="37"/>
        <v>23079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0.27046232505741152</v>
      </c>
      <c r="D107" s="43">
        <f t="shared" si="38"/>
        <v>8.5618960960180249E-2</v>
      </c>
      <c r="E107" s="43">
        <f t="shared" si="38"/>
        <v>5.5461675115906238E-2</v>
      </c>
      <c r="F107" s="43">
        <f t="shared" si="38"/>
        <v>9.5021448069673733E-2</v>
      </c>
      <c r="G107" s="43">
        <f t="shared" si="38"/>
        <v>6.1094501494865462E-3</v>
      </c>
      <c r="H107" s="43">
        <f t="shared" si="38"/>
        <v>1.3432124442133541E-3</v>
      </c>
      <c r="I107" s="43">
        <f t="shared" si="38"/>
        <v>4.376272802114476E-2</v>
      </c>
      <c r="J107" s="43">
        <f t="shared" si="38"/>
        <v>3.4403570345335588E-2</v>
      </c>
      <c r="K107" s="43">
        <f t="shared" si="38"/>
        <v>1.6508514233718966E-2</v>
      </c>
      <c r="L107" s="43">
        <f t="shared" si="38"/>
        <v>2.1968022877940984E-2</v>
      </c>
      <c r="M107" s="43">
        <f t="shared" si="38"/>
        <v>0.36908011612288227</v>
      </c>
      <c r="N107" s="43">
        <f t="shared" si="38"/>
        <v>2.599766021058105E-4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0.42867934894581416</v>
      </c>
      <c r="D108" s="44">
        <f t="shared" ref="D108:N108" si="39">D106/$O$106</f>
        <v>0.13570496531831605</v>
      </c>
      <c r="E108" s="44">
        <f t="shared" si="39"/>
        <v>8.7906050408625785E-2</v>
      </c>
      <c r="F108" s="44">
        <f t="shared" si="39"/>
        <v>0.15060778792665339</v>
      </c>
      <c r="G108" s="44">
        <f t="shared" si="39"/>
        <v>9.683400865325183E-3</v>
      </c>
      <c r="H108" s="44">
        <f t="shared" si="39"/>
        <v>2.1289746583339057E-3</v>
      </c>
      <c r="I108" s="44">
        <f t="shared" si="39"/>
        <v>6.9363367900556278E-2</v>
      </c>
      <c r="J108" s="44">
        <f t="shared" si="39"/>
        <v>5.4529221894100678E-2</v>
      </c>
      <c r="K108" s="44">
        <f t="shared" si="39"/>
        <v>2.6165785316942518E-2</v>
      </c>
      <c r="L108" s="44">
        <f t="shared" si="39"/>
        <v>3.4819037154041617E-2</v>
      </c>
      <c r="M108" s="44"/>
      <c r="N108" s="44">
        <f t="shared" si="39"/>
        <v>4.1205961129043336E-4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2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67" t="str">
        <f>'26.07 Masanafu-Lubigi-24h'!G5:H5</f>
        <v>Northern Bypass</v>
      </c>
      <c r="H5" s="68"/>
      <c r="I5" s="14"/>
      <c r="J5" s="2" t="s">
        <v>5</v>
      </c>
      <c r="K5" s="67" t="s">
        <v>181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Lubigi-Masanafu'!D6:E6</f>
        <v>Lubigi</v>
      </c>
      <c r="E6" s="68"/>
      <c r="F6" s="2" t="s">
        <v>2</v>
      </c>
      <c r="G6" s="67" t="str">
        <f>'22.07 Lubigi-Masanafu'!G6:H6</f>
        <v>Masanafu</v>
      </c>
      <c r="H6" s="68"/>
      <c r="J6" s="2" t="s">
        <v>21</v>
      </c>
      <c r="K6" s="67" t="str">
        <f>'26.07 Masanafu-Lubigi-24h'!K6:L6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78</v>
      </c>
      <c r="D10" s="50">
        <v>28</v>
      </c>
      <c r="E10" s="50">
        <v>18</v>
      </c>
      <c r="F10" s="50">
        <v>40</v>
      </c>
      <c r="G10" s="50">
        <v>2</v>
      </c>
      <c r="H10" s="50">
        <v>0</v>
      </c>
      <c r="I10" s="50">
        <v>13</v>
      </c>
      <c r="J10" s="50">
        <v>18</v>
      </c>
      <c r="K10" s="50">
        <v>7</v>
      </c>
      <c r="L10" s="50">
        <v>5</v>
      </c>
      <c r="M10" s="50">
        <v>98</v>
      </c>
      <c r="N10" s="50">
        <v>0</v>
      </c>
      <c r="O10" s="15">
        <f t="shared" ref="O10:O73" si="0">SUM(C10:L10,N10)</f>
        <v>209</v>
      </c>
      <c r="P10" s="15">
        <f t="shared" ref="P10:P73" si="1">SUM(C10:N10)</f>
        <v>307</v>
      </c>
      <c r="R10" s="1" t="s">
        <v>6</v>
      </c>
      <c r="S10" s="17">
        <f t="shared" ref="S10:AF10" si="2">SUM(C10:C13)</f>
        <v>290</v>
      </c>
      <c r="T10" s="17">
        <f t="shared" si="2"/>
        <v>92</v>
      </c>
      <c r="U10" s="17">
        <f t="shared" si="2"/>
        <v>56</v>
      </c>
      <c r="V10" s="17">
        <f t="shared" si="2"/>
        <v>135</v>
      </c>
      <c r="W10" s="17">
        <f t="shared" si="2"/>
        <v>6</v>
      </c>
      <c r="X10" s="17">
        <f t="shared" si="2"/>
        <v>0</v>
      </c>
      <c r="Y10" s="17">
        <f t="shared" si="2"/>
        <v>92</v>
      </c>
      <c r="Z10" s="17">
        <f t="shared" si="2"/>
        <v>48</v>
      </c>
      <c r="AA10" s="17">
        <f t="shared" si="2"/>
        <v>48</v>
      </c>
      <c r="AB10" s="17">
        <f t="shared" si="2"/>
        <v>25</v>
      </c>
      <c r="AC10" s="17">
        <f t="shared" si="2"/>
        <v>410</v>
      </c>
      <c r="AD10" s="17">
        <f t="shared" si="2"/>
        <v>0</v>
      </c>
      <c r="AE10" s="31">
        <f t="shared" si="2"/>
        <v>792</v>
      </c>
      <c r="AF10" s="31">
        <f t="shared" si="2"/>
        <v>1202</v>
      </c>
    </row>
    <row r="11" spans="2:32" s="6" customFormat="1" ht="23.1" customHeight="1" x14ac:dyDescent="0.25">
      <c r="B11" s="45" t="s">
        <v>38</v>
      </c>
      <c r="C11" s="50">
        <v>42</v>
      </c>
      <c r="D11" s="50">
        <v>12</v>
      </c>
      <c r="E11" s="50">
        <v>8</v>
      </c>
      <c r="F11" s="50">
        <v>9</v>
      </c>
      <c r="G11" s="50">
        <v>0</v>
      </c>
      <c r="H11" s="50">
        <v>0</v>
      </c>
      <c r="I11" s="50">
        <v>24</v>
      </c>
      <c r="J11" s="50">
        <v>6</v>
      </c>
      <c r="K11" s="50">
        <v>3</v>
      </c>
      <c r="L11" s="50">
        <v>8</v>
      </c>
      <c r="M11" s="50">
        <v>115</v>
      </c>
      <c r="N11" s="50">
        <v>0</v>
      </c>
      <c r="O11" s="15">
        <f t="shared" si="0"/>
        <v>112</v>
      </c>
      <c r="P11" s="15">
        <f t="shared" si="1"/>
        <v>227</v>
      </c>
      <c r="R11" s="1" t="s">
        <v>7</v>
      </c>
      <c r="S11" s="17">
        <f t="shared" ref="S11:AF11" si="3">SUM(C14:C17)</f>
        <v>270</v>
      </c>
      <c r="T11" s="17">
        <f t="shared" si="3"/>
        <v>43</v>
      </c>
      <c r="U11" s="17">
        <f t="shared" si="3"/>
        <v>37</v>
      </c>
      <c r="V11" s="17">
        <f t="shared" si="3"/>
        <v>222</v>
      </c>
      <c r="W11" s="17">
        <f t="shared" si="3"/>
        <v>3</v>
      </c>
      <c r="X11" s="17">
        <f t="shared" si="3"/>
        <v>1</v>
      </c>
      <c r="Y11" s="17">
        <f t="shared" si="3"/>
        <v>77</v>
      </c>
      <c r="Z11" s="17">
        <f t="shared" si="3"/>
        <v>35</v>
      </c>
      <c r="AA11" s="17">
        <f t="shared" si="3"/>
        <v>23</v>
      </c>
      <c r="AB11" s="17">
        <f t="shared" si="3"/>
        <v>26</v>
      </c>
      <c r="AC11" s="17">
        <f t="shared" si="3"/>
        <v>335</v>
      </c>
      <c r="AD11" s="17">
        <f t="shared" si="3"/>
        <v>0</v>
      </c>
      <c r="AE11" s="31">
        <f t="shared" si="3"/>
        <v>737</v>
      </c>
      <c r="AF11" s="31">
        <f t="shared" si="3"/>
        <v>1072</v>
      </c>
    </row>
    <row r="12" spans="2:32" ht="23.1" customHeight="1" x14ac:dyDescent="0.25">
      <c r="B12" s="45" t="s">
        <v>39</v>
      </c>
      <c r="C12" s="50">
        <v>85</v>
      </c>
      <c r="D12" s="50">
        <v>33</v>
      </c>
      <c r="E12" s="50">
        <v>13</v>
      </c>
      <c r="F12" s="50">
        <v>74</v>
      </c>
      <c r="G12" s="50">
        <v>3</v>
      </c>
      <c r="H12" s="50">
        <v>0</v>
      </c>
      <c r="I12" s="50">
        <v>43</v>
      </c>
      <c r="J12" s="50">
        <v>15</v>
      </c>
      <c r="K12" s="50">
        <v>25</v>
      </c>
      <c r="L12" s="50">
        <v>9</v>
      </c>
      <c r="M12" s="50">
        <v>93</v>
      </c>
      <c r="N12" s="50">
        <v>0</v>
      </c>
      <c r="O12" s="15">
        <f t="shared" si="0"/>
        <v>300</v>
      </c>
      <c r="P12" s="15">
        <f t="shared" si="1"/>
        <v>393</v>
      </c>
      <c r="R12" s="1" t="s">
        <v>8</v>
      </c>
      <c r="S12" s="17">
        <f t="shared" ref="S12:AF12" si="4">SUM(C18:C21)</f>
        <v>212</v>
      </c>
      <c r="T12" s="17">
        <f t="shared" si="4"/>
        <v>29</v>
      </c>
      <c r="U12" s="17">
        <f t="shared" si="4"/>
        <v>24</v>
      </c>
      <c r="V12" s="17">
        <f t="shared" si="4"/>
        <v>127</v>
      </c>
      <c r="W12" s="17">
        <f t="shared" si="4"/>
        <v>5</v>
      </c>
      <c r="X12" s="17">
        <f t="shared" si="4"/>
        <v>1</v>
      </c>
      <c r="Y12" s="17">
        <f t="shared" si="4"/>
        <v>58</v>
      </c>
      <c r="Z12" s="17">
        <f t="shared" si="4"/>
        <v>24</v>
      </c>
      <c r="AA12" s="17">
        <f t="shared" si="4"/>
        <v>28</v>
      </c>
      <c r="AB12" s="17">
        <f t="shared" si="4"/>
        <v>22</v>
      </c>
      <c r="AC12" s="17">
        <f t="shared" si="4"/>
        <v>315</v>
      </c>
      <c r="AD12" s="17">
        <f t="shared" si="4"/>
        <v>0</v>
      </c>
      <c r="AE12" s="31">
        <f t="shared" si="4"/>
        <v>530</v>
      </c>
      <c r="AF12" s="31">
        <f t="shared" si="4"/>
        <v>845</v>
      </c>
    </row>
    <row r="13" spans="2:32" ht="23.1" customHeight="1" x14ac:dyDescent="0.25">
      <c r="B13" s="45" t="s">
        <v>40</v>
      </c>
      <c r="C13" s="50">
        <v>85</v>
      </c>
      <c r="D13" s="50">
        <v>19</v>
      </c>
      <c r="E13" s="50">
        <v>17</v>
      </c>
      <c r="F13" s="50">
        <v>12</v>
      </c>
      <c r="G13" s="50">
        <v>1</v>
      </c>
      <c r="H13" s="50">
        <v>0</v>
      </c>
      <c r="I13" s="50">
        <v>12</v>
      </c>
      <c r="J13" s="50">
        <v>9</v>
      </c>
      <c r="K13" s="50">
        <v>13</v>
      </c>
      <c r="L13" s="50">
        <v>3</v>
      </c>
      <c r="M13" s="50">
        <v>104</v>
      </c>
      <c r="N13" s="50">
        <v>0</v>
      </c>
      <c r="O13" s="15">
        <f t="shared" si="0"/>
        <v>171</v>
      </c>
      <c r="P13" s="15">
        <f t="shared" si="1"/>
        <v>275</v>
      </c>
      <c r="R13" s="1" t="s">
        <v>9</v>
      </c>
      <c r="S13" s="17">
        <f t="shared" ref="S13:AF13" si="5">SUM(C22:C25)</f>
        <v>220</v>
      </c>
      <c r="T13" s="17">
        <f t="shared" si="5"/>
        <v>70</v>
      </c>
      <c r="U13" s="17">
        <f t="shared" si="5"/>
        <v>31</v>
      </c>
      <c r="V13" s="17">
        <f t="shared" si="5"/>
        <v>93</v>
      </c>
      <c r="W13" s="17">
        <f t="shared" si="5"/>
        <v>10</v>
      </c>
      <c r="X13" s="17">
        <f t="shared" si="5"/>
        <v>5</v>
      </c>
      <c r="Y13" s="17">
        <f t="shared" si="5"/>
        <v>19</v>
      </c>
      <c r="Z13" s="17">
        <f t="shared" si="5"/>
        <v>78</v>
      </c>
      <c r="AA13" s="17">
        <f t="shared" si="5"/>
        <v>32</v>
      </c>
      <c r="AB13" s="17">
        <f t="shared" si="5"/>
        <v>23</v>
      </c>
      <c r="AC13" s="17">
        <f t="shared" si="5"/>
        <v>550</v>
      </c>
      <c r="AD13" s="17">
        <f t="shared" si="5"/>
        <v>0</v>
      </c>
      <c r="AE13" s="31">
        <f t="shared" si="5"/>
        <v>581</v>
      </c>
      <c r="AF13" s="31">
        <f t="shared" si="5"/>
        <v>1131</v>
      </c>
    </row>
    <row r="14" spans="2:32" ht="23.1" customHeight="1" x14ac:dyDescent="0.25">
      <c r="B14" s="45" t="s">
        <v>41</v>
      </c>
      <c r="C14" s="50">
        <v>80</v>
      </c>
      <c r="D14" s="50">
        <v>9</v>
      </c>
      <c r="E14" s="50">
        <v>8</v>
      </c>
      <c r="F14" s="50">
        <v>37</v>
      </c>
      <c r="G14" s="50">
        <v>2</v>
      </c>
      <c r="H14" s="50">
        <v>1</v>
      </c>
      <c r="I14" s="50">
        <v>30</v>
      </c>
      <c r="J14" s="50">
        <v>9</v>
      </c>
      <c r="K14" s="50">
        <v>6</v>
      </c>
      <c r="L14" s="50">
        <v>7</v>
      </c>
      <c r="M14" s="50">
        <v>84</v>
      </c>
      <c r="N14" s="50">
        <v>0</v>
      </c>
      <c r="O14" s="15">
        <f t="shared" si="0"/>
        <v>189</v>
      </c>
      <c r="P14" s="15">
        <f t="shared" si="1"/>
        <v>273</v>
      </c>
      <c r="R14" s="1" t="s">
        <v>10</v>
      </c>
      <c r="S14" s="17">
        <f t="shared" ref="S14:AF14" si="6">SUM(C26:C29)</f>
        <v>251</v>
      </c>
      <c r="T14" s="17">
        <f t="shared" si="6"/>
        <v>146</v>
      </c>
      <c r="U14" s="17">
        <f t="shared" si="6"/>
        <v>45</v>
      </c>
      <c r="V14" s="17">
        <f t="shared" si="6"/>
        <v>97</v>
      </c>
      <c r="W14" s="17">
        <f t="shared" si="6"/>
        <v>20</v>
      </c>
      <c r="X14" s="17">
        <f t="shared" si="6"/>
        <v>4</v>
      </c>
      <c r="Y14" s="17">
        <f t="shared" si="6"/>
        <v>21</v>
      </c>
      <c r="Z14" s="17">
        <f t="shared" si="6"/>
        <v>86</v>
      </c>
      <c r="AA14" s="17">
        <f t="shared" si="6"/>
        <v>10</v>
      </c>
      <c r="AB14" s="17">
        <f t="shared" si="6"/>
        <v>23</v>
      </c>
      <c r="AC14" s="17">
        <f t="shared" si="6"/>
        <v>559</v>
      </c>
      <c r="AD14" s="17">
        <f t="shared" si="6"/>
        <v>0</v>
      </c>
      <c r="AE14" s="31">
        <f t="shared" si="6"/>
        <v>703</v>
      </c>
      <c r="AF14" s="31">
        <f t="shared" si="6"/>
        <v>1262</v>
      </c>
    </row>
    <row r="15" spans="2:32" ht="23.1" customHeight="1" x14ac:dyDescent="0.25">
      <c r="B15" s="45" t="s">
        <v>42</v>
      </c>
      <c r="C15" s="50">
        <v>57</v>
      </c>
      <c r="D15" s="50">
        <v>12</v>
      </c>
      <c r="E15" s="50">
        <v>8</v>
      </c>
      <c r="F15" s="50">
        <v>73</v>
      </c>
      <c r="G15" s="50">
        <v>1</v>
      </c>
      <c r="H15" s="50">
        <v>0</v>
      </c>
      <c r="I15" s="50">
        <v>18</v>
      </c>
      <c r="J15" s="50">
        <v>5</v>
      </c>
      <c r="K15" s="50">
        <v>8</v>
      </c>
      <c r="L15" s="50">
        <v>9</v>
      </c>
      <c r="M15" s="50">
        <v>78</v>
      </c>
      <c r="N15" s="50">
        <v>0</v>
      </c>
      <c r="O15" s="15">
        <f t="shared" si="0"/>
        <v>191</v>
      </c>
      <c r="P15" s="15">
        <f t="shared" si="1"/>
        <v>269</v>
      </c>
      <c r="R15" s="1" t="s">
        <v>11</v>
      </c>
      <c r="S15" s="17">
        <f t="shared" ref="S15:AF15" si="7">SUM(C30:C33)</f>
        <v>258</v>
      </c>
      <c r="T15" s="17">
        <f t="shared" si="7"/>
        <v>128</v>
      </c>
      <c r="U15" s="17">
        <f t="shared" si="7"/>
        <v>50</v>
      </c>
      <c r="V15" s="17">
        <f t="shared" si="7"/>
        <v>100</v>
      </c>
      <c r="W15" s="17">
        <f t="shared" si="7"/>
        <v>6</v>
      </c>
      <c r="X15" s="17">
        <f t="shared" si="7"/>
        <v>6</v>
      </c>
      <c r="Y15" s="17">
        <f t="shared" si="7"/>
        <v>9</v>
      </c>
      <c r="Z15" s="17">
        <f t="shared" si="7"/>
        <v>73</v>
      </c>
      <c r="AA15" s="17">
        <f t="shared" si="7"/>
        <v>16</v>
      </c>
      <c r="AB15" s="17">
        <f t="shared" si="7"/>
        <v>22</v>
      </c>
      <c r="AC15" s="17">
        <f t="shared" si="7"/>
        <v>614</v>
      </c>
      <c r="AD15" s="17">
        <f t="shared" si="7"/>
        <v>1</v>
      </c>
      <c r="AE15" s="31">
        <f t="shared" si="7"/>
        <v>669</v>
      </c>
      <c r="AF15" s="31">
        <f t="shared" si="7"/>
        <v>1283</v>
      </c>
    </row>
    <row r="16" spans="2:32" ht="23.1" customHeight="1" x14ac:dyDescent="0.25">
      <c r="B16" s="45" t="s">
        <v>43</v>
      </c>
      <c r="C16" s="50">
        <v>70</v>
      </c>
      <c r="D16" s="50">
        <v>18</v>
      </c>
      <c r="E16" s="50">
        <v>11</v>
      </c>
      <c r="F16" s="50">
        <v>47</v>
      </c>
      <c r="G16" s="50">
        <v>0</v>
      </c>
      <c r="H16" s="50">
        <v>0</v>
      </c>
      <c r="I16" s="50">
        <v>20</v>
      </c>
      <c r="J16" s="50">
        <v>11</v>
      </c>
      <c r="K16" s="50">
        <v>6</v>
      </c>
      <c r="L16" s="50">
        <v>4</v>
      </c>
      <c r="M16" s="50">
        <v>90</v>
      </c>
      <c r="N16" s="50">
        <v>0</v>
      </c>
      <c r="O16" s="15">
        <f t="shared" si="0"/>
        <v>187</v>
      </c>
      <c r="P16" s="15">
        <f t="shared" si="1"/>
        <v>277</v>
      </c>
      <c r="R16" s="1" t="s">
        <v>12</v>
      </c>
      <c r="S16" s="17">
        <f t="shared" ref="S16:AF16" si="8">SUM(C34:C37)</f>
        <v>297</v>
      </c>
      <c r="T16" s="17">
        <f t="shared" si="8"/>
        <v>106</v>
      </c>
      <c r="U16" s="17">
        <f t="shared" si="8"/>
        <v>35</v>
      </c>
      <c r="V16" s="17">
        <f t="shared" si="8"/>
        <v>101</v>
      </c>
      <c r="W16" s="17">
        <f t="shared" si="8"/>
        <v>5</v>
      </c>
      <c r="X16" s="17">
        <f t="shared" si="8"/>
        <v>1</v>
      </c>
      <c r="Y16" s="17">
        <f t="shared" si="8"/>
        <v>5</v>
      </c>
      <c r="Z16" s="17">
        <f t="shared" si="8"/>
        <v>70</v>
      </c>
      <c r="AA16" s="17">
        <f t="shared" si="8"/>
        <v>11</v>
      </c>
      <c r="AB16" s="17">
        <f t="shared" si="8"/>
        <v>23</v>
      </c>
      <c r="AC16" s="17">
        <f t="shared" si="8"/>
        <v>534</v>
      </c>
      <c r="AD16" s="17">
        <f t="shared" si="8"/>
        <v>0</v>
      </c>
      <c r="AE16" s="31">
        <f t="shared" si="8"/>
        <v>654</v>
      </c>
      <c r="AF16" s="31">
        <f t="shared" si="8"/>
        <v>1188</v>
      </c>
    </row>
    <row r="17" spans="2:32" ht="23.1" customHeight="1" x14ac:dyDescent="0.25">
      <c r="B17" s="45" t="s">
        <v>44</v>
      </c>
      <c r="C17" s="50">
        <v>63</v>
      </c>
      <c r="D17" s="50">
        <v>4</v>
      </c>
      <c r="E17" s="50">
        <v>10</v>
      </c>
      <c r="F17" s="50">
        <v>65</v>
      </c>
      <c r="G17" s="50">
        <v>0</v>
      </c>
      <c r="H17" s="50">
        <v>0</v>
      </c>
      <c r="I17" s="50">
        <v>9</v>
      </c>
      <c r="J17" s="50">
        <v>10</v>
      </c>
      <c r="K17" s="50">
        <v>3</v>
      </c>
      <c r="L17" s="50">
        <v>6</v>
      </c>
      <c r="M17" s="50">
        <v>83</v>
      </c>
      <c r="N17" s="50">
        <v>0</v>
      </c>
      <c r="O17" s="15">
        <f t="shared" si="0"/>
        <v>170</v>
      </c>
      <c r="P17" s="15">
        <f t="shared" si="1"/>
        <v>253</v>
      </c>
      <c r="R17" s="1" t="s">
        <v>13</v>
      </c>
      <c r="S17" s="17">
        <f t="shared" ref="S17:AF17" si="9">SUM(C38:C41)</f>
        <v>230</v>
      </c>
      <c r="T17" s="17">
        <f t="shared" si="9"/>
        <v>100</v>
      </c>
      <c r="U17" s="17">
        <f t="shared" si="9"/>
        <v>57</v>
      </c>
      <c r="V17" s="17">
        <f t="shared" si="9"/>
        <v>80</v>
      </c>
      <c r="W17" s="17">
        <f t="shared" si="9"/>
        <v>1</v>
      </c>
      <c r="X17" s="17">
        <f t="shared" si="9"/>
        <v>1</v>
      </c>
      <c r="Y17" s="17">
        <f t="shared" si="9"/>
        <v>19</v>
      </c>
      <c r="Z17" s="17">
        <f t="shared" si="9"/>
        <v>74</v>
      </c>
      <c r="AA17" s="17">
        <f t="shared" si="9"/>
        <v>25</v>
      </c>
      <c r="AB17" s="17">
        <f t="shared" si="9"/>
        <v>25</v>
      </c>
      <c r="AC17" s="17">
        <f t="shared" si="9"/>
        <v>534</v>
      </c>
      <c r="AD17" s="17">
        <f t="shared" si="9"/>
        <v>0</v>
      </c>
      <c r="AE17" s="31">
        <f t="shared" si="9"/>
        <v>612</v>
      </c>
      <c r="AF17" s="31">
        <f t="shared" si="9"/>
        <v>1146</v>
      </c>
    </row>
    <row r="18" spans="2:32" ht="23.1" customHeight="1" x14ac:dyDescent="0.25">
      <c r="B18" s="45" t="s">
        <v>45</v>
      </c>
      <c r="C18" s="50">
        <v>79</v>
      </c>
      <c r="D18" s="50">
        <v>8</v>
      </c>
      <c r="E18" s="50">
        <v>6</v>
      </c>
      <c r="F18" s="50">
        <v>10</v>
      </c>
      <c r="G18" s="50">
        <v>1</v>
      </c>
      <c r="H18" s="50">
        <v>0</v>
      </c>
      <c r="I18" s="50">
        <v>17</v>
      </c>
      <c r="J18" s="50">
        <v>13</v>
      </c>
      <c r="K18" s="50">
        <v>17</v>
      </c>
      <c r="L18" s="50">
        <v>4</v>
      </c>
      <c r="M18" s="50">
        <v>118</v>
      </c>
      <c r="N18" s="50">
        <v>0</v>
      </c>
      <c r="O18" s="15">
        <f t="shared" si="0"/>
        <v>155</v>
      </c>
      <c r="P18" s="15">
        <f t="shared" si="1"/>
        <v>273</v>
      </c>
      <c r="R18" s="1" t="s">
        <v>14</v>
      </c>
      <c r="S18" s="17">
        <f t="shared" ref="S18:AF18" si="10">SUM(C42:C45)</f>
        <v>262</v>
      </c>
      <c r="T18" s="17">
        <f t="shared" si="10"/>
        <v>104</v>
      </c>
      <c r="U18" s="17">
        <f t="shared" si="10"/>
        <v>45</v>
      </c>
      <c r="V18" s="17">
        <f t="shared" si="10"/>
        <v>71</v>
      </c>
      <c r="W18" s="17">
        <f t="shared" si="10"/>
        <v>4</v>
      </c>
      <c r="X18" s="17">
        <f t="shared" si="10"/>
        <v>2</v>
      </c>
      <c r="Y18" s="17">
        <f t="shared" si="10"/>
        <v>12</v>
      </c>
      <c r="Z18" s="17">
        <f t="shared" si="10"/>
        <v>84</v>
      </c>
      <c r="AA18" s="17">
        <f t="shared" si="10"/>
        <v>31</v>
      </c>
      <c r="AB18" s="17">
        <f t="shared" si="10"/>
        <v>27</v>
      </c>
      <c r="AC18" s="17">
        <f t="shared" si="10"/>
        <v>509</v>
      </c>
      <c r="AD18" s="17">
        <f t="shared" si="10"/>
        <v>0</v>
      </c>
      <c r="AE18" s="31">
        <f t="shared" si="10"/>
        <v>642</v>
      </c>
      <c r="AF18" s="31">
        <f t="shared" si="10"/>
        <v>1151</v>
      </c>
    </row>
    <row r="19" spans="2:32" ht="23.1" customHeight="1" x14ac:dyDescent="0.25">
      <c r="B19" s="45" t="s">
        <v>46</v>
      </c>
      <c r="C19" s="50">
        <v>53</v>
      </c>
      <c r="D19" s="50">
        <v>12</v>
      </c>
      <c r="E19" s="50">
        <v>8</v>
      </c>
      <c r="F19" s="50">
        <v>35</v>
      </c>
      <c r="G19" s="50">
        <v>0</v>
      </c>
      <c r="H19" s="50">
        <v>0</v>
      </c>
      <c r="I19" s="50">
        <v>13</v>
      </c>
      <c r="J19" s="50">
        <v>5</v>
      </c>
      <c r="K19" s="50">
        <v>4</v>
      </c>
      <c r="L19" s="50">
        <v>8</v>
      </c>
      <c r="M19" s="50">
        <v>63</v>
      </c>
      <c r="N19" s="50">
        <v>0</v>
      </c>
      <c r="O19" s="15">
        <f t="shared" si="0"/>
        <v>138</v>
      </c>
      <c r="P19" s="15">
        <f t="shared" si="1"/>
        <v>201</v>
      </c>
      <c r="R19" s="1" t="s">
        <v>15</v>
      </c>
      <c r="S19" s="17">
        <f t="shared" ref="S19:AF19" si="11">SUM(C46:C49)</f>
        <v>245</v>
      </c>
      <c r="T19" s="17">
        <f t="shared" si="11"/>
        <v>97</v>
      </c>
      <c r="U19" s="17">
        <f t="shared" si="11"/>
        <v>35</v>
      </c>
      <c r="V19" s="17">
        <f t="shared" si="11"/>
        <v>87</v>
      </c>
      <c r="W19" s="17">
        <f t="shared" si="11"/>
        <v>1</v>
      </c>
      <c r="X19" s="17">
        <f t="shared" si="11"/>
        <v>2</v>
      </c>
      <c r="Y19" s="17">
        <f t="shared" si="11"/>
        <v>14</v>
      </c>
      <c r="Z19" s="17">
        <f t="shared" si="11"/>
        <v>69</v>
      </c>
      <c r="AA19" s="17">
        <f t="shared" si="11"/>
        <v>28</v>
      </c>
      <c r="AB19" s="17">
        <f t="shared" si="11"/>
        <v>14</v>
      </c>
      <c r="AC19" s="17">
        <f t="shared" si="11"/>
        <v>495</v>
      </c>
      <c r="AD19" s="17">
        <f t="shared" si="11"/>
        <v>0</v>
      </c>
      <c r="AE19" s="31">
        <f t="shared" si="11"/>
        <v>592</v>
      </c>
      <c r="AF19" s="31">
        <f t="shared" si="11"/>
        <v>1087</v>
      </c>
    </row>
    <row r="20" spans="2:32" ht="23.1" customHeight="1" x14ac:dyDescent="0.25">
      <c r="B20" s="45" t="s">
        <v>47</v>
      </c>
      <c r="C20" s="50">
        <v>43</v>
      </c>
      <c r="D20" s="50">
        <v>2</v>
      </c>
      <c r="E20" s="50">
        <v>6</v>
      </c>
      <c r="F20" s="50">
        <v>48</v>
      </c>
      <c r="G20" s="50">
        <v>0</v>
      </c>
      <c r="H20" s="50">
        <v>0</v>
      </c>
      <c r="I20" s="50">
        <v>11</v>
      </c>
      <c r="J20" s="50">
        <v>4</v>
      </c>
      <c r="K20" s="50">
        <v>3</v>
      </c>
      <c r="L20" s="50">
        <v>4</v>
      </c>
      <c r="M20" s="50">
        <v>59</v>
      </c>
      <c r="N20" s="50">
        <v>0</v>
      </c>
      <c r="O20" s="15">
        <f t="shared" si="0"/>
        <v>121</v>
      </c>
      <c r="P20" s="15">
        <f t="shared" si="1"/>
        <v>180</v>
      </c>
      <c r="R20" s="1" t="s">
        <v>16</v>
      </c>
      <c r="S20" s="17">
        <f t="shared" ref="S20:AF20" si="12">SUM(C50:C53)</f>
        <v>304</v>
      </c>
      <c r="T20" s="17">
        <f t="shared" si="12"/>
        <v>139</v>
      </c>
      <c r="U20" s="17">
        <f t="shared" si="12"/>
        <v>78</v>
      </c>
      <c r="V20" s="17">
        <f t="shared" si="12"/>
        <v>126</v>
      </c>
      <c r="W20" s="17">
        <f t="shared" si="12"/>
        <v>4</v>
      </c>
      <c r="X20" s="17">
        <f t="shared" si="12"/>
        <v>2</v>
      </c>
      <c r="Y20" s="17">
        <f t="shared" si="12"/>
        <v>91</v>
      </c>
      <c r="Z20" s="17">
        <f t="shared" si="12"/>
        <v>75</v>
      </c>
      <c r="AA20" s="17">
        <f t="shared" si="12"/>
        <v>58</v>
      </c>
      <c r="AB20" s="17">
        <f t="shared" si="12"/>
        <v>23</v>
      </c>
      <c r="AC20" s="17">
        <f t="shared" si="12"/>
        <v>481</v>
      </c>
      <c r="AD20" s="17">
        <f t="shared" si="12"/>
        <v>0</v>
      </c>
      <c r="AE20" s="31">
        <f t="shared" si="12"/>
        <v>900</v>
      </c>
      <c r="AF20" s="31">
        <f t="shared" si="12"/>
        <v>1381</v>
      </c>
    </row>
    <row r="21" spans="2:32" ht="23.1" customHeight="1" x14ac:dyDescent="0.25">
      <c r="B21" s="45" t="s">
        <v>48</v>
      </c>
      <c r="C21" s="50">
        <v>37</v>
      </c>
      <c r="D21" s="50">
        <v>7</v>
      </c>
      <c r="E21" s="50">
        <v>4</v>
      </c>
      <c r="F21" s="50">
        <v>34</v>
      </c>
      <c r="G21" s="50">
        <v>4</v>
      </c>
      <c r="H21" s="50">
        <v>1</v>
      </c>
      <c r="I21" s="50">
        <v>17</v>
      </c>
      <c r="J21" s="50">
        <v>2</v>
      </c>
      <c r="K21" s="50">
        <v>4</v>
      </c>
      <c r="L21" s="50">
        <v>6</v>
      </c>
      <c r="M21" s="50">
        <v>75</v>
      </c>
      <c r="N21" s="50">
        <v>0</v>
      </c>
      <c r="O21" s="15">
        <f t="shared" si="0"/>
        <v>116</v>
      </c>
      <c r="P21" s="15">
        <f t="shared" si="1"/>
        <v>191</v>
      </c>
      <c r="R21" s="36" t="s">
        <v>20</v>
      </c>
      <c r="S21" s="34">
        <f t="shared" ref="S21:AF21" si="13">SUM(C54:C57)</f>
        <v>301</v>
      </c>
      <c r="T21" s="17">
        <f t="shared" si="13"/>
        <v>96</v>
      </c>
      <c r="U21" s="17">
        <f t="shared" si="13"/>
        <v>89</v>
      </c>
      <c r="V21" s="17">
        <f t="shared" si="13"/>
        <v>159</v>
      </c>
      <c r="W21" s="17">
        <f t="shared" si="13"/>
        <v>7</v>
      </c>
      <c r="X21" s="17">
        <f t="shared" si="13"/>
        <v>2</v>
      </c>
      <c r="Y21" s="17">
        <f t="shared" si="13"/>
        <v>119</v>
      </c>
      <c r="Z21" s="17">
        <f t="shared" si="13"/>
        <v>126</v>
      </c>
      <c r="AA21" s="17">
        <f t="shared" si="13"/>
        <v>61</v>
      </c>
      <c r="AB21" s="17">
        <f t="shared" si="13"/>
        <v>62</v>
      </c>
      <c r="AC21" s="17">
        <f t="shared" si="13"/>
        <v>468</v>
      </c>
      <c r="AD21" s="17">
        <f t="shared" si="13"/>
        <v>0</v>
      </c>
      <c r="AE21" s="31">
        <f t="shared" si="13"/>
        <v>1022</v>
      </c>
      <c r="AF21" s="31">
        <f t="shared" si="13"/>
        <v>1490</v>
      </c>
    </row>
    <row r="22" spans="2:32" ht="23.1" customHeight="1" x14ac:dyDescent="0.25">
      <c r="B22" s="45" t="s">
        <v>49</v>
      </c>
      <c r="C22" s="50">
        <v>43</v>
      </c>
      <c r="D22" s="50">
        <v>6</v>
      </c>
      <c r="E22" s="50">
        <v>5</v>
      </c>
      <c r="F22" s="50">
        <v>16</v>
      </c>
      <c r="G22" s="50">
        <v>0</v>
      </c>
      <c r="H22" s="50">
        <v>0</v>
      </c>
      <c r="I22" s="50">
        <v>5</v>
      </c>
      <c r="J22" s="50">
        <v>18</v>
      </c>
      <c r="K22" s="50">
        <v>10</v>
      </c>
      <c r="L22" s="50">
        <v>2</v>
      </c>
      <c r="M22" s="50">
        <v>88</v>
      </c>
      <c r="N22" s="50">
        <v>0</v>
      </c>
      <c r="O22" s="15">
        <f t="shared" si="0"/>
        <v>105</v>
      </c>
      <c r="P22" s="15">
        <f t="shared" si="1"/>
        <v>193</v>
      </c>
      <c r="R22" s="36" t="s">
        <v>146</v>
      </c>
      <c r="S22" s="34">
        <f>SUM(C58:C61)</f>
        <v>340</v>
      </c>
      <c r="T22" s="34">
        <f t="shared" ref="T22:AF22" si="14">SUM(D58:D61)</f>
        <v>246</v>
      </c>
      <c r="U22" s="34">
        <f t="shared" si="14"/>
        <v>274</v>
      </c>
      <c r="V22" s="34">
        <f t="shared" si="14"/>
        <v>222</v>
      </c>
      <c r="W22" s="34">
        <f t="shared" si="14"/>
        <v>8</v>
      </c>
      <c r="X22" s="34">
        <f t="shared" si="14"/>
        <v>1</v>
      </c>
      <c r="Y22" s="34">
        <f t="shared" si="14"/>
        <v>48</v>
      </c>
      <c r="Z22" s="34">
        <f t="shared" si="14"/>
        <v>176</v>
      </c>
      <c r="AA22" s="34">
        <f t="shared" si="14"/>
        <v>92</v>
      </c>
      <c r="AB22" s="34">
        <f t="shared" si="14"/>
        <v>41</v>
      </c>
      <c r="AC22" s="34">
        <f t="shared" si="14"/>
        <v>413</v>
      </c>
      <c r="AD22" s="34">
        <f t="shared" si="14"/>
        <v>0</v>
      </c>
      <c r="AE22" s="31">
        <f t="shared" si="14"/>
        <v>1448</v>
      </c>
      <c r="AF22" s="31">
        <f t="shared" si="14"/>
        <v>1861</v>
      </c>
    </row>
    <row r="23" spans="2:32" ht="23.1" customHeight="1" x14ac:dyDescent="0.25">
      <c r="B23" s="45" t="s">
        <v>50</v>
      </c>
      <c r="C23" s="50">
        <v>73</v>
      </c>
      <c r="D23" s="50">
        <v>24</v>
      </c>
      <c r="E23" s="50">
        <v>7</v>
      </c>
      <c r="F23" s="50">
        <v>30</v>
      </c>
      <c r="G23" s="50">
        <v>4</v>
      </c>
      <c r="H23" s="50">
        <v>2</v>
      </c>
      <c r="I23" s="50">
        <v>3</v>
      </c>
      <c r="J23" s="50">
        <v>21</v>
      </c>
      <c r="K23" s="50">
        <v>6</v>
      </c>
      <c r="L23" s="50">
        <v>9</v>
      </c>
      <c r="M23" s="50">
        <v>168</v>
      </c>
      <c r="N23" s="50">
        <v>0</v>
      </c>
      <c r="O23" s="15">
        <f t="shared" si="0"/>
        <v>179</v>
      </c>
      <c r="P23" s="15">
        <f t="shared" si="1"/>
        <v>347</v>
      </c>
      <c r="R23" s="36" t="s">
        <v>147</v>
      </c>
      <c r="S23" s="34">
        <f>SUM(C62:C65)</f>
        <v>331</v>
      </c>
      <c r="T23" s="34">
        <f t="shared" ref="T23:AF23" si="15">SUM(D62:D65)</f>
        <v>285</v>
      </c>
      <c r="U23" s="34">
        <f t="shared" si="15"/>
        <v>271</v>
      </c>
      <c r="V23" s="34">
        <f t="shared" si="15"/>
        <v>226</v>
      </c>
      <c r="W23" s="34">
        <f t="shared" si="15"/>
        <v>3</v>
      </c>
      <c r="X23" s="34">
        <f t="shared" si="15"/>
        <v>0</v>
      </c>
      <c r="Y23" s="34">
        <f t="shared" si="15"/>
        <v>39</v>
      </c>
      <c r="Z23" s="34">
        <f t="shared" si="15"/>
        <v>168</v>
      </c>
      <c r="AA23" s="34">
        <f t="shared" si="15"/>
        <v>87</v>
      </c>
      <c r="AB23" s="34">
        <f t="shared" si="15"/>
        <v>46</v>
      </c>
      <c r="AC23" s="34">
        <f t="shared" si="15"/>
        <v>410</v>
      </c>
      <c r="AD23" s="34">
        <f t="shared" si="15"/>
        <v>0</v>
      </c>
      <c r="AE23" s="31">
        <f t="shared" si="15"/>
        <v>1456</v>
      </c>
      <c r="AF23" s="31">
        <f t="shared" si="15"/>
        <v>1866</v>
      </c>
    </row>
    <row r="24" spans="2:32" ht="23.1" customHeight="1" x14ac:dyDescent="0.25">
      <c r="B24" s="45" t="s">
        <v>51</v>
      </c>
      <c r="C24" s="50">
        <v>40</v>
      </c>
      <c r="D24" s="50">
        <v>21</v>
      </c>
      <c r="E24" s="50">
        <v>9</v>
      </c>
      <c r="F24" s="50">
        <v>22</v>
      </c>
      <c r="G24" s="50">
        <v>2</v>
      </c>
      <c r="H24" s="50">
        <v>0</v>
      </c>
      <c r="I24" s="50">
        <v>8</v>
      </c>
      <c r="J24" s="50">
        <v>22</v>
      </c>
      <c r="K24" s="50">
        <v>7</v>
      </c>
      <c r="L24" s="50">
        <v>9</v>
      </c>
      <c r="M24" s="50">
        <v>107</v>
      </c>
      <c r="N24" s="50">
        <v>0</v>
      </c>
      <c r="O24" s="15">
        <f t="shared" si="0"/>
        <v>140</v>
      </c>
      <c r="P24" s="15">
        <f t="shared" si="1"/>
        <v>247</v>
      </c>
      <c r="R24" s="36" t="s">
        <v>148</v>
      </c>
      <c r="S24" s="34">
        <f>SUM(C66:C69)</f>
        <v>245</v>
      </c>
      <c r="T24" s="34">
        <f t="shared" ref="T24:AF24" si="16">SUM(D66:D69)</f>
        <v>131</v>
      </c>
      <c r="U24" s="34">
        <f t="shared" si="16"/>
        <v>145</v>
      </c>
      <c r="V24" s="34">
        <f t="shared" si="16"/>
        <v>133</v>
      </c>
      <c r="W24" s="34">
        <f t="shared" si="16"/>
        <v>0</v>
      </c>
      <c r="X24" s="34">
        <f t="shared" si="16"/>
        <v>0</v>
      </c>
      <c r="Y24" s="34">
        <f t="shared" si="16"/>
        <v>15</v>
      </c>
      <c r="Z24" s="34">
        <f t="shared" si="16"/>
        <v>111</v>
      </c>
      <c r="AA24" s="34">
        <f t="shared" si="16"/>
        <v>79</v>
      </c>
      <c r="AB24" s="34">
        <f t="shared" si="16"/>
        <v>22</v>
      </c>
      <c r="AC24" s="34">
        <f t="shared" si="16"/>
        <v>245</v>
      </c>
      <c r="AD24" s="34">
        <f t="shared" si="16"/>
        <v>0</v>
      </c>
      <c r="AE24" s="31">
        <f t="shared" si="16"/>
        <v>881</v>
      </c>
      <c r="AF24" s="31">
        <f t="shared" si="16"/>
        <v>1126</v>
      </c>
    </row>
    <row r="25" spans="2:32" ht="23.1" customHeight="1" x14ac:dyDescent="0.25">
      <c r="B25" s="45" t="s">
        <v>52</v>
      </c>
      <c r="C25" s="50">
        <v>64</v>
      </c>
      <c r="D25" s="50">
        <v>19</v>
      </c>
      <c r="E25" s="50">
        <v>10</v>
      </c>
      <c r="F25" s="50">
        <v>25</v>
      </c>
      <c r="G25" s="50">
        <v>4</v>
      </c>
      <c r="H25" s="50">
        <v>3</v>
      </c>
      <c r="I25" s="50">
        <v>3</v>
      </c>
      <c r="J25" s="50">
        <v>17</v>
      </c>
      <c r="K25" s="50">
        <v>9</v>
      </c>
      <c r="L25" s="50">
        <v>3</v>
      </c>
      <c r="M25" s="50">
        <v>187</v>
      </c>
      <c r="N25" s="50">
        <v>0</v>
      </c>
      <c r="O25" s="15">
        <f t="shared" si="0"/>
        <v>157</v>
      </c>
      <c r="P25" s="15">
        <f t="shared" si="1"/>
        <v>344</v>
      </c>
      <c r="R25" s="36" t="s">
        <v>149</v>
      </c>
      <c r="S25" s="34">
        <f>SUM(C70:C73)</f>
        <v>317</v>
      </c>
      <c r="T25" s="34">
        <f t="shared" ref="T25:AF25" si="17">SUM(D70:D73)</f>
        <v>85</v>
      </c>
      <c r="U25" s="34">
        <f t="shared" si="17"/>
        <v>82</v>
      </c>
      <c r="V25" s="34">
        <f t="shared" si="17"/>
        <v>119</v>
      </c>
      <c r="W25" s="34">
        <f t="shared" si="17"/>
        <v>1</v>
      </c>
      <c r="X25" s="34">
        <f t="shared" si="17"/>
        <v>0</v>
      </c>
      <c r="Y25" s="34">
        <f t="shared" si="17"/>
        <v>16</v>
      </c>
      <c r="Z25" s="34">
        <f t="shared" si="17"/>
        <v>96</v>
      </c>
      <c r="AA25" s="34">
        <f t="shared" si="17"/>
        <v>62</v>
      </c>
      <c r="AB25" s="34">
        <f t="shared" si="17"/>
        <v>36</v>
      </c>
      <c r="AC25" s="34">
        <f t="shared" si="17"/>
        <v>419</v>
      </c>
      <c r="AD25" s="34">
        <f t="shared" si="17"/>
        <v>0</v>
      </c>
      <c r="AE25" s="31">
        <f t="shared" si="17"/>
        <v>814</v>
      </c>
      <c r="AF25" s="31">
        <f t="shared" si="17"/>
        <v>1233</v>
      </c>
    </row>
    <row r="26" spans="2:32" ht="23.1" customHeight="1" x14ac:dyDescent="0.25">
      <c r="B26" s="45" t="s">
        <v>53</v>
      </c>
      <c r="C26" s="50">
        <v>70</v>
      </c>
      <c r="D26" s="50">
        <v>35</v>
      </c>
      <c r="E26" s="50">
        <v>16</v>
      </c>
      <c r="F26" s="50">
        <v>22</v>
      </c>
      <c r="G26" s="50">
        <v>4</v>
      </c>
      <c r="H26" s="50">
        <v>0</v>
      </c>
      <c r="I26" s="50">
        <v>2</v>
      </c>
      <c r="J26" s="50">
        <v>28</v>
      </c>
      <c r="K26" s="50">
        <v>2</v>
      </c>
      <c r="L26" s="50">
        <v>5</v>
      </c>
      <c r="M26" s="50">
        <v>147</v>
      </c>
      <c r="N26" s="50">
        <v>0</v>
      </c>
      <c r="O26" s="15">
        <f t="shared" si="0"/>
        <v>184</v>
      </c>
      <c r="P26" s="15">
        <f t="shared" si="1"/>
        <v>331</v>
      </c>
      <c r="R26" s="36" t="s">
        <v>150</v>
      </c>
      <c r="S26" s="34">
        <f>SUM(C74:C77)</f>
        <v>365</v>
      </c>
      <c r="T26" s="34">
        <f t="shared" ref="T26:AF26" si="18">SUM(D74:D77)</f>
        <v>77</v>
      </c>
      <c r="U26" s="34">
        <f t="shared" si="18"/>
        <v>166</v>
      </c>
      <c r="V26" s="34">
        <f t="shared" si="18"/>
        <v>141</v>
      </c>
      <c r="W26" s="34">
        <f t="shared" si="18"/>
        <v>2</v>
      </c>
      <c r="X26" s="34">
        <f t="shared" si="18"/>
        <v>1</v>
      </c>
      <c r="Y26" s="34">
        <f t="shared" si="18"/>
        <v>20</v>
      </c>
      <c r="Z26" s="34">
        <f t="shared" si="18"/>
        <v>114</v>
      </c>
      <c r="AA26" s="34">
        <f t="shared" si="18"/>
        <v>65</v>
      </c>
      <c r="AB26" s="34">
        <f t="shared" si="18"/>
        <v>20</v>
      </c>
      <c r="AC26" s="34">
        <f t="shared" si="18"/>
        <v>475</v>
      </c>
      <c r="AD26" s="34">
        <f t="shared" si="18"/>
        <v>0</v>
      </c>
      <c r="AE26" s="31">
        <f t="shared" si="18"/>
        <v>971</v>
      </c>
      <c r="AF26" s="31">
        <f t="shared" si="18"/>
        <v>1446</v>
      </c>
    </row>
    <row r="27" spans="2:32" ht="23.1" customHeight="1" x14ac:dyDescent="0.25">
      <c r="B27" s="45" t="s">
        <v>54</v>
      </c>
      <c r="C27" s="50">
        <v>90</v>
      </c>
      <c r="D27" s="50">
        <v>44</v>
      </c>
      <c r="E27" s="50">
        <v>10</v>
      </c>
      <c r="F27" s="50">
        <v>31</v>
      </c>
      <c r="G27" s="50">
        <v>11</v>
      </c>
      <c r="H27" s="50">
        <v>2</v>
      </c>
      <c r="I27" s="50">
        <v>9</v>
      </c>
      <c r="J27" s="50">
        <v>24</v>
      </c>
      <c r="K27" s="50">
        <v>5</v>
      </c>
      <c r="L27" s="50">
        <v>6</v>
      </c>
      <c r="M27" s="50">
        <v>145</v>
      </c>
      <c r="N27" s="50">
        <v>0</v>
      </c>
      <c r="O27" s="15">
        <f t="shared" si="0"/>
        <v>232</v>
      </c>
      <c r="P27" s="15">
        <f t="shared" si="1"/>
        <v>377</v>
      </c>
      <c r="R27" s="36" t="s">
        <v>151</v>
      </c>
      <c r="S27" s="34">
        <f>SUM(C78:C81)</f>
        <v>304</v>
      </c>
      <c r="T27" s="34">
        <f t="shared" ref="T27:AF27" si="19">SUM(D78:D81)</f>
        <v>210</v>
      </c>
      <c r="U27" s="34">
        <f t="shared" si="19"/>
        <v>101</v>
      </c>
      <c r="V27" s="34">
        <f t="shared" si="19"/>
        <v>208</v>
      </c>
      <c r="W27" s="34">
        <f t="shared" si="19"/>
        <v>5</v>
      </c>
      <c r="X27" s="34">
        <f t="shared" si="19"/>
        <v>2</v>
      </c>
      <c r="Y27" s="34">
        <f t="shared" si="19"/>
        <v>14</v>
      </c>
      <c r="Z27" s="34">
        <f t="shared" si="19"/>
        <v>70</v>
      </c>
      <c r="AA27" s="34">
        <f t="shared" si="19"/>
        <v>78</v>
      </c>
      <c r="AB27" s="34">
        <f t="shared" si="19"/>
        <v>19</v>
      </c>
      <c r="AC27" s="34">
        <f t="shared" si="19"/>
        <v>398</v>
      </c>
      <c r="AD27" s="34">
        <f t="shared" si="19"/>
        <v>0</v>
      </c>
      <c r="AE27" s="31">
        <f t="shared" si="19"/>
        <v>1011</v>
      </c>
      <c r="AF27" s="31">
        <f t="shared" si="19"/>
        <v>1409</v>
      </c>
    </row>
    <row r="28" spans="2:32" ht="23.1" customHeight="1" x14ac:dyDescent="0.25">
      <c r="B28" s="45" t="s">
        <v>55</v>
      </c>
      <c r="C28" s="50">
        <v>45</v>
      </c>
      <c r="D28" s="50">
        <v>26</v>
      </c>
      <c r="E28" s="50">
        <v>10</v>
      </c>
      <c r="F28" s="50">
        <v>15</v>
      </c>
      <c r="G28" s="50">
        <v>2</v>
      </c>
      <c r="H28" s="50">
        <v>1</v>
      </c>
      <c r="I28" s="50">
        <v>8</v>
      </c>
      <c r="J28" s="50">
        <v>21</v>
      </c>
      <c r="K28" s="50">
        <v>1</v>
      </c>
      <c r="L28" s="50">
        <v>10</v>
      </c>
      <c r="M28" s="50">
        <v>129</v>
      </c>
      <c r="N28" s="50">
        <v>0</v>
      </c>
      <c r="O28" s="15">
        <f t="shared" si="0"/>
        <v>139</v>
      </c>
      <c r="P28" s="15">
        <f t="shared" si="1"/>
        <v>268</v>
      </c>
      <c r="R28" s="36" t="s">
        <v>152</v>
      </c>
      <c r="S28" s="34">
        <f>SUM(C82:C85)</f>
        <v>189</v>
      </c>
      <c r="T28" s="34">
        <f t="shared" ref="T28:AF28" si="20">SUM(D82:D85)</f>
        <v>77</v>
      </c>
      <c r="U28" s="34">
        <f t="shared" si="20"/>
        <v>58</v>
      </c>
      <c r="V28" s="34">
        <f t="shared" si="20"/>
        <v>68</v>
      </c>
      <c r="W28" s="34">
        <f t="shared" si="20"/>
        <v>0</v>
      </c>
      <c r="X28" s="34">
        <f t="shared" si="20"/>
        <v>0</v>
      </c>
      <c r="Y28" s="34">
        <f t="shared" si="20"/>
        <v>12</v>
      </c>
      <c r="Z28" s="34">
        <f t="shared" si="20"/>
        <v>45</v>
      </c>
      <c r="AA28" s="34">
        <f t="shared" si="20"/>
        <v>65</v>
      </c>
      <c r="AB28" s="34">
        <f t="shared" si="20"/>
        <v>17</v>
      </c>
      <c r="AC28" s="34">
        <f t="shared" si="20"/>
        <v>209</v>
      </c>
      <c r="AD28" s="34">
        <f t="shared" si="20"/>
        <v>0</v>
      </c>
      <c r="AE28" s="31">
        <f t="shared" si="20"/>
        <v>531</v>
      </c>
      <c r="AF28" s="31">
        <f t="shared" si="20"/>
        <v>740</v>
      </c>
    </row>
    <row r="29" spans="2:32" ht="23.1" customHeight="1" x14ac:dyDescent="0.25">
      <c r="B29" s="45" t="s">
        <v>56</v>
      </c>
      <c r="C29" s="50">
        <v>46</v>
      </c>
      <c r="D29" s="50">
        <v>41</v>
      </c>
      <c r="E29" s="50">
        <v>9</v>
      </c>
      <c r="F29" s="50">
        <v>29</v>
      </c>
      <c r="G29" s="50">
        <v>3</v>
      </c>
      <c r="H29" s="50">
        <v>1</v>
      </c>
      <c r="I29" s="50">
        <v>2</v>
      </c>
      <c r="J29" s="50">
        <v>13</v>
      </c>
      <c r="K29" s="50">
        <v>2</v>
      </c>
      <c r="L29" s="50">
        <v>2</v>
      </c>
      <c r="M29" s="50">
        <v>138</v>
      </c>
      <c r="N29" s="50">
        <v>0</v>
      </c>
      <c r="O29" s="15">
        <f t="shared" si="0"/>
        <v>148</v>
      </c>
      <c r="P29" s="15">
        <f t="shared" si="1"/>
        <v>286</v>
      </c>
      <c r="R29" s="36" t="s">
        <v>153</v>
      </c>
      <c r="S29" s="34">
        <f>SUM(C86:C89)</f>
        <v>104</v>
      </c>
      <c r="T29" s="34">
        <f t="shared" ref="T29:AF29" si="21">SUM(D86:D89)</f>
        <v>39</v>
      </c>
      <c r="U29" s="34">
        <f t="shared" si="21"/>
        <v>25</v>
      </c>
      <c r="V29" s="34">
        <f t="shared" si="21"/>
        <v>46</v>
      </c>
      <c r="W29" s="34">
        <f t="shared" si="21"/>
        <v>0</v>
      </c>
      <c r="X29" s="34">
        <f t="shared" si="21"/>
        <v>0</v>
      </c>
      <c r="Y29" s="34">
        <f t="shared" si="21"/>
        <v>15</v>
      </c>
      <c r="Z29" s="34">
        <f t="shared" si="21"/>
        <v>51</v>
      </c>
      <c r="AA29" s="34">
        <f t="shared" si="21"/>
        <v>32</v>
      </c>
      <c r="AB29" s="34">
        <f t="shared" si="21"/>
        <v>11</v>
      </c>
      <c r="AC29" s="34">
        <f t="shared" si="21"/>
        <v>146</v>
      </c>
      <c r="AD29" s="34">
        <f t="shared" si="21"/>
        <v>0</v>
      </c>
      <c r="AE29" s="31">
        <f t="shared" si="21"/>
        <v>323</v>
      </c>
      <c r="AF29" s="31">
        <f t="shared" si="21"/>
        <v>469</v>
      </c>
    </row>
    <row r="30" spans="2:32" ht="23.1" customHeight="1" x14ac:dyDescent="0.25">
      <c r="B30" s="45" t="s">
        <v>57</v>
      </c>
      <c r="C30" s="50">
        <v>75</v>
      </c>
      <c r="D30" s="50">
        <v>28</v>
      </c>
      <c r="E30" s="50">
        <v>17</v>
      </c>
      <c r="F30" s="50">
        <v>27</v>
      </c>
      <c r="G30" s="50">
        <v>1</v>
      </c>
      <c r="H30" s="50">
        <v>2</v>
      </c>
      <c r="I30" s="50">
        <v>3</v>
      </c>
      <c r="J30" s="50">
        <v>13</v>
      </c>
      <c r="K30" s="50">
        <v>5</v>
      </c>
      <c r="L30" s="50">
        <v>7</v>
      </c>
      <c r="M30" s="50">
        <v>155</v>
      </c>
      <c r="N30" s="50">
        <v>0</v>
      </c>
      <c r="O30" s="15">
        <f t="shared" si="0"/>
        <v>178</v>
      </c>
      <c r="P30" s="15">
        <f t="shared" si="1"/>
        <v>333</v>
      </c>
      <c r="R30" s="36" t="s">
        <v>154</v>
      </c>
      <c r="S30" s="34">
        <f>SUM(C90:C93)</f>
        <v>114</v>
      </c>
      <c r="T30" s="34">
        <f t="shared" ref="T30:AF30" si="22">SUM(D90:D93)</f>
        <v>36</v>
      </c>
      <c r="U30" s="34">
        <f t="shared" si="22"/>
        <v>37</v>
      </c>
      <c r="V30" s="34">
        <f t="shared" si="22"/>
        <v>45</v>
      </c>
      <c r="W30" s="34">
        <f t="shared" si="22"/>
        <v>0</v>
      </c>
      <c r="X30" s="34">
        <f t="shared" si="22"/>
        <v>0</v>
      </c>
      <c r="Y30" s="34">
        <f t="shared" si="22"/>
        <v>9</v>
      </c>
      <c r="Z30" s="34">
        <f t="shared" si="22"/>
        <v>32</v>
      </c>
      <c r="AA30" s="34">
        <f t="shared" si="22"/>
        <v>45</v>
      </c>
      <c r="AB30" s="34">
        <f t="shared" si="22"/>
        <v>15</v>
      </c>
      <c r="AC30" s="34">
        <f t="shared" si="22"/>
        <v>190</v>
      </c>
      <c r="AD30" s="34">
        <f t="shared" si="22"/>
        <v>0</v>
      </c>
      <c r="AE30" s="31">
        <f t="shared" si="22"/>
        <v>333</v>
      </c>
      <c r="AF30" s="31">
        <f t="shared" si="22"/>
        <v>523</v>
      </c>
    </row>
    <row r="31" spans="2:32" ht="23.1" customHeight="1" x14ac:dyDescent="0.25">
      <c r="B31" s="46" t="s">
        <v>58</v>
      </c>
      <c r="C31" s="50">
        <v>66</v>
      </c>
      <c r="D31" s="50">
        <v>27</v>
      </c>
      <c r="E31" s="50">
        <v>8</v>
      </c>
      <c r="F31" s="50">
        <v>30</v>
      </c>
      <c r="G31" s="50">
        <v>0</v>
      </c>
      <c r="H31" s="50">
        <v>2</v>
      </c>
      <c r="I31" s="50">
        <v>0</v>
      </c>
      <c r="J31" s="50">
        <v>24</v>
      </c>
      <c r="K31" s="50">
        <v>4</v>
      </c>
      <c r="L31" s="50">
        <v>7</v>
      </c>
      <c r="M31" s="50">
        <v>134</v>
      </c>
      <c r="N31" s="50">
        <v>0</v>
      </c>
      <c r="O31" s="15">
        <f t="shared" si="0"/>
        <v>168</v>
      </c>
      <c r="P31" s="15">
        <f t="shared" si="1"/>
        <v>302</v>
      </c>
      <c r="R31" s="36" t="s">
        <v>155</v>
      </c>
      <c r="S31" s="34">
        <f>SUM(C94:C97)</f>
        <v>154</v>
      </c>
      <c r="T31" s="34">
        <f t="shared" ref="T31:AF31" si="23">SUM(D94:D97)</f>
        <v>35</v>
      </c>
      <c r="U31" s="34">
        <f t="shared" si="23"/>
        <v>25</v>
      </c>
      <c r="V31" s="34">
        <f t="shared" si="23"/>
        <v>44</v>
      </c>
      <c r="W31" s="34">
        <f t="shared" si="23"/>
        <v>1</v>
      </c>
      <c r="X31" s="34">
        <f t="shared" si="23"/>
        <v>2</v>
      </c>
      <c r="Y31" s="34">
        <f t="shared" si="23"/>
        <v>16</v>
      </c>
      <c r="Z31" s="34">
        <f t="shared" si="23"/>
        <v>37</v>
      </c>
      <c r="AA31" s="34">
        <f t="shared" si="23"/>
        <v>44</v>
      </c>
      <c r="AB31" s="34">
        <f t="shared" si="23"/>
        <v>15</v>
      </c>
      <c r="AC31" s="34">
        <f t="shared" si="23"/>
        <v>123</v>
      </c>
      <c r="AD31" s="34">
        <f t="shared" si="23"/>
        <v>0</v>
      </c>
      <c r="AE31" s="31">
        <f t="shared" si="23"/>
        <v>373</v>
      </c>
      <c r="AF31" s="31">
        <f t="shared" si="23"/>
        <v>496</v>
      </c>
    </row>
    <row r="32" spans="2:32" ht="23.1" customHeight="1" x14ac:dyDescent="0.25">
      <c r="B32" s="46" t="s">
        <v>59</v>
      </c>
      <c r="C32" s="50">
        <v>76</v>
      </c>
      <c r="D32" s="50">
        <v>28</v>
      </c>
      <c r="E32" s="50">
        <v>14</v>
      </c>
      <c r="F32" s="50">
        <v>28</v>
      </c>
      <c r="G32" s="50">
        <v>3</v>
      </c>
      <c r="H32" s="50">
        <v>0</v>
      </c>
      <c r="I32" s="50">
        <v>4</v>
      </c>
      <c r="J32" s="50">
        <v>20</v>
      </c>
      <c r="K32" s="50">
        <v>2</v>
      </c>
      <c r="L32" s="50">
        <v>4</v>
      </c>
      <c r="M32" s="50">
        <v>172</v>
      </c>
      <c r="N32" s="50">
        <v>0</v>
      </c>
      <c r="O32" s="15">
        <f t="shared" si="0"/>
        <v>179</v>
      </c>
      <c r="P32" s="15">
        <f t="shared" si="1"/>
        <v>351</v>
      </c>
      <c r="R32" s="33" t="s">
        <v>156</v>
      </c>
      <c r="S32" s="34">
        <f>SUM(C98:C101)</f>
        <v>75</v>
      </c>
      <c r="T32" s="34">
        <f t="shared" ref="T32:AF32" si="24">SUM(D98:D101)</f>
        <v>24</v>
      </c>
      <c r="U32" s="34">
        <f t="shared" si="24"/>
        <v>10</v>
      </c>
      <c r="V32" s="34">
        <f t="shared" si="24"/>
        <v>16</v>
      </c>
      <c r="W32" s="34">
        <f t="shared" si="24"/>
        <v>4</v>
      </c>
      <c r="X32" s="34">
        <f t="shared" si="24"/>
        <v>2</v>
      </c>
      <c r="Y32" s="34">
        <f t="shared" si="24"/>
        <v>6</v>
      </c>
      <c r="Z32" s="34">
        <f t="shared" si="24"/>
        <v>35</v>
      </c>
      <c r="AA32" s="34">
        <f t="shared" si="24"/>
        <v>5</v>
      </c>
      <c r="AB32" s="34">
        <f t="shared" si="24"/>
        <v>13</v>
      </c>
      <c r="AC32" s="34">
        <f t="shared" si="24"/>
        <v>114</v>
      </c>
      <c r="AD32" s="34">
        <f t="shared" si="24"/>
        <v>0</v>
      </c>
      <c r="AE32" s="31">
        <f t="shared" si="24"/>
        <v>190</v>
      </c>
      <c r="AF32" s="31">
        <f t="shared" si="24"/>
        <v>304</v>
      </c>
    </row>
    <row r="33" spans="2:32" ht="23.1" customHeight="1" x14ac:dyDescent="0.25">
      <c r="B33" s="45" t="s">
        <v>60</v>
      </c>
      <c r="C33" s="50">
        <v>41</v>
      </c>
      <c r="D33" s="50">
        <v>45</v>
      </c>
      <c r="E33" s="50">
        <v>11</v>
      </c>
      <c r="F33" s="50">
        <v>15</v>
      </c>
      <c r="G33" s="50">
        <v>2</v>
      </c>
      <c r="H33" s="50">
        <v>2</v>
      </c>
      <c r="I33" s="50">
        <v>2</v>
      </c>
      <c r="J33" s="50">
        <v>16</v>
      </c>
      <c r="K33" s="50">
        <v>5</v>
      </c>
      <c r="L33" s="50">
        <v>4</v>
      </c>
      <c r="M33" s="50">
        <v>153</v>
      </c>
      <c r="N33" s="50">
        <v>1</v>
      </c>
      <c r="O33" s="15">
        <f t="shared" si="0"/>
        <v>144</v>
      </c>
      <c r="P33" s="15">
        <f t="shared" si="1"/>
        <v>297</v>
      </c>
      <c r="R33" s="33" t="s">
        <v>157</v>
      </c>
      <c r="S33" s="34">
        <f>SUM(C102:C105)</f>
        <v>181</v>
      </c>
      <c r="T33" s="34">
        <f t="shared" ref="T33:AF33" si="25">SUM(D102:D105)</f>
        <v>99</v>
      </c>
      <c r="U33" s="34">
        <f t="shared" si="25"/>
        <v>82</v>
      </c>
      <c r="V33" s="34">
        <f t="shared" si="25"/>
        <v>230</v>
      </c>
      <c r="W33" s="34">
        <f t="shared" si="25"/>
        <v>4</v>
      </c>
      <c r="X33" s="34">
        <f t="shared" si="25"/>
        <v>1</v>
      </c>
      <c r="Y33" s="34">
        <f t="shared" si="25"/>
        <v>139</v>
      </c>
      <c r="Z33" s="34">
        <f t="shared" si="25"/>
        <v>59</v>
      </c>
      <c r="AA33" s="34">
        <f t="shared" si="25"/>
        <v>28</v>
      </c>
      <c r="AB33" s="34">
        <f t="shared" si="25"/>
        <v>38</v>
      </c>
      <c r="AC33" s="34">
        <f t="shared" si="25"/>
        <v>319</v>
      </c>
      <c r="AD33" s="34">
        <f t="shared" si="25"/>
        <v>0</v>
      </c>
      <c r="AE33" s="31">
        <f t="shared" si="25"/>
        <v>861</v>
      </c>
      <c r="AF33" s="31">
        <f t="shared" si="25"/>
        <v>1180</v>
      </c>
    </row>
    <row r="34" spans="2:32" ht="23.1" customHeight="1" x14ac:dyDescent="0.25">
      <c r="B34" s="46" t="s">
        <v>61</v>
      </c>
      <c r="C34" s="50">
        <v>56</v>
      </c>
      <c r="D34" s="50">
        <v>35</v>
      </c>
      <c r="E34" s="50">
        <v>2</v>
      </c>
      <c r="F34" s="50">
        <v>24</v>
      </c>
      <c r="G34" s="50">
        <v>2</v>
      </c>
      <c r="H34" s="50">
        <v>0</v>
      </c>
      <c r="I34" s="50">
        <v>1</v>
      </c>
      <c r="J34" s="50">
        <v>13</v>
      </c>
      <c r="K34" s="50">
        <v>4</v>
      </c>
      <c r="L34" s="50">
        <v>3</v>
      </c>
      <c r="M34" s="50">
        <v>133</v>
      </c>
      <c r="N34" s="50">
        <v>0</v>
      </c>
      <c r="O34" s="15">
        <f t="shared" si="0"/>
        <v>140</v>
      </c>
      <c r="P34" s="15">
        <f t="shared" si="1"/>
        <v>273</v>
      </c>
      <c r="R34" s="38" t="s">
        <v>90</v>
      </c>
      <c r="S34" s="39">
        <f t="shared" ref="S34:AF34" si="26">MAX(S10:S12)</f>
        <v>290</v>
      </c>
      <c r="T34" s="39">
        <f t="shared" si="26"/>
        <v>92</v>
      </c>
      <c r="U34" s="39">
        <f t="shared" si="26"/>
        <v>56</v>
      </c>
      <c r="V34" s="39">
        <f t="shared" si="26"/>
        <v>222</v>
      </c>
      <c r="W34" s="39">
        <f t="shared" si="26"/>
        <v>6</v>
      </c>
      <c r="X34" s="39">
        <f t="shared" si="26"/>
        <v>1</v>
      </c>
      <c r="Y34" s="39">
        <f t="shared" si="26"/>
        <v>92</v>
      </c>
      <c r="Z34" s="39">
        <f t="shared" si="26"/>
        <v>48</v>
      </c>
      <c r="AA34" s="39">
        <f t="shared" si="26"/>
        <v>48</v>
      </c>
      <c r="AB34" s="39">
        <f t="shared" si="26"/>
        <v>26</v>
      </c>
      <c r="AC34" s="39">
        <f t="shared" si="26"/>
        <v>410</v>
      </c>
      <c r="AD34" s="39">
        <f t="shared" si="26"/>
        <v>0</v>
      </c>
      <c r="AE34" s="40">
        <f t="shared" si="26"/>
        <v>792</v>
      </c>
      <c r="AF34" s="40">
        <f t="shared" si="26"/>
        <v>1202</v>
      </c>
    </row>
    <row r="35" spans="2:32" ht="23.1" customHeight="1" x14ac:dyDescent="0.25">
      <c r="B35" s="46" t="s">
        <v>62</v>
      </c>
      <c r="C35" s="50">
        <v>68</v>
      </c>
      <c r="D35" s="50">
        <v>18</v>
      </c>
      <c r="E35" s="50">
        <v>11</v>
      </c>
      <c r="F35" s="50">
        <v>27</v>
      </c>
      <c r="G35" s="50">
        <v>2</v>
      </c>
      <c r="H35" s="50">
        <v>1</v>
      </c>
      <c r="I35" s="50">
        <v>1</v>
      </c>
      <c r="J35" s="50">
        <v>16</v>
      </c>
      <c r="K35" s="50">
        <v>1</v>
      </c>
      <c r="L35" s="50">
        <v>11</v>
      </c>
      <c r="M35" s="50">
        <v>123</v>
      </c>
      <c r="N35" s="50">
        <v>0</v>
      </c>
      <c r="O35" s="15">
        <f t="shared" si="0"/>
        <v>156</v>
      </c>
      <c r="P35" s="15">
        <f t="shared" si="1"/>
        <v>279</v>
      </c>
      <c r="R35" s="38" t="s">
        <v>91</v>
      </c>
      <c r="S35" s="39">
        <f t="shared" ref="S35:AF35" si="27">MAX(S13:S18)</f>
        <v>297</v>
      </c>
      <c r="T35" s="39">
        <f t="shared" si="27"/>
        <v>146</v>
      </c>
      <c r="U35" s="39">
        <f t="shared" si="27"/>
        <v>57</v>
      </c>
      <c r="V35" s="39">
        <f t="shared" si="27"/>
        <v>101</v>
      </c>
      <c r="W35" s="39">
        <f t="shared" si="27"/>
        <v>20</v>
      </c>
      <c r="X35" s="39">
        <f t="shared" si="27"/>
        <v>6</v>
      </c>
      <c r="Y35" s="39">
        <f t="shared" si="27"/>
        <v>21</v>
      </c>
      <c r="Z35" s="39">
        <f t="shared" si="27"/>
        <v>86</v>
      </c>
      <c r="AA35" s="39">
        <f t="shared" si="27"/>
        <v>32</v>
      </c>
      <c r="AB35" s="39">
        <f t="shared" si="27"/>
        <v>27</v>
      </c>
      <c r="AC35" s="39">
        <f t="shared" si="27"/>
        <v>614</v>
      </c>
      <c r="AD35" s="39">
        <f t="shared" si="27"/>
        <v>1</v>
      </c>
      <c r="AE35" s="40">
        <f t="shared" si="27"/>
        <v>703</v>
      </c>
      <c r="AF35" s="40">
        <f t="shared" si="27"/>
        <v>1283</v>
      </c>
    </row>
    <row r="36" spans="2:32" ht="23.1" customHeight="1" x14ac:dyDescent="0.25">
      <c r="B36" s="46" t="s">
        <v>63</v>
      </c>
      <c r="C36" s="50">
        <v>82</v>
      </c>
      <c r="D36" s="50">
        <v>33</v>
      </c>
      <c r="E36" s="50">
        <v>9</v>
      </c>
      <c r="F36" s="50">
        <v>22</v>
      </c>
      <c r="G36" s="50">
        <v>0</v>
      </c>
      <c r="H36" s="50">
        <v>0</v>
      </c>
      <c r="I36" s="50">
        <v>1</v>
      </c>
      <c r="J36" s="50">
        <v>23</v>
      </c>
      <c r="K36" s="50">
        <v>3</v>
      </c>
      <c r="L36" s="50">
        <v>5</v>
      </c>
      <c r="M36" s="50">
        <v>144</v>
      </c>
      <c r="N36" s="50">
        <v>0</v>
      </c>
      <c r="O36" s="15">
        <f t="shared" si="0"/>
        <v>178</v>
      </c>
      <c r="P36" s="15">
        <f t="shared" si="1"/>
        <v>322</v>
      </c>
      <c r="R36" s="38" t="s">
        <v>92</v>
      </c>
      <c r="S36" s="39">
        <f t="shared" ref="S36:AF36" si="28">MAX(S19:S21)</f>
        <v>304</v>
      </c>
      <c r="T36" s="39">
        <f t="shared" si="28"/>
        <v>139</v>
      </c>
      <c r="U36" s="39">
        <f t="shared" si="28"/>
        <v>89</v>
      </c>
      <c r="V36" s="39">
        <f t="shared" si="28"/>
        <v>159</v>
      </c>
      <c r="W36" s="39">
        <f t="shared" si="28"/>
        <v>7</v>
      </c>
      <c r="X36" s="39">
        <f t="shared" si="28"/>
        <v>2</v>
      </c>
      <c r="Y36" s="39">
        <f t="shared" si="28"/>
        <v>119</v>
      </c>
      <c r="Z36" s="39">
        <f t="shared" si="28"/>
        <v>126</v>
      </c>
      <c r="AA36" s="39">
        <f t="shared" si="28"/>
        <v>61</v>
      </c>
      <c r="AB36" s="39">
        <f t="shared" si="28"/>
        <v>62</v>
      </c>
      <c r="AC36" s="39">
        <f t="shared" si="28"/>
        <v>495</v>
      </c>
      <c r="AD36" s="39">
        <f t="shared" si="28"/>
        <v>0</v>
      </c>
      <c r="AE36" s="40">
        <f t="shared" si="28"/>
        <v>1022</v>
      </c>
      <c r="AF36" s="40">
        <f t="shared" si="28"/>
        <v>1490</v>
      </c>
    </row>
    <row r="37" spans="2:32" ht="23.1" customHeight="1" x14ac:dyDescent="0.25">
      <c r="B37" s="45" t="s">
        <v>64</v>
      </c>
      <c r="C37" s="50">
        <v>91</v>
      </c>
      <c r="D37" s="50">
        <v>20</v>
      </c>
      <c r="E37" s="50">
        <v>13</v>
      </c>
      <c r="F37" s="50">
        <v>28</v>
      </c>
      <c r="G37" s="50">
        <v>1</v>
      </c>
      <c r="H37" s="50">
        <v>0</v>
      </c>
      <c r="I37" s="50">
        <v>2</v>
      </c>
      <c r="J37" s="50">
        <v>18</v>
      </c>
      <c r="K37" s="50">
        <v>3</v>
      </c>
      <c r="L37" s="50">
        <v>4</v>
      </c>
      <c r="M37" s="50">
        <v>134</v>
      </c>
      <c r="N37" s="50">
        <v>0</v>
      </c>
      <c r="O37" s="15">
        <f t="shared" si="0"/>
        <v>180</v>
      </c>
      <c r="P37" s="15">
        <f t="shared" si="1"/>
        <v>314</v>
      </c>
      <c r="R37" s="37" t="s">
        <v>85</v>
      </c>
      <c r="S37" s="35">
        <f t="shared" ref="S37:AF37" si="29">SUM(S10:S12)</f>
        <v>772</v>
      </c>
      <c r="T37" s="16">
        <f t="shared" si="29"/>
        <v>164</v>
      </c>
      <c r="U37" s="16">
        <f t="shared" si="29"/>
        <v>117</v>
      </c>
      <c r="V37" s="16">
        <f t="shared" si="29"/>
        <v>484</v>
      </c>
      <c r="W37" s="16">
        <f t="shared" si="29"/>
        <v>14</v>
      </c>
      <c r="X37" s="16">
        <f t="shared" si="29"/>
        <v>2</v>
      </c>
      <c r="Y37" s="16">
        <f t="shared" si="29"/>
        <v>227</v>
      </c>
      <c r="Z37" s="16">
        <f t="shared" si="29"/>
        <v>107</v>
      </c>
      <c r="AA37" s="16">
        <f t="shared" si="29"/>
        <v>99</v>
      </c>
      <c r="AB37" s="16">
        <f t="shared" si="29"/>
        <v>73</v>
      </c>
      <c r="AC37" s="16">
        <f t="shared" si="29"/>
        <v>1060</v>
      </c>
      <c r="AD37" s="16">
        <f t="shared" si="29"/>
        <v>0</v>
      </c>
      <c r="AE37" s="32">
        <f t="shared" si="29"/>
        <v>2059</v>
      </c>
      <c r="AF37" s="32">
        <f t="shared" si="29"/>
        <v>3119</v>
      </c>
    </row>
    <row r="38" spans="2:32" ht="23.1" customHeight="1" x14ac:dyDescent="0.25">
      <c r="B38" s="46" t="s">
        <v>65</v>
      </c>
      <c r="C38" s="50">
        <v>65</v>
      </c>
      <c r="D38" s="50">
        <v>25</v>
      </c>
      <c r="E38" s="50">
        <v>14</v>
      </c>
      <c r="F38" s="50">
        <v>17</v>
      </c>
      <c r="G38" s="50">
        <v>1</v>
      </c>
      <c r="H38" s="50">
        <v>0</v>
      </c>
      <c r="I38" s="50">
        <v>8</v>
      </c>
      <c r="J38" s="50">
        <v>18</v>
      </c>
      <c r="K38" s="50">
        <v>10</v>
      </c>
      <c r="L38" s="50">
        <v>3</v>
      </c>
      <c r="M38" s="50">
        <v>135</v>
      </c>
      <c r="N38" s="50">
        <v>0</v>
      </c>
      <c r="O38" s="15">
        <f t="shared" si="0"/>
        <v>161</v>
      </c>
      <c r="P38" s="15">
        <f t="shared" si="1"/>
        <v>296</v>
      </c>
      <c r="R38" s="28" t="s">
        <v>86</v>
      </c>
      <c r="S38" s="16">
        <f t="shared" ref="S38:AF38" si="30">SUM(S13:S18)</f>
        <v>1518</v>
      </c>
      <c r="T38" s="16">
        <f t="shared" si="30"/>
        <v>654</v>
      </c>
      <c r="U38" s="16">
        <f t="shared" si="30"/>
        <v>263</v>
      </c>
      <c r="V38" s="16">
        <f t="shared" si="30"/>
        <v>542</v>
      </c>
      <c r="W38" s="16">
        <f t="shared" si="30"/>
        <v>46</v>
      </c>
      <c r="X38" s="16">
        <f t="shared" si="30"/>
        <v>19</v>
      </c>
      <c r="Y38" s="16">
        <f t="shared" si="30"/>
        <v>85</v>
      </c>
      <c r="Z38" s="16">
        <f t="shared" si="30"/>
        <v>465</v>
      </c>
      <c r="AA38" s="16">
        <f t="shared" si="30"/>
        <v>125</v>
      </c>
      <c r="AB38" s="16">
        <f t="shared" si="30"/>
        <v>143</v>
      </c>
      <c r="AC38" s="16">
        <f t="shared" si="30"/>
        <v>3300</v>
      </c>
      <c r="AD38" s="16">
        <f t="shared" si="30"/>
        <v>1</v>
      </c>
      <c r="AE38" s="32">
        <f t="shared" si="30"/>
        <v>3861</v>
      </c>
      <c r="AF38" s="32">
        <f t="shared" si="30"/>
        <v>7161</v>
      </c>
    </row>
    <row r="39" spans="2:32" ht="23.1" customHeight="1" x14ac:dyDescent="0.25">
      <c r="B39" s="46" t="s">
        <v>66</v>
      </c>
      <c r="C39" s="50">
        <v>52</v>
      </c>
      <c r="D39" s="50">
        <v>23</v>
      </c>
      <c r="E39" s="50">
        <v>13</v>
      </c>
      <c r="F39" s="50">
        <v>22</v>
      </c>
      <c r="G39" s="50">
        <v>0</v>
      </c>
      <c r="H39" s="50">
        <v>0</v>
      </c>
      <c r="I39" s="50">
        <v>8</v>
      </c>
      <c r="J39" s="50">
        <v>17</v>
      </c>
      <c r="K39" s="50">
        <v>8</v>
      </c>
      <c r="L39" s="50">
        <v>5</v>
      </c>
      <c r="M39" s="50">
        <v>141</v>
      </c>
      <c r="N39" s="50">
        <v>0</v>
      </c>
      <c r="O39" s="15">
        <f t="shared" si="0"/>
        <v>148</v>
      </c>
      <c r="P39" s="15">
        <f t="shared" si="1"/>
        <v>289</v>
      </c>
      <c r="R39" s="29" t="s">
        <v>87</v>
      </c>
      <c r="S39" s="16">
        <f t="shared" ref="S39:AF39" si="31">SUM(S19:S21)</f>
        <v>850</v>
      </c>
      <c r="T39" s="16">
        <f t="shared" si="31"/>
        <v>332</v>
      </c>
      <c r="U39" s="16">
        <f t="shared" si="31"/>
        <v>202</v>
      </c>
      <c r="V39" s="16">
        <f t="shared" si="31"/>
        <v>372</v>
      </c>
      <c r="W39" s="16">
        <f t="shared" si="31"/>
        <v>12</v>
      </c>
      <c r="X39" s="16">
        <f t="shared" si="31"/>
        <v>6</v>
      </c>
      <c r="Y39" s="16">
        <f t="shared" si="31"/>
        <v>224</v>
      </c>
      <c r="Z39" s="16">
        <f t="shared" si="31"/>
        <v>270</v>
      </c>
      <c r="AA39" s="16">
        <f t="shared" si="31"/>
        <v>147</v>
      </c>
      <c r="AB39" s="16">
        <f t="shared" si="31"/>
        <v>99</v>
      </c>
      <c r="AC39" s="16">
        <f t="shared" si="31"/>
        <v>1444</v>
      </c>
      <c r="AD39" s="16">
        <f t="shared" si="31"/>
        <v>0</v>
      </c>
      <c r="AE39" s="32">
        <f t="shared" si="31"/>
        <v>2514</v>
      </c>
      <c r="AF39" s="32">
        <f t="shared" si="31"/>
        <v>3958</v>
      </c>
    </row>
    <row r="40" spans="2:32" ht="23.1" customHeight="1" x14ac:dyDescent="0.25">
      <c r="B40" s="46" t="s">
        <v>67</v>
      </c>
      <c r="C40" s="50">
        <v>45</v>
      </c>
      <c r="D40" s="50">
        <v>32</v>
      </c>
      <c r="E40" s="50">
        <v>16</v>
      </c>
      <c r="F40" s="50">
        <v>21</v>
      </c>
      <c r="G40" s="50">
        <v>0</v>
      </c>
      <c r="H40" s="50">
        <v>0</v>
      </c>
      <c r="I40" s="50">
        <v>3</v>
      </c>
      <c r="J40" s="50">
        <v>15</v>
      </c>
      <c r="K40" s="50">
        <v>3</v>
      </c>
      <c r="L40" s="50">
        <v>12</v>
      </c>
      <c r="M40" s="50">
        <v>121</v>
      </c>
      <c r="N40" s="50">
        <v>0</v>
      </c>
      <c r="O40" s="15">
        <f t="shared" si="0"/>
        <v>147</v>
      </c>
      <c r="P40" s="15">
        <f t="shared" si="1"/>
        <v>268</v>
      </c>
      <c r="R40" s="5" t="s">
        <v>17</v>
      </c>
      <c r="S40" s="16">
        <f t="shared" ref="S40:AF40" si="32">SUM(S10:S21)</f>
        <v>3140</v>
      </c>
      <c r="T40" s="16">
        <f t="shared" si="32"/>
        <v>1150</v>
      </c>
      <c r="U40" s="16">
        <f t="shared" si="32"/>
        <v>582</v>
      </c>
      <c r="V40" s="16">
        <f t="shared" si="32"/>
        <v>1398</v>
      </c>
      <c r="W40" s="16">
        <f t="shared" si="32"/>
        <v>72</v>
      </c>
      <c r="X40" s="16">
        <f t="shared" si="32"/>
        <v>27</v>
      </c>
      <c r="Y40" s="16">
        <f t="shared" si="32"/>
        <v>536</v>
      </c>
      <c r="Z40" s="16">
        <f t="shared" si="32"/>
        <v>842</v>
      </c>
      <c r="AA40" s="16">
        <f t="shared" si="32"/>
        <v>371</v>
      </c>
      <c r="AB40" s="16">
        <f t="shared" si="32"/>
        <v>315</v>
      </c>
      <c r="AC40" s="16">
        <f t="shared" si="32"/>
        <v>5804</v>
      </c>
      <c r="AD40" s="16">
        <f t="shared" si="32"/>
        <v>1</v>
      </c>
      <c r="AE40" s="32">
        <f t="shared" si="32"/>
        <v>8434</v>
      </c>
      <c r="AF40" s="32">
        <f t="shared" si="32"/>
        <v>14238</v>
      </c>
    </row>
    <row r="41" spans="2:32" ht="23.1" customHeight="1" x14ac:dyDescent="0.25">
      <c r="B41" s="45" t="s">
        <v>68</v>
      </c>
      <c r="C41" s="50">
        <v>68</v>
      </c>
      <c r="D41" s="50">
        <v>20</v>
      </c>
      <c r="E41" s="50">
        <v>14</v>
      </c>
      <c r="F41" s="50">
        <v>20</v>
      </c>
      <c r="G41" s="50">
        <v>0</v>
      </c>
      <c r="H41" s="50">
        <v>1</v>
      </c>
      <c r="I41" s="50">
        <v>0</v>
      </c>
      <c r="J41" s="50">
        <v>24</v>
      </c>
      <c r="K41" s="50">
        <v>4</v>
      </c>
      <c r="L41" s="50">
        <v>5</v>
      </c>
      <c r="M41" s="50">
        <v>137</v>
      </c>
      <c r="N41" s="50">
        <v>0</v>
      </c>
      <c r="O41" s="15">
        <f t="shared" si="0"/>
        <v>156</v>
      </c>
      <c r="P41" s="15">
        <f t="shared" si="1"/>
        <v>293</v>
      </c>
      <c r="R41" s="5" t="s">
        <v>159</v>
      </c>
      <c r="S41" s="16">
        <f>SUM(S10:S33)</f>
        <v>5859</v>
      </c>
      <c r="T41" s="16">
        <f t="shared" ref="T41:AF41" si="33">SUM(T10:T33)</f>
        <v>2494</v>
      </c>
      <c r="U41" s="16">
        <f t="shared" si="33"/>
        <v>1858</v>
      </c>
      <c r="V41" s="16">
        <f t="shared" si="33"/>
        <v>2896</v>
      </c>
      <c r="W41" s="16">
        <f t="shared" si="33"/>
        <v>100</v>
      </c>
      <c r="X41" s="16">
        <f t="shared" si="33"/>
        <v>36</v>
      </c>
      <c r="Y41" s="16">
        <f t="shared" si="33"/>
        <v>885</v>
      </c>
      <c r="Z41" s="16">
        <f t="shared" si="33"/>
        <v>1836</v>
      </c>
      <c r="AA41" s="16">
        <f t="shared" si="33"/>
        <v>1053</v>
      </c>
      <c r="AB41" s="16">
        <f t="shared" si="33"/>
        <v>608</v>
      </c>
      <c r="AC41" s="16">
        <f t="shared" si="33"/>
        <v>9265</v>
      </c>
      <c r="AD41" s="16">
        <f t="shared" si="33"/>
        <v>1</v>
      </c>
      <c r="AE41" s="32">
        <f t="shared" si="33"/>
        <v>17626</v>
      </c>
      <c r="AF41" s="32">
        <f t="shared" si="33"/>
        <v>26891</v>
      </c>
    </row>
    <row r="42" spans="2:32" ht="23.1" customHeight="1" x14ac:dyDescent="0.25">
      <c r="B42" s="46" t="s">
        <v>69</v>
      </c>
      <c r="C42" s="50">
        <v>42</v>
      </c>
      <c r="D42" s="50">
        <v>28</v>
      </c>
      <c r="E42" s="50">
        <v>12</v>
      </c>
      <c r="F42" s="50">
        <v>16</v>
      </c>
      <c r="G42" s="50">
        <v>1</v>
      </c>
      <c r="H42" s="50">
        <v>0</v>
      </c>
      <c r="I42" s="50">
        <v>4</v>
      </c>
      <c r="J42" s="50">
        <v>21</v>
      </c>
      <c r="K42" s="50">
        <v>9</v>
      </c>
      <c r="L42" s="50">
        <v>10</v>
      </c>
      <c r="M42" s="50">
        <v>123</v>
      </c>
      <c r="N42" s="50">
        <v>0</v>
      </c>
      <c r="O42" s="15">
        <f t="shared" si="0"/>
        <v>143</v>
      </c>
      <c r="P42" s="15">
        <f t="shared" si="1"/>
        <v>266</v>
      </c>
      <c r="R42" s="5" t="s">
        <v>160</v>
      </c>
      <c r="S42" s="48">
        <f>S41/S40</f>
        <v>1.8659235668789809</v>
      </c>
      <c r="T42" s="48">
        <f t="shared" ref="T42:AF42" si="34">T41/T40</f>
        <v>2.1686956521739131</v>
      </c>
      <c r="U42" s="48">
        <f t="shared" si="34"/>
        <v>3.1924398625429555</v>
      </c>
      <c r="V42" s="48">
        <f t="shared" si="34"/>
        <v>2.0715307582260372</v>
      </c>
      <c r="W42" s="48">
        <f t="shared" si="34"/>
        <v>1.3888888888888888</v>
      </c>
      <c r="X42" s="48">
        <f t="shared" si="34"/>
        <v>1.3333333333333333</v>
      </c>
      <c r="Y42" s="48">
        <f t="shared" si="34"/>
        <v>1.6511194029850746</v>
      </c>
      <c r="Z42" s="48">
        <f t="shared" si="34"/>
        <v>2.1805225653206652</v>
      </c>
      <c r="AA42" s="48">
        <f t="shared" si="34"/>
        <v>2.8382749326145551</v>
      </c>
      <c r="AB42" s="48">
        <f t="shared" si="34"/>
        <v>1.9301587301587302</v>
      </c>
      <c r="AC42" s="48">
        <f t="shared" si="34"/>
        <v>1.5963128876636803</v>
      </c>
      <c r="AD42" s="48">
        <f t="shared" si="34"/>
        <v>1</v>
      </c>
      <c r="AE42" s="48">
        <f t="shared" si="34"/>
        <v>2.0898743182357125</v>
      </c>
      <c r="AF42" s="48">
        <f t="shared" si="34"/>
        <v>1.8886781851383621</v>
      </c>
    </row>
    <row r="43" spans="2:32" ht="23.1" customHeight="1" x14ac:dyDescent="0.25">
      <c r="B43" s="45" t="s">
        <v>70</v>
      </c>
      <c r="C43" s="50">
        <v>71</v>
      </c>
      <c r="D43" s="50">
        <v>30</v>
      </c>
      <c r="E43" s="50">
        <v>9</v>
      </c>
      <c r="F43" s="50">
        <v>20</v>
      </c>
      <c r="G43" s="50">
        <v>2</v>
      </c>
      <c r="H43" s="50">
        <v>0</v>
      </c>
      <c r="I43" s="50">
        <v>3</v>
      </c>
      <c r="J43" s="50">
        <v>24</v>
      </c>
      <c r="K43" s="50">
        <v>8</v>
      </c>
      <c r="L43" s="50">
        <v>6</v>
      </c>
      <c r="M43" s="50">
        <v>126</v>
      </c>
      <c r="N43" s="50">
        <v>0</v>
      </c>
      <c r="O43" s="15">
        <f t="shared" si="0"/>
        <v>173</v>
      </c>
      <c r="P43" s="15">
        <f t="shared" si="1"/>
        <v>299</v>
      </c>
    </row>
    <row r="44" spans="2:32" ht="23.1" customHeight="1" x14ac:dyDescent="0.25">
      <c r="B44" s="47" t="s">
        <v>71</v>
      </c>
      <c r="C44" s="50">
        <v>55</v>
      </c>
      <c r="D44" s="50">
        <v>28</v>
      </c>
      <c r="E44" s="50">
        <v>10</v>
      </c>
      <c r="F44" s="50">
        <v>15</v>
      </c>
      <c r="G44" s="50">
        <v>1</v>
      </c>
      <c r="H44" s="50">
        <v>1</v>
      </c>
      <c r="I44" s="50">
        <v>3</v>
      </c>
      <c r="J44" s="50">
        <v>19</v>
      </c>
      <c r="K44" s="50">
        <v>9</v>
      </c>
      <c r="L44" s="50">
        <v>8</v>
      </c>
      <c r="M44" s="50">
        <v>117</v>
      </c>
      <c r="N44" s="50">
        <v>0</v>
      </c>
      <c r="O44" s="15">
        <f t="shared" si="0"/>
        <v>149</v>
      </c>
      <c r="P44" s="15">
        <f t="shared" si="1"/>
        <v>266</v>
      </c>
    </row>
    <row r="45" spans="2:32" ht="23.1" customHeight="1" x14ac:dyDescent="0.25">
      <c r="B45" s="45" t="s">
        <v>72</v>
      </c>
      <c r="C45" s="50">
        <v>94</v>
      </c>
      <c r="D45" s="50">
        <v>18</v>
      </c>
      <c r="E45" s="50">
        <v>14</v>
      </c>
      <c r="F45" s="50">
        <v>20</v>
      </c>
      <c r="G45" s="50">
        <v>0</v>
      </c>
      <c r="H45" s="50">
        <v>1</v>
      </c>
      <c r="I45" s="50">
        <v>2</v>
      </c>
      <c r="J45" s="50">
        <v>20</v>
      </c>
      <c r="K45" s="50">
        <v>5</v>
      </c>
      <c r="L45" s="50">
        <v>3</v>
      </c>
      <c r="M45" s="50">
        <v>143</v>
      </c>
      <c r="N45" s="50">
        <v>0</v>
      </c>
      <c r="O45" s="15">
        <f t="shared" si="0"/>
        <v>177</v>
      </c>
      <c r="P45" s="15">
        <f t="shared" si="1"/>
        <v>320</v>
      </c>
    </row>
    <row r="46" spans="2:32" ht="23.1" customHeight="1" x14ac:dyDescent="0.25">
      <c r="B46" s="46" t="s">
        <v>73</v>
      </c>
      <c r="C46" s="50">
        <v>74</v>
      </c>
      <c r="D46" s="50">
        <v>26</v>
      </c>
      <c r="E46" s="50">
        <v>10</v>
      </c>
      <c r="F46" s="50">
        <v>16</v>
      </c>
      <c r="G46" s="50">
        <v>0</v>
      </c>
      <c r="H46" s="50">
        <v>1</v>
      </c>
      <c r="I46" s="50">
        <v>1</v>
      </c>
      <c r="J46" s="50">
        <v>21</v>
      </c>
      <c r="K46" s="50">
        <v>13</v>
      </c>
      <c r="L46" s="50">
        <v>2</v>
      </c>
      <c r="M46" s="50">
        <v>155</v>
      </c>
      <c r="N46" s="50">
        <v>0</v>
      </c>
      <c r="O46" s="15">
        <f t="shared" si="0"/>
        <v>164</v>
      </c>
      <c r="P46" s="15">
        <f t="shared" si="1"/>
        <v>319</v>
      </c>
      <c r="R46" s="8"/>
      <c r="T46"/>
    </row>
    <row r="47" spans="2:32" ht="23.1" customHeight="1" x14ac:dyDescent="0.25">
      <c r="B47" s="46" t="s">
        <v>74</v>
      </c>
      <c r="C47" s="50">
        <v>70</v>
      </c>
      <c r="D47" s="50">
        <v>30</v>
      </c>
      <c r="E47" s="50">
        <v>13</v>
      </c>
      <c r="F47" s="50">
        <v>23</v>
      </c>
      <c r="G47" s="50">
        <v>0</v>
      </c>
      <c r="H47" s="50">
        <v>0</v>
      </c>
      <c r="I47" s="50">
        <v>3</v>
      </c>
      <c r="J47" s="50">
        <v>19</v>
      </c>
      <c r="K47" s="50">
        <v>6</v>
      </c>
      <c r="L47" s="50">
        <v>1</v>
      </c>
      <c r="M47" s="50">
        <v>107</v>
      </c>
      <c r="N47" s="50">
        <v>0</v>
      </c>
      <c r="O47" s="15">
        <f t="shared" si="0"/>
        <v>165</v>
      </c>
      <c r="P47" s="15">
        <f t="shared" si="1"/>
        <v>272</v>
      </c>
      <c r="R47" s="8"/>
      <c r="T47"/>
    </row>
    <row r="48" spans="2:32" ht="23.1" customHeight="1" x14ac:dyDescent="0.25">
      <c r="B48" s="46" t="s">
        <v>75</v>
      </c>
      <c r="C48" s="50">
        <v>41</v>
      </c>
      <c r="D48" s="50">
        <v>21</v>
      </c>
      <c r="E48" s="50">
        <v>7</v>
      </c>
      <c r="F48" s="50">
        <v>29</v>
      </c>
      <c r="G48" s="50">
        <v>0</v>
      </c>
      <c r="H48" s="50">
        <v>1</v>
      </c>
      <c r="I48" s="50">
        <v>2</v>
      </c>
      <c r="J48" s="50">
        <v>18</v>
      </c>
      <c r="K48" s="50">
        <v>4</v>
      </c>
      <c r="L48" s="50">
        <v>8</v>
      </c>
      <c r="M48" s="50">
        <v>130</v>
      </c>
      <c r="N48" s="50">
        <v>0</v>
      </c>
      <c r="O48" s="15">
        <f t="shared" si="0"/>
        <v>131</v>
      </c>
      <c r="P48" s="15">
        <f t="shared" si="1"/>
        <v>261</v>
      </c>
      <c r="R48" s="8"/>
      <c r="T48"/>
    </row>
    <row r="49" spans="2:20" ht="23.1" customHeight="1" x14ac:dyDescent="0.25">
      <c r="B49" s="45" t="s">
        <v>76</v>
      </c>
      <c r="C49" s="50">
        <v>60</v>
      </c>
      <c r="D49" s="50">
        <v>20</v>
      </c>
      <c r="E49" s="50">
        <v>5</v>
      </c>
      <c r="F49" s="50">
        <v>19</v>
      </c>
      <c r="G49" s="50">
        <v>1</v>
      </c>
      <c r="H49" s="50">
        <v>0</v>
      </c>
      <c r="I49" s="50">
        <v>8</v>
      </c>
      <c r="J49" s="50">
        <v>11</v>
      </c>
      <c r="K49" s="50">
        <v>5</v>
      </c>
      <c r="L49" s="50">
        <v>3</v>
      </c>
      <c r="M49" s="50">
        <v>103</v>
      </c>
      <c r="N49" s="50">
        <v>0</v>
      </c>
      <c r="O49" s="15">
        <f t="shared" si="0"/>
        <v>132</v>
      </c>
      <c r="P49" s="15">
        <f t="shared" si="1"/>
        <v>235</v>
      </c>
      <c r="R49" s="8"/>
      <c r="T49"/>
    </row>
    <row r="50" spans="2:20" ht="23.1" customHeight="1" x14ac:dyDescent="0.25">
      <c r="B50" s="46" t="s">
        <v>77</v>
      </c>
      <c r="C50" s="50">
        <v>68</v>
      </c>
      <c r="D50" s="50">
        <v>27</v>
      </c>
      <c r="E50" s="50">
        <v>19</v>
      </c>
      <c r="F50" s="50">
        <v>29</v>
      </c>
      <c r="G50" s="50">
        <v>2</v>
      </c>
      <c r="H50" s="50">
        <v>0</v>
      </c>
      <c r="I50" s="50">
        <v>1</v>
      </c>
      <c r="J50" s="50">
        <v>8</v>
      </c>
      <c r="K50" s="50">
        <v>8</v>
      </c>
      <c r="L50" s="50">
        <v>3</v>
      </c>
      <c r="M50" s="50">
        <v>140</v>
      </c>
      <c r="N50" s="50">
        <v>0</v>
      </c>
      <c r="O50" s="15">
        <f t="shared" si="0"/>
        <v>165</v>
      </c>
      <c r="P50" s="15">
        <f t="shared" si="1"/>
        <v>305</v>
      </c>
      <c r="R50" s="8"/>
      <c r="T50"/>
    </row>
    <row r="51" spans="2:20" ht="23.1" customHeight="1" x14ac:dyDescent="0.25">
      <c r="B51" s="46" t="s">
        <v>78</v>
      </c>
      <c r="C51" s="50">
        <v>60</v>
      </c>
      <c r="D51" s="50">
        <v>29</v>
      </c>
      <c r="E51" s="50">
        <v>13</v>
      </c>
      <c r="F51" s="50">
        <v>12</v>
      </c>
      <c r="G51" s="50">
        <v>2</v>
      </c>
      <c r="H51" s="50">
        <v>0</v>
      </c>
      <c r="I51" s="50">
        <v>1</v>
      </c>
      <c r="J51" s="50">
        <v>16</v>
      </c>
      <c r="K51" s="50">
        <v>3</v>
      </c>
      <c r="L51" s="50">
        <v>6</v>
      </c>
      <c r="M51" s="50">
        <v>120</v>
      </c>
      <c r="N51" s="50">
        <v>0</v>
      </c>
      <c r="O51" s="15">
        <f t="shared" si="0"/>
        <v>142</v>
      </c>
      <c r="P51" s="15">
        <f t="shared" si="1"/>
        <v>262</v>
      </c>
      <c r="R51" s="8"/>
      <c r="T51"/>
    </row>
    <row r="52" spans="2:20" ht="23.1" customHeight="1" x14ac:dyDescent="0.25">
      <c r="B52" s="46" t="s">
        <v>79</v>
      </c>
      <c r="C52" s="50">
        <v>93</v>
      </c>
      <c r="D52" s="50">
        <v>60</v>
      </c>
      <c r="E52" s="50">
        <v>26</v>
      </c>
      <c r="F52" s="50">
        <v>21</v>
      </c>
      <c r="G52" s="50">
        <v>0</v>
      </c>
      <c r="H52" s="50">
        <v>0</v>
      </c>
      <c r="I52" s="50">
        <v>12</v>
      </c>
      <c r="J52" s="50">
        <v>24</v>
      </c>
      <c r="K52" s="50">
        <v>26</v>
      </c>
      <c r="L52" s="50">
        <v>7</v>
      </c>
      <c r="M52" s="50">
        <v>118</v>
      </c>
      <c r="N52" s="50">
        <v>0</v>
      </c>
      <c r="O52" s="15">
        <f t="shared" si="0"/>
        <v>269</v>
      </c>
      <c r="P52" s="15">
        <f t="shared" si="1"/>
        <v>387</v>
      </c>
      <c r="R52" s="8"/>
      <c r="T52"/>
    </row>
    <row r="53" spans="2:20" ht="23.1" customHeight="1" x14ac:dyDescent="0.25">
      <c r="B53" s="45" t="s">
        <v>80</v>
      </c>
      <c r="C53" s="50">
        <v>83</v>
      </c>
      <c r="D53" s="50">
        <v>23</v>
      </c>
      <c r="E53" s="50">
        <v>20</v>
      </c>
      <c r="F53" s="50">
        <v>64</v>
      </c>
      <c r="G53" s="50">
        <v>0</v>
      </c>
      <c r="H53" s="50">
        <v>2</v>
      </c>
      <c r="I53" s="50">
        <v>77</v>
      </c>
      <c r="J53" s="50">
        <v>27</v>
      </c>
      <c r="K53" s="50">
        <v>21</v>
      </c>
      <c r="L53" s="50">
        <v>7</v>
      </c>
      <c r="M53" s="50">
        <v>103</v>
      </c>
      <c r="N53" s="50">
        <v>0</v>
      </c>
      <c r="O53" s="15">
        <f t="shared" si="0"/>
        <v>324</v>
      </c>
      <c r="P53" s="15">
        <f t="shared" si="1"/>
        <v>427</v>
      </c>
      <c r="R53" s="8"/>
      <c r="T53"/>
    </row>
    <row r="54" spans="2:20" ht="23.1" customHeight="1" x14ac:dyDescent="0.25">
      <c r="B54" s="45" t="s">
        <v>81</v>
      </c>
      <c r="C54" s="50">
        <v>64</v>
      </c>
      <c r="D54" s="50">
        <v>18</v>
      </c>
      <c r="E54" s="50">
        <v>23</v>
      </c>
      <c r="F54" s="50">
        <v>13</v>
      </c>
      <c r="G54" s="50">
        <v>0</v>
      </c>
      <c r="H54" s="50">
        <v>1</v>
      </c>
      <c r="I54" s="50">
        <v>23</v>
      </c>
      <c r="J54" s="50">
        <v>27</v>
      </c>
      <c r="K54" s="50">
        <v>17</v>
      </c>
      <c r="L54" s="50">
        <v>13</v>
      </c>
      <c r="M54" s="50">
        <v>93</v>
      </c>
      <c r="N54" s="50">
        <v>0</v>
      </c>
      <c r="O54" s="15">
        <f t="shared" si="0"/>
        <v>199</v>
      </c>
      <c r="P54" s="15">
        <f t="shared" si="1"/>
        <v>292</v>
      </c>
      <c r="R54" s="8"/>
      <c r="T54"/>
    </row>
    <row r="55" spans="2:20" ht="23.1" customHeight="1" x14ac:dyDescent="0.25">
      <c r="B55" s="45" t="s">
        <v>82</v>
      </c>
      <c r="C55" s="50">
        <v>53</v>
      </c>
      <c r="D55" s="50">
        <v>23</v>
      </c>
      <c r="E55" s="50">
        <v>23</v>
      </c>
      <c r="F55" s="50">
        <v>33</v>
      </c>
      <c r="G55" s="50">
        <v>0</v>
      </c>
      <c r="H55" s="50">
        <v>1</v>
      </c>
      <c r="I55" s="50">
        <v>20</v>
      </c>
      <c r="J55" s="50">
        <v>40</v>
      </c>
      <c r="K55" s="50">
        <v>15</v>
      </c>
      <c r="L55" s="50">
        <v>12</v>
      </c>
      <c r="M55" s="50">
        <v>103</v>
      </c>
      <c r="N55" s="50">
        <v>0</v>
      </c>
      <c r="O55" s="15">
        <f t="shared" si="0"/>
        <v>220</v>
      </c>
      <c r="P55" s="15">
        <f t="shared" si="1"/>
        <v>323</v>
      </c>
      <c r="R55" s="8"/>
      <c r="T55"/>
    </row>
    <row r="56" spans="2:20" ht="23.1" customHeight="1" x14ac:dyDescent="0.25">
      <c r="B56" s="45" t="s">
        <v>83</v>
      </c>
      <c r="C56" s="50">
        <v>85</v>
      </c>
      <c r="D56" s="50">
        <v>30</v>
      </c>
      <c r="E56" s="50">
        <v>13</v>
      </c>
      <c r="F56" s="50">
        <v>63</v>
      </c>
      <c r="G56" s="50">
        <v>5</v>
      </c>
      <c r="H56" s="50">
        <v>0</v>
      </c>
      <c r="I56" s="50">
        <v>37</v>
      </c>
      <c r="J56" s="50">
        <v>21</v>
      </c>
      <c r="K56" s="50">
        <v>20</v>
      </c>
      <c r="L56" s="50">
        <v>19</v>
      </c>
      <c r="M56" s="50">
        <v>94</v>
      </c>
      <c r="N56" s="50">
        <v>0</v>
      </c>
      <c r="O56" s="15">
        <f t="shared" si="0"/>
        <v>293</v>
      </c>
      <c r="P56" s="15">
        <f t="shared" si="1"/>
        <v>387</v>
      </c>
      <c r="R56" s="8"/>
      <c r="T56"/>
    </row>
    <row r="57" spans="2:20" ht="23.1" customHeight="1" x14ac:dyDescent="0.25">
      <c r="B57" s="45" t="s">
        <v>84</v>
      </c>
      <c r="C57" s="50">
        <v>99</v>
      </c>
      <c r="D57" s="50">
        <v>25</v>
      </c>
      <c r="E57" s="50">
        <v>30</v>
      </c>
      <c r="F57" s="50">
        <v>50</v>
      </c>
      <c r="G57" s="50">
        <v>2</v>
      </c>
      <c r="H57" s="50">
        <v>0</v>
      </c>
      <c r="I57" s="50">
        <v>39</v>
      </c>
      <c r="J57" s="50">
        <v>38</v>
      </c>
      <c r="K57" s="50">
        <v>9</v>
      </c>
      <c r="L57" s="50">
        <v>18</v>
      </c>
      <c r="M57" s="50">
        <v>178</v>
      </c>
      <c r="N57" s="50">
        <v>0</v>
      </c>
      <c r="O57" s="15">
        <f t="shared" si="0"/>
        <v>310</v>
      </c>
      <c r="P57" s="15">
        <f t="shared" si="1"/>
        <v>488</v>
      </c>
      <c r="R57" s="8"/>
      <c r="T57"/>
    </row>
    <row r="58" spans="2:20" ht="23.1" customHeight="1" x14ac:dyDescent="0.25">
      <c r="B58" s="45" t="s">
        <v>99</v>
      </c>
      <c r="C58" s="50">
        <v>92</v>
      </c>
      <c r="D58" s="50">
        <v>67</v>
      </c>
      <c r="E58" s="50">
        <v>62</v>
      </c>
      <c r="F58" s="50">
        <v>55</v>
      </c>
      <c r="G58" s="50">
        <v>3</v>
      </c>
      <c r="H58" s="50">
        <v>0</v>
      </c>
      <c r="I58" s="50">
        <v>12</v>
      </c>
      <c r="J58" s="50">
        <v>43</v>
      </c>
      <c r="K58" s="50">
        <v>19</v>
      </c>
      <c r="L58" s="50">
        <v>8</v>
      </c>
      <c r="M58" s="50">
        <v>103</v>
      </c>
      <c r="N58" s="50">
        <v>0</v>
      </c>
      <c r="O58" s="15">
        <f t="shared" si="0"/>
        <v>361</v>
      </c>
      <c r="P58" s="15">
        <f t="shared" si="1"/>
        <v>464</v>
      </c>
      <c r="R58" s="8"/>
      <c r="T58"/>
    </row>
    <row r="59" spans="2:20" ht="23.1" customHeight="1" x14ac:dyDescent="0.25">
      <c r="B59" s="45" t="s">
        <v>100</v>
      </c>
      <c r="C59" s="50">
        <v>83</v>
      </c>
      <c r="D59" s="50">
        <v>57</v>
      </c>
      <c r="E59" s="50">
        <v>75</v>
      </c>
      <c r="F59" s="50">
        <v>53</v>
      </c>
      <c r="G59" s="50">
        <v>1</v>
      </c>
      <c r="H59" s="50">
        <v>0</v>
      </c>
      <c r="I59" s="50">
        <v>11</v>
      </c>
      <c r="J59" s="50">
        <v>45</v>
      </c>
      <c r="K59" s="50">
        <v>22</v>
      </c>
      <c r="L59" s="50">
        <v>12</v>
      </c>
      <c r="M59" s="50">
        <v>98</v>
      </c>
      <c r="N59" s="50">
        <v>0</v>
      </c>
      <c r="O59" s="15">
        <f t="shared" si="0"/>
        <v>359</v>
      </c>
      <c r="P59" s="15">
        <f t="shared" si="1"/>
        <v>457</v>
      </c>
      <c r="R59" s="8"/>
      <c r="T59"/>
    </row>
    <row r="60" spans="2:20" ht="23.1" customHeight="1" x14ac:dyDescent="0.25">
      <c r="B60" s="45" t="s">
        <v>101</v>
      </c>
      <c r="C60" s="50">
        <v>80</v>
      </c>
      <c r="D60" s="50">
        <v>60</v>
      </c>
      <c r="E60" s="50">
        <v>70</v>
      </c>
      <c r="F60" s="50">
        <v>54</v>
      </c>
      <c r="G60" s="50">
        <v>3</v>
      </c>
      <c r="H60" s="50">
        <v>1</v>
      </c>
      <c r="I60" s="50">
        <v>12</v>
      </c>
      <c r="J60" s="50">
        <v>42</v>
      </c>
      <c r="K60" s="50">
        <v>25</v>
      </c>
      <c r="L60" s="50">
        <v>10</v>
      </c>
      <c r="M60" s="50">
        <v>106</v>
      </c>
      <c r="N60" s="50">
        <v>0</v>
      </c>
      <c r="O60" s="15">
        <f t="shared" si="0"/>
        <v>357</v>
      </c>
      <c r="P60" s="15">
        <f t="shared" si="1"/>
        <v>463</v>
      </c>
      <c r="R60" s="8"/>
      <c r="T60"/>
    </row>
    <row r="61" spans="2:20" ht="23.1" customHeight="1" x14ac:dyDescent="0.25">
      <c r="B61" s="45" t="s">
        <v>102</v>
      </c>
      <c r="C61" s="50">
        <v>85</v>
      </c>
      <c r="D61" s="50">
        <v>62</v>
      </c>
      <c r="E61" s="50">
        <v>67</v>
      </c>
      <c r="F61" s="50">
        <v>60</v>
      </c>
      <c r="G61" s="50">
        <v>1</v>
      </c>
      <c r="H61" s="50">
        <v>0</v>
      </c>
      <c r="I61" s="50">
        <v>13</v>
      </c>
      <c r="J61" s="50">
        <v>46</v>
      </c>
      <c r="K61" s="50">
        <v>26</v>
      </c>
      <c r="L61" s="50">
        <v>11</v>
      </c>
      <c r="M61" s="50">
        <v>106</v>
      </c>
      <c r="N61" s="50">
        <v>0</v>
      </c>
      <c r="O61" s="15">
        <f t="shared" si="0"/>
        <v>371</v>
      </c>
      <c r="P61" s="15">
        <f t="shared" si="1"/>
        <v>477</v>
      </c>
      <c r="R61" s="8"/>
      <c r="T61"/>
    </row>
    <row r="62" spans="2:20" ht="23.1" customHeight="1" x14ac:dyDescent="0.25">
      <c r="B62" s="45" t="s">
        <v>107</v>
      </c>
      <c r="C62" s="50">
        <v>83</v>
      </c>
      <c r="D62" s="50">
        <v>75</v>
      </c>
      <c r="E62" s="50">
        <v>70</v>
      </c>
      <c r="F62" s="50">
        <v>59</v>
      </c>
      <c r="G62" s="50">
        <v>2</v>
      </c>
      <c r="H62" s="50">
        <v>0</v>
      </c>
      <c r="I62" s="50">
        <v>10</v>
      </c>
      <c r="J62" s="50">
        <v>41</v>
      </c>
      <c r="K62" s="50">
        <v>24</v>
      </c>
      <c r="L62" s="50">
        <v>11</v>
      </c>
      <c r="M62" s="50">
        <v>108</v>
      </c>
      <c r="N62" s="50">
        <v>0</v>
      </c>
      <c r="O62" s="15">
        <f t="shared" si="0"/>
        <v>375</v>
      </c>
      <c r="P62" s="15">
        <f t="shared" si="1"/>
        <v>483</v>
      </c>
      <c r="R62" s="8"/>
      <c r="T62"/>
    </row>
    <row r="63" spans="2:20" ht="23.1" customHeight="1" x14ac:dyDescent="0.25">
      <c r="B63" s="45" t="s">
        <v>108</v>
      </c>
      <c r="C63" s="50">
        <v>82</v>
      </c>
      <c r="D63" s="50">
        <v>70</v>
      </c>
      <c r="E63" s="50">
        <v>72</v>
      </c>
      <c r="F63" s="50">
        <v>55</v>
      </c>
      <c r="G63" s="50">
        <v>0</v>
      </c>
      <c r="H63" s="50">
        <v>0</v>
      </c>
      <c r="I63" s="50">
        <v>8</v>
      </c>
      <c r="J63" s="50">
        <v>43</v>
      </c>
      <c r="K63" s="50">
        <v>22</v>
      </c>
      <c r="L63" s="50">
        <v>12</v>
      </c>
      <c r="M63" s="50">
        <v>98</v>
      </c>
      <c r="N63" s="50">
        <v>0</v>
      </c>
      <c r="O63" s="15">
        <f t="shared" si="0"/>
        <v>364</v>
      </c>
      <c r="P63" s="15">
        <f t="shared" si="1"/>
        <v>462</v>
      </c>
      <c r="R63" s="8"/>
      <c r="T63"/>
    </row>
    <row r="64" spans="2:20" ht="23.1" customHeight="1" x14ac:dyDescent="0.25">
      <c r="B64" s="45" t="s">
        <v>109</v>
      </c>
      <c r="C64" s="50">
        <v>86</v>
      </c>
      <c r="D64" s="50">
        <v>75</v>
      </c>
      <c r="E64" s="50">
        <v>69</v>
      </c>
      <c r="F64" s="50">
        <v>57</v>
      </c>
      <c r="G64" s="50">
        <v>0</v>
      </c>
      <c r="H64" s="50">
        <v>0</v>
      </c>
      <c r="I64" s="50">
        <v>11</v>
      </c>
      <c r="J64" s="50">
        <v>44</v>
      </c>
      <c r="K64" s="50">
        <v>20</v>
      </c>
      <c r="L64" s="50">
        <v>13</v>
      </c>
      <c r="M64" s="50">
        <v>101</v>
      </c>
      <c r="N64" s="50">
        <v>0</v>
      </c>
      <c r="O64" s="15">
        <f t="shared" si="0"/>
        <v>375</v>
      </c>
      <c r="P64" s="15">
        <f t="shared" si="1"/>
        <v>476</v>
      </c>
      <c r="R64" s="8"/>
      <c r="T64"/>
    </row>
    <row r="65" spans="2:20" ht="23.1" customHeight="1" x14ac:dyDescent="0.25">
      <c r="B65" s="45" t="s">
        <v>158</v>
      </c>
      <c r="C65" s="50">
        <v>80</v>
      </c>
      <c r="D65" s="50">
        <v>65</v>
      </c>
      <c r="E65" s="50">
        <v>60</v>
      </c>
      <c r="F65" s="50">
        <v>55</v>
      </c>
      <c r="G65" s="50">
        <v>1</v>
      </c>
      <c r="H65" s="50">
        <v>0</v>
      </c>
      <c r="I65" s="50">
        <v>10</v>
      </c>
      <c r="J65" s="50">
        <v>40</v>
      </c>
      <c r="K65" s="50">
        <v>21</v>
      </c>
      <c r="L65" s="50">
        <v>10</v>
      </c>
      <c r="M65" s="50">
        <v>103</v>
      </c>
      <c r="N65" s="50">
        <v>0</v>
      </c>
      <c r="O65" s="15">
        <f t="shared" si="0"/>
        <v>342</v>
      </c>
      <c r="P65" s="15">
        <f t="shared" si="1"/>
        <v>445</v>
      </c>
      <c r="R65" s="8"/>
      <c r="T65"/>
    </row>
    <row r="66" spans="2:20" ht="23.1" customHeight="1" x14ac:dyDescent="0.25">
      <c r="B66" s="45" t="s">
        <v>103</v>
      </c>
      <c r="C66" s="50">
        <v>68</v>
      </c>
      <c r="D66" s="50">
        <v>30</v>
      </c>
      <c r="E66" s="50">
        <v>45</v>
      </c>
      <c r="F66" s="50">
        <v>47</v>
      </c>
      <c r="G66" s="50">
        <v>0</v>
      </c>
      <c r="H66" s="50">
        <v>0</v>
      </c>
      <c r="I66" s="50">
        <v>6</v>
      </c>
      <c r="J66" s="50">
        <v>30</v>
      </c>
      <c r="K66" s="50">
        <v>20</v>
      </c>
      <c r="L66" s="50">
        <v>6</v>
      </c>
      <c r="M66" s="50">
        <v>65</v>
      </c>
      <c r="N66" s="50">
        <v>0</v>
      </c>
      <c r="O66" s="15">
        <f t="shared" si="0"/>
        <v>252</v>
      </c>
      <c r="P66" s="15">
        <f t="shared" si="1"/>
        <v>317</v>
      </c>
      <c r="R66" s="8"/>
      <c r="T66"/>
    </row>
    <row r="67" spans="2:20" ht="23.1" customHeight="1" x14ac:dyDescent="0.25">
      <c r="B67" s="45" t="s">
        <v>104</v>
      </c>
      <c r="C67" s="50">
        <v>62</v>
      </c>
      <c r="D67" s="50">
        <v>32</v>
      </c>
      <c r="E67" s="50">
        <v>35</v>
      </c>
      <c r="F67" s="50">
        <v>37</v>
      </c>
      <c r="G67" s="50">
        <v>0</v>
      </c>
      <c r="H67" s="50">
        <v>0</v>
      </c>
      <c r="I67" s="50">
        <v>4</v>
      </c>
      <c r="J67" s="50">
        <v>24</v>
      </c>
      <c r="K67" s="50">
        <v>25</v>
      </c>
      <c r="L67" s="50">
        <v>8</v>
      </c>
      <c r="M67" s="50">
        <v>57</v>
      </c>
      <c r="N67" s="50">
        <v>0</v>
      </c>
      <c r="O67" s="15">
        <f t="shared" si="0"/>
        <v>227</v>
      </c>
      <c r="P67" s="15">
        <f t="shared" si="1"/>
        <v>284</v>
      </c>
      <c r="R67" s="8"/>
      <c r="T67"/>
    </row>
    <row r="68" spans="2:20" ht="23.1" customHeight="1" x14ac:dyDescent="0.25">
      <c r="B68" s="45" t="s">
        <v>105</v>
      </c>
      <c r="C68" s="50">
        <v>60</v>
      </c>
      <c r="D68" s="50">
        <v>35</v>
      </c>
      <c r="E68" s="50">
        <v>36</v>
      </c>
      <c r="F68" s="50">
        <v>29</v>
      </c>
      <c r="G68" s="50">
        <v>0</v>
      </c>
      <c r="H68" s="50">
        <v>0</v>
      </c>
      <c r="I68" s="50">
        <v>3</v>
      </c>
      <c r="J68" s="50">
        <v>32</v>
      </c>
      <c r="K68" s="50">
        <v>21</v>
      </c>
      <c r="L68" s="50">
        <v>5</v>
      </c>
      <c r="M68" s="50">
        <v>58</v>
      </c>
      <c r="N68" s="50">
        <v>0</v>
      </c>
      <c r="O68" s="15">
        <f t="shared" si="0"/>
        <v>221</v>
      </c>
      <c r="P68" s="15">
        <f t="shared" si="1"/>
        <v>279</v>
      </c>
      <c r="R68" s="8"/>
      <c r="T68"/>
    </row>
    <row r="69" spans="2:20" ht="23.1" customHeight="1" x14ac:dyDescent="0.25">
      <c r="B69" s="45" t="s">
        <v>106</v>
      </c>
      <c r="C69" s="50">
        <v>55</v>
      </c>
      <c r="D69" s="50">
        <v>34</v>
      </c>
      <c r="E69" s="50">
        <v>29</v>
      </c>
      <c r="F69" s="50">
        <v>20</v>
      </c>
      <c r="G69" s="50">
        <v>0</v>
      </c>
      <c r="H69" s="50">
        <v>0</v>
      </c>
      <c r="I69" s="50">
        <v>2</v>
      </c>
      <c r="J69" s="50">
        <v>25</v>
      </c>
      <c r="K69" s="50">
        <v>13</v>
      </c>
      <c r="L69" s="50">
        <v>3</v>
      </c>
      <c r="M69" s="50">
        <v>65</v>
      </c>
      <c r="N69" s="50">
        <v>0</v>
      </c>
      <c r="O69" s="15">
        <f t="shared" si="0"/>
        <v>181</v>
      </c>
      <c r="P69" s="15">
        <f t="shared" si="1"/>
        <v>246</v>
      </c>
      <c r="R69" s="8"/>
      <c r="T69"/>
    </row>
    <row r="70" spans="2:20" ht="23.1" customHeight="1" x14ac:dyDescent="0.25">
      <c r="B70" s="45" t="s">
        <v>110</v>
      </c>
      <c r="C70" s="50">
        <v>72</v>
      </c>
      <c r="D70" s="50">
        <v>25</v>
      </c>
      <c r="E70" s="50">
        <v>30</v>
      </c>
      <c r="F70" s="50">
        <v>24</v>
      </c>
      <c r="G70" s="50">
        <v>0</v>
      </c>
      <c r="H70" s="50">
        <v>0</v>
      </c>
      <c r="I70" s="50">
        <v>6</v>
      </c>
      <c r="J70" s="50">
        <v>22</v>
      </c>
      <c r="K70" s="50">
        <v>18</v>
      </c>
      <c r="L70" s="50">
        <v>7</v>
      </c>
      <c r="M70" s="50">
        <v>105</v>
      </c>
      <c r="N70" s="50">
        <v>0</v>
      </c>
      <c r="O70" s="15">
        <f t="shared" si="0"/>
        <v>204</v>
      </c>
      <c r="P70" s="15">
        <f t="shared" si="1"/>
        <v>309</v>
      </c>
      <c r="R70" s="8"/>
      <c r="T70"/>
    </row>
    <row r="71" spans="2:20" ht="23.1" customHeight="1" x14ac:dyDescent="0.25">
      <c r="B71" s="45" t="s">
        <v>111</v>
      </c>
      <c r="C71" s="50">
        <v>69</v>
      </c>
      <c r="D71" s="50">
        <v>22</v>
      </c>
      <c r="E71" s="50">
        <v>11</v>
      </c>
      <c r="F71" s="50">
        <v>22</v>
      </c>
      <c r="G71" s="50">
        <v>0</v>
      </c>
      <c r="H71" s="50">
        <v>0</v>
      </c>
      <c r="I71" s="50">
        <v>5</v>
      </c>
      <c r="J71" s="50">
        <v>20</v>
      </c>
      <c r="K71" s="50">
        <v>12</v>
      </c>
      <c r="L71" s="50">
        <v>10</v>
      </c>
      <c r="M71" s="50">
        <v>110</v>
      </c>
      <c r="N71" s="50">
        <v>0</v>
      </c>
      <c r="O71" s="15">
        <f t="shared" si="0"/>
        <v>171</v>
      </c>
      <c r="P71" s="15">
        <f t="shared" si="1"/>
        <v>281</v>
      </c>
      <c r="R71" s="8"/>
      <c r="T71"/>
    </row>
    <row r="72" spans="2:20" ht="23.1" customHeight="1" x14ac:dyDescent="0.25">
      <c r="B72" s="45" t="s">
        <v>112</v>
      </c>
      <c r="C72" s="50">
        <v>95</v>
      </c>
      <c r="D72" s="50">
        <v>25</v>
      </c>
      <c r="E72" s="50">
        <v>23</v>
      </c>
      <c r="F72" s="50">
        <v>40</v>
      </c>
      <c r="G72" s="50">
        <v>1</v>
      </c>
      <c r="H72" s="50">
        <v>0</v>
      </c>
      <c r="I72" s="50">
        <v>3</v>
      </c>
      <c r="J72" s="50">
        <v>30</v>
      </c>
      <c r="K72" s="50">
        <v>15</v>
      </c>
      <c r="L72" s="50">
        <v>15</v>
      </c>
      <c r="M72" s="50">
        <v>113</v>
      </c>
      <c r="N72" s="50">
        <v>0</v>
      </c>
      <c r="O72" s="15">
        <f t="shared" si="0"/>
        <v>247</v>
      </c>
      <c r="P72" s="15">
        <f t="shared" si="1"/>
        <v>360</v>
      </c>
      <c r="R72" s="8"/>
      <c r="T72"/>
    </row>
    <row r="73" spans="2:20" ht="23.1" customHeight="1" x14ac:dyDescent="0.25">
      <c r="B73" s="45" t="s">
        <v>113</v>
      </c>
      <c r="C73" s="50">
        <v>81</v>
      </c>
      <c r="D73" s="50">
        <v>13</v>
      </c>
      <c r="E73" s="50">
        <v>18</v>
      </c>
      <c r="F73" s="50">
        <v>33</v>
      </c>
      <c r="G73" s="50">
        <v>0</v>
      </c>
      <c r="H73" s="50">
        <v>0</v>
      </c>
      <c r="I73" s="50">
        <v>2</v>
      </c>
      <c r="J73" s="50">
        <v>24</v>
      </c>
      <c r="K73" s="50">
        <v>17</v>
      </c>
      <c r="L73" s="50">
        <v>4</v>
      </c>
      <c r="M73" s="50">
        <v>91</v>
      </c>
      <c r="N73" s="50">
        <v>0</v>
      </c>
      <c r="O73" s="15">
        <f t="shared" si="0"/>
        <v>192</v>
      </c>
      <c r="P73" s="15">
        <f t="shared" si="1"/>
        <v>283</v>
      </c>
      <c r="R73" s="8"/>
      <c r="T73"/>
    </row>
    <row r="74" spans="2:20" ht="23.1" customHeight="1" x14ac:dyDescent="0.25">
      <c r="B74" s="45" t="s">
        <v>114</v>
      </c>
      <c r="C74" s="50">
        <v>93</v>
      </c>
      <c r="D74" s="50">
        <v>23</v>
      </c>
      <c r="E74" s="50">
        <v>20</v>
      </c>
      <c r="F74" s="50">
        <v>41</v>
      </c>
      <c r="G74" s="50">
        <v>2</v>
      </c>
      <c r="H74" s="50">
        <v>1</v>
      </c>
      <c r="I74" s="50">
        <v>8</v>
      </c>
      <c r="J74" s="50">
        <v>19</v>
      </c>
      <c r="K74" s="50">
        <v>24</v>
      </c>
      <c r="L74" s="50">
        <v>3</v>
      </c>
      <c r="M74" s="50">
        <v>119</v>
      </c>
      <c r="N74" s="50">
        <v>0</v>
      </c>
      <c r="O74" s="15">
        <f t="shared" ref="O74:O105" si="35">SUM(C74:L74,N74)</f>
        <v>234</v>
      </c>
      <c r="P74" s="15">
        <f t="shared" ref="P74:P105" si="36">SUM(C74:N74)</f>
        <v>353</v>
      </c>
      <c r="R74" s="8"/>
      <c r="T74"/>
    </row>
    <row r="75" spans="2:20" ht="23.1" customHeight="1" x14ac:dyDescent="0.25">
      <c r="B75" s="45" t="s">
        <v>115</v>
      </c>
      <c r="C75" s="50">
        <v>85</v>
      </c>
      <c r="D75" s="50">
        <v>15</v>
      </c>
      <c r="E75" s="50">
        <v>46</v>
      </c>
      <c r="F75" s="50">
        <v>36</v>
      </c>
      <c r="G75" s="50">
        <v>0</v>
      </c>
      <c r="H75" s="50">
        <v>0</v>
      </c>
      <c r="I75" s="50">
        <v>4</v>
      </c>
      <c r="J75" s="50">
        <v>17</v>
      </c>
      <c r="K75" s="50">
        <v>8</v>
      </c>
      <c r="L75" s="50">
        <v>4</v>
      </c>
      <c r="M75" s="50">
        <v>123</v>
      </c>
      <c r="N75" s="50">
        <v>0</v>
      </c>
      <c r="O75" s="15">
        <f t="shared" si="35"/>
        <v>215</v>
      </c>
      <c r="P75" s="15">
        <f t="shared" si="36"/>
        <v>338</v>
      </c>
      <c r="R75" s="8"/>
      <c r="T75"/>
    </row>
    <row r="76" spans="2:20" ht="23.1" customHeight="1" x14ac:dyDescent="0.25">
      <c r="B76" s="45" t="s">
        <v>116</v>
      </c>
      <c r="C76" s="50">
        <v>88</v>
      </c>
      <c r="D76" s="50">
        <v>19</v>
      </c>
      <c r="E76" s="50">
        <v>55</v>
      </c>
      <c r="F76" s="50">
        <v>30</v>
      </c>
      <c r="G76" s="50">
        <v>0</v>
      </c>
      <c r="H76" s="50">
        <v>0</v>
      </c>
      <c r="I76" s="50">
        <v>3</v>
      </c>
      <c r="J76" s="50">
        <v>43</v>
      </c>
      <c r="K76" s="50">
        <v>15</v>
      </c>
      <c r="L76" s="50">
        <v>6</v>
      </c>
      <c r="M76" s="50">
        <v>119</v>
      </c>
      <c r="N76" s="50">
        <v>0</v>
      </c>
      <c r="O76" s="15">
        <f t="shared" si="35"/>
        <v>259</v>
      </c>
      <c r="P76" s="15">
        <f t="shared" si="36"/>
        <v>378</v>
      </c>
      <c r="R76" s="8"/>
      <c r="T76"/>
    </row>
    <row r="77" spans="2:20" ht="23.1" customHeight="1" x14ac:dyDescent="0.25">
      <c r="B77" s="45" t="s">
        <v>117</v>
      </c>
      <c r="C77" s="50">
        <v>99</v>
      </c>
      <c r="D77" s="50">
        <v>20</v>
      </c>
      <c r="E77" s="50">
        <v>45</v>
      </c>
      <c r="F77" s="50">
        <v>34</v>
      </c>
      <c r="G77" s="50">
        <v>0</v>
      </c>
      <c r="H77" s="50">
        <v>0</v>
      </c>
      <c r="I77" s="50">
        <v>5</v>
      </c>
      <c r="J77" s="50">
        <v>35</v>
      </c>
      <c r="K77" s="50">
        <v>18</v>
      </c>
      <c r="L77" s="50">
        <v>7</v>
      </c>
      <c r="M77" s="50">
        <v>114</v>
      </c>
      <c r="N77" s="50">
        <v>0</v>
      </c>
      <c r="O77" s="15">
        <f t="shared" si="35"/>
        <v>263</v>
      </c>
      <c r="P77" s="15">
        <f t="shared" si="36"/>
        <v>377</v>
      </c>
      <c r="R77" s="8"/>
      <c r="T77"/>
    </row>
    <row r="78" spans="2:20" ht="23.1" customHeight="1" x14ac:dyDescent="0.25">
      <c r="B78" s="46" t="s">
        <v>118</v>
      </c>
      <c r="C78" s="50">
        <v>79</v>
      </c>
      <c r="D78" s="50">
        <v>62</v>
      </c>
      <c r="E78" s="50">
        <v>27</v>
      </c>
      <c r="F78" s="50">
        <v>60</v>
      </c>
      <c r="G78" s="50">
        <v>3</v>
      </c>
      <c r="H78" s="50">
        <v>0</v>
      </c>
      <c r="I78" s="50">
        <v>7</v>
      </c>
      <c r="J78" s="50">
        <v>23</v>
      </c>
      <c r="K78" s="50">
        <v>27</v>
      </c>
      <c r="L78" s="50">
        <v>7</v>
      </c>
      <c r="M78" s="50">
        <v>120</v>
      </c>
      <c r="N78" s="50">
        <v>0</v>
      </c>
      <c r="O78" s="15">
        <f t="shared" si="35"/>
        <v>295</v>
      </c>
      <c r="P78" s="15">
        <f t="shared" si="36"/>
        <v>415</v>
      </c>
      <c r="R78" s="8"/>
      <c r="T78"/>
    </row>
    <row r="79" spans="2:20" ht="23.1" customHeight="1" x14ac:dyDescent="0.25">
      <c r="B79" s="45" t="s">
        <v>119</v>
      </c>
      <c r="C79" s="50">
        <v>85</v>
      </c>
      <c r="D79" s="50">
        <v>70</v>
      </c>
      <c r="E79" s="50">
        <v>24</v>
      </c>
      <c r="F79" s="50">
        <v>65</v>
      </c>
      <c r="G79" s="50">
        <v>1</v>
      </c>
      <c r="H79" s="50">
        <v>0</v>
      </c>
      <c r="I79" s="50">
        <v>2</v>
      </c>
      <c r="J79" s="50">
        <v>16</v>
      </c>
      <c r="K79" s="50">
        <v>25</v>
      </c>
      <c r="L79" s="50">
        <v>4</v>
      </c>
      <c r="M79" s="50">
        <v>93</v>
      </c>
      <c r="N79" s="50">
        <v>0</v>
      </c>
      <c r="O79" s="15">
        <f t="shared" si="35"/>
        <v>292</v>
      </c>
      <c r="P79" s="15">
        <f t="shared" si="36"/>
        <v>385</v>
      </c>
      <c r="R79" s="8"/>
      <c r="T79"/>
    </row>
    <row r="80" spans="2:20" ht="23.1" customHeight="1" x14ac:dyDescent="0.25">
      <c r="B80" s="47" t="s">
        <v>120</v>
      </c>
      <c r="C80" s="50">
        <v>73</v>
      </c>
      <c r="D80" s="50">
        <v>60</v>
      </c>
      <c r="E80" s="50">
        <v>35</v>
      </c>
      <c r="F80" s="50">
        <v>55</v>
      </c>
      <c r="G80" s="50">
        <v>1</v>
      </c>
      <c r="H80" s="50">
        <v>0</v>
      </c>
      <c r="I80" s="50">
        <v>1</v>
      </c>
      <c r="J80" s="50">
        <v>15</v>
      </c>
      <c r="K80" s="50">
        <v>17</v>
      </c>
      <c r="L80" s="50">
        <v>3</v>
      </c>
      <c r="M80" s="50">
        <v>95</v>
      </c>
      <c r="N80" s="50">
        <v>0</v>
      </c>
      <c r="O80" s="15">
        <f t="shared" si="35"/>
        <v>260</v>
      </c>
      <c r="P80" s="15">
        <f t="shared" si="36"/>
        <v>355</v>
      </c>
      <c r="R80" s="8"/>
      <c r="T80"/>
    </row>
    <row r="81" spans="2:20" ht="23.1" customHeight="1" x14ac:dyDescent="0.25">
      <c r="B81" s="45" t="s">
        <v>121</v>
      </c>
      <c r="C81" s="50">
        <v>67</v>
      </c>
      <c r="D81" s="50">
        <v>18</v>
      </c>
      <c r="E81" s="50">
        <v>15</v>
      </c>
      <c r="F81" s="50">
        <v>28</v>
      </c>
      <c r="G81" s="50">
        <v>0</v>
      </c>
      <c r="H81" s="50">
        <v>2</v>
      </c>
      <c r="I81" s="50">
        <v>4</v>
      </c>
      <c r="J81" s="50">
        <v>16</v>
      </c>
      <c r="K81" s="50">
        <v>9</v>
      </c>
      <c r="L81" s="50">
        <v>5</v>
      </c>
      <c r="M81" s="50">
        <v>90</v>
      </c>
      <c r="N81" s="50">
        <v>0</v>
      </c>
      <c r="O81" s="15">
        <f t="shared" si="35"/>
        <v>164</v>
      </c>
      <c r="P81" s="15">
        <f t="shared" si="36"/>
        <v>254</v>
      </c>
      <c r="R81" s="8"/>
      <c r="T81"/>
    </row>
    <row r="82" spans="2:20" ht="23.1" customHeight="1" x14ac:dyDescent="0.25">
      <c r="B82" s="46" t="s">
        <v>122</v>
      </c>
      <c r="C82" s="50">
        <v>52</v>
      </c>
      <c r="D82" s="50">
        <v>20</v>
      </c>
      <c r="E82" s="50">
        <v>13</v>
      </c>
      <c r="F82" s="50">
        <v>16</v>
      </c>
      <c r="G82" s="50">
        <v>0</v>
      </c>
      <c r="H82" s="50">
        <v>0</v>
      </c>
      <c r="I82" s="50">
        <v>7</v>
      </c>
      <c r="J82" s="50">
        <v>9</v>
      </c>
      <c r="K82" s="50">
        <v>19</v>
      </c>
      <c r="L82" s="50">
        <v>4</v>
      </c>
      <c r="M82" s="50">
        <v>53</v>
      </c>
      <c r="N82" s="50">
        <v>0</v>
      </c>
      <c r="O82" s="15">
        <f t="shared" si="35"/>
        <v>140</v>
      </c>
      <c r="P82" s="15">
        <f t="shared" si="36"/>
        <v>193</v>
      </c>
      <c r="R82" s="8"/>
      <c r="T82"/>
    </row>
    <row r="83" spans="2:20" ht="23.1" customHeight="1" x14ac:dyDescent="0.25">
      <c r="B83" s="45" t="s">
        <v>123</v>
      </c>
      <c r="C83" s="50">
        <v>43</v>
      </c>
      <c r="D83" s="50">
        <v>22</v>
      </c>
      <c r="E83" s="50">
        <v>14</v>
      </c>
      <c r="F83" s="50">
        <v>20</v>
      </c>
      <c r="G83" s="50">
        <v>0</v>
      </c>
      <c r="H83" s="50">
        <v>0</v>
      </c>
      <c r="I83" s="50">
        <v>3</v>
      </c>
      <c r="J83" s="50">
        <v>10</v>
      </c>
      <c r="K83" s="50">
        <v>14</v>
      </c>
      <c r="L83" s="50">
        <v>7</v>
      </c>
      <c r="M83" s="50">
        <v>52</v>
      </c>
      <c r="N83" s="50">
        <v>0</v>
      </c>
      <c r="O83" s="15">
        <f t="shared" si="35"/>
        <v>133</v>
      </c>
      <c r="P83" s="15">
        <f t="shared" si="36"/>
        <v>185</v>
      </c>
      <c r="R83" s="8"/>
      <c r="T83"/>
    </row>
    <row r="84" spans="2:20" ht="23.1" customHeight="1" x14ac:dyDescent="0.25">
      <c r="B84" s="47" t="s">
        <v>124</v>
      </c>
      <c r="C84" s="50">
        <v>44</v>
      </c>
      <c r="D84" s="50">
        <v>17</v>
      </c>
      <c r="E84" s="50">
        <v>19</v>
      </c>
      <c r="F84" s="50">
        <v>18</v>
      </c>
      <c r="G84" s="50">
        <v>0</v>
      </c>
      <c r="H84" s="50">
        <v>0</v>
      </c>
      <c r="I84" s="50">
        <v>2</v>
      </c>
      <c r="J84" s="50">
        <v>14</v>
      </c>
      <c r="K84" s="50">
        <v>15</v>
      </c>
      <c r="L84" s="50">
        <v>4</v>
      </c>
      <c r="M84" s="50">
        <v>49</v>
      </c>
      <c r="N84" s="50">
        <v>0</v>
      </c>
      <c r="O84" s="15">
        <f t="shared" si="35"/>
        <v>133</v>
      </c>
      <c r="P84" s="15">
        <f t="shared" si="36"/>
        <v>182</v>
      </c>
      <c r="R84" s="8"/>
      <c r="T84"/>
    </row>
    <row r="85" spans="2:20" ht="23.1" customHeight="1" x14ac:dyDescent="0.25">
      <c r="B85" s="45" t="s">
        <v>125</v>
      </c>
      <c r="C85" s="50">
        <v>50</v>
      </c>
      <c r="D85" s="50">
        <v>18</v>
      </c>
      <c r="E85" s="50">
        <v>12</v>
      </c>
      <c r="F85" s="50">
        <v>14</v>
      </c>
      <c r="G85" s="50">
        <v>0</v>
      </c>
      <c r="H85" s="50">
        <v>0</v>
      </c>
      <c r="I85" s="50">
        <v>0</v>
      </c>
      <c r="J85" s="50">
        <v>12</v>
      </c>
      <c r="K85" s="50">
        <v>17</v>
      </c>
      <c r="L85" s="50">
        <v>2</v>
      </c>
      <c r="M85" s="50">
        <v>55</v>
      </c>
      <c r="N85" s="50">
        <v>0</v>
      </c>
      <c r="O85" s="15">
        <f t="shared" si="35"/>
        <v>125</v>
      </c>
      <c r="P85" s="15">
        <f t="shared" si="36"/>
        <v>180</v>
      </c>
      <c r="R85" s="8"/>
      <c r="T85"/>
    </row>
    <row r="86" spans="2:20" ht="23.1" customHeight="1" x14ac:dyDescent="0.25">
      <c r="B86" s="46" t="s">
        <v>126</v>
      </c>
      <c r="C86" s="50">
        <v>24</v>
      </c>
      <c r="D86" s="50">
        <v>1</v>
      </c>
      <c r="E86" s="50">
        <v>4</v>
      </c>
      <c r="F86" s="50">
        <v>7</v>
      </c>
      <c r="G86" s="50">
        <v>0</v>
      </c>
      <c r="H86" s="50">
        <v>0</v>
      </c>
      <c r="I86" s="50">
        <v>3</v>
      </c>
      <c r="J86" s="50">
        <v>5</v>
      </c>
      <c r="K86" s="50">
        <v>6</v>
      </c>
      <c r="L86" s="50">
        <v>2</v>
      </c>
      <c r="M86" s="50">
        <v>37</v>
      </c>
      <c r="N86" s="50">
        <v>0</v>
      </c>
      <c r="O86" s="15">
        <f t="shared" si="35"/>
        <v>52</v>
      </c>
      <c r="P86" s="15">
        <f t="shared" si="36"/>
        <v>89</v>
      </c>
      <c r="R86" s="8"/>
      <c r="T86"/>
    </row>
    <row r="87" spans="2:20" ht="23.1" customHeight="1" x14ac:dyDescent="0.25">
      <c r="B87" s="45" t="s">
        <v>127</v>
      </c>
      <c r="C87" s="50">
        <v>39</v>
      </c>
      <c r="D87" s="50">
        <v>8</v>
      </c>
      <c r="E87" s="50">
        <v>11</v>
      </c>
      <c r="F87" s="50">
        <v>12</v>
      </c>
      <c r="G87" s="50">
        <v>0</v>
      </c>
      <c r="H87" s="50">
        <v>0</v>
      </c>
      <c r="I87" s="50">
        <v>6</v>
      </c>
      <c r="J87" s="50">
        <v>12</v>
      </c>
      <c r="K87" s="50">
        <v>9</v>
      </c>
      <c r="L87" s="50">
        <v>3</v>
      </c>
      <c r="M87" s="50">
        <v>35</v>
      </c>
      <c r="N87" s="50">
        <v>0</v>
      </c>
      <c r="O87" s="15">
        <f t="shared" si="35"/>
        <v>100</v>
      </c>
      <c r="P87" s="15">
        <f t="shared" si="36"/>
        <v>135</v>
      </c>
      <c r="R87" s="8"/>
      <c r="T87"/>
    </row>
    <row r="88" spans="2:20" ht="23.1" customHeight="1" x14ac:dyDescent="0.25">
      <c r="B88" s="47" t="s">
        <v>128</v>
      </c>
      <c r="C88" s="50">
        <v>23</v>
      </c>
      <c r="D88" s="50">
        <v>12</v>
      </c>
      <c r="E88" s="50">
        <v>7</v>
      </c>
      <c r="F88" s="50">
        <v>13</v>
      </c>
      <c r="G88" s="50">
        <v>0</v>
      </c>
      <c r="H88" s="50">
        <v>0</v>
      </c>
      <c r="I88" s="50">
        <v>4</v>
      </c>
      <c r="J88" s="50">
        <v>15</v>
      </c>
      <c r="K88" s="50">
        <v>10</v>
      </c>
      <c r="L88" s="50">
        <v>1</v>
      </c>
      <c r="M88" s="50">
        <v>34</v>
      </c>
      <c r="N88" s="50">
        <v>0</v>
      </c>
      <c r="O88" s="15">
        <f t="shared" si="35"/>
        <v>85</v>
      </c>
      <c r="P88" s="15">
        <f t="shared" si="36"/>
        <v>119</v>
      </c>
      <c r="R88" s="8"/>
      <c r="T88"/>
    </row>
    <row r="89" spans="2:20" ht="23.1" customHeight="1" x14ac:dyDescent="0.25">
      <c r="B89" s="45" t="s">
        <v>129</v>
      </c>
      <c r="C89" s="50">
        <v>18</v>
      </c>
      <c r="D89" s="50">
        <v>18</v>
      </c>
      <c r="E89" s="50">
        <v>3</v>
      </c>
      <c r="F89" s="50">
        <v>14</v>
      </c>
      <c r="G89" s="50">
        <v>0</v>
      </c>
      <c r="H89" s="50">
        <v>0</v>
      </c>
      <c r="I89" s="50">
        <v>2</v>
      </c>
      <c r="J89" s="50">
        <v>19</v>
      </c>
      <c r="K89" s="50">
        <v>7</v>
      </c>
      <c r="L89" s="50">
        <v>5</v>
      </c>
      <c r="M89" s="50">
        <v>40</v>
      </c>
      <c r="N89" s="50">
        <v>0</v>
      </c>
      <c r="O89" s="15">
        <f t="shared" si="35"/>
        <v>86</v>
      </c>
      <c r="P89" s="15">
        <f t="shared" si="36"/>
        <v>126</v>
      </c>
      <c r="R89" s="8"/>
      <c r="T89"/>
    </row>
    <row r="90" spans="2:20" ht="23.1" customHeight="1" x14ac:dyDescent="0.25">
      <c r="B90" s="46" t="s">
        <v>130</v>
      </c>
      <c r="C90" s="50">
        <v>42</v>
      </c>
      <c r="D90" s="50">
        <v>8</v>
      </c>
      <c r="E90" s="50">
        <v>23</v>
      </c>
      <c r="F90" s="50">
        <v>20</v>
      </c>
      <c r="G90" s="50">
        <v>0</v>
      </c>
      <c r="H90" s="50">
        <v>0</v>
      </c>
      <c r="I90" s="50">
        <v>0</v>
      </c>
      <c r="J90" s="50">
        <v>13</v>
      </c>
      <c r="K90" s="50">
        <v>11</v>
      </c>
      <c r="L90" s="50">
        <v>6</v>
      </c>
      <c r="M90" s="50">
        <v>48</v>
      </c>
      <c r="N90" s="50">
        <v>0</v>
      </c>
      <c r="O90" s="15">
        <f t="shared" si="35"/>
        <v>123</v>
      </c>
      <c r="P90" s="15">
        <f t="shared" si="36"/>
        <v>171</v>
      </c>
      <c r="R90" s="8"/>
      <c r="T90"/>
    </row>
    <row r="91" spans="2:20" ht="23.1" customHeight="1" x14ac:dyDescent="0.25">
      <c r="B91" s="45" t="s">
        <v>131</v>
      </c>
      <c r="C91" s="50">
        <v>27</v>
      </c>
      <c r="D91" s="50">
        <v>12</v>
      </c>
      <c r="E91" s="50">
        <v>8</v>
      </c>
      <c r="F91" s="50">
        <v>15</v>
      </c>
      <c r="G91" s="50">
        <v>0</v>
      </c>
      <c r="H91" s="50">
        <v>0</v>
      </c>
      <c r="I91" s="50">
        <v>3</v>
      </c>
      <c r="J91" s="50">
        <v>9</v>
      </c>
      <c r="K91" s="50">
        <v>17</v>
      </c>
      <c r="L91" s="50">
        <v>3</v>
      </c>
      <c r="M91" s="50">
        <v>63</v>
      </c>
      <c r="N91" s="50">
        <v>0</v>
      </c>
      <c r="O91" s="15">
        <f t="shared" si="35"/>
        <v>94</v>
      </c>
      <c r="P91" s="15">
        <f t="shared" si="36"/>
        <v>157</v>
      </c>
      <c r="R91" s="8"/>
      <c r="T91"/>
    </row>
    <row r="92" spans="2:20" ht="23.1" customHeight="1" x14ac:dyDescent="0.25">
      <c r="B92" s="47" t="s">
        <v>132</v>
      </c>
      <c r="C92" s="50">
        <v>18</v>
      </c>
      <c r="D92" s="50">
        <v>13</v>
      </c>
      <c r="E92" s="50">
        <v>3</v>
      </c>
      <c r="F92" s="50">
        <v>7</v>
      </c>
      <c r="G92" s="50">
        <v>0</v>
      </c>
      <c r="H92" s="50">
        <v>0</v>
      </c>
      <c r="I92" s="50">
        <v>6</v>
      </c>
      <c r="J92" s="50">
        <v>6</v>
      </c>
      <c r="K92" s="50">
        <v>11</v>
      </c>
      <c r="L92" s="50">
        <v>4</v>
      </c>
      <c r="M92" s="50">
        <v>36</v>
      </c>
      <c r="N92" s="50">
        <v>0</v>
      </c>
      <c r="O92" s="15">
        <f t="shared" si="35"/>
        <v>68</v>
      </c>
      <c r="P92" s="15">
        <f t="shared" si="36"/>
        <v>104</v>
      </c>
      <c r="R92" s="8"/>
      <c r="T92"/>
    </row>
    <row r="93" spans="2:20" ht="23.1" customHeight="1" x14ac:dyDescent="0.25">
      <c r="B93" s="45" t="s">
        <v>133</v>
      </c>
      <c r="C93" s="50">
        <v>27</v>
      </c>
      <c r="D93" s="50">
        <v>3</v>
      </c>
      <c r="E93" s="50">
        <v>3</v>
      </c>
      <c r="F93" s="50">
        <v>3</v>
      </c>
      <c r="G93" s="50">
        <v>0</v>
      </c>
      <c r="H93" s="50">
        <v>0</v>
      </c>
      <c r="I93" s="50">
        <v>0</v>
      </c>
      <c r="J93" s="50">
        <v>4</v>
      </c>
      <c r="K93" s="50">
        <v>6</v>
      </c>
      <c r="L93" s="50">
        <v>2</v>
      </c>
      <c r="M93" s="50">
        <v>43</v>
      </c>
      <c r="N93" s="50">
        <v>0</v>
      </c>
      <c r="O93" s="15">
        <f t="shared" si="35"/>
        <v>48</v>
      </c>
      <c r="P93" s="15">
        <f t="shared" si="36"/>
        <v>91</v>
      </c>
      <c r="R93" s="8"/>
      <c r="T93"/>
    </row>
    <row r="94" spans="2:20" ht="23.1" customHeight="1" x14ac:dyDescent="0.25">
      <c r="B94" s="46" t="s">
        <v>134</v>
      </c>
      <c r="C94" s="50">
        <v>48</v>
      </c>
      <c r="D94" s="50">
        <v>9</v>
      </c>
      <c r="E94" s="50">
        <v>13</v>
      </c>
      <c r="F94" s="50">
        <v>17</v>
      </c>
      <c r="G94" s="50">
        <v>1</v>
      </c>
      <c r="H94" s="50">
        <v>2</v>
      </c>
      <c r="I94" s="50">
        <v>3</v>
      </c>
      <c r="J94" s="50">
        <v>12</v>
      </c>
      <c r="K94" s="50">
        <v>12</v>
      </c>
      <c r="L94" s="50">
        <v>4</v>
      </c>
      <c r="M94" s="50">
        <v>18</v>
      </c>
      <c r="N94" s="50">
        <v>0</v>
      </c>
      <c r="O94" s="15">
        <f t="shared" si="35"/>
        <v>121</v>
      </c>
      <c r="P94" s="15">
        <f t="shared" si="36"/>
        <v>139</v>
      </c>
      <c r="R94" s="8"/>
      <c r="T94"/>
    </row>
    <row r="95" spans="2:20" ht="23.1" customHeight="1" x14ac:dyDescent="0.25">
      <c r="B95" s="45" t="s">
        <v>135</v>
      </c>
      <c r="C95" s="50">
        <v>28</v>
      </c>
      <c r="D95" s="50">
        <v>11</v>
      </c>
      <c r="E95" s="50">
        <v>4</v>
      </c>
      <c r="F95" s="50">
        <v>9</v>
      </c>
      <c r="G95" s="50">
        <v>0</v>
      </c>
      <c r="H95" s="50">
        <v>0</v>
      </c>
      <c r="I95" s="50">
        <v>4</v>
      </c>
      <c r="J95" s="50">
        <v>11</v>
      </c>
      <c r="K95" s="50">
        <v>12</v>
      </c>
      <c r="L95" s="50">
        <v>2</v>
      </c>
      <c r="M95" s="50">
        <v>34</v>
      </c>
      <c r="N95" s="50">
        <v>0</v>
      </c>
      <c r="O95" s="15">
        <f t="shared" si="35"/>
        <v>81</v>
      </c>
      <c r="P95" s="15">
        <f t="shared" si="36"/>
        <v>115</v>
      </c>
      <c r="R95" s="8"/>
      <c r="T95"/>
    </row>
    <row r="96" spans="2:20" ht="23.1" customHeight="1" x14ac:dyDescent="0.25">
      <c r="B96" s="47" t="s">
        <v>136</v>
      </c>
      <c r="C96" s="50">
        <v>35</v>
      </c>
      <c r="D96" s="50">
        <v>7</v>
      </c>
      <c r="E96" s="50">
        <v>5</v>
      </c>
      <c r="F96" s="50">
        <v>11</v>
      </c>
      <c r="G96" s="50">
        <v>0</v>
      </c>
      <c r="H96" s="50">
        <v>0</v>
      </c>
      <c r="I96" s="50">
        <v>2</v>
      </c>
      <c r="J96" s="50">
        <v>6</v>
      </c>
      <c r="K96" s="50">
        <v>8</v>
      </c>
      <c r="L96" s="50">
        <v>6</v>
      </c>
      <c r="M96" s="50">
        <v>27</v>
      </c>
      <c r="N96" s="50">
        <v>0</v>
      </c>
      <c r="O96" s="15">
        <f t="shared" si="35"/>
        <v>80</v>
      </c>
      <c r="P96" s="15">
        <f t="shared" si="36"/>
        <v>107</v>
      </c>
      <c r="R96" s="8"/>
      <c r="T96"/>
    </row>
    <row r="97" spans="2:20" ht="23.1" customHeight="1" x14ac:dyDescent="0.25">
      <c r="B97" s="45" t="s">
        <v>137</v>
      </c>
      <c r="C97" s="50">
        <v>43</v>
      </c>
      <c r="D97" s="50">
        <v>8</v>
      </c>
      <c r="E97" s="50">
        <v>3</v>
      </c>
      <c r="F97" s="50">
        <v>7</v>
      </c>
      <c r="G97" s="50">
        <v>0</v>
      </c>
      <c r="H97" s="50">
        <v>0</v>
      </c>
      <c r="I97" s="50">
        <v>7</v>
      </c>
      <c r="J97" s="50">
        <v>8</v>
      </c>
      <c r="K97" s="50">
        <v>12</v>
      </c>
      <c r="L97" s="50">
        <v>3</v>
      </c>
      <c r="M97" s="50">
        <v>44</v>
      </c>
      <c r="N97" s="50">
        <v>0</v>
      </c>
      <c r="O97" s="15">
        <f t="shared" si="35"/>
        <v>91</v>
      </c>
      <c r="P97" s="15">
        <f t="shared" si="36"/>
        <v>135</v>
      </c>
      <c r="R97" s="8"/>
      <c r="T97"/>
    </row>
    <row r="98" spans="2:20" ht="23.1" customHeight="1" x14ac:dyDescent="0.25">
      <c r="B98" s="46" t="s">
        <v>138</v>
      </c>
      <c r="C98" s="50">
        <v>17</v>
      </c>
      <c r="D98" s="50">
        <v>7</v>
      </c>
      <c r="E98" s="50">
        <v>3</v>
      </c>
      <c r="F98" s="50">
        <v>0</v>
      </c>
      <c r="G98" s="50">
        <v>1</v>
      </c>
      <c r="H98" s="50">
        <v>2</v>
      </c>
      <c r="I98" s="50">
        <v>1</v>
      </c>
      <c r="J98" s="50">
        <v>7</v>
      </c>
      <c r="K98" s="50">
        <v>0</v>
      </c>
      <c r="L98" s="50">
        <v>1</v>
      </c>
      <c r="M98" s="50">
        <v>11</v>
      </c>
      <c r="N98" s="50">
        <v>0</v>
      </c>
      <c r="O98" s="15">
        <f t="shared" si="35"/>
        <v>39</v>
      </c>
      <c r="P98" s="15">
        <f t="shared" si="36"/>
        <v>50</v>
      </c>
      <c r="R98" s="8"/>
      <c r="T98"/>
    </row>
    <row r="99" spans="2:20" ht="23.1" customHeight="1" x14ac:dyDescent="0.25">
      <c r="B99" s="45" t="s">
        <v>139</v>
      </c>
      <c r="C99" s="50">
        <v>16</v>
      </c>
      <c r="D99" s="50">
        <v>4</v>
      </c>
      <c r="E99" s="50">
        <v>2</v>
      </c>
      <c r="F99" s="50">
        <v>4</v>
      </c>
      <c r="G99" s="50">
        <v>1</v>
      </c>
      <c r="H99" s="50">
        <v>0</v>
      </c>
      <c r="I99" s="50">
        <v>1</v>
      </c>
      <c r="J99" s="50">
        <v>10</v>
      </c>
      <c r="K99" s="50">
        <v>3</v>
      </c>
      <c r="L99" s="50">
        <v>5</v>
      </c>
      <c r="M99" s="50">
        <v>26</v>
      </c>
      <c r="N99" s="50">
        <v>0</v>
      </c>
      <c r="O99" s="15">
        <f t="shared" si="35"/>
        <v>46</v>
      </c>
      <c r="P99" s="15">
        <f t="shared" si="36"/>
        <v>72</v>
      </c>
      <c r="R99" s="8"/>
      <c r="T99"/>
    </row>
    <row r="100" spans="2:20" ht="23.1" customHeight="1" x14ac:dyDescent="0.25">
      <c r="B100" s="47" t="s">
        <v>140</v>
      </c>
      <c r="C100" s="50">
        <v>19</v>
      </c>
      <c r="D100" s="50">
        <v>7</v>
      </c>
      <c r="E100" s="50">
        <v>3</v>
      </c>
      <c r="F100" s="50">
        <v>2</v>
      </c>
      <c r="G100" s="50">
        <v>0</v>
      </c>
      <c r="H100" s="50">
        <v>0</v>
      </c>
      <c r="I100" s="50">
        <v>2</v>
      </c>
      <c r="J100" s="50">
        <v>8</v>
      </c>
      <c r="K100" s="50">
        <v>1</v>
      </c>
      <c r="L100" s="50">
        <v>5</v>
      </c>
      <c r="M100" s="50">
        <v>32</v>
      </c>
      <c r="N100" s="50">
        <v>0</v>
      </c>
      <c r="O100" s="15">
        <f t="shared" si="35"/>
        <v>47</v>
      </c>
      <c r="P100" s="15">
        <f t="shared" si="36"/>
        <v>79</v>
      </c>
      <c r="R100" s="8"/>
      <c r="T100"/>
    </row>
    <row r="101" spans="2:20" ht="23.1" customHeight="1" x14ac:dyDescent="0.25">
      <c r="B101" s="45" t="s">
        <v>141</v>
      </c>
      <c r="C101" s="50">
        <v>23</v>
      </c>
      <c r="D101" s="50">
        <v>6</v>
      </c>
      <c r="E101" s="50">
        <v>2</v>
      </c>
      <c r="F101" s="50">
        <v>10</v>
      </c>
      <c r="G101" s="50">
        <v>2</v>
      </c>
      <c r="H101" s="50">
        <v>0</v>
      </c>
      <c r="I101" s="50">
        <v>2</v>
      </c>
      <c r="J101" s="50">
        <v>10</v>
      </c>
      <c r="K101" s="50">
        <v>1</v>
      </c>
      <c r="L101" s="50">
        <v>2</v>
      </c>
      <c r="M101" s="50">
        <v>45</v>
      </c>
      <c r="N101" s="50">
        <v>0</v>
      </c>
      <c r="O101" s="15">
        <f t="shared" si="35"/>
        <v>58</v>
      </c>
      <c r="P101" s="15">
        <f t="shared" si="36"/>
        <v>103</v>
      </c>
      <c r="R101" s="8"/>
      <c r="T101"/>
    </row>
    <row r="102" spans="2:20" ht="23.1" customHeight="1" x14ac:dyDescent="0.25">
      <c r="B102" s="46" t="s">
        <v>142</v>
      </c>
      <c r="C102" s="50">
        <v>23</v>
      </c>
      <c r="D102" s="50">
        <v>8</v>
      </c>
      <c r="E102" s="50">
        <v>4</v>
      </c>
      <c r="F102" s="50">
        <v>18</v>
      </c>
      <c r="G102" s="50">
        <v>0</v>
      </c>
      <c r="H102" s="50">
        <v>0</v>
      </c>
      <c r="I102" s="50">
        <v>3</v>
      </c>
      <c r="J102" s="50">
        <v>13</v>
      </c>
      <c r="K102" s="50">
        <v>3</v>
      </c>
      <c r="L102" s="50">
        <v>3</v>
      </c>
      <c r="M102" s="50">
        <v>51</v>
      </c>
      <c r="N102" s="50">
        <v>0</v>
      </c>
      <c r="O102" s="15">
        <f t="shared" si="35"/>
        <v>75</v>
      </c>
      <c r="P102" s="15">
        <f t="shared" si="36"/>
        <v>126</v>
      </c>
      <c r="R102" s="8"/>
      <c r="T102"/>
    </row>
    <row r="103" spans="2:20" ht="23.1" customHeight="1" x14ac:dyDescent="0.25">
      <c r="B103" s="45" t="s">
        <v>143</v>
      </c>
      <c r="C103" s="50">
        <v>42</v>
      </c>
      <c r="D103" s="50">
        <v>12</v>
      </c>
      <c r="E103" s="50">
        <v>8</v>
      </c>
      <c r="F103" s="50">
        <v>22</v>
      </c>
      <c r="G103" s="50">
        <v>2</v>
      </c>
      <c r="H103" s="50">
        <v>0</v>
      </c>
      <c r="I103" s="50">
        <v>0</v>
      </c>
      <c r="J103" s="50">
        <v>6</v>
      </c>
      <c r="K103" s="50">
        <v>3</v>
      </c>
      <c r="L103" s="50">
        <v>5</v>
      </c>
      <c r="M103" s="50">
        <v>70</v>
      </c>
      <c r="N103" s="50">
        <v>0</v>
      </c>
      <c r="O103" s="15">
        <f t="shared" si="35"/>
        <v>100</v>
      </c>
      <c r="P103" s="15">
        <f t="shared" si="36"/>
        <v>170</v>
      </c>
      <c r="R103" s="8"/>
      <c r="T103"/>
    </row>
    <row r="104" spans="2:20" ht="23.1" customHeight="1" x14ac:dyDescent="0.25">
      <c r="B104" s="47" t="s">
        <v>144</v>
      </c>
      <c r="C104" s="50">
        <v>59</v>
      </c>
      <c r="D104" s="50">
        <v>60</v>
      </c>
      <c r="E104" s="50">
        <v>25</v>
      </c>
      <c r="F104" s="50">
        <v>115</v>
      </c>
      <c r="G104" s="50">
        <v>2</v>
      </c>
      <c r="H104" s="50">
        <v>1</v>
      </c>
      <c r="I104" s="50">
        <v>63</v>
      </c>
      <c r="J104" s="50">
        <v>13</v>
      </c>
      <c r="K104" s="50">
        <v>17</v>
      </c>
      <c r="L104" s="50">
        <v>15</v>
      </c>
      <c r="M104" s="50">
        <v>85</v>
      </c>
      <c r="N104" s="50">
        <v>0</v>
      </c>
      <c r="O104" s="15">
        <f t="shared" si="35"/>
        <v>370</v>
      </c>
      <c r="P104" s="15">
        <f t="shared" si="36"/>
        <v>455</v>
      </c>
      <c r="R104" s="8"/>
      <c r="T104"/>
    </row>
    <row r="105" spans="2:20" ht="23.1" customHeight="1" x14ac:dyDescent="0.25">
      <c r="B105" s="45" t="s">
        <v>145</v>
      </c>
      <c r="C105" s="50">
        <v>57</v>
      </c>
      <c r="D105" s="50">
        <v>19</v>
      </c>
      <c r="E105" s="50">
        <v>45</v>
      </c>
      <c r="F105" s="50">
        <v>75</v>
      </c>
      <c r="G105" s="50">
        <v>0</v>
      </c>
      <c r="H105" s="50">
        <v>0</v>
      </c>
      <c r="I105" s="50">
        <v>73</v>
      </c>
      <c r="J105" s="50">
        <v>27</v>
      </c>
      <c r="K105" s="50">
        <v>5</v>
      </c>
      <c r="L105" s="50">
        <v>15</v>
      </c>
      <c r="M105" s="50">
        <v>113</v>
      </c>
      <c r="N105" s="50">
        <v>0</v>
      </c>
      <c r="O105" s="15">
        <f t="shared" si="35"/>
        <v>316</v>
      </c>
      <c r="P105" s="15">
        <f t="shared" si="36"/>
        <v>429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5859</v>
      </c>
      <c r="D106" s="16">
        <f t="shared" ref="D106:P106" si="37">SUM(D10:D105)</f>
        <v>2494</v>
      </c>
      <c r="E106" s="16">
        <f t="shared" si="37"/>
        <v>1858</v>
      </c>
      <c r="F106" s="16">
        <f t="shared" si="37"/>
        <v>2896</v>
      </c>
      <c r="G106" s="16">
        <f t="shared" si="37"/>
        <v>100</v>
      </c>
      <c r="H106" s="16">
        <f t="shared" si="37"/>
        <v>36</v>
      </c>
      <c r="I106" s="16">
        <f t="shared" si="37"/>
        <v>885</v>
      </c>
      <c r="J106" s="16">
        <f t="shared" si="37"/>
        <v>1836</v>
      </c>
      <c r="K106" s="16">
        <f t="shared" si="37"/>
        <v>1053</v>
      </c>
      <c r="L106" s="16">
        <f t="shared" si="37"/>
        <v>608</v>
      </c>
      <c r="M106" s="16">
        <f t="shared" si="37"/>
        <v>9265</v>
      </c>
      <c r="N106" s="16">
        <f t="shared" si="37"/>
        <v>1</v>
      </c>
      <c r="O106" s="16">
        <f t="shared" si="37"/>
        <v>17626</v>
      </c>
      <c r="P106" s="16">
        <f t="shared" si="37"/>
        <v>26891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0.21787958796623405</v>
      </c>
      <c r="D107" s="43">
        <f t="shared" si="38"/>
        <v>9.2744784500390462E-2</v>
      </c>
      <c r="E107" s="43">
        <f t="shared" si="38"/>
        <v>6.9093748837901162E-2</v>
      </c>
      <c r="F107" s="43">
        <f t="shared" si="38"/>
        <v>0.10769402402290729</v>
      </c>
      <c r="G107" s="43">
        <f t="shared" si="38"/>
        <v>3.7187162991335391E-3</v>
      </c>
      <c r="H107" s="43">
        <f t="shared" si="38"/>
        <v>1.3387378676880742E-3</v>
      </c>
      <c r="I107" s="43">
        <f t="shared" si="38"/>
        <v>3.291063924733182E-2</v>
      </c>
      <c r="J107" s="43">
        <f t="shared" si="38"/>
        <v>6.8275631252091781E-2</v>
      </c>
      <c r="K107" s="43">
        <f t="shared" si="38"/>
        <v>3.9158082629876169E-2</v>
      </c>
      <c r="L107" s="43">
        <f t="shared" si="38"/>
        <v>2.2609795098731917E-2</v>
      </c>
      <c r="M107" s="43">
        <f t="shared" si="38"/>
        <v>0.34453906511472238</v>
      </c>
      <c r="N107" s="43">
        <f t="shared" si="38"/>
        <v>3.7187162991335389E-5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0.33240667196187451</v>
      </c>
      <c r="D108" s="44">
        <f t="shared" ref="D108:N108" si="39">D106/$O$106</f>
        <v>0.14149551798479518</v>
      </c>
      <c r="E108" s="44">
        <f t="shared" si="39"/>
        <v>0.10541245886758198</v>
      </c>
      <c r="F108" s="44">
        <f t="shared" si="39"/>
        <v>0.16430273459661862</v>
      </c>
      <c r="G108" s="44">
        <f t="shared" si="39"/>
        <v>5.6734369681152846E-3</v>
      </c>
      <c r="H108" s="44">
        <f t="shared" si="39"/>
        <v>2.0424373085215024E-3</v>
      </c>
      <c r="I108" s="44">
        <f t="shared" si="39"/>
        <v>5.0209917167820264E-2</v>
      </c>
      <c r="J108" s="44">
        <f t="shared" si="39"/>
        <v>0.10416430273459662</v>
      </c>
      <c r="K108" s="44">
        <f t="shared" si="39"/>
        <v>5.9741291274253941E-2</v>
      </c>
      <c r="L108" s="44">
        <f t="shared" si="39"/>
        <v>3.4494496766140928E-2</v>
      </c>
      <c r="M108" s="44"/>
      <c r="N108" s="44">
        <f t="shared" si="39"/>
        <v>5.6734369681152839E-5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O70" sqref="O7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Lubigi-Masanafu-24h'!D5</f>
        <v>27.07.19</v>
      </c>
      <c r="E5" s="3"/>
      <c r="F5" s="41" t="s">
        <v>1</v>
      </c>
      <c r="G5" s="67" t="str">
        <f>'27.07 Lubigi-Masanafu-24h'!G5:H5</f>
        <v>Northern Bypass</v>
      </c>
      <c r="H5" s="68"/>
      <c r="I5" s="14"/>
      <c r="J5" s="2" t="s">
        <v>5</v>
      </c>
      <c r="K5" s="67" t="s">
        <v>175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Masanafu-Lubigi'!D6:E6</f>
        <v>Masanafu</v>
      </c>
      <c r="E6" s="68"/>
      <c r="F6" s="2" t="s">
        <v>2</v>
      </c>
      <c r="G6" s="67" t="str">
        <f>'22.07 Masanafu-Lubigi'!G6:H6</f>
        <v>Lubigi</v>
      </c>
      <c r="H6" s="68"/>
      <c r="J6" s="2" t="s">
        <v>21</v>
      </c>
      <c r="K6" s="67" t="str">
        <f>'27.07 Lubigi-Masanafu-24h'!K6:L6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0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0</v>
      </c>
      <c r="R10" s="1" t="s">
        <v>6</v>
      </c>
      <c r="S10" s="17">
        <f t="shared" ref="S10:AF10" si="2">SUM(C10:C13)</f>
        <v>127</v>
      </c>
      <c r="T10" s="17">
        <f t="shared" si="2"/>
        <v>127</v>
      </c>
      <c r="U10" s="17">
        <f t="shared" si="2"/>
        <v>40</v>
      </c>
      <c r="V10" s="17">
        <f t="shared" si="2"/>
        <v>118</v>
      </c>
      <c r="W10" s="17">
        <f t="shared" si="2"/>
        <v>7</v>
      </c>
      <c r="X10" s="17">
        <f t="shared" si="2"/>
        <v>2</v>
      </c>
      <c r="Y10" s="17">
        <f t="shared" si="2"/>
        <v>10</v>
      </c>
      <c r="Z10" s="17">
        <f t="shared" si="2"/>
        <v>24</v>
      </c>
      <c r="AA10" s="17">
        <f t="shared" si="2"/>
        <v>9</v>
      </c>
      <c r="AB10" s="17">
        <f t="shared" si="2"/>
        <v>5</v>
      </c>
      <c r="AC10" s="17">
        <f t="shared" si="2"/>
        <v>292</v>
      </c>
      <c r="AD10" s="17">
        <f t="shared" si="2"/>
        <v>0</v>
      </c>
      <c r="AE10" s="31">
        <f t="shared" si="2"/>
        <v>469</v>
      </c>
      <c r="AF10" s="31">
        <f t="shared" si="2"/>
        <v>761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0</v>
      </c>
      <c r="N11" s="50">
        <v>0</v>
      </c>
      <c r="O11" s="15">
        <f t="shared" si="0"/>
        <v>0</v>
      </c>
      <c r="P11" s="15">
        <f t="shared" si="1"/>
        <v>0</v>
      </c>
      <c r="R11" s="1" t="s">
        <v>7</v>
      </c>
      <c r="S11" s="17">
        <f t="shared" ref="S11:AF11" si="3">SUM(C14:C17)</f>
        <v>254</v>
      </c>
      <c r="T11" s="17">
        <f t="shared" si="3"/>
        <v>43</v>
      </c>
      <c r="U11" s="17">
        <f t="shared" si="3"/>
        <v>34</v>
      </c>
      <c r="V11" s="17">
        <f t="shared" si="3"/>
        <v>49</v>
      </c>
      <c r="W11" s="17">
        <f t="shared" si="3"/>
        <v>4</v>
      </c>
      <c r="X11" s="17">
        <f t="shared" si="3"/>
        <v>1</v>
      </c>
      <c r="Y11" s="17">
        <f t="shared" si="3"/>
        <v>21</v>
      </c>
      <c r="Z11" s="17">
        <f t="shared" si="3"/>
        <v>12</v>
      </c>
      <c r="AA11" s="17">
        <f t="shared" si="3"/>
        <v>11</v>
      </c>
      <c r="AB11" s="17">
        <f t="shared" si="3"/>
        <v>9</v>
      </c>
      <c r="AC11" s="17">
        <f t="shared" si="3"/>
        <v>542</v>
      </c>
      <c r="AD11" s="17">
        <f t="shared" si="3"/>
        <v>0</v>
      </c>
      <c r="AE11" s="31">
        <f t="shared" si="3"/>
        <v>438</v>
      </c>
      <c r="AF11" s="31">
        <f t="shared" si="3"/>
        <v>980</v>
      </c>
    </row>
    <row r="12" spans="2:32" ht="23.1" customHeight="1" x14ac:dyDescent="0.25">
      <c r="B12" s="45" t="s">
        <v>39</v>
      </c>
      <c r="C12" s="50">
        <v>72</v>
      </c>
      <c r="D12" s="50">
        <v>80</v>
      </c>
      <c r="E12" s="50">
        <v>23</v>
      </c>
      <c r="F12" s="50">
        <v>55</v>
      </c>
      <c r="G12" s="50">
        <v>3</v>
      </c>
      <c r="H12" s="50">
        <v>1</v>
      </c>
      <c r="I12" s="50">
        <v>2</v>
      </c>
      <c r="J12" s="50">
        <v>7</v>
      </c>
      <c r="K12" s="50">
        <v>6</v>
      </c>
      <c r="L12" s="50">
        <v>3</v>
      </c>
      <c r="M12" s="50">
        <v>110</v>
      </c>
      <c r="N12" s="50">
        <v>0</v>
      </c>
      <c r="O12" s="15">
        <f t="shared" si="0"/>
        <v>252</v>
      </c>
      <c r="P12" s="15">
        <f t="shared" si="1"/>
        <v>362</v>
      </c>
      <c r="R12" s="1" t="s">
        <v>8</v>
      </c>
      <c r="S12" s="17">
        <f t="shared" ref="S12:AF12" si="4">SUM(C18:C21)</f>
        <v>327</v>
      </c>
      <c r="T12" s="17">
        <f t="shared" si="4"/>
        <v>53</v>
      </c>
      <c r="U12" s="17">
        <f t="shared" si="4"/>
        <v>42</v>
      </c>
      <c r="V12" s="17">
        <f t="shared" si="4"/>
        <v>52</v>
      </c>
      <c r="W12" s="17">
        <f t="shared" si="4"/>
        <v>10</v>
      </c>
      <c r="X12" s="17">
        <f t="shared" si="4"/>
        <v>0</v>
      </c>
      <c r="Y12" s="17">
        <f t="shared" si="4"/>
        <v>35</v>
      </c>
      <c r="Z12" s="17">
        <f t="shared" si="4"/>
        <v>17</v>
      </c>
      <c r="AA12" s="17">
        <f t="shared" si="4"/>
        <v>6</v>
      </c>
      <c r="AB12" s="17">
        <f t="shared" si="4"/>
        <v>32</v>
      </c>
      <c r="AC12" s="17">
        <f t="shared" si="4"/>
        <v>556</v>
      </c>
      <c r="AD12" s="17">
        <f t="shared" si="4"/>
        <v>0</v>
      </c>
      <c r="AE12" s="31">
        <f t="shared" si="4"/>
        <v>574</v>
      </c>
      <c r="AF12" s="31">
        <f t="shared" si="4"/>
        <v>1130</v>
      </c>
    </row>
    <row r="13" spans="2:32" ht="23.1" customHeight="1" x14ac:dyDescent="0.25">
      <c r="B13" s="45" t="s">
        <v>40</v>
      </c>
      <c r="C13" s="50">
        <v>55</v>
      </c>
      <c r="D13" s="50">
        <v>47</v>
      </c>
      <c r="E13" s="50">
        <v>17</v>
      </c>
      <c r="F13" s="50">
        <v>63</v>
      </c>
      <c r="G13" s="50">
        <v>4</v>
      </c>
      <c r="H13" s="50">
        <v>1</v>
      </c>
      <c r="I13" s="50">
        <v>8</v>
      </c>
      <c r="J13" s="50">
        <v>17</v>
      </c>
      <c r="K13" s="50">
        <v>3</v>
      </c>
      <c r="L13" s="50">
        <v>2</v>
      </c>
      <c r="M13" s="50">
        <v>182</v>
      </c>
      <c r="N13" s="50">
        <v>0</v>
      </c>
      <c r="O13" s="15">
        <f t="shared" si="0"/>
        <v>217</v>
      </c>
      <c r="P13" s="15">
        <f t="shared" si="1"/>
        <v>399</v>
      </c>
      <c r="R13" s="1" t="s">
        <v>9</v>
      </c>
      <c r="S13" s="17">
        <f t="shared" ref="S13:AF13" si="5">SUM(C22:C25)</f>
        <v>234</v>
      </c>
      <c r="T13" s="17">
        <f t="shared" si="5"/>
        <v>110</v>
      </c>
      <c r="U13" s="17">
        <f t="shared" si="5"/>
        <v>107</v>
      </c>
      <c r="V13" s="17">
        <f t="shared" si="5"/>
        <v>115</v>
      </c>
      <c r="W13" s="17">
        <f t="shared" si="5"/>
        <v>29</v>
      </c>
      <c r="X13" s="17">
        <f t="shared" si="5"/>
        <v>19</v>
      </c>
      <c r="Y13" s="17">
        <f t="shared" si="5"/>
        <v>51</v>
      </c>
      <c r="Z13" s="17">
        <f t="shared" si="5"/>
        <v>46</v>
      </c>
      <c r="AA13" s="17">
        <f t="shared" si="5"/>
        <v>117</v>
      </c>
      <c r="AB13" s="17">
        <f t="shared" si="5"/>
        <v>115</v>
      </c>
      <c r="AC13" s="17">
        <f t="shared" si="5"/>
        <v>257</v>
      </c>
      <c r="AD13" s="17">
        <f t="shared" si="5"/>
        <v>0</v>
      </c>
      <c r="AE13" s="31">
        <f t="shared" si="5"/>
        <v>943</v>
      </c>
      <c r="AF13" s="31">
        <f t="shared" si="5"/>
        <v>1200</v>
      </c>
    </row>
    <row r="14" spans="2:32" ht="23.1" customHeight="1" x14ac:dyDescent="0.25">
      <c r="B14" s="45" t="s">
        <v>41</v>
      </c>
      <c r="C14" s="50">
        <v>70</v>
      </c>
      <c r="D14" s="50">
        <v>6</v>
      </c>
      <c r="E14" s="50">
        <v>6</v>
      </c>
      <c r="F14" s="50">
        <v>14</v>
      </c>
      <c r="G14" s="50">
        <v>1</v>
      </c>
      <c r="H14" s="50">
        <v>0</v>
      </c>
      <c r="I14" s="50">
        <v>4</v>
      </c>
      <c r="J14" s="50">
        <v>6</v>
      </c>
      <c r="K14" s="50">
        <v>3</v>
      </c>
      <c r="L14" s="50">
        <v>1</v>
      </c>
      <c r="M14" s="50">
        <v>137</v>
      </c>
      <c r="N14" s="50">
        <v>0</v>
      </c>
      <c r="O14" s="15">
        <f t="shared" si="0"/>
        <v>111</v>
      </c>
      <c r="P14" s="15">
        <f t="shared" si="1"/>
        <v>248</v>
      </c>
      <c r="R14" s="1" t="s">
        <v>10</v>
      </c>
      <c r="S14" s="17">
        <f t="shared" ref="S14:AF14" si="6">SUM(C26:C29)</f>
        <v>310</v>
      </c>
      <c r="T14" s="17">
        <f t="shared" si="6"/>
        <v>80</v>
      </c>
      <c r="U14" s="17">
        <f t="shared" si="6"/>
        <v>54</v>
      </c>
      <c r="V14" s="17">
        <f t="shared" si="6"/>
        <v>100</v>
      </c>
      <c r="W14" s="17">
        <f t="shared" si="6"/>
        <v>19</v>
      </c>
      <c r="X14" s="17">
        <f t="shared" si="6"/>
        <v>8</v>
      </c>
      <c r="Y14" s="17">
        <f t="shared" si="6"/>
        <v>59</v>
      </c>
      <c r="Z14" s="17">
        <f t="shared" si="6"/>
        <v>65</v>
      </c>
      <c r="AA14" s="17">
        <f t="shared" si="6"/>
        <v>97</v>
      </c>
      <c r="AB14" s="17">
        <f t="shared" si="6"/>
        <v>117</v>
      </c>
      <c r="AC14" s="17">
        <f t="shared" si="6"/>
        <v>383</v>
      </c>
      <c r="AD14" s="17">
        <f t="shared" si="6"/>
        <v>0</v>
      </c>
      <c r="AE14" s="31">
        <f t="shared" si="6"/>
        <v>909</v>
      </c>
      <c r="AF14" s="31">
        <f t="shared" si="6"/>
        <v>1292</v>
      </c>
    </row>
    <row r="15" spans="2:32" ht="23.1" customHeight="1" x14ac:dyDescent="0.25">
      <c r="B15" s="45" t="s">
        <v>42</v>
      </c>
      <c r="C15" s="50">
        <v>78</v>
      </c>
      <c r="D15" s="50">
        <v>17</v>
      </c>
      <c r="E15" s="50">
        <v>11</v>
      </c>
      <c r="F15" s="50">
        <v>15</v>
      </c>
      <c r="G15" s="50">
        <v>0</v>
      </c>
      <c r="H15" s="50">
        <v>0</v>
      </c>
      <c r="I15" s="50">
        <v>10</v>
      </c>
      <c r="J15" s="50">
        <v>0</v>
      </c>
      <c r="K15" s="50">
        <v>3</v>
      </c>
      <c r="L15" s="50">
        <v>2</v>
      </c>
      <c r="M15" s="50">
        <v>135</v>
      </c>
      <c r="N15" s="50">
        <v>0</v>
      </c>
      <c r="O15" s="15">
        <f t="shared" si="0"/>
        <v>136</v>
      </c>
      <c r="P15" s="15">
        <f t="shared" si="1"/>
        <v>271</v>
      </c>
      <c r="R15" s="1" t="s">
        <v>11</v>
      </c>
      <c r="S15" s="17">
        <f t="shared" ref="S15:AF15" si="7">SUM(C30:C33)</f>
        <v>406</v>
      </c>
      <c r="T15" s="17">
        <f t="shared" si="7"/>
        <v>82</v>
      </c>
      <c r="U15" s="17">
        <f t="shared" si="7"/>
        <v>52</v>
      </c>
      <c r="V15" s="17">
        <f t="shared" si="7"/>
        <v>121</v>
      </c>
      <c r="W15" s="17">
        <f t="shared" si="7"/>
        <v>18</v>
      </c>
      <c r="X15" s="17">
        <f t="shared" si="7"/>
        <v>16</v>
      </c>
      <c r="Y15" s="17">
        <f t="shared" si="7"/>
        <v>52</v>
      </c>
      <c r="Z15" s="17">
        <f t="shared" si="7"/>
        <v>111</v>
      </c>
      <c r="AA15" s="17">
        <f t="shared" si="7"/>
        <v>121</v>
      </c>
      <c r="AB15" s="17">
        <f t="shared" si="7"/>
        <v>75</v>
      </c>
      <c r="AC15" s="17">
        <f t="shared" si="7"/>
        <v>490</v>
      </c>
      <c r="AD15" s="17">
        <f t="shared" si="7"/>
        <v>0</v>
      </c>
      <c r="AE15" s="31">
        <f t="shared" si="7"/>
        <v>1054</v>
      </c>
      <c r="AF15" s="31">
        <f t="shared" si="7"/>
        <v>1544</v>
      </c>
    </row>
    <row r="16" spans="2:32" ht="23.1" customHeight="1" x14ac:dyDescent="0.25">
      <c r="B16" s="45" t="s">
        <v>43</v>
      </c>
      <c r="C16" s="50">
        <v>44</v>
      </c>
      <c r="D16" s="50">
        <v>7</v>
      </c>
      <c r="E16" s="50">
        <v>10</v>
      </c>
      <c r="F16" s="50">
        <v>12</v>
      </c>
      <c r="G16" s="50">
        <v>0</v>
      </c>
      <c r="H16" s="50">
        <v>1</v>
      </c>
      <c r="I16" s="50">
        <v>4</v>
      </c>
      <c r="J16" s="50">
        <v>2</v>
      </c>
      <c r="K16" s="50">
        <v>2</v>
      </c>
      <c r="L16" s="50">
        <v>4</v>
      </c>
      <c r="M16" s="50">
        <v>123</v>
      </c>
      <c r="N16" s="50">
        <v>0</v>
      </c>
      <c r="O16" s="15">
        <f t="shared" si="0"/>
        <v>86</v>
      </c>
      <c r="P16" s="15">
        <f t="shared" si="1"/>
        <v>209</v>
      </c>
      <c r="R16" s="1" t="s">
        <v>12</v>
      </c>
      <c r="S16" s="17">
        <f t="shared" ref="S16:AF16" si="8">SUM(C34:C37)</f>
        <v>459</v>
      </c>
      <c r="T16" s="17">
        <f t="shared" si="8"/>
        <v>73</v>
      </c>
      <c r="U16" s="17">
        <f t="shared" si="8"/>
        <v>67</v>
      </c>
      <c r="V16" s="17">
        <f t="shared" si="8"/>
        <v>72</v>
      </c>
      <c r="W16" s="17">
        <f t="shared" si="8"/>
        <v>4</v>
      </c>
      <c r="X16" s="17">
        <f t="shared" si="8"/>
        <v>6</v>
      </c>
      <c r="Y16" s="17">
        <f t="shared" si="8"/>
        <v>28</v>
      </c>
      <c r="Z16" s="17">
        <f t="shared" si="8"/>
        <v>54</v>
      </c>
      <c r="AA16" s="17">
        <f t="shared" si="8"/>
        <v>113</v>
      </c>
      <c r="AB16" s="17">
        <f t="shared" si="8"/>
        <v>75</v>
      </c>
      <c r="AC16" s="17">
        <f t="shared" si="8"/>
        <v>596</v>
      </c>
      <c r="AD16" s="17">
        <f t="shared" si="8"/>
        <v>1</v>
      </c>
      <c r="AE16" s="31">
        <f t="shared" si="8"/>
        <v>952</v>
      </c>
      <c r="AF16" s="31">
        <f t="shared" si="8"/>
        <v>1548</v>
      </c>
    </row>
    <row r="17" spans="2:32" ht="23.1" customHeight="1" x14ac:dyDescent="0.25">
      <c r="B17" s="45" t="s">
        <v>44</v>
      </c>
      <c r="C17" s="50">
        <v>62</v>
      </c>
      <c r="D17" s="50">
        <v>13</v>
      </c>
      <c r="E17" s="50">
        <v>7</v>
      </c>
      <c r="F17" s="50">
        <v>8</v>
      </c>
      <c r="G17" s="50">
        <v>3</v>
      </c>
      <c r="H17" s="50">
        <v>0</v>
      </c>
      <c r="I17" s="50">
        <v>3</v>
      </c>
      <c r="J17" s="50">
        <v>4</v>
      </c>
      <c r="K17" s="50">
        <v>3</v>
      </c>
      <c r="L17" s="50">
        <v>2</v>
      </c>
      <c r="M17" s="50">
        <v>147</v>
      </c>
      <c r="N17" s="50">
        <v>0</v>
      </c>
      <c r="O17" s="15">
        <f t="shared" si="0"/>
        <v>105</v>
      </c>
      <c r="P17" s="15">
        <f t="shared" si="1"/>
        <v>252</v>
      </c>
      <c r="R17" s="1" t="s">
        <v>13</v>
      </c>
      <c r="S17" s="17">
        <f t="shared" ref="S17:AF17" si="9">SUM(C38:C41)</f>
        <v>439</v>
      </c>
      <c r="T17" s="17">
        <f t="shared" si="9"/>
        <v>90</v>
      </c>
      <c r="U17" s="17">
        <f t="shared" si="9"/>
        <v>38</v>
      </c>
      <c r="V17" s="17">
        <f t="shared" si="9"/>
        <v>70</v>
      </c>
      <c r="W17" s="17">
        <f t="shared" si="9"/>
        <v>3</v>
      </c>
      <c r="X17" s="17">
        <f t="shared" si="9"/>
        <v>2</v>
      </c>
      <c r="Y17" s="17">
        <f t="shared" si="9"/>
        <v>31</v>
      </c>
      <c r="Z17" s="17">
        <f t="shared" si="9"/>
        <v>32</v>
      </c>
      <c r="AA17" s="17">
        <f t="shared" si="9"/>
        <v>91</v>
      </c>
      <c r="AB17" s="17">
        <f t="shared" si="9"/>
        <v>46</v>
      </c>
      <c r="AC17" s="17">
        <f t="shared" si="9"/>
        <v>473</v>
      </c>
      <c r="AD17" s="17">
        <f t="shared" si="9"/>
        <v>0</v>
      </c>
      <c r="AE17" s="31">
        <f t="shared" si="9"/>
        <v>842</v>
      </c>
      <c r="AF17" s="31">
        <f t="shared" si="9"/>
        <v>1315</v>
      </c>
    </row>
    <row r="18" spans="2:32" ht="23.1" customHeight="1" x14ac:dyDescent="0.25">
      <c r="B18" s="45" t="s">
        <v>45</v>
      </c>
      <c r="C18" s="50">
        <v>68</v>
      </c>
      <c r="D18" s="50">
        <v>12</v>
      </c>
      <c r="E18" s="50">
        <v>15</v>
      </c>
      <c r="F18" s="50">
        <v>20</v>
      </c>
      <c r="G18" s="50">
        <v>5</v>
      </c>
      <c r="H18" s="50">
        <v>0</v>
      </c>
      <c r="I18" s="50">
        <v>8</v>
      </c>
      <c r="J18" s="50">
        <v>5</v>
      </c>
      <c r="K18" s="50">
        <v>2</v>
      </c>
      <c r="L18" s="50">
        <v>2</v>
      </c>
      <c r="M18" s="50">
        <v>146</v>
      </c>
      <c r="N18" s="50">
        <v>0</v>
      </c>
      <c r="O18" s="15">
        <f t="shared" si="0"/>
        <v>137</v>
      </c>
      <c r="P18" s="15">
        <f t="shared" si="1"/>
        <v>283</v>
      </c>
      <c r="R18" s="1" t="s">
        <v>14</v>
      </c>
      <c r="S18" s="17">
        <f t="shared" ref="S18:AF18" si="10">SUM(C42:C45)</f>
        <v>460</v>
      </c>
      <c r="T18" s="17">
        <f t="shared" si="10"/>
        <v>75</v>
      </c>
      <c r="U18" s="17">
        <f t="shared" si="10"/>
        <v>33</v>
      </c>
      <c r="V18" s="17">
        <f t="shared" si="10"/>
        <v>58</v>
      </c>
      <c r="W18" s="17">
        <f t="shared" si="10"/>
        <v>3</v>
      </c>
      <c r="X18" s="17">
        <f t="shared" si="10"/>
        <v>2</v>
      </c>
      <c r="Y18" s="17">
        <f t="shared" si="10"/>
        <v>47</v>
      </c>
      <c r="Z18" s="17">
        <f t="shared" si="10"/>
        <v>56</v>
      </c>
      <c r="AA18" s="17">
        <f t="shared" si="10"/>
        <v>107</v>
      </c>
      <c r="AB18" s="17">
        <f t="shared" si="10"/>
        <v>67</v>
      </c>
      <c r="AC18" s="17">
        <f t="shared" si="10"/>
        <v>504</v>
      </c>
      <c r="AD18" s="17">
        <f t="shared" si="10"/>
        <v>0</v>
      </c>
      <c r="AE18" s="31">
        <f t="shared" si="10"/>
        <v>908</v>
      </c>
      <c r="AF18" s="31">
        <f t="shared" si="10"/>
        <v>1412</v>
      </c>
    </row>
    <row r="19" spans="2:32" ht="23.1" customHeight="1" x14ac:dyDescent="0.25">
      <c r="B19" s="45" t="s">
        <v>46</v>
      </c>
      <c r="C19" s="50">
        <v>89</v>
      </c>
      <c r="D19" s="50">
        <v>10</v>
      </c>
      <c r="E19" s="50">
        <v>10</v>
      </c>
      <c r="F19" s="50">
        <v>13</v>
      </c>
      <c r="G19" s="50">
        <v>1</v>
      </c>
      <c r="H19" s="50">
        <v>0</v>
      </c>
      <c r="I19" s="50">
        <v>3</v>
      </c>
      <c r="J19" s="50">
        <v>2</v>
      </c>
      <c r="K19" s="50">
        <v>0</v>
      </c>
      <c r="L19" s="50">
        <v>3</v>
      </c>
      <c r="M19" s="50">
        <v>123</v>
      </c>
      <c r="N19" s="50">
        <v>0</v>
      </c>
      <c r="O19" s="15">
        <f t="shared" si="0"/>
        <v>131</v>
      </c>
      <c r="P19" s="15">
        <f t="shared" si="1"/>
        <v>254</v>
      </c>
      <c r="R19" s="1" t="s">
        <v>15</v>
      </c>
      <c r="S19" s="17">
        <f t="shared" ref="S19:AF19" si="11">SUM(C46:C49)</f>
        <v>431</v>
      </c>
      <c r="T19" s="17">
        <f t="shared" si="11"/>
        <v>69</v>
      </c>
      <c r="U19" s="17">
        <f t="shared" si="11"/>
        <v>48</v>
      </c>
      <c r="V19" s="17">
        <f t="shared" si="11"/>
        <v>58</v>
      </c>
      <c r="W19" s="17">
        <f t="shared" si="11"/>
        <v>1</v>
      </c>
      <c r="X19" s="17">
        <f t="shared" si="11"/>
        <v>1</v>
      </c>
      <c r="Y19" s="17">
        <f t="shared" si="11"/>
        <v>28</v>
      </c>
      <c r="Z19" s="17">
        <f t="shared" si="11"/>
        <v>35</v>
      </c>
      <c r="AA19" s="17">
        <f t="shared" si="11"/>
        <v>40</v>
      </c>
      <c r="AB19" s="17">
        <f t="shared" si="11"/>
        <v>51</v>
      </c>
      <c r="AC19" s="17">
        <f t="shared" si="11"/>
        <v>482</v>
      </c>
      <c r="AD19" s="17">
        <f t="shared" si="11"/>
        <v>0</v>
      </c>
      <c r="AE19" s="31">
        <f t="shared" si="11"/>
        <v>762</v>
      </c>
      <c r="AF19" s="31">
        <f t="shared" si="11"/>
        <v>1244</v>
      </c>
    </row>
    <row r="20" spans="2:32" ht="23.1" customHeight="1" x14ac:dyDescent="0.25">
      <c r="B20" s="45" t="s">
        <v>47</v>
      </c>
      <c r="C20" s="50">
        <v>85</v>
      </c>
      <c r="D20" s="50">
        <v>18</v>
      </c>
      <c r="E20" s="50">
        <v>7</v>
      </c>
      <c r="F20" s="50">
        <v>7</v>
      </c>
      <c r="G20" s="50">
        <v>2</v>
      </c>
      <c r="H20" s="50">
        <v>0</v>
      </c>
      <c r="I20" s="50">
        <v>4</v>
      </c>
      <c r="J20" s="50">
        <v>5</v>
      </c>
      <c r="K20" s="50">
        <v>3</v>
      </c>
      <c r="L20" s="50">
        <v>2</v>
      </c>
      <c r="M20" s="50">
        <v>197</v>
      </c>
      <c r="N20" s="50">
        <v>0</v>
      </c>
      <c r="O20" s="15">
        <f t="shared" si="0"/>
        <v>133</v>
      </c>
      <c r="P20" s="15">
        <f t="shared" si="1"/>
        <v>330</v>
      </c>
      <c r="R20" s="1" t="s">
        <v>16</v>
      </c>
      <c r="S20" s="17">
        <f t="shared" ref="S20:AF20" si="12">SUM(C50:C53)</f>
        <v>395</v>
      </c>
      <c r="T20" s="17">
        <f t="shared" si="12"/>
        <v>45</v>
      </c>
      <c r="U20" s="17">
        <f t="shared" si="12"/>
        <v>33</v>
      </c>
      <c r="V20" s="17">
        <f t="shared" si="12"/>
        <v>90</v>
      </c>
      <c r="W20" s="17">
        <f t="shared" si="12"/>
        <v>6</v>
      </c>
      <c r="X20" s="17">
        <f t="shared" si="12"/>
        <v>2</v>
      </c>
      <c r="Y20" s="17">
        <f t="shared" si="12"/>
        <v>34</v>
      </c>
      <c r="Z20" s="17">
        <f t="shared" si="12"/>
        <v>56</v>
      </c>
      <c r="AA20" s="17">
        <f t="shared" si="12"/>
        <v>68</v>
      </c>
      <c r="AB20" s="17">
        <f t="shared" si="12"/>
        <v>65</v>
      </c>
      <c r="AC20" s="17">
        <f t="shared" si="12"/>
        <v>462</v>
      </c>
      <c r="AD20" s="17">
        <f t="shared" si="12"/>
        <v>0</v>
      </c>
      <c r="AE20" s="31">
        <f t="shared" si="12"/>
        <v>794</v>
      </c>
      <c r="AF20" s="31">
        <f t="shared" si="12"/>
        <v>1256</v>
      </c>
    </row>
    <row r="21" spans="2:32" ht="23.1" customHeight="1" x14ac:dyDescent="0.25">
      <c r="B21" s="45" t="s">
        <v>48</v>
      </c>
      <c r="C21" s="50">
        <v>85</v>
      </c>
      <c r="D21" s="50">
        <v>13</v>
      </c>
      <c r="E21" s="50">
        <v>10</v>
      </c>
      <c r="F21" s="50">
        <v>12</v>
      </c>
      <c r="G21" s="50">
        <v>2</v>
      </c>
      <c r="H21" s="50">
        <v>0</v>
      </c>
      <c r="I21" s="50">
        <v>20</v>
      </c>
      <c r="J21" s="50">
        <v>5</v>
      </c>
      <c r="K21" s="50">
        <v>1</v>
      </c>
      <c r="L21" s="50">
        <v>25</v>
      </c>
      <c r="M21" s="50">
        <v>90</v>
      </c>
      <c r="N21" s="50">
        <v>0</v>
      </c>
      <c r="O21" s="15">
        <f t="shared" si="0"/>
        <v>173</v>
      </c>
      <c r="P21" s="15">
        <f t="shared" si="1"/>
        <v>263</v>
      </c>
      <c r="R21" s="36" t="s">
        <v>20</v>
      </c>
      <c r="S21" s="34">
        <f t="shared" ref="S21:AF21" si="13">SUM(C54:C57)</f>
        <v>397</v>
      </c>
      <c r="T21" s="17">
        <f t="shared" si="13"/>
        <v>74</v>
      </c>
      <c r="U21" s="17">
        <f t="shared" si="13"/>
        <v>127</v>
      </c>
      <c r="V21" s="17">
        <f t="shared" si="13"/>
        <v>120</v>
      </c>
      <c r="W21" s="17">
        <f t="shared" si="13"/>
        <v>3</v>
      </c>
      <c r="X21" s="17">
        <f t="shared" si="13"/>
        <v>3</v>
      </c>
      <c r="Y21" s="17">
        <f t="shared" si="13"/>
        <v>41</v>
      </c>
      <c r="Z21" s="17">
        <f t="shared" si="13"/>
        <v>121</v>
      </c>
      <c r="AA21" s="17">
        <f t="shared" si="13"/>
        <v>39</v>
      </c>
      <c r="AB21" s="17">
        <f t="shared" si="13"/>
        <v>45</v>
      </c>
      <c r="AC21" s="17">
        <f t="shared" si="13"/>
        <v>437</v>
      </c>
      <c r="AD21" s="17">
        <f t="shared" si="13"/>
        <v>0</v>
      </c>
      <c r="AE21" s="31">
        <f t="shared" si="13"/>
        <v>970</v>
      </c>
      <c r="AF21" s="31">
        <f t="shared" si="13"/>
        <v>1407</v>
      </c>
    </row>
    <row r="22" spans="2:32" ht="23.1" customHeight="1" x14ac:dyDescent="0.25">
      <c r="B22" s="45" t="s">
        <v>49</v>
      </c>
      <c r="C22" s="50">
        <v>40</v>
      </c>
      <c r="D22" s="50">
        <v>20</v>
      </c>
      <c r="E22" s="50">
        <v>10</v>
      </c>
      <c r="F22" s="50">
        <v>8</v>
      </c>
      <c r="G22" s="50">
        <v>5</v>
      </c>
      <c r="H22" s="50">
        <v>2</v>
      </c>
      <c r="I22" s="50">
        <v>4</v>
      </c>
      <c r="J22" s="50">
        <v>18</v>
      </c>
      <c r="K22" s="50">
        <v>15</v>
      </c>
      <c r="L22" s="50">
        <v>30</v>
      </c>
      <c r="M22" s="50">
        <v>32</v>
      </c>
      <c r="N22" s="50">
        <v>0</v>
      </c>
      <c r="O22" s="15">
        <f t="shared" si="0"/>
        <v>152</v>
      </c>
      <c r="P22" s="15">
        <f t="shared" si="1"/>
        <v>184</v>
      </c>
      <c r="R22" s="36" t="s">
        <v>146</v>
      </c>
      <c r="S22" s="34">
        <f>SUM(C58:C61)</f>
        <v>325</v>
      </c>
      <c r="T22" s="34">
        <f t="shared" ref="T22:AF22" si="14">SUM(D58:D61)</f>
        <v>233</v>
      </c>
      <c r="U22" s="34">
        <f t="shared" si="14"/>
        <v>204</v>
      </c>
      <c r="V22" s="34">
        <f t="shared" si="14"/>
        <v>311</v>
      </c>
      <c r="W22" s="34">
        <f t="shared" si="14"/>
        <v>37</v>
      </c>
      <c r="X22" s="34">
        <f t="shared" si="14"/>
        <v>5</v>
      </c>
      <c r="Y22" s="34">
        <f t="shared" si="14"/>
        <v>72</v>
      </c>
      <c r="Z22" s="34">
        <f t="shared" si="14"/>
        <v>51</v>
      </c>
      <c r="AA22" s="34">
        <f t="shared" si="14"/>
        <v>42</v>
      </c>
      <c r="AB22" s="34">
        <f t="shared" si="14"/>
        <v>24</v>
      </c>
      <c r="AC22" s="34">
        <f t="shared" si="14"/>
        <v>584</v>
      </c>
      <c r="AD22" s="34">
        <f t="shared" si="14"/>
        <v>0</v>
      </c>
      <c r="AE22" s="31">
        <f t="shared" si="14"/>
        <v>1304</v>
      </c>
      <c r="AF22" s="31">
        <f t="shared" si="14"/>
        <v>1888</v>
      </c>
    </row>
    <row r="23" spans="2:32" ht="23.1" customHeight="1" x14ac:dyDescent="0.25">
      <c r="B23" s="45" t="s">
        <v>50</v>
      </c>
      <c r="C23" s="50">
        <v>60</v>
      </c>
      <c r="D23" s="50">
        <v>17</v>
      </c>
      <c r="E23" s="50">
        <v>32</v>
      </c>
      <c r="F23" s="50">
        <v>40</v>
      </c>
      <c r="G23" s="50">
        <v>10</v>
      </c>
      <c r="H23" s="50">
        <v>5</v>
      </c>
      <c r="I23" s="50">
        <v>10</v>
      </c>
      <c r="J23" s="50">
        <v>13</v>
      </c>
      <c r="K23" s="50">
        <v>45</v>
      </c>
      <c r="L23" s="50">
        <v>45</v>
      </c>
      <c r="M23" s="50">
        <v>72</v>
      </c>
      <c r="N23" s="50">
        <v>0</v>
      </c>
      <c r="O23" s="15">
        <f t="shared" si="0"/>
        <v>277</v>
      </c>
      <c r="P23" s="15">
        <f t="shared" si="1"/>
        <v>349</v>
      </c>
      <c r="R23" s="36" t="s">
        <v>147</v>
      </c>
      <c r="S23" s="34">
        <f>SUM(C62:C65)</f>
        <v>299</v>
      </c>
      <c r="T23" s="34">
        <f t="shared" ref="T23:AF23" si="15">SUM(D62:D65)</f>
        <v>193</v>
      </c>
      <c r="U23" s="34">
        <f t="shared" si="15"/>
        <v>87</v>
      </c>
      <c r="V23" s="34">
        <f t="shared" si="15"/>
        <v>213</v>
      </c>
      <c r="W23" s="34">
        <f t="shared" si="15"/>
        <v>8</v>
      </c>
      <c r="X23" s="34">
        <f t="shared" si="15"/>
        <v>1</v>
      </c>
      <c r="Y23" s="34">
        <f t="shared" si="15"/>
        <v>45</v>
      </c>
      <c r="Z23" s="34">
        <f t="shared" si="15"/>
        <v>14</v>
      </c>
      <c r="AA23" s="34">
        <f t="shared" si="15"/>
        <v>17</v>
      </c>
      <c r="AB23" s="34">
        <f t="shared" si="15"/>
        <v>7</v>
      </c>
      <c r="AC23" s="34">
        <f t="shared" si="15"/>
        <v>603</v>
      </c>
      <c r="AD23" s="34">
        <f t="shared" si="15"/>
        <v>0</v>
      </c>
      <c r="AE23" s="31">
        <f t="shared" si="15"/>
        <v>884</v>
      </c>
      <c r="AF23" s="31">
        <f t="shared" si="15"/>
        <v>1487</v>
      </c>
    </row>
    <row r="24" spans="2:32" ht="23.1" customHeight="1" x14ac:dyDescent="0.25">
      <c r="B24" s="45" t="s">
        <v>51</v>
      </c>
      <c r="C24" s="50">
        <v>50</v>
      </c>
      <c r="D24" s="50">
        <v>18</v>
      </c>
      <c r="E24" s="50">
        <v>23</v>
      </c>
      <c r="F24" s="50">
        <v>42</v>
      </c>
      <c r="G24" s="50">
        <v>12</v>
      </c>
      <c r="H24" s="50">
        <v>2</v>
      </c>
      <c r="I24" s="50">
        <v>15</v>
      </c>
      <c r="J24" s="50">
        <v>5</v>
      </c>
      <c r="K24" s="50">
        <v>34</v>
      </c>
      <c r="L24" s="50">
        <v>25</v>
      </c>
      <c r="M24" s="50">
        <v>68</v>
      </c>
      <c r="N24" s="50">
        <v>0</v>
      </c>
      <c r="O24" s="15">
        <f t="shared" si="0"/>
        <v>226</v>
      </c>
      <c r="P24" s="15">
        <f t="shared" si="1"/>
        <v>294</v>
      </c>
      <c r="R24" s="36" t="s">
        <v>148</v>
      </c>
      <c r="S24" s="34">
        <f>SUM(C66:C69)</f>
        <v>349</v>
      </c>
      <c r="T24" s="34">
        <f t="shared" ref="T24:AF24" si="16">SUM(D66:D69)</f>
        <v>279</v>
      </c>
      <c r="U24" s="34">
        <f t="shared" si="16"/>
        <v>140</v>
      </c>
      <c r="V24" s="34">
        <f t="shared" si="16"/>
        <v>356</v>
      </c>
      <c r="W24" s="34">
        <f t="shared" si="16"/>
        <v>3</v>
      </c>
      <c r="X24" s="34">
        <f t="shared" si="16"/>
        <v>2</v>
      </c>
      <c r="Y24" s="34">
        <f t="shared" si="16"/>
        <v>78</v>
      </c>
      <c r="Z24" s="34">
        <f t="shared" si="16"/>
        <v>41</v>
      </c>
      <c r="AA24" s="34">
        <f t="shared" si="16"/>
        <v>11</v>
      </c>
      <c r="AB24" s="34">
        <f t="shared" si="16"/>
        <v>21</v>
      </c>
      <c r="AC24" s="34">
        <f t="shared" si="16"/>
        <v>599</v>
      </c>
      <c r="AD24" s="34">
        <f t="shared" si="16"/>
        <v>0</v>
      </c>
      <c r="AE24" s="31">
        <f t="shared" si="16"/>
        <v>1280</v>
      </c>
      <c r="AF24" s="31">
        <f t="shared" si="16"/>
        <v>1879</v>
      </c>
    </row>
    <row r="25" spans="2:32" ht="23.1" customHeight="1" x14ac:dyDescent="0.25">
      <c r="B25" s="45" t="s">
        <v>52</v>
      </c>
      <c r="C25" s="50">
        <v>84</v>
      </c>
      <c r="D25" s="50">
        <v>55</v>
      </c>
      <c r="E25" s="50">
        <v>42</v>
      </c>
      <c r="F25" s="50">
        <v>25</v>
      </c>
      <c r="G25" s="50">
        <v>2</v>
      </c>
      <c r="H25" s="50">
        <v>10</v>
      </c>
      <c r="I25" s="50">
        <v>22</v>
      </c>
      <c r="J25" s="50">
        <v>10</v>
      </c>
      <c r="K25" s="50">
        <v>23</v>
      </c>
      <c r="L25" s="50">
        <v>15</v>
      </c>
      <c r="M25" s="50">
        <v>85</v>
      </c>
      <c r="N25" s="50">
        <v>0</v>
      </c>
      <c r="O25" s="15">
        <f t="shared" si="0"/>
        <v>288</v>
      </c>
      <c r="P25" s="15">
        <f t="shared" si="1"/>
        <v>373</v>
      </c>
      <c r="R25" s="36" t="s">
        <v>149</v>
      </c>
      <c r="S25" s="34">
        <f>SUM(C70:C73)</f>
        <v>261</v>
      </c>
      <c r="T25" s="34">
        <f t="shared" ref="T25:AF25" si="17">SUM(D70:D73)</f>
        <v>172</v>
      </c>
      <c r="U25" s="34">
        <f t="shared" si="17"/>
        <v>180</v>
      </c>
      <c r="V25" s="34">
        <f t="shared" si="17"/>
        <v>271</v>
      </c>
      <c r="W25" s="34">
        <f t="shared" si="17"/>
        <v>2</v>
      </c>
      <c r="X25" s="34">
        <f t="shared" si="17"/>
        <v>1</v>
      </c>
      <c r="Y25" s="34">
        <f t="shared" si="17"/>
        <v>35</v>
      </c>
      <c r="Z25" s="34">
        <f t="shared" si="17"/>
        <v>7</v>
      </c>
      <c r="AA25" s="34">
        <f t="shared" si="17"/>
        <v>10</v>
      </c>
      <c r="AB25" s="34">
        <f t="shared" si="17"/>
        <v>14</v>
      </c>
      <c r="AC25" s="34">
        <f t="shared" si="17"/>
        <v>587</v>
      </c>
      <c r="AD25" s="34">
        <f t="shared" si="17"/>
        <v>0</v>
      </c>
      <c r="AE25" s="31">
        <f t="shared" si="17"/>
        <v>953</v>
      </c>
      <c r="AF25" s="31">
        <f t="shared" si="17"/>
        <v>1540</v>
      </c>
    </row>
    <row r="26" spans="2:32" ht="23.1" customHeight="1" x14ac:dyDescent="0.25">
      <c r="B26" s="45" t="s">
        <v>53</v>
      </c>
      <c r="C26" s="50">
        <v>75</v>
      </c>
      <c r="D26" s="50">
        <v>18</v>
      </c>
      <c r="E26" s="50">
        <v>19</v>
      </c>
      <c r="F26" s="50">
        <v>46</v>
      </c>
      <c r="G26" s="50">
        <v>10</v>
      </c>
      <c r="H26" s="50">
        <v>5</v>
      </c>
      <c r="I26" s="50">
        <v>25</v>
      </c>
      <c r="J26" s="50">
        <v>13</v>
      </c>
      <c r="K26" s="50">
        <v>30</v>
      </c>
      <c r="L26" s="50">
        <v>45</v>
      </c>
      <c r="M26" s="50">
        <v>105</v>
      </c>
      <c r="N26" s="50">
        <v>0</v>
      </c>
      <c r="O26" s="15">
        <f t="shared" si="0"/>
        <v>286</v>
      </c>
      <c r="P26" s="15">
        <f t="shared" si="1"/>
        <v>391</v>
      </c>
      <c r="R26" s="36" t="s">
        <v>150</v>
      </c>
      <c r="S26" s="34">
        <f>SUM(C74:C77)</f>
        <v>289</v>
      </c>
      <c r="T26" s="34">
        <f t="shared" ref="T26:AF26" si="18">SUM(D74:D77)</f>
        <v>109</v>
      </c>
      <c r="U26" s="34">
        <f t="shared" si="18"/>
        <v>126</v>
      </c>
      <c r="V26" s="34">
        <f t="shared" si="18"/>
        <v>197</v>
      </c>
      <c r="W26" s="34">
        <f t="shared" si="18"/>
        <v>2</v>
      </c>
      <c r="X26" s="34">
        <f t="shared" si="18"/>
        <v>3</v>
      </c>
      <c r="Y26" s="34">
        <f t="shared" si="18"/>
        <v>37</v>
      </c>
      <c r="Z26" s="34">
        <f t="shared" si="18"/>
        <v>12</v>
      </c>
      <c r="AA26" s="34">
        <f t="shared" si="18"/>
        <v>7</v>
      </c>
      <c r="AB26" s="34">
        <f t="shared" si="18"/>
        <v>3</v>
      </c>
      <c r="AC26" s="34">
        <f t="shared" si="18"/>
        <v>390</v>
      </c>
      <c r="AD26" s="34">
        <f t="shared" si="18"/>
        <v>0</v>
      </c>
      <c r="AE26" s="31">
        <f t="shared" si="18"/>
        <v>785</v>
      </c>
      <c r="AF26" s="31">
        <f t="shared" si="18"/>
        <v>1175</v>
      </c>
    </row>
    <row r="27" spans="2:32" ht="23.1" customHeight="1" x14ac:dyDescent="0.25">
      <c r="B27" s="45" t="s">
        <v>54</v>
      </c>
      <c r="C27" s="50">
        <v>78</v>
      </c>
      <c r="D27" s="50">
        <v>35</v>
      </c>
      <c r="E27" s="50">
        <v>12</v>
      </c>
      <c r="F27" s="50">
        <v>24</v>
      </c>
      <c r="G27" s="50">
        <v>4</v>
      </c>
      <c r="H27" s="50">
        <v>0</v>
      </c>
      <c r="I27" s="50">
        <v>13</v>
      </c>
      <c r="J27" s="50">
        <v>5</v>
      </c>
      <c r="K27" s="50">
        <v>22</v>
      </c>
      <c r="L27" s="50">
        <v>27</v>
      </c>
      <c r="M27" s="50">
        <v>78</v>
      </c>
      <c r="N27" s="50">
        <v>0</v>
      </c>
      <c r="O27" s="15">
        <f t="shared" si="0"/>
        <v>220</v>
      </c>
      <c r="P27" s="15">
        <f t="shared" si="1"/>
        <v>298</v>
      </c>
      <c r="R27" s="36" t="s">
        <v>151</v>
      </c>
      <c r="S27" s="34">
        <f>SUM(C78:C81)</f>
        <v>245</v>
      </c>
      <c r="T27" s="34">
        <f t="shared" ref="T27:AF27" si="19">SUM(D78:D81)</f>
        <v>111</v>
      </c>
      <c r="U27" s="34">
        <f t="shared" si="19"/>
        <v>42</v>
      </c>
      <c r="V27" s="34">
        <f t="shared" si="19"/>
        <v>110</v>
      </c>
      <c r="W27" s="34">
        <f t="shared" si="19"/>
        <v>1</v>
      </c>
      <c r="X27" s="34">
        <f t="shared" si="19"/>
        <v>3</v>
      </c>
      <c r="Y27" s="34">
        <f t="shared" si="19"/>
        <v>56</v>
      </c>
      <c r="Z27" s="34">
        <f t="shared" si="19"/>
        <v>28</v>
      </c>
      <c r="AA27" s="34">
        <f t="shared" si="19"/>
        <v>9</v>
      </c>
      <c r="AB27" s="34">
        <f t="shared" si="19"/>
        <v>20</v>
      </c>
      <c r="AC27" s="34">
        <f t="shared" si="19"/>
        <v>265</v>
      </c>
      <c r="AD27" s="34">
        <f t="shared" si="19"/>
        <v>0</v>
      </c>
      <c r="AE27" s="31">
        <f t="shared" si="19"/>
        <v>625</v>
      </c>
      <c r="AF27" s="31">
        <f t="shared" si="19"/>
        <v>890</v>
      </c>
    </row>
    <row r="28" spans="2:32" ht="23.1" customHeight="1" x14ac:dyDescent="0.25">
      <c r="B28" s="45" t="s">
        <v>55</v>
      </c>
      <c r="C28" s="50">
        <v>92</v>
      </c>
      <c r="D28" s="50">
        <v>15</v>
      </c>
      <c r="E28" s="50">
        <v>20</v>
      </c>
      <c r="F28" s="50">
        <v>10</v>
      </c>
      <c r="G28" s="50">
        <v>0</v>
      </c>
      <c r="H28" s="50">
        <v>1</v>
      </c>
      <c r="I28" s="50">
        <v>18</v>
      </c>
      <c r="J28" s="50">
        <v>35</v>
      </c>
      <c r="K28" s="50">
        <v>25</v>
      </c>
      <c r="L28" s="50">
        <v>20</v>
      </c>
      <c r="M28" s="50">
        <v>108</v>
      </c>
      <c r="N28" s="50">
        <v>0</v>
      </c>
      <c r="O28" s="15">
        <f t="shared" si="0"/>
        <v>236</v>
      </c>
      <c r="P28" s="15">
        <f t="shared" si="1"/>
        <v>344</v>
      </c>
      <c r="R28" s="36" t="s">
        <v>152</v>
      </c>
      <c r="S28" s="34">
        <f>SUM(C82:C85)</f>
        <v>64</v>
      </c>
      <c r="T28" s="34">
        <f t="shared" ref="T28:AF28" si="20">SUM(D82:D85)</f>
        <v>10</v>
      </c>
      <c r="U28" s="34">
        <f t="shared" si="20"/>
        <v>9</v>
      </c>
      <c r="V28" s="34">
        <f t="shared" si="20"/>
        <v>5</v>
      </c>
      <c r="W28" s="34">
        <f t="shared" si="20"/>
        <v>0</v>
      </c>
      <c r="X28" s="34">
        <f t="shared" si="20"/>
        <v>0</v>
      </c>
      <c r="Y28" s="34">
        <f t="shared" si="20"/>
        <v>15</v>
      </c>
      <c r="Z28" s="34">
        <f t="shared" si="20"/>
        <v>16</v>
      </c>
      <c r="AA28" s="34">
        <f t="shared" si="20"/>
        <v>2</v>
      </c>
      <c r="AB28" s="34">
        <f t="shared" si="20"/>
        <v>12</v>
      </c>
      <c r="AC28" s="34">
        <f t="shared" si="20"/>
        <v>65</v>
      </c>
      <c r="AD28" s="34">
        <f t="shared" si="20"/>
        <v>0</v>
      </c>
      <c r="AE28" s="31">
        <f t="shared" si="20"/>
        <v>133</v>
      </c>
      <c r="AF28" s="31">
        <f t="shared" si="20"/>
        <v>198</v>
      </c>
    </row>
    <row r="29" spans="2:32" ht="23.1" customHeight="1" x14ac:dyDescent="0.25">
      <c r="B29" s="45" t="s">
        <v>56</v>
      </c>
      <c r="C29" s="50">
        <v>65</v>
      </c>
      <c r="D29" s="50">
        <v>12</v>
      </c>
      <c r="E29" s="50">
        <v>3</v>
      </c>
      <c r="F29" s="50">
        <v>20</v>
      </c>
      <c r="G29" s="50">
        <v>5</v>
      </c>
      <c r="H29" s="50">
        <v>2</v>
      </c>
      <c r="I29" s="50">
        <v>3</v>
      </c>
      <c r="J29" s="50">
        <v>12</v>
      </c>
      <c r="K29" s="50">
        <v>20</v>
      </c>
      <c r="L29" s="50">
        <v>25</v>
      </c>
      <c r="M29" s="50">
        <v>92</v>
      </c>
      <c r="N29" s="50">
        <v>0</v>
      </c>
      <c r="O29" s="15">
        <f t="shared" si="0"/>
        <v>167</v>
      </c>
      <c r="P29" s="15">
        <f t="shared" si="1"/>
        <v>259</v>
      </c>
      <c r="R29" s="36" t="s">
        <v>153</v>
      </c>
      <c r="S29" s="34">
        <f>SUM(C86:C89)</f>
        <v>13</v>
      </c>
      <c r="T29" s="34">
        <f t="shared" ref="T29:AF29" si="21">SUM(D86:D89)</f>
        <v>4</v>
      </c>
      <c r="U29" s="34">
        <f t="shared" si="21"/>
        <v>4</v>
      </c>
      <c r="V29" s="34">
        <f t="shared" si="21"/>
        <v>11</v>
      </c>
      <c r="W29" s="34">
        <f t="shared" si="21"/>
        <v>0</v>
      </c>
      <c r="X29" s="34">
        <f t="shared" si="21"/>
        <v>1</v>
      </c>
      <c r="Y29" s="34">
        <f t="shared" si="21"/>
        <v>8</v>
      </c>
      <c r="Z29" s="34">
        <f t="shared" si="21"/>
        <v>8</v>
      </c>
      <c r="AA29" s="34">
        <f t="shared" si="21"/>
        <v>2</v>
      </c>
      <c r="AB29" s="34">
        <f t="shared" si="21"/>
        <v>0</v>
      </c>
      <c r="AC29" s="34">
        <f t="shared" si="21"/>
        <v>20</v>
      </c>
      <c r="AD29" s="34">
        <f t="shared" si="21"/>
        <v>0</v>
      </c>
      <c r="AE29" s="31">
        <f t="shared" si="21"/>
        <v>51</v>
      </c>
      <c r="AF29" s="31">
        <f t="shared" si="21"/>
        <v>71</v>
      </c>
    </row>
    <row r="30" spans="2:32" ht="23.1" customHeight="1" x14ac:dyDescent="0.25">
      <c r="B30" s="45" t="s">
        <v>57</v>
      </c>
      <c r="C30" s="50">
        <v>107</v>
      </c>
      <c r="D30" s="50">
        <v>30</v>
      </c>
      <c r="E30" s="50">
        <v>18</v>
      </c>
      <c r="F30" s="50">
        <v>40</v>
      </c>
      <c r="G30" s="50">
        <v>16</v>
      </c>
      <c r="H30" s="50">
        <v>8</v>
      </c>
      <c r="I30" s="50">
        <v>22</v>
      </c>
      <c r="J30" s="50">
        <v>22</v>
      </c>
      <c r="K30" s="50">
        <v>20</v>
      </c>
      <c r="L30" s="50">
        <v>18</v>
      </c>
      <c r="M30" s="50">
        <v>125</v>
      </c>
      <c r="N30" s="50">
        <v>0</v>
      </c>
      <c r="O30" s="15">
        <f t="shared" si="0"/>
        <v>301</v>
      </c>
      <c r="P30" s="15">
        <f t="shared" si="1"/>
        <v>426</v>
      </c>
      <c r="R30" s="36" t="s">
        <v>154</v>
      </c>
      <c r="S30" s="34">
        <f>SUM(C90:C93)</f>
        <v>10</v>
      </c>
      <c r="T30" s="34">
        <f t="shared" ref="T30:AF30" si="22">SUM(D90:D93)</f>
        <v>5</v>
      </c>
      <c r="U30" s="34">
        <f t="shared" si="22"/>
        <v>8</v>
      </c>
      <c r="V30" s="34">
        <f t="shared" si="22"/>
        <v>3</v>
      </c>
      <c r="W30" s="34">
        <f t="shared" si="22"/>
        <v>1</v>
      </c>
      <c r="X30" s="34">
        <f t="shared" si="22"/>
        <v>0</v>
      </c>
      <c r="Y30" s="34">
        <f t="shared" si="22"/>
        <v>10</v>
      </c>
      <c r="Z30" s="34">
        <f t="shared" si="22"/>
        <v>35</v>
      </c>
      <c r="AA30" s="34">
        <f t="shared" si="22"/>
        <v>8</v>
      </c>
      <c r="AB30" s="34">
        <f t="shared" si="22"/>
        <v>5</v>
      </c>
      <c r="AC30" s="34">
        <f t="shared" si="22"/>
        <v>28</v>
      </c>
      <c r="AD30" s="34">
        <f t="shared" si="22"/>
        <v>0</v>
      </c>
      <c r="AE30" s="31">
        <f t="shared" si="22"/>
        <v>85</v>
      </c>
      <c r="AF30" s="31">
        <f t="shared" si="22"/>
        <v>113</v>
      </c>
    </row>
    <row r="31" spans="2:32" ht="23.1" customHeight="1" x14ac:dyDescent="0.25">
      <c r="B31" s="46" t="s">
        <v>58</v>
      </c>
      <c r="C31" s="50">
        <v>91</v>
      </c>
      <c r="D31" s="50">
        <v>15</v>
      </c>
      <c r="E31" s="50">
        <v>8</v>
      </c>
      <c r="F31" s="50">
        <v>45</v>
      </c>
      <c r="G31" s="50">
        <v>0</v>
      </c>
      <c r="H31" s="50">
        <v>5</v>
      </c>
      <c r="I31" s="50">
        <v>20</v>
      </c>
      <c r="J31" s="50">
        <v>35</v>
      </c>
      <c r="K31" s="50">
        <v>35</v>
      </c>
      <c r="L31" s="50">
        <v>24</v>
      </c>
      <c r="M31" s="50">
        <v>120</v>
      </c>
      <c r="N31" s="50">
        <v>0</v>
      </c>
      <c r="O31" s="15">
        <f t="shared" si="0"/>
        <v>278</v>
      </c>
      <c r="P31" s="15">
        <f t="shared" si="1"/>
        <v>398</v>
      </c>
      <c r="R31" s="36" t="s">
        <v>155</v>
      </c>
      <c r="S31" s="34">
        <f>SUM(C94:C97)</f>
        <v>29</v>
      </c>
      <c r="T31" s="34">
        <f t="shared" ref="T31:AF31" si="23">SUM(D94:D97)</f>
        <v>3</v>
      </c>
      <c r="U31" s="34">
        <f t="shared" si="23"/>
        <v>6</v>
      </c>
      <c r="V31" s="34">
        <f t="shared" si="23"/>
        <v>12</v>
      </c>
      <c r="W31" s="34">
        <f t="shared" si="23"/>
        <v>0</v>
      </c>
      <c r="X31" s="34">
        <f t="shared" si="23"/>
        <v>2</v>
      </c>
      <c r="Y31" s="34">
        <f t="shared" si="23"/>
        <v>13</v>
      </c>
      <c r="Z31" s="34">
        <f t="shared" si="23"/>
        <v>24</v>
      </c>
      <c r="AA31" s="34">
        <f t="shared" si="23"/>
        <v>4</v>
      </c>
      <c r="AB31" s="34">
        <f t="shared" si="23"/>
        <v>1</v>
      </c>
      <c r="AC31" s="34">
        <f t="shared" si="23"/>
        <v>33</v>
      </c>
      <c r="AD31" s="34">
        <f t="shared" si="23"/>
        <v>0</v>
      </c>
      <c r="AE31" s="31">
        <f t="shared" si="23"/>
        <v>94</v>
      </c>
      <c r="AF31" s="31">
        <f t="shared" si="23"/>
        <v>127</v>
      </c>
    </row>
    <row r="32" spans="2:32" ht="23.1" customHeight="1" x14ac:dyDescent="0.25">
      <c r="B32" s="46" t="s">
        <v>59</v>
      </c>
      <c r="C32" s="50">
        <v>108</v>
      </c>
      <c r="D32" s="50">
        <v>25</v>
      </c>
      <c r="E32" s="50">
        <v>11</v>
      </c>
      <c r="F32" s="50">
        <v>13</v>
      </c>
      <c r="G32" s="50">
        <v>0</v>
      </c>
      <c r="H32" s="50">
        <v>1</v>
      </c>
      <c r="I32" s="50">
        <v>10</v>
      </c>
      <c r="J32" s="50">
        <v>25</v>
      </c>
      <c r="K32" s="50">
        <v>28</v>
      </c>
      <c r="L32" s="50">
        <v>15</v>
      </c>
      <c r="M32" s="50">
        <v>125</v>
      </c>
      <c r="N32" s="50">
        <v>0</v>
      </c>
      <c r="O32" s="15">
        <f t="shared" si="0"/>
        <v>236</v>
      </c>
      <c r="P32" s="15">
        <f t="shared" si="1"/>
        <v>361</v>
      </c>
      <c r="R32" s="33" t="s">
        <v>156</v>
      </c>
      <c r="S32" s="34">
        <f>SUM(C98:C101)</f>
        <v>37</v>
      </c>
      <c r="T32" s="34">
        <f t="shared" ref="T32:AF32" si="24">SUM(D98:D101)</f>
        <v>12</v>
      </c>
      <c r="U32" s="34">
        <f t="shared" si="24"/>
        <v>6</v>
      </c>
      <c r="V32" s="34">
        <f t="shared" si="24"/>
        <v>9</v>
      </c>
      <c r="W32" s="34">
        <f t="shared" si="24"/>
        <v>2</v>
      </c>
      <c r="X32" s="34">
        <f t="shared" si="24"/>
        <v>4</v>
      </c>
      <c r="Y32" s="34">
        <f t="shared" si="24"/>
        <v>15</v>
      </c>
      <c r="Z32" s="34">
        <f t="shared" si="24"/>
        <v>19</v>
      </c>
      <c r="AA32" s="34">
        <f t="shared" si="24"/>
        <v>8</v>
      </c>
      <c r="AB32" s="34">
        <f t="shared" si="24"/>
        <v>17</v>
      </c>
      <c r="AC32" s="34">
        <f t="shared" si="24"/>
        <v>109</v>
      </c>
      <c r="AD32" s="34">
        <f t="shared" si="24"/>
        <v>0</v>
      </c>
      <c r="AE32" s="31">
        <f t="shared" si="24"/>
        <v>129</v>
      </c>
      <c r="AF32" s="31">
        <f t="shared" si="24"/>
        <v>238</v>
      </c>
    </row>
    <row r="33" spans="2:32" ht="23.1" customHeight="1" x14ac:dyDescent="0.25">
      <c r="B33" s="45" t="s">
        <v>60</v>
      </c>
      <c r="C33" s="50">
        <v>100</v>
      </c>
      <c r="D33" s="50">
        <v>12</v>
      </c>
      <c r="E33" s="50">
        <v>15</v>
      </c>
      <c r="F33" s="50">
        <v>23</v>
      </c>
      <c r="G33" s="50">
        <v>2</v>
      </c>
      <c r="H33" s="50">
        <v>2</v>
      </c>
      <c r="I33" s="50">
        <v>0</v>
      </c>
      <c r="J33" s="50">
        <v>29</v>
      </c>
      <c r="K33" s="50">
        <v>38</v>
      </c>
      <c r="L33" s="50">
        <v>18</v>
      </c>
      <c r="M33" s="50">
        <v>120</v>
      </c>
      <c r="N33" s="50">
        <v>0</v>
      </c>
      <c r="O33" s="15">
        <f t="shared" si="0"/>
        <v>239</v>
      </c>
      <c r="P33" s="15">
        <f t="shared" si="1"/>
        <v>359</v>
      </c>
      <c r="R33" s="33" t="s">
        <v>157</v>
      </c>
      <c r="S33" s="34">
        <f>SUM(C102:C105)</f>
        <v>169</v>
      </c>
      <c r="T33" s="34">
        <f t="shared" ref="T33:AF33" si="25">SUM(D102:D105)</f>
        <v>17</v>
      </c>
      <c r="U33" s="34">
        <f t="shared" si="25"/>
        <v>15</v>
      </c>
      <c r="V33" s="34">
        <f t="shared" si="25"/>
        <v>39</v>
      </c>
      <c r="W33" s="34">
        <f t="shared" si="25"/>
        <v>5</v>
      </c>
      <c r="X33" s="34">
        <f t="shared" si="25"/>
        <v>2</v>
      </c>
      <c r="Y33" s="34">
        <f t="shared" si="25"/>
        <v>36</v>
      </c>
      <c r="Z33" s="34">
        <f t="shared" si="25"/>
        <v>30</v>
      </c>
      <c r="AA33" s="34">
        <f t="shared" si="25"/>
        <v>8</v>
      </c>
      <c r="AB33" s="34">
        <f t="shared" si="25"/>
        <v>34</v>
      </c>
      <c r="AC33" s="34">
        <f t="shared" si="25"/>
        <v>340</v>
      </c>
      <c r="AD33" s="34">
        <f t="shared" si="25"/>
        <v>0</v>
      </c>
      <c r="AE33" s="31">
        <f t="shared" si="25"/>
        <v>355</v>
      </c>
      <c r="AF33" s="31">
        <f t="shared" si="25"/>
        <v>695</v>
      </c>
    </row>
    <row r="34" spans="2:32" ht="23.1" customHeight="1" x14ac:dyDescent="0.25">
      <c r="B34" s="46" t="s">
        <v>61</v>
      </c>
      <c r="C34" s="50">
        <v>114</v>
      </c>
      <c r="D34" s="50">
        <v>28</v>
      </c>
      <c r="E34" s="50">
        <v>31</v>
      </c>
      <c r="F34" s="50">
        <v>33</v>
      </c>
      <c r="G34" s="50">
        <v>2</v>
      </c>
      <c r="H34" s="50">
        <v>1</v>
      </c>
      <c r="I34" s="50">
        <v>3</v>
      </c>
      <c r="J34" s="50">
        <v>10</v>
      </c>
      <c r="K34" s="50">
        <v>21</v>
      </c>
      <c r="L34" s="50">
        <v>17</v>
      </c>
      <c r="M34" s="50">
        <v>185</v>
      </c>
      <c r="N34" s="50">
        <v>0</v>
      </c>
      <c r="O34" s="15">
        <f t="shared" si="0"/>
        <v>260</v>
      </c>
      <c r="P34" s="15">
        <f t="shared" si="1"/>
        <v>445</v>
      </c>
      <c r="R34" s="38" t="s">
        <v>90</v>
      </c>
      <c r="S34" s="39">
        <f t="shared" ref="S34:AF34" si="26">MAX(S10:S12)</f>
        <v>327</v>
      </c>
      <c r="T34" s="39">
        <f t="shared" si="26"/>
        <v>127</v>
      </c>
      <c r="U34" s="39">
        <f t="shared" si="26"/>
        <v>42</v>
      </c>
      <c r="V34" s="39">
        <f t="shared" si="26"/>
        <v>118</v>
      </c>
      <c r="W34" s="39">
        <f t="shared" si="26"/>
        <v>10</v>
      </c>
      <c r="X34" s="39">
        <f t="shared" si="26"/>
        <v>2</v>
      </c>
      <c r="Y34" s="39">
        <f t="shared" si="26"/>
        <v>35</v>
      </c>
      <c r="Z34" s="39">
        <f t="shared" si="26"/>
        <v>24</v>
      </c>
      <c r="AA34" s="39">
        <f t="shared" si="26"/>
        <v>11</v>
      </c>
      <c r="AB34" s="39">
        <f t="shared" si="26"/>
        <v>32</v>
      </c>
      <c r="AC34" s="39">
        <f t="shared" si="26"/>
        <v>556</v>
      </c>
      <c r="AD34" s="39">
        <f t="shared" si="26"/>
        <v>0</v>
      </c>
      <c r="AE34" s="40">
        <f t="shared" si="26"/>
        <v>574</v>
      </c>
      <c r="AF34" s="40">
        <f t="shared" si="26"/>
        <v>1130</v>
      </c>
    </row>
    <row r="35" spans="2:32" ht="23.1" customHeight="1" x14ac:dyDescent="0.25">
      <c r="B35" s="46" t="s">
        <v>62</v>
      </c>
      <c r="C35" s="50">
        <v>101</v>
      </c>
      <c r="D35" s="50">
        <v>12</v>
      </c>
      <c r="E35" s="50">
        <v>17</v>
      </c>
      <c r="F35" s="50">
        <v>18</v>
      </c>
      <c r="G35" s="50">
        <v>0</v>
      </c>
      <c r="H35" s="50">
        <v>1</v>
      </c>
      <c r="I35" s="50">
        <v>13</v>
      </c>
      <c r="J35" s="50">
        <v>7</v>
      </c>
      <c r="K35" s="50">
        <v>31</v>
      </c>
      <c r="L35" s="50">
        <v>23</v>
      </c>
      <c r="M35" s="50">
        <v>130</v>
      </c>
      <c r="N35" s="50">
        <v>0</v>
      </c>
      <c r="O35" s="15">
        <f t="shared" si="0"/>
        <v>223</v>
      </c>
      <c r="P35" s="15">
        <f t="shared" si="1"/>
        <v>353</v>
      </c>
      <c r="R35" s="38" t="s">
        <v>91</v>
      </c>
      <c r="S35" s="39">
        <f t="shared" ref="S35:AF35" si="27">MAX(S13:S18)</f>
        <v>460</v>
      </c>
      <c r="T35" s="39">
        <f t="shared" si="27"/>
        <v>110</v>
      </c>
      <c r="U35" s="39">
        <f t="shared" si="27"/>
        <v>107</v>
      </c>
      <c r="V35" s="39">
        <f t="shared" si="27"/>
        <v>121</v>
      </c>
      <c r="W35" s="39">
        <f t="shared" si="27"/>
        <v>29</v>
      </c>
      <c r="X35" s="39">
        <f t="shared" si="27"/>
        <v>19</v>
      </c>
      <c r="Y35" s="39">
        <f t="shared" si="27"/>
        <v>59</v>
      </c>
      <c r="Z35" s="39">
        <f t="shared" si="27"/>
        <v>111</v>
      </c>
      <c r="AA35" s="39">
        <f t="shared" si="27"/>
        <v>121</v>
      </c>
      <c r="AB35" s="39">
        <f t="shared" si="27"/>
        <v>117</v>
      </c>
      <c r="AC35" s="39">
        <f t="shared" si="27"/>
        <v>596</v>
      </c>
      <c r="AD35" s="39">
        <f t="shared" si="27"/>
        <v>1</v>
      </c>
      <c r="AE35" s="40">
        <f t="shared" si="27"/>
        <v>1054</v>
      </c>
      <c r="AF35" s="40">
        <f t="shared" si="27"/>
        <v>1548</v>
      </c>
    </row>
    <row r="36" spans="2:32" ht="23.1" customHeight="1" x14ac:dyDescent="0.25">
      <c r="B36" s="46" t="s">
        <v>63</v>
      </c>
      <c r="C36" s="50">
        <v>106</v>
      </c>
      <c r="D36" s="50">
        <v>3</v>
      </c>
      <c r="E36" s="50">
        <v>6</v>
      </c>
      <c r="F36" s="50">
        <v>11</v>
      </c>
      <c r="G36" s="50">
        <v>0</v>
      </c>
      <c r="H36" s="50">
        <v>3</v>
      </c>
      <c r="I36" s="50">
        <v>10</v>
      </c>
      <c r="J36" s="50">
        <v>22</v>
      </c>
      <c r="K36" s="50">
        <v>36</v>
      </c>
      <c r="L36" s="50">
        <v>12</v>
      </c>
      <c r="M36" s="50">
        <v>160</v>
      </c>
      <c r="N36" s="50">
        <v>1</v>
      </c>
      <c r="O36" s="15">
        <f t="shared" si="0"/>
        <v>210</v>
      </c>
      <c r="P36" s="15">
        <f t="shared" si="1"/>
        <v>370</v>
      </c>
      <c r="R36" s="38" t="s">
        <v>92</v>
      </c>
      <c r="S36" s="39">
        <f t="shared" ref="S36:AF36" si="28">MAX(S19:S21)</f>
        <v>431</v>
      </c>
      <c r="T36" s="39">
        <f t="shared" si="28"/>
        <v>74</v>
      </c>
      <c r="U36" s="39">
        <f t="shared" si="28"/>
        <v>127</v>
      </c>
      <c r="V36" s="39">
        <f t="shared" si="28"/>
        <v>120</v>
      </c>
      <c r="W36" s="39">
        <f t="shared" si="28"/>
        <v>6</v>
      </c>
      <c r="X36" s="39">
        <f t="shared" si="28"/>
        <v>3</v>
      </c>
      <c r="Y36" s="39">
        <f t="shared" si="28"/>
        <v>41</v>
      </c>
      <c r="Z36" s="39">
        <f t="shared" si="28"/>
        <v>121</v>
      </c>
      <c r="AA36" s="39">
        <f t="shared" si="28"/>
        <v>68</v>
      </c>
      <c r="AB36" s="39">
        <f t="shared" si="28"/>
        <v>65</v>
      </c>
      <c r="AC36" s="39">
        <f t="shared" si="28"/>
        <v>482</v>
      </c>
      <c r="AD36" s="39">
        <f t="shared" si="28"/>
        <v>0</v>
      </c>
      <c r="AE36" s="40">
        <f t="shared" si="28"/>
        <v>970</v>
      </c>
      <c r="AF36" s="40">
        <f t="shared" si="28"/>
        <v>1407</v>
      </c>
    </row>
    <row r="37" spans="2:32" ht="23.1" customHeight="1" x14ac:dyDescent="0.25">
      <c r="B37" s="45" t="s">
        <v>64</v>
      </c>
      <c r="C37" s="50">
        <v>138</v>
      </c>
      <c r="D37" s="50">
        <v>30</v>
      </c>
      <c r="E37" s="50">
        <v>13</v>
      </c>
      <c r="F37" s="50">
        <v>10</v>
      </c>
      <c r="G37" s="50">
        <v>2</v>
      </c>
      <c r="H37" s="50">
        <v>1</v>
      </c>
      <c r="I37" s="50">
        <v>2</v>
      </c>
      <c r="J37" s="50">
        <v>15</v>
      </c>
      <c r="K37" s="50">
        <v>25</v>
      </c>
      <c r="L37" s="50">
        <v>23</v>
      </c>
      <c r="M37" s="50">
        <v>121</v>
      </c>
      <c r="N37" s="50">
        <v>0</v>
      </c>
      <c r="O37" s="15">
        <f t="shared" si="0"/>
        <v>259</v>
      </c>
      <c r="P37" s="15">
        <f t="shared" si="1"/>
        <v>380</v>
      </c>
      <c r="R37" s="37" t="s">
        <v>85</v>
      </c>
      <c r="S37" s="35">
        <f t="shared" ref="S37:AF37" si="29">SUM(S10:S12)</f>
        <v>708</v>
      </c>
      <c r="T37" s="16">
        <f t="shared" si="29"/>
        <v>223</v>
      </c>
      <c r="U37" s="16">
        <f t="shared" si="29"/>
        <v>116</v>
      </c>
      <c r="V37" s="16">
        <f t="shared" si="29"/>
        <v>219</v>
      </c>
      <c r="W37" s="16">
        <f t="shared" si="29"/>
        <v>21</v>
      </c>
      <c r="X37" s="16">
        <f t="shared" si="29"/>
        <v>3</v>
      </c>
      <c r="Y37" s="16">
        <f t="shared" si="29"/>
        <v>66</v>
      </c>
      <c r="Z37" s="16">
        <f t="shared" si="29"/>
        <v>53</v>
      </c>
      <c r="AA37" s="16">
        <f t="shared" si="29"/>
        <v>26</v>
      </c>
      <c r="AB37" s="16">
        <f t="shared" si="29"/>
        <v>46</v>
      </c>
      <c r="AC37" s="16">
        <f t="shared" si="29"/>
        <v>1390</v>
      </c>
      <c r="AD37" s="16">
        <f t="shared" si="29"/>
        <v>0</v>
      </c>
      <c r="AE37" s="32">
        <f t="shared" si="29"/>
        <v>1481</v>
      </c>
      <c r="AF37" s="32">
        <f t="shared" si="29"/>
        <v>2871</v>
      </c>
    </row>
    <row r="38" spans="2:32" ht="23.1" customHeight="1" x14ac:dyDescent="0.25">
      <c r="B38" s="46" t="s">
        <v>65</v>
      </c>
      <c r="C38" s="50">
        <v>123</v>
      </c>
      <c r="D38" s="50">
        <v>18</v>
      </c>
      <c r="E38" s="50">
        <v>10</v>
      </c>
      <c r="F38" s="50">
        <v>15</v>
      </c>
      <c r="G38" s="50">
        <v>2</v>
      </c>
      <c r="H38" s="50">
        <v>1</v>
      </c>
      <c r="I38" s="50">
        <v>5</v>
      </c>
      <c r="J38" s="50">
        <v>5</v>
      </c>
      <c r="K38" s="50">
        <v>7</v>
      </c>
      <c r="L38" s="50">
        <v>14</v>
      </c>
      <c r="M38" s="50">
        <v>150</v>
      </c>
      <c r="N38" s="50">
        <v>0</v>
      </c>
      <c r="O38" s="15">
        <f t="shared" si="0"/>
        <v>200</v>
      </c>
      <c r="P38" s="15">
        <f t="shared" si="1"/>
        <v>350</v>
      </c>
      <c r="R38" s="28" t="s">
        <v>86</v>
      </c>
      <c r="S38" s="16">
        <f t="shared" ref="S38:AF38" si="30">SUM(S13:S18)</f>
        <v>2308</v>
      </c>
      <c r="T38" s="16">
        <f t="shared" si="30"/>
        <v>510</v>
      </c>
      <c r="U38" s="16">
        <f t="shared" si="30"/>
        <v>351</v>
      </c>
      <c r="V38" s="16">
        <f t="shared" si="30"/>
        <v>536</v>
      </c>
      <c r="W38" s="16">
        <f t="shared" si="30"/>
        <v>76</v>
      </c>
      <c r="X38" s="16">
        <f t="shared" si="30"/>
        <v>53</v>
      </c>
      <c r="Y38" s="16">
        <f t="shared" si="30"/>
        <v>268</v>
      </c>
      <c r="Z38" s="16">
        <f t="shared" si="30"/>
        <v>364</v>
      </c>
      <c r="AA38" s="16">
        <f t="shared" si="30"/>
        <v>646</v>
      </c>
      <c r="AB38" s="16">
        <f t="shared" si="30"/>
        <v>495</v>
      </c>
      <c r="AC38" s="16">
        <f t="shared" si="30"/>
        <v>2703</v>
      </c>
      <c r="AD38" s="16">
        <f t="shared" si="30"/>
        <v>1</v>
      </c>
      <c r="AE38" s="32">
        <f t="shared" si="30"/>
        <v>5608</v>
      </c>
      <c r="AF38" s="32">
        <f t="shared" si="30"/>
        <v>8311</v>
      </c>
    </row>
    <row r="39" spans="2:32" ht="23.1" customHeight="1" x14ac:dyDescent="0.25">
      <c r="B39" s="46" t="s">
        <v>66</v>
      </c>
      <c r="C39" s="50">
        <v>101</v>
      </c>
      <c r="D39" s="50">
        <v>26</v>
      </c>
      <c r="E39" s="50">
        <v>8</v>
      </c>
      <c r="F39" s="50">
        <v>20</v>
      </c>
      <c r="G39" s="50">
        <v>0</v>
      </c>
      <c r="H39" s="50">
        <v>1</v>
      </c>
      <c r="I39" s="50">
        <v>22</v>
      </c>
      <c r="J39" s="50">
        <v>9</v>
      </c>
      <c r="K39" s="50">
        <v>16</v>
      </c>
      <c r="L39" s="50">
        <v>8</v>
      </c>
      <c r="M39" s="50">
        <v>98</v>
      </c>
      <c r="N39" s="50">
        <v>0</v>
      </c>
      <c r="O39" s="15">
        <f t="shared" si="0"/>
        <v>211</v>
      </c>
      <c r="P39" s="15">
        <f t="shared" si="1"/>
        <v>309</v>
      </c>
      <c r="R39" s="29" t="s">
        <v>87</v>
      </c>
      <c r="S39" s="16">
        <f t="shared" ref="S39:AF39" si="31">SUM(S19:S21)</f>
        <v>1223</v>
      </c>
      <c r="T39" s="16">
        <f t="shared" si="31"/>
        <v>188</v>
      </c>
      <c r="U39" s="16">
        <f t="shared" si="31"/>
        <v>208</v>
      </c>
      <c r="V39" s="16">
        <f t="shared" si="31"/>
        <v>268</v>
      </c>
      <c r="W39" s="16">
        <f t="shared" si="31"/>
        <v>10</v>
      </c>
      <c r="X39" s="16">
        <f t="shared" si="31"/>
        <v>6</v>
      </c>
      <c r="Y39" s="16">
        <f t="shared" si="31"/>
        <v>103</v>
      </c>
      <c r="Z39" s="16">
        <f t="shared" si="31"/>
        <v>212</v>
      </c>
      <c r="AA39" s="16">
        <f t="shared" si="31"/>
        <v>147</v>
      </c>
      <c r="AB39" s="16">
        <f t="shared" si="31"/>
        <v>161</v>
      </c>
      <c r="AC39" s="16">
        <f t="shared" si="31"/>
        <v>1381</v>
      </c>
      <c r="AD39" s="16">
        <f t="shared" si="31"/>
        <v>0</v>
      </c>
      <c r="AE39" s="32">
        <f t="shared" si="31"/>
        <v>2526</v>
      </c>
      <c r="AF39" s="32">
        <f t="shared" si="31"/>
        <v>3907</v>
      </c>
    </row>
    <row r="40" spans="2:32" ht="23.1" customHeight="1" x14ac:dyDescent="0.25">
      <c r="B40" s="46" t="s">
        <v>67</v>
      </c>
      <c r="C40" s="50">
        <v>110</v>
      </c>
      <c r="D40" s="50">
        <v>25</v>
      </c>
      <c r="E40" s="50">
        <v>7</v>
      </c>
      <c r="F40" s="50">
        <v>18</v>
      </c>
      <c r="G40" s="50">
        <v>0</v>
      </c>
      <c r="H40" s="50">
        <v>0</v>
      </c>
      <c r="I40" s="50">
        <v>2</v>
      </c>
      <c r="J40" s="50">
        <v>12</v>
      </c>
      <c r="K40" s="50">
        <v>36</v>
      </c>
      <c r="L40" s="50">
        <v>14</v>
      </c>
      <c r="M40" s="50">
        <v>105</v>
      </c>
      <c r="N40" s="50">
        <v>0</v>
      </c>
      <c r="O40" s="15">
        <f t="shared" si="0"/>
        <v>224</v>
      </c>
      <c r="P40" s="15">
        <f t="shared" si="1"/>
        <v>329</v>
      </c>
      <c r="R40" s="5" t="s">
        <v>17</v>
      </c>
      <c r="S40" s="16">
        <f t="shared" ref="S40:AF40" si="32">SUM(S10:S21)</f>
        <v>4239</v>
      </c>
      <c r="T40" s="16">
        <f t="shared" si="32"/>
        <v>921</v>
      </c>
      <c r="U40" s="16">
        <f t="shared" si="32"/>
        <v>675</v>
      </c>
      <c r="V40" s="16">
        <f t="shared" si="32"/>
        <v>1023</v>
      </c>
      <c r="W40" s="16">
        <f t="shared" si="32"/>
        <v>107</v>
      </c>
      <c r="X40" s="16">
        <f t="shared" si="32"/>
        <v>62</v>
      </c>
      <c r="Y40" s="16">
        <f t="shared" si="32"/>
        <v>437</v>
      </c>
      <c r="Z40" s="16">
        <f t="shared" si="32"/>
        <v>629</v>
      </c>
      <c r="AA40" s="16">
        <f t="shared" si="32"/>
        <v>819</v>
      </c>
      <c r="AB40" s="16">
        <f t="shared" si="32"/>
        <v>702</v>
      </c>
      <c r="AC40" s="16">
        <f t="shared" si="32"/>
        <v>5474</v>
      </c>
      <c r="AD40" s="16">
        <f t="shared" si="32"/>
        <v>1</v>
      </c>
      <c r="AE40" s="32">
        <f t="shared" si="32"/>
        <v>9615</v>
      </c>
      <c r="AF40" s="32">
        <f t="shared" si="32"/>
        <v>15089</v>
      </c>
    </row>
    <row r="41" spans="2:32" ht="23.1" customHeight="1" x14ac:dyDescent="0.25">
      <c r="B41" s="45" t="s">
        <v>68</v>
      </c>
      <c r="C41" s="50">
        <v>105</v>
      </c>
      <c r="D41" s="50">
        <v>21</v>
      </c>
      <c r="E41" s="50">
        <v>13</v>
      </c>
      <c r="F41" s="50">
        <v>17</v>
      </c>
      <c r="G41" s="50">
        <v>1</v>
      </c>
      <c r="H41" s="50">
        <v>0</v>
      </c>
      <c r="I41" s="50">
        <v>2</v>
      </c>
      <c r="J41" s="50">
        <v>6</v>
      </c>
      <c r="K41" s="50">
        <v>32</v>
      </c>
      <c r="L41" s="50">
        <v>10</v>
      </c>
      <c r="M41" s="50">
        <v>120</v>
      </c>
      <c r="N41" s="50">
        <v>0</v>
      </c>
      <c r="O41" s="15">
        <f t="shared" si="0"/>
        <v>207</v>
      </c>
      <c r="P41" s="15">
        <f t="shared" si="1"/>
        <v>327</v>
      </c>
      <c r="R41" s="5" t="s">
        <v>159</v>
      </c>
      <c r="S41" s="16">
        <f>SUM(S10:S33)</f>
        <v>6329</v>
      </c>
      <c r="T41" s="16">
        <f t="shared" ref="T41:AF41" si="33">SUM(T10:T33)</f>
        <v>2069</v>
      </c>
      <c r="U41" s="16">
        <f t="shared" si="33"/>
        <v>1502</v>
      </c>
      <c r="V41" s="16">
        <f t="shared" si="33"/>
        <v>2560</v>
      </c>
      <c r="W41" s="16">
        <f t="shared" si="33"/>
        <v>168</v>
      </c>
      <c r="X41" s="16">
        <f t="shared" si="33"/>
        <v>86</v>
      </c>
      <c r="Y41" s="16">
        <f t="shared" si="33"/>
        <v>857</v>
      </c>
      <c r="Z41" s="16">
        <f t="shared" si="33"/>
        <v>914</v>
      </c>
      <c r="AA41" s="16">
        <f t="shared" si="33"/>
        <v>947</v>
      </c>
      <c r="AB41" s="16">
        <f t="shared" si="33"/>
        <v>860</v>
      </c>
      <c r="AC41" s="16">
        <f t="shared" si="33"/>
        <v>9097</v>
      </c>
      <c r="AD41" s="16">
        <f t="shared" si="33"/>
        <v>1</v>
      </c>
      <c r="AE41" s="32">
        <f t="shared" si="33"/>
        <v>16293</v>
      </c>
      <c r="AF41" s="32">
        <f t="shared" si="33"/>
        <v>25390</v>
      </c>
    </row>
    <row r="42" spans="2:32" ht="23.1" customHeight="1" x14ac:dyDescent="0.25">
      <c r="B42" s="46" t="s">
        <v>69</v>
      </c>
      <c r="C42" s="50">
        <v>105</v>
      </c>
      <c r="D42" s="50">
        <v>17</v>
      </c>
      <c r="E42" s="50">
        <v>17</v>
      </c>
      <c r="F42" s="50">
        <v>17</v>
      </c>
      <c r="G42" s="50">
        <v>0</v>
      </c>
      <c r="H42" s="50">
        <v>1</v>
      </c>
      <c r="I42" s="50">
        <v>12</v>
      </c>
      <c r="J42" s="50">
        <v>30</v>
      </c>
      <c r="K42" s="50">
        <v>17</v>
      </c>
      <c r="L42" s="50">
        <v>2</v>
      </c>
      <c r="M42" s="50">
        <v>140</v>
      </c>
      <c r="N42" s="50">
        <v>0</v>
      </c>
      <c r="O42" s="15">
        <f t="shared" si="0"/>
        <v>218</v>
      </c>
      <c r="P42" s="15">
        <f t="shared" si="1"/>
        <v>358</v>
      </c>
      <c r="R42" s="5" t="s">
        <v>160</v>
      </c>
      <c r="S42" s="48">
        <f>S41/S40</f>
        <v>1.4930408115121492</v>
      </c>
      <c r="T42" s="48">
        <f t="shared" ref="T42:AF42" si="34">T41/T40</f>
        <v>2.2464712269272531</v>
      </c>
      <c r="U42" s="48">
        <f t="shared" si="34"/>
        <v>2.2251851851851852</v>
      </c>
      <c r="V42" s="48">
        <f t="shared" si="34"/>
        <v>2.5024437927663734</v>
      </c>
      <c r="W42" s="48">
        <f t="shared" si="34"/>
        <v>1.5700934579439252</v>
      </c>
      <c r="X42" s="48">
        <f t="shared" si="34"/>
        <v>1.3870967741935485</v>
      </c>
      <c r="Y42" s="48">
        <f t="shared" si="34"/>
        <v>1.9610983981693364</v>
      </c>
      <c r="Z42" s="48">
        <f t="shared" si="34"/>
        <v>1.4531001589825119</v>
      </c>
      <c r="AA42" s="48">
        <f t="shared" si="34"/>
        <v>1.1562881562881564</v>
      </c>
      <c r="AB42" s="48">
        <f t="shared" si="34"/>
        <v>1.225071225071225</v>
      </c>
      <c r="AC42" s="48">
        <f t="shared" si="34"/>
        <v>1.6618560467665326</v>
      </c>
      <c r="AD42" s="48">
        <f t="shared" si="34"/>
        <v>1</v>
      </c>
      <c r="AE42" s="48">
        <f t="shared" si="34"/>
        <v>1.6945397815912637</v>
      </c>
      <c r="AF42" s="48">
        <f t="shared" si="34"/>
        <v>1.6826827490224667</v>
      </c>
    </row>
    <row r="43" spans="2:32" ht="23.1" customHeight="1" x14ac:dyDescent="0.25">
      <c r="B43" s="45" t="s">
        <v>70</v>
      </c>
      <c r="C43" s="50">
        <v>120</v>
      </c>
      <c r="D43" s="50">
        <v>12</v>
      </c>
      <c r="E43" s="50">
        <v>6</v>
      </c>
      <c r="F43" s="50">
        <v>10</v>
      </c>
      <c r="G43" s="50">
        <v>0</v>
      </c>
      <c r="H43" s="50">
        <v>1</v>
      </c>
      <c r="I43" s="50">
        <v>12</v>
      </c>
      <c r="J43" s="50">
        <v>7</v>
      </c>
      <c r="K43" s="50">
        <v>28</v>
      </c>
      <c r="L43" s="50">
        <v>17</v>
      </c>
      <c r="M43" s="50">
        <v>135</v>
      </c>
      <c r="N43" s="50">
        <v>0</v>
      </c>
      <c r="O43" s="15">
        <f t="shared" si="0"/>
        <v>213</v>
      </c>
      <c r="P43" s="15">
        <f t="shared" si="1"/>
        <v>348</v>
      </c>
    </row>
    <row r="44" spans="2:32" ht="23.1" customHeight="1" x14ac:dyDescent="0.25">
      <c r="B44" s="47" t="s">
        <v>71</v>
      </c>
      <c r="C44" s="50">
        <v>122</v>
      </c>
      <c r="D44" s="50">
        <v>30</v>
      </c>
      <c r="E44" s="50">
        <v>10</v>
      </c>
      <c r="F44" s="50">
        <v>21</v>
      </c>
      <c r="G44" s="50">
        <v>2</v>
      </c>
      <c r="H44" s="50">
        <v>0</v>
      </c>
      <c r="I44" s="50">
        <v>15</v>
      </c>
      <c r="J44" s="50">
        <v>13</v>
      </c>
      <c r="K44" s="50">
        <v>36</v>
      </c>
      <c r="L44" s="50">
        <v>16</v>
      </c>
      <c r="M44" s="50">
        <v>130</v>
      </c>
      <c r="N44" s="50">
        <v>0</v>
      </c>
      <c r="O44" s="15">
        <f t="shared" si="0"/>
        <v>265</v>
      </c>
      <c r="P44" s="15">
        <f t="shared" si="1"/>
        <v>395</v>
      </c>
    </row>
    <row r="45" spans="2:32" ht="23.1" customHeight="1" x14ac:dyDescent="0.25">
      <c r="B45" s="45" t="s">
        <v>72</v>
      </c>
      <c r="C45" s="50">
        <v>113</v>
      </c>
      <c r="D45" s="50">
        <v>16</v>
      </c>
      <c r="E45" s="50">
        <v>0</v>
      </c>
      <c r="F45" s="50">
        <v>10</v>
      </c>
      <c r="G45" s="50">
        <v>1</v>
      </c>
      <c r="H45" s="50">
        <v>0</v>
      </c>
      <c r="I45" s="50">
        <v>8</v>
      </c>
      <c r="J45" s="50">
        <v>6</v>
      </c>
      <c r="K45" s="50">
        <v>26</v>
      </c>
      <c r="L45" s="50">
        <v>32</v>
      </c>
      <c r="M45" s="50">
        <v>99</v>
      </c>
      <c r="N45" s="50">
        <v>0</v>
      </c>
      <c r="O45" s="15">
        <f t="shared" si="0"/>
        <v>212</v>
      </c>
      <c r="P45" s="15">
        <f t="shared" si="1"/>
        <v>311</v>
      </c>
    </row>
    <row r="46" spans="2:32" ht="23.1" customHeight="1" x14ac:dyDescent="0.25">
      <c r="B46" s="46" t="s">
        <v>73</v>
      </c>
      <c r="C46" s="50">
        <v>90</v>
      </c>
      <c r="D46" s="50">
        <v>12</v>
      </c>
      <c r="E46" s="50">
        <v>10</v>
      </c>
      <c r="F46" s="50">
        <v>23</v>
      </c>
      <c r="G46" s="50">
        <v>1</v>
      </c>
      <c r="H46" s="50">
        <v>0</v>
      </c>
      <c r="I46" s="50">
        <v>5</v>
      </c>
      <c r="J46" s="50">
        <v>15</v>
      </c>
      <c r="K46" s="50">
        <v>10</v>
      </c>
      <c r="L46" s="50">
        <v>13</v>
      </c>
      <c r="M46" s="50">
        <v>140</v>
      </c>
      <c r="N46" s="50">
        <v>0</v>
      </c>
      <c r="O46" s="15">
        <f t="shared" si="0"/>
        <v>179</v>
      </c>
      <c r="P46" s="15">
        <f t="shared" si="1"/>
        <v>319</v>
      </c>
      <c r="R46" s="8"/>
      <c r="T46"/>
    </row>
    <row r="47" spans="2:32" ht="23.1" customHeight="1" x14ac:dyDescent="0.25">
      <c r="B47" s="46" t="s">
        <v>74</v>
      </c>
      <c r="C47" s="50">
        <v>116</v>
      </c>
      <c r="D47" s="50">
        <v>9</v>
      </c>
      <c r="E47" s="50">
        <v>11</v>
      </c>
      <c r="F47" s="50">
        <v>16</v>
      </c>
      <c r="G47" s="50">
        <v>0</v>
      </c>
      <c r="H47" s="50">
        <v>0</v>
      </c>
      <c r="I47" s="50">
        <v>13</v>
      </c>
      <c r="J47" s="50">
        <v>11</v>
      </c>
      <c r="K47" s="50">
        <v>21</v>
      </c>
      <c r="L47" s="50">
        <v>6</v>
      </c>
      <c r="M47" s="50">
        <v>119</v>
      </c>
      <c r="N47" s="50">
        <v>0</v>
      </c>
      <c r="O47" s="15">
        <f t="shared" si="0"/>
        <v>203</v>
      </c>
      <c r="P47" s="15">
        <f t="shared" si="1"/>
        <v>322</v>
      </c>
      <c r="R47" s="8"/>
      <c r="T47"/>
    </row>
    <row r="48" spans="2:32" ht="23.1" customHeight="1" x14ac:dyDescent="0.25">
      <c r="B48" s="46" t="s">
        <v>75</v>
      </c>
      <c r="C48" s="50">
        <v>109</v>
      </c>
      <c r="D48" s="50">
        <v>18</v>
      </c>
      <c r="E48" s="50">
        <v>24</v>
      </c>
      <c r="F48" s="50">
        <v>19</v>
      </c>
      <c r="G48" s="50">
        <v>0</v>
      </c>
      <c r="H48" s="50">
        <v>1</v>
      </c>
      <c r="I48" s="50">
        <v>5</v>
      </c>
      <c r="J48" s="50">
        <v>3</v>
      </c>
      <c r="K48" s="50">
        <v>2</v>
      </c>
      <c r="L48" s="50">
        <v>16</v>
      </c>
      <c r="M48" s="50">
        <v>103</v>
      </c>
      <c r="N48" s="50">
        <v>0</v>
      </c>
      <c r="O48" s="15">
        <f t="shared" si="0"/>
        <v>197</v>
      </c>
      <c r="P48" s="15">
        <f t="shared" si="1"/>
        <v>300</v>
      </c>
      <c r="R48" s="8"/>
      <c r="T48"/>
    </row>
    <row r="49" spans="2:20" ht="23.1" customHeight="1" x14ac:dyDescent="0.25">
      <c r="B49" s="45" t="s">
        <v>76</v>
      </c>
      <c r="C49" s="50">
        <v>116</v>
      </c>
      <c r="D49" s="50">
        <v>30</v>
      </c>
      <c r="E49" s="50">
        <v>3</v>
      </c>
      <c r="F49" s="50">
        <v>0</v>
      </c>
      <c r="G49" s="50">
        <v>0</v>
      </c>
      <c r="H49" s="50">
        <v>0</v>
      </c>
      <c r="I49" s="50">
        <v>5</v>
      </c>
      <c r="J49" s="50">
        <v>6</v>
      </c>
      <c r="K49" s="50">
        <v>7</v>
      </c>
      <c r="L49" s="50">
        <v>16</v>
      </c>
      <c r="M49" s="50">
        <v>120</v>
      </c>
      <c r="N49" s="50">
        <v>0</v>
      </c>
      <c r="O49" s="15">
        <f t="shared" si="0"/>
        <v>183</v>
      </c>
      <c r="P49" s="15">
        <f t="shared" si="1"/>
        <v>303</v>
      </c>
      <c r="R49" s="8"/>
      <c r="T49"/>
    </row>
    <row r="50" spans="2:20" ht="23.1" customHeight="1" x14ac:dyDescent="0.25">
      <c r="B50" s="46" t="s">
        <v>77</v>
      </c>
      <c r="C50" s="50">
        <v>100</v>
      </c>
      <c r="D50" s="50">
        <v>10</v>
      </c>
      <c r="E50" s="50">
        <v>7</v>
      </c>
      <c r="F50" s="50">
        <v>35</v>
      </c>
      <c r="G50" s="50">
        <v>0</v>
      </c>
      <c r="H50" s="50">
        <v>1</v>
      </c>
      <c r="I50" s="50">
        <v>8</v>
      </c>
      <c r="J50" s="50">
        <v>17</v>
      </c>
      <c r="K50" s="50">
        <v>12</v>
      </c>
      <c r="L50" s="50">
        <v>10</v>
      </c>
      <c r="M50" s="50">
        <v>143</v>
      </c>
      <c r="N50" s="50">
        <v>0</v>
      </c>
      <c r="O50" s="15">
        <f t="shared" si="0"/>
        <v>200</v>
      </c>
      <c r="P50" s="15">
        <f t="shared" si="1"/>
        <v>343</v>
      </c>
      <c r="R50" s="8"/>
      <c r="T50"/>
    </row>
    <row r="51" spans="2:20" ht="23.1" customHeight="1" x14ac:dyDescent="0.25">
      <c r="B51" s="46" t="s">
        <v>78</v>
      </c>
      <c r="C51" s="50">
        <v>94</v>
      </c>
      <c r="D51" s="50">
        <v>12</v>
      </c>
      <c r="E51" s="50">
        <v>14</v>
      </c>
      <c r="F51" s="50">
        <v>39</v>
      </c>
      <c r="G51" s="50">
        <v>4</v>
      </c>
      <c r="H51" s="50">
        <v>0</v>
      </c>
      <c r="I51" s="50">
        <v>4</v>
      </c>
      <c r="J51" s="50">
        <v>19</v>
      </c>
      <c r="K51" s="50">
        <v>31</v>
      </c>
      <c r="L51" s="50">
        <v>12</v>
      </c>
      <c r="M51" s="50">
        <v>122</v>
      </c>
      <c r="N51" s="50">
        <v>0</v>
      </c>
      <c r="O51" s="15">
        <f t="shared" si="0"/>
        <v>229</v>
      </c>
      <c r="P51" s="15">
        <f t="shared" si="1"/>
        <v>351</v>
      </c>
      <c r="R51" s="8"/>
      <c r="T51"/>
    </row>
    <row r="52" spans="2:20" ht="23.1" customHeight="1" x14ac:dyDescent="0.25">
      <c r="B52" s="46" t="s">
        <v>79</v>
      </c>
      <c r="C52" s="50">
        <v>113</v>
      </c>
      <c r="D52" s="50">
        <v>15</v>
      </c>
      <c r="E52" s="50">
        <v>6</v>
      </c>
      <c r="F52" s="50">
        <v>11</v>
      </c>
      <c r="G52" s="50">
        <v>0</v>
      </c>
      <c r="H52" s="50">
        <v>0</v>
      </c>
      <c r="I52" s="50">
        <v>13</v>
      </c>
      <c r="J52" s="50">
        <v>14</v>
      </c>
      <c r="K52" s="50">
        <v>10</v>
      </c>
      <c r="L52" s="50">
        <v>32</v>
      </c>
      <c r="M52" s="50">
        <v>102</v>
      </c>
      <c r="N52" s="50">
        <v>0</v>
      </c>
      <c r="O52" s="15">
        <f t="shared" si="0"/>
        <v>214</v>
      </c>
      <c r="P52" s="15">
        <f t="shared" si="1"/>
        <v>316</v>
      </c>
      <c r="R52" s="8"/>
      <c r="T52"/>
    </row>
    <row r="53" spans="2:20" ht="23.1" customHeight="1" x14ac:dyDescent="0.25">
      <c r="B53" s="45" t="s">
        <v>80</v>
      </c>
      <c r="C53" s="50">
        <v>88</v>
      </c>
      <c r="D53" s="50">
        <v>8</v>
      </c>
      <c r="E53" s="50">
        <v>6</v>
      </c>
      <c r="F53" s="50">
        <v>5</v>
      </c>
      <c r="G53" s="50">
        <v>2</v>
      </c>
      <c r="H53" s="50">
        <v>1</v>
      </c>
      <c r="I53" s="50">
        <v>9</v>
      </c>
      <c r="J53" s="50">
        <v>6</v>
      </c>
      <c r="K53" s="50">
        <v>15</v>
      </c>
      <c r="L53" s="50">
        <v>11</v>
      </c>
      <c r="M53" s="50">
        <v>95</v>
      </c>
      <c r="N53" s="50">
        <v>0</v>
      </c>
      <c r="O53" s="15">
        <f t="shared" si="0"/>
        <v>151</v>
      </c>
      <c r="P53" s="15">
        <f t="shared" si="1"/>
        <v>246</v>
      </c>
      <c r="R53" s="8"/>
      <c r="T53"/>
    </row>
    <row r="54" spans="2:20" ht="23.1" customHeight="1" x14ac:dyDescent="0.25">
      <c r="B54" s="45" t="s">
        <v>81</v>
      </c>
      <c r="C54" s="50">
        <v>106</v>
      </c>
      <c r="D54" s="50">
        <v>13</v>
      </c>
      <c r="E54" s="50">
        <v>15</v>
      </c>
      <c r="F54" s="50">
        <v>18</v>
      </c>
      <c r="G54" s="50">
        <v>1</v>
      </c>
      <c r="H54" s="50">
        <v>0</v>
      </c>
      <c r="I54" s="50">
        <v>8</v>
      </c>
      <c r="J54" s="50">
        <v>19</v>
      </c>
      <c r="K54" s="50">
        <v>12</v>
      </c>
      <c r="L54" s="50">
        <v>13</v>
      </c>
      <c r="M54" s="50">
        <v>104</v>
      </c>
      <c r="N54" s="50">
        <v>0</v>
      </c>
      <c r="O54" s="15">
        <f t="shared" si="0"/>
        <v>205</v>
      </c>
      <c r="P54" s="15">
        <f t="shared" si="1"/>
        <v>309</v>
      </c>
      <c r="R54" s="8"/>
      <c r="T54"/>
    </row>
    <row r="55" spans="2:20" ht="23.1" customHeight="1" x14ac:dyDescent="0.25">
      <c r="B55" s="45" t="s">
        <v>82</v>
      </c>
      <c r="C55" s="50">
        <v>95</v>
      </c>
      <c r="D55" s="50">
        <v>15</v>
      </c>
      <c r="E55" s="50">
        <v>22</v>
      </c>
      <c r="F55" s="50">
        <v>40</v>
      </c>
      <c r="G55" s="50">
        <v>0</v>
      </c>
      <c r="H55" s="50">
        <v>0</v>
      </c>
      <c r="I55" s="50">
        <v>10</v>
      </c>
      <c r="J55" s="50">
        <v>35</v>
      </c>
      <c r="K55" s="50">
        <v>12</v>
      </c>
      <c r="L55" s="50">
        <v>10</v>
      </c>
      <c r="M55" s="50">
        <v>112</v>
      </c>
      <c r="N55" s="50">
        <v>0</v>
      </c>
      <c r="O55" s="15">
        <f t="shared" si="0"/>
        <v>239</v>
      </c>
      <c r="P55" s="15">
        <f t="shared" si="1"/>
        <v>351</v>
      </c>
      <c r="R55" s="8"/>
      <c r="T55"/>
    </row>
    <row r="56" spans="2:20" ht="23.1" customHeight="1" x14ac:dyDescent="0.25">
      <c r="B56" s="45" t="s">
        <v>83</v>
      </c>
      <c r="C56" s="50">
        <v>93</v>
      </c>
      <c r="D56" s="50">
        <v>19</v>
      </c>
      <c r="E56" s="50">
        <v>55</v>
      </c>
      <c r="F56" s="50">
        <v>42</v>
      </c>
      <c r="G56" s="50">
        <v>2</v>
      </c>
      <c r="H56" s="50">
        <v>0</v>
      </c>
      <c r="I56" s="50">
        <v>13</v>
      </c>
      <c r="J56" s="50">
        <v>42</v>
      </c>
      <c r="K56" s="50">
        <v>5</v>
      </c>
      <c r="L56" s="50">
        <v>12</v>
      </c>
      <c r="M56" s="50">
        <v>118</v>
      </c>
      <c r="N56" s="50">
        <v>0</v>
      </c>
      <c r="O56" s="15">
        <f t="shared" si="0"/>
        <v>283</v>
      </c>
      <c r="P56" s="15">
        <f t="shared" si="1"/>
        <v>401</v>
      </c>
      <c r="R56" s="8"/>
      <c r="T56"/>
    </row>
    <row r="57" spans="2:20" ht="23.1" customHeight="1" x14ac:dyDescent="0.25">
      <c r="B57" s="45" t="s">
        <v>84</v>
      </c>
      <c r="C57" s="50">
        <v>103</v>
      </c>
      <c r="D57" s="50">
        <v>27</v>
      </c>
      <c r="E57" s="50">
        <v>35</v>
      </c>
      <c r="F57" s="50">
        <v>20</v>
      </c>
      <c r="G57" s="50">
        <v>0</v>
      </c>
      <c r="H57" s="50">
        <v>3</v>
      </c>
      <c r="I57" s="50">
        <v>10</v>
      </c>
      <c r="J57" s="50">
        <v>25</v>
      </c>
      <c r="K57" s="50">
        <v>10</v>
      </c>
      <c r="L57" s="50">
        <v>10</v>
      </c>
      <c r="M57" s="50">
        <v>103</v>
      </c>
      <c r="N57" s="50">
        <v>0</v>
      </c>
      <c r="O57" s="15">
        <f t="shared" si="0"/>
        <v>243</v>
      </c>
      <c r="P57" s="15">
        <f t="shared" si="1"/>
        <v>346</v>
      </c>
      <c r="R57" s="8"/>
      <c r="T57"/>
    </row>
    <row r="58" spans="2:20" ht="23.1" customHeight="1" x14ac:dyDescent="0.25">
      <c r="B58" s="45" t="s">
        <v>99</v>
      </c>
      <c r="C58" s="50">
        <v>100</v>
      </c>
      <c r="D58" s="50">
        <v>68</v>
      </c>
      <c r="E58" s="50">
        <v>52</v>
      </c>
      <c r="F58" s="50">
        <v>67</v>
      </c>
      <c r="G58" s="50">
        <v>17</v>
      </c>
      <c r="H58" s="50">
        <v>3</v>
      </c>
      <c r="I58" s="50">
        <v>22</v>
      </c>
      <c r="J58" s="50">
        <v>8</v>
      </c>
      <c r="K58" s="50">
        <v>7</v>
      </c>
      <c r="L58" s="50">
        <v>4</v>
      </c>
      <c r="M58" s="50">
        <v>117</v>
      </c>
      <c r="N58" s="50">
        <v>0</v>
      </c>
      <c r="O58" s="15">
        <f t="shared" si="0"/>
        <v>348</v>
      </c>
      <c r="P58" s="15">
        <f t="shared" si="1"/>
        <v>465</v>
      </c>
      <c r="R58" s="8"/>
      <c r="T58"/>
    </row>
    <row r="59" spans="2:20" ht="23.1" customHeight="1" x14ac:dyDescent="0.25">
      <c r="B59" s="45" t="s">
        <v>100</v>
      </c>
      <c r="C59" s="50">
        <v>76</v>
      </c>
      <c r="D59" s="50">
        <v>69</v>
      </c>
      <c r="E59" s="50">
        <v>73</v>
      </c>
      <c r="F59" s="50">
        <v>73</v>
      </c>
      <c r="G59" s="50">
        <v>11</v>
      </c>
      <c r="H59" s="50">
        <v>1</v>
      </c>
      <c r="I59" s="50">
        <v>27</v>
      </c>
      <c r="J59" s="50">
        <v>22</v>
      </c>
      <c r="K59" s="50">
        <v>17</v>
      </c>
      <c r="L59" s="50">
        <v>6</v>
      </c>
      <c r="M59" s="50">
        <v>157</v>
      </c>
      <c r="N59" s="50">
        <v>0</v>
      </c>
      <c r="O59" s="15">
        <f t="shared" si="0"/>
        <v>375</v>
      </c>
      <c r="P59" s="15">
        <f t="shared" si="1"/>
        <v>532</v>
      </c>
      <c r="R59" s="8"/>
      <c r="T59"/>
    </row>
    <row r="60" spans="2:20" ht="23.1" customHeight="1" x14ac:dyDescent="0.25">
      <c r="B60" s="45" t="s">
        <v>101</v>
      </c>
      <c r="C60" s="50">
        <v>84</v>
      </c>
      <c r="D60" s="50">
        <v>52</v>
      </c>
      <c r="E60" s="50">
        <v>47</v>
      </c>
      <c r="F60" s="50">
        <v>81</v>
      </c>
      <c r="G60" s="50">
        <v>6</v>
      </c>
      <c r="H60" s="50">
        <v>1</v>
      </c>
      <c r="I60" s="50">
        <v>22</v>
      </c>
      <c r="J60" s="50">
        <v>17</v>
      </c>
      <c r="K60" s="50">
        <v>6</v>
      </c>
      <c r="L60" s="50">
        <v>10</v>
      </c>
      <c r="M60" s="50">
        <v>147</v>
      </c>
      <c r="N60" s="50">
        <v>0</v>
      </c>
      <c r="O60" s="15">
        <f t="shared" si="0"/>
        <v>326</v>
      </c>
      <c r="P60" s="15">
        <f t="shared" si="1"/>
        <v>473</v>
      </c>
      <c r="R60" s="8"/>
      <c r="T60"/>
    </row>
    <row r="61" spans="2:20" ht="23.1" customHeight="1" x14ac:dyDescent="0.25">
      <c r="B61" s="45" t="s">
        <v>102</v>
      </c>
      <c r="C61" s="50">
        <v>65</v>
      </c>
      <c r="D61" s="50">
        <v>44</v>
      </c>
      <c r="E61" s="50">
        <v>32</v>
      </c>
      <c r="F61" s="50">
        <v>90</v>
      </c>
      <c r="G61" s="50">
        <v>3</v>
      </c>
      <c r="H61" s="50">
        <v>0</v>
      </c>
      <c r="I61" s="50">
        <v>1</v>
      </c>
      <c r="J61" s="50">
        <v>4</v>
      </c>
      <c r="K61" s="50">
        <v>12</v>
      </c>
      <c r="L61" s="50">
        <v>4</v>
      </c>
      <c r="M61" s="50">
        <v>163</v>
      </c>
      <c r="N61" s="50">
        <v>0</v>
      </c>
      <c r="O61" s="15">
        <f t="shared" si="0"/>
        <v>255</v>
      </c>
      <c r="P61" s="15">
        <f t="shared" si="1"/>
        <v>418</v>
      </c>
      <c r="R61" s="8"/>
      <c r="T61"/>
    </row>
    <row r="62" spans="2:20" ht="23.1" customHeight="1" x14ac:dyDescent="0.25">
      <c r="B62" s="45" t="s">
        <v>107</v>
      </c>
      <c r="C62" s="50">
        <v>83</v>
      </c>
      <c r="D62" s="50">
        <v>27</v>
      </c>
      <c r="E62" s="50">
        <v>30</v>
      </c>
      <c r="F62" s="50">
        <v>27</v>
      </c>
      <c r="G62" s="50">
        <v>3</v>
      </c>
      <c r="H62" s="50">
        <v>0</v>
      </c>
      <c r="I62" s="50">
        <v>12</v>
      </c>
      <c r="J62" s="50">
        <v>6</v>
      </c>
      <c r="K62" s="50">
        <v>4</v>
      </c>
      <c r="L62" s="50">
        <v>1</v>
      </c>
      <c r="M62" s="50">
        <v>172</v>
      </c>
      <c r="N62" s="50">
        <v>0</v>
      </c>
      <c r="O62" s="15">
        <f t="shared" si="0"/>
        <v>193</v>
      </c>
      <c r="P62" s="15">
        <f t="shared" si="1"/>
        <v>365</v>
      </c>
      <c r="R62" s="8"/>
      <c r="T62"/>
    </row>
    <row r="63" spans="2:20" ht="23.1" customHeight="1" x14ac:dyDescent="0.25">
      <c r="B63" s="45" t="s">
        <v>108</v>
      </c>
      <c r="C63" s="50">
        <v>58</v>
      </c>
      <c r="D63" s="50">
        <v>18</v>
      </c>
      <c r="E63" s="50">
        <v>18</v>
      </c>
      <c r="F63" s="50">
        <v>37</v>
      </c>
      <c r="G63" s="50">
        <v>2</v>
      </c>
      <c r="H63" s="50">
        <v>0</v>
      </c>
      <c r="I63" s="50">
        <v>9</v>
      </c>
      <c r="J63" s="50">
        <v>3</v>
      </c>
      <c r="K63" s="50">
        <v>4</v>
      </c>
      <c r="L63" s="50">
        <v>3</v>
      </c>
      <c r="M63" s="50">
        <v>133</v>
      </c>
      <c r="N63" s="50">
        <v>0</v>
      </c>
      <c r="O63" s="15">
        <f t="shared" si="0"/>
        <v>152</v>
      </c>
      <c r="P63" s="15">
        <f t="shared" si="1"/>
        <v>285</v>
      </c>
      <c r="R63" s="8"/>
      <c r="T63"/>
    </row>
    <row r="64" spans="2:20" ht="23.1" customHeight="1" x14ac:dyDescent="0.25">
      <c r="B64" s="45" t="s">
        <v>109</v>
      </c>
      <c r="C64" s="50">
        <v>82</v>
      </c>
      <c r="D64" s="50">
        <v>23</v>
      </c>
      <c r="E64" s="50">
        <v>12</v>
      </c>
      <c r="F64" s="50">
        <v>62</v>
      </c>
      <c r="G64" s="50">
        <v>2</v>
      </c>
      <c r="H64" s="50">
        <v>1</v>
      </c>
      <c r="I64" s="50">
        <v>2</v>
      </c>
      <c r="J64" s="50">
        <v>2</v>
      </c>
      <c r="K64" s="50">
        <v>3</v>
      </c>
      <c r="L64" s="50">
        <v>1</v>
      </c>
      <c r="M64" s="50">
        <v>166</v>
      </c>
      <c r="N64" s="50">
        <v>0</v>
      </c>
      <c r="O64" s="15">
        <f t="shared" si="0"/>
        <v>190</v>
      </c>
      <c r="P64" s="15">
        <f t="shared" si="1"/>
        <v>356</v>
      </c>
      <c r="R64" s="8"/>
      <c r="T64"/>
    </row>
    <row r="65" spans="2:20" ht="23.1" customHeight="1" x14ac:dyDescent="0.25">
      <c r="B65" s="45" t="s">
        <v>158</v>
      </c>
      <c r="C65" s="50">
        <v>76</v>
      </c>
      <c r="D65" s="50">
        <v>125</v>
      </c>
      <c r="E65" s="50">
        <v>27</v>
      </c>
      <c r="F65" s="50">
        <v>87</v>
      </c>
      <c r="G65" s="50">
        <v>1</v>
      </c>
      <c r="H65" s="50">
        <v>0</v>
      </c>
      <c r="I65" s="50">
        <v>22</v>
      </c>
      <c r="J65" s="50">
        <v>3</v>
      </c>
      <c r="K65" s="50">
        <v>6</v>
      </c>
      <c r="L65" s="50">
        <v>2</v>
      </c>
      <c r="M65" s="50">
        <v>132</v>
      </c>
      <c r="N65" s="50">
        <v>0</v>
      </c>
      <c r="O65" s="15">
        <f t="shared" si="0"/>
        <v>349</v>
      </c>
      <c r="P65" s="15">
        <f t="shared" si="1"/>
        <v>481</v>
      </c>
      <c r="R65" s="8"/>
      <c r="T65"/>
    </row>
    <row r="66" spans="2:20" ht="23.1" customHeight="1" x14ac:dyDescent="0.25">
      <c r="B66" s="45" t="s">
        <v>103</v>
      </c>
      <c r="C66" s="50">
        <v>52</v>
      </c>
      <c r="D66" s="50">
        <v>45</v>
      </c>
      <c r="E66" s="50">
        <v>18</v>
      </c>
      <c r="F66" s="50">
        <v>98</v>
      </c>
      <c r="G66" s="50">
        <v>2</v>
      </c>
      <c r="H66" s="50">
        <v>1</v>
      </c>
      <c r="I66" s="50">
        <v>16</v>
      </c>
      <c r="J66" s="50">
        <v>8</v>
      </c>
      <c r="K66" s="50">
        <v>2</v>
      </c>
      <c r="L66" s="50">
        <v>7</v>
      </c>
      <c r="M66" s="50">
        <v>177</v>
      </c>
      <c r="N66" s="50">
        <v>0</v>
      </c>
      <c r="O66" s="15">
        <f t="shared" si="0"/>
        <v>249</v>
      </c>
      <c r="P66" s="15">
        <f t="shared" si="1"/>
        <v>426</v>
      </c>
      <c r="R66" s="8"/>
      <c r="T66"/>
    </row>
    <row r="67" spans="2:20" ht="23.1" customHeight="1" x14ac:dyDescent="0.25">
      <c r="B67" s="45" t="s">
        <v>104</v>
      </c>
      <c r="C67" s="50">
        <v>94</v>
      </c>
      <c r="D67" s="50">
        <v>63</v>
      </c>
      <c r="E67" s="50">
        <v>14</v>
      </c>
      <c r="F67" s="50">
        <v>97</v>
      </c>
      <c r="G67" s="50">
        <v>0</v>
      </c>
      <c r="H67" s="50">
        <v>0</v>
      </c>
      <c r="I67" s="50">
        <v>27</v>
      </c>
      <c r="J67" s="50">
        <v>17</v>
      </c>
      <c r="K67" s="50">
        <v>3</v>
      </c>
      <c r="L67" s="50">
        <v>4</v>
      </c>
      <c r="M67" s="50">
        <v>167</v>
      </c>
      <c r="N67" s="50">
        <v>0</v>
      </c>
      <c r="O67" s="15">
        <f t="shared" si="0"/>
        <v>319</v>
      </c>
      <c r="P67" s="15">
        <f t="shared" si="1"/>
        <v>486</v>
      </c>
      <c r="R67" s="8"/>
      <c r="T67"/>
    </row>
    <row r="68" spans="2:20" ht="23.1" customHeight="1" x14ac:dyDescent="0.25">
      <c r="B68" s="45" t="s">
        <v>105</v>
      </c>
      <c r="C68" s="50">
        <v>110</v>
      </c>
      <c r="D68" s="50">
        <v>88</v>
      </c>
      <c r="E68" s="50">
        <v>85</v>
      </c>
      <c r="F68" s="50">
        <v>84</v>
      </c>
      <c r="G68" s="50">
        <v>1</v>
      </c>
      <c r="H68" s="50">
        <v>1</v>
      </c>
      <c r="I68" s="50">
        <v>33</v>
      </c>
      <c r="J68" s="50">
        <v>14</v>
      </c>
      <c r="K68" s="50">
        <v>5</v>
      </c>
      <c r="L68" s="50">
        <v>6</v>
      </c>
      <c r="M68" s="50">
        <v>123</v>
      </c>
      <c r="N68" s="50">
        <v>0</v>
      </c>
      <c r="O68" s="15">
        <f t="shared" si="0"/>
        <v>427</v>
      </c>
      <c r="P68" s="15">
        <f t="shared" si="1"/>
        <v>550</v>
      </c>
      <c r="R68" s="8"/>
      <c r="T68"/>
    </row>
    <row r="69" spans="2:20" ht="23.1" customHeight="1" x14ac:dyDescent="0.25">
      <c r="B69" s="45" t="s">
        <v>106</v>
      </c>
      <c r="C69" s="50">
        <v>93</v>
      </c>
      <c r="D69" s="50">
        <v>83</v>
      </c>
      <c r="E69" s="50">
        <v>23</v>
      </c>
      <c r="F69" s="50">
        <v>77</v>
      </c>
      <c r="G69" s="50">
        <v>0</v>
      </c>
      <c r="H69" s="50">
        <v>0</v>
      </c>
      <c r="I69" s="50">
        <v>2</v>
      </c>
      <c r="J69" s="50">
        <v>2</v>
      </c>
      <c r="K69" s="50">
        <v>1</v>
      </c>
      <c r="L69" s="50">
        <v>4</v>
      </c>
      <c r="M69" s="50">
        <v>132</v>
      </c>
      <c r="N69" s="50">
        <v>0</v>
      </c>
      <c r="O69" s="15">
        <f t="shared" si="0"/>
        <v>285</v>
      </c>
      <c r="P69" s="15">
        <f t="shared" si="1"/>
        <v>417</v>
      </c>
      <c r="R69" s="8"/>
      <c r="T69"/>
    </row>
    <row r="70" spans="2:20" ht="23.1" customHeight="1" x14ac:dyDescent="0.25">
      <c r="B70" s="45" t="s">
        <v>110</v>
      </c>
      <c r="C70" s="50">
        <v>85</v>
      </c>
      <c r="D70" s="50">
        <v>64</v>
      </c>
      <c r="E70" s="50">
        <v>63</v>
      </c>
      <c r="F70" s="50">
        <v>107</v>
      </c>
      <c r="G70" s="50">
        <v>1</v>
      </c>
      <c r="H70" s="50">
        <v>0</v>
      </c>
      <c r="I70" s="50">
        <v>6</v>
      </c>
      <c r="J70" s="50">
        <v>3</v>
      </c>
      <c r="K70" s="50">
        <v>4</v>
      </c>
      <c r="L70" s="50">
        <v>4</v>
      </c>
      <c r="M70" s="50">
        <v>123</v>
      </c>
      <c r="N70" s="50">
        <v>0</v>
      </c>
      <c r="O70" s="15">
        <f t="shared" si="0"/>
        <v>337</v>
      </c>
      <c r="P70" s="15">
        <f t="shared" si="1"/>
        <v>460</v>
      </c>
      <c r="R70" s="8"/>
      <c r="T70"/>
    </row>
    <row r="71" spans="2:20" ht="23.1" customHeight="1" x14ac:dyDescent="0.25">
      <c r="B71" s="45" t="s">
        <v>111</v>
      </c>
      <c r="C71" s="50">
        <v>45</v>
      </c>
      <c r="D71" s="50">
        <v>46</v>
      </c>
      <c r="E71" s="50">
        <v>48</v>
      </c>
      <c r="F71" s="50">
        <v>93</v>
      </c>
      <c r="G71" s="50">
        <v>1</v>
      </c>
      <c r="H71" s="50">
        <v>0</v>
      </c>
      <c r="I71" s="50">
        <v>13</v>
      </c>
      <c r="J71" s="50">
        <v>2</v>
      </c>
      <c r="K71" s="50">
        <v>3</v>
      </c>
      <c r="L71" s="50">
        <v>2</v>
      </c>
      <c r="M71" s="50">
        <v>139</v>
      </c>
      <c r="N71" s="50">
        <v>0</v>
      </c>
      <c r="O71" s="15">
        <f t="shared" si="0"/>
        <v>253</v>
      </c>
      <c r="P71" s="15">
        <f t="shared" si="1"/>
        <v>392</v>
      </c>
      <c r="R71" s="8"/>
      <c r="T71"/>
    </row>
    <row r="72" spans="2:20" ht="23.1" customHeight="1" x14ac:dyDescent="0.25">
      <c r="B72" s="45" t="s">
        <v>112</v>
      </c>
      <c r="C72" s="50">
        <v>64</v>
      </c>
      <c r="D72" s="50">
        <v>27</v>
      </c>
      <c r="E72" s="50">
        <v>57</v>
      </c>
      <c r="F72" s="50">
        <v>23</v>
      </c>
      <c r="G72" s="50">
        <v>0</v>
      </c>
      <c r="H72" s="50">
        <v>0</v>
      </c>
      <c r="I72" s="50">
        <v>15</v>
      </c>
      <c r="J72" s="50">
        <v>2</v>
      </c>
      <c r="K72" s="50">
        <v>2</v>
      </c>
      <c r="L72" s="50">
        <v>5</v>
      </c>
      <c r="M72" s="50">
        <v>143</v>
      </c>
      <c r="N72" s="50">
        <v>0</v>
      </c>
      <c r="O72" s="15">
        <f t="shared" si="0"/>
        <v>195</v>
      </c>
      <c r="P72" s="15">
        <f t="shared" si="1"/>
        <v>338</v>
      </c>
      <c r="R72" s="8"/>
      <c r="T72"/>
    </row>
    <row r="73" spans="2:20" ht="23.1" customHeight="1" x14ac:dyDescent="0.25">
      <c r="B73" s="45" t="s">
        <v>113</v>
      </c>
      <c r="C73" s="50">
        <v>67</v>
      </c>
      <c r="D73" s="50">
        <v>35</v>
      </c>
      <c r="E73" s="50">
        <v>12</v>
      </c>
      <c r="F73" s="50">
        <v>48</v>
      </c>
      <c r="G73" s="50">
        <v>0</v>
      </c>
      <c r="H73" s="50">
        <v>1</v>
      </c>
      <c r="I73" s="50">
        <v>1</v>
      </c>
      <c r="J73" s="50">
        <v>0</v>
      </c>
      <c r="K73" s="50">
        <v>1</v>
      </c>
      <c r="L73" s="50">
        <v>3</v>
      </c>
      <c r="M73" s="50">
        <v>182</v>
      </c>
      <c r="N73" s="50">
        <v>0</v>
      </c>
      <c r="O73" s="15">
        <f t="shared" si="0"/>
        <v>168</v>
      </c>
      <c r="P73" s="15">
        <f t="shared" si="1"/>
        <v>350</v>
      </c>
      <c r="R73" s="8"/>
      <c r="T73"/>
    </row>
    <row r="74" spans="2:20" ht="23.1" customHeight="1" x14ac:dyDescent="0.25">
      <c r="B74" s="45" t="s">
        <v>114</v>
      </c>
      <c r="C74" s="50">
        <v>92</v>
      </c>
      <c r="D74" s="50">
        <v>23</v>
      </c>
      <c r="E74" s="50">
        <v>46</v>
      </c>
      <c r="F74" s="50">
        <v>87</v>
      </c>
      <c r="G74" s="50">
        <v>0</v>
      </c>
      <c r="H74" s="50">
        <v>0</v>
      </c>
      <c r="I74" s="50">
        <v>6</v>
      </c>
      <c r="J74" s="50">
        <v>2</v>
      </c>
      <c r="K74" s="50">
        <v>3</v>
      </c>
      <c r="L74" s="50">
        <v>0</v>
      </c>
      <c r="M74" s="50">
        <v>137</v>
      </c>
      <c r="N74" s="50">
        <v>0</v>
      </c>
      <c r="O74" s="15">
        <f t="shared" ref="O74:O105" si="35">SUM(C74:L74,N74)</f>
        <v>259</v>
      </c>
      <c r="P74" s="15">
        <f t="shared" ref="P74:P105" si="36">SUM(C74:N74)</f>
        <v>396</v>
      </c>
      <c r="R74" s="8"/>
      <c r="T74"/>
    </row>
    <row r="75" spans="2:20" ht="23.1" customHeight="1" x14ac:dyDescent="0.25">
      <c r="B75" s="45" t="s">
        <v>115</v>
      </c>
      <c r="C75" s="50">
        <v>57</v>
      </c>
      <c r="D75" s="50">
        <v>38</v>
      </c>
      <c r="E75" s="50">
        <v>20</v>
      </c>
      <c r="F75" s="50">
        <v>23</v>
      </c>
      <c r="G75" s="50">
        <v>0</v>
      </c>
      <c r="H75" s="50">
        <v>0</v>
      </c>
      <c r="I75" s="50">
        <v>3</v>
      </c>
      <c r="J75" s="50">
        <v>0</v>
      </c>
      <c r="K75" s="50">
        <v>1</v>
      </c>
      <c r="L75" s="50">
        <v>0</v>
      </c>
      <c r="M75" s="50">
        <v>57</v>
      </c>
      <c r="N75" s="50">
        <v>0</v>
      </c>
      <c r="O75" s="15">
        <f t="shared" si="35"/>
        <v>142</v>
      </c>
      <c r="P75" s="15">
        <f t="shared" si="36"/>
        <v>199</v>
      </c>
      <c r="R75" s="8"/>
      <c r="T75"/>
    </row>
    <row r="76" spans="2:20" ht="23.1" customHeight="1" x14ac:dyDescent="0.25">
      <c r="B76" s="45" t="s">
        <v>116</v>
      </c>
      <c r="C76" s="50">
        <v>78</v>
      </c>
      <c r="D76" s="50">
        <v>28</v>
      </c>
      <c r="E76" s="50">
        <v>28</v>
      </c>
      <c r="F76" s="50">
        <v>60</v>
      </c>
      <c r="G76" s="50">
        <v>2</v>
      </c>
      <c r="H76" s="50">
        <v>2</v>
      </c>
      <c r="I76" s="50">
        <v>17</v>
      </c>
      <c r="J76" s="50">
        <v>5</v>
      </c>
      <c r="K76" s="50">
        <v>1</v>
      </c>
      <c r="L76" s="50">
        <v>1</v>
      </c>
      <c r="M76" s="50">
        <v>118</v>
      </c>
      <c r="N76" s="50">
        <v>0</v>
      </c>
      <c r="O76" s="15">
        <f t="shared" si="35"/>
        <v>222</v>
      </c>
      <c r="P76" s="15">
        <f t="shared" si="36"/>
        <v>340</v>
      </c>
      <c r="R76" s="8"/>
      <c r="T76"/>
    </row>
    <row r="77" spans="2:20" ht="23.1" customHeight="1" x14ac:dyDescent="0.25">
      <c r="B77" s="45" t="s">
        <v>117</v>
      </c>
      <c r="C77" s="50">
        <v>62</v>
      </c>
      <c r="D77" s="50">
        <v>20</v>
      </c>
      <c r="E77" s="50">
        <v>32</v>
      </c>
      <c r="F77" s="50">
        <v>27</v>
      </c>
      <c r="G77" s="50">
        <v>0</v>
      </c>
      <c r="H77" s="50">
        <v>1</v>
      </c>
      <c r="I77" s="50">
        <v>11</v>
      </c>
      <c r="J77" s="50">
        <v>5</v>
      </c>
      <c r="K77" s="50">
        <v>2</v>
      </c>
      <c r="L77" s="50">
        <v>2</v>
      </c>
      <c r="M77" s="50">
        <v>78</v>
      </c>
      <c r="N77" s="50">
        <v>0</v>
      </c>
      <c r="O77" s="15">
        <f t="shared" si="35"/>
        <v>162</v>
      </c>
      <c r="P77" s="15">
        <f t="shared" si="36"/>
        <v>240</v>
      </c>
      <c r="R77" s="8"/>
      <c r="T77"/>
    </row>
    <row r="78" spans="2:20" ht="23.1" customHeight="1" x14ac:dyDescent="0.25">
      <c r="B78" s="46" t="s">
        <v>118</v>
      </c>
      <c r="C78" s="50">
        <v>61</v>
      </c>
      <c r="D78" s="50">
        <v>37</v>
      </c>
      <c r="E78" s="50">
        <v>13</v>
      </c>
      <c r="F78" s="50">
        <v>28</v>
      </c>
      <c r="G78" s="50">
        <v>0</v>
      </c>
      <c r="H78" s="50">
        <v>1</v>
      </c>
      <c r="I78" s="50">
        <v>11</v>
      </c>
      <c r="J78" s="50">
        <v>6</v>
      </c>
      <c r="K78" s="50">
        <v>2</v>
      </c>
      <c r="L78" s="50">
        <v>1</v>
      </c>
      <c r="M78" s="50">
        <v>73</v>
      </c>
      <c r="N78" s="50">
        <v>0</v>
      </c>
      <c r="O78" s="15">
        <f t="shared" si="35"/>
        <v>160</v>
      </c>
      <c r="P78" s="15">
        <f t="shared" si="36"/>
        <v>233</v>
      </c>
      <c r="R78" s="8"/>
      <c r="T78"/>
    </row>
    <row r="79" spans="2:20" ht="23.1" customHeight="1" x14ac:dyDescent="0.25">
      <c r="B79" s="45" t="s">
        <v>119</v>
      </c>
      <c r="C79" s="50">
        <v>63</v>
      </c>
      <c r="D79" s="50">
        <v>13</v>
      </c>
      <c r="E79" s="50">
        <v>13</v>
      </c>
      <c r="F79" s="50">
        <v>39</v>
      </c>
      <c r="G79" s="50">
        <v>0</v>
      </c>
      <c r="H79" s="50">
        <v>0</v>
      </c>
      <c r="I79" s="50">
        <v>6</v>
      </c>
      <c r="J79" s="50">
        <v>6</v>
      </c>
      <c r="K79" s="50">
        <v>0</v>
      </c>
      <c r="L79" s="50">
        <v>2</v>
      </c>
      <c r="M79" s="50">
        <v>77</v>
      </c>
      <c r="N79" s="50">
        <v>0</v>
      </c>
      <c r="O79" s="15">
        <f t="shared" si="35"/>
        <v>142</v>
      </c>
      <c r="P79" s="15">
        <f t="shared" si="36"/>
        <v>219</v>
      </c>
      <c r="R79" s="8"/>
      <c r="T79"/>
    </row>
    <row r="80" spans="2:20" ht="23.1" customHeight="1" x14ac:dyDescent="0.25">
      <c r="B80" s="47" t="s">
        <v>120</v>
      </c>
      <c r="C80" s="50">
        <v>78</v>
      </c>
      <c r="D80" s="50">
        <v>33</v>
      </c>
      <c r="E80" s="50">
        <v>9</v>
      </c>
      <c r="F80" s="50">
        <v>21</v>
      </c>
      <c r="G80" s="50">
        <v>1</v>
      </c>
      <c r="H80" s="50">
        <v>2</v>
      </c>
      <c r="I80" s="50">
        <v>16</v>
      </c>
      <c r="J80" s="50">
        <v>10</v>
      </c>
      <c r="K80" s="50">
        <v>5</v>
      </c>
      <c r="L80" s="50">
        <v>13</v>
      </c>
      <c r="M80" s="50">
        <v>67</v>
      </c>
      <c r="N80" s="50">
        <v>0</v>
      </c>
      <c r="O80" s="15">
        <f t="shared" si="35"/>
        <v>188</v>
      </c>
      <c r="P80" s="15">
        <f t="shared" si="36"/>
        <v>255</v>
      </c>
      <c r="R80" s="8"/>
      <c r="T80"/>
    </row>
    <row r="81" spans="2:20" ht="23.1" customHeight="1" x14ac:dyDescent="0.25">
      <c r="B81" s="45" t="s">
        <v>121</v>
      </c>
      <c r="C81" s="50">
        <v>43</v>
      </c>
      <c r="D81" s="50">
        <v>28</v>
      </c>
      <c r="E81" s="50">
        <v>7</v>
      </c>
      <c r="F81" s="50">
        <v>22</v>
      </c>
      <c r="G81" s="50">
        <v>0</v>
      </c>
      <c r="H81" s="50">
        <v>0</v>
      </c>
      <c r="I81" s="50">
        <v>23</v>
      </c>
      <c r="J81" s="50">
        <v>6</v>
      </c>
      <c r="K81" s="50">
        <v>2</v>
      </c>
      <c r="L81" s="50">
        <v>4</v>
      </c>
      <c r="M81" s="50">
        <v>48</v>
      </c>
      <c r="N81" s="50">
        <v>0</v>
      </c>
      <c r="O81" s="15">
        <f t="shared" si="35"/>
        <v>135</v>
      </c>
      <c r="P81" s="15">
        <f t="shared" si="36"/>
        <v>183</v>
      </c>
      <c r="R81" s="8"/>
      <c r="T81"/>
    </row>
    <row r="82" spans="2:20" ht="23.1" customHeight="1" x14ac:dyDescent="0.25">
      <c r="B82" s="46" t="s">
        <v>122</v>
      </c>
      <c r="C82" s="50">
        <v>13</v>
      </c>
      <c r="D82" s="50">
        <v>6</v>
      </c>
      <c r="E82" s="50">
        <v>3</v>
      </c>
      <c r="F82" s="50">
        <v>1</v>
      </c>
      <c r="G82" s="50">
        <v>0</v>
      </c>
      <c r="H82" s="50">
        <v>0</v>
      </c>
      <c r="I82" s="50">
        <v>2</v>
      </c>
      <c r="J82" s="50">
        <v>2</v>
      </c>
      <c r="K82" s="50">
        <v>0</v>
      </c>
      <c r="L82" s="50">
        <v>0</v>
      </c>
      <c r="M82" s="50">
        <v>13</v>
      </c>
      <c r="N82" s="50">
        <v>0</v>
      </c>
      <c r="O82" s="15">
        <f t="shared" si="35"/>
        <v>27</v>
      </c>
      <c r="P82" s="15">
        <f t="shared" si="36"/>
        <v>40</v>
      </c>
      <c r="R82" s="8"/>
      <c r="T82"/>
    </row>
    <row r="83" spans="2:20" ht="23.1" customHeight="1" x14ac:dyDescent="0.25">
      <c r="B83" s="45" t="s">
        <v>123</v>
      </c>
      <c r="C83" s="50">
        <v>27</v>
      </c>
      <c r="D83" s="50">
        <v>1</v>
      </c>
      <c r="E83" s="50">
        <v>5</v>
      </c>
      <c r="F83" s="50">
        <v>0</v>
      </c>
      <c r="G83" s="50">
        <v>0</v>
      </c>
      <c r="H83" s="50">
        <v>0</v>
      </c>
      <c r="I83" s="50">
        <v>10</v>
      </c>
      <c r="J83" s="50">
        <v>10</v>
      </c>
      <c r="K83" s="50">
        <v>1</v>
      </c>
      <c r="L83" s="50">
        <v>7</v>
      </c>
      <c r="M83" s="50">
        <v>18</v>
      </c>
      <c r="N83" s="50">
        <v>0</v>
      </c>
      <c r="O83" s="15">
        <f t="shared" si="35"/>
        <v>61</v>
      </c>
      <c r="P83" s="15">
        <f t="shared" si="36"/>
        <v>79</v>
      </c>
      <c r="R83" s="8"/>
      <c r="T83"/>
    </row>
    <row r="84" spans="2:20" ht="23.1" customHeight="1" x14ac:dyDescent="0.25">
      <c r="B84" s="47" t="s">
        <v>124</v>
      </c>
      <c r="C84" s="50">
        <v>17</v>
      </c>
      <c r="D84" s="50">
        <v>1</v>
      </c>
      <c r="E84" s="50">
        <v>1</v>
      </c>
      <c r="F84" s="50">
        <v>1</v>
      </c>
      <c r="G84" s="50">
        <v>0</v>
      </c>
      <c r="H84" s="50">
        <v>0</v>
      </c>
      <c r="I84" s="50">
        <v>1</v>
      </c>
      <c r="J84" s="50">
        <v>3</v>
      </c>
      <c r="K84" s="50">
        <v>1</v>
      </c>
      <c r="L84" s="50">
        <v>4</v>
      </c>
      <c r="M84" s="50">
        <v>26</v>
      </c>
      <c r="N84" s="50">
        <v>0</v>
      </c>
      <c r="O84" s="15">
        <f t="shared" si="35"/>
        <v>29</v>
      </c>
      <c r="P84" s="15">
        <f t="shared" si="36"/>
        <v>55</v>
      </c>
      <c r="R84" s="8"/>
      <c r="T84"/>
    </row>
    <row r="85" spans="2:20" ht="23.1" customHeight="1" x14ac:dyDescent="0.25">
      <c r="B85" s="45" t="s">
        <v>125</v>
      </c>
      <c r="C85" s="50">
        <v>7</v>
      </c>
      <c r="D85" s="50">
        <v>2</v>
      </c>
      <c r="E85" s="50">
        <v>0</v>
      </c>
      <c r="F85" s="50">
        <v>3</v>
      </c>
      <c r="G85" s="50">
        <v>0</v>
      </c>
      <c r="H85" s="50">
        <v>0</v>
      </c>
      <c r="I85" s="50">
        <v>2</v>
      </c>
      <c r="J85" s="50">
        <v>1</v>
      </c>
      <c r="K85" s="50">
        <v>0</v>
      </c>
      <c r="L85" s="50">
        <v>1</v>
      </c>
      <c r="M85" s="50">
        <v>8</v>
      </c>
      <c r="N85" s="50">
        <v>0</v>
      </c>
      <c r="O85" s="15">
        <f t="shared" si="35"/>
        <v>16</v>
      </c>
      <c r="P85" s="15">
        <f t="shared" si="36"/>
        <v>24</v>
      </c>
      <c r="R85" s="8"/>
      <c r="T85"/>
    </row>
    <row r="86" spans="2:20" ht="23.1" customHeight="1" x14ac:dyDescent="0.25">
      <c r="B86" s="46" t="s">
        <v>126</v>
      </c>
      <c r="C86" s="50">
        <v>3</v>
      </c>
      <c r="D86" s="50">
        <v>1</v>
      </c>
      <c r="E86" s="50">
        <v>3</v>
      </c>
      <c r="F86" s="50">
        <v>6</v>
      </c>
      <c r="G86" s="50">
        <v>0</v>
      </c>
      <c r="H86" s="50">
        <v>0</v>
      </c>
      <c r="I86" s="50">
        <v>1</v>
      </c>
      <c r="J86" s="50">
        <v>1</v>
      </c>
      <c r="K86" s="50">
        <v>1</v>
      </c>
      <c r="L86" s="50">
        <v>0</v>
      </c>
      <c r="M86" s="50">
        <v>4</v>
      </c>
      <c r="N86" s="50">
        <v>0</v>
      </c>
      <c r="O86" s="15">
        <f t="shared" si="35"/>
        <v>16</v>
      </c>
      <c r="P86" s="15">
        <f t="shared" si="36"/>
        <v>20</v>
      </c>
      <c r="R86" s="8"/>
      <c r="T86"/>
    </row>
    <row r="87" spans="2:20" ht="23.1" customHeight="1" x14ac:dyDescent="0.25">
      <c r="B87" s="45" t="s">
        <v>127</v>
      </c>
      <c r="C87" s="50">
        <v>5</v>
      </c>
      <c r="D87" s="50">
        <v>2</v>
      </c>
      <c r="E87" s="50">
        <v>1</v>
      </c>
      <c r="F87" s="50">
        <v>3</v>
      </c>
      <c r="G87" s="50">
        <v>0</v>
      </c>
      <c r="H87" s="50">
        <v>1</v>
      </c>
      <c r="I87" s="50">
        <v>1</v>
      </c>
      <c r="J87" s="50">
        <v>2</v>
      </c>
      <c r="K87" s="50">
        <v>0</v>
      </c>
      <c r="L87" s="50">
        <v>0</v>
      </c>
      <c r="M87" s="50">
        <v>7</v>
      </c>
      <c r="N87" s="50">
        <v>0</v>
      </c>
      <c r="O87" s="15">
        <f t="shared" si="35"/>
        <v>15</v>
      </c>
      <c r="P87" s="15">
        <f t="shared" si="36"/>
        <v>22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3</v>
      </c>
      <c r="J88" s="50">
        <v>2</v>
      </c>
      <c r="K88" s="50">
        <v>1</v>
      </c>
      <c r="L88" s="50">
        <v>0</v>
      </c>
      <c r="M88" s="50">
        <v>4</v>
      </c>
      <c r="N88" s="50">
        <v>0</v>
      </c>
      <c r="O88" s="15">
        <f t="shared" si="35"/>
        <v>10</v>
      </c>
      <c r="P88" s="15">
        <f t="shared" si="36"/>
        <v>14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2</v>
      </c>
      <c r="G89" s="50">
        <v>0</v>
      </c>
      <c r="H89" s="50">
        <v>0</v>
      </c>
      <c r="I89" s="50">
        <v>3</v>
      </c>
      <c r="J89" s="50">
        <v>3</v>
      </c>
      <c r="K89" s="50">
        <v>0</v>
      </c>
      <c r="L89" s="50">
        <v>0</v>
      </c>
      <c r="M89" s="50">
        <v>5</v>
      </c>
      <c r="N89" s="50">
        <v>0</v>
      </c>
      <c r="O89" s="15">
        <f t="shared" si="35"/>
        <v>10</v>
      </c>
      <c r="P89" s="15">
        <f t="shared" si="36"/>
        <v>15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1</v>
      </c>
      <c r="E90" s="50">
        <v>1</v>
      </c>
      <c r="F90" s="50">
        <v>1</v>
      </c>
      <c r="G90" s="50">
        <v>0</v>
      </c>
      <c r="H90" s="50">
        <v>0</v>
      </c>
      <c r="I90" s="50">
        <v>3</v>
      </c>
      <c r="J90" s="50">
        <v>12</v>
      </c>
      <c r="K90" s="50">
        <v>2</v>
      </c>
      <c r="L90" s="50">
        <v>0</v>
      </c>
      <c r="M90" s="50">
        <v>7</v>
      </c>
      <c r="N90" s="50">
        <v>0</v>
      </c>
      <c r="O90" s="15">
        <f t="shared" si="35"/>
        <v>21</v>
      </c>
      <c r="P90" s="15">
        <f t="shared" si="36"/>
        <v>28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1</v>
      </c>
      <c r="F91" s="50">
        <v>0</v>
      </c>
      <c r="G91" s="50">
        <v>0</v>
      </c>
      <c r="H91" s="50">
        <v>0</v>
      </c>
      <c r="I91" s="50">
        <v>2</v>
      </c>
      <c r="J91" s="50">
        <v>6</v>
      </c>
      <c r="K91" s="50">
        <v>2</v>
      </c>
      <c r="L91" s="50">
        <v>4</v>
      </c>
      <c r="M91" s="50">
        <v>11</v>
      </c>
      <c r="N91" s="50">
        <v>0</v>
      </c>
      <c r="O91" s="15">
        <f t="shared" si="35"/>
        <v>17</v>
      </c>
      <c r="P91" s="15">
        <f t="shared" si="36"/>
        <v>28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2</v>
      </c>
      <c r="E92" s="50">
        <v>3</v>
      </c>
      <c r="F92" s="50">
        <v>0</v>
      </c>
      <c r="G92" s="50">
        <v>1</v>
      </c>
      <c r="H92" s="50">
        <v>0</v>
      </c>
      <c r="I92" s="50">
        <v>3</v>
      </c>
      <c r="J92" s="50">
        <v>13</v>
      </c>
      <c r="K92" s="50">
        <v>2</v>
      </c>
      <c r="L92" s="50">
        <v>0</v>
      </c>
      <c r="M92" s="50">
        <v>4</v>
      </c>
      <c r="N92" s="50">
        <v>0</v>
      </c>
      <c r="O92" s="15">
        <f t="shared" si="35"/>
        <v>28</v>
      </c>
      <c r="P92" s="15">
        <f t="shared" si="36"/>
        <v>32</v>
      </c>
      <c r="R92" s="8"/>
      <c r="T92"/>
    </row>
    <row r="93" spans="2:20" ht="23.1" customHeight="1" x14ac:dyDescent="0.25">
      <c r="B93" s="45" t="s">
        <v>133</v>
      </c>
      <c r="C93" s="50">
        <v>3</v>
      </c>
      <c r="D93" s="50">
        <v>2</v>
      </c>
      <c r="E93" s="50">
        <v>3</v>
      </c>
      <c r="F93" s="50">
        <v>2</v>
      </c>
      <c r="G93" s="50">
        <v>0</v>
      </c>
      <c r="H93" s="50">
        <v>0</v>
      </c>
      <c r="I93" s="50">
        <v>2</v>
      </c>
      <c r="J93" s="50">
        <v>4</v>
      </c>
      <c r="K93" s="50">
        <v>2</v>
      </c>
      <c r="L93" s="50">
        <v>1</v>
      </c>
      <c r="M93" s="50">
        <v>6</v>
      </c>
      <c r="N93" s="50">
        <v>0</v>
      </c>
      <c r="O93" s="15">
        <f t="shared" si="35"/>
        <v>19</v>
      </c>
      <c r="P93" s="15">
        <f t="shared" si="36"/>
        <v>25</v>
      </c>
      <c r="R93" s="8"/>
      <c r="T93"/>
    </row>
    <row r="94" spans="2:20" ht="23.1" customHeight="1" x14ac:dyDescent="0.25">
      <c r="B94" s="46" t="s">
        <v>134</v>
      </c>
      <c r="C94" s="50">
        <v>6</v>
      </c>
      <c r="D94" s="50">
        <v>0</v>
      </c>
      <c r="E94" s="50">
        <v>3</v>
      </c>
      <c r="F94" s="50">
        <v>0</v>
      </c>
      <c r="G94" s="50">
        <v>0</v>
      </c>
      <c r="H94" s="50">
        <v>0</v>
      </c>
      <c r="I94" s="50">
        <v>4</v>
      </c>
      <c r="J94" s="50">
        <v>3</v>
      </c>
      <c r="K94" s="50">
        <v>2</v>
      </c>
      <c r="L94" s="50">
        <v>0</v>
      </c>
      <c r="M94" s="50">
        <v>4</v>
      </c>
      <c r="N94" s="50">
        <v>0</v>
      </c>
      <c r="O94" s="15">
        <f t="shared" si="35"/>
        <v>18</v>
      </c>
      <c r="P94" s="15">
        <f t="shared" si="36"/>
        <v>22</v>
      </c>
      <c r="R94" s="8"/>
      <c r="T94"/>
    </row>
    <row r="95" spans="2:20" ht="23.1" customHeight="1" x14ac:dyDescent="0.25">
      <c r="B95" s="45" t="s">
        <v>135</v>
      </c>
      <c r="C95" s="50">
        <v>4</v>
      </c>
      <c r="D95" s="50">
        <v>0</v>
      </c>
      <c r="E95" s="50">
        <v>0</v>
      </c>
      <c r="F95" s="50">
        <v>3</v>
      </c>
      <c r="G95" s="50">
        <v>0</v>
      </c>
      <c r="H95" s="50">
        <v>1</v>
      </c>
      <c r="I95" s="50">
        <v>2</v>
      </c>
      <c r="J95" s="50">
        <v>7</v>
      </c>
      <c r="K95" s="50">
        <v>2</v>
      </c>
      <c r="L95" s="50">
        <v>0</v>
      </c>
      <c r="M95" s="50">
        <v>6</v>
      </c>
      <c r="N95" s="50">
        <v>0</v>
      </c>
      <c r="O95" s="15">
        <f t="shared" si="35"/>
        <v>19</v>
      </c>
      <c r="P95" s="15">
        <f t="shared" si="36"/>
        <v>25</v>
      </c>
      <c r="R95" s="8"/>
      <c r="T95"/>
    </row>
    <row r="96" spans="2:20" ht="23.1" customHeight="1" x14ac:dyDescent="0.25">
      <c r="B96" s="47" t="s">
        <v>136</v>
      </c>
      <c r="C96" s="50">
        <v>8</v>
      </c>
      <c r="D96" s="50">
        <v>0</v>
      </c>
      <c r="E96" s="50">
        <v>0</v>
      </c>
      <c r="F96" s="50">
        <v>3</v>
      </c>
      <c r="G96" s="50">
        <v>0</v>
      </c>
      <c r="H96" s="50">
        <v>1</v>
      </c>
      <c r="I96" s="50">
        <v>4</v>
      </c>
      <c r="J96" s="50">
        <v>3</v>
      </c>
      <c r="K96" s="50">
        <v>0</v>
      </c>
      <c r="L96" s="50">
        <v>1</v>
      </c>
      <c r="M96" s="50">
        <v>13</v>
      </c>
      <c r="N96" s="50">
        <v>0</v>
      </c>
      <c r="O96" s="15">
        <f t="shared" si="35"/>
        <v>20</v>
      </c>
      <c r="P96" s="15">
        <f t="shared" si="36"/>
        <v>33</v>
      </c>
      <c r="R96" s="8"/>
      <c r="T96"/>
    </row>
    <row r="97" spans="2:20" ht="23.1" customHeight="1" x14ac:dyDescent="0.25">
      <c r="B97" s="45" t="s">
        <v>137</v>
      </c>
      <c r="C97" s="50">
        <v>11</v>
      </c>
      <c r="D97" s="50">
        <v>3</v>
      </c>
      <c r="E97" s="50">
        <v>3</v>
      </c>
      <c r="F97" s="50">
        <v>6</v>
      </c>
      <c r="G97" s="50">
        <v>0</v>
      </c>
      <c r="H97" s="50">
        <v>0</v>
      </c>
      <c r="I97" s="50">
        <v>3</v>
      </c>
      <c r="J97" s="50">
        <v>11</v>
      </c>
      <c r="K97" s="50">
        <v>0</v>
      </c>
      <c r="L97" s="50">
        <v>0</v>
      </c>
      <c r="M97" s="50">
        <v>10</v>
      </c>
      <c r="N97" s="50">
        <v>0</v>
      </c>
      <c r="O97" s="15">
        <f t="shared" si="35"/>
        <v>37</v>
      </c>
      <c r="P97" s="15">
        <f t="shared" si="36"/>
        <v>47</v>
      </c>
      <c r="R97" s="8"/>
      <c r="T97"/>
    </row>
    <row r="98" spans="2:20" ht="23.1" customHeight="1" x14ac:dyDescent="0.25">
      <c r="B98" s="46" t="s">
        <v>138</v>
      </c>
      <c r="C98" s="50">
        <v>7</v>
      </c>
      <c r="D98" s="50">
        <v>1</v>
      </c>
      <c r="E98" s="50">
        <v>2</v>
      </c>
      <c r="F98" s="50">
        <v>2</v>
      </c>
      <c r="G98" s="50">
        <v>0</v>
      </c>
      <c r="H98" s="50">
        <v>1</v>
      </c>
      <c r="I98" s="50">
        <v>2</v>
      </c>
      <c r="J98" s="50">
        <v>2</v>
      </c>
      <c r="K98" s="50">
        <v>3</v>
      </c>
      <c r="L98" s="50">
        <v>0</v>
      </c>
      <c r="M98" s="50">
        <v>26</v>
      </c>
      <c r="N98" s="50">
        <v>0</v>
      </c>
      <c r="O98" s="15">
        <f t="shared" si="35"/>
        <v>20</v>
      </c>
      <c r="P98" s="15">
        <f t="shared" si="36"/>
        <v>46</v>
      </c>
      <c r="R98" s="8"/>
      <c r="T98"/>
    </row>
    <row r="99" spans="2:20" ht="23.1" customHeight="1" x14ac:dyDescent="0.25">
      <c r="B99" s="45" t="s">
        <v>139</v>
      </c>
      <c r="C99" s="50">
        <v>4</v>
      </c>
      <c r="D99" s="50">
        <v>1</v>
      </c>
      <c r="E99" s="50">
        <v>3</v>
      </c>
      <c r="F99" s="50">
        <v>0</v>
      </c>
      <c r="G99" s="50">
        <v>0</v>
      </c>
      <c r="H99" s="50">
        <v>0</v>
      </c>
      <c r="I99" s="50">
        <v>2</v>
      </c>
      <c r="J99" s="50">
        <v>1</v>
      </c>
      <c r="K99" s="50">
        <v>2</v>
      </c>
      <c r="L99" s="50">
        <v>3</v>
      </c>
      <c r="M99" s="50">
        <v>11</v>
      </c>
      <c r="N99" s="50">
        <v>0</v>
      </c>
      <c r="O99" s="15">
        <f t="shared" si="35"/>
        <v>16</v>
      </c>
      <c r="P99" s="15">
        <f t="shared" si="36"/>
        <v>27</v>
      </c>
      <c r="R99" s="8"/>
      <c r="T99"/>
    </row>
    <row r="100" spans="2:20" ht="23.1" customHeight="1" x14ac:dyDescent="0.25">
      <c r="B100" s="47" t="s">
        <v>140</v>
      </c>
      <c r="C100" s="50">
        <v>8</v>
      </c>
      <c r="D100" s="50">
        <v>7</v>
      </c>
      <c r="E100" s="50">
        <v>0</v>
      </c>
      <c r="F100" s="50">
        <v>4</v>
      </c>
      <c r="G100" s="50">
        <v>2</v>
      </c>
      <c r="H100" s="50">
        <v>1</v>
      </c>
      <c r="I100" s="50">
        <v>4</v>
      </c>
      <c r="J100" s="50">
        <v>8</v>
      </c>
      <c r="K100" s="50">
        <v>3</v>
      </c>
      <c r="L100" s="50">
        <v>7</v>
      </c>
      <c r="M100" s="50">
        <v>18</v>
      </c>
      <c r="N100" s="50">
        <v>0</v>
      </c>
      <c r="O100" s="15">
        <f t="shared" si="35"/>
        <v>44</v>
      </c>
      <c r="P100" s="15">
        <f t="shared" si="36"/>
        <v>62</v>
      </c>
      <c r="R100" s="8"/>
      <c r="T100"/>
    </row>
    <row r="101" spans="2:20" ht="23.1" customHeight="1" x14ac:dyDescent="0.25">
      <c r="B101" s="45" t="s">
        <v>141</v>
      </c>
      <c r="C101" s="50">
        <v>18</v>
      </c>
      <c r="D101" s="50">
        <v>3</v>
      </c>
      <c r="E101" s="50">
        <v>1</v>
      </c>
      <c r="F101" s="50">
        <v>3</v>
      </c>
      <c r="G101" s="50">
        <v>0</v>
      </c>
      <c r="H101" s="50">
        <v>2</v>
      </c>
      <c r="I101" s="50">
        <v>7</v>
      </c>
      <c r="J101" s="50">
        <v>8</v>
      </c>
      <c r="K101" s="50">
        <v>0</v>
      </c>
      <c r="L101" s="50">
        <v>7</v>
      </c>
      <c r="M101" s="50">
        <v>54</v>
      </c>
      <c r="N101" s="50">
        <v>0</v>
      </c>
      <c r="O101" s="15">
        <f t="shared" si="35"/>
        <v>49</v>
      </c>
      <c r="P101" s="15">
        <f t="shared" si="36"/>
        <v>103</v>
      </c>
      <c r="R101" s="8"/>
      <c r="T101"/>
    </row>
    <row r="102" spans="2:20" ht="23.1" customHeight="1" x14ac:dyDescent="0.25">
      <c r="B102" s="46" t="s">
        <v>142</v>
      </c>
      <c r="C102" s="50">
        <v>5</v>
      </c>
      <c r="D102" s="50">
        <v>2</v>
      </c>
      <c r="E102" s="50">
        <v>4</v>
      </c>
      <c r="F102" s="50">
        <v>6</v>
      </c>
      <c r="G102" s="50">
        <v>1</v>
      </c>
      <c r="H102" s="50">
        <v>0</v>
      </c>
      <c r="I102" s="50">
        <v>8</v>
      </c>
      <c r="J102" s="50">
        <v>8</v>
      </c>
      <c r="K102" s="50">
        <v>5</v>
      </c>
      <c r="L102" s="50">
        <v>6</v>
      </c>
      <c r="M102" s="50">
        <v>66</v>
      </c>
      <c r="N102" s="50">
        <v>0</v>
      </c>
      <c r="O102" s="15">
        <f t="shared" si="35"/>
        <v>45</v>
      </c>
      <c r="P102" s="15">
        <f t="shared" si="36"/>
        <v>111</v>
      </c>
      <c r="R102" s="8"/>
      <c r="T102"/>
    </row>
    <row r="103" spans="2:20" ht="23.1" customHeight="1" x14ac:dyDescent="0.25">
      <c r="B103" s="45" t="s">
        <v>143</v>
      </c>
      <c r="C103" s="50">
        <v>34</v>
      </c>
      <c r="D103" s="50">
        <v>2</v>
      </c>
      <c r="E103" s="50">
        <v>2</v>
      </c>
      <c r="F103" s="50">
        <v>8</v>
      </c>
      <c r="G103" s="50">
        <v>3</v>
      </c>
      <c r="H103" s="50">
        <v>1</v>
      </c>
      <c r="I103" s="50">
        <v>7</v>
      </c>
      <c r="J103" s="50">
        <v>14</v>
      </c>
      <c r="K103" s="50">
        <v>0</v>
      </c>
      <c r="L103" s="50">
        <v>6</v>
      </c>
      <c r="M103" s="50">
        <v>77</v>
      </c>
      <c r="N103" s="50">
        <v>0</v>
      </c>
      <c r="O103" s="15">
        <f t="shared" si="35"/>
        <v>77</v>
      </c>
      <c r="P103" s="15">
        <f t="shared" si="36"/>
        <v>154</v>
      </c>
      <c r="R103" s="8"/>
      <c r="T103"/>
    </row>
    <row r="104" spans="2:20" ht="23.1" customHeight="1" x14ac:dyDescent="0.25">
      <c r="B104" s="47" t="s">
        <v>144</v>
      </c>
      <c r="C104" s="50">
        <v>47</v>
      </c>
      <c r="D104" s="50">
        <v>8</v>
      </c>
      <c r="E104" s="50">
        <v>5</v>
      </c>
      <c r="F104" s="50">
        <v>13</v>
      </c>
      <c r="G104" s="50">
        <v>1</v>
      </c>
      <c r="H104" s="50">
        <v>1</v>
      </c>
      <c r="I104" s="50">
        <v>12</v>
      </c>
      <c r="J104" s="50">
        <v>8</v>
      </c>
      <c r="K104" s="50">
        <v>3</v>
      </c>
      <c r="L104" s="50">
        <v>15</v>
      </c>
      <c r="M104" s="50">
        <v>99</v>
      </c>
      <c r="N104" s="50">
        <v>0</v>
      </c>
      <c r="O104" s="15">
        <f t="shared" si="35"/>
        <v>113</v>
      </c>
      <c r="P104" s="15">
        <f t="shared" si="36"/>
        <v>212</v>
      </c>
      <c r="R104" s="8"/>
      <c r="T104"/>
    </row>
    <row r="105" spans="2:20" ht="23.1" customHeight="1" x14ac:dyDescent="0.25">
      <c r="B105" s="45" t="s">
        <v>145</v>
      </c>
      <c r="C105" s="50">
        <v>83</v>
      </c>
      <c r="D105" s="50">
        <v>5</v>
      </c>
      <c r="E105" s="50">
        <v>4</v>
      </c>
      <c r="F105" s="50">
        <v>12</v>
      </c>
      <c r="G105" s="50">
        <v>0</v>
      </c>
      <c r="H105" s="50">
        <v>0</v>
      </c>
      <c r="I105" s="50">
        <v>9</v>
      </c>
      <c r="J105" s="50">
        <v>0</v>
      </c>
      <c r="K105" s="50">
        <v>0</v>
      </c>
      <c r="L105" s="50">
        <v>7</v>
      </c>
      <c r="M105" s="50">
        <v>98</v>
      </c>
      <c r="N105" s="50">
        <v>0</v>
      </c>
      <c r="O105" s="15">
        <f t="shared" si="35"/>
        <v>120</v>
      </c>
      <c r="P105" s="15">
        <f t="shared" si="36"/>
        <v>218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6329</v>
      </c>
      <c r="D106" s="16">
        <f t="shared" ref="D106:P106" si="37">SUM(D10:D105)</f>
        <v>2069</v>
      </c>
      <c r="E106" s="16">
        <f t="shared" si="37"/>
        <v>1502</v>
      </c>
      <c r="F106" s="16">
        <f t="shared" si="37"/>
        <v>2560</v>
      </c>
      <c r="G106" s="16">
        <f t="shared" si="37"/>
        <v>168</v>
      </c>
      <c r="H106" s="16">
        <f t="shared" si="37"/>
        <v>86</v>
      </c>
      <c r="I106" s="16">
        <f t="shared" si="37"/>
        <v>857</v>
      </c>
      <c r="J106" s="16">
        <f t="shared" si="37"/>
        <v>914</v>
      </c>
      <c r="K106" s="16">
        <f t="shared" si="37"/>
        <v>947</v>
      </c>
      <c r="L106" s="16">
        <f t="shared" si="37"/>
        <v>860</v>
      </c>
      <c r="M106" s="16">
        <f t="shared" si="37"/>
        <v>9097</v>
      </c>
      <c r="N106" s="16">
        <f t="shared" si="37"/>
        <v>1</v>
      </c>
      <c r="O106" s="16">
        <f t="shared" si="37"/>
        <v>16293</v>
      </c>
      <c r="P106" s="16">
        <f t="shared" si="37"/>
        <v>25390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0.24927136667979519</v>
      </c>
      <c r="D107" s="43">
        <f t="shared" si="38"/>
        <v>8.148877510831036E-2</v>
      </c>
      <c r="E107" s="43">
        <f t="shared" si="38"/>
        <v>5.9157148483654984E-2</v>
      </c>
      <c r="F107" s="43">
        <f t="shared" si="38"/>
        <v>0.10082709728239464</v>
      </c>
      <c r="G107" s="43">
        <f t="shared" si="38"/>
        <v>6.6167782591571482E-3</v>
      </c>
      <c r="H107" s="43">
        <f t="shared" si="38"/>
        <v>3.3871602993304451E-3</v>
      </c>
      <c r="I107" s="43">
        <f t="shared" si="38"/>
        <v>3.3753446238676647E-2</v>
      </c>
      <c r="J107" s="43">
        <f t="shared" si="38"/>
        <v>3.5998424576604959E-2</v>
      </c>
      <c r="K107" s="43">
        <f t="shared" si="38"/>
        <v>3.7298148877510831E-2</v>
      </c>
      <c r="L107" s="43">
        <f t="shared" si="38"/>
        <v>3.3871602993304453E-2</v>
      </c>
      <c r="M107" s="43">
        <f t="shared" si="38"/>
        <v>0.3582906656163844</v>
      </c>
      <c r="N107" s="43">
        <f t="shared" si="38"/>
        <v>3.9385584875935406E-5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0.38844902718959062</v>
      </c>
      <c r="D108" s="44">
        <f t="shared" ref="D108:N108" si="39">D106/$O$106</f>
        <v>0.1269870496532253</v>
      </c>
      <c r="E108" s="44">
        <f t="shared" si="39"/>
        <v>9.2186828699441475E-2</v>
      </c>
      <c r="F108" s="44">
        <f t="shared" si="39"/>
        <v>0.15712269072607868</v>
      </c>
      <c r="G108" s="44">
        <f t="shared" si="39"/>
        <v>1.0311176578898913E-2</v>
      </c>
      <c r="H108" s="44">
        <f t="shared" si="39"/>
        <v>5.278340391579206E-3</v>
      </c>
      <c r="I108" s="44">
        <f t="shared" si="39"/>
        <v>5.2599275762597437E-2</v>
      </c>
      <c r="J108" s="44">
        <f t="shared" si="39"/>
        <v>5.6097710673295283E-2</v>
      </c>
      <c r="K108" s="44">
        <f t="shared" si="39"/>
        <v>5.8123120358436135E-2</v>
      </c>
      <c r="L108" s="44">
        <f t="shared" si="39"/>
        <v>5.278340391579206E-2</v>
      </c>
      <c r="M108" s="44"/>
      <c r="N108" s="44">
        <f t="shared" si="39"/>
        <v>6.1376051064874487E-5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26" sqref="C2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Lubigi-Masanafu'!C3:G3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67" t="str">
        <f>'27.07 Masanafu-Lubigi-24h'!G5:H5</f>
        <v>Northern Bypass</v>
      </c>
      <c r="H5" s="68"/>
      <c r="I5" s="14"/>
      <c r="J5" s="2" t="s">
        <v>5</v>
      </c>
      <c r="K5" s="67" t="s">
        <v>177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Lubigi-Masanafu'!D6:E6</f>
        <v>Lubigi</v>
      </c>
      <c r="E6" s="68"/>
      <c r="F6" s="2" t="s">
        <v>2</v>
      </c>
      <c r="G6" s="67" t="str">
        <f>'22.07 Lubigi-Masanafu'!G6:H6</f>
        <v>Masanafu</v>
      </c>
      <c r="H6" s="68"/>
      <c r="J6" s="2" t="s">
        <v>21</v>
      </c>
      <c r="K6" s="67" t="str">
        <f>'27.07 Masanafu-Lubigi-24h'!K6:L6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38</v>
      </c>
      <c r="D10" s="50">
        <v>5</v>
      </c>
      <c r="E10" s="50">
        <v>5</v>
      </c>
      <c r="F10" s="50">
        <v>37</v>
      </c>
      <c r="G10" s="50">
        <v>5</v>
      </c>
      <c r="H10" s="50">
        <v>1</v>
      </c>
      <c r="I10" s="50">
        <v>0</v>
      </c>
      <c r="J10" s="50">
        <v>12</v>
      </c>
      <c r="K10" s="50">
        <v>4</v>
      </c>
      <c r="L10" s="50">
        <v>2</v>
      </c>
      <c r="M10" s="50">
        <v>132</v>
      </c>
      <c r="N10" s="50">
        <v>0</v>
      </c>
      <c r="O10" s="15">
        <f t="shared" ref="O10:O57" si="0">SUM(C10:L10,N10)</f>
        <v>109</v>
      </c>
      <c r="P10" s="15">
        <f t="shared" ref="P10:P57" si="1">SUM(C10:N10)</f>
        <v>241</v>
      </c>
      <c r="R10" s="1" t="s">
        <v>6</v>
      </c>
      <c r="S10" s="17">
        <f t="shared" ref="S10:AF10" si="2">SUM(C10:C13)</f>
        <v>149</v>
      </c>
      <c r="T10" s="17">
        <f t="shared" si="2"/>
        <v>27</v>
      </c>
      <c r="U10" s="17">
        <f t="shared" si="2"/>
        <v>24</v>
      </c>
      <c r="V10" s="17">
        <f t="shared" si="2"/>
        <v>144</v>
      </c>
      <c r="W10" s="17">
        <f t="shared" si="2"/>
        <v>7</v>
      </c>
      <c r="X10" s="17">
        <f t="shared" si="2"/>
        <v>2</v>
      </c>
      <c r="Y10" s="17">
        <f t="shared" si="2"/>
        <v>29</v>
      </c>
      <c r="Z10" s="17">
        <f t="shared" si="2"/>
        <v>20</v>
      </c>
      <c r="AA10" s="17">
        <f t="shared" si="2"/>
        <v>11</v>
      </c>
      <c r="AB10" s="17">
        <f t="shared" si="2"/>
        <v>19</v>
      </c>
      <c r="AC10" s="17">
        <f t="shared" si="2"/>
        <v>496</v>
      </c>
      <c r="AD10" s="17">
        <f t="shared" si="2"/>
        <v>0</v>
      </c>
      <c r="AE10" s="31">
        <f t="shared" si="2"/>
        <v>432</v>
      </c>
      <c r="AF10" s="31">
        <f t="shared" si="2"/>
        <v>928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6</v>
      </c>
      <c r="E11" s="50">
        <v>4</v>
      </c>
      <c r="F11" s="50">
        <v>33</v>
      </c>
      <c r="G11" s="50">
        <v>0</v>
      </c>
      <c r="H11" s="50">
        <v>0</v>
      </c>
      <c r="I11" s="50">
        <v>16</v>
      </c>
      <c r="J11" s="50">
        <v>1</v>
      </c>
      <c r="K11" s="50">
        <v>3</v>
      </c>
      <c r="L11" s="50">
        <v>6</v>
      </c>
      <c r="M11" s="50">
        <v>100</v>
      </c>
      <c r="N11" s="50">
        <v>0</v>
      </c>
      <c r="O11" s="15">
        <f t="shared" si="0"/>
        <v>104</v>
      </c>
      <c r="P11" s="15">
        <f t="shared" si="1"/>
        <v>204</v>
      </c>
      <c r="R11" s="1" t="s">
        <v>7</v>
      </c>
      <c r="S11" s="17">
        <f t="shared" ref="S11:AF11" si="3">SUM(C14:C17)</f>
        <v>230</v>
      </c>
      <c r="T11" s="17">
        <f t="shared" si="3"/>
        <v>49</v>
      </c>
      <c r="U11" s="17">
        <f t="shared" si="3"/>
        <v>35</v>
      </c>
      <c r="V11" s="17">
        <f t="shared" si="3"/>
        <v>69</v>
      </c>
      <c r="W11" s="17">
        <f t="shared" si="3"/>
        <v>6</v>
      </c>
      <c r="X11" s="17">
        <f t="shared" si="3"/>
        <v>0</v>
      </c>
      <c r="Y11" s="17">
        <f t="shared" si="3"/>
        <v>29</v>
      </c>
      <c r="Z11" s="17">
        <f t="shared" si="3"/>
        <v>9</v>
      </c>
      <c r="AA11" s="17">
        <f t="shared" si="3"/>
        <v>13</v>
      </c>
      <c r="AB11" s="17">
        <f t="shared" si="3"/>
        <v>13</v>
      </c>
      <c r="AC11" s="17">
        <f t="shared" si="3"/>
        <v>534</v>
      </c>
      <c r="AD11" s="17">
        <f t="shared" si="3"/>
        <v>0</v>
      </c>
      <c r="AE11" s="31">
        <f t="shared" si="3"/>
        <v>453</v>
      </c>
      <c r="AF11" s="31">
        <f t="shared" si="3"/>
        <v>987</v>
      </c>
    </row>
    <row r="12" spans="2:32" ht="23.1" customHeight="1" x14ac:dyDescent="0.25">
      <c r="B12" s="23" t="s">
        <v>39</v>
      </c>
      <c r="C12" s="50">
        <v>41</v>
      </c>
      <c r="D12" s="50">
        <v>8</v>
      </c>
      <c r="E12" s="50">
        <v>8</v>
      </c>
      <c r="F12" s="50">
        <v>32</v>
      </c>
      <c r="G12" s="50">
        <v>0</v>
      </c>
      <c r="H12" s="50">
        <v>0</v>
      </c>
      <c r="I12" s="50">
        <v>8</v>
      </c>
      <c r="J12" s="50">
        <v>2</v>
      </c>
      <c r="K12" s="50">
        <v>2</v>
      </c>
      <c r="L12" s="50">
        <v>8</v>
      </c>
      <c r="M12" s="50">
        <v>141</v>
      </c>
      <c r="N12" s="50">
        <v>0</v>
      </c>
      <c r="O12" s="15">
        <f t="shared" si="0"/>
        <v>109</v>
      </c>
      <c r="P12" s="15">
        <f t="shared" si="1"/>
        <v>250</v>
      </c>
      <c r="R12" s="1" t="s">
        <v>8</v>
      </c>
      <c r="S12" s="17">
        <f t="shared" ref="S12:AF12" si="4">SUM(C18:C21)</f>
        <v>193</v>
      </c>
      <c r="T12" s="17">
        <f t="shared" si="4"/>
        <v>38</v>
      </c>
      <c r="U12" s="17">
        <f t="shared" si="4"/>
        <v>64</v>
      </c>
      <c r="V12" s="17">
        <f t="shared" si="4"/>
        <v>98</v>
      </c>
      <c r="W12" s="17">
        <f t="shared" si="4"/>
        <v>8</v>
      </c>
      <c r="X12" s="17">
        <f t="shared" si="4"/>
        <v>1</v>
      </c>
      <c r="Y12" s="17">
        <f t="shared" si="4"/>
        <v>60</v>
      </c>
      <c r="Z12" s="17">
        <f t="shared" si="4"/>
        <v>6</v>
      </c>
      <c r="AA12" s="17">
        <f t="shared" si="4"/>
        <v>11</v>
      </c>
      <c r="AB12" s="17">
        <f t="shared" si="4"/>
        <v>15</v>
      </c>
      <c r="AC12" s="17">
        <f t="shared" si="4"/>
        <v>569</v>
      </c>
      <c r="AD12" s="17">
        <f t="shared" si="4"/>
        <v>0</v>
      </c>
      <c r="AE12" s="31">
        <f t="shared" si="4"/>
        <v>494</v>
      </c>
      <c r="AF12" s="31">
        <f t="shared" si="4"/>
        <v>1063</v>
      </c>
    </row>
    <row r="13" spans="2:32" ht="23.1" customHeight="1" x14ac:dyDescent="0.25">
      <c r="B13" s="23" t="s">
        <v>40</v>
      </c>
      <c r="C13" s="50">
        <v>35</v>
      </c>
      <c r="D13" s="50">
        <v>8</v>
      </c>
      <c r="E13" s="50">
        <v>7</v>
      </c>
      <c r="F13" s="50">
        <v>42</v>
      </c>
      <c r="G13" s="50">
        <v>2</v>
      </c>
      <c r="H13" s="50">
        <v>1</v>
      </c>
      <c r="I13" s="50">
        <v>5</v>
      </c>
      <c r="J13" s="50">
        <v>5</v>
      </c>
      <c r="K13" s="50">
        <v>2</v>
      </c>
      <c r="L13" s="50">
        <v>3</v>
      </c>
      <c r="M13" s="50">
        <v>123</v>
      </c>
      <c r="N13" s="50">
        <v>0</v>
      </c>
      <c r="O13" s="15">
        <f t="shared" si="0"/>
        <v>110</v>
      </c>
      <c r="P13" s="15">
        <f t="shared" si="1"/>
        <v>233</v>
      </c>
      <c r="R13" s="1" t="s">
        <v>9</v>
      </c>
      <c r="S13" s="17">
        <f t="shared" ref="S13:AF13" si="5">SUM(C22:C25)</f>
        <v>310</v>
      </c>
      <c r="T13" s="17">
        <f t="shared" si="5"/>
        <v>36</v>
      </c>
      <c r="U13" s="17">
        <f t="shared" si="5"/>
        <v>28</v>
      </c>
      <c r="V13" s="17">
        <f t="shared" si="5"/>
        <v>104</v>
      </c>
      <c r="W13" s="17">
        <f t="shared" si="5"/>
        <v>3</v>
      </c>
      <c r="X13" s="17">
        <f t="shared" si="5"/>
        <v>0</v>
      </c>
      <c r="Y13" s="17">
        <f t="shared" si="5"/>
        <v>48</v>
      </c>
      <c r="Z13" s="17">
        <f t="shared" si="5"/>
        <v>2</v>
      </c>
      <c r="AA13" s="17">
        <f t="shared" si="5"/>
        <v>6</v>
      </c>
      <c r="AB13" s="17">
        <f t="shared" si="5"/>
        <v>23</v>
      </c>
      <c r="AC13" s="17">
        <f t="shared" si="5"/>
        <v>538</v>
      </c>
      <c r="AD13" s="17">
        <f t="shared" si="5"/>
        <v>0</v>
      </c>
      <c r="AE13" s="31">
        <f t="shared" si="5"/>
        <v>560</v>
      </c>
      <c r="AF13" s="31">
        <f t="shared" si="5"/>
        <v>1098</v>
      </c>
    </row>
    <row r="14" spans="2:32" ht="23.1" customHeight="1" x14ac:dyDescent="0.25">
      <c r="B14" s="23" t="s">
        <v>41</v>
      </c>
      <c r="C14" s="50">
        <v>73</v>
      </c>
      <c r="D14" s="50">
        <v>6</v>
      </c>
      <c r="E14" s="50">
        <v>12</v>
      </c>
      <c r="F14" s="50">
        <v>16</v>
      </c>
      <c r="G14" s="50">
        <v>0</v>
      </c>
      <c r="H14" s="50">
        <v>0</v>
      </c>
      <c r="I14" s="50">
        <v>3</v>
      </c>
      <c r="J14" s="50">
        <v>2</v>
      </c>
      <c r="K14" s="50">
        <v>4</v>
      </c>
      <c r="L14" s="50">
        <v>1</v>
      </c>
      <c r="M14" s="50">
        <v>153</v>
      </c>
      <c r="N14" s="50">
        <v>0</v>
      </c>
      <c r="O14" s="15">
        <f t="shared" si="0"/>
        <v>117</v>
      </c>
      <c r="P14" s="15">
        <f t="shared" si="1"/>
        <v>270</v>
      </c>
      <c r="R14" s="1" t="s">
        <v>10</v>
      </c>
      <c r="S14" s="17">
        <f t="shared" ref="S14:AF14" si="6">SUM(C26:C29)</f>
        <v>312</v>
      </c>
      <c r="T14" s="17">
        <f t="shared" si="6"/>
        <v>54</v>
      </c>
      <c r="U14" s="17">
        <f t="shared" si="6"/>
        <v>32</v>
      </c>
      <c r="V14" s="17">
        <f t="shared" si="6"/>
        <v>85</v>
      </c>
      <c r="W14" s="17">
        <f t="shared" si="6"/>
        <v>12</v>
      </c>
      <c r="X14" s="17">
        <f t="shared" si="6"/>
        <v>0</v>
      </c>
      <c r="Y14" s="17">
        <f t="shared" si="6"/>
        <v>37</v>
      </c>
      <c r="Z14" s="17">
        <f t="shared" si="6"/>
        <v>1</v>
      </c>
      <c r="AA14" s="17">
        <f t="shared" si="6"/>
        <v>11</v>
      </c>
      <c r="AB14" s="17">
        <f t="shared" si="6"/>
        <v>15</v>
      </c>
      <c r="AC14" s="17">
        <f t="shared" si="6"/>
        <v>664</v>
      </c>
      <c r="AD14" s="17">
        <f t="shared" si="6"/>
        <v>1</v>
      </c>
      <c r="AE14" s="31">
        <f t="shared" si="6"/>
        <v>560</v>
      </c>
      <c r="AF14" s="31">
        <f t="shared" si="6"/>
        <v>1224</v>
      </c>
    </row>
    <row r="15" spans="2:32" ht="23.1" customHeight="1" x14ac:dyDescent="0.25">
      <c r="B15" s="23" t="s">
        <v>42</v>
      </c>
      <c r="C15" s="50">
        <v>51</v>
      </c>
      <c r="D15" s="50">
        <v>8</v>
      </c>
      <c r="E15" s="50">
        <v>4</v>
      </c>
      <c r="F15" s="50">
        <v>17</v>
      </c>
      <c r="G15" s="50">
        <v>2</v>
      </c>
      <c r="H15" s="50">
        <v>0</v>
      </c>
      <c r="I15" s="50">
        <v>5</v>
      </c>
      <c r="J15" s="50">
        <v>1</v>
      </c>
      <c r="K15" s="50">
        <v>2</v>
      </c>
      <c r="L15" s="50">
        <v>4</v>
      </c>
      <c r="M15" s="50">
        <v>151</v>
      </c>
      <c r="N15" s="50">
        <v>0</v>
      </c>
      <c r="O15" s="15">
        <f t="shared" si="0"/>
        <v>94</v>
      </c>
      <c r="P15" s="15">
        <f t="shared" si="1"/>
        <v>245</v>
      </c>
      <c r="R15" s="1" t="s">
        <v>11</v>
      </c>
      <c r="S15" s="17">
        <f t="shared" ref="S15:AF15" si="7">SUM(C30:C33)</f>
        <v>387</v>
      </c>
      <c r="T15" s="17">
        <f t="shared" si="7"/>
        <v>58</v>
      </c>
      <c r="U15" s="17">
        <f t="shared" si="7"/>
        <v>46</v>
      </c>
      <c r="V15" s="17">
        <f t="shared" si="7"/>
        <v>88</v>
      </c>
      <c r="W15" s="17">
        <f t="shared" si="7"/>
        <v>6</v>
      </c>
      <c r="X15" s="17">
        <f t="shared" si="7"/>
        <v>1</v>
      </c>
      <c r="Y15" s="17">
        <f t="shared" si="7"/>
        <v>53</v>
      </c>
      <c r="Z15" s="17">
        <f t="shared" si="7"/>
        <v>2</v>
      </c>
      <c r="AA15" s="17">
        <f t="shared" si="7"/>
        <v>10</v>
      </c>
      <c r="AB15" s="17">
        <f t="shared" si="7"/>
        <v>14</v>
      </c>
      <c r="AC15" s="17">
        <f t="shared" si="7"/>
        <v>688</v>
      </c>
      <c r="AD15" s="17">
        <f t="shared" si="7"/>
        <v>0</v>
      </c>
      <c r="AE15" s="31">
        <f t="shared" si="7"/>
        <v>665</v>
      </c>
      <c r="AF15" s="31">
        <f t="shared" si="7"/>
        <v>1353</v>
      </c>
    </row>
    <row r="16" spans="2:32" ht="23.1" customHeight="1" x14ac:dyDescent="0.25">
      <c r="B16" s="23" t="s">
        <v>43</v>
      </c>
      <c r="C16" s="50">
        <v>60</v>
      </c>
      <c r="D16" s="50">
        <v>24</v>
      </c>
      <c r="E16" s="50">
        <v>11</v>
      </c>
      <c r="F16" s="50">
        <v>21</v>
      </c>
      <c r="G16" s="50">
        <v>3</v>
      </c>
      <c r="H16" s="50">
        <v>0</v>
      </c>
      <c r="I16" s="50">
        <v>11</v>
      </c>
      <c r="J16" s="50">
        <v>2</v>
      </c>
      <c r="K16" s="50">
        <v>4</v>
      </c>
      <c r="L16" s="50">
        <v>5</v>
      </c>
      <c r="M16" s="50">
        <v>125</v>
      </c>
      <c r="N16" s="50">
        <v>0</v>
      </c>
      <c r="O16" s="15">
        <f t="shared" si="0"/>
        <v>141</v>
      </c>
      <c r="P16" s="15">
        <f t="shared" si="1"/>
        <v>266</v>
      </c>
      <c r="R16" s="1" t="s">
        <v>12</v>
      </c>
      <c r="S16" s="17">
        <f t="shared" ref="S16:AF16" si="8">SUM(C34:C37)</f>
        <v>344</v>
      </c>
      <c r="T16" s="17">
        <f t="shared" si="8"/>
        <v>54</v>
      </c>
      <c r="U16" s="17">
        <f t="shared" si="8"/>
        <v>66</v>
      </c>
      <c r="V16" s="17">
        <f t="shared" si="8"/>
        <v>87</v>
      </c>
      <c r="W16" s="17">
        <f t="shared" si="8"/>
        <v>2</v>
      </c>
      <c r="X16" s="17">
        <f t="shared" si="8"/>
        <v>0</v>
      </c>
      <c r="Y16" s="17">
        <f t="shared" si="8"/>
        <v>64</v>
      </c>
      <c r="Z16" s="17">
        <f t="shared" si="8"/>
        <v>4</v>
      </c>
      <c r="AA16" s="17">
        <f t="shared" si="8"/>
        <v>15</v>
      </c>
      <c r="AB16" s="17">
        <f t="shared" si="8"/>
        <v>18</v>
      </c>
      <c r="AC16" s="17">
        <f t="shared" si="8"/>
        <v>706</v>
      </c>
      <c r="AD16" s="17">
        <f t="shared" si="8"/>
        <v>0</v>
      </c>
      <c r="AE16" s="31">
        <f t="shared" si="8"/>
        <v>654</v>
      </c>
      <c r="AF16" s="31">
        <f t="shared" si="8"/>
        <v>1360</v>
      </c>
    </row>
    <row r="17" spans="2:32" ht="23.1" customHeight="1" x14ac:dyDescent="0.25">
      <c r="B17" s="23" t="s">
        <v>44</v>
      </c>
      <c r="C17" s="50">
        <v>46</v>
      </c>
      <c r="D17" s="50">
        <v>11</v>
      </c>
      <c r="E17" s="50">
        <v>8</v>
      </c>
      <c r="F17" s="50">
        <v>15</v>
      </c>
      <c r="G17" s="50">
        <v>1</v>
      </c>
      <c r="H17" s="50">
        <v>0</v>
      </c>
      <c r="I17" s="50">
        <v>10</v>
      </c>
      <c r="J17" s="50">
        <v>4</v>
      </c>
      <c r="K17" s="50">
        <v>3</v>
      </c>
      <c r="L17" s="50">
        <v>3</v>
      </c>
      <c r="M17" s="50">
        <v>105</v>
      </c>
      <c r="N17" s="50">
        <v>0</v>
      </c>
      <c r="O17" s="15">
        <f t="shared" si="0"/>
        <v>101</v>
      </c>
      <c r="P17" s="15">
        <f t="shared" si="1"/>
        <v>206</v>
      </c>
      <c r="R17" s="1" t="s">
        <v>13</v>
      </c>
      <c r="S17" s="17">
        <f t="shared" ref="S17:AF17" si="9">SUM(C38:C41)</f>
        <v>242</v>
      </c>
      <c r="T17" s="17">
        <f t="shared" si="9"/>
        <v>30</v>
      </c>
      <c r="U17" s="17">
        <f t="shared" si="9"/>
        <v>46</v>
      </c>
      <c r="V17" s="17">
        <f t="shared" si="9"/>
        <v>60</v>
      </c>
      <c r="W17" s="17">
        <f t="shared" si="9"/>
        <v>5</v>
      </c>
      <c r="X17" s="17">
        <f t="shared" si="9"/>
        <v>1</v>
      </c>
      <c r="Y17" s="17">
        <f t="shared" si="9"/>
        <v>46</v>
      </c>
      <c r="Z17" s="17">
        <f t="shared" si="9"/>
        <v>1</v>
      </c>
      <c r="AA17" s="17">
        <f t="shared" si="9"/>
        <v>13</v>
      </c>
      <c r="AB17" s="17">
        <f t="shared" si="9"/>
        <v>8</v>
      </c>
      <c r="AC17" s="17">
        <f t="shared" si="9"/>
        <v>535</v>
      </c>
      <c r="AD17" s="17">
        <f t="shared" si="9"/>
        <v>0</v>
      </c>
      <c r="AE17" s="31">
        <f t="shared" si="9"/>
        <v>452</v>
      </c>
      <c r="AF17" s="31">
        <f t="shared" si="9"/>
        <v>987</v>
      </c>
    </row>
    <row r="18" spans="2:32" ht="23.1" customHeight="1" x14ac:dyDescent="0.25">
      <c r="B18" s="23" t="s">
        <v>45</v>
      </c>
      <c r="C18" s="50">
        <v>23</v>
      </c>
      <c r="D18" s="50">
        <v>3</v>
      </c>
      <c r="E18" s="50">
        <v>12</v>
      </c>
      <c r="F18" s="50">
        <v>19</v>
      </c>
      <c r="G18" s="50">
        <v>2</v>
      </c>
      <c r="H18" s="50">
        <v>0</v>
      </c>
      <c r="I18" s="50">
        <v>13</v>
      </c>
      <c r="J18" s="50">
        <v>0</v>
      </c>
      <c r="K18" s="50">
        <v>2</v>
      </c>
      <c r="L18" s="50">
        <v>3</v>
      </c>
      <c r="M18" s="50">
        <v>158</v>
      </c>
      <c r="N18" s="50">
        <v>0</v>
      </c>
      <c r="O18" s="15">
        <f t="shared" si="0"/>
        <v>77</v>
      </c>
      <c r="P18" s="15">
        <f t="shared" si="1"/>
        <v>235</v>
      </c>
      <c r="R18" s="1" t="s">
        <v>14</v>
      </c>
      <c r="S18" s="17">
        <f t="shared" ref="S18:AF18" si="10">SUM(C42:C45)</f>
        <v>401</v>
      </c>
      <c r="T18" s="17">
        <f t="shared" si="10"/>
        <v>49</v>
      </c>
      <c r="U18" s="17">
        <f t="shared" si="10"/>
        <v>30</v>
      </c>
      <c r="V18" s="17">
        <f t="shared" si="10"/>
        <v>104</v>
      </c>
      <c r="W18" s="17">
        <f t="shared" si="10"/>
        <v>5</v>
      </c>
      <c r="X18" s="17">
        <f t="shared" si="10"/>
        <v>1</v>
      </c>
      <c r="Y18" s="17">
        <f t="shared" si="10"/>
        <v>68</v>
      </c>
      <c r="Z18" s="17">
        <f t="shared" si="10"/>
        <v>4</v>
      </c>
      <c r="AA18" s="17">
        <f t="shared" si="10"/>
        <v>13</v>
      </c>
      <c r="AB18" s="17">
        <f t="shared" si="10"/>
        <v>17</v>
      </c>
      <c r="AC18" s="17">
        <f t="shared" si="10"/>
        <v>484</v>
      </c>
      <c r="AD18" s="17">
        <f t="shared" si="10"/>
        <v>0</v>
      </c>
      <c r="AE18" s="31">
        <f t="shared" si="10"/>
        <v>692</v>
      </c>
      <c r="AF18" s="31">
        <f t="shared" si="10"/>
        <v>1176</v>
      </c>
    </row>
    <row r="19" spans="2:32" ht="23.1" customHeight="1" x14ac:dyDescent="0.25">
      <c r="B19" s="23" t="s">
        <v>46</v>
      </c>
      <c r="C19" s="50">
        <v>53</v>
      </c>
      <c r="D19" s="50">
        <v>12</v>
      </c>
      <c r="E19" s="50">
        <v>18</v>
      </c>
      <c r="F19" s="50">
        <v>18</v>
      </c>
      <c r="G19" s="50">
        <v>4</v>
      </c>
      <c r="H19" s="50">
        <v>0</v>
      </c>
      <c r="I19" s="50">
        <v>14</v>
      </c>
      <c r="J19" s="50">
        <v>2</v>
      </c>
      <c r="K19" s="50">
        <v>2</v>
      </c>
      <c r="L19" s="50">
        <v>5</v>
      </c>
      <c r="M19" s="50">
        <v>137</v>
      </c>
      <c r="N19" s="50">
        <v>0</v>
      </c>
      <c r="O19" s="15">
        <f t="shared" si="0"/>
        <v>128</v>
      </c>
      <c r="P19" s="15">
        <f t="shared" si="1"/>
        <v>265</v>
      </c>
      <c r="R19" s="1" t="s">
        <v>15</v>
      </c>
      <c r="S19" s="17">
        <f t="shared" ref="S19:AF19" si="11">SUM(C46:C49)</f>
        <v>288</v>
      </c>
      <c r="T19" s="17">
        <f t="shared" si="11"/>
        <v>53</v>
      </c>
      <c r="U19" s="17">
        <f t="shared" si="11"/>
        <v>38</v>
      </c>
      <c r="V19" s="17">
        <f t="shared" si="11"/>
        <v>120</v>
      </c>
      <c r="W19" s="17">
        <f t="shared" si="11"/>
        <v>18</v>
      </c>
      <c r="X19" s="17">
        <f t="shared" si="11"/>
        <v>3</v>
      </c>
      <c r="Y19" s="17">
        <f t="shared" si="11"/>
        <v>63</v>
      </c>
      <c r="Z19" s="17">
        <f t="shared" si="11"/>
        <v>4</v>
      </c>
      <c r="AA19" s="17">
        <f t="shared" si="11"/>
        <v>5</v>
      </c>
      <c r="AB19" s="17">
        <f t="shared" si="11"/>
        <v>18</v>
      </c>
      <c r="AC19" s="17">
        <f t="shared" si="11"/>
        <v>603</v>
      </c>
      <c r="AD19" s="17">
        <f t="shared" si="11"/>
        <v>0</v>
      </c>
      <c r="AE19" s="31">
        <f t="shared" si="11"/>
        <v>610</v>
      </c>
      <c r="AF19" s="31">
        <f t="shared" si="11"/>
        <v>1213</v>
      </c>
    </row>
    <row r="20" spans="2:32" ht="23.1" customHeight="1" x14ac:dyDescent="0.25">
      <c r="B20" s="23" t="s">
        <v>47</v>
      </c>
      <c r="C20" s="50">
        <v>60</v>
      </c>
      <c r="D20" s="50">
        <v>11</v>
      </c>
      <c r="E20" s="50">
        <v>19</v>
      </c>
      <c r="F20" s="50">
        <v>24</v>
      </c>
      <c r="G20" s="50">
        <v>1</v>
      </c>
      <c r="H20" s="50">
        <v>0</v>
      </c>
      <c r="I20" s="50">
        <v>8</v>
      </c>
      <c r="J20" s="50">
        <v>2</v>
      </c>
      <c r="K20" s="50">
        <v>5</v>
      </c>
      <c r="L20" s="50">
        <v>3</v>
      </c>
      <c r="M20" s="50">
        <v>122</v>
      </c>
      <c r="N20" s="50">
        <v>0</v>
      </c>
      <c r="O20" s="15">
        <f t="shared" si="0"/>
        <v>133</v>
      </c>
      <c r="P20" s="15">
        <f t="shared" si="1"/>
        <v>255</v>
      </c>
      <c r="R20" s="1" t="s">
        <v>16</v>
      </c>
      <c r="S20" s="17">
        <f t="shared" ref="S20:AF20" si="12">SUM(C50:C53)</f>
        <v>336</v>
      </c>
      <c r="T20" s="17">
        <f t="shared" si="12"/>
        <v>66</v>
      </c>
      <c r="U20" s="17">
        <f t="shared" si="12"/>
        <v>49</v>
      </c>
      <c r="V20" s="17">
        <f t="shared" si="12"/>
        <v>138</v>
      </c>
      <c r="W20" s="17">
        <f t="shared" si="12"/>
        <v>18</v>
      </c>
      <c r="X20" s="17">
        <f t="shared" si="12"/>
        <v>11</v>
      </c>
      <c r="Y20" s="17">
        <f t="shared" si="12"/>
        <v>66</v>
      </c>
      <c r="Z20" s="17">
        <f t="shared" si="12"/>
        <v>3</v>
      </c>
      <c r="AA20" s="17">
        <f t="shared" si="12"/>
        <v>12</v>
      </c>
      <c r="AB20" s="17">
        <f t="shared" si="12"/>
        <v>20</v>
      </c>
      <c r="AC20" s="17">
        <f t="shared" si="12"/>
        <v>597</v>
      </c>
      <c r="AD20" s="17">
        <f t="shared" si="12"/>
        <v>0</v>
      </c>
      <c r="AE20" s="31">
        <f t="shared" si="12"/>
        <v>719</v>
      </c>
      <c r="AF20" s="31">
        <f t="shared" si="12"/>
        <v>1316</v>
      </c>
    </row>
    <row r="21" spans="2:32" ht="23.1" customHeight="1" x14ac:dyDescent="0.25">
      <c r="B21" s="23" t="s">
        <v>48</v>
      </c>
      <c r="C21" s="50">
        <v>57</v>
      </c>
      <c r="D21" s="50">
        <v>12</v>
      </c>
      <c r="E21" s="50">
        <v>15</v>
      </c>
      <c r="F21" s="50">
        <v>37</v>
      </c>
      <c r="G21" s="50">
        <v>1</v>
      </c>
      <c r="H21" s="50">
        <v>1</v>
      </c>
      <c r="I21" s="50">
        <v>25</v>
      </c>
      <c r="J21" s="50">
        <v>2</v>
      </c>
      <c r="K21" s="50">
        <v>2</v>
      </c>
      <c r="L21" s="50">
        <v>4</v>
      </c>
      <c r="M21" s="50">
        <v>152</v>
      </c>
      <c r="N21" s="50">
        <v>0</v>
      </c>
      <c r="O21" s="15">
        <f t="shared" si="0"/>
        <v>156</v>
      </c>
      <c r="P21" s="15">
        <f t="shared" si="1"/>
        <v>308</v>
      </c>
      <c r="R21" s="36" t="s">
        <v>20</v>
      </c>
      <c r="S21" s="34">
        <f t="shared" ref="S21:AF21" si="13">SUM(C54:C57)</f>
        <v>347</v>
      </c>
      <c r="T21" s="17">
        <f t="shared" si="13"/>
        <v>48</v>
      </c>
      <c r="U21" s="17">
        <f t="shared" si="13"/>
        <v>56</v>
      </c>
      <c r="V21" s="17">
        <f t="shared" si="13"/>
        <v>147</v>
      </c>
      <c r="W21" s="17">
        <f t="shared" si="13"/>
        <v>10</v>
      </c>
      <c r="X21" s="17">
        <f t="shared" si="13"/>
        <v>7</v>
      </c>
      <c r="Y21" s="17">
        <f t="shared" si="13"/>
        <v>56</v>
      </c>
      <c r="Z21" s="17">
        <f t="shared" si="13"/>
        <v>0</v>
      </c>
      <c r="AA21" s="17">
        <f t="shared" si="13"/>
        <v>10</v>
      </c>
      <c r="AB21" s="17">
        <f t="shared" si="13"/>
        <v>18</v>
      </c>
      <c r="AC21" s="17">
        <f t="shared" si="13"/>
        <v>615</v>
      </c>
      <c r="AD21" s="17">
        <f t="shared" si="13"/>
        <v>0</v>
      </c>
      <c r="AE21" s="31">
        <f t="shared" si="13"/>
        <v>699</v>
      </c>
      <c r="AF21" s="31">
        <f t="shared" si="13"/>
        <v>1314</v>
      </c>
    </row>
    <row r="22" spans="2:32" ht="23.1" customHeight="1" x14ac:dyDescent="0.25">
      <c r="B22" s="23" t="s">
        <v>49</v>
      </c>
      <c r="C22" s="50">
        <v>73</v>
      </c>
      <c r="D22" s="50">
        <v>6</v>
      </c>
      <c r="E22" s="50">
        <v>3</v>
      </c>
      <c r="F22" s="50">
        <v>23</v>
      </c>
      <c r="G22" s="50">
        <v>2</v>
      </c>
      <c r="H22" s="50">
        <v>0</v>
      </c>
      <c r="I22" s="50">
        <v>10</v>
      </c>
      <c r="J22" s="50">
        <v>2</v>
      </c>
      <c r="K22" s="50">
        <v>2</v>
      </c>
      <c r="L22" s="50">
        <v>7</v>
      </c>
      <c r="M22" s="50">
        <v>111</v>
      </c>
      <c r="N22" s="50">
        <v>0</v>
      </c>
      <c r="O22" s="15">
        <f t="shared" si="0"/>
        <v>128</v>
      </c>
      <c r="P22" s="15">
        <f t="shared" si="1"/>
        <v>239</v>
      </c>
      <c r="R22" s="38" t="s">
        <v>90</v>
      </c>
      <c r="S22" s="39">
        <f>MAX(S10:S12)</f>
        <v>230</v>
      </c>
      <c r="T22" s="39">
        <f t="shared" ref="T22:AF22" si="14">MAX(T10:T12)</f>
        <v>49</v>
      </c>
      <c r="U22" s="39">
        <f t="shared" si="14"/>
        <v>64</v>
      </c>
      <c r="V22" s="39">
        <f t="shared" si="14"/>
        <v>144</v>
      </c>
      <c r="W22" s="39">
        <f t="shared" si="14"/>
        <v>8</v>
      </c>
      <c r="X22" s="39">
        <f t="shared" si="14"/>
        <v>2</v>
      </c>
      <c r="Y22" s="39">
        <f t="shared" si="14"/>
        <v>60</v>
      </c>
      <c r="Z22" s="39">
        <f t="shared" si="14"/>
        <v>20</v>
      </c>
      <c r="AA22" s="39">
        <f t="shared" si="14"/>
        <v>13</v>
      </c>
      <c r="AB22" s="39">
        <f t="shared" si="14"/>
        <v>19</v>
      </c>
      <c r="AC22" s="39">
        <f t="shared" si="14"/>
        <v>569</v>
      </c>
      <c r="AD22" s="39">
        <f t="shared" si="14"/>
        <v>0</v>
      </c>
      <c r="AE22" s="40">
        <f t="shared" si="14"/>
        <v>494</v>
      </c>
      <c r="AF22" s="40">
        <f t="shared" si="14"/>
        <v>1063</v>
      </c>
    </row>
    <row r="23" spans="2:32" ht="23.1" customHeight="1" x14ac:dyDescent="0.25">
      <c r="B23" s="23" t="s">
        <v>50</v>
      </c>
      <c r="C23" s="50">
        <v>60</v>
      </c>
      <c r="D23" s="50">
        <v>9</v>
      </c>
      <c r="E23" s="50">
        <v>12</v>
      </c>
      <c r="F23" s="50">
        <v>19</v>
      </c>
      <c r="G23" s="50">
        <v>1</v>
      </c>
      <c r="H23" s="50">
        <v>0</v>
      </c>
      <c r="I23" s="50">
        <v>17</v>
      </c>
      <c r="J23" s="50">
        <v>0</v>
      </c>
      <c r="K23" s="50">
        <v>1</v>
      </c>
      <c r="L23" s="50">
        <v>6</v>
      </c>
      <c r="M23" s="50">
        <v>166</v>
      </c>
      <c r="N23" s="50">
        <v>0</v>
      </c>
      <c r="O23" s="15">
        <f t="shared" si="0"/>
        <v>125</v>
      </c>
      <c r="P23" s="15">
        <f t="shared" si="1"/>
        <v>291</v>
      </c>
      <c r="R23" s="38" t="s">
        <v>91</v>
      </c>
      <c r="S23" s="39">
        <f>MAX(S13:S18)</f>
        <v>401</v>
      </c>
      <c r="T23" s="39">
        <f t="shared" ref="T23:AF23" si="15">MAX(T13:T18)</f>
        <v>58</v>
      </c>
      <c r="U23" s="39">
        <f t="shared" si="15"/>
        <v>66</v>
      </c>
      <c r="V23" s="39">
        <f t="shared" si="15"/>
        <v>104</v>
      </c>
      <c r="W23" s="39">
        <f t="shared" si="15"/>
        <v>12</v>
      </c>
      <c r="X23" s="39">
        <f t="shared" si="15"/>
        <v>1</v>
      </c>
      <c r="Y23" s="39">
        <f t="shared" si="15"/>
        <v>68</v>
      </c>
      <c r="Z23" s="39">
        <f t="shared" si="15"/>
        <v>4</v>
      </c>
      <c r="AA23" s="39">
        <f t="shared" si="15"/>
        <v>15</v>
      </c>
      <c r="AB23" s="39">
        <f t="shared" si="15"/>
        <v>23</v>
      </c>
      <c r="AC23" s="39">
        <f t="shared" si="15"/>
        <v>706</v>
      </c>
      <c r="AD23" s="39">
        <f t="shared" si="15"/>
        <v>1</v>
      </c>
      <c r="AE23" s="40">
        <f t="shared" si="15"/>
        <v>692</v>
      </c>
      <c r="AF23" s="40">
        <f t="shared" si="15"/>
        <v>1360</v>
      </c>
    </row>
    <row r="24" spans="2:32" ht="23.1" customHeight="1" x14ac:dyDescent="0.25">
      <c r="B24" s="23" t="s">
        <v>51</v>
      </c>
      <c r="C24" s="50">
        <v>72</v>
      </c>
      <c r="D24" s="50">
        <v>12</v>
      </c>
      <c r="E24" s="50">
        <v>8</v>
      </c>
      <c r="F24" s="50">
        <v>35</v>
      </c>
      <c r="G24" s="50">
        <v>0</v>
      </c>
      <c r="H24" s="50">
        <v>0</v>
      </c>
      <c r="I24" s="50">
        <v>7</v>
      </c>
      <c r="J24" s="50">
        <v>0</v>
      </c>
      <c r="K24" s="50">
        <v>2</v>
      </c>
      <c r="L24" s="50">
        <v>3</v>
      </c>
      <c r="M24" s="50">
        <v>108</v>
      </c>
      <c r="N24" s="50">
        <v>0</v>
      </c>
      <c r="O24" s="15">
        <f t="shared" si="0"/>
        <v>139</v>
      </c>
      <c r="P24" s="15">
        <f t="shared" si="1"/>
        <v>247</v>
      </c>
      <c r="R24" s="38" t="s">
        <v>92</v>
      </c>
      <c r="S24" s="39">
        <f>MAX(S19:S21)</f>
        <v>347</v>
      </c>
      <c r="T24" s="39">
        <f t="shared" ref="T24:AF24" si="16">MAX(T19:T21)</f>
        <v>66</v>
      </c>
      <c r="U24" s="39">
        <f t="shared" si="16"/>
        <v>56</v>
      </c>
      <c r="V24" s="39">
        <f t="shared" si="16"/>
        <v>147</v>
      </c>
      <c r="W24" s="39">
        <f t="shared" si="16"/>
        <v>18</v>
      </c>
      <c r="X24" s="39">
        <f t="shared" si="16"/>
        <v>11</v>
      </c>
      <c r="Y24" s="39">
        <f t="shared" si="16"/>
        <v>66</v>
      </c>
      <c r="Z24" s="39">
        <f t="shared" si="16"/>
        <v>4</v>
      </c>
      <c r="AA24" s="39">
        <f t="shared" si="16"/>
        <v>12</v>
      </c>
      <c r="AB24" s="39">
        <f t="shared" si="16"/>
        <v>20</v>
      </c>
      <c r="AC24" s="39">
        <f t="shared" si="16"/>
        <v>615</v>
      </c>
      <c r="AD24" s="39">
        <f t="shared" si="16"/>
        <v>0</v>
      </c>
      <c r="AE24" s="40">
        <f t="shared" si="16"/>
        <v>719</v>
      </c>
      <c r="AF24" s="40">
        <f t="shared" si="16"/>
        <v>1316</v>
      </c>
    </row>
    <row r="25" spans="2:32" ht="23.1" customHeight="1" x14ac:dyDescent="0.25">
      <c r="B25" s="23" t="s">
        <v>52</v>
      </c>
      <c r="C25" s="50">
        <v>105</v>
      </c>
      <c r="D25" s="50">
        <v>9</v>
      </c>
      <c r="E25" s="50">
        <v>5</v>
      </c>
      <c r="F25" s="50">
        <v>27</v>
      </c>
      <c r="G25" s="50">
        <v>0</v>
      </c>
      <c r="H25" s="50">
        <v>0</v>
      </c>
      <c r="I25" s="50">
        <v>14</v>
      </c>
      <c r="J25" s="50">
        <v>0</v>
      </c>
      <c r="K25" s="50">
        <v>1</v>
      </c>
      <c r="L25" s="50">
        <v>7</v>
      </c>
      <c r="M25" s="50">
        <v>153</v>
      </c>
      <c r="N25" s="50">
        <v>0</v>
      </c>
      <c r="O25" s="15">
        <f t="shared" si="0"/>
        <v>168</v>
      </c>
      <c r="P25" s="15">
        <f t="shared" si="1"/>
        <v>321</v>
      </c>
      <c r="R25" s="37" t="s">
        <v>85</v>
      </c>
      <c r="S25" s="35">
        <f t="shared" ref="S25:AF25" si="17">SUM(S10:S12)</f>
        <v>572</v>
      </c>
      <c r="T25" s="16">
        <f t="shared" si="17"/>
        <v>114</v>
      </c>
      <c r="U25" s="16">
        <f t="shared" si="17"/>
        <v>123</v>
      </c>
      <c r="V25" s="16">
        <f t="shared" si="17"/>
        <v>311</v>
      </c>
      <c r="W25" s="16">
        <f t="shared" si="17"/>
        <v>21</v>
      </c>
      <c r="X25" s="16">
        <f t="shared" si="17"/>
        <v>3</v>
      </c>
      <c r="Y25" s="16">
        <f t="shared" si="17"/>
        <v>118</v>
      </c>
      <c r="Z25" s="16">
        <f t="shared" si="17"/>
        <v>35</v>
      </c>
      <c r="AA25" s="16">
        <f t="shared" si="17"/>
        <v>35</v>
      </c>
      <c r="AB25" s="16">
        <f t="shared" si="17"/>
        <v>47</v>
      </c>
      <c r="AC25" s="16">
        <f t="shared" si="17"/>
        <v>1599</v>
      </c>
      <c r="AD25" s="16">
        <f t="shared" si="17"/>
        <v>0</v>
      </c>
      <c r="AE25" s="32">
        <f t="shared" si="17"/>
        <v>1379</v>
      </c>
      <c r="AF25" s="32">
        <f t="shared" si="17"/>
        <v>2978</v>
      </c>
    </row>
    <row r="26" spans="2:32" ht="23.1" customHeight="1" x14ac:dyDescent="0.25">
      <c r="B26" s="23" t="s">
        <v>53</v>
      </c>
      <c r="C26" s="50">
        <v>77</v>
      </c>
      <c r="D26" s="50">
        <v>7</v>
      </c>
      <c r="E26" s="50">
        <v>4</v>
      </c>
      <c r="F26" s="50">
        <v>25</v>
      </c>
      <c r="G26" s="50">
        <v>9</v>
      </c>
      <c r="H26" s="50">
        <v>0</v>
      </c>
      <c r="I26" s="50">
        <v>11</v>
      </c>
      <c r="J26" s="50">
        <v>1</v>
      </c>
      <c r="K26" s="50">
        <v>3</v>
      </c>
      <c r="L26" s="50">
        <v>3</v>
      </c>
      <c r="M26" s="50">
        <v>136</v>
      </c>
      <c r="N26" s="50">
        <v>1</v>
      </c>
      <c r="O26" s="15">
        <f t="shared" si="0"/>
        <v>141</v>
      </c>
      <c r="P26" s="15">
        <f t="shared" si="1"/>
        <v>277</v>
      </c>
      <c r="R26" s="28" t="s">
        <v>86</v>
      </c>
      <c r="S26" s="16">
        <f t="shared" ref="S26:AF26" si="18">SUM(S13:S18)</f>
        <v>1996</v>
      </c>
      <c r="T26" s="16">
        <f t="shared" si="18"/>
        <v>281</v>
      </c>
      <c r="U26" s="16">
        <f t="shared" si="18"/>
        <v>248</v>
      </c>
      <c r="V26" s="16">
        <f t="shared" si="18"/>
        <v>528</v>
      </c>
      <c r="W26" s="16">
        <f t="shared" si="18"/>
        <v>33</v>
      </c>
      <c r="X26" s="16">
        <f t="shared" si="18"/>
        <v>3</v>
      </c>
      <c r="Y26" s="16">
        <f t="shared" si="18"/>
        <v>316</v>
      </c>
      <c r="Z26" s="16">
        <f t="shared" si="18"/>
        <v>14</v>
      </c>
      <c r="AA26" s="16">
        <f t="shared" si="18"/>
        <v>68</v>
      </c>
      <c r="AB26" s="16">
        <f t="shared" si="18"/>
        <v>95</v>
      </c>
      <c r="AC26" s="16">
        <f t="shared" si="18"/>
        <v>3615</v>
      </c>
      <c r="AD26" s="16">
        <f t="shared" si="18"/>
        <v>1</v>
      </c>
      <c r="AE26" s="32">
        <f t="shared" si="18"/>
        <v>3583</v>
      </c>
      <c r="AF26" s="32">
        <f t="shared" si="18"/>
        <v>7198</v>
      </c>
    </row>
    <row r="27" spans="2:32" ht="23.1" customHeight="1" x14ac:dyDescent="0.25">
      <c r="B27" s="23" t="s">
        <v>54</v>
      </c>
      <c r="C27" s="50">
        <v>89</v>
      </c>
      <c r="D27" s="50">
        <v>16</v>
      </c>
      <c r="E27" s="50">
        <v>8</v>
      </c>
      <c r="F27" s="50">
        <v>24</v>
      </c>
      <c r="G27" s="50">
        <v>3</v>
      </c>
      <c r="H27" s="50">
        <v>0</v>
      </c>
      <c r="I27" s="50">
        <v>8</v>
      </c>
      <c r="J27" s="50">
        <v>0</v>
      </c>
      <c r="K27" s="50">
        <v>4</v>
      </c>
      <c r="L27" s="50">
        <v>2</v>
      </c>
      <c r="M27" s="50">
        <v>142</v>
      </c>
      <c r="N27" s="50">
        <v>0</v>
      </c>
      <c r="O27" s="15">
        <f t="shared" si="0"/>
        <v>154</v>
      </c>
      <c r="P27" s="15">
        <f t="shared" si="1"/>
        <v>296</v>
      </c>
      <c r="R27" s="29" t="s">
        <v>87</v>
      </c>
      <c r="S27" s="16">
        <f t="shared" ref="S27:AF27" si="19">SUM(S19:S21)</f>
        <v>971</v>
      </c>
      <c r="T27" s="16">
        <f t="shared" si="19"/>
        <v>167</v>
      </c>
      <c r="U27" s="16">
        <f t="shared" si="19"/>
        <v>143</v>
      </c>
      <c r="V27" s="16">
        <f t="shared" si="19"/>
        <v>405</v>
      </c>
      <c r="W27" s="16">
        <f t="shared" si="19"/>
        <v>46</v>
      </c>
      <c r="X27" s="16">
        <f t="shared" si="19"/>
        <v>21</v>
      </c>
      <c r="Y27" s="16">
        <f t="shared" si="19"/>
        <v>185</v>
      </c>
      <c r="Z27" s="16">
        <f t="shared" si="19"/>
        <v>7</v>
      </c>
      <c r="AA27" s="16">
        <f t="shared" si="19"/>
        <v>27</v>
      </c>
      <c r="AB27" s="16">
        <f t="shared" si="19"/>
        <v>56</v>
      </c>
      <c r="AC27" s="16">
        <f t="shared" si="19"/>
        <v>1815</v>
      </c>
      <c r="AD27" s="16">
        <f t="shared" si="19"/>
        <v>0</v>
      </c>
      <c r="AE27" s="32">
        <f t="shared" si="19"/>
        <v>2028</v>
      </c>
      <c r="AF27" s="32">
        <f t="shared" si="19"/>
        <v>3843</v>
      </c>
    </row>
    <row r="28" spans="2:32" ht="23.1" customHeight="1" x14ac:dyDescent="0.25">
      <c r="B28" s="23" t="s">
        <v>55</v>
      </c>
      <c r="C28" s="50">
        <v>70</v>
      </c>
      <c r="D28" s="50">
        <v>17</v>
      </c>
      <c r="E28" s="50">
        <v>9</v>
      </c>
      <c r="F28" s="50">
        <v>16</v>
      </c>
      <c r="G28" s="50">
        <v>0</v>
      </c>
      <c r="H28" s="50">
        <v>0</v>
      </c>
      <c r="I28" s="50">
        <v>6</v>
      </c>
      <c r="J28" s="50">
        <v>0</v>
      </c>
      <c r="K28" s="50">
        <v>1</v>
      </c>
      <c r="L28" s="50">
        <v>2</v>
      </c>
      <c r="M28" s="50">
        <v>164</v>
      </c>
      <c r="N28" s="50">
        <v>0</v>
      </c>
      <c r="O28" s="15">
        <f t="shared" si="0"/>
        <v>121</v>
      </c>
      <c r="P28" s="15">
        <f t="shared" si="1"/>
        <v>285</v>
      </c>
      <c r="R28" s="5" t="s">
        <v>17</v>
      </c>
      <c r="S28" s="16">
        <f t="shared" ref="S28:AF28" si="20">SUM(S10:S21)</f>
        <v>3539</v>
      </c>
      <c r="T28" s="16">
        <f t="shared" si="20"/>
        <v>562</v>
      </c>
      <c r="U28" s="16">
        <f t="shared" si="20"/>
        <v>514</v>
      </c>
      <c r="V28" s="16">
        <f t="shared" si="20"/>
        <v>1244</v>
      </c>
      <c r="W28" s="16">
        <f t="shared" si="20"/>
        <v>100</v>
      </c>
      <c r="X28" s="16">
        <f t="shared" si="20"/>
        <v>27</v>
      </c>
      <c r="Y28" s="16">
        <f t="shared" si="20"/>
        <v>619</v>
      </c>
      <c r="Z28" s="16">
        <f t="shared" si="20"/>
        <v>56</v>
      </c>
      <c r="AA28" s="16">
        <f t="shared" si="20"/>
        <v>130</v>
      </c>
      <c r="AB28" s="16">
        <f t="shared" si="20"/>
        <v>198</v>
      </c>
      <c r="AC28" s="16">
        <f t="shared" si="20"/>
        <v>7029</v>
      </c>
      <c r="AD28" s="16">
        <f t="shared" si="20"/>
        <v>1</v>
      </c>
      <c r="AE28" s="32">
        <f t="shared" si="20"/>
        <v>6990</v>
      </c>
      <c r="AF28" s="32">
        <f t="shared" si="20"/>
        <v>14019</v>
      </c>
    </row>
    <row r="29" spans="2:32" ht="23.1" customHeight="1" x14ac:dyDescent="0.25">
      <c r="B29" s="23" t="s">
        <v>56</v>
      </c>
      <c r="C29" s="50">
        <v>76</v>
      </c>
      <c r="D29" s="50">
        <v>14</v>
      </c>
      <c r="E29" s="50">
        <v>11</v>
      </c>
      <c r="F29" s="50">
        <v>20</v>
      </c>
      <c r="G29" s="50">
        <v>0</v>
      </c>
      <c r="H29" s="50">
        <v>0</v>
      </c>
      <c r="I29" s="50">
        <v>12</v>
      </c>
      <c r="J29" s="50">
        <v>0</v>
      </c>
      <c r="K29" s="50">
        <v>3</v>
      </c>
      <c r="L29" s="50">
        <v>8</v>
      </c>
      <c r="M29" s="50">
        <v>222</v>
      </c>
      <c r="N29" s="50">
        <v>0</v>
      </c>
      <c r="O29" s="15">
        <f t="shared" si="0"/>
        <v>144</v>
      </c>
      <c r="P29" s="15">
        <f t="shared" si="1"/>
        <v>366</v>
      </c>
      <c r="R29"/>
      <c r="S29" s="20"/>
      <c r="T29" s="19"/>
    </row>
    <row r="30" spans="2:32" ht="23.1" customHeight="1" x14ac:dyDescent="0.25">
      <c r="B30" s="23" t="s">
        <v>57</v>
      </c>
      <c r="C30" s="50">
        <v>70</v>
      </c>
      <c r="D30" s="50">
        <v>14</v>
      </c>
      <c r="E30" s="50">
        <v>10</v>
      </c>
      <c r="F30" s="50">
        <v>19</v>
      </c>
      <c r="G30" s="50">
        <v>1</v>
      </c>
      <c r="H30" s="50">
        <v>0</v>
      </c>
      <c r="I30" s="50">
        <v>14</v>
      </c>
      <c r="J30" s="50">
        <v>1</v>
      </c>
      <c r="K30" s="50">
        <v>2</v>
      </c>
      <c r="L30" s="50">
        <v>7</v>
      </c>
      <c r="M30" s="50">
        <v>155</v>
      </c>
      <c r="N30" s="50">
        <v>0</v>
      </c>
      <c r="O30" s="15">
        <f t="shared" si="0"/>
        <v>138</v>
      </c>
      <c r="P30" s="15">
        <f t="shared" si="1"/>
        <v>293</v>
      </c>
    </row>
    <row r="31" spans="2:32" ht="23.1" customHeight="1" x14ac:dyDescent="0.25">
      <c r="B31" s="24" t="s">
        <v>58</v>
      </c>
      <c r="C31" s="50">
        <v>90</v>
      </c>
      <c r="D31" s="50">
        <v>17</v>
      </c>
      <c r="E31" s="50">
        <v>15</v>
      </c>
      <c r="F31" s="50">
        <v>29</v>
      </c>
      <c r="G31" s="50">
        <v>3</v>
      </c>
      <c r="H31" s="50">
        <v>1</v>
      </c>
      <c r="I31" s="50">
        <v>12</v>
      </c>
      <c r="J31" s="50">
        <v>0</v>
      </c>
      <c r="K31" s="50">
        <v>2</v>
      </c>
      <c r="L31" s="50">
        <v>4</v>
      </c>
      <c r="M31" s="50">
        <v>185</v>
      </c>
      <c r="N31" s="50">
        <v>0</v>
      </c>
      <c r="O31" s="15">
        <f t="shared" si="0"/>
        <v>173</v>
      </c>
      <c r="P31" s="15">
        <f t="shared" si="1"/>
        <v>358</v>
      </c>
    </row>
    <row r="32" spans="2:32" ht="23.1" customHeight="1" x14ac:dyDescent="0.25">
      <c r="B32" s="24" t="s">
        <v>59</v>
      </c>
      <c r="C32" s="50">
        <v>120</v>
      </c>
      <c r="D32" s="50">
        <v>14</v>
      </c>
      <c r="E32" s="50">
        <v>16</v>
      </c>
      <c r="F32" s="50">
        <v>23</v>
      </c>
      <c r="G32" s="50">
        <v>1</v>
      </c>
      <c r="H32" s="50">
        <v>0</v>
      </c>
      <c r="I32" s="50">
        <v>20</v>
      </c>
      <c r="J32" s="50">
        <v>1</v>
      </c>
      <c r="K32" s="50">
        <v>2</v>
      </c>
      <c r="L32" s="50">
        <v>1</v>
      </c>
      <c r="M32" s="50">
        <v>173</v>
      </c>
      <c r="N32" s="50">
        <v>0</v>
      </c>
      <c r="O32" s="15">
        <f t="shared" si="0"/>
        <v>198</v>
      </c>
      <c r="P32" s="15">
        <f t="shared" si="1"/>
        <v>371</v>
      </c>
    </row>
    <row r="33" spans="2:20" ht="23.1" customHeight="1" x14ac:dyDescent="0.25">
      <c r="B33" s="23" t="s">
        <v>60</v>
      </c>
      <c r="C33" s="50">
        <v>107</v>
      </c>
      <c r="D33" s="50">
        <v>13</v>
      </c>
      <c r="E33" s="50">
        <v>5</v>
      </c>
      <c r="F33" s="50">
        <v>17</v>
      </c>
      <c r="G33" s="50">
        <v>1</v>
      </c>
      <c r="H33" s="50">
        <v>0</v>
      </c>
      <c r="I33" s="50">
        <v>7</v>
      </c>
      <c r="J33" s="50">
        <v>0</v>
      </c>
      <c r="K33" s="50">
        <v>4</v>
      </c>
      <c r="L33" s="50">
        <v>2</v>
      </c>
      <c r="M33" s="50">
        <v>175</v>
      </c>
      <c r="N33" s="50">
        <v>0</v>
      </c>
      <c r="O33" s="15">
        <f t="shared" si="0"/>
        <v>156</v>
      </c>
      <c r="P33" s="15">
        <f t="shared" si="1"/>
        <v>331</v>
      </c>
    </row>
    <row r="34" spans="2:20" ht="23.1" customHeight="1" x14ac:dyDescent="0.25">
      <c r="B34" s="24" t="s">
        <v>61</v>
      </c>
      <c r="C34" s="50">
        <v>92</v>
      </c>
      <c r="D34" s="50">
        <v>12</v>
      </c>
      <c r="E34" s="50">
        <v>17</v>
      </c>
      <c r="F34" s="50">
        <v>20</v>
      </c>
      <c r="G34" s="50">
        <v>0</v>
      </c>
      <c r="H34" s="50">
        <v>0</v>
      </c>
      <c r="I34" s="50">
        <v>16</v>
      </c>
      <c r="J34" s="50">
        <v>1</v>
      </c>
      <c r="K34" s="50">
        <v>2</v>
      </c>
      <c r="L34" s="50">
        <v>4</v>
      </c>
      <c r="M34" s="50">
        <v>186</v>
      </c>
      <c r="N34" s="50">
        <v>0</v>
      </c>
      <c r="O34" s="15">
        <f t="shared" si="0"/>
        <v>164</v>
      </c>
      <c r="P34" s="15">
        <f t="shared" si="1"/>
        <v>350</v>
      </c>
    </row>
    <row r="35" spans="2:20" ht="23.1" customHeight="1" x14ac:dyDescent="0.25">
      <c r="B35" s="24" t="s">
        <v>62</v>
      </c>
      <c r="C35" s="50">
        <v>80</v>
      </c>
      <c r="D35" s="50">
        <v>13</v>
      </c>
      <c r="E35" s="50">
        <v>21</v>
      </c>
      <c r="F35" s="50">
        <v>26</v>
      </c>
      <c r="G35" s="50">
        <v>2</v>
      </c>
      <c r="H35" s="50">
        <v>0</v>
      </c>
      <c r="I35" s="50">
        <v>18</v>
      </c>
      <c r="J35" s="50">
        <v>2</v>
      </c>
      <c r="K35" s="50">
        <v>4</v>
      </c>
      <c r="L35" s="50">
        <v>5</v>
      </c>
      <c r="M35" s="50">
        <v>170</v>
      </c>
      <c r="N35" s="50">
        <v>0</v>
      </c>
      <c r="O35" s="15">
        <f t="shared" si="0"/>
        <v>171</v>
      </c>
      <c r="P35" s="15">
        <f t="shared" si="1"/>
        <v>341</v>
      </c>
    </row>
    <row r="36" spans="2:20" ht="23.1" customHeight="1" x14ac:dyDescent="0.25">
      <c r="B36" s="24" t="s">
        <v>63</v>
      </c>
      <c r="C36" s="50">
        <v>98</v>
      </c>
      <c r="D36" s="50">
        <v>14</v>
      </c>
      <c r="E36" s="50">
        <v>9</v>
      </c>
      <c r="F36" s="50">
        <v>14</v>
      </c>
      <c r="G36" s="50">
        <v>0</v>
      </c>
      <c r="H36" s="50">
        <v>0</v>
      </c>
      <c r="I36" s="50">
        <v>13</v>
      </c>
      <c r="J36" s="50">
        <v>1</v>
      </c>
      <c r="K36" s="50">
        <v>6</v>
      </c>
      <c r="L36" s="50">
        <v>4</v>
      </c>
      <c r="M36" s="50">
        <v>185</v>
      </c>
      <c r="N36" s="50">
        <v>0</v>
      </c>
      <c r="O36" s="15">
        <f t="shared" si="0"/>
        <v>159</v>
      </c>
      <c r="P36" s="15">
        <f t="shared" si="1"/>
        <v>344</v>
      </c>
    </row>
    <row r="37" spans="2:20" ht="23.1" customHeight="1" x14ac:dyDescent="0.25">
      <c r="B37" s="23" t="s">
        <v>64</v>
      </c>
      <c r="C37" s="50">
        <v>74</v>
      </c>
      <c r="D37" s="50">
        <v>15</v>
      </c>
      <c r="E37" s="50">
        <v>19</v>
      </c>
      <c r="F37" s="50">
        <v>27</v>
      </c>
      <c r="G37" s="50">
        <v>0</v>
      </c>
      <c r="H37" s="50">
        <v>0</v>
      </c>
      <c r="I37" s="50">
        <v>17</v>
      </c>
      <c r="J37" s="50">
        <v>0</v>
      </c>
      <c r="K37" s="50">
        <v>3</v>
      </c>
      <c r="L37" s="50">
        <v>5</v>
      </c>
      <c r="M37" s="50">
        <v>165</v>
      </c>
      <c r="N37" s="50">
        <v>0</v>
      </c>
      <c r="O37" s="15">
        <f t="shared" si="0"/>
        <v>160</v>
      </c>
      <c r="P37" s="15">
        <f t="shared" si="1"/>
        <v>325</v>
      </c>
    </row>
    <row r="38" spans="2:20" ht="23.1" customHeight="1" x14ac:dyDescent="0.25">
      <c r="B38" s="24" t="s">
        <v>65</v>
      </c>
      <c r="C38" s="50">
        <v>85</v>
      </c>
      <c r="D38" s="50">
        <v>7</v>
      </c>
      <c r="E38" s="50">
        <v>9</v>
      </c>
      <c r="F38" s="50">
        <v>11</v>
      </c>
      <c r="G38" s="50">
        <v>0</v>
      </c>
      <c r="H38" s="50">
        <v>0</v>
      </c>
      <c r="I38" s="50">
        <v>13</v>
      </c>
      <c r="J38" s="50">
        <v>1</v>
      </c>
      <c r="K38" s="50">
        <v>6</v>
      </c>
      <c r="L38" s="50">
        <v>3</v>
      </c>
      <c r="M38" s="50">
        <v>195</v>
      </c>
      <c r="N38" s="50">
        <v>0</v>
      </c>
      <c r="O38" s="15">
        <f t="shared" si="0"/>
        <v>135</v>
      </c>
      <c r="P38" s="15">
        <f t="shared" si="1"/>
        <v>330</v>
      </c>
    </row>
    <row r="39" spans="2:20" ht="23.1" customHeight="1" x14ac:dyDescent="0.25">
      <c r="B39" s="24" t="s">
        <v>66</v>
      </c>
      <c r="C39" s="50">
        <v>55</v>
      </c>
      <c r="D39" s="50">
        <v>9</v>
      </c>
      <c r="E39" s="50">
        <v>15</v>
      </c>
      <c r="F39" s="50">
        <v>20</v>
      </c>
      <c r="G39" s="50">
        <v>0</v>
      </c>
      <c r="H39" s="50">
        <v>0</v>
      </c>
      <c r="I39" s="50">
        <v>9</v>
      </c>
      <c r="J39" s="50">
        <v>0</v>
      </c>
      <c r="K39" s="50">
        <v>2</v>
      </c>
      <c r="L39" s="50">
        <v>2</v>
      </c>
      <c r="M39" s="50">
        <v>160</v>
      </c>
      <c r="N39" s="50">
        <v>0</v>
      </c>
      <c r="O39" s="15">
        <f t="shared" si="0"/>
        <v>112</v>
      </c>
      <c r="P39" s="15">
        <f t="shared" si="1"/>
        <v>272</v>
      </c>
    </row>
    <row r="40" spans="2:20" ht="23.1" customHeight="1" x14ac:dyDescent="0.25">
      <c r="B40" s="24" t="s">
        <v>67</v>
      </c>
      <c r="C40" s="50">
        <v>61</v>
      </c>
      <c r="D40" s="50">
        <v>6</v>
      </c>
      <c r="E40" s="50">
        <v>12</v>
      </c>
      <c r="F40" s="50">
        <v>18</v>
      </c>
      <c r="G40" s="50">
        <v>0</v>
      </c>
      <c r="H40" s="50">
        <v>0</v>
      </c>
      <c r="I40" s="50">
        <v>16</v>
      </c>
      <c r="J40" s="50">
        <v>0</v>
      </c>
      <c r="K40" s="50">
        <v>2</v>
      </c>
      <c r="L40" s="50">
        <v>1</v>
      </c>
      <c r="M40" s="50">
        <v>100</v>
      </c>
      <c r="N40" s="50">
        <v>0</v>
      </c>
      <c r="O40" s="15">
        <f t="shared" si="0"/>
        <v>116</v>
      </c>
      <c r="P40" s="15">
        <f t="shared" si="1"/>
        <v>216</v>
      </c>
    </row>
    <row r="41" spans="2:20" ht="23.1" customHeight="1" x14ac:dyDescent="0.25">
      <c r="B41" s="23" t="s">
        <v>68</v>
      </c>
      <c r="C41" s="50">
        <v>41</v>
      </c>
      <c r="D41" s="50">
        <v>8</v>
      </c>
      <c r="E41" s="50">
        <v>10</v>
      </c>
      <c r="F41" s="50">
        <v>11</v>
      </c>
      <c r="G41" s="50">
        <v>5</v>
      </c>
      <c r="H41" s="50">
        <v>1</v>
      </c>
      <c r="I41" s="50">
        <v>8</v>
      </c>
      <c r="J41" s="50">
        <v>0</v>
      </c>
      <c r="K41" s="50">
        <v>3</v>
      </c>
      <c r="L41" s="50">
        <v>2</v>
      </c>
      <c r="M41" s="50">
        <v>80</v>
      </c>
      <c r="N41" s="50">
        <v>0</v>
      </c>
      <c r="O41" s="15">
        <f t="shared" si="0"/>
        <v>89</v>
      </c>
      <c r="P41" s="15">
        <f t="shared" si="1"/>
        <v>169</v>
      </c>
    </row>
    <row r="42" spans="2:20" ht="23.1" customHeight="1" x14ac:dyDescent="0.25">
      <c r="B42" s="24" t="s">
        <v>69</v>
      </c>
      <c r="C42" s="50">
        <v>90</v>
      </c>
      <c r="D42" s="50">
        <v>6</v>
      </c>
      <c r="E42" s="50">
        <v>5</v>
      </c>
      <c r="F42" s="50">
        <v>23</v>
      </c>
      <c r="G42" s="50">
        <v>0</v>
      </c>
      <c r="H42" s="50">
        <v>0</v>
      </c>
      <c r="I42" s="50">
        <v>23</v>
      </c>
      <c r="J42" s="50">
        <v>0</v>
      </c>
      <c r="K42" s="50">
        <v>5</v>
      </c>
      <c r="L42" s="50">
        <v>5</v>
      </c>
      <c r="M42" s="50">
        <v>150</v>
      </c>
      <c r="N42" s="50">
        <v>0</v>
      </c>
      <c r="O42" s="15">
        <f t="shared" si="0"/>
        <v>157</v>
      </c>
      <c r="P42" s="15">
        <f t="shared" si="1"/>
        <v>307</v>
      </c>
    </row>
    <row r="43" spans="2:20" ht="23.1" customHeight="1" x14ac:dyDescent="0.25">
      <c r="B43" s="23" t="s">
        <v>70</v>
      </c>
      <c r="C43" s="50">
        <v>90</v>
      </c>
      <c r="D43" s="50">
        <v>16</v>
      </c>
      <c r="E43" s="50">
        <v>12</v>
      </c>
      <c r="F43" s="50">
        <v>32</v>
      </c>
      <c r="G43" s="50">
        <v>1</v>
      </c>
      <c r="H43" s="50">
        <v>0</v>
      </c>
      <c r="I43" s="50">
        <v>15</v>
      </c>
      <c r="J43" s="50">
        <v>2</v>
      </c>
      <c r="K43" s="50">
        <v>4</v>
      </c>
      <c r="L43" s="50">
        <v>6</v>
      </c>
      <c r="M43" s="50">
        <v>115</v>
      </c>
      <c r="N43" s="50">
        <v>0</v>
      </c>
      <c r="O43" s="15">
        <f t="shared" si="0"/>
        <v>178</v>
      </c>
      <c r="P43" s="15">
        <f t="shared" si="1"/>
        <v>293</v>
      </c>
    </row>
    <row r="44" spans="2:20" ht="23.1" customHeight="1" x14ac:dyDescent="0.25">
      <c r="B44" s="25" t="s">
        <v>71</v>
      </c>
      <c r="C44" s="50">
        <v>125</v>
      </c>
      <c r="D44" s="50">
        <v>16</v>
      </c>
      <c r="E44" s="50">
        <v>5</v>
      </c>
      <c r="F44" s="50">
        <v>26</v>
      </c>
      <c r="G44" s="50">
        <v>1</v>
      </c>
      <c r="H44" s="50">
        <v>0</v>
      </c>
      <c r="I44" s="50">
        <v>13</v>
      </c>
      <c r="J44" s="50">
        <v>1</v>
      </c>
      <c r="K44" s="50">
        <v>3</v>
      </c>
      <c r="L44" s="50">
        <v>3</v>
      </c>
      <c r="M44" s="50">
        <v>114</v>
      </c>
      <c r="N44" s="50">
        <v>0</v>
      </c>
      <c r="O44" s="15">
        <f t="shared" si="0"/>
        <v>193</v>
      </c>
      <c r="P44" s="15">
        <f t="shared" si="1"/>
        <v>307</v>
      </c>
    </row>
    <row r="45" spans="2:20" ht="23.1" customHeight="1" x14ac:dyDescent="0.25">
      <c r="B45" s="23" t="s">
        <v>72</v>
      </c>
      <c r="C45" s="50">
        <v>96</v>
      </c>
      <c r="D45" s="50">
        <v>11</v>
      </c>
      <c r="E45" s="50">
        <v>8</v>
      </c>
      <c r="F45" s="50">
        <v>23</v>
      </c>
      <c r="G45" s="50">
        <v>3</v>
      </c>
      <c r="H45" s="50">
        <v>1</v>
      </c>
      <c r="I45" s="50">
        <v>17</v>
      </c>
      <c r="J45" s="50">
        <v>1</v>
      </c>
      <c r="K45" s="50">
        <v>1</v>
      </c>
      <c r="L45" s="50">
        <v>3</v>
      </c>
      <c r="M45" s="50">
        <v>105</v>
      </c>
      <c r="N45" s="50">
        <v>0</v>
      </c>
      <c r="O45" s="15">
        <f t="shared" si="0"/>
        <v>164</v>
      </c>
      <c r="P45" s="15">
        <f t="shared" si="1"/>
        <v>269</v>
      </c>
    </row>
    <row r="46" spans="2:20" ht="23.1" customHeight="1" x14ac:dyDescent="0.25">
      <c r="B46" s="24" t="s">
        <v>73</v>
      </c>
      <c r="C46" s="50">
        <v>75</v>
      </c>
      <c r="D46" s="50">
        <v>16</v>
      </c>
      <c r="E46" s="50">
        <v>9</v>
      </c>
      <c r="F46" s="50">
        <v>29</v>
      </c>
      <c r="G46" s="50">
        <v>1</v>
      </c>
      <c r="H46" s="50">
        <v>2</v>
      </c>
      <c r="I46" s="50">
        <v>19</v>
      </c>
      <c r="J46" s="50">
        <v>1</v>
      </c>
      <c r="K46" s="50">
        <v>1</v>
      </c>
      <c r="L46" s="50">
        <v>5</v>
      </c>
      <c r="M46" s="50">
        <v>170</v>
      </c>
      <c r="N46" s="50">
        <v>0</v>
      </c>
      <c r="O46" s="15">
        <f t="shared" si="0"/>
        <v>158</v>
      </c>
      <c r="P46" s="15">
        <f t="shared" si="1"/>
        <v>328</v>
      </c>
      <c r="R46" s="8"/>
      <c r="T46"/>
    </row>
    <row r="47" spans="2:20" ht="23.1" customHeight="1" x14ac:dyDescent="0.25">
      <c r="B47" s="24" t="s">
        <v>74</v>
      </c>
      <c r="C47" s="50">
        <v>90</v>
      </c>
      <c r="D47" s="50">
        <v>13</v>
      </c>
      <c r="E47" s="50">
        <v>10</v>
      </c>
      <c r="F47" s="50">
        <v>28</v>
      </c>
      <c r="G47" s="50">
        <v>7</v>
      </c>
      <c r="H47" s="50">
        <v>1</v>
      </c>
      <c r="I47" s="50">
        <v>18</v>
      </c>
      <c r="J47" s="50">
        <v>1</v>
      </c>
      <c r="K47" s="50">
        <v>0</v>
      </c>
      <c r="L47" s="50">
        <v>8</v>
      </c>
      <c r="M47" s="50">
        <v>160</v>
      </c>
      <c r="N47" s="50">
        <v>0</v>
      </c>
      <c r="O47" s="15">
        <f t="shared" si="0"/>
        <v>176</v>
      </c>
      <c r="P47" s="15">
        <f t="shared" si="1"/>
        <v>336</v>
      </c>
      <c r="R47" s="8"/>
      <c r="T47"/>
    </row>
    <row r="48" spans="2:20" ht="23.1" customHeight="1" x14ac:dyDescent="0.25">
      <c r="B48" s="24" t="s">
        <v>75</v>
      </c>
      <c r="C48" s="50">
        <v>81</v>
      </c>
      <c r="D48" s="50">
        <v>17</v>
      </c>
      <c r="E48" s="50">
        <v>11</v>
      </c>
      <c r="F48" s="50">
        <v>34</v>
      </c>
      <c r="G48" s="50">
        <v>10</v>
      </c>
      <c r="H48" s="50">
        <v>0</v>
      </c>
      <c r="I48" s="50">
        <v>13</v>
      </c>
      <c r="J48" s="50">
        <v>2</v>
      </c>
      <c r="K48" s="50">
        <v>3</v>
      </c>
      <c r="L48" s="50">
        <v>4</v>
      </c>
      <c r="M48" s="50">
        <v>160</v>
      </c>
      <c r="N48" s="50">
        <v>0</v>
      </c>
      <c r="O48" s="15">
        <f t="shared" si="0"/>
        <v>175</v>
      </c>
      <c r="P48" s="15">
        <f t="shared" si="1"/>
        <v>335</v>
      </c>
      <c r="R48" s="8"/>
      <c r="T48"/>
    </row>
    <row r="49" spans="2:20" ht="23.1" customHeight="1" x14ac:dyDescent="0.25">
      <c r="B49" s="23" t="s">
        <v>76</v>
      </c>
      <c r="C49" s="50">
        <v>42</v>
      </c>
      <c r="D49" s="50">
        <v>7</v>
      </c>
      <c r="E49" s="50">
        <v>8</v>
      </c>
      <c r="F49" s="50">
        <v>29</v>
      </c>
      <c r="G49" s="50">
        <v>0</v>
      </c>
      <c r="H49" s="50">
        <v>0</v>
      </c>
      <c r="I49" s="50">
        <v>13</v>
      </c>
      <c r="J49" s="50">
        <v>0</v>
      </c>
      <c r="K49" s="50">
        <v>1</v>
      </c>
      <c r="L49" s="50">
        <v>1</v>
      </c>
      <c r="M49" s="50">
        <v>113</v>
      </c>
      <c r="N49" s="50">
        <v>0</v>
      </c>
      <c r="O49" s="15">
        <f t="shared" si="0"/>
        <v>101</v>
      </c>
      <c r="P49" s="15">
        <f t="shared" si="1"/>
        <v>214</v>
      </c>
      <c r="R49" s="8"/>
      <c r="T49"/>
    </row>
    <row r="50" spans="2:20" ht="23.1" customHeight="1" x14ac:dyDescent="0.25">
      <c r="B50" s="24" t="s">
        <v>77</v>
      </c>
      <c r="C50" s="50">
        <v>87</v>
      </c>
      <c r="D50" s="50">
        <v>16</v>
      </c>
      <c r="E50" s="50">
        <v>14</v>
      </c>
      <c r="F50" s="50">
        <v>33</v>
      </c>
      <c r="G50" s="50">
        <v>2</v>
      </c>
      <c r="H50" s="50">
        <v>7</v>
      </c>
      <c r="I50" s="50">
        <v>21</v>
      </c>
      <c r="J50" s="50">
        <v>0</v>
      </c>
      <c r="K50" s="50">
        <v>2</v>
      </c>
      <c r="L50" s="50">
        <v>7</v>
      </c>
      <c r="M50" s="50">
        <v>108</v>
      </c>
      <c r="N50" s="50">
        <v>0</v>
      </c>
      <c r="O50" s="15">
        <f t="shared" si="0"/>
        <v>189</v>
      </c>
      <c r="P50" s="15">
        <f t="shared" si="1"/>
        <v>297</v>
      </c>
      <c r="R50" s="8"/>
      <c r="T50"/>
    </row>
    <row r="51" spans="2:20" ht="23.1" customHeight="1" x14ac:dyDescent="0.25">
      <c r="B51" s="24" t="s">
        <v>78</v>
      </c>
      <c r="C51" s="50">
        <v>71</v>
      </c>
      <c r="D51" s="50">
        <v>19</v>
      </c>
      <c r="E51" s="50">
        <v>12</v>
      </c>
      <c r="F51" s="50">
        <v>46</v>
      </c>
      <c r="G51" s="50">
        <v>3</v>
      </c>
      <c r="H51" s="50">
        <v>1</v>
      </c>
      <c r="I51" s="50">
        <v>20</v>
      </c>
      <c r="J51" s="50">
        <v>1</v>
      </c>
      <c r="K51" s="50">
        <v>3</v>
      </c>
      <c r="L51" s="50">
        <v>3</v>
      </c>
      <c r="M51" s="50">
        <v>155</v>
      </c>
      <c r="N51" s="50">
        <v>0</v>
      </c>
      <c r="O51" s="15">
        <f t="shared" si="0"/>
        <v>179</v>
      </c>
      <c r="P51" s="15">
        <f t="shared" si="1"/>
        <v>334</v>
      </c>
      <c r="R51" s="8"/>
      <c r="T51"/>
    </row>
    <row r="52" spans="2:20" ht="23.1" customHeight="1" x14ac:dyDescent="0.25">
      <c r="B52" s="24" t="s">
        <v>79</v>
      </c>
      <c r="C52" s="50">
        <v>96</v>
      </c>
      <c r="D52" s="50">
        <v>16</v>
      </c>
      <c r="E52" s="50">
        <v>12</v>
      </c>
      <c r="F52" s="50">
        <v>23</v>
      </c>
      <c r="G52" s="50">
        <v>10</v>
      </c>
      <c r="H52" s="50">
        <v>1</v>
      </c>
      <c r="I52" s="50">
        <v>10</v>
      </c>
      <c r="J52" s="50">
        <v>2</v>
      </c>
      <c r="K52" s="50">
        <v>3</v>
      </c>
      <c r="L52" s="50">
        <v>4</v>
      </c>
      <c r="M52" s="50">
        <v>162</v>
      </c>
      <c r="N52" s="50">
        <v>0</v>
      </c>
      <c r="O52" s="15">
        <f t="shared" si="0"/>
        <v>177</v>
      </c>
      <c r="P52" s="15">
        <f t="shared" si="1"/>
        <v>339</v>
      </c>
      <c r="R52" s="8"/>
      <c r="T52"/>
    </row>
    <row r="53" spans="2:20" ht="23.1" customHeight="1" x14ac:dyDescent="0.25">
      <c r="B53" s="23" t="s">
        <v>80</v>
      </c>
      <c r="C53" s="50">
        <v>82</v>
      </c>
      <c r="D53" s="50">
        <v>15</v>
      </c>
      <c r="E53" s="50">
        <v>11</v>
      </c>
      <c r="F53" s="50">
        <v>36</v>
      </c>
      <c r="G53" s="50">
        <v>3</v>
      </c>
      <c r="H53" s="50">
        <v>2</v>
      </c>
      <c r="I53" s="50">
        <v>15</v>
      </c>
      <c r="J53" s="50">
        <v>0</v>
      </c>
      <c r="K53" s="50">
        <v>4</v>
      </c>
      <c r="L53" s="50">
        <v>6</v>
      </c>
      <c r="M53" s="50">
        <v>172</v>
      </c>
      <c r="N53" s="50">
        <v>0</v>
      </c>
      <c r="O53" s="15">
        <f t="shared" si="0"/>
        <v>174</v>
      </c>
      <c r="P53" s="15">
        <f t="shared" si="1"/>
        <v>346</v>
      </c>
      <c r="R53" s="8"/>
      <c r="T53"/>
    </row>
    <row r="54" spans="2:20" ht="23.1" customHeight="1" x14ac:dyDescent="0.25">
      <c r="B54" s="23" t="s">
        <v>81</v>
      </c>
      <c r="C54" s="50">
        <v>103</v>
      </c>
      <c r="D54" s="50">
        <v>19</v>
      </c>
      <c r="E54" s="50">
        <v>11</v>
      </c>
      <c r="F54" s="50">
        <v>36</v>
      </c>
      <c r="G54" s="50">
        <v>7</v>
      </c>
      <c r="H54" s="50">
        <v>4</v>
      </c>
      <c r="I54" s="50">
        <v>8</v>
      </c>
      <c r="J54" s="50">
        <v>0</v>
      </c>
      <c r="K54" s="50">
        <v>3</v>
      </c>
      <c r="L54" s="50">
        <v>2</v>
      </c>
      <c r="M54" s="50">
        <v>147</v>
      </c>
      <c r="N54" s="50">
        <v>0</v>
      </c>
      <c r="O54" s="15">
        <f t="shared" si="0"/>
        <v>193</v>
      </c>
      <c r="P54" s="15">
        <f t="shared" si="1"/>
        <v>340</v>
      </c>
      <c r="R54" s="8"/>
      <c r="T54"/>
    </row>
    <row r="55" spans="2:20" ht="23.1" customHeight="1" x14ac:dyDescent="0.25">
      <c r="B55" s="23" t="s">
        <v>82</v>
      </c>
      <c r="C55" s="50">
        <v>51</v>
      </c>
      <c r="D55" s="50">
        <v>6</v>
      </c>
      <c r="E55" s="50">
        <v>11</v>
      </c>
      <c r="F55" s="50">
        <v>29</v>
      </c>
      <c r="G55" s="50">
        <v>0</v>
      </c>
      <c r="H55" s="50">
        <v>2</v>
      </c>
      <c r="I55" s="50">
        <v>11</v>
      </c>
      <c r="J55" s="50">
        <v>0</v>
      </c>
      <c r="K55" s="50">
        <v>3</v>
      </c>
      <c r="L55" s="50">
        <v>3</v>
      </c>
      <c r="M55" s="50">
        <v>125</v>
      </c>
      <c r="N55" s="50">
        <v>0</v>
      </c>
      <c r="O55" s="15">
        <f t="shared" si="0"/>
        <v>116</v>
      </c>
      <c r="P55" s="15">
        <f t="shared" si="1"/>
        <v>241</v>
      </c>
      <c r="R55" s="8"/>
      <c r="T55"/>
    </row>
    <row r="56" spans="2:20" ht="23.1" customHeight="1" x14ac:dyDescent="0.25">
      <c r="B56" s="23" t="s">
        <v>83</v>
      </c>
      <c r="C56" s="50">
        <v>94</v>
      </c>
      <c r="D56" s="50">
        <v>11</v>
      </c>
      <c r="E56" s="50">
        <v>21</v>
      </c>
      <c r="F56" s="50">
        <v>37</v>
      </c>
      <c r="G56" s="50">
        <v>1</v>
      </c>
      <c r="H56" s="50">
        <v>0</v>
      </c>
      <c r="I56" s="50">
        <v>17</v>
      </c>
      <c r="J56" s="50">
        <v>0</v>
      </c>
      <c r="K56" s="50">
        <v>1</v>
      </c>
      <c r="L56" s="50">
        <v>8</v>
      </c>
      <c r="M56" s="50">
        <v>171</v>
      </c>
      <c r="N56" s="50">
        <v>0</v>
      </c>
      <c r="O56" s="15">
        <f t="shared" si="0"/>
        <v>190</v>
      </c>
      <c r="P56" s="15">
        <f t="shared" si="1"/>
        <v>361</v>
      </c>
      <c r="R56" s="8"/>
      <c r="T56"/>
    </row>
    <row r="57" spans="2:20" ht="23.1" customHeight="1" x14ac:dyDescent="0.25">
      <c r="B57" s="23" t="s">
        <v>84</v>
      </c>
      <c r="C57" s="50">
        <v>99</v>
      </c>
      <c r="D57" s="50">
        <v>12</v>
      </c>
      <c r="E57" s="50">
        <v>13</v>
      </c>
      <c r="F57" s="50">
        <v>45</v>
      </c>
      <c r="G57" s="50">
        <v>2</v>
      </c>
      <c r="H57" s="50">
        <v>1</v>
      </c>
      <c r="I57" s="50">
        <v>20</v>
      </c>
      <c r="J57" s="50">
        <v>0</v>
      </c>
      <c r="K57" s="50">
        <v>3</v>
      </c>
      <c r="L57" s="50">
        <v>5</v>
      </c>
      <c r="M57" s="50">
        <v>172</v>
      </c>
      <c r="N57" s="50">
        <v>0</v>
      </c>
      <c r="O57" s="15">
        <f t="shared" si="0"/>
        <v>200</v>
      </c>
      <c r="P57" s="15">
        <f t="shared" si="1"/>
        <v>372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3539</v>
      </c>
      <c r="D58" s="16">
        <f t="shared" si="21"/>
        <v>562</v>
      </c>
      <c r="E58" s="16">
        <f t="shared" si="21"/>
        <v>514</v>
      </c>
      <c r="F58" s="16">
        <f t="shared" si="21"/>
        <v>1244</v>
      </c>
      <c r="G58" s="16">
        <f t="shared" si="21"/>
        <v>100</v>
      </c>
      <c r="H58" s="16">
        <f t="shared" si="21"/>
        <v>27</v>
      </c>
      <c r="I58" s="16">
        <f t="shared" si="21"/>
        <v>619</v>
      </c>
      <c r="J58" s="16">
        <f t="shared" si="21"/>
        <v>56</v>
      </c>
      <c r="K58" s="16">
        <f t="shared" si="21"/>
        <v>130</v>
      </c>
      <c r="L58" s="16">
        <f t="shared" si="21"/>
        <v>198</v>
      </c>
      <c r="M58" s="16">
        <f t="shared" si="21"/>
        <v>7029</v>
      </c>
      <c r="N58" s="16">
        <f t="shared" si="21"/>
        <v>1</v>
      </c>
      <c r="O58" s="16">
        <f t="shared" si="21"/>
        <v>6990</v>
      </c>
      <c r="P58" s="16">
        <f t="shared" si="21"/>
        <v>14019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0.25244311291818244</v>
      </c>
      <c r="D59" s="43">
        <f t="shared" si="22"/>
        <v>4.0088451387402808E-2</v>
      </c>
      <c r="E59" s="43">
        <f t="shared" si="22"/>
        <v>3.6664526713745628E-2</v>
      </c>
      <c r="F59" s="43">
        <f t="shared" si="22"/>
        <v>8.8736714458948568E-2</v>
      </c>
      <c r="G59" s="43">
        <f t="shared" si="22"/>
        <v>7.133176403452457E-3</v>
      </c>
      <c r="H59" s="43">
        <f t="shared" si="22"/>
        <v>1.9259576289321636E-3</v>
      </c>
      <c r="I59" s="43">
        <f t="shared" si="22"/>
        <v>4.4154361937370712E-2</v>
      </c>
      <c r="J59" s="43">
        <f t="shared" si="22"/>
        <v>3.994578785933376E-3</v>
      </c>
      <c r="K59" s="43">
        <f t="shared" si="22"/>
        <v>9.2731293244881947E-3</v>
      </c>
      <c r="L59" s="43">
        <f t="shared" si="22"/>
        <v>1.4123689278835866E-2</v>
      </c>
      <c r="M59" s="43">
        <f t="shared" si="22"/>
        <v>0.50139096939867323</v>
      </c>
      <c r="N59" s="43">
        <f t="shared" si="22"/>
        <v>7.133176403452457E-5</v>
      </c>
      <c r="R59" s="8"/>
      <c r="T59"/>
    </row>
    <row r="60" spans="2:20" ht="23.1" customHeight="1" x14ac:dyDescent="0.25">
      <c r="B60" s="42" t="s">
        <v>94</v>
      </c>
      <c r="C60" s="44">
        <f>C58/$O$58</f>
        <v>0.50629470672389132</v>
      </c>
      <c r="D60" s="44">
        <f t="shared" ref="D60:N60" si="23">D58/$O$58</f>
        <v>8.040057224606581E-2</v>
      </c>
      <c r="E60" s="44">
        <f t="shared" si="23"/>
        <v>7.3533619456366231E-2</v>
      </c>
      <c r="F60" s="44">
        <f t="shared" si="23"/>
        <v>0.17796852646638053</v>
      </c>
      <c r="G60" s="44">
        <f t="shared" si="23"/>
        <v>1.4306151645207439E-2</v>
      </c>
      <c r="H60" s="44">
        <f t="shared" si="23"/>
        <v>3.8626609442060085E-3</v>
      </c>
      <c r="I60" s="44">
        <f t="shared" si="23"/>
        <v>8.8555078683834054E-2</v>
      </c>
      <c r="J60" s="44">
        <f t="shared" si="23"/>
        <v>8.0114449213161652E-3</v>
      </c>
      <c r="K60" s="44">
        <f t="shared" si="23"/>
        <v>1.8597997138769671E-2</v>
      </c>
      <c r="L60" s="44">
        <f t="shared" si="23"/>
        <v>2.8326180257510731E-2</v>
      </c>
      <c r="M60" s="44"/>
      <c r="N60" s="44">
        <f t="shared" si="23"/>
        <v>1.430615164520744E-4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49" zoomScale="60" workbookViewId="0">
      <selection activeCell="P7" sqref="P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'22.07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Lubigi-Masanafu'!D5</f>
        <v>28.07.19</v>
      </c>
      <c r="E5" s="3"/>
      <c r="F5" s="41" t="s">
        <v>1</v>
      </c>
      <c r="G5" s="67" t="str">
        <f>'28.07 Lubigi-Masanafu'!G5:H5</f>
        <v>Northern Bypass</v>
      </c>
      <c r="H5" s="68"/>
      <c r="I5" s="14"/>
      <c r="J5" s="2" t="s">
        <v>5</v>
      </c>
      <c r="K5" s="67" t="s">
        <v>175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'22.07 Masanafu-Lubigi'!D6:E6</f>
        <v>Masanafu</v>
      </c>
      <c r="E6" s="68"/>
      <c r="F6" s="2" t="s">
        <v>2</v>
      </c>
      <c r="G6" s="67" t="str">
        <f>'22.07 Masanafu-Lubigi'!G6:H6</f>
        <v>Lubigi</v>
      </c>
      <c r="H6" s="68"/>
      <c r="J6" s="2" t="s">
        <v>21</v>
      </c>
      <c r="K6" s="67" t="str">
        <f>'28.07 Lubigi-Masanafu'!K6:L6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70</v>
      </c>
      <c r="D10" s="50">
        <v>9</v>
      </c>
      <c r="E10" s="50">
        <v>3</v>
      </c>
      <c r="F10" s="50">
        <v>10</v>
      </c>
      <c r="G10" s="50">
        <v>0</v>
      </c>
      <c r="H10" s="50">
        <v>0</v>
      </c>
      <c r="I10" s="50">
        <v>11</v>
      </c>
      <c r="J10" s="50">
        <v>5</v>
      </c>
      <c r="K10" s="50">
        <v>0</v>
      </c>
      <c r="L10" s="50">
        <v>4</v>
      </c>
      <c r="M10" s="50">
        <v>73</v>
      </c>
      <c r="N10" s="50">
        <v>0</v>
      </c>
      <c r="O10" s="15">
        <f t="shared" ref="O10:O57" si="0">SUM(C10:L10,N10)</f>
        <v>112</v>
      </c>
      <c r="P10" s="15">
        <f t="shared" ref="P10:P57" si="1">SUM(C10:N10)</f>
        <v>185</v>
      </c>
      <c r="R10" s="1" t="s">
        <v>6</v>
      </c>
      <c r="S10" s="17">
        <f t="shared" ref="S10:AF10" si="2">SUM(C10:C13)</f>
        <v>293</v>
      </c>
      <c r="T10" s="17">
        <f t="shared" si="2"/>
        <v>54</v>
      </c>
      <c r="U10" s="17">
        <f t="shared" si="2"/>
        <v>21</v>
      </c>
      <c r="V10" s="17">
        <f t="shared" si="2"/>
        <v>77</v>
      </c>
      <c r="W10" s="17">
        <f t="shared" si="2"/>
        <v>16</v>
      </c>
      <c r="X10" s="17">
        <f t="shared" si="2"/>
        <v>5</v>
      </c>
      <c r="Y10" s="17">
        <f t="shared" si="2"/>
        <v>43</v>
      </c>
      <c r="Z10" s="17">
        <f t="shared" si="2"/>
        <v>15</v>
      </c>
      <c r="AA10" s="17">
        <f t="shared" si="2"/>
        <v>2</v>
      </c>
      <c r="AB10" s="17">
        <f t="shared" si="2"/>
        <v>14</v>
      </c>
      <c r="AC10" s="17">
        <f t="shared" si="2"/>
        <v>458</v>
      </c>
      <c r="AD10" s="17">
        <f t="shared" si="2"/>
        <v>0</v>
      </c>
      <c r="AE10" s="31">
        <f t="shared" si="2"/>
        <v>540</v>
      </c>
      <c r="AF10" s="31">
        <f t="shared" si="2"/>
        <v>998</v>
      </c>
    </row>
    <row r="11" spans="2:32" s="6" customFormat="1" ht="23.1" customHeight="1" x14ac:dyDescent="0.25">
      <c r="B11" s="23" t="s">
        <v>38</v>
      </c>
      <c r="C11" s="50">
        <v>62</v>
      </c>
      <c r="D11" s="50">
        <v>17</v>
      </c>
      <c r="E11" s="50">
        <v>5</v>
      </c>
      <c r="F11" s="50">
        <v>17</v>
      </c>
      <c r="G11" s="50">
        <v>7</v>
      </c>
      <c r="H11" s="50">
        <v>0</v>
      </c>
      <c r="I11" s="50">
        <v>14</v>
      </c>
      <c r="J11" s="50">
        <v>5</v>
      </c>
      <c r="K11" s="50">
        <v>0</v>
      </c>
      <c r="L11" s="50">
        <v>0</v>
      </c>
      <c r="M11" s="50">
        <v>133</v>
      </c>
      <c r="N11" s="50">
        <v>0</v>
      </c>
      <c r="O11" s="15">
        <f t="shared" si="0"/>
        <v>127</v>
      </c>
      <c r="P11" s="15">
        <f t="shared" si="1"/>
        <v>260</v>
      </c>
      <c r="R11" s="1" t="s">
        <v>7</v>
      </c>
      <c r="S11" s="17">
        <f t="shared" ref="S11:AF11" si="3">SUM(C14:C17)</f>
        <v>278</v>
      </c>
      <c r="T11" s="17">
        <f t="shared" si="3"/>
        <v>58</v>
      </c>
      <c r="U11" s="17">
        <f t="shared" si="3"/>
        <v>29</v>
      </c>
      <c r="V11" s="17">
        <f t="shared" si="3"/>
        <v>162</v>
      </c>
      <c r="W11" s="17">
        <f t="shared" si="3"/>
        <v>13</v>
      </c>
      <c r="X11" s="17">
        <f t="shared" si="3"/>
        <v>5</v>
      </c>
      <c r="Y11" s="17">
        <f t="shared" si="3"/>
        <v>49</v>
      </c>
      <c r="Z11" s="17">
        <f t="shared" si="3"/>
        <v>17</v>
      </c>
      <c r="AA11" s="17">
        <f t="shared" si="3"/>
        <v>4</v>
      </c>
      <c r="AB11" s="17">
        <f t="shared" si="3"/>
        <v>18</v>
      </c>
      <c r="AC11" s="17">
        <f t="shared" si="3"/>
        <v>446</v>
      </c>
      <c r="AD11" s="17">
        <f t="shared" si="3"/>
        <v>0</v>
      </c>
      <c r="AE11" s="31">
        <f t="shared" si="3"/>
        <v>633</v>
      </c>
      <c r="AF11" s="31">
        <f t="shared" si="3"/>
        <v>1079</v>
      </c>
    </row>
    <row r="12" spans="2:32" ht="23.1" customHeight="1" x14ac:dyDescent="0.25">
      <c r="B12" s="23" t="s">
        <v>39</v>
      </c>
      <c r="C12" s="50">
        <v>72</v>
      </c>
      <c r="D12" s="50">
        <v>13</v>
      </c>
      <c r="E12" s="50">
        <v>5</v>
      </c>
      <c r="F12" s="50">
        <v>19</v>
      </c>
      <c r="G12" s="50">
        <v>2</v>
      </c>
      <c r="H12" s="50">
        <v>2</v>
      </c>
      <c r="I12" s="50">
        <v>10</v>
      </c>
      <c r="J12" s="50">
        <v>2</v>
      </c>
      <c r="K12" s="50">
        <v>0</v>
      </c>
      <c r="L12" s="50">
        <v>3</v>
      </c>
      <c r="M12" s="50">
        <v>128</v>
      </c>
      <c r="N12" s="50">
        <v>0</v>
      </c>
      <c r="O12" s="15">
        <f t="shared" si="0"/>
        <v>128</v>
      </c>
      <c r="P12" s="15">
        <f t="shared" si="1"/>
        <v>256</v>
      </c>
      <c r="R12" s="1" t="s">
        <v>8</v>
      </c>
      <c r="S12" s="17">
        <f t="shared" ref="S12:AF12" si="4">SUM(C18:C21)</f>
        <v>341</v>
      </c>
      <c r="T12" s="17">
        <f t="shared" si="4"/>
        <v>97</v>
      </c>
      <c r="U12" s="17">
        <f t="shared" si="4"/>
        <v>42</v>
      </c>
      <c r="V12" s="17">
        <f t="shared" si="4"/>
        <v>132</v>
      </c>
      <c r="W12" s="17">
        <f t="shared" si="4"/>
        <v>20</v>
      </c>
      <c r="X12" s="17">
        <f t="shared" si="4"/>
        <v>2</v>
      </c>
      <c r="Y12" s="17">
        <f t="shared" si="4"/>
        <v>38</v>
      </c>
      <c r="Z12" s="17">
        <f t="shared" si="4"/>
        <v>15</v>
      </c>
      <c r="AA12" s="17">
        <f t="shared" si="4"/>
        <v>6</v>
      </c>
      <c r="AB12" s="17">
        <f t="shared" si="4"/>
        <v>15</v>
      </c>
      <c r="AC12" s="17">
        <f t="shared" si="4"/>
        <v>497</v>
      </c>
      <c r="AD12" s="17">
        <f t="shared" si="4"/>
        <v>0</v>
      </c>
      <c r="AE12" s="31">
        <f t="shared" si="4"/>
        <v>708</v>
      </c>
      <c r="AF12" s="31">
        <f t="shared" si="4"/>
        <v>1205</v>
      </c>
    </row>
    <row r="13" spans="2:32" ht="23.1" customHeight="1" x14ac:dyDescent="0.25">
      <c r="B13" s="23" t="s">
        <v>40</v>
      </c>
      <c r="C13" s="50">
        <v>89</v>
      </c>
      <c r="D13" s="50">
        <v>15</v>
      </c>
      <c r="E13" s="50">
        <v>8</v>
      </c>
      <c r="F13" s="50">
        <v>31</v>
      </c>
      <c r="G13" s="50">
        <v>7</v>
      </c>
      <c r="H13" s="50">
        <v>3</v>
      </c>
      <c r="I13" s="50">
        <v>8</v>
      </c>
      <c r="J13" s="50">
        <v>3</v>
      </c>
      <c r="K13" s="50">
        <v>2</v>
      </c>
      <c r="L13" s="50">
        <v>7</v>
      </c>
      <c r="M13" s="50">
        <v>124</v>
      </c>
      <c r="N13" s="50">
        <v>0</v>
      </c>
      <c r="O13" s="15">
        <f t="shared" si="0"/>
        <v>173</v>
      </c>
      <c r="P13" s="15">
        <f t="shared" si="1"/>
        <v>297</v>
      </c>
      <c r="R13" s="1" t="s">
        <v>9</v>
      </c>
      <c r="S13" s="17">
        <f t="shared" ref="S13:AF13" si="5">SUM(C22:C25)</f>
        <v>379</v>
      </c>
      <c r="T13" s="17">
        <f t="shared" si="5"/>
        <v>96</v>
      </c>
      <c r="U13" s="17">
        <f t="shared" si="5"/>
        <v>48</v>
      </c>
      <c r="V13" s="17">
        <f t="shared" si="5"/>
        <v>110</v>
      </c>
      <c r="W13" s="17">
        <f t="shared" si="5"/>
        <v>12</v>
      </c>
      <c r="X13" s="17">
        <f t="shared" si="5"/>
        <v>1</v>
      </c>
      <c r="Y13" s="17">
        <f t="shared" si="5"/>
        <v>39</v>
      </c>
      <c r="Z13" s="17">
        <f t="shared" si="5"/>
        <v>21</v>
      </c>
      <c r="AA13" s="17">
        <f t="shared" si="5"/>
        <v>3</v>
      </c>
      <c r="AB13" s="17">
        <f t="shared" si="5"/>
        <v>16</v>
      </c>
      <c r="AC13" s="17">
        <f t="shared" si="5"/>
        <v>457</v>
      </c>
      <c r="AD13" s="17">
        <f t="shared" si="5"/>
        <v>0</v>
      </c>
      <c r="AE13" s="31">
        <f t="shared" si="5"/>
        <v>725</v>
      </c>
      <c r="AF13" s="31">
        <f t="shared" si="5"/>
        <v>1182</v>
      </c>
    </row>
    <row r="14" spans="2:32" ht="23.1" customHeight="1" x14ac:dyDescent="0.25">
      <c r="B14" s="23" t="s">
        <v>41</v>
      </c>
      <c r="C14" s="50">
        <v>79</v>
      </c>
      <c r="D14" s="50">
        <v>10</v>
      </c>
      <c r="E14" s="50">
        <v>3</v>
      </c>
      <c r="F14" s="50">
        <v>23</v>
      </c>
      <c r="G14" s="50">
        <v>0</v>
      </c>
      <c r="H14" s="50">
        <v>2</v>
      </c>
      <c r="I14" s="50">
        <v>6</v>
      </c>
      <c r="J14" s="50">
        <v>7</v>
      </c>
      <c r="K14" s="50">
        <v>1</v>
      </c>
      <c r="L14" s="50">
        <v>3</v>
      </c>
      <c r="M14" s="50">
        <v>124</v>
      </c>
      <c r="N14" s="50">
        <v>0</v>
      </c>
      <c r="O14" s="15">
        <f t="shared" si="0"/>
        <v>134</v>
      </c>
      <c r="P14" s="15">
        <f t="shared" si="1"/>
        <v>258</v>
      </c>
      <c r="R14" s="1" t="s">
        <v>10</v>
      </c>
      <c r="S14" s="17">
        <f t="shared" ref="S14:AF14" si="6">SUM(C26:C29)</f>
        <v>455</v>
      </c>
      <c r="T14" s="17">
        <f t="shared" si="6"/>
        <v>119</v>
      </c>
      <c r="U14" s="17">
        <f t="shared" si="6"/>
        <v>43</v>
      </c>
      <c r="V14" s="17">
        <f t="shared" si="6"/>
        <v>121</v>
      </c>
      <c r="W14" s="17">
        <f t="shared" si="6"/>
        <v>0</v>
      </c>
      <c r="X14" s="17">
        <f t="shared" si="6"/>
        <v>1</v>
      </c>
      <c r="Y14" s="17">
        <f t="shared" si="6"/>
        <v>36</v>
      </c>
      <c r="Z14" s="17">
        <f t="shared" si="6"/>
        <v>16</v>
      </c>
      <c r="AA14" s="17">
        <f t="shared" si="6"/>
        <v>5</v>
      </c>
      <c r="AB14" s="17">
        <f t="shared" si="6"/>
        <v>43</v>
      </c>
      <c r="AC14" s="17">
        <f t="shared" si="6"/>
        <v>502</v>
      </c>
      <c r="AD14" s="17">
        <f t="shared" si="6"/>
        <v>0</v>
      </c>
      <c r="AE14" s="31">
        <f t="shared" si="6"/>
        <v>839</v>
      </c>
      <c r="AF14" s="31">
        <f t="shared" si="6"/>
        <v>1341</v>
      </c>
    </row>
    <row r="15" spans="2:32" ht="23.1" customHeight="1" x14ac:dyDescent="0.25">
      <c r="B15" s="23" t="s">
        <v>42</v>
      </c>
      <c r="C15" s="50">
        <v>76</v>
      </c>
      <c r="D15" s="50">
        <v>7</v>
      </c>
      <c r="E15" s="50">
        <v>6</v>
      </c>
      <c r="F15" s="50">
        <v>51</v>
      </c>
      <c r="G15" s="50">
        <v>2</v>
      </c>
      <c r="H15" s="50">
        <v>2</v>
      </c>
      <c r="I15" s="50">
        <v>17</v>
      </c>
      <c r="J15" s="50">
        <v>3</v>
      </c>
      <c r="K15" s="50">
        <v>0</v>
      </c>
      <c r="L15" s="50">
        <v>5</v>
      </c>
      <c r="M15" s="50">
        <v>112</v>
      </c>
      <c r="N15" s="50">
        <v>0</v>
      </c>
      <c r="O15" s="15">
        <f t="shared" si="0"/>
        <v>169</v>
      </c>
      <c r="P15" s="15">
        <f t="shared" si="1"/>
        <v>281</v>
      </c>
      <c r="R15" s="1" t="s">
        <v>11</v>
      </c>
      <c r="S15" s="17">
        <f t="shared" ref="S15:AF15" si="7">SUM(C30:C33)</f>
        <v>388</v>
      </c>
      <c r="T15" s="17">
        <f t="shared" si="7"/>
        <v>133</v>
      </c>
      <c r="U15" s="17">
        <f t="shared" si="7"/>
        <v>84</v>
      </c>
      <c r="V15" s="17">
        <f t="shared" si="7"/>
        <v>190</v>
      </c>
      <c r="W15" s="17">
        <f t="shared" si="7"/>
        <v>3</v>
      </c>
      <c r="X15" s="17">
        <f t="shared" si="7"/>
        <v>0</v>
      </c>
      <c r="Y15" s="17">
        <f t="shared" si="7"/>
        <v>34</v>
      </c>
      <c r="Z15" s="17">
        <f t="shared" si="7"/>
        <v>12</v>
      </c>
      <c r="AA15" s="17">
        <f t="shared" si="7"/>
        <v>9</v>
      </c>
      <c r="AB15" s="17">
        <f t="shared" si="7"/>
        <v>13</v>
      </c>
      <c r="AC15" s="17">
        <f t="shared" si="7"/>
        <v>504</v>
      </c>
      <c r="AD15" s="17">
        <f t="shared" si="7"/>
        <v>0</v>
      </c>
      <c r="AE15" s="31">
        <f t="shared" si="7"/>
        <v>866</v>
      </c>
      <c r="AF15" s="31">
        <f t="shared" si="7"/>
        <v>1370</v>
      </c>
    </row>
    <row r="16" spans="2:32" ht="23.1" customHeight="1" x14ac:dyDescent="0.25">
      <c r="B16" s="23" t="s">
        <v>43</v>
      </c>
      <c r="C16" s="50">
        <v>60</v>
      </c>
      <c r="D16" s="50">
        <v>19</v>
      </c>
      <c r="E16" s="50">
        <v>7</v>
      </c>
      <c r="F16" s="50">
        <v>50</v>
      </c>
      <c r="G16" s="50">
        <v>5</v>
      </c>
      <c r="H16" s="50">
        <v>1</v>
      </c>
      <c r="I16" s="50">
        <v>15</v>
      </c>
      <c r="J16" s="50">
        <v>2</v>
      </c>
      <c r="K16" s="50">
        <v>0</v>
      </c>
      <c r="L16" s="50">
        <v>5</v>
      </c>
      <c r="M16" s="50">
        <v>102</v>
      </c>
      <c r="N16" s="50">
        <v>0</v>
      </c>
      <c r="O16" s="15">
        <f t="shared" si="0"/>
        <v>164</v>
      </c>
      <c r="P16" s="15">
        <f t="shared" si="1"/>
        <v>266</v>
      </c>
      <c r="R16" s="1" t="s">
        <v>12</v>
      </c>
      <c r="S16" s="17">
        <f t="shared" ref="S16:AF16" si="8">SUM(C34:C37)</f>
        <v>279</v>
      </c>
      <c r="T16" s="17">
        <f t="shared" si="8"/>
        <v>73</v>
      </c>
      <c r="U16" s="17">
        <f t="shared" si="8"/>
        <v>48</v>
      </c>
      <c r="V16" s="17">
        <f t="shared" si="8"/>
        <v>163</v>
      </c>
      <c r="W16" s="17">
        <f t="shared" si="8"/>
        <v>3</v>
      </c>
      <c r="X16" s="17">
        <f t="shared" si="8"/>
        <v>0</v>
      </c>
      <c r="Y16" s="17">
        <f t="shared" si="8"/>
        <v>33</v>
      </c>
      <c r="Z16" s="17">
        <f t="shared" si="8"/>
        <v>12</v>
      </c>
      <c r="AA16" s="17">
        <f t="shared" si="8"/>
        <v>9</v>
      </c>
      <c r="AB16" s="17">
        <f t="shared" si="8"/>
        <v>15</v>
      </c>
      <c r="AC16" s="17">
        <f t="shared" si="8"/>
        <v>548</v>
      </c>
      <c r="AD16" s="17">
        <f t="shared" si="8"/>
        <v>0</v>
      </c>
      <c r="AE16" s="31">
        <f t="shared" si="8"/>
        <v>635</v>
      </c>
      <c r="AF16" s="31">
        <f t="shared" si="8"/>
        <v>1183</v>
      </c>
    </row>
    <row r="17" spans="2:32" ht="23.1" customHeight="1" x14ac:dyDescent="0.25">
      <c r="B17" s="23" t="s">
        <v>44</v>
      </c>
      <c r="C17" s="50">
        <v>63</v>
      </c>
      <c r="D17" s="50">
        <v>22</v>
      </c>
      <c r="E17" s="50">
        <v>13</v>
      </c>
      <c r="F17" s="50">
        <v>38</v>
      </c>
      <c r="G17" s="50">
        <v>6</v>
      </c>
      <c r="H17" s="50">
        <v>0</v>
      </c>
      <c r="I17" s="50">
        <v>11</v>
      </c>
      <c r="J17" s="50">
        <v>5</v>
      </c>
      <c r="K17" s="50">
        <v>3</v>
      </c>
      <c r="L17" s="50">
        <v>5</v>
      </c>
      <c r="M17" s="50">
        <v>108</v>
      </c>
      <c r="N17" s="50">
        <v>0</v>
      </c>
      <c r="O17" s="15">
        <f t="shared" si="0"/>
        <v>166</v>
      </c>
      <c r="P17" s="15">
        <f t="shared" si="1"/>
        <v>274</v>
      </c>
      <c r="R17" s="1" t="s">
        <v>13</v>
      </c>
      <c r="S17" s="17">
        <f t="shared" ref="S17:AF17" si="9">SUM(C38:C41)</f>
        <v>258</v>
      </c>
      <c r="T17" s="17">
        <f t="shared" si="9"/>
        <v>205</v>
      </c>
      <c r="U17" s="17">
        <f t="shared" si="9"/>
        <v>76</v>
      </c>
      <c r="V17" s="17">
        <f t="shared" si="9"/>
        <v>205</v>
      </c>
      <c r="W17" s="17">
        <f t="shared" si="9"/>
        <v>2</v>
      </c>
      <c r="X17" s="17">
        <f t="shared" si="9"/>
        <v>1</v>
      </c>
      <c r="Y17" s="17">
        <f t="shared" si="9"/>
        <v>38</v>
      </c>
      <c r="Z17" s="17">
        <f t="shared" si="9"/>
        <v>17</v>
      </c>
      <c r="AA17" s="17">
        <f t="shared" si="9"/>
        <v>18</v>
      </c>
      <c r="AB17" s="17">
        <f t="shared" si="9"/>
        <v>16</v>
      </c>
      <c r="AC17" s="17">
        <f t="shared" si="9"/>
        <v>367</v>
      </c>
      <c r="AD17" s="17">
        <f t="shared" si="9"/>
        <v>0</v>
      </c>
      <c r="AE17" s="31">
        <f t="shared" si="9"/>
        <v>836</v>
      </c>
      <c r="AF17" s="31">
        <f t="shared" si="9"/>
        <v>1203</v>
      </c>
    </row>
    <row r="18" spans="2:32" ht="23.1" customHeight="1" x14ac:dyDescent="0.25">
      <c r="B18" s="23" t="s">
        <v>45</v>
      </c>
      <c r="C18" s="50">
        <v>75</v>
      </c>
      <c r="D18" s="50">
        <v>25</v>
      </c>
      <c r="E18" s="50">
        <v>12</v>
      </c>
      <c r="F18" s="50">
        <v>25</v>
      </c>
      <c r="G18" s="50">
        <v>14</v>
      </c>
      <c r="H18" s="50">
        <v>1</v>
      </c>
      <c r="I18" s="50">
        <v>0</v>
      </c>
      <c r="J18" s="50">
        <v>6</v>
      </c>
      <c r="K18" s="50">
        <v>0</v>
      </c>
      <c r="L18" s="50">
        <v>1</v>
      </c>
      <c r="M18" s="50">
        <v>114</v>
      </c>
      <c r="N18" s="50">
        <v>0</v>
      </c>
      <c r="O18" s="15">
        <f t="shared" si="0"/>
        <v>159</v>
      </c>
      <c r="P18" s="15">
        <f t="shared" si="1"/>
        <v>273</v>
      </c>
      <c r="R18" s="1" t="s">
        <v>14</v>
      </c>
      <c r="S18" s="17">
        <f t="shared" ref="S18:AF18" si="10">SUM(C42:C45)</f>
        <v>343</v>
      </c>
      <c r="T18" s="17">
        <f t="shared" si="10"/>
        <v>113</v>
      </c>
      <c r="U18" s="17">
        <f t="shared" si="10"/>
        <v>67</v>
      </c>
      <c r="V18" s="17">
        <f t="shared" si="10"/>
        <v>124</v>
      </c>
      <c r="W18" s="17">
        <f t="shared" si="10"/>
        <v>3</v>
      </c>
      <c r="X18" s="17">
        <f t="shared" si="10"/>
        <v>1</v>
      </c>
      <c r="Y18" s="17">
        <f t="shared" si="10"/>
        <v>45</v>
      </c>
      <c r="Z18" s="17">
        <f t="shared" si="10"/>
        <v>22</v>
      </c>
      <c r="AA18" s="17">
        <f t="shared" si="10"/>
        <v>8</v>
      </c>
      <c r="AB18" s="17">
        <f t="shared" si="10"/>
        <v>19</v>
      </c>
      <c r="AC18" s="17">
        <f t="shared" si="10"/>
        <v>437</v>
      </c>
      <c r="AD18" s="17">
        <f t="shared" si="10"/>
        <v>0</v>
      </c>
      <c r="AE18" s="31">
        <f t="shared" si="10"/>
        <v>745</v>
      </c>
      <c r="AF18" s="31">
        <f t="shared" si="10"/>
        <v>1182</v>
      </c>
    </row>
    <row r="19" spans="2:32" ht="23.1" customHeight="1" x14ac:dyDescent="0.25">
      <c r="B19" s="23" t="s">
        <v>46</v>
      </c>
      <c r="C19" s="50">
        <v>113</v>
      </c>
      <c r="D19" s="50">
        <v>10</v>
      </c>
      <c r="E19" s="50">
        <v>11</v>
      </c>
      <c r="F19" s="50">
        <v>58</v>
      </c>
      <c r="G19" s="50">
        <v>3</v>
      </c>
      <c r="H19" s="50">
        <v>0</v>
      </c>
      <c r="I19" s="50">
        <v>21</v>
      </c>
      <c r="J19" s="50">
        <v>5</v>
      </c>
      <c r="K19" s="50">
        <v>2</v>
      </c>
      <c r="L19" s="50">
        <v>8</v>
      </c>
      <c r="M19" s="50">
        <v>116</v>
      </c>
      <c r="N19" s="50">
        <v>0</v>
      </c>
      <c r="O19" s="15">
        <f t="shared" si="0"/>
        <v>231</v>
      </c>
      <c r="P19" s="15">
        <f t="shared" si="1"/>
        <v>347</v>
      </c>
      <c r="R19" s="1" t="s">
        <v>15</v>
      </c>
      <c r="S19" s="17">
        <f t="shared" ref="S19:AF19" si="11">SUM(C46:C49)</f>
        <v>450</v>
      </c>
      <c r="T19" s="17">
        <f t="shared" si="11"/>
        <v>158</v>
      </c>
      <c r="U19" s="17">
        <f t="shared" si="11"/>
        <v>43</v>
      </c>
      <c r="V19" s="17">
        <f t="shared" si="11"/>
        <v>107</v>
      </c>
      <c r="W19" s="17">
        <f t="shared" si="11"/>
        <v>7</v>
      </c>
      <c r="X19" s="17">
        <f t="shared" si="11"/>
        <v>0</v>
      </c>
      <c r="Y19" s="17">
        <f t="shared" si="11"/>
        <v>46</v>
      </c>
      <c r="Z19" s="17">
        <f t="shared" si="11"/>
        <v>21</v>
      </c>
      <c r="AA19" s="17">
        <f t="shared" si="11"/>
        <v>7</v>
      </c>
      <c r="AB19" s="17">
        <f t="shared" si="11"/>
        <v>18</v>
      </c>
      <c r="AC19" s="17">
        <f t="shared" si="11"/>
        <v>514</v>
      </c>
      <c r="AD19" s="17">
        <f t="shared" si="11"/>
        <v>1</v>
      </c>
      <c r="AE19" s="31">
        <f t="shared" si="11"/>
        <v>858</v>
      </c>
      <c r="AF19" s="31">
        <f t="shared" si="11"/>
        <v>1372</v>
      </c>
    </row>
    <row r="20" spans="2:32" ht="23.1" customHeight="1" x14ac:dyDescent="0.25">
      <c r="B20" s="23" t="s">
        <v>47</v>
      </c>
      <c r="C20" s="50">
        <v>69</v>
      </c>
      <c r="D20" s="50">
        <v>30</v>
      </c>
      <c r="E20" s="50">
        <v>11</v>
      </c>
      <c r="F20" s="50">
        <v>17</v>
      </c>
      <c r="G20" s="50">
        <v>0</v>
      </c>
      <c r="H20" s="50">
        <v>1</v>
      </c>
      <c r="I20" s="50">
        <v>10</v>
      </c>
      <c r="J20" s="50">
        <v>1</v>
      </c>
      <c r="K20" s="50">
        <v>1</v>
      </c>
      <c r="L20" s="50">
        <v>1</v>
      </c>
      <c r="M20" s="50">
        <v>120</v>
      </c>
      <c r="N20" s="50">
        <v>0</v>
      </c>
      <c r="O20" s="15">
        <f t="shared" si="0"/>
        <v>141</v>
      </c>
      <c r="P20" s="15">
        <f t="shared" si="1"/>
        <v>261</v>
      </c>
      <c r="R20" s="1" t="s">
        <v>16</v>
      </c>
      <c r="S20" s="17">
        <f t="shared" ref="S20:AF20" si="12">SUM(C50:C53)</f>
        <v>403</v>
      </c>
      <c r="T20" s="17">
        <f t="shared" si="12"/>
        <v>90</v>
      </c>
      <c r="U20" s="17">
        <f t="shared" si="12"/>
        <v>37</v>
      </c>
      <c r="V20" s="17">
        <f t="shared" si="12"/>
        <v>94</v>
      </c>
      <c r="W20" s="17">
        <f t="shared" si="12"/>
        <v>2</v>
      </c>
      <c r="X20" s="17">
        <f t="shared" si="12"/>
        <v>1</v>
      </c>
      <c r="Y20" s="17">
        <f t="shared" si="12"/>
        <v>31</v>
      </c>
      <c r="Z20" s="17">
        <f t="shared" si="12"/>
        <v>10</v>
      </c>
      <c r="AA20" s="17">
        <f t="shared" si="12"/>
        <v>7</v>
      </c>
      <c r="AB20" s="17">
        <f t="shared" si="12"/>
        <v>23</v>
      </c>
      <c r="AC20" s="17">
        <f t="shared" si="12"/>
        <v>408</v>
      </c>
      <c r="AD20" s="17">
        <f t="shared" si="12"/>
        <v>0</v>
      </c>
      <c r="AE20" s="31">
        <f t="shared" si="12"/>
        <v>698</v>
      </c>
      <c r="AF20" s="31">
        <f t="shared" si="12"/>
        <v>1106</v>
      </c>
    </row>
    <row r="21" spans="2:32" ht="23.1" customHeight="1" x14ac:dyDescent="0.25">
      <c r="B21" s="23" t="s">
        <v>48</v>
      </c>
      <c r="C21" s="50">
        <v>84</v>
      </c>
      <c r="D21" s="50">
        <v>32</v>
      </c>
      <c r="E21" s="50">
        <v>8</v>
      </c>
      <c r="F21" s="50">
        <v>32</v>
      </c>
      <c r="G21" s="50">
        <v>3</v>
      </c>
      <c r="H21" s="50">
        <v>0</v>
      </c>
      <c r="I21" s="50">
        <v>7</v>
      </c>
      <c r="J21" s="50">
        <v>3</v>
      </c>
      <c r="K21" s="50">
        <v>3</v>
      </c>
      <c r="L21" s="50">
        <v>5</v>
      </c>
      <c r="M21" s="50">
        <v>147</v>
      </c>
      <c r="N21" s="50">
        <v>0</v>
      </c>
      <c r="O21" s="15">
        <f t="shared" si="0"/>
        <v>177</v>
      </c>
      <c r="P21" s="15">
        <f t="shared" si="1"/>
        <v>324</v>
      </c>
      <c r="R21" s="36" t="s">
        <v>20</v>
      </c>
      <c r="S21" s="34">
        <f t="shared" ref="S21:AF21" si="13">SUM(C54:C57)</f>
        <v>522</v>
      </c>
      <c r="T21" s="17">
        <f t="shared" si="13"/>
        <v>239</v>
      </c>
      <c r="U21" s="17">
        <f t="shared" si="13"/>
        <v>69</v>
      </c>
      <c r="V21" s="17">
        <f t="shared" si="13"/>
        <v>186</v>
      </c>
      <c r="W21" s="17">
        <f t="shared" si="13"/>
        <v>4</v>
      </c>
      <c r="X21" s="17">
        <f t="shared" si="13"/>
        <v>6</v>
      </c>
      <c r="Y21" s="17">
        <f t="shared" si="13"/>
        <v>25</v>
      </c>
      <c r="Z21" s="17">
        <f t="shared" si="13"/>
        <v>11</v>
      </c>
      <c r="AA21" s="17">
        <f t="shared" si="13"/>
        <v>1</v>
      </c>
      <c r="AB21" s="17">
        <f t="shared" si="13"/>
        <v>10</v>
      </c>
      <c r="AC21" s="17">
        <f t="shared" si="13"/>
        <v>494</v>
      </c>
      <c r="AD21" s="17">
        <f t="shared" si="13"/>
        <v>0</v>
      </c>
      <c r="AE21" s="31">
        <f t="shared" si="13"/>
        <v>1073</v>
      </c>
      <c r="AF21" s="31">
        <f t="shared" si="13"/>
        <v>1567</v>
      </c>
    </row>
    <row r="22" spans="2:32" ht="23.1" customHeight="1" x14ac:dyDescent="0.25">
      <c r="B22" s="23" t="s">
        <v>49</v>
      </c>
      <c r="C22" s="50">
        <v>71</v>
      </c>
      <c r="D22" s="50">
        <v>31</v>
      </c>
      <c r="E22" s="50">
        <v>15</v>
      </c>
      <c r="F22" s="50">
        <v>39</v>
      </c>
      <c r="G22" s="50">
        <v>0</v>
      </c>
      <c r="H22" s="50">
        <v>0</v>
      </c>
      <c r="I22" s="50">
        <v>7</v>
      </c>
      <c r="J22" s="50">
        <v>5</v>
      </c>
      <c r="K22" s="50">
        <v>2</v>
      </c>
      <c r="L22" s="50">
        <v>5</v>
      </c>
      <c r="M22" s="50">
        <v>109</v>
      </c>
      <c r="N22" s="50">
        <v>0</v>
      </c>
      <c r="O22" s="15">
        <f t="shared" si="0"/>
        <v>175</v>
      </c>
      <c r="P22" s="15">
        <f t="shared" si="1"/>
        <v>284</v>
      </c>
      <c r="R22" s="38" t="s">
        <v>90</v>
      </c>
      <c r="S22" s="39">
        <f>MAX(S10:S12)</f>
        <v>341</v>
      </c>
      <c r="T22" s="39">
        <f t="shared" ref="T22:AF22" si="14">MAX(T10:T12)</f>
        <v>97</v>
      </c>
      <c r="U22" s="39">
        <f t="shared" si="14"/>
        <v>42</v>
      </c>
      <c r="V22" s="39">
        <f t="shared" si="14"/>
        <v>162</v>
      </c>
      <c r="W22" s="39">
        <f t="shared" si="14"/>
        <v>20</v>
      </c>
      <c r="X22" s="39">
        <f t="shared" si="14"/>
        <v>5</v>
      </c>
      <c r="Y22" s="39">
        <f t="shared" si="14"/>
        <v>49</v>
      </c>
      <c r="Z22" s="39">
        <f t="shared" si="14"/>
        <v>17</v>
      </c>
      <c r="AA22" s="39">
        <f t="shared" si="14"/>
        <v>6</v>
      </c>
      <c r="AB22" s="39">
        <f t="shared" si="14"/>
        <v>18</v>
      </c>
      <c r="AC22" s="39">
        <f t="shared" si="14"/>
        <v>497</v>
      </c>
      <c r="AD22" s="39">
        <f t="shared" si="14"/>
        <v>0</v>
      </c>
      <c r="AE22" s="40">
        <f t="shared" si="14"/>
        <v>708</v>
      </c>
      <c r="AF22" s="40">
        <f t="shared" si="14"/>
        <v>1205</v>
      </c>
    </row>
    <row r="23" spans="2:32" ht="23.1" customHeight="1" x14ac:dyDescent="0.25">
      <c r="B23" s="23" t="s">
        <v>50</v>
      </c>
      <c r="C23" s="50">
        <v>97</v>
      </c>
      <c r="D23" s="50">
        <v>17</v>
      </c>
      <c r="E23" s="50">
        <v>12</v>
      </c>
      <c r="F23" s="50">
        <v>17</v>
      </c>
      <c r="G23" s="50">
        <v>12</v>
      </c>
      <c r="H23" s="50">
        <v>1</v>
      </c>
      <c r="I23" s="50">
        <v>11</v>
      </c>
      <c r="J23" s="50">
        <v>5</v>
      </c>
      <c r="K23" s="50">
        <v>1</v>
      </c>
      <c r="L23" s="50">
        <v>1</v>
      </c>
      <c r="M23" s="50">
        <v>118</v>
      </c>
      <c r="N23" s="50">
        <v>0</v>
      </c>
      <c r="O23" s="15">
        <f t="shared" si="0"/>
        <v>174</v>
      </c>
      <c r="P23" s="15">
        <f t="shared" si="1"/>
        <v>292</v>
      </c>
      <c r="R23" s="38" t="s">
        <v>91</v>
      </c>
      <c r="S23" s="39">
        <f>MAX(S13:S18)</f>
        <v>455</v>
      </c>
      <c r="T23" s="39">
        <f t="shared" ref="T23:AF23" si="15">MAX(T13:T18)</f>
        <v>205</v>
      </c>
      <c r="U23" s="39">
        <f t="shared" si="15"/>
        <v>84</v>
      </c>
      <c r="V23" s="39">
        <f t="shared" si="15"/>
        <v>205</v>
      </c>
      <c r="W23" s="39">
        <f t="shared" si="15"/>
        <v>12</v>
      </c>
      <c r="X23" s="39">
        <f t="shared" si="15"/>
        <v>1</v>
      </c>
      <c r="Y23" s="39">
        <f t="shared" si="15"/>
        <v>45</v>
      </c>
      <c r="Z23" s="39">
        <f t="shared" si="15"/>
        <v>22</v>
      </c>
      <c r="AA23" s="39">
        <f t="shared" si="15"/>
        <v>18</v>
      </c>
      <c r="AB23" s="39">
        <f t="shared" si="15"/>
        <v>43</v>
      </c>
      <c r="AC23" s="39">
        <f t="shared" si="15"/>
        <v>548</v>
      </c>
      <c r="AD23" s="39">
        <f t="shared" si="15"/>
        <v>0</v>
      </c>
      <c r="AE23" s="40">
        <f t="shared" si="15"/>
        <v>866</v>
      </c>
      <c r="AF23" s="40">
        <f t="shared" si="15"/>
        <v>1370</v>
      </c>
    </row>
    <row r="24" spans="2:32" ht="23.1" customHeight="1" x14ac:dyDescent="0.25">
      <c r="B24" s="23" t="s">
        <v>51</v>
      </c>
      <c r="C24" s="50">
        <v>69</v>
      </c>
      <c r="D24" s="50">
        <v>28</v>
      </c>
      <c r="E24" s="50">
        <v>8</v>
      </c>
      <c r="F24" s="50">
        <v>26</v>
      </c>
      <c r="G24" s="50">
        <v>0</v>
      </c>
      <c r="H24" s="50">
        <v>0</v>
      </c>
      <c r="I24" s="50">
        <v>17</v>
      </c>
      <c r="J24" s="50">
        <v>8</v>
      </c>
      <c r="K24" s="50">
        <v>0</v>
      </c>
      <c r="L24" s="50">
        <v>5</v>
      </c>
      <c r="M24" s="50">
        <v>117</v>
      </c>
      <c r="N24" s="50">
        <v>0</v>
      </c>
      <c r="O24" s="15">
        <f t="shared" si="0"/>
        <v>161</v>
      </c>
      <c r="P24" s="15">
        <f t="shared" si="1"/>
        <v>278</v>
      </c>
      <c r="R24" s="38" t="s">
        <v>92</v>
      </c>
      <c r="S24" s="39">
        <f>MAX(S19:S21)</f>
        <v>522</v>
      </c>
      <c r="T24" s="39">
        <f t="shared" ref="T24:AF24" si="16">MAX(T19:T21)</f>
        <v>239</v>
      </c>
      <c r="U24" s="39">
        <f t="shared" si="16"/>
        <v>69</v>
      </c>
      <c r="V24" s="39">
        <f t="shared" si="16"/>
        <v>186</v>
      </c>
      <c r="W24" s="39">
        <f t="shared" si="16"/>
        <v>7</v>
      </c>
      <c r="X24" s="39">
        <f t="shared" si="16"/>
        <v>6</v>
      </c>
      <c r="Y24" s="39">
        <f t="shared" si="16"/>
        <v>46</v>
      </c>
      <c r="Z24" s="39">
        <f t="shared" si="16"/>
        <v>21</v>
      </c>
      <c r="AA24" s="39">
        <f t="shared" si="16"/>
        <v>7</v>
      </c>
      <c r="AB24" s="39">
        <f t="shared" si="16"/>
        <v>23</v>
      </c>
      <c r="AC24" s="39">
        <f t="shared" si="16"/>
        <v>514</v>
      </c>
      <c r="AD24" s="39">
        <f t="shared" si="16"/>
        <v>1</v>
      </c>
      <c r="AE24" s="40">
        <f t="shared" si="16"/>
        <v>1073</v>
      </c>
      <c r="AF24" s="40">
        <f t="shared" si="16"/>
        <v>1567</v>
      </c>
    </row>
    <row r="25" spans="2:32" ht="23.1" customHeight="1" x14ac:dyDescent="0.25">
      <c r="B25" s="23" t="s">
        <v>52</v>
      </c>
      <c r="C25" s="50">
        <v>142</v>
      </c>
      <c r="D25" s="50">
        <v>20</v>
      </c>
      <c r="E25" s="50">
        <v>13</v>
      </c>
      <c r="F25" s="50">
        <v>28</v>
      </c>
      <c r="G25" s="50">
        <v>0</v>
      </c>
      <c r="H25" s="50">
        <v>0</v>
      </c>
      <c r="I25" s="50">
        <v>4</v>
      </c>
      <c r="J25" s="50">
        <v>3</v>
      </c>
      <c r="K25" s="50">
        <v>0</v>
      </c>
      <c r="L25" s="50">
        <v>5</v>
      </c>
      <c r="M25" s="50">
        <v>113</v>
      </c>
      <c r="N25" s="50">
        <v>0</v>
      </c>
      <c r="O25" s="15">
        <f t="shared" si="0"/>
        <v>215</v>
      </c>
      <c r="P25" s="15">
        <f t="shared" si="1"/>
        <v>328</v>
      </c>
      <c r="R25" s="37" t="s">
        <v>85</v>
      </c>
      <c r="S25" s="35">
        <f t="shared" ref="S25:AF25" si="17">SUM(S10:S12)</f>
        <v>912</v>
      </c>
      <c r="T25" s="16">
        <f t="shared" si="17"/>
        <v>209</v>
      </c>
      <c r="U25" s="16">
        <f t="shared" si="17"/>
        <v>92</v>
      </c>
      <c r="V25" s="16">
        <f t="shared" si="17"/>
        <v>371</v>
      </c>
      <c r="W25" s="16">
        <f t="shared" si="17"/>
        <v>49</v>
      </c>
      <c r="X25" s="16">
        <f t="shared" si="17"/>
        <v>12</v>
      </c>
      <c r="Y25" s="16">
        <f t="shared" si="17"/>
        <v>130</v>
      </c>
      <c r="Z25" s="16">
        <f t="shared" si="17"/>
        <v>47</v>
      </c>
      <c r="AA25" s="16">
        <f t="shared" si="17"/>
        <v>12</v>
      </c>
      <c r="AB25" s="16">
        <f t="shared" si="17"/>
        <v>47</v>
      </c>
      <c r="AC25" s="16">
        <f t="shared" si="17"/>
        <v>1401</v>
      </c>
      <c r="AD25" s="16">
        <f t="shared" si="17"/>
        <v>0</v>
      </c>
      <c r="AE25" s="32">
        <f t="shared" si="17"/>
        <v>1881</v>
      </c>
      <c r="AF25" s="32">
        <f t="shared" si="17"/>
        <v>3282</v>
      </c>
    </row>
    <row r="26" spans="2:32" ht="23.1" customHeight="1" x14ac:dyDescent="0.25">
      <c r="B26" s="23" t="s">
        <v>53</v>
      </c>
      <c r="C26" s="50">
        <v>88</v>
      </c>
      <c r="D26" s="50">
        <v>17</v>
      </c>
      <c r="E26" s="50">
        <v>14</v>
      </c>
      <c r="F26" s="50">
        <v>22</v>
      </c>
      <c r="G26" s="50">
        <v>0</v>
      </c>
      <c r="H26" s="50">
        <v>0</v>
      </c>
      <c r="I26" s="50">
        <v>7</v>
      </c>
      <c r="J26" s="50">
        <v>2</v>
      </c>
      <c r="K26" s="50">
        <v>3</v>
      </c>
      <c r="L26" s="50">
        <v>28</v>
      </c>
      <c r="M26" s="50">
        <v>112</v>
      </c>
      <c r="N26" s="50">
        <v>0</v>
      </c>
      <c r="O26" s="15">
        <f t="shared" si="0"/>
        <v>181</v>
      </c>
      <c r="P26" s="15">
        <f t="shared" si="1"/>
        <v>293</v>
      </c>
      <c r="R26" s="28" t="s">
        <v>86</v>
      </c>
      <c r="S26" s="16">
        <f t="shared" ref="S26:AF26" si="18">SUM(S13:S18)</f>
        <v>2102</v>
      </c>
      <c r="T26" s="16">
        <f t="shared" si="18"/>
        <v>739</v>
      </c>
      <c r="U26" s="16">
        <f t="shared" si="18"/>
        <v>366</v>
      </c>
      <c r="V26" s="16">
        <f t="shared" si="18"/>
        <v>913</v>
      </c>
      <c r="W26" s="16">
        <f t="shared" si="18"/>
        <v>23</v>
      </c>
      <c r="X26" s="16">
        <f t="shared" si="18"/>
        <v>4</v>
      </c>
      <c r="Y26" s="16">
        <f t="shared" si="18"/>
        <v>225</v>
      </c>
      <c r="Z26" s="16">
        <f t="shared" si="18"/>
        <v>100</v>
      </c>
      <c r="AA26" s="16">
        <f t="shared" si="18"/>
        <v>52</v>
      </c>
      <c r="AB26" s="16">
        <f t="shared" si="18"/>
        <v>122</v>
      </c>
      <c r="AC26" s="16">
        <f t="shared" si="18"/>
        <v>2815</v>
      </c>
      <c r="AD26" s="16">
        <f t="shared" si="18"/>
        <v>0</v>
      </c>
      <c r="AE26" s="32">
        <f t="shared" si="18"/>
        <v>4646</v>
      </c>
      <c r="AF26" s="32">
        <f t="shared" si="18"/>
        <v>7461</v>
      </c>
    </row>
    <row r="27" spans="2:32" ht="23.1" customHeight="1" x14ac:dyDescent="0.25">
      <c r="B27" s="23" t="s">
        <v>54</v>
      </c>
      <c r="C27" s="50">
        <v>57</v>
      </c>
      <c r="D27" s="50">
        <v>26</v>
      </c>
      <c r="E27" s="50">
        <v>12</v>
      </c>
      <c r="F27" s="50">
        <v>30</v>
      </c>
      <c r="G27" s="50">
        <v>0</v>
      </c>
      <c r="H27" s="50">
        <v>0</v>
      </c>
      <c r="I27" s="50">
        <v>12</v>
      </c>
      <c r="J27" s="50">
        <v>5</v>
      </c>
      <c r="K27" s="50">
        <v>0</v>
      </c>
      <c r="L27" s="50">
        <v>8</v>
      </c>
      <c r="M27" s="50">
        <v>138</v>
      </c>
      <c r="N27" s="50">
        <v>0</v>
      </c>
      <c r="O27" s="15">
        <f t="shared" si="0"/>
        <v>150</v>
      </c>
      <c r="P27" s="15">
        <f t="shared" si="1"/>
        <v>288</v>
      </c>
      <c r="R27" s="29" t="s">
        <v>87</v>
      </c>
      <c r="S27" s="16">
        <f t="shared" ref="S27:AF27" si="19">SUM(S19:S21)</f>
        <v>1375</v>
      </c>
      <c r="T27" s="16">
        <f t="shared" si="19"/>
        <v>487</v>
      </c>
      <c r="U27" s="16">
        <f t="shared" si="19"/>
        <v>149</v>
      </c>
      <c r="V27" s="16">
        <f t="shared" si="19"/>
        <v>387</v>
      </c>
      <c r="W27" s="16">
        <f t="shared" si="19"/>
        <v>13</v>
      </c>
      <c r="X27" s="16">
        <f t="shared" si="19"/>
        <v>7</v>
      </c>
      <c r="Y27" s="16">
        <f t="shared" si="19"/>
        <v>102</v>
      </c>
      <c r="Z27" s="16">
        <f t="shared" si="19"/>
        <v>42</v>
      </c>
      <c r="AA27" s="16">
        <f t="shared" si="19"/>
        <v>15</v>
      </c>
      <c r="AB27" s="16">
        <f t="shared" si="19"/>
        <v>51</v>
      </c>
      <c r="AC27" s="16">
        <f t="shared" si="19"/>
        <v>1416</v>
      </c>
      <c r="AD27" s="16">
        <f t="shared" si="19"/>
        <v>1</v>
      </c>
      <c r="AE27" s="32">
        <f t="shared" si="19"/>
        <v>2629</v>
      </c>
      <c r="AF27" s="32">
        <f t="shared" si="19"/>
        <v>4045</v>
      </c>
    </row>
    <row r="28" spans="2:32" ht="23.1" customHeight="1" x14ac:dyDescent="0.25">
      <c r="B28" s="23" t="s">
        <v>55</v>
      </c>
      <c r="C28" s="50">
        <v>185</v>
      </c>
      <c r="D28" s="50">
        <v>22</v>
      </c>
      <c r="E28" s="50">
        <v>10</v>
      </c>
      <c r="F28" s="50">
        <v>26</v>
      </c>
      <c r="G28" s="50">
        <v>0</v>
      </c>
      <c r="H28" s="50">
        <v>0</v>
      </c>
      <c r="I28" s="50">
        <v>10</v>
      </c>
      <c r="J28" s="50">
        <v>7</v>
      </c>
      <c r="K28" s="50">
        <v>1</v>
      </c>
      <c r="L28" s="50">
        <v>4</v>
      </c>
      <c r="M28" s="50">
        <v>140</v>
      </c>
      <c r="N28" s="50">
        <v>0</v>
      </c>
      <c r="O28" s="15">
        <f t="shared" si="0"/>
        <v>265</v>
      </c>
      <c r="P28" s="15">
        <f t="shared" si="1"/>
        <v>405</v>
      </c>
      <c r="R28" s="5" t="s">
        <v>17</v>
      </c>
      <c r="S28" s="16">
        <f t="shared" ref="S28:AF28" si="20">SUM(S10:S21)</f>
        <v>4389</v>
      </c>
      <c r="T28" s="16">
        <f t="shared" si="20"/>
        <v>1435</v>
      </c>
      <c r="U28" s="16">
        <f t="shared" si="20"/>
        <v>607</v>
      </c>
      <c r="V28" s="16">
        <f t="shared" si="20"/>
        <v>1671</v>
      </c>
      <c r="W28" s="16">
        <f t="shared" si="20"/>
        <v>85</v>
      </c>
      <c r="X28" s="16">
        <f t="shared" si="20"/>
        <v>23</v>
      </c>
      <c r="Y28" s="16">
        <f t="shared" si="20"/>
        <v>457</v>
      </c>
      <c r="Z28" s="16">
        <f t="shared" si="20"/>
        <v>189</v>
      </c>
      <c r="AA28" s="16">
        <f t="shared" si="20"/>
        <v>79</v>
      </c>
      <c r="AB28" s="16">
        <f t="shared" si="20"/>
        <v>220</v>
      </c>
      <c r="AC28" s="16">
        <f t="shared" si="20"/>
        <v>5632</v>
      </c>
      <c r="AD28" s="16">
        <f t="shared" si="20"/>
        <v>1</v>
      </c>
      <c r="AE28" s="32">
        <f t="shared" si="20"/>
        <v>9156</v>
      </c>
      <c r="AF28" s="32">
        <f t="shared" si="20"/>
        <v>14788</v>
      </c>
    </row>
    <row r="29" spans="2:32" ht="23.1" customHeight="1" x14ac:dyDescent="0.25">
      <c r="B29" s="23" t="s">
        <v>56</v>
      </c>
      <c r="C29" s="50">
        <v>125</v>
      </c>
      <c r="D29" s="50">
        <v>54</v>
      </c>
      <c r="E29" s="50">
        <v>7</v>
      </c>
      <c r="F29" s="50">
        <v>43</v>
      </c>
      <c r="G29" s="50">
        <v>0</v>
      </c>
      <c r="H29" s="50">
        <v>1</v>
      </c>
      <c r="I29" s="50">
        <v>7</v>
      </c>
      <c r="J29" s="50">
        <v>2</v>
      </c>
      <c r="K29" s="50">
        <v>1</v>
      </c>
      <c r="L29" s="50">
        <v>3</v>
      </c>
      <c r="M29" s="50">
        <v>112</v>
      </c>
      <c r="N29" s="50">
        <v>0</v>
      </c>
      <c r="O29" s="15">
        <f t="shared" si="0"/>
        <v>243</v>
      </c>
      <c r="P29" s="15">
        <f t="shared" si="1"/>
        <v>355</v>
      </c>
      <c r="R29"/>
      <c r="S29" s="20"/>
      <c r="T29" s="19"/>
    </row>
    <row r="30" spans="2:32" ht="23.1" customHeight="1" x14ac:dyDescent="0.25">
      <c r="B30" s="23" t="s">
        <v>57</v>
      </c>
      <c r="C30" s="50">
        <v>92</v>
      </c>
      <c r="D30" s="50">
        <v>21</v>
      </c>
      <c r="E30" s="50">
        <v>17</v>
      </c>
      <c r="F30" s="50">
        <v>34</v>
      </c>
      <c r="G30" s="50">
        <v>0</v>
      </c>
      <c r="H30" s="50">
        <v>0</v>
      </c>
      <c r="I30" s="50">
        <v>7</v>
      </c>
      <c r="J30" s="50">
        <v>4</v>
      </c>
      <c r="K30" s="50">
        <v>3</v>
      </c>
      <c r="L30" s="50">
        <v>3</v>
      </c>
      <c r="M30" s="50">
        <v>104</v>
      </c>
      <c r="N30" s="50">
        <v>0</v>
      </c>
      <c r="O30" s="15">
        <f t="shared" si="0"/>
        <v>181</v>
      </c>
      <c r="P30" s="15">
        <f t="shared" si="1"/>
        <v>285</v>
      </c>
    </row>
    <row r="31" spans="2:32" ht="23.1" customHeight="1" x14ac:dyDescent="0.25">
      <c r="B31" s="24" t="s">
        <v>58</v>
      </c>
      <c r="C31" s="50">
        <v>95</v>
      </c>
      <c r="D31" s="50">
        <v>7</v>
      </c>
      <c r="E31" s="50">
        <v>8</v>
      </c>
      <c r="F31" s="50">
        <v>47</v>
      </c>
      <c r="G31" s="50">
        <v>2</v>
      </c>
      <c r="H31" s="50">
        <v>0</v>
      </c>
      <c r="I31" s="50">
        <v>10</v>
      </c>
      <c r="J31" s="50">
        <v>1</v>
      </c>
      <c r="K31" s="50">
        <v>1</v>
      </c>
      <c r="L31" s="50">
        <v>3</v>
      </c>
      <c r="M31" s="50">
        <v>108</v>
      </c>
      <c r="N31" s="50">
        <v>0</v>
      </c>
      <c r="O31" s="15">
        <f t="shared" si="0"/>
        <v>174</v>
      </c>
      <c r="P31" s="15">
        <f t="shared" si="1"/>
        <v>282</v>
      </c>
    </row>
    <row r="32" spans="2:32" ht="23.1" customHeight="1" x14ac:dyDescent="0.25">
      <c r="B32" s="24" t="s">
        <v>59</v>
      </c>
      <c r="C32" s="50">
        <v>117</v>
      </c>
      <c r="D32" s="50">
        <v>38</v>
      </c>
      <c r="E32" s="50">
        <v>16</v>
      </c>
      <c r="F32" s="50">
        <v>46</v>
      </c>
      <c r="G32" s="50">
        <v>1</v>
      </c>
      <c r="H32" s="50">
        <v>0</v>
      </c>
      <c r="I32" s="50">
        <v>8</v>
      </c>
      <c r="J32" s="50">
        <v>4</v>
      </c>
      <c r="K32" s="50">
        <v>3</v>
      </c>
      <c r="L32" s="50">
        <v>5</v>
      </c>
      <c r="M32" s="50">
        <v>148</v>
      </c>
      <c r="N32" s="50">
        <v>0</v>
      </c>
      <c r="O32" s="15">
        <f t="shared" si="0"/>
        <v>238</v>
      </c>
      <c r="P32" s="15">
        <f t="shared" si="1"/>
        <v>386</v>
      </c>
    </row>
    <row r="33" spans="2:20" ht="23.1" customHeight="1" x14ac:dyDescent="0.25">
      <c r="B33" s="23" t="s">
        <v>60</v>
      </c>
      <c r="C33" s="50">
        <v>84</v>
      </c>
      <c r="D33" s="50">
        <v>67</v>
      </c>
      <c r="E33" s="50">
        <v>43</v>
      </c>
      <c r="F33" s="50">
        <v>63</v>
      </c>
      <c r="G33" s="50">
        <v>0</v>
      </c>
      <c r="H33" s="50">
        <v>0</v>
      </c>
      <c r="I33" s="50">
        <v>9</v>
      </c>
      <c r="J33" s="50">
        <v>3</v>
      </c>
      <c r="K33" s="50">
        <v>2</v>
      </c>
      <c r="L33" s="50">
        <v>2</v>
      </c>
      <c r="M33" s="50">
        <v>144</v>
      </c>
      <c r="N33" s="50">
        <v>0</v>
      </c>
      <c r="O33" s="15">
        <f t="shared" si="0"/>
        <v>273</v>
      </c>
      <c r="P33" s="15">
        <f t="shared" si="1"/>
        <v>417</v>
      </c>
    </row>
    <row r="34" spans="2:20" ht="23.1" customHeight="1" x14ac:dyDescent="0.25">
      <c r="B34" s="24" t="s">
        <v>61</v>
      </c>
      <c r="C34" s="50">
        <v>70</v>
      </c>
      <c r="D34" s="50">
        <v>9</v>
      </c>
      <c r="E34" s="50">
        <v>7</v>
      </c>
      <c r="F34" s="50">
        <v>34</v>
      </c>
      <c r="G34" s="50">
        <v>2</v>
      </c>
      <c r="H34" s="50">
        <v>0</v>
      </c>
      <c r="I34" s="50">
        <v>11</v>
      </c>
      <c r="J34" s="50">
        <v>7</v>
      </c>
      <c r="K34" s="50">
        <v>3</v>
      </c>
      <c r="L34" s="50">
        <v>0</v>
      </c>
      <c r="M34" s="50">
        <v>147</v>
      </c>
      <c r="N34" s="50">
        <v>0</v>
      </c>
      <c r="O34" s="15">
        <f t="shared" si="0"/>
        <v>143</v>
      </c>
      <c r="P34" s="15">
        <f t="shared" si="1"/>
        <v>290</v>
      </c>
    </row>
    <row r="35" spans="2:20" ht="23.1" customHeight="1" x14ac:dyDescent="0.25">
      <c r="B35" s="24" t="s">
        <v>62</v>
      </c>
      <c r="C35" s="50">
        <v>72</v>
      </c>
      <c r="D35" s="50">
        <v>13</v>
      </c>
      <c r="E35" s="50">
        <v>11</v>
      </c>
      <c r="F35" s="50">
        <v>27</v>
      </c>
      <c r="G35" s="50">
        <v>0</v>
      </c>
      <c r="H35" s="50">
        <v>0</v>
      </c>
      <c r="I35" s="50">
        <v>6</v>
      </c>
      <c r="J35" s="50">
        <v>2</v>
      </c>
      <c r="K35" s="50">
        <v>1</v>
      </c>
      <c r="L35" s="50">
        <v>2</v>
      </c>
      <c r="M35" s="50">
        <v>128</v>
      </c>
      <c r="N35" s="50">
        <v>0</v>
      </c>
      <c r="O35" s="15">
        <f t="shared" si="0"/>
        <v>134</v>
      </c>
      <c r="P35" s="15">
        <f t="shared" si="1"/>
        <v>262</v>
      </c>
    </row>
    <row r="36" spans="2:20" ht="23.1" customHeight="1" x14ac:dyDescent="0.25">
      <c r="B36" s="24" t="s">
        <v>63</v>
      </c>
      <c r="C36" s="50">
        <v>47</v>
      </c>
      <c r="D36" s="50">
        <v>10</v>
      </c>
      <c r="E36" s="50">
        <v>14</v>
      </c>
      <c r="F36" s="50">
        <v>33</v>
      </c>
      <c r="G36" s="50">
        <v>1</v>
      </c>
      <c r="H36" s="50">
        <v>0</v>
      </c>
      <c r="I36" s="50">
        <v>4</v>
      </c>
      <c r="J36" s="50">
        <v>2</v>
      </c>
      <c r="K36" s="50">
        <v>3</v>
      </c>
      <c r="L36" s="50">
        <v>3</v>
      </c>
      <c r="M36" s="50">
        <v>118</v>
      </c>
      <c r="N36" s="50">
        <v>0</v>
      </c>
      <c r="O36" s="15">
        <f t="shared" si="0"/>
        <v>117</v>
      </c>
      <c r="P36" s="15">
        <f t="shared" si="1"/>
        <v>235</v>
      </c>
    </row>
    <row r="37" spans="2:20" ht="23.1" customHeight="1" x14ac:dyDescent="0.25">
      <c r="B37" s="23" t="s">
        <v>64</v>
      </c>
      <c r="C37" s="50">
        <v>90</v>
      </c>
      <c r="D37" s="50">
        <v>41</v>
      </c>
      <c r="E37" s="50">
        <v>16</v>
      </c>
      <c r="F37" s="50">
        <v>69</v>
      </c>
      <c r="G37" s="50">
        <v>0</v>
      </c>
      <c r="H37" s="50">
        <v>0</v>
      </c>
      <c r="I37" s="50">
        <v>12</v>
      </c>
      <c r="J37" s="50">
        <v>1</v>
      </c>
      <c r="K37" s="50">
        <v>2</v>
      </c>
      <c r="L37" s="50">
        <v>10</v>
      </c>
      <c r="M37" s="50">
        <v>155</v>
      </c>
      <c r="N37" s="50">
        <v>0</v>
      </c>
      <c r="O37" s="15">
        <f t="shared" si="0"/>
        <v>241</v>
      </c>
      <c r="P37" s="15">
        <f t="shared" si="1"/>
        <v>396</v>
      </c>
    </row>
    <row r="38" spans="2:20" ht="23.1" customHeight="1" x14ac:dyDescent="0.25">
      <c r="B38" s="24" t="s">
        <v>65</v>
      </c>
      <c r="C38" s="50">
        <v>63</v>
      </c>
      <c r="D38" s="50">
        <v>53</v>
      </c>
      <c r="E38" s="50">
        <v>9</v>
      </c>
      <c r="F38" s="50">
        <v>46</v>
      </c>
      <c r="G38" s="50">
        <v>0</v>
      </c>
      <c r="H38" s="50">
        <v>0</v>
      </c>
      <c r="I38" s="50">
        <v>8</v>
      </c>
      <c r="J38" s="50">
        <v>5</v>
      </c>
      <c r="K38" s="50">
        <v>8</v>
      </c>
      <c r="L38" s="50">
        <v>3</v>
      </c>
      <c r="M38" s="50">
        <v>67</v>
      </c>
      <c r="N38" s="50">
        <v>0</v>
      </c>
      <c r="O38" s="15">
        <f t="shared" si="0"/>
        <v>195</v>
      </c>
      <c r="P38" s="15">
        <f t="shared" si="1"/>
        <v>262</v>
      </c>
    </row>
    <row r="39" spans="2:20" ht="23.1" customHeight="1" x14ac:dyDescent="0.25">
      <c r="B39" s="24" t="s">
        <v>66</v>
      </c>
      <c r="C39" s="50">
        <v>60</v>
      </c>
      <c r="D39" s="50">
        <v>57</v>
      </c>
      <c r="E39" s="50">
        <v>13</v>
      </c>
      <c r="F39" s="50">
        <v>32</v>
      </c>
      <c r="G39" s="50">
        <v>0</v>
      </c>
      <c r="H39" s="50">
        <v>0</v>
      </c>
      <c r="I39" s="50">
        <v>13</v>
      </c>
      <c r="J39" s="50">
        <v>4</v>
      </c>
      <c r="K39" s="50">
        <v>5</v>
      </c>
      <c r="L39" s="50">
        <v>2</v>
      </c>
      <c r="M39" s="50">
        <v>100</v>
      </c>
      <c r="N39" s="50">
        <v>0</v>
      </c>
      <c r="O39" s="15">
        <f t="shared" si="0"/>
        <v>186</v>
      </c>
      <c r="P39" s="15">
        <f t="shared" si="1"/>
        <v>286</v>
      </c>
    </row>
    <row r="40" spans="2:20" ht="23.1" customHeight="1" x14ac:dyDescent="0.25">
      <c r="B40" s="24" t="s">
        <v>67</v>
      </c>
      <c r="C40" s="50">
        <v>65</v>
      </c>
      <c r="D40" s="50">
        <v>52</v>
      </c>
      <c r="E40" s="50">
        <v>26</v>
      </c>
      <c r="F40" s="50">
        <v>42</v>
      </c>
      <c r="G40" s="50">
        <v>2</v>
      </c>
      <c r="H40" s="50">
        <v>1</v>
      </c>
      <c r="I40" s="50">
        <v>8</v>
      </c>
      <c r="J40" s="50">
        <v>4</v>
      </c>
      <c r="K40" s="50">
        <v>2</v>
      </c>
      <c r="L40" s="50">
        <v>8</v>
      </c>
      <c r="M40" s="50">
        <v>82</v>
      </c>
      <c r="N40" s="50">
        <v>0</v>
      </c>
      <c r="O40" s="15">
        <f t="shared" si="0"/>
        <v>210</v>
      </c>
      <c r="P40" s="15">
        <f t="shared" si="1"/>
        <v>292</v>
      </c>
    </row>
    <row r="41" spans="2:20" ht="23.1" customHeight="1" x14ac:dyDescent="0.25">
      <c r="B41" s="23" t="s">
        <v>68</v>
      </c>
      <c r="C41" s="50">
        <v>70</v>
      </c>
      <c r="D41" s="50">
        <v>43</v>
      </c>
      <c r="E41" s="50">
        <v>28</v>
      </c>
      <c r="F41" s="50">
        <v>85</v>
      </c>
      <c r="G41" s="50">
        <v>0</v>
      </c>
      <c r="H41" s="50">
        <v>0</v>
      </c>
      <c r="I41" s="50">
        <v>9</v>
      </c>
      <c r="J41" s="50">
        <v>4</v>
      </c>
      <c r="K41" s="50">
        <v>3</v>
      </c>
      <c r="L41" s="50">
        <v>3</v>
      </c>
      <c r="M41" s="50">
        <v>118</v>
      </c>
      <c r="N41" s="50">
        <v>0</v>
      </c>
      <c r="O41" s="15">
        <f t="shared" si="0"/>
        <v>245</v>
      </c>
      <c r="P41" s="15">
        <f t="shared" si="1"/>
        <v>363</v>
      </c>
    </row>
    <row r="42" spans="2:20" ht="23.1" customHeight="1" x14ac:dyDescent="0.25">
      <c r="B42" s="24" t="s">
        <v>69</v>
      </c>
      <c r="C42" s="50">
        <v>63</v>
      </c>
      <c r="D42" s="50">
        <v>43</v>
      </c>
      <c r="E42" s="50">
        <v>18</v>
      </c>
      <c r="F42" s="50">
        <v>47</v>
      </c>
      <c r="G42" s="50">
        <v>1</v>
      </c>
      <c r="H42" s="50">
        <v>0</v>
      </c>
      <c r="I42" s="50">
        <v>16</v>
      </c>
      <c r="J42" s="50">
        <v>8</v>
      </c>
      <c r="K42" s="50">
        <v>3</v>
      </c>
      <c r="L42" s="50">
        <v>6</v>
      </c>
      <c r="M42" s="50">
        <v>83</v>
      </c>
      <c r="N42" s="50">
        <v>0</v>
      </c>
      <c r="O42" s="15">
        <f t="shared" si="0"/>
        <v>205</v>
      </c>
      <c r="P42" s="15">
        <f t="shared" si="1"/>
        <v>288</v>
      </c>
    </row>
    <row r="43" spans="2:20" ht="23.1" customHeight="1" x14ac:dyDescent="0.25">
      <c r="B43" s="23" t="s">
        <v>70</v>
      </c>
      <c r="C43" s="50">
        <v>70</v>
      </c>
      <c r="D43" s="50">
        <v>28</v>
      </c>
      <c r="E43" s="50">
        <v>15</v>
      </c>
      <c r="F43" s="50">
        <v>25</v>
      </c>
      <c r="G43" s="50">
        <v>1</v>
      </c>
      <c r="H43" s="50">
        <v>0</v>
      </c>
      <c r="I43" s="50">
        <v>5</v>
      </c>
      <c r="J43" s="50">
        <v>6</v>
      </c>
      <c r="K43" s="50">
        <v>2</v>
      </c>
      <c r="L43" s="50">
        <v>2</v>
      </c>
      <c r="M43" s="50">
        <v>54</v>
      </c>
      <c r="N43" s="50">
        <v>0</v>
      </c>
      <c r="O43" s="15">
        <f t="shared" si="0"/>
        <v>154</v>
      </c>
      <c r="P43" s="15">
        <f t="shared" si="1"/>
        <v>208</v>
      </c>
    </row>
    <row r="44" spans="2:20" ht="23.1" customHeight="1" x14ac:dyDescent="0.25">
      <c r="B44" s="25" t="s">
        <v>71</v>
      </c>
      <c r="C44" s="50">
        <v>115</v>
      </c>
      <c r="D44" s="50">
        <v>20</v>
      </c>
      <c r="E44" s="50">
        <v>11</v>
      </c>
      <c r="F44" s="50">
        <v>27</v>
      </c>
      <c r="G44" s="50">
        <v>1</v>
      </c>
      <c r="H44" s="50">
        <v>0</v>
      </c>
      <c r="I44" s="50">
        <v>11</v>
      </c>
      <c r="J44" s="50">
        <v>4</v>
      </c>
      <c r="K44" s="50">
        <v>3</v>
      </c>
      <c r="L44" s="50">
        <v>7</v>
      </c>
      <c r="M44" s="50">
        <v>150</v>
      </c>
      <c r="N44" s="50">
        <v>0</v>
      </c>
      <c r="O44" s="15">
        <f t="shared" si="0"/>
        <v>199</v>
      </c>
      <c r="P44" s="15">
        <f t="shared" si="1"/>
        <v>349</v>
      </c>
    </row>
    <row r="45" spans="2:20" ht="23.1" customHeight="1" x14ac:dyDescent="0.25">
      <c r="B45" s="23" t="s">
        <v>72</v>
      </c>
      <c r="C45" s="50">
        <v>95</v>
      </c>
      <c r="D45" s="50">
        <v>22</v>
      </c>
      <c r="E45" s="50">
        <v>23</v>
      </c>
      <c r="F45" s="50">
        <v>25</v>
      </c>
      <c r="G45" s="50">
        <v>0</v>
      </c>
      <c r="H45" s="50">
        <v>1</v>
      </c>
      <c r="I45" s="50">
        <v>13</v>
      </c>
      <c r="J45" s="50">
        <v>4</v>
      </c>
      <c r="K45" s="50">
        <v>0</v>
      </c>
      <c r="L45" s="50">
        <v>4</v>
      </c>
      <c r="M45" s="50">
        <v>150</v>
      </c>
      <c r="N45" s="50">
        <v>0</v>
      </c>
      <c r="O45" s="15">
        <f t="shared" si="0"/>
        <v>187</v>
      </c>
      <c r="P45" s="15">
        <f t="shared" si="1"/>
        <v>337</v>
      </c>
    </row>
    <row r="46" spans="2:20" ht="23.1" customHeight="1" x14ac:dyDescent="0.25">
      <c r="B46" s="24" t="s">
        <v>73</v>
      </c>
      <c r="C46" s="50">
        <v>80</v>
      </c>
      <c r="D46" s="50">
        <v>29</v>
      </c>
      <c r="E46" s="50">
        <v>5</v>
      </c>
      <c r="F46" s="50">
        <v>28</v>
      </c>
      <c r="G46" s="50">
        <v>2</v>
      </c>
      <c r="H46" s="50">
        <v>0</v>
      </c>
      <c r="I46" s="50">
        <v>14</v>
      </c>
      <c r="J46" s="50">
        <v>6</v>
      </c>
      <c r="K46" s="50">
        <v>0</v>
      </c>
      <c r="L46" s="50">
        <v>1</v>
      </c>
      <c r="M46" s="50">
        <v>145</v>
      </c>
      <c r="N46" s="50">
        <v>0</v>
      </c>
      <c r="O46" s="15">
        <f t="shared" si="0"/>
        <v>165</v>
      </c>
      <c r="P46" s="15">
        <f t="shared" si="1"/>
        <v>310</v>
      </c>
      <c r="R46" s="8"/>
      <c r="T46"/>
    </row>
    <row r="47" spans="2:20" ht="23.1" customHeight="1" x14ac:dyDescent="0.25">
      <c r="B47" s="24" t="s">
        <v>74</v>
      </c>
      <c r="C47" s="50">
        <v>130</v>
      </c>
      <c r="D47" s="50">
        <v>43</v>
      </c>
      <c r="E47" s="50">
        <v>13</v>
      </c>
      <c r="F47" s="50">
        <v>27</v>
      </c>
      <c r="G47" s="50">
        <v>2</v>
      </c>
      <c r="H47" s="50">
        <v>0</v>
      </c>
      <c r="I47" s="50">
        <v>15</v>
      </c>
      <c r="J47" s="50">
        <v>9</v>
      </c>
      <c r="K47" s="50">
        <v>1</v>
      </c>
      <c r="L47" s="50">
        <v>8</v>
      </c>
      <c r="M47" s="50">
        <v>116</v>
      </c>
      <c r="N47" s="50">
        <v>0</v>
      </c>
      <c r="O47" s="15">
        <f t="shared" si="0"/>
        <v>248</v>
      </c>
      <c r="P47" s="15">
        <f t="shared" si="1"/>
        <v>364</v>
      </c>
      <c r="R47" s="8"/>
      <c r="T47"/>
    </row>
    <row r="48" spans="2:20" ht="23.1" customHeight="1" x14ac:dyDescent="0.25">
      <c r="B48" s="24" t="s">
        <v>75</v>
      </c>
      <c r="C48" s="50">
        <v>105</v>
      </c>
      <c r="D48" s="50">
        <v>46</v>
      </c>
      <c r="E48" s="50">
        <v>17</v>
      </c>
      <c r="F48" s="50">
        <v>32</v>
      </c>
      <c r="G48" s="50">
        <v>2</v>
      </c>
      <c r="H48" s="50">
        <v>0</v>
      </c>
      <c r="I48" s="50">
        <v>11</v>
      </c>
      <c r="J48" s="50">
        <v>6</v>
      </c>
      <c r="K48" s="50">
        <v>5</v>
      </c>
      <c r="L48" s="50">
        <v>4</v>
      </c>
      <c r="M48" s="50">
        <v>125</v>
      </c>
      <c r="N48" s="50">
        <v>0</v>
      </c>
      <c r="O48" s="15">
        <f t="shared" si="0"/>
        <v>228</v>
      </c>
      <c r="P48" s="15">
        <f t="shared" si="1"/>
        <v>353</v>
      </c>
      <c r="R48" s="8"/>
      <c r="T48"/>
    </row>
    <row r="49" spans="2:20" ht="23.1" customHeight="1" x14ac:dyDescent="0.25">
      <c r="B49" s="23" t="s">
        <v>76</v>
      </c>
      <c r="C49" s="50">
        <v>135</v>
      </c>
      <c r="D49" s="50">
        <v>40</v>
      </c>
      <c r="E49" s="50">
        <v>8</v>
      </c>
      <c r="F49" s="50">
        <v>20</v>
      </c>
      <c r="G49" s="50">
        <v>1</v>
      </c>
      <c r="H49" s="50">
        <v>0</v>
      </c>
      <c r="I49" s="50">
        <v>6</v>
      </c>
      <c r="J49" s="50">
        <v>0</v>
      </c>
      <c r="K49" s="50">
        <v>1</v>
      </c>
      <c r="L49" s="50">
        <v>5</v>
      </c>
      <c r="M49" s="50">
        <v>128</v>
      </c>
      <c r="N49" s="50">
        <v>1</v>
      </c>
      <c r="O49" s="15">
        <f t="shared" si="0"/>
        <v>217</v>
      </c>
      <c r="P49" s="15">
        <f t="shared" si="1"/>
        <v>345</v>
      </c>
      <c r="R49" s="8"/>
      <c r="T49"/>
    </row>
    <row r="50" spans="2:20" ht="23.1" customHeight="1" x14ac:dyDescent="0.25">
      <c r="B50" s="24" t="s">
        <v>77</v>
      </c>
      <c r="C50" s="50">
        <v>91</v>
      </c>
      <c r="D50" s="50">
        <v>20</v>
      </c>
      <c r="E50" s="50">
        <v>6</v>
      </c>
      <c r="F50" s="50">
        <v>28</v>
      </c>
      <c r="G50" s="50">
        <v>1</v>
      </c>
      <c r="H50" s="50">
        <v>0</v>
      </c>
      <c r="I50" s="50">
        <v>4</v>
      </c>
      <c r="J50" s="50">
        <v>3</v>
      </c>
      <c r="K50" s="50">
        <v>2</v>
      </c>
      <c r="L50" s="50">
        <v>5</v>
      </c>
      <c r="M50" s="50">
        <v>92</v>
      </c>
      <c r="N50" s="50">
        <v>0</v>
      </c>
      <c r="O50" s="15">
        <f t="shared" si="0"/>
        <v>160</v>
      </c>
      <c r="P50" s="15">
        <f t="shared" si="1"/>
        <v>252</v>
      </c>
      <c r="R50" s="8"/>
      <c r="T50"/>
    </row>
    <row r="51" spans="2:20" ht="23.1" customHeight="1" x14ac:dyDescent="0.25">
      <c r="B51" s="24" t="s">
        <v>78</v>
      </c>
      <c r="C51" s="50">
        <v>124</v>
      </c>
      <c r="D51" s="50">
        <v>28</v>
      </c>
      <c r="E51" s="50">
        <v>10</v>
      </c>
      <c r="F51" s="50">
        <v>22</v>
      </c>
      <c r="G51" s="50">
        <v>0</v>
      </c>
      <c r="H51" s="50">
        <v>0</v>
      </c>
      <c r="I51" s="50">
        <v>7</v>
      </c>
      <c r="J51" s="50">
        <v>5</v>
      </c>
      <c r="K51" s="50">
        <v>1</v>
      </c>
      <c r="L51" s="50">
        <v>8</v>
      </c>
      <c r="M51" s="50">
        <v>119</v>
      </c>
      <c r="N51" s="50">
        <v>0</v>
      </c>
      <c r="O51" s="15">
        <f t="shared" si="0"/>
        <v>205</v>
      </c>
      <c r="P51" s="15">
        <f t="shared" si="1"/>
        <v>324</v>
      </c>
      <c r="R51" s="8"/>
      <c r="T51"/>
    </row>
    <row r="52" spans="2:20" ht="23.1" customHeight="1" x14ac:dyDescent="0.25">
      <c r="B52" s="24" t="s">
        <v>79</v>
      </c>
      <c r="C52" s="50">
        <v>106</v>
      </c>
      <c r="D52" s="50">
        <v>24</v>
      </c>
      <c r="E52" s="50">
        <v>12</v>
      </c>
      <c r="F52" s="50">
        <v>18</v>
      </c>
      <c r="G52" s="50">
        <v>1</v>
      </c>
      <c r="H52" s="50">
        <v>1</v>
      </c>
      <c r="I52" s="50">
        <v>11</v>
      </c>
      <c r="J52" s="50">
        <v>2</v>
      </c>
      <c r="K52" s="50">
        <v>4</v>
      </c>
      <c r="L52" s="50">
        <v>5</v>
      </c>
      <c r="M52" s="50">
        <v>77</v>
      </c>
      <c r="N52" s="50">
        <v>0</v>
      </c>
      <c r="O52" s="15">
        <f t="shared" si="0"/>
        <v>184</v>
      </c>
      <c r="P52" s="15">
        <f t="shared" si="1"/>
        <v>261</v>
      </c>
      <c r="R52" s="8"/>
      <c r="T52"/>
    </row>
    <row r="53" spans="2:20" ht="23.1" customHeight="1" x14ac:dyDescent="0.25">
      <c r="B53" s="23" t="s">
        <v>80</v>
      </c>
      <c r="C53" s="50">
        <v>82</v>
      </c>
      <c r="D53" s="50">
        <v>18</v>
      </c>
      <c r="E53" s="50">
        <v>9</v>
      </c>
      <c r="F53" s="50">
        <v>26</v>
      </c>
      <c r="G53" s="50">
        <v>0</v>
      </c>
      <c r="H53" s="50">
        <v>0</v>
      </c>
      <c r="I53" s="50">
        <v>9</v>
      </c>
      <c r="J53" s="50">
        <v>0</v>
      </c>
      <c r="K53" s="50">
        <v>0</v>
      </c>
      <c r="L53" s="50">
        <v>5</v>
      </c>
      <c r="M53" s="50">
        <v>120</v>
      </c>
      <c r="N53" s="50">
        <v>0</v>
      </c>
      <c r="O53" s="15">
        <f t="shared" si="0"/>
        <v>149</v>
      </c>
      <c r="P53" s="15">
        <f t="shared" si="1"/>
        <v>269</v>
      </c>
      <c r="R53" s="8"/>
      <c r="T53"/>
    </row>
    <row r="54" spans="2:20" ht="23.1" customHeight="1" x14ac:dyDescent="0.25">
      <c r="B54" s="23" t="s">
        <v>81</v>
      </c>
      <c r="C54" s="50">
        <v>92</v>
      </c>
      <c r="D54" s="50">
        <v>41</v>
      </c>
      <c r="E54" s="50">
        <v>10</v>
      </c>
      <c r="F54" s="50">
        <v>23</v>
      </c>
      <c r="G54" s="50">
        <v>2</v>
      </c>
      <c r="H54" s="50">
        <v>0</v>
      </c>
      <c r="I54" s="50">
        <v>6</v>
      </c>
      <c r="J54" s="50">
        <v>2</v>
      </c>
      <c r="K54" s="50">
        <v>0</v>
      </c>
      <c r="L54" s="50">
        <v>2</v>
      </c>
      <c r="M54" s="50">
        <v>132</v>
      </c>
      <c r="N54" s="50">
        <v>0</v>
      </c>
      <c r="O54" s="15">
        <f t="shared" si="0"/>
        <v>178</v>
      </c>
      <c r="P54" s="15">
        <f t="shared" si="1"/>
        <v>310</v>
      </c>
      <c r="R54" s="8"/>
      <c r="T54"/>
    </row>
    <row r="55" spans="2:20" ht="23.1" customHeight="1" x14ac:dyDescent="0.25">
      <c r="B55" s="23" t="s">
        <v>82</v>
      </c>
      <c r="C55" s="50">
        <v>157</v>
      </c>
      <c r="D55" s="50">
        <v>60</v>
      </c>
      <c r="E55" s="50">
        <v>20</v>
      </c>
      <c r="F55" s="50">
        <v>67</v>
      </c>
      <c r="G55" s="50">
        <v>2</v>
      </c>
      <c r="H55" s="50">
        <v>5</v>
      </c>
      <c r="I55" s="50">
        <v>9</v>
      </c>
      <c r="J55" s="50">
        <v>6</v>
      </c>
      <c r="K55" s="50">
        <v>0</v>
      </c>
      <c r="L55" s="50">
        <v>4</v>
      </c>
      <c r="M55" s="50">
        <v>140</v>
      </c>
      <c r="N55" s="50">
        <v>0</v>
      </c>
      <c r="O55" s="15">
        <f t="shared" si="0"/>
        <v>330</v>
      </c>
      <c r="P55" s="15">
        <f t="shared" si="1"/>
        <v>470</v>
      </c>
      <c r="R55" s="8"/>
      <c r="T55"/>
    </row>
    <row r="56" spans="2:20" ht="23.1" customHeight="1" x14ac:dyDescent="0.25">
      <c r="B56" s="23" t="s">
        <v>83</v>
      </c>
      <c r="C56" s="50">
        <v>153</v>
      </c>
      <c r="D56" s="50">
        <v>76</v>
      </c>
      <c r="E56" s="50">
        <v>23</v>
      </c>
      <c r="F56" s="50">
        <v>52</v>
      </c>
      <c r="G56" s="50">
        <v>0</v>
      </c>
      <c r="H56" s="50">
        <v>1</v>
      </c>
      <c r="I56" s="50">
        <v>4</v>
      </c>
      <c r="J56" s="50">
        <v>0</v>
      </c>
      <c r="K56" s="50">
        <v>0</v>
      </c>
      <c r="L56" s="50">
        <v>4</v>
      </c>
      <c r="M56" s="50">
        <v>128</v>
      </c>
      <c r="N56" s="50">
        <v>0</v>
      </c>
      <c r="O56" s="15">
        <f t="shared" si="0"/>
        <v>313</v>
      </c>
      <c r="P56" s="15">
        <f t="shared" si="1"/>
        <v>441</v>
      </c>
      <c r="R56" s="8"/>
      <c r="T56"/>
    </row>
    <row r="57" spans="2:20" ht="23.1" customHeight="1" x14ac:dyDescent="0.25">
      <c r="B57" s="23" t="s">
        <v>84</v>
      </c>
      <c r="C57" s="50">
        <v>120</v>
      </c>
      <c r="D57" s="50">
        <v>62</v>
      </c>
      <c r="E57" s="50">
        <v>16</v>
      </c>
      <c r="F57" s="50">
        <v>44</v>
      </c>
      <c r="G57" s="50">
        <v>0</v>
      </c>
      <c r="H57" s="50">
        <v>0</v>
      </c>
      <c r="I57" s="50">
        <v>6</v>
      </c>
      <c r="J57" s="50">
        <v>3</v>
      </c>
      <c r="K57" s="50">
        <v>1</v>
      </c>
      <c r="L57" s="50">
        <v>0</v>
      </c>
      <c r="M57" s="50">
        <v>94</v>
      </c>
      <c r="N57" s="50">
        <v>0</v>
      </c>
      <c r="O57" s="15">
        <f t="shared" si="0"/>
        <v>252</v>
      </c>
      <c r="P57" s="15">
        <f t="shared" si="1"/>
        <v>346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4389</v>
      </c>
      <c r="D58" s="16">
        <f t="shared" si="21"/>
        <v>1435</v>
      </c>
      <c r="E58" s="16">
        <f t="shared" si="21"/>
        <v>607</v>
      </c>
      <c r="F58" s="16">
        <f t="shared" si="21"/>
        <v>1671</v>
      </c>
      <c r="G58" s="16">
        <f t="shared" si="21"/>
        <v>85</v>
      </c>
      <c r="H58" s="16">
        <f t="shared" si="21"/>
        <v>23</v>
      </c>
      <c r="I58" s="16">
        <f t="shared" si="21"/>
        <v>457</v>
      </c>
      <c r="J58" s="16">
        <f t="shared" si="21"/>
        <v>189</v>
      </c>
      <c r="K58" s="16">
        <f t="shared" si="21"/>
        <v>79</v>
      </c>
      <c r="L58" s="16">
        <f t="shared" si="21"/>
        <v>220</v>
      </c>
      <c r="M58" s="16">
        <f t="shared" si="21"/>
        <v>5632</v>
      </c>
      <c r="N58" s="16">
        <f t="shared" si="21"/>
        <v>1</v>
      </c>
      <c r="O58" s="16">
        <f t="shared" si="21"/>
        <v>9156</v>
      </c>
      <c r="P58" s="16">
        <f t="shared" si="21"/>
        <v>14788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0.29679469840411143</v>
      </c>
      <c r="D59" s="43">
        <f t="shared" si="22"/>
        <v>9.7038139031647277E-2</v>
      </c>
      <c r="E59" s="43">
        <f t="shared" si="22"/>
        <v>4.104679469840411E-2</v>
      </c>
      <c r="F59" s="43">
        <f t="shared" si="22"/>
        <v>0.11299702461455234</v>
      </c>
      <c r="G59" s="43">
        <f t="shared" si="22"/>
        <v>5.7479037057073306E-3</v>
      </c>
      <c r="H59" s="43">
        <f t="shared" si="22"/>
        <v>1.5553151203678659E-3</v>
      </c>
      <c r="I59" s="43">
        <f t="shared" si="22"/>
        <v>3.0903435217744118E-2</v>
      </c>
      <c r="J59" s="43">
        <f t="shared" si="22"/>
        <v>1.2780632945631594E-2</v>
      </c>
      <c r="K59" s="43">
        <f t="shared" si="22"/>
        <v>5.3421693264809307E-3</v>
      </c>
      <c r="L59" s="43">
        <f t="shared" si="22"/>
        <v>1.4876927238301325E-2</v>
      </c>
      <c r="M59" s="43">
        <f t="shared" si="22"/>
        <v>0.38084933730051396</v>
      </c>
      <c r="N59" s="43">
        <f t="shared" si="22"/>
        <v>6.7622396537733297E-5</v>
      </c>
      <c r="R59" s="8"/>
      <c r="T59"/>
    </row>
    <row r="60" spans="2:20" ht="23.1" customHeight="1" x14ac:dyDescent="0.25">
      <c r="B60" s="42" t="s">
        <v>94</v>
      </c>
      <c r="C60" s="44">
        <f>C58/$O$58</f>
        <v>0.47935779816513763</v>
      </c>
      <c r="D60" s="44">
        <f t="shared" ref="D60:N60" si="23">D58/$O$58</f>
        <v>0.15672782874617738</v>
      </c>
      <c r="E60" s="44">
        <f t="shared" si="23"/>
        <v>6.6295325469637401E-2</v>
      </c>
      <c r="F60" s="44">
        <f t="shared" si="23"/>
        <v>0.18250327653997378</v>
      </c>
      <c r="G60" s="44">
        <f t="shared" si="23"/>
        <v>9.2835299257317608E-3</v>
      </c>
      <c r="H60" s="44">
        <f t="shared" si="23"/>
        <v>2.5120139799038881E-3</v>
      </c>
      <c r="I60" s="44">
        <f t="shared" si="23"/>
        <v>4.9912625600698993E-2</v>
      </c>
      <c r="J60" s="44">
        <f t="shared" si="23"/>
        <v>2.0642201834862386E-2</v>
      </c>
      <c r="K60" s="44">
        <f t="shared" si="23"/>
        <v>8.6282219309742249E-3</v>
      </c>
      <c r="L60" s="44">
        <f t="shared" si="23"/>
        <v>2.4027959807776323E-2</v>
      </c>
      <c r="M60" s="44"/>
      <c r="N60" s="44">
        <f t="shared" si="23"/>
        <v>1.0921799912625601E-4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E62" zoomScale="60" workbookViewId="0">
      <selection activeCell="AB78" sqref="AB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'28.07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'28.07 Lubigi-Masanafu'!G5:H5</f>
        <v>Northern Bypass</v>
      </c>
      <c r="H5" s="68"/>
      <c r="I5" s="14"/>
      <c r="J5" s="2" t="s">
        <v>5</v>
      </c>
      <c r="K5" s="67" t="str">
        <f>'28.07 Lubigi-Masanafu'!K5:L5</f>
        <v>Higenyi Edward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'28.07 Lubigi-Masanafu'!D6:E6</f>
        <v>Lubigi</v>
      </c>
      <c r="E6" s="68"/>
      <c r="F6" s="2" t="s">
        <v>2</v>
      </c>
      <c r="G6" s="67" t="str">
        <f>'28.07 Lubigi-Masanafu'!G6:H6</f>
        <v>Masanafu</v>
      </c>
      <c r="H6" s="68"/>
      <c r="J6" s="2" t="s">
        <v>21</v>
      </c>
      <c r="K6" s="67" t="str">
        <f>'28.07 Lubigi-Masanafu'!K6:L6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Lubigi-Masanafu'!C10,'23.07 Lubigi-Masanafu'!C10,'24.07 Lubigi-Masanafu'!C10,'25.07 Lubigi-Masanafu'!C10,'26.07 Lubigi-Masanafu-24h'!C10,'27.07 Lubigi-Masanafu-24h'!C10,'28.07 Lubigi-Masanafu'!C10)</f>
        <v>41.857142857142854</v>
      </c>
      <c r="D10" s="49">
        <f>AVERAGE('22.07 Lubigi-Masanafu'!D10,'23.07 Lubigi-Masanafu'!D10,'24.07 Lubigi-Masanafu'!D10,'25.07 Lubigi-Masanafu'!D10,'26.07 Lubigi-Masanafu-24h'!D10,'27.07 Lubigi-Masanafu-24h'!D10,'28.07 Lubigi-Masanafu'!D10)</f>
        <v>9.5714285714285712</v>
      </c>
      <c r="E10" s="49">
        <f>AVERAGE('22.07 Lubigi-Masanafu'!E10,'23.07 Lubigi-Masanafu'!E10,'24.07 Lubigi-Masanafu'!E10,'25.07 Lubigi-Masanafu'!E10,'26.07 Lubigi-Masanafu-24h'!E10,'27.07 Lubigi-Masanafu-24h'!E10,'28.07 Lubigi-Masanafu'!E10)</f>
        <v>6.5714285714285712</v>
      </c>
      <c r="F10" s="49">
        <f>AVERAGE('22.07 Lubigi-Masanafu'!F10,'23.07 Lubigi-Masanafu'!F10,'24.07 Lubigi-Masanafu'!F10,'25.07 Lubigi-Masanafu'!F10,'26.07 Lubigi-Masanafu-24h'!F10,'27.07 Lubigi-Masanafu-24h'!F10,'28.07 Lubigi-Masanafu'!F10)</f>
        <v>21.714285714285715</v>
      </c>
      <c r="G10" s="49">
        <f>AVERAGE('22.07 Lubigi-Masanafu'!G10,'23.07 Lubigi-Masanafu'!G10,'24.07 Lubigi-Masanafu'!G10,'25.07 Lubigi-Masanafu'!G10,'26.07 Lubigi-Masanafu-24h'!G10,'27.07 Lubigi-Masanafu-24h'!G10,'28.07 Lubigi-Masanafu'!G10)</f>
        <v>2.1428571428571428</v>
      </c>
      <c r="H10" s="49">
        <f>AVERAGE('22.07 Lubigi-Masanafu'!H10,'23.07 Lubigi-Masanafu'!H10,'24.07 Lubigi-Masanafu'!H10,'25.07 Lubigi-Masanafu'!H10,'26.07 Lubigi-Masanafu-24h'!H10,'27.07 Lubigi-Masanafu-24h'!H10,'28.07 Lubigi-Masanafu'!H10)</f>
        <v>0.14285714285714285</v>
      </c>
      <c r="I10" s="49">
        <f>AVERAGE('22.07 Lubigi-Masanafu'!I10,'23.07 Lubigi-Masanafu'!I10,'24.07 Lubigi-Masanafu'!I10,'25.07 Lubigi-Masanafu'!I10,'26.07 Lubigi-Masanafu-24h'!I10,'27.07 Lubigi-Masanafu-24h'!I10,'28.07 Lubigi-Masanafu'!I10)</f>
        <v>4.5714285714285712</v>
      </c>
      <c r="J10" s="49">
        <f>AVERAGE('22.07 Lubigi-Masanafu'!J10,'23.07 Lubigi-Masanafu'!J10,'24.07 Lubigi-Masanafu'!J10,'25.07 Lubigi-Masanafu'!J10,'26.07 Lubigi-Masanafu-24h'!J10,'27.07 Lubigi-Masanafu-24h'!J10,'28.07 Lubigi-Masanafu'!J10)</f>
        <v>6.7142857142857144</v>
      </c>
      <c r="K10" s="49">
        <f>AVERAGE('22.07 Lubigi-Masanafu'!K10,'23.07 Lubigi-Masanafu'!K10,'24.07 Lubigi-Masanafu'!K10,'25.07 Lubigi-Masanafu'!K10,'26.07 Lubigi-Masanafu-24h'!K10,'27.07 Lubigi-Masanafu-24h'!K10,'28.07 Lubigi-Masanafu'!K10)</f>
        <v>3</v>
      </c>
      <c r="L10" s="49">
        <f>AVERAGE('22.07 Lubigi-Masanafu'!L10,'23.07 Lubigi-Masanafu'!L10,'24.07 Lubigi-Masanafu'!L10,'25.07 Lubigi-Masanafu'!L10,'26.07 Lubigi-Masanafu-24h'!L10,'27.07 Lubigi-Masanafu-24h'!L10,'28.07 Lubigi-Masanafu'!L10)</f>
        <v>3</v>
      </c>
      <c r="M10" s="49">
        <f>AVERAGE('22.07 Lubigi-Masanafu'!M10,'23.07 Lubigi-Masanafu'!M10,'24.07 Lubigi-Masanafu'!M10,'25.07 Lubigi-Masanafu'!M10,'26.07 Lubigi-Masanafu-24h'!M10,'27.07 Lubigi-Masanafu-24h'!M10,'28.07 Lubigi-Masanafu'!M10)</f>
        <v>79</v>
      </c>
      <c r="N10" s="49">
        <f>AVERAGE('22.07 Lubigi-Masanafu'!N10,'23.07 Lubigi-Masanafu'!N10,'24.07 Lubigi-Masanafu'!N10,'25.07 Lubigi-Masanafu'!N10,'26.07 Lubigi-Masanafu-24h'!N10,'27.07 Lubigi-Masanafu-24h'!N10,'28.07 Lubigi-Masanafu'!N10)</f>
        <v>0.14285714285714285</v>
      </c>
      <c r="O10" s="15">
        <f t="shared" ref="O10:O73" si="0">SUM(C10:L10,N10)</f>
        <v>99.428571428571402</v>
      </c>
      <c r="P10" s="15">
        <f t="shared" ref="P10:P73" si="1">SUM(C10:N10)</f>
        <v>178.42857142857142</v>
      </c>
      <c r="R10" s="1" t="s">
        <v>6</v>
      </c>
      <c r="S10" s="17">
        <f t="shared" ref="S10:AF10" si="2">SUM(C10:C13)</f>
        <v>195.71428571428572</v>
      </c>
      <c r="T10" s="17">
        <f t="shared" si="2"/>
        <v>49.428571428571423</v>
      </c>
      <c r="U10" s="17">
        <f t="shared" si="2"/>
        <v>33.857142857142854</v>
      </c>
      <c r="V10" s="17">
        <f t="shared" si="2"/>
        <v>79.571428571428569</v>
      </c>
      <c r="W10" s="17">
        <f t="shared" si="2"/>
        <v>8.1428571428571441</v>
      </c>
      <c r="X10" s="17">
        <f t="shared" si="2"/>
        <v>0.71428571428571419</v>
      </c>
      <c r="Y10" s="17">
        <f t="shared" si="2"/>
        <v>32.142857142857146</v>
      </c>
      <c r="Z10" s="17">
        <f t="shared" si="2"/>
        <v>25.571428571428569</v>
      </c>
      <c r="AA10" s="17">
        <f t="shared" si="2"/>
        <v>16.571428571428573</v>
      </c>
      <c r="AB10" s="17">
        <f t="shared" si="2"/>
        <v>12.428571428571431</v>
      </c>
      <c r="AC10" s="17">
        <f t="shared" si="2"/>
        <v>428.14285714285711</v>
      </c>
      <c r="AD10" s="17">
        <f t="shared" si="2"/>
        <v>0.2857142857142857</v>
      </c>
      <c r="AE10" s="31">
        <f t="shared" si="2"/>
        <v>454.42857142857139</v>
      </c>
      <c r="AF10" s="31">
        <f t="shared" si="2"/>
        <v>882.57142857142856</v>
      </c>
    </row>
    <row r="11" spans="2:32" s="6" customFormat="1" ht="23.1" customHeight="1" x14ac:dyDescent="0.25">
      <c r="B11" s="23" t="s">
        <v>38</v>
      </c>
      <c r="C11" s="49">
        <f>AVERAGE('22.07 Lubigi-Masanafu'!C11,'23.07 Lubigi-Masanafu'!C11,'24.07 Lubigi-Masanafu'!C11,'25.07 Lubigi-Masanafu'!C11,'26.07 Lubigi-Masanafu-24h'!C11,'27.07 Lubigi-Masanafu-24h'!C11,'28.07 Lubigi-Masanafu'!C11)</f>
        <v>45.142857142857146</v>
      </c>
      <c r="D11" s="49">
        <f>AVERAGE('22.07 Lubigi-Masanafu'!D11,'23.07 Lubigi-Masanafu'!D11,'24.07 Lubigi-Masanafu'!D11,'25.07 Lubigi-Masanafu'!D11,'26.07 Lubigi-Masanafu-24h'!D11,'27.07 Lubigi-Masanafu-24h'!D11,'28.07 Lubigi-Masanafu'!D11)</f>
        <v>11</v>
      </c>
      <c r="E11" s="49">
        <f>AVERAGE('22.07 Lubigi-Masanafu'!E11,'23.07 Lubigi-Masanafu'!E11,'24.07 Lubigi-Masanafu'!E11,'25.07 Lubigi-Masanafu'!E11,'26.07 Lubigi-Masanafu-24h'!E11,'27.07 Lubigi-Masanafu-24h'!E11,'28.07 Lubigi-Masanafu'!E11)</f>
        <v>7.4285714285714288</v>
      </c>
      <c r="F11" s="49">
        <f>AVERAGE('22.07 Lubigi-Masanafu'!F11,'23.07 Lubigi-Masanafu'!F11,'24.07 Lubigi-Masanafu'!F11,'25.07 Lubigi-Masanafu'!F11,'26.07 Lubigi-Masanafu-24h'!F11,'27.07 Lubigi-Masanafu-24h'!F11,'28.07 Lubigi-Masanafu'!F11)</f>
        <v>15.142857142857142</v>
      </c>
      <c r="G11" s="49">
        <f>AVERAGE('22.07 Lubigi-Masanafu'!G11,'23.07 Lubigi-Masanafu'!G11,'24.07 Lubigi-Masanafu'!G11,'25.07 Lubigi-Masanafu'!G11,'26.07 Lubigi-Masanafu-24h'!G11,'27.07 Lubigi-Masanafu-24h'!G11,'28.07 Lubigi-Masanafu'!G11)</f>
        <v>1.8571428571428572</v>
      </c>
      <c r="H11" s="49">
        <f>AVERAGE('22.07 Lubigi-Masanafu'!H11,'23.07 Lubigi-Masanafu'!H11,'24.07 Lubigi-Masanafu'!H11,'25.07 Lubigi-Masanafu'!H11,'26.07 Lubigi-Masanafu-24h'!H11,'27.07 Lubigi-Masanafu-24h'!H11,'28.07 Lubigi-Masanafu'!H11)</f>
        <v>0.2857142857142857</v>
      </c>
      <c r="I11" s="49">
        <f>AVERAGE('22.07 Lubigi-Masanafu'!I11,'23.07 Lubigi-Masanafu'!I11,'24.07 Lubigi-Masanafu'!I11,'25.07 Lubigi-Masanafu'!I11,'26.07 Lubigi-Masanafu-24h'!I11,'27.07 Lubigi-Masanafu-24h'!I11,'28.07 Lubigi-Masanafu'!I11)</f>
        <v>9</v>
      </c>
      <c r="J11" s="49">
        <f>AVERAGE('22.07 Lubigi-Masanafu'!J11,'23.07 Lubigi-Masanafu'!J11,'24.07 Lubigi-Masanafu'!J11,'25.07 Lubigi-Masanafu'!J11,'26.07 Lubigi-Masanafu-24h'!J11,'27.07 Lubigi-Masanafu-24h'!J11,'28.07 Lubigi-Masanafu'!J11)</f>
        <v>4.4285714285714288</v>
      </c>
      <c r="K11" s="49">
        <f>AVERAGE('22.07 Lubigi-Masanafu'!K11,'23.07 Lubigi-Masanafu'!K11,'24.07 Lubigi-Masanafu'!K11,'25.07 Lubigi-Masanafu'!K11,'26.07 Lubigi-Masanafu-24h'!K11,'27.07 Lubigi-Masanafu-24h'!K11,'28.07 Lubigi-Masanafu'!K11)</f>
        <v>2.8571428571428572</v>
      </c>
      <c r="L11" s="49">
        <f>AVERAGE('22.07 Lubigi-Masanafu'!L11,'23.07 Lubigi-Masanafu'!L11,'24.07 Lubigi-Masanafu'!L11,'25.07 Lubigi-Masanafu'!L11,'26.07 Lubigi-Masanafu-24h'!L11,'27.07 Lubigi-Masanafu-24h'!L11,'28.07 Lubigi-Masanafu'!L11)</f>
        <v>3</v>
      </c>
      <c r="M11" s="49">
        <f>AVERAGE('22.07 Lubigi-Masanafu'!M11,'23.07 Lubigi-Masanafu'!M11,'24.07 Lubigi-Masanafu'!M11,'25.07 Lubigi-Masanafu'!M11,'26.07 Lubigi-Masanafu-24h'!M11,'27.07 Lubigi-Masanafu-24h'!M11,'28.07 Lubigi-Masanafu'!M11)</f>
        <v>99.571428571428569</v>
      </c>
      <c r="N11" s="49">
        <f>AVERAGE('22.07 Lubigi-Masanafu'!N11,'23.07 Lubigi-Masanafu'!N11,'24.07 Lubigi-Masanafu'!N11,'25.07 Lubigi-Masanafu'!N11,'26.07 Lubigi-Masanafu-24h'!N11,'27.07 Lubigi-Masanafu-24h'!N11,'28.07 Lubigi-Masanafu'!N11)</f>
        <v>0</v>
      </c>
      <c r="O11" s="15">
        <f t="shared" si="0"/>
        <v>100.14285714285717</v>
      </c>
      <c r="P11" s="15">
        <f t="shared" si="1"/>
        <v>199.71428571428572</v>
      </c>
      <c r="R11" s="1" t="s">
        <v>7</v>
      </c>
      <c r="S11" s="17">
        <f t="shared" ref="S11:AF11" si="3">SUM(C14:C17)</f>
        <v>208</v>
      </c>
      <c r="T11" s="17">
        <f t="shared" si="3"/>
        <v>51.142857142857146</v>
      </c>
      <c r="U11" s="17">
        <f t="shared" si="3"/>
        <v>36.857142857142854</v>
      </c>
      <c r="V11" s="17">
        <f t="shared" si="3"/>
        <v>87.571428571428569</v>
      </c>
      <c r="W11" s="17">
        <f t="shared" si="3"/>
        <v>5.8571428571428568</v>
      </c>
      <c r="X11" s="17">
        <f t="shared" si="3"/>
        <v>1</v>
      </c>
      <c r="Y11" s="17">
        <f t="shared" si="3"/>
        <v>39.428571428571431</v>
      </c>
      <c r="Z11" s="17">
        <f t="shared" si="3"/>
        <v>22.714285714285712</v>
      </c>
      <c r="AA11" s="17">
        <f t="shared" si="3"/>
        <v>18.285714285714285</v>
      </c>
      <c r="AB11" s="17">
        <f t="shared" si="3"/>
        <v>15.142857142857142</v>
      </c>
      <c r="AC11" s="17">
        <f t="shared" si="3"/>
        <v>503.28571428571428</v>
      </c>
      <c r="AD11" s="17">
        <f t="shared" si="3"/>
        <v>0</v>
      </c>
      <c r="AE11" s="31">
        <f t="shared" si="3"/>
        <v>485.99999999999994</v>
      </c>
      <c r="AF11" s="31">
        <f t="shared" si="3"/>
        <v>989.28571428571422</v>
      </c>
    </row>
    <row r="12" spans="2:32" ht="23.1" customHeight="1" x14ac:dyDescent="0.25">
      <c r="B12" s="23" t="s">
        <v>39</v>
      </c>
      <c r="C12" s="49">
        <f>AVERAGE('22.07 Lubigi-Masanafu'!C12,'23.07 Lubigi-Masanafu'!C12,'24.07 Lubigi-Masanafu'!C12,'25.07 Lubigi-Masanafu'!C12,'26.07 Lubigi-Masanafu-24h'!C12,'27.07 Lubigi-Masanafu-24h'!C12,'28.07 Lubigi-Masanafu'!C12)</f>
        <v>57.142857142857146</v>
      </c>
      <c r="D12" s="49">
        <f>AVERAGE('22.07 Lubigi-Masanafu'!D12,'23.07 Lubigi-Masanafu'!D12,'24.07 Lubigi-Masanafu'!D12,'25.07 Lubigi-Masanafu'!D12,'26.07 Lubigi-Masanafu-24h'!D12,'27.07 Lubigi-Masanafu-24h'!D12,'28.07 Lubigi-Masanafu'!D12)</f>
        <v>15.142857142857142</v>
      </c>
      <c r="E12" s="49">
        <f>AVERAGE('22.07 Lubigi-Masanafu'!E12,'23.07 Lubigi-Masanafu'!E12,'24.07 Lubigi-Masanafu'!E12,'25.07 Lubigi-Masanafu'!E12,'26.07 Lubigi-Masanafu-24h'!E12,'27.07 Lubigi-Masanafu-24h'!E12,'28.07 Lubigi-Masanafu'!E12)</f>
        <v>9.2857142857142865</v>
      </c>
      <c r="F12" s="49">
        <f>AVERAGE('22.07 Lubigi-Masanafu'!F12,'23.07 Lubigi-Masanafu'!F12,'24.07 Lubigi-Masanafu'!F12,'25.07 Lubigi-Masanafu'!F12,'26.07 Lubigi-Masanafu-24h'!F12,'27.07 Lubigi-Masanafu-24h'!F12,'28.07 Lubigi-Masanafu'!F12)</f>
        <v>24.571428571428573</v>
      </c>
      <c r="G12" s="49">
        <f>AVERAGE('22.07 Lubigi-Masanafu'!G12,'23.07 Lubigi-Masanafu'!G12,'24.07 Lubigi-Masanafu'!G12,'25.07 Lubigi-Masanafu'!G12,'26.07 Lubigi-Masanafu-24h'!G12,'27.07 Lubigi-Masanafu-24h'!G12,'28.07 Lubigi-Masanafu'!G12)</f>
        <v>2.8571428571428572</v>
      </c>
      <c r="H12" s="49">
        <f>AVERAGE('22.07 Lubigi-Masanafu'!H12,'23.07 Lubigi-Masanafu'!H12,'24.07 Lubigi-Masanafu'!H12,'25.07 Lubigi-Masanafu'!H12,'26.07 Lubigi-Masanafu-24h'!H12,'27.07 Lubigi-Masanafu-24h'!H12,'28.07 Lubigi-Masanafu'!H12)</f>
        <v>0.14285714285714285</v>
      </c>
      <c r="I12" s="49">
        <f>AVERAGE('22.07 Lubigi-Masanafu'!I12,'23.07 Lubigi-Masanafu'!I12,'24.07 Lubigi-Masanafu'!I12,'25.07 Lubigi-Masanafu'!I12,'26.07 Lubigi-Masanafu-24h'!I12,'27.07 Lubigi-Masanafu-24h'!I12,'28.07 Lubigi-Masanafu'!I12)</f>
        <v>11.857142857142858</v>
      </c>
      <c r="J12" s="49">
        <f>AVERAGE('22.07 Lubigi-Masanafu'!J12,'23.07 Lubigi-Masanafu'!J12,'24.07 Lubigi-Masanafu'!J12,'25.07 Lubigi-Masanafu'!J12,'26.07 Lubigi-Masanafu-24h'!J12,'27.07 Lubigi-Masanafu-24h'!J12,'28.07 Lubigi-Masanafu'!J12)</f>
        <v>5.8571428571428568</v>
      </c>
      <c r="K12" s="49">
        <f>AVERAGE('22.07 Lubigi-Masanafu'!K12,'23.07 Lubigi-Masanafu'!K12,'24.07 Lubigi-Masanafu'!K12,'25.07 Lubigi-Masanafu'!K12,'26.07 Lubigi-Masanafu-24h'!K12,'27.07 Lubigi-Masanafu-24h'!K12,'28.07 Lubigi-Masanafu'!K12)</f>
        <v>6.5714285714285712</v>
      </c>
      <c r="L12" s="49">
        <f>AVERAGE('22.07 Lubigi-Masanafu'!L12,'23.07 Lubigi-Masanafu'!L12,'24.07 Lubigi-Masanafu'!L12,'25.07 Lubigi-Masanafu'!L12,'26.07 Lubigi-Masanafu-24h'!L12,'27.07 Lubigi-Masanafu-24h'!L12,'28.07 Lubigi-Masanafu'!L12)</f>
        <v>3.7142857142857144</v>
      </c>
      <c r="M12" s="49">
        <f>AVERAGE('22.07 Lubigi-Masanafu'!M12,'23.07 Lubigi-Masanafu'!M12,'24.07 Lubigi-Masanafu'!M12,'25.07 Lubigi-Masanafu'!M12,'26.07 Lubigi-Masanafu-24h'!M12,'27.07 Lubigi-Masanafu-24h'!M12,'28.07 Lubigi-Masanafu'!M12)</f>
        <v>126.71428571428571</v>
      </c>
      <c r="N12" s="49">
        <f>AVERAGE('22.07 Lubigi-Masanafu'!N12,'23.07 Lubigi-Masanafu'!N12,'24.07 Lubigi-Masanafu'!N12,'25.07 Lubigi-Masanafu'!N12,'26.07 Lubigi-Masanafu-24h'!N12,'27.07 Lubigi-Masanafu-24h'!N12,'28.07 Lubigi-Masanafu'!N12)</f>
        <v>0</v>
      </c>
      <c r="O12" s="15">
        <f t="shared" si="0"/>
        <v>137.14285714285717</v>
      </c>
      <c r="P12" s="15">
        <f t="shared" si="1"/>
        <v>263.85714285714289</v>
      </c>
      <c r="R12" s="1" t="s">
        <v>8</v>
      </c>
      <c r="S12" s="17">
        <f t="shared" ref="S12:AF12" si="4">SUM(C18:C21)</f>
        <v>198.57142857142856</v>
      </c>
      <c r="T12" s="17">
        <f t="shared" si="4"/>
        <v>40.142857142857139</v>
      </c>
      <c r="U12" s="17">
        <f t="shared" si="4"/>
        <v>39.285714285714285</v>
      </c>
      <c r="V12" s="17">
        <f t="shared" si="4"/>
        <v>89.571428571428584</v>
      </c>
      <c r="W12" s="17">
        <f t="shared" si="4"/>
        <v>9.8571428571428577</v>
      </c>
      <c r="X12" s="17">
        <f t="shared" si="4"/>
        <v>1.2857142857142856</v>
      </c>
      <c r="Y12" s="17">
        <f t="shared" si="4"/>
        <v>47.714285714285708</v>
      </c>
      <c r="Z12" s="17">
        <f t="shared" si="4"/>
        <v>25.428571428571431</v>
      </c>
      <c r="AA12" s="17">
        <f t="shared" si="4"/>
        <v>20.428571428571431</v>
      </c>
      <c r="AB12" s="17">
        <f t="shared" si="4"/>
        <v>17.571428571428569</v>
      </c>
      <c r="AC12" s="17">
        <f t="shared" si="4"/>
        <v>480.99999999999994</v>
      </c>
      <c r="AD12" s="17">
        <f t="shared" si="4"/>
        <v>0</v>
      </c>
      <c r="AE12" s="31">
        <f t="shared" si="4"/>
        <v>489.85714285714289</v>
      </c>
      <c r="AF12" s="31">
        <f t="shared" si="4"/>
        <v>970.85714285714289</v>
      </c>
    </row>
    <row r="13" spans="2:32" ht="23.1" customHeight="1" x14ac:dyDescent="0.25">
      <c r="B13" s="23" t="s">
        <v>40</v>
      </c>
      <c r="C13" s="49">
        <f>AVERAGE('22.07 Lubigi-Masanafu'!C13,'23.07 Lubigi-Masanafu'!C13,'24.07 Lubigi-Masanafu'!C13,'25.07 Lubigi-Masanafu'!C13,'26.07 Lubigi-Masanafu-24h'!C13,'27.07 Lubigi-Masanafu-24h'!C13,'28.07 Lubigi-Masanafu'!C13)</f>
        <v>51.571428571428569</v>
      </c>
      <c r="D13" s="49">
        <f>AVERAGE('22.07 Lubigi-Masanafu'!D13,'23.07 Lubigi-Masanafu'!D13,'24.07 Lubigi-Masanafu'!D13,'25.07 Lubigi-Masanafu'!D13,'26.07 Lubigi-Masanafu-24h'!D13,'27.07 Lubigi-Masanafu-24h'!D13,'28.07 Lubigi-Masanafu'!D13)</f>
        <v>13.714285714285714</v>
      </c>
      <c r="E13" s="49">
        <f>AVERAGE('22.07 Lubigi-Masanafu'!E13,'23.07 Lubigi-Masanafu'!E13,'24.07 Lubigi-Masanafu'!E13,'25.07 Lubigi-Masanafu'!E13,'26.07 Lubigi-Masanafu-24h'!E13,'27.07 Lubigi-Masanafu-24h'!E13,'28.07 Lubigi-Masanafu'!E13)</f>
        <v>10.571428571428571</v>
      </c>
      <c r="F13" s="49">
        <f>AVERAGE('22.07 Lubigi-Masanafu'!F13,'23.07 Lubigi-Masanafu'!F13,'24.07 Lubigi-Masanafu'!F13,'25.07 Lubigi-Masanafu'!F13,'26.07 Lubigi-Masanafu-24h'!F13,'27.07 Lubigi-Masanafu-24h'!F13,'28.07 Lubigi-Masanafu'!F13)</f>
        <v>18.142857142857142</v>
      </c>
      <c r="G13" s="49">
        <f>AVERAGE('22.07 Lubigi-Masanafu'!G13,'23.07 Lubigi-Masanafu'!G13,'24.07 Lubigi-Masanafu'!G13,'25.07 Lubigi-Masanafu'!G13,'26.07 Lubigi-Masanafu-24h'!G13,'27.07 Lubigi-Masanafu-24h'!G13,'28.07 Lubigi-Masanafu'!G13)</f>
        <v>1.2857142857142858</v>
      </c>
      <c r="H13" s="49">
        <f>AVERAGE('22.07 Lubigi-Masanafu'!H13,'23.07 Lubigi-Masanafu'!H13,'24.07 Lubigi-Masanafu'!H13,'25.07 Lubigi-Masanafu'!H13,'26.07 Lubigi-Masanafu-24h'!H13,'27.07 Lubigi-Masanafu-24h'!H13,'28.07 Lubigi-Masanafu'!H13)</f>
        <v>0.14285714285714285</v>
      </c>
      <c r="I13" s="49">
        <f>AVERAGE('22.07 Lubigi-Masanafu'!I13,'23.07 Lubigi-Masanafu'!I13,'24.07 Lubigi-Masanafu'!I13,'25.07 Lubigi-Masanafu'!I13,'26.07 Lubigi-Masanafu-24h'!I13,'27.07 Lubigi-Masanafu-24h'!I13,'28.07 Lubigi-Masanafu'!I13)</f>
        <v>6.7142857142857144</v>
      </c>
      <c r="J13" s="49">
        <f>AVERAGE('22.07 Lubigi-Masanafu'!J13,'23.07 Lubigi-Masanafu'!J13,'24.07 Lubigi-Masanafu'!J13,'25.07 Lubigi-Masanafu'!J13,'26.07 Lubigi-Masanafu-24h'!J13,'27.07 Lubigi-Masanafu-24h'!J13,'28.07 Lubigi-Masanafu'!J13)</f>
        <v>8.5714285714285712</v>
      </c>
      <c r="K13" s="49">
        <f>AVERAGE('22.07 Lubigi-Masanafu'!K13,'23.07 Lubigi-Masanafu'!K13,'24.07 Lubigi-Masanafu'!K13,'25.07 Lubigi-Masanafu'!K13,'26.07 Lubigi-Masanafu-24h'!K13,'27.07 Lubigi-Masanafu-24h'!K13,'28.07 Lubigi-Masanafu'!K13)</f>
        <v>4.1428571428571432</v>
      </c>
      <c r="L13" s="49">
        <f>AVERAGE('22.07 Lubigi-Masanafu'!L13,'23.07 Lubigi-Masanafu'!L13,'24.07 Lubigi-Masanafu'!L13,'25.07 Lubigi-Masanafu'!L13,'26.07 Lubigi-Masanafu-24h'!L13,'27.07 Lubigi-Masanafu-24h'!L13,'28.07 Lubigi-Masanafu'!L13)</f>
        <v>2.7142857142857144</v>
      </c>
      <c r="M13" s="49">
        <f>AVERAGE('22.07 Lubigi-Masanafu'!M13,'23.07 Lubigi-Masanafu'!M13,'24.07 Lubigi-Masanafu'!M13,'25.07 Lubigi-Masanafu'!M13,'26.07 Lubigi-Masanafu-24h'!M13,'27.07 Lubigi-Masanafu-24h'!M13,'28.07 Lubigi-Masanafu'!M13)</f>
        <v>122.85714285714286</v>
      </c>
      <c r="N13" s="49">
        <f>AVERAGE('22.07 Lubigi-Masanafu'!N13,'23.07 Lubigi-Masanafu'!N13,'24.07 Lubigi-Masanafu'!N13,'25.07 Lubigi-Masanafu'!N13,'26.07 Lubigi-Masanafu-24h'!N13,'27.07 Lubigi-Masanafu-24h'!N13,'28.07 Lubigi-Masanafu'!N13)</f>
        <v>0.14285714285714285</v>
      </c>
      <c r="O13" s="15">
        <f t="shared" si="0"/>
        <v>117.71428571428568</v>
      </c>
      <c r="P13" s="15">
        <f t="shared" si="1"/>
        <v>240.57142857142853</v>
      </c>
      <c r="R13" s="1" t="s">
        <v>9</v>
      </c>
      <c r="S13" s="17">
        <f t="shared" ref="S13:AF13" si="5">SUM(C22:C25)</f>
        <v>248.28571428571428</v>
      </c>
      <c r="T13" s="17">
        <f t="shared" si="5"/>
        <v>61.571428571428577</v>
      </c>
      <c r="U13" s="17">
        <f t="shared" si="5"/>
        <v>43.571428571428569</v>
      </c>
      <c r="V13" s="17">
        <f t="shared" si="5"/>
        <v>96.714285714285722</v>
      </c>
      <c r="W13" s="17">
        <f t="shared" si="5"/>
        <v>12</v>
      </c>
      <c r="X13" s="17">
        <f t="shared" si="5"/>
        <v>3</v>
      </c>
      <c r="Y13" s="17">
        <f t="shared" si="5"/>
        <v>44.857142857142854</v>
      </c>
      <c r="Z13" s="17">
        <f t="shared" si="5"/>
        <v>38.571428571428569</v>
      </c>
      <c r="AA13" s="17">
        <f t="shared" si="5"/>
        <v>24.714285714285715</v>
      </c>
      <c r="AB13" s="17">
        <f t="shared" si="5"/>
        <v>24.428571428571431</v>
      </c>
      <c r="AC13" s="17">
        <f t="shared" si="5"/>
        <v>588.71428571428567</v>
      </c>
      <c r="AD13" s="17">
        <f t="shared" si="5"/>
        <v>0.14285714285714285</v>
      </c>
      <c r="AE13" s="31">
        <f t="shared" si="5"/>
        <v>597.85714285714289</v>
      </c>
      <c r="AF13" s="31">
        <f t="shared" si="5"/>
        <v>1186.5714285714284</v>
      </c>
    </row>
    <row r="14" spans="2:32" ht="23.1" customHeight="1" x14ac:dyDescent="0.25">
      <c r="B14" s="23" t="s">
        <v>41</v>
      </c>
      <c r="C14" s="49">
        <f>AVERAGE('22.07 Lubigi-Masanafu'!C14,'23.07 Lubigi-Masanafu'!C14,'24.07 Lubigi-Masanafu'!C14,'25.07 Lubigi-Masanafu'!C14,'26.07 Lubigi-Masanafu-24h'!C14,'27.07 Lubigi-Masanafu-24h'!C14,'28.07 Lubigi-Masanafu'!C14)</f>
        <v>53.857142857142854</v>
      </c>
      <c r="D14" s="49">
        <f>AVERAGE('22.07 Lubigi-Masanafu'!D14,'23.07 Lubigi-Masanafu'!D14,'24.07 Lubigi-Masanafu'!D14,'25.07 Lubigi-Masanafu'!D14,'26.07 Lubigi-Masanafu-24h'!D14,'27.07 Lubigi-Masanafu-24h'!D14,'28.07 Lubigi-Masanafu'!D14)</f>
        <v>10.285714285714286</v>
      </c>
      <c r="E14" s="49">
        <f>AVERAGE('22.07 Lubigi-Masanafu'!E14,'23.07 Lubigi-Masanafu'!E14,'24.07 Lubigi-Masanafu'!E14,'25.07 Lubigi-Masanafu'!E14,'26.07 Lubigi-Masanafu-24h'!E14,'27.07 Lubigi-Masanafu-24h'!E14,'28.07 Lubigi-Masanafu'!E14)</f>
        <v>7.7142857142857144</v>
      </c>
      <c r="F14" s="49">
        <f>AVERAGE('22.07 Lubigi-Masanafu'!F14,'23.07 Lubigi-Masanafu'!F14,'24.07 Lubigi-Masanafu'!F14,'25.07 Lubigi-Masanafu'!F14,'26.07 Lubigi-Masanafu-24h'!F14,'27.07 Lubigi-Masanafu-24h'!F14,'28.07 Lubigi-Masanafu'!F14)</f>
        <v>16</v>
      </c>
      <c r="G14" s="49">
        <f>AVERAGE('22.07 Lubigi-Masanafu'!G14,'23.07 Lubigi-Masanafu'!G14,'24.07 Lubigi-Masanafu'!G14,'25.07 Lubigi-Masanafu'!G14,'26.07 Lubigi-Masanafu-24h'!G14,'27.07 Lubigi-Masanafu-24h'!G14,'28.07 Lubigi-Masanafu'!G14)</f>
        <v>1</v>
      </c>
      <c r="H14" s="49">
        <f>AVERAGE('22.07 Lubigi-Masanafu'!H14,'23.07 Lubigi-Masanafu'!H14,'24.07 Lubigi-Masanafu'!H14,'25.07 Lubigi-Masanafu'!H14,'26.07 Lubigi-Masanafu-24h'!H14,'27.07 Lubigi-Masanafu-24h'!H14,'28.07 Lubigi-Masanafu'!H14)</f>
        <v>0.5714285714285714</v>
      </c>
      <c r="I14" s="49">
        <f>AVERAGE('22.07 Lubigi-Masanafu'!I14,'23.07 Lubigi-Masanafu'!I14,'24.07 Lubigi-Masanafu'!I14,'25.07 Lubigi-Masanafu'!I14,'26.07 Lubigi-Masanafu-24h'!I14,'27.07 Lubigi-Masanafu-24h'!I14,'28.07 Lubigi-Masanafu'!I14)</f>
        <v>9.1428571428571423</v>
      </c>
      <c r="J14" s="49">
        <f>AVERAGE('22.07 Lubigi-Masanafu'!J14,'23.07 Lubigi-Masanafu'!J14,'24.07 Lubigi-Masanafu'!J14,'25.07 Lubigi-Masanafu'!J14,'26.07 Lubigi-Masanafu-24h'!J14,'27.07 Lubigi-Masanafu-24h'!J14,'28.07 Lubigi-Masanafu'!J14)</f>
        <v>6</v>
      </c>
      <c r="K14" s="49">
        <f>AVERAGE('22.07 Lubigi-Masanafu'!K14,'23.07 Lubigi-Masanafu'!K14,'24.07 Lubigi-Masanafu'!K14,'25.07 Lubigi-Masanafu'!K14,'26.07 Lubigi-Masanafu-24h'!K14,'27.07 Lubigi-Masanafu-24h'!K14,'28.07 Lubigi-Masanafu'!K14)</f>
        <v>3.8571428571428572</v>
      </c>
      <c r="L14" s="49">
        <f>AVERAGE('22.07 Lubigi-Masanafu'!L14,'23.07 Lubigi-Masanafu'!L14,'24.07 Lubigi-Masanafu'!L14,'25.07 Lubigi-Masanafu'!L14,'26.07 Lubigi-Masanafu-24h'!L14,'27.07 Lubigi-Masanafu-24h'!L14,'28.07 Lubigi-Masanafu'!L14)</f>
        <v>3.2857142857142856</v>
      </c>
      <c r="M14" s="49">
        <f>AVERAGE('22.07 Lubigi-Masanafu'!M14,'23.07 Lubigi-Masanafu'!M14,'24.07 Lubigi-Masanafu'!M14,'25.07 Lubigi-Masanafu'!M14,'26.07 Lubigi-Masanafu-24h'!M14,'27.07 Lubigi-Masanafu-24h'!M14,'28.07 Lubigi-Masanafu'!M14)</f>
        <v>115.14285714285714</v>
      </c>
      <c r="N14" s="49">
        <f>AVERAGE('22.07 Lubigi-Masanafu'!N14,'23.07 Lubigi-Masanafu'!N14,'24.07 Lubigi-Masanafu'!N14,'25.07 Lubigi-Masanafu'!N14,'26.07 Lubigi-Masanafu-24h'!N14,'27.07 Lubigi-Masanafu-24h'!N14,'28.07 Lubigi-Masanafu'!N14)</f>
        <v>0</v>
      </c>
      <c r="O14" s="15">
        <f t="shared" si="0"/>
        <v>111.71428571428571</v>
      </c>
      <c r="P14" s="15">
        <f t="shared" si="1"/>
        <v>226.85714285714283</v>
      </c>
      <c r="R14" s="1" t="s">
        <v>10</v>
      </c>
      <c r="S14" s="17">
        <f t="shared" ref="S14:AF14" si="6">SUM(C26:C29)</f>
        <v>251</v>
      </c>
      <c r="T14" s="17">
        <f t="shared" si="6"/>
        <v>72</v>
      </c>
      <c r="U14" s="17">
        <f t="shared" si="6"/>
        <v>43.571428571428569</v>
      </c>
      <c r="V14" s="17">
        <f t="shared" si="6"/>
        <v>78.571428571428584</v>
      </c>
      <c r="W14" s="17">
        <f t="shared" si="6"/>
        <v>13.285714285714285</v>
      </c>
      <c r="X14" s="17">
        <f t="shared" si="6"/>
        <v>1.5714285714285712</v>
      </c>
      <c r="Y14" s="17">
        <f t="shared" si="6"/>
        <v>42.714285714285708</v>
      </c>
      <c r="Z14" s="17">
        <f t="shared" si="6"/>
        <v>40.571428571428569</v>
      </c>
      <c r="AA14" s="17">
        <f t="shared" si="6"/>
        <v>23</v>
      </c>
      <c r="AB14" s="17">
        <f t="shared" si="6"/>
        <v>17.857142857142858</v>
      </c>
      <c r="AC14" s="17">
        <f t="shared" si="6"/>
        <v>597.57142857142856</v>
      </c>
      <c r="AD14" s="17">
        <f t="shared" si="6"/>
        <v>0.14285714285714285</v>
      </c>
      <c r="AE14" s="31">
        <f t="shared" si="6"/>
        <v>584.28571428571422</v>
      </c>
      <c r="AF14" s="31">
        <f t="shared" si="6"/>
        <v>1181.8571428571429</v>
      </c>
    </row>
    <row r="15" spans="2:32" ht="23.1" customHeight="1" x14ac:dyDescent="0.25">
      <c r="B15" s="23" t="s">
        <v>42</v>
      </c>
      <c r="C15" s="49">
        <f>AVERAGE('22.07 Lubigi-Masanafu'!C15,'23.07 Lubigi-Masanafu'!C15,'24.07 Lubigi-Masanafu'!C15,'25.07 Lubigi-Masanafu'!C15,'26.07 Lubigi-Masanafu-24h'!C15,'27.07 Lubigi-Masanafu-24h'!C15,'28.07 Lubigi-Masanafu'!C15)</f>
        <v>43.857142857142854</v>
      </c>
      <c r="D15" s="49">
        <f>AVERAGE('22.07 Lubigi-Masanafu'!D15,'23.07 Lubigi-Masanafu'!D15,'24.07 Lubigi-Masanafu'!D15,'25.07 Lubigi-Masanafu'!D15,'26.07 Lubigi-Masanafu-24h'!D15,'27.07 Lubigi-Masanafu-24h'!D15,'28.07 Lubigi-Masanafu'!D15)</f>
        <v>13.714285714285714</v>
      </c>
      <c r="E15" s="49">
        <f>AVERAGE('22.07 Lubigi-Masanafu'!E15,'23.07 Lubigi-Masanafu'!E15,'24.07 Lubigi-Masanafu'!E15,'25.07 Lubigi-Masanafu'!E15,'26.07 Lubigi-Masanafu-24h'!E15,'27.07 Lubigi-Masanafu-24h'!E15,'28.07 Lubigi-Masanafu'!E15)</f>
        <v>8.4285714285714288</v>
      </c>
      <c r="F15" s="49">
        <f>AVERAGE('22.07 Lubigi-Masanafu'!F15,'23.07 Lubigi-Masanafu'!F15,'24.07 Lubigi-Masanafu'!F15,'25.07 Lubigi-Masanafu'!F15,'26.07 Lubigi-Masanafu-24h'!F15,'27.07 Lubigi-Masanafu-24h'!F15,'28.07 Lubigi-Masanafu'!F15)</f>
        <v>23.142857142857142</v>
      </c>
      <c r="G15" s="49">
        <f>AVERAGE('22.07 Lubigi-Masanafu'!G15,'23.07 Lubigi-Masanafu'!G15,'24.07 Lubigi-Masanafu'!G15,'25.07 Lubigi-Masanafu'!G15,'26.07 Lubigi-Masanafu-24h'!G15,'27.07 Lubigi-Masanafu-24h'!G15,'28.07 Lubigi-Masanafu'!G15)</f>
        <v>1.2857142857142858</v>
      </c>
      <c r="H15" s="49">
        <f>AVERAGE('22.07 Lubigi-Masanafu'!H15,'23.07 Lubigi-Masanafu'!H15,'24.07 Lubigi-Masanafu'!H15,'25.07 Lubigi-Masanafu'!H15,'26.07 Lubigi-Masanafu-24h'!H15,'27.07 Lubigi-Masanafu-24h'!H15,'28.07 Lubigi-Masanafu'!H15)</f>
        <v>0.42857142857142855</v>
      </c>
      <c r="I15" s="49">
        <f>AVERAGE('22.07 Lubigi-Masanafu'!I15,'23.07 Lubigi-Masanafu'!I15,'24.07 Lubigi-Masanafu'!I15,'25.07 Lubigi-Masanafu'!I15,'26.07 Lubigi-Masanafu-24h'!I15,'27.07 Lubigi-Masanafu-24h'!I15,'28.07 Lubigi-Masanafu'!I15)</f>
        <v>7.8571428571428568</v>
      </c>
      <c r="J15" s="49">
        <f>AVERAGE('22.07 Lubigi-Masanafu'!J15,'23.07 Lubigi-Masanafu'!J15,'24.07 Lubigi-Masanafu'!J15,'25.07 Lubigi-Masanafu'!J15,'26.07 Lubigi-Masanafu-24h'!J15,'27.07 Lubigi-Masanafu-24h'!J15,'28.07 Lubigi-Masanafu'!J15)</f>
        <v>4</v>
      </c>
      <c r="K15" s="49">
        <f>AVERAGE('22.07 Lubigi-Masanafu'!K15,'23.07 Lubigi-Masanafu'!K15,'24.07 Lubigi-Masanafu'!K15,'25.07 Lubigi-Masanafu'!K15,'26.07 Lubigi-Masanafu-24h'!K15,'27.07 Lubigi-Masanafu-24h'!K15,'28.07 Lubigi-Masanafu'!K15)</f>
        <v>4.1428571428571432</v>
      </c>
      <c r="L15" s="49">
        <f>AVERAGE('22.07 Lubigi-Masanafu'!L15,'23.07 Lubigi-Masanafu'!L15,'24.07 Lubigi-Masanafu'!L15,'25.07 Lubigi-Masanafu'!L15,'26.07 Lubigi-Masanafu-24h'!L15,'27.07 Lubigi-Masanafu-24h'!L15,'28.07 Lubigi-Masanafu'!L15)</f>
        <v>4</v>
      </c>
      <c r="M15" s="49">
        <f>AVERAGE('22.07 Lubigi-Masanafu'!M15,'23.07 Lubigi-Masanafu'!M15,'24.07 Lubigi-Masanafu'!M15,'25.07 Lubigi-Masanafu'!M15,'26.07 Lubigi-Masanafu-24h'!M15,'27.07 Lubigi-Masanafu-24h'!M15,'28.07 Lubigi-Masanafu'!M15)</f>
        <v>119.42857142857143</v>
      </c>
      <c r="N15" s="49">
        <f>AVERAGE('22.07 Lubigi-Masanafu'!N15,'23.07 Lubigi-Masanafu'!N15,'24.07 Lubigi-Masanafu'!N15,'25.07 Lubigi-Masanafu'!N15,'26.07 Lubigi-Masanafu-24h'!N15,'27.07 Lubigi-Masanafu-24h'!N15,'28.07 Lubigi-Masanafu'!N15)</f>
        <v>0</v>
      </c>
      <c r="O15" s="15">
        <f t="shared" si="0"/>
        <v>110.85714285714286</v>
      </c>
      <c r="P15" s="15">
        <f t="shared" si="1"/>
        <v>230.28571428571428</v>
      </c>
      <c r="R15" s="1" t="s">
        <v>11</v>
      </c>
      <c r="S15" s="17">
        <f t="shared" ref="S15:AF15" si="7">SUM(C30:C33)</f>
        <v>267.14285714285711</v>
      </c>
      <c r="T15" s="17">
        <f t="shared" si="7"/>
        <v>70.285714285714278</v>
      </c>
      <c r="U15" s="17">
        <f t="shared" si="7"/>
        <v>47.857142857142861</v>
      </c>
      <c r="V15" s="17">
        <f t="shared" si="7"/>
        <v>86.714285714285722</v>
      </c>
      <c r="W15" s="17">
        <f t="shared" si="7"/>
        <v>8.5714285714285712</v>
      </c>
      <c r="X15" s="17">
        <f t="shared" si="7"/>
        <v>1.857142857142857</v>
      </c>
      <c r="Y15" s="17">
        <f t="shared" si="7"/>
        <v>40.285714285714285</v>
      </c>
      <c r="Z15" s="17">
        <f t="shared" si="7"/>
        <v>39.571428571428569</v>
      </c>
      <c r="AA15" s="17">
        <f t="shared" si="7"/>
        <v>21.714285714285715</v>
      </c>
      <c r="AB15" s="17">
        <f t="shared" si="7"/>
        <v>18.571428571428573</v>
      </c>
      <c r="AC15" s="17">
        <f t="shared" si="7"/>
        <v>537.14285714285711</v>
      </c>
      <c r="AD15" s="17">
        <f t="shared" si="7"/>
        <v>0.5714285714285714</v>
      </c>
      <c r="AE15" s="31">
        <f t="shared" si="7"/>
        <v>603.14285714285711</v>
      </c>
      <c r="AF15" s="31">
        <f t="shared" si="7"/>
        <v>1140.2857142857144</v>
      </c>
    </row>
    <row r="16" spans="2:32" ht="23.1" customHeight="1" x14ac:dyDescent="0.25">
      <c r="B16" s="23" t="s">
        <v>43</v>
      </c>
      <c r="C16" s="49">
        <f>AVERAGE('22.07 Lubigi-Masanafu'!C16,'23.07 Lubigi-Masanafu'!C16,'24.07 Lubigi-Masanafu'!C16,'25.07 Lubigi-Masanafu'!C16,'26.07 Lubigi-Masanafu-24h'!C16,'27.07 Lubigi-Masanafu-24h'!C16,'28.07 Lubigi-Masanafu'!C16)</f>
        <v>57.571428571428569</v>
      </c>
      <c r="D16" s="49">
        <f>AVERAGE('22.07 Lubigi-Masanafu'!D16,'23.07 Lubigi-Masanafu'!D16,'24.07 Lubigi-Masanafu'!D16,'25.07 Lubigi-Masanafu'!D16,'26.07 Lubigi-Masanafu-24h'!D16,'27.07 Lubigi-Masanafu-24h'!D16,'28.07 Lubigi-Masanafu'!D16)</f>
        <v>14.428571428571429</v>
      </c>
      <c r="E16" s="49">
        <f>AVERAGE('22.07 Lubigi-Masanafu'!E16,'23.07 Lubigi-Masanafu'!E16,'24.07 Lubigi-Masanafu'!E16,'25.07 Lubigi-Masanafu'!E16,'26.07 Lubigi-Masanafu-24h'!E16,'27.07 Lubigi-Masanafu-24h'!E16,'28.07 Lubigi-Masanafu'!E16)</f>
        <v>10.428571428571429</v>
      </c>
      <c r="F16" s="49">
        <f>AVERAGE('22.07 Lubigi-Masanafu'!F16,'23.07 Lubigi-Masanafu'!F16,'24.07 Lubigi-Masanafu'!F16,'25.07 Lubigi-Masanafu'!F16,'26.07 Lubigi-Masanafu-24h'!F16,'27.07 Lubigi-Masanafu-24h'!F16,'28.07 Lubigi-Masanafu'!F16)</f>
        <v>24.285714285714285</v>
      </c>
      <c r="G16" s="49">
        <f>AVERAGE('22.07 Lubigi-Masanafu'!G16,'23.07 Lubigi-Masanafu'!G16,'24.07 Lubigi-Masanafu'!G16,'25.07 Lubigi-Masanafu'!G16,'26.07 Lubigi-Masanafu-24h'!G16,'27.07 Lubigi-Masanafu-24h'!G16,'28.07 Lubigi-Masanafu'!G16)</f>
        <v>1.5714285714285714</v>
      </c>
      <c r="H16" s="49">
        <f>AVERAGE('22.07 Lubigi-Masanafu'!H16,'23.07 Lubigi-Masanafu'!H16,'24.07 Lubigi-Masanafu'!H16,'25.07 Lubigi-Masanafu'!H16,'26.07 Lubigi-Masanafu-24h'!H16,'27.07 Lubigi-Masanafu-24h'!H16,'28.07 Lubigi-Masanafu'!H16)</f>
        <v>0</v>
      </c>
      <c r="I16" s="49">
        <f>AVERAGE('22.07 Lubigi-Masanafu'!I16,'23.07 Lubigi-Masanafu'!I16,'24.07 Lubigi-Masanafu'!I16,'25.07 Lubigi-Masanafu'!I16,'26.07 Lubigi-Masanafu-24h'!I16,'27.07 Lubigi-Masanafu-24h'!I16,'28.07 Lubigi-Masanafu'!I16)</f>
        <v>12.857142857142858</v>
      </c>
      <c r="J16" s="49">
        <f>AVERAGE('22.07 Lubigi-Masanafu'!J16,'23.07 Lubigi-Masanafu'!J16,'24.07 Lubigi-Masanafu'!J16,'25.07 Lubigi-Masanafu'!J16,'26.07 Lubigi-Masanafu-24h'!J16,'27.07 Lubigi-Masanafu-24h'!J16,'28.07 Lubigi-Masanafu'!J16)</f>
        <v>6.5714285714285712</v>
      </c>
      <c r="K16" s="49">
        <f>AVERAGE('22.07 Lubigi-Masanafu'!K16,'23.07 Lubigi-Masanafu'!K16,'24.07 Lubigi-Masanafu'!K16,'25.07 Lubigi-Masanafu'!K16,'26.07 Lubigi-Masanafu-24h'!K16,'27.07 Lubigi-Masanafu-24h'!K16,'28.07 Lubigi-Masanafu'!K16)</f>
        <v>4.7142857142857144</v>
      </c>
      <c r="L16" s="49">
        <f>AVERAGE('22.07 Lubigi-Masanafu'!L16,'23.07 Lubigi-Masanafu'!L16,'24.07 Lubigi-Masanafu'!L16,'25.07 Lubigi-Masanafu'!L16,'26.07 Lubigi-Masanafu-24h'!L16,'27.07 Lubigi-Masanafu-24h'!L16,'28.07 Lubigi-Masanafu'!L16)</f>
        <v>4.1428571428571432</v>
      </c>
      <c r="M16" s="49">
        <f>AVERAGE('22.07 Lubigi-Masanafu'!M16,'23.07 Lubigi-Masanafu'!M16,'24.07 Lubigi-Masanafu'!M16,'25.07 Lubigi-Masanafu'!M16,'26.07 Lubigi-Masanafu-24h'!M16,'27.07 Lubigi-Masanafu-24h'!M16,'28.07 Lubigi-Masanafu'!M16)</f>
        <v>146.28571428571428</v>
      </c>
      <c r="N16" s="49">
        <f>AVERAGE('22.07 Lubigi-Masanafu'!N16,'23.07 Lubigi-Masanafu'!N16,'24.07 Lubigi-Masanafu'!N16,'25.07 Lubigi-Masanafu'!N16,'26.07 Lubigi-Masanafu-24h'!N16,'27.07 Lubigi-Masanafu-24h'!N16,'28.07 Lubigi-Masanafu'!N16)</f>
        <v>0</v>
      </c>
      <c r="O16" s="15">
        <f t="shared" si="0"/>
        <v>136.57142857142858</v>
      </c>
      <c r="P16" s="15">
        <f t="shared" si="1"/>
        <v>282.85714285714289</v>
      </c>
      <c r="R16" s="1" t="s">
        <v>12</v>
      </c>
      <c r="S16" s="17">
        <f t="shared" ref="S16:AF16" si="8">SUM(C34:C37)</f>
        <v>270.71428571428578</v>
      </c>
      <c r="T16" s="17">
        <f t="shared" si="8"/>
        <v>64.857142857142861</v>
      </c>
      <c r="U16" s="17">
        <f t="shared" si="8"/>
        <v>44.857142857142861</v>
      </c>
      <c r="V16" s="17">
        <f t="shared" si="8"/>
        <v>83.142857142857153</v>
      </c>
      <c r="W16" s="17">
        <f t="shared" si="8"/>
        <v>6.5714285714285712</v>
      </c>
      <c r="X16" s="17">
        <f t="shared" si="8"/>
        <v>0.85714285714285698</v>
      </c>
      <c r="Y16" s="17">
        <f t="shared" si="8"/>
        <v>42.285714285714285</v>
      </c>
      <c r="Z16" s="17">
        <f t="shared" si="8"/>
        <v>41.714285714285715</v>
      </c>
      <c r="AA16" s="17">
        <f t="shared" si="8"/>
        <v>19.857142857142858</v>
      </c>
      <c r="AB16" s="17">
        <f t="shared" si="8"/>
        <v>22.142857142857146</v>
      </c>
      <c r="AC16" s="17">
        <f t="shared" si="8"/>
        <v>497.42857142857144</v>
      </c>
      <c r="AD16" s="17">
        <f t="shared" si="8"/>
        <v>0.14285714285714285</v>
      </c>
      <c r="AE16" s="31">
        <f t="shared" si="8"/>
        <v>597.14285714285722</v>
      </c>
      <c r="AF16" s="31">
        <f t="shared" si="8"/>
        <v>1094.5714285714284</v>
      </c>
    </row>
    <row r="17" spans="2:32" ht="23.1" customHeight="1" x14ac:dyDescent="0.25">
      <c r="B17" s="23" t="s">
        <v>44</v>
      </c>
      <c r="C17" s="49">
        <f>AVERAGE('22.07 Lubigi-Masanafu'!C17,'23.07 Lubigi-Masanafu'!C17,'24.07 Lubigi-Masanafu'!C17,'25.07 Lubigi-Masanafu'!C17,'26.07 Lubigi-Masanafu-24h'!C17,'27.07 Lubigi-Masanafu-24h'!C17,'28.07 Lubigi-Masanafu'!C17)</f>
        <v>52.714285714285715</v>
      </c>
      <c r="D17" s="49">
        <f>AVERAGE('22.07 Lubigi-Masanafu'!D17,'23.07 Lubigi-Masanafu'!D17,'24.07 Lubigi-Masanafu'!D17,'25.07 Lubigi-Masanafu'!D17,'26.07 Lubigi-Masanafu-24h'!D17,'27.07 Lubigi-Masanafu-24h'!D17,'28.07 Lubigi-Masanafu'!D17)</f>
        <v>12.714285714285714</v>
      </c>
      <c r="E17" s="49">
        <f>AVERAGE('22.07 Lubigi-Masanafu'!E17,'23.07 Lubigi-Masanafu'!E17,'24.07 Lubigi-Masanafu'!E17,'25.07 Lubigi-Masanafu'!E17,'26.07 Lubigi-Masanafu-24h'!E17,'27.07 Lubigi-Masanafu-24h'!E17,'28.07 Lubigi-Masanafu'!E17)</f>
        <v>10.285714285714286</v>
      </c>
      <c r="F17" s="49">
        <f>AVERAGE('22.07 Lubigi-Masanafu'!F17,'23.07 Lubigi-Masanafu'!F17,'24.07 Lubigi-Masanafu'!F17,'25.07 Lubigi-Masanafu'!F17,'26.07 Lubigi-Masanafu-24h'!F17,'27.07 Lubigi-Masanafu-24h'!F17,'28.07 Lubigi-Masanafu'!F17)</f>
        <v>24.142857142857142</v>
      </c>
      <c r="G17" s="49">
        <f>AVERAGE('22.07 Lubigi-Masanafu'!G17,'23.07 Lubigi-Masanafu'!G17,'24.07 Lubigi-Masanafu'!G17,'25.07 Lubigi-Masanafu'!G17,'26.07 Lubigi-Masanafu-24h'!G17,'27.07 Lubigi-Masanafu-24h'!G17,'28.07 Lubigi-Masanafu'!G17)</f>
        <v>2</v>
      </c>
      <c r="H17" s="49">
        <f>AVERAGE('22.07 Lubigi-Masanafu'!H17,'23.07 Lubigi-Masanafu'!H17,'24.07 Lubigi-Masanafu'!H17,'25.07 Lubigi-Masanafu'!H17,'26.07 Lubigi-Masanafu-24h'!H17,'27.07 Lubigi-Masanafu-24h'!H17,'28.07 Lubigi-Masanafu'!H17)</f>
        <v>0</v>
      </c>
      <c r="I17" s="49">
        <f>AVERAGE('22.07 Lubigi-Masanafu'!I17,'23.07 Lubigi-Masanafu'!I17,'24.07 Lubigi-Masanafu'!I17,'25.07 Lubigi-Masanafu'!I17,'26.07 Lubigi-Masanafu-24h'!I17,'27.07 Lubigi-Masanafu-24h'!I17,'28.07 Lubigi-Masanafu'!I17)</f>
        <v>9.5714285714285712</v>
      </c>
      <c r="J17" s="49">
        <f>AVERAGE('22.07 Lubigi-Masanafu'!J17,'23.07 Lubigi-Masanafu'!J17,'24.07 Lubigi-Masanafu'!J17,'25.07 Lubigi-Masanafu'!J17,'26.07 Lubigi-Masanafu-24h'!J17,'27.07 Lubigi-Masanafu-24h'!J17,'28.07 Lubigi-Masanafu'!J17)</f>
        <v>6.1428571428571432</v>
      </c>
      <c r="K17" s="49">
        <f>AVERAGE('22.07 Lubigi-Masanafu'!K17,'23.07 Lubigi-Masanafu'!K17,'24.07 Lubigi-Masanafu'!K17,'25.07 Lubigi-Masanafu'!K17,'26.07 Lubigi-Masanafu-24h'!K17,'27.07 Lubigi-Masanafu-24h'!K17,'28.07 Lubigi-Masanafu'!K17)</f>
        <v>5.5714285714285712</v>
      </c>
      <c r="L17" s="49">
        <f>AVERAGE('22.07 Lubigi-Masanafu'!L17,'23.07 Lubigi-Masanafu'!L17,'24.07 Lubigi-Masanafu'!L17,'25.07 Lubigi-Masanafu'!L17,'26.07 Lubigi-Masanafu-24h'!L17,'27.07 Lubigi-Masanafu-24h'!L17,'28.07 Lubigi-Masanafu'!L17)</f>
        <v>3.7142857142857144</v>
      </c>
      <c r="M17" s="49">
        <f>AVERAGE('22.07 Lubigi-Masanafu'!M17,'23.07 Lubigi-Masanafu'!M17,'24.07 Lubigi-Masanafu'!M17,'25.07 Lubigi-Masanafu'!M17,'26.07 Lubigi-Masanafu-24h'!M17,'27.07 Lubigi-Masanafu-24h'!M17,'28.07 Lubigi-Masanafu'!M17)</f>
        <v>122.42857142857143</v>
      </c>
      <c r="N17" s="49">
        <f>AVERAGE('22.07 Lubigi-Masanafu'!N17,'23.07 Lubigi-Masanafu'!N17,'24.07 Lubigi-Masanafu'!N17,'25.07 Lubigi-Masanafu'!N17,'26.07 Lubigi-Masanafu-24h'!N17,'27.07 Lubigi-Masanafu-24h'!N17,'28.07 Lubigi-Masanafu'!N17)</f>
        <v>0</v>
      </c>
      <c r="O17" s="15">
        <f t="shared" si="0"/>
        <v>126.85714285714285</v>
      </c>
      <c r="P17" s="15">
        <f t="shared" si="1"/>
        <v>249.28571428571428</v>
      </c>
      <c r="R17" s="1" t="s">
        <v>13</v>
      </c>
      <c r="S17" s="17">
        <f t="shared" ref="S17:AF17" si="9">SUM(C38:C41)</f>
        <v>213.57142857142856</v>
      </c>
      <c r="T17" s="17">
        <f t="shared" si="9"/>
        <v>53.714285714285715</v>
      </c>
      <c r="U17" s="17">
        <f t="shared" si="9"/>
        <v>45.857142857142854</v>
      </c>
      <c r="V17" s="17">
        <f t="shared" si="9"/>
        <v>67.714285714285722</v>
      </c>
      <c r="W17" s="17">
        <f t="shared" si="9"/>
        <v>2.8571428571428572</v>
      </c>
      <c r="X17" s="17">
        <f t="shared" si="9"/>
        <v>0.71428571428571419</v>
      </c>
      <c r="Y17" s="17">
        <f t="shared" si="9"/>
        <v>42.142857142857139</v>
      </c>
      <c r="Z17" s="17">
        <f t="shared" si="9"/>
        <v>44.857142857142854</v>
      </c>
      <c r="AA17" s="17">
        <f t="shared" si="9"/>
        <v>23.142857142857142</v>
      </c>
      <c r="AB17" s="17">
        <f t="shared" si="9"/>
        <v>19.428571428571427</v>
      </c>
      <c r="AC17" s="17">
        <f t="shared" si="9"/>
        <v>451.14285714285711</v>
      </c>
      <c r="AD17" s="17">
        <f t="shared" si="9"/>
        <v>0</v>
      </c>
      <c r="AE17" s="31">
        <f t="shared" si="9"/>
        <v>514</v>
      </c>
      <c r="AF17" s="31">
        <f t="shared" si="9"/>
        <v>965.14285714285711</v>
      </c>
    </row>
    <row r="18" spans="2:32" ht="23.1" customHeight="1" x14ac:dyDescent="0.25">
      <c r="B18" s="23" t="s">
        <v>45</v>
      </c>
      <c r="C18" s="49">
        <f>AVERAGE('22.07 Lubigi-Masanafu'!C18,'23.07 Lubigi-Masanafu'!C18,'24.07 Lubigi-Masanafu'!C18,'25.07 Lubigi-Masanafu'!C18,'26.07 Lubigi-Masanafu-24h'!C18,'27.07 Lubigi-Masanafu-24h'!C18,'28.07 Lubigi-Masanafu'!C18)</f>
        <v>51</v>
      </c>
      <c r="D18" s="49">
        <f>AVERAGE('22.07 Lubigi-Masanafu'!D18,'23.07 Lubigi-Masanafu'!D18,'24.07 Lubigi-Masanafu'!D18,'25.07 Lubigi-Masanafu'!D18,'26.07 Lubigi-Masanafu-24h'!D18,'27.07 Lubigi-Masanafu-24h'!D18,'28.07 Lubigi-Masanafu'!D18)</f>
        <v>8.7142857142857135</v>
      </c>
      <c r="E18" s="49">
        <f>AVERAGE('22.07 Lubigi-Masanafu'!E18,'23.07 Lubigi-Masanafu'!E18,'24.07 Lubigi-Masanafu'!E18,'25.07 Lubigi-Masanafu'!E18,'26.07 Lubigi-Masanafu-24h'!E18,'27.07 Lubigi-Masanafu-24h'!E18,'28.07 Lubigi-Masanafu'!E18)</f>
        <v>7</v>
      </c>
      <c r="F18" s="49">
        <f>AVERAGE('22.07 Lubigi-Masanafu'!F18,'23.07 Lubigi-Masanafu'!F18,'24.07 Lubigi-Masanafu'!F18,'25.07 Lubigi-Masanafu'!F18,'26.07 Lubigi-Masanafu-24h'!F18,'27.07 Lubigi-Masanafu-24h'!F18,'28.07 Lubigi-Masanafu'!F18)</f>
        <v>15.285714285714286</v>
      </c>
      <c r="G18" s="49">
        <f>AVERAGE('22.07 Lubigi-Masanafu'!G18,'23.07 Lubigi-Masanafu'!G18,'24.07 Lubigi-Masanafu'!G18,'25.07 Lubigi-Masanafu'!G18,'26.07 Lubigi-Masanafu-24h'!G18,'27.07 Lubigi-Masanafu-24h'!G18,'28.07 Lubigi-Masanafu'!G18)</f>
        <v>1.7142857142857142</v>
      </c>
      <c r="H18" s="49">
        <f>AVERAGE('22.07 Lubigi-Masanafu'!H18,'23.07 Lubigi-Masanafu'!H18,'24.07 Lubigi-Masanafu'!H18,'25.07 Lubigi-Masanafu'!H18,'26.07 Lubigi-Masanafu-24h'!H18,'27.07 Lubigi-Masanafu-24h'!H18,'28.07 Lubigi-Masanafu'!H18)</f>
        <v>0.14285714285714285</v>
      </c>
      <c r="I18" s="49">
        <f>AVERAGE('22.07 Lubigi-Masanafu'!I18,'23.07 Lubigi-Masanafu'!I18,'24.07 Lubigi-Masanafu'!I18,'25.07 Lubigi-Masanafu'!I18,'26.07 Lubigi-Masanafu-24h'!I18,'27.07 Lubigi-Masanafu-24h'!I18,'28.07 Lubigi-Masanafu'!I18)</f>
        <v>10.571428571428571</v>
      </c>
      <c r="J18" s="49">
        <f>AVERAGE('22.07 Lubigi-Masanafu'!J18,'23.07 Lubigi-Masanafu'!J18,'24.07 Lubigi-Masanafu'!J18,'25.07 Lubigi-Masanafu'!J18,'26.07 Lubigi-Masanafu-24h'!J18,'27.07 Lubigi-Masanafu-24h'!J18,'28.07 Lubigi-Masanafu'!J18)</f>
        <v>5.4285714285714288</v>
      </c>
      <c r="K18" s="49">
        <f>AVERAGE('22.07 Lubigi-Masanafu'!K18,'23.07 Lubigi-Masanafu'!K18,'24.07 Lubigi-Masanafu'!K18,'25.07 Lubigi-Masanafu'!K18,'26.07 Lubigi-Masanafu-24h'!K18,'27.07 Lubigi-Masanafu-24h'!K18,'28.07 Lubigi-Masanafu'!K18)</f>
        <v>6.4285714285714288</v>
      </c>
      <c r="L18" s="49">
        <f>AVERAGE('22.07 Lubigi-Masanafu'!L18,'23.07 Lubigi-Masanafu'!L18,'24.07 Lubigi-Masanafu'!L18,'25.07 Lubigi-Masanafu'!L18,'26.07 Lubigi-Masanafu-24h'!L18,'27.07 Lubigi-Masanafu-24h'!L18,'28.07 Lubigi-Masanafu'!L18)</f>
        <v>4.2857142857142856</v>
      </c>
      <c r="M18" s="49">
        <f>AVERAGE('22.07 Lubigi-Masanafu'!M18,'23.07 Lubigi-Masanafu'!M18,'24.07 Lubigi-Masanafu'!M18,'25.07 Lubigi-Masanafu'!M18,'26.07 Lubigi-Masanafu-24h'!M18,'27.07 Lubigi-Masanafu-24h'!M18,'28.07 Lubigi-Masanafu'!M18)</f>
        <v>118.14285714285714</v>
      </c>
      <c r="N18" s="49">
        <f>AVERAGE('22.07 Lubigi-Masanafu'!N18,'23.07 Lubigi-Masanafu'!N18,'24.07 Lubigi-Masanafu'!N18,'25.07 Lubigi-Masanafu'!N18,'26.07 Lubigi-Masanafu-24h'!N18,'27.07 Lubigi-Masanafu-24h'!N18,'28.07 Lubigi-Masanafu'!N18)</f>
        <v>0</v>
      </c>
      <c r="O18" s="15">
        <f t="shared" si="0"/>
        <v>110.57142857142858</v>
      </c>
      <c r="P18" s="15">
        <f t="shared" si="1"/>
        <v>228.71428571428572</v>
      </c>
      <c r="R18" s="1" t="s">
        <v>14</v>
      </c>
      <c r="S18" s="17">
        <f t="shared" ref="S18:AF18" si="10">SUM(C42:C45)</f>
        <v>250.42857142857142</v>
      </c>
      <c r="T18" s="17">
        <f t="shared" si="10"/>
        <v>63.714285714285708</v>
      </c>
      <c r="U18" s="17">
        <f t="shared" si="10"/>
        <v>43.857142857142854</v>
      </c>
      <c r="V18" s="17">
        <f t="shared" si="10"/>
        <v>69.285714285714292</v>
      </c>
      <c r="W18" s="17">
        <f t="shared" si="10"/>
        <v>3</v>
      </c>
      <c r="X18" s="17">
        <f t="shared" si="10"/>
        <v>1.1428571428571428</v>
      </c>
      <c r="Y18" s="17">
        <f t="shared" si="10"/>
        <v>45.142857142857139</v>
      </c>
      <c r="Z18" s="17">
        <f t="shared" si="10"/>
        <v>45.571428571428569</v>
      </c>
      <c r="AA18" s="17">
        <f t="shared" si="10"/>
        <v>21.571428571428573</v>
      </c>
      <c r="AB18" s="17">
        <f t="shared" si="10"/>
        <v>20.428571428571427</v>
      </c>
      <c r="AC18" s="17">
        <f t="shared" si="10"/>
        <v>416.85714285714283</v>
      </c>
      <c r="AD18" s="17">
        <f t="shared" si="10"/>
        <v>0</v>
      </c>
      <c r="AE18" s="31">
        <f t="shared" si="10"/>
        <v>564.14285714285711</v>
      </c>
      <c r="AF18" s="31">
        <f t="shared" si="10"/>
        <v>980.99999999999989</v>
      </c>
    </row>
    <row r="19" spans="2:32" ht="23.1" customHeight="1" x14ac:dyDescent="0.25">
      <c r="B19" s="23" t="s">
        <v>46</v>
      </c>
      <c r="C19" s="49">
        <f>AVERAGE('22.07 Lubigi-Masanafu'!C19,'23.07 Lubigi-Masanafu'!C19,'24.07 Lubigi-Masanafu'!C19,'25.07 Lubigi-Masanafu'!C19,'26.07 Lubigi-Masanafu-24h'!C19,'27.07 Lubigi-Masanafu-24h'!C19,'28.07 Lubigi-Masanafu'!C19)</f>
        <v>49.428571428571431</v>
      </c>
      <c r="D19" s="49">
        <f>AVERAGE('22.07 Lubigi-Masanafu'!D19,'23.07 Lubigi-Masanafu'!D19,'24.07 Lubigi-Masanafu'!D19,'25.07 Lubigi-Masanafu'!D19,'26.07 Lubigi-Masanafu-24h'!D19,'27.07 Lubigi-Masanafu-24h'!D19,'28.07 Lubigi-Masanafu'!D19)</f>
        <v>11.857142857142858</v>
      </c>
      <c r="E19" s="49">
        <f>AVERAGE('22.07 Lubigi-Masanafu'!E19,'23.07 Lubigi-Masanafu'!E19,'24.07 Lubigi-Masanafu'!E19,'25.07 Lubigi-Masanafu'!E19,'26.07 Lubigi-Masanafu-24h'!E19,'27.07 Lubigi-Masanafu-24h'!E19,'28.07 Lubigi-Masanafu'!E19)</f>
        <v>11.857142857142858</v>
      </c>
      <c r="F19" s="49">
        <f>AVERAGE('22.07 Lubigi-Masanafu'!F19,'23.07 Lubigi-Masanafu'!F19,'24.07 Lubigi-Masanafu'!F19,'25.07 Lubigi-Masanafu'!F19,'26.07 Lubigi-Masanafu-24h'!F19,'27.07 Lubigi-Masanafu-24h'!F19,'28.07 Lubigi-Masanafu'!F19)</f>
        <v>21.857142857142858</v>
      </c>
      <c r="G19" s="49">
        <f>AVERAGE('22.07 Lubigi-Masanafu'!G19,'23.07 Lubigi-Masanafu'!G19,'24.07 Lubigi-Masanafu'!G19,'25.07 Lubigi-Masanafu'!G19,'26.07 Lubigi-Masanafu-24h'!G19,'27.07 Lubigi-Masanafu-24h'!G19,'28.07 Lubigi-Masanafu'!G19)</f>
        <v>1.7142857142857142</v>
      </c>
      <c r="H19" s="49">
        <f>AVERAGE('22.07 Lubigi-Masanafu'!H19,'23.07 Lubigi-Masanafu'!H19,'24.07 Lubigi-Masanafu'!H19,'25.07 Lubigi-Masanafu'!H19,'26.07 Lubigi-Masanafu-24h'!H19,'27.07 Lubigi-Masanafu-24h'!H19,'28.07 Lubigi-Masanafu'!H19)</f>
        <v>0.7142857142857143</v>
      </c>
      <c r="I19" s="49">
        <f>AVERAGE('22.07 Lubigi-Masanafu'!I19,'23.07 Lubigi-Masanafu'!I19,'24.07 Lubigi-Masanafu'!I19,'25.07 Lubigi-Masanafu'!I19,'26.07 Lubigi-Masanafu-24h'!I19,'27.07 Lubigi-Masanafu-24h'!I19,'28.07 Lubigi-Masanafu'!I19)</f>
        <v>10</v>
      </c>
      <c r="J19" s="49">
        <f>AVERAGE('22.07 Lubigi-Masanafu'!J19,'23.07 Lubigi-Masanafu'!J19,'24.07 Lubigi-Masanafu'!J19,'25.07 Lubigi-Masanafu'!J19,'26.07 Lubigi-Masanafu-24h'!J19,'27.07 Lubigi-Masanafu-24h'!J19,'28.07 Lubigi-Masanafu'!J19)</f>
        <v>9.2857142857142865</v>
      </c>
      <c r="K19" s="49">
        <f>AVERAGE('22.07 Lubigi-Masanafu'!K19,'23.07 Lubigi-Masanafu'!K19,'24.07 Lubigi-Masanafu'!K19,'25.07 Lubigi-Masanafu'!K19,'26.07 Lubigi-Masanafu-24h'!K19,'27.07 Lubigi-Masanafu-24h'!K19,'28.07 Lubigi-Masanafu'!K19)</f>
        <v>4</v>
      </c>
      <c r="L19" s="49">
        <f>AVERAGE('22.07 Lubigi-Masanafu'!L19,'23.07 Lubigi-Masanafu'!L19,'24.07 Lubigi-Masanafu'!L19,'25.07 Lubigi-Masanafu'!L19,'26.07 Lubigi-Masanafu-24h'!L19,'27.07 Lubigi-Masanafu-24h'!L19,'28.07 Lubigi-Masanafu'!L19)</f>
        <v>4.7142857142857144</v>
      </c>
      <c r="M19" s="49">
        <f>AVERAGE('22.07 Lubigi-Masanafu'!M19,'23.07 Lubigi-Masanafu'!M19,'24.07 Lubigi-Masanafu'!M19,'25.07 Lubigi-Masanafu'!M19,'26.07 Lubigi-Masanafu-24h'!M19,'27.07 Lubigi-Masanafu-24h'!M19,'28.07 Lubigi-Masanafu'!M19)</f>
        <v>128.42857142857142</v>
      </c>
      <c r="N19" s="49">
        <f>AVERAGE('22.07 Lubigi-Masanafu'!N19,'23.07 Lubigi-Masanafu'!N19,'24.07 Lubigi-Masanafu'!N19,'25.07 Lubigi-Masanafu'!N19,'26.07 Lubigi-Masanafu-24h'!N19,'27.07 Lubigi-Masanafu-24h'!N19,'28.07 Lubigi-Masanafu'!N19)</f>
        <v>0</v>
      </c>
      <c r="O19" s="15">
        <f t="shared" si="0"/>
        <v>125.42857142857143</v>
      </c>
      <c r="P19" s="15">
        <f t="shared" si="1"/>
        <v>253.85714285714283</v>
      </c>
      <c r="R19" s="1" t="s">
        <v>15</v>
      </c>
      <c r="S19" s="17">
        <f t="shared" ref="S19:AF19" si="11">SUM(C46:C49)</f>
        <v>267.85714285714289</v>
      </c>
      <c r="T19" s="17">
        <f t="shared" si="11"/>
        <v>72</v>
      </c>
      <c r="U19" s="17">
        <f t="shared" si="11"/>
        <v>48.714285714285715</v>
      </c>
      <c r="V19" s="17">
        <f t="shared" si="11"/>
        <v>87</v>
      </c>
      <c r="W19" s="17">
        <f t="shared" si="11"/>
        <v>4.5714285714285712</v>
      </c>
      <c r="X19" s="17">
        <f t="shared" si="11"/>
        <v>1.2857142857142856</v>
      </c>
      <c r="Y19" s="17">
        <f t="shared" si="11"/>
        <v>50.285714285714292</v>
      </c>
      <c r="Z19" s="17">
        <f t="shared" si="11"/>
        <v>44.142857142857146</v>
      </c>
      <c r="AA19" s="17">
        <f t="shared" si="11"/>
        <v>20.571428571428573</v>
      </c>
      <c r="AB19" s="17">
        <f t="shared" si="11"/>
        <v>20.428571428571427</v>
      </c>
      <c r="AC19" s="17">
        <f t="shared" si="11"/>
        <v>477.14285714285711</v>
      </c>
      <c r="AD19" s="17">
        <f t="shared" si="11"/>
        <v>0</v>
      </c>
      <c r="AE19" s="31">
        <f t="shared" si="11"/>
        <v>616.85714285714289</v>
      </c>
      <c r="AF19" s="31">
        <f t="shared" si="11"/>
        <v>1094</v>
      </c>
    </row>
    <row r="20" spans="2:32" ht="23.1" customHeight="1" x14ac:dyDescent="0.25">
      <c r="B20" s="23" t="s">
        <v>47</v>
      </c>
      <c r="C20" s="49">
        <f>AVERAGE('22.07 Lubigi-Masanafu'!C20,'23.07 Lubigi-Masanafu'!C20,'24.07 Lubigi-Masanafu'!C20,'25.07 Lubigi-Masanafu'!C20,'26.07 Lubigi-Masanafu-24h'!C20,'27.07 Lubigi-Masanafu-24h'!C20,'28.07 Lubigi-Masanafu'!C20)</f>
        <v>51.571428571428569</v>
      </c>
      <c r="D20" s="49">
        <f>AVERAGE('22.07 Lubigi-Masanafu'!D20,'23.07 Lubigi-Masanafu'!D20,'24.07 Lubigi-Masanafu'!D20,'25.07 Lubigi-Masanafu'!D20,'26.07 Lubigi-Masanafu-24h'!D20,'27.07 Lubigi-Masanafu-24h'!D20,'28.07 Lubigi-Masanafu'!D20)</f>
        <v>9.1428571428571423</v>
      </c>
      <c r="E20" s="49">
        <f>AVERAGE('22.07 Lubigi-Masanafu'!E20,'23.07 Lubigi-Masanafu'!E20,'24.07 Lubigi-Masanafu'!E20,'25.07 Lubigi-Masanafu'!E20,'26.07 Lubigi-Masanafu-24h'!E20,'27.07 Lubigi-Masanafu-24h'!E20,'28.07 Lubigi-Masanafu'!E20)</f>
        <v>10</v>
      </c>
      <c r="F20" s="49">
        <f>AVERAGE('22.07 Lubigi-Masanafu'!F20,'23.07 Lubigi-Masanafu'!F20,'24.07 Lubigi-Masanafu'!F20,'25.07 Lubigi-Masanafu'!F20,'26.07 Lubigi-Masanafu-24h'!F20,'27.07 Lubigi-Masanafu-24h'!F20,'28.07 Lubigi-Masanafu'!F20)</f>
        <v>26.571428571428573</v>
      </c>
      <c r="G20" s="49">
        <f>AVERAGE('22.07 Lubigi-Masanafu'!G20,'23.07 Lubigi-Masanafu'!G20,'24.07 Lubigi-Masanafu'!G20,'25.07 Lubigi-Masanafu'!G20,'26.07 Lubigi-Masanafu-24h'!G20,'27.07 Lubigi-Masanafu-24h'!G20,'28.07 Lubigi-Masanafu'!G20)</f>
        <v>2.7142857142857144</v>
      </c>
      <c r="H20" s="49">
        <f>AVERAGE('22.07 Lubigi-Masanafu'!H20,'23.07 Lubigi-Masanafu'!H20,'24.07 Lubigi-Masanafu'!H20,'25.07 Lubigi-Masanafu'!H20,'26.07 Lubigi-Masanafu-24h'!H20,'27.07 Lubigi-Masanafu-24h'!H20,'28.07 Lubigi-Masanafu'!H20)</f>
        <v>0.14285714285714285</v>
      </c>
      <c r="I20" s="49">
        <f>AVERAGE('22.07 Lubigi-Masanafu'!I20,'23.07 Lubigi-Masanafu'!I20,'24.07 Lubigi-Masanafu'!I20,'25.07 Lubigi-Masanafu'!I20,'26.07 Lubigi-Masanafu-24h'!I20,'27.07 Lubigi-Masanafu-24h'!I20,'28.07 Lubigi-Masanafu'!I20)</f>
        <v>12.142857142857142</v>
      </c>
      <c r="J20" s="49">
        <f>AVERAGE('22.07 Lubigi-Masanafu'!J20,'23.07 Lubigi-Masanafu'!J20,'24.07 Lubigi-Masanafu'!J20,'25.07 Lubigi-Masanafu'!J20,'26.07 Lubigi-Masanafu-24h'!J20,'27.07 Lubigi-Masanafu-24h'!J20,'28.07 Lubigi-Masanafu'!J20)</f>
        <v>4.4285714285714288</v>
      </c>
      <c r="K20" s="49">
        <f>AVERAGE('22.07 Lubigi-Masanafu'!K20,'23.07 Lubigi-Masanafu'!K20,'24.07 Lubigi-Masanafu'!K20,'25.07 Lubigi-Masanafu'!K20,'26.07 Lubigi-Masanafu-24h'!K20,'27.07 Lubigi-Masanafu-24h'!K20,'28.07 Lubigi-Masanafu'!K20)</f>
        <v>5</v>
      </c>
      <c r="L20" s="49">
        <f>AVERAGE('22.07 Lubigi-Masanafu'!L20,'23.07 Lubigi-Masanafu'!L20,'24.07 Lubigi-Masanafu'!L20,'25.07 Lubigi-Masanafu'!L20,'26.07 Lubigi-Masanafu-24h'!L20,'27.07 Lubigi-Masanafu-24h'!L20,'28.07 Lubigi-Masanafu'!L20)</f>
        <v>3.5714285714285716</v>
      </c>
      <c r="M20" s="49">
        <f>AVERAGE('22.07 Lubigi-Masanafu'!M20,'23.07 Lubigi-Masanafu'!M20,'24.07 Lubigi-Masanafu'!M20,'25.07 Lubigi-Masanafu'!M20,'26.07 Lubigi-Masanafu-24h'!M20,'27.07 Lubigi-Masanafu-24h'!M20,'28.07 Lubigi-Masanafu'!M20)</f>
        <v>112.14285714285714</v>
      </c>
      <c r="N20" s="49">
        <f>AVERAGE('22.07 Lubigi-Masanafu'!N20,'23.07 Lubigi-Masanafu'!N20,'24.07 Lubigi-Masanafu'!N20,'25.07 Lubigi-Masanafu'!N20,'26.07 Lubigi-Masanafu-24h'!N20,'27.07 Lubigi-Masanafu-24h'!N20,'28.07 Lubigi-Masanafu'!N20)</f>
        <v>0</v>
      </c>
      <c r="O20" s="15">
        <f t="shared" si="0"/>
        <v>125.28571428571426</v>
      </c>
      <c r="P20" s="15">
        <f t="shared" si="1"/>
        <v>237.42857142857139</v>
      </c>
      <c r="R20" s="1" t="s">
        <v>16</v>
      </c>
      <c r="S20" s="17">
        <f t="shared" ref="S20:AF20" si="12">SUM(C50:C53)</f>
        <v>350.42857142857144</v>
      </c>
      <c r="T20" s="17">
        <f t="shared" si="12"/>
        <v>82.142857142857139</v>
      </c>
      <c r="U20" s="17">
        <f t="shared" si="12"/>
        <v>55.857142857142861</v>
      </c>
      <c r="V20" s="17">
        <f t="shared" si="12"/>
        <v>104.85714285714286</v>
      </c>
      <c r="W20" s="17">
        <f t="shared" si="12"/>
        <v>5.7142857142857135</v>
      </c>
      <c r="X20" s="17">
        <f t="shared" si="12"/>
        <v>3.2857142857142856</v>
      </c>
      <c r="Y20" s="17">
        <f t="shared" si="12"/>
        <v>62.857142857142861</v>
      </c>
      <c r="Z20" s="17">
        <f t="shared" si="12"/>
        <v>41.714285714285715</v>
      </c>
      <c r="AA20" s="17">
        <f t="shared" si="12"/>
        <v>26.571428571428569</v>
      </c>
      <c r="AB20" s="17">
        <f t="shared" si="12"/>
        <v>19.714285714285715</v>
      </c>
      <c r="AC20" s="17">
        <f t="shared" si="12"/>
        <v>576.28571428571422</v>
      </c>
      <c r="AD20" s="17">
        <f t="shared" si="12"/>
        <v>0</v>
      </c>
      <c r="AE20" s="31">
        <f t="shared" si="12"/>
        <v>753.14285714285711</v>
      </c>
      <c r="AF20" s="31">
        <f t="shared" si="12"/>
        <v>1329.4285714285716</v>
      </c>
    </row>
    <row r="21" spans="2:32" ht="23.1" customHeight="1" x14ac:dyDescent="0.25">
      <c r="B21" s="23" t="s">
        <v>48</v>
      </c>
      <c r="C21" s="49">
        <f>AVERAGE('22.07 Lubigi-Masanafu'!C21,'23.07 Lubigi-Masanafu'!C21,'24.07 Lubigi-Masanafu'!C21,'25.07 Lubigi-Masanafu'!C21,'26.07 Lubigi-Masanafu-24h'!C21,'27.07 Lubigi-Masanafu-24h'!C21,'28.07 Lubigi-Masanafu'!C21)</f>
        <v>46.571428571428569</v>
      </c>
      <c r="D21" s="49">
        <f>AVERAGE('22.07 Lubigi-Masanafu'!D21,'23.07 Lubigi-Masanafu'!D21,'24.07 Lubigi-Masanafu'!D21,'25.07 Lubigi-Masanafu'!D21,'26.07 Lubigi-Masanafu-24h'!D21,'27.07 Lubigi-Masanafu-24h'!D21,'28.07 Lubigi-Masanafu'!D21)</f>
        <v>10.428571428571429</v>
      </c>
      <c r="E21" s="49">
        <f>AVERAGE('22.07 Lubigi-Masanafu'!E21,'23.07 Lubigi-Masanafu'!E21,'24.07 Lubigi-Masanafu'!E21,'25.07 Lubigi-Masanafu'!E21,'26.07 Lubigi-Masanafu-24h'!E21,'27.07 Lubigi-Masanafu-24h'!E21,'28.07 Lubigi-Masanafu'!E21)</f>
        <v>10.428571428571429</v>
      </c>
      <c r="F21" s="49">
        <f>AVERAGE('22.07 Lubigi-Masanafu'!F21,'23.07 Lubigi-Masanafu'!F21,'24.07 Lubigi-Masanafu'!F21,'25.07 Lubigi-Masanafu'!F21,'26.07 Lubigi-Masanafu-24h'!F21,'27.07 Lubigi-Masanafu-24h'!F21,'28.07 Lubigi-Masanafu'!F21)</f>
        <v>25.857142857142858</v>
      </c>
      <c r="G21" s="49">
        <f>AVERAGE('22.07 Lubigi-Masanafu'!G21,'23.07 Lubigi-Masanafu'!G21,'24.07 Lubigi-Masanafu'!G21,'25.07 Lubigi-Masanafu'!G21,'26.07 Lubigi-Masanafu-24h'!G21,'27.07 Lubigi-Masanafu-24h'!G21,'28.07 Lubigi-Masanafu'!G21)</f>
        <v>3.7142857142857144</v>
      </c>
      <c r="H21" s="49">
        <f>AVERAGE('22.07 Lubigi-Masanafu'!H21,'23.07 Lubigi-Masanafu'!H21,'24.07 Lubigi-Masanafu'!H21,'25.07 Lubigi-Masanafu'!H21,'26.07 Lubigi-Masanafu-24h'!H21,'27.07 Lubigi-Masanafu-24h'!H21,'28.07 Lubigi-Masanafu'!H21)</f>
        <v>0.2857142857142857</v>
      </c>
      <c r="I21" s="49">
        <f>AVERAGE('22.07 Lubigi-Masanafu'!I21,'23.07 Lubigi-Masanafu'!I21,'24.07 Lubigi-Masanafu'!I21,'25.07 Lubigi-Masanafu'!I21,'26.07 Lubigi-Masanafu-24h'!I21,'27.07 Lubigi-Masanafu-24h'!I21,'28.07 Lubigi-Masanafu'!I21)</f>
        <v>15</v>
      </c>
      <c r="J21" s="49">
        <f>AVERAGE('22.07 Lubigi-Masanafu'!J21,'23.07 Lubigi-Masanafu'!J21,'24.07 Lubigi-Masanafu'!J21,'25.07 Lubigi-Masanafu'!J21,'26.07 Lubigi-Masanafu-24h'!J21,'27.07 Lubigi-Masanafu-24h'!J21,'28.07 Lubigi-Masanafu'!J21)</f>
        <v>6.2857142857142856</v>
      </c>
      <c r="K21" s="49">
        <f>AVERAGE('22.07 Lubigi-Masanafu'!K21,'23.07 Lubigi-Masanafu'!K21,'24.07 Lubigi-Masanafu'!K21,'25.07 Lubigi-Masanafu'!K21,'26.07 Lubigi-Masanafu-24h'!K21,'27.07 Lubigi-Masanafu-24h'!K21,'28.07 Lubigi-Masanafu'!K21)</f>
        <v>5</v>
      </c>
      <c r="L21" s="49">
        <f>AVERAGE('22.07 Lubigi-Masanafu'!L21,'23.07 Lubigi-Masanafu'!L21,'24.07 Lubigi-Masanafu'!L21,'25.07 Lubigi-Masanafu'!L21,'26.07 Lubigi-Masanafu-24h'!L21,'27.07 Lubigi-Masanafu-24h'!L21,'28.07 Lubigi-Masanafu'!L21)</f>
        <v>5</v>
      </c>
      <c r="M21" s="49">
        <f>AVERAGE('22.07 Lubigi-Masanafu'!M21,'23.07 Lubigi-Masanafu'!M21,'24.07 Lubigi-Masanafu'!M21,'25.07 Lubigi-Masanafu'!M21,'26.07 Lubigi-Masanafu-24h'!M21,'27.07 Lubigi-Masanafu-24h'!M21,'28.07 Lubigi-Masanafu'!M21)</f>
        <v>122.28571428571429</v>
      </c>
      <c r="N21" s="49">
        <f>AVERAGE('22.07 Lubigi-Masanafu'!N21,'23.07 Lubigi-Masanafu'!N21,'24.07 Lubigi-Masanafu'!N21,'25.07 Lubigi-Masanafu'!N21,'26.07 Lubigi-Masanafu-24h'!N21,'27.07 Lubigi-Masanafu-24h'!N21,'28.07 Lubigi-Masanafu'!N21)</f>
        <v>0</v>
      </c>
      <c r="O21" s="15">
        <f t="shared" si="0"/>
        <v>128.57142857142858</v>
      </c>
      <c r="P21" s="15">
        <f t="shared" si="1"/>
        <v>250.85714285714289</v>
      </c>
      <c r="R21" s="1" t="s">
        <v>20</v>
      </c>
      <c r="S21" s="34">
        <f t="shared" ref="S21:AF21" si="13">SUM(C54:C57)</f>
        <v>341.85714285714283</v>
      </c>
      <c r="T21" s="17">
        <f t="shared" si="13"/>
        <v>83</v>
      </c>
      <c r="U21" s="17">
        <f t="shared" si="13"/>
        <v>60.142857142857146</v>
      </c>
      <c r="V21" s="17">
        <f t="shared" si="13"/>
        <v>115.28571428571429</v>
      </c>
      <c r="W21" s="17">
        <f t="shared" si="13"/>
        <v>13.142857142857142</v>
      </c>
      <c r="X21" s="17">
        <f t="shared" si="13"/>
        <v>2.9999999999999996</v>
      </c>
      <c r="Y21" s="17">
        <f t="shared" si="13"/>
        <v>50.571428571428577</v>
      </c>
      <c r="Z21" s="17">
        <f t="shared" si="13"/>
        <v>52</v>
      </c>
      <c r="AA21" s="17">
        <f t="shared" si="13"/>
        <v>23.428571428571427</v>
      </c>
      <c r="AB21" s="17">
        <f t="shared" si="13"/>
        <v>23.285714285714285</v>
      </c>
      <c r="AC21" s="17">
        <f t="shared" si="13"/>
        <v>562.85714285714289</v>
      </c>
      <c r="AD21" s="17">
        <f t="shared" si="13"/>
        <v>0</v>
      </c>
      <c r="AE21" s="31">
        <f t="shared" si="13"/>
        <v>765.71428571428578</v>
      </c>
      <c r="AF21" s="31">
        <f t="shared" si="13"/>
        <v>1328.5714285714284</v>
      </c>
    </row>
    <row r="22" spans="2:32" ht="23.1" customHeight="1" x14ac:dyDescent="0.25">
      <c r="B22" s="23" t="s">
        <v>49</v>
      </c>
      <c r="C22" s="49">
        <f>AVERAGE('22.07 Lubigi-Masanafu'!C22,'23.07 Lubigi-Masanafu'!C22,'24.07 Lubigi-Masanafu'!C22,'25.07 Lubigi-Masanafu'!C22,'26.07 Lubigi-Masanafu-24h'!C22,'27.07 Lubigi-Masanafu-24h'!C22,'28.07 Lubigi-Masanafu'!C22)</f>
        <v>54.285714285714285</v>
      </c>
      <c r="D22" s="49">
        <f>AVERAGE('22.07 Lubigi-Masanafu'!D22,'23.07 Lubigi-Masanafu'!D22,'24.07 Lubigi-Masanafu'!D22,'25.07 Lubigi-Masanafu'!D22,'26.07 Lubigi-Masanafu-24h'!D22,'27.07 Lubigi-Masanafu-24h'!D22,'28.07 Lubigi-Masanafu'!D22)</f>
        <v>9.2857142857142865</v>
      </c>
      <c r="E22" s="49">
        <f>AVERAGE('22.07 Lubigi-Masanafu'!E22,'23.07 Lubigi-Masanafu'!E22,'24.07 Lubigi-Masanafu'!E22,'25.07 Lubigi-Masanafu'!E22,'26.07 Lubigi-Masanafu-24h'!E22,'27.07 Lubigi-Masanafu-24h'!E22,'28.07 Lubigi-Masanafu'!E22)</f>
        <v>9.1428571428571423</v>
      </c>
      <c r="F22" s="49">
        <f>AVERAGE('22.07 Lubigi-Masanafu'!F22,'23.07 Lubigi-Masanafu'!F22,'24.07 Lubigi-Masanafu'!F22,'25.07 Lubigi-Masanafu'!F22,'26.07 Lubigi-Masanafu-24h'!F22,'27.07 Lubigi-Masanafu-24h'!F22,'28.07 Lubigi-Masanafu'!F22)</f>
        <v>23.571428571428573</v>
      </c>
      <c r="G22" s="49">
        <f>AVERAGE('22.07 Lubigi-Masanafu'!G22,'23.07 Lubigi-Masanafu'!G22,'24.07 Lubigi-Masanafu'!G22,'25.07 Lubigi-Masanafu'!G22,'26.07 Lubigi-Masanafu-24h'!G22,'27.07 Lubigi-Masanafu-24h'!G22,'28.07 Lubigi-Masanafu'!G22)</f>
        <v>2.7142857142857144</v>
      </c>
      <c r="H22" s="49">
        <f>AVERAGE('22.07 Lubigi-Masanafu'!H22,'23.07 Lubigi-Masanafu'!H22,'24.07 Lubigi-Masanafu'!H22,'25.07 Lubigi-Masanafu'!H22,'26.07 Lubigi-Masanafu-24h'!H22,'27.07 Lubigi-Masanafu-24h'!H22,'28.07 Lubigi-Masanafu'!H22)</f>
        <v>0.5714285714285714</v>
      </c>
      <c r="I22" s="49">
        <f>AVERAGE('22.07 Lubigi-Masanafu'!I22,'23.07 Lubigi-Masanafu'!I22,'24.07 Lubigi-Masanafu'!I22,'25.07 Lubigi-Masanafu'!I22,'26.07 Lubigi-Masanafu-24h'!I22,'27.07 Lubigi-Masanafu-24h'!I22,'28.07 Lubigi-Masanafu'!I22)</f>
        <v>13.285714285714286</v>
      </c>
      <c r="J22" s="49">
        <f>AVERAGE('22.07 Lubigi-Masanafu'!J22,'23.07 Lubigi-Masanafu'!J22,'24.07 Lubigi-Masanafu'!J22,'25.07 Lubigi-Masanafu'!J22,'26.07 Lubigi-Masanafu-24h'!J22,'27.07 Lubigi-Masanafu-24h'!J22,'28.07 Lubigi-Masanafu'!J22)</f>
        <v>9.2857142857142865</v>
      </c>
      <c r="K22" s="49">
        <f>AVERAGE('22.07 Lubigi-Masanafu'!K22,'23.07 Lubigi-Masanafu'!K22,'24.07 Lubigi-Masanafu'!K22,'25.07 Lubigi-Masanafu'!K22,'26.07 Lubigi-Masanafu-24h'!K22,'27.07 Lubigi-Masanafu-24h'!K22,'28.07 Lubigi-Masanafu'!K22)</f>
        <v>8.2857142857142865</v>
      </c>
      <c r="L22" s="49">
        <f>AVERAGE('22.07 Lubigi-Masanafu'!L22,'23.07 Lubigi-Masanafu'!L22,'24.07 Lubigi-Masanafu'!L22,'25.07 Lubigi-Masanafu'!L22,'26.07 Lubigi-Masanafu-24h'!L22,'27.07 Lubigi-Masanafu-24h'!L22,'28.07 Lubigi-Masanafu'!L22)</f>
        <v>4.2857142857142856</v>
      </c>
      <c r="M22" s="49">
        <f>AVERAGE('22.07 Lubigi-Masanafu'!M22,'23.07 Lubigi-Masanafu'!M22,'24.07 Lubigi-Masanafu'!M22,'25.07 Lubigi-Masanafu'!M22,'26.07 Lubigi-Masanafu-24h'!M22,'27.07 Lubigi-Masanafu-24h'!M22,'28.07 Lubigi-Masanafu'!M22)</f>
        <v>137</v>
      </c>
      <c r="N22" s="49">
        <f>AVERAGE('22.07 Lubigi-Masanafu'!N22,'23.07 Lubigi-Masanafu'!N22,'24.07 Lubigi-Masanafu'!N22,'25.07 Lubigi-Masanafu'!N22,'26.07 Lubigi-Masanafu-24h'!N22,'27.07 Lubigi-Masanafu-24h'!N22,'28.07 Lubigi-Masanafu'!N22)</f>
        <v>0</v>
      </c>
      <c r="O22" s="15">
        <f t="shared" si="0"/>
        <v>134.71428571428569</v>
      </c>
      <c r="P22" s="15">
        <f t="shared" si="1"/>
        <v>271.71428571428567</v>
      </c>
      <c r="R22" s="1" t="s">
        <v>146</v>
      </c>
      <c r="S22" s="34">
        <f>SUM(C58:C61)</f>
        <v>380.5</v>
      </c>
      <c r="T22" s="34">
        <f t="shared" ref="T22:AF22" si="14">SUM(D58:D61)</f>
        <v>181</v>
      </c>
      <c r="U22" s="34">
        <f t="shared" si="14"/>
        <v>184</v>
      </c>
      <c r="V22" s="34">
        <f t="shared" si="14"/>
        <v>233</v>
      </c>
      <c r="W22" s="34">
        <f t="shared" si="14"/>
        <v>12</v>
      </c>
      <c r="X22" s="34">
        <f t="shared" si="14"/>
        <v>4.5</v>
      </c>
      <c r="Y22" s="34">
        <f t="shared" si="14"/>
        <v>99</v>
      </c>
      <c r="Z22" s="34">
        <f t="shared" si="14"/>
        <v>142.5</v>
      </c>
      <c r="AA22" s="34">
        <f t="shared" si="14"/>
        <v>64.5</v>
      </c>
      <c r="AB22" s="34">
        <f t="shared" si="14"/>
        <v>40.5</v>
      </c>
      <c r="AC22" s="34">
        <f t="shared" si="14"/>
        <v>530</v>
      </c>
      <c r="AD22" s="34">
        <f t="shared" si="14"/>
        <v>0</v>
      </c>
      <c r="AE22" s="31">
        <f t="shared" si="14"/>
        <v>1341.5</v>
      </c>
      <c r="AF22" s="31">
        <f t="shared" si="14"/>
        <v>1871.5</v>
      </c>
    </row>
    <row r="23" spans="2:32" ht="23.1" customHeight="1" x14ac:dyDescent="0.25">
      <c r="B23" s="23" t="s">
        <v>50</v>
      </c>
      <c r="C23" s="49">
        <f>AVERAGE('22.07 Lubigi-Masanafu'!C23,'23.07 Lubigi-Masanafu'!C23,'24.07 Lubigi-Masanafu'!C23,'25.07 Lubigi-Masanafu'!C23,'26.07 Lubigi-Masanafu-24h'!C23,'27.07 Lubigi-Masanafu-24h'!C23,'28.07 Lubigi-Masanafu'!C23)</f>
        <v>65</v>
      </c>
      <c r="D23" s="49">
        <f>AVERAGE('22.07 Lubigi-Masanafu'!D23,'23.07 Lubigi-Masanafu'!D23,'24.07 Lubigi-Masanafu'!D23,'25.07 Lubigi-Masanafu'!D23,'26.07 Lubigi-Masanafu-24h'!D23,'27.07 Lubigi-Masanafu-24h'!D23,'28.07 Lubigi-Masanafu'!D23)</f>
        <v>15.428571428571429</v>
      </c>
      <c r="E23" s="49">
        <f>AVERAGE('22.07 Lubigi-Masanafu'!E23,'23.07 Lubigi-Masanafu'!E23,'24.07 Lubigi-Masanafu'!E23,'25.07 Lubigi-Masanafu'!E23,'26.07 Lubigi-Masanafu-24h'!E23,'27.07 Lubigi-Masanafu-24h'!E23,'28.07 Lubigi-Masanafu'!E23)</f>
        <v>12.428571428571429</v>
      </c>
      <c r="F23" s="49">
        <f>AVERAGE('22.07 Lubigi-Masanafu'!F23,'23.07 Lubigi-Masanafu'!F23,'24.07 Lubigi-Masanafu'!F23,'25.07 Lubigi-Masanafu'!F23,'26.07 Lubigi-Masanafu-24h'!F23,'27.07 Lubigi-Masanafu-24h'!F23,'28.07 Lubigi-Masanafu'!F23)</f>
        <v>26.571428571428573</v>
      </c>
      <c r="G23" s="49">
        <f>AVERAGE('22.07 Lubigi-Masanafu'!G23,'23.07 Lubigi-Masanafu'!G23,'24.07 Lubigi-Masanafu'!G23,'25.07 Lubigi-Masanafu'!G23,'26.07 Lubigi-Masanafu-24h'!G23,'27.07 Lubigi-Masanafu-24h'!G23,'28.07 Lubigi-Masanafu'!G23)</f>
        <v>3</v>
      </c>
      <c r="H23" s="49">
        <f>AVERAGE('22.07 Lubigi-Masanafu'!H23,'23.07 Lubigi-Masanafu'!H23,'24.07 Lubigi-Masanafu'!H23,'25.07 Lubigi-Masanafu'!H23,'26.07 Lubigi-Masanafu-24h'!H23,'27.07 Lubigi-Masanafu-24h'!H23,'28.07 Lubigi-Masanafu'!H23)</f>
        <v>0.5714285714285714</v>
      </c>
      <c r="I23" s="49">
        <f>AVERAGE('22.07 Lubigi-Masanafu'!I23,'23.07 Lubigi-Masanafu'!I23,'24.07 Lubigi-Masanafu'!I23,'25.07 Lubigi-Masanafu'!I23,'26.07 Lubigi-Masanafu-24h'!I23,'27.07 Lubigi-Masanafu-24h'!I23,'28.07 Lubigi-Masanafu'!I23)</f>
        <v>10.428571428571429</v>
      </c>
      <c r="J23" s="49">
        <f>AVERAGE('22.07 Lubigi-Masanafu'!J23,'23.07 Lubigi-Masanafu'!J23,'24.07 Lubigi-Masanafu'!J23,'25.07 Lubigi-Masanafu'!J23,'26.07 Lubigi-Masanafu-24h'!J23,'27.07 Lubigi-Masanafu-24h'!J23,'28.07 Lubigi-Masanafu'!J23)</f>
        <v>8.4285714285714288</v>
      </c>
      <c r="K23" s="49">
        <f>AVERAGE('22.07 Lubigi-Masanafu'!K23,'23.07 Lubigi-Masanafu'!K23,'24.07 Lubigi-Masanafu'!K23,'25.07 Lubigi-Masanafu'!K23,'26.07 Lubigi-Masanafu-24h'!K23,'27.07 Lubigi-Masanafu-24h'!K23,'28.07 Lubigi-Masanafu'!K23)</f>
        <v>4.7142857142857144</v>
      </c>
      <c r="L23" s="49">
        <f>AVERAGE('22.07 Lubigi-Masanafu'!L23,'23.07 Lubigi-Masanafu'!L23,'24.07 Lubigi-Masanafu'!L23,'25.07 Lubigi-Masanafu'!L23,'26.07 Lubigi-Masanafu-24h'!L23,'27.07 Lubigi-Masanafu-24h'!L23,'28.07 Lubigi-Masanafu'!L23)</f>
        <v>8.2857142857142865</v>
      </c>
      <c r="M23" s="49">
        <f>AVERAGE('22.07 Lubigi-Masanafu'!M23,'23.07 Lubigi-Masanafu'!M23,'24.07 Lubigi-Masanafu'!M23,'25.07 Lubigi-Masanafu'!M23,'26.07 Lubigi-Masanafu-24h'!M23,'27.07 Lubigi-Masanafu-24h'!M23,'28.07 Lubigi-Masanafu'!M23)</f>
        <v>145.28571428571428</v>
      </c>
      <c r="N23" s="49">
        <f>AVERAGE('22.07 Lubigi-Masanafu'!N23,'23.07 Lubigi-Masanafu'!N23,'24.07 Lubigi-Masanafu'!N23,'25.07 Lubigi-Masanafu'!N23,'26.07 Lubigi-Masanafu-24h'!N23,'27.07 Lubigi-Masanafu-24h'!N23,'28.07 Lubigi-Masanafu'!N23)</f>
        <v>0.14285714285714285</v>
      </c>
      <c r="O23" s="15">
        <f t="shared" si="0"/>
        <v>154.99999999999997</v>
      </c>
      <c r="P23" s="15">
        <f t="shared" si="1"/>
        <v>300.28571428571428</v>
      </c>
      <c r="R23" s="1" t="s">
        <v>147</v>
      </c>
      <c r="S23" s="34">
        <f>SUM(C62:C65)</f>
        <v>313</v>
      </c>
      <c r="T23" s="34">
        <f t="shared" ref="T23:AF23" si="15">SUM(D62:D65)</f>
        <v>223</v>
      </c>
      <c r="U23" s="34">
        <f t="shared" si="15"/>
        <v>225.5</v>
      </c>
      <c r="V23" s="34">
        <f t="shared" si="15"/>
        <v>257.5</v>
      </c>
      <c r="W23" s="34">
        <f t="shared" si="15"/>
        <v>3</v>
      </c>
      <c r="X23" s="34">
        <f t="shared" si="15"/>
        <v>2.5</v>
      </c>
      <c r="Y23" s="34">
        <f t="shared" si="15"/>
        <v>117.5</v>
      </c>
      <c r="Z23" s="34">
        <f t="shared" si="15"/>
        <v>177</v>
      </c>
      <c r="AA23" s="34">
        <f t="shared" si="15"/>
        <v>155.5</v>
      </c>
      <c r="AB23" s="34">
        <f t="shared" si="15"/>
        <v>72.5</v>
      </c>
      <c r="AC23" s="34">
        <f t="shared" si="15"/>
        <v>441</v>
      </c>
      <c r="AD23" s="34">
        <f t="shared" si="15"/>
        <v>0</v>
      </c>
      <c r="AE23" s="31">
        <f t="shared" si="15"/>
        <v>1547</v>
      </c>
      <c r="AF23" s="31">
        <f t="shared" si="15"/>
        <v>1988</v>
      </c>
    </row>
    <row r="24" spans="2:32" ht="23.1" customHeight="1" x14ac:dyDescent="0.25">
      <c r="B24" s="23" t="s">
        <v>51</v>
      </c>
      <c r="C24" s="49">
        <f>AVERAGE('22.07 Lubigi-Masanafu'!C24,'23.07 Lubigi-Masanafu'!C24,'24.07 Lubigi-Masanafu'!C24,'25.07 Lubigi-Masanafu'!C24,'26.07 Lubigi-Masanafu-24h'!C24,'27.07 Lubigi-Masanafu-24h'!C24,'28.07 Lubigi-Masanafu'!C24)</f>
        <v>63.714285714285715</v>
      </c>
      <c r="D24" s="49">
        <f>AVERAGE('22.07 Lubigi-Masanafu'!D24,'23.07 Lubigi-Masanafu'!D24,'24.07 Lubigi-Masanafu'!D24,'25.07 Lubigi-Masanafu'!D24,'26.07 Lubigi-Masanafu-24h'!D24,'27.07 Lubigi-Masanafu-24h'!D24,'28.07 Lubigi-Masanafu'!D24)</f>
        <v>19.142857142857142</v>
      </c>
      <c r="E24" s="49">
        <f>AVERAGE('22.07 Lubigi-Masanafu'!E24,'23.07 Lubigi-Masanafu'!E24,'24.07 Lubigi-Masanafu'!E24,'25.07 Lubigi-Masanafu'!E24,'26.07 Lubigi-Masanafu-24h'!E24,'27.07 Lubigi-Masanafu-24h'!E24,'28.07 Lubigi-Masanafu'!E24)</f>
        <v>9.8571428571428577</v>
      </c>
      <c r="F24" s="49">
        <f>AVERAGE('22.07 Lubigi-Masanafu'!F24,'23.07 Lubigi-Masanafu'!F24,'24.07 Lubigi-Masanafu'!F24,'25.07 Lubigi-Masanafu'!F24,'26.07 Lubigi-Masanafu-24h'!F24,'27.07 Lubigi-Masanafu-24h'!F24,'28.07 Lubigi-Masanafu'!F24)</f>
        <v>19.857142857142858</v>
      </c>
      <c r="G24" s="49">
        <f>AVERAGE('22.07 Lubigi-Masanafu'!G24,'23.07 Lubigi-Masanafu'!G24,'24.07 Lubigi-Masanafu'!G24,'25.07 Lubigi-Masanafu'!G24,'26.07 Lubigi-Masanafu-24h'!G24,'27.07 Lubigi-Masanafu-24h'!G24,'28.07 Lubigi-Masanafu'!G24)</f>
        <v>3.5714285714285716</v>
      </c>
      <c r="H24" s="49">
        <f>AVERAGE('22.07 Lubigi-Masanafu'!H24,'23.07 Lubigi-Masanafu'!H24,'24.07 Lubigi-Masanafu'!H24,'25.07 Lubigi-Masanafu'!H24,'26.07 Lubigi-Masanafu-24h'!H24,'27.07 Lubigi-Masanafu-24h'!H24,'28.07 Lubigi-Masanafu'!H24)</f>
        <v>0.8571428571428571</v>
      </c>
      <c r="I24" s="49">
        <f>AVERAGE('22.07 Lubigi-Masanafu'!I24,'23.07 Lubigi-Masanafu'!I24,'24.07 Lubigi-Masanafu'!I24,'25.07 Lubigi-Masanafu'!I24,'26.07 Lubigi-Masanafu-24h'!I24,'27.07 Lubigi-Masanafu-24h'!I24,'28.07 Lubigi-Masanafu'!I24)</f>
        <v>9.5714285714285712</v>
      </c>
      <c r="J24" s="49">
        <f>AVERAGE('22.07 Lubigi-Masanafu'!J24,'23.07 Lubigi-Masanafu'!J24,'24.07 Lubigi-Masanafu'!J24,'25.07 Lubigi-Masanafu'!J24,'26.07 Lubigi-Masanafu-24h'!J24,'27.07 Lubigi-Masanafu-24h'!J24,'28.07 Lubigi-Masanafu'!J24)</f>
        <v>12</v>
      </c>
      <c r="K24" s="49">
        <f>AVERAGE('22.07 Lubigi-Masanafu'!K24,'23.07 Lubigi-Masanafu'!K24,'24.07 Lubigi-Masanafu'!K24,'25.07 Lubigi-Masanafu'!K24,'26.07 Lubigi-Masanafu-24h'!K24,'27.07 Lubigi-Masanafu-24h'!K24,'28.07 Lubigi-Masanafu'!K24)</f>
        <v>5.7142857142857144</v>
      </c>
      <c r="L24" s="49">
        <f>AVERAGE('22.07 Lubigi-Masanafu'!L24,'23.07 Lubigi-Masanafu'!L24,'24.07 Lubigi-Masanafu'!L24,'25.07 Lubigi-Masanafu'!L24,'26.07 Lubigi-Masanafu-24h'!L24,'27.07 Lubigi-Masanafu-24h'!L24,'28.07 Lubigi-Masanafu'!L24)</f>
        <v>6</v>
      </c>
      <c r="M24" s="49">
        <f>AVERAGE('22.07 Lubigi-Masanafu'!M24,'23.07 Lubigi-Masanafu'!M24,'24.07 Lubigi-Masanafu'!M24,'25.07 Lubigi-Masanafu'!M24,'26.07 Lubigi-Masanafu-24h'!M24,'27.07 Lubigi-Masanafu-24h'!M24,'28.07 Lubigi-Masanafu'!M24)</f>
        <v>144.85714285714286</v>
      </c>
      <c r="N24" s="49">
        <f>AVERAGE('22.07 Lubigi-Masanafu'!N24,'23.07 Lubigi-Masanafu'!N24,'24.07 Lubigi-Masanafu'!N24,'25.07 Lubigi-Masanafu'!N24,'26.07 Lubigi-Masanafu-24h'!N24,'27.07 Lubigi-Masanafu-24h'!N24,'28.07 Lubigi-Masanafu'!N24)</f>
        <v>0</v>
      </c>
      <c r="O24" s="15">
        <f t="shared" si="0"/>
        <v>150.28571428571431</v>
      </c>
      <c r="P24" s="15">
        <f t="shared" si="1"/>
        <v>295.14285714285717</v>
      </c>
      <c r="R24" s="1" t="s">
        <v>148</v>
      </c>
      <c r="S24" s="34">
        <f>SUM(C66:C69)</f>
        <v>276.5</v>
      </c>
      <c r="T24" s="34">
        <f t="shared" ref="T24:AF24" si="16">SUM(D66:D69)</f>
        <v>94.5</v>
      </c>
      <c r="U24" s="34">
        <f t="shared" si="16"/>
        <v>95.5</v>
      </c>
      <c r="V24" s="34">
        <f t="shared" si="16"/>
        <v>187</v>
      </c>
      <c r="W24" s="34">
        <f t="shared" si="16"/>
        <v>2.5</v>
      </c>
      <c r="X24" s="34">
        <f t="shared" si="16"/>
        <v>0.5</v>
      </c>
      <c r="Y24" s="34">
        <f t="shared" si="16"/>
        <v>72.5</v>
      </c>
      <c r="Z24" s="34">
        <f t="shared" si="16"/>
        <v>93.5</v>
      </c>
      <c r="AA24" s="34">
        <f t="shared" si="16"/>
        <v>58</v>
      </c>
      <c r="AB24" s="34">
        <f t="shared" si="16"/>
        <v>21</v>
      </c>
      <c r="AC24" s="34">
        <f t="shared" si="16"/>
        <v>291.5</v>
      </c>
      <c r="AD24" s="34">
        <f t="shared" si="16"/>
        <v>0</v>
      </c>
      <c r="AE24" s="31">
        <f t="shared" si="16"/>
        <v>901.5</v>
      </c>
      <c r="AF24" s="31">
        <f t="shared" si="16"/>
        <v>1193</v>
      </c>
    </row>
    <row r="25" spans="2:32" ht="23.1" customHeight="1" x14ac:dyDescent="0.25">
      <c r="B25" s="23" t="s">
        <v>52</v>
      </c>
      <c r="C25" s="49">
        <f>AVERAGE('22.07 Lubigi-Masanafu'!C25,'23.07 Lubigi-Masanafu'!C25,'24.07 Lubigi-Masanafu'!C25,'25.07 Lubigi-Masanafu'!C25,'26.07 Lubigi-Masanafu-24h'!C25,'27.07 Lubigi-Masanafu-24h'!C25,'28.07 Lubigi-Masanafu'!C25)</f>
        <v>65.285714285714292</v>
      </c>
      <c r="D25" s="49">
        <f>AVERAGE('22.07 Lubigi-Masanafu'!D25,'23.07 Lubigi-Masanafu'!D25,'24.07 Lubigi-Masanafu'!D25,'25.07 Lubigi-Masanafu'!D25,'26.07 Lubigi-Masanafu-24h'!D25,'27.07 Lubigi-Masanafu-24h'!D25,'28.07 Lubigi-Masanafu'!D25)</f>
        <v>17.714285714285715</v>
      </c>
      <c r="E25" s="49">
        <f>AVERAGE('22.07 Lubigi-Masanafu'!E25,'23.07 Lubigi-Masanafu'!E25,'24.07 Lubigi-Masanafu'!E25,'25.07 Lubigi-Masanafu'!E25,'26.07 Lubigi-Masanafu-24h'!E25,'27.07 Lubigi-Masanafu-24h'!E25,'28.07 Lubigi-Masanafu'!E25)</f>
        <v>12.142857142857142</v>
      </c>
      <c r="F25" s="49">
        <f>AVERAGE('22.07 Lubigi-Masanafu'!F25,'23.07 Lubigi-Masanafu'!F25,'24.07 Lubigi-Masanafu'!F25,'25.07 Lubigi-Masanafu'!F25,'26.07 Lubigi-Masanafu-24h'!F25,'27.07 Lubigi-Masanafu-24h'!F25,'28.07 Lubigi-Masanafu'!F25)</f>
        <v>26.714285714285715</v>
      </c>
      <c r="G25" s="49">
        <f>AVERAGE('22.07 Lubigi-Masanafu'!G25,'23.07 Lubigi-Masanafu'!G25,'24.07 Lubigi-Masanafu'!G25,'25.07 Lubigi-Masanafu'!G25,'26.07 Lubigi-Masanafu-24h'!G25,'27.07 Lubigi-Masanafu-24h'!G25,'28.07 Lubigi-Masanafu'!G25)</f>
        <v>2.7142857142857144</v>
      </c>
      <c r="H25" s="49">
        <f>AVERAGE('22.07 Lubigi-Masanafu'!H25,'23.07 Lubigi-Masanafu'!H25,'24.07 Lubigi-Masanafu'!H25,'25.07 Lubigi-Masanafu'!H25,'26.07 Lubigi-Masanafu-24h'!H25,'27.07 Lubigi-Masanafu-24h'!H25,'28.07 Lubigi-Masanafu'!H25)</f>
        <v>1</v>
      </c>
      <c r="I25" s="49">
        <f>AVERAGE('22.07 Lubigi-Masanafu'!I25,'23.07 Lubigi-Masanafu'!I25,'24.07 Lubigi-Masanafu'!I25,'25.07 Lubigi-Masanafu'!I25,'26.07 Lubigi-Masanafu-24h'!I25,'27.07 Lubigi-Masanafu-24h'!I25,'28.07 Lubigi-Masanafu'!I25)</f>
        <v>11.571428571428571</v>
      </c>
      <c r="J25" s="49">
        <f>AVERAGE('22.07 Lubigi-Masanafu'!J25,'23.07 Lubigi-Masanafu'!J25,'24.07 Lubigi-Masanafu'!J25,'25.07 Lubigi-Masanafu'!J25,'26.07 Lubigi-Masanafu-24h'!J25,'27.07 Lubigi-Masanafu-24h'!J25,'28.07 Lubigi-Masanafu'!J25)</f>
        <v>8.8571428571428577</v>
      </c>
      <c r="K25" s="49">
        <f>AVERAGE('22.07 Lubigi-Masanafu'!K25,'23.07 Lubigi-Masanafu'!K25,'24.07 Lubigi-Masanafu'!K25,'25.07 Lubigi-Masanafu'!K25,'26.07 Lubigi-Masanafu-24h'!K25,'27.07 Lubigi-Masanafu-24h'!K25,'28.07 Lubigi-Masanafu'!K25)</f>
        <v>6</v>
      </c>
      <c r="L25" s="49">
        <f>AVERAGE('22.07 Lubigi-Masanafu'!L25,'23.07 Lubigi-Masanafu'!L25,'24.07 Lubigi-Masanafu'!L25,'25.07 Lubigi-Masanafu'!L25,'26.07 Lubigi-Masanafu-24h'!L25,'27.07 Lubigi-Masanafu-24h'!L25,'28.07 Lubigi-Masanafu'!L25)</f>
        <v>5.8571428571428568</v>
      </c>
      <c r="M25" s="49">
        <f>AVERAGE('22.07 Lubigi-Masanafu'!M25,'23.07 Lubigi-Masanafu'!M25,'24.07 Lubigi-Masanafu'!M25,'25.07 Lubigi-Masanafu'!M25,'26.07 Lubigi-Masanafu-24h'!M25,'27.07 Lubigi-Masanafu-24h'!M25,'28.07 Lubigi-Masanafu'!M25)</f>
        <v>161.57142857142858</v>
      </c>
      <c r="N25" s="49">
        <f>AVERAGE('22.07 Lubigi-Masanafu'!N25,'23.07 Lubigi-Masanafu'!N25,'24.07 Lubigi-Masanafu'!N25,'25.07 Lubigi-Masanafu'!N25,'26.07 Lubigi-Masanafu-24h'!N25,'27.07 Lubigi-Masanafu-24h'!N25,'28.07 Lubigi-Masanafu'!N25)</f>
        <v>0</v>
      </c>
      <c r="O25" s="15">
        <f t="shared" si="0"/>
        <v>157.85714285714286</v>
      </c>
      <c r="P25" s="15">
        <f t="shared" si="1"/>
        <v>319.42857142857144</v>
      </c>
      <c r="R25" s="1" t="s">
        <v>149</v>
      </c>
      <c r="S25" s="34">
        <f>SUM(C70:C73)</f>
        <v>248.5</v>
      </c>
      <c r="T25" s="34">
        <f t="shared" ref="T25:AF25" si="17">SUM(D70:D73)</f>
        <v>62</v>
      </c>
      <c r="U25" s="34">
        <f t="shared" si="17"/>
        <v>60.5</v>
      </c>
      <c r="V25" s="34">
        <f t="shared" si="17"/>
        <v>138</v>
      </c>
      <c r="W25" s="34">
        <f t="shared" si="17"/>
        <v>0.5</v>
      </c>
      <c r="X25" s="34">
        <f t="shared" si="17"/>
        <v>0</v>
      </c>
      <c r="Y25" s="34">
        <f t="shared" si="17"/>
        <v>55.5</v>
      </c>
      <c r="Z25" s="34">
        <f t="shared" si="17"/>
        <v>102.5</v>
      </c>
      <c r="AA25" s="34">
        <f t="shared" si="17"/>
        <v>84.5</v>
      </c>
      <c r="AB25" s="34">
        <f t="shared" si="17"/>
        <v>27.5</v>
      </c>
      <c r="AC25" s="34">
        <f t="shared" si="17"/>
        <v>359</v>
      </c>
      <c r="AD25" s="34">
        <f t="shared" si="17"/>
        <v>0</v>
      </c>
      <c r="AE25" s="31">
        <f t="shared" si="17"/>
        <v>779.5</v>
      </c>
      <c r="AF25" s="31">
        <f t="shared" si="17"/>
        <v>1138.5</v>
      </c>
    </row>
    <row r="26" spans="2:32" ht="23.1" customHeight="1" x14ac:dyDescent="0.25">
      <c r="B26" s="23" t="s">
        <v>53</v>
      </c>
      <c r="C26" s="49">
        <f>AVERAGE('22.07 Lubigi-Masanafu'!C26,'23.07 Lubigi-Masanafu'!C26,'24.07 Lubigi-Masanafu'!C26,'25.07 Lubigi-Masanafu'!C26,'26.07 Lubigi-Masanafu-24h'!C26,'27.07 Lubigi-Masanafu-24h'!C26,'28.07 Lubigi-Masanafu'!C26)</f>
        <v>59.571428571428569</v>
      </c>
      <c r="D26" s="49">
        <f>AVERAGE('22.07 Lubigi-Masanafu'!D26,'23.07 Lubigi-Masanafu'!D26,'24.07 Lubigi-Masanafu'!D26,'25.07 Lubigi-Masanafu'!D26,'26.07 Lubigi-Masanafu-24h'!D26,'27.07 Lubigi-Masanafu-24h'!D26,'28.07 Lubigi-Masanafu'!D26)</f>
        <v>16.571428571428573</v>
      </c>
      <c r="E26" s="49">
        <f>AVERAGE('22.07 Lubigi-Masanafu'!E26,'23.07 Lubigi-Masanafu'!E26,'24.07 Lubigi-Masanafu'!E26,'25.07 Lubigi-Masanafu'!E26,'26.07 Lubigi-Masanafu-24h'!E26,'27.07 Lubigi-Masanafu-24h'!E26,'28.07 Lubigi-Masanafu'!E26)</f>
        <v>12.285714285714286</v>
      </c>
      <c r="F26" s="49">
        <f>AVERAGE('22.07 Lubigi-Masanafu'!F26,'23.07 Lubigi-Masanafu'!F26,'24.07 Lubigi-Masanafu'!F26,'25.07 Lubigi-Masanafu'!F26,'26.07 Lubigi-Masanafu-24h'!F26,'27.07 Lubigi-Masanafu-24h'!F26,'28.07 Lubigi-Masanafu'!F26)</f>
        <v>21.285714285714285</v>
      </c>
      <c r="G26" s="49">
        <f>AVERAGE('22.07 Lubigi-Masanafu'!G26,'23.07 Lubigi-Masanafu'!G26,'24.07 Lubigi-Masanafu'!G26,'25.07 Lubigi-Masanafu'!G26,'26.07 Lubigi-Masanafu-24h'!G26,'27.07 Lubigi-Masanafu-24h'!G26,'28.07 Lubigi-Masanafu'!G26)</f>
        <v>5.2857142857142856</v>
      </c>
      <c r="H26" s="49">
        <f>AVERAGE('22.07 Lubigi-Masanafu'!H26,'23.07 Lubigi-Masanafu'!H26,'24.07 Lubigi-Masanafu'!H26,'25.07 Lubigi-Masanafu'!H26,'26.07 Lubigi-Masanafu-24h'!H26,'27.07 Lubigi-Masanafu-24h'!H26,'28.07 Lubigi-Masanafu'!H26)</f>
        <v>0.42857142857142855</v>
      </c>
      <c r="I26" s="49">
        <f>AVERAGE('22.07 Lubigi-Masanafu'!I26,'23.07 Lubigi-Masanafu'!I26,'24.07 Lubigi-Masanafu'!I26,'25.07 Lubigi-Masanafu'!I26,'26.07 Lubigi-Masanafu-24h'!I26,'27.07 Lubigi-Masanafu-24h'!I26,'28.07 Lubigi-Masanafu'!I26)</f>
        <v>12.285714285714286</v>
      </c>
      <c r="J26" s="49">
        <f>AVERAGE('22.07 Lubigi-Masanafu'!J26,'23.07 Lubigi-Masanafu'!J26,'24.07 Lubigi-Masanafu'!J26,'25.07 Lubigi-Masanafu'!J26,'26.07 Lubigi-Masanafu-24h'!J26,'27.07 Lubigi-Masanafu-24h'!J26,'28.07 Lubigi-Masanafu'!J26)</f>
        <v>10.714285714285714</v>
      </c>
      <c r="K26" s="49">
        <f>AVERAGE('22.07 Lubigi-Masanafu'!K26,'23.07 Lubigi-Masanafu'!K26,'24.07 Lubigi-Masanafu'!K26,'25.07 Lubigi-Masanafu'!K26,'26.07 Lubigi-Masanafu-24h'!K26,'27.07 Lubigi-Masanafu-24h'!K26,'28.07 Lubigi-Masanafu'!K26)</f>
        <v>6.7142857142857144</v>
      </c>
      <c r="L26" s="49">
        <f>AVERAGE('22.07 Lubigi-Masanafu'!L26,'23.07 Lubigi-Masanafu'!L26,'24.07 Lubigi-Masanafu'!L26,'25.07 Lubigi-Masanafu'!L26,'26.07 Lubigi-Masanafu-24h'!L26,'27.07 Lubigi-Masanafu-24h'!L26,'28.07 Lubigi-Masanafu'!L26)</f>
        <v>4.2857142857142856</v>
      </c>
      <c r="M26" s="49">
        <f>AVERAGE('22.07 Lubigi-Masanafu'!M26,'23.07 Lubigi-Masanafu'!M26,'24.07 Lubigi-Masanafu'!M26,'25.07 Lubigi-Masanafu'!M26,'26.07 Lubigi-Masanafu-24h'!M26,'27.07 Lubigi-Masanafu-24h'!M26,'28.07 Lubigi-Masanafu'!M26)</f>
        <v>144.42857142857142</v>
      </c>
      <c r="N26" s="49">
        <f>AVERAGE('22.07 Lubigi-Masanafu'!N26,'23.07 Lubigi-Masanafu'!N26,'24.07 Lubigi-Masanafu'!N26,'25.07 Lubigi-Masanafu'!N26,'26.07 Lubigi-Masanafu-24h'!N26,'27.07 Lubigi-Masanafu-24h'!N26,'28.07 Lubigi-Masanafu'!N26)</f>
        <v>0.14285714285714285</v>
      </c>
      <c r="O26" s="15">
        <f t="shared" si="0"/>
        <v>149.57142857142858</v>
      </c>
      <c r="P26" s="15">
        <f t="shared" si="1"/>
        <v>294.00000000000006</v>
      </c>
      <c r="R26" s="1" t="s">
        <v>150</v>
      </c>
      <c r="S26" s="34">
        <f>SUM(C74:C77)</f>
        <v>276</v>
      </c>
      <c r="T26" s="34">
        <f t="shared" ref="T26:AF26" si="18">SUM(D74:D77)</f>
        <v>47.5</v>
      </c>
      <c r="U26" s="34">
        <f t="shared" si="18"/>
        <v>90.5</v>
      </c>
      <c r="V26" s="34">
        <f t="shared" si="18"/>
        <v>89</v>
      </c>
      <c r="W26" s="34">
        <f t="shared" si="18"/>
        <v>2</v>
      </c>
      <c r="X26" s="34">
        <f t="shared" si="18"/>
        <v>1</v>
      </c>
      <c r="Y26" s="34">
        <f t="shared" si="18"/>
        <v>38.5</v>
      </c>
      <c r="Z26" s="34">
        <f t="shared" si="18"/>
        <v>76.5</v>
      </c>
      <c r="AA26" s="34">
        <f t="shared" si="18"/>
        <v>36.5</v>
      </c>
      <c r="AB26" s="34">
        <f t="shared" si="18"/>
        <v>15.5</v>
      </c>
      <c r="AC26" s="34">
        <f t="shared" si="18"/>
        <v>382</v>
      </c>
      <c r="AD26" s="34">
        <f t="shared" si="18"/>
        <v>0</v>
      </c>
      <c r="AE26" s="31">
        <f t="shared" si="18"/>
        <v>673</v>
      </c>
      <c r="AF26" s="31">
        <f t="shared" si="18"/>
        <v>1055</v>
      </c>
    </row>
    <row r="27" spans="2:32" ht="23.1" customHeight="1" x14ac:dyDescent="0.25">
      <c r="B27" s="23" t="s">
        <v>54</v>
      </c>
      <c r="C27" s="49">
        <f>AVERAGE('22.07 Lubigi-Masanafu'!C27,'23.07 Lubigi-Masanafu'!C27,'24.07 Lubigi-Masanafu'!C27,'25.07 Lubigi-Masanafu'!C27,'26.07 Lubigi-Masanafu-24h'!C27,'27.07 Lubigi-Masanafu-24h'!C27,'28.07 Lubigi-Masanafu'!C27)</f>
        <v>71.714285714285708</v>
      </c>
      <c r="D27" s="49">
        <f>AVERAGE('22.07 Lubigi-Masanafu'!D27,'23.07 Lubigi-Masanafu'!D27,'24.07 Lubigi-Masanafu'!D27,'25.07 Lubigi-Masanafu'!D27,'26.07 Lubigi-Masanafu-24h'!D27,'27.07 Lubigi-Masanafu-24h'!D27,'28.07 Lubigi-Masanafu'!D27)</f>
        <v>20</v>
      </c>
      <c r="E27" s="49">
        <f>AVERAGE('22.07 Lubigi-Masanafu'!E27,'23.07 Lubigi-Masanafu'!E27,'24.07 Lubigi-Masanafu'!E27,'25.07 Lubigi-Masanafu'!E27,'26.07 Lubigi-Masanafu-24h'!E27,'27.07 Lubigi-Masanafu-24h'!E27,'28.07 Lubigi-Masanafu'!E27)</f>
        <v>8.7142857142857135</v>
      </c>
      <c r="F27" s="49">
        <f>AVERAGE('22.07 Lubigi-Masanafu'!F27,'23.07 Lubigi-Masanafu'!F27,'24.07 Lubigi-Masanafu'!F27,'25.07 Lubigi-Masanafu'!F27,'26.07 Lubigi-Masanafu-24h'!F27,'27.07 Lubigi-Masanafu-24h'!F27,'28.07 Lubigi-Masanafu'!F27)</f>
        <v>21.142857142857142</v>
      </c>
      <c r="G27" s="49">
        <f>AVERAGE('22.07 Lubigi-Masanafu'!G27,'23.07 Lubigi-Masanafu'!G27,'24.07 Lubigi-Masanafu'!G27,'25.07 Lubigi-Masanafu'!G27,'26.07 Lubigi-Masanafu-24h'!G27,'27.07 Lubigi-Masanafu-24h'!G27,'28.07 Lubigi-Masanafu'!G27)</f>
        <v>3.4285714285714284</v>
      </c>
      <c r="H27" s="49">
        <f>AVERAGE('22.07 Lubigi-Masanafu'!H27,'23.07 Lubigi-Masanafu'!H27,'24.07 Lubigi-Masanafu'!H27,'25.07 Lubigi-Masanafu'!H27,'26.07 Lubigi-Masanafu-24h'!H27,'27.07 Lubigi-Masanafu-24h'!H27,'28.07 Lubigi-Masanafu'!H27)</f>
        <v>0.2857142857142857</v>
      </c>
      <c r="I27" s="49">
        <f>AVERAGE('22.07 Lubigi-Masanafu'!I27,'23.07 Lubigi-Masanafu'!I27,'24.07 Lubigi-Masanafu'!I27,'25.07 Lubigi-Masanafu'!I27,'26.07 Lubigi-Masanafu-24h'!I27,'27.07 Lubigi-Masanafu-24h'!I27,'28.07 Lubigi-Masanafu'!I27)</f>
        <v>10.428571428571429</v>
      </c>
      <c r="J27" s="49">
        <f>AVERAGE('22.07 Lubigi-Masanafu'!J27,'23.07 Lubigi-Masanafu'!J27,'24.07 Lubigi-Masanafu'!J27,'25.07 Lubigi-Masanafu'!J27,'26.07 Lubigi-Masanafu-24h'!J27,'27.07 Lubigi-Masanafu-24h'!J27,'28.07 Lubigi-Masanafu'!J27)</f>
        <v>11</v>
      </c>
      <c r="K27" s="49">
        <f>AVERAGE('22.07 Lubigi-Masanafu'!K27,'23.07 Lubigi-Masanafu'!K27,'24.07 Lubigi-Masanafu'!K27,'25.07 Lubigi-Masanafu'!K27,'26.07 Lubigi-Masanafu-24h'!K27,'27.07 Lubigi-Masanafu-24h'!K27,'28.07 Lubigi-Masanafu'!K27)</f>
        <v>6.1428571428571432</v>
      </c>
      <c r="L27" s="49">
        <f>AVERAGE('22.07 Lubigi-Masanafu'!L27,'23.07 Lubigi-Masanafu'!L27,'24.07 Lubigi-Masanafu'!L27,'25.07 Lubigi-Masanafu'!L27,'26.07 Lubigi-Masanafu-24h'!L27,'27.07 Lubigi-Masanafu-24h'!L27,'28.07 Lubigi-Masanafu'!L27)</f>
        <v>5.1428571428571432</v>
      </c>
      <c r="M27" s="49">
        <f>AVERAGE('22.07 Lubigi-Masanafu'!M27,'23.07 Lubigi-Masanafu'!M27,'24.07 Lubigi-Masanafu'!M27,'25.07 Lubigi-Masanafu'!M27,'26.07 Lubigi-Masanafu-24h'!M27,'27.07 Lubigi-Masanafu-24h'!M27,'28.07 Lubigi-Masanafu'!M27)</f>
        <v>158.57142857142858</v>
      </c>
      <c r="N27" s="49">
        <f>AVERAGE('22.07 Lubigi-Masanafu'!N27,'23.07 Lubigi-Masanafu'!N27,'24.07 Lubigi-Masanafu'!N27,'25.07 Lubigi-Masanafu'!N27,'26.07 Lubigi-Masanafu-24h'!N27,'27.07 Lubigi-Masanafu-24h'!N27,'28.07 Lubigi-Masanafu'!N27)</f>
        <v>0</v>
      </c>
      <c r="O27" s="15">
        <f t="shared" si="0"/>
        <v>157.99999999999997</v>
      </c>
      <c r="P27" s="15">
        <f t="shared" si="1"/>
        <v>316.57142857142856</v>
      </c>
      <c r="R27" s="1" t="s">
        <v>151</v>
      </c>
      <c r="S27" s="34">
        <f>SUM(C78:C81)</f>
        <v>195.5</v>
      </c>
      <c r="T27" s="34">
        <f t="shared" ref="T27:AF27" si="19">SUM(D78:D81)</f>
        <v>111</v>
      </c>
      <c r="U27" s="34">
        <f t="shared" si="19"/>
        <v>57</v>
      </c>
      <c r="V27" s="34">
        <f t="shared" si="19"/>
        <v>144</v>
      </c>
      <c r="W27" s="34">
        <f t="shared" si="19"/>
        <v>4.5</v>
      </c>
      <c r="X27" s="34">
        <f t="shared" si="19"/>
        <v>1.5</v>
      </c>
      <c r="Y27" s="34">
        <f t="shared" si="19"/>
        <v>16</v>
      </c>
      <c r="Z27" s="34">
        <f t="shared" si="19"/>
        <v>49</v>
      </c>
      <c r="AA27" s="34">
        <f t="shared" si="19"/>
        <v>46.5</v>
      </c>
      <c r="AB27" s="34">
        <f t="shared" si="19"/>
        <v>13</v>
      </c>
      <c r="AC27" s="34">
        <f t="shared" si="19"/>
        <v>289.5</v>
      </c>
      <c r="AD27" s="34">
        <f t="shared" si="19"/>
        <v>0</v>
      </c>
      <c r="AE27" s="31">
        <f t="shared" si="19"/>
        <v>638</v>
      </c>
      <c r="AF27" s="31">
        <f t="shared" si="19"/>
        <v>927.5</v>
      </c>
    </row>
    <row r="28" spans="2:32" ht="23.1" customHeight="1" x14ac:dyDescent="0.25">
      <c r="B28" s="23" t="s">
        <v>55</v>
      </c>
      <c r="C28" s="49">
        <f>AVERAGE('22.07 Lubigi-Masanafu'!C28,'23.07 Lubigi-Masanafu'!C28,'24.07 Lubigi-Masanafu'!C28,'25.07 Lubigi-Masanafu'!C28,'26.07 Lubigi-Masanafu-24h'!C28,'27.07 Lubigi-Masanafu-24h'!C28,'28.07 Lubigi-Masanafu'!C28)</f>
        <v>58.428571428571431</v>
      </c>
      <c r="D28" s="49">
        <f>AVERAGE('22.07 Lubigi-Masanafu'!D28,'23.07 Lubigi-Masanafu'!D28,'24.07 Lubigi-Masanafu'!D28,'25.07 Lubigi-Masanafu'!D28,'26.07 Lubigi-Masanafu-24h'!D28,'27.07 Lubigi-Masanafu-24h'!D28,'28.07 Lubigi-Masanafu'!D28)</f>
        <v>15.714285714285714</v>
      </c>
      <c r="E28" s="49">
        <f>AVERAGE('22.07 Lubigi-Masanafu'!E28,'23.07 Lubigi-Masanafu'!E28,'24.07 Lubigi-Masanafu'!E28,'25.07 Lubigi-Masanafu'!E28,'26.07 Lubigi-Masanafu-24h'!E28,'27.07 Lubigi-Masanafu-24h'!E28,'28.07 Lubigi-Masanafu'!E28)</f>
        <v>10.857142857142858</v>
      </c>
      <c r="F28" s="49">
        <f>AVERAGE('22.07 Lubigi-Masanafu'!F28,'23.07 Lubigi-Masanafu'!F28,'24.07 Lubigi-Masanafu'!F28,'25.07 Lubigi-Masanafu'!F28,'26.07 Lubigi-Masanafu-24h'!F28,'27.07 Lubigi-Masanafu-24h'!F28,'28.07 Lubigi-Masanafu'!F28)</f>
        <v>16.857142857142858</v>
      </c>
      <c r="G28" s="49">
        <f>AVERAGE('22.07 Lubigi-Masanafu'!G28,'23.07 Lubigi-Masanafu'!G28,'24.07 Lubigi-Masanafu'!G28,'25.07 Lubigi-Masanafu'!G28,'26.07 Lubigi-Masanafu-24h'!G28,'27.07 Lubigi-Masanafu-24h'!G28,'28.07 Lubigi-Masanafu'!G28)</f>
        <v>2.1428571428571428</v>
      </c>
      <c r="H28" s="49">
        <f>AVERAGE('22.07 Lubigi-Masanafu'!H28,'23.07 Lubigi-Masanafu'!H28,'24.07 Lubigi-Masanafu'!H28,'25.07 Lubigi-Masanafu'!H28,'26.07 Lubigi-Masanafu-24h'!H28,'27.07 Lubigi-Masanafu-24h'!H28,'28.07 Lubigi-Masanafu'!H28)</f>
        <v>0.2857142857142857</v>
      </c>
      <c r="I28" s="49">
        <f>AVERAGE('22.07 Lubigi-Masanafu'!I28,'23.07 Lubigi-Masanafu'!I28,'24.07 Lubigi-Masanafu'!I28,'25.07 Lubigi-Masanafu'!I28,'26.07 Lubigi-Masanafu-24h'!I28,'27.07 Lubigi-Masanafu-24h'!I28,'28.07 Lubigi-Masanafu'!I28)</f>
        <v>9.8571428571428577</v>
      </c>
      <c r="J28" s="49">
        <f>AVERAGE('22.07 Lubigi-Masanafu'!J28,'23.07 Lubigi-Masanafu'!J28,'24.07 Lubigi-Masanafu'!J28,'25.07 Lubigi-Masanafu'!J28,'26.07 Lubigi-Masanafu-24h'!J28,'27.07 Lubigi-Masanafu-24h'!J28,'28.07 Lubigi-Masanafu'!J28)</f>
        <v>9.7142857142857135</v>
      </c>
      <c r="K28" s="49">
        <f>AVERAGE('22.07 Lubigi-Masanafu'!K28,'23.07 Lubigi-Masanafu'!K28,'24.07 Lubigi-Masanafu'!K28,'25.07 Lubigi-Masanafu'!K28,'26.07 Lubigi-Masanafu-24h'!K28,'27.07 Lubigi-Masanafu-24h'!K28,'28.07 Lubigi-Masanafu'!K28)</f>
        <v>4.7142857142857144</v>
      </c>
      <c r="L28" s="49">
        <f>AVERAGE('22.07 Lubigi-Masanafu'!L28,'23.07 Lubigi-Masanafu'!L28,'24.07 Lubigi-Masanafu'!L28,'25.07 Lubigi-Masanafu'!L28,'26.07 Lubigi-Masanafu-24h'!L28,'27.07 Lubigi-Masanafu-24h'!L28,'28.07 Lubigi-Masanafu'!L28)</f>
        <v>4.2857142857142856</v>
      </c>
      <c r="M28" s="49">
        <f>AVERAGE('22.07 Lubigi-Masanafu'!M28,'23.07 Lubigi-Masanafu'!M28,'24.07 Lubigi-Masanafu'!M28,'25.07 Lubigi-Masanafu'!M28,'26.07 Lubigi-Masanafu-24h'!M28,'27.07 Lubigi-Masanafu-24h'!M28,'28.07 Lubigi-Masanafu'!M28)</f>
        <v>150.28571428571428</v>
      </c>
      <c r="N28" s="49">
        <f>AVERAGE('22.07 Lubigi-Masanafu'!N28,'23.07 Lubigi-Masanafu'!N28,'24.07 Lubigi-Masanafu'!N28,'25.07 Lubigi-Masanafu'!N28,'26.07 Lubigi-Masanafu-24h'!N28,'27.07 Lubigi-Masanafu-24h'!N28,'28.07 Lubigi-Masanafu'!N28)</f>
        <v>0</v>
      </c>
      <c r="O28" s="15">
        <f t="shared" si="0"/>
        <v>132.85714285714286</v>
      </c>
      <c r="P28" s="15">
        <f t="shared" si="1"/>
        <v>283.14285714285711</v>
      </c>
      <c r="R28" s="1" t="s">
        <v>152</v>
      </c>
      <c r="S28" s="34">
        <f>SUM(C82:C85)</f>
        <v>111.5</v>
      </c>
      <c r="T28" s="34">
        <f t="shared" ref="T28:AF28" si="20">SUM(D82:D85)</f>
        <v>43</v>
      </c>
      <c r="U28" s="34">
        <f t="shared" si="20"/>
        <v>30.5</v>
      </c>
      <c r="V28" s="34">
        <f t="shared" si="20"/>
        <v>38.5</v>
      </c>
      <c r="W28" s="34">
        <f t="shared" si="20"/>
        <v>0</v>
      </c>
      <c r="X28" s="34">
        <f t="shared" si="20"/>
        <v>0</v>
      </c>
      <c r="Y28" s="34">
        <f t="shared" si="20"/>
        <v>12</v>
      </c>
      <c r="Z28" s="34">
        <f t="shared" si="20"/>
        <v>28.5</v>
      </c>
      <c r="AA28" s="34">
        <f t="shared" si="20"/>
        <v>34.5</v>
      </c>
      <c r="AB28" s="34">
        <f t="shared" si="20"/>
        <v>12</v>
      </c>
      <c r="AC28" s="34">
        <f t="shared" si="20"/>
        <v>138.5</v>
      </c>
      <c r="AD28" s="34">
        <f t="shared" si="20"/>
        <v>0</v>
      </c>
      <c r="AE28" s="31">
        <f t="shared" si="20"/>
        <v>310.5</v>
      </c>
      <c r="AF28" s="31">
        <f t="shared" si="20"/>
        <v>449</v>
      </c>
    </row>
    <row r="29" spans="2:32" ht="23.1" customHeight="1" x14ac:dyDescent="0.25">
      <c r="B29" s="23" t="s">
        <v>56</v>
      </c>
      <c r="C29" s="49">
        <f>AVERAGE('22.07 Lubigi-Masanafu'!C29,'23.07 Lubigi-Masanafu'!C29,'24.07 Lubigi-Masanafu'!C29,'25.07 Lubigi-Masanafu'!C29,'26.07 Lubigi-Masanafu-24h'!C29,'27.07 Lubigi-Masanafu-24h'!C29,'28.07 Lubigi-Masanafu'!C29)</f>
        <v>61.285714285714285</v>
      </c>
      <c r="D29" s="49">
        <f>AVERAGE('22.07 Lubigi-Masanafu'!D29,'23.07 Lubigi-Masanafu'!D29,'24.07 Lubigi-Masanafu'!D29,'25.07 Lubigi-Masanafu'!D29,'26.07 Lubigi-Masanafu-24h'!D29,'27.07 Lubigi-Masanafu-24h'!D29,'28.07 Lubigi-Masanafu'!D29)</f>
        <v>19.714285714285715</v>
      </c>
      <c r="E29" s="49">
        <f>AVERAGE('22.07 Lubigi-Masanafu'!E29,'23.07 Lubigi-Masanafu'!E29,'24.07 Lubigi-Masanafu'!E29,'25.07 Lubigi-Masanafu'!E29,'26.07 Lubigi-Masanafu-24h'!E29,'27.07 Lubigi-Masanafu-24h'!E29,'28.07 Lubigi-Masanafu'!E29)</f>
        <v>11.714285714285714</v>
      </c>
      <c r="F29" s="49">
        <f>AVERAGE('22.07 Lubigi-Masanafu'!F29,'23.07 Lubigi-Masanafu'!F29,'24.07 Lubigi-Masanafu'!F29,'25.07 Lubigi-Masanafu'!F29,'26.07 Lubigi-Masanafu-24h'!F29,'27.07 Lubigi-Masanafu-24h'!F29,'28.07 Lubigi-Masanafu'!F29)</f>
        <v>19.285714285714285</v>
      </c>
      <c r="G29" s="49">
        <f>AVERAGE('22.07 Lubigi-Masanafu'!G29,'23.07 Lubigi-Masanafu'!G29,'24.07 Lubigi-Masanafu'!G29,'25.07 Lubigi-Masanafu'!G29,'26.07 Lubigi-Masanafu-24h'!G29,'27.07 Lubigi-Masanafu-24h'!G29,'28.07 Lubigi-Masanafu'!G29)</f>
        <v>2.4285714285714284</v>
      </c>
      <c r="H29" s="49">
        <f>AVERAGE('22.07 Lubigi-Masanafu'!H29,'23.07 Lubigi-Masanafu'!H29,'24.07 Lubigi-Masanafu'!H29,'25.07 Lubigi-Masanafu'!H29,'26.07 Lubigi-Masanafu-24h'!H29,'27.07 Lubigi-Masanafu-24h'!H29,'28.07 Lubigi-Masanafu'!H29)</f>
        <v>0.5714285714285714</v>
      </c>
      <c r="I29" s="49">
        <f>AVERAGE('22.07 Lubigi-Masanafu'!I29,'23.07 Lubigi-Masanafu'!I29,'24.07 Lubigi-Masanafu'!I29,'25.07 Lubigi-Masanafu'!I29,'26.07 Lubigi-Masanafu-24h'!I29,'27.07 Lubigi-Masanafu-24h'!I29,'28.07 Lubigi-Masanafu'!I29)</f>
        <v>10.142857142857142</v>
      </c>
      <c r="J29" s="49">
        <f>AVERAGE('22.07 Lubigi-Masanafu'!J29,'23.07 Lubigi-Masanafu'!J29,'24.07 Lubigi-Masanafu'!J29,'25.07 Lubigi-Masanafu'!J29,'26.07 Lubigi-Masanafu-24h'!J29,'27.07 Lubigi-Masanafu-24h'!J29,'28.07 Lubigi-Masanafu'!J29)</f>
        <v>9.1428571428571423</v>
      </c>
      <c r="K29" s="49">
        <f>AVERAGE('22.07 Lubigi-Masanafu'!K29,'23.07 Lubigi-Masanafu'!K29,'24.07 Lubigi-Masanafu'!K29,'25.07 Lubigi-Masanafu'!K29,'26.07 Lubigi-Masanafu-24h'!K29,'27.07 Lubigi-Masanafu-24h'!K29,'28.07 Lubigi-Masanafu'!K29)</f>
        <v>5.4285714285714288</v>
      </c>
      <c r="L29" s="49">
        <f>AVERAGE('22.07 Lubigi-Masanafu'!L29,'23.07 Lubigi-Masanafu'!L29,'24.07 Lubigi-Masanafu'!L29,'25.07 Lubigi-Masanafu'!L29,'26.07 Lubigi-Masanafu-24h'!L29,'27.07 Lubigi-Masanafu-24h'!L29,'28.07 Lubigi-Masanafu'!L29)</f>
        <v>4.1428571428571432</v>
      </c>
      <c r="M29" s="49">
        <f>AVERAGE('22.07 Lubigi-Masanafu'!M29,'23.07 Lubigi-Masanafu'!M29,'24.07 Lubigi-Masanafu'!M29,'25.07 Lubigi-Masanafu'!M29,'26.07 Lubigi-Masanafu-24h'!M29,'27.07 Lubigi-Masanafu-24h'!M29,'28.07 Lubigi-Masanafu'!M29)</f>
        <v>144.28571428571428</v>
      </c>
      <c r="N29" s="49">
        <f>AVERAGE('22.07 Lubigi-Masanafu'!N29,'23.07 Lubigi-Masanafu'!N29,'24.07 Lubigi-Masanafu'!N29,'25.07 Lubigi-Masanafu'!N29,'26.07 Lubigi-Masanafu-24h'!N29,'27.07 Lubigi-Masanafu-24h'!N29,'28.07 Lubigi-Masanafu'!N29)</f>
        <v>0</v>
      </c>
      <c r="O29" s="15">
        <f t="shared" si="0"/>
        <v>143.85714285714283</v>
      </c>
      <c r="P29" s="15">
        <f t="shared" si="1"/>
        <v>288.14285714285711</v>
      </c>
      <c r="R29" s="1" t="s">
        <v>153</v>
      </c>
      <c r="S29" s="34">
        <f>SUM(C86:C89)</f>
        <v>62.5</v>
      </c>
      <c r="T29" s="34">
        <f t="shared" ref="T29:AF29" si="21">SUM(D86:D89)</f>
        <v>21</v>
      </c>
      <c r="U29" s="34">
        <f t="shared" si="21"/>
        <v>14.5</v>
      </c>
      <c r="V29" s="34">
        <f t="shared" si="21"/>
        <v>25</v>
      </c>
      <c r="W29" s="34">
        <f t="shared" si="21"/>
        <v>0</v>
      </c>
      <c r="X29" s="34">
        <f t="shared" si="21"/>
        <v>0</v>
      </c>
      <c r="Y29" s="34">
        <f t="shared" si="21"/>
        <v>13</v>
      </c>
      <c r="Z29" s="34">
        <f t="shared" si="21"/>
        <v>29.5</v>
      </c>
      <c r="AA29" s="34">
        <f t="shared" si="21"/>
        <v>17</v>
      </c>
      <c r="AB29" s="34">
        <f t="shared" si="21"/>
        <v>6.5</v>
      </c>
      <c r="AC29" s="34">
        <f t="shared" si="21"/>
        <v>89.5</v>
      </c>
      <c r="AD29" s="34">
        <f t="shared" si="21"/>
        <v>0</v>
      </c>
      <c r="AE29" s="31">
        <f t="shared" si="21"/>
        <v>189</v>
      </c>
      <c r="AF29" s="31">
        <f t="shared" si="21"/>
        <v>278.5</v>
      </c>
    </row>
    <row r="30" spans="2:32" ht="23.1" customHeight="1" x14ac:dyDescent="0.25">
      <c r="B30" s="23" t="s">
        <v>57</v>
      </c>
      <c r="C30" s="49">
        <f>AVERAGE('22.07 Lubigi-Masanafu'!C30,'23.07 Lubigi-Masanafu'!C30,'24.07 Lubigi-Masanafu'!C30,'25.07 Lubigi-Masanafu'!C30,'26.07 Lubigi-Masanafu-24h'!C30,'27.07 Lubigi-Masanafu-24h'!C30,'28.07 Lubigi-Masanafu'!C30)</f>
        <v>65.857142857142861</v>
      </c>
      <c r="D30" s="49">
        <f>AVERAGE('22.07 Lubigi-Masanafu'!D30,'23.07 Lubigi-Masanafu'!D30,'24.07 Lubigi-Masanafu'!D30,'25.07 Lubigi-Masanafu'!D30,'26.07 Lubigi-Masanafu-24h'!D30,'27.07 Lubigi-Masanafu-24h'!D30,'28.07 Lubigi-Masanafu'!D30)</f>
        <v>17.428571428571427</v>
      </c>
      <c r="E30" s="49">
        <f>AVERAGE('22.07 Lubigi-Masanafu'!E30,'23.07 Lubigi-Masanafu'!E30,'24.07 Lubigi-Masanafu'!E30,'25.07 Lubigi-Masanafu'!E30,'26.07 Lubigi-Masanafu-24h'!E30,'27.07 Lubigi-Masanafu-24h'!E30,'28.07 Lubigi-Masanafu'!E30)</f>
        <v>12.142857142857142</v>
      </c>
      <c r="F30" s="49">
        <f>AVERAGE('22.07 Lubigi-Masanafu'!F30,'23.07 Lubigi-Masanafu'!F30,'24.07 Lubigi-Masanafu'!F30,'25.07 Lubigi-Masanafu'!F30,'26.07 Lubigi-Masanafu-24h'!F30,'27.07 Lubigi-Masanafu-24h'!F30,'28.07 Lubigi-Masanafu'!F30)</f>
        <v>19.142857142857142</v>
      </c>
      <c r="G30" s="49">
        <f>AVERAGE('22.07 Lubigi-Masanafu'!G30,'23.07 Lubigi-Masanafu'!G30,'24.07 Lubigi-Masanafu'!G30,'25.07 Lubigi-Masanafu'!G30,'26.07 Lubigi-Masanafu-24h'!G30,'27.07 Lubigi-Masanafu-24h'!G30,'28.07 Lubigi-Masanafu'!G30)</f>
        <v>1.8571428571428572</v>
      </c>
      <c r="H30" s="49">
        <f>AVERAGE('22.07 Lubigi-Masanafu'!H30,'23.07 Lubigi-Masanafu'!H30,'24.07 Lubigi-Masanafu'!H30,'25.07 Lubigi-Masanafu'!H30,'26.07 Lubigi-Masanafu-24h'!H30,'27.07 Lubigi-Masanafu-24h'!H30,'28.07 Lubigi-Masanafu'!H30)</f>
        <v>0.5714285714285714</v>
      </c>
      <c r="I30" s="49">
        <f>AVERAGE('22.07 Lubigi-Masanafu'!I30,'23.07 Lubigi-Masanafu'!I30,'24.07 Lubigi-Masanafu'!I30,'25.07 Lubigi-Masanafu'!I30,'26.07 Lubigi-Masanafu-24h'!I30,'27.07 Lubigi-Masanafu-24h'!I30,'28.07 Lubigi-Masanafu'!I30)</f>
        <v>10.857142857142858</v>
      </c>
      <c r="J30" s="49">
        <f>AVERAGE('22.07 Lubigi-Masanafu'!J30,'23.07 Lubigi-Masanafu'!J30,'24.07 Lubigi-Masanafu'!J30,'25.07 Lubigi-Masanafu'!J30,'26.07 Lubigi-Masanafu-24h'!J30,'27.07 Lubigi-Masanafu-24h'!J30,'28.07 Lubigi-Masanafu'!J30)</f>
        <v>9.7142857142857135</v>
      </c>
      <c r="K30" s="49">
        <f>AVERAGE('22.07 Lubigi-Masanafu'!K30,'23.07 Lubigi-Masanafu'!K30,'24.07 Lubigi-Masanafu'!K30,'25.07 Lubigi-Masanafu'!K30,'26.07 Lubigi-Masanafu-24h'!K30,'27.07 Lubigi-Masanafu-24h'!K30,'28.07 Lubigi-Masanafu'!K30)</f>
        <v>6.1428571428571432</v>
      </c>
      <c r="L30" s="49">
        <f>AVERAGE('22.07 Lubigi-Masanafu'!L30,'23.07 Lubigi-Masanafu'!L30,'24.07 Lubigi-Masanafu'!L30,'25.07 Lubigi-Masanafu'!L30,'26.07 Lubigi-Masanafu-24h'!L30,'27.07 Lubigi-Masanafu-24h'!L30,'28.07 Lubigi-Masanafu'!L30)</f>
        <v>4.8571428571428568</v>
      </c>
      <c r="M30" s="49">
        <f>AVERAGE('22.07 Lubigi-Masanafu'!M30,'23.07 Lubigi-Masanafu'!M30,'24.07 Lubigi-Masanafu'!M30,'25.07 Lubigi-Masanafu'!M30,'26.07 Lubigi-Masanafu-24h'!M30,'27.07 Lubigi-Masanafu-24h'!M30,'28.07 Lubigi-Masanafu'!M30)</f>
        <v>137</v>
      </c>
      <c r="N30" s="49">
        <f>AVERAGE('22.07 Lubigi-Masanafu'!N30,'23.07 Lubigi-Masanafu'!N30,'24.07 Lubigi-Masanafu'!N30,'25.07 Lubigi-Masanafu'!N30,'26.07 Lubigi-Masanafu-24h'!N30,'27.07 Lubigi-Masanafu-24h'!N30,'28.07 Lubigi-Masanafu'!N30)</f>
        <v>0</v>
      </c>
      <c r="O30" s="15">
        <f t="shared" si="0"/>
        <v>148.57142857142858</v>
      </c>
      <c r="P30" s="15">
        <f t="shared" si="1"/>
        <v>285.57142857142856</v>
      </c>
      <c r="R30" s="1" t="s">
        <v>154</v>
      </c>
      <c r="S30" s="34">
        <f>SUM(C90:C93)</f>
        <v>69</v>
      </c>
      <c r="T30" s="34">
        <f t="shared" ref="T30:AF30" si="22">SUM(D90:D93)</f>
        <v>19</v>
      </c>
      <c r="U30" s="34">
        <f t="shared" si="22"/>
        <v>22</v>
      </c>
      <c r="V30" s="34">
        <f t="shared" si="22"/>
        <v>23.5</v>
      </c>
      <c r="W30" s="34">
        <f t="shared" si="22"/>
        <v>0</v>
      </c>
      <c r="X30" s="34">
        <f t="shared" si="22"/>
        <v>0</v>
      </c>
      <c r="Y30" s="34">
        <f t="shared" si="22"/>
        <v>13</v>
      </c>
      <c r="Z30" s="34">
        <f t="shared" si="22"/>
        <v>23</v>
      </c>
      <c r="AA30" s="34">
        <f t="shared" si="22"/>
        <v>25</v>
      </c>
      <c r="AB30" s="34">
        <f t="shared" si="22"/>
        <v>12</v>
      </c>
      <c r="AC30" s="34">
        <f t="shared" si="22"/>
        <v>106.5</v>
      </c>
      <c r="AD30" s="34">
        <f t="shared" si="22"/>
        <v>0</v>
      </c>
      <c r="AE30" s="31">
        <f t="shared" si="22"/>
        <v>206.5</v>
      </c>
      <c r="AF30" s="31">
        <f t="shared" si="22"/>
        <v>313</v>
      </c>
    </row>
    <row r="31" spans="2:32" ht="23.1" customHeight="1" x14ac:dyDescent="0.25">
      <c r="B31" s="24" t="s">
        <v>58</v>
      </c>
      <c r="C31" s="49">
        <f>AVERAGE('22.07 Lubigi-Masanafu'!C31,'23.07 Lubigi-Masanafu'!C31,'24.07 Lubigi-Masanafu'!C31,'25.07 Lubigi-Masanafu'!C31,'26.07 Lubigi-Masanafu-24h'!C31,'27.07 Lubigi-Masanafu-24h'!C31,'28.07 Lubigi-Masanafu'!C31)</f>
        <v>68.857142857142861</v>
      </c>
      <c r="D31" s="49">
        <f>AVERAGE('22.07 Lubigi-Masanafu'!D31,'23.07 Lubigi-Masanafu'!D31,'24.07 Lubigi-Masanafu'!D31,'25.07 Lubigi-Masanafu'!D31,'26.07 Lubigi-Masanafu-24h'!D31,'27.07 Lubigi-Masanafu-24h'!D31,'28.07 Lubigi-Masanafu'!D31)</f>
        <v>19.285714285714285</v>
      </c>
      <c r="E31" s="49">
        <f>AVERAGE('22.07 Lubigi-Masanafu'!E31,'23.07 Lubigi-Masanafu'!E31,'24.07 Lubigi-Masanafu'!E31,'25.07 Lubigi-Masanafu'!E31,'26.07 Lubigi-Masanafu-24h'!E31,'27.07 Lubigi-Masanafu-24h'!E31,'28.07 Lubigi-Masanafu'!E31)</f>
        <v>13.571428571428571</v>
      </c>
      <c r="F31" s="49">
        <f>AVERAGE('22.07 Lubigi-Masanafu'!F31,'23.07 Lubigi-Masanafu'!F31,'24.07 Lubigi-Masanafu'!F31,'25.07 Lubigi-Masanafu'!F31,'26.07 Lubigi-Masanafu-24h'!F31,'27.07 Lubigi-Masanafu-24h'!F31,'28.07 Lubigi-Masanafu'!F31)</f>
        <v>23.571428571428573</v>
      </c>
      <c r="G31" s="49">
        <f>AVERAGE('22.07 Lubigi-Masanafu'!G31,'23.07 Lubigi-Masanafu'!G31,'24.07 Lubigi-Masanafu'!G31,'25.07 Lubigi-Masanafu'!G31,'26.07 Lubigi-Masanafu-24h'!G31,'27.07 Lubigi-Masanafu-24h'!G31,'28.07 Lubigi-Masanafu'!G31)</f>
        <v>1.8571428571428572</v>
      </c>
      <c r="H31" s="49">
        <f>AVERAGE('22.07 Lubigi-Masanafu'!H31,'23.07 Lubigi-Masanafu'!H31,'24.07 Lubigi-Masanafu'!H31,'25.07 Lubigi-Masanafu'!H31,'26.07 Lubigi-Masanafu-24h'!H31,'27.07 Lubigi-Masanafu-24h'!H31,'28.07 Lubigi-Masanafu'!H31)</f>
        <v>0.42857142857142855</v>
      </c>
      <c r="I31" s="49">
        <f>AVERAGE('22.07 Lubigi-Masanafu'!I31,'23.07 Lubigi-Masanafu'!I31,'24.07 Lubigi-Masanafu'!I31,'25.07 Lubigi-Masanafu'!I31,'26.07 Lubigi-Masanafu-24h'!I31,'27.07 Lubigi-Masanafu-24h'!I31,'28.07 Lubigi-Masanafu'!I31)</f>
        <v>10.714285714285714</v>
      </c>
      <c r="J31" s="49">
        <f>AVERAGE('22.07 Lubigi-Masanafu'!J31,'23.07 Lubigi-Masanafu'!J31,'24.07 Lubigi-Masanafu'!J31,'25.07 Lubigi-Masanafu'!J31,'26.07 Lubigi-Masanafu-24h'!J31,'27.07 Lubigi-Masanafu-24h'!J31,'28.07 Lubigi-Masanafu'!J31)</f>
        <v>10.714285714285714</v>
      </c>
      <c r="K31" s="49">
        <f>AVERAGE('22.07 Lubigi-Masanafu'!K31,'23.07 Lubigi-Masanafu'!K31,'24.07 Lubigi-Masanafu'!K31,'25.07 Lubigi-Masanafu'!K31,'26.07 Lubigi-Masanafu-24h'!K31,'27.07 Lubigi-Masanafu-24h'!K31,'28.07 Lubigi-Masanafu'!K31)</f>
        <v>5.4285714285714288</v>
      </c>
      <c r="L31" s="49">
        <f>AVERAGE('22.07 Lubigi-Masanafu'!L31,'23.07 Lubigi-Masanafu'!L31,'24.07 Lubigi-Masanafu'!L31,'25.07 Lubigi-Masanafu'!L31,'26.07 Lubigi-Masanafu-24h'!L31,'27.07 Lubigi-Masanafu-24h'!L31,'28.07 Lubigi-Masanafu'!L31)</f>
        <v>4.7142857142857144</v>
      </c>
      <c r="M31" s="49">
        <f>AVERAGE('22.07 Lubigi-Masanafu'!M31,'23.07 Lubigi-Masanafu'!M31,'24.07 Lubigi-Masanafu'!M31,'25.07 Lubigi-Masanafu'!M31,'26.07 Lubigi-Masanafu-24h'!M31,'27.07 Lubigi-Masanafu-24h'!M31,'28.07 Lubigi-Masanafu'!M31)</f>
        <v>130.28571428571428</v>
      </c>
      <c r="N31" s="49">
        <f>AVERAGE('22.07 Lubigi-Masanafu'!N31,'23.07 Lubigi-Masanafu'!N31,'24.07 Lubigi-Masanafu'!N31,'25.07 Lubigi-Masanafu'!N31,'26.07 Lubigi-Masanafu-24h'!N31,'27.07 Lubigi-Masanafu-24h'!N31,'28.07 Lubigi-Masanafu'!N31)</f>
        <v>0.42857142857142855</v>
      </c>
      <c r="O31" s="15">
        <f t="shared" si="0"/>
        <v>159.57142857142856</v>
      </c>
      <c r="P31" s="15">
        <f t="shared" si="1"/>
        <v>289.85714285714289</v>
      </c>
      <c r="R31" s="1" t="s">
        <v>155</v>
      </c>
      <c r="S31" s="34">
        <f>SUM(C94:C97)</f>
        <v>98</v>
      </c>
      <c r="T31" s="34">
        <f t="shared" ref="T31:AF31" si="23">SUM(D94:D97)</f>
        <v>21</v>
      </c>
      <c r="U31" s="34">
        <f t="shared" si="23"/>
        <v>19.5</v>
      </c>
      <c r="V31" s="34">
        <f t="shared" si="23"/>
        <v>24</v>
      </c>
      <c r="W31" s="34">
        <f t="shared" si="23"/>
        <v>1</v>
      </c>
      <c r="X31" s="34">
        <f t="shared" si="23"/>
        <v>1.5</v>
      </c>
      <c r="Y31" s="34">
        <f t="shared" si="23"/>
        <v>21.5</v>
      </c>
      <c r="Z31" s="34">
        <f t="shared" si="23"/>
        <v>31</v>
      </c>
      <c r="AA31" s="34">
        <f t="shared" si="23"/>
        <v>26.5</v>
      </c>
      <c r="AB31" s="34">
        <f t="shared" si="23"/>
        <v>12</v>
      </c>
      <c r="AC31" s="34">
        <f t="shared" si="23"/>
        <v>90</v>
      </c>
      <c r="AD31" s="34">
        <f t="shared" si="23"/>
        <v>0</v>
      </c>
      <c r="AE31" s="31">
        <f t="shared" si="23"/>
        <v>256</v>
      </c>
      <c r="AF31" s="31">
        <f t="shared" si="23"/>
        <v>346</v>
      </c>
    </row>
    <row r="32" spans="2:32" ht="23.1" customHeight="1" x14ac:dyDescent="0.25">
      <c r="B32" s="24" t="s">
        <v>59</v>
      </c>
      <c r="C32" s="49">
        <f>AVERAGE('22.07 Lubigi-Masanafu'!C32,'23.07 Lubigi-Masanafu'!C32,'24.07 Lubigi-Masanafu'!C32,'25.07 Lubigi-Masanafu'!C32,'26.07 Lubigi-Masanafu-24h'!C32,'27.07 Lubigi-Masanafu-24h'!C32,'28.07 Lubigi-Masanafu'!C32)</f>
        <v>68.285714285714292</v>
      </c>
      <c r="D32" s="49">
        <f>AVERAGE('22.07 Lubigi-Masanafu'!D32,'23.07 Lubigi-Masanafu'!D32,'24.07 Lubigi-Masanafu'!D32,'25.07 Lubigi-Masanafu'!D32,'26.07 Lubigi-Masanafu-24h'!D32,'27.07 Lubigi-Masanafu-24h'!D32,'28.07 Lubigi-Masanafu'!D32)</f>
        <v>16.142857142857142</v>
      </c>
      <c r="E32" s="49">
        <f>AVERAGE('22.07 Lubigi-Masanafu'!E32,'23.07 Lubigi-Masanafu'!E32,'24.07 Lubigi-Masanafu'!E32,'25.07 Lubigi-Masanafu'!E32,'26.07 Lubigi-Masanafu-24h'!E32,'27.07 Lubigi-Masanafu-24h'!E32,'28.07 Lubigi-Masanafu'!E32)</f>
        <v>12.142857142857142</v>
      </c>
      <c r="F32" s="49">
        <f>AVERAGE('22.07 Lubigi-Masanafu'!F32,'23.07 Lubigi-Masanafu'!F32,'24.07 Lubigi-Masanafu'!F32,'25.07 Lubigi-Masanafu'!F32,'26.07 Lubigi-Masanafu-24h'!F32,'27.07 Lubigi-Masanafu-24h'!F32,'28.07 Lubigi-Masanafu'!F32)</f>
        <v>22.714285714285715</v>
      </c>
      <c r="G32" s="49">
        <f>AVERAGE('22.07 Lubigi-Masanafu'!G32,'23.07 Lubigi-Masanafu'!G32,'24.07 Lubigi-Masanafu'!G32,'25.07 Lubigi-Masanafu'!G32,'26.07 Lubigi-Masanafu-24h'!G32,'27.07 Lubigi-Masanafu-24h'!G32,'28.07 Lubigi-Masanafu'!G32)</f>
        <v>2.8571428571428572</v>
      </c>
      <c r="H32" s="49">
        <f>AVERAGE('22.07 Lubigi-Masanafu'!H32,'23.07 Lubigi-Masanafu'!H32,'24.07 Lubigi-Masanafu'!H32,'25.07 Lubigi-Masanafu'!H32,'26.07 Lubigi-Masanafu-24h'!H32,'27.07 Lubigi-Masanafu-24h'!H32,'28.07 Lubigi-Masanafu'!H32)</f>
        <v>0.2857142857142857</v>
      </c>
      <c r="I32" s="49">
        <f>AVERAGE('22.07 Lubigi-Masanafu'!I32,'23.07 Lubigi-Masanafu'!I32,'24.07 Lubigi-Masanafu'!I32,'25.07 Lubigi-Masanafu'!I32,'26.07 Lubigi-Masanafu-24h'!I32,'27.07 Lubigi-Masanafu-24h'!I32,'28.07 Lubigi-Masanafu'!I32)</f>
        <v>11.428571428571429</v>
      </c>
      <c r="J32" s="49">
        <f>AVERAGE('22.07 Lubigi-Masanafu'!J32,'23.07 Lubigi-Masanafu'!J32,'24.07 Lubigi-Masanafu'!J32,'25.07 Lubigi-Masanafu'!J32,'26.07 Lubigi-Masanafu-24h'!J32,'27.07 Lubigi-Masanafu-24h'!J32,'28.07 Lubigi-Masanafu'!J32)</f>
        <v>9.7142857142857135</v>
      </c>
      <c r="K32" s="49">
        <f>AVERAGE('22.07 Lubigi-Masanafu'!K32,'23.07 Lubigi-Masanafu'!K32,'24.07 Lubigi-Masanafu'!K32,'25.07 Lubigi-Masanafu'!K32,'26.07 Lubigi-Masanafu-24h'!K32,'27.07 Lubigi-Masanafu-24h'!K32,'28.07 Lubigi-Masanafu'!K32)</f>
        <v>4.5714285714285712</v>
      </c>
      <c r="L32" s="49">
        <f>AVERAGE('22.07 Lubigi-Masanafu'!L32,'23.07 Lubigi-Masanafu'!L32,'24.07 Lubigi-Masanafu'!L32,'25.07 Lubigi-Masanafu'!L32,'26.07 Lubigi-Masanafu-24h'!L32,'27.07 Lubigi-Masanafu-24h'!L32,'28.07 Lubigi-Masanafu'!L32)</f>
        <v>3.8571428571428572</v>
      </c>
      <c r="M32" s="49">
        <f>AVERAGE('22.07 Lubigi-Masanafu'!M32,'23.07 Lubigi-Masanafu'!M32,'24.07 Lubigi-Masanafu'!M32,'25.07 Lubigi-Masanafu'!M32,'26.07 Lubigi-Masanafu-24h'!M32,'27.07 Lubigi-Masanafu-24h'!M32,'28.07 Lubigi-Masanafu'!M32)</f>
        <v>139.71428571428572</v>
      </c>
      <c r="N32" s="49">
        <f>AVERAGE('22.07 Lubigi-Masanafu'!N32,'23.07 Lubigi-Masanafu'!N32,'24.07 Lubigi-Masanafu'!N32,'25.07 Lubigi-Masanafu'!N32,'26.07 Lubigi-Masanafu-24h'!N32,'27.07 Lubigi-Masanafu-24h'!N32,'28.07 Lubigi-Masanafu'!N32)</f>
        <v>0</v>
      </c>
      <c r="O32" s="15">
        <f t="shared" si="0"/>
        <v>152.00000000000003</v>
      </c>
      <c r="P32" s="15">
        <f t="shared" si="1"/>
        <v>291.71428571428578</v>
      </c>
      <c r="R32" s="1" t="s">
        <v>156</v>
      </c>
      <c r="S32" s="34">
        <f>SUM(C98:C101)</f>
        <v>86.5</v>
      </c>
      <c r="T32" s="34">
        <f t="shared" ref="T32:AF32" si="24">SUM(D98:D101)</f>
        <v>23</v>
      </c>
      <c r="U32" s="34">
        <f t="shared" si="24"/>
        <v>16.5</v>
      </c>
      <c r="V32" s="34">
        <f t="shared" si="24"/>
        <v>33.5</v>
      </c>
      <c r="W32" s="34">
        <f t="shared" si="24"/>
        <v>3.5</v>
      </c>
      <c r="X32" s="34">
        <f t="shared" si="24"/>
        <v>1.5</v>
      </c>
      <c r="Y32" s="34">
        <f t="shared" si="24"/>
        <v>17</v>
      </c>
      <c r="Z32" s="34">
        <f t="shared" si="24"/>
        <v>28</v>
      </c>
      <c r="AA32" s="34">
        <f t="shared" si="24"/>
        <v>9.5</v>
      </c>
      <c r="AB32" s="34">
        <f t="shared" si="24"/>
        <v>11.5</v>
      </c>
      <c r="AC32" s="34">
        <f t="shared" si="24"/>
        <v>115.5</v>
      </c>
      <c r="AD32" s="34">
        <f t="shared" si="24"/>
        <v>0</v>
      </c>
      <c r="AE32" s="31">
        <f t="shared" si="24"/>
        <v>230.5</v>
      </c>
      <c r="AF32" s="31">
        <f t="shared" si="24"/>
        <v>346</v>
      </c>
    </row>
    <row r="33" spans="2:32" ht="23.1" customHeight="1" x14ac:dyDescent="0.25">
      <c r="B33" s="23" t="s">
        <v>60</v>
      </c>
      <c r="C33" s="49">
        <f>AVERAGE('22.07 Lubigi-Masanafu'!C33,'23.07 Lubigi-Masanafu'!C33,'24.07 Lubigi-Masanafu'!C33,'25.07 Lubigi-Masanafu'!C33,'26.07 Lubigi-Masanafu-24h'!C33,'27.07 Lubigi-Masanafu-24h'!C33,'28.07 Lubigi-Masanafu'!C33)</f>
        <v>64.142857142857139</v>
      </c>
      <c r="D33" s="49">
        <f>AVERAGE('22.07 Lubigi-Masanafu'!D33,'23.07 Lubigi-Masanafu'!D33,'24.07 Lubigi-Masanafu'!D33,'25.07 Lubigi-Masanafu'!D33,'26.07 Lubigi-Masanafu-24h'!D33,'27.07 Lubigi-Masanafu-24h'!D33,'28.07 Lubigi-Masanafu'!D33)</f>
        <v>17.428571428571427</v>
      </c>
      <c r="E33" s="49">
        <f>AVERAGE('22.07 Lubigi-Masanafu'!E33,'23.07 Lubigi-Masanafu'!E33,'24.07 Lubigi-Masanafu'!E33,'25.07 Lubigi-Masanafu'!E33,'26.07 Lubigi-Masanafu-24h'!E33,'27.07 Lubigi-Masanafu-24h'!E33,'28.07 Lubigi-Masanafu'!E33)</f>
        <v>10</v>
      </c>
      <c r="F33" s="49">
        <f>AVERAGE('22.07 Lubigi-Masanafu'!F33,'23.07 Lubigi-Masanafu'!F33,'24.07 Lubigi-Masanafu'!F33,'25.07 Lubigi-Masanafu'!F33,'26.07 Lubigi-Masanafu-24h'!F33,'27.07 Lubigi-Masanafu-24h'!F33,'28.07 Lubigi-Masanafu'!F33)</f>
        <v>21.285714285714285</v>
      </c>
      <c r="G33" s="49">
        <f>AVERAGE('22.07 Lubigi-Masanafu'!G33,'23.07 Lubigi-Masanafu'!G33,'24.07 Lubigi-Masanafu'!G33,'25.07 Lubigi-Masanafu'!G33,'26.07 Lubigi-Masanafu-24h'!G33,'27.07 Lubigi-Masanafu-24h'!G33,'28.07 Lubigi-Masanafu'!G33)</f>
        <v>2</v>
      </c>
      <c r="H33" s="49">
        <f>AVERAGE('22.07 Lubigi-Masanafu'!H33,'23.07 Lubigi-Masanafu'!H33,'24.07 Lubigi-Masanafu'!H33,'25.07 Lubigi-Masanafu'!H33,'26.07 Lubigi-Masanafu-24h'!H33,'27.07 Lubigi-Masanafu-24h'!H33,'28.07 Lubigi-Masanafu'!H33)</f>
        <v>0.5714285714285714</v>
      </c>
      <c r="I33" s="49">
        <f>AVERAGE('22.07 Lubigi-Masanafu'!I33,'23.07 Lubigi-Masanafu'!I33,'24.07 Lubigi-Masanafu'!I33,'25.07 Lubigi-Masanafu'!I33,'26.07 Lubigi-Masanafu-24h'!I33,'27.07 Lubigi-Masanafu-24h'!I33,'28.07 Lubigi-Masanafu'!I33)</f>
        <v>7.2857142857142856</v>
      </c>
      <c r="J33" s="49">
        <f>AVERAGE('22.07 Lubigi-Masanafu'!J33,'23.07 Lubigi-Masanafu'!J33,'24.07 Lubigi-Masanafu'!J33,'25.07 Lubigi-Masanafu'!J33,'26.07 Lubigi-Masanafu-24h'!J33,'27.07 Lubigi-Masanafu-24h'!J33,'28.07 Lubigi-Masanafu'!J33)</f>
        <v>9.4285714285714288</v>
      </c>
      <c r="K33" s="49">
        <f>AVERAGE('22.07 Lubigi-Masanafu'!K33,'23.07 Lubigi-Masanafu'!K33,'24.07 Lubigi-Masanafu'!K33,'25.07 Lubigi-Masanafu'!K33,'26.07 Lubigi-Masanafu-24h'!K33,'27.07 Lubigi-Masanafu-24h'!K33,'28.07 Lubigi-Masanafu'!K33)</f>
        <v>5.5714285714285712</v>
      </c>
      <c r="L33" s="49">
        <f>AVERAGE('22.07 Lubigi-Masanafu'!L33,'23.07 Lubigi-Masanafu'!L33,'24.07 Lubigi-Masanafu'!L33,'25.07 Lubigi-Masanafu'!L33,'26.07 Lubigi-Masanafu-24h'!L33,'27.07 Lubigi-Masanafu-24h'!L33,'28.07 Lubigi-Masanafu'!L33)</f>
        <v>5.1428571428571432</v>
      </c>
      <c r="M33" s="49">
        <f>AVERAGE('22.07 Lubigi-Masanafu'!M33,'23.07 Lubigi-Masanafu'!M33,'24.07 Lubigi-Masanafu'!M33,'25.07 Lubigi-Masanafu'!M33,'26.07 Lubigi-Masanafu-24h'!M33,'27.07 Lubigi-Masanafu-24h'!M33,'28.07 Lubigi-Masanafu'!M33)</f>
        <v>130.14285714285714</v>
      </c>
      <c r="N33" s="49">
        <f>AVERAGE('22.07 Lubigi-Masanafu'!N33,'23.07 Lubigi-Masanafu'!N33,'24.07 Lubigi-Masanafu'!N33,'25.07 Lubigi-Masanafu'!N33,'26.07 Lubigi-Masanafu-24h'!N33,'27.07 Lubigi-Masanafu-24h'!N33,'28.07 Lubigi-Masanafu'!N33)</f>
        <v>0.14285714285714285</v>
      </c>
      <c r="O33" s="15">
        <f t="shared" si="0"/>
        <v>143</v>
      </c>
      <c r="P33" s="15">
        <f t="shared" si="1"/>
        <v>273.14285714285717</v>
      </c>
      <c r="R33" s="1" t="s">
        <v>157</v>
      </c>
      <c r="S33" s="34">
        <f>SUM(C102:C105)</f>
        <v>190</v>
      </c>
      <c r="T33" s="34">
        <f t="shared" ref="T33:AF33" si="25">SUM(D102:D105)</f>
        <v>68.5</v>
      </c>
      <c r="U33" s="34">
        <f t="shared" si="25"/>
        <v>57</v>
      </c>
      <c r="V33" s="34">
        <f t="shared" si="25"/>
        <v>197.5</v>
      </c>
      <c r="W33" s="34">
        <f t="shared" si="25"/>
        <v>3.5</v>
      </c>
      <c r="X33" s="34">
        <f t="shared" si="25"/>
        <v>0.5</v>
      </c>
      <c r="Y33" s="34">
        <f t="shared" si="25"/>
        <v>106</v>
      </c>
      <c r="Z33" s="34">
        <f t="shared" si="25"/>
        <v>38</v>
      </c>
      <c r="AA33" s="34">
        <f t="shared" si="25"/>
        <v>25</v>
      </c>
      <c r="AB33" s="34">
        <f t="shared" si="25"/>
        <v>25</v>
      </c>
      <c r="AC33" s="34">
        <f t="shared" si="25"/>
        <v>332</v>
      </c>
      <c r="AD33" s="34">
        <f t="shared" si="25"/>
        <v>0</v>
      </c>
      <c r="AE33" s="31">
        <f t="shared" si="25"/>
        <v>711</v>
      </c>
      <c r="AF33" s="31">
        <f t="shared" si="25"/>
        <v>1043</v>
      </c>
    </row>
    <row r="34" spans="2:32" ht="23.1" customHeight="1" x14ac:dyDescent="0.25">
      <c r="B34" s="24" t="s">
        <v>61</v>
      </c>
      <c r="C34" s="49">
        <f>AVERAGE('22.07 Lubigi-Masanafu'!C34,'23.07 Lubigi-Masanafu'!C34,'24.07 Lubigi-Masanafu'!C34,'25.07 Lubigi-Masanafu'!C34,'26.07 Lubigi-Masanafu-24h'!C34,'27.07 Lubigi-Masanafu-24h'!C34,'28.07 Lubigi-Masanafu'!C34)</f>
        <v>70.857142857142861</v>
      </c>
      <c r="D34" s="49">
        <f>AVERAGE('22.07 Lubigi-Masanafu'!D34,'23.07 Lubigi-Masanafu'!D34,'24.07 Lubigi-Masanafu'!D34,'25.07 Lubigi-Masanafu'!D34,'26.07 Lubigi-Masanafu-24h'!D34,'27.07 Lubigi-Masanafu-24h'!D34,'28.07 Lubigi-Masanafu'!D34)</f>
        <v>18.714285714285715</v>
      </c>
      <c r="E34" s="49">
        <f>AVERAGE('22.07 Lubigi-Masanafu'!E34,'23.07 Lubigi-Masanafu'!E34,'24.07 Lubigi-Masanafu'!E34,'25.07 Lubigi-Masanafu'!E34,'26.07 Lubigi-Masanafu-24h'!E34,'27.07 Lubigi-Masanafu-24h'!E34,'28.07 Lubigi-Masanafu'!E34)</f>
        <v>9.8571428571428577</v>
      </c>
      <c r="F34" s="49">
        <f>AVERAGE('22.07 Lubigi-Masanafu'!F34,'23.07 Lubigi-Masanafu'!F34,'24.07 Lubigi-Masanafu'!F34,'25.07 Lubigi-Masanafu'!F34,'26.07 Lubigi-Masanafu-24h'!F34,'27.07 Lubigi-Masanafu-24h'!F34,'28.07 Lubigi-Masanafu'!F34)</f>
        <v>24.285714285714285</v>
      </c>
      <c r="G34" s="49">
        <f>AVERAGE('22.07 Lubigi-Masanafu'!G34,'23.07 Lubigi-Masanafu'!G34,'24.07 Lubigi-Masanafu'!G34,'25.07 Lubigi-Masanafu'!G34,'26.07 Lubigi-Masanafu-24h'!G34,'27.07 Lubigi-Masanafu-24h'!G34,'28.07 Lubigi-Masanafu'!G34)</f>
        <v>2.5714285714285716</v>
      </c>
      <c r="H34" s="49">
        <f>AVERAGE('22.07 Lubigi-Masanafu'!H34,'23.07 Lubigi-Masanafu'!H34,'24.07 Lubigi-Masanafu'!H34,'25.07 Lubigi-Masanafu'!H34,'26.07 Lubigi-Masanafu-24h'!H34,'27.07 Lubigi-Masanafu-24h'!H34,'28.07 Lubigi-Masanafu'!H34)</f>
        <v>0</v>
      </c>
      <c r="I34" s="49">
        <f>AVERAGE('22.07 Lubigi-Masanafu'!I34,'23.07 Lubigi-Masanafu'!I34,'24.07 Lubigi-Masanafu'!I34,'25.07 Lubigi-Masanafu'!I34,'26.07 Lubigi-Masanafu-24h'!I34,'27.07 Lubigi-Masanafu-24h'!I34,'28.07 Lubigi-Masanafu'!I34)</f>
        <v>10.428571428571429</v>
      </c>
      <c r="J34" s="49">
        <f>AVERAGE('22.07 Lubigi-Masanafu'!J34,'23.07 Lubigi-Masanafu'!J34,'24.07 Lubigi-Masanafu'!J34,'25.07 Lubigi-Masanafu'!J34,'26.07 Lubigi-Masanafu-24h'!J34,'27.07 Lubigi-Masanafu-24h'!J34,'28.07 Lubigi-Masanafu'!J34)</f>
        <v>10.285714285714286</v>
      </c>
      <c r="K34" s="49">
        <f>AVERAGE('22.07 Lubigi-Masanafu'!K34,'23.07 Lubigi-Masanafu'!K34,'24.07 Lubigi-Masanafu'!K34,'25.07 Lubigi-Masanafu'!K34,'26.07 Lubigi-Masanafu-24h'!K34,'27.07 Lubigi-Masanafu-24h'!K34,'28.07 Lubigi-Masanafu'!K34)</f>
        <v>3.1428571428571428</v>
      </c>
      <c r="L34" s="49">
        <f>AVERAGE('22.07 Lubigi-Masanafu'!L34,'23.07 Lubigi-Masanafu'!L34,'24.07 Lubigi-Masanafu'!L34,'25.07 Lubigi-Masanafu'!L34,'26.07 Lubigi-Masanafu-24h'!L34,'27.07 Lubigi-Masanafu-24h'!L34,'28.07 Lubigi-Masanafu'!L34)</f>
        <v>5.1428571428571432</v>
      </c>
      <c r="M34" s="49">
        <f>AVERAGE('22.07 Lubigi-Masanafu'!M34,'23.07 Lubigi-Masanafu'!M34,'24.07 Lubigi-Masanafu'!M34,'25.07 Lubigi-Masanafu'!M34,'26.07 Lubigi-Masanafu-24h'!M34,'27.07 Lubigi-Masanafu-24h'!M34,'28.07 Lubigi-Masanafu'!M34)</f>
        <v>128.14285714285714</v>
      </c>
      <c r="N34" s="49">
        <f>AVERAGE('22.07 Lubigi-Masanafu'!N34,'23.07 Lubigi-Masanafu'!N34,'24.07 Lubigi-Masanafu'!N34,'25.07 Lubigi-Masanafu'!N34,'26.07 Lubigi-Masanafu-24h'!N34,'27.07 Lubigi-Masanafu-24h'!N34,'28.07 Lubigi-Masanafu'!N34)</f>
        <v>0</v>
      </c>
      <c r="O34" s="15">
        <f t="shared" si="0"/>
        <v>155.28571428571428</v>
      </c>
      <c r="P34" s="15">
        <f t="shared" si="1"/>
        <v>283.42857142857144</v>
      </c>
      <c r="R34" s="51" t="s">
        <v>90</v>
      </c>
      <c r="S34" s="52">
        <f t="shared" ref="S34:AF34" si="26">MAX(S10:S12)</f>
        <v>208</v>
      </c>
      <c r="T34" s="52">
        <f t="shared" si="26"/>
        <v>51.142857142857146</v>
      </c>
      <c r="U34" s="52">
        <f t="shared" si="26"/>
        <v>39.285714285714285</v>
      </c>
      <c r="V34" s="52">
        <f t="shared" si="26"/>
        <v>89.571428571428584</v>
      </c>
      <c r="W34" s="52">
        <f t="shared" si="26"/>
        <v>9.8571428571428577</v>
      </c>
      <c r="X34" s="52">
        <f t="shared" si="26"/>
        <v>1.2857142857142856</v>
      </c>
      <c r="Y34" s="52">
        <f t="shared" si="26"/>
        <v>47.714285714285708</v>
      </c>
      <c r="Z34" s="52">
        <f t="shared" si="26"/>
        <v>25.571428571428569</v>
      </c>
      <c r="AA34" s="52">
        <f t="shared" si="26"/>
        <v>20.428571428571431</v>
      </c>
      <c r="AB34" s="52">
        <f t="shared" si="26"/>
        <v>17.571428571428569</v>
      </c>
      <c r="AC34" s="52">
        <f t="shared" si="26"/>
        <v>503.28571428571428</v>
      </c>
      <c r="AD34" s="52">
        <f t="shared" si="26"/>
        <v>0.2857142857142857</v>
      </c>
      <c r="AE34" s="40">
        <f t="shared" si="26"/>
        <v>489.85714285714289</v>
      </c>
      <c r="AF34" s="40">
        <f t="shared" si="26"/>
        <v>989.28571428571422</v>
      </c>
    </row>
    <row r="35" spans="2:32" ht="23.1" customHeight="1" x14ac:dyDescent="0.25">
      <c r="B35" s="24" t="s">
        <v>62</v>
      </c>
      <c r="C35" s="49">
        <f>AVERAGE('22.07 Lubigi-Masanafu'!C35,'23.07 Lubigi-Masanafu'!C35,'24.07 Lubigi-Masanafu'!C35,'25.07 Lubigi-Masanafu'!C35,'26.07 Lubigi-Masanafu-24h'!C35,'27.07 Lubigi-Masanafu-24h'!C35,'28.07 Lubigi-Masanafu'!C35)</f>
        <v>69.285714285714292</v>
      </c>
      <c r="D35" s="49">
        <f>AVERAGE('22.07 Lubigi-Masanafu'!D35,'23.07 Lubigi-Masanafu'!D35,'24.07 Lubigi-Masanafu'!D35,'25.07 Lubigi-Masanafu'!D35,'26.07 Lubigi-Masanafu-24h'!D35,'27.07 Lubigi-Masanafu-24h'!D35,'28.07 Lubigi-Masanafu'!D35)</f>
        <v>14.142857142857142</v>
      </c>
      <c r="E35" s="49">
        <f>AVERAGE('22.07 Lubigi-Masanafu'!E35,'23.07 Lubigi-Masanafu'!E35,'24.07 Lubigi-Masanafu'!E35,'25.07 Lubigi-Masanafu'!E35,'26.07 Lubigi-Masanafu-24h'!E35,'27.07 Lubigi-Masanafu-24h'!E35,'28.07 Lubigi-Masanafu'!E35)</f>
        <v>15.285714285714286</v>
      </c>
      <c r="F35" s="49">
        <f>AVERAGE('22.07 Lubigi-Masanafu'!F35,'23.07 Lubigi-Masanafu'!F35,'24.07 Lubigi-Masanafu'!F35,'25.07 Lubigi-Masanafu'!F35,'26.07 Lubigi-Masanafu-24h'!F35,'27.07 Lubigi-Masanafu-24h'!F35,'28.07 Lubigi-Masanafu'!F35)</f>
        <v>23.714285714285715</v>
      </c>
      <c r="G35" s="49">
        <f>AVERAGE('22.07 Lubigi-Masanafu'!G35,'23.07 Lubigi-Masanafu'!G35,'24.07 Lubigi-Masanafu'!G35,'25.07 Lubigi-Masanafu'!G35,'26.07 Lubigi-Masanafu-24h'!G35,'27.07 Lubigi-Masanafu-24h'!G35,'28.07 Lubigi-Masanafu'!G35)</f>
        <v>1.8571428571428572</v>
      </c>
      <c r="H35" s="49">
        <f>AVERAGE('22.07 Lubigi-Masanafu'!H35,'23.07 Lubigi-Masanafu'!H35,'24.07 Lubigi-Masanafu'!H35,'25.07 Lubigi-Masanafu'!H35,'26.07 Lubigi-Masanafu-24h'!H35,'27.07 Lubigi-Masanafu-24h'!H35,'28.07 Lubigi-Masanafu'!H35)</f>
        <v>0.42857142857142855</v>
      </c>
      <c r="I35" s="49">
        <f>AVERAGE('22.07 Lubigi-Masanafu'!I35,'23.07 Lubigi-Masanafu'!I35,'24.07 Lubigi-Masanafu'!I35,'25.07 Lubigi-Masanafu'!I35,'26.07 Lubigi-Masanafu-24h'!I35,'27.07 Lubigi-Masanafu-24h'!I35,'28.07 Lubigi-Masanafu'!I35)</f>
        <v>11</v>
      </c>
      <c r="J35" s="49">
        <f>AVERAGE('22.07 Lubigi-Masanafu'!J35,'23.07 Lubigi-Masanafu'!J35,'24.07 Lubigi-Masanafu'!J35,'25.07 Lubigi-Masanafu'!J35,'26.07 Lubigi-Masanafu-24h'!J35,'27.07 Lubigi-Masanafu-24h'!J35,'28.07 Lubigi-Masanafu'!J35)</f>
        <v>13.142857142857142</v>
      </c>
      <c r="K35" s="49">
        <f>AVERAGE('22.07 Lubigi-Masanafu'!K35,'23.07 Lubigi-Masanafu'!K35,'24.07 Lubigi-Masanafu'!K35,'25.07 Lubigi-Masanafu'!K35,'26.07 Lubigi-Masanafu-24h'!K35,'27.07 Lubigi-Masanafu-24h'!K35,'28.07 Lubigi-Masanafu'!K35)</f>
        <v>5</v>
      </c>
      <c r="L35" s="49">
        <f>AVERAGE('22.07 Lubigi-Masanafu'!L35,'23.07 Lubigi-Masanafu'!L35,'24.07 Lubigi-Masanafu'!L35,'25.07 Lubigi-Masanafu'!L35,'26.07 Lubigi-Masanafu-24h'!L35,'27.07 Lubigi-Masanafu-24h'!L35,'28.07 Lubigi-Masanafu'!L35)</f>
        <v>5.5714285714285712</v>
      </c>
      <c r="M35" s="49">
        <f>AVERAGE('22.07 Lubigi-Masanafu'!M35,'23.07 Lubigi-Masanafu'!M35,'24.07 Lubigi-Masanafu'!M35,'25.07 Lubigi-Masanafu'!M35,'26.07 Lubigi-Masanafu-24h'!M35,'27.07 Lubigi-Masanafu-24h'!M35,'28.07 Lubigi-Masanafu'!M35)</f>
        <v>127.14285714285714</v>
      </c>
      <c r="N35" s="49">
        <f>AVERAGE('22.07 Lubigi-Masanafu'!N35,'23.07 Lubigi-Masanafu'!N35,'24.07 Lubigi-Masanafu'!N35,'25.07 Lubigi-Masanafu'!N35,'26.07 Lubigi-Masanafu-24h'!N35,'27.07 Lubigi-Masanafu-24h'!N35,'28.07 Lubigi-Masanafu'!N35)</f>
        <v>0</v>
      </c>
      <c r="O35" s="15">
        <f t="shared" si="0"/>
        <v>159.42857142857144</v>
      </c>
      <c r="P35" s="15">
        <f t="shared" si="1"/>
        <v>286.57142857142856</v>
      </c>
      <c r="R35" s="51" t="s">
        <v>91</v>
      </c>
      <c r="S35" s="52">
        <f t="shared" ref="S35:AF35" si="27">MAX(S13:S18)</f>
        <v>270.71428571428578</v>
      </c>
      <c r="T35" s="52">
        <f t="shared" si="27"/>
        <v>72</v>
      </c>
      <c r="U35" s="52">
        <f t="shared" si="27"/>
        <v>47.857142857142861</v>
      </c>
      <c r="V35" s="52">
        <f t="shared" si="27"/>
        <v>96.714285714285722</v>
      </c>
      <c r="W35" s="52">
        <f t="shared" si="27"/>
        <v>13.285714285714285</v>
      </c>
      <c r="X35" s="52">
        <f t="shared" si="27"/>
        <v>3</v>
      </c>
      <c r="Y35" s="52">
        <f t="shared" si="27"/>
        <v>45.142857142857139</v>
      </c>
      <c r="Z35" s="52">
        <f t="shared" si="27"/>
        <v>45.571428571428569</v>
      </c>
      <c r="AA35" s="52">
        <f t="shared" si="27"/>
        <v>24.714285714285715</v>
      </c>
      <c r="AB35" s="52">
        <f t="shared" si="27"/>
        <v>24.428571428571431</v>
      </c>
      <c r="AC35" s="52">
        <f t="shared" si="27"/>
        <v>597.57142857142856</v>
      </c>
      <c r="AD35" s="52">
        <f t="shared" si="27"/>
        <v>0.5714285714285714</v>
      </c>
      <c r="AE35" s="40">
        <f t="shared" si="27"/>
        <v>603.14285714285711</v>
      </c>
      <c r="AF35" s="40">
        <f t="shared" si="27"/>
        <v>1186.5714285714284</v>
      </c>
    </row>
    <row r="36" spans="2:32" ht="23.1" customHeight="1" x14ac:dyDescent="0.25">
      <c r="B36" s="24" t="s">
        <v>63</v>
      </c>
      <c r="C36" s="49">
        <f>AVERAGE('22.07 Lubigi-Masanafu'!C36,'23.07 Lubigi-Masanafu'!C36,'24.07 Lubigi-Masanafu'!C36,'25.07 Lubigi-Masanafu'!C36,'26.07 Lubigi-Masanafu-24h'!C36,'27.07 Lubigi-Masanafu-24h'!C36,'28.07 Lubigi-Masanafu'!C36)</f>
        <v>64.428571428571431</v>
      </c>
      <c r="D36" s="49">
        <f>AVERAGE('22.07 Lubigi-Masanafu'!D36,'23.07 Lubigi-Masanafu'!D36,'24.07 Lubigi-Masanafu'!D36,'25.07 Lubigi-Masanafu'!D36,'26.07 Lubigi-Masanafu-24h'!D36,'27.07 Lubigi-Masanafu-24h'!D36,'28.07 Lubigi-Masanafu'!D36)</f>
        <v>17.857142857142858</v>
      </c>
      <c r="E36" s="49">
        <f>AVERAGE('22.07 Lubigi-Masanafu'!E36,'23.07 Lubigi-Masanafu'!E36,'24.07 Lubigi-Masanafu'!E36,'25.07 Lubigi-Masanafu'!E36,'26.07 Lubigi-Masanafu-24h'!E36,'27.07 Lubigi-Masanafu-24h'!E36,'28.07 Lubigi-Masanafu'!E36)</f>
        <v>8.7142857142857135</v>
      </c>
      <c r="F36" s="49">
        <f>AVERAGE('22.07 Lubigi-Masanafu'!F36,'23.07 Lubigi-Masanafu'!F36,'24.07 Lubigi-Masanafu'!F36,'25.07 Lubigi-Masanafu'!F36,'26.07 Lubigi-Masanafu-24h'!F36,'27.07 Lubigi-Masanafu-24h'!F36,'28.07 Lubigi-Masanafu'!F36)</f>
        <v>17.714285714285715</v>
      </c>
      <c r="G36" s="49">
        <f>AVERAGE('22.07 Lubigi-Masanafu'!G36,'23.07 Lubigi-Masanafu'!G36,'24.07 Lubigi-Masanafu'!G36,'25.07 Lubigi-Masanafu'!G36,'26.07 Lubigi-Masanafu-24h'!G36,'27.07 Lubigi-Masanafu-24h'!G36,'28.07 Lubigi-Masanafu'!G36)</f>
        <v>1.2857142857142858</v>
      </c>
      <c r="H36" s="49">
        <f>AVERAGE('22.07 Lubigi-Masanafu'!H36,'23.07 Lubigi-Masanafu'!H36,'24.07 Lubigi-Masanafu'!H36,'25.07 Lubigi-Masanafu'!H36,'26.07 Lubigi-Masanafu-24h'!H36,'27.07 Lubigi-Masanafu-24h'!H36,'28.07 Lubigi-Masanafu'!H36)</f>
        <v>0.2857142857142857</v>
      </c>
      <c r="I36" s="49">
        <f>AVERAGE('22.07 Lubigi-Masanafu'!I36,'23.07 Lubigi-Masanafu'!I36,'24.07 Lubigi-Masanafu'!I36,'25.07 Lubigi-Masanafu'!I36,'26.07 Lubigi-Masanafu-24h'!I36,'27.07 Lubigi-Masanafu-24h'!I36,'28.07 Lubigi-Masanafu'!I36)</f>
        <v>8.5714285714285712</v>
      </c>
      <c r="J36" s="49">
        <f>AVERAGE('22.07 Lubigi-Masanafu'!J36,'23.07 Lubigi-Masanafu'!J36,'24.07 Lubigi-Masanafu'!J36,'25.07 Lubigi-Masanafu'!J36,'26.07 Lubigi-Masanafu-24h'!J36,'27.07 Lubigi-Masanafu-24h'!J36,'28.07 Lubigi-Masanafu'!J36)</f>
        <v>9.2857142857142865</v>
      </c>
      <c r="K36" s="49">
        <f>AVERAGE('22.07 Lubigi-Masanafu'!K36,'23.07 Lubigi-Masanafu'!K36,'24.07 Lubigi-Masanafu'!K36,'25.07 Lubigi-Masanafu'!K36,'26.07 Lubigi-Masanafu-24h'!K36,'27.07 Lubigi-Masanafu-24h'!K36,'28.07 Lubigi-Masanafu'!K36)</f>
        <v>5.8571428571428568</v>
      </c>
      <c r="L36" s="49">
        <f>AVERAGE('22.07 Lubigi-Masanafu'!L36,'23.07 Lubigi-Masanafu'!L36,'24.07 Lubigi-Masanafu'!L36,'25.07 Lubigi-Masanafu'!L36,'26.07 Lubigi-Masanafu-24h'!L36,'27.07 Lubigi-Masanafu-24h'!L36,'28.07 Lubigi-Masanafu'!L36)</f>
        <v>5.4285714285714288</v>
      </c>
      <c r="M36" s="49">
        <f>AVERAGE('22.07 Lubigi-Masanafu'!M36,'23.07 Lubigi-Masanafu'!M36,'24.07 Lubigi-Masanafu'!M36,'25.07 Lubigi-Masanafu'!M36,'26.07 Lubigi-Masanafu-24h'!M36,'27.07 Lubigi-Masanafu-24h'!M36,'28.07 Lubigi-Masanafu'!M36)</f>
        <v>124.42857142857143</v>
      </c>
      <c r="N36" s="49">
        <f>AVERAGE('22.07 Lubigi-Masanafu'!N36,'23.07 Lubigi-Masanafu'!N36,'24.07 Lubigi-Masanafu'!N36,'25.07 Lubigi-Masanafu'!N36,'26.07 Lubigi-Masanafu-24h'!N36,'27.07 Lubigi-Masanafu-24h'!N36,'28.07 Lubigi-Masanafu'!N36)</f>
        <v>0.14285714285714285</v>
      </c>
      <c r="O36" s="15">
        <f t="shared" si="0"/>
        <v>139.57142857142858</v>
      </c>
      <c r="P36" s="15">
        <f t="shared" si="1"/>
        <v>264.00000000000006</v>
      </c>
      <c r="R36" s="51" t="s">
        <v>92</v>
      </c>
      <c r="S36" s="52">
        <f t="shared" ref="S36:AF36" si="28">MAX(S19:S21)</f>
        <v>350.42857142857144</v>
      </c>
      <c r="T36" s="52">
        <f t="shared" si="28"/>
        <v>83</v>
      </c>
      <c r="U36" s="52">
        <f t="shared" si="28"/>
        <v>60.142857142857146</v>
      </c>
      <c r="V36" s="52">
        <f t="shared" si="28"/>
        <v>115.28571428571429</v>
      </c>
      <c r="W36" s="52">
        <f t="shared" si="28"/>
        <v>13.142857142857142</v>
      </c>
      <c r="X36" s="52">
        <f t="shared" si="28"/>
        <v>3.2857142857142856</v>
      </c>
      <c r="Y36" s="52">
        <f t="shared" si="28"/>
        <v>62.857142857142861</v>
      </c>
      <c r="Z36" s="52">
        <f t="shared" si="28"/>
        <v>52</v>
      </c>
      <c r="AA36" s="52">
        <f t="shared" si="28"/>
        <v>26.571428571428569</v>
      </c>
      <c r="AB36" s="52">
        <f t="shared" si="28"/>
        <v>23.285714285714285</v>
      </c>
      <c r="AC36" s="52">
        <f t="shared" si="28"/>
        <v>576.28571428571422</v>
      </c>
      <c r="AD36" s="52">
        <f t="shared" si="28"/>
        <v>0</v>
      </c>
      <c r="AE36" s="40">
        <f t="shared" si="28"/>
        <v>765.71428571428578</v>
      </c>
      <c r="AF36" s="40">
        <f t="shared" si="28"/>
        <v>1329.4285714285716</v>
      </c>
    </row>
    <row r="37" spans="2:32" ht="23.1" customHeight="1" x14ac:dyDescent="0.25">
      <c r="B37" s="23" t="s">
        <v>64</v>
      </c>
      <c r="C37" s="49">
        <f>AVERAGE('22.07 Lubigi-Masanafu'!C37,'23.07 Lubigi-Masanafu'!C37,'24.07 Lubigi-Masanafu'!C37,'25.07 Lubigi-Masanafu'!C37,'26.07 Lubigi-Masanafu-24h'!C37,'27.07 Lubigi-Masanafu-24h'!C37,'28.07 Lubigi-Masanafu'!C37)</f>
        <v>66.142857142857139</v>
      </c>
      <c r="D37" s="49">
        <f>AVERAGE('22.07 Lubigi-Masanafu'!D37,'23.07 Lubigi-Masanafu'!D37,'24.07 Lubigi-Masanafu'!D37,'25.07 Lubigi-Masanafu'!D37,'26.07 Lubigi-Masanafu-24h'!D37,'27.07 Lubigi-Masanafu-24h'!D37,'28.07 Lubigi-Masanafu'!D37)</f>
        <v>14.142857142857142</v>
      </c>
      <c r="E37" s="49">
        <f>AVERAGE('22.07 Lubigi-Masanafu'!E37,'23.07 Lubigi-Masanafu'!E37,'24.07 Lubigi-Masanafu'!E37,'25.07 Lubigi-Masanafu'!E37,'26.07 Lubigi-Masanafu-24h'!E37,'27.07 Lubigi-Masanafu-24h'!E37,'28.07 Lubigi-Masanafu'!E37)</f>
        <v>11</v>
      </c>
      <c r="F37" s="49">
        <f>AVERAGE('22.07 Lubigi-Masanafu'!F37,'23.07 Lubigi-Masanafu'!F37,'24.07 Lubigi-Masanafu'!F37,'25.07 Lubigi-Masanafu'!F37,'26.07 Lubigi-Masanafu-24h'!F37,'27.07 Lubigi-Masanafu-24h'!F37,'28.07 Lubigi-Masanafu'!F37)</f>
        <v>17.428571428571427</v>
      </c>
      <c r="G37" s="49">
        <f>AVERAGE('22.07 Lubigi-Masanafu'!G37,'23.07 Lubigi-Masanafu'!G37,'24.07 Lubigi-Masanafu'!G37,'25.07 Lubigi-Masanafu'!G37,'26.07 Lubigi-Masanafu-24h'!G37,'27.07 Lubigi-Masanafu-24h'!G37,'28.07 Lubigi-Masanafu'!G37)</f>
        <v>0.8571428571428571</v>
      </c>
      <c r="H37" s="49">
        <f>AVERAGE('22.07 Lubigi-Masanafu'!H37,'23.07 Lubigi-Masanafu'!H37,'24.07 Lubigi-Masanafu'!H37,'25.07 Lubigi-Masanafu'!H37,'26.07 Lubigi-Masanafu-24h'!H37,'27.07 Lubigi-Masanafu-24h'!H37,'28.07 Lubigi-Masanafu'!H37)</f>
        <v>0.14285714285714285</v>
      </c>
      <c r="I37" s="49">
        <f>AVERAGE('22.07 Lubigi-Masanafu'!I37,'23.07 Lubigi-Masanafu'!I37,'24.07 Lubigi-Masanafu'!I37,'25.07 Lubigi-Masanafu'!I37,'26.07 Lubigi-Masanafu-24h'!I37,'27.07 Lubigi-Masanafu-24h'!I37,'28.07 Lubigi-Masanafu'!I37)</f>
        <v>12.285714285714286</v>
      </c>
      <c r="J37" s="49">
        <f>AVERAGE('22.07 Lubigi-Masanafu'!J37,'23.07 Lubigi-Masanafu'!J37,'24.07 Lubigi-Masanafu'!J37,'25.07 Lubigi-Masanafu'!J37,'26.07 Lubigi-Masanafu-24h'!J37,'27.07 Lubigi-Masanafu-24h'!J37,'28.07 Lubigi-Masanafu'!J37)</f>
        <v>9</v>
      </c>
      <c r="K37" s="49">
        <f>AVERAGE('22.07 Lubigi-Masanafu'!K37,'23.07 Lubigi-Masanafu'!K37,'24.07 Lubigi-Masanafu'!K37,'25.07 Lubigi-Masanafu'!K37,'26.07 Lubigi-Masanafu-24h'!K37,'27.07 Lubigi-Masanafu-24h'!K37,'28.07 Lubigi-Masanafu'!K37)</f>
        <v>5.8571428571428568</v>
      </c>
      <c r="L37" s="49">
        <f>AVERAGE('22.07 Lubigi-Masanafu'!L37,'23.07 Lubigi-Masanafu'!L37,'24.07 Lubigi-Masanafu'!L37,'25.07 Lubigi-Masanafu'!L37,'26.07 Lubigi-Masanafu-24h'!L37,'27.07 Lubigi-Masanafu-24h'!L37,'28.07 Lubigi-Masanafu'!L37)</f>
        <v>6</v>
      </c>
      <c r="M37" s="49">
        <f>AVERAGE('22.07 Lubigi-Masanafu'!M37,'23.07 Lubigi-Masanafu'!M37,'24.07 Lubigi-Masanafu'!M37,'25.07 Lubigi-Masanafu'!M37,'26.07 Lubigi-Masanafu-24h'!M37,'27.07 Lubigi-Masanafu-24h'!M37,'28.07 Lubigi-Masanafu'!M37)</f>
        <v>117.71428571428571</v>
      </c>
      <c r="N37" s="49">
        <f>AVERAGE('22.07 Lubigi-Masanafu'!N37,'23.07 Lubigi-Masanafu'!N37,'24.07 Lubigi-Masanafu'!N37,'25.07 Lubigi-Masanafu'!N37,'26.07 Lubigi-Masanafu-24h'!N37,'27.07 Lubigi-Masanafu-24h'!N37,'28.07 Lubigi-Masanafu'!N37)</f>
        <v>0</v>
      </c>
      <c r="O37" s="15">
        <f t="shared" si="0"/>
        <v>142.85714285714286</v>
      </c>
      <c r="P37" s="15">
        <f t="shared" si="1"/>
        <v>260.57142857142856</v>
      </c>
      <c r="R37" s="37" t="s">
        <v>85</v>
      </c>
      <c r="S37" s="35">
        <f t="shared" ref="S37:AF37" si="29">SUM(S10:S12)</f>
        <v>602.28571428571422</v>
      </c>
      <c r="T37" s="16">
        <f t="shared" si="29"/>
        <v>140.71428571428572</v>
      </c>
      <c r="U37" s="16">
        <f t="shared" si="29"/>
        <v>110</v>
      </c>
      <c r="V37" s="16">
        <f t="shared" si="29"/>
        <v>256.71428571428572</v>
      </c>
      <c r="W37" s="16">
        <f t="shared" si="29"/>
        <v>23.857142857142858</v>
      </c>
      <c r="X37" s="16">
        <f t="shared" si="29"/>
        <v>3</v>
      </c>
      <c r="Y37" s="16">
        <f t="shared" si="29"/>
        <v>119.28571428571429</v>
      </c>
      <c r="Z37" s="16">
        <f t="shared" si="29"/>
        <v>73.714285714285708</v>
      </c>
      <c r="AA37" s="16">
        <f t="shared" si="29"/>
        <v>55.285714285714292</v>
      </c>
      <c r="AB37" s="16">
        <f t="shared" si="29"/>
        <v>45.142857142857139</v>
      </c>
      <c r="AC37" s="16">
        <f t="shared" si="29"/>
        <v>1412.4285714285713</v>
      </c>
      <c r="AD37" s="16">
        <f t="shared" si="29"/>
        <v>0.2857142857142857</v>
      </c>
      <c r="AE37" s="32">
        <f t="shared" si="29"/>
        <v>1430.2857142857142</v>
      </c>
      <c r="AF37" s="32">
        <f t="shared" si="29"/>
        <v>2842.7142857142853</v>
      </c>
    </row>
    <row r="38" spans="2:32" ht="23.1" customHeight="1" x14ac:dyDescent="0.25">
      <c r="B38" s="24" t="s">
        <v>65</v>
      </c>
      <c r="C38" s="49">
        <f>AVERAGE('22.07 Lubigi-Masanafu'!C38,'23.07 Lubigi-Masanafu'!C38,'24.07 Lubigi-Masanafu'!C38,'25.07 Lubigi-Masanafu'!C38,'26.07 Lubigi-Masanafu-24h'!C38,'27.07 Lubigi-Masanafu-24h'!C38,'28.07 Lubigi-Masanafu'!C38)</f>
        <v>53.142857142857146</v>
      </c>
      <c r="D38" s="49">
        <f>AVERAGE('22.07 Lubigi-Masanafu'!D38,'23.07 Lubigi-Masanafu'!D38,'24.07 Lubigi-Masanafu'!D38,'25.07 Lubigi-Masanafu'!D38,'26.07 Lubigi-Masanafu-24h'!D38,'27.07 Lubigi-Masanafu-24h'!D38,'28.07 Lubigi-Masanafu'!D38)</f>
        <v>13</v>
      </c>
      <c r="E38" s="49">
        <f>AVERAGE('22.07 Lubigi-Masanafu'!E38,'23.07 Lubigi-Masanafu'!E38,'24.07 Lubigi-Masanafu'!E38,'25.07 Lubigi-Masanafu'!E38,'26.07 Lubigi-Masanafu-24h'!E38,'27.07 Lubigi-Masanafu-24h'!E38,'28.07 Lubigi-Masanafu'!E38)</f>
        <v>10</v>
      </c>
      <c r="F38" s="49">
        <f>AVERAGE('22.07 Lubigi-Masanafu'!F38,'23.07 Lubigi-Masanafu'!F38,'24.07 Lubigi-Masanafu'!F38,'25.07 Lubigi-Masanafu'!F38,'26.07 Lubigi-Masanafu-24h'!F38,'27.07 Lubigi-Masanafu-24h'!F38,'28.07 Lubigi-Masanafu'!F38)</f>
        <v>17.571428571428573</v>
      </c>
      <c r="G38" s="49">
        <f>AVERAGE('22.07 Lubigi-Masanafu'!G38,'23.07 Lubigi-Masanafu'!G38,'24.07 Lubigi-Masanafu'!G38,'25.07 Lubigi-Masanafu'!G38,'26.07 Lubigi-Masanafu-24h'!G38,'27.07 Lubigi-Masanafu-24h'!G38,'28.07 Lubigi-Masanafu'!G38)</f>
        <v>0.7142857142857143</v>
      </c>
      <c r="H38" s="49">
        <f>AVERAGE('22.07 Lubigi-Masanafu'!H38,'23.07 Lubigi-Masanafu'!H38,'24.07 Lubigi-Masanafu'!H38,'25.07 Lubigi-Masanafu'!H38,'26.07 Lubigi-Masanafu-24h'!H38,'27.07 Lubigi-Masanafu-24h'!H38,'28.07 Lubigi-Masanafu'!H38)</f>
        <v>0</v>
      </c>
      <c r="I38" s="49">
        <f>AVERAGE('22.07 Lubigi-Masanafu'!I38,'23.07 Lubigi-Masanafu'!I38,'24.07 Lubigi-Masanafu'!I38,'25.07 Lubigi-Masanafu'!I38,'26.07 Lubigi-Masanafu-24h'!I38,'27.07 Lubigi-Masanafu-24h'!I38,'28.07 Lubigi-Masanafu'!I38)</f>
        <v>10.142857142857142</v>
      </c>
      <c r="J38" s="49">
        <f>AVERAGE('22.07 Lubigi-Masanafu'!J38,'23.07 Lubigi-Masanafu'!J38,'24.07 Lubigi-Masanafu'!J38,'25.07 Lubigi-Masanafu'!J38,'26.07 Lubigi-Masanafu-24h'!J38,'27.07 Lubigi-Masanafu-24h'!J38,'28.07 Lubigi-Masanafu'!J38)</f>
        <v>9</v>
      </c>
      <c r="K38" s="49">
        <f>AVERAGE('22.07 Lubigi-Masanafu'!K38,'23.07 Lubigi-Masanafu'!K38,'24.07 Lubigi-Masanafu'!K38,'25.07 Lubigi-Masanafu'!K38,'26.07 Lubigi-Masanafu-24h'!K38,'27.07 Lubigi-Masanafu-24h'!K38,'28.07 Lubigi-Masanafu'!K38)</f>
        <v>6.5714285714285712</v>
      </c>
      <c r="L38" s="49">
        <f>AVERAGE('22.07 Lubigi-Masanafu'!L38,'23.07 Lubigi-Masanafu'!L38,'24.07 Lubigi-Masanafu'!L38,'25.07 Lubigi-Masanafu'!L38,'26.07 Lubigi-Masanafu-24h'!L38,'27.07 Lubigi-Masanafu-24h'!L38,'28.07 Lubigi-Masanafu'!L38)</f>
        <v>3.2857142857142856</v>
      </c>
      <c r="M38" s="49">
        <f>AVERAGE('22.07 Lubigi-Masanafu'!M38,'23.07 Lubigi-Masanafu'!M38,'24.07 Lubigi-Masanafu'!M38,'25.07 Lubigi-Masanafu'!M38,'26.07 Lubigi-Masanafu-24h'!M38,'27.07 Lubigi-Masanafu-24h'!M38,'28.07 Lubigi-Masanafu'!M38)</f>
        <v>123.28571428571429</v>
      </c>
      <c r="N38" s="49">
        <f>AVERAGE('22.07 Lubigi-Masanafu'!N38,'23.07 Lubigi-Masanafu'!N38,'24.07 Lubigi-Masanafu'!N38,'25.07 Lubigi-Masanafu'!N38,'26.07 Lubigi-Masanafu-24h'!N38,'27.07 Lubigi-Masanafu-24h'!N38,'28.07 Lubigi-Masanafu'!N38)</f>
        <v>0</v>
      </c>
      <c r="O38" s="15">
        <f t="shared" si="0"/>
        <v>123.42857142857142</v>
      </c>
      <c r="P38" s="15">
        <f t="shared" si="1"/>
        <v>246.71428571428572</v>
      </c>
      <c r="R38" s="28" t="s">
        <v>86</v>
      </c>
      <c r="S38" s="16">
        <f t="shared" ref="S38:AF38" si="30">SUM(S13:S18)</f>
        <v>1501.1428571428571</v>
      </c>
      <c r="T38" s="16">
        <f t="shared" si="30"/>
        <v>386.14285714285717</v>
      </c>
      <c r="U38" s="16">
        <f t="shared" si="30"/>
        <v>269.57142857142856</v>
      </c>
      <c r="V38" s="16">
        <f t="shared" si="30"/>
        <v>482.14285714285717</v>
      </c>
      <c r="W38" s="16">
        <f t="shared" si="30"/>
        <v>46.285714285714278</v>
      </c>
      <c r="X38" s="16">
        <f t="shared" si="30"/>
        <v>9.1428571428571423</v>
      </c>
      <c r="Y38" s="16">
        <f t="shared" si="30"/>
        <v>257.42857142857139</v>
      </c>
      <c r="Z38" s="16">
        <f t="shared" si="30"/>
        <v>250.85714285714283</v>
      </c>
      <c r="AA38" s="16">
        <f t="shared" si="30"/>
        <v>134</v>
      </c>
      <c r="AB38" s="16">
        <f t="shared" si="30"/>
        <v>122.85714285714286</v>
      </c>
      <c r="AC38" s="16">
        <f t="shared" si="30"/>
        <v>3088.8571428571427</v>
      </c>
      <c r="AD38" s="16">
        <f t="shared" si="30"/>
        <v>1</v>
      </c>
      <c r="AE38" s="32">
        <f t="shared" si="30"/>
        <v>3460.5714285714284</v>
      </c>
      <c r="AF38" s="32">
        <f t="shared" si="30"/>
        <v>6549.4285714285716</v>
      </c>
    </row>
    <row r="39" spans="2:32" ht="23.1" customHeight="1" x14ac:dyDescent="0.25">
      <c r="B39" s="24" t="s">
        <v>66</v>
      </c>
      <c r="C39" s="49">
        <f>AVERAGE('22.07 Lubigi-Masanafu'!C39,'23.07 Lubigi-Masanafu'!C39,'24.07 Lubigi-Masanafu'!C39,'25.07 Lubigi-Masanafu'!C39,'26.07 Lubigi-Masanafu-24h'!C39,'27.07 Lubigi-Masanafu-24h'!C39,'28.07 Lubigi-Masanafu'!C39)</f>
        <v>56.571428571428569</v>
      </c>
      <c r="D39" s="49">
        <f>AVERAGE('22.07 Lubigi-Masanafu'!D39,'23.07 Lubigi-Masanafu'!D39,'24.07 Lubigi-Masanafu'!D39,'25.07 Lubigi-Masanafu'!D39,'26.07 Lubigi-Masanafu-24h'!D39,'27.07 Lubigi-Masanafu-24h'!D39,'28.07 Lubigi-Masanafu'!D39)</f>
        <v>13.142857142857142</v>
      </c>
      <c r="E39" s="49">
        <f>AVERAGE('22.07 Lubigi-Masanafu'!E39,'23.07 Lubigi-Masanafu'!E39,'24.07 Lubigi-Masanafu'!E39,'25.07 Lubigi-Masanafu'!E39,'26.07 Lubigi-Masanafu-24h'!E39,'27.07 Lubigi-Masanafu-24h'!E39,'28.07 Lubigi-Masanafu'!E39)</f>
        <v>12.714285714285714</v>
      </c>
      <c r="F39" s="49">
        <f>AVERAGE('22.07 Lubigi-Masanafu'!F39,'23.07 Lubigi-Masanafu'!F39,'24.07 Lubigi-Masanafu'!F39,'25.07 Lubigi-Masanafu'!F39,'26.07 Lubigi-Masanafu-24h'!F39,'27.07 Lubigi-Masanafu-24h'!F39,'28.07 Lubigi-Masanafu'!F39)</f>
        <v>16.714285714285715</v>
      </c>
      <c r="G39" s="49">
        <f>AVERAGE('22.07 Lubigi-Masanafu'!G39,'23.07 Lubigi-Masanafu'!G39,'24.07 Lubigi-Masanafu'!G39,'25.07 Lubigi-Masanafu'!G39,'26.07 Lubigi-Masanafu-24h'!G39,'27.07 Lubigi-Masanafu-24h'!G39,'28.07 Lubigi-Masanafu'!G39)</f>
        <v>0.42857142857142855</v>
      </c>
      <c r="H39" s="49">
        <f>AVERAGE('22.07 Lubigi-Masanafu'!H39,'23.07 Lubigi-Masanafu'!H39,'24.07 Lubigi-Masanafu'!H39,'25.07 Lubigi-Masanafu'!H39,'26.07 Lubigi-Masanafu-24h'!H39,'27.07 Lubigi-Masanafu-24h'!H39,'28.07 Lubigi-Masanafu'!H39)</f>
        <v>0</v>
      </c>
      <c r="I39" s="49">
        <f>AVERAGE('22.07 Lubigi-Masanafu'!I39,'23.07 Lubigi-Masanafu'!I39,'24.07 Lubigi-Masanafu'!I39,'25.07 Lubigi-Masanafu'!I39,'26.07 Lubigi-Masanafu-24h'!I39,'27.07 Lubigi-Masanafu-24h'!I39,'28.07 Lubigi-Masanafu'!I39)</f>
        <v>10.714285714285714</v>
      </c>
      <c r="J39" s="49">
        <f>AVERAGE('22.07 Lubigi-Masanafu'!J39,'23.07 Lubigi-Masanafu'!J39,'24.07 Lubigi-Masanafu'!J39,'25.07 Lubigi-Masanafu'!J39,'26.07 Lubigi-Masanafu-24h'!J39,'27.07 Lubigi-Masanafu-24h'!J39,'28.07 Lubigi-Masanafu'!J39)</f>
        <v>9.8571428571428577</v>
      </c>
      <c r="K39" s="49">
        <f>AVERAGE('22.07 Lubigi-Masanafu'!K39,'23.07 Lubigi-Masanafu'!K39,'24.07 Lubigi-Masanafu'!K39,'25.07 Lubigi-Masanafu'!K39,'26.07 Lubigi-Masanafu-24h'!K39,'27.07 Lubigi-Masanafu-24h'!K39,'28.07 Lubigi-Masanafu'!K39)</f>
        <v>6.5714285714285712</v>
      </c>
      <c r="L39" s="49">
        <f>AVERAGE('22.07 Lubigi-Masanafu'!L39,'23.07 Lubigi-Masanafu'!L39,'24.07 Lubigi-Masanafu'!L39,'25.07 Lubigi-Masanafu'!L39,'26.07 Lubigi-Masanafu-24h'!L39,'27.07 Lubigi-Masanafu-24h'!L39,'28.07 Lubigi-Masanafu'!L39)</f>
        <v>4.2857142857142856</v>
      </c>
      <c r="M39" s="49">
        <f>AVERAGE('22.07 Lubigi-Masanafu'!M39,'23.07 Lubigi-Masanafu'!M39,'24.07 Lubigi-Masanafu'!M39,'25.07 Lubigi-Masanafu'!M39,'26.07 Lubigi-Masanafu-24h'!M39,'27.07 Lubigi-Masanafu-24h'!M39,'28.07 Lubigi-Masanafu'!M39)</f>
        <v>122</v>
      </c>
      <c r="N39" s="49">
        <f>AVERAGE('22.07 Lubigi-Masanafu'!N39,'23.07 Lubigi-Masanafu'!N39,'24.07 Lubigi-Masanafu'!N39,'25.07 Lubigi-Masanafu'!N39,'26.07 Lubigi-Masanafu-24h'!N39,'27.07 Lubigi-Masanafu-24h'!N39,'28.07 Lubigi-Masanafu'!N39)</f>
        <v>0</v>
      </c>
      <c r="O39" s="15">
        <f t="shared" si="0"/>
        <v>131</v>
      </c>
      <c r="P39" s="15">
        <f t="shared" si="1"/>
        <v>253</v>
      </c>
      <c r="R39" s="29" t="s">
        <v>87</v>
      </c>
      <c r="S39" s="16">
        <f t="shared" ref="S39:AF39" si="31">SUM(S19:S21)</f>
        <v>960.14285714285711</v>
      </c>
      <c r="T39" s="16">
        <f t="shared" si="31"/>
        <v>237.14285714285714</v>
      </c>
      <c r="U39" s="16">
        <f t="shared" si="31"/>
        <v>164.71428571428572</v>
      </c>
      <c r="V39" s="16">
        <f t="shared" si="31"/>
        <v>307.14285714285717</v>
      </c>
      <c r="W39" s="16">
        <f t="shared" si="31"/>
        <v>23.428571428571427</v>
      </c>
      <c r="X39" s="16">
        <f t="shared" si="31"/>
        <v>7.5714285714285712</v>
      </c>
      <c r="Y39" s="16">
        <f t="shared" si="31"/>
        <v>163.71428571428572</v>
      </c>
      <c r="Z39" s="16">
        <f t="shared" si="31"/>
        <v>137.85714285714286</v>
      </c>
      <c r="AA39" s="16">
        <f t="shared" si="31"/>
        <v>70.571428571428569</v>
      </c>
      <c r="AB39" s="16">
        <f t="shared" si="31"/>
        <v>63.428571428571423</v>
      </c>
      <c r="AC39" s="16">
        <f t="shared" si="31"/>
        <v>1616.2857142857142</v>
      </c>
      <c r="AD39" s="16">
        <f t="shared" si="31"/>
        <v>0</v>
      </c>
      <c r="AE39" s="32">
        <f t="shared" si="31"/>
        <v>2135.7142857142858</v>
      </c>
      <c r="AF39" s="32">
        <f t="shared" si="31"/>
        <v>3752</v>
      </c>
    </row>
    <row r="40" spans="2:32" ht="23.1" customHeight="1" x14ac:dyDescent="0.25">
      <c r="B40" s="24" t="s">
        <v>67</v>
      </c>
      <c r="C40" s="49">
        <f>AVERAGE('22.07 Lubigi-Masanafu'!C40,'23.07 Lubigi-Masanafu'!C40,'24.07 Lubigi-Masanafu'!C40,'25.07 Lubigi-Masanafu'!C40,'26.07 Lubigi-Masanafu-24h'!C40,'27.07 Lubigi-Masanafu-24h'!C40,'28.07 Lubigi-Masanafu'!C40)</f>
        <v>50.571428571428569</v>
      </c>
      <c r="D40" s="49">
        <f>AVERAGE('22.07 Lubigi-Masanafu'!D40,'23.07 Lubigi-Masanafu'!D40,'24.07 Lubigi-Masanafu'!D40,'25.07 Lubigi-Masanafu'!D40,'26.07 Lubigi-Masanafu-24h'!D40,'27.07 Lubigi-Masanafu-24h'!D40,'28.07 Lubigi-Masanafu'!D40)</f>
        <v>14.142857142857142</v>
      </c>
      <c r="E40" s="49">
        <f>AVERAGE('22.07 Lubigi-Masanafu'!E40,'23.07 Lubigi-Masanafu'!E40,'24.07 Lubigi-Masanafu'!E40,'25.07 Lubigi-Masanafu'!E40,'26.07 Lubigi-Masanafu-24h'!E40,'27.07 Lubigi-Masanafu-24h'!E40,'28.07 Lubigi-Masanafu'!E40)</f>
        <v>12.857142857142858</v>
      </c>
      <c r="F40" s="49">
        <f>AVERAGE('22.07 Lubigi-Masanafu'!F40,'23.07 Lubigi-Masanafu'!F40,'24.07 Lubigi-Masanafu'!F40,'25.07 Lubigi-Masanafu'!F40,'26.07 Lubigi-Masanafu-24h'!F40,'27.07 Lubigi-Masanafu-24h'!F40,'28.07 Lubigi-Masanafu'!F40)</f>
        <v>15.571428571428571</v>
      </c>
      <c r="G40" s="49">
        <f>AVERAGE('22.07 Lubigi-Masanafu'!G40,'23.07 Lubigi-Masanafu'!G40,'24.07 Lubigi-Masanafu'!G40,'25.07 Lubigi-Masanafu'!G40,'26.07 Lubigi-Masanafu-24h'!G40,'27.07 Lubigi-Masanafu-24h'!G40,'28.07 Lubigi-Masanafu'!G40)</f>
        <v>0.7142857142857143</v>
      </c>
      <c r="H40" s="49">
        <f>AVERAGE('22.07 Lubigi-Masanafu'!H40,'23.07 Lubigi-Masanafu'!H40,'24.07 Lubigi-Masanafu'!H40,'25.07 Lubigi-Masanafu'!H40,'26.07 Lubigi-Masanafu-24h'!H40,'27.07 Lubigi-Masanafu-24h'!H40,'28.07 Lubigi-Masanafu'!H40)</f>
        <v>0.14285714285714285</v>
      </c>
      <c r="I40" s="49">
        <f>AVERAGE('22.07 Lubigi-Masanafu'!I40,'23.07 Lubigi-Masanafu'!I40,'24.07 Lubigi-Masanafu'!I40,'25.07 Lubigi-Masanafu'!I40,'26.07 Lubigi-Masanafu-24h'!I40,'27.07 Lubigi-Masanafu-24h'!I40,'28.07 Lubigi-Masanafu'!I40)</f>
        <v>11.857142857142858</v>
      </c>
      <c r="J40" s="49">
        <f>AVERAGE('22.07 Lubigi-Masanafu'!J40,'23.07 Lubigi-Masanafu'!J40,'24.07 Lubigi-Masanafu'!J40,'25.07 Lubigi-Masanafu'!J40,'26.07 Lubigi-Masanafu-24h'!J40,'27.07 Lubigi-Masanafu-24h'!J40,'28.07 Lubigi-Masanafu'!J40)</f>
        <v>12.714285714285714</v>
      </c>
      <c r="K40" s="49">
        <f>AVERAGE('22.07 Lubigi-Masanafu'!K40,'23.07 Lubigi-Masanafu'!K40,'24.07 Lubigi-Masanafu'!K40,'25.07 Lubigi-Masanafu'!K40,'26.07 Lubigi-Masanafu-24h'!K40,'27.07 Lubigi-Masanafu-24h'!K40,'28.07 Lubigi-Masanafu'!K40)</f>
        <v>5</v>
      </c>
      <c r="L40" s="49">
        <f>AVERAGE('22.07 Lubigi-Masanafu'!L40,'23.07 Lubigi-Masanafu'!L40,'24.07 Lubigi-Masanafu'!L40,'25.07 Lubigi-Masanafu'!L40,'26.07 Lubigi-Masanafu-24h'!L40,'27.07 Lubigi-Masanafu-24h'!L40,'28.07 Lubigi-Masanafu'!L40)</f>
        <v>7</v>
      </c>
      <c r="M40" s="49">
        <f>AVERAGE('22.07 Lubigi-Masanafu'!M40,'23.07 Lubigi-Masanafu'!M40,'24.07 Lubigi-Masanafu'!M40,'25.07 Lubigi-Masanafu'!M40,'26.07 Lubigi-Masanafu-24h'!M40,'27.07 Lubigi-Masanafu-24h'!M40,'28.07 Lubigi-Masanafu'!M40)</f>
        <v>105.85714285714286</v>
      </c>
      <c r="N40" s="49">
        <f>AVERAGE('22.07 Lubigi-Masanafu'!N40,'23.07 Lubigi-Masanafu'!N40,'24.07 Lubigi-Masanafu'!N40,'25.07 Lubigi-Masanafu'!N40,'26.07 Lubigi-Masanafu-24h'!N40,'27.07 Lubigi-Masanafu-24h'!N40,'28.07 Lubigi-Masanafu'!N40)</f>
        <v>0</v>
      </c>
      <c r="O40" s="15">
        <f t="shared" si="0"/>
        <v>130.57142857142856</v>
      </c>
      <c r="P40" s="15">
        <f t="shared" si="1"/>
        <v>236.42857142857142</v>
      </c>
      <c r="R40" s="5" t="s">
        <v>17</v>
      </c>
      <c r="S40" s="16">
        <f t="shared" ref="S40:AF40" si="32">SUM(S10:S21)</f>
        <v>3063.5714285714289</v>
      </c>
      <c r="T40" s="16">
        <f t="shared" si="32"/>
        <v>764</v>
      </c>
      <c r="U40" s="16">
        <f t="shared" si="32"/>
        <v>544.28571428571422</v>
      </c>
      <c r="V40" s="16">
        <f t="shared" si="32"/>
        <v>1046.0000000000002</v>
      </c>
      <c r="W40" s="16">
        <f t="shared" si="32"/>
        <v>93.571428571428569</v>
      </c>
      <c r="X40" s="16">
        <f t="shared" si="32"/>
        <v>19.714285714285712</v>
      </c>
      <c r="Y40" s="16">
        <f t="shared" si="32"/>
        <v>540.42857142857133</v>
      </c>
      <c r="Z40" s="16">
        <f t="shared" si="32"/>
        <v>462.42857142857139</v>
      </c>
      <c r="AA40" s="16">
        <f t="shared" si="32"/>
        <v>259.85714285714289</v>
      </c>
      <c r="AB40" s="16">
        <f t="shared" si="32"/>
        <v>231.42857142857139</v>
      </c>
      <c r="AC40" s="16">
        <f t="shared" si="32"/>
        <v>6117.5714285714275</v>
      </c>
      <c r="AD40" s="16">
        <f t="shared" si="32"/>
        <v>1.2857142857142856</v>
      </c>
      <c r="AE40" s="32">
        <f t="shared" si="32"/>
        <v>7026.5714285714294</v>
      </c>
      <c r="AF40" s="32">
        <f t="shared" si="32"/>
        <v>13144.142857142855</v>
      </c>
    </row>
    <row r="41" spans="2:32" ht="23.1" customHeight="1" x14ac:dyDescent="0.25">
      <c r="B41" s="23" t="s">
        <v>68</v>
      </c>
      <c r="C41" s="49">
        <f>AVERAGE('22.07 Lubigi-Masanafu'!C41,'23.07 Lubigi-Masanafu'!C41,'24.07 Lubigi-Masanafu'!C41,'25.07 Lubigi-Masanafu'!C41,'26.07 Lubigi-Masanafu-24h'!C41,'27.07 Lubigi-Masanafu-24h'!C41,'28.07 Lubigi-Masanafu'!C41)</f>
        <v>53.285714285714285</v>
      </c>
      <c r="D41" s="49">
        <f>AVERAGE('22.07 Lubigi-Masanafu'!D41,'23.07 Lubigi-Masanafu'!D41,'24.07 Lubigi-Masanafu'!D41,'25.07 Lubigi-Masanafu'!D41,'26.07 Lubigi-Masanafu-24h'!D41,'27.07 Lubigi-Masanafu-24h'!D41,'28.07 Lubigi-Masanafu'!D41)</f>
        <v>13.428571428571429</v>
      </c>
      <c r="E41" s="49">
        <f>AVERAGE('22.07 Lubigi-Masanafu'!E41,'23.07 Lubigi-Masanafu'!E41,'24.07 Lubigi-Masanafu'!E41,'25.07 Lubigi-Masanafu'!E41,'26.07 Lubigi-Masanafu-24h'!E41,'27.07 Lubigi-Masanafu-24h'!E41,'28.07 Lubigi-Masanafu'!E41)</f>
        <v>10.285714285714286</v>
      </c>
      <c r="F41" s="49">
        <f>AVERAGE('22.07 Lubigi-Masanafu'!F41,'23.07 Lubigi-Masanafu'!F41,'24.07 Lubigi-Masanafu'!F41,'25.07 Lubigi-Masanafu'!F41,'26.07 Lubigi-Masanafu-24h'!F41,'27.07 Lubigi-Masanafu-24h'!F41,'28.07 Lubigi-Masanafu'!F41)</f>
        <v>17.857142857142858</v>
      </c>
      <c r="G41" s="49">
        <f>AVERAGE('22.07 Lubigi-Masanafu'!G41,'23.07 Lubigi-Masanafu'!G41,'24.07 Lubigi-Masanafu'!G41,'25.07 Lubigi-Masanafu'!G41,'26.07 Lubigi-Masanafu-24h'!G41,'27.07 Lubigi-Masanafu-24h'!G41,'28.07 Lubigi-Masanafu'!G41)</f>
        <v>1</v>
      </c>
      <c r="H41" s="49">
        <f>AVERAGE('22.07 Lubigi-Masanafu'!H41,'23.07 Lubigi-Masanafu'!H41,'24.07 Lubigi-Masanafu'!H41,'25.07 Lubigi-Masanafu'!H41,'26.07 Lubigi-Masanafu-24h'!H41,'27.07 Lubigi-Masanafu-24h'!H41,'28.07 Lubigi-Masanafu'!H41)</f>
        <v>0.5714285714285714</v>
      </c>
      <c r="I41" s="49">
        <f>AVERAGE('22.07 Lubigi-Masanafu'!I41,'23.07 Lubigi-Masanafu'!I41,'24.07 Lubigi-Masanafu'!I41,'25.07 Lubigi-Masanafu'!I41,'26.07 Lubigi-Masanafu-24h'!I41,'27.07 Lubigi-Masanafu-24h'!I41,'28.07 Lubigi-Masanafu'!I41)</f>
        <v>9.4285714285714288</v>
      </c>
      <c r="J41" s="49">
        <f>AVERAGE('22.07 Lubigi-Masanafu'!J41,'23.07 Lubigi-Masanafu'!J41,'24.07 Lubigi-Masanafu'!J41,'25.07 Lubigi-Masanafu'!J41,'26.07 Lubigi-Masanafu-24h'!J41,'27.07 Lubigi-Masanafu-24h'!J41,'28.07 Lubigi-Masanafu'!J41)</f>
        <v>13.285714285714286</v>
      </c>
      <c r="K41" s="49">
        <f>AVERAGE('22.07 Lubigi-Masanafu'!K41,'23.07 Lubigi-Masanafu'!K41,'24.07 Lubigi-Masanafu'!K41,'25.07 Lubigi-Masanafu'!K41,'26.07 Lubigi-Masanafu-24h'!K41,'27.07 Lubigi-Masanafu-24h'!K41,'28.07 Lubigi-Masanafu'!K41)</f>
        <v>5</v>
      </c>
      <c r="L41" s="49">
        <f>AVERAGE('22.07 Lubigi-Masanafu'!L41,'23.07 Lubigi-Masanafu'!L41,'24.07 Lubigi-Masanafu'!L41,'25.07 Lubigi-Masanafu'!L41,'26.07 Lubigi-Masanafu-24h'!L41,'27.07 Lubigi-Masanafu-24h'!L41,'28.07 Lubigi-Masanafu'!L41)</f>
        <v>4.8571428571428568</v>
      </c>
      <c r="M41" s="49">
        <f>AVERAGE('22.07 Lubigi-Masanafu'!M41,'23.07 Lubigi-Masanafu'!M41,'24.07 Lubigi-Masanafu'!M41,'25.07 Lubigi-Masanafu'!M41,'26.07 Lubigi-Masanafu-24h'!M41,'27.07 Lubigi-Masanafu-24h'!M41,'28.07 Lubigi-Masanafu'!M41)</f>
        <v>100</v>
      </c>
      <c r="N41" s="49">
        <f>AVERAGE('22.07 Lubigi-Masanafu'!N41,'23.07 Lubigi-Masanafu'!N41,'24.07 Lubigi-Masanafu'!N41,'25.07 Lubigi-Masanafu'!N41,'26.07 Lubigi-Masanafu-24h'!N41,'27.07 Lubigi-Masanafu-24h'!N41,'28.07 Lubigi-Masanafu'!N41)</f>
        <v>0</v>
      </c>
      <c r="O41" s="15">
        <f t="shared" si="0"/>
        <v>129</v>
      </c>
      <c r="P41" s="15">
        <f t="shared" si="1"/>
        <v>229</v>
      </c>
      <c r="R41" s="5" t="s">
        <v>182</v>
      </c>
      <c r="S41" s="16">
        <f>SUM(S10:S33)</f>
        <v>5371.0714285714294</v>
      </c>
      <c r="T41" s="16">
        <f t="shared" ref="T41:AD41" si="33">SUM(T10:T33)</f>
        <v>1678.5</v>
      </c>
      <c r="U41" s="16">
        <f t="shared" si="33"/>
        <v>1417.2857142857142</v>
      </c>
      <c r="V41" s="16">
        <f t="shared" si="33"/>
        <v>2436.5</v>
      </c>
      <c r="W41" s="16">
        <f t="shared" si="33"/>
        <v>126.07142857142857</v>
      </c>
      <c r="X41" s="16">
        <f t="shared" si="33"/>
        <v>33.214285714285708</v>
      </c>
      <c r="Y41" s="16">
        <f t="shared" si="33"/>
        <v>1121.9285714285713</v>
      </c>
      <c r="Z41" s="16">
        <f t="shared" si="33"/>
        <v>1281.4285714285713</v>
      </c>
      <c r="AA41" s="16">
        <f t="shared" si="33"/>
        <v>842.85714285714289</v>
      </c>
      <c r="AB41" s="16">
        <f t="shared" si="33"/>
        <v>500.42857142857139</v>
      </c>
      <c r="AC41" s="16">
        <f t="shared" si="33"/>
        <v>9282.5714285714275</v>
      </c>
      <c r="AD41" s="16">
        <f t="shared" si="33"/>
        <v>1.2857142857142856</v>
      </c>
      <c r="AE41" s="32">
        <f>SUM(AE10:AE33)</f>
        <v>14810.571428571429</v>
      </c>
      <c r="AF41" s="32">
        <f>SUM(AF10:AF33)</f>
        <v>24093.142857142855</v>
      </c>
    </row>
    <row r="42" spans="2:32" ht="23.1" customHeight="1" x14ac:dyDescent="0.25">
      <c r="B42" s="24" t="s">
        <v>69</v>
      </c>
      <c r="C42" s="49">
        <f>AVERAGE('22.07 Lubigi-Masanafu'!C42,'23.07 Lubigi-Masanafu'!C42,'24.07 Lubigi-Masanafu'!C42,'25.07 Lubigi-Masanafu'!C42,'26.07 Lubigi-Masanafu-24h'!C42,'27.07 Lubigi-Masanafu-24h'!C42,'28.07 Lubigi-Masanafu'!C42)</f>
        <v>61.428571428571431</v>
      </c>
      <c r="D42" s="49">
        <f>AVERAGE('22.07 Lubigi-Masanafu'!D42,'23.07 Lubigi-Masanafu'!D42,'24.07 Lubigi-Masanafu'!D42,'25.07 Lubigi-Masanafu'!D42,'26.07 Lubigi-Masanafu-24h'!D42,'27.07 Lubigi-Masanafu-24h'!D42,'28.07 Lubigi-Masanafu'!D42)</f>
        <v>14.714285714285714</v>
      </c>
      <c r="E42" s="49">
        <f>AVERAGE('22.07 Lubigi-Masanafu'!E42,'23.07 Lubigi-Masanafu'!E42,'24.07 Lubigi-Masanafu'!E42,'25.07 Lubigi-Masanafu'!E42,'26.07 Lubigi-Masanafu-24h'!E42,'27.07 Lubigi-Masanafu-24h'!E42,'28.07 Lubigi-Masanafu'!E42)</f>
        <v>13</v>
      </c>
      <c r="F42" s="49">
        <f>AVERAGE('22.07 Lubigi-Masanafu'!F42,'23.07 Lubigi-Masanafu'!F42,'24.07 Lubigi-Masanafu'!F42,'25.07 Lubigi-Masanafu'!F42,'26.07 Lubigi-Masanafu-24h'!F42,'27.07 Lubigi-Masanafu-24h'!F42,'28.07 Lubigi-Masanafu'!F42)</f>
        <v>19</v>
      </c>
      <c r="G42" s="49">
        <f>AVERAGE('22.07 Lubigi-Masanafu'!G42,'23.07 Lubigi-Masanafu'!G42,'24.07 Lubigi-Masanafu'!G42,'25.07 Lubigi-Masanafu'!G42,'26.07 Lubigi-Masanafu-24h'!G42,'27.07 Lubigi-Masanafu-24h'!G42,'28.07 Lubigi-Masanafu'!G42)</f>
        <v>0.7142857142857143</v>
      </c>
      <c r="H42" s="49">
        <f>AVERAGE('22.07 Lubigi-Masanafu'!H42,'23.07 Lubigi-Masanafu'!H42,'24.07 Lubigi-Masanafu'!H42,'25.07 Lubigi-Masanafu'!H42,'26.07 Lubigi-Masanafu-24h'!H42,'27.07 Lubigi-Masanafu-24h'!H42,'28.07 Lubigi-Masanafu'!H42)</f>
        <v>0.14285714285714285</v>
      </c>
      <c r="I42" s="49">
        <f>AVERAGE('22.07 Lubigi-Masanafu'!I42,'23.07 Lubigi-Masanafu'!I42,'24.07 Lubigi-Masanafu'!I42,'25.07 Lubigi-Masanafu'!I42,'26.07 Lubigi-Masanafu-24h'!I42,'27.07 Lubigi-Masanafu-24h'!I42,'28.07 Lubigi-Masanafu'!I42)</f>
        <v>12.285714285714286</v>
      </c>
      <c r="J42" s="49">
        <f>AVERAGE('22.07 Lubigi-Masanafu'!J42,'23.07 Lubigi-Masanafu'!J42,'24.07 Lubigi-Masanafu'!J42,'25.07 Lubigi-Masanafu'!J42,'26.07 Lubigi-Masanafu-24h'!J42,'27.07 Lubigi-Masanafu-24h'!J42,'28.07 Lubigi-Masanafu'!J42)</f>
        <v>12.428571428571429</v>
      </c>
      <c r="K42" s="49">
        <f>AVERAGE('22.07 Lubigi-Masanafu'!K42,'23.07 Lubigi-Masanafu'!K42,'24.07 Lubigi-Masanafu'!K42,'25.07 Lubigi-Masanafu'!K42,'26.07 Lubigi-Masanafu-24h'!K42,'27.07 Lubigi-Masanafu-24h'!K42,'28.07 Lubigi-Masanafu'!K42)</f>
        <v>5.1428571428571432</v>
      </c>
      <c r="L42" s="49">
        <f>AVERAGE('22.07 Lubigi-Masanafu'!L42,'23.07 Lubigi-Masanafu'!L42,'24.07 Lubigi-Masanafu'!L42,'25.07 Lubigi-Masanafu'!L42,'26.07 Lubigi-Masanafu-24h'!L42,'27.07 Lubigi-Masanafu-24h'!L42,'28.07 Lubigi-Masanafu'!L42)</f>
        <v>5.8571428571428568</v>
      </c>
      <c r="M42" s="49">
        <f>AVERAGE('22.07 Lubigi-Masanafu'!M42,'23.07 Lubigi-Masanafu'!M42,'24.07 Lubigi-Masanafu'!M42,'25.07 Lubigi-Masanafu'!M42,'26.07 Lubigi-Masanafu-24h'!M42,'27.07 Lubigi-Masanafu-24h'!M42,'28.07 Lubigi-Masanafu'!M42)</f>
        <v>111.14285714285714</v>
      </c>
      <c r="N42" s="49">
        <f>AVERAGE('22.07 Lubigi-Masanafu'!N42,'23.07 Lubigi-Masanafu'!N42,'24.07 Lubigi-Masanafu'!N42,'25.07 Lubigi-Masanafu'!N42,'26.07 Lubigi-Masanafu-24h'!N42,'27.07 Lubigi-Masanafu-24h'!N42,'28.07 Lubigi-Masanafu'!N42)</f>
        <v>0</v>
      </c>
      <c r="O42" s="15">
        <f t="shared" si="0"/>
        <v>144.71428571428569</v>
      </c>
      <c r="P42" s="15">
        <f t="shared" si="1"/>
        <v>255.85714285714283</v>
      </c>
      <c r="R42" s="5" t="s">
        <v>160</v>
      </c>
      <c r="S42" s="48">
        <f>S41/S40</f>
        <v>1.7532058754954536</v>
      </c>
      <c r="T42" s="48">
        <f t="shared" ref="T42:AF42" si="34">T41/T40</f>
        <v>2.1969895287958114</v>
      </c>
      <c r="U42" s="48">
        <f t="shared" si="34"/>
        <v>2.6039370078740158</v>
      </c>
      <c r="V42" s="48">
        <f t="shared" si="34"/>
        <v>2.3293499043977048</v>
      </c>
      <c r="W42" s="48">
        <f t="shared" si="34"/>
        <v>1.3473282442748091</v>
      </c>
      <c r="X42" s="48">
        <f t="shared" si="34"/>
        <v>1.6847826086956521</v>
      </c>
      <c r="Y42" s="48">
        <f t="shared" si="34"/>
        <v>2.075997885276236</v>
      </c>
      <c r="Z42" s="48">
        <f t="shared" si="34"/>
        <v>2.7710843373493974</v>
      </c>
      <c r="AA42" s="48">
        <f t="shared" si="34"/>
        <v>3.243540406816932</v>
      </c>
      <c r="AB42" s="48">
        <f t="shared" si="34"/>
        <v>2.1623456790123461</v>
      </c>
      <c r="AC42" s="48">
        <f t="shared" si="34"/>
        <v>1.5173621651916027</v>
      </c>
      <c r="AD42" s="48">
        <f t="shared" si="34"/>
        <v>1</v>
      </c>
      <c r="AE42" s="53">
        <f t="shared" si="34"/>
        <v>2.1077949009880861</v>
      </c>
      <c r="AF42" s="53">
        <f t="shared" si="34"/>
        <v>1.8329945983545088</v>
      </c>
    </row>
    <row r="43" spans="2:32" ht="23.1" customHeight="1" x14ac:dyDescent="0.25">
      <c r="B43" s="23" t="s">
        <v>70</v>
      </c>
      <c r="C43" s="49">
        <f>AVERAGE('22.07 Lubigi-Masanafu'!C43,'23.07 Lubigi-Masanafu'!C43,'24.07 Lubigi-Masanafu'!C43,'25.07 Lubigi-Masanafu'!C43,'26.07 Lubigi-Masanafu-24h'!C43,'27.07 Lubigi-Masanafu-24h'!C43,'28.07 Lubigi-Masanafu'!C43)</f>
        <v>61</v>
      </c>
      <c r="D43" s="49">
        <f>AVERAGE('22.07 Lubigi-Masanafu'!D43,'23.07 Lubigi-Masanafu'!D43,'24.07 Lubigi-Masanafu'!D43,'25.07 Lubigi-Masanafu'!D43,'26.07 Lubigi-Masanafu-24h'!D43,'27.07 Lubigi-Masanafu-24h'!D43,'28.07 Lubigi-Masanafu'!D43)</f>
        <v>16.285714285714285</v>
      </c>
      <c r="E43" s="49">
        <f>AVERAGE('22.07 Lubigi-Masanafu'!E43,'23.07 Lubigi-Masanafu'!E43,'24.07 Lubigi-Masanafu'!E43,'25.07 Lubigi-Masanafu'!E43,'26.07 Lubigi-Masanafu-24h'!E43,'27.07 Lubigi-Masanafu-24h'!E43,'28.07 Lubigi-Masanafu'!E43)</f>
        <v>11</v>
      </c>
      <c r="F43" s="49">
        <f>AVERAGE('22.07 Lubigi-Masanafu'!F43,'23.07 Lubigi-Masanafu'!F43,'24.07 Lubigi-Masanafu'!F43,'25.07 Lubigi-Masanafu'!F43,'26.07 Lubigi-Masanafu-24h'!F43,'27.07 Lubigi-Masanafu-24h'!F43,'28.07 Lubigi-Masanafu'!F43)</f>
        <v>16.857142857142858</v>
      </c>
      <c r="G43" s="49">
        <f>AVERAGE('22.07 Lubigi-Masanafu'!G43,'23.07 Lubigi-Masanafu'!G43,'24.07 Lubigi-Masanafu'!G43,'25.07 Lubigi-Masanafu'!G43,'26.07 Lubigi-Masanafu-24h'!G43,'27.07 Lubigi-Masanafu-24h'!G43,'28.07 Lubigi-Masanafu'!G43)</f>
        <v>0.5714285714285714</v>
      </c>
      <c r="H43" s="49">
        <f>AVERAGE('22.07 Lubigi-Masanafu'!H43,'23.07 Lubigi-Masanafu'!H43,'24.07 Lubigi-Masanafu'!H43,'25.07 Lubigi-Masanafu'!H43,'26.07 Lubigi-Masanafu-24h'!H43,'27.07 Lubigi-Masanafu-24h'!H43,'28.07 Lubigi-Masanafu'!H43)</f>
        <v>0</v>
      </c>
      <c r="I43" s="49">
        <f>AVERAGE('22.07 Lubigi-Masanafu'!I43,'23.07 Lubigi-Masanafu'!I43,'24.07 Lubigi-Masanafu'!I43,'25.07 Lubigi-Masanafu'!I43,'26.07 Lubigi-Masanafu-24h'!I43,'27.07 Lubigi-Masanafu-24h'!I43,'28.07 Lubigi-Masanafu'!I43)</f>
        <v>10.285714285714286</v>
      </c>
      <c r="J43" s="49">
        <f>AVERAGE('22.07 Lubigi-Masanafu'!J43,'23.07 Lubigi-Masanafu'!J43,'24.07 Lubigi-Masanafu'!J43,'25.07 Lubigi-Masanafu'!J43,'26.07 Lubigi-Masanafu-24h'!J43,'27.07 Lubigi-Masanafu-24h'!J43,'28.07 Lubigi-Masanafu'!J43)</f>
        <v>10.571428571428571</v>
      </c>
      <c r="K43" s="49">
        <f>AVERAGE('22.07 Lubigi-Masanafu'!K43,'23.07 Lubigi-Masanafu'!K43,'24.07 Lubigi-Masanafu'!K43,'25.07 Lubigi-Masanafu'!K43,'26.07 Lubigi-Masanafu-24h'!K43,'27.07 Lubigi-Masanafu-24h'!K43,'28.07 Lubigi-Masanafu'!K43)</f>
        <v>5.1428571428571432</v>
      </c>
      <c r="L43" s="49">
        <f>AVERAGE('22.07 Lubigi-Masanafu'!L43,'23.07 Lubigi-Masanafu'!L43,'24.07 Lubigi-Masanafu'!L43,'25.07 Lubigi-Masanafu'!L43,'26.07 Lubigi-Masanafu-24h'!L43,'27.07 Lubigi-Masanafu-24h'!L43,'28.07 Lubigi-Masanafu'!L43)</f>
        <v>5.4285714285714288</v>
      </c>
      <c r="M43" s="49">
        <f>AVERAGE('22.07 Lubigi-Masanafu'!M43,'23.07 Lubigi-Masanafu'!M43,'24.07 Lubigi-Masanafu'!M43,'25.07 Lubigi-Masanafu'!M43,'26.07 Lubigi-Masanafu-24h'!M43,'27.07 Lubigi-Masanafu-24h'!M43,'28.07 Lubigi-Masanafu'!M43)</f>
        <v>93.714285714285708</v>
      </c>
      <c r="N43" s="49">
        <f>AVERAGE('22.07 Lubigi-Masanafu'!N43,'23.07 Lubigi-Masanafu'!N43,'24.07 Lubigi-Masanafu'!N43,'25.07 Lubigi-Masanafu'!N43,'26.07 Lubigi-Masanafu-24h'!N43,'27.07 Lubigi-Masanafu-24h'!N43,'28.07 Lubigi-Masanafu'!N43)</f>
        <v>0</v>
      </c>
      <c r="O43" s="15">
        <f t="shared" si="0"/>
        <v>137.14285714285714</v>
      </c>
      <c r="P43" s="15">
        <f t="shared" si="1"/>
        <v>230.85714285714283</v>
      </c>
    </row>
    <row r="44" spans="2:32" ht="23.1" customHeight="1" x14ac:dyDescent="0.25">
      <c r="B44" s="25" t="s">
        <v>71</v>
      </c>
      <c r="C44" s="49">
        <f>AVERAGE('22.07 Lubigi-Masanafu'!C44,'23.07 Lubigi-Masanafu'!C44,'24.07 Lubigi-Masanafu'!C44,'25.07 Lubigi-Masanafu'!C44,'26.07 Lubigi-Masanafu-24h'!C44,'27.07 Lubigi-Masanafu-24h'!C44,'28.07 Lubigi-Masanafu'!C44)</f>
        <v>62.857142857142854</v>
      </c>
      <c r="D44" s="49">
        <f>AVERAGE('22.07 Lubigi-Masanafu'!D44,'23.07 Lubigi-Masanafu'!D44,'24.07 Lubigi-Masanafu'!D44,'25.07 Lubigi-Masanafu'!D44,'26.07 Lubigi-Masanafu-24h'!D44,'27.07 Lubigi-Masanafu-24h'!D44,'28.07 Lubigi-Masanafu'!D44)</f>
        <v>18.571428571428573</v>
      </c>
      <c r="E44" s="49">
        <f>AVERAGE('22.07 Lubigi-Masanafu'!E44,'23.07 Lubigi-Masanafu'!E44,'24.07 Lubigi-Masanafu'!E44,'25.07 Lubigi-Masanafu'!E44,'26.07 Lubigi-Masanafu-24h'!E44,'27.07 Lubigi-Masanafu-24h'!E44,'28.07 Lubigi-Masanafu'!E44)</f>
        <v>11.571428571428571</v>
      </c>
      <c r="F44" s="49">
        <f>AVERAGE('22.07 Lubigi-Masanafu'!F44,'23.07 Lubigi-Masanafu'!F44,'24.07 Lubigi-Masanafu'!F44,'25.07 Lubigi-Masanafu'!F44,'26.07 Lubigi-Masanafu-24h'!F44,'27.07 Lubigi-Masanafu-24h'!F44,'28.07 Lubigi-Masanafu'!F44)</f>
        <v>17.428571428571427</v>
      </c>
      <c r="G44" s="49">
        <f>AVERAGE('22.07 Lubigi-Masanafu'!G44,'23.07 Lubigi-Masanafu'!G44,'24.07 Lubigi-Masanafu'!G44,'25.07 Lubigi-Masanafu'!G44,'26.07 Lubigi-Masanafu-24h'!G44,'27.07 Lubigi-Masanafu-24h'!G44,'28.07 Lubigi-Masanafu'!G44)</f>
        <v>1</v>
      </c>
      <c r="H44" s="49">
        <f>AVERAGE('22.07 Lubigi-Masanafu'!H44,'23.07 Lubigi-Masanafu'!H44,'24.07 Lubigi-Masanafu'!H44,'25.07 Lubigi-Masanafu'!H44,'26.07 Lubigi-Masanafu-24h'!H44,'27.07 Lubigi-Masanafu-24h'!H44,'28.07 Lubigi-Masanafu'!H44)</f>
        <v>0.42857142857142855</v>
      </c>
      <c r="I44" s="49">
        <f>AVERAGE('22.07 Lubigi-Masanafu'!I44,'23.07 Lubigi-Masanafu'!I44,'24.07 Lubigi-Masanafu'!I44,'25.07 Lubigi-Masanafu'!I44,'26.07 Lubigi-Masanafu-24h'!I44,'27.07 Lubigi-Masanafu-24h'!I44,'28.07 Lubigi-Masanafu'!I44)</f>
        <v>11.714285714285714</v>
      </c>
      <c r="J44" s="49">
        <f>AVERAGE('22.07 Lubigi-Masanafu'!J44,'23.07 Lubigi-Masanafu'!J44,'24.07 Lubigi-Masanafu'!J44,'25.07 Lubigi-Masanafu'!J44,'26.07 Lubigi-Masanafu-24h'!J44,'27.07 Lubigi-Masanafu-24h'!J44,'28.07 Lubigi-Masanafu'!J44)</f>
        <v>11.428571428571429</v>
      </c>
      <c r="K44" s="49">
        <f>AVERAGE('22.07 Lubigi-Masanafu'!K44,'23.07 Lubigi-Masanafu'!K44,'24.07 Lubigi-Masanafu'!K44,'25.07 Lubigi-Masanafu'!K44,'26.07 Lubigi-Masanafu-24h'!K44,'27.07 Lubigi-Masanafu-24h'!K44,'28.07 Lubigi-Masanafu'!K44)</f>
        <v>5.5714285714285712</v>
      </c>
      <c r="L44" s="49">
        <f>AVERAGE('22.07 Lubigi-Masanafu'!L44,'23.07 Lubigi-Masanafu'!L44,'24.07 Lubigi-Masanafu'!L44,'25.07 Lubigi-Masanafu'!L44,'26.07 Lubigi-Masanafu-24h'!L44,'27.07 Lubigi-Masanafu-24h'!L44,'28.07 Lubigi-Masanafu'!L44)</f>
        <v>4.4285714285714288</v>
      </c>
      <c r="M44" s="49">
        <f>AVERAGE('22.07 Lubigi-Masanafu'!M44,'23.07 Lubigi-Masanafu'!M44,'24.07 Lubigi-Masanafu'!M44,'25.07 Lubigi-Masanafu'!M44,'26.07 Lubigi-Masanafu-24h'!M44,'27.07 Lubigi-Masanafu-24h'!M44,'28.07 Lubigi-Masanafu'!M44)</f>
        <v>112.71428571428571</v>
      </c>
      <c r="N44" s="49">
        <f>AVERAGE('22.07 Lubigi-Masanafu'!N44,'23.07 Lubigi-Masanafu'!N44,'24.07 Lubigi-Masanafu'!N44,'25.07 Lubigi-Masanafu'!N44,'26.07 Lubigi-Masanafu-24h'!N44,'27.07 Lubigi-Masanafu-24h'!N44,'28.07 Lubigi-Masanafu'!N44)</f>
        <v>0</v>
      </c>
      <c r="O44" s="15">
        <f t="shared" si="0"/>
        <v>145</v>
      </c>
      <c r="P44" s="15">
        <f t="shared" si="1"/>
        <v>257.71428571428572</v>
      </c>
    </row>
    <row r="45" spans="2:32" ht="23.1" customHeight="1" x14ac:dyDescent="0.25">
      <c r="B45" s="23" t="s">
        <v>72</v>
      </c>
      <c r="C45" s="49">
        <f>AVERAGE('22.07 Lubigi-Masanafu'!C45,'23.07 Lubigi-Masanafu'!C45,'24.07 Lubigi-Masanafu'!C45,'25.07 Lubigi-Masanafu'!C45,'26.07 Lubigi-Masanafu-24h'!C45,'27.07 Lubigi-Masanafu-24h'!C45,'28.07 Lubigi-Masanafu'!C45)</f>
        <v>65.142857142857139</v>
      </c>
      <c r="D45" s="49">
        <f>AVERAGE('22.07 Lubigi-Masanafu'!D45,'23.07 Lubigi-Masanafu'!D45,'24.07 Lubigi-Masanafu'!D45,'25.07 Lubigi-Masanafu'!D45,'26.07 Lubigi-Masanafu-24h'!D45,'27.07 Lubigi-Masanafu-24h'!D45,'28.07 Lubigi-Masanafu'!D45)</f>
        <v>14.142857142857142</v>
      </c>
      <c r="E45" s="49">
        <f>AVERAGE('22.07 Lubigi-Masanafu'!E45,'23.07 Lubigi-Masanafu'!E45,'24.07 Lubigi-Masanafu'!E45,'25.07 Lubigi-Masanafu'!E45,'26.07 Lubigi-Masanafu-24h'!E45,'27.07 Lubigi-Masanafu-24h'!E45,'28.07 Lubigi-Masanafu'!E45)</f>
        <v>8.2857142857142865</v>
      </c>
      <c r="F45" s="49">
        <f>AVERAGE('22.07 Lubigi-Masanafu'!F45,'23.07 Lubigi-Masanafu'!F45,'24.07 Lubigi-Masanafu'!F45,'25.07 Lubigi-Masanafu'!F45,'26.07 Lubigi-Masanafu-24h'!F45,'27.07 Lubigi-Masanafu-24h'!F45,'28.07 Lubigi-Masanafu'!F45)</f>
        <v>16</v>
      </c>
      <c r="G45" s="49">
        <f>AVERAGE('22.07 Lubigi-Masanafu'!G45,'23.07 Lubigi-Masanafu'!G45,'24.07 Lubigi-Masanafu'!G45,'25.07 Lubigi-Masanafu'!G45,'26.07 Lubigi-Masanafu-24h'!G45,'27.07 Lubigi-Masanafu-24h'!G45,'28.07 Lubigi-Masanafu'!G45)</f>
        <v>0.7142857142857143</v>
      </c>
      <c r="H45" s="49">
        <f>AVERAGE('22.07 Lubigi-Masanafu'!H45,'23.07 Lubigi-Masanafu'!H45,'24.07 Lubigi-Masanafu'!H45,'25.07 Lubigi-Masanafu'!H45,'26.07 Lubigi-Masanafu-24h'!H45,'27.07 Lubigi-Masanafu-24h'!H45,'28.07 Lubigi-Masanafu'!H45)</f>
        <v>0.5714285714285714</v>
      </c>
      <c r="I45" s="49">
        <f>AVERAGE('22.07 Lubigi-Masanafu'!I45,'23.07 Lubigi-Masanafu'!I45,'24.07 Lubigi-Masanafu'!I45,'25.07 Lubigi-Masanafu'!I45,'26.07 Lubigi-Masanafu-24h'!I45,'27.07 Lubigi-Masanafu-24h'!I45,'28.07 Lubigi-Masanafu'!I45)</f>
        <v>10.857142857142858</v>
      </c>
      <c r="J45" s="49">
        <f>AVERAGE('22.07 Lubigi-Masanafu'!J45,'23.07 Lubigi-Masanafu'!J45,'24.07 Lubigi-Masanafu'!J45,'25.07 Lubigi-Masanafu'!J45,'26.07 Lubigi-Masanafu-24h'!J45,'27.07 Lubigi-Masanafu-24h'!J45,'28.07 Lubigi-Masanafu'!J45)</f>
        <v>11.142857142857142</v>
      </c>
      <c r="K45" s="49">
        <f>AVERAGE('22.07 Lubigi-Masanafu'!K45,'23.07 Lubigi-Masanafu'!K45,'24.07 Lubigi-Masanafu'!K45,'25.07 Lubigi-Masanafu'!K45,'26.07 Lubigi-Masanafu-24h'!K45,'27.07 Lubigi-Masanafu-24h'!K45,'28.07 Lubigi-Masanafu'!K45)</f>
        <v>5.7142857142857144</v>
      </c>
      <c r="L45" s="49">
        <f>AVERAGE('22.07 Lubigi-Masanafu'!L45,'23.07 Lubigi-Masanafu'!L45,'24.07 Lubigi-Masanafu'!L45,'25.07 Lubigi-Masanafu'!L45,'26.07 Lubigi-Masanafu-24h'!L45,'27.07 Lubigi-Masanafu-24h'!L45,'28.07 Lubigi-Masanafu'!L45)</f>
        <v>4.7142857142857144</v>
      </c>
      <c r="M45" s="49">
        <f>AVERAGE('22.07 Lubigi-Masanafu'!M45,'23.07 Lubigi-Masanafu'!M45,'24.07 Lubigi-Masanafu'!M45,'25.07 Lubigi-Masanafu'!M45,'26.07 Lubigi-Masanafu-24h'!M45,'27.07 Lubigi-Masanafu-24h'!M45,'28.07 Lubigi-Masanafu'!M45)</f>
        <v>99.285714285714292</v>
      </c>
      <c r="N45" s="49">
        <f>AVERAGE('22.07 Lubigi-Masanafu'!N45,'23.07 Lubigi-Masanafu'!N45,'24.07 Lubigi-Masanafu'!N45,'25.07 Lubigi-Masanafu'!N45,'26.07 Lubigi-Masanafu-24h'!N45,'27.07 Lubigi-Masanafu-24h'!N45,'28.07 Lubigi-Masanafu'!N45)</f>
        <v>0</v>
      </c>
      <c r="O45" s="15">
        <f t="shared" si="0"/>
        <v>137.28571428571428</v>
      </c>
      <c r="P45" s="15">
        <f t="shared" si="1"/>
        <v>236.57142857142856</v>
      </c>
    </row>
    <row r="46" spans="2:32" ht="23.1" customHeight="1" x14ac:dyDescent="0.25">
      <c r="B46" s="24" t="s">
        <v>73</v>
      </c>
      <c r="C46" s="49">
        <f>AVERAGE('22.07 Lubigi-Masanafu'!C46,'23.07 Lubigi-Masanafu'!C46,'24.07 Lubigi-Masanafu'!C46,'25.07 Lubigi-Masanafu'!C46,'26.07 Lubigi-Masanafu-24h'!C46,'27.07 Lubigi-Masanafu-24h'!C46,'28.07 Lubigi-Masanafu'!C46)</f>
        <v>61</v>
      </c>
      <c r="D46" s="49">
        <f>AVERAGE('22.07 Lubigi-Masanafu'!D46,'23.07 Lubigi-Masanafu'!D46,'24.07 Lubigi-Masanafu'!D46,'25.07 Lubigi-Masanafu'!D46,'26.07 Lubigi-Masanafu-24h'!D46,'27.07 Lubigi-Masanafu-24h'!D46,'28.07 Lubigi-Masanafu'!D46)</f>
        <v>18.714285714285715</v>
      </c>
      <c r="E46" s="49">
        <f>AVERAGE('22.07 Lubigi-Masanafu'!E46,'23.07 Lubigi-Masanafu'!E46,'24.07 Lubigi-Masanafu'!E46,'25.07 Lubigi-Masanafu'!E46,'26.07 Lubigi-Masanafu-24h'!E46,'27.07 Lubigi-Masanafu-24h'!E46,'28.07 Lubigi-Masanafu'!E46)</f>
        <v>11.714285714285714</v>
      </c>
      <c r="F46" s="49">
        <f>AVERAGE('22.07 Lubigi-Masanafu'!F46,'23.07 Lubigi-Masanafu'!F46,'24.07 Lubigi-Masanafu'!F46,'25.07 Lubigi-Masanafu'!F46,'26.07 Lubigi-Masanafu-24h'!F46,'27.07 Lubigi-Masanafu-24h'!F46,'28.07 Lubigi-Masanafu'!F46)</f>
        <v>19.285714285714285</v>
      </c>
      <c r="G46" s="49">
        <f>AVERAGE('22.07 Lubigi-Masanafu'!G46,'23.07 Lubigi-Masanafu'!G46,'24.07 Lubigi-Masanafu'!G46,'25.07 Lubigi-Masanafu'!G46,'26.07 Lubigi-Masanafu-24h'!G46,'27.07 Lubigi-Masanafu-24h'!G46,'28.07 Lubigi-Masanafu'!G46)</f>
        <v>0.7142857142857143</v>
      </c>
      <c r="H46" s="49">
        <f>AVERAGE('22.07 Lubigi-Masanafu'!H46,'23.07 Lubigi-Masanafu'!H46,'24.07 Lubigi-Masanafu'!H46,'25.07 Lubigi-Masanafu'!H46,'26.07 Lubigi-Masanafu-24h'!H46,'27.07 Lubigi-Masanafu-24h'!H46,'28.07 Lubigi-Masanafu'!H46)</f>
        <v>0.42857142857142855</v>
      </c>
      <c r="I46" s="49">
        <f>AVERAGE('22.07 Lubigi-Masanafu'!I46,'23.07 Lubigi-Masanafu'!I46,'24.07 Lubigi-Masanafu'!I46,'25.07 Lubigi-Masanafu'!I46,'26.07 Lubigi-Masanafu-24h'!I46,'27.07 Lubigi-Masanafu-24h'!I46,'28.07 Lubigi-Masanafu'!I46)</f>
        <v>12</v>
      </c>
      <c r="J46" s="49">
        <f>AVERAGE('22.07 Lubigi-Masanafu'!J46,'23.07 Lubigi-Masanafu'!J46,'24.07 Lubigi-Masanafu'!J46,'25.07 Lubigi-Masanafu'!J46,'26.07 Lubigi-Masanafu-24h'!J46,'27.07 Lubigi-Masanafu-24h'!J46,'28.07 Lubigi-Masanafu'!J46)</f>
        <v>10.714285714285714</v>
      </c>
      <c r="K46" s="49">
        <f>AVERAGE('22.07 Lubigi-Masanafu'!K46,'23.07 Lubigi-Masanafu'!K46,'24.07 Lubigi-Masanafu'!K46,'25.07 Lubigi-Masanafu'!K46,'26.07 Lubigi-Masanafu-24h'!K46,'27.07 Lubigi-Masanafu-24h'!K46,'28.07 Lubigi-Masanafu'!K46)</f>
        <v>7.1428571428571432</v>
      </c>
      <c r="L46" s="49">
        <f>AVERAGE('22.07 Lubigi-Masanafu'!L46,'23.07 Lubigi-Masanafu'!L46,'24.07 Lubigi-Masanafu'!L46,'25.07 Lubigi-Masanafu'!L46,'26.07 Lubigi-Masanafu-24h'!L46,'27.07 Lubigi-Masanafu-24h'!L46,'28.07 Lubigi-Masanafu'!L46)</f>
        <v>6.5714285714285712</v>
      </c>
      <c r="M46" s="49">
        <f>AVERAGE('22.07 Lubigi-Masanafu'!M46,'23.07 Lubigi-Masanafu'!M46,'24.07 Lubigi-Masanafu'!M46,'25.07 Lubigi-Masanafu'!M46,'26.07 Lubigi-Masanafu-24h'!M46,'27.07 Lubigi-Masanafu-24h'!M46,'28.07 Lubigi-Masanafu'!M46)</f>
        <v>127.42857142857143</v>
      </c>
      <c r="N46" s="49">
        <f>AVERAGE('22.07 Lubigi-Masanafu'!N46,'23.07 Lubigi-Masanafu'!N46,'24.07 Lubigi-Masanafu'!N46,'25.07 Lubigi-Masanafu'!N46,'26.07 Lubigi-Masanafu-24h'!N46,'27.07 Lubigi-Masanafu-24h'!N46,'28.07 Lubigi-Masanafu'!N46)</f>
        <v>0</v>
      </c>
      <c r="O46" s="15">
        <f t="shared" si="0"/>
        <v>148.28571428571431</v>
      </c>
      <c r="P46" s="15">
        <f t="shared" si="1"/>
        <v>275.71428571428572</v>
      </c>
      <c r="R46" s="8"/>
      <c r="T46"/>
    </row>
    <row r="47" spans="2:32" ht="23.1" customHeight="1" x14ac:dyDescent="0.25">
      <c r="B47" s="24" t="s">
        <v>74</v>
      </c>
      <c r="C47" s="49">
        <f>AVERAGE('22.07 Lubigi-Masanafu'!C47,'23.07 Lubigi-Masanafu'!C47,'24.07 Lubigi-Masanafu'!C47,'25.07 Lubigi-Masanafu'!C47,'26.07 Lubigi-Masanafu-24h'!C47,'27.07 Lubigi-Masanafu-24h'!C47,'28.07 Lubigi-Masanafu'!C47)</f>
        <v>71.857142857142861</v>
      </c>
      <c r="D47" s="49">
        <f>AVERAGE('22.07 Lubigi-Masanafu'!D47,'23.07 Lubigi-Masanafu'!D47,'24.07 Lubigi-Masanafu'!D47,'25.07 Lubigi-Masanafu'!D47,'26.07 Lubigi-Masanafu-24h'!D47,'27.07 Lubigi-Masanafu-24h'!D47,'28.07 Lubigi-Masanafu'!D47)</f>
        <v>18.571428571428573</v>
      </c>
      <c r="E47" s="49">
        <f>AVERAGE('22.07 Lubigi-Masanafu'!E47,'23.07 Lubigi-Masanafu'!E47,'24.07 Lubigi-Masanafu'!E47,'25.07 Lubigi-Masanafu'!E47,'26.07 Lubigi-Masanafu-24h'!E47,'27.07 Lubigi-Masanafu-24h'!E47,'28.07 Lubigi-Masanafu'!E47)</f>
        <v>13.714285714285714</v>
      </c>
      <c r="F47" s="49">
        <f>AVERAGE('22.07 Lubigi-Masanafu'!F47,'23.07 Lubigi-Masanafu'!F47,'24.07 Lubigi-Masanafu'!F47,'25.07 Lubigi-Masanafu'!F47,'26.07 Lubigi-Masanafu-24h'!F47,'27.07 Lubigi-Masanafu-24h'!F47,'28.07 Lubigi-Masanafu'!F47)</f>
        <v>26</v>
      </c>
      <c r="G47" s="49">
        <f>AVERAGE('22.07 Lubigi-Masanafu'!G47,'23.07 Lubigi-Masanafu'!G47,'24.07 Lubigi-Masanafu'!G47,'25.07 Lubigi-Masanafu'!G47,'26.07 Lubigi-Masanafu-24h'!G47,'27.07 Lubigi-Masanafu-24h'!G47,'28.07 Lubigi-Masanafu'!G47)</f>
        <v>1.2857142857142858</v>
      </c>
      <c r="H47" s="49">
        <f>AVERAGE('22.07 Lubigi-Masanafu'!H47,'23.07 Lubigi-Masanafu'!H47,'24.07 Lubigi-Masanafu'!H47,'25.07 Lubigi-Masanafu'!H47,'26.07 Lubigi-Masanafu-24h'!H47,'27.07 Lubigi-Masanafu-24h'!H47,'28.07 Lubigi-Masanafu'!H47)</f>
        <v>0.2857142857142857</v>
      </c>
      <c r="I47" s="49">
        <f>AVERAGE('22.07 Lubigi-Masanafu'!I47,'23.07 Lubigi-Masanafu'!I47,'24.07 Lubigi-Masanafu'!I47,'25.07 Lubigi-Masanafu'!I47,'26.07 Lubigi-Masanafu-24h'!I47,'27.07 Lubigi-Masanafu-24h'!I47,'28.07 Lubigi-Masanafu'!I47)</f>
        <v>14</v>
      </c>
      <c r="J47" s="49">
        <f>AVERAGE('22.07 Lubigi-Masanafu'!J47,'23.07 Lubigi-Masanafu'!J47,'24.07 Lubigi-Masanafu'!J47,'25.07 Lubigi-Masanafu'!J47,'26.07 Lubigi-Masanafu-24h'!J47,'27.07 Lubigi-Masanafu-24h'!J47,'28.07 Lubigi-Masanafu'!J47)</f>
        <v>13.285714285714286</v>
      </c>
      <c r="K47" s="49">
        <f>AVERAGE('22.07 Lubigi-Masanafu'!K47,'23.07 Lubigi-Masanafu'!K47,'24.07 Lubigi-Masanafu'!K47,'25.07 Lubigi-Masanafu'!K47,'26.07 Lubigi-Masanafu-24h'!K47,'27.07 Lubigi-Masanafu-24h'!K47,'28.07 Lubigi-Masanafu'!K47)</f>
        <v>4.7142857142857144</v>
      </c>
      <c r="L47" s="49">
        <f>AVERAGE('22.07 Lubigi-Masanafu'!L47,'23.07 Lubigi-Masanafu'!L47,'24.07 Lubigi-Masanafu'!L47,'25.07 Lubigi-Masanafu'!L47,'26.07 Lubigi-Masanafu-24h'!L47,'27.07 Lubigi-Masanafu-24h'!L47,'28.07 Lubigi-Masanafu'!L47)</f>
        <v>5.7142857142857144</v>
      </c>
      <c r="M47" s="49">
        <f>AVERAGE('22.07 Lubigi-Masanafu'!M47,'23.07 Lubigi-Masanafu'!M47,'24.07 Lubigi-Masanafu'!M47,'25.07 Lubigi-Masanafu'!M47,'26.07 Lubigi-Masanafu-24h'!M47,'27.07 Lubigi-Masanafu-24h'!M47,'28.07 Lubigi-Masanafu'!M47)</f>
        <v>117.71428571428571</v>
      </c>
      <c r="N47" s="49">
        <f>AVERAGE('22.07 Lubigi-Masanafu'!N47,'23.07 Lubigi-Masanafu'!N47,'24.07 Lubigi-Masanafu'!N47,'25.07 Lubigi-Masanafu'!N47,'26.07 Lubigi-Masanafu-24h'!N47,'27.07 Lubigi-Masanafu-24h'!N47,'28.07 Lubigi-Masanafu'!N47)</f>
        <v>0</v>
      </c>
      <c r="O47" s="15">
        <f t="shared" si="0"/>
        <v>169.42857142857142</v>
      </c>
      <c r="P47" s="15">
        <f t="shared" si="1"/>
        <v>287.14285714285711</v>
      </c>
      <c r="R47" s="8"/>
      <c r="T47"/>
    </row>
    <row r="48" spans="2:32" ht="23.1" customHeight="1" x14ac:dyDescent="0.25">
      <c r="B48" s="24" t="s">
        <v>75</v>
      </c>
      <c r="C48" s="49">
        <f>AVERAGE('22.07 Lubigi-Masanafu'!C48,'23.07 Lubigi-Masanafu'!C48,'24.07 Lubigi-Masanafu'!C48,'25.07 Lubigi-Masanafu'!C48,'26.07 Lubigi-Masanafu-24h'!C48,'27.07 Lubigi-Masanafu-24h'!C48,'28.07 Lubigi-Masanafu'!C48)</f>
        <v>70.571428571428569</v>
      </c>
      <c r="D48" s="49">
        <f>AVERAGE('22.07 Lubigi-Masanafu'!D48,'23.07 Lubigi-Masanafu'!D48,'24.07 Lubigi-Masanafu'!D48,'25.07 Lubigi-Masanafu'!D48,'26.07 Lubigi-Masanafu-24h'!D48,'27.07 Lubigi-Masanafu-24h'!D48,'28.07 Lubigi-Masanafu'!D48)</f>
        <v>20.142857142857142</v>
      </c>
      <c r="E48" s="49">
        <f>AVERAGE('22.07 Lubigi-Masanafu'!E48,'23.07 Lubigi-Masanafu'!E48,'24.07 Lubigi-Masanafu'!E48,'25.07 Lubigi-Masanafu'!E48,'26.07 Lubigi-Masanafu-24h'!E48,'27.07 Lubigi-Masanafu-24h'!E48,'28.07 Lubigi-Masanafu'!E48)</f>
        <v>13.285714285714286</v>
      </c>
      <c r="F48" s="49">
        <f>AVERAGE('22.07 Lubigi-Masanafu'!F48,'23.07 Lubigi-Masanafu'!F48,'24.07 Lubigi-Masanafu'!F48,'25.07 Lubigi-Masanafu'!F48,'26.07 Lubigi-Masanafu-24h'!F48,'27.07 Lubigi-Masanafu-24h'!F48,'28.07 Lubigi-Masanafu'!F48)</f>
        <v>22.428571428571427</v>
      </c>
      <c r="G48" s="49">
        <f>AVERAGE('22.07 Lubigi-Masanafu'!G48,'23.07 Lubigi-Masanafu'!G48,'24.07 Lubigi-Masanafu'!G48,'25.07 Lubigi-Masanafu'!G48,'26.07 Lubigi-Masanafu-24h'!G48,'27.07 Lubigi-Masanafu-24h'!G48,'28.07 Lubigi-Masanafu'!G48)</f>
        <v>2.2857142857142856</v>
      </c>
      <c r="H48" s="49">
        <f>AVERAGE('22.07 Lubigi-Masanafu'!H48,'23.07 Lubigi-Masanafu'!H48,'24.07 Lubigi-Masanafu'!H48,'25.07 Lubigi-Masanafu'!H48,'26.07 Lubigi-Masanafu-24h'!H48,'27.07 Lubigi-Masanafu-24h'!H48,'28.07 Lubigi-Masanafu'!H48)</f>
        <v>0.42857142857142855</v>
      </c>
      <c r="I48" s="49">
        <f>AVERAGE('22.07 Lubigi-Masanafu'!I48,'23.07 Lubigi-Masanafu'!I48,'24.07 Lubigi-Masanafu'!I48,'25.07 Lubigi-Masanafu'!I48,'26.07 Lubigi-Masanafu-24h'!I48,'27.07 Lubigi-Masanafu-24h'!I48,'28.07 Lubigi-Masanafu'!I48)</f>
        <v>12.428571428571429</v>
      </c>
      <c r="J48" s="49">
        <f>AVERAGE('22.07 Lubigi-Masanafu'!J48,'23.07 Lubigi-Masanafu'!J48,'24.07 Lubigi-Masanafu'!J48,'25.07 Lubigi-Masanafu'!J48,'26.07 Lubigi-Masanafu-24h'!J48,'27.07 Lubigi-Masanafu-24h'!J48,'28.07 Lubigi-Masanafu'!J48)</f>
        <v>13.857142857142858</v>
      </c>
      <c r="K48" s="49">
        <f>AVERAGE('22.07 Lubigi-Masanafu'!K48,'23.07 Lubigi-Masanafu'!K48,'24.07 Lubigi-Masanafu'!K48,'25.07 Lubigi-Masanafu'!K48,'26.07 Lubigi-Masanafu-24h'!K48,'27.07 Lubigi-Masanafu-24h'!K48,'28.07 Lubigi-Masanafu'!K48)</f>
        <v>4.7142857142857144</v>
      </c>
      <c r="L48" s="49">
        <f>AVERAGE('22.07 Lubigi-Masanafu'!L48,'23.07 Lubigi-Masanafu'!L48,'24.07 Lubigi-Masanafu'!L48,'25.07 Lubigi-Masanafu'!L48,'26.07 Lubigi-Masanafu-24h'!L48,'27.07 Lubigi-Masanafu-24h'!L48,'28.07 Lubigi-Masanafu'!L48)</f>
        <v>4.7142857142857144</v>
      </c>
      <c r="M48" s="49">
        <f>AVERAGE('22.07 Lubigi-Masanafu'!M48,'23.07 Lubigi-Masanafu'!M48,'24.07 Lubigi-Masanafu'!M48,'25.07 Lubigi-Masanafu'!M48,'26.07 Lubigi-Masanafu-24h'!M48,'27.07 Lubigi-Masanafu-24h'!M48,'28.07 Lubigi-Masanafu'!M48)</f>
        <v>123.42857142857143</v>
      </c>
      <c r="N48" s="49">
        <f>AVERAGE('22.07 Lubigi-Masanafu'!N48,'23.07 Lubigi-Masanafu'!N48,'24.07 Lubigi-Masanafu'!N48,'25.07 Lubigi-Masanafu'!N48,'26.07 Lubigi-Masanafu-24h'!N48,'27.07 Lubigi-Masanafu-24h'!N48,'28.07 Lubigi-Masanafu'!N48)</f>
        <v>0</v>
      </c>
      <c r="O48" s="15">
        <f t="shared" si="0"/>
        <v>164.85714285714286</v>
      </c>
      <c r="P48" s="15">
        <f t="shared" si="1"/>
        <v>288.28571428571428</v>
      </c>
      <c r="R48" s="8"/>
      <c r="T48"/>
    </row>
    <row r="49" spans="2:20" ht="23.1" customHeight="1" x14ac:dyDescent="0.25">
      <c r="B49" s="23" t="s">
        <v>76</v>
      </c>
      <c r="C49" s="49">
        <f>AVERAGE('22.07 Lubigi-Masanafu'!C49,'23.07 Lubigi-Masanafu'!C49,'24.07 Lubigi-Masanafu'!C49,'25.07 Lubigi-Masanafu'!C49,'26.07 Lubigi-Masanafu-24h'!C49,'27.07 Lubigi-Masanafu-24h'!C49,'28.07 Lubigi-Masanafu'!C49)</f>
        <v>64.428571428571431</v>
      </c>
      <c r="D49" s="49">
        <f>AVERAGE('22.07 Lubigi-Masanafu'!D49,'23.07 Lubigi-Masanafu'!D49,'24.07 Lubigi-Masanafu'!D49,'25.07 Lubigi-Masanafu'!D49,'26.07 Lubigi-Masanafu-24h'!D49,'27.07 Lubigi-Masanafu-24h'!D49,'28.07 Lubigi-Masanafu'!D49)</f>
        <v>14.571428571428571</v>
      </c>
      <c r="E49" s="49">
        <f>AVERAGE('22.07 Lubigi-Masanafu'!E49,'23.07 Lubigi-Masanafu'!E49,'24.07 Lubigi-Masanafu'!E49,'25.07 Lubigi-Masanafu'!E49,'26.07 Lubigi-Masanafu-24h'!E49,'27.07 Lubigi-Masanafu-24h'!E49,'28.07 Lubigi-Masanafu'!E49)</f>
        <v>10</v>
      </c>
      <c r="F49" s="49">
        <f>AVERAGE('22.07 Lubigi-Masanafu'!F49,'23.07 Lubigi-Masanafu'!F49,'24.07 Lubigi-Masanafu'!F49,'25.07 Lubigi-Masanafu'!F49,'26.07 Lubigi-Masanafu-24h'!F49,'27.07 Lubigi-Masanafu-24h'!F49,'28.07 Lubigi-Masanafu'!F49)</f>
        <v>19.285714285714285</v>
      </c>
      <c r="G49" s="49">
        <f>AVERAGE('22.07 Lubigi-Masanafu'!G49,'23.07 Lubigi-Masanafu'!G49,'24.07 Lubigi-Masanafu'!G49,'25.07 Lubigi-Masanafu'!G49,'26.07 Lubigi-Masanafu-24h'!G49,'27.07 Lubigi-Masanafu-24h'!G49,'28.07 Lubigi-Masanafu'!G49)</f>
        <v>0.2857142857142857</v>
      </c>
      <c r="H49" s="49">
        <f>AVERAGE('22.07 Lubigi-Masanafu'!H49,'23.07 Lubigi-Masanafu'!H49,'24.07 Lubigi-Masanafu'!H49,'25.07 Lubigi-Masanafu'!H49,'26.07 Lubigi-Masanafu-24h'!H49,'27.07 Lubigi-Masanafu-24h'!H49,'28.07 Lubigi-Masanafu'!H49)</f>
        <v>0.14285714285714285</v>
      </c>
      <c r="I49" s="49">
        <f>AVERAGE('22.07 Lubigi-Masanafu'!I49,'23.07 Lubigi-Masanafu'!I49,'24.07 Lubigi-Masanafu'!I49,'25.07 Lubigi-Masanafu'!I49,'26.07 Lubigi-Masanafu-24h'!I49,'27.07 Lubigi-Masanafu-24h'!I49,'28.07 Lubigi-Masanafu'!I49)</f>
        <v>11.857142857142858</v>
      </c>
      <c r="J49" s="49">
        <f>AVERAGE('22.07 Lubigi-Masanafu'!J49,'23.07 Lubigi-Masanafu'!J49,'24.07 Lubigi-Masanafu'!J49,'25.07 Lubigi-Masanafu'!J49,'26.07 Lubigi-Masanafu-24h'!J49,'27.07 Lubigi-Masanafu-24h'!J49,'28.07 Lubigi-Masanafu'!J49)</f>
        <v>6.2857142857142856</v>
      </c>
      <c r="K49" s="49">
        <f>AVERAGE('22.07 Lubigi-Masanafu'!K49,'23.07 Lubigi-Masanafu'!K49,'24.07 Lubigi-Masanafu'!K49,'25.07 Lubigi-Masanafu'!K49,'26.07 Lubigi-Masanafu-24h'!K49,'27.07 Lubigi-Masanafu-24h'!K49,'28.07 Lubigi-Masanafu'!K49)</f>
        <v>4</v>
      </c>
      <c r="L49" s="49">
        <f>AVERAGE('22.07 Lubigi-Masanafu'!L49,'23.07 Lubigi-Masanafu'!L49,'24.07 Lubigi-Masanafu'!L49,'25.07 Lubigi-Masanafu'!L49,'26.07 Lubigi-Masanafu-24h'!L49,'27.07 Lubigi-Masanafu-24h'!L49,'28.07 Lubigi-Masanafu'!L49)</f>
        <v>3.4285714285714284</v>
      </c>
      <c r="M49" s="49">
        <f>AVERAGE('22.07 Lubigi-Masanafu'!M49,'23.07 Lubigi-Masanafu'!M49,'24.07 Lubigi-Masanafu'!M49,'25.07 Lubigi-Masanafu'!M49,'26.07 Lubigi-Masanafu-24h'!M49,'27.07 Lubigi-Masanafu-24h'!M49,'28.07 Lubigi-Masanafu'!M49)</f>
        <v>108.57142857142857</v>
      </c>
      <c r="N49" s="49">
        <f>AVERAGE('22.07 Lubigi-Masanafu'!N49,'23.07 Lubigi-Masanafu'!N49,'24.07 Lubigi-Masanafu'!N49,'25.07 Lubigi-Masanafu'!N49,'26.07 Lubigi-Masanafu-24h'!N49,'27.07 Lubigi-Masanafu-24h'!N49,'28.07 Lubigi-Masanafu'!N49)</f>
        <v>0</v>
      </c>
      <c r="O49" s="15">
        <f t="shared" si="0"/>
        <v>134.28571428571428</v>
      </c>
      <c r="P49" s="15">
        <f t="shared" si="1"/>
        <v>242.85714285714283</v>
      </c>
      <c r="R49" s="8"/>
      <c r="T49"/>
    </row>
    <row r="50" spans="2:20" ht="23.1" customHeight="1" x14ac:dyDescent="0.25">
      <c r="B50" s="24" t="s">
        <v>77</v>
      </c>
      <c r="C50" s="49">
        <f>AVERAGE('22.07 Lubigi-Masanafu'!C50,'23.07 Lubigi-Masanafu'!C50,'24.07 Lubigi-Masanafu'!C50,'25.07 Lubigi-Masanafu'!C50,'26.07 Lubigi-Masanafu-24h'!C50,'27.07 Lubigi-Masanafu-24h'!C50,'28.07 Lubigi-Masanafu'!C50)</f>
        <v>81.571428571428569</v>
      </c>
      <c r="D50" s="49">
        <f>AVERAGE('22.07 Lubigi-Masanafu'!D50,'23.07 Lubigi-Masanafu'!D50,'24.07 Lubigi-Masanafu'!D50,'25.07 Lubigi-Masanafu'!D50,'26.07 Lubigi-Masanafu-24h'!D50,'27.07 Lubigi-Masanafu-24h'!D50,'28.07 Lubigi-Masanafu'!D50)</f>
        <v>21.142857142857142</v>
      </c>
      <c r="E50" s="49">
        <f>AVERAGE('22.07 Lubigi-Masanafu'!E50,'23.07 Lubigi-Masanafu'!E50,'24.07 Lubigi-Masanafu'!E50,'25.07 Lubigi-Masanafu'!E50,'26.07 Lubigi-Masanafu-24h'!E50,'27.07 Lubigi-Masanafu-24h'!E50,'28.07 Lubigi-Masanafu'!E50)</f>
        <v>14.285714285714286</v>
      </c>
      <c r="F50" s="49">
        <f>AVERAGE('22.07 Lubigi-Masanafu'!F50,'23.07 Lubigi-Masanafu'!F50,'24.07 Lubigi-Masanafu'!F50,'25.07 Lubigi-Masanafu'!F50,'26.07 Lubigi-Masanafu-24h'!F50,'27.07 Lubigi-Masanafu-24h'!F50,'28.07 Lubigi-Masanafu'!F50)</f>
        <v>26.571428571428573</v>
      </c>
      <c r="G50" s="49">
        <f>AVERAGE('22.07 Lubigi-Masanafu'!G50,'23.07 Lubigi-Masanafu'!G50,'24.07 Lubigi-Masanafu'!G50,'25.07 Lubigi-Masanafu'!G50,'26.07 Lubigi-Masanafu-24h'!G50,'27.07 Lubigi-Masanafu-24h'!G50,'28.07 Lubigi-Masanafu'!G50)</f>
        <v>1</v>
      </c>
      <c r="H50" s="49">
        <f>AVERAGE('22.07 Lubigi-Masanafu'!H50,'23.07 Lubigi-Masanafu'!H50,'24.07 Lubigi-Masanafu'!H50,'25.07 Lubigi-Masanafu'!H50,'26.07 Lubigi-Masanafu-24h'!H50,'27.07 Lubigi-Masanafu-24h'!H50,'28.07 Lubigi-Masanafu'!H50)</f>
        <v>1</v>
      </c>
      <c r="I50" s="49">
        <f>AVERAGE('22.07 Lubigi-Masanafu'!I50,'23.07 Lubigi-Masanafu'!I50,'24.07 Lubigi-Masanafu'!I50,'25.07 Lubigi-Masanafu'!I50,'26.07 Lubigi-Masanafu-24h'!I50,'27.07 Lubigi-Masanafu-24h'!I50,'28.07 Lubigi-Masanafu'!I50)</f>
        <v>14.857142857142858</v>
      </c>
      <c r="J50" s="49">
        <f>AVERAGE('22.07 Lubigi-Masanafu'!J50,'23.07 Lubigi-Masanafu'!J50,'24.07 Lubigi-Masanafu'!J50,'25.07 Lubigi-Masanafu'!J50,'26.07 Lubigi-Masanafu-24h'!J50,'27.07 Lubigi-Masanafu-24h'!J50,'28.07 Lubigi-Masanafu'!J50)</f>
        <v>7.8571428571428568</v>
      </c>
      <c r="K50" s="49">
        <f>AVERAGE('22.07 Lubigi-Masanafu'!K50,'23.07 Lubigi-Masanafu'!K50,'24.07 Lubigi-Masanafu'!K50,'25.07 Lubigi-Masanafu'!K50,'26.07 Lubigi-Masanafu-24h'!K50,'27.07 Lubigi-Masanafu-24h'!K50,'28.07 Lubigi-Masanafu'!K50)</f>
        <v>5.5714285714285712</v>
      </c>
      <c r="L50" s="49">
        <f>AVERAGE('22.07 Lubigi-Masanafu'!L50,'23.07 Lubigi-Masanafu'!L50,'24.07 Lubigi-Masanafu'!L50,'25.07 Lubigi-Masanafu'!L50,'26.07 Lubigi-Masanafu-24h'!L50,'27.07 Lubigi-Masanafu-24h'!L50,'28.07 Lubigi-Masanafu'!L50)</f>
        <v>5.2857142857142856</v>
      </c>
      <c r="M50" s="49">
        <f>AVERAGE('22.07 Lubigi-Masanafu'!M50,'23.07 Lubigi-Masanafu'!M50,'24.07 Lubigi-Masanafu'!M50,'25.07 Lubigi-Masanafu'!M50,'26.07 Lubigi-Masanafu-24h'!M50,'27.07 Lubigi-Masanafu-24h'!M50,'28.07 Lubigi-Masanafu'!M50)</f>
        <v>134.85714285714286</v>
      </c>
      <c r="N50" s="49">
        <f>AVERAGE('22.07 Lubigi-Masanafu'!N50,'23.07 Lubigi-Masanafu'!N50,'24.07 Lubigi-Masanafu'!N50,'25.07 Lubigi-Masanafu'!N50,'26.07 Lubigi-Masanafu-24h'!N50,'27.07 Lubigi-Masanafu-24h'!N50,'28.07 Lubigi-Masanafu'!N50)</f>
        <v>0</v>
      </c>
      <c r="O50" s="15">
        <f t="shared" si="0"/>
        <v>179.14285714285717</v>
      </c>
      <c r="P50" s="15">
        <f t="shared" si="1"/>
        <v>314</v>
      </c>
      <c r="R50" s="8"/>
      <c r="T50"/>
    </row>
    <row r="51" spans="2:20" ht="23.1" customHeight="1" x14ac:dyDescent="0.25">
      <c r="B51" s="24" t="s">
        <v>78</v>
      </c>
      <c r="C51" s="49">
        <f>AVERAGE('22.07 Lubigi-Masanafu'!C51,'23.07 Lubigi-Masanafu'!C51,'24.07 Lubigi-Masanafu'!C51,'25.07 Lubigi-Masanafu'!C51,'26.07 Lubigi-Masanafu-24h'!C51,'27.07 Lubigi-Masanafu-24h'!C51,'28.07 Lubigi-Masanafu'!C51)</f>
        <v>77.285714285714292</v>
      </c>
      <c r="D51" s="49">
        <f>AVERAGE('22.07 Lubigi-Masanafu'!D51,'23.07 Lubigi-Masanafu'!D51,'24.07 Lubigi-Masanafu'!D51,'25.07 Lubigi-Masanafu'!D51,'26.07 Lubigi-Masanafu-24h'!D51,'27.07 Lubigi-Masanafu-24h'!D51,'28.07 Lubigi-Masanafu'!D51)</f>
        <v>22.571428571428573</v>
      </c>
      <c r="E51" s="49">
        <f>AVERAGE('22.07 Lubigi-Masanafu'!E51,'23.07 Lubigi-Masanafu'!E51,'24.07 Lubigi-Masanafu'!E51,'25.07 Lubigi-Masanafu'!E51,'26.07 Lubigi-Masanafu-24h'!E51,'27.07 Lubigi-Masanafu-24h'!E51,'28.07 Lubigi-Masanafu'!E51)</f>
        <v>12.428571428571429</v>
      </c>
      <c r="F51" s="49">
        <f>AVERAGE('22.07 Lubigi-Masanafu'!F51,'23.07 Lubigi-Masanafu'!F51,'24.07 Lubigi-Masanafu'!F51,'25.07 Lubigi-Masanafu'!F51,'26.07 Lubigi-Masanafu-24h'!F51,'27.07 Lubigi-Masanafu-24h'!F51,'28.07 Lubigi-Masanafu'!F51)</f>
        <v>24.285714285714285</v>
      </c>
      <c r="G51" s="49">
        <f>AVERAGE('22.07 Lubigi-Masanafu'!G51,'23.07 Lubigi-Masanafu'!G51,'24.07 Lubigi-Masanafu'!G51,'25.07 Lubigi-Masanafu'!G51,'26.07 Lubigi-Masanafu-24h'!G51,'27.07 Lubigi-Masanafu-24h'!G51,'28.07 Lubigi-Masanafu'!G51)</f>
        <v>1.1428571428571428</v>
      </c>
      <c r="H51" s="49">
        <f>AVERAGE('22.07 Lubigi-Masanafu'!H51,'23.07 Lubigi-Masanafu'!H51,'24.07 Lubigi-Masanafu'!H51,'25.07 Lubigi-Masanafu'!H51,'26.07 Lubigi-Masanafu-24h'!H51,'27.07 Lubigi-Masanafu-24h'!H51,'28.07 Lubigi-Masanafu'!H51)</f>
        <v>0.7142857142857143</v>
      </c>
      <c r="I51" s="49">
        <f>AVERAGE('22.07 Lubigi-Masanafu'!I51,'23.07 Lubigi-Masanafu'!I51,'24.07 Lubigi-Masanafu'!I51,'25.07 Lubigi-Masanafu'!I51,'26.07 Lubigi-Masanafu-24h'!I51,'27.07 Lubigi-Masanafu-24h'!I51,'28.07 Lubigi-Masanafu'!I51)</f>
        <v>11</v>
      </c>
      <c r="J51" s="49">
        <f>AVERAGE('22.07 Lubigi-Masanafu'!J51,'23.07 Lubigi-Masanafu'!J51,'24.07 Lubigi-Masanafu'!J51,'25.07 Lubigi-Masanafu'!J51,'26.07 Lubigi-Masanafu-24h'!J51,'27.07 Lubigi-Masanafu-24h'!J51,'28.07 Lubigi-Masanafu'!J51)</f>
        <v>10.571428571428571</v>
      </c>
      <c r="K51" s="49">
        <f>AVERAGE('22.07 Lubigi-Masanafu'!K51,'23.07 Lubigi-Masanafu'!K51,'24.07 Lubigi-Masanafu'!K51,'25.07 Lubigi-Masanafu'!K51,'26.07 Lubigi-Masanafu-24h'!K51,'27.07 Lubigi-Masanafu-24h'!K51,'28.07 Lubigi-Masanafu'!K51)</f>
        <v>4</v>
      </c>
      <c r="L51" s="49">
        <f>AVERAGE('22.07 Lubigi-Masanafu'!L51,'23.07 Lubigi-Masanafu'!L51,'24.07 Lubigi-Masanafu'!L51,'25.07 Lubigi-Masanafu'!L51,'26.07 Lubigi-Masanafu-24h'!L51,'27.07 Lubigi-Masanafu-24h'!L51,'28.07 Lubigi-Masanafu'!L51)</f>
        <v>4.2857142857142856</v>
      </c>
      <c r="M51" s="49">
        <f>AVERAGE('22.07 Lubigi-Masanafu'!M51,'23.07 Lubigi-Masanafu'!M51,'24.07 Lubigi-Masanafu'!M51,'25.07 Lubigi-Masanafu'!M51,'26.07 Lubigi-Masanafu-24h'!M51,'27.07 Lubigi-Masanafu-24h'!M51,'28.07 Lubigi-Masanafu'!M51)</f>
        <v>152.85714285714286</v>
      </c>
      <c r="N51" s="49">
        <f>AVERAGE('22.07 Lubigi-Masanafu'!N51,'23.07 Lubigi-Masanafu'!N51,'24.07 Lubigi-Masanafu'!N51,'25.07 Lubigi-Masanafu'!N51,'26.07 Lubigi-Masanafu-24h'!N51,'27.07 Lubigi-Masanafu-24h'!N51,'28.07 Lubigi-Masanafu'!N51)</f>
        <v>0</v>
      </c>
      <c r="O51" s="15">
        <f t="shared" si="0"/>
        <v>168.28571428571431</v>
      </c>
      <c r="P51" s="15">
        <f t="shared" si="1"/>
        <v>321.14285714285717</v>
      </c>
      <c r="R51" s="8"/>
      <c r="T51"/>
    </row>
    <row r="52" spans="2:20" ht="23.1" customHeight="1" x14ac:dyDescent="0.25">
      <c r="B52" s="24" t="s">
        <v>79</v>
      </c>
      <c r="C52" s="49">
        <f>AVERAGE('22.07 Lubigi-Masanafu'!C52,'23.07 Lubigi-Masanafu'!C52,'24.07 Lubigi-Masanafu'!C52,'25.07 Lubigi-Masanafu'!C52,'26.07 Lubigi-Masanafu-24h'!C52,'27.07 Lubigi-Masanafu-24h'!C52,'28.07 Lubigi-Masanafu'!C52)</f>
        <v>100</v>
      </c>
      <c r="D52" s="49">
        <f>AVERAGE('22.07 Lubigi-Masanafu'!D52,'23.07 Lubigi-Masanafu'!D52,'24.07 Lubigi-Masanafu'!D52,'25.07 Lubigi-Masanafu'!D52,'26.07 Lubigi-Masanafu-24h'!D52,'27.07 Lubigi-Masanafu-24h'!D52,'28.07 Lubigi-Masanafu'!D52)</f>
        <v>22.142857142857142</v>
      </c>
      <c r="E52" s="49">
        <f>AVERAGE('22.07 Lubigi-Masanafu'!E52,'23.07 Lubigi-Masanafu'!E52,'24.07 Lubigi-Masanafu'!E52,'25.07 Lubigi-Masanafu'!E52,'26.07 Lubigi-Masanafu-24h'!E52,'27.07 Lubigi-Masanafu-24h'!E52,'28.07 Lubigi-Masanafu'!E52)</f>
        <v>13.142857142857142</v>
      </c>
      <c r="F52" s="49">
        <f>AVERAGE('22.07 Lubigi-Masanafu'!F52,'23.07 Lubigi-Masanafu'!F52,'24.07 Lubigi-Masanafu'!F52,'25.07 Lubigi-Masanafu'!F52,'26.07 Lubigi-Masanafu-24h'!F52,'27.07 Lubigi-Masanafu-24h'!F52,'28.07 Lubigi-Masanafu'!F52)</f>
        <v>22.285714285714285</v>
      </c>
      <c r="G52" s="49">
        <f>AVERAGE('22.07 Lubigi-Masanafu'!G52,'23.07 Lubigi-Masanafu'!G52,'24.07 Lubigi-Masanafu'!G52,'25.07 Lubigi-Masanafu'!G52,'26.07 Lubigi-Masanafu-24h'!G52,'27.07 Lubigi-Masanafu-24h'!G52,'28.07 Lubigi-Masanafu'!G52)</f>
        <v>2.4285714285714284</v>
      </c>
      <c r="H52" s="49">
        <f>AVERAGE('22.07 Lubigi-Masanafu'!H52,'23.07 Lubigi-Masanafu'!H52,'24.07 Lubigi-Masanafu'!H52,'25.07 Lubigi-Masanafu'!H52,'26.07 Lubigi-Masanafu-24h'!H52,'27.07 Lubigi-Masanafu-24h'!H52,'28.07 Lubigi-Masanafu'!H52)</f>
        <v>0.42857142857142855</v>
      </c>
      <c r="I52" s="49">
        <f>AVERAGE('22.07 Lubigi-Masanafu'!I52,'23.07 Lubigi-Masanafu'!I52,'24.07 Lubigi-Masanafu'!I52,'25.07 Lubigi-Masanafu'!I52,'26.07 Lubigi-Masanafu-24h'!I52,'27.07 Lubigi-Masanafu-24h'!I52,'28.07 Lubigi-Masanafu'!I52)</f>
        <v>11</v>
      </c>
      <c r="J52" s="49">
        <f>AVERAGE('22.07 Lubigi-Masanafu'!J52,'23.07 Lubigi-Masanafu'!J52,'24.07 Lubigi-Masanafu'!J52,'25.07 Lubigi-Masanafu'!J52,'26.07 Lubigi-Masanafu-24h'!J52,'27.07 Lubigi-Masanafu-24h'!J52,'28.07 Lubigi-Masanafu'!J52)</f>
        <v>11.571428571428571</v>
      </c>
      <c r="K52" s="49">
        <f>AVERAGE('22.07 Lubigi-Masanafu'!K52,'23.07 Lubigi-Masanafu'!K52,'24.07 Lubigi-Masanafu'!K52,'25.07 Lubigi-Masanafu'!K52,'26.07 Lubigi-Masanafu-24h'!K52,'27.07 Lubigi-Masanafu-24h'!K52,'28.07 Lubigi-Masanafu'!K52)</f>
        <v>7.7142857142857144</v>
      </c>
      <c r="L52" s="49">
        <f>AVERAGE('22.07 Lubigi-Masanafu'!L52,'23.07 Lubigi-Masanafu'!L52,'24.07 Lubigi-Masanafu'!L52,'25.07 Lubigi-Masanafu'!L52,'26.07 Lubigi-Masanafu-24h'!L52,'27.07 Lubigi-Masanafu-24h'!L52,'28.07 Lubigi-Masanafu'!L52)</f>
        <v>4.4285714285714288</v>
      </c>
      <c r="M52" s="49">
        <f>AVERAGE('22.07 Lubigi-Masanafu'!M52,'23.07 Lubigi-Masanafu'!M52,'24.07 Lubigi-Masanafu'!M52,'25.07 Lubigi-Masanafu'!M52,'26.07 Lubigi-Masanafu-24h'!M52,'27.07 Lubigi-Masanafu-24h'!M52,'28.07 Lubigi-Masanafu'!M52)</f>
        <v>139.85714285714286</v>
      </c>
      <c r="N52" s="49">
        <f>AVERAGE('22.07 Lubigi-Masanafu'!N52,'23.07 Lubigi-Masanafu'!N52,'24.07 Lubigi-Masanafu'!N52,'25.07 Lubigi-Masanafu'!N52,'26.07 Lubigi-Masanafu-24h'!N52,'27.07 Lubigi-Masanafu-24h'!N52,'28.07 Lubigi-Masanafu'!N52)</f>
        <v>0</v>
      </c>
      <c r="O52" s="15">
        <f t="shared" si="0"/>
        <v>195.14285714285711</v>
      </c>
      <c r="P52" s="15">
        <f t="shared" si="1"/>
        <v>335</v>
      </c>
      <c r="R52" s="8"/>
      <c r="T52"/>
    </row>
    <row r="53" spans="2:20" ht="23.1" customHeight="1" x14ac:dyDescent="0.25">
      <c r="B53" s="23" t="s">
        <v>80</v>
      </c>
      <c r="C53" s="49">
        <f>AVERAGE('22.07 Lubigi-Masanafu'!C53,'23.07 Lubigi-Masanafu'!C53,'24.07 Lubigi-Masanafu'!C53,'25.07 Lubigi-Masanafu'!C53,'26.07 Lubigi-Masanafu-24h'!C53,'27.07 Lubigi-Masanafu-24h'!C53,'28.07 Lubigi-Masanafu'!C53)</f>
        <v>91.571428571428569</v>
      </c>
      <c r="D53" s="49">
        <f>AVERAGE('22.07 Lubigi-Masanafu'!D53,'23.07 Lubigi-Masanafu'!D53,'24.07 Lubigi-Masanafu'!D53,'25.07 Lubigi-Masanafu'!D53,'26.07 Lubigi-Masanafu-24h'!D53,'27.07 Lubigi-Masanafu-24h'!D53,'28.07 Lubigi-Masanafu'!D53)</f>
        <v>16.285714285714285</v>
      </c>
      <c r="E53" s="49">
        <f>AVERAGE('22.07 Lubigi-Masanafu'!E53,'23.07 Lubigi-Masanafu'!E53,'24.07 Lubigi-Masanafu'!E53,'25.07 Lubigi-Masanafu'!E53,'26.07 Lubigi-Masanafu-24h'!E53,'27.07 Lubigi-Masanafu-24h'!E53,'28.07 Lubigi-Masanafu'!E53)</f>
        <v>16</v>
      </c>
      <c r="F53" s="49">
        <f>AVERAGE('22.07 Lubigi-Masanafu'!F53,'23.07 Lubigi-Masanafu'!F53,'24.07 Lubigi-Masanafu'!F53,'25.07 Lubigi-Masanafu'!F53,'26.07 Lubigi-Masanafu-24h'!F53,'27.07 Lubigi-Masanafu-24h'!F53,'28.07 Lubigi-Masanafu'!F53)</f>
        <v>31.714285714285715</v>
      </c>
      <c r="G53" s="49">
        <f>AVERAGE('22.07 Lubigi-Masanafu'!G53,'23.07 Lubigi-Masanafu'!G53,'24.07 Lubigi-Masanafu'!G53,'25.07 Lubigi-Masanafu'!G53,'26.07 Lubigi-Masanafu-24h'!G53,'27.07 Lubigi-Masanafu-24h'!G53,'28.07 Lubigi-Masanafu'!G53)</f>
        <v>1.1428571428571428</v>
      </c>
      <c r="H53" s="49">
        <f>AVERAGE('22.07 Lubigi-Masanafu'!H53,'23.07 Lubigi-Masanafu'!H53,'24.07 Lubigi-Masanafu'!H53,'25.07 Lubigi-Masanafu'!H53,'26.07 Lubigi-Masanafu-24h'!H53,'27.07 Lubigi-Masanafu-24h'!H53,'28.07 Lubigi-Masanafu'!H53)</f>
        <v>1.1428571428571428</v>
      </c>
      <c r="I53" s="49">
        <f>AVERAGE('22.07 Lubigi-Masanafu'!I53,'23.07 Lubigi-Masanafu'!I53,'24.07 Lubigi-Masanafu'!I53,'25.07 Lubigi-Masanafu'!I53,'26.07 Lubigi-Masanafu-24h'!I53,'27.07 Lubigi-Masanafu-24h'!I53,'28.07 Lubigi-Masanafu'!I53)</f>
        <v>26</v>
      </c>
      <c r="J53" s="49">
        <f>AVERAGE('22.07 Lubigi-Masanafu'!J53,'23.07 Lubigi-Masanafu'!J53,'24.07 Lubigi-Masanafu'!J53,'25.07 Lubigi-Masanafu'!J53,'26.07 Lubigi-Masanafu-24h'!J53,'27.07 Lubigi-Masanafu-24h'!J53,'28.07 Lubigi-Masanafu'!J53)</f>
        <v>11.714285714285714</v>
      </c>
      <c r="K53" s="49">
        <f>AVERAGE('22.07 Lubigi-Masanafu'!K53,'23.07 Lubigi-Masanafu'!K53,'24.07 Lubigi-Masanafu'!K53,'25.07 Lubigi-Masanafu'!K53,'26.07 Lubigi-Masanafu-24h'!K53,'27.07 Lubigi-Masanafu-24h'!K53,'28.07 Lubigi-Masanafu'!K53)</f>
        <v>9.2857142857142865</v>
      </c>
      <c r="L53" s="49">
        <f>AVERAGE('22.07 Lubigi-Masanafu'!L53,'23.07 Lubigi-Masanafu'!L53,'24.07 Lubigi-Masanafu'!L53,'25.07 Lubigi-Masanafu'!L53,'26.07 Lubigi-Masanafu-24h'!L53,'27.07 Lubigi-Masanafu-24h'!L53,'28.07 Lubigi-Masanafu'!L53)</f>
        <v>5.7142857142857144</v>
      </c>
      <c r="M53" s="49">
        <f>AVERAGE('22.07 Lubigi-Masanafu'!M53,'23.07 Lubigi-Masanafu'!M53,'24.07 Lubigi-Masanafu'!M53,'25.07 Lubigi-Masanafu'!M53,'26.07 Lubigi-Masanafu-24h'!M53,'27.07 Lubigi-Masanafu-24h'!M53,'28.07 Lubigi-Masanafu'!M53)</f>
        <v>148.71428571428572</v>
      </c>
      <c r="N53" s="49">
        <f>AVERAGE('22.07 Lubigi-Masanafu'!N53,'23.07 Lubigi-Masanafu'!N53,'24.07 Lubigi-Masanafu'!N53,'25.07 Lubigi-Masanafu'!N53,'26.07 Lubigi-Masanafu-24h'!N53,'27.07 Lubigi-Masanafu-24h'!N53,'28.07 Lubigi-Masanafu'!N53)</f>
        <v>0</v>
      </c>
      <c r="O53" s="15">
        <f t="shared" si="0"/>
        <v>210.57142857142858</v>
      </c>
      <c r="P53" s="15">
        <f t="shared" si="1"/>
        <v>359.28571428571433</v>
      </c>
      <c r="R53" s="8"/>
      <c r="T53"/>
    </row>
    <row r="54" spans="2:20" ht="23.1" customHeight="1" x14ac:dyDescent="0.25">
      <c r="B54" s="23" t="s">
        <v>81</v>
      </c>
      <c r="C54" s="49">
        <f>AVERAGE('22.07 Lubigi-Masanafu'!C54,'23.07 Lubigi-Masanafu'!C54,'24.07 Lubigi-Masanafu'!C54,'25.07 Lubigi-Masanafu'!C54,'26.07 Lubigi-Masanafu-24h'!C54,'27.07 Lubigi-Masanafu-24h'!C54,'28.07 Lubigi-Masanafu'!C54)</f>
        <v>96.714285714285708</v>
      </c>
      <c r="D54" s="49">
        <f>AVERAGE('22.07 Lubigi-Masanafu'!D54,'23.07 Lubigi-Masanafu'!D54,'24.07 Lubigi-Masanafu'!D54,'25.07 Lubigi-Masanafu'!D54,'26.07 Lubigi-Masanafu-24h'!D54,'27.07 Lubigi-Masanafu-24h'!D54,'28.07 Lubigi-Masanafu'!D54)</f>
        <v>20.571428571428573</v>
      </c>
      <c r="E54" s="49">
        <f>AVERAGE('22.07 Lubigi-Masanafu'!E54,'23.07 Lubigi-Masanafu'!E54,'24.07 Lubigi-Masanafu'!E54,'25.07 Lubigi-Masanafu'!E54,'26.07 Lubigi-Masanafu-24h'!E54,'27.07 Lubigi-Masanafu-24h'!E54,'28.07 Lubigi-Masanafu'!E54)</f>
        <v>13.714285714285714</v>
      </c>
      <c r="F54" s="49">
        <f>AVERAGE('22.07 Lubigi-Masanafu'!F54,'23.07 Lubigi-Masanafu'!F54,'24.07 Lubigi-Masanafu'!F54,'25.07 Lubigi-Masanafu'!F54,'26.07 Lubigi-Masanafu-24h'!F54,'27.07 Lubigi-Masanafu-24h'!F54,'28.07 Lubigi-Masanafu'!F54)</f>
        <v>25.285714285714285</v>
      </c>
      <c r="G54" s="49">
        <f>AVERAGE('22.07 Lubigi-Masanafu'!G54,'23.07 Lubigi-Masanafu'!G54,'24.07 Lubigi-Masanafu'!G54,'25.07 Lubigi-Masanafu'!G54,'26.07 Lubigi-Masanafu-24h'!G54,'27.07 Lubigi-Masanafu-24h'!G54,'28.07 Lubigi-Masanafu'!G54)</f>
        <v>2.2857142857142856</v>
      </c>
      <c r="H54" s="49">
        <f>AVERAGE('22.07 Lubigi-Masanafu'!H54,'23.07 Lubigi-Masanafu'!H54,'24.07 Lubigi-Masanafu'!H54,'25.07 Lubigi-Masanafu'!H54,'26.07 Lubigi-Masanafu-24h'!H54,'27.07 Lubigi-Masanafu-24h'!H54,'28.07 Lubigi-Masanafu'!H54)</f>
        <v>0.7142857142857143</v>
      </c>
      <c r="I54" s="49">
        <f>AVERAGE('22.07 Lubigi-Masanafu'!I54,'23.07 Lubigi-Masanafu'!I54,'24.07 Lubigi-Masanafu'!I54,'25.07 Lubigi-Masanafu'!I54,'26.07 Lubigi-Masanafu-24h'!I54,'27.07 Lubigi-Masanafu-24h'!I54,'28.07 Lubigi-Masanafu'!I54)</f>
        <v>13.571428571428571</v>
      </c>
      <c r="J54" s="49">
        <f>AVERAGE('22.07 Lubigi-Masanafu'!J54,'23.07 Lubigi-Masanafu'!J54,'24.07 Lubigi-Masanafu'!J54,'25.07 Lubigi-Masanafu'!J54,'26.07 Lubigi-Masanafu-24h'!J54,'27.07 Lubigi-Masanafu-24h'!J54,'28.07 Lubigi-Masanafu'!J54)</f>
        <v>11.714285714285714</v>
      </c>
      <c r="K54" s="49">
        <f>AVERAGE('22.07 Lubigi-Masanafu'!K54,'23.07 Lubigi-Masanafu'!K54,'24.07 Lubigi-Masanafu'!K54,'25.07 Lubigi-Masanafu'!K54,'26.07 Lubigi-Masanafu-24h'!K54,'27.07 Lubigi-Masanafu-24h'!K54,'28.07 Lubigi-Masanafu'!K54)</f>
        <v>8</v>
      </c>
      <c r="L54" s="49">
        <f>AVERAGE('22.07 Lubigi-Masanafu'!L54,'23.07 Lubigi-Masanafu'!L54,'24.07 Lubigi-Masanafu'!L54,'25.07 Lubigi-Masanafu'!L54,'26.07 Lubigi-Masanafu-24h'!L54,'27.07 Lubigi-Masanafu-24h'!L54,'28.07 Lubigi-Masanafu'!L54)</f>
        <v>3.5714285714285716</v>
      </c>
      <c r="M54" s="49">
        <f>AVERAGE('22.07 Lubigi-Masanafu'!M54,'23.07 Lubigi-Masanafu'!M54,'24.07 Lubigi-Masanafu'!M54,'25.07 Lubigi-Masanafu'!M54,'26.07 Lubigi-Masanafu-24h'!M54,'27.07 Lubigi-Masanafu-24h'!M54,'28.07 Lubigi-Masanafu'!M54)</f>
        <v>141.85714285714286</v>
      </c>
      <c r="N54" s="49">
        <f>AVERAGE('22.07 Lubigi-Masanafu'!N54,'23.07 Lubigi-Masanafu'!N54,'24.07 Lubigi-Masanafu'!N54,'25.07 Lubigi-Masanafu'!N54,'26.07 Lubigi-Masanafu-24h'!N54,'27.07 Lubigi-Masanafu-24h'!N54,'28.07 Lubigi-Masanafu'!N54)</f>
        <v>0</v>
      </c>
      <c r="O54" s="15">
        <f t="shared" si="0"/>
        <v>196.14285714285717</v>
      </c>
      <c r="P54" s="15">
        <f t="shared" si="1"/>
        <v>338</v>
      </c>
      <c r="R54" s="8"/>
      <c r="T54"/>
    </row>
    <row r="55" spans="2:20" ht="23.1" customHeight="1" x14ac:dyDescent="0.25">
      <c r="B55" s="23" t="s">
        <v>82</v>
      </c>
      <c r="C55" s="49">
        <f>AVERAGE('22.07 Lubigi-Masanafu'!C55,'23.07 Lubigi-Masanafu'!C55,'24.07 Lubigi-Masanafu'!C55,'25.07 Lubigi-Masanafu'!C55,'26.07 Lubigi-Masanafu-24h'!C55,'27.07 Lubigi-Masanafu-24h'!C55,'28.07 Lubigi-Masanafu'!C55)</f>
        <v>81.857142857142861</v>
      </c>
      <c r="D55" s="49">
        <f>AVERAGE('22.07 Lubigi-Masanafu'!D55,'23.07 Lubigi-Masanafu'!D55,'24.07 Lubigi-Masanafu'!D55,'25.07 Lubigi-Masanafu'!D55,'26.07 Lubigi-Masanafu-24h'!D55,'27.07 Lubigi-Masanafu-24h'!D55,'28.07 Lubigi-Masanafu'!D55)</f>
        <v>19.142857142857142</v>
      </c>
      <c r="E55" s="49">
        <f>AVERAGE('22.07 Lubigi-Masanafu'!E55,'23.07 Lubigi-Masanafu'!E55,'24.07 Lubigi-Masanafu'!E55,'25.07 Lubigi-Masanafu'!E55,'26.07 Lubigi-Masanafu-24h'!E55,'27.07 Lubigi-Masanafu-24h'!E55,'28.07 Lubigi-Masanafu'!E55)</f>
        <v>15.285714285714286</v>
      </c>
      <c r="F55" s="49">
        <f>AVERAGE('22.07 Lubigi-Masanafu'!F55,'23.07 Lubigi-Masanafu'!F55,'24.07 Lubigi-Masanafu'!F55,'25.07 Lubigi-Masanafu'!F55,'26.07 Lubigi-Masanafu-24h'!F55,'27.07 Lubigi-Masanafu-24h'!F55,'28.07 Lubigi-Masanafu'!F55)</f>
        <v>26.857142857142858</v>
      </c>
      <c r="G55" s="49">
        <f>AVERAGE('22.07 Lubigi-Masanafu'!G55,'23.07 Lubigi-Masanafu'!G55,'24.07 Lubigi-Masanafu'!G55,'25.07 Lubigi-Masanafu'!G55,'26.07 Lubigi-Masanafu-24h'!G55,'27.07 Lubigi-Masanafu-24h'!G55,'28.07 Lubigi-Masanafu'!G55)</f>
        <v>2.2857142857142856</v>
      </c>
      <c r="H55" s="49">
        <f>AVERAGE('22.07 Lubigi-Masanafu'!H55,'23.07 Lubigi-Masanafu'!H55,'24.07 Lubigi-Masanafu'!H55,'25.07 Lubigi-Masanafu'!H55,'26.07 Lubigi-Masanafu-24h'!H55,'27.07 Lubigi-Masanafu-24h'!H55,'28.07 Lubigi-Masanafu'!H55)</f>
        <v>1.4285714285714286</v>
      </c>
      <c r="I55" s="49">
        <f>AVERAGE('22.07 Lubigi-Masanafu'!I55,'23.07 Lubigi-Masanafu'!I55,'24.07 Lubigi-Masanafu'!I55,'25.07 Lubigi-Masanafu'!I55,'26.07 Lubigi-Masanafu-24h'!I55,'27.07 Lubigi-Masanafu-24h'!I55,'28.07 Lubigi-Masanafu'!I55)</f>
        <v>10.285714285714286</v>
      </c>
      <c r="J55" s="49">
        <f>AVERAGE('22.07 Lubigi-Masanafu'!J55,'23.07 Lubigi-Masanafu'!J55,'24.07 Lubigi-Masanafu'!J55,'25.07 Lubigi-Masanafu'!J55,'26.07 Lubigi-Masanafu-24h'!J55,'27.07 Lubigi-Masanafu-24h'!J55,'28.07 Lubigi-Masanafu'!J55)</f>
        <v>13.714285714285714</v>
      </c>
      <c r="K55" s="49">
        <f>AVERAGE('22.07 Lubigi-Masanafu'!K55,'23.07 Lubigi-Masanafu'!K55,'24.07 Lubigi-Masanafu'!K55,'25.07 Lubigi-Masanafu'!K55,'26.07 Lubigi-Masanafu-24h'!K55,'27.07 Lubigi-Masanafu-24h'!K55,'28.07 Lubigi-Masanafu'!K55)</f>
        <v>5.2857142857142856</v>
      </c>
      <c r="L55" s="49">
        <f>AVERAGE('22.07 Lubigi-Masanafu'!L55,'23.07 Lubigi-Masanafu'!L55,'24.07 Lubigi-Masanafu'!L55,'25.07 Lubigi-Masanafu'!L55,'26.07 Lubigi-Masanafu-24h'!L55,'27.07 Lubigi-Masanafu-24h'!L55,'28.07 Lubigi-Masanafu'!L55)</f>
        <v>6.5714285714285712</v>
      </c>
      <c r="M55" s="49">
        <f>AVERAGE('22.07 Lubigi-Masanafu'!M55,'23.07 Lubigi-Masanafu'!M55,'24.07 Lubigi-Masanafu'!M55,'25.07 Lubigi-Masanafu'!M55,'26.07 Lubigi-Masanafu-24h'!M55,'27.07 Lubigi-Masanafu-24h'!M55,'28.07 Lubigi-Masanafu'!M55)</f>
        <v>141</v>
      </c>
      <c r="N55" s="49">
        <f>AVERAGE('22.07 Lubigi-Masanafu'!N55,'23.07 Lubigi-Masanafu'!N55,'24.07 Lubigi-Masanafu'!N55,'25.07 Lubigi-Masanafu'!N55,'26.07 Lubigi-Masanafu-24h'!N55,'27.07 Lubigi-Masanafu-24h'!N55,'28.07 Lubigi-Masanafu'!N55)</f>
        <v>0</v>
      </c>
      <c r="O55" s="15">
        <f t="shared" si="0"/>
        <v>182.71428571428569</v>
      </c>
      <c r="P55" s="15">
        <f t="shared" si="1"/>
        <v>323.71428571428567</v>
      </c>
      <c r="R55" s="8"/>
      <c r="T55"/>
    </row>
    <row r="56" spans="2:20" ht="23.1" customHeight="1" x14ac:dyDescent="0.25">
      <c r="B56" s="23" t="s">
        <v>83</v>
      </c>
      <c r="C56" s="49">
        <f>AVERAGE('22.07 Lubigi-Masanafu'!C56,'23.07 Lubigi-Masanafu'!C56,'24.07 Lubigi-Masanafu'!C56,'25.07 Lubigi-Masanafu'!C56,'26.07 Lubigi-Masanafu-24h'!C56,'27.07 Lubigi-Masanafu-24h'!C56,'28.07 Lubigi-Masanafu'!C56)</f>
        <v>79.285714285714292</v>
      </c>
      <c r="D56" s="49">
        <f>AVERAGE('22.07 Lubigi-Masanafu'!D56,'23.07 Lubigi-Masanafu'!D56,'24.07 Lubigi-Masanafu'!D56,'25.07 Lubigi-Masanafu'!D56,'26.07 Lubigi-Masanafu-24h'!D56,'27.07 Lubigi-Masanafu-24h'!D56,'28.07 Lubigi-Masanafu'!D56)</f>
        <v>23</v>
      </c>
      <c r="E56" s="49">
        <f>AVERAGE('22.07 Lubigi-Masanafu'!E56,'23.07 Lubigi-Masanafu'!E56,'24.07 Lubigi-Masanafu'!E56,'25.07 Lubigi-Masanafu'!E56,'26.07 Lubigi-Masanafu-24h'!E56,'27.07 Lubigi-Masanafu-24h'!E56,'28.07 Lubigi-Masanafu'!E56)</f>
        <v>16.428571428571427</v>
      </c>
      <c r="F56" s="49">
        <f>AVERAGE('22.07 Lubigi-Masanafu'!F56,'23.07 Lubigi-Masanafu'!F56,'24.07 Lubigi-Masanafu'!F56,'25.07 Lubigi-Masanafu'!F56,'26.07 Lubigi-Masanafu-24h'!F56,'27.07 Lubigi-Masanafu-24h'!F56,'28.07 Lubigi-Masanafu'!F56)</f>
        <v>32.714285714285715</v>
      </c>
      <c r="G56" s="49">
        <f>AVERAGE('22.07 Lubigi-Masanafu'!G56,'23.07 Lubigi-Masanafu'!G56,'24.07 Lubigi-Masanafu'!G56,'25.07 Lubigi-Masanafu'!G56,'26.07 Lubigi-Masanafu-24h'!G56,'27.07 Lubigi-Masanafu-24h'!G56,'28.07 Lubigi-Masanafu'!G56)</f>
        <v>3.8571428571428572</v>
      </c>
      <c r="H56" s="49">
        <f>AVERAGE('22.07 Lubigi-Masanafu'!H56,'23.07 Lubigi-Masanafu'!H56,'24.07 Lubigi-Masanafu'!H56,'25.07 Lubigi-Masanafu'!H56,'26.07 Lubigi-Masanafu-24h'!H56,'27.07 Lubigi-Masanafu-24h'!H56,'28.07 Lubigi-Masanafu'!H56)</f>
        <v>0.42857142857142855</v>
      </c>
      <c r="I56" s="49">
        <f>AVERAGE('22.07 Lubigi-Masanafu'!I56,'23.07 Lubigi-Masanafu'!I56,'24.07 Lubigi-Masanafu'!I56,'25.07 Lubigi-Masanafu'!I56,'26.07 Lubigi-Masanafu-24h'!I56,'27.07 Lubigi-Masanafu-24h'!I56,'28.07 Lubigi-Masanafu'!I56)</f>
        <v>13</v>
      </c>
      <c r="J56" s="49">
        <f>AVERAGE('22.07 Lubigi-Masanafu'!J56,'23.07 Lubigi-Masanafu'!J56,'24.07 Lubigi-Masanafu'!J56,'25.07 Lubigi-Masanafu'!J56,'26.07 Lubigi-Masanafu-24h'!J56,'27.07 Lubigi-Masanafu-24h'!J56,'28.07 Lubigi-Masanafu'!J56)</f>
        <v>11.857142857142858</v>
      </c>
      <c r="K56" s="49">
        <f>AVERAGE('22.07 Lubigi-Masanafu'!K56,'23.07 Lubigi-Masanafu'!K56,'24.07 Lubigi-Masanafu'!K56,'25.07 Lubigi-Masanafu'!K56,'26.07 Lubigi-Masanafu-24h'!K56,'27.07 Lubigi-Masanafu-24h'!K56,'28.07 Lubigi-Masanafu'!K56)</f>
        <v>6</v>
      </c>
      <c r="L56" s="49">
        <f>AVERAGE('22.07 Lubigi-Masanafu'!L56,'23.07 Lubigi-Masanafu'!L56,'24.07 Lubigi-Masanafu'!L56,'25.07 Lubigi-Masanafu'!L56,'26.07 Lubigi-Masanafu-24h'!L56,'27.07 Lubigi-Masanafu-24h'!L56,'28.07 Lubigi-Masanafu'!L56)</f>
        <v>7.8571428571428568</v>
      </c>
      <c r="M56" s="49">
        <f>AVERAGE('22.07 Lubigi-Masanafu'!M56,'23.07 Lubigi-Masanafu'!M56,'24.07 Lubigi-Masanafu'!M56,'25.07 Lubigi-Masanafu'!M56,'26.07 Lubigi-Masanafu-24h'!M56,'27.07 Lubigi-Masanafu-24h'!M56,'28.07 Lubigi-Masanafu'!M56)</f>
        <v>128</v>
      </c>
      <c r="N56" s="49">
        <f>AVERAGE('22.07 Lubigi-Masanafu'!N56,'23.07 Lubigi-Masanafu'!N56,'24.07 Lubigi-Masanafu'!N56,'25.07 Lubigi-Masanafu'!N56,'26.07 Lubigi-Masanafu-24h'!N56,'27.07 Lubigi-Masanafu-24h'!N56,'28.07 Lubigi-Masanafu'!N56)</f>
        <v>0</v>
      </c>
      <c r="O56" s="15">
        <f t="shared" si="0"/>
        <v>194.42857142857144</v>
      </c>
      <c r="P56" s="15">
        <f t="shared" si="1"/>
        <v>322.42857142857144</v>
      </c>
      <c r="R56" s="8"/>
      <c r="T56"/>
    </row>
    <row r="57" spans="2:20" ht="23.1" customHeight="1" x14ac:dyDescent="0.25">
      <c r="B57" s="23" t="s">
        <v>84</v>
      </c>
      <c r="C57" s="49">
        <f>AVERAGE('22.07 Lubigi-Masanafu'!C57,'23.07 Lubigi-Masanafu'!C57,'24.07 Lubigi-Masanafu'!C57,'25.07 Lubigi-Masanafu'!C57,'26.07 Lubigi-Masanafu-24h'!C57,'27.07 Lubigi-Masanafu-24h'!C57,'28.07 Lubigi-Masanafu'!C57)</f>
        <v>84</v>
      </c>
      <c r="D57" s="49">
        <f>AVERAGE('22.07 Lubigi-Masanafu'!D57,'23.07 Lubigi-Masanafu'!D57,'24.07 Lubigi-Masanafu'!D57,'25.07 Lubigi-Masanafu'!D57,'26.07 Lubigi-Masanafu-24h'!D57,'27.07 Lubigi-Masanafu-24h'!D57,'28.07 Lubigi-Masanafu'!D57)</f>
        <v>20.285714285714285</v>
      </c>
      <c r="E57" s="49">
        <f>AVERAGE('22.07 Lubigi-Masanafu'!E57,'23.07 Lubigi-Masanafu'!E57,'24.07 Lubigi-Masanafu'!E57,'25.07 Lubigi-Masanafu'!E57,'26.07 Lubigi-Masanafu-24h'!E57,'27.07 Lubigi-Masanafu-24h'!E57,'28.07 Lubigi-Masanafu'!E57)</f>
        <v>14.714285714285714</v>
      </c>
      <c r="F57" s="49">
        <f>AVERAGE('22.07 Lubigi-Masanafu'!F57,'23.07 Lubigi-Masanafu'!F57,'24.07 Lubigi-Masanafu'!F57,'25.07 Lubigi-Masanafu'!F57,'26.07 Lubigi-Masanafu-24h'!F57,'27.07 Lubigi-Masanafu-24h'!F57,'28.07 Lubigi-Masanafu'!F57)</f>
        <v>30.428571428571427</v>
      </c>
      <c r="G57" s="49">
        <f>AVERAGE('22.07 Lubigi-Masanafu'!G57,'23.07 Lubigi-Masanafu'!G57,'24.07 Lubigi-Masanafu'!G57,'25.07 Lubigi-Masanafu'!G57,'26.07 Lubigi-Masanafu-24h'!G57,'27.07 Lubigi-Masanafu-24h'!G57,'28.07 Lubigi-Masanafu'!G57)</f>
        <v>4.7142857142857144</v>
      </c>
      <c r="H57" s="49">
        <f>AVERAGE('22.07 Lubigi-Masanafu'!H57,'23.07 Lubigi-Masanafu'!H57,'24.07 Lubigi-Masanafu'!H57,'25.07 Lubigi-Masanafu'!H57,'26.07 Lubigi-Masanafu-24h'!H57,'27.07 Lubigi-Masanafu-24h'!H57,'28.07 Lubigi-Masanafu'!H57)</f>
        <v>0.42857142857142855</v>
      </c>
      <c r="I57" s="49">
        <f>AVERAGE('22.07 Lubigi-Masanafu'!I57,'23.07 Lubigi-Masanafu'!I57,'24.07 Lubigi-Masanafu'!I57,'25.07 Lubigi-Masanafu'!I57,'26.07 Lubigi-Masanafu-24h'!I57,'27.07 Lubigi-Masanafu-24h'!I57,'28.07 Lubigi-Masanafu'!I57)</f>
        <v>13.714285714285714</v>
      </c>
      <c r="J57" s="49">
        <f>AVERAGE('22.07 Lubigi-Masanafu'!J57,'23.07 Lubigi-Masanafu'!J57,'24.07 Lubigi-Masanafu'!J57,'25.07 Lubigi-Masanafu'!J57,'26.07 Lubigi-Masanafu-24h'!J57,'27.07 Lubigi-Masanafu-24h'!J57,'28.07 Lubigi-Masanafu'!J57)</f>
        <v>14.714285714285714</v>
      </c>
      <c r="K57" s="49">
        <f>AVERAGE('22.07 Lubigi-Masanafu'!K57,'23.07 Lubigi-Masanafu'!K57,'24.07 Lubigi-Masanafu'!K57,'25.07 Lubigi-Masanafu'!K57,'26.07 Lubigi-Masanafu-24h'!K57,'27.07 Lubigi-Masanafu-24h'!K57,'28.07 Lubigi-Masanafu'!K57)</f>
        <v>4.1428571428571432</v>
      </c>
      <c r="L57" s="49">
        <f>AVERAGE('22.07 Lubigi-Masanafu'!L57,'23.07 Lubigi-Masanafu'!L57,'24.07 Lubigi-Masanafu'!L57,'25.07 Lubigi-Masanafu'!L57,'26.07 Lubigi-Masanafu-24h'!L57,'27.07 Lubigi-Masanafu-24h'!L57,'28.07 Lubigi-Masanafu'!L57)</f>
        <v>5.2857142857142856</v>
      </c>
      <c r="M57" s="49">
        <f>AVERAGE('22.07 Lubigi-Masanafu'!M57,'23.07 Lubigi-Masanafu'!M57,'24.07 Lubigi-Masanafu'!M57,'25.07 Lubigi-Masanafu'!M57,'26.07 Lubigi-Masanafu-24h'!M57,'27.07 Lubigi-Masanafu-24h'!M57,'28.07 Lubigi-Masanafu'!M57)</f>
        <v>152</v>
      </c>
      <c r="N57" s="49">
        <f>AVERAGE('22.07 Lubigi-Masanafu'!N57,'23.07 Lubigi-Masanafu'!N57,'24.07 Lubigi-Masanafu'!N57,'25.07 Lubigi-Masanafu'!N57,'26.07 Lubigi-Masanafu-24h'!N57,'27.07 Lubigi-Masanafu-24h'!N57,'28.07 Lubigi-Masanafu'!N57)</f>
        <v>0</v>
      </c>
      <c r="O57" s="15">
        <f t="shared" si="0"/>
        <v>192.42857142857142</v>
      </c>
      <c r="P57" s="15">
        <f t="shared" si="1"/>
        <v>344.42857142857144</v>
      </c>
      <c r="R57" s="8"/>
      <c r="T57"/>
    </row>
    <row r="58" spans="2:20" ht="23.1" customHeight="1" x14ac:dyDescent="0.25">
      <c r="B58" s="23" t="s">
        <v>99</v>
      </c>
      <c r="C58" s="49">
        <f>AVERAGE('26.07 Lubigi-Masanafu-24h'!C58,'27.07 Lubigi-Masanafu-24h'!C58)</f>
        <v>107</v>
      </c>
      <c r="D58" s="49">
        <f>AVERAGE('26.07 Lubigi-Masanafu-24h'!D58,'27.07 Lubigi-Masanafu-24h'!D58)</f>
        <v>46</v>
      </c>
      <c r="E58" s="49">
        <f>AVERAGE('26.07 Lubigi-Masanafu-24h'!E58,'27.07 Lubigi-Masanafu-24h'!E58)</f>
        <v>38.5</v>
      </c>
      <c r="F58" s="49">
        <f>AVERAGE('26.07 Lubigi-Masanafu-24h'!F58,'27.07 Lubigi-Masanafu-24h'!F58)</f>
        <v>48</v>
      </c>
      <c r="G58" s="49">
        <f>AVERAGE('26.07 Lubigi-Masanafu-24h'!G58,'27.07 Lubigi-Masanafu-24h'!G58)</f>
        <v>4</v>
      </c>
      <c r="H58" s="49">
        <f>AVERAGE('26.07 Lubigi-Masanafu-24h'!H58,'27.07 Lubigi-Masanafu-24h'!H58)</f>
        <v>1</v>
      </c>
      <c r="I58" s="49">
        <f>AVERAGE('26.07 Lubigi-Masanafu-24h'!I58,'27.07 Lubigi-Masanafu-24h'!I58)</f>
        <v>17.5</v>
      </c>
      <c r="J58" s="49">
        <f>AVERAGE('26.07 Lubigi-Masanafu-24h'!J58,'27.07 Lubigi-Masanafu-24h'!J58)</f>
        <v>29</v>
      </c>
      <c r="K58" s="49">
        <f>AVERAGE('26.07 Lubigi-Masanafu-24h'!K58,'27.07 Lubigi-Masanafu-24h'!K58)</f>
        <v>12.5</v>
      </c>
      <c r="L58" s="49">
        <f>AVERAGE('26.07 Lubigi-Masanafu-24h'!L58,'27.07 Lubigi-Masanafu-24h'!L58)</f>
        <v>5</v>
      </c>
      <c r="M58" s="49">
        <f>AVERAGE('26.07 Lubigi-Masanafu-24h'!M58,'27.07 Lubigi-Masanafu-24h'!M58)</f>
        <v>151.5</v>
      </c>
      <c r="N58" s="49">
        <f>AVERAGE('26.07 Lubigi-Masanafu-24h'!N58,'27.07 Lubigi-Masanafu-24h'!N58)</f>
        <v>0</v>
      </c>
      <c r="O58" s="15">
        <f t="shared" si="0"/>
        <v>308.5</v>
      </c>
      <c r="P58" s="15">
        <f t="shared" si="1"/>
        <v>460</v>
      </c>
      <c r="R58" s="8"/>
      <c r="T58"/>
    </row>
    <row r="59" spans="2:20" ht="23.1" customHeight="1" x14ac:dyDescent="0.25">
      <c r="B59" s="23" t="s">
        <v>100</v>
      </c>
      <c r="C59" s="49">
        <f>AVERAGE('26.07 Lubigi-Masanafu-24h'!C59,'27.07 Lubigi-Masanafu-24h'!C59)</f>
        <v>96.5</v>
      </c>
      <c r="D59" s="49">
        <f>AVERAGE('26.07 Lubigi-Masanafu-24h'!D59,'27.07 Lubigi-Masanafu-24h'!D59)</f>
        <v>51</v>
      </c>
      <c r="E59" s="49">
        <f>AVERAGE('26.07 Lubigi-Masanafu-24h'!E59,'27.07 Lubigi-Masanafu-24h'!E59)</f>
        <v>50</v>
      </c>
      <c r="F59" s="49">
        <f>AVERAGE('26.07 Lubigi-Masanafu-24h'!F59,'27.07 Lubigi-Masanafu-24h'!F59)</f>
        <v>71.5</v>
      </c>
      <c r="G59" s="49">
        <f>AVERAGE('26.07 Lubigi-Masanafu-24h'!G59,'27.07 Lubigi-Masanafu-24h'!G59)</f>
        <v>2</v>
      </c>
      <c r="H59" s="49">
        <f>AVERAGE('26.07 Lubigi-Masanafu-24h'!H59,'27.07 Lubigi-Masanafu-24h'!H59)</f>
        <v>0.5</v>
      </c>
      <c r="I59" s="49">
        <f>AVERAGE('26.07 Lubigi-Masanafu-24h'!I59,'27.07 Lubigi-Masanafu-24h'!I59)</f>
        <v>28</v>
      </c>
      <c r="J59" s="49">
        <f>AVERAGE('26.07 Lubigi-Masanafu-24h'!J59,'27.07 Lubigi-Masanafu-24h'!J59)</f>
        <v>35.5</v>
      </c>
      <c r="K59" s="49">
        <f>AVERAGE('26.07 Lubigi-Masanafu-24h'!K59,'27.07 Lubigi-Masanafu-24h'!K59)</f>
        <v>13.5</v>
      </c>
      <c r="L59" s="49">
        <f>AVERAGE('26.07 Lubigi-Masanafu-24h'!L59,'27.07 Lubigi-Masanafu-24h'!L59)</f>
        <v>8</v>
      </c>
      <c r="M59" s="49">
        <f>AVERAGE('26.07 Lubigi-Masanafu-24h'!M59,'27.07 Lubigi-Masanafu-24h'!M59)</f>
        <v>124</v>
      </c>
      <c r="N59" s="49">
        <f>AVERAGE('26.07 Lubigi-Masanafu-24h'!N59,'27.07 Lubigi-Masanafu-24h'!N59)</f>
        <v>0</v>
      </c>
      <c r="O59" s="15">
        <f t="shared" si="0"/>
        <v>356.5</v>
      </c>
      <c r="P59" s="15">
        <f t="shared" si="1"/>
        <v>480.5</v>
      </c>
      <c r="R59" s="8"/>
      <c r="T59"/>
    </row>
    <row r="60" spans="2:20" ht="23.1" customHeight="1" x14ac:dyDescent="0.25">
      <c r="B60" s="23" t="s">
        <v>101</v>
      </c>
      <c r="C60" s="49">
        <f>AVERAGE('26.07 Lubigi-Masanafu-24h'!C60,'27.07 Lubigi-Masanafu-24h'!C60)</f>
        <v>77.5</v>
      </c>
      <c r="D60" s="49">
        <f>AVERAGE('26.07 Lubigi-Masanafu-24h'!D60,'27.07 Lubigi-Masanafu-24h'!D60)</f>
        <v>38</v>
      </c>
      <c r="E60" s="49">
        <f>AVERAGE('26.07 Lubigi-Masanafu-24h'!E60,'27.07 Lubigi-Masanafu-24h'!E60)</f>
        <v>41</v>
      </c>
      <c r="F60" s="49">
        <f>AVERAGE('26.07 Lubigi-Masanafu-24h'!F60,'27.07 Lubigi-Masanafu-24h'!F60)</f>
        <v>52</v>
      </c>
      <c r="G60" s="49">
        <f>AVERAGE('26.07 Lubigi-Masanafu-24h'!G60,'27.07 Lubigi-Masanafu-24h'!G60)</f>
        <v>2</v>
      </c>
      <c r="H60" s="49">
        <f>AVERAGE('26.07 Lubigi-Masanafu-24h'!H60,'27.07 Lubigi-Masanafu-24h'!H60)</f>
        <v>0.5</v>
      </c>
      <c r="I60" s="49">
        <f>AVERAGE('26.07 Lubigi-Masanafu-24h'!I60,'27.07 Lubigi-Masanafu-24h'!I60)</f>
        <v>19.5</v>
      </c>
      <c r="J60" s="49">
        <f>AVERAGE('26.07 Lubigi-Masanafu-24h'!J60,'27.07 Lubigi-Masanafu-24h'!J60)</f>
        <v>29</v>
      </c>
      <c r="K60" s="49">
        <f>AVERAGE('26.07 Lubigi-Masanafu-24h'!K60,'27.07 Lubigi-Masanafu-24h'!K60)</f>
        <v>13</v>
      </c>
      <c r="L60" s="49">
        <f>AVERAGE('26.07 Lubigi-Masanafu-24h'!L60,'27.07 Lubigi-Masanafu-24h'!L60)</f>
        <v>7</v>
      </c>
      <c r="M60" s="49">
        <f>AVERAGE('26.07 Lubigi-Masanafu-24h'!M60,'27.07 Lubigi-Masanafu-24h'!M60)</f>
        <v>119</v>
      </c>
      <c r="N60" s="49">
        <f>AVERAGE('26.07 Lubigi-Masanafu-24h'!N60,'27.07 Lubigi-Masanafu-24h'!N60)</f>
        <v>0</v>
      </c>
      <c r="O60" s="15">
        <f t="shared" si="0"/>
        <v>279.5</v>
      </c>
      <c r="P60" s="15">
        <f t="shared" si="1"/>
        <v>398.5</v>
      </c>
      <c r="R60" s="8"/>
      <c r="T60"/>
    </row>
    <row r="61" spans="2:20" ht="23.1" customHeight="1" x14ac:dyDescent="0.25">
      <c r="B61" s="23" t="s">
        <v>102</v>
      </c>
      <c r="C61" s="49">
        <f>AVERAGE('26.07 Lubigi-Masanafu-24h'!C61,'27.07 Lubigi-Masanafu-24h'!C61)</f>
        <v>99.5</v>
      </c>
      <c r="D61" s="49">
        <f>AVERAGE('26.07 Lubigi-Masanafu-24h'!D61,'27.07 Lubigi-Masanafu-24h'!D61)</f>
        <v>46</v>
      </c>
      <c r="E61" s="49">
        <f>AVERAGE('26.07 Lubigi-Masanafu-24h'!E61,'27.07 Lubigi-Masanafu-24h'!E61)</f>
        <v>54.5</v>
      </c>
      <c r="F61" s="49">
        <f>AVERAGE('26.07 Lubigi-Masanafu-24h'!F61,'27.07 Lubigi-Masanafu-24h'!F61)</f>
        <v>61.5</v>
      </c>
      <c r="G61" s="49">
        <f>AVERAGE('26.07 Lubigi-Masanafu-24h'!G61,'27.07 Lubigi-Masanafu-24h'!G61)</f>
        <v>4</v>
      </c>
      <c r="H61" s="49">
        <f>AVERAGE('26.07 Lubigi-Masanafu-24h'!H61,'27.07 Lubigi-Masanafu-24h'!H61)</f>
        <v>2.5</v>
      </c>
      <c r="I61" s="49">
        <f>AVERAGE('26.07 Lubigi-Masanafu-24h'!I61,'27.07 Lubigi-Masanafu-24h'!I61)</f>
        <v>34</v>
      </c>
      <c r="J61" s="49">
        <f>AVERAGE('26.07 Lubigi-Masanafu-24h'!J61,'27.07 Lubigi-Masanafu-24h'!J61)</f>
        <v>49</v>
      </c>
      <c r="K61" s="49">
        <f>AVERAGE('26.07 Lubigi-Masanafu-24h'!K61,'27.07 Lubigi-Masanafu-24h'!K61)</f>
        <v>25.5</v>
      </c>
      <c r="L61" s="49">
        <f>AVERAGE('26.07 Lubigi-Masanafu-24h'!L61,'27.07 Lubigi-Masanafu-24h'!L61)</f>
        <v>20.5</v>
      </c>
      <c r="M61" s="49">
        <f>AVERAGE('26.07 Lubigi-Masanafu-24h'!M61,'27.07 Lubigi-Masanafu-24h'!M61)</f>
        <v>135.5</v>
      </c>
      <c r="N61" s="49">
        <f>AVERAGE('26.07 Lubigi-Masanafu-24h'!N61,'27.07 Lubigi-Masanafu-24h'!N61)</f>
        <v>0</v>
      </c>
      <c r="O61" s="15">
        <f t="shared" si="0"/>
        <v>397</v>
      </c>
      <c r="P61" s="15">
        <f t="shared" si="1"/>
        <v>532.5</v>
      </c>
      <c r="R61" s="8"/>
      <c r="T61"/>
    </row>
    <row r="62" spans="2:20" ht="23.1" customHeight="1" x14ac:dyDescent="0.25">
      <c r="B62" s="23" t="s">
        <v>107</v>
      </c>
      <c r="C62" s="49">
        <f>AVERAGE('26.07 Lubigi-Masanafu-24h'!C62,'27.07 Lubigi-Masanafu-24h'!C62)</f>
        <v>99</v>
      </c>
      <c r="D62" s="49">
        <f>AVERAGE('26.07 Lubigi-Masanafu-24h'!D62,'27.07 Lubigi-Masanafu-24h'!D62)</f>
        <v>60</v>
      </c>
      <c r="E62" s="49">
        <f>AVERAGE('26.07 Lubigi-Masanafu-24h'!E62,'27.07 Lubigi-Masanafu-24h'!E62)</f>
        <v>59</v>
      </c>
      <c r="F62" s="49">
        <f>AVERAGE('26.07 Lubigi-Masanafu-24h'!F62,'27.07 Lubigi-Masanafu-24h'!F62)</f>
        <v>52</v>
      </c>
      <c r="G62" s="49">
        <f>AVERAGE('26.07 Lubigi-Masanafu-24h'!G62,'27.07 Lubigi-Masanafu-24h'!G62)</f>
        <v>2</v>
      </c>
      <c r="H62" s="49">
        <f>AVERAGE('26.07 Lubigi-Masanafu-24h'!H62,'27.07 Lubigi-Masanafu-24h'!H62)</f>
        <v>0</v>
      </c>
      <c r="I62" s="49">
        <f>AVERAGE('26.07 Lubigi-Masanafu-24h'!I62,'27.07 Lubigi-Masanafu-24h'!I62)</f>
        <v>37.5</v>
      </c>
      <c r="J62" s="49">
        <f>AVERAGE('26.07 Lubigi-Masanafu-24h'!J62,'27.07 Lubigi-Masanafu-24h'!J62)</f>
        <v>28</v>
      </c>
      <c r="K62" s="49">
        <f>AVERAGE('26.07 Lubigi-Masanafu-24h'!K62,'27.07 Lubigi-Masanafu-24h'!K62)</f>
        <v>32</v>
      </c>
      <c r="L62" s="49">
        <f>AVERAGE('26.07 Lubigi-Masanafu-24h'!L62,'27.07 Lubigi-Masanafu-24h'!L62)</f>
        <v>23</v>
      </c>
      <c r="M62" s="49">
        <f>AVERAGE('26.07 Lubigi-Masanafu-24h'!M62,'27.07 Lubigi-Masanafu-24h'!M62)</f>
        <v>99</v>
      </c>
      <c r="N62" s="49">
        <f>AVERAGE('26.07 Lubigi-Masanafu-24h'!N62,'27.07 Lubigi-Masanafu-24h'!N62)</f>
        <v>0</v>
      </c>
      <c r="O62" s="15">
        <f t="shared" si="0"/>
        <v>392.5</v>
      </c>
      <c r="P62" s="15">
        <f t="shared" si="1"/>
        <v>491.5</v>
      </c>
      <c r="R62" s="8"/>
      <c r="T62"/>
    </row>
    <row r="63" spans="2:20" ht="23.1" customHeight="1" x14ac:dyDescent="0.25">
      <c r="B63" s="23" t="s">
        <v>108</v>
      </c>
      <c r="C63" s="49">
        <f>AVERAGE('26.07 Lubigi-Masanafu-24h'!C63,'27.07 Lubigi-Masanafu-24h'!C63)</f>
        <v>83.5</v>
      </c>
      <c r="D63" s="49">
        <f>AVERAGE('26.07 Lubigi-Masanafu-24h'!D63,'27.07 Lubigi-Masanafu-24h'!D63)</f>
        <v>56.5</v>
      </c>
      <c r="E63" s="49">
        <f>AVERAGE('26.07 Lubigi-Masanafu-24h'!E63,'27.07 Lubigi-Masanafu-24h'!E63)</f>
        <v>60.5</v>
      </c>
      <c r="F63" s="49">
        <f>AVERAGE('26.07 Lubigi-Masanafu-24h'!F63,'27.07 Lubigi-Masanafu-24h'!F63)</f>
        <v>75</v>
      </c>
      <c r="G63" s="49">
        <f>AVERAGE('26.07 Lubigi-Masanafu-24h'!G63,'27.07 Lubigi-Masanafu-24h'!G63)</f>
        <v>0.5</v>
      </c>
      <c r="H63" s="49">
        <f>AVERAGE('26.07 Lubigi-Masanafu-24h'!H63,'27.07 Lubigi-Masanafu-24h'!H63)</f>
        <v>2.5</v>
      </c>
      <c r="I63" s="49">
        <f>AVERAGE('26.07 Lubigi-Masanafu-24h'!I63,'27.07 Lubigi-Masanafu-24h'!I63)</f>
        <v>20</v>
      </c>
      <c r="J63" s="49">
        <f>AVERAGE('26.07 Lubigi-Masanafu-24h'!J63,'27.07 Lubigi-Masanafu-24h'!J63)</f>
        <v>53</v>
      </c>
      <c r="K63" s="49">
        <f>AVERAGE('26.07 Lubigi-Masanafu-24h'!K63,'27.07 Lubigi-Masanafu-24h'!K63)</f>
        <v>48.5</v>
      </c>
      <c r="L63" s="49">
        <f>AVERAGE('26.07 Lubigi-Masanafu-24h'!L63,'27.07 Lubigi-Masanafu-24h'!L63)</f>
        <v>16</v>
      </c>
      <c r="M63" s="49">
        <f>AVERAGE('26.07 Lubigi-Masanafu-24h'!M63,'27.07 Lubigi-Masanafu-24h'!M63)</f>
        <v>111.5</v>
      </c>
      <c r="N63" s="49">
        <f>AVERAGE('26.07 Lubigi-Masanafu-24h'!N63,'27.07 Lubigi-Masanafu-24h'!N63)</f>
        <v>0</v>
      </c>
      <c r="O63" s="15">
        <f t="shared" si="0"/>
        <v>416</v>
      </c>
      <c r="P63" s="15">
        <f t="shared" si="1"/>
        <v>527.5</v>
      </c>
      <c r="R63" s="8"/>
      <c r="T63"/>
    </row>
    <row r="64" spans="2:20" ht="23.1" customHeight="1" x14ac:dyDescent="0.25">
      <c r="B64" s="23" t="s">
        <v>109</v>
      </c>
      <c r="C64" s="49">
        <f>AVERAGE('26.07 Lubigi-Masanafu-24h'!C64,'27.07 Lubigi-Masanafu-24h'!C64)</f>
        <v>60.5</v>
      </c>
      <c r="D64" s="49">
        <f>AVERAGE('26.07 Lubigi-Masanafu-24h'!D64,'27.07 Lubigi-Masanafu-24h'!D64)</f>
        <v>53.5</v>
      </c>
      <c r="E64" s="49">
        <f>AVERAGE('26.07 Lubigi-Masanafu-24h'!E64,'27.07 Lubigi-Masanafu-24h'!E64)</f>
        <v>53.5</v>
      </c>
      <c r="F64" s="49">
        <f>AVERAGE('26.07 Lubigi-Masanafu-24h'!F64,'27.07 Lubigi-Masanafu-24h'!F64)</f>
        <v>65.5</v>
      </c>
      <c r="G64" s="49">
        <f>AVERAGE('26.07 Lubigi-Masanafu-24h'!G64,'27.07 Lubigi-Masanafu-24h'!G64)</f>
        <v>0</v>
      </c>
      <c r="H64" s="49">
        <f>AVERAGE('26.07 Lubigi-Masanafu-24h'!H64,'27.07 Lubigi-Masanafu-24h'!H64)</f>
        <v>0</v>
      </c>
      <c r="I64" s="49">
        <f>AVERAGE('26.07 Lubigi-Masanafu-24h'!I64,'27.07 Lubigi-Masanafu-24h'!I64)</f>
        <v>39.5</v>
      </c>
      <c r="J64" s="49">
        <f>AVERAGE('26.07 Lubigi-Masanafu-24h'!J64,'27.07 Lubigi-Masanafu-24h'!J64)</f>
        <v>54.5</v>
      </c>
      <c r="K64" s="49">
        <f>AVERAGE('26.07 Lubigi-Masanafu-24h'!K64,'27.07 Lubigi-Masanafu-24h'!K64)</f>
        <v>42</v>
      </c>
      <c r="L64" s="49">
        <f>AVERAGE('26.07 Lubigi-Masanafu-24h'!L64,'27.07 Lubigi-Masanafu-24h'!L64)</f>
        <v>22.5</v>
      </c>
      <c r="M64" s="49">
        <f>AVERAGE('26.07 Lubigi-Masanafu-24h'!M64,'27.07 Lubigi-Masanafu-24h'!M64)</f>
        <v>143</v>
      </c>
      <c r="N64" s="49">
        <f>AVERAGE('26.07 Lubigi-Masanafu-24h'!N64,'27.07 Lubigi-Masanafu-24h'!N64)</f>
        <v>0</v>
      </c>
      <c r="O64" s="15">
        <f t="shared" si="0"/>
        <v>391.5</v>
      </c>
      <c r="P64" s="15">
        <f t="shared" si="1"/>
        <v>534.5</v>
      </c>
      <c r="R64" s="8"/>
      <c r="T64"/>
    </row>
    <row r="65" spans="2:20" ht="23.1" customHeight="1" x14ac:dyDescent="0.25">
      <c r="B65" s="23" t="s">
        <v>158</v>
      </c>
      <c r="C65" s="49">
        <f>AVERAGE('26.07 Lubigi-Masanafu-24h'!C65,'27.07 Lubigi-Masanafu-24h'!C65)</f>
        <v>70</v>
      </c>
      <c r="D65" s="49">
        <f>AVERAGE('26.07 Lubigi-Masanafu-24h'!D65,'27.07 Lubigi-Masanafu-24h'!D65)</f>
        <v>53</v>
      </c>
      <c r="E65" s="49">
        <f>AVERAGE('26.07 Lubigi-Masanafu-24h'!E65,'27.07 Lubigi-Masanafu-24h'!E65)</f>
        <v>52.5</v>
      </c>
      <c r="F65" s="49">
        <f>AVERAGE('26.07 Lubigi-Masanafu-24h'!F65,'27.07 Lubigi-Masanafu-24h'!F65)</f>
        <v>65</v>
      </c>
      <c r="G65" s="49">
        <f>AVERAGE('26.07 Lubigi-Masanafu-24h'!G65,'27.07 Lubigi-Masanafu-24h'!G65)</f>
        <v>0.5</v>
      </c>
      <c r="H65" s="49">
        <f>AVERAGE('26.07 Lubigi-Masanafu-24h'!H65,'27.07 Lubigi-Masanafu-24h'!H65)</f>
        <v>0</v>
      </c>
      <c r="I65" s="49">
        <f>AVERAGE('26.07 Lubigi-Masanafu-24h'!I65,'27.07 Lubigi-Masanafu-24h'!I65)</f>
        <v>20.5</v>
      </c>
      <c r="J65" s="49">
        <f>AVERAGE('26.07 Lubigi-Masanafu-24h'!J65,'27.07 Lubigi-Masanafu-24h'!J65)</f>
        <v>41.5</v>
      </c>
      <c r="K65" s="49">
        <f>AVERAGE('26.07 Lubigi-Masanafu-24h'!K65,'27.07 Lubigi-Masanafu-24h'!K65)</f>
        <v>33</v>
      </c>
      <c r="L65" s="49">
        <f>AVERAGE('26.07 Lubigi-Masanafu-24h'!L65,'27.07 Lubigi-Masanafu-24h'!L65)</f>
        <v>11</v>
      </c>
      <c r="M65" s="49">
        <f>AVERAGE('26.07 Lubigi-Masanafu-24h'!M65,'27.07 Lubigi-Masanafu-24h'!M65)</f>
        <v>87.5</v>
      </c>
      <c r="N65" s="49">
        <f>AVERAGE('26.07 Lubigi-Masanafu-24h'!N65,'27.07 Lubigi-Masanafu-24h'!N65)</f>
        <v>0</v>
      </c>
      <c r="O65" s="15">
        <f t="shared" si="0"/>
        <v>347</v>
      </c>
      <c r="P65" s="15">
        <f t="shared" si="1"/>
        <v>434.5</v>
      </c>
      <c r="R65" s="8"/>
      <c r="T65"/>
    </row>
    <row r="66" spans="2:20" ht="23.1" customHeight="1" x14ac:dyDescent="0.25">
      <c r="B66" s="23" t="s">
        <v>103</v>
      </c>
      <c r="C66" s="49">
        <f>AVERAGE('26.07 Lubigi-Masanafu-24h'!C66,'27.07 Lubigi-Masanafu-24h'!C66)</f>
        <v>86.5</v>
      </c>
      <c r="D66" s="49">
        <f>AVERAGE('26.07 Lubigi-Masanafu-24h'!D66,'27.07 Lubigi-Masanafu-24h'!D66)</f>
        <v>28</v>
      </c>
      <c r="E66" s="49">
        <f>AVERAGE('26.07 Lubigi-Masanafu-24h'!E66,'27.07 Lubigi-Masanafu-24h'!E66)</f>
        <v>33</v>
      </c>
      <c r="F66" s="49">
        <f>AVERAGE('26.07 Lubigi-Masanafu-24h'!F66,'27.07 Lubigi-Masanafu-24h'!F66)</f>
        <v>57.5</v>
      </c>
      <c r="G66" s="49">
        <f>AVERAGE('26.07 Lubigi-Masanafu-24h'!G66,'27.07 Lubigi-Masanafu-24h'!G66)</f>
        <v>1.5</v>
      </c>
      <c r="H66" s="49">
        <f>AVERAGE('26.07 Lubigi-Masanafu-24h'!H66,'27.07 Lubigi-Masanafu-24h'!H66)</f>
        <v>0</v>
      </c>
      <c r="I66" s="49">
        <f>AVERAGE('26.07 Lubigi-Masanafu-24h'!I66,'27.07 Lubigi-Masanafu-24h'!I66)</f>
        <v>18.5</v>
      </c>
      <c r="J66" s="49">
        <f>AVERAGE('26.07 Lubigi-Masanafu-24h'!J66,'27.07 Lubigi-Masanafu-24h'!J66)</f>
        <v>22</v>
      </c>
      <c r="K66" s="49">
        <f>AVERAGE('26.07 Lubigi-Masanafu-24h'!K66,'27.07 Lubigi-Masanafu-24h'!K66)</f>
        <v>18</v>
      </c>
      <c r="L66" s="49">
        <f>AVERAGE('26.07 Lubigi-Masanafu-24h'!L66,'27.07 Lubigi-Masanafu-24h'!L66)</f>
        <v>9.5</v>
      </c>
      <c r="M66" s="49">
        <f>AVERAGE('26.07 Lubigi-Masanafu-24h'!M66,'27.07 Lubigi-Masanafu-24h'!M66)</f>
        <v>70</v>
      </c>
      <c r="N66" s="49">
        <f>AVERAGE('26.07 Lubigi-Masanafu-24h'!N66,'27.07 Lubigi-Masanafu-24h'!N66)</f>
        <v>0</v>
      </c>
      <c r="O66" s="15">
        <f t="shared" si="0"/>
        <v>274.5</v>
      </c>
      <c r="P66" s="15">
        <f t="shared" si="1"/>
        <v>344.5</v>
      </c>
      <c r="R66" s="8"/>
      <c r="T66"/>
    </row>
    <row r="67" spans="2:20" ht="23.1" customHeight="1" x14ac:dyDescent="0.25">
      <c r="B67" s="23" t="s">
        <v>104</v>
      </c>
      <c r="C67" s="49">
        <f>AVERAGE('26.07 Lubigi-Masanafu-24h'!C67,'27.07 Lubigi-Masanafu-24h'!C67)</f>
        <v>66.5</v>
      </c>
      <c r="D67" s="49">
        <f>AVERAGE('26.07 Lubigi-Masanafu-24h'!D67,'27.07 Lubigi-Masanafu-24h'!D67)</f>
        <v>23</v>
      </c>
      <c r="E67" s="49">
        <f>AVERAGE('26.07 Lubigi-Masanafu-24h'!E67,'27.07 Lubigi-Masanafu-24h'!E67)</f>
        <v>22</v>
      </c>
      <c r="F67" s="49">
        <f>AVERAGE('26.07 Lubigi-Masanafu-24h'!F67,'27.07 Lubigi-Masanafu-24h'!F67)</f>
        <v>46</v>
      </c>
      <c r="G67" s="49">
        <f>AVERAGE('26.07 Lubigi-Masanafu-24h'!G67,'27.07 Lubigi-Masanafu-24h'!G67)</f>
        <v>0.5</v>
      </c>
      <c r="H67" s="49">
        <f>AVERAGE('26.07 Lubigi-Masanafu-24h'!H67,'27.07 Lubigi-Masanafu-24h'!H67)</f>
        <v>0.5</v>
      </c>
      <c r="I67" s="49">
        <f>AVERAGE('26.07 Lubigi-Masanafu-24h'!I67,'27.07 Lubigi-Masanafu-24h'!I67)</f>
        <v>10</v>
      </c>
      <c r="J67" s="49">
        <f>AVERAGE('26.07 Lubigi-Masanafu-24h'!J67,'27.07 Lubigi-Masanafu-24h'!J67)</f>
        <v>20.5</v>
      </c>
      <c r="K67" s="49">
        <f>AVERAGE('26.07 Lubigi-Masanafu-24h'!K67,'27.07 Lubigi-Masanafu-24h'!K67)</f>
        <v>16</v>
      </c>
      <c r="L67" s="49">
        <f>AVERAGE('26.07 Lubigi-Masanafu-24h'!L67,'27.07 Lubigi-Masanafu-24h'!L67)</f>
        <v>5.5</v>
      </c>
      <c r="M67" s="49">
        <f>AVERAGE('26.07 Lubigi-Masanafu-24h'!M67,'27.07 Lubigi-Masanafu-24h'!M67)</f>
        <v>86</v>
      </c>
      <c r="N67" s="49">
        <f>AVERAGE('26.07 Lubigi-Masanafu-24h'!N67,'27.07 Lubigi-Masanafu-24h'!N67)</f>
        <v>0</v>
      </c>
      <c r="O67" s="15">
        <f t="shared" si="0"/>
        <v>210.5</v>
      </c>
      <c r="P67" s="15">
        <f t="shared" si="1"/>
        <v>296.5</v>
      </c>
      <c r="R67" s="8"/>
      <c r="T67"/>
    </row>
    <row r="68" spans="2:20" ht="23.1" customHeight="1" x14ac:dyDescent="0.25">
      <c r="B68" s="23" t="s">
        <v>105</v>
      </c>
      <c r="C68" s="49">
        <f>AVERAGE('26.07 Lubigi-Masanafu-24h'!C68,'27.07 Lubigi-Masanafu-24h'!C68)</f>
        <v>62</v>
      </c>
      <c r="D68" s="49">
        <f>AVERAGE('26.07 Lubigi-Masanafu-24h'!D68,'27.07 Lubigi-Masanafu-24h'!D68)</f>
        <v>19.5</v>
      </c>
      <c r="E68" s="49">
        <f>AVERAGE('26.07 Lubigi-Masanafu-24h'!E68,'27.07 Lubigi-Masanafu-24h'!E68)</f>
        <v>21</v>
      </c>
      <c r="F68" s="49">
        <f>AVERAGE('26.07 Lubigi-Masanafu-24h'!F68,'27.07 Lubigi-Masanafu-24h'!F68)</f>
        <v>37</v>
      </c>
      <c r="G68" s="49">
        <f>AVERAGE('26.07 Lubigi-Masanafu-24h'!G68,'27.07 Lubigi-Masanafu-24h'!G68)</f>
        <v>0.5</v>
      </c>
      <c r="H68" s="49">
        <f>AVERAGE('26.07 Lubigi-Masanafu-24h'!H68,'27.07 Lubigi-Masanafu-24h'!H68)</f>
        <v>0</v>
      </c>
      <c r="I68" s="49">
        <f>AVERAGE('26.07 Lubigi-Masanafu-24h'!I68,'27.07 Lubigi-Masanafu-24h'!I68)</f>
        <v>17.5</v>
      </c>
      <c r="J68" s="49">
        <f>AVERAGE('26.07 Lubigi-Masanafu-24h'!J68,'27.07 Lubigi-Masanafu-24h'!J68)</f>
        <v>26</v>
      </c>
      <c r="K68" s="49">
        <f>AVERAGE('26.07 Lubigi-Masanafu-24h'!K68,'27.07 Lubigi-Masanafu-24h'!K68)</f>
        <v>15</v>
      </c>
      <c r="L68" s="49">
        <f>AVERAGE('26.07 Lubigi-Masanafu-24h'!L68,'27.07 Lubigi-Masanafu-24h'!L68)</f>
        <v>3</v>
      </c>
      <c r="M68" s="49">
        <f>AVERAGE('26.07 Lubigi-Masanafu-24h'!M68,'27.07 Lubigi-Masanafu-24h'!M68)</f>
        <v>61</v>
      </c>
      <c r="N68" s="49">
        <f>AVERAGE('26.07 Lubigi-Masanafu-24h'!N68,'27.07 Lubigi-Masanafu-24h'!N68)</f>
        <v>0</v>
      </c>
      <c r="O68" s="15">
        <f t="shared" si="0"/>
        <v>201.5</v>
      </c>
      <c r="P68" s="15">
        <f t="shared" si="1"/>
        <v>262.5</v>
      </c>
      <c r="R68" s="8"/>
      <c r="T68"/>
    </row>
    <row r="69" spans="2:20" ht="23.1" customHeight="1" x14ac:dyDescent="0.25">
      <c r="B69" s="23" t="s">
        <v>106</v>
      </c>
      <c r="C69" s="49">
        <f>AVERAGE('26.07 Lubigi-Masanafu-24h'!C69,'27.07 Lubigi-Masanafu-24h'!C69)</f>
        <v>61.5</v>
      </c>
      <c r="D69" s="49">
        <f>AVERAGE('26.07 Lubigi-Masanafu-24h'!D69,'27.07 Lubigi-Masanafu-24h'!D69)</f>
        <v>24</v>
      </c>
      <c r="E69" s="49">
        <f>AVERAGE('26.07 Lubigi-Masanafu-24h'!E69,'27.07 Lubigi-Masanafu-24h'!E69)</f>
        <v>19.5</v>
      </c>
      <c r="F69" s="49">
        <f>AVERAGE('26.07 Lubigi-Masanafu-24h'!F69,'27.07 Lubigi-Masanafu-24h'!F69)</f>
        <v>46.5</v>
      </c>
      <c r="G69" s="49">
        <f>AVERAGE('26.07 Lubigi-Masanafu-24h'!G69,'27.07 Lubigi-Masanafu-24h'!G69)</f>
        <v>0</v>
      </c>
      <c r="H69" s="49">
        <f>AVERAGE('26.07 Lubigi-Masanafu-24h'!H69,'27.07 Lubigi-Masanafu-24h'!H69)</f>
        <v>0</v>
      </c>
      <c r="I69" s="49">
        <f>AVERAGE('26.07 Lubigi-Masanafu-24h'!I69,'27.07 Lubigi-Masanafu-24h'!I69)</f>
        <v>26.5</v>
      </c>
      <c r="J69" s="49">
        <f>AVERAGE('26.07 Lubigi-Masanafu-24h'!J69,'27.07 Lubigi-Masanafu-24h'!J69)</f>
        <v>25</v>
      </c>
      <c r="K69" s="49">
        <f>AVERAGE('26.07 Lubigi-Masanafu-24h'!K69,'27.07 Lubigi-Masanafu-24h'!K69)</f>
        <v>9</v>
      </c>
      <c r="L69" s="49">
        <f>AVERAGE('26.07 Lubigi-Masanafu-24h'!L69,'27.07 Lubigi-Masanafu-24h'!L69)</f>
        <v>3</v>
      </c>
      <c r="M69" s="49">
        <f>AVERAGE('26.07 Lubigi-Masanafu-24h'!M69,'27.07 Lubigi-Masanafu-24h'!M69)</f>
        <v>74.5</v>
      </c>
      <c r="N69" s="49">
        <f>AVERAGE('26.07 Lubigi-Masanafu-24h'!N69,'27.07 Lubigi-Masanafu-24h'!N69)</f>
        <v>0</v>
      </c>
      <c r="O69" s="15">
        <f t="shared" si="0"/>
        <v>215</v>
      </c>
      <c r="P69" s="15">
        <f t="shared" si="1"/>
        <v>289.5</v>
      </c>
      <c r="R69" s="8"/>
      <c r="T69"/>
    </row>
    <row r="70" spans="2:20" ht="23.1" customHeight="1" x14ac:dyDescent="0.25">
      <c r="B70" s="23" t="s">
        <v>110</v>
      </c>
      <c r="C70" s="49">
        <f>AVERAGE('26.07 Lubigi-Masanafu-24h'!C70,'27.07 Lubigi-Masanafu-24h'!C70)</f>
        <v>61.5</v>
      </c>
      <c r="D70" s="49">
        <f>AVERAGE('26.07 Lubigi-Masanafu-24h'!D70,'27.07 Lubigi-Masanafu-24h'!D70)</f>
        <v>17</v>
      </c>
      <c r="E70" s="49">
        <f>AVERAGE('26.07 Lubigi-Masanafu-24h'!E70,'27.07 Lubigi-Masanafu-24h'!E70)</f>
        <v>21</v>
      </c>
      <c r="F70" s="49">
        <f>AVERAGE('26.07 Lubigi-Masanafu-24h'!F70,'27.07 Lubigi-Masanafu-24h'!F70)</f>
        <v>42.5</v>
      </c>
      <c r="G70" s="49">
        <f>AVERAGE('26.07 Lubigi-Masanafu-24h'!G70,'27.07 Lubigi-Masanafu-24h'!G70)</f>
        <v>0</v>
      </c>
      <c r="H70" s="49">
        <f>AVERAGE('26.07 Lubigi-Masanafu-24h'!H70,'27.07 Lubigi-Masanafu-24h'!H70)</f>
        <v>0</v>
      </c>
      <c r="I70" s="49">
        <f>AVERAGE('26.07 Lubigi-Masanafu-24h'!I70,'27.07 Lubigi-Masanafu-24h'!I70)</f>
        <v>11</v>
      </c>
      <c r="J70" s="49">
        <f>AVERAGE('26.07 Lubigi-Masanafu-24h'!J70,'27.07 Lubigi-Masanafu-24h'!J70)</f>
        <v>18.5</v>
      </c>
      <c r="K70" s="49">
        <f>AVERAGE('26.07 Lubigi-Masanafu-24h'!K70,'27.07 Lubigi-Masanafu-24h'!K70)</f>
        <v>17.5</v>
      </c>
      <c r="L70" s="49">
        <f>AVERAGE('26.07 Lubigi-Masanafu-24h'!L70,'27.07 Lubigi-Masanafu-24h'!L70)</f>
        <v>7</v>
      </c>
      <c r="M70" s="49">
        <f>AVERAGE('26.07 Lubigi-Masanafu-24h'!M70,'27.07 Lubigi-Masanafu-24h'!M70)</f>
        <v>84</v>
      </c>
      <c r="N70" s="49">
        <f>AVERAGE('26.07 Lubigi-Masanafu-24h'!N70,'27.07 Lubigi-Masanafu-24h'!N70)</f>
        <v>0</v>
      </c>
      <c r="O70" s="15">
        <f t="shared" si="0"/>
        <v>196</v>
      </c>
      <c r="P70" s="15">
        <f t="shared" si="1"/>
        <v>280</v>
      </c>
      <c r="R70" s="8"/>
      <c r="T70"/>
    </row>
    <row r="71" spans="2:20" ht="23.1" customHeight="1" x14ac:dyDescent="0.25">
      <c r="B71" s="23" t="s">
        <v>111</v>
      </c>
      <c r="C71" s="49">
        <f>AVERAGE('26.07 Lubigi-Masanafu-24h'!C71,'27.07 Lubigi-Masanafu-24h'!C71)</f>
        <v>64</v>
      </c>
      <c r="D71" s="49">
        <f>AVERAGE('26.07 Lubigi-Masanafu-24h'!D71,'27.07 Lubigi-Masanafu-24h'!D71)</f>
        <v>16</v>
      </c>
      <c r="E71" s="49">
        <f>AVERAGE('26.07 Lubigi-Masanafu-24h'!E71,'27.07 Lubigi-Masanafu-24h'!E71)</f>
        <v>9.5</v>
      </c>
      <c r="F71" s="49">
        <f>AVERAGE('26.07 Lubigi-Masanafu-24h'!F71,'27.07 Lubigi-Masanafu-24h'!F71)</f>
        <v>46</v>
      </c>
      <c r="G71" s="49">
        <f>AVERAGE('26.07 Lubigi-Masanafu-24h'!G71,'27.07 Lubigi-Masanafu-24h'!G71)</f>
        <v>0</v>
      </c>
      <c r="H71" s="49">
        <f>AVERAGE('26.07 Lubigi-Masanafu-24h'!H71,'27.07 Lubigi-Masanafu-24h'!H71)</f>
        <v>0</v>
      </c>
      <c r="I71" s="49">
        <f>AVERAGE('26.07 Lubigi-Masanafu-24h'!I71,'27.07 Lubigi-Masanafu-24h'!I71)</f>
        <v>24.5</v>
      </c>
      <c r="J71" s="49">
        <f>AVERAGE('26.07 Lubigi-Masanafu-24h'!J71,'27.07 Lubigi-Masanafu-24h'!J71)</f>
        <v>26</v>
      </c>
      <c r="K71" s="49">
        <f>AVERAGE('26.07 Lubigi-Masanafu-24h'!K71,'27.07 Lubigi-Masanafu-24h'!K71)</f>
        <v>35.5</v>
      </c>
      <c r="L71" s="49">
        <f>AVERAGE('26.07 Lubigi-Masanafu-24h'!L71,'27.07 Lubigi-Masanafu-24h'!L71)</f>
        <v>9</v>
      </c>
      <c r="M71" s="49">
        <f>AVERAGE('26.07 Lubigi-Masanafu-24h'!M71,'27.07 Lubigi-Masanafu-24h'!M71)</f>
        <v>110</v>
      </c>
      <c r="N71" s="49">
        <f>AVERAGE('26.07 Lubigi-Masanafu-24h'!N71,'27.07 Lubigi-Masanafu-24h'!N71)</f>
        <v>0</v>
      </c>
      <c r="O71" s="15">
        <f t="shared" si="0"/>
        <v>230.5</v>
      </c>
      <c r="P71" s="15">
        <f t="shared" si="1"/>
        <v>340.5</v>
      </c>
      <c r="R71" s="8"/>
      <c r="T71"/>
    </row>
    <row r="72" spans="2:20" ht="23.1" customHeight="1" x14ac:dyDescent="0.25">
      <c r="B72" s="23" t="s">
        <v>112</v>
      </c>
      <c r="C72" s="49">
        <f>AVERAGE('26.07 Lubigi-Masanafu-24h'!C72,'27.07 Lubigi-Masanafu-24h'!C72)</f>
        <v>55</v>
      </c>
      <c r="D72" s="49">
        <f>AVERAGE('26.07 Lubigi-Masanafu-24h'!D72,'27.07 Lubigi-Masanafu-24h'!D72)</f>
        <v>20</v>
      </c>
      <c r="E72" s="49">
        <f>AVERAGE('26.07 Lubigi-Masanafu-24h'!E72,'27.07 Lubigi-Masanafu-24h'!E72)</f>
        <v>18</v>
      </c>
      <c r="F72" s="49">
        <f>AVERAGE('26.07 Lubigi-Masanafu-24h'!F72,'27.07 Lubigi-Masanafu-24h'!F72)</f>
        <v>28.5</v>
      </c>
      <c r="G72" s="49">
        <f>AVERAGE('26.07 Lubigi-Masanafu-24h'!G72,'27.07 Lubigi-Masanafu-24h'!G72)</f>
        <v>0.5</v>
      </c>
      <c r="H72" s="49">
        <f>AVERAGE('26.07 Lubigi-Masanafu-24h'!H72,'27.07 Lubigi-Masanafu-24h'!H72)</f>
        <v>0</v>
      </c>
      <c r="I72" s="49">
        <f>AVERAGE('26.07 Lubigi-Masanafu-24h'!I72,'27.07 Lubigi-Masanafu-24h'!I72)</f>
        <v>10.5</v>
      </c>
      <c r="J72" s="49">
        <f>AVERAGE('26.07 Lubigi-Masanafu-24h'!J72,'27.07 Lubigi-Masanafu-24h'!J72)</f>
        <v>41</v>
      </c>
      <c r="K72" s="49">
        <f>AVERAGE('26.07 Lubigi-Masanafu-24h'!K72,'27.07 Lubigi-Masanafu-24h'!K72)</f>
        <v>20.5</v>
      </c>
      <c r="L72" s="49">
        <f>AVERAGE('26.07 Lubigi-Masanafu-24h'!L72,'27.07 Lubigi-Masanafu-24h'!L72)</f>
        <v>8.5</v>
      </c>
      <c r="M72" s="49">
        <f>AVERAGE('26.07 Lubigi-Masanafu-24h'!M72,'27.07 Lubigi-Masanafu-24h'!M72)</f>
        <v>64.5</v>
      </c>
      <c r="N72" s="49">
        <f>AVERAGE('26.07 Lubigi-Masanafu-24h'!N72,'27.07 Lubigi-Masanafu-24h'!N72)</f>
        <v>0</v>
      </c>
      <c r="O72" s="15">
        <f t="shared" si="0"/>
        <v>202.5</v>
      </c>
      <c r="P72" s="15">
        <f t="shared" si="1"/>
        <v>267</v>
      </c>
      <c r="R72" s="8"/>
      <c r="T72"/>
    </row>
    <row r="73" spans="2:20" ht="23.1" customHeight="1" x14ac:dyDescent="0.25">
      <c r="B73" s="23" t="s">
        <v>113</v>
      </c>
      <c r="C73" s="49">
        <f>AVERAGE('26.07 Lubigi-Masanafu-24h'!C73,'27.07 Lubigi-Masanafu-24h'!C73)</f>
        <v>68</v>
      </c>
      <c r="D73" s="49">
        <f>AVERAGE('26.07 Lubigi-Masanafu-24h'!D73,'27.07 Lubigi-Masanafu-24h'!D73)</f>
        <v>9</v>
      </c>
      <c r="E73" s="49">
        <f>AVERAGE('26.07 Lubigi-Masanafu-24h'!E73,'27.07 Lubigi-Masanafu-24h'!E73)</f>
        <v>12</v>
      </c>
      <c r="F73" s="49">
        <f>AVERAGE('26.07 Lubigi-Masanafu-24h'!F73,'27.07 Lubigi-Masanafu-24h'!F73)</f>
        <v>21</v>
      </c>
      <c r="G73" s="49">
        <f>AVERAGE('26.07 Lubigi-Masanafu-24h'!G73,'27.07 Lubigi-Masanafu-24h'!G73)</f>
        <v>0</v>
      </c>
      <c r="H73" s="49">
        <f>AVERAGE('26.07 Lubigi-Masanafu-24h'!H73,'27.07 Lubigi-Masanafu-24h'!H73)</f>
        <v>0</v>
      </c>
      <c r="I73" s="49">
        <f>AVERAGE('26.07 Lubigi-Masanafu-24h'!I73,'27.07 Lubigi-Masanafu-24h'!I73)</f>
        <v>9.5</v>
      </c>
      <c r="J73" s="49">
        <f>AVERAGE('26.07 Lubigi-Masanafu-24h'!J73,'27.07 Lubigi-Masanafu-24h'!J73)</f>
        <v>17</v>
      </c>
      <c r="K73" s="49">
        <f>AVERAGE('26.07 Lubigi-Masanafu-24h'!K73,'27.07 Lubigi-Masanafu-24h'!K73)</f>
        <v>11</v>
      </c>
      <c r="L73" s="49">
        <f>AVERAGE('26.07 Lubigi-Masanafu-24h'!L73,'27.07 Lubigi-Masanafu-24h'!L73)</f>
        <v>3</v>
      </c>
      <c r="M73" s="49">
        <f>AVERAGE('26.07 Lubigi-Masanafu-24h'!M73,'27.07 Lubigi-Masanafu-24h'!M73)</f>
        <v>100.5</v>
      </c>
      <c r="N73" s="49">
        <f>AVERAGE('26.07 Lubigi-Masanafu-24h'!N73,'27.07 Lubigi-Masanafu-24h'!N73)</f>
        <v>0</v>
      </c>
      <c r="O73" s="15">
        <f t="shared" si="0"/>
        <v>150.5</v>
      </c>
      <c r="P73" s="15">
        <f t="shared" si="1"/>
        <v>251</v>
      </c>
      <c r="R73" s="8"/>
      <c r="T73"/>
    </row>
    <row r="74" spans="2:20" ht="23.1" customHeight="1" x14ac:dyDescent="0.25">
      <c r="B74" s="23" t="s">
        <v>114</v>
      </c>
      <c r="C74" s="49">
        <f>AVERAGE('26.07 Lubigi-Masanafu-24h'!C74,'27.07 Lubigi-Masanafu-24h'!C74)</f>
        <v>84.5</v>
      </c>
      <c r="D74" s="49">
        <f>AVERAGE('26.07 Lubigi-Masanafu-24h'!D74,'27.07 Lubigi-Masanafu-24h'!D74)</f>
        <v>13.5</v>
      </c>
      <c r="E74" s="49">
        <f>AVERAGE('26.07 Lubigi-Masanafu-24h'!E74,'27.07 Lubigi-Masanafu-24h'!E74)</f>
        <v>12.5</v>
      </c>
      <c r="F74" s="49">
        <f>AVERAGE('26.07 Lubigi-Masanafu-24h'!F74,'27.07 Lubigi-Masanafu-24h'!F74)</f>
        <v>30</v>
      </c>
      <c r="G74" s="49">
        <f>AVERAGE('26.07 Lubigi-Masanafu-24h'!G74,'27.07 Lubigi-Masanafu-24h'!G74)</f>
        <v>2</v>
      </c>
      <c r="H74" s="49">
        <f>AVERAGE('26.07 Lubigi-Masanafu-24h'!H74,'27.07 Lubigi-Masanafu-24h'!H74)</f>
        <v>1</v>
      </c>
      <c r="I74" s="49">
        <f>AVERAGE('26.07 Lubigi-Masanafu-24h'!I74,'27.07 Lubigi-Masanafu-24h'!I74)</f>
        <v>20.5</v>
      </c>
      <c r="J74" s="49">
        <f>AVERAGE('26.07 Lubigi-Masanafu-24h'!J74,'27.07 Lubigi-Masanafu-24h'!J74)</f>
        <v>17</v>
      </c>
      <c r="K74" s="49">
        <f>AVERAGE('26.07 Lubigi-Masanafu-24h'!K74,'27.07 Lubigi-Masanafu-24h'!K74)</f>
        <v>14</v>
      </c>
      <c r="L74" s="49">
        <f>AVERAGE('26.07 Lubigi-Masanafu-24h'!L74,'27.07 Lubigi-Masanafu-24h'!L74)</f>
        <v>3.5</v>
      </c>
      <c r="M74" s="49">
        <f>AVERAGE('26.07 Lubigi-Masanafu-24h'!M74,'27.07 Lubigi-Masanafu-24h'!M74)</f>
        <v>119.5</v>
      </c>
      <c r="N74" s="49">
        <f>AVERAGE('26.07 Lubigi-Masanafu-24h'!N74,'27.07 Lubigi-Masanafu-24h'!N74)</f>
        <v>0</v>
      </c>
      <c r="O74" s="15">
        <f t="shared" ref="O74:O105" si="35">SUM(C74:L74,N74)</f>
        <v>198.5</v>
      </c>
      <c r="P74" s="15">
        <f t="shared" ref="P74:P105" si="36">SUM(C74:N74)</f>
        <v>318</v>
      </c>
      <c r="R74" s="8"/>
      <c r="T74"/>
    </row>
    <row r="75" spans="2:20" ht="23.1" customHeight="1" x14ac:dyDescent="0.25">
      <c r="B75" s="23" t="s">
        <v>115</v>
      </c>
      <c r="C75" s="49">
        <f>AVERAGE('26.07 Lubigi-Masanafu-24h'!C75,'27.07 Lubigi-Masanafu-24h'!C75)</f>
        <v>65</v>
      </c>
      <c r="D75" s="49">
        <f>AVERAGE('26.07 Lubigi-Masanafu-24h'!D75,'27.07 Lubigi-Masanafu-24h'!D75)</f>
        <v>11.5</v>
      </c>
      <c r="E75" s="49">
        <f>AVERAGE('26.07 Lubigi-Masanafu-24h'!E75,'27.07 Lubigi-Masanafu-24h'!E75)</f>
        <v>24</v>
      </c>
      <c r="F75" s="49">
        <f>AVERAGE('26.07 Lubigi-Masanafu-24h'!F75,'27.07 Lubigi-Masanafu-24h'!F75)</f>
        <v>23.5</v>
      </c>
      <c r="G75" s="49">
        <f>AVERAGE('26.07 Lubigi-Masanafu-24h'!G75,'27.07 Lubigi-Masanafu-24h'!G75)</f>
        <v>0</v>
      </c>
      <c r="H75" s="49">
        <f>AVERAGE('26.07 Lubigi-Masanafu-24h'!H75,'27.07 Lubigi-Masanafu-24h'!H75)</f>
        <v>0</v>
      </c>
      <c r="I75" s="49">
        <f>AVERAGE('26.07 Lubigi-Masanafu-24h'!I75,'27.07 Lubigi-Masanafu-24h'!I75)</f>
        <v>7</v>
      </c>
      <c r="J75" s="49">
        <f>AVERAGE('26.07 Lubigi-Masanafu-24h'!J75,'27.07 Lubigi-Masanafu-24h'!J75)</f>
        <v>14.5</v>
      </c>
      <c r="K75" s="49">
        <f>AVERAGE('26.07 Lubigi-Masanafu-24h'!K75,'27.07 Lubigi-Masanafu-24h'!K75)</f>
        <v>4</v>
      </c>
      <c r="L75" s="49">
        <f>AVERAGE('26.07 Lubigi-Masanafu-24h'!L75,'27.07 Lubigi-Masanafu-24h'!L75)</f>
        <v>4</v>
      </c>
      <c r="M75" s="49">
        <f>AVERAGE('26.07 Lubigi-Masanafu-24h'!M75,'27.07 Lubigi-Masanafu-24h'!M75)</f>
        <v>96</v>
      </c>
      <c r="N75" s="49">
        <f>AVERAGE('26.07 Lubigi-Masanafu-24h'!N75,'27.07 Lubigi-Masanafu-24h'!N75)</f>
        <v>0</v>
      </c>
      <c r="O75" s="15">
        <f t="shared" si="35"/>
        <v>153.5</v>
      </c>
      <c r="P75" s="15">
        <f t="shared" si="36"/>
        <v>249.5</v>
      </c>
      <c r="R75" s="8"/>
      <c r="T75"/>
    </row>
    <row r="76" spans="2:20" ht="23.1" customHeight="1" x14ac:dyDescent="0.25">
      <c r="B76" s="23" t="s">
        <v>116</v>
      </c>
      <c r="C76" s="49">
        <f>AVERAGE('26.07 Lubigi-Masanafu-24h'!C76,'27.07 Lubigi-Masanafu-24h'!C76)</f>
        <v>59.5</v>
      </c>
      <c r="D76" s="49">
        <f>AVERAGE('26.07 Lubigi-Masanafu-24h'!D76,'27.07 Lubigi-Masanafu-24h'!D76)</f>
        <v>10</v>
      </c>
      <c r="E76" s="49">
        <f>AVERAGE('26.07 Lubigi-Masanafu-24h'!E76,'27.07 Lubigi-Masanafu-24h'!E76)</f>
        <v>29.5</v>
      </c>
      <c r="F76" s="49">
        <f>AVERAGE('26.07 Lubigi-Masanafu-24h'!F76,'27.07 Lubigi-Masanafu-24h'!F76)</f>
        <v>17</v>
      </c>
      <c r="G76" s="49">
        <f>AVERAGE('26.07 Lubigi-Masanafu-24h'!G76,'27.07 Lubigi-Masanafu-24h'!G76)</f>
        <v>0</v>
      </c>
      <c r="H76" s="49">
        <f>AVERAGE('26.07 Lubigi-Masanafu-24h'!H76,'27.07 Lubigi-Masanafu-24h'!H76)</f>
        <v>0</v>
      </c>
      <c r="I76" s="49">
        <f>AVERAGE('26.07 Lubigi-Masanafu-24h'!I76,'27.07 Lubigi-Masanafu-24h'!I76)</f>
        <v>5</v>
      </c>
      <c r="J76" s="49">
        <f>AVERAGE('26.07 Lubigi-Masanafu-24h'!J76,'27.07 Lubigi-Masanafu-24h'!J76)</f>
        <v>24</v>
      </c>
      <c r="K76" s="49">
        <f>AVERAGE('26.07 Lubigi-Masanafu-24h'!K76,'27.07 Lubigi-Masanafu-24h'!K76)</f>
        <v>8</v>
      </c>
      <c r="L76" s="49">
        <f>AVERAGE('26.07 Lubigi-Masanafu-24h'!L76,'27.07 Lubigi-Masanafu-24h'!L76)</f>
        <v>3</v>
      </c>
      <c r="M76" s="49">
        <f>AVERAGE('26.07 Lubigi-Masanafu-24h'!M76,'27.07 Lubigi-Masanafu-24h'!M76)</f>
        <v>84.5</v>
      </c>
      <c r="N76" s="49">
        <f>AVERAGE('26.07 Lubigi-Masanafu-24h'!N76,'27.07 Lubigi-Masanafu-24h'!N76)</f>
        <v>0</v>
      </c>
      <c r="O76" s="15">
        <f t="shared" si="35"/>
        <v>156</v>
      </c>
      <c r="P76" s="15">
        <f t="shared" si="36"/>
        <v>240.5</v>
      </c>
      <c r="R76" s="8"/>
      <c r="T76"/>
    </row>
    <row r="77" spans="2:20" ht="23.1" customHeight="1" x14ac:dyDescent="0.25">
      <c r="B77" s="23" t="s">
        <v>117</v>
      </c>
      <c r="C77" s="49">
        <f>AVERAGE('26.07 Lubigi-Masanafu-24h'!C77,'27.07 Lubigi-Masanafu-24h'!C77)</f>
        <v>67</v>
      </c>
      <c r="D77" s="49">
        <f>AVERAGE('26.07 Lubigi-Masanafu-24h'!D77,'27.07 Lubigi-Masanafu-24h'!D77)</f>
        <v>12.5</v>
      </c>
      <c r="E77" s="49">
        <f>AVERAGE('26.07 Lubigi-Masanafu-24h'!E77,'27.07 Lubigi-Masanafu-24h'!E77)</f>
        <v>24.5</v>
      </c>
      <c r="F77" s="49">
        <f>AVERAGE('26.07 Lubigi-Masanafu-24h'!F77,'27.07 Lubigi-Masanafu-24h'!F77)</f>
        <v>18.5</v>
      </c>
      <c r="G77" s="49">
        <f>AVERAGE('26.07 Lubigi-Masanafu-24h'!G77,'27.07 Lubigi-Masanafu-24h'!G77)</f>
        <v>0</v>
      </c>
      <c r="H77" s="49">
        <f>AVERAGE('26.07 Lubigi-Masanafu-24h'!H77,'27.07 Lubigi-Masanafu-24h'!H77)</f>
        <v>0</v>
      </c>
      <c r="I77" s="49">
        <f>AVERAGE('26.07 Lubigi-Masanafu-24h'!I77,'27.07 Lubigi-Masanafu-24h'!I77)</f>
        <v>6</v>
      </c>
      <c r="J77" s="49">
        <f>AVERAGE('26.07 Lubigi-Masanafu-24h'!J77,'27.07 Lubigi-Masanafu-24h'!J77)</f>
        <v>21</v>
      </c>
      <c r="K77" s="49">
        <f>AVERAGE('26.07 Lubigi-Masanafu-24h'!K77,'27.07 Lubigi-Masanafu-24h'!K77)</f>
        <v>10.5</v>
      </c>
      <c r="L77" s="49">
        <f>AVERAGE('26.07 Lubigi-Masanafu-24h'!L77,'27.07 Lubigi-Masanafu-24h'!L77)</f>
        <v>5</v>
      </c>
      <c r="M77" s="49">
        <f>AVERAGE('26.07 Lubigi-Masanafu-24h'!M77,'27.07 Lubigi-Masanafu-24h'!M77)</f>
        <v>82</v>
      </c>
      <c r="N77" s="49">
        <f>AVERAGE('26.07 Lubigi-Masanafu-24h'!N77,'27.07 Lubigi-Masanafu-24h'!N77)</f>
        <v>0</v>
      </c>
      <c r="O77" s="15">
        <f t="shared" si="35"/>
        <v>165</v>
      </c>
      <c r="P77" s="15">
        <f t="shared" si="36"/>
        <v>247</v>
      </c>
      <c r="R77" s="8"/>
      <c r="T77"/>
    </row>
    <row r="78" spans="2:20" ht="23.1" customHeight="1" x14ac:dyDescent="0.25">
      <c r="B78" s="24" t="s">
        <v>118</v>
      </c>
      <c r="C78" s="49">
        <f>AVERAGE('26.07 Lubigi-Masanafu-24h'!C78,'27.07 Lubigi-Masanafu-24h'!C78)</f>
        <v>57.5</v>
      </c>
      <c r="D78" s="49">
        <f>AVERAGE('26.07 Lubigi-Masanafu-24h'!D78,'27.07 Lubigi-Masanafu-24h'!D78)</f>
        <v>33</v>
      </c>
      <c r="E78" s="49">
        <f>AVERAGE('26.07 Lubigi-Masanafu-24h'!E78,'27.07 Lubigi-Masanafu-24h'!E78)</f>
        <v>16</v>
      </c>
      <c r="F78" s="49">
        <f>AVERAGE('26.07 Lubigi-Masanafu-24h'!F78,'27.07 Lubigi-Masanafu-24h'!F78)</f>
        <v>35.5</v>
      </c>
      <c r="G78" s="49">
        <f>AVERAGE('26.07 Lubigi-Masanafu-24h'!G78,'27.07 Lubigi-Masanafu-24h'!G78)</f>
        <v>3.5</v>
      </c>
      <c r="H78" s="49">
        <f>AVERAGE('26.07 Lubigi-Masanafu-24h'!H78,'27.07 Lubigi-Masanafu-24h'!H78)</f>
        <v>0.5</v>
      </c>
      <c r="I78" s="49">
        <f>AVERAGE('26.07 Lubigi-Masanafu-24h'!I78,'27.07 Lubigi-Masanafu-24h'!I78)</f>
        <v>5</v>
      </c>
      <c r="J78" s="49">
        <f>AVERAGE('26.07 Lubigi-Masanafu-24h'!J78,'27.07 Lubigi-Masanafu-24h'!J78)</f>
        <v>14.5</v>
      </c>
      <c r="K78" s="49">
        <f>AVERAGE('26.07 Lubigi-Masanafu-24h'!K78,'27.07 Lubigi-Masanafu-24h'!K78)</f>
        <v>17</v>
      </c>
      <c r="L78" s="49">
        <f>AVERAGE('26.07 Lubigi-Masanafu-24h'!L78,'27.07 Lubigi-Masanafu-24h'!L78)</f>
        <v>5</v>
      </c>
      <c r="M78" s="49">
        <f>AVERAGE('26.07 Lubigi-Masanafu-24h'!M78,'27.07 Lubigi-Masanafu-24h'!M78)</f>
        <v>100</v>
      </c>
      <c r="N78" s="49">
        <f>AVERAGE('26.07 Lubigi-Masanafu-24h'!N78,'27.07 Lubigi-Masanafu-24h'!N78)</f>
        <v>0</v>
      </c>
      <c r="O78" s="15">
        <f t="shared" si="35"/>
        <v>187.5</v>
      </c>
      <c r="P78" s="15">
        <f t="shared" si="36"/>
        <v>287.5</v>
      </c>
      <c r="R78" s="8"/>
      <c r="T78"/>
    </row>
    <row r="79" spans="2:20" ht="23.1" customHeight="1" x14ac:dyDescent="0.25">
      <c r="B79" s="23" t="s">
        <v>119</v>
      </c>
      <c r="C79" s="49">
        <f>AVERAGE('26.07 Lubigi-Masanafu-24h'!C79,'27.07 Lubigi-Masanafu-24h'!C79)</f>
        <v>55.5</v>
      </c>
      <c r="D79" s="49">
        <f>AVERAGE('26.07 Lubigi-Masanafu-24h'!D79,'27.07 Lubigi-Masanafu-24h'!D79)</f>
        <v>37</v>
      </c>
      <c r="E79" s="49">
        <f>AVERAGE('26.07 Lubigi-Masanafu-24h'!E79,'27.07 Lubigi-Masanafu-24h'!E79)</f>
        <v>14.5</v>
      </c>
      <c r="F79" s="49">
        <f>AVERAGE('26.07 Lubigi-Masanafu-24h'!F79,'27.07 Lubigi-Masanafu-24h'!F79)</f>
        <v>35.5</v>
      </c>
      <c r="G79" s="49">
        <f>AVERAGE('26.07 Lubigi-Masanafu-24h'!G79,'27.07 Lubigi-Masanafu-24h'!G79)</f>
        <v>0.5</v>
      </c>
      <c r="H79" s="49">
        <f>AVERAGE('26.07 Lubigi-Masanafu-24h'!H79,'27.07 Lubigi-Masanafu-24h'!H79)</f>
        <v>0</v>
      </c>
      <c r="I79" s="49">
        <f>AVERAGE('26.07 Lubigi-Masanafu-24h'!I79,'27.07 Lubigi-Masanafu-24h'!I79)</f>
        <v>6</v>
      </c>
      <c r="J79" s="49">
        <f>AVERAGE('26.07 Lubigi-Masanafu-24h'!J79,'27.07 Lubigi-Masanafu-24h'!J79)</f>
        <v>14.5</v>
      </c>
      <c r="K79" s="49">
        <f>AVERAGE('26.07 Lubigi-Masanafu-24h'!K79,'27.07 Lubigi-Masanafu-24h'!K79)</f>
        <v>13.5</v>
      </c>
      <c r="L79" s="49">
        <f>AVERAGE('26.07 Lubigi-Masanafu-24h'!L79,'27.07 Lubigi-Masanafu-24h'!L79)</f>
        <v>3</v>
      </c>
      <c r="M79" s="49">
        <f>AVERAGE('26.07 Lubigi-Masanafu-24h'!M79,'27.07 Lubigi-Masanafu-24h'!M79)</f>
        <v>75.5</v>
      </c>
      <c r="N79" s="49">
        <f>AVERAGE('26.07 Lubigi-Masanafu-24h'!N79,'27.07 Lubigi-Masanafu-24h'!N79)</f>
        <v>0</v>
      </c>
      <c r="O79" s="15">
        <f t="shared" si="35"/>
        <v>180</v>
      </c>
      <c r="P79" s="15">
        <f t="shared" si="36"/>
        <v>255.5</v>
      </c>
      <c r="R79" s="8"/>
      <c r="T79"/>
    </row>
    <row r="80" spans="2:20" ht="23.1" customHeight="1" x14ac:dyDescent="0.25">
      <c r="B80" s="25" t="s">
        <v>120</v>
      </c>
      <c r="C80" s="49">
        <f>AVERAGE('26.07 Lubigi-Masanafu-24h'!C80,'27.07 Lubigi-Masanafu-24h'!C80)</f>
        <v>42.5</v>
      </c>
      <c r="D80" s="49">
        <f>AVERAGE('26.07 Lubigi-Masanafu-24h'!D80,'27.07 Lubigi-Masanafu-24h'!D80)</f>
        <v>30.5</v>
      </c>
      <c r="E80" s="49">
        <f>AVERAGE('26.07 Lubigi-Masanafu-24h'!E80,'27.07 Lubigi-Masanafu-24h'!E80)</f>
        <v>18.5</v>
      </c>
      <c r="F80" s="49">
        <f>AVERAGE('26.07 Lubigi-Masanafu-24h'!F80,'27.07 Lubigi-Masanafu-24h'!F80)</f>
        <v>58.5</v>
      </c>
      <c r="G80" s="49">
        <f>AVERAGE('26.07 Lubigi-Masanafu-24h'!G80,'27.07 Lubigi-Masanafu-24h'!G80)</f>
        <v>0.5</v>
      </c>
      <c r="H80" s="49">
        <f>AVERAGE('26.07 Lubigi-Masanafu-24h'!H80,'27.07 Lubigi-Masanafu-24h'!H80)</f>
        <v>0</v>
      </c>
      <c r="I80" s="49">
        <f>AVERAGE('26.07 Lubigi-Masanafu-24h'!I80,'27.07 Lubigi-Masanafu-24h'!I80)</f>
        <v>1</v>
      </c>
      <c r="J80" s="49">
        <f>AVERAGE('26.07 Lubigi-Masanafu-24h'!J80,'27.07 Lubigi-Masanafu-24h'!J80)</f>
        <v>10.5</v>
      </c>
      <c r="K80" s="49">
        <f>AVERAGE('26.07 Lubigi-Masanafu-24h'!K80,'27.07 Lubigi-Masanafu-24h'!K80)</f>
        <v>9</v>
      </c>
      <c r="L80" s="49">
        <f>AVERAGE('26.07 Lubigi-Masanafu-24h'!L80,'27.07 Lubigi-Masanafu-24h'!L80)</f>
        <v>2</v>
      </c>
      <c r="M80" s="49">
        <f>AVERAGE('26.07 Lubigi-Masanafu-24h'!M80,'27.07 Lubigi-Masanafu-24h'!M80)</f>
        <v>60</v>
      </c>
      <c r="N80" s="49">
        <f>AVERAGE('26.07 Lubigi-Masanafu-24h'!N80,'27.07 Lubigi-Masanafu-24h'!N80)</f>
        <v>0</v>
      </c>
      <c r="O80" s="15">
        <f t="shared" si="35"/>
        <v>173</v>
      </c>
      <c r="P80" s="15">
        <f t="shared" si="36"/>
        <v>233</v>
      </c>
      <c r="R80" s="8"/>
      <c r="T80"/>
    </row>
    <row r="81" spans="2:20" ht="23.1" customHeight="1" x14ac:dyDescent="0.25">
      <c r="B81" s="23" t="s">
        <v>121</v>
      </c>
      <c r="C81" s="49">
        <f>AVERAGE('26.07 Lubigi-Masanafu-24h'!C81,'27.07 Lubigi-Masanafu-24h'!C81)</f>
        <v>40</v>
      </c>
      <c r="D81" s="49">
        <f>AVERAGE('26.07 Lubigi-Masanafu-24h'!D81,'27.07 Lubigi-Masanafu-24h'!D81)</f>
        <v>10.5</v>
      </c>
      <c r="E81" s="49">
        <f>AVERAGE('26.07 Lubigi-Masanafu-24h'!E81,'27.07 Lubigi-Masanafu-24h'!E81)</f>
        <v>8</v>
      </c>
      <c r="F81" s="49">
        <f>AVERAGE('26.07 Lubigi-Masanafu-24h'!F81,'27.07 Lubigi-Masanafu-24h'!F81)</f>
        <v>14.5</v>
      </c>
      <c r="G81" s="49">
        <f>AVERAGE('26.07 Lubigi-Masanafu-24h'!G81,'27.07 Lubigi-Masanafu-24h'!G81)</f>
        <v>0</v>
      </c>
      <c r="H81" s="49">
        <f>AVERAGE('26.07 Lubigi-Masanafu-24h'!H81,'27.07 Lubigi-Masanafu-24h'!H81)</f>
        <v>1</v>
      </c>
      <c r="I81" s="49">
        <f>AVERAGE('26.07 Lubigi-Masanafu-24h'!I81,'27.07 Lubigi-Masanafu-24h'!I81)</f>
        <v>4</v>
      </c>
      <c r="J81" s="49">
        <f>AVERAGE('26.07 Lubigi-Masanafu-24h'!J81,'27.07 Lubigi-Masanafu-24h'!J81)</f>
        <v>9.5</v>
      </c>
      <c r="K81" s="49">
        <f>AVERAGE('26.07 Lubigi-Masanafu-24h'!K81,'27.07 Lubigi-Masanafu-24h'!K81)</f>
        <v>7</v>
      </c>
      <c r="L81" s="49">
        <f>AVERAGE('26.07 Lubigi-Masanafu-24h'!L81,'27.07 Lubigi-Masanafu-24h'!L81)</f>
        <v>3</v>
      </c>
      <c r="M81" s="49">
        <f>AVERAGE('26.07 Lubigi-Masanafu-24h'!M81,'27.07 Lubigi-Masanafu-24h'!M81)</f>
        <v>54</v>
      </c>
      <c r="N81" s="49">
        <f>AVERAGE('26.07 Lubigi-Masanafu-24h'!N81,'27.07 Lubigi-Masanafu-24h'!N81)</f>
        <v>0</v>
      </c>
      <c r="O81" s="15">
        <f t="shared" si="35"/>
        <v>97.5</v>
      </c>
      <c r="P81" s="15">
        <f t="shared" si="36"/>
        <v>151.5</v>
      </c>
      <c r="R81" s="8"/>
      <c r="T81"/>
    </row>
    <row r="82" spans="2:20" ht="23.1" customHeight="1" x14ac:dyDescent="0.25">
      <c r="B82" s="24" t="s">
        <v>122</v>
      </c>
      <c r="C82" s="49">
        <f>AVERAGE('26.07 Lubigi-Masanafu-24h'!C82,'27.07 Lubigi-Masanafu-24h'!C82)</f>
        <v>32.5</v>
      </c>
      <c r="D82" s="49">
        <f>AVERAGE('26.07 Lubigi-Masanafu-24h'!D82,'27.07 Lubigi-Masanafu-24h'!D82)</f>
        <v>11.5</v>
      </c>
      <c r="E82" s="49">
        <f>AVERAGE('26.07 Lubigi-Masanafu-24h'!E82,'27.07 Lubigi-Masanafu-24h'!E82)</f>
        <v>8</v>
      </c>
      <c r="F82" s="49">
        <f>AVERAGE('26.07 Lubigi-Masanafu-24h'!F82,'27.07 Lubigi-Masanafu-24h'!F82)</f>
        <v>8.5</v>
      </c>
      <c r="G82" s="49">
        <f>AVERAGE('26.07 Lubigi-Masanafu-24h'!G82,'27.07 Lubigi-Masanafu-24h'!G82)</f>
        <v>0</v>
      </c>
      <c r="H82" s="49">
        <f>AVERAGE('26.07 Lubigi-Masanafu-24h'!H82,'27.07 Lubigi-Masanafu-24h'!H82)</f>
        <v>0</v>
      </c>
      <c r="I82" s="49">
        <f>AVERAGE('26.07 Lubigi-Masanafu-24h'!I82,'27.07 Lubigi-Masanafu-24h'!I82)</f>
        <v>4.5</v>
      </c>
      <c r="J82" s="49">
        <f>AVERAGE('26.07 Lubigi-Masanafu-24h'!J82,'27.07 Lubigi-Masanafu-24h'!J82)</f>
        <v>7</v>
      </c>
      <c r="K82" s="49">
        <f>AVERAGE('26.07 Lubigi-Masanafu-24h'!K82,'27.07 Lubigi-Masanafu-24h'!K82)</f>
        <v>9.5</v>
      </c>
      <c r="L82" s="49">
        <f>AVERAGE('26.07 Lubigi-Masanafu-24h'!L82,'27.07 Lubigi-Masanafu-24h'!L82)</f>
        <v>3</v>
      </c>
      <c r="M82" s="49">
        <f>AVERAGE('26.07 Lubigi-Masanafu-24h'!M82,'27.07 Lubigi-Masanafu-24h'!M82)</f>
        <v>44</v>
      </c>
      <c r="N82" s="49">
        <f>AVERAGE('26.07 Lubigi-Masanafu-24h'!N82,'27.07 Lubigi-Masanafu-24h'!N82)</f>
        <v>0</v>
      </c>
      <c r="O82" s="15">
        <f t="shared" si="35"/>
        <v>84.5</v>
      </c>
      <c r="P82" s="15">
        <f t="shared" si="36"/>
        <v>128.5</v>
      </c>
      <c r="R82" s="8"/>
      <c r="T82"/>
    </row>
    <row r="83" spans="2:20" ht="23.1" customHeight="1" x14ac:dyDescent="0.25">
      <c r="B83" s="23" t="s">
        <v>123</v>
      </c>
      <c r="C83" s="49">
        <f>AVERAGE('26.07 Lubigi-Masanafu-24h'!C83,'27.07 Lubigi-Masanafu-24h'!C83)</f>
        <v>27.5</v>
      </c>
      <c r="D83" s="49">
        <f>AVERAGE('26.07 Lubigi-Masanafu-24h'!D83,'27.07 Lubigi-Masanafu-24h'!D83)</f>
        <v>13.5</v>
      </c>
      <c r="E83" s="49">
        <f>AVERAGE('26.07 Lubigi-Masanafu-24h'!E83,'27.07 Lubigi-Masanafu-24h'!E83)</f>
        <v>7</v>
      </c>
      <c r="F83" s="49">
        <f>AVERAGE('26.07 Lubigi-Masanafu-24h'!F83,'27.07 Lubigi-Masanafu-24h'!F83)</f>
        <v>10.5</v>
      </c>
      <c r="G83" s="49">
        <f>AVERAGE('26.07 Lubigi-Masanafu-24h'!G83,'27.07 Lubigi-Masanafu-24h'!G83)</f>
        <v>0</v>
      </c>
      <c r="H83" s="49">
        <f>AVERAGE('26.07 Lubigi-Masanafu-24h'!H83,'27.07 Lubigi-Masanafu-24h'!H83)</f>
        <v>0</v>
      </c>
      <c r="I83" s="49">
        <f>AVERAGE('26.07 Lubigi-Masanafu-24h'!I83,'27.07 Lubigi-Masanafu-24h'!I83)</f>
        <v>4.5</v>
      </c>
      <c r="J83" s="49">
        <f>AVERAGE('26.07 Lubigi-Masanafu-24h'!J83,'27.07 Lubigi-Masanafu-24h'!J83)</f>
        <v>6</v>
      </c>
      <c r="K83" s="49">
        <f>AVERAGE('26.07 Lubigi-Masanafu-24h'!K83,'27.07 Lubigi-Masanafu-24h'!K83)</f>
        <v>7</v>
      </c>
      <c r="L83" s="49">
        <f>AVERAGE('26.07 Lubigi-Masanafu-24h'!L83,'27.07 Lubigi-Masanafu-24h'!L83)</f>
        <v>4</v>
      </c>
      <c r="M83" s="49">
        <f>AVERAGE('26.07 Lubigi-Masanafu-24h'!M83,'27.07 Lubigi-Masanafu-24h'!M83)</f>
        <v>33.5</v>
      </c>
      <c r="N83" s="49">
        <f>AVERAGE('26.07 Lubigi-Masanafu-24h'!N83,'27.07 Lubigi-Masanafu-24h'!N83)</f>
        <v>0</v>
      </c>
      <c r="O83" s="15">
        <f t="shared" si="35"/>
        <v>80</v>
      </c>
      <c r="P83" s="15">
        <f t="shared" si="36"/>
        <v>113.5</v>
      </c>
      <c r="R83" s="8"/>
      <c r="T83"/>
    </row>
    <row r="84" spans="2:20" ht="23.1" customHeight="1" x14ac:dyDescent="0.25">
      <c r="B84" s="25" t="s">
        <v>124</v>
      </c>
      <c r="C84" s="49">
        <f>AVERAGE('26.07 Lubigi-Masanafu-24h'!C84,'27.07 Lubigi-Masanafu-24h'!C84)</f>
        <v>25</v>
      </c>
      <c r="D84" s="49">
        <f>AVERAGE('26.07 Lubigi-Masanafu-24h'!D84,'27.07 Lubigi-Masanafu-24h'!D84)</f>
        <v>9</v>
      </c>
      <c r="E84" s="49">
        <f>AVERAGE('26.07 Lubigi-Masanafu-24h'!E84,'27.07 Lubigi-Masanafu-24h'!E84)</f>
        <v>9.5</v>
      </c>
      <c r="F84" s="49">
        <f>AVERAGE('26.07 Lubigi-Masanafu-24h'!F84,'27.07 Lubigi-Masanafu-24h'!F84)</f>
        <v>11</v>
      </c>
      <c r="G84" s="49">
        <f>AVERAGE('26.07 Lubigi-Masanafu-24h'!G84,'27.07 Lubigi-Masanafu-24h'!G84)</f>
        <v>0</v>
      </c>
      <c r="H84" s="49">
        <f>AVERAGE('26.07 Lubigi-Masanafu-24h'!H84,'27.07 Lubigi-Masanafu-24h'!H84)</f>
        <v>0</v>
      </c>
      <c r="I84" s="49">
        <f>AVERAGE('26.07 Lubigi-Masanafu-24h'!I84,'27.07 Lubigi-Masanafu-24h'!I84)</f>
        <v>2</v>
      </c>
      <c r="J84" s="49">
        <f>AVERAGE('26.07 Lubigi-Masanafu-24h'!J84,'27.07 Lubigi-Masanafu-24h'!J84)</f>
        <v>9</v>
      </c>
      <c r="K84" s="49">
        <f>AVERAGE('26.07 Lubigi-Masanafu-24h'!K84,'27.07 Lubigi-Masanafu-24h'!K84)</f>
        <v>9.5</v>
      </c>
      <c r="L84" s="49">
        <f>AVERAGE('26.07 Lubigi-Masanafu-24h'!L84,'27.07 Lubigi-Masanafu-24h'!L84)</f>
        <v>4</v>
      </c>
      <c r="M84" s="49">
        <f>AVERAGE('26.07 Lubigi-Masanafu-24h'!M84,'27.07 Lubigi-Masanafu-24h'!M84)</f>
        <v>31.5</v>
      </c>
      <c r="N84" s="49">
        <f>AVERAGE('26.07 Lubigi-Masanafu-24h'!N84,'27.07 Lubigi-Masanafu-24h'!N84)</f>
        <v>0</v>
      </c>
      <c r="O84" s="15">
        <f t="shared" si="35"/>
        <v>79</v>
      </c>
      <c r="P84" s="15">
        <f t="shared" si="36"/>
        <v>110.5</v>
      </c>
      <c r="R84" s="8"/>
      <c r="T84"/>
    </row>
    <row r="85" spans="2:20" ht="23.1" customHeight="1" x14ac:dyDescent="0.25">
      <c r="B85" s="23" t="s">
        <v>125</v>
      </c>
      <c r="C85" s="49">
        <f>AVERAGE('26.07 Lubigi-Masanafu-24h'!C85,'27.07 Lubigi-Masanafu-24h'!C85)</f>
        <v>26.5</v>
      </c>
      <c r="D85" s="49">
        <f>AVERAGE('26.07 Lubigi-Masanafu-24h'!D85,'27.07 Lubigi-Masanafu-24h'!D85)</f>
        <v>9</v>
      </c>
      <c r="E85" s="49">
        <f>AVERAGE('26.07 Lubigi-Masanafu-24h'!E85,'27.07 Lubigi-Masanafu-24h'!E85)</f>
        <v>6</v>
      </c>
      <c r="F85" s="49">
        <f>AVERAGE('26.07 Lubigi-Masanafu-24h'!F85,'27.07 Lubigi-Masanafu-24h'!F85)</f>
        <v>8.5</v>
      </c>
      <c r="G85" s="49">
        <f>AVERAGE('26.07 Lubigi-Masanafu-24h'!G85,'27.07 Lubigi-Masanafu-24h'!G85)</f>
        <v>0</v>
      </c>
      <c r="H85" s="49">
        <f>AVERAGE('26.07 Lubigi-Masanafu-24h'!H85,'27.07 Lubigi-Masanafu-24h'!H85)</f>
        <v>0</v>
      </c>
      <c r="I85" s="49">
        <f>AVERAGE('26.07 Lubigi-Masanafu-24h'!I85,'27.07 Lubigi-Masanafu-24h'!I85)</f>
        <v>1</v>
      </c>
      <c r="J85" s="49">
        <f>AVERAGE('26.07 Lubigi-Masanafu-24h'!J85,'27.07 Lubigi-Masanafu-24h'!J85)</f>
        <v>6.5</v>
      </c>
      <c r="K85" s="49">
        <f>AVERAGE('26.07 Lubigi-Masanafu-24h'!K85,'27.07 Lubigi-Masanafu-24h'!K85)</f>
        <v>8.5</v>
      </c>
      <c r="L85" s="49">
        <f>AVERAGE('26.07 Lubigi-Masanafu-24h'!L85,'27.07 Lubigi-Masanafu-24h'!L85)</f>
        <v>1</v>
      </c>
      <c r="M85" s="49">
        <f>AVERAGE('26.07 Lubigi-Masanafu-24h'!M85,'27.07 Lubigi-Masanafu-24h'!M85)</f>
        <v>29.5</v>
      </c>
      <c r="N85" s="49">
        <f>AVERAGE('26.07 Lubigi-Masanafu-24h'!N85,'27.07 Lubigi-Masanafu-24h'!N85)</f>
        <v>0</v>
      </c>
      <c r="O85" s="15">
        <f t="shared" si="35"/>
        <v>67</v>
      </c>
      <c r="P85" s="15">
        <f t="shared" si="36"/>
        <v>96.5</v>
      </c>
      <c r="R85" s="8"/>
      <c r="T85"/>
    </row>
    <row r="86" spans="2:20" ht="23.1" customHeight="1" x14ac:dyDescent="0.25">
      <c r="B86" s="24" t="s">
        <v>126</v>
      </c>
      <c r="C86" s="49">
        <f>AVERAGE('26.07 Lubigi-Masanafu-24h'!C86,'27.07 Lubigi-Masanafu-24h'!C86)</f>
        <v>13.5</v>
      </c>
      <c r="D86" s="49">
        <f>AVERAGE('26.07 Lubigi-Masanafu-24h'!D86,'27.07 Lubigi-Masanafu-24h'!D86)</f>
        <v>0.5</v>
      </c>
      <c r="E86" s="49">
        <f>AVERAGE('26.07 Lubigi-Masanafu-24h'!E86,'27.07 Lubigi-Masanafu-24h'!E86)</f>
        <v>3</v>
      </c>
      <c r="F86" s="49">
        <f>AVERAGE('26.07 Lubigi-Masanafu-24h'!F86,'27.07 Lubigi-Masanafu-24h'!F86)</f>
        <v>3.5</v>
      </c>
      <c r="G86" s="49">
        <f>AVERAGE('26.07 Lubigi-Masanafu-24h'!G86,'27.07 Lubigi-Masanafu-24h'!G86)</f>
        <v>0</v>
      </c>
      <c r="H86" s="49">
        <f>AVERAGE('26.07 Lubigi-Masanafu-24h'!H86,'27.07 Lubigi-Masanafu-24h'!H86)</f>
        <v>0</v>
      </c>
      <c r="I86" s="49">
        <f>AVERAGE('26.07 Lubigi-Masanafu-24h'!I86,'27.07 Lubigi-Masanafu-24h'!I86)</f>
        <v>1.5</v>
      </c>
      <c r="J86" s="49">
        <f>AVERAGE('26.07 Lubigi-Masanafu-24h'!J86,'27.07 Lubigi-Masanafu-24h'!J86)</f>
        <v>4.5</v>
      </c>
      <c r="K86" s="49">
        <f>AVERAGE('26.07 Lubigi-Masanafu-24h'!K86,'27.07 Lubigi-Masanafu-24h'!K86)</f>
        <v>3</v>
      </c>
      <c r="L86" s="49">
        <f>AVERAGE('26.07 Lubigi-Masanafu-24h'!L86,'27.07 Lubigi-Masanafu-24h'!L86)</f>
        <v>1.5</v>
      </c>
      <c r="M86" s="49">
        <f>AVERAGE('26.07 Lubigi-Masanafu-24h'!M86,'27.07 Lubigi-Masanafu-24h'!M86)</f>
        <v>20</v>
      </c>
      <c r="N86" s="49">
        <f>AVERAGE('26.07 Lubigi-Masanafu-24h'!N86,'27.07 Lubigi-Masanafu-24h'!N86)</f>
        <v>0</v>
      </c>
      <c r="O86" s="15">
        <f t="shared" si="35"/>
        <v>31</v>
      </c>
      <c r="P86" s="15">
        <f t="shared" si="36"/>
        <v>51</v>
      </c>
      <c r="R86" s="8"/>
      <c r="T86"/>
    </row>
    <row r="87" spans="2:20" ht="23.1" customHeight="1" x14ac:dyDescent="0.25">
      <c r="B87" s="23" t="s">
        <v>127</v>
      </c>
      <c r="C87" s="49">
        <f>AVERAGE('26.07 Lubigi-Masanafu-24h'!C87,'27.07 Lubigi-Masanafu-24h'!C87)</f>
        <v>20.5</v>
      </c>
      <c r="D87" s="49">
        <f>AVERAGE('26.07 Lubigi-Masanafu-24h'!D87,'27.07 Lubigi-Masanafu-24h'!D87)</f>
        <v>4</v>
      </c>
      <c r="E87" s="49">
        <f>AVERAGE('26.07 Lubigi-Masanafu-24h'!E87,'27.07 Lubigi-Masanafu-24h'!E87)</f>
        <v>6</v>
      </c>
      <c r="F87" s="49">
        <f>AVERAGE('26.07 Lubigi-Masanafu-24h'!F87,'27.07 Lubigi-Masanafu-24h'!F87)</f>
        <v>7</v>
      </c>
      <c r="G87" s="49">
        <f>AVERAGE('26.07 Lubigi-Masanafu-24h'!G87,'27.07 Lubigi-Masanafu-24h'!G87)</f>
        <v>0</v>
      </c>
      <c r="H87" s="49">
        <f>AVERAGE('26.07 Lubigi-Masanafu-24h'!H87,'27.07 Lubigi-Masanafu-24h'!H87)</f>
        <v>0</v>
      </c>
      <c r="I87" s="49">
        <f>AVERAGE('26.07 Lubigi-Masanafu-24h'!I87,'27.07 Lubigi-Masanafu-24h'!I87)</f>
        <v>3.5</v>
      </c>
      <c r="J87" s="49">
        <f>AVERAGE('26.07 Lubigi-Masanafu-24h'!J87,'27.07 Lubigi-Masanafu-24h'!J87)</f>
        <v>6.5</v>
      </c>
      <c r="K87" s="49">
        <f>AVERAGE('26.07 Lubigi-Masanafu-24h'!K87,'27.07 Lubigi-Masanafu-24h'!K87)</f>
        <v>4.5</v>
      </c>
      <c r="L87" s="49">
        <f>AVERAGE('26.07 Lubigi-Masanafu-24h'!L87,'27.07 Lubigi-Masanafu-24h'!L87)</f>
        <v>1.5</v>
      </c>
      <c r="M87" s="49">
        <f>AVERAGE('26.07 Lubigi-Masanafu-24h'!M87,'27.07 Lubigi-Masanafu-24h'!M87)</f>
        <v>19</v>
      </c>
      <c r="N87" s="49">
        <f>AVERAGE('26.07 Lubigi-Masanafu-24h'!N87,'27.07 Lubigi-Masanafu-24h'!N87)</f>
        <v>0</v>
      </c>
      <c r="O87" s="15">
        <f t="shared" si="35"/>
        <v>53.5</v>
      </c>
      <c r="P87" s="15">
        <f t="shared" si="36"/>
        <v>72.5</v>
      </c>
      <c r="R87" s="8"/>
      <c r="T87"/>
    </row>
    <row r="88" spans="2:20" ht="23.1" customHeight="1" x14ac:dyDescent="0.25">
      <c r="B88" s="25" t="s">
        <v>128</v>
      </c>
      <c r="C88" s="49">
        <f>AVERAGE('26.07 Lubigi-Masanafu-24h'!C88,'27.07 Lubigi-Masanafu-24h'!C88)</f>
        <v>16.5</v>
      </c>
      <c r="D88" s="49">
        <f>AVERAGE('26.07 Lubigi-Masanafu-24h'!D88,'27.07 Lubigi-Masanafu-24h'!D88)</f>
        <v>7.5</v>
      </c>
      <c r="E88" s="49">
        <f>AVERAGE('26.07 Lubigi-Masanafu-24h'!E88,'27.07 Lubigi-Masanafu-24h'!E88)</f>
        <v>4</v>
      </c>
      <c r="F88" s="49">
        <f>AVERAGE('26.07 Lubigi-Masanafu-24h'!F88,'27.07 Lubigi-Masanafu-24h'!F88)</f>
        <v>7</v>
      </c>
      <c r="G88" s="49">
        <f>AVERAGE('26.07 Lubigi-Masanafu-24h'!G88,'27.07 Lubigi-Masanafu-24h'!G88)</f>
        <v>0</v>
      </c>
      <c r="H88" s="49">
        <f>AVERAGE('26.07 Lubigi-Masanafu-24h'!H88,'27.07 Lubigi-Masanafu-24h'!H88)</f>
        <v>0</v>
      </c>
      <c r="I88" s="49">
        <f>AVERAGE('26.07 Lubigi-Masanafu-24h'!I88,'27.07 Lubigi-Masanafu-24h'!I88)</f>
        <v>5.5</v>
      </c>
      <c r="J88" s="49">
        <f>AVERAGE('26.07 Lubigi-Masanafu-24h'!J88,'27.07 Lubigi-Masanafu-24h'!J88)</f>
        <v>8</v>
      </c>
      <c r="K88" s="49">
        <f>AVERAGE('26.07 Lubigi-Masanafu-24h'!K88,'27.07 Lubigi-Masanafu-24h'!K88)</f>
        <v>5</v>
      </c>
      <c r="L88" s="49">
        <f>AVERAGE('26.07 Lubigi-Masanafu-24h'!L88,'27.07 Lubigi-Masanafu-24h'!L88)</f>
        <v>1</v>
      </c>
      <c r="M88" s="49">
        <f>AVERAGE('26.07 Lubigi-Masanafu-24h'!M88,'27.07 Lubigi-Masanafu-24h'!M88)</f>
        <v>26.5</v>
      </c>
      <c r="N88" s="49">
        <f>AVERAGE('26.07 Lubigi-Masanafu-24h'!N88,'27.07 Lubigi-Masanafu-24h'!N88)</f>
        <v>0</v>
      </c>
      <c r="O88" s="15">
        <f t="shared" si="35"/>
        <v>54.5</v>
      </c>
      <c r="P88" s="15">
        <f t="shared" si="36"/>
        <v>81</v>
      </c>
      <c r="R88" s="8"/>
      <c r="T88"/>
    </row>
    <row r="89" spans="2:20" ht="23.1" customHeight="1" x14ac:dyDescent="0.25">
      <c r="B89" s="23" t="s">
        <v>129</v>
      </c>
      <c r="C89" s="49">
        <f>AVERAGE('26.07 Lubigi-Masanafu-24h'!C89,'27.07 Lubigi-Masanafu-24h'!C89)</f>
        <v>12</v>
      </c>
      <c r="D89" s="49">
        <f>AVERAGE('26.07 Lubigi-Masanafu-24h'!D89,'27.07 Lubigi-Masanafu-24h'!D89)</f>
        <v>9</v>
      </c>
      <c r="E89" s="49">
        <f>AVERAGE('26.07 Lubigi-Masanafu-24h'!E89,'27.07 Lubigi-Masanafu-24h'!E89)</f>
        <v>1.5</v>
      </c>
      <c r="F89" s="49">
        <f>AVERAGE('26.07 Lubigi-Masanafu-24h'!F89,'27.07 Lubigi-Masanafu-24h'!F89)</f>
        <v>7.5</v>
      </c>
      <c r="G89" s="49">
        <f>AVERAGE('26.07 Lubigi-Masanafu-24h'!G89,'27.07 Lubigi-Masanafu-24h'!G89)</f>
        <v>0</v>
      </c>
      <c r="H89" s="49">
        <f>AVERAGE('26.07 Lubigi-Masanafu-24h'!H89,'27.07 Lubigi-Masanafu-24h'!H89)</f>
        <v>0</v>
      </c>
      <c r="I89" s="49">
        <f>AVERAGE('26.07 Lubigi-Masanafu-24h'!I89,'27.07 Lubigi-Masanafu-24h'!I89)</f>
        <v>2.5</v>
      </c>
      <c r="J89" s="49">
        <f>AVERAGE('26.07 Lubigi-Masanafu-24h'!J89,'27.07 Lubigi-Masanafu-24h'!J89)</f>
        <v>10.5</v>
      </c>
      <c r="K89" s="49">
        <f>AVERAGE('26.07 Lubigi-Masanafu-24h'!K89,'27.07 Lubigi-Masanafu-24h'!K89)</f>
        <v>4.5</v>
      </c>
      <c r="L89" s="49">
        <f>AVERAGE('26.07 Lubigi-Masanafu-24h'!L89,'27.07 Lubigi-Masanafu-24h'!L89)</f>
        <v>2.5</v>
      </c>
      <c r="M89" s="49">
        <f>AVERAGE('26.07 Lubigi-Masanafu-24h'!M89,'27.07 Lubigi-Masanafu-24h'!M89)</f>
        <v>24</v>
      </c>
      <c r="N89" s="49">
        <f>AVERAGE('26.07 Lubigi-Masanafu-24h'!N89,'27.07 Lubigi-Masanafu-24h'!N89)</f>
        <v>0</v>
      </c>
      <c r="O89" s="15">
        <f t="shared" si="35"/>
        <v>50</v>
      </c>
      <c r="P89" s="15">
        <f t="shared" si="36"/>
        <v>74</v>
      </c>
      <c r="R89" s="8"/>
      <c r="T89"/>
    </row>
    <row r="90" spans="2:20" ht="23.1" customHeight="1" x14ac:dyDescent="0.25">
      <c r="B90" s="24" t="s">
        <v>130</v>
      </c>
      <c r="C90" s="49">
        <f>AVERAGE('26.07 Lubigi-Masanafu-24h'!C90,'27.07 Lubigi-Masanafu-24h'!C90)</f>
        <v>24</v>
      </c>
      <c r="D90" s="49">
        <f>AVERAGE('26.07 Lubigi-Masanafu-24h'!D90,'27.07 Lubigi-Masanafu-24h'!D90)</f>
        <v>4.5</v>
      </c>
      <c r="E90" s="49">
        <f>AVERAGE('26.07 Lubigi-Masanafu-24h'!E90,'27.07 Lubigi-Masanafu-24h'!E90)</f>
        <v>12.5</v>
      </c>
      <c r="F90" s="49">
        <f>AVERAGE('26.07 Lubigi-Masanafu-24h'!F90,'27.07 Lubigi-Masanafu-24h'!F90)</f>
        <v>10</v>
      </c>
      <c r="G90" s="49">
        <f>AVERAGE('26.07 Lubigi-Masanafu-24h'!G90,'27.07 Lubigi-Masanafu-24h'!G90)</f>
        <v>0</v>
      </c>
      <c r="H90" s="49">
        <f>AVERAGE('26.07 Lubigi-Masanafu-24h'!H90,'27.07 Lubigi-Masanafu-24h'!H90)</f>
        <v>0</v>
      </c>
      <c r="I90" s="49">
        <f>AVERAGE('26.07 Lubigi-Masanafu-24h'!I90,'27.07 Lubigi-Masanafu-24h'!I90)</f>
        <v>2.5</v>
      </c>
      <c r="J90" s="49">
        <f>AVERAGE('26.07 Lubigi-Masanafu-24h'!J90,'27.07 Lubigi-Masanafu-24h'!J90)</f>
        <v>9.5</v>
      </c>
      <c r="K90" s="49">
        <f>AVERAGE('26.07 Lubigi-Masanafu-24h'!K90,'27.07 Lubigi-Masanafu-24h'!K90)</f>
        <v>6.5</v>
      </c>
      <c r="L90" s="49">
        <f>AVERAGE('26.07 Lubigi-Masanafu-24h'!L90,'27.07 Lubigi-Masanafu-24h'!L90)</f>
        <v>4.5</v>
      </c>
      <c r="M90" s="49">
        <f>AVERAGE('26.07 Lubigi-Masanafu-24h'!M90,'27.07 Lubigi-Masanafu-24h'!M90)</f>
        <v>27.5</v>
      </c>
      <c r="N90" s="49">
        <f>AVERAGE('26.07 Lubigi-Masanafu-24h'!N90,'27.07 Lubigi-Masanafu-24h'!N90)</f>
        <v>0</v>
      </c>
      <c r="O90" s="15">
        <f t="shared" si="35"/>
        <v>74</v>
      </c>
      <c r="P90" s="15">
        <f t="shared" si="36"/>
        <v>101.5</v>
      </c>
      <c r="R90" s="8"/>
      <c r="T90"/>
    </row>
    <row r="91" spans="2:20" ht="23.1" customHeight="1" x14ac:dyDescent="0.25">
      <c r="B91" s="23" t="s">
        <v>131</v>
      </c>
      <c r="C91" s="49">
        <f>AVERAGE('26.07 Lubigi-Masanafu-24h'!C91,'27.07 Lubigi-Masanafu-24h'!C91)</f>
        <v>14.5</v>
      </c>
      <c r="D91" s="49">
        <f>AVERAGE('26.07 Lubigi-Masanafu-24h'!D91,'27.07 Lubigi-Masanafu-24h'!D91)</f>
        <v>6</v>
      </c>
      <c r="E91" s="49">
        <f>AVERAGE('26.07 Lubigi-Masanafu-24h'!E91,'27.07 Lubigi-Masanafu-24h'!E91)</f>
        <v>4.5</v>
      </c>
      <c r="F91" s="49">
        <f>AVERAGE('26.07 Lubigi-Masanafu-24h'!F91,'27.07 Lubigi-Masanafu-24h'!F91)</f>
        <v>8.5</v>
      </c>
      <c r="G91" s="49">
        <f>AVERAGE('26.07 Lubigi-Masanafu-24h'!G91,'27.07 Lubigi-Masanafu-24h'!G91)</f>
        <v>0</v>
      </c>
      <c r="H91" s="49">
        <f>AVERAGE('26.07 Lubigi-Masanafu-24h'!H91,'27.07 Lubigi-Masanafu-24h'!H91)</f>
        <v>0</v>
      </c>
      <c r="I91" s="49">
        <f>AVERAGE('26.07 Lubigi-Masanafu-24h'!I91,'27.07 Lubigi-Masanafu-24h'!I91)</f>
        <v>3</v>
      </c>
      <c r="J91" s="49">
        <f>AVERAGE('26.07 Lubigi-Masanafu-24h'!J91,'27.07 Lubigi-Masanafu-24h'!J91)</f>
        <v>4.5</v>
      </c>
      <c r="K91" s="49">
        <f>AVERAGE('26.07 Lubigi-Masanafu-24h'!K91,'27.07 Lubigi-Masanafu-24h'!K91)</f>
        <v>8.5</v>
      </c>
      <c r="L91" s="49">
        <f>AVERAGE('26.07 Lubigi-Masanafu-24h'!L91,'27.07 Lubigi-Masanafu-24h'!L91)</f>
        <v>2.5</v>
      </c>
      <c r="M91" s="49">
        <f>AVERAGE('26.07 Lubigi-Masanafu-24h'!M91,'27.07 Lubigi-Masanafu-24h'!M91)</f>
        <v>33.5</v>
      </c>
      <c r="N91" s="49">
        <f>AVERAGE('26.07 Lubigi-Masanafu-24h'!N91,'27.07 Lubigi-Masanafu-24h'!N91)</f>
        <v>0</v>
      </c>
      <c r="O91" s="15">
        <f t="shared" si="35"/>
        <v>52</v>
      </c>
      <c r="P91" s="15">
        <f t="shared" si="36"/>
        <v>85.5</v>
      </c>
      <c r="R91" s="8"/>
      <c r="T91"/>
    </row>
    <row r="92" spans="2:20" ht="23.1" customHeight="1" x14ac:dyDescent="0.25">
      <c r="B92" s="25" t="s">
        <v>132</v>
      </c>
      <c r="C92" s="49">
        <f>AVERAGE('26.07 Lubigi-Masanafu-24h'!C92,'27.07 Lubigi-Masanafu-24h'!C92)</f>
        <v>10.5</v>
      </c>
      <c r="D92" s="49">
        <f>AVERAGE('26.07 Lubigi-Masanafu-24h'!D92,'27.07 Lubigi-Masanafu-24h'!D92)</f>
        <v>7</v>
      </c>
      <c r="E92" s="49">
        <f>AVERAGE('26.07 Lubigi-Masanafu-24h'!E92,'27.07 Lubigi-Masanafu-24h'!E92)</f>
        <v>2</v>
      </c>
      <c r="F92" s="49">
        <f>AVERAGE('26.07 Lubigi-Masanafu-24h'!F92,'27.07 Lubigi-Masanafu-24h'!F92)</f>
        <v>3.5</v>
      </c>
      <c r="G92" s="49">
        <f>AVERAGE('26.07 Lubigi-Masanafu-24h'!G92,'27.07 Lubigi-Masanafu-24h'!G92)</f>
        <v>0</v>
      </c>
      <c r="H92" s="49">
        <f>AVERAGE('26.07 Lubigi-Masanafu-24h'!H92,'27.07 Lubigi-Masanafu-24h'!H92)</f>
        <v>0</v>
      </c>
      <c r="I92" s="49">
        <f>AVERAGE('26.07 Lubigi-Masanafu-24h'!I92,'27.07 Lubigi-Masanafu-24h'!I92)</f>
        <v>4</v>
      </c>
      <c r="J92" s="49">
        <f>AVERAGE('26.07 Lubigi-Masanafu-24h'!J92,'27.07 Lubigi-Masanafu-24h'!J92)</f>
        <v>5.5</v>
      </c>
      <c r="K92" s="49">
        <f>AVERAGE('26.07 Lubigi-Masanafu-24h'!K92,'27.07 Lubigi-Masanafu-24h'!K92)</f>
        <v>6</v>
      </c>
      <c r="L92" s="49">
        <f>AVERAGE('26.07 Lubigi-Masanafu-24h'!L92,'27.07 Lubigi-Masanafu-24h'!L92)</f>
        <v>3</v>
      </c>
      <c r="M92" s="49">
        <f>AVERAGE('26.07 Lubigi-Masanafu-24h'!M92,'27.07 Lubigi-Masanafu-24h'!M92)</f>
        <v>20</v>
      </c>
      <c r="N92" s="49">
        <f>AVERAGE('26.07 Lubigi-Masanafu-24h'!N92,'27.07 Lubigi-Masanafu-24h'!N92)</f>
        <v>0</v>
      </c>
      <c r="O92" s="15">
        <f t="shared" si="35"/>
        <v>41.5</v>
      </c>
      <c r="P92" s="15">
        <f t="shared" si="36"/>
        <v>61.5</v>
      </c>
      <c r="R92" s="8"/>
      <c r="T92"/>
    </row>
    <row r="93" spans="2:20" ht="23.1" customHeight="1" x14ac:dyDescent="0.25">
      <c r="B93" s="23" t="s">
        <v>133</v>
      </c>
      <c r="C93" s="49">
        <f>AVERAGE('26.07 Lubigi-Masanafu-24h'!C93,'27.07 Lubigi-Masanafu-24h'!C93)</f>
        <v>20</v>
      </c>
      <c r="D93" s="49">
        <f>AVERAGE('26.07 Lubigi-Masanafu-24h'!D93,'27.07 Lubigi-Masanafu-24h'!D93)</f>
        <v>1.5</v>
      </c>
      <c r="E93" s="49">
        <f>AVERAGE('26.07 Lubigi-Masanafu-24h'!E93,'27.07 Lubigi-Masanafu-24h'!E93)</f>
        <v>3</v>
      </c>
      <c r="F93" s="49">
        <f>AVERAGE('26.07 Lubigi-Masanafu-24h'!F93,'27.07 Lubigi-Masanafu-24h'!F93)</f>
        <v>1.5</v>
      </c>
      <c r="G93" s="49">
        <f>AVERAGE('26.07 Lubigi-Masanafu-24h'!G93,'27.07 Lubigi-Masanafu-24h'!G93)</f>
        <v>0</v>
      </c>
      <c r="H93" s="49">
        <f>AVERAGE('26.07 Lubigi-Masanafu-24h'!H93,'27.07 Lubigi-Masanafu-24h'!H93)</f>
        <v>0</v>
      </c>
      <c r="I93" s="49">
        <f>AVERAGE('26.07 Lubigi-Masanafu-24h'!I93,'27.07 Lubigi-Masanafu-24h'!I93)</f>
        <v>3.5</v>
      </c>
      <c r="J93" s="49">
        <f>AVERAGE('26.07 Lubigi-Masanafu-24h'!J93,'27.07 Lubigi-Masanafu-24h'!J93)</f>
        <v>3.5</v>
      </c>
      <c r="K93" s="49">
        <f>AVERAGE('26.07 Lubigi-Masanafu-24h'!K93,'27.07 Lubigi-Masanafu-24h'!K93)</f>
        <v>4</v>
      </c>
      <c r="L93" s="49">
        <f>AVERAGE('26.07 Lubigi-Masanafu-24h'!L93,'27.07 Lubigi-Masanafu-24h'!L93)</f>
        <v>2</v>
      </c>
      <c r="M93" s="49">
        <f>AVERAGE('26.07 Lubigi-Masanafu-24h'!M93,'27.07 Lubigi-Masanafu-24h'!M93)</f>
        <v>25.5</v>
      </c>
      <c r="N93" s="49">
        <f>AVERAGE('26.07 Lubigi-Masanafu-24h'!N93,'27.07 Lubigi-Masanafu-24h'!N93)</f>
        <v>0</v>
      </c>
      <c r="O93" s="15">
        <f t="shared" si="35"/>
        <v>39</v>
      </c>
      <c r="P93" s="15">
        <f t="shared" si="36"/>
        <v>64.5</v>
      </c>
      <c r="R93" s="8"/>
      <c r="T93"/>
    </row>
    <row r="94" spans="2:20" ht="23.1" customHeight="1" x14ac:dyDescent="0.25">
      <c r="B94" s="24" t="s">
        <v>134</v>
      </c>
      <c r="C94" s="49">
        <f>AVERAGE('26.07 Lubigi-Masanafu-24h'!C94,'27.07 Lubigi-Masanafu-24h'!C94)</f>
        <v>30.5</v>
      </c>
      <c r="D94" s="49">
        <f>AVERAGE('26.07 Lubigi-Masanafu-24h'!D94,'27.07 Lubigi-Masanafu-24h'!D94)</f>
        <v>4.5</v>
      </c>
      <c r="E94" s="49">
        <f>AVERAGE('26.07 Lubigi-Masanafu-24h'!E94,'27.07 Lubigi-Masanafu-24h'!E94)</f>
        <v>8</v>
      </c>
      <c r="F94" s="49">
        <f>AVERAGE('26.07 Lubigi-Masanafu-24h'!F94,'27.07 Lubigi-Masanafu-24h'!F94)</f>
        <v>9</v>
      </c>
      <c r="G94" s="49">
        <f>AVERAGE('26.07 Lubigi-Masanafu-24h'!G94,'27.07 Lubigi-Masanafu-24h'!G94)</f>
        <v>1</v>
      </c>
      <c r="H94" s="49">
        <f>AVERAGE('26.07 Lubigi-Masanafu-24h'!H94,'27.07 Lubigi-Masanafu-24h'!H94)</f>
        <v>1</v>
      </c>
      <c r="I94" s="49">
        <f>AVERAGE('26.07 Lubigi-Masanafu-24h'!I94,'27.07 Lubigi-Masanafu-24h'!I94)</f>
        <v>6</v>
      </c>
      <c r="J94" s="49">
        <f>AVERAGE('26.07 Lubigi-Masanafu-24h'!J94,'27.07 Lubigi-Masanafu-24h'!J94)</f>
        <v>12</v>
      </c>
      <c r="K94" s="49">
        <f>AVERAGE('26.07 Lubigi-Masanafu-24h'!K94,'27.07 Lubigi-Masanafu-24h'!K94)</f>
        <v>6</v>
      </c>
      <c r="L94" s="49">
        <f>AVERAGE('26.07 Lubigi-Masanafu-24h'!L94,'27.07 Lubigi-Masanafu-24h'!L94)</f>
        <v>3.5</v>
      </c>
      <c r="M94" s="49">
        <f>AVERAGE('26.07 Lubigi-Masanafu-24h'!M94,'27.07 Lubigi-Masanafu-24h'!M94)</f>
        <v>15.5</v>
      </c>
      <c r="N94" s="49">
        <f>AVERAGE('26.07 Lubigi-Masanafu-24h'!N94,'27.07 Lubigi-Masanafu-24h'!N94)</f>
        <v>0</v>
      </c>
      <c r="O94" s="15">
        <f t="shared" si="35"/>
        <v>81.5</v>
      </c>
      <c r="P94" s="15">
        <f t="shared" si="36"/>
        <v>97</v>
      </c>
      <c r="R94" s="8"/>
      <c r="T94"/>
    </row>
    <row r="95" spans="2:20" ht="23.1" customHeight="1" x14ac:dyDescent="0.25">
      <c r="B95" s="23" t="s">
        <v>135</v>
      </c>
      <c r="C95" s="49">
        <f>AVERAGE('26.07 Lubigi-Masanafu-24h'!C95,'27.07 Lubigi-Masanafu-24h'!C95)</f>
        <v>20.5</v>
      </c>
      <c r="D95" s="49">
        <f>AVERAGE('26.07 Lubigi-Masanafu-24h'!D95,'27.07 Lubigi-Masanafu-24h'!D95)</f>
        <v>7.5</v>
      </c>
      <c r="E95" s="49">
        <f>AVERAGE('26.07 Lubigi-Masanafu-24h'!E95,'27.07 Lubigi-Masanafu-24h'!E95)</f>
        <v>4.5</v>
      </c>
      <c r="F95" s="49">
        <f>AVERAGE('26.07 Lubigi-Masanafu-24h'!F95,'27.07 Lubigi-Masanafu-24h'!F95)</f>
        <v>5.5</v>
      </c>
      <c r="G95" s="49">
        <f>AVERAGE('26.07 Lubigi-Masanafu-24h'!G95,'27.07 Lubigi-Masanafu-24h'!G95)</f>
        <v>0</v>
      </c>
      <c r="H95" s="49">
        <f>AVERAGE('26.07 Lubigi-Masanafu-24h'!H95,'27.07 Lubigi-Masanafu-24h'!H95)</f>
        <v>0.5</v>
      </c>
      <c r="I95" s="49">
        <f>AVERAGE('26.07 Lubigi-Masanafu-24h'!I95,'27.07 Lubigi-Masanafu-24h'!I95)</f>
        <v>9</v>
      </c>
      <c r="J95" s="49">
        <f>AVERAGE('26.07 Lubigi-Masanafu-24h'!J95,'27.07 Lubigi-Masanafu-24h'!J95)</f>
        <v>6.5</v>
      </c>
      <c r="K95" s="49">
        <f>AVERAGE('26.07 Lubigi-Masanafu-24h'!K95,'27.07 Lubigi-Masanafu-24h'!K95)</f>
        <v>7</v>
      </c>
      <c r="L95" s="49">
        <f>AVERAGE('26.07 Lubigi-Masanafu-24h'!L95,'27.07 Lubigi-Masanafu-24h'!L95)</f>
        <v>1.5</v>
      </c>
      <c r="M95" s="49">
        <f>AVERAGE('26.07 Lubigi-Masanafu-24h'!M95,'27.07 Lubigi-Masanafu-24h'!M95)</f>
        <v>22</v>
      </c>
      <c r="N95" s="49">
        <f>AVERAGE('26.07 Lubigi-Masanafu-24h'!N95,'27.07 Lubigi-Masanafu-24h'!N95)</f>
        <v>0</v>
      </c>
      <c r="O95" s="15">
        <f t="shared" si="35"/>
        <v>62.5</v>
      </c>
      <c r="P95" s="15">
        <f t="shared" si="36"/>
        <v>84.5</v>
      </c>
      <c r="R95" s="8"/>
      <c r="T95"/>
    </row>
    <row r="96" spans="2:20" ht="23.1" customHeight="1" x14ac:dyDescent="0.25">
      <c r="B96" s="25" t="s">
        <v>136</v>
      </c>
      <c r="C96" s="49">
        <f>AVERAGE('26.07 Lubigi-Masanafu-24h'!C96,'27.07 Lubigi-Masanafu-24h'!C96)</f>
        <v>21.5</v>
      </c>
      <c r="D96" s="49">
        <f>AVERAGE('26.07 Lubigi-Masanafu-24h'!D96,'27.07 Lubigi-Masanafu-24h'!D96)</f>
        <v>5</v>
      </c>
      <c r="E96" s="49">
        <f>AVERAGE('26.07 Lubigi-Masanafu-24h'!E96,'27.07 Lubigi-Masanafu-24h'!E96)</f>
        <v>4</v>
      </c>
      <c r="F96" s="49">
        <f>AVERAGE('26.07 Lubigi-Masanafu-24h'!F96,'27.07 Lubigi-Masanafu-24h'!F96)</f>
        <v>6</v>
      </c>
      <c r="G96" s="49">
        <f>AVERAGE('26.07 Lubigi-Masanafu-24h'!G96,'27.07 Lubigi-Masanafu-24h'!G96)</f>
        <v>0</v>
      </c>
      <c r="H96" s="49">
        <f>AVERAGE('26.07 Lubigi-Masanafu-24h'!H96,'27.07 Lubigi-Masanafu-24h'!H96)</f>
        <v>0</v>
      </c>
      <c r="I96" s="49">
        <f>AVERAGE('26.07 Lubigi-Masanafu-24h'!I96,'27.07 Lubigi-Masanafu-24h'!I96)</f>
        <v>1</v>
      </c>
      <c r="J96" s="49">
        <f>AVERAGE('26.07 Lubigi-Masanafu-24h'!J96,'27.07 Lubigi-Masanafu-24h'!J96)</f>
        <v>5.5</v>
      </c>
      <c r="K96" s="49">
        <f>AVERAGE('26.07 Lubigi-Masanafu-24h'!K96,'27.07 Lubigi-Masanafu-24h'!K96)</f>
        <v>4.5</v>
      </c>
      <c r="L96" s="49">
        <f>AVERAGE('26.07 Lubigi-Masanafu-24h'!L96,'27.07 Lubigi-Masanafu-24h'!L96)</f>
        <v>4</v>
      </c>
      <c r="M96" s="49">
        <f>AVERAGE('26.07 Lubigi-Masanafu-24h'!M96,'27.07 Lubigi-Masanafu-24h'!M96)</f>
        <v>24</v>
      </c>
      <c r="N96" s="49">
        <f>AVERAGE('26.07 Lubigi-Masanafu-24h'!N96,'27.07 Lubigi-Masanafu-24h'!N96)</f>
        <v>0</v>
      </c>
      <c r="O96" s="15">
        <f t="shared" si="35"/>
        <v>51.5</v>
      </c>
      <c r="P96" s="15">
        <f t="shared" si="36"/>
        <v>75.5</v>
      </c>
      <c r="R96" s="8"/>
      <c r="T96"/>
    </row>
    <row r="97" spans="2:20" ht="23.1" customHeight="1" x14ac:dyDescent="0.25">
      <c r="B97" s="23" t="s">
        <v>137</v>
      </c>
      <c r="C97" s="49">
        <f>AVERAGE('26.07 Lubigi-Masanafu-24h'!C97,'27.07 Lubigi-Masanafu-24h'!C97)</f>
        <v>25.5</v>
      </c>
      <c r="D97" s="49">
        <f>AVERAGE('26.07 Lubigi-Masanafu-24h'!D97,'27.07 Lubigi-Masanafu-24h'!D97)</f>
        <v>4</v>
      </c>
      <c r="E97" s="49">
        <f>AVERAGE('26.07 Lubigi-Masanafu-24h'!E97,'27.07 Lubigi-Masanafu-24h'!E97)</f>
        <v>3</v>
      </c>
      <c r="F97" s="49">
        <f>AVERAGE('26.07 Lubigi-Masanafu-24h'!F97,'27.07 Lubigi-Masanafu-24h'!F97)</f>
        <v>3.5</v>
      </c>
      <c r="G97" s="49">
        <f>AVERAGE('26.07 Lubigi-Masanafu-24h'!G97,'27.07 Lubigi-Masanafu-24h'!G97)</f>
        <v>0</v>
      </c>
      <c r="H97" s="49">
        <f>AVERAGE('26.07 Lubigi-Masanafu-24h'!H97,'27.07 Lubigi-Masanafu-24h'!H97)</f>
        <v>0</v>
      </c>
      <c r="I97" s="49">
        <f>AVERAGE('26.07 Lubigi-Masanafu-24h'!I97,'27.07 Lubigi-Masanafu-24h'!I97)</f>
        <v>5.5</v>
      </c>
      <c r="J97" s="49">
        <f>AVERAGE('26.07 Lubigi-Masanafu-24h'!J97,'27.07 Lubigi-Masanafu-24h'!J97)</f>
        <v>7</v>
      </c>
      <c r="K97" s="49">
        <f>AVERAGE('26.07 Lubigi-Masanafu-24h'!K97,'27.07 Lubigi-Masanafu-24h'!K97)</f>
        <v>9</v>
      </c>
      <c r="L97" s="49">
        <f>AVERAGE('26.07 Lubigi-Masanafu-24h'!L97,'27.07 Lubigi-Masanafu-24h'!L97)</f>
        <v>3</v>
      </c>
      <c r="M97" s="49">
        <f>AVERAGE('26.07 Lubigi-Masanafu-24h'!M97,'27.07 Lubigi-Masanafu-24h'!M97)</f>
        <v>28.5</v>
      </c>
      <c r="N97" s="49">
        <f>AVERAGE('26.07 Lubigi-Masanafu-24h'!N97,'27.07 Lubigi-Masanafu-24h'!N97)</f>
        <v>0</v>
      </c>
      <c r="O97" s="15">
        <f t="shared" si="35"/>
        <v>60.5</v>
      </c>
      <c r="P97" s="15">
        <f t="shared" si="36"/>
        <v>89</v>
      </c>
      <c r="R97" s="8"/>
      <c r="T97"/>
    </row>
    <row r="98" spans="2:20" ht="23.1" customHeight="1" x14ac:dyDescent="0.25">
      <c r="B98" s="24" t="s">
        <v>138</v>
      </c>
      <c r="C98" s="49">
        <f>AVERAGE('26.07 Lubigi-Masanafu-24h'!C98,'27.07 Lubigi-Masanafu-24h'!C98)</f>
        <v>22.5</v>
      </c>
      <c r="D98" s="49">
        <f>AVERAGE('26.07 Lubigi-Masanafu-24h'!D98,'27.07 Lubigi-Masanafu-24h'!D98)</f>
        <v>9</v>
      </c>
      <c r="E98" s="49">
        <f>AVERAGE('26.07 Lubigi-Masanafu-24h'!E98,'27.07 Lubigi-Masanafu-24h'!E98)</f>
        <v>4.5</v>
      </c>
      <c r="F98" s="49">
        <f>AVERAGE('26.07 Lubigi-Masanafu-24h'!F98,'27.07 Lubigi-Masanafu-24h'!F98)</f>
        <v>7</v>
      </c>
      <c r="G98" s="49">
        <f>AVERAGE('26.07 Lubigi-Masanafu-24h'!G98,'27.07 Lubigi-Masanafu-24h'!G98)</f>
        <v>0.5</v>
      </c>
      <c r="H98" s="49">
        <f>AVERAGE('26.07 Lubigi-Masanafu-24h'!H98,'27.07 Lubigi-Masanafu-24h'!H98)</f>
        <v>1.5</v>
      </c>
      <c r="I98" s="49">
        <f>AVERAGE('26.07 Lubigi-Masanafu-24h'!I98,'27.07 Lubigi-Masanafu-24h'!I98)</f>
        <v>4</v>
      </c>
      <c r="J98" s="49">
        <f>AVERAGE('26.07 Lubigi-Masanafu-24h'!J98,'27.07 Lubigi-Masanafu-24h'!J98)</f>
        <v>7.5</v>
      </c>
      <c r="K98" s="49">
        <f>AVERAGE('26.07 Lubigi-Masanafu-24h'!K98,'27.07 Lubigi-Masanafu-24h'!K98)</f>
        <v>2</v>
      </c>
      <c r="L98" s="49">
        <f>AVERAGE('26.07 Lubigi-Masanafu-24h'!L98,'27.07 Lubigi-Masanafu-24h'!L98)</f>
        <v>1</v>
      </c>
      <c r="M98" s="49">
        <f>AVERAGE('26.07 Lubigi-Masanafu-24h'!M98,'27.07 Lubigi-Masanafu-24h'!M98)</f>
        <v>24.5</v>
      </c>
      <c r="N98" s="49">
        <f>AVERAGE('26.07 Lubigi-Masanafu-24h'!N98,'27.07 Lubigi-Masanafu-24h'!N98)</f>
        <v>0</v>
      </c>
      <c r="O98" s="15">
        <f t="shared" si="35"/>
        <v>59.5</v>
      </c>
      <c r="P98" s="15">
        <f t="shared" si="36"/>
        <v>84</v>
      </c>
      <c r="R98" s="8"/>
      <c r="T98"/>
    </row>
    <row r="99" spans="2:20" ht="23.1" customHeight="1" x14ac:dyDescent="0.25">
      <c r="B99" s="23" t="s">
        <v>139</v>
      </c>
      <c r="C99" s="49">
        <f>AVERAGE('26.07 Lubigi-Masanafu-24h'!C99,'27.07 Lubigi-Masanafu-24h'!C99)</f>
        <v>22</v>
      </c>
      <c r="D99" s="49">
        <f>AVERAGE('26.07 Lubigi-Masanafu-24h'!D99,'27.07 Lubigi-Masanafu-24h'!D99)</f>
        <v>3</v>
      </c>
      <c r="E99" s="49">
        <f>AVERAGE('26.07 Lubigi-Masanafu-24h'!E99,'27.07 Lubigi-Masanafu-24h'!E99)</f>
        <v>3</v>
      </c>
      <c r="F99" s="49">
        <f>AVERAGE('26.07 Lubigi-Masanafu-24h'!F99,'27.07 Lubigi-Masanafu-24h'!F99)</f>
        <v>9.5</v>
      </c>
      <c r="G99" s="49">
        <f>AVERAGE('26.07 Lubigi-Masanafu-24h'!G99,'27.07 Lubigi-Masanafu-24h'!G99)</f>
        <v>1</v>
      </c>
      <c r="H99" s="49">
        <f>AVERAGE('26.07 Lubigi-Masanafu-24h'!H99,'27.07 Lubigi-Masanafu-24h'!H99)</f>
        <v>0</v>
      </c>
      <c r="I99" s="49">
        <f>AVERAGE('26.07 Lubigi-Masanafu-24h'!I99,'27.07 Lubigi-Masanafu-24h'!I99)</f>
        <v>2</v>
      </c>
      <c r="J99" s="49">
        <f>AVERAGE('26.07 Lubigi-Masanafu-24h'!J99,'27.07 Lubigi-Masanafu-24h'!J99)</f>
        <v>8.5</v>
      </c>
      <c r="K99" s="49">
        <f>AVERAGE('26.07 Lubigi-Masanafu-24h'!K99,'27.07 Lubigi-Masanafu-24h'!K99)</f>
        <v>2</v>
      </c>
      <c r="L99" s="49">
        <f>AVERAGE('26.07 Lubigi-Masanafu-24h'!L99,'27.07 Lubigi-Masanafu-24h'!L99)</f>
        <v>5</v>
      </c>
      <c r="M99" s="49">
        <f>AVERAGE('26.07 Lubigi-Masanafu-24h'!M99,'27.07 Lubigi-Masanafu-24h'!M99)</f>
        <v>25</v>
      </c>
      <c r="N99" s="49">
        <f>AVERAGE('26.07 Lubigi-Masanafu-24h'!N99,'27.07 Lubigi-Masanafu-24h'!N99)</f>
        <v>0</v>
      </c>
      <c r="O99" s="15">
        <f t="shared" si="35"/>
        <v>56</v>
      </c>
      <c r="P99" s="15">
        <f t="shared" si="36"/>
        <v>81</v>
      </c>
      <c r="R99" s="8"/>
      <c r="T99"/>
    </row>
    <row r="100" spans="2:20" ht="23.1" customHeight="1" x14ac:dyDescent="0.25">
      <c r="B100" s="25" t="s">
        <v>140</v>
      </c>
      <c r="C100" s="49">
        <f>AVERAGE('26.07 Lubigi-Masanafu-24h'!C100,'27.07 Lubigi-Masanafu-24h'!C100)</f>
        <v>19.5</v>
      </c>
      <c r="D100" s="49">
        <f>AVERAGE('26.07 Lubigi-Masanafu-24h'!D100,'27.07 Lubigi-Masanafu-24h'!D100)</f>
        <v>5.5</v>
      </c>
      <c r="E100" s="49">
        <f>AVERAGE('26.07 Lubigi-Masanafu-24h'!E100,'27.07 Lubigi-Masanafu-24h'!E100)</f>
        <v>4</v>
      </c>
      <c r="F100" s="49">
        <f>AVERAGE('26.07 Lubigi-Masanafu-24h'!F100,'27.07 Lubigi-Masanafu-24h'!F100)</f>
        <v>7.5</v>
      </c>
      <c r="G100" s="49">
        <f>AVERAGE('26.07 Lubigi-Masanafu-24h'!G100,'27.07 Lubigi-Masanafu-24h'!G100)</f>
        <v>0.5</v>
      </c>
      <c r="H100" s="49">
        <f>AVERAGE('26.07 Lubigi-Masanafu-24h'!H100,'27.07 Lubigi-Masanafu-24h'!H100)</f>
        <v>0</v>
      </c>
      <c r="I100" s="49">
        <f>AVERAGE('26.07 Lubigi-Masanafu-24h'!I100,'27.07 Lubigi-Masanafu-24h'!I100)</f>
        <v>4</v>
      </c>
      <c r="J100" s="49">
        <f>AVERAGE('26.07 Lubigi-Masanafu-24h'!J100,'27.07 Lubigi-Masanafu-24h'!J100)</f>
        <v>5</v>
      </c>
      <c r="K100" s="49">
        <f>AVERAGE('26.07 Lubigi-Masanafu-24h'!K100,'27.07 Lubigi-Masanafu-24h'!K100)</f>
        <v>2.5</v>
      </c>
      <c r="L100" s="49">
        <f>AVERAGE('26.07 Lubigi-Masanafu-24h'!L100,'27.07 Lubigi-Masanafu-24h'!L100)</f>
        <v>4</v>
      </c>
      <c r="M100" s="49">
        <f>AVERAGE('26.07 Lubigi-Masanafu-24h'!M100,'27.07 Lubigi-Masanafu-24h'!M100)</f>
        <v>36</v>
      </c>
      <c r="N100" s="49">
        <f>AVERAGE('26.07 Lubigi-Masanafu-24h'!N100,'27.07 Lubigi-Masanafu-24h'!N100)</f>
        <v>0</v>
      </c>
      <c r="O100" s="15">
        <f t="shared" si="35"/>
        <v>52.5</v>
      </c>
      <c r="P100" s="15">
        <f t="shared" si="36"/>
        <v>88.5</v>
      </c>
      <c r="R100" s="8"/>
      <c r="T100"/>
    </row>
    <row r="101" spans="2:20" ht="23.1" customHeight="1" x14ac:dyDescent="0.25">
      <c r="B101" s="23" t="s">
        <v>141</v>
      </c>
      <c r="C101" s="49">
        <f>AVERAGE('26.07 Lubigi-Masanafu-24h'!C101,'27.07 Lubigi-Masanafu-24h'!C101)</f>
        <v>22.5</v>
      </c>
      <c r="D101" s="49">
        <f>AVERAGE('26.07 Lubigi-Masanafu-24h'!D101,'27.07 Lubigi-Masanafu-24h'!D101)</f>
        <v>5.5</v>
      </c>
      <c r="E101" s="49">
        <f>AVERAGE('26.07 Lubigi-Masanafu-24h'!E101,'27.07 Lubigi-Masanafu-24h'!E101)</f>
        <v>5</v>
      </c>
      <c r="F101" s="49">
        <f>AVERAGE('26.07 Lubigi-Masanafu-24h'!F101,'27.07 Lubigi-Masanafu-24h'!F101)</f>
        <v>9.5</v>
      </c>
      <c r="G101" s="49">
        <f>AVERAGE('26.07 Lubigi-Masanafu-24h'!G101,'27.07 Lubigi-Masanafu-24h'!G101)</f>
        <v>1.5</v>
      </c>
      <c r="H101" s="49">
        <f>AVERAGE('26.07 Lubigi-Masanafu-24h'!H101,'27.07 Lubigi-Masanafu-24h'!H101)</f>
        <v>0</v>
      </c>
      <c r="I101" s="49">
        <f>AVERAGE('26.07 Lubigi-Masanafu-24h'!I101,'27.07 Lubigi-Masanafu-24h'!I101)</f>
        <v>7</v>
      </c>
      <c r="J101" s="49">
        <f>AVERAGE('26.07 Lubigi-Masanafu-24h'!J101,'27.07 Lubigi-Masanafu-24h'!J101)</f>
        <v>7</v>
      </c>
      <c r="K101" s="49">
        <f>AVERAGE('26.07 Lubigi-Masanafu-24h'!K101,'27.07 Lubigi-Masanafu-24h'!K101)</f>
        <v>3</v>
      </c>
      <c r="L101" s="49">
        <f>AVERAGE('26.07 Lubigi-Masanafu-24h'!L101,'27.07 Lubigi-Masanafu-24h'!L101)</f>
        <v>1.5</v>
      </c>
      <c r="M101" s="49">
        <f>AVERAGE('26.07 Lubigi-Masanafu-24h'!M101,'27.07 Lubigi-Masanafu-24h'!M101)</f>
        <v>30</v>
      </c>
      <c r="N101" s="49">
        <f>AVERAGE('26.07 Lubigi-Masanafu-24h'!N101,'27.07 Lubigi-Masanafu-24h'!N101)</f>
        <v>0</v>
      </c>
      <c r="O101" s="15">
        <f t="shared" si="35"/>
        <v>62.5</v>
      </c>
      <c r="P101" s="15">
        <f t="shared" si="36"/>
        <v>92.5</v>
      </c>
      <c r="R101" s="8"/>
      <c r="T101"/>
    </row>
    <row r="102" spans="2:20" ht="23.1" customHeight="1" x14ac:dyDescent="0.25">
      <c r="B102" s="24" t="s">
        <v>142</v>
      </c>
      <c r="C102" s="49">
        <f>AVERAGE('26.07 Lubigi-Masanafu-24h'!C102,'27.07 Lubigi-Masanafu-24h'!C102)</f>
        <v>28.5</v>
      </c>
      <c r="D102" s="49">
        <f>AVERAGE('26.07 Lubigi-Masanafu-24h'!D102,'27.07 Lubigi-Masanafu-24h'!D102)</f>
        <v>7</v>
      </c>
      <c r="E102" s="49">
        <f>AVERAGE('26.07 Lubigi-Masanafu-24h'!E102,'27.07 Lubigi-Masanafu-24h'!E102)</f>
        <v>5.5</v>
      </c>
      <c r="F102" s="49">
        <f>AVERAGE('26.07 Lubigi-Masanafu-24h'!F102,'27.07 Lubigi-Masanafu-24h'!F102)</f>
        <v>21.5</v>
      </c>
      <c r="G102" s="49">
        <f>AVERAGE('26.07 Lubigi-Masanafu-24h'!G102,'27.07 Lubigi-Masanafu-24h'!G102)</f>
        <v>0.5</v>
      </c>
      <c r="H102" s="49">
        <f>AVERAGE('26.07 Lubigi-Masanafu-24h'!H102,'27.07 Lubigi-Masanafu-24h'!H102)</f>
        <v>0</v>
      </c>
      <c r="I102" s="49">
        <f>AVERAGE('26.07 Lubigi-Masanafu-24h'!I102,'27.07 Lubigi-Masanafu-24h'!I102)</f>
        <v>6</v>
      </c>
      <c r="J102" s="49">
        <f>AVERAGE('26.07 Lubigi-Masanafu-24h'!J102,'27.07 Lubigi-Masanafu-24h'!J102)</f>
        <v>10</v>
      </c>
      <c r="K102" s="49">
        <f>AVERAGE('26.07 Lubigi-Masanafu-24h'!K102,'27.07 Lubigi-Masanafu-24h'!K102)</f>
        <v>4.5</v>
      </c>
      <c r="L102" s="49">
        <f>AVERAGE('26.07 Lubigi-Masanafu-24h'!L102,'27.07 Lubigi-Masanafu-24h'!L102)</f>
        <v>4.5</v>
      </c>
      <c r="M102" s="49">
        <f>AVERAGE('26.07 Lubigi-Masanafu-24h'!M102,'27.07 Lubigi-Masanafu-24h'!M102)</f>
        <v>44.5</v>
      </c>
      <c r="N102" s="49">
        <f>AVERAGE('26.07 Lubigi-Masanafu-24h'!N102,'27.07 Lubigi-Masanafu-24h'!N102)</f>
        <v>0</v>
      </c>
      <c r="O102" s="15">
        <f t="shared" si="35"/>
        <v>88</v>
      </c>
      <c r="P102" s="15">
        <f t="shared" si="36"/>
        <v>132.5</v>
      </c>
      <c r="R102" s="8"/>
      <c r="T102"/>
    </row>
    <row r="103" spans="2:20" ht="23.1" customHeight="1" x14ac:dyDescent="0.25">
      <c r="B103" s="23" t="s">
        <v>143</v>
      </c>
      <c r="C103" s="49">
        <f>AVERAGE('26.07 Lubigi-Masanafu-24h'!C103,'27.07 Lubigi-Masanafu-24h'!C103)</f>
        <v>47</v>
      </c>
      <c r="D103" s="49">
        <f>AVERAGE('26.07 Lubigi-Masanafu-24h'!D103,'27.07 Lubigi-Masanafu-24h'!D103)</f>
        <v>11.5</v>
      </c>
      <c r="E103" s="49">
        <f>AVERAGE('26.07 Lubigi-Masanafu-24h'!E103,'27.07 Lubigi-Masanafu-24h'!E103)</f>
        <v>7.5</v>
      </c>
      <c r="F103" s="49">
        <f>AVERAGE('26.07 Lubigi-Masanafu-24h'!F103,'27.07 Lubigi-Masanafu-24h'!F103)</f>
        <v>18.5</v>
      </c>
      <c r="G103" s="49">
        <f>AVERAGE('26.07 Lubigi-Masanafu-24h'!G103,'27.07 Lubigi-Masanafu-24h'!G103)</f>
        <v>1.5</v>
      </c>
      <c r="H103" s="49">
        <f>AVERAGE('26.07 Lubigi-Masanafu-24h'!H103,'27.07 Lubigi-Masanafu-24h'!H103)</f>
        <v>0</v>
      </c>
      <c r="I103" s="49">
        <f>AVERAGE('26.07 Lubigi-Masanafu-24h'!I103,'27.07 Lubigi-Masanafu-24h'!I103)</f>
        <v>2</v>
      </c>
      <c r="J103" s="49">
        <f>AVERAGE('26.07 Lubigi-Masanafu-24h'!J103,'27.07 Lubigi-Masanafu-24h'!J103)</f>
        <v>6</v>
      </c>
      <c r="K103" s="49">
        <f>AVERAGE('26.07 Lubigi-Masanafu-24h'!K103,'27.07 Lubigi-Masanafu-24h'!K103)</f>
        <v>4</v>
      </c>
      <c r="L103" s="49">
        <f>AVERAGE('26.07 Lubigi-Masanafu-24h'!L103,'27.07 Lubigi-Masanafu-24h'!L103)</f>
        <v>3</v>
      </c>
      <c r="M103" s="49">
        <f>AVERAGE('26.07 Lubigi-Masanafu-24h'!M103,'27.07 Lubigi-Masanafu-24h'!M103)</f>
        <v>67.5</v>
      </c>
      <c r="N103" s="49">
        <f>AVERAGE('26.07 Lubigi-Masanafu-24h'!N103,'27.07 Lubigi-Masanafu-24h'!N103)</f>
        <v>0</v>
      </c>
      <c r="O103" s="15">
        <f t="shared" si="35"/>
        <v>101</v>
      </c>
      <c r="P103" s="15">
        <f t="shared" si="36"/>
        <v>168.5</v>
      </c>
      <c r="R103" s="8"/>
      <c r="T103"/>
    </row>
    <row r="104" spans="2:20" ht="23.1" customHeight="1" x14ac:dyDescent="0.25">
      <c r="B104" s="25" t="s">
        <v>144</v>
      </c>
      <c r="C104" s="49">
        <f>AVERAGE('26.07 Lubigi-Masanafu-24h'!C104,'27.07 Lubigi-Masanafu-24h'!C104)</f>
        <v>66</v>
      </c>
      <c r="D104" s="49">
        <f>AVERAGE('26.07 Lubigi-Masanafu-24h'!D104,'27.07 Lubigi-Masanafu-24h'!D104)</f>
        <v>33.5</v>
      </c>
      <c r="E104" s="49">
        <f>AVERAGE('26.07 Lubigi-Masanafu-24h'!E104,'27.07 Lubigi-Masanafu-24h'!E104)</f>
        <v>15.5</v>
      </c>
      <c r="F104" s="49">
        <f>AVERAGE('26.07 Lubigi-Masanafu-24h'!F104,'27.07 Lubigi-Masanafu-24h'!F104)</f>
        <v>85</v>
      </c>
      <c r="G104" s="49">
        <f>AVERAGE('26.07 Lubigi-Masanafu-24h'!G104,'27.07 Lubigi-Masanafu-24h'!G104)</f>
        <v>1</v>
      </c>
      <c r="H104" s="49">
        <f>AVERAGE('26.07 Lubigi-Masanafu-24h'!H104,'27.07 Lubigi-Masanafu-24h'!H104)</f>
        <v>0.5</v>
      </c>
      <c r="I104" s="49">
        <f>AVERAGE('26.07 Lubigi-Masanafu-24h'!I104,'27.07 Lubigi-Masanafu-24h'!I104)</f>
        <v>39</v>
      </c>
      <c r="J104" s="49">
        <f>AVERAGE('26.07 Lubigi-Masanafu-24h'!J104,'27.07 Lubigi-Masanafu-24h'!J104)</f>
        <v>8</v>
      </c>
      <c r="K104" s="49">
        <f>AVERAGE('26.07 Lubigi-Masanafu-24h'!K104,'27.07 Lubigi-Masanafu-24h'!K104)</f>
        <v>9</v>
      </c>
      <c r="L104" s="49">
        <f>AVERAGE('26.07 Lubigi-Masanafu-24h'!L104,'27.07 Lubigi-Masanafu-24h'!L104)</f>
        <v>9</v>
      </c>
      <c r="M104" s="49">
        <f>AVERAGE('26.07 Lubigi-Masanafu-24h'!M104,'27.07 Lubigi-Masanafu-24h'!M104)</f>
        <v>103.5</v>
      </c>
      <c r="N104" s="49">
        <f>AVERAGE('26.07 Lubigi-Masanafu-24h'!N104,'27.07 Lubigi-Masanafu-24h'!N104)</f>
        <v>0</v>
      </c>
      <c r="O104" s="15">
        <f t="shared" si="35"/>
        <v>266.5</v>
      </c>
      <c r="P104" s="15">
        <f t="shared" si="36"/>
        <v>370</v>
      </c>
      <c r="R104" s="8"/>
      <c r="T104"/>
    </row>
    <row r="105" spans="2:20" ht="23.1" customHeight="1" x14ac:dyDescent="0.25">
      <c r="B105" s="23" t="s">
        <v>145</v>
      </c>
      <c r="C105" s="49">
        <f>AVERAGE('26.07 Lubigi-Masanafu-24h'!C105,'27.07 Lubigi-Masanafu-24h'!C105)</f>
        <v>48.5</v>
      </c>
      <c r="D105" s="49">
        <f>AVERAGE('26.07 Lubigi-Masanafu-24h'!D105,'27.07 Lubigi-Masanafu-24h'!D105)</f>
        <v>16.5</v>
      </c>
      <c r="E105" s="49">
        <f>AVERAGE('26.07 Lubigi-Masanafu-24h'!E105,'27.07 Lubigi-Masanafu-24h'!E105)</f>
        <v>28.5</v>
      </c>
      <c r="F105" s="49">
        <f>AVERAGE('26.07 Lubigi-Masanafu-24h'!F105,'27.07 Lubigi-Masanafu-24h'!F105)</f>
        <v>72.5</v>
      </c>
      <c r="G105" s="49">
        <f>AVERAGE('26.07 Lubigi-Masanafu-24h'!G105,'27.07 Lubigi-Masanafu-24h'!G105)</f>
        <v>0.5</v>
      </c>
      <c r="H105" s="49">
        <f>AVERAGE('26.07 Lubigi-Masanafu-24h'!H105,'27.07 Lubigi-Masanafu-24h'!H105)</f>
        <v>0</v>
      </c>
      <c r="I105" s="49">
        <f>AVERAGE('26.07 Lubigi-Masanafu-24h'!I105,'27.07 Lubigi-Masanafu-24h'!I105)</f>
        <v>59</v>
      </c>
      <c r="J105" s="49">
        <f>AVERAGE('26.07 Lubigi-Masanafu-24h'!J105,'27.07 Lubigi-Masanafu-24h'!J105)</f>
        <v>14</v>
      </c>
      <c r="K105" s="49">
        <f>AVERAGE('26.07 Lubigi-Masanafu-24h'!K105,'27.07 Lubigi-Masanafu-24h'!K105)</f>
        <v>7.5</v>
      </c>
      <c r="L105" s="49">
        <f>AVERAGE('26.07 Lubigi-Masanafu-24h'!L105,'27.07 Lubigi-Masanafu-24h'!L105)</f>
        <v>8.5</v>
      </c>
      <c r="M105" s="49">
        <f>AVERAGE('26.07 Lubigi-Masanafu-24h'!M105,'27.07 Lubigi-Masanafu-24h'!M105)</f>
        <v>116.5</v>
      </c>
      <c r="N105" s="49">
        <f>AVERAGE('26.07 Lubigi-Masanafu-24h'!N105,'27.07 Lubigi-Masanafu-24h'!N105)</f>
        <v>0</v>
      </c>
      <c r="O105" s="15">
        <f t="shared" si="35"/>
        <v>255.5</v>
      </c>
      <c r="P105" s="15">
        <f t="shared" si="36"/>
        <v>372</v>
      </c>
      <c r="R105" s="8"/>
      <c r="T105"/>
    </row>
    <row r="106" spans="2:20" ht="23.1" customHeight="1" x14ac:dyDescent="0.25">
      <c r="B106" s="57" t="s">
        <v>18</v>
      </c>
      <c r="C106" s="16">
        <f>SUM(C10:C105)</f>
        <v>5371.0714285714275</v>
      </c>
      <c r="D106" s="16">
        <f t="shared" ref="D106:P106" si="37">SUM(D10:D105)</f>
        <v>1678.5</v>
      </c>
      <c r="E106" s="16">
        <f t="shared" si="37"/>
        <v>1417.2857142857142</v>
      </c>
      <c r="F106" s="16">
        <f t="shared" si="37"/>
        <v>2436.5</v>
      </c>
      <c r="G106" s="16">
        <f t="shared" si="37"/>
        <v>126.07142857142856</v>
      </c>
      <c r="H106" s="16">
        <f t="shared" si="37"/>
        <v>33.214285714285708</v>
      </c>
      <c r="I106" s="16">
        <f t="shared" si="37"/>
        <v>1121.9285714285713</v>
      </c>
      <c r="J106" s="16">
        <f t="shared" si="37"/>
        <v>1281.4285714285713</v>
      </c>
      <c r="K106" s="16">
        <f t="shared" si="37"/>
        <v>842.85714285714289</v>
      </c>
      <c r="L106" s="16">
        <f t="shared" si="37"/>
        <v>500.42857142857144</v>
      </c>
      <c r="M106" s="16">
        <f t="shared" si="37"/>
        <v>9282.5714285714275</v>
      </c>
      <c r="N106" s="16">
        <f t="shared" si="37"/>
        <v>1.2857142857142856</v>
      </c>
      <c r="O106" s="16">
        <f t="shared" si="37"/>
        <v>14810.571428571428</v>
      </c>
      <c r="P106" s="16">
        <f t="shared" si="37"/>
        <v>24093.142857142855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0.22292946422218529</v>
      </c>
      <c r="D107" s="43">
        <f t="shared" si="38"/>
        <v>6.9667125204563252E-2</v>
      </c>
      <c r="E107" s="43">
        <f t="shared" si="38"/>
        <v>5.8825273343927141E-2</v>
      </c>
      <c r="F107" s="43">
        <f t="shared" si="38"/>
        <v>0.10112835898773807</v>
      </c>
      <c r="G107" s="43">
        <f t="shared" si="38"/>
        <v>5.2326684533832981E-3</v>
      </c>
      <c r="H107" s="43">
        <f t="shared" si="38"/>
        <v>1.3785783744040983E-3</v>
      </c>
      <c r="I107" s="43">
        <f t="shared" si="38"/>
        <v>4.6566302208097148E-2</v>
      </c>
      <c r="J107" s="43">
        <f t="shared" si="38"/>
        <v>5.3186443089912959E-2</v>
      </c>
      <c r="K107" s="43">
        <f t="shared" si="38"/>
        <v>3.4983279178426585E-2</v>
      </c>
      <c r="L107" s="43">
        <f t="shared" si="38"/>
        <v>2.0770580841021753E-2</v>
      </c>
      <c r="M107" s="43">
        <f t="shared" si="38"/>
        <v>0.3852785617721699</v>
      </c>
      <c r="N107" s="43">
        <f t="shared" si="38"/>
        <v>5.3364324170481229E-5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0.36265119509230853</v>
      </c>
      <c r="D108" s="44">
        <f t="shared" ref="D108:N108" si="39">D106/$O$106</f>
        <v>0.11333121129695006</v>
      </c>
      <c r="E108" s="44">
        <f t="shared" si="39"/>
        <v>9.5694195265929746E-2</v>
      </c>
      <c r="F108" s="44">
        <f t="shared" si="39"/>
        <v>0.16451087061365435</v>
      </c>
      <c r="G108" s="44">
        <f t="shared" si="39"/>
        <v>8.5122595829233948E-3</v>
      </c>
      <c r="H108" s="44">
        <f t="shared" si="39"/>
        <v>2.2426066323282595E-3</v>
      </c>
      <c r="I108" s="44">
        <f t="shared" si="39"/>
        <v>7.5751876073075222E-2</v>
      </c>
      <c r="J108" s="44">
        <f t="shared" si="39"/>
        <v>8.6521210718212865E-2</v>
      </c>
      <c r="K108" s="44">
        <f t="shared" si="39"/>
        <v>5.6909157551555845E-2</v>
      </c>
      <c r="L108" s="44">
        <f t="shared" si="39"/>
        <v>3.3788606593745781E-2</v>
      </c>
      <c r="M108" s="44"/>
      <c r="N108" s="44">
        <f t="shared" si="39"/>
        <v>8.6810579315932631E-5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G55" zoomScale="60" workbookViewId="0">
      <selection activeCell="AA77" sqref="AA7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'28.07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'28.07 Masanafu-Lubigi'!G5:H5</f>
        <v>Northern Bypass</v>
      </c>
      <c r="H5" s="68"/>
      <c r="I5" s="14"/>
      <c r="J5" s="2" t="s">
        <v>5</v>
      </c>
      <c r="K5" s="67" t="str">
        <f>'28.07 Masanafu-Lubigi'!K5:L5</f>
        <v>Mbaha James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67" t="str">
        <f>'28.07 Masanafu-Lubigi'!D6:E6</f>
        <v>Masanafu</v>
      </c>
      <c r="E6" s="68"/>
      <c r="F6" s="2" t="s">
        <v>2</v>
      </c>
      <c r="G6" s="67" t="str">
        <f>'28.07 Masanafu-Lubigi'!G6:H6</f>
        <v>Lubigi</v>
      </c>
      <c r="H6" s="68"/>
      <c r="J6" s="2" t="s">
        <v>21</v>
      </c>
      <c r="K6" s="67" t="str">
        <f>'28.07 Masanafu-Lubigi'!K6:L6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Masanafu-Lubigi'!C10,'23.07 Masanafu-Lubigi'!C10,'24.07 Masanafu-Lubigi'!C10,'25.07 Masanafu-Lubigi'!C10,'26.07 Masanafu-Lubigi-24h'!C10,'27.07 Masanafu-Lubigi-24h'!C10,'28.07 Masanafu-Lubigi'!C10)</f>
        <v>36.857142857142854</v>
      </c>
      <c r="D10" s="49">
        <f>AVERAGE('22.07 Masanafu-Lubigi'!D10,'23.07 Masanafu-Lubigi'!D10,'24.07 Masanafu-Lubigi'!D10,'25.07 Masanafu-Lubigi'!D10,'26.07 Masanafu-Lubigi-24h'!D10,'27.07 Masanafu-Lubigi-24h'!D10,'28.07 Masanafu-Lubigi'!D10)</f>
        <v>11</v>
      </c>
      <c r="E10" s="49">
        <f>AVERAGE('22.07 Masanafu-Lubigi'!E10,'23.07 Masanafu-Lubigi'!E10,'24.07 Masanafu-Lubigi'!E10,'25.07 Masanafu-Lubigi'!E10,'26.07 Masanafu-Lubigi-24h'!E10,'27.07 Masanafu-Lubigi-24h'!E10,'28.07 Masanafu-Lubigi'!E10)</f>
        <v>3.4285714285714284</v>
      </c>
      <c r="F10" s="49">
        <f>AVERAGE('22.07 Masanafu-Lubigi'!F10,'23.07 Masanafu-Lubigi'!F10,'24.07 Masanafu-Lubigi'!F10,'25.07 Masanafu-Lubigi'!F10,'26.07 Masanafu-Lubigi-24h'!F10,'27.07 Masanafu-Lubigi-24h'!F10,'28.07 Masanafu-Lubigi'!F10)</f>
        <v>18.285714285714285</v>
      </c>
      <c r="G10" s="49">
        <f>AVERAGE('22.07 Masanafu-Lubigi'!G10,'23.07 Masanafu-Lubigi'!G10,'24.07 Masanafu-Lubigi'!G10,'25.07 Masanafu-Lubigi'!G10,'26.07 Masanafu-Lubigi-24h'!G10,'27.07 Masanafu-Lubigi-24h'!G10,'28.07 Masanafu-Lubigi'!G10)</f>
        <v>2.8571428571428572</v>
      </c>
      <c r="H10" s="49">
        <f>AVERAGE('22.07 Masanafu-Lubigi'!H10,'23.07 Masanafu-Lubigi'!H10,'24.07 Masanafu-Lubigi'!H10,'25.07 Masanafu-Lubigi'!H10,'26.07 Masanafu-Lubigi-24h'!H10,'27.07 Masanafu-Lubigi-24h'!H10,'28.07 Masanafu-Lubigi'!H10)</f>
        <v>0.42857142857142855</v>
      </c>
      <c r="I10" s="49">
        <f>AVERAGE('22.07 Masanafu-Lubigi'!I10,'23.07 Masanafu-Lubigi'!I10,'24.07 Masanafu-Lubigi'!I10,'25.07 Masanafu-Lubigi'!I10,'26.07 Masanafu-Lubigi-24h'!I10,'27.07 Masanafu-Lubigi-24h'!I10,'28.07 Masanafu-Lubigi'!I10)</f>
        <v>4.8571428571428568</v>
      </c>
      <c r="J10" s="49">
        <f>AVERAGE('22.07 Masanafu-Lubigi'!J10,'23.07 Masanafu-Lubigi'!J10,'24.07 Masanafu-Lubigi'!J10,'25.07 Masanafu-Lubigi'!J10,'26.07 Masanafu-Lubigi-24h'!J10,'27.07 Masanafu-Lubigi-24h'!J10,'28.07 Masanafu-Lubigi'!J10)</f>
        <v>3.1428571428571428</v>
      </c>
      <c r="K10" s="49">
        <f>AVERAGE('22.07 Masanafu-Lubigi'!K10,'23.07 Masanafu-Lubigi'!K10,'24.07 Masanafu-Lubigi'!K10,'25.07 Masanafu-Lubigi'!K10,'26.07 Masanafu-Lubigi-24h'!K10,'27.07 Masanafu-Lubigi-24h'!K10,'28.07 Masanafu-Lubigi'!K10)</f>
        <v>3.7142857142857144</v>
      </c>
      <c r="L10" s="49">
        <f>AVERAGE('22.07 Masanafu-Lubigi'!L10,'23.07 Masanafu-Lubigi'!L10,'24.07 Masanafu-Lubigi'!L10,'25.07 Masanafu-Lubigi'!L10,'26.07 Masanafu-Lubigi-24h'!L10,'27.07 Masanafu-Lubigi-24h'!L10,'28.07 Masanafu-Lubigi'!L10)</f>
        <v>2.4285714285714284</v>
      </c>
      <c r="M10" s="49">
        <f>AVERAGE('22.07 Masanafu-Lubigi'!M10,'23.07 Masanafu-Lubigi'!M10,'24.07 Masanafu-Lubigi'!M10,'25.07 Masanafu-Lubigi'!M10,'26.07 Masanafu-Lubigi-24h'!M10,'27.07 Masanafu-Lubigi-24h'!M10,'28.07 Masanafu-Lubigi'!M10)</f>
        <v>53.142857142857146</v>
      </c>
      <c r="N10" s="49">
        <f>AVERAGE('22.07 Masanafu-Lubigi'!N10,'23.07 Masanafu-Lubigi'!N10,'24.07 Masanafu-Lubigi'!N10,'25.07 Masanafu-Lubigi'!N10,'26.07 Masanafu-Lubigi-24h'!N10,'27.07 Masanafu-Lubigi-24h'!N10,'28.07 Masanafu-Lubigi'!N10)</f>
        <v>0</v>
      </c>
      <c r="O10" s="15">
        <f t="shared" ref="O10:O73" si="0">SUM(C10:L10,N10)</f>
        <v>87</v>
      </c>
      <c r="P10" s="15">
        <f t="shared" ref="P10:P73" si="1">SUM(C10:N10)</f>
        <v>140.14285714285714</v>
      </c>
      <c r="R10" s="1" t="s">
        <v>6</v>
      </c>
      <c r="S10" s="17">
        <f t="shared" ref="S10:AF10" si="2">SUM(C10:C13)</f>
        <v>192</v>
      </c>
      <c r="T10" s="17">
        <f t="shared" si="2"/>
        <v>87</v>
      </c>
      <c r="U10" s="17">
        <f t="shared" si="2"/>
        <v>37.285714285714285</v>
      </c>
      <c r="V10" s="17">
        <f t="shared" si="2"/>
        <v>81.714285714285708</v>
      </c>
      <c r="W10" s="17">
        <f t="shared" si="2"/>
        <v>9.4285714285714288</v>
      </c>
      <c r="X10" s="17">
        <f t="shared" si="2"/>
        <v>1.857142857142857</v>
      </c>
      <c r="Y10" s="17">
        <f t="shared" si="2"/>
        <v>26.142857142857142</v>
      </c>
      <c r="Z10" s="17">
        <f t="shared" si="2"/>
        <v>25.428571428571431</v>
      </c>
      <c r="AA10" s="17">
        <f t="shared" si="2"/>
        <v>15.285714285714286</v>
      </c>
      <c r="AB10" s="17">
        <f t="shared" si="2"/>
        <v>12.714285714285715</v>
      </c>
      <c r="AC10" s="17">
        <f t="shared" si="2"/>
        <v>375.57142857142856</v>
      </c>
      <c r="AD10" s="17">
        <f t="shared" si="2"/>
        <v>0</v>
      </c>
      <c r="AE10" s="31">
        <f t="shared" si="2"/>
        <v>488.85714285714289</v>
      </c>
      <c r="AF10" s="31">
        <f t="shared" si="2"/>
        <v>864.42857142857133</v>
      </c>
    </row>
    <row r="11" spans="2:32" s="6" customFormat="1" ht="23.1" customHeight="1" x14ac:dyDescent="0.25">
      <c r="B11" s="23" t="s">
        <v>38</v>
      </c>
      <c r="C11" s="49">
        <f>AVERAGE('22.07 Masanafu-Lubigi'!C11,'23.07 Masanafu-Lubigi'!C11,'24.07 Masanafu-Lubigi'!C11,'25.07 Masanafu-Lubigi'!C11,'26.07 Masanafu-Lubigi-24h'!C11,'27.07 Masanafu-Lubigi-24h'!C11,'28.07 Masanafu-Lubigi'!C11)</f>
        <v>43.285714285714285</v>
      </c>
      <c r="D11" s="49">
        <f>AVERAGE('22.07 Masanafu-Lubigi'!D11,'23.07 Masanafu-Lubigi'!D11,'24.07 Masanafu-Lubigi'!D11,'25.07 Masanafu-Lubigi'!D11,'26.07 Masanafu-Lubigi-24h'!D11,'27.07 Masanafu-Lubigi-24h'!D11,'28.07 Masanafu-Lubigi'!D11)</f>
        <v>10.142857142857142</v>
      </c>
      <c r="E11" s="49">
        <f>AVERAGE('22.07 Masanafu-Lubigi'!E11,'23.07 Masanafu-Lubigi'!E11,'24.07 Masanafu-Lubigi'!E11,'25.07 Masanafu-Lubigi'!E11,'26.07 Masanafu-Lubigi-24h'!E11,'27.07 Masanafu-Lubigi-24h'!E11,'28.07 Masanafu-Lubigi'!E11)</f>
        <v>7.2857142857142856</v>
      </c>
      <c r="F11" s="49">
        <f>AVERAGE('22.07 Masanafu-Lubigi'!F11,'23.07 Masanafu-Lubigi'!F11,'24.07 Masanafu-Lubigi'!F11,'25.07 Masanafu-Lubigi'!F11,'26.07 Masanafu-Lubigi-24h'!F11,'27.07 Masanafu-Lubigi-24h'!F11,'28.07 Masanafu-Lubigi'!F11)</f>
        <v>14</v>
      </c>
      <c r="G11" s="49">
        <f>AVERAGE('22.07 Masanafu-Lubigi'!G11,'23.07 Masanafu-Lubigi'!G11,'24.07 Masanafu-Lubigi'!G11,'25.07 Masanafu-Lubigi'!G11,'26.07 Masanafu-Lubigi-24h'!G11,'27.07 Masanafu-Lubigi-24h'!G11,'28.07 Masanafu-Lubigi'!G11)</f>
        <v>2.1428571428571428</v>
      </c>
      <c r="H11" s="49">
        <f>AVERAGE('22.07 Masanafu-Lubigi'!H11,'23.07 Masanafu-Lubigi'!H11,'24.07 Masanafu-Lubigi'!H11,'25.07 Masanafu-Lubigi'!H11,'26.07 Masanafu-Lubigi-24h'!H11,'27.07 Masanafu-Lubigi-24h'!H11,'28.07 Masanafu-Lubigi'!H11)</f>
        <v>0.2857142857142857</v>
      </c>
      <c r="I11" s="49">
        <f>AVERAGE('22.07 Masanafu-Lubigi'!I11,'23.07 Masanafu-Lubigi'!I11,'24.07 Masanafu-Lubigi'!I11,'25.07 Masanafu-Lubigi'!I11,'26.07 Masanafu-Lubigi-24h'!I11,'27.07 Masanafu-Lubigi-24h'!I11,'28.07 Masanafu-Lubigi'!I11)</f>
        <v>6.1428571428571432</v>
      </c>
      <c r="J11" s="49">
        <f>AVERAGE('22.07 Masanafu-Lubigi'!J11,'23.07 Masanafu-Lubigi'!J11,'24.07 Masanafu-Lubigi'!J11,'25.07 Masanafu-Lubigi'!J11,'26.07 Masanafu-Lubigi-24h'!J11,'27.07 Masanafu-Lubigi-24h'!J11,'28.07 Masanafu-Lubigi'!J11)</f>
        <v>8.2857142857142865</v>
      </c>
      <c r="K11" s="49">
        <f>AVERAGE('22.07 Masanafu-Lubigi'!K11,'23.07 Masanafu-Lubigi'!K11,'24.07 Masanafu-Lubigi'!K11,'25.07 Masanafu-Lubigi'!K11,'26.07 Masanafu-Lubigi-24h'!K11,'27.07 Masanafu-Lubigi-24h'!K11,'28.07 Masanafu-Lubigi'!K11)</f>
        <v>4.1428571428571432</v>
      </c>
      <c r="L11" s="49">
        <f>AVERAGE('22.07 Masanafu-Lubigi'!L11,'23.07 Masanafu-Lubigi'!L11,'24.07 Masanafu-Lubigi'!L11,'25.07 Masanafu-Lubigi'!L11,'26.07 Masanafu-Lubigi-24h'!L11,'27.07 Masanafu-Lubigi-24h'!L11,'28.07 Masanafu-Lubigi'!L11)</f>
        <v>2.1428571428571428</v>
      </c>
      <c r="M11" s="49">
        <f>AVERAGE('22.07 Masanafu-Lubigi'!M11,'23.07 Masanafu-Lubigi'!M11,'24.07 Masanafu-Lubigi'!M11,'25.07 Masanafu-Lubigi'!M11,'26.07 Masanafu-Lubigi-24h'!M11,'27.07 Masanafu-Lubigi-24h'!M11,'28.07 Masanafu-Lubigi'!M11)</f>
        <v>75.142857142857139</v>
      </c>
      <c r="N11" s="49">
        <f>AVERAGE('22.07 Masanafu-Lubigi'!N11,'23.07 Masanafu-Lubigi'!N11,'24.07 Masanafu-Lubigi'!N11,'25.07 Masanafu-Lubigi'!N11,'26.07 Masanafu-Lubigi-24h'!N11,'27.07 Masanafu-Lubigi-24h'!N11,'28.07 Masanafu-Lubigi'!N11)</f>
        <v>0</v>
      </c>
      <c r="O11" s="15">
        <f t="shared" si="0"/>
        <v>97.857142857142861</v>
      </c>
      <c r="P11" s="15">
        <f t="shared" si="1"/>
        <v>173</v>
      </c>
      <c r="R11" s="1" t="s">
        <v>7</v>
      </c>
      <c r="S11" s="17">
        <f t="shared" ref="S11:AF11" si="3">SUM(C14:C17)</f>
        <v>251.28571428571428</v>
      </c>
      <c r="T11" s="17">
        <f t="shared" si="3"/>
        <v>45.714285714285722</v>
      </c>
      <c r="U11" s="17">
        <f t="shared" si="3"/>
        <v>28.714285714285715</v>
      </c>
      <c r="V11" s="17">
        <f t="shared" si="3"/>
        <v>71.142857142857153</v>
      </c>
      <c r="W11" s="17">
        <f t="shared" si="3"/>
        <v>5.2857142857142865</v>
      </c>
      <c r="X11" s="17">
        <f t="shared" si="3"/>
        <v>2.1428571428571428</v>
      </c>
      <c r="Y11" s="17">
        <f t="shared" si="3"/>
        <v>36.857142857142854</v>
      </c>
      <c r="Z11" s="17">
        <f t="shared" si="3"/>
        <v>18</v>
      </c>
      <c r="AA11" s="17">
        <f t="shared" si="3"/>
        <v>11.714285714285714</v>
      </c>
      <c r="AB11" s="17">
        <f t="shared" si="3"/>
        <v>13.428571428571427</v>
      </c>
      <c r="AC11" s="17">
        <f t="shared" si="3"/>
        <v>542.42857142857144</v>
      </c>
      <c r="AD11" s="17">
        <f t="shared" si="3"/>
        <v>0</v>
      </c>
      <c r="AE11" s="31">
        <f t="shared" si="3"/>
        <v>484.28571428571433</v>
      </c>
      <c r="AF11" s="31">
        <f t="shared" si="3"/>
        <v>1026.7142857142858</v>
      </c>
    </row>
    <row r="12" spans="2:32" ht="23.1" customHeight="1" x14ac:dyDescent="0.25">
      <c r="B12" s="23" t="s">
        <v>39</v>
      </c>
      <c r="C12" s="49">
        <f>AVERAGE('22.07 Masanafu-Lubigi'!C12,'23.07 Masanafu-Lubigi'!C12,'24.07 Masanafu-Lubigi'!C12,'25.07 Masanafu-Lubigi'!C12,'26.07 Masanafu-Lubigi-24h'!C12,'27.07 Masanafu-Lubigi-24h'!C12,'28.07 Masanafu-Lubigi'!C12)</f>
        <v>56.714285714285715</v>
      </c>
      <c r="D12" s="49">
        <f>AVERAGE('22.07 Masanafu-Lubigi'!D12,'23.07 Masanafu-Lubigi'!D12,'24.07 Masanafu-Lubigi'!D12,'25.07 Masanafu-Lubigi'!D12,'26.07 Masanafu-Lubigi-24h'!D12,'27.07 Masanafu-Lubigi-24h'!D12,'28.07 Masanafu-Lubigi'!D12)</f>
        <v>39</v>
      </c>
      <c r="E12" s="49">
        <f>AVERAGE('22.07 Masanafu-Lubigi'!E12,'23.07 Masanafu-Lubigi'!E12,'24.07 Masanafu-Lubigi'!E12,'25.07 Masanafu-Lubigi'!E12,'26.07 Masanafu-Lubigi-24h'!E12,'27.07 Masanafu-Lubigi-24h'!E12,'28.07 Masanafu-Lubigi'!E12)</f>
        <v>15.571428571428571</v>
      </c>
      <c r="F12" s="49">
        <f>AVERAGE('22.07 Masanafu-Lubigi'!F12,'23.07 Masanafu-Lubigi'!F12,'24.07 Masanafu-Lubigi'!F12,'25.07 Masanafu-Lubigi'!F12,'26.07 Masanafu-Lubigi-24h'!F12,'27.07 Masanafu-Lubigi-24h'!F12,'28.07 Masanafu-Lubigi'!F12)</f>
        <v>23</v>
      </c>
      <c r="G12" s="49">
        <f>AVERAGE('22.07 Masanafu-Lubigi'!G12,'23.07 Masanafu-Lubigi'!G12,'24.07 Masanafu-Lubigi'!G12,'25.07 Masanafu-Lubigi'!G12,'26.07 Masanafu-Lubigi-24h'!G12,'27.07 Masanafu-Lubigi-24h'!G12,'28.07 Masanafu-Lubigi'!G12)</f>
        <v>1.4285714285714286</v>
      </c>
      <c r="H12" s="49">
        <f>AVERAGE('22.07 Masanafu-Lubigi'!H12,'23.07 Masanafu-Lubigi'!H12,'24.07 Masanafu-Lubigi'!H12,'25.07 Masanafu-Lubigi'!H12,'26.07 Masanafu-Lubigi-24h'!H12,'27.07 Masanafu-Lubigi-24h'!H12,'28.07 Masanafu-Lubigi'!H12)</f>
        <v>0.5714285714285714</v>
      </c>
      <c r="I12" s="49">
        <f>AVERAGE('22.07 Masanafu-Lubigi'!I12,'23.07 Masanafu-Lubigi'!I12,'24.07 Masanafu-Lubigi'!I12,'25.07 Masanafu-Lubigi'!I12,'26.07 Masanafu-Lubigi-24h'!I12,'27.07 Masanafu-Lubigi-24h'!I12,'28.07 Masanafu-Lubigi'!I12)</f>
        <v>7.8571428571428568</v>
      </c>
      <c r="J12" s="49">
        <f>AVERAGE('22.07 Masanafu-Lubigi'!J12,'23.07 Masanafu-Lubigi'!J12,'24.07 Masanafu-Lubigi'!J12,'25.07 Masanafu-Lubigi'!J12,'26.07 Masanafu-Lubigi-24h'!J12,'27.07 Masanafu-Lubigi-24h'!J12,'28.07 Masanafu-Lubigi'!J12)</f>
        <v>6.2857142857142856</v>
      </c>
      <c r="K12" s="49">
        <f>AVERAGE('22.07 Masanafu-Lubigi'!K12,'23.07 Masanafu-Lubigi'!K12,'24.07 Masanafu-Lubigi'!K12,'25.07 Masanafu-Lubigi'!K12,'26.07 Masanafu-Lubigi-24h'!K12,'27.07 Masanafu-Lubigi-24h'!K12,'28.07 Masanafu-Lubigi'!K12)</f>
        <v>3.8571428571428572</v>
      </c>
      <c r="L12" s="49">
        <f>AVERAGE('22.07 Masanafu-Lubigi'!L12,'23.07 Masanafu-Lubigi'!L12,'24.07 Masanafu-Lubigi'!L12,'25.07 Masanafu-Lubigi'!L12,'26.07 Masanafu-Lubigi-24h'!L12,'27.07 Masanafu-Lubigi-24h'!L12,'28.07 Masanafu-Lubigi'!L12)</f>
        <v>2.8571428571428572</v>
      </c>
      <c r="M12" s="49">
        <f>AVERAGE('22.07 Masanafu-Lubigi'!M12,'23.07 Masanafu-Lubigi'!M12,'24.07 Masanafu-Lubigi'!M12,'25.07 Masanafu-Lubigi'!M12,'26.07 Masanafu-Lubigi-24h'!M12,'27.07 Masanafu-Lubigi-24h'!M12,'28.07 Masanafu-Lubigi'!M12)</f>
        <v>117</v>
      </c>
      <c r="N12" s="49">
        <f>AVERAGE('22.07 Masanafu-Lubigi'!N12,'23.07 Masanafu-Lubigi'!N12,'24.07 Masanafu-Lubigi'!N12,'25.07 Masanafu-Lubigi'!N12,'26.07 Masanafu-Lubigi-24h'!N12,'27.07 Masanafu-Lubigi-24h'!N12,'28.07 Masanafu-Lubigi'!N12)</f>
        <v>0</v>
      </c>
      <c r="O12" s="15">
        <f t="shared" si="0"/>
        <v>157.14285714285714</v>
      </c>
      <c r="P12" s="15">
        <f t="shared" si="1"/>
        <v>274.14285714285711</v>
      </c>
      <c r="R12" s="1" t="s">
        <v>8</v>
      </c>
      <c r="S12" s="17">
        <f t="shared" ref="S12:AF12" si="4">SUM(C18:C21)</f>
        <v>252.57142857142856</v>
      </c>
      <c r="T12" s="17">
        <f t="shared" si="4"/>
        <v>65.571428571428569</v>
      </c>
      <c r="U12" s="17">
        <f t="shared" si="4"/>
        <v>33.285714285714292</v>
      </c>
      <c r="V12" s="17">
        <f t="shared" si="4"/>
        <v>65.571428571428569</v>
      </c>
      <c r="W12" s="17">
        <f t="shared" si="4"/>
        <v>7.9999999999999991</v>
      </c>
      <c r="X12" s="17">
        <f t="shared" si="4"/>
        <v>1.2857142857142856</v>
      </c>
      <c r="Y12" s="17">
        <f t="shared" si="4"/>
        <v>32.857142857142861</v>
      </c>
      <c r="Z12" s="17">
        <f t="shared" si="4"/>
        <v>19.857142857142858</v>
      </c>
      <c r="AA12" s="17">
        <f t="shared" si="4"/>
        <v>15.571428571428571</v>
      </c>
      <c r="AB12" s="17">
        <f t="shared" si="4"/>
        <v>15.857142857142858</v>
      </c>
      <c r="AC12" s="17">
        <f t="shared" si="4"/>
        <v>480.42857142857144</v>
      </c>
      <c r="AD12" s="17">
        <f t="shared" si="4"/>
        <v>0.14285714285714285</v>
      </c>
      <c r="AE12" s="31">
        <f t="shared" si="4"/>
        <v>510.57142857142867</v>
      </c>
      <c r="AF12" s="31">
        <f t="shared" si="4"/>
        <v>991.00000000000011</v>
      </c>
    </row>
    <row r="13" spans="2:32" ht="23.1" customHeight="1" x14ac:dyDescent="0.25">
      <c r="B13" s="23" t="s">
        <v>40</v>
      </c>
      <c r="C13" s="49">
        <f>AVERAGE('22.07 Masanafu-Lubigi'!C13,'23.07 Masanafu-Lubigi'!C13,'24.07 Masanafu-Lubigi'!C13,'25.07 Masanafu-Lubigi'!C13,'26.07 Masanafu-Lubigi-24h'!C13,'27.07 Masanafu-Lubigi-24h'!C13,'28.07 Masanafu-Lubigi'!C13)</f>
        <v>55.142857142857146</v>
      </c>
      <c r="D13" s="49">
        <f>AVERAGE('22.07 Masanafu-Lubigi'!D13,'23.07 Masanafu-Lubigi'!D13,'24.07 Masanafu-Lubigi'!D13,'25.07 Masanafu-Lubigi'!D13,'26.07 Masanafu-Lubigi-24h'!D13,'27.07 Masanafu-Lubigi-24h'!D13,'28.07 Masanafu-Lubigi'!D13)</f>
        <v>26.857142857142858</v>
      </c>
      <c r="E13" s="49">
        <f>AVERAGE('22.07 Masanafu-Lubigi'!E13,'23.07 Masanafu-Lubigi'!E13,'24.07 Masanafu-Lubigi'!E13,'25.07 Masanafu-Lubigi'!E13,'26.07 Masanafu-Lubigi-24h'!E13,'27.07 Masanafu-Lubigi-24h'!E13,'28.07 Masanafu-Lubigi'!E13)</f>
        <v>11</v>
      </c>
      <c r="F13" s="49">
        <f>AVERAGE('22.07 Masanafu-Lubigi'!F13,'23.07 Masanafu-Lubigi'!F13,'24.07 Masanafu-Lubigi'!F13,'25.07 Masanafu-Lubigi'!F13,'26.07 Masanafu-Lubigi-24h'!F13,'27.07 Masanafu-Lubigi-24h'!F13,'28.07 Masanafu-Lubigi'!F13)</f>
        <v>26.428571428571427</v>
      </c>
      <c r="G13" s="49">
        <f>AVERAGE('22.07 Masanafu-Lubigi'!G13,'23.07 Masanafu-Lubigi'!G13,'24.07 Masanafu-Lubigi'!G13,'25.07 Masanafu-Lubigi'!G13,'26.07 Masanafu-Lubigi-24h'!G13,'27.07 Masanafu-Lubigi-24h'!G13,'28.07 Masanafu-Lubigi'!G13)</f>
        <v>3</v>
      </c>
      <c r="H13" s="49">
        <f>AVERAGE('22.07 Masanafu-Lubigi'!H13,'23.07 Masanafu-Lubigi'!H13,'24.07 Masanafu-Lubigi'!H13,'25.07 Masanafu-Lubigi'!H13,'26.07 Masanafu-Lubigi-24h'!H13,'27.07 Masanafu-Lubigi-24h'!H13,'28.07 Masanafu-Lubigi'!H13)</f>
        <v>0.5714285714285714</v>
      </c>
      <c r="I13" s="49">
        <f>AVERAGE('22.07 Masanafu-Lubigi'!I13,'23.07 Masanafu-Lubigi'!I13,'24.07 Masanafu-Lubigi'!I13,'25.07 Masanafu-Lubigi'!I13,'26.07 Masanafu-Lubigi-24h'!I13,'27.07 Masanafu-Lubigi-24h'!I13,'28.07 Masanafu-Lubigi'!I13)</f>
        <v>7.2857142857142856</v>
      </c>
      <c r="J13" s="49">
        <f>AVERAGE('22.07 Masanafu-Lubigi'!J13,'23.07 Masanafu-Lubigi'!J13,'24.07 Masanafu-Lubigi'!J13,'25.07 Masanafu-Lubigi'!J13,'26.07 Masanafu-Lubigi-24h'!J13,'27.07 Masanafu-Lubigi-24h'!J13,'28.07 Masanafu-Lubigi'!J13)</f>
        <v>7.7142857142857144</v>
      </c>
      <c r="K13" s="49">
        <f>AVERAGE('22.07 Masanafu-Lubigi'!K13,'23.07 Masanafu-Lubigi'!K13,'24.07 Masanafu-Lubigi'!K13,'25.07 Masanafu-Lubigi'!K13,'26.07 Masanafu-Lubigi-24h'!K13,'27.07 Masanafu-Lubigi-24h'!K13,'28.07 Masanafu-Lubigi'!K13)</f>
        <v>3.5714285714285716</v>
      </c>
      <c r="L13" s="49">
        <f>AVERAGE('22.07 Masanafu-Lubigi'!L13,'23.07 Masanafu-Lubigi'!L13,'24.07 Masanafu-Lubigi'!L13,'25.07 Masanafu-Lubigi'!L13,'26.07 Masanafu-Lubigi-24h'!L13,'27.07 Masanafu-Lubigi-24h'!L13,'28.07 Masanafu-Lubigi'!L13)</f>
        <v>5.2857142857142856</v>
      </c>
      <c r="M13" s="49">
        <f>AVERAGE('22.07 Masanafu-Lubigi'!M13,'23.07 Masanafu-Lubigi'!M13,'24.07 Masanafu-Lubigi'!M13,'25.07 Masanafu-Lubigi'!M13,'26.07 Masanafu-Lubigi-24h'!M13,'27.07 Masanafu-Lubigi-24h'!M13,'28.07 Masanafu-Lubigi'!M13)</f>
        <v>130.28571428571428</v>
      </c>
      <c r="N13" s="49">
        <f>AVERAGE('22.07 Masanafu-Lubigi'!N13,'23.07 Masanafu-Lubigi'!N13,'24.07 Masanafu-Lubigi'!N13,'25.07 Masanafu-Lubigi'!N13,'26.07 Masanafu-Lubigi-24h'!N13,'27.07 Masanafu-Lubigi-24h'!N13,'28.07 Masanafu-Lubigi'!N13)</f>
        <v>0</v>
      </c>
      <c r="O13" s="15">
        <f t="shared" si="0"/>
        <v>146.85714285714286</v>
      </c>
      <c r="P13" s="15">
        <f t="shared" si="1"/>
        <v>277.14285714285711</v>
      </c>
      <c r="R13" s="1" t="s">
        <v>9</v>
      </c>
      <c r="S13" s="17">
        <f t="shared" ref="S13:AF13" si="5">SUM(C22:C25)</f>
        <v>265.57142857142856</v>
      </c>
      <c r="T13" s="17">
        <f t="shared" si="5"/>
        <v>63.999999999999993</v>
      </c>
      <c r="U13" s="17">
        <f t="shared" si="5"/>
        <v>50.428571428571431</v>
      </c>
      <c r="V13" s="17">
        <f t="shared" si="5"/>
        <v>67.714285714285708</v>
      </c>
      <c r="W13" s="17">
        <f t="shared" si="5"/>
        <v>9.5714285714285712</v>
      </c>
      <c r="X13" s="17">
        <f t="shared" si="5"/>
        <v>3.2857142857142856</v>
      </c>
      <c r="Y13" s="17">
        <f t="shared" si="5"/>
        <v>37</v>
      </c>
      <c r="Z13" s="17">
        <f t="shared" si="5"/>
        <v>25.999999999999996</v>
      </c>
      <c r="AA13" s="17">
        <f t="shared" si="5"/>
        <v>30.857142857142861</v>
      </c>
      <c r="AB13" s="17">
        <f t="shared" si="5"/>
        <v>28.285714285714285</v>
      </c>
      <c r="AC13" s="17">
        <f t="shared" si="5"/>
        <v>476.14285714285711</v>
      </c>
      <c r="AD13" s="17">
        <f t="shared" si="5"/>
        <v>0</v>
      </c>
      <c r="AE13" s="31">
        <f t="shared" si="5"/>
        <v>582.71428571428567</v>
      </c>
      <c r="AF13" s="31">
        <f t="shared" si="5"/>
        <v>1058.8571428571427</v>
      </c>
    </row>
    <row r="14" spans="2:32" ht="23.1" customHeight="1" x14ac:dyDescent="0.25">
      <c r="B14" s="23" t="s">
        <v>41</v>
      </c>
      <c r="C14" s="49">
        <f>AVERAGE('22.07 Masanafu-Lubigi'!C14,'23.07 Masanafu-Lubigi'!C14,'24.07 Masanafu-Lubigi'!C14,'25.07 Masanafu-Lubigi'!C14,'26.07 Masanafu-Lubigi-24h'!C14,'27.07 Masanafu-Lubigi-24h'!C14,'28.07 Masanafu-Lubigi'!C14)</f>
        <v>68.285714285714292</v>
      </c>
      <c r="D14" s="49">
        <f>AVERAGE('22.07 Masanafu-Lubigi'!D14,'23.07 Masanafu-Lubigi'!D14,'24.07 Masanafu-Lubigi'!D14,'25.07 Masanafu-Lubigi'!D14,'26.07 Masanafu-Lubigi-24h'!D14,'27.07 Masanafu-Lubigi-24h'!D14,'28.07 Masanafu-Lubigi'!D14)</f>
        <v>13.428571428571429</v>
      </c>
      <c r="E14" s="49">
        <f>AVERAGE('22.07 Masanafu-Lubigi'!E14,'23.07 Masanafu-Lubigi'!E14,'24.07 Masanafu-Lubigi'!E14,'25.07 Masanafu-Lubigi'!E14,'26.07 Masanafu-Lubigi-24h'!E14,'27.07 Masanafu-Lubigi-24h'!E14,'28.07 Masanafu-Lubigi'!E14)</f>
        <v>5.1428571428571432</v>
      </c>
      <c r="F14" s="49">
        <f>AVERAGE('22.07 Masanafu-Lubigi'!F14,'23.07 Masanafu-Lubigi'!F14,'24.07 Masanafu-Lubigi'!F14,'25.07 Masanafu-Lubigi'!F14,'26.07 Masanafu-Lubigi-24h'!F14,'27.07 Masanafu-Lubigi-24h'!F14,'28.07 Masanafu-Lubigi'!F14)</f>
        <v>15.571428571428571</v>
      </c>
      <c r="G14" s="49">
        <f>AVERAGE('22.07 Masanafu-Lubigi'!G14,'23.07 Masanafu-Lubigi'!G14,'24.07 Masanafu-Lubigi'!G14,'25.07 Masanafu-Lubigi'!G14,'26.07 Masanafu-Lubigi-24h'!G14,'27.07 Masanafu-Lubigi-24h'!G14,'28.07 Masanafu-Lubigi'!G14)</f>
        <v>0.2857142857142857</v>
      </c>
      <c r="H14" s="49">
        <f>AVERAGE('22.07 Masanafu-Lubigi'!H14,'23.07 Masanafu-Lubigi'!H14,'24.07 Masanafu-Lubigi'!H14,'25.07 Masanafu-Lubigi'!H14,'26.07 Masanafu-Lubigi-24h'!H14,'27.07 Masanafu-Lubigi-24h'!H14,'28.07 Masanafu-Lubigi'!H14)</f>
        <v>0.2857142857142857</v>
      </c>
      <c r="I14" s="49">
        <f>AVERAGE('22.07 Masanafu-Lubigi'!I14,'23.07 Masanafu-Lubigi'!I14,'24.07 Masanafu-Lubigi'!I14,'25.07 Masanafu-Lubigi'!I14,'26.07 Masanafu-Lubigi-24h'!I14,'27.07 Masanafu-Lubigi-24h'!I14,'28.07 Masanafu-Lubigi'!I14)</f>
        <v>7.7142857142857144</v>
      </c>
      <c r="J14" s="49">
        <f>AVERAGE('22.07 Masanafu-Lubigi'!J14,'23.07 Masanafu-Lubigi'!J14,'24.07 Masanafu-Lubigi'!J14,'25.07 Masanafu-Lubigi'!J14,'26.07 Masanafu-Lubigi-24h'!J14,'27.07 Masanafu-Lubigi-24h'!J14,'28.07 Masanafu-Lubigi'!J14)</f>
        <v>5</v>
      </c>
      <c r="K14" s="49">
        <f>AVERAGE('22.07 Masanafu-Lubigi'!K14,'23.07 Masanafu-Lubigi'!K14,'24.07 Masanafu-Lubigi'!K14,'25.07 Masanafu-Lubigi'!K14,'26.07 Masanafu-Lubigi-24h'!K14,'27.07 Masanafu-Lubigi-24h'!K14,'28.07 Masanafu-Lubigi'!K14)</f>
        <v>2.7142857142857144</v>
      </c>
      <c r="L14" s="49">
        <f>AVERAGE('22.07 Masanafu-Lubigi'!L14,'23.07 Masanafu-Lubigi'!L14,'24.07 Masanafu-Lubigi'!L14,'25.07 Masanafu-Lubigi'!L14,'26.07 Masanafu-Lubigi-24h'!L14,'27.07 Masanafu-Lubigi-24h'!L14,'28.07 Masanafu-Lubigi'!L14)</f>
        <v>2.2857142857142856</v>
      </c>
      <c r="M14" s="49">
        <f>AVERAGE('22.07 Masanafu-Lubigi'!M14,'23.07 Masanafu-Lubigi'!M14,'24.07 Masanafu-Lubigi'!M14,'25.07 Masanafu-Lubigi'!M14,'26.07 Masanafu-Lubigi-24h'!M14,'27.07 Masanafu-Lubigi-24h'!M14,'28.07 Masanafu-Lubigi'!M14)</f>
        <v>140.85714285714286</v>
      </c>
      <c r="N14" s="49">
        <f>AVERAGE('22.07 Masanafu-Lubigi'!N14,'23.07 Masanafu-Lubigi'!N14,'24.07 Masanafu-Lubigi'!N14,'25.07 Masanafu-Lubigi'!N14,'26.07 Masanafu-Lubigi-24h'!N14,'27.07 Masanafu-Lubigi-24h'!N14,'28.07 Masanafu-Lubigi'!N14)</f>
        <v>0</v>
      </c>
      <c r="O14" s="15">
        <f t="shared" si="0"/>
        <v>120.71428571428572</v>
      </c>
      <c r="P14" s="15">
        <f t="shared" si="1"/>
        <v>261.57142857142856</v>
      </c>
      <c r="R14" s="1" t="s">
        <v>10</v>
      </c>
      <c r="S14" s="17">
        <f t="shared" ref="S14:AF14" si="6">SUM(C26:C29)</f>
        <v>324</v>
      </c>
      <c r="T14" s="17">
        <f t="shared" si="6"/>
        <v>71.857142857142861</v>
      </c>
      <c r="U14" s="17">
        <f t="shared" si="6"/>
        <v>49.714285714285722</v>
      </c>
      <c r="V14" s="17">
        <f t="shared" si="6"/>
        <v>94.428571428571445</v>
      </c>
      <c r="W14" s="17">
        <f t="shared" si="6"/>
        <v>3.8571428571428572</v>
      </c>
      <c r="X14" s="17">
        <f t="shared" si="6"/>
        <v>1.7142857142857142</v>
      </c>
      <c r="Y14" s="17">
        <f t="shared" si="6"/>
        <v>51.428571428571431</v>
      </c>
      <c r="Z14" s="17">
        <f t="shared" si="6"/>
        <v>33.571428571428569</v>
      </c>
      <c r="AA14" s="17">
        <f t="shared" si="6"/>
        <v>32</v>
      </c>
      <c r="AB14" s="17">
        <f t="shared" si="6"/>
        <v>43</v>
      </c>
      <c r="AC14" s="17">
        <f t="shared" si="6"/>
        <v>505.57142857142856</v>
      </c>
      <c r="AD14" s="17">
        <f t="shared" si="6"/>
        <v>0</v>
      </c>
      <c r="AE14" s="31">
        <f t="shared" si="6"/>
        <v>705.57142857142844</v>
      </c>
      <c r="AF14" s="31">
        <f t="shared" si="6"/>
        <v>1211.1428571428569</v>
      </c>
    </row>
    <row r="15" spans="2:32" ht="23.1" customHeight="1" x14ac:dyDescent="0.25">
      <c r="B15" s="23" t="s">
        <v>42</v>
      </c>
      <c r="C15" s="49">
        <f>AVERAGE('22.07 Masanafu-Lubigi'!C15,'23.07 Masanafu-Lubigi'!C15,'24.07 Masanafu-Lubigi'!C15,'25.07 Masanafu-Lubigi'!C15,'26.07 Masanafu-Lubigi-24h'!C15,'27.07 Masanafu-Lubigi-24h'!C15,'28.07 Masanafu-Lubigi'!C15)</f>
        <v>59.142857142857146</v>
      </c>
      <c r="D15" s="49">
        <f>AVERAGE('22.07 Masanafu-Lubigi'!D15,'23.07 Masanafu-Lubigi'!D15,'24.07 Masanafu-Lubigi'!D15,'25.07 Masanafu-Lubigi'!D15,'26.07 Masanafu-Lubigi-24h'!D15,'27.07 Masanafu-Lubigi-24h'!D15,'28.07 Masanafu-Lubigi'!D15)</f>
        <v>10.285714285714286</v>
      </c>
      <c r="E15" s="49">
        <f>AVERAGE('22.07 Masanafu-Lubigi'!E15,'23.07 Masanafu-Lubigi'!E15,'24.07 Masanafu-Lubigi'!E15,'25.07 Masanafu-Lubigi'!E15,'26.07 Masanafu-Lubigi-24h'!E15,'27.07 Masanafu-Lubigi-24h'!E15,'28.07 Masanafu-Lubigi'!E15)</f>
        <v>6.7142857142857144</v>
      </c>
      <c r="F15" s="49">
        <f>AVERAGE('22.07 Masanafu-Lubigi'!F15,'23.07 Masanafu-Lubigi'!F15,'24.07 Masanafu-Lubigi'!F15,'25.07 Masanafu-Lubigi'!F15,'26.07 Masanafu-Lubigi-24h'!F15,'27.07 Masanafu-Lubigi-24h'!F15,'28.07 Masanafu-Lubigi'!F15)</f>
        <v>21.857142857142858</v>
      </c>
      <c r="G15" s="49">
        <f>AVERAGE('22.07 Masanafu-Lubigi'!G15,'23.07 Masanafu-Lubigi'!G15,'24.07 Masanafu-Lubigi'!G15,'25.07 Masanafu-Lubigi'!G15,'26.07 Masanafu-Lubigi-24h'!G15,'27.07 Masanafu-Lubigi-24h'!G15,'28.07 Masanafu-Lubigi'!G15)</f>
        <v>0.7142857142857143</v>
      </c>
      <c r="H15" s="49">
        <f>AVERAGE('22.07 Masanafu-Lubigi'!H15,'23.07 Masanafu-Lubigi'!H15,'24.07 Masanafu-Lubigi'!H15,'25.07 Masanafu-Lubigi'!H15,'26.07 Masanafu-Lubigi-24h'!H15,'27.07 Masanafu-Lubigi-24h'!H15,'28.07 Masanafu-Lubigi'!H15)</f>
        <v>0.8571428571428571</v>
      </c>
      <c r="I15" s="49">
        <f>AVERAGE('22.07 Masanafu-Lubigi'!I15,'23.07 Masanafu-Lubigi'!I15,'24.07 Masanafu-Lubigi'!I15,'25.07 Masanafu-Lubigi'!I15,'26.07 Masanafu-Lubigi-24h'!I15,'27.07 Masanafu-Lubigi-24h'!I15,'28.07 Masanafu-Lubigi'!I15)</f>
        <v>10.285714285714286</v>
      </c>
      <c r="J15" s="49">
        <f>AVERAGE('22.07 Masanafu-Lubigi'!J15,'23.07 Masanafu-Lubigi'!J15,'24.07 Masanafu-Lubigi'!J15,'25.07 Masanafu-Lubigi'!J15,'26.07 Masanafu-Lubigi-24h'!J15,'27.07 Masanafu-Lubigi-24h'!J15,'28.07 Masanafu-Lubigi'!J15)</f>
        <v>4</v>
      </c>
      <c r="K15" s="49">
        <f>AVERAGE('22.07 Masanafu-Lubigi'!K15,'23.07 Masanafu-Lubigi'!K15,'24.07 Masanafu-Lubigi'!K15,'25.07 Masanafu-Lubigi'!K15,'26.07 Masanafu-Lubigi-24h'!K15,'27.07 Masanafu-Lubigi-24h'!K15,'28.07 Masanafu-Lubigi'!K15)</f>
        <v>2.8571428571428572</v>
      </c>
      <c r="L15" s="49">
        <f>AVERAGE('22.07 Masanafu-Lubigi'!L15,'23.07 Masanafu-Lubigi'!L15,'24.07 Masanafu-Lubigi'!L15,'25.07 Masanafu-Lubigi'!L15,'26.07 Masanafu-Lubigi-24h'!L15,'27.07 Masanafu-Lubigi-24h'!L15,'28.07 Masanafu-Lubigi'!L15)</f>
        <v>4.8571428571428568</v>
      </c>
      <c r="M15" s="49">
        <f>AVERAGE('22.07 Masanafu-Lubigi'!M15,'23.07 Masanafu-Lubigi'!M15,'24.07 Masanafu-Lubigi'!M15,'25.07 Masanafu-Lubigi'!M15,'26.07 Masanafu-Lubigi-24h'!M15,'27.07 Masanafu-Lubigi-24h'!M15,'28.07 Masanafu-Lubigi'!M15)</f>
        <v>149.14285714285714</v>
      </c>
      <c r="N15" s="49">
        <f>AVERAGE('22.07 Masanafu-Lubigi'!N15,'23.07 Masanafu-Lubigi'!N15,'24.07 Masanafu-Lubigi'!N15,'25.07 Masanafu-Lubigi'!N15,'26.07 Masanafu-Lubigi-24h'!N15,'27.07 Masanafu-Lubigi-24h'!N15,'28.07 Masanafu-Lubigi'!N15)</f>
        <v>0</v>
      </c>
      <c r="O15" s="15">
        <f t="shared" si="0"/>
        <v>121.57142857142858</v>
      </c>
      <c r="P15" s="15">
        <f t="shared" si="1"/>
        <v>270.71428571428572</v>
      </c>
      <c r="R15" s="1" t="s">
        <v>11</v>
      </c>
      <c r="S15" s="17">
        <f t="shared" ref="S15:AF15" si="7">SUM(C30:C33)</f>
        <v>330.28571428571433</v>
      </c>
      <c r="T15" s="17">
        <f t="shared" si="7"/>
        <v>76.571428571428569</v>
      </c>
      <c r="U15" s="17">
        <f t="shared" si="7"/>
        <v>57</v>
      </c>
      <c r="V15" s="17">
        <f t="shared" si="7"/>
        <v>102.28571428571428</v>
      </c>
      <c r="W15" s="17">
        <f t="shared" si="7"/>
        <v>5.1428571428571432</v>
      </c>
      <c r="X15" s="17">
        <f t="shared" si="7"/>
        <v>3.1428571428571423</v>
      </c>
      <c r="Y15" s="17">
        <f t="shared" si="7"/>
        <v>54.428571428571431</v>
      </c>
      <c r="Z15" s="17">
        <f t="shared" si="7"/>
        <v>36</v>
      </c>
      <c r="AA15" s="17">
        <f t="shared" si="7"/>
        <v>31.285714285714285</v>
      </c>
      <c r="AB15" s="17">
        <f t="shared" si="7"/>
        <v>29.142857142857139</v>
      </c>
      <c r="AC15" s="17">
        <f t="shared" si="7"/>
        <v>539.57142857142867</v>
      </c>
      <c r="AD15" s="17">
        <f t="shared" si="7"/>
        <v>0</v>
      </c>
      <c r="AE15" s="31">
        <f t="shared" si="7"/>
        <v>725.28571428571422</v>
      </c>
      <c r="AF15" s="31">
        <f t="shared" si="7"/>
        <v>1264.8571428571429</v>
      </c>
    </row>
    <row r="16" spans="2:32" ht="23.1" customHeight="1" x14ac:dyDescent="0.25">
      <c r="B16" s="23" t="s">
        <v>43</v>
      </c>
      <c r="C16" s="49">
        <f>AVERAGE('22.07 Masanafu-Lubigi'!C16,'23.07 Masanafu-Lubigi'!C16,'24.07 Masanafu-Lubigi'!C16,'25.07 Masanafu-Lubigi'!C16,'26.07 Masanafu-Lubigi-24h'!C16,'27.07 Masanafu-Lubigi-24h'!C16,'28.07 Masanafu-Lubigi'!C16)</f>
        <v>51.142857142857146</v>
      </c>
      <c r="D16" s="49">
        <f>AVERAGE('22.07 Masanafu-Lubigi'!D16,'23.07 Masanafu-Lubigi'!D16,'24.07 Masanafu-Lubigi'!D16,'25.07 Masanafu-Lubigi'!D16,'26.07 Masanafu-Lubigi-24h'!D16,'27.07 Masanafu-Lubigi-24h'!D16,'28.07 Masanafu-Lubigi'!D16)</f>
        <v>9.1428571428571423</v>
      </c>
      <c r="E16" s="49">
        <f>AVERAGE('22.07 Masanafu-Lubigi'!E16,'23.07 Masanafu-Lubigi'!E16,'24.07 Masanafu-Lubigi'!E16,'25.07 Masanafu-Lubigi'!E16,'26.07 Masanafu-Lubigi-24h'!E16,'27.07 Masanafu-Lubigi-24h'!E16,'28.07 Masanafu-Lubigi'!E16)</f>
        <v>7.2857142857142856</v>
      </c>
      <c r="F16" s="49">
        <f>AVERAGE('22.07 Masanafu-Lubigi'!F16,'23.07 Masanafu-Lubigi'!F16,'24.07 Masanafu-Lubigi'!F16,'25.07 Masanafu-Lubigi'!F16,'26.07 Masanafu-Lubigi-24h'!F16,'27.07 Masanafu-Lubigi-24h'!F16,'28.07 Masanafu-Lubigi'!F16)</f>
        <v>18.428571428571427</v>
      </c>
      <c r="G16" s="49">
        <f>AVERAGE('22.07 Masanafu-Lubigi'!G16,'23.07 Masanafu-Lubigi'!G16,'24.07 Masanafu-Lubigi'!G16,'25.07 Masanafu-Lubigi'!G16,'26.07 Masanafu-Lubigi-24h'!G16,'27.07 Masanafu-Lubigi-24h'!G16,'28.07 Masanafu-Lubigi'!G16)</f>
        <v>1.4285714285714286</v>
      </c>
      <c r="H16" s="49">
        <f>AVERAGE('22.07 Masanafu-Lubigi'!H16,'23.07 Masanafu-Lubigi'!H16,'24.07 Masanafu-Lubigi'!H16,'25.07 Masanafu-Lubigi'!H16,'26.07 Masanafu-Lubigi-24h'!H16,'27.07 Masanafu-Lubigi-24h'!H16,'28.07 Masanafu-Lubigi'!H16)</f>
        <v>0.7142857142857143</v>
      </c>
      <c r="I16" s="49">
        <f>AVERAGE('22.07 Masanafu-Lubigi'!I16,'23.07 Masanafu-Lubigi'!I16,'24.07 Masanafu-Lubigi'!I16,'25.07 Masanafu-Lubigi'!I16,'26.07 Masanafu-Lubigi-24h'!I16,'27.07 Masanafu-Lubigi-24h'!I16,'28.07 Masanafu-Lubigi'!I16)</f>
        <v>8.2857142857142865</v>
      </c>
      <c r="J16" s="49">
        <f>AVERAGE('22.07 Masanafu-Lubigi'!J16,'23.07 Masanafu-Lubigi'!J16,'24.07 Masanafu-Lubigi'!J16,'25.07 Masanafu-Lubigi'!J16,'26.07 Masanafu-Lubigi-24h'!J16,'27.07 Masanafu-Lubigi-24h'!J16,'28.07 Masanafu-Lubigi'!J16)</f>
        <v>3.4285714285714284</v>
      </c>
      <c r="K16" s="49">
        <f>AVERAGE('22.07 Masanafu-Lubigi'!K16,'23.07 Masanafu-Lubigi'!K16,'24.07 Masanafu-Lubigi'!K16,'25.07 Masanafu-Lubigi'!K16,'26.07 Masanafu-Lubigi-24h'!K16,'27.07 Masanafu-Lubigi-24h'!K16,'28.07 Masanafu-Lubigi'!K16)</f>
        <v>3.1428571428571428</v>
      </c>
      <c r="L16" s="49">
        <f>AVERAGE('22.07 Masanafu-Lubigi'!L16,'23.07 Masanafu-Lubigi'!L16,'24.07 Masanafu-Lubigi'!L16,'25.07 Masanafu-Lubigi'!L16,'26.07 Masanafu-Lubigi-24h'!L16,'27.07 Masanafu-Lubigi-24h'!L16,'28.07 Masanafu-Lubigi'!L16)</f>
        <v>3.2857142857142856</v>
      </c>
      <c r="M16" s="49">
        <f>AVERAGE('22.07 Masanafu-Lubigi'!M16,'23.07 Masanafu-Lubigi'!M16,'24.07 Masanafu-Lubigi'!M16,'25.07 Masanafu-Lubigi'!M16,'26.07 Masanafu-Lubigi-24h'!M16,'27.07 Masanafu-Lubigi-24h'!M16,'28.07 Masanafu-Lubigi'!M16)</f>
        <v>126.42857142857143</v>
      </c>
      <c r="N16" s="49">
        <f>AVERAGE('22.07 Masanafu-Lubigi'!N16,'23.07 Masanafu-Lubigi'!N16,'24.07 Masanafu-Lubigi'!N16,'25.07 Masanafu-Lubigi'!N16,'26.07 Masanafu-Lubigi-24h'!N16,'27.07 Masanafu-Lubigi-24h'!N16,'28.07 Masanafu-Lubigi'!N16)</f>
        <v>0</v>
      </c>
      <c r="O16" s="15">
        <f t="shared" si="0"/>
        <v>106.28571428571431</v>
      </c>
      <c r="P16" s="15">
        <f t="shared" si="1"/>
        <v>232.71428571428572</v>
      </c>
      <c r="R16" s="1" t="s">
        <v>12</v>
      </c>
      <c r="S16" s="17">
        <f t="shared" ref="S16:AF16" si="8">SUM(C34:C37)</f>
        <v>303.42857142857144</v>
      </c>
      <c r="T16" s="17">
        <f t="shared" si="8"/>
        <v>70.428571428571431</v>
      </c>
      <c r="U16" s="17">
        <f t="shared" si="8"/>
        <v>52.857142857142854</v>
      </c>
      <c r="V16" s="17">
        <f t="shared" si="8"/>
        <v>92.142857142857139</v>
      </c>
      <c r="W16" s="17">
        <f t="shared" si="8"/>
        <v>3.7142857142857144</v>
      </c>
      <c r="X16" s="17">
        <f t="shared" si="8"/>
        <v>1.1428571428571428</v>
      </c>
      <c r="Y16" s="17">
        <f t="shared" si="8"/>
        <v>49.571428571428577</v>
      </c>
      <c r="Z16" s="17">
        <f t="shared" si="8"/>
        <v>31.285714285714285</v>
      </c>
      <c r="AA16" s="17">
        <f t="shared" si="8"/>
        <v>32.428571428571431</v>
      </c>
      <c r="AB16" s="17">
        <f t="shared" si="8"/>
        <v>31.571428571428569</v>
      </c>
      <c r="AC16" s="17">
        <f t="shared" si="8"/>
        <v>504.14285714285722</v>
      </c>
      <c r="AD16" s="17">
        <f t="shared" si="8"/>
        <v>0.8571428571428571</v>
      </c>
      <c r="AE16" s="31">
        <f t="shared" si="8"/>
        <v>669.42857142857133</v>
      </c>
      <c r="AF16" s="31">
        <f t="shared" si="8"/>
        <v>1173.5714285714284</v>
      </c>
    </row>
    <row r="17" spans="2:32" ht="23.1" customHeight="1" x14ac:dyDescent="0.25">
      <c r="B17" s="23" t="s">
        <v>44</v>
      </c>
      <c r="C17" s="49">
        <f>AVERAGE('22.07 Masanafu-Lubigi'!C17,'23.07 Masanafu-Lubigi'!C17,'24.07 Masanafu-Lubigi'!C17,'25.07 Masanafu-Lubigi'!C17,'26.07 Masanafu-Lubigi-24h'!C17,'27.07 Masanafu-Lubigi-24h'!C17,'28.07 Masanafu-Lubigi'!C17)</f>
        <v>72.714285714285708</v>
      </c>
      <c r="D17" s="49">
        <f>AVERAGE('22.07 Masanafu-Lubigi'!D17,'23.07 Masanafu-Lubigi'!D17,'24.07 Masanafu-Lubigi'!D17,'25.07 Masanafu-Lubigi'!D17,'26.07 Masanafu-Lubigi-24h'!D17,'27.07 Masanafu-Lubigi-24h'!D17,'28.07 Masanafu-Lubigi'!D17)</f>
        <v>12.857142857142858</v>
      </c>
      <c r="E17" s="49">
        <f>AVERAGE('22.07 Masanafu-Lubigi'!E17,'23.07 Masanafu-Lubigi'!E17,'24.07 Masanafu-Lubigi'!E17,'25.07 Masanafu-Lubigi'!E17,'26.07 Masanafu-Lubigi-24h'!E17,'27.07 Masanafu-Lubigi-24h'!E17,'28.07 Masanafu-Lubigi'!E17)</f>
        <v>9.5714285714285712</v>
      </c>
      <c r="F17" s="49">
        <f>AVERAGE('22.07 Masanafu-Lubigi'!F17,'23.07 Masanafu-Lubigi'!F17,'24.07 Masanafu-Lubigi'!F17,'25.07 Masanafu-Lubigi'!F17,'26.07 Masanafu-Lubigi-24h'!F17,'27.07 Masanafu-Lubigi-24h'!F17,'28.07 Masanafu-Lubigi'!F17)</f>
        <v>15.285714285714286</v>
      </c>
      <c r="G17" s="49">
        <f>AVERAGE('22.07 Masanafu-Lubigi'!G17,'23.07 Masanafu-Lubigi'!G17,'24.07 Masanafu-Lubigi'!G17,'25.07 Masanafu-Lubigi'!G17,'26.07 Masanafu-Lubigi-24h'!G17,'27.07 Masanafu-Lubigi-24h'!G17,'28.07 Masanafu-Lubigi'!G17)</f>
        <v>2.8571428571428572</v>
      </c>
      <c r="H17" s="49">
        <f>AVERAGE('22.07 Masanafu-Lubigi'!H17,'23.07 Masanafu-Lubigi'!H17,'24.07 Masanafu-Lubigi'!H17,'25.07 Masanafu-Lubigi'!H17,'26.07 Masanafu-Lubigi-24h'!H17,'27.07 Masanafu-Lubigi-24h'!H17,'28.07 Masanafu-Lubigi'!H17)</f>
        <v>0.2857142857142857</v>
      </c>
      <c r="I17" s="49">
        <f>AVERAGE('22.07 Masanafu-Lubigi'!I17,'23.07 Masanafu-Lubigi'!I17,'24.07 Masanafu-Lubigi'!I17,'25.07 Masanafu-Lubigi'!I17,'26.07 Masanafu-Lubigi-24h'!I17,'27.07 Masanafu-Lubigi-24h'!I17,'28.07 Masanafu-Lubigi'!I17)</f>
        <v>10.571428571428571</v>
      </c>
      <c r="J17" s="49">
        <f>AVERAGE('22.07 Masanafu-Lubigi'!J17,'23.07 Masanafu-Lubigi'!J17,'24.07 Masanafu-Lubigi'!J17,'25.07 Masanafu-Lubigi'!J17,'26.07 Masanafu-Lubigi-24h'!J17,'27.07 Masanafu-Lubigi-24h'!J17,'28.07 Masanafu-Lubigi'!J17)</f>
        <v>5.5714285714285712</v>
      </c>
      <c r="K17" s="49">
        <f>AVERAGE('22.07 Masanafu-Lubigi'!K17,'23.07 Masanafu-Lubigi'!K17,'24.07 Masanafu-Lubigi'!K17,'25.07 Masanafu-Lubigi'!K17,'26.07 Masanafu-Lubigi-24h'!K17,'27.07 Masanafu-Lubigi-24h'!K17,'28.07 Masanafu-Lubigi'!K17)</f>
        <v>3</v>
      </c>
      <c r="L17" s="49">
        <f>AVERAGE('22.07 Masanafu-Lubigi'!L17,'23.07 Masanafu-Lubigi'!L17,'24.07 Masanafu-Lubigi'!L17,'25.07 Masanafu-Lubigi'!L17,'26.07 Masanafu-Lubigi-24h'!L17,'27.07 Masanafu-Lubigi-24h'!L17,'28.07 Masanafu-Lubigi'!L17)</f>
        <v>3</v>
      </c>
      <c r="M17" s="49">
        <f>AVERAGE('22.07 Masanafu-Lubigi'!M17,'23.07 Masanafu-Lubigi'!M17,'24.07 Masanafu-Lubigi'!M17,'25.07 Masanafu-Lubigi'!M17,'26.07 Masanafu-Lubigi-24h'!M17,'27.07 Masanafu-Lubigi-24h'!M17,'28.07 Masanafu-Lubigi'!M17)</f>
        <v>126</v>
      </c>
      <c r="N17" s="49">
        <f>AVERAGE('22.07 Masanafu-Lubigi'!N17,'23.07 Masanafu-Lubigi'!N17,'24.07 Masanafu-Lubigi'!N17,'25.07 Masanafu-Lubigi'!N17,'26.07 Masanafu-Lubigi-24h'!N17,'27.07 Masanafu-Lubigi-24h'!N17,'28.07 Masanafu-Lubigi'!N17)</f>
        <v>0</v>
      </c>
      <c r="O17" s="15">
        <f t="shared" si="0"/>
        <v>135.71428571428572</v>
      </c>
      <c r="P17" s="15">
        <f t="shared" si="1"/>
        <v>261.71428571428572</v>
      </c>
      <c r="R17" s="1" t="s">
        <v>13</v>
      </c>
      <c r="S17" s="17">
        <f t="shared" ref="S17:AF17" si="9">SUM(C38:C41)</f>
        <v>296.28571428571428</v>
      </c>
      <c r="T17" s="17">
        <f t="shared" si="9"/>
        <v>94.142857142857139</v>
      </c>
      <c r="U17" s="17">
        <f t="shared" si="9"/>
        <v>60.857142857142861</v>
      </c>
      <c r="V17" s="17">
        <f t="shared" si="9"/>
        <v>90.857142857142861</v>
      </c>
      <c r="W17" s="17">
        <f t="shared" si="9"/>
        <v>2.7142857142857144</v>
      </c>
      <c r="X17" s="17">
        <f t="shared" si="9"/>
        <v>0.5714285714285714</v>
      </c>
      <c r="Y17" s="17">
        <f t="shared" si="9"/>
        <v>48.571428571428569</v>
      </c>
      <c r="Z17" s="17">
        <f t="shared" si="9"/>
        <v>27.571428571428573</v>
      </c>
      <c r="AA17" s="17">
        <f t="shared" si="9"/>
        <v>33.142857142857139</v>
      </c>
      <c r="AB17" s="17">
        <f t="shared" si="9"/>
        <v>29.142857142857142</v>
      </c>
      <c r="AC17" s="17">
        <f t="shared" si="9"/>
        <v>429.71428571428567</v>
      </c>
      <c r="AD17" s="17">
        <f t="shared" si="9"/>
        <v>0.14285714285714285</v>
      </c>
      <c r="AE17" s="31">
        <f t="shared" si="9"/>
        <v>684</v>
      </c>
      <c r="AF17" s="31">
        <f t="shared" si="9"/>
        <v>1113.7142857142858</v>
      </c>
    </row>
    <row r="18" spans="2:32" ht="23.1" customHeight="1" x14ac:dyDescent="0.25">
      <c r="B18" s="23" t="s">
        <v>45</v>
      </c>
      <c r="C18" s="49">
        <f>AVERAGE('22.07 Masanafu-Lubigi'!C18,'23.07 Masanafu-Lubigi'!C18,'24.07 Masanafu-Lubigi'!C18,'25.07 Masanafu-Lubigi'!C18,'26.07 Masanafu-Lubigi-24h'!C18,'27.07 Masanafu-Lubigi-24h'!C18,'28.07 Masanafu-Lubigi'!C18)</f>
        <v>57.857142857142854</v>
      </c>
      <c r="D18" s="49">
        <f>AVERAGE('22.07 Masanafu-Lubigi'!D18,'23.07 Masanafu-Lubigi'!D18,'24.07 Masanafu-Lubigi'!D18,'25.07 Masanafu-Lubigi'!D18,'26.07 Masanafu-Lubigi-24h'!D18,'27.07 Masanafu-Lubigi-24h'!D18,'28.07 Masanafu-Lubigi'!D18)</f>
        <v>16.428571428571427</v>
      </c>
      <c r="E18" s="49">
        <f>AVERAGE('22.07 Masanafu-Lubigi'!E18,'23.07 Masanafu-Lubigi'!E18,'24.07 Masanafu-Lubigi'!E18,'25.07 Masanafu-Lubigi'!E18,'26.07 Masanafu-Lubigi-24h'!E18,'27.07 Masanafu-Lubigi-24h'!E18,'28.07 Masanafu-Lubigi'!E18)</f>
        <v>8.5714285714285712</v>
      </c>
      <c r="F18" s="49">
        <f>AVERAGE('22.07 Masanafu-Lubigi'!F18,'23.07 Masanafu-Lubigi'!F18,'24.07 Masanafu-Lubigi'!F18,'25.07 Masanafu-Lubigi'!F18,'26.07 Masanafu-Lubigi-24h'!F18,'27.07 Masanafu-Lubigi-24h'!F18,'28.07 Masanafu-Lubigi'!F18)</f>
        <v>17.714285714285715</v>
      </c>
      <c r="G18" s="49">
        <f>AVERAGE('22.07 Masanafu-Lubigi'!G18,'23.07 Masanafu-Lubigi'!G18,'24.07 Masanafu-Lubigi'!G18,'25.07 Masanafu-Lubigi'!G18,'26.07 Masanafu-Lubigi-24h'!G18,'27.07 Masanafu-Lubigi-24h'!G18,'28.07 Masanafu-Lubigi'!G18)</f>
        <v>3.1428571428571428</v>
      </c>
      <c r="H18" s="49">
        <f>AVERAGE('22.07 Masanafu-Lubigi'!H18,'23.07 Masanafu-Lubigi'!H18,'24.07 Masanafu-Lubigi'!H18,'25.07 Masanafu-Lubigi'!H18,'26.07 Masanafu-Lubigi-24h'!H18,'27.07 Masanafu-Lubigi-24h'!H18,'28.07 Masanafu-Lubigi'!H18)</f>
        <v>0.2857142857142857</v>
      </c>
      <c r="I18" s="49">
        <f>AVERAGE('22.07 Masanafu-Lubigi'!I18,'23.07 Masanafu-Lubigi'!I18,'24.07 Masanafu-Lubigi'!I18,'25.07 Masanafu-Lubigi'!I18,'26.07 Masanafu-Lubigi-24h'!I18,'27.07 Masanafu-Lubigi-24h'!I18,'28.07 Masanafu-Lubigi'!I18)</f>
        <v>5.4285714285714288</v>
      </c>
      <c r="J18" s="49">
        <f>AVERAGE('22.07 Masanafu-Lubigi'!J18,'23.07 Masanafu-Lubigi'!J18,'24.07 Masanafu-Lubigi'!J18,'25.07 Masanafu-Lubigi'!J18,'26.07 Masanafu-Lubigi-24h'!J18,'27.07 Masanafu-Lubigi-24h'!J18,'28.07 Masanafu-Lubigi'!J18)</f>
        <v>5.7142857142857144</v>
      </c>
      <c r="K18" s="49">
        <f>AVERAGE('22.07 Masanafu-Lubigi'!K18,'23.07 Masanafu-Lubigi'!K18,'24.07 Masanafu-Lubigi'!K18,'25.07 Masanafu-Lubigi'!K18,'26.07 Masanafu-Lubigi-24h'!K18,'27.07 Masanafu-Lubigi-24h'!K18,'28.07 Masanafu-Lubigi'!K18)</f>
        <v>4.2857142857142856</v>
      </c>
      <c r="L18" s="49">
        <f>AVERAGE('22.07 Masanafu-Lubigi'!L18,'23.07 Masanafu-Lubigi'!L18,'24.07 Masanafu-Lubigi'!L18,'25.07 Masanafu-Lubigi'!L18,'26.07 Masanafu-Lubigi-24h'!L18,'27.07 Masanafu-Lubigi-24h'!L18,'28.07 Masanafu-Lubigi'!L18)</f>
        <v>2.1428571428571428</v>
      </c>
      <c r="M18" s="49">
        <f>AVERAGE('22.07 Masanafu-Lubigi'!M18,'23.07 Masanafu-Lubigi'!M18,'24.07 Masanafu-Lubigi'!M18,'25.07 Masanafu-Lubigi'!M18,'26.07 Masanafu-Lubigi-24h'!M18,'27.07 Masanafu-Lubigi-24h'!M18,'28.07 Masanafu-Lubigi'!M18)</f>
        <v>120.71428571428571</v>
      </c>
      <c r="N18" s="49">
        <f>AVERAGE('22.07 Masanafu-Lubigi'!N18,'23.07 Masanafu-Lubigi'!N18,'24.07 Masanafu-Lubigi'!N18,'25.07 Masanafu-Lubigi'!N18,'26.07 Masanafu-Lubigi-24h'!N18,'27.07 Masanafu-Lubigi-24h'!N18,'28.07 Masanafu-Lubigi'!N18)</f>
        <v>0</v>
      </c>
      <c r="O18" s="15">
        <f t="shared" si="0"/>
        <v>121.57142857142856</v>
      </c>
      <c r="P18" s="15">
        <f t="shared" si="1"/>
        <v>242.28571428571428</v>
      </c>
      <c r="R18" s="1" t="s">
        <v>14</v>
      </c>
      <c r="S18" s="17">
        <f t="shared" ref="S18:AF18" si="10">SUM(C42:C45)</f>
        <v>334.57142857142861</v>
      </c>
      <c r="T18" s="17">
        <f t="shared" si="10"/>
        <v>108.14285714285714</v>
      </c>
      <c r="U18" s="17">
        <f t="shared" si="10"/>
        <v>67.714285714285722</v>
      </c>
      <c r="V18" s="17">
        <f t="shared" si="10"/>
        <v>92</v>
      </c>
      <c r="W18" s="17">
        <f t="shared" si="10"/>
        <v>4.8571428571428568</v>
      </c>
      <c r="X18" s="17">
        <f t="shared" si="10"/>
        <v>1.1428571428571428</v>
      </c>
      <c r="Y18" s="17">
        <f t="shared" si="10"/>
        <v>61.428571428571431</v>
      </c>
      <c r="Z18" s="17">
        <f t="shared" si="10"/>
        <v>37</v>
      </c>
      <c r="AA18" s="17">
        <f t="shared" si="10"/>
        <v>35.285714285714285</v>
      </c>
      <c r="AB18" s="17">
        <f t="shared" si="10"/>
        <v>33.285714285714292</v>
      </c>
      <c r="AC18" s="17">
        <f t="shared" si="10"/>
        <v>456.57142857142856</v>
      </c>
      <c r="AD18" s="17">
        <f t="shared" si="10"/>
        <v>0.14285714285714285</v>
      </c>
      <c r="AE18" s="31">
        <f t="shared" si="10"/>
        <v>775.57142857142867</v>
      </c>
      <c r="AF18" s="31">
        <f t="shared" si="10"/>
        <v>1232.1428571428569</v>
      </c>
    </row>
    <row r="19" spans="2:32" ht="23.1" customHeight="1" x14ac:dyDescent="0.25">
      <c r="B19" s="23" t="s">
        <v>46</v>
      </c>
      <c r="C19" s="49">
        <f>AVERAGE('22.07 Masanafu-Lubigi'!C19,'23.07 Masanafu-Lubigi'!C19,'24.07 Masanafu-Lubigi'!C19,'25.07 Masanafu-Lubigi'!C19,'26.07 Masanafu-Lubigi-24h'!C19,'27.07 Masanafu-Lubigi-24h'!C19,'28.07 Masanafu-Lubigi'!C19)</f>
        <v>65.428571428571431</v>
      </c>
      <c r="D19" s="49">
        <f>AVERAGE('22.07 Masanafu-Lubigi'!D19,'23.07 Masanafu-Lubigi'!D19,'24.07 Masanafu-Lubigi'!D19,'25.07 Masanafu-Lubigi'!D19,'26.07 Masanafu-Lubigi-24h'!D19,'27.07 Masanafu-Lubigi-24h'!D19,'28.07 Masanafu-Lubigi'!D19)</f>
        <v>14.857142857142858</v>
      </c>
      <c r="E19" s="49">
        <f>AVERAGE('22.07 Masanafu-Lubigi'!E19,'23.07 Masanafu-Lubigi'!E19,'24.07 Masanafu-Lubigi'!E19,'25.07 Masanafu-Lubigi'!E19,'26.07 Masanafu-Lubigi-24h'!E19,'27.07 Masanafu-Lubigi-24h'!E19,'28.07 Masanafu-Lubigi'!E19)</f>
        <v>9.8571428571428577</v>
      </c>
      <c r="F19" s="49">
        <f>AVERAGE('22.07 Masanafu-Lubigi'!F19,'23.07 Masanafu-Lubigi'!F19,'24.07 Masanafu-Lubigi'!F19,'25.07 Masanafu-Lubigi'!F19,'26.07 Masanafu-Lubigi-24h'!F19,'27.07 Masanafu-Lubigi-24h'!F19,'28.07 Masanafu-Lubigi'!F19)</f>
        <v>20.285714285714285</v>
      </c>
      <c r="G19" s="49">
        <f>AVERAGE('22.07 Masanafu-Lubigi'!G19,'23.07 Masanafu-Lubigi'!G19,'24.07 Masanafu-Lubigi'!G19,'25.07 Masanafu-Lubigi'!G19,'26.07 Masanafu-Lubigi-24h'!G19,'27.07 Masanafu-Lubigi-24h'!G19,'28.07 Masanafu-Lubigi'!G19)</f>
        <v>1</v>
      </c>
      <c r="H19" s="49">
        <f>AVERAGE('22.07 Masanafu-Lubigi'!H19,'23.07 Masanafu-Lubigi'!H19,'24.07 Masanafu-Lubigi'!H19,'25.07 Masanafu-Lubigi'!H19,'26.07 Masanafu-Lubigi-24h'!H19,'27.07 Masanafu-Lubigi-24h'!H19,'28.07 Masanafu-Lubigi'!H19)</f>
        <v>0</v>
      </c>
      <c r="I19" s="49">
        <f>AVERAGE('22.07 Masanafu-Lubigi'!I19,'23.07 Masanafu-Lubigi'!I19,'24.07 Masanafu-Lubigi'!I19,'25.07 Masanafu-Lubigi'!I19,'26.07 Masanafu-Lubigi-24h'!I19,'27.07 Masanafu-Lubigi-24h'!I19,'28.07 Masanafu-Lubigi'!I19)</f>
        <v>9.2857142857142865</v>
      </c>
      <c r="J19" s="49">
        <f>AVERAGE('22.07 Masanafu-Lubigi'!J19,'23.07 Masanafu-Lubigi'!J19,'24.07 Masanafu-Lubigi'!J19,'25.07 Masanafu-Lubigi'!J19,'26.07 Masanafu-Lubigi-24h'!J19,'27.07 Masanafu-Lubigi-24h'!J19,'28.07 Masanafu-Lubigi'!J19)</f>
        <v>5.7142857142857144</v>
      </c>
      <c r="K19" s="49">
        <f>AVERAGE('22.07 Masanafu-Lubigi'!K19,'23.07 Masanafu-Lubigi'!K19,'24.07 Masanafu-Lubigi'!K19,'25.07 Masanafu-Lubigi'!K19,'26.07 Masanafu-Lubigi-24h'!K19,'27.07 Masanafu-Lubigi-24h'!K19,'28.07 Masanafu-Lubigi'!K19)</f>
        <v>4.5714285714285712</v>
      </c>
      <c r="L19" s="49">
        <f>AVERAGE('22.07 Masanafu-Lubigi'!L19,'23.07 Masanafu-Lubigi'!L19,'24.07 Masanafu-Lubigi'!L19,'25.07 Masanafu-Lubigi'!L19,'26.07 Masanafu-Lubigi-24h'!L19,'27.07 Masanafu-Lubigi-24h'!L19,'28.07 Masanafu-Lubigi'!L19)</f>
        <v>3.7142857142857144</v>
      </c>
      <c r="M19" s="49">
        <f>AVERAGE('22.07 Masanafu-Lubigi'!M19,'23.07 Masanafu-Lubigi'!M19,'24.07 Masanafu-Lubigi'!M19,'25.07 Masanafu-Lubigi'!M19,'26.07 Masanafu-Lubigi-24h'!M19,'27.07 Masanafu-Lubigi-24h'!M19,'28.07 Masanafu-Lubigi'!M19)</f>
        <v>120.28571428571429</v>
      </c>
      <c r="N19" s="49">
        <f>AVERAGE('22.07 Masanafu-Lubigi'!N19,'23.07 Masanafu-Lubigi'!N19,'24.07 Masanafu-Lubigi'!N19,'25.07 Masanafu-Lubigi'!N19,'26.07 Masanafu-Lubigi-24h'!N19,'27.07 Masanafu-Lubigi-24h'!N19,'28.07 Masanafu-Lubigi'!N19)</f>
        <v>0</v>
      </c>
      <c r="O19" s="15">
        <f t="shared" si="0"/>
        <v>134.71428571428575</v>
      </c>
      <c r="P19" s="15">
        <f t="shared" si="1"/>
        <v>255.00000000000006</v>
      </c>
      <c r="R19" s="1" t="s">
        <v>15</v>
      </c>
      <c r="S19" s="17">
        <f t="shared" ref="S19:AF19" si="11">SUM(C46:C49)</f>
        <v>377.57142857142856</v>
      </c>
      <c r="T19" s="17">
        <f t="shared" si="11"/>
        <v>92.857142857142861</v>
      </c>
      <c r="U19" s="17">
        <f t="shared" si="11"/>
        <v>72.142857142857153</v>
      </c>
      <c r="V19" s="17">
        <f t="shared" si="11"/>
        <v>93.428571428571431</v>
      </c>
      <c r="W19" s="17">
        <f t="shared" si="11"/>
        <v>5.5714285714285712</v>
      </c>
      <c r="X19" s="17">
        <f t="shared" si="11"/>
        <v>1.4285714285714284</v>
      </c>
      <c r="Y19" s="17">
        <f t="shared" si="11"/>
        <v>62.428571428571431</v>
      </c>
      <c r="Z19" s="17">
        <f t="shared" si="11"/>
        <v>36.142857142857139</v>
      </c>
      <c r="AA19" s="17">
        <f t="shared" si="11"/>
        <v>23.428571428571431</v>
      </c>
      <c r="AB19" s="17">
        <f t="shared" si="11"/>
        <v>28.428571428571427</v>
      </c>
      <c r="AC19" s="17">
        <f t="shared" si="11"/>
        <v>491.42857142857144</v>
      </c>
      <c r="AD19" s="17">
        <f t="shared" si="11"/>
        <v>0.2857142857142857</v>
      </c>
      <c r="AE19" s="31">
        <f t="shared" si="11"/>
        <v>793.71428571428578</v>
      </c>
      <c r="AF19" s="31">
        <f t="shared" si="11"/>
        <v>1285.1428571428571</v>
      </c>
    </row>
    <row r="20" spans="2:32" ht="23.1" customHeight="1" x14ac:dyDescent="0.25">
      <c r="B20" s="23" t="s">
        <v>47</v>
      </c>
      <c r="C20" s="49">
        <f>AVERAGE('22.07 Masanafu-Lubigi'!C20,'23.07 Masanafu-Lubigi'!C20,'24.07 Masanafu-Lubigi'!C20,'25.07 Masanafu-Lubigi'!C20,'26.07 Masanafu-Lubigi-24h'!C20,'27.07 Masanafu-Lubigi-24h'!C20,'28.07 Masanafu-Lubigi'!C20)</f>
        <v>62.714285714285715</v>
      </c>
      <c r="D20" s="49">
        <f>AVERAGE('22.07 Masanafu-Lubigi'!D20,'23.07 Masanafu-Lubigi'!D20,'24.07 Masanafu-Lubigi'!D20,'25.07 Masanafu-Lubigi'!D20,'26.07 Masanafu-Lubigi-24h'!D20,'27.07 Masanafu-Lubigi-24h'!D20,'28.07 Masanafu-Lubigi'!D20)</f>
        <v>16.857142857142858</v>
      </c>
      <c r="E20" s="49">
        <f>AVERAGE('22.07 Masanafu-Lubigi'!E20,'23.07 Masanafu-Lubigi'!E20,'24.07 Masanafu-Lubigi'!E20,'25.07 Masanafu-Lubigi'!E20,'26.07 Masanafu-Lubigi-24h'!E20,'27.07 Masanafu-Lubigi-24h'!E20,'28.07 Masanafu-Lubigi'!E20)</f>
        <v>7.7142857142857144</v>
      </c>
      <c r="F20" s="49">
        <f>AVERAGE('22.07 Masanafu-Lubigi'!F20,'23.07 Masanafu-Lubigi'!F20,'24.07 Masanafu-Lubigi'!F20,'25.07 Masanafu-Lubigi'!F20,'26.07 Masanafu-Lubigi-24h'!F20,'27.07 Masanafu-Lubigi-24h'!F20,'28.07 Masanafu-Lubigi'!F20)</f>
        <v>12.428571428571429</v>
      </c>
      <c r="G20" s="49">
        <f>AVERAGE('22.07 Masanafu-Lubigi'!G20,'23.07 Masanafu-Lubigi'!G20,'24.07 Masanafu-Lubigi'!G20,'25.07 Masanafu-Lubigi'!G20,'26.07 Masanafu-Lubigi-24h'!G20,'27.07 Masanafu-Lubigi-24h'!G20,'28.07 Masanafu-Lubigi'!G20)</f>
        <v>1.5714285714285714</v>
      </c>
      <c r="H20" s="49">
        <f>AVERAGE('22.07 Masanafu-Lubigi'!H20,'23.07 Masanafu-Lubigi'!H20,'24.07 Masanafu-Lubigi'!H20,'25.07 Masanafu-Lubigi'!H20,'26.07 Masanafu-Lubigi-24h'!H20,'27.07 Masanafu-Lubigi-24h'!H20,'28.07 Masanafu-Lubigi'!H20)</f>
        <v>0.8571428571428571</v>
      </c>
      <c r="I20" s="49">
        <f>AVERAGE('22.07 Masanafu-Lubigi'!I20,'23.07 Masanafu-Lubigi'!I20,'24.07 Masanafu-Lubigi'!I20,'25.07 Masanafu-Lubigi'!I20,'26.07 Masanafu-Lubigi-24h'!I20,'27.07 Masanafu-Lubigi-24h'!I20,'28.07 Masanafu-Lubigi'!I20)</f>
        <v>9.8571428571428577</v>
      </c>
      <c r="J20" s="49">
        <f>AVERAGE('22.07 Masanafu-Lubigi'!J20,'23.07 Masanafu-Lubigi'!J20,'24.07 Masanafu-Lubigi'!J20,'25.07 Masanafu-Lubigi'!J20,'26.07 Masanafu-Lubigi-24h'!J20,'27.07 Masanafu-Lubigi-24h'!J20,'28.07 Masanafu-Lubigi'!J20)</f>
        <v>3.8571428571428572</v>
      </c>
      <c r="K20" s="49">
        <f>AVERAGE('22.07 Masanafu-Lubigi'!K20,'23.07 Masanafu-Lubigi'!K20,'24.07 Masanafu-Lubigi'!K20,'25.07 Masanafu-Lubigi'!K20,'26.07 Masanafu-Lubigi-24h'!K20,'27.07 Masanafu-Lubigi-24h'!K20,'28.07 Masanafu-Lubigi'!K20)</f>
        <v>3.1428571428571428</v>
      </c>
      <c r="L20" s="49">
        <f>AVERAGE('22.07 Masanafu-Lubigi'!L20,'23.07 Masanafu-Lubigi'!L20,'24.07 Masanafu-Lubigi'!L20,'25.07 Masanafu-Lubigi'!L20,'26.07 Masanafu-Lubigi-24h'!L20,'27.07 Masanafu-Lubigi-24h'!L20,'28.07 Masanafu-Lubigi'!L20)</f>
        <v>2.8571428571428572</v>
      </c>
      <c r="M20" s="49">
        <f>AVERAGE('22.07 Masanafu-Lubigi'!M20,'23.07 Masanafu-Lubigi'!M20,'24.07 Masanafu-Lubigi'!M20,'25.07 Masanafu-Lubigi'!M20,'26.07 Masanafu-Lubigi-24h'!M20,'27.07 Masanafu-Lubigi-24h'!M20,'28.07 Masanafu-Lubigi'!M20)</f>
        <v>121.42857142857143</v>
      </c>
      <c r="N20" s="49">
        <f>AVERAGE('22.07 Masanafu-Lubigi'!N20,'23.07 Masanafu-Lubigi'!N20,'24.07 Masanafu-Lubigi'!N20,'25.07 Masanafu-Lubigi'!N20,'26.07 Masanafu-Lubigi-24h'!N20,'27.07 Masanafu-Lubigi-24h'!N20,'28.07 Masanafu-Lubigi'!N20)</f>
        <v>0</v>
      </c>
      <c r="O20" s="15">
        <f t="shared" si="0"/>
        <v>121.85714285714286</v>
      </c>
      <c r="P20" s="15">
        <f t="shared" si="1"/>
        <v>243.28571428571428</v>
      </c>
      <c r="R20" s="1" t="s">
        <v>16</v>
      </c>
      <c r="S20" s="17">
        <f t="shared" ref="S20:AF20" si="12">SUM(C50:C53)</f>
        <v>362.71428571428572</v>
      </c>
      <c r="T20" s="17">
        <f t="shared" si="12"/>
        <v>107.14285714285714</v>
      </c>
      <c r="U20" s="17">
        <f t="shared" si="12"/>
        <v>70.285714285714292</v>
      </c>
      <c r="V20" s="17">
        <f t="shared" si="12"/>
        <v>115</v>
      </c>
      <c r="W20" s="17">
        <f t="shared" si="12"/>
        <v>11.285714285714285</v>
      </c>
      <c r="X20" s="17">
        <f t="shared" si="12"/>
        <v>1.714285714285714</v>
      </c>
      <c r="Y20" s="17">
        <f t="shared" si="12"/>
        <v>47.428571428571423</v>
      </c>
      <c r="Z20" s="17">
        <f t="shared" si="12"/>
        <v>33.285714285714285</v>
      </c>
      <c r="AA20" s="17">
        <f t="shared" si="12"/>
        <v>19.857142857142858</v>
      </c>
      <c r="AB20" s="17">
        <f t="shared" si="12"/>
        <v>34.714285714285715</v>
      </c>
      <c r="AC20" s="17">
        <f t="shared" si="12"/>
        <v>484</v>
      </c>
      <c r="AD20" s="17">
        <f t="shared" si="12"/>
        <v>0.14285714285714285</v>
      </c>
      <c r="AE20" s="31">
        <f t="shared" si="12"/>
        <v>803.57142857142856</v>
      </c>
      <c r="AF20" s="31">
        <f t="shared" si="12"/>
        <v>1287.5714285714284</v>
      </c>
    </row>
    <row r="21" spans="2:32" ht="23.1" customHeight="1" x14ac:dyDescent="0.25">
      <c r="B21" s="23" t="s">
        <v>48</v>
      </c>
      <c r="C21" s="49">
        <f>AVERAGE('22.07 Masanafu-Lubigi'!C21,'23.07 Masanafu-Lubigi'!C21,'24.07 Masanafu-Lubigi'!C21,'25.07 Masanafu-Lubigi'!C21,'26.07 Masanafu-Lubigi-24h'!C21,'27.07 Masanafu-Lubigi-24h'!C21,'28.07 Masanafu-Lubigi'!C21)</f>
        <v>66.571428571428569</v>
      </c>
      <c r="D21" s="49">
        <f>AVERAGE('22.07 Masanafu-Lubigi'!D21,'23.07 Masanafu-Lubigi'!D21,'24.07 Masanafu-Lubigi'!D21,'25.07 Masanafu-Lubigi'!D21,'26.07 Masanafu-Lubigi-24h'!D21,'27.07 Masanafu-Lubigi-24h'!D21,'28.07 Masanafu-Lubigi'!D21)</f>
        <v>17.428571428571427</v>
      </c>
      <c r="E21" s="49">
        <f>AVERAGE('22.07 Masanafu-Lubigi'!E21,'23.07 Masanafu-Lubigi'!E21,'24.07 Masanafu-Lubigi'!E21,'25.07 Masanafu-Lubigi'!E21,'26.07 Masanafu-Lubigi-24h'!E21,'27.07 Masanafu-Lubigi-24h'!E21,'28.07 Masanafu-Lubigi'!E21)</f>
        <v>7.1428571428571432</v>
      </c>
      <c r="F21" s="49">
        <f>AVERAGE('22.07 Masanafu-Lubigi'!F21,'23.07 Masanafu-Lubigi'!F21,'24.07 Masanafu-Lubigi'!F21,'25.07 Masanafu-Lubigi'!F21,'26.07 Masanafu-Lubigi-24h'!F21,'27.07 Masanafu-Lubigi-24h'!F21,'28.07 Masanafu-Lubigi'!F21)</f>
        <v>15.142857142857142</v>
      </c>
      <c r="G21" s="49">
        <f>AVERAGE('22.07 Masanafu-Lubigi'!G21,'23.07 Masanafu-Lubigi'!G21,'24.07 Masanafu-Lubigi'!G21,'25.07 Masanafu-Lubigi'!G21,'26.07 Masanafu-Lubigi-24h'!G21,'27.07 Masanafu-Lubigi-24h'!G21,'28.07 Masanafu-Lubigi'!G21)</f>
        <v>2.2857142857142856</v>
      </c>
      <c r="H21" s="49">
        <f>AVERAGE('22.07 Masanafu-Lubigi'!H21,'23.07 Masanafu-Lubigi'!H21,'24.07 Masanafu-Lubigi'!H21,'25.07 Masanafu-Lubigi'!H21,'26.07 Masanafu-Lubigi-24h'!H21,'27.07 Masanafu-Lubigi-24h'!H21,'28.07 Masanafu-Lubigi'!H21)</f>
        <v>0.14285714285714285</v>
      </c>
      <c r="I21" s="49">
        <f>AVERAGE('22.07 Masanafu-Lubigi'!I21,'23.07 Masanafu-Lubigi'!I21,'24.07 Masanafu-Lubigi'!I21,'25.07 Masanafu-Lubigi'!I21,'26.07 Masanafu-Lubigi-24h'!I21,'27.07 Masanafu-Lubigi-24h'!I21,'28.07 Masanafu-Lubigi'!I21)</f>
        <v>8.2857142857142865</v>
      </c>
      <c r="J21" s="49">
        <f>AVERAGE('22.07 Masanafu-Lubigi'!J21,'23.07 Masanafu-Lubigi'!J21,'24.07 Masanafu-Lubigi'!J21,'25.07 Masanafu-Lubigi'!J21,'26.07 Masanafu-Lubigi-24h'!J21,'27.07 Masanafu-Lubigi-24h'!J21,'28.07 Masanafu-Lubigi'!J21)</f>
        <v>4.5714285714285712</v>
      </c>
      <c r="K21" s="49">
        <f>AVERAGE('22.07 Masanafu-Lubigi'!K21,'23.07 Masanafu-Lubigi'!K21,'24.07 Masanafu-Lubigi'!K21,'25.07 Masanafu-Lubigi'!K21,'26.07 Masanafu-Lubigi-24h'!K21,'27.07 Masanafu-Lubigi-24h'!K21,'28.07 Masanafu-Lubigi'!K21)</f>
        <v>3.5714285714285716</v>
      </c>
      <c r="L21" s="49">
        <f>AVERAGE('22.07 Masanafu-Lubigi'!L21,'23.07 Masanafu-Lubigi'!L21,'24.07 Masanafu-Lubigi'!L21,'25.07 Masanafu-Lubigi'!L21,'26.07 Masanafu-Lubigi-24h'!L21,'27.07 Masanafu-Lubigi-24h'!L21,'28.07 Masanafu-Lubigi'!L21)</f>
        <v>7.1428571428571432</v>
      </c>
      <c r="M21" s="49">
        <f>AVERAGE('22.07 Masanafu-Lubigi'!M21,'23.07 Masanafu-Lubigi'!M21,'24.07 Masanafu-Lubigi'!M21,'25.07 Masanafu-Lubigi'!M21,'26.07 Masanafu-Lubigi-24h'!M21,'27.07 Masanafu-Lubigi-24h'!M21,'28.07 Masanafu-Lubigi'!M21)</f>
        <v>118</v>
      </c>
      <c r="N21" s="49">
        <f>AVERAGE('22.07 Masanafu-Lubigi'!N21,'23.07 Masanafu-Lubigi'!N21,'24.07 Masanafu-Lubigi'!N21,'25.07 Masanafu-Lubigi'!N21,'26.07 Masanafu-Lubigi-24h'!N21,'27.07 Masanafu-Lubigi-24h'!N21,'28.07 Masanafu-Lubigi'!N21)</f>
        <v>0.14285714285714285</v>
      </c>
      <c r="O21" s="15">
        <f t="shared" si="0"/>
        <v>132.42857142857142</v>
      </c>
      <c r="P21" s="15">
        <f t="shared" si="1"/>
        <v>250.42857142857142</v>
      </c>
      <c r="R21" s="1" t="s">
        <v>20</v>
      </c>
      <c r="S21" s="34">
        <f t="shared" ref="S21:AF21" si="13">SUM(C54:C57)</f>
        <v>371.85714285714278</v>
      </c>
      <c r="T21" s="17">
        <f t="shared" si="13"/>
        <v>135.42857142857144</v>
      </c>
      <c r="U21" s="17">
        <f t="shared" si="13"/>
        <v>93</v>
      </c>
      <c r="V21" s="17">
        <f t="shared" si="13"/>
        <v>156.28571428571428</v>
      </c>
      <c r="W21" s="17">
        <f t="shared" si="13"/>
        <v>10.714285714285715</v>
      </c>
      <c r="X21" s="17">
        <f t="shared" si="13"/>
        <v>3.2857142857142856</v>
      </c>
      <c r="Y21" s="17">
        <f t="shared" si="13"/>
        <v>38</v>
      </c>
      <c r="Z21" s="17">
        <f t="shared" si="13"/>
        <v>36.571428571428569</v>
      </c>
      <c r="AA21" s="17">
        <f t="shared" si="13"/>
        <v>15.285714285714285</v>
      </c>
      <c r="AB21" s="17">
        <f t="shared" si="13"/>
        <v>23.285714285714288</v>
      </c>
      <c r="AC21" s="17">
        <f t="shared" si="13"/>
        <v>499.85714285714283</v>
      </c>
      <c r="AD21" s="17">
        <f t="shared" si="13"/>
        <v>0.14285714285714285</v>
      </c>
      <c r="AE21" s="31">
        <f t="shared" si="13"/>
        <v>883.85714285714289</v>
      </c>
      <c r="AF21" s="31">
        <f t="shared" si="13"/>
        <v>1383.7142857142858</v>
      </c>
    </row>
    <row r="22" spans="2:32" ht="23.1" customHeight="1" x14ac:dyDescent="0.25">
      <c r="B22" s="23" t="s">
        <v>49</v>
      </c>
      <c r="C22" s="49">
        <f>AVERAGE('22.07 Masanafu-Lubigi'!C22,'23.07 Masanafu-Lubigi'!C22,'24.07 Masanafu-Lubigi'!C22,'25.07 Masanafu-Lubigi'!C22,'26.07 Masanafu-Lubigi-24h'!C22,'27.07 Masanafu-Lubigi-24h'!C22,'28.07 Masanafu-Lubigi'!C22)</f>
        <v>44.285714285714285</v>
      </c>
      <c r="D22" s="49">
        <f>AVERAGE('22.07 Masanafu-Lubigi'!D22,'23.07 Masanafu-Lubigi'!D22,'24.07 Masanafu-Lubigi'!D22,'25.07 Masanafu-Lubigi'!D22,'26.07 Masanafu-Lubigi-24h'!D22,'27.07 Masanafu-Lubigi-24h'!D22,'28.07 Masanafu-Lubigi'!D22)</f>
        <v>13.857142857142858</v>
      </c>
      <c r="E22" s="49">
        <f>AVERAGE('22.07 Masanafu-Lubigi'!E22,'23.07 Masanafu-Lubigi'!E22,'24.07 Masanafu-Lubigi'!E22,'25.07 Masanafu-Lubigi'!E22,'26.07 Masanafu-Lubigi-24h'!E22,'27.07 Masanafu-Lubigi-24h'!E22,'28.07 Masanafu-Lubigi'!E22)</f>
        <v>8.2857142857142865</v>
      </c>
      <c r="F22" s="49">
        <f>AVERAGE('22.07 Masanafu-Lubigi'!F22,'23.07 Masanafu-Lubigi'!F22,'24.07 Masanafu-Lubigi'!F22,'25.07 Masanafu-Lubigi'!F22,'26.07 Masanafu-Lubigi-24h'!F22,'27.07 Masanafu-Lubigi-24h'!F22,'28.07 Masanafu-Lubigi'!F22)</f>
        <v>13.571428571428571</v>
      </c>
      <c r="G22" s="49">
        <f>AVERAGE('22.07 Masanafu-Lubigi'!G22,'23.07 Masanafu-Lubigi'!G22,'24.07 Masanafu-Lubigi'!G22,'25.07 Masanafu-Lubigi'!G22,'26.07 Masanafu-Lubigi-24h'!G22,'27.07 Masanafu-Lubigi-24h'!G22,'28.07 Masanafu-Lubigi'!G22)</f>
        <v>1.2857142857142858</v>
      </c>
      <c r="H22" s="49">
        <f>AVERAGE('22.07 Masanafu-Lubigi'!H22,'23.07 Masanafu-Lubigi'!H22,'24.07 Masanafu-Lubigi'!H22,'25.07 Masanafu-Lubigi'!H22,'26.07 Masanafu-Lubigi-24h'!H22,'27.07 Masanafu-Lubigi-24h'!H22,'28.07 Masanafu-Lubigi'!H22)</f>
        <v>0.2857142857142857</v>
      </c>
      <c r="I22" s="49">
        <f>AVERAGE('22.07 Masanafu-Lubigi'!I22,'23.07 Masanafu-Lubigi'!I22,'24.07 Masanafu-Lubigi'!I22,'25.07 Masanafu-Lubigi'!I22,'26.07 Masanafu-Lubigi-24h'!I22,'27.07 Masanafu-Lubigi-24h'!I22,'28.07 Masanafu-Lubigi'!I22)</f>
        <v>6.1428571428571432</v>
      </c>
      <c r="J22" s="49">
        <f>AVERAGE('22.07 Masanafu-Lubigi'!J22,'23.07 Masanafu-Lubigi'!J22,'24.07 Masanafu-Lubigi'!J22,'25.07 Masanafu-Lubigi'!J22,'26.07 Masanafu-Lubigi-24h'!J22,'27.07 Masanafu-Lubigi-24h'!J22,'28.07 Masanafu-Lubigi'!J22)</f>
        <v>5.5714285714285712</v>
      </c>
      <c r="K22" s="49">
        <f>AVERAGE('22.07 Masanafu-Lubigi'!K22,'23.07 Masanafu-Lubigi'!K22,'24.07 Masanafu-Lubigi'!K22,'25.07 Masanafu-Lubigi'!K22,'26.07 Masanafu-Lubigi-24h'!K22,'27.07 Masanafu-Lubigi-24h'!K22,'28.07 Masanafu-Lubigi'!K22)</f>
        <v>6.1428571428571432</v>
      </c>
      <c r="L22" s="49">
        <f>AVERAGE('22.07 Masanafu-Lubigi'!L22,'23.07 Masanafu-Lubigi'!L22,'24.07 Masanafu-Lubigi'!L22,'25.07 Masanafu-Lubigi'!L22,'26.07 Masanafu-Lubigi-24h'!L22,'27.07 Masanafu-Lubigi-24h'!L22,'28.07 Masanafu-Lubigi'!L22)</f>
        <v>7.1428571428571432</v>
      </c>
      <c r="M22" s="49">
        <f>AVERAGE('22.07 Masanafu-Lubigi'!M22,'23.07 Masanafu-Lubigi'!M22,'24.07 Masanafu-Lubigi'!M22,'25.07 Masanafu-Lubigi'!M22,'26.07 Masanafu-Lubigi-24h'!M22,'27.07 Masanafu-Lubigi-24h'!M22,'28.07 Masanafu-Lubigi'!M22)</f>
        <v>94.714285714285708</v>
      </c>
      <c r="N22" s="49">
        <f>AVERAGE('22.07 Masanafu-Lubigi'!N22,'23.07 Masanafu-Lubigi'!N22,'24.07 Masanafu-Lubigi'!N22,'25.07 Masanafu-Lubigi'!N22,'26.07 Masanafu-Lubigi-24h'!N22,'27.07 Masanafu-Lubigi-24h'!N22,'28.07 Masanafu-Lubigi'!N22)</f>
        <v>0</v>
      </c>
      <c r="O22" s="15">
        <f t="shared" si="0"/>
        <v>106.57142857142857</v>
      </c>
      <c r="P22" s="15">
        <f t="shared" si="1"/>
        <v>201.28571428571428</v>
      </c>
      <c r="R22" s="1" t="s">
        <v>146</v>
      </c>
      <c r="S22" s="34">
        <f>SUM(C58:C61)</f>
        <v>347</v>
      </c>
      <c r="T22" s="34">
        <f t="shared" ref="T22:AF22" si="14">SUM(D58:D61)</f>
        <v>197.5</v>
      </c>
      <c r="U22" s="34">
        <f t="shared" si="14"/>
        <v>150</v>
      </c>
      <c r="V22" s="34">
        <f t="shared" si="14"/>
        <v>264.5</v>
      </c>
      <c r="W22" s="34">
        <f t="shared" si="14"/>
        <v>25</v>
      </c>
      <c r="X22" s="34">
        <f t="shared" si="14"/>
        <v>4</v>
      </c>
      <c r="Y22" s="34">
        <f t="shared" si="14"/>
        <v>44.5</v>
      </c>
      <c r="Z22" s="34">
        <f t="shared" si="14"/>
        <v>33</v>
      </c>
      <c r="AA22" s="34">
        <f t="shared" si="14"/>
        <v>28</v>
      </c>
      <c r="AB22" s="34">
        <f t="shared" si="14"/>
        <v>19.5</v>
      </c>
      <c r="AC22" s="34">
        <f t="shared" si="14"/>
        <v>516.5</v>
      </c>
      <c r="AD22" s="34">
        <f t="shared" si="14"/>
        <v>0</v>
      </c>
      <c r="AE22" s="31">
        <f t="shared" si="14"/>
        <v>1113</v>
      </c>
      <c r="AF22" s="31">
        <f t="shared" si="14"/>
        <v>1629.5</v>
      </c>
    </row>
    <row r="23" spans="2:32" ht="23.1" customHeight="1" x14ac:dyDescent="0.25">
      <c r="B23" s="23" t="s">
        <v>50</v>
      </c>
      <c r="C23" s="49">
        <f>AVERAGE('22.07 Masanafu-Lubigi'!C23,'23.07 Masanafu-Lubigi'!C23,'24.07 Masanafu-Lubigi'!C23,'25.07 Masanafu-Lubigi'!C23,'26.07 Masanafu-Lubigi-24h'!C23,'27.07 Masanafu-Lubigi-24h'!C23,'28.07 Masanafu-Lubigi'!C23)</f>
        <v>71.428571428571431</v>
      </c>
      <c r="D23" s="49">
        <f>AVERAGE('22.07 Masanafu-Lubigi'!D23,'23.07 Masanafu-Lubigi'!D23,'24.07 Masanafu-Lubigi'!D23,'25.07 Masanafu-Lubigi'!D23,'26.07 Masanafu-Lubigi-24h'!D23,'27.07 Masanafu-Lubigi-24h'!D23,'28.07 Masanafu-Lubigi'!D23)</f>
        <v>13.714285714285714</v>
      </c>
      <c r="E23" s="49">
        <f>AVERAGE('22.07 Masanafu-Lubigi'!E23,'23.07 Masanafu-Lubigi'!E23,'24.07 Masanafu-Lubigi'!E23,'25.07 Masanafu-Lubigi'!E23,'26.07 Masanafu-Lubigi-24h'!E23,'27.07 Masanafu-Lubigi-24h'!E23,'28.07 Masanafu-Lubigi'!E23)</f>
        <v>14.571428571428571</v>
      </c>
      <c r="F23" s="49">
        <f>AVERAGE('22.07 Masanafu-Lubigi'!F23,'23.07 Masanafu-Lubigi'!F23,'24.07 Masanafu-Lubigi'!F23,'25.07 Masanafu-Lubigi'!F23,'26.07 Masanafu-Lubigi-24h'!F23,'27.07 Masanafu-Lubigi-24h'!F23,'28.07 Masanafu-Lubigi'!F23)</f>
        <v>19.714285714285715</v>
      </c>
      <c r="G23" s="49">
        <f>AVERAGE('22.07 Masanafu-Lubigi'!G23,'23.07 Masanafu-Lubigi'!G23,'24.07 Masanafu-Lubigi'!G23,'25.07 Masanafu-Lubigi'!G23,'26.07 Masanafu-Lubigi-24h'!G23,'27.07 Masanafu-Lubigi-24h'!G23,'28.07 Masanafu-Lubigi'!G23)</f>
        <v>4</v>
      </c>
      <c r="H23" s="49">
        <f>AVERAGE('22.07 Masanafu-Lubigi'!H23,'23.07 Masanafu-Lubigi'!H23,'24.07 Masanafu-Lubigi'!H23,'25.07 Masanafu-Lubigi'!H23,'26.07 Masanafu-Lubigi-24h'!H23,'27.07 Masanafu-Lubigi-24h'!H23,'28.07 Masanafu-Lubigi'!H23)</f>
        <v>1.1428571428571428</v>
      </c>
      <c r="I23" s="49">
        <f>AVERAGE('22.07 Masanafu-Lubigi'!I23,'23.07 Masanafu-Lubigi'!I23,'24.07 Masanafu-Lubigi'!I23,'25.07 Masanafu-Lubigi'!I23,'26.07 Masanafu-Lubigi-24h'!I23,'27.07 Masanafu-Lubigi-24h'!I23,'28.07 Masanafu-Lubigi'!I23)</f>
        <v>12.285714285714286</v>
      </c>
      <c r="J23" s="49">
        <f>AVERAGE('22.07 Masanafu-Lubigi'!J23,'23.07 Masanafu-Lubigi'!J23,'24.07 Masanafu-Lubigi'!J23,'25.07 Masanafu-Lubigi'!J23,'26.07 Masanafu-Lubigi-24h'!J23,'27.07 Masanafu-Lubigi-24h'!J23,'28.07 Masanafu-Lubigi'!J23)</f>
        <v>6.7142857142857144</v>
      </c>
      <c r="K23" s="49">
        <f>AVERAGE('22.07 Masanafu-Lubigi'!K23,'23.07 Masanafu-Lubigi'!K23,'24.07 Masanafu-Lubigi'!K23,'25.07 Masanafu-Lubigi'!K23,'26.07 Masanafu-Lubigi-24h'!K23,'27.07 Masanafu-Lubigi-24h'!K23,'28.07 Masanafu-Lubigi'!K23)</f>
        <v>10.285714285714286</v>
      </c>
      <c r="L23" s="49">
        <f>AVERAGE('22.07 Masanafu-Lubigi'!L23,'23.07 Masanafu-Lubigi'!L23,'24.07 Masanafu-Lubigi'!L23,'25.07 Masanafu-Lubigi'!L23,'26.07 Masanafu-Lubigi-24h'!L23,'27.07 Masanafu-Lubigi-24h'!L23,'28.07 Masanafu-Lubigi'!L23)</f>
        <v>8.1428571428571423</v>
      </c>
      <c r="M23" s="49">
        <f>AVERAGE('22.07 Masanafu-Lubigi'!M23,'23.07 Masanafu-Lubigi'!M23,'24.07 Masanafu-Lubigi'!M23,'25.07 Masanafu-Lubigi'!M23,'26.07 Masanafu-Lubigi-24h'!M23,'27.07 Masanafu-Lubigi-24h'!M23,'28.07 Masanafu-Lubigi'!M23)</f>
        <v>130.42857142857142</v>
      </c>
      <c r="N23" s="49">
        <f>AVERAGE('22.07 Masanafu-Lubigi'!N23,'23.07 Masanafu-Lubigi'!N23,'24.07 Masanafu-Lubigi'!N23,'25.07 Masanafu-Lubigi'!N23,'26.07 Masanafu-Lubigi-24h'!N23,'27.07 Masanafu-Lubigi-24h'!N23,'28.07 Masanafu-Lubigi'!N23)</f>
        <v>0</v>
      </c>
      <c r="O23" s="15">
        <f t="shared" si="0"/>
        <v>161.99999999999997</v>
      </c>
      <c r="P23" s="15">
        <f t="shared" si="1"/>
        <v>292.42857142857139</v>
      </c>
      <c r="R23" s="1" t="s">
        <v>147</v>
      </c>
      <c r="S23" s="34">
        <f>SUM(C62:C65)</f>
        <v>285.5</v>
      </c>
      <c r="T23" s="34">
        <f t="shared" ref="T23:AF23" si="15">SUM(D62:D65)</f>
        <v>150</v>
      </c>
      <c r="U23" s="34">
        <f t="shared" si="15"/>
        <v>91.5</v>
      </c>
      <c r="V23" s="34">
        <f t="shared" si="15"/>
        <v>191</v>
      </c>
      <c r="W23" s="34">
        <f t="shared" si="15"/>
        <v>5</v>
      </c>
      <c r="X23" s="34">
        <f t="shared" si="15"/>
        <v>0.5</v>
      </c>
      <c r="Y23" s="34">
        <f t="shared" si="15"/>
        <v>44</v>
      </c>
      <c r="Z23" s="34">
        <f t="shared" si="15"/>
        <v>26.5</v>
      </c>
      <c r="AA23" s="34">
        <f t="shared" si="15"/>
        <v>29</v>
      </c>
      <c r="AB23" s="34">
        <f t="shared" si="15"/>
        <v>13</v>
      </c>
      <c r="AC23" s="34">
        <f t="shared" si="15"/>
        <v>462.5</v>
      </c>
      <c r="AD23" s="34">
        <f t="shared" si="15"/>
        <v>0</v>
      </c>
      <c r="AE23" s="31">
        <f t="shared" si="15"/>
        <v>836</v>
      </c>
      <c r="AF23" s="31">
        <f t="shared" si="15"/>
        <v>1298.5</v>
      </c>
    </row>
    <row r="24" spans="2:32" ht="23.1" customHeight="1" x14ac:dyDescent="0.25">
      <c r="B24" s="23" t="s">
        <v>51</v>
      </c>
      <c r="C24" s="49">
        <f>AVERAGE('22.07 Masanafu-Lubigi'!C24,'23.07 Masanafu-Lubigi'!C24,'24.07 Masanafu-Lubigi'!C24,'25.07 Masanafu-Lubigi'!C24,'26.07 Masanafu-Lubigi-24h'!C24,'27.07 Masanafu-Lubigi-24h'!C24,'28.07 Masanafu-Lubigi'!C24)</f>
        <v>63.285714285714285</v>
      </c>
      <c r="D24" s="49">
        <f>AVERAGE('22.07 Masanafu-Lubigi'!D24,'23.07 Masanafu-Lubigi'!D24,'24.07 Masanafu-Lubigi'!D24,'25.07 Masanafu-Lubigi'!D24,'26.07 Masanafu-Lubigi-24h'!D24,'27.07 Masanafu-Lubigi-24h'!D24,'28.07 Masanafu-Lubigi'!D24)</f>
        <v>14.142857142857142</v>
      </c>
      <c r="E24" s="49">
        <f>AVERAGE('22.07 Masanafu-Lubigi'!E24,'23.07 Masanafu-Lubigi'!E24,'24.07 Masanafu-Lubigi'!E24,'25.07 Masanafu-Lubigi'!E24,'26.07 Masanafu-Lubigi-24h'!E24,'27.07 Masanafu-Lubigi-24h'!E24,'28.07 Masanafu-Lubigi'!E24)</f>
        <v>11.428571428571429</v>
      </c>
      <c r="F24" s="49">
        <f>AVERAGE('22.07 Masanafu-Lubigi'!F24,'23.07 Masanafu-Lubigi'!F24,'24.07 Masanafu-Lubigi'!F24,'25.07 Masanafu-Lubigi'!F24,'26.07 Masanafu-Lubigi-24h'!F24,'27.07 Masanafu-Lubigi-24h'!F24,'28.07 Masanafu-Lubigi'!F24)</f>
        <v>19</v>
      </c>
      <c r="G24" s="49">
        <f>AVERAGE('22.07 Masanafu-Lubigi'!G24,'23.07 Masanafu-Lubigi'!G24,'24.07 Masanafu-Lubigi'!G24,'25.07 Masanafu-Lubigi'!G24,'26.07 Masanafu-Lubigi-24h'!G24,'27.07 Masanafu-Lubigi-24h'!G24,'28.07 Masanafu-Lubigi'!G24)</f>
        <v>2.8571428571428572</v>
      </c>
      <c r="H24" s="49">
        <f>AVERAGE('22.07 Masanafu-Lubigi'!H24,'23.07 Masanafu-Lubigi'!H24,'24.07 Masanafu-Lubigi'!H24,'25.07 Masanafu-Lubigi'!H24,'26.07 Masanafu-Lubigi-24h'!H24,'27.07 Masanafu-Lubigi-24h'!H24,'28.07 Masanafu-Lubigi'!H24)</f>
        <v>0.42857142857142855</v>
      </c>
      <c r="I24" s="49">
        <f>AVERAGE('22.07 Masanafu-Lubigi'!I24,'23.07 Masanafu-Lubigi'!I24,'24.07 Masanafu-Lubigi'!I24,'25.07 Masanafu-Lubigi'!I24,'26.07 Masanafu-Lubigi-24h'!I24,'27.07 Masanafu-Lubigi-24h'!I24,'28.07 Masanafu-Lubigi'!I24)</f>
        <v>9.4285714285714288</v>
      </c>
      <c r="J24" s="49">
        <f>AVERAGE('22.07 Masanafu-Lubigi'!J24,'23.07 Masanafu-Lubigi'!J24,'24.07 Masanafu-Lubigi'!J24,'25.07 Masanafu-Lubigi'!J24,'26.07 Masanafu-Lubigi-24h'!J24,'27.07 Masanafu-Lubigi-24h'!J24,'28.07 Masanafu-Lubigi'!J24)</f>
        <v>6.5714285714285712</v>
      </c>
      <c r="K24" s="49">
        <f>AVERAGE('22.07 Masanafu-Lubigi'!K24,'23.07 Masanafu-Lubigi'!K24,'24.07 Masanafu-Lubigi'!K24,'25.07 Masanafu-Lubigi'!K24,'26.07 Masanafu-Lubigi-24h'!K24,'27.07 Masanafu-Lubigi-24h'!K24,'28.07 Masanafu-Lubigi'!K24)</f>
        <v>7.4285714285714288</v>
      </c>
      <c r="L24" s="49">
        <f>AVERAGE('22.07 Masanafu-Lubigi'!L24,'23.07 Masanafu-Lubigi'!L24,'24.07 Masanafu-Lubigi'!L24,'25.07 Masanafu-Lubigi'!L24,'26.07 Masanafu-Lubigi-24h'!L24,'27.07 Masanafu-Lubigi-24h'!L24,'28.07 Masanafu-Lubigi'!L24)</f>
        <v>7</v>
      </c>
      <c r="M24" s="49">
        <f>AVERAGE('22.07 Masanafu-Lubigi'!M24,'23.07 Masanafu-Lubigi'!M24,'24.07 Masanafu-Lubigi'!M24,'25.07 Masanafu-Lubigi'!M24,'26.07 Masanafu-Lubigi-24h'!M24,'27.07 Masanafu-Lubigi-24h'!M24,'28.07 Masanafu-Lubigi'!M24)</f>
        <v>127.85714285714286</v>
      </c>
      <c r="N24" s="49">
        <f>AVERAGE('22.07 Masanafu-Lubigi'!N24,'23.07 Masanafu-Lubigi'!N24,'24.07 Masanafu-Lubigi'!N24,'25.07 Masanafu-Lubigi'!N24,'26.07 Masanafu-Lubigi-24h'!N24,'27.07 Masanafu-Lubigi-24h'!N24,'28.07 Masanafu-Lubigi'!N24)</f>
        <v>0</v>
      </c>
      <c r="O24" s="15">
        <f t="shared" si="0"/>
        <v>141.57142857142858</v>
      </c>
      <c r="P24" s="15">
        <f t="shared" si="1"/>
        <v>269.42857142857144</v>
      </c>
      <c r="R24" s="1" t="s">
        <v>148</v>
      </c>
      <c r="S24" s="34">
        <f>SUM(C66:C69)</f>
        <v>300.5</v>
      </c>
      <c r="T24" s="34">
        <f t="shared" ref="T24:AF24" si="16">SUM(D66:D69)</f>
        <v>186.5</v>
      </c>
      <c r="U24" s="34">
        <f t="shared" si="16"/>
        <v>99.5</v>
      </c>
      <c r="V24" s="34">
        <f t="shared" si="16"/>
        <v>299.5</v>
      </c>
      <c r="W24" s="34">
        <f t="shared" si="16"/>
        <v>5.5</v>
      </c>
      <c r="X24" s="34">
        <f t="shared" si="16"/>
        <v>1.5</v>
      </c>
      <c r="Y24" s="34">
        <f t="shared" si="16"/>
        <v>53</v>
      </c>
      <c r="Z24" s="34">
        <f t="shared" si="16"/>
        <v>27.5</v>
      </c>
      <c r="AA24" s="34">
        <f t="shared" si="16"/>
        <v>13.5</v>
      </c>
      <c r="AB24" s="34">
        <f t="shared" si="16"/>
        <v>16</v>
      </c>
      <c r="AC24" s="34">
        <f t="shared" si="16"/>
        <v>513.5</v>
      </c>
      <c r="AD24" s="34">
        <f t="shared" si="16"/>
        <v>0</v>
      </c>
      <c r="AE24" s="31">
        <f t="shared" si="16"/>
        <v>1003</v>
      </c>
      <c r="AF24" s="31">
        <f t="shared" si="16"/>
        <v>1516.5</v>
      </c>
    </row>
    <row r="25" spans="2:32" ht="23.1" customHeight="1" x14ac:dyDescent="0.25">
      <c r="B25" s="23" t="s">
        <v>52</v>
      </c>
      <c r="C25" s="49">
        <f>AVERAGE('22.07 Masanafu-Lubigi'!C25,'23.07 Masanafu-Lubigi'!C25,'24.07 Masanafu-Lubigi'!C25,'25.07 Masanafu-Lubigi'!C25,'26.07 Masanafu-Lubigi-24h'!C25,'27.07 Masanafu-Lubigi-24h'!C25,'28.07 Masanafu-Lubigi'!C25)</f>
        <v>86.571428571428569</v>
      </c>
      <c r="D25" s="49">
        <f>AVERAGE('22.07 Masanafu-Lubigi'!D25,'23.07 Masanafu-Lubigi'!D25,'24.07 Masanafu-Lubigi'!D25,'25.07 Masanafu-Lubigi'!D25,'26.07 Masanafu-Lubigi-24h'!D25,'27.07 Masanafu-Lubigi-24h'!D25,'28.07 Masanafu-Lubigi'!D25)</f>
        <v>22.285714285714285</v>
      </c>
      <c r="E25" s="49">
        <f>AVERAGE('22.07 Masanafu-Lubigi'!E25,'23.07 Masanafu-Lubigi'!E25,'24.07 Masanafu-Lubigi'!E25,'25.07 Masanafu-Lubigi'!E25,'26.07 Masanafu-Lubigi-24h'!E25,'27.07 Masanafu-Lubigi-24h'!E25,'28.07 Masanafu-Lubigi'!E25)</f>
        <v>16.142857142857142</v>
      </c>
      <c r="F25" s="49">
        <f>AVERAGE('22.07 Masanafu-Lubigi'!F25,'23.07 Masanafu-Lubigi'!F25,'24.07 Masanafu-Lubigi'!F25,'25.07 Masanafu-Lubigi'!F25,'26.07 Masanafu-Lubigi-24h'!F25,'27.07 Masanafu-Lubigi-24h'!F25,'28.07 Masanafu-Lubigi'!F25)</f>
        <v>15.428571428571429</v>
      </c>
      <c r="G25" s="49">
        <f>AVERAGE('22.07 Masanafu-Lubigi'!G25,'23.07 Masanafu-Lubigi'!G25,'24.07 Masanafu-Lubigi'!G25,'25.07 Masanafu-Lubigi'!G25,'26.07 Masanafu-Lubigi-24h'!G25,'27.07 Masanafu-Lubigi-24h'!G25,'28.07 Masanafu-Lubigi'!G25)</f>
        <v>1.4285714285714286</v>
      </c>
      <c r="H25" s="49">
        <f>AVERAGE('22.07 Masanafu-Lubigi'!H25,'23.07 Masanafu-Lubigi'!H25,'24.07 Masanafu-Lubigi'!H25,'25.07 Masanafu-Lubigi'!H25,'26.07 Masanafu-Lubigi-24h'!H25,'27.07 Masanafu-Lubigi-24h'!H25,'28.07 Masanafu-Lubigi'!H25)</f>
        <v>1.4285714285714286</v>
      </c>
      <c r="I25" s="49">
        <f>AVERAGE('22.07 Masanafu-Lubigi'!I25,'23.07 Masanafu-Lubigi'!I25,'24.07 Masanafu-Lubigi'!I25,'25.07 Masanafu-Lubigi'!I25,'26.07 Masanafu-Lubigi-24h'!I25,'27.07 Masanafu-Lubigi-24h'!I25,'28.07 Masanafu-Lubigi'!I25)</f>
        <v>9.1428571428571423</v>
      </c>
      <c r="J25" s="49">
        <f>AVERAGE('22.07 Masanafu-Lubigi'!J25,'23.07 Masanafu-Lubigi'!J25,'24.07 Masanafu-Lubigi'!J25,'25.07 Masanafu-Lubigi'!J25,'26.07 Masanafu-Lubigi-24h'!J25,'27.07 Masanafu-Lubigi-24h'!J25,'28.07 Masanafu-Lubigi'!J25)</f>
        <v>7.1428571428571432</v>
      </c>
      <c r="K25" s="49">
        <f>AVERAGE('22.07 Masanafu-Lubigi'!K25,'23.07 Masanafu-Lubigi'!K25,'24.07 Masanafu-Lubigi'!K25,'25.07 Masanafu-Lubigi'!K25,'26.07 Masanafu-Lubigi-24h'!K25,'27.07 Masanafu-Lubigi-24h'!K25,'28.07 Masanafu-Lubigi'!K25)</f>
        <v>7</v>
      </c>
      <c r="L25" s="49">
        <f>AVERAGE('22.07 Masanafu-Lubigi'!L25,'23.07 Masanafu-Lubigi'!L25,'24.07 Masanafu-Lubigi'!L25,'25.07 Masanafu-Lubigi'!L25,'26.07 Masanafu-Lubigi-24h'!L25,'27.07 Masanafu-Lubigi-24h'!L25,'28.07 Masanafu-Lubigi'!L25)</f>
        <v>6</v>
      </c>
      <c r="M25" s="49">
        <f>AVERAGE('22.07 Masanafu-Lubigi'!M25,'23.07 Masanafu-Lubigi'!M25,'24.07 Masanafu-Lubigi'!M25,'25.07 Masanafu-Lubigi'!M25,'26.07 Masanafu-Lubigi-24h'!M25,'27.07 Masanafu-Lubigi-24h'!M25,'28.07 Masanafu-Lubigi'!M25)</f>
        <v>123.14285714285714</v>
      </c>
      <c r="N25" s="49">
        <f>AVERAGE('22.07 Masanafu-Lubigi'!N25,'23.07 Masanafu-Lubigi'!N25,'24.07 Masanafu-Lubigi'!N25,'25.07 Masanafu-Lubigi'!N25,'26.07 Masanafu-Lubigi-24h'!N25,'27.07 Masanafu-Lubigi-24h'!N25,'28.07 Masanafu-Lubigi'!N25)</f>
        <v>0</v>
      </c>
      <c r="O25" s="15">
        <f t="shared" si="0"/>
        <v>172.57142857142853</v>
      </c>
      <c r="P25" s="15">
        <f t="shared" si="1"/>
        <v>295.71428571428567</v>
      </c>
      <c r="R25" s="1" t="s">
        <v>149</v>
      </c>
      <c r="S25" s="34">
        <f>SUM(C70:C73)</f>
        <v>209</v>
      </c>
      <c r="T25" s="34">
        <f t="shared" ref="T25:AF25" si="17">SUM(D70:D73)</f>
        <v>116</v>
      </c>
      <c r="U25" s="34">
        <f t="shared" si="17"/>
        <v>109</v>
      </c>
      <c r="V25" s="34">
        <f t="shared" si="17"/>
        <v>200</v>
      </c>
      <c r="W25" s="34">
        <f t="shared" si="17"/>
        <v>1</v>
      </c>
      <c r="X25" s="34">
        <f t="shared" si="17"/>
        <v>0.5</v>
      </c>
      <c r="Y25" s="34">
        <f t="shared" si="17"/>
        <v>32.5</v>
      </c>
      <c r="Z25" s="34">
        <f t="shared" si="17"/>
        <v>18</v>
      </c>
      <c r="AA25" s="34">
        <f t="shared" si="17"/>
        <v>9.5</v>
      </c>
      <c r="AB25" s="34">
        <f t="shared" si="17"/>
        <v>12.5</v>
      </c>
      <c r="AC25" s="34">
        <f t="shared" si="17"/>
        <v>455.5</v>
      </c>
      <c r="AD25" s="34">
        <f t="shared" si="17"/>
        <v>0</v>
      </c>
      <c r="AE25" s="31">
        <f t="shared" si="17"/>
        <v>708</v>
      </c>
      <c r="AF25" s="31">
        <f t="shared" si="17"/>
        <v>1163.5</v>
      </c>
    </row>
    <row r="26" spans="2:32" ht="23.1" customHeight="1" x14ac:dyDescent="0.25">
      <c r="B26" s="23" t="s">
        <v>53</v>
      </c>
      <c r="C26" s="49">
        <f>AVERAGE('22.07 Masanafu-Lubigi'!C26,'23.07 Masanafu-Lubigi'!C26,'24.07 Masanafu-Lubigi'!C26,'25.07 Masanafu-Lubigi'!C26,'26.07 Masanafu-Lubigi-24h'!C26,'27.07 Masanafu-Lubigi-24h'!C26,'28.07 Masanafu-Lubigi'!C26)</f>
        <v>73.142857142857139</v>
      </c>
      <c r="D26" s="49">
        <f>AVERAGE('22.07 Masanafu-Lubigi'!D26,'23.07 Masanafu-Lubigi'!D26,'24.07 Masanafu-Lubigi'!D26,'25.07 Masanafu-Lubigi'!D26,'26.07 Masanafu-Lubigi-24h'!D26,'27.07 Masanafu-Lubigi-24h'!D26,'28.07 Masanafu-Lubigi'!D26)</f>
        <v>14.857142857142858</v>
      </c>
      <c r="E26" s="49">
        <f>AVERAGE('22.07 Masanafu-Lubigi'!E26,'23.07 Masanafu-Lubigi'!E26,'24.07 Masanafu-Lubigi'!E26,'25.07 Masanafu-Lubigi'!E26,'26.07 Masanafu-Lubigi-24h'!E26,'27.07 Masanafu-Lubigi-24h'!E26,'28.07 Masanafu-Lubigi'!E26)</f>
        <v>12.285714285714286</v>
      </c>
      <c r="F26" s="49">
        <f>AVERAGE('22.07 Masanafu-Lubigi'!F26,'23.07 Masanafu-Lubigi'!F26,'24.07 Masanafu-Lubigi'!F26,'25.07 Masanafu-Lubigi'!F26,'26.07 Masanafu-Lubigi-24h'!F26,'27.07 Masanafu-Lubigi-24h'!F26,'28.07 Masanafu-Lubigi'!F26)</f>
        <v>19.571428571428573</v>
      </c>
      <c r="G26" s="49">
        <f>AVERAGE('22.07 Masanafu-Lubigi'!G26,'23.07 Masanafu-Lubigi'!G26,'24.07 Masanafu-Lubigi'!G26,'25.07 Masanafu-Lubigi'!G26,'26.07 Masanafu-Lubigi-24h'!G26,'27.07 Masanafu-Lubigi-24h'!G26,'28.07 Masanafu-Lubigi'!G26)</f>
        <v>1.7142857142857142</v>
      </c>
      <c r="H26" s="49">
        <f>AVERAGE('22.07 Masanafu-Lubigi'!H26,'23.07 Masanafu-Lubigi'!H26,'24.07 Masanafu-Lubigi'!H26,'25.07 Masanafu-Lubigi'!H26,'26.07 Masanafu-Lubigi-24h'!H26,'27.07 Masanafu-Lubigi-24h'!H26,'28.07 Masanafu-Lubigi'!H26)</f>
        <v>0.8571428571428571</v>
      </c>
      <c r="I26" s="49">
        <f>AVERAGE('22.07 Masanafu-Lubigi'!I26,'23.07 Masanafu-Lubigi'!I26,'24.07 Masanafu-Lubigi'!I26,'25.07 Masanafu-Lubigi'!I26,'26.07 Masanafu-Lubigi-24h'!I26,'27.07 Masanafu-Lubigi-24h'!I26,'28.07 Masanafu-Lubigi'!I26)</f>
        <v>12.428571428571429</v>
      </c>
      <c r="J26" s="49">
        <f>AVERAGE('22.07 Masanafu-Lubigi'!J26,'23.07 Masanafu-Lubigi'!J26,'24.07 Masanafu-Lubigi'!J26,'25.07 Masanafu-Lubigi'!J26,'26.07 Masanafu-Lubigi-24h'!J26,'27.07 Masanafu-Lubigi-24h'!J26,'28.07 Masanafu-Lubigi'!J26)</f>
        <v>5.7142857142857144</v>
      </c>
      <c r="K26" s="49">
        <f>AVERAGE('22.07 Masanafu-Lubigi'!K26,'23.07 Masanafu-Lubigi'!K26,'24.07 Masanafu-Lubigi'!K26,'25.07 Masanafu-Lubigi'!K26,'26.07 Masanafu-Lubigi-24h'!K26,'27.07 Masanafu-Lubigi-24h'!K26,'28.07 Masanafu-Lubigi'!K26)</f>
        <v>8.7142857142857135</v>
      </c>
      <c r="L26" s="49">
        <f>AVERAGE('22.07 Masanafu-Lubigi'!L26,'23.07 Masanafu-Lubigi'!L26,'24.07 Masanafu-Lubigi'!L26,'25.07 Masanafu-Lubigi'!L26,'26.07 Masanafu-Lubigi-24h'!L26,'27.07 Masanafu-Lubigi-24h'!L26,'28.07 Masanafu-Lubigi'!L26)</f>
        <v>12.285714285714286</v>
      </c>
      <c r="M26" s="49">
        <f>AVERAGE('22.07 Masanafu-Lubigi'!M26,'23.07 Masanafu-Lubigi'!M26,'24.07 Masanafu-Lubigi'!M26,'25.07 Masanafu-Lubigi'!M26,'26.07 Masanafu-Lubigi-24h'!M26,'27.07 Masanafu-Lubigi-24h'!M26,'28.07 Masanafu-Lubigi'!M26)</f>
        <v>120</v>
      </c>
      <c r="N26" s="49">
        <f>AVERAGE('22.07 Masanafu-Lubigi'!N26,'23.07 Masanafu-Lubigi'!N26,'24.07 Masanafu-Lubigi'!N26,'25.07 Masanafu-Lubigi'!N26,'26.07 Masanafu-Lubigi-24h'!N26,'27.07 Masanafu-Lubigi-24h'!N26,'28.07 Masanafu-Lubigi'!N26)</f>
        <v>0</v>
      </c>
      <c r="O26" s="15">
        <f t="shared" si="0"/>
        <v>161.57142857142858</v>
      </c>
      <c r="P26" s="15">
        <f t="shared" si="1"/>
        <v>281.57142857142856</v>
      </c>
      <c r="R26" s="1" t="s">
        <v>150</v>
      </c>
      <c r="S26" s="34">
        <f>SUM(C74:C77)</f>
        <v>257</v>
      </c>
      <c r="T26" s="34">
        <f t="shared" ref="T26:AF26" si="18">SUM(D74:D77)</f>
        <v>73.5</v>
      </c>
      <c r="U26" s="34">
        <f t="shared" si="18"/>
        <v>76.5</v>
      </c>
      <c r="V26" s="34">
        <f t="shared" si="18"/>
        <v>115.5</v>
      </c>
      <c r="W26" s="34">
        <f t="shared" si="18"/>
        <v>1.5</v>
      </c>
      <c r="X26" s="34">
        <f t="shared" si="18"/>
        <v>2</v>
      </c>
      <c r="Y26" s="34">
        <f t="shared" si="18"/>
        <v>43.5</v>
      </c>
      <c r="Z26" s="34">
        <f t="shared" si="18"/>
        <v>31.5</v>
      </c>
      <c r="AA26" s="34">
        <f t="shared" si="18"/>
        <v>13.5</v>
      </c>
      <c r="AB26" s="34">
        <f t="shared" si="18"/>
        <v>4.5</v>
      </c>
      <c r="AC26" s="34">
        <f t="shared" si="18"/>
        <v>325</v>
      </c>
      <c r="AD26" s="34">
        <f t="shared" si="18"/>
        <v>0</v>
      </c>
      <c r="AE26" s="31">
        <f t="shared" si="18"/>
        <v>619</v>
      </c>
      <c r="AF26" s="31">
        <f t="shared" si="18"/>
        <v>944</v>
      </c>
    </row>
    <row r="27" spans="2:32" ht="23.1" customHeight="1" x14ac:dyDescent="0.25">
      <c r="B27" s="23" t="s">
        <v>54</v>
      </c>
      <c r="C27" s="49">
        <f>AVERAGE('22.07 Masanafu-Lubigi'!C27,'23.07 Masanafu-Lubigi'!C27,'24.07 Masanafu-Lubigi'!C27,'25.07 Masanafu-Lubigi'!C27,'26.07 Masanafu-Lubigi-24h'!C27,'27.07 Masanafu-Lubigi-24h'!C27,'28.07 Masanafu-Lubigi'!C27)</f>
        <v>68.714285714285708</v>
      </c>
      <c r="D27" s="49">
        <f>AVERAGE('22.07 Masanafu-Lubigi'!D27,'23.07 Masanafu-Lubigi'!D27,'24.07 Masanafu-Lubigi'!D27,'25.07 Masanafu-Lubigi'!D27,'26.07 Masanafu-Lubigi-24h'!D27,'27.07 Masanafu-Lubigi-24h'!D27,'28.07 Masanafu-Lubigi'!D27)</f>
        <v>17.714285714285715</v>
      </c>
      <c r="E27" s="49">
        <f>AVERAGE('22.07 Masanafu-Lubigi'!E27,'23.07 Masanafu-Lubigi'!E27,'24.07 Masanafu-Lubigi'!E27,'25.07 Masanafu-Lubigi'!E27,'26.07 Masanafu-Lubigi-24h'!E27,'27.07 Masanafu-Lubigi-24h'!E27,'28.07 Masanafu-Lubigi'!E27)</f>
        <v>13.142857142857142</v>
      </c>
      <c r="F27" s="49">
        <f>AVERAGE('22.07 Masanafu-Lubigi'!F27,'23.07 Masanafu-Lubigi'!F27,'24.07 Masanafu-Lubigi'!F27,'25.07 Masanafu-Lubigi'!F27,'26.07 Masanafu-Lubigi-24h'!F27,'27.07 Masanafu-Lubigi-24h'!F27,'28.07 Masanafu-Lubigi'!F27)</f>
        <v>23.571428571428573</v>
      </c>
      <c r="G27" s="49">
        <f>AVERAGE('22.07 Masanafu-Lubigi'!G27,'23.07 Masanafu-Lubigi'!G27,'24.07 Masanafu-Lubigi'!G27,'25.07 Masanafu-Lubigi'!G27,'26.07 Masanafu-Lubigi-24h'!G27,'27.07 Masanafu-Lubigi-24h'!G27,'28.07 Masanafu-Lubigi'!G27)</f>
        <v>1</v>
      </c>
      <c r="H27" s="49">
        <f>AVERAGE('22.07 Masanafu-Lubigi'!H27,'23.07 Masanafu-Lubigi'!H27,'24.07 Masanafu-Lubigi'!H27,'25.07 Masanafu-Lubigi'!H27,'26.07 Masanafu-Lubigi-24h'!H27,'27.07 Masanafu-Lubigi-24h'!H27,'28.07 Masanafu-Lubigi'!H27)</f>
        <v>0.14285714285714285</v>
      </c>
      <c r="I27" s="49">
        <f>AVERAGE('22.07 Masanafu-Lubigi'!I27,'23.07 Masanafu-Lubigi'!I27,'24.07 Masanafu-Lubigi'!I27,'25.07 Masanafu-Lubigi'!I27,'26.07 Masanafu-Lubigi-24h'!I27,'27.07 Masanafu-Lubigi-24h'!I27,'28.07 Masanafu-Lubigi'!I27)</f>
        <v>14.142857142857142</v>
      </c>
      <c r="J27" s="49">
        <f>AVERAGE('22.07 Masanafu-Lubigi'!J27,'23.07 Masanafu-Lubigi'!J27,'24.07 Masanafu-Lubigi'!J27,'25.07 Masanafu-Lubigi'!J27,'26.07 Masanafu-Lubigi-24h'!J27,'27.07 Masanafu-Lubigi-24h'!J27,'28.07 Masanafu-Lubigi'!J27)</f>
        <v>7.1428571428571432</v>
      </c>
      <c r="K27" s="49">
        <f>AVERAGE('22.07 Masanafu-Lubigi'!K27,'23.07 Masanafu-Lubigi'!K27,'24.07 Masanafu-Lubigi'!K27,'25.07 Masanafu-Lubigi'!K27,'26.07 Masanafu-Lubigi-24h'!K27,'27.07 Masanafu-Lubigi-24h'!K27,'28.07 Masanafu-Lubigi'!K27)</f>
        <v>6.2857142857142856</v>
      </c>
      <c r="L27" s="49">
        <f>AVERAGE('22.07 Masanafu-Lubigi'!L27,'23.07 Masanafu-Lubigi'!L27,'24.07 Masanafu-Lubigi'!L27,'25.07 Masanafu-Lubigi'!L27,'26.07 Masanafu-Lubigi-24h'!L27,'27.07 Masanafu-Lubigi-24h'!L27,'28.07 Masanafu-Lubigi'!L27)</f>
        <v>9.5714285714285712</v>
      </c>
      <c r="M27" s="49">
        <f>AVERAGE('22.07 Masanafu-Lubigi'!M27,'23.07 Masanafu-Lubigi'!M27,'24.07 Masanafu-Lubigi'!M27,'25.07 Masanafu-Lubigi'!M27,'26.07 Masanafu-Lubigi-24h'!M27,'27.07 Masanafu-Lubigi-24h'!M27,'28.07 Masanafu-Lubigi'!M27)</f>
        <v>126.42857142857143</v>
      </c>
      <c r="N27" s="49">
        <f>AVERAGE('22.07 Masanafu-Lubigi'!N27,'23.07 Masanafu-Lubigi'!N27,'24.07 Masanafu-Lubigi'!N27,'25.07 Masanafu-Lubigi'!N27,'26.07 Masanafu-Lubigi-24h'!N27,'27.07 Masanafu-Lubigi-24h'!N27,'28.07 Masanafu-Lubigi'!N27)</f>
        <v>0</v>
      </c>
      <c r="O27" s="15">
        <f t="shared" si="0"/>
        <v>161.42857142857142</v>
      </c>
      <c r="P27" s="15">
        <f t="shared" si="1"/>
        <v>287.85714285714283</v>
      </c>
      <c r="R27" s="1" t="s">
        <v>151</v>
      </c>
      <c r="S27" s="34">
        <f>SUM(C78:C81)</f>
        <v>163.5</v>
      </c>
      <c r="T27" s="34">
        <f t="shared" ref="T27:AF27" si="19">SUM(D78:D81)</f>
        <v>63</v>
      </c>
      <c r="U27" s="34">
        <f t="shared" si="19"/>
        <v>26.5</v>
      </c>
      <c r="V27" s="34">
        <f t="shared" si="19"/>
        <v>62.5</v>
      </c>
      <c r="W27" s="34">
        <f t="shared" si="19"/>
        <v>2.5</v>
      </c>
      <c r="X27" s="34">
        <f t="shared" si="19"/>
        <v>1.5</v>
      </c>
      <c r="Y27" s="34">
        <f t="shared" si="19"/>
        <v>41</v>
      </c>
      <c r="Z27" s="34">
        <f t="shared" si="19"/>
        <v>24.5</v>
      </c>
      <c r="AA27" s="34">
        <f t="shared" si="19"/>
        <v>7</v>
      </c>
      <c r="AB27" s="34">
        <f t="shared" si="19"/>
        <v>17.5</v>
      </c>
      <c r="AC27" s="34">
        <f t="shared" si="19"/>
        <v>186.5</v>
      </c>
      <c r="AD27" s="34">
        <f t="shared" si="19"/>
        <v>0</v>
      </c>
      <c r="AE27" s="31">
        <f t="shared" si="19"/>
        <v>409.5</v>
      </c>
      <c r="AF27" s="31">
        <f t="shared" si="19"/>
        <v>596</v>
      </c>
    </row>
    <row r="28" spans="2:32" ht="23.1" customHeight="1" x14ac:dyDescent="0.25">
      <c r="B28" s="23" t="s">
        <v>55</v>
      </c>
      <c r="C28" s="49">
        <f>AVERAGE('22.07 Masanafu-Lubigi'!C28,'23.07 Masanafu-Lubigi'!C28,'24.07 Masanafu-Lubigi'!C28,'25.07 Masanafu-Lubigi'!C28,'26.07 Masanafu-Lubigi-24h'!C28,'27.07 Masanafu-Lubigi-24h'!C28,'28.07 Masanafu-Lubigi'!C28)</f>
        <v>100.42857142857143</v>
      </c>
      <c r="D28" s="49">
        <f>AVERAGE('22.07 Masanafu-Lubigi'!D28,'23.07 Masanafu-Lubigi'!D28,'24.07 Masanafu-Lubigi'!D28,'25.07 Masanafu-Lubigi'!D28,'26.07 Masanafu-Lubigi-24h'!D28,'27.07 Masanafu-Lubigi-24h'!D28,'28.07 Masanafu-Lubigi'!D28)</f>
        <v>16.428571428571427</v>
      </c>
      <c r="E28" s="49">
        <f>AVERAGE('22.07 Masanafu-Lubigi'!E28,'23.07 Masanafu-Lubigi'!E28,'24.07 Masanafu-Lubigi'!E28,'25.07 Masanafu-Lubigi'!E28,'26.07 Masanafu-Lubigi-24h'!E28,'27.07 Masanafu-Lubigi-24h'!E28,'28.07 Masanafu-Lubigi'!E28)</f>
        <v>13.428571428571429</v>
      </c>
      <c r="F28" s="49">
        <f>AVERAGE('22.07 Masanafu-Lubigi'!F28,'23.07 Masanafu-Lubigi'!F28,'24.07 Masanafu-Lubigi'!F28,'25.07 Masanafu-Lubigi'!F28,'26.07 Masanafu-Lubigi-24h'!F28,'27.07 Masanafu-Lubigi-24h'!F28,'28.07 Masanafu-Lubigi'!F28)</f>
        <v>20.571428571428573</v>
      </c>
      <c r="G28" s="49">
        <f>AVERAGE('22.07 Masanafu-Lubigi'!G28,'23.07 Masanafu-Lubigi'!G28,'24.07 Masanafu-Lubigi'!G28,'25.07 Masanafu-Lubigi'!G28,'26.07 Masanafu-Lubigi-24h'!G28,'27.07 Masanafu-Lubigi-24h'!G28,'28.07 Masanafu-Lubigi'!G28)</f>
        <v>0.42857142857142855</v>
      </c>
      <c r="H28" s="49">
        <f>AVERAGE('22.07 Masanafu-Lubigi'!H28,'23.07 Masanafu-Lubigi'!H28,'24.07 Masanafu-Lubigi'!H28,'25.07 Masanafu-Lubigi'!H28,'26.07 Masanafu-Lubigi-24h'!H28,'27.07 Masanafu-Lubigi-24h'!H28,'28.07 Masanafu-Lubigi'!H28)</f>
        <v>0.2857142857142857</v>
      </c>
      <c r="I28" s="49">
        <f>AVERAGE('22.07 Masanafu-Lubigi'!I28,'23.07 Masanafu-Lubigi'!I28,'24.07 Masanafu-Lubigi'!I28,'25.07 Masanafu-Lubigi'!I28,'26.07 Masanafu-Lubigi-24h'!I28,'27.07 Masanafu-Lubigi-24h'!I28,'28.07 Masanafu-Lubigi'!I28)</f>
        <v>14.857142857142858</v>
      </c>
      <c r="J28" s="49">
        <f>AVERAGE('22.07 Masanafu-Lubigi'!J28,'23.07 Masanafu-Lubigi'!J28,'24.07 Masanafu-Lubigi'!J28,'25.07 Masanafu-Lubigi'!J28,'26.07 Masanafu-Lubigi-24h'!J28,'27.07 Masanafu-Lubigi-24h'!J28,'28.07 Masanafu-Lubigi'!J28)</f>
        <v>12.142857142857142</v>
      </c>
      <c r="K28" s="49">
        <f>AVERAGE('22.07 Masanafu-Lubigi'!K28,'23.07 Masanafu-Lubigi'!K28,'24.07 Masanafu-Lubigi'!K28,'25.07 Masanafu-Lubigi'!K28,'26.07 Masanafu-Lubigi-24h'!K28,'27.07 Masanafu-Lubigi-24h'!K28,'28.07 Masanafu-Lubigi'!K28)</f>
        <v>7.7142857142857144</v>
      </c>
      <c r="L28" s="49">
        <f>AVERAGE('22.07 Masanafu-Lubigi'!L28,'23.07 Masanafu-Lubigi'!L28,'24.07 Masanafu-Lubigi'!L28,'25.07 Masanafu-Lubigi'!L28,'26.07 Masanafu-Lubigi-24h'!L28,'27.07 Masanafu-Lubigi-24h'!L28,'28.07 Masanafu-Lubigi'!L28)</f>
        <v>10</v>
      </c>
      <c r="M28" s="49">
        <f>AVERAGE('22.07 Masanafu-Lubigi'!M28,'23.07 Masanafu-Lubigi'!M28,'24.07 Masanafu-Lubigi'!M28,'25.07 Masanafu-Lubigi'!M28,'26.07 Masanafu-Lubigi-24h'!M28,'27.07 Masanafu-Lubigi-24h'!M28,'28.07 Masanafu-Lubigi'!M28)</f>
        <v>130.28571428571428</v>
      </c>
      <c r="N28" s="49">
        <f>AVERAGE('22.07 Masanafu-Lubigi'!N28,'23.07 Masanafu-Lubigi'!N28,'24.07 Masanafu-Lubigi'!N28,'25.07 Masanafu-Lubigi'!N28,'26.07 Masanafu-Lubigi-24h'!N28,'27.07 Masanafu-Lubigi-24h'!N28,'28.07 Masanafu-Lubigi'!N28)</f>
        <v>0</v>
      </c>
      <c r="O28" s="15">
        <f t="shared" si="0"/>
        <v>196.28571428571428</v>
      </c>
      <c r="P28" s="15">
        <f t="shared" si="1"/>
        <v>326.57142857142856</v>
      </c>
      <c r="R28" s="1" t="s">
        <v>152</v>
      </c>
      <c r="S28" s="34">
        <f>SUM(C82:C85)</f>
        <v>43.5</v>
      </c>
      <c r="T28" s="34">
        <f t="shared" ref="T28:AF28" si="20">SUM(D82:D85)</f>
        <v>10.5</v>
      </c>
      <c r="U28" s="34">
        <f t="shared" si="20"/>
        <v>5.5</v>
      </c>
      <c r="V28" s="34">
        <f t="shared" si="20"/>
        <v>7.5</v>
      </c>
      <c r="W28" s="34">
        <f t="shared" si="20"/>
        <v>0</v>
      </c>
      <c r="X28" s="34">
        <f t="shared" si="20"/>
        <v>0</v>
      </c>
      <c r="Y28" s="34">
        <f t="shared" si="20"/>
        <v>19.5</v>
      </c>
      <c r="Z28" s="34">
        <f t="shared" si="20"/>
        <v>24</v>
      </c>
      <c r="AA28" s="34">
        <f t="shared" si="20"/>
        <v>7.5</v>
      </c>
      <c r="AB28" s="34">
        <f t="shared" si="20"/>
        <v>9</v>
      </c>
      <c r="AC28" s="34">
        <f t="shared" si="20"/>
        <v>59</v>
      </c>
      <c r="AD28" s="34">
        <f t="shared" si="20"/>
        <v>0</v>
      </c>
      <c r="AE28" s="31">
        <f t="shared" si="20"/>
        <v>127</v>
      </c>
      <c r="AF28" s="31">
        <f t="shared" si="20"/>
        <v>186</v>
      </c>
    </row>
    <row r="29" spans="2:32" ht="23.1" customHeight="1" x14ac:dyDescent="0.25">
      <c r="B29" s="23" t="s">
        <v>56</v>
      </c>
      <c r="C29" s="49">
        <f>AVERAGE('22.07 Masanafu-Lubigi'!C29,'23.07 Masanafu-Lubigi'!C29,'24.07 Masanafu-Lubigi'!C29,'25.07 Masanafu-Lubigi'!C29,'26.07 Masanafu-Lubigi-24h'!C29,'27.07 Masanafu-Lubigi-24h'!C29,'28.07 Masanafu-Lubigi'!C29)</f>
        <v>81.714285714285708</v>
      </c>
      <c r="D29" s="49">
        <f>AVERAGE('22.07 Masanafu-Lubigi'!D29,'23.07 Masanafu-Lubigi'!D29,'24.07 Masanafu-Lubigi'!D29,'25.07 Masanafu-Lubigi'!D29,'26.07 Masanafu-Lubigi-24h'!D29,'27.07 Masanafu-Lubigi-24h'!D29,'28.07 Masanafu-Lubigi'!D29)</f>
        <v>22.857142857142858</v>
      </c>
      <c r="E29" s="49">
        <f>AVERAGE('22.07 Masanafu-Lubigi'!E29,'23.07 Masanafu-Lubigi'!E29,'24.07 Masanafu-Lubigi'!E29,'25.07 Masanafu-Lubigi'!E29,'26.07 Masanafu-Lubigi-24h'!E29,'27.07 Masanafu-Lubigi-24h'!E29,'28.07 Masanafu-Lubigi'!E29)</f>
        <v>10.857142857142858</v>
      </c>
      <c r="F29" s="49">
        <f>AVERAGE('22.07 Masanafu-Lubigi'!F29,'23.07 Masanafu-Lubigi'!F29,'24.07 Masanafu-Lubigi'!F29,'25.07 Masanafu-Lubigi'!F29,'26.07 Masanafu-Lubigi-24h'!F29,'27.07 Masanafu-Lubigi-24h'!F29,'28.07 Masanafu-Lubigi'!F29)</f>
        <v>30.714285714285715</v>
      </c>
      <c r="G29" s="49">
        <f>AVERAGE('22.07 Masanafu-Lubigi'!G29,'23.07 Masanafu-Lubigi'!G29,'24.07 Masanafu-Lubigi'!G29,'25.07 Masanafu-Lubigi'!G29,'26.07 Masanafu-Lubigi-24h'!G29,'27.07 Masanafu-Lubigi-24h'!G29,'28.07 Masanafu-Lubigi'!G29)</f>
        <v>0.7142857142857143</v>
      </c>
      <c r="H29" s="49">
        <f>AVERAGE('22.07 Masanafu-Lubigi'!H29,'23.07 Masanafu-Lubigi'!H29,'24.07 Masanafu-Lubigi'!H29,'25.07 Masanafu-Lubigi'!H29,'26.07 Masanafu-Lubigi-24h'!H29,'27.07 Masanafu-Lubigi-24h'!H29,'28.07 Masanafu-Lubigi'!H29)</f>
        <v>0.42857142857142855</v>
      </c>
      <c r="I29" s="49">
        <f>AVERAGE('22.07 Masanafu-Lubigi'!I29,'23.07 Masanafu-Lubigi'!I29,'24.07 Masanafu-Lubigi'!I29,'25.07 Masanafu-Lubigi'!I29,'26.07 Masanafu-Lubigi-24h'!I29,'27.07 Masanafu-Lubigi-24h'!I29,'28.07 Masanafu-Lubigi'!I29)</f>
        <v>10</v>
      </c>
      <c r="J29" s="49">
        <f>AVERAGE('22.07 Masanafu-Lubigi'!J29,'23.07 Masanafu-Lubigi'!J29,'24.07 Masanafu-Lubigi'!J29,'25.07 Masanafu-Lubigi'!J29,'26.07 Masanafu-Lubigi-24h'!J29,'27.07 Masanafu-Lubigi-24h'!J29,'28.07 Masanafu-Lubigi'!J29)</f>
        <v>8.5714285714285712</v>
      </c>
      <c r="K29" s="49">
        <f>AVERAGE('22.07 Masanafu-Lubigi'!K29,'23.07 Masanafu-Lubigi'!K29,'24.07 Masanafu-Lubigi'!K29,'25.07 Masanafu-Lubigi'!K29,'26.07 Masanafu-Lubigi-24h'!K29,'27.07 Masanafu-Lubigi-24h'!K29,'28.07 Masanafu-Lubigi'!K29)</f>
        <v>9.2857142857142865</v>
      </c>
      <c r="L29" s="49">
        <f>AVERAGE('22.07 Masanafu-Lubigi'!L29,'23.07 Masanafu-Lubigi'!L29,'24.07 Masanafu-Lubigi'!L29,'25.07 Masanafu-Lubigi'!L29,'26.07 Masanafu-Lubigi-24h'!L29,'27.07 Masanafu-Lubigi-24h'!L29,'28.07 Masanafu-Lubigi'!L29)</f>
        <v>11.142857142857142</v>
      </c>
      <c r="M29" s="49">
        <f>AVERAGE('22.07 Masanafu-Lubigi'!M29,'23.07 Masanafu-Lubigi'!M29,'24.07 Masanafu-Lubigi'!M29,'25.07 Masanafu-Lubigi'!M29,'26.07 Masanafu-Lubigi-24h'!M29,'27.07 Masanafu-Lubigi-24h'!M29,'28.07 Masanafu-Lubigi'!M29)</f>
        <v>128.85714285714286</v>
      </c>
      <c r="N29" s="49">
        <f>AVERAGE('22.07 Masanafu-Lubigi'!N29,'23.07 Masanafu-Lubigi'!N29,'24.07 Masanafu-Lubigi'!N29,'25.07 Masanafu-Lubigi'!N29,'26.07 Masanafu-Lubigi-24h'!N29,'27.07 Masanafu-Lubigi-24h'!N29,'28.07 Masanafu-Lubigi'!N29)</f>
        <v>0</v>
      </c>
      <c r="O29" s="15">
        <f t="shared" si="0"/>
        <v>186.28571428571428</v>
      </c>
      <c r="P29" s="15">
        <f t="shared" si="1"/>
        <v>315.14285714285711</v>
      </c>
      <c r="R29" s="1" t="s">
        <v>153</v>
      </c>
      <c r="S29" s="34">
        <f>SUM(C86:C89)</f>
        <v>17</v>
      </c>
      <c r="T29" s="34">
        <f t="shared" ref="T29:AF29" si="21">SUM(D86:D89)</f>
        <v>4.5</v>
      </c>
      <c r="U29" s="34">
        <f t="shared" si="21"/>
        <v>6</v>
      </c>
      <c r="V29" s="34">
        <f t="shared" si="21"/>
        <v>9</v>
      </c>
      <c r="W29" s="34">
        <f t="shared" si="21"/>
        <v>0</v>
      </c>
      <c r="X29" s="34">
        <f t="shared" si="21"/>
        <v>0.5</v>
      </c>
      <c r="Y29" s="34">
        <f t="shared" si="21"/>
        <v>14</v>
      </c>
      <c r="Z29" s="34">
        <f t="shared" si="21"/>
        <v>19</v>
      </c>
      <c r="AA29" s="34">
        <f t="shared" si="21"/>
        <v>3.5</v>
      </c>
      <c r="AB29" s="34">
        <f t="shared" si="21"/>
        <v>4.5</v>
      </c>
      <c r="AC29" s="34">
        <f t="shared" si="21"/>
        <v>31.5</v>
      </c>
      <c r="AD29" s="34">
        <f t="shared" si="21"/>
        <v>0</v>
      </c>
      <c r="AE29" s="31">
        <f t="shared" si="21"/>
        <v>78</v>
      </c>
      <c r="AF29" s="31">
        <f t="shared" si="21"/>
        <v>109.5</v>
      </c>
    </row>
    <row r="30" spans="2:32" ht="23.1" customHeight="1" x14ac:dyDescent="0.25">
      <c r="B30" s="23" t="s">
        <v>57</v>
      </c>
      <c r="C30" s="49">
        <f>AVERAGE('22.07 Masanafu-Lubigi'!C30,'23.07 Masanafu-Lubigi'!C30,'24.07 Masanafu-Lubigi'!C30,'25.07 Masanafu-Lubigi'!C30,'26.07 Masanafu-Lubigi-24h'!C30,'27.07 Masanafu-Lubigi-24h'!C30,'28.07 Masanafu-Lubigi'!C30)</f>
        <v>93.857142857142861</v>
      </c>
      <c r="D30" s="49">
        <f>AVERAGE('22.07 Masanafu-Lubigi'!D30,'23.07 Masanafu-Lubigi'!D30,'24.07 Masanafu-Lubigi'!D30,'25.07 Masanafu-Lubigi'!D30,'26.07 Masanafu-Lubigi-24h'!D30,'27.07 Masanafu-Lubigi-24h'!D30,'28.07 Masanafu-Lubigi'!D30)</f>
        <v>20</v>
      </c>
      <c r="E30" s="49">
        <f>AVERAGE('22.07 Masanafu-Lubigi'!E30,'23.07 Masanafu-Lubigi'!E30,'24.07 Masanafu-Lubigi'!E30,'25.07 Masanafu-Lubigi'!E30,'26.07 Masanafu-Lubigi-24h'!E30,'27.07 Masanafu-Lubigi-24h'!E30,'28.07 Masanafu-Lubigi'!E30)</f>
        <v>19.142857142857142</v>
      </c>
      <c r="F30" s="49">
        <f>AVERAGE('22.07 Masanafu-Lubigi'!F30,'23.07 Masanafu-Lubigi'!F30,'24.07 Masanafu-Lubigi'!F30,'25.07 Masanafu-Lubigi'!F30,'26.07 Masanafu-Lubigi-24h'!F30,'27.07 Masanafu-Lubigi-24h'!F30,'28.07 Masanafu-Lubigi'!F30)</f>
        <v>27.285714285714285</v>
      </c>
      <c r="G30" s="49">
        <f>AVERAGE('22.07 Masanafu-Lubigi'!G30,'23.07 Masanafu-Lubigi'!G30,'24.07 Masanafu-Lubigi'!G30,'25.07 Masanafu-Lubigi'!G30,'26.07 Masanafu-Lubigi-24h'!G30,'27.07 Masanafu-Lubigi-24h'!G30,'28.07 Masanafu-Lubigi'!G30)</f>
        <v>2.5714285714285716</v>
      </c>
      <c r="H30" s="49">
        <f>AVERAGE('22.07 Masanafu-Lubigi'!H30,'23.07 Masanafu-Lubigi'!H30,'24.07 Masanafu-Lubigi'!H30,'25.07 Masanafu-Lubigi'!H30,'26.07 Masanafu-Lubigi-24h'!H30,'27.07 Masanafu-Lubigi-24h'!H30,'28.07 Masanafu-Lubigi'!H30)</f>
        <v>1.5714285714285714</v>
      </c>
      <c r="I30" s="49">
        <f>AVERAGE('22.07 Masanafu-Lubigi'!I30,'23.07 Masanafu-Lubigi'!I30,'24.07 Masanafu-Lubigi'!I30,'25.07 Masanafu-Lubigi'!I30,'26.07 Masanafu-Lubigi-24h'!I30,'27.07 Masanafu-Lubigi-24h'!I30,'28.07 Masanafu-Lubigi'!I30)</f>
        <v>15.714285714285714</v>
      </c>
      <c r="J30" s="49">
        <f>AVERAGE('22.07 Masanafu-Lubigi'!J30,'23.07 Masanafu-Lubigi'!J30,'24.07 Masanafu-Lubigi'!J30,'25.07 Masanafu-Lubigi'!J30,'26.07 Masanafu-Lubigi-24h'!J30,'27.07 Masanafu-Lubigi-24h'!J30,'28.07 Masanafu-Lubigi'!J30)</f>
        <v>10</v>
      </c>
      <c r="K30" s="49">
        <f>AVERAGE('22.07 Masanafu-Lubigi'!K30,'23.07 Masanafu-Lubigi'!K30,'24.07 Masanafu-Lubigi'!K30,'25.07 Masanafu-Lubigi'!K30,'26.07 Masanafu-Lubigi-24h'!K30,'27.07 Masanafu-Lubigi-24h'!K30,'28.07 Masanafu-Lubigi'!K30)</f>
        <v>6.4285714285714288</v>
      </c>
      <c r="L30" s="49">
        <f>AVERAGE('22.07 Masanafu-Lubigi'!L30,'23.07 Masanafu-Lubigi'!L30,'24.07 Masanafu-Lubigi'!L30,'25.07 Masanafu-Lubigi'!L30,'26.07 Masanafu-Lubigi-24h'!L30,'27.07 Masanafu-Lubigi-24h'!L30,'28.07 Masanafu-Lubigi'!L30)</f>
        <v>6.5714285714285712</v>
      </c>
      <c r="M30" s="49">
        <f>AVERAGE('22.07 Masanafu-Lubigi'!M30,'23.07 Masanafu-Lubigi'!M30,'24.07 Masanafu-Lubigi'!M30,'25.07 Masanafu-Lubigi'!M30,'26.07 Masanafu-Lubigi-24h'!M30,'27.07 Masanafu-Lubigi-24h'!M30,'28.07 Masanafu-Lubigi'!M30)</f>
        <v>149.28571428571428</v>
      </c>
      <c r="N30" s="49">
        <f>AVERAGE('22.07 Masanafu-Lubigi'!N30,'23.07 Masanafu-Lubigi'!N30,'24.07 Masanafu-Lubigi'!N30,'25.07 Masanafu-Lubigi'!N30,'26.07 Masanafu-Lubigi-24h'!N30,'27.07 Masanafu-Lubigi-24h'!N30,'28.07 Masanafu-Lubigi'!N30)</f>
        <v>0</v>
      </c>
      <c r="O30" s="15">
        <f t="shared" si="0"/>
        <v>203.14285714285717</v>
      </c>
      <c r="P30" s="15">
        <f t="shared" si="1"/>
        <v>352.42857142857144</v>
      </c>
      <c r="R30" s="1" t="s">
        <v>154</v>
      </c>
      <c r="S30" s="34">
        <f>SUM(C90:C93)</f>
        <v>14.5</v>
      </c>
      <c r="T30" s="34">
        <f t="shared" ref="T30:AF30" si="22">SUM(D90:D93)</f>
        <v>6</v>
      </c>
      <c r="U30" s="34">
        <f t="shared" si="22"/>
        <v>6</v>
      </c>
      <c r="V30" s="34">
        <f t="shared" si="22"/>
        <v>3.5</v>
      </c>
      <c r="W30" s="34">
        <f t="shared" si="22"/>
        <v>0.5</v>
      </c>
      <c r="X30" s="34">
        <f t="shared" si="22"/>
        <v>0</v>
      </c>
      <c r="Y30" s="34">
        <f t="shared" si="22"/>
        <v>20</v>
      </c>
      <c r="Z30" s="34">
        <f t="shared" si="22"/>
        <v>30.5</v>
      </c>
      <c r="AA30" s="34">
        <f t="shared" si="22"/>
        <v>8.5</v>
      </c>
      <c r="AB30" s="34">
        <f t="shared" si="22"/>
        <v>6</v>
      </c>
      <c r="AC30" s="34">
        <f t="shared" si="22"/>
        <v>29.5</v>
      </c>
      <c r="AD30" s="34">
        <f t="shared" si="22"/>
        <v>0</v>
      </c>
      <c r="AE30" s="31">
        <f t="shared" si="22"/>
        <v>95.5</v>
      </c>
      <c r="AF30" s="31">
        <f t="shared" si="22"/>
        <v>125</v>
      </c>
    </row>
    <row r="31" spans="2:32" ht="23.1" customHeight="1" x14ac:dyDescent="0.25">
      <c r="B31" s="24" t="s">
        <v>58</v>
      </c>
      <c r="C31" s="49">
        <f>AVERAGE('22.07 Masanafu-Lubigi'!C31,'23.07 Masanafu-Lubigi'!C31,'24.07 Masanafu-Lubigi'!C31,'25.07 Masanafu-Lubigi'!C31,'26.07 Masanafu-Lubigi-24h'!C31,'27.07 Masanafu-Lubigi-24h'!C31,'28.07 Masanafu-Lubigi'!C31)</f>
        <v>81.857142857142861</v>
      </c>
      <c r="D31" s="49">
        <f>AVERAGE('22.07 Masanafu-Lubigi'!D31,'23.07 Masanafu-Lubigi'!D31,'24.07 Masanafu-Lubigi'!D31,'25.07 Masanafu-Lubigi'!D31,'26.07 Masanafu-Lubigi-24h'!D31,'27.07 Masanafu-Lubigi-24h'!D31,'28.07 Masanafu-Lubigi'!D31)</f>
        <v>17.142857142857142</v>
      </c>
      <c r="E31" s="49">
        <f>AVERAGE('22.07 Masanafu-Lubigi'!E31,'23.07 Masanafu-Lubigi'!E31,'24.07 Masanafu-Lubigi'!E31,'25.07 Masanafu-Lubigi'!E31,'26.07 Masanafu-Lubigi-24h'!E31,'27.07 Masanafu-Lubigi-24h'!E31,'28.07 Masanafu-Lubigi'!E31)</f>
        <v>10.428571428571429</v>
      </c>
      <c r="F31" s="49">
        <f>AVERAGE('22.07 Masanafu-Lubigi'!F31,'23.07 Masanafu-Lubigi'!F31,'24.07 Masanafu-Lubigi'!F31,'25.07 Masanafu-Lubigi'!F31,'26.07 Masanafu-Lubigi-24h'!F31,'27.07 Masanafu-Lubigi-24h'!F31,'28.07 Masanafu-Lubigi'!F31)</f>
        <v>28.857142857142858</v>
      </c>
      <c r="G31" s="49">
        <f>AVERAGE('22.07 Masanafu-Lubigi'!G31,'23.07 Masanafu-Lubigi'!G31,'24.07 Masanafu-Lubigi'!G31,'25.07 Masanafu-Lubigi'!G31,'26.07 Masanafu-Lubigi-24h'!G31,'27.07 Masanafu-Lubigi-24h'!G31,'28.07 Masanafu-Lubigi'!G31)</f>
        <v>1.4285714285714286</v>
      </c>
      <c r="H31" s="49">
        <f>AVERAGE('22.07 Masanafu-Lubigi'!H31,'23.07 Masanafu-Lubigi'!H31,'24.07 Masanafu-Lubigi'!H31,'25.07 Masanafu-Lubigi'!H31,'26.07 Masanafu-Lubigi-24h'!H31,'27.07 Masanafu-Lubigi-24h'!H31,'28.07 Masanafu-Lubigi'!H31)</f>
        <v>0.7142857142857143</v>
      </c>
      <c r="I31" s="49">
        <f>AVERAGE('22.07 Masanafu-Lubigi'!I31,'23.07 Masanafu-Lubigi'!I31,'24.07 Masanafu-Lubigi'!I31,'25.07 Masanafu-Lubigi'!I31,'26.07 Masanafu-Lubigi-24h'!I31,'27.07 Masanafu-Lubigi-24h'!I31,'28.07 Masanafu-Lubigi'!I31)</f>
        <v>16.571428571428573</v>
      </c>
      <c r="J31" s="49">
        <f>AVERAGE('22.07 Masanafu-Lubigi'!J31,'23.07 Masanafu-Lubigi'!J31,'24.07 Masanafu-Lubigi'!J31,'25.07 Masanafu-Lubigi'!J31,'26.07 Masanafu-Lubigi-24h'!J31,'27.07 Masanafu-Lubigi-24h'!J31,'28.07 Masanafu-Lubigi'!J31)</f>
        <v>9.2857142857142865</v>
      </c>
      <c r="K31" s="49">
        <f>AVERAGE('22.07 Masanafu-Lubigi'!K31,'23.07 Masanafu-Lubigi'!K31,'24.07 Masanafu-Lubigi'!K31,'25.07 Masanafu-Lubigi'!K31,'26.07 Masanafu-Lubigi-24h'!K31,'27.07 Masanafu-Lubigi-24h'!K31,'28.07 Masanafu-Lubigi'!K31)</f>
        <v>9.1428571428571423</v>
      </c>
      <c r="L31" s="49">
        <f>AVERAGE('22.07 Masanafu-Lubigi'!L31,'23.07 Masanafu-Lubigi'!L31,'24.07 Masanafu-Lubigi'!L31,'25.07 Masanafu-Lubigi'!L31,'26.07 Masanafu-Lubigi-24h'!L31,'27.07 Masanafu-Lubigi-24h'!L31,'28.07 Masanafu-Lubigi'!L31)</f>
        <v>7.8571428571428568</v>
      </c>
      <c r="M31" s="49">
        <f>AVERAGE('22.07 Masanafu-Lubigi'!M31,'23.07 Masanafu-Lubigi'!M31,'24.07 Masanafu-Lubigi'!M31,'25.07 Masanafu-Lubigi'!M31,'26.07 Masanafu-Lubigi-24h'!M31,'27.07 Masanafu-Lubigi-24h'!M31,'28.07 Masanafu-Lubigi'!M31)</f>
        <v>141.57142857142858</v>
      </c>
      <c r="N31" s="49">
        <f>AVERAGE('22.07 Masanafu-Lubigi'!N31,'23.07 Masanafu-Lubigi'!N31,'24.07 Masanafu-Lubigi'!N31,'25.07 Masanafu-Lubigi'!N31,'26.07 Masanafu-Lubigi-24h'!N31,'27.07 Masanafu-Lubigi-24h'!N31,'28.07 Masanafu-Lubigi'!N31)</f>
        <v>0</v>
      </c>
      <c r="O31" s="15">
        <f t="shared" si="0"/>
        <v>183.28571428571428</v>
      </c>
      <c r="P31" s="15">
        <f t="shared" si="1"/>
        <v>324.85714285714289</v>
      </c>
      <c r="R31" s="1" t="s">
        <v>155</v>
      </c>
      <c r="S31" s="34">
        <f>SUM(C94:C97)</f>
        <v>32</v>
      </c>
      <c r="T31" s="34">
        <f t="shared" ref="T31:AF31" si="23">SUM(D94:D97)</f>
        <v>20.5</v>
      </c>
      <c r="U31" s="34">
        <f t="shared" si="23"/>
        <v>7.5</v>
      </c>
      <c r="V31" s="34">
        <f t="shared" si="23"/>
        <v>24.5</v>
      </c>
      <c r="W31" s="34">
        <f t="shared" si="23"/>
        <v>1</v>
      </c>
      <c r="X31" s="34">
        <f t="shared" si="23"/>
        <v>1.5</v>
      </c>
      <c r="Y31" s="34">
        <f t="shared" si="23"/>
        <v>29</v>
      </c>
      <c r="Z31" s="34">
        <f t="shared" si="23"/>
        <v>34.5</v>
      </c>
      <c r="AA31" s="34">
        <f t="shared" si="23"/>
        <v>12.5</v>
      </c>
      <c r="AB31" s="34">
        <f t="shared" si="23"/>
        <v>3</v>
      </c>
      <c r="AC31" s="34">
        <f t="shared" si="23"/>
        <v>38.5</v>
      </c>
      <c r="AD31" s="34">
        <f t="shared" si="23"/>
        <v>0</v>
      </c>
      <c r="AE31" s="31">
        <f t="shared" si="23"/>
        <v>166</v>
      </c>
      <c r="AF31" s="31">
        <f t="shared" si="23"/>
        <v>204.5</v>
      </c>
    </row>
    <row r="32" spans="2:32" ht="23.1" customHeight="1" x14ac:dyDescent="0.25">
      <c r="B32" s="24" t="s">
        <v>59</v>
      </c>
      <c r="C32" s="49">
        <f>AVERAGE('22.07 Masanafu-Lubigi'!C32,'23.07 Masanafu-Lubigi'!C32,'24.07 Masanafu-Lubigi'!C32,'25.07 Masanafu-Lubigi'!C32,'26.07 Masanafu-Lubigi-24h'!C32,'27.07 Masanafu-Lubigi-24h'!C32,'28.07 Masanafu-Lubigi'!C32)</f>
        <v>79.428571428571431</v>
      </c>
      <c r="D32" s="49">
        <f>AVERAGE('22.07 Masanafu-Lubigi'!D32,'23.07 Masanafu-Lubigi'!D32,'24.07 Masanafu-Lubigi'!D32,'25.07 Masanafu-Lubigi'!D32,'26.07 Masanafu-Lubigi-24h'!D32,'27.07 Masanafu-Lubigi-24h'!D32,'28.07 Masanafu-Lubigi'!D32)</f>
        <v>18.285714285714285</v>
      </c>
      <c r="E32" s="49">
        <f>AVERAGE('22.07 Masanafu-Lubigi'!E32,'23.07 Masanafu-Lubigi'!E32,'24.07 Masanafu-Lubigi'!E32,'25.07 Masanafu-Lubigi'!E32,'26.07 Masanafu-Lubigi-24h'!E32,'27.07 Masanafu-Lubigi-24h'!E32,'28.07 Masanafu-Lubigi'!E32)</f>
        <v>11.857142857142858</v>
      </c>
      <c r="F32" s="49">
        <f>AVERAGE('22.07 Masanafu-Lubigi'!F32,'23.07 Masanafu-Lubigi'!F32,'24.07 Masanafu-Lubigi'!F32,'25.07 Masanafu-Lubigi'!F32,'26.07 Masanafu-Lubigi-24h'!F32,'27.07 Masanafu-Lubigi-24h'!F32,'28.07 Masanafu-Lubigi'!F32)</f>
        <v>23.285714285714285</v>
      </c>
      <c r="G32" s="49">
        <f>AVERAGE('22.07 Masanafu-Lubigi'!G32,'23.07 Masanafu-Lubigi'!G32,'24.07 Masanafu-Lubigi'!G32,'25.07 Masanafu-Lubigi'!G32,'26.07 Masanafu-Lubigi-24h'!G32,'27.07 Masanafu-Lubigi-24h'!G32,'28.07 Masanafu-Lubigi'!G32)</f>
        <v>0.42857142857142855</v>
      </c>
      <c r="H32" s="49">
        <f>AVERAGE('22.07 Masanafu-Lubigi'!H32,'23.07 Masanafu-Lubigi'!H32,'24.07 Masanafu-Lubigi'!H32,'25.07 Masanafu-Lubigi'!H32,'26.07 Masanafu-Lubigi-24h'!H32,'27.07 Masanafu-Lubigi-24h'!H32,'28.07 Masanafu-Lubigi'!H32)</f>
        <v>0.42857142857142855</v>
      </c>
      <c r="I32" s="49">
        <f>AVERAGE('22.07 Masanafu-Lubigi'!I32,'23.07 Masanafu-Lubigi'!I32,'24.07 Masanafu-Lubigi'!I32,'25.07 Masanafu-Lubigi'!I32,'26.07 Masanafu-Lubigi-24h'!I32,'27.07 Masanafu-Lubigi-24h'!I32,'28.07 Masanafu-Lubigi'!I32)</f>
        <v>11</v>
      </c>
      <c r="J32" s="49">
        <f>AVERAGE('22.07 Masanafu-Lubigi'!J32,'23.07 Masanafu-Lubigi'!J32,'24.07 Masanafu-Lubigi'!J32,'25.07 Masanafu-Lubigi'!J32,'26.07 Masanafu-Lubigi-24h'!J32,'27.07 Masanafu-Lubigi-24h'!J32,'28.07 Masanafu-Lubigi'!J32)</f>
        <v>7.7142857142857144</v>
      </c>
      <c r="K32" s="49">
        <f>AVERAGE('22.07 Masanafu-Lubigi'!K32,'23.07 Masanafu-Lubigi'!K32,'24.07 Masanafu-Lubigi'!K32,'25.07 Masanafu-Lubigi'!K32,'26.07 Masanafu-Lubigi-24h'!K32,'27.07 Masanafu-Lubigi-24h'!K32,'28.07 Masanafu-Lubigi'!K32)</f>
        <v>6.5714285714285712</v>
      </c>
      <c r="L32" s="49">
        <f>AVERAGE('22.07 Masanafu-Lubigi'!L32,'23.07 Masanafu-Lubigi'!L32,'24.07 Masanafu-Lubigi'!L32,'25.07 Masanafu-Lubigi'!L32,'26.07 Masanafu-Lubigi-24h'!L32,'27.07 Masanafu-Lubigi-24h'!L32,'28.07 Masanafu-Lubigi'!L32)</f>
        <v>6.4285714285714288</v>
      </c>
      <c r="M32" s="49">
        <f>AVERAGE('22.07 Masanafu-Lubigi'!M32,'23.07 Masanafu-Lubigi'!M32,'24.07 Masanafu-Lubigi'!M32,'25.07 Masanafu-Lubigi'!M32,'26.07 Masanafu-Lubigi-24h'!M32,'27.07 Masanafu-Lubigi-24h'!M32,'28.07 Masanafu-Lubigi'!M32)</f>
        <v>124.71428571428571</v>
      </c>
      <c r="N32" s="49">
        <f>AVERAGE('22.07 Masanafu-Lubigi'!N32,'23.07 Masanafu-Lubigi'!N32,'24.07 Masanafu-Lubigi'!N32,'25.07 Masanafu-Lubigi'!N32,'26.07 Masanafu-Lubigi-24h'!N32,'27.07 Masanafu-Lubigi-24h'!N32,'28.07 Masanafu-Lubigi'!N32)</f>
        <v>0</v>
      </c>
      <c r="O32" s="15">
        <f t="shared" si="0"/>
        <v>165.42857142857142</v>
      </c>
      <c r="P32" s="15">
        <f t="shared" si="1"/>
        <v>290.14285714285711</v>
      </c>
      <c r="R32" s="1" t="s">
        <v>156</v>
      </c>
      <c r="S32" s="34">
        <f>SUM(C98:C101)</f>
        <v>35.5</v>
      </c>
      <c r="T32" s="34">
        <f t="shared" ref="T32:AF32" si="24">SUM(D98:D101)</f>
        <v>10</v>
      </c>
      <c r="U32" s="34">
        <f t="shared" si="24"/>
        <v>5</v>
      </c>
      <c r="V32" s="34">
        <f t="shared" si="24"/>
        <v>22.5</v>
      </c>
      <c r="W32" s="34">
        <f t="shared" si="24"/>
        <v>2.5</v>
      </c>
      <c r="X32" s="34">
        <f t="shared" si="24"/>
        <v>2</v>
      </c>
      <c r="Y32" s="34">
        <f t="shared" si="24"/>
        <v>23</v>
      </c>
      <c r="Z32" s="34">
        <f t="shared" si="24"/>
        <v>31</v>
      </c>
      <c r="AA32" s="34">
        <f t="shared" si="24"/>
        <v>8</v>
      </c>
      <c r="AB32" s="34">
        <f t="shared" si="24"/>
        <v>16</v>
      </c>
      <c r="AC32" s="34">
        <f t="shared" si="24"/>
        <v>89.5</v>
      </c>
      <c r="AD32" s="34">
        <f t="shared" si="24"/>
        <v>0</v>
      </c>
      <c r="AE32" s="31">
        <f t="shared" si="24"/>
        <v>155.5</v>
      </c>
      <c r="AF32" s="31">
        <f t="shared" si="24"/>
        <v>245</v>
      </c>
    </row>
    <row r="33" spans="2:32" ht="23.1" customHeight="1" x14ac:dyDescent="0.25">
      <c r="B33" s="23" t="s">
        <v>60</v>
      </c>
      <c r="C33" s="49">
        <f>AVERAGE('22.07 Masanafu-Lubigi'!C33,'23.07 Masanafu-Lubigi'!C33,'24.07 Masanafu-Lubigi'!C33,'25.07 Masanafu-Lubigi'!C33,'26.07 Masanafu-Lubigi-24h'!C33,'27.07 Masanafu-Lubigi-24h'!C33,'28.07 Masanafu-Lubigi'!C33)</f>
        <v>75.142857142857139</v>
      </c>
      <c r="D33" s="49">
        <f>AVERAGE('22.07 Masanafu-Lubigi'!D33,'23.07 Masanafu-Lubigi'!D33,'24.07 Masanafu-Lubigi'!D33,'25.07 Masanafu-Lubigi'!D33,'26.07 Masanafu-Lubigi-24h'!D33,'27.07 Masanafu-Lubigi-24h'!D33,'28.07 Masanafu-Lubigi'!D33)</f>
        <v>21.142857142857142</v>
      </c>
      <c r="E33" s="49">
        <f>AVERAGE('22.07 Masanafu-Lubigi'!E33,'23.07 Masanafu-Lubigi'!E33,'24.07 Masanafu-Lubigi'!E33,'25.07 Masanafu-Lubigi'!E33,'26.07 Masanafu-Lubigi-24h'!E33,'27.07 Masanafu-Lubigi-24h'!E33,'28.07 Masanafu-Lubigi'!E33)</f>
        <v>15.571428571428571</v>
      </c>
      <c r="F33" s="49">
        <f>AVERAGE('22.07 Masanafu-Lubigi'!F33,'23.07 Masanafu-Lubigi'!F33,'24.07 Masanafu-Lubigi'!F33,'25.07 Masanafu-Lubigi'!F33,'26.07 Masanafu-Lubigi-24h'!F33,'27.07 Masanafu-Lubigi-24h'!F33,'28.07 Masanafu-Lubigi'!F33)</f>
        <v>22.857142857142858</v>
      </c>
      <c r="G33" s="49">
        <f>AVERAGE('22.07 Masanafu-Lubigi'!G33,'23.07 Masanafu-Lubigi'!G33,'24.07 Masanafu-Lubigi'!G33,'25.07 Masanafu-Lubigi'!G33,'26.07 Masanafu-Lubigi-24h'!G33,'27.07 Masanafu-Lubigi-24h'!G33,'28.07 Masanafu-Lubigi'!G33)</f>
        <v>0.7142857142857143</v>
      </c>
      <c r="H33" s="49">
        <f>AVERAGE('22.07 Masanafu-Lubigi'!H33,'23.07 Masanafu-Lubigi'!H33,'24.07 Masanafu-Lubigi'!H33,'25.07 Masanafu-Lubigi'!H33,'26.07 Masanafu-Lubigi-24h'!H33,'27.07 Masanafu-Lubigi-24h'!H33,'28.07 Masanafu-Lubigi'!H33)</f>
        <v>0.42857142857142855</v>
      </c>
      <c r="I33" s="49">
        <f>AVERAGE('22.07 Masanafu-Lubigi'!I33,'23.07 Masanafu-Lubigi'!I33,'24.07 Masanafu-Lubigi'!I33,'25.07 Masanafu-Lubigi'!I33,'26.07 Masanafu-Lubigi-24h'!I33,'27.07 Masanafu-Lubigi-24h'!I33,'28.07 Masanafu-Lubigi'!I33)</f>
        <v>11.142857142857142</v>
      </c>
      <c r="J33" s="49">
        <f>AVERAGE('22.07 Masanafu-Lubigi'!J33,'23.07 Masanafu-Lubigi'!J33,'24.07 Masanafu-Lubigi'!J33,'25.07 Masanafu-Lubigi'!J33,'26.07 Masanafu-Lubigi-24h'!J33,'27.07 Masanafu-Lubigi-24h'!J33,'28.07 Masanafu-Lubigi'!J33)</f>
        <v>9</v>
      </c>
      <c r="K33" s="49">
        <f>AVERAGE('22.07 Masanafu-Lubigi'!K33,'23.07 Masanafu-Lubigi'!K33,'24.07 Masanafu-Lubigi'!K33,'25.07 Masanafu-Lubigi'!K33,'26.07 Masanafu-Lubigi-24h'!K33,'27.07 Masanafu-Lubigi-24h'!K33,'28.07 Masanafu-Lubigi'!K33)</f>
        <v>9.1428571428571423</v>
      </c>
      <c r="L33" s="49">
        <f>AVERAGE('22.07 Masanafu-Lubigi'!L33,'23.07 Masanafu-Lubigi'!L33,'24.07 Masanafu-Lubigi'!L33,'25.07 Masanafu-Lubigi'!L33,'26.07 Masanafu-Lubigi-24h'!L33,'27.07 Masanafu-Lubigi-24h'!L33,'28.07 Masanafu-Lubigi'!L33)</f>
        <v>8.2857142857142865</v>
      </c>
      <c r="M33" s="49">
        <f>AVERAGE('22.07 Masanafu-Lubigi'!M33,'23.07 Masanafu-Lubigi'!M33,'24.07 Masanafu-Lubigi'!M33,'25.07 Masanafu-Lubigi'!M33,'26.07 Masanafu-Lubigi-24h'!M33,'27.07 Masanafu-Lubigi-24h'!M33,'28.07 Masanafu-Lubigi'!M33)</f>
        <v>124</v>
      </c>
      <c r="N33" s="49">
        <f>AVERAGE('22.07 Masanafu-Lubigi'!N33,'23.07 Masanafu-Lubigi'!N33,'24.07 Masanafu-Lubigi'!N33,'25.07 Masanafu-Lubigi'!N33,'26.07 Masanafu-Lubigi-24h'!N33,'27.07 Masanafu-Lubigi-24h'!N33,'28.07 Masanafu-Lubigi'!N33)</f>
        <v>0</v>
      </c>
      <c r="O33" s="15">
        <f t="shared" si="0"/>
        <v>173.42857142857139</v>
      </c>
      <c r="P33" s="15">
        <f t="shared" si="1"/>
        <v>297.42857142857139</v>
      </c>
      <c r="R33" s="1" t="s">
        <v>157</v>
      </c>
      <c r="S33" s="34">
        <f>SUM(C102:C105)</f>
        <v>160.5</v>
      </c>
      <c r="T33" s="34">
        <f t="shared" ref="T33:AF33" si="25">SUM(D102:D105)</f>
        <v>33.5</v>
      </c>
      <c r="U33" s="34">
        <f t="shared" si="25"/>
        <v>17.5</v>
      </c>
      <c r="V33" s="34">
        <f t="shared" si="25"/>
        <v>50.5</v>
      </c>
      <c r="W33" s="34">
        <f t="shared" si="25"/>
        <v>4.5</v>
      </c>
      <c r="X33" s="34">
        <f t="shared" si="25"/>
        <v>3.5</v>
      </c>
      <c r="Y33" s="34">
        <f t="shared" si="25"/>
        <v>40</v>
      </c>
      <c r="Z33" s="34">
        <f t="shared" si="25"/>
        <v>41.5</v>
      </c>
      <c r="AA33" s="34">
        <f t="shared" si="25"/>
        <v>7</v>
      </c>
      <c r="AB33" s="34">
        <f t="shared" si="25"/>
        <v>29.5</v>
      </c>
      <c r="AC33" s="34">
        <f t="shared" si="25"/>
        <v>366.5</v>
      </c>
      <c r="AD33" s="34">
        <f t="shared" si="25"/>
        <v>0</v>
      </c>
      <c r="AE33" s="31">
        <f t="shared" si="25"/>
        <v>388</v>
      </c>
      <c r="AF33" s="31">
        <f t="shared" si="25"/>
        <v>754.5</v>
      </c>
    </row>
    <row r="34" spans="2:32" ht="23.1" customHeight="1" x14ac:dyDescent="0.25">
      <c r="B34" s="24" t="s">
        <v>61</v>
      </c>
      <c r="C34" s="49">
        <f>AVERAGE('22.07 Masanafu-Lubigi'!C34,'23.07 Masanafu-Lubigi'!C34,'24.07 Masanafu-Lubigi'!C34,'25.07 Masanafu-Lubigi'!C34,'26.07 Masanafu-Lubigi-24h'!C34,'27.07 Masanafu-Lubigi-24h'!C34,'28.07 Masanafu-Lubigi'!C34)</f>
        <v>76.571428571428569</v>
      </c>
      <c r="D34" s="49">
        <f>AVERAGE('22.07 Masanafu-Lubigi'!D34,'23.07 Masanafu-Lubigi'!D34,'24.07 Masanafu-Lubigi'!D34,'25.07 Masanafu-Lubigi'!D34,'26.07 Masanafu-Lubigi-24h'!D34,'27.07 Masanafu-Lubigi-24h'!D34,'28.07 Masanafu-Lubigi'!D34)</f>
        <v>18.285714285714285</v>
      </c>
      <c r="E34" s="49">
        <f>AVERAGE('22.07 Masanafu-Lubigi'!E34,'23.07 Masanafu-Lubigi'!E34,'24.07 Masanafu-Lubigi'!E34,'25.07 Masanafu-Lubigi'!E34,'26.07 Masanafu-Lubigi-24h'!E34,'27.07 Masanafu-Lubigi-24h'!E34,'28.07 Masanafu-Lubigi'!E34)</f>
        <v>14.285714285714286</v>
      </c>
      <c r="F34" s="49">
        <f>AVERAGE('22.07 Masanafu-Lubigi'!F34,'23.07 Masanafu-Lubigi'!F34,'24.07 Masanafu-Lubigi'!F34,'25.07 Masanafu-Lubigi'!F34,'26.07 Masanafu-Lubigi-24h'!F34,'27.07 Masanafu-Lubigi-24h'!F34,'28.07 Masanafu-Lubigi'!F34)</f>
        <v>22.571428571428573</v>
      </c>
      <c r="G34" s="49">
        <f>AVERAGE('22.07 Masanafu-Lubigi'!G34,'23.07 Masanafu-Lubigi'!G34,'24.07 Masanafu-Lubigi'!G34,'25.07 Masanafu-Lubigi'!G34,'26.07 Masanafu-Lubigi-24h'!G34,'27.07 Masanafu-Lubigi-24h'!G34,'28.07 Masanafu-Lubigi'!G34)</f>
        <v>1.5714285714285714</v>
      </c>
      <c r="H34" s="49">
        <f>AVERAGE('22.07 Masanafu-Lubigi'!H34,'23.07 Masanafu-Lubigi'!H34,'24.07 Masanafu-Lubigi'!H34,'25.07 Masanafu-Lubigi'!H34,'26.07 Masanafu-Lubigi-24h'!H34,'27.07 Masanafu-Lubigi-24h'!H34,'28.07 Masanafu-Lubigi'!H34)</f>
        <v>0.42857142857142855</v>
      </c>
      <c r="I34" s="49">
        <f>AVERAGE('22.07 Masanafu-Lubigi'!I34,'23.07 Masanafu-Lubigi'!I34,'24.07 Masanafu-Lubigi'!I34,'25.07 Masanafu-Lubigi'!I34,'26.07 Masanafu-Lubigi-24h'!I34,'27.07 Masanafu-Lubigi-24h'!I34,'28.07 Masanafu-Lubigi'!I34)</f>
        <v>14.857142857142858</v>
      </c>
      <c r="J34" s="49">
        <f>AVERAGE('22.07 Masanafu-Lubigi'!J34,'23.07 Masanafu-Lubigi'!J34,'24.07 Masanafu-Lubigi'!J34,'25.07 Masanafu-Lubigi'!J34,'26.07 Masanafu-Lubigi-24h'!J34,'27.07 Masanafu-Lubigi-24h'!J34,'28.07 Masanafu-Lubigi'!J34)</f>
        <v>6.8571428571428568</v>
      </c>
      <c r="K34" s="49">
        <f>AVERAGE('22.07 Masanafu-Lubigi'!K34,'23.07 Masanafu-Lubigi'!K34,'24.07 Masanafu-Lubigi'!K34,'25.07 Masanafu-Lubigi'!K34,'26.07 Masanafu-Lubigi-24h'!K34,'27.07 Masanafu-Lubigi-24h'!K34,'28.07 Masanafu-Lubigi'!K34)</f>
        <v>6.5714285714285712</v>
      </c>
      <c r="L34" s="49">
        <f>AVERAGE('22.07 Masanafu-Lubigi'!L34,'23.07 Masanafu-Lubigi'!L34,'24.07 Masanafu-Lubigi'!L34,'25.07 Masanafu-Lubigi'!L34,'26.07 Masanafu-Lubigi-24h'!L34,'27.07 Masanafu-Lubigi-24h'!L34,'28.07 Masanafu-Lubigi'!L34)</f>
        <v>7.4285714285714288</v>
      </c>
      <c r="M34" s="49">
        <f>AVERAGE('22.07 Masanafu-Lubigi'!M34,'23.07 Masanafu-Lubigi'!M34,'24.07 Masanafu-Lubigi'!M34,'25.07 Masanafu-Lubigi'!M34,'26.07 Masanafu-Lubigi-24h'!M34,'27.07 Masanafu-Lubigi-24h'!M34,'28.07 Masanafu-Lubigi'!M34)</f>
        <v>135.71428571428572</v>
      </c>
      <c r="N34" s="49">
        <f>AVERAGE('22.07 Masanafu-Lubigi'!N34,'23.07 Masanafu-Lubigi'!N34,'24.07 Masanafu-Lubigi'!N34,'25.07 Masanafu-Lubigi'!N34,'26.07 Masanafu-Lubigi-24h'!N34,'27.07 Masanafu-Lubigi-24h'!N34,'28.07 Masanafu-Lubigi'!N34)</f>
        <v>0.14285714285714285</v>
      </c>
      <c r="O34" s="15">
        <f t="shared" si="0"/>
        <v>169.57142857142858</v>
      </c>
      <c r="P34" s="15">
        <f t="shared" si="1"/>
        <v>305.28571428571433</v>
      </c>
      <c r="R34" s="51" t="s">
        <v>90</v>
      </c>
      <c r="S34" s="52">
        <f t="shared" ref="S34:AF34" si="26">MAX(S10:S12)</f>
        <v>252.57142857142856</v>
      </c>
      <c r="T34" s="52">
        <f t="shared" si="26"/>
        <v>87</v>
      </c>
      <c r="U34" s="52">
        <f t="shared" si="26"/>
        <v>37.285714285714285</v>
      </c>
      <c r="V34" s="52">
        <f t="shared" si="26"/>
        <v>81.714285714285708</v>
      </c>
      <c r="W34" s="52">
        <f t="shared" si="26"/>
        <v>9.4285714285714288</v>
      </c>
      <c r="X34" s="52">
        <f t="shared" si="26"/>
        <v>2.1428571428571428</v>
      </c>
      <c r="Y34" s="52">
        <f t="shared" si="26"/>
        <v>36.857142857142854</v>
      </c>
      <c r="Z34" s="52">
        <f t="shared" si="26"/>
        <v>25.428571428571431</v>
      </c>
      <c r="AA34" s="52">
        <f t="shared" si="26"/>
        <v>15.571428571428571</v>
      </c>
      <c r="AB34" s="52">
        <f t="shared" si="26"/>
        <v>15.857142857142858</v>
      </c>
      <c r="AC34" s="52">
        <f t="shared" si="26"/>
        <v>542.42857142857144</v>
      </c>
      <c r="AD34" s="52">
        <f t="shared" si="26"/>
        <v>0.14285714285714285</v>
      </c>
      <c r="AE34" s="40">
        <f t="shared" si="26"/>
        <v>510.57142857142867</v>
      </c>
      <c r="AF34" s="40">
        <f t="shared" si="26"/>
        <v>1026.7142857142858</v>
      </c>
    </row>
    <row r="35" spans="2:32" ht="23.1" customHeight="1" x14ac:dyDescent="0.25">
      <c r="B35" s="24" t="s">
        <v>62</v>
      </c>
      <c r="C35" s="49">
        <f>AVERAGE('22.07 Masanafu-Lubigi'!C35,'23.07 Masanafu-Lubigi'!C35,'24.07 Masanafu-Lubigi'!C35,'25.07 Masanafu-Lubigi'!C35,'26.07 Masanafu-Lubigi-24h'!C35,'27.07 Masanafu-Lubigi-24h'!C35,'28.07 Masanafu-Lubigi'!C35)</f>
        <v>69.714285714285708</v>
      </c>
      <c r="D35" s="49">
        <f>AVERAGE('22.07 Masanafu-Lubigi'!D35,'23.07 Masanafu-Lubigi'!D35,'24.07 Masanafu-Lubigi'!D35,'25.07 Masanafu-Lubigi'!D35,'26.07 Masanafu-Lubigi-24h'!D35,'27.07 Masanafu-Lubigi-24h'!D35,'28.07 Masanafu-Lubigi'!D35)</f>
        <v>15</v>
      </c>
      <c r="E35" s="49">
        <f>AVERAGE('22.07 Masanafu-Lubigi'!E35,'23.07 Masanafu-Lubigi'!E35,'24.07 Masanafu-Lubigi'!E35,'25.07 Masanafu-Lubigi'!E35,'26.07 Masanafu-Lubigi-24h'!E35,'27.07 Masanafu-Lubigi-24h'!E35,'28.07 Masanafu-Lubigi'!E35)</f>
        <v>10.571428571428571</v>
      </c>
      <c r="F35" s="49">
        <f>AVERAGE('22.07 Masanafu-Lubigi'!F35,'23.07 Masanafu-Lubigi'!F35,'24.07 Masanafu-Lubigi'!F35,'25.07 Masanafu-Lubigi'!F35,'26.07 Masanafu-Lubigi-24h'!F35,'27.07 Masanafu-Lubigi-24h'!F35,'28.07 Masanafu-Lubigi'!F35)</f>
        <v>24.428571428571427</v>
      </c>
      <c r="G35" s="49">
        <f>AVERAGE('22.07 Masanafu-Lubigi'!G35,'23.07 Masanafu-Lubigi'!G35,'24.07 Masanafu-Lubigi'!G35,'25.07 Masanafu-Lubigi'!G35,'26.07 Masanafu-Lubigi-24h'!G35,'27.07 Masanafu-Lubigi-24h'!G35,'28.07 Masanafu-Lubigi'!G35)</f>
        <v>0.42857142857142855</v>
      </c>
      <c r="H35" s="49">
        <f>AVERAGE('22.07 Masanafu-Lubigi'!H35,'23.07 Masanafu-Lubigi'!H35,'24.07 Masanafu-Lubigi'!H35,'25.07 Masanafu-Lubigi'!H35,'26.07 Masanafu-Lubigi-24h'!H35,'27.07 Masanafu-Lubigi-24h'!H35,'28.07 Masanafu-Lubigi'!H35)</f>
        <v>0.14285714285714285</v>
      </c>
      <c r="I35" s="49">
        <f>AVERAGE('22.07 Masanafu-Lubigi'!I35,'23.07 Masanafu-Lubigi'!I35,'24.07 Masanafu-Lubigi'!I35,'25.07 Masanafu-Lubigi'!I35,'26.07 Masanafu-Lubigi-24h'!I35,'27.07 Masanafu-Lubigi-24h'!I35,'28.07 Masanafu-Lubigi'!I35)</f>
        <v>10.857142857142858</v>
      </c>
      <c r="J35" s="49">
        <f>AVERAGE('22.07 Masanafu-Lubigi'!J35,'23.07 Masanafu-Lubigi'!J35,'24.07 Masanafu-Lubigi'!J35,'25.07 Masanafu-Lubigi'!J35,'26.07 Masanafu-Lubigi-24h'!J35,'27.07 Masanafu-Lubigi-24h'!J35,'28.07 Masanafu-Lubigi'!J35)</f>
        <v>7.4285714285714288</v>
      </c>
      <c r="K35" s="49">
        <f>AVERAGE('22.07 Masanafu-Lubigi'!K35,'23.07 Masanafu-Lubigi'!K35,'24.07 Masanafu-Lubigi'!K35,'25.07 Masanafu-Lubigi'!K35,'26.07 Masanafu-Lubigi-24h'!K35,'27.07 Masanafu-Lubigi-24h'!K35,'28.07 Masanafu-Lubigi'!K35)</f>
        <v>7.1428571428571432</v>
      </c>
      <c r="L35" s="49">
        <f>AVERAGE('22.07 Masanafu-Lubigi'!L35,'23.07 Masanafu-Lubigi'!L35,'24.07 Masanafu-Lubigi'!L35,'25.07 Masanafu-Lubigi'!L35,'26.07 Masanafu-Lubigi-24h'!L35,'27.07 Masanafu-Lubigi-24h'!L35,'28.07 Masanafu-Lubigi'!L35)</f>
        <v>7.8571428571428568</v>
      </c>
      <c r="M35" s="49">
        <f>AVERAGE('22.07 Masanafu-Lubigi'!M35,'23.07 Masanafu-Lubigi'!M35,'24.07 Masanafu-Lubigi'!M35,'25.07 Masanafu-Lubigi'!M35,'26.07 Masanafu-Lubigi-24h'!M35,'27.07 Masanafu-Lubigi-24h'!M35,'28.07 Masanafu-Lubigi'!M35)</f>
        <v>121.14285714285714</v>
      </c>
      <c r="N35" s="49">
        <f>AVERAGE('22.07 Masanafu-Lubigi'!N35,'23.07 Masanafu-Lubigi'!N35,'24.07 Masanafu-Lubigi'!N35,'25.07 Masanafu-Lubigi'!N35,'26.07 Masanafu-Lubigi-24h'!N35,'27.07 Masanafu-Lubigi-24h'!N35,'28.07 Masanafu-Lubigi'!N35)</f>
        <v>0.42857142857142855</v>
      </c>
      <c r="O35" s="15">
        <f t="shared" si="0"/>
        <v>153.99999999999997</v>
      </c>
      <c r="P35" s="15">
        <f t="shared" si="1"/>
        <v>275.14285714285711</v>
      </c>
      <c r="R35" s="51" t="s">
        <v>91</v>
      </c>
      <c r="S35" s="52">
        <f t="shared" ref="S35:AF35" si="27">MAX(S13:S18)</f>
        <v>334.57142857142861</v>
      </c>
      <c r="T35" s="52">
        <f t="shared" si="27"/>
        <v>108.14285714285714</v>
      </c>
      <c r="U35" s="52">
        <f t="shared" si="27"/>
        <v>67.714285714285722</v>
      </c>
      <c r="V35" s="52">
        <f t="shared" si="27"/>
        <v>102.28571428571428</v>
      </c>
      <c r="W35" s="52">
        <f t="shared" si="27"/>
        <v>9.5714285714285712</v>
      </c>
      <c r="X35" s="52">
        <f t="shared" si="27"/>
        <v>3.2857142857142856</v>
      </c>
      <c r="Y35" s="52">
        <f t="shared" si="27"/>
        <v>61.428571428571431</v>
      </c>
      <c r="Z35" s="52">
        <f t="shared" si="27"/>
        <v>37</v>
      </c>
      <c r="AA35" s="52">
        <f t="shared" si="27"/>
        <v>35.285714285714285</v>
      </c>
      <c r="AB35" s="52">
        <f t="shared" si="27"/>
        <v>43</v>
      </c>
      <c r="AC35" s="52">
        <f t="shared" si="27"/>
        <v>539.57142857142867</v>
      </c>
      <c r="AD35" s="52">
        <f t="shared" si="27"/>
        <v>0.8571428571428571</v>
      </c>
      <c r="AE35" s="40">
        <f t="shared" si="27"/>
        <v>775.57142857142867</v>
      </c>
      <c r="AF35" s="40">
        <f t="shared" si="27"/>
        <v>1264.8571428571429</v>
      </c>
    </row>
    <row r="36" spans="2:32" ht="23.1" customHeight="1" x14ac:dyDescent="0.25">
      <c r="B36" s="24" t="s">
        <v>63</v>
      </c>
      <c r="C36" s="49">
        <f>AVERAGE('22.07 Masanafu-Lubigi'!C36,'23.07 Masanafu-Lubigi'!C36,'24.07 Masanafu-Lubigi'!C36,'25.07 Masanafu-Lubigi'!C36,'26.07 Masanafu-Lubigi-24h'!C36,'27.07 Masanafu-Lubigi-24h'!C36,'28.07 Masanafu-Lubigi'!C36)</f>
        <v>73.857142857142861</v>
      </c>
      <c r="D36" s="49">
        <f>AVERAGE('22.07 Masanafu-Lubigi'!D36,'23.07 Masanafu-Lubigi'!D36,'24.07 Masanafu-Lubigi'!D36,'25.07 Masanafu-Lubigi'!D36,'26.07 Masanafu-Lubigi-24h'!D36,'27.07 Masanafu-Lubigi-24h'!D36,'28.07 Masanafu-Lubigi'!D36)</f>
        <v>13.142857142857142</v>
      </c>
      <c r="E36" s="49">
        <f>AVERAGE('22.07 Masanafu-Lubigi'!E36,'23.07 Masanafu-Lubigi'!E36,'24.07 Masanafu-Lubigi'!E36,'25.07 Masanafu-Lubigi'!E36,'26.07 Masanafu-Lubigi-24h'!E36,'27.07 Masanafu-Lubigi-24h'!E36,'28.07 Masanafu-Lubigi'!E36)</f>
        <v>11.714285714285714</v>
      </c>
      <c r="F36" s="49">
        <f>AVERAGE('22.07 Masanafu-Lubigi'!F36,'23.07 Masanafu-Lubigi'!F36,'24.07 Masanafu-Lubigi'!F36,'25.07 Masanafu-Lubigi'!F36,'26.07 Masanafu-Lubigi-24h'!F36,'27.07 Masanafu-Lubigi-24h'!F36,'28.07 Masanafu-Lubigi'!F36)</f>
        <v>19</v>
      </c>
      <c r="G36" s="49">
        <f>AVERAGE('22.07 Masanafu-Lubigi'!G36,'23.07 Masanafu-Lubigi'!G36,'24.07 Masanafu-Lubigi'!G36,'25.07 Masanafu-Lubigi'!G36,'26.07 Masanafu-Lubigi-24h'!G36,'27.07 Masanafu-Lubigi-24h'!G36,'28.07 Masanafu-Lubigi'!G36)</f>
        <v>0.7142857142857143</v>
      </c>
      <c r="H36" s="49">
        <f>AVERAGE('22.07 Masanafu-Lubigi'!H36,'23.07 Masanafu-Lubigi'!H36,'24.07 Masanafu-Lubigi'!H36,'25.07 Masanafu-Lubigi'!H36,'26.07 Masanafu-Lubigi-24h'!H36,'27.07 Masanafu-Lubigi-24h'!H36,'28.07 Masanafu-Lubigi'!H36)</f>
        <v>0.42857142857142855</v>
      </c>
      <c r="I36" s="49">
        <f>AVERAGE('22.07 Masanafu-Lubigi'!I36,'23.07 Masanafu-Lubigi'!I36,'24.07 Masanafu-Lubigi'!I36,'25.07 Masanafu-Lubigi'!I36,'26.07 Masanafu-Lubigi-24h'!I36,'27.07 Masanafu-Lubigi-24h'!I36,'28.07 Masanafu-Lubigi'!I36)</f>
        <v>11.428571428571429</v>
      </c>
      <c r="J36" s="49">
        <f>AVERAGE('22.07 Masanafu-Lubigi'!J36,'23.07 Masanafu-Lubigi'!J36,'24.07 Masanafu-Lubigi'!J36,'25.07 Masanafu-Lubigi'!J36,'26.07 Masanafu-Lubigi-24h'!J36,'27.07 Masanafu-Lubigi-24h'!J36,'28.07 Masanafu-Lubigi'!J36)</f>
        <v>9.4285714285714288</v>
      </c>
      <c r="K36" s="49">
        <f>AVERAGE('22.07 Masanafu-Lubigi'!K36,'23.07 Masanafu-Lubigi'!K36,'24.07 Masanafu-Lubigi'!K36,'25.07 Masanafu-Lubigi'!K36,'26.07 Masanafu-Lubigi-24h'!K36,'27.07 Masanafu-Lubigi-24h'!K36,'28.07 Masanafu-Lubigi'!K36)</f>
        <v>9.1428571428571423</v>
      </c>
      <c r="L36" s="49">
        <f>AVERAGE('22.07 Masanafu-Lubigi'!L36,'23.07 Masanafu-Lubigi'!L36,'24.07 Masanafu-Lubigi'!L36,'25.07 Masanafu-Lubigi'!L36,'26.07 Masanafu-Lubigi-24h'!L36,'27.07 Masanafu-Lubigi-24h'!L36,'28.07 Masanafu-Lubigi'!L36)</f>
        <v>6.1428571428571432</v>
      </c>
      <c r="M36" s="49">
        <f>AVERAGE('22.07 Masanafu-Lubigi'!M36,'23.07 Masanafu-Lubigi'!M36,'24.07 Masanafu-Lubigi'!M36,'25.07 Masanafu-Lubigi'!M36,'26.07 Masanafu-Lubigi-24h'!M36,'27.07 Masanafu-Lubigi-24h'!M36,'28.07 Masanafu-Lubigi'!M36)</f>
        <v>129.85714285714286</v>
      </c>
      <c r="N36" s="49">
        <f>AVERAGE('22.07 Masanafu-Lubigi'!N36,'23.07 Masanafu-Lubigi'!N36,'24.07 Masanafu-Lubigi'!N36,'25.07 Masanafu-Lubigi'!N36,'26.07 Masanafu-Lubigi-24h'!N36,'27.07 Masanafu-Lubigi-24h'!N36,'28.07 Masanafu-Lubigi'!N36)</f>
        <v>0.2857142857142857</v>
      </c>
      <c r="O36" s="15">
        <f t="shared" si="0"/>
        <v>155.28571428571425</v>
      </c>
      <c r="P36" s="15">
        <f t="shared" si="1"/>
        <v>285.14285714285711</v>
      </c>
      <c r="R36" s="51" t="s">
        <v>92</v>
      </c>
      <c r="S36" s="52">
        <f t="shared" ref="S36:AF36" si="28">MAX(S19:S21)</f>
        <v>377.57142857142856</v>
      </c>
      <c r="T36" s="52">
        <f t="shared" si="28"/>
        <v>135.42857142857144</v>
      </c>
      <c r="U36" s="52">
        <f t="shared" si="28"/>
        <v>93</v>
      </c>
      <c r="V36" s="52">
        <f t="shared" si="28"/>
        <v>156.28571428571428</v>
      </c>
      <c r="W36" s="52">
        <f t="shared" si="28"/>
        <v>11.285714285714285</v>
      </c>
      <c r="X36" s="52">
        <f t="shared" si="28"/>
        <v>3.2857142857142856</v>
      </c>
      <c r="Y36" s="52">
        <f t="shared" si="28"/>
        <v>62.428571428571431</v>
      </c>
      <c r="Z36" s="52">
        <f t="shared" si="28"/>
        <v>36.571428571428569</v>
      </c>
      <c r="AA36" s="52">
        <f t="shared" si="28"/>
        <v>23.428571428571431</v>
      </c>
      <c r="AB36" s="52">
        <f t="shared" si="28"/>
        <v>34.714285714285715</v>
      </c>
      <c r="AC36" s="52">
        <f t="shared" si="28"/>
        <v>499.85714285714283</v>
      </c>
      <c r="AD36" s="52">
        <f t="shared" si="28"/>
        <v>0.2857142857142857</v>
      </c>
      <c r="AE36" s="40">
        <f t="shared" si="28"/>
        <v>883.85714285714289</v>
      </c>
      <c r="AF36" s="40">
        <f t="shared" si="28"/>
        <v>1383.7142857142858</v>
      </c>
    </row>
    <row r="37" spans="2:32" ht="23.1" customHeight="1" x14ac:dyDescent="0.25">
      <c r="B37" s="23" t="s">
        <v>64</v>
      </c>
      <c r="C37" s="49">
        <f>AVERAGE('22.07 Masanafu-Lubigi'!C37,'23.07 Masanafu-Lubigi'!C37,'24.07 Masanafu-Lubigi'!C37,'25.07 Masanafu-Lubigi'!C37,'26.07 Masanafu-Lubigi-24h'!C37,'27.07 Masanafu-Lubigi-24h'!C37,'28.07 Masanafu-Lubigi'!C37)</f>
        <v>83.285714285714292</v>
      </c>
      <c r="D37" s="49">
        <f>AVERAGE('22.07 Masanafu-Lubigi'!D37,'23.07 Masanafu-Lubigi'!D37,'24.07 Masanafu-Lubigi'!D37,'25.07 Masanafu-Lubigi'!D37,'26.07 Masanafu-Lubigi-24h'!D37,'27.07 Masanafu-Lubigi-24h'!D37,'28.07 Masanafu-Lubigi'!D37)</f>
        <v>24</v>
      </c>
      <c r="E37" s="49">
        <f>AVERAGE('22.07 Masanafu-Lubigi'!E37,'23.07 Masanafu-Lubigi'!E37,'24.07 Masanafu-Lubigi'!E37,'25.07 Masanafu-Lubigi'!E37,'26.07 Masanafu-Lubigi-24h'!E37,'27.07 Masanafu-Lubigi-24h'!E37,'28.07 Masanafu-Lubigi'!E37)</f>
        <v>16.285714285714285</v>
      </c>
      <c r="F37" s="49">
        <f>AVERAGE('22.07 Masanafu-Lubigi'!F37,'23.07 Masanafu-Lubigi'!F37,'24.07 Masanafu-Lubigi'!F37,'25.07 Masanafu-Lubigi'!F37,'26.07 Masanafu-Lubigi-24h'!F37,'27.07 Masanafu-Lubigi-24h'!F37,'28.07 Masanafu-Lubigi'!F37)</f>
        <v>26.142857142857142</v>
      </c>
      <c r="G37" s="49">
        <f>AVERAGE('22.07 Masanafu-Lubigi'!G37,'23.07 Masanafu-Lubigi'!G37,'24.07 Masanafu-Lubigi'!G37,'25.07 Masanafu-Lubigi'!G37,'26.07 Masanafu-Lubigi-24h'!G37,'27.07 Masanafu-Lubigi-24h'!G37,'28.07 Masanafu-Lubigi'!G37)</f>
        <v>1</v>
      </c>
      <c r="H37" s="49">
        <f>AVERAGE('22.07 Masanafu-Lubigi'!H37,'23.07 Masanafu-Lubigi'!H37,'24.07 Masanafu-Lubigi'!H37,'25.07 Masanafu-Lubigi'!H37,'26.07 Masanafu-Lubigi-24h'!H37,'27.07 Masanafu-Lubigi-24h'!H37,'28.07 Masanafu-Lubigi'!H37)</f>
        <v>0.14285714285714285</v>
      </c>
      <c r="I37" s="49">
        <f>AVERAGE('22.07 Masanafu-Lubigi'!I37,'23.07 Masanafu-Lubigi'!I37,'24.07 Masanafu-Lubigi'!I37,'25.07 Masanafu-Lubigi'!I37,'26.07 Masanafu-Lubigi-24h'!I37,'27.07 Masanafu-Lubigi-24h'!I37,'28.07 Masanafu-Lubigi'!I37)</f>
        <v>12.428571428571429</v>
      </c>
      <c r="J37" s="49">
        <f>AVERAGE('22.07 Masanafu-Lubigi'!J37,'23.07 Masanafu-Lubigi'!J37,'24.07 Masanafu-Lubigi'!J37,'25.07 Masanafu-Lubigi'!J37,'26.07 Masanafu-Lubigi-24h'!J37,'27.07 Masanafu-Lubigi-24h'!J37,'28.07 Masanafu-Lubigi'!J37)</f>
        <v>7.5714285714285712</v>
      </c>
      <c r="K37" s="49">
        <f>AVERAGE('22.07 Masanafu-Lubigi'!K37,'23.07 Masanafu-Lubigi'!K37,'24.07 Masanafu-Lubigi'!K37,'25.07 Masanafu-Lubigi'!K37,'26.07 Masanafu-Lubigi-24h'!K37,'27.07 Masanafu-Lubigi-24h'!K37,'28.07 Masanafu-Lubigi'!K37)</f>
        <v>9.5714285714285712</v>
      </c>
      <c r="L37" s="49">
        <f>AVERAGE('22.07 Masanafu-Lubigi'!L37,'23.07 Masanafu-Lubigi'!L37,'24.07 Masanafu-Lubigi'!L37,'25.07 Masanafu-Lubigi'!L37,'26.07 Masanafu-Lubigi-24h'!L37,'27.07 Masanafu-Lubigi-24h'!L37,'28.07 Masanafu-Lubigi'!L37)</f>
        <v>10.142857142857142</v>
      </c>
      <c r="M37" s="49">
        <f>AVERAGE('22.07 Masanafu-Lubigi'!M37,'23.07 Masanafu-Lubigi'!M37,'24.07 Masanafu-Lubigi'!M37,'25.07 Masanafu-Lubigi'!M37,'26.07 Masanafu-Lubigi-24h'!M37,'27.07 Masanafu-Lubigi-24h'!M37,'28.07 Masanafu-Lubigi'!M37)</f>
        <v>117.42857142857143</v>
      </c>
      <c r="N37" s="49">
        <f>AVERAGE('22.07 Masanafu-Lubigi'!N37,'23.07 Masanafu-Lubigi'!N37,'24.07 Masanafu-Lubigi'!N37,'25.07 Masanafu-Lubigi'!N37,'26.07 Masanafu-Lubigi-24h'!N37,'27.07 Masanafu-Lubigi-24h'!N37,'28.07 Masanafu-Lubigi'!N37)</f>
        <v>0</v>
      </c>
      <c r="O37" s="15">
        <f t="shared" si="0"/>
        <v>190.57142857142858</v>
      </c>
      <c r="P37" s="15">
        <f t="shared" si="1"/>
        <v>308</v>
      </c>
      <c r="R37" s="37" t="s">
        <v>85</v>
      </c>
      <c r="S37" s="35">
        <f t="shared" ref="S37:AF37" si="29">SUM(S10:S12)</f>
        <v>695.85714285714289</v>
      </c>
      <c r="T37" s="16">
        <f t="shared" si="29"/>
        <v>198.28571428571428</v>
      </c>
      <c r="U37" s="16">
        <f t="shared" si="29"/>
        <v>99.285714285714292</v>
      </c>
      <c r="V37" s="16">
        <f t="shared" si="29"/>
        <v>218.42857142857144</v>
      </c>
      <c r="W37" s="16">
        <f t="shared" si="29"/>
        <v>22.714285714285715</v>
      </c>
      <c r="X37" s="16">
        <f t="shared" si="29"/>
        <v>5.2857142857142856</v>
      </c>
      <c r="Y37" s="16">
        <f t="shared" si="29"/>
        <v>95.857142857142861</v>
      </c>
      <c r="Z37" s="16">
        <f t="shared" si="29"/>
        <v>63.285714285714292</v>
      </c>
      <c r="AA37" s="16">
        <f t="shared" si="29"/>
        <v>42.571428571428569</v>
      </c>
      <c r="AB37" s="16">
        <f t="shared" si="29"/>
        <v>42</v>
      </c>
      <c r="AC37" s="16">
        <f t="shared" si="29"/>
        <v>1398.4285714285716</v>
      </c>
      <c r="AD37" s="16">
        <f t="shared" si="29"/>
        <v>0.14285714285714285</v>
      </c>
      <c r="AE37" s="32">
        <f t="shared" si="29"/>
        <v>1483.7142857142858</v>
      </c>
      <c r="AF37" s="32">
        <f t="shared" si="29"/>
        <v>2882.1428571428573</v>
      </c>
    </row>
    <row r="38" spans="2:32" ht="23.1" customHeight="1" x14ac:dyDescent="0.25">
      <c r="B38" s="24" t="s">
        <v>65</v>
      </c>
      <c r="C38" s="49">
        <f>AVERAGE('22.07 Masanafu-Lubigi'!C38,'23.07 Masanafu-Lubigi'!C38,'24.07 Masanafu-Lubigi'!C38,'25.07 Masanafu-Lubigi'!C38,'26.07 Masanafu-Lubigi-24h'!C38,'27.07 Masanafu-Lubigi-24h'!C38,'28.07 Masanafu-Lubigi'!C38)</f>
        <v>73.142857142857139</v>
      </c>
      <c r="D38" s="49">
        <f>AVERAGE('22.07 Masanafu-Lubigi'!D38,'23.07 Masanafu-Lubigi'!D38,'24.07 Masanafu-Lubigi'!D38,'25.07 Masanafu-Lubigi'!D38,'26.07 Masanafu-Lubigi-24h'!D38,'27.07 Masanafu-Lubigi-24h'!D38,'28.07 Masanafu-Lubigi'!D38)</f>
        <v>25.428571428571427</v>
      </c>
      <c r="E38" s="49">
        <f>AVERAGE('22.07 Masanafu-Lubigi'!E38,'23.07 Masanafu-Lubigi'!E38,'24.07 Masanafu-Lubigi'!E38,'25.07 Masanafu-Lubigi'!E38,'26.07 Masanafu-Lubigi-24h'!E38,'27.07 Masanafu-Lubigi-24h'!E38,'28.07 Masanafu-Lubigi'!E38)</f>
        <v>15.142857142857142</v>
      </c>
      <c r="F38" s="49">
        <f>AVERAGE('22.07 Masanafu-Lubigi'!F38,'23.07 Masanafu-Lubigi'!F38,'24.07 Masanafu-Lubigi'!F38,'25.07 Masanafu-Lubigi'!F38,'26.07 Masanafu-Lubigi-24h'!F38,'27.07 Masanafu-Lubigi-24h'!F38,'28.07 Masanafu-Lubigi'!F38)</f>
        <v>23.571428571428573</v>
      </c>
      <c r="G38" s="49">
        <f>AVERAGE('22.07 Masanafu-Lubigi'!G38,'23.07 Masanafu-Lubigi'!G38,'24.07 Masanafu-Lubigi'!G38,'25.07 Masanafu-Lubigi'!G38,'26.07 Masanafu-Lubigi-24h'!G38,'27.07 Masanafu-Lubigi-24h'!G38,'28.07 Masanafu-Lubigi'!G38)</f>
        <v>0.7142857142857143</v>
      </c>
      <c r="H38" s="49">
        <f>AVERAGE('22.07 Masanafu-Lubigi'!H38,'23.07 Masanafu-Lubigi'!H38,'24.07 Masanafu-Lubigi'!H38,'25.07 Masanafu-Lubigi'!H38,'26.07 Masanafu-Lubigi-24h'!H38,'27.07 Masanafu-Lubigi-24h'!H38,'28.07 Masanafu-Lubigi'!H38)</f>
        <v>0.14285714285714285</v>
      </c>
      <c r="I38" s="49">
        <f>AVERAGE('22.07 Masanafu-Lubigi'!I38,'23.07 Masanafu-Lubigi'!I38,'24.07 Masanafu-Lubigi'!I38,'25.07 Masanafu-Lubigi'!I38,'26.07 Masanafu-Lubigi-24h'!I38,'27.07 Masanafu-Lubigi-24h'!I38,'28.07 Masanafu-Lubigi'!I38)</f>
        <v>10.428571428571429</v>
      </c>
      <c r="J38" s="49">
        <f>AVERAGE('22.07 Masanafu-Lubigi'!J38,'23.07 Masanafu-Lubigi'!J38,'24.07 Masanafu-Lubigi'!J38,'25.07 Masanafu-Lubigi'!J38,'26.07 Masanafu-Lubigi-24h'!J38,'27.07 Masanafu-Lubigi-24h'!J38,'28.07 Masanafu-Lubigi'!J38)</f>
        <v>6.8571428571428568</v>
      </c>
      <c r="K38" s="49">
        <f>AVERAGE('22.07 Masanafu-Lubigi'!K38,'23.07 Masanafu-Lubigi'!K38,'24.07 Masanafu-Lubigi'!K38,'25.07 Masanafu-Lubigi'!K38,'26.07 Masanafu-Lubigi-24h'!K38,'27.07 Masanafu-Lubigi-24h'!K38,'28.07 Masanafu-Lubigi'!K38)</f>
        <v>7.2857142857142856</v>
      </c>
      <c r="L38" s="49">
        <f>AVERAGE('22.07 Masanafu-Lubigi'!L38,'23.07 Masanafu-Lubigi'!L38,'24.07 Masanafu-Lubigi'!L38,'25.07 Masanafu-Lubigi'!L38,'26.07 Masanafu-Lubigi-24h'!L38,'27.07 Masanafu-Lubigi-24h'!L38,'28.07 Masanafu-Lubigi'!L38)</f>
        <v>8.8571428571428577</v>
      </c>
      <c r="M38" s="49">
        <f>AVERAGE('22.07 Masanafu-Lubigi'!M38,'23.07 Masanafu-Lubigi'!M38,'24.07 Masanafu-Lubigi'!M38,'25.07 Masanafu-Lubigi'!M38,'26.07 Masanafu-Lubigi-24h'!M38,'27.07 Masanafu-Lubigi-24h'!M38,'28.07 Masanafu-Lubigi'!M38)</f>
        <v>113</v>
      </c>
      <c r="N38" s="49">
        <f>AVERAGE('22.07 Masanafu-Lubigi'!N38,'23.07 Masanafu-Lubigi'!N38,'24.07 Masanafu-Lubigi'!N38,'25.07 Masanafu-Lubigi'!N38,'26.07 Masanafu-Lubigi-24h'!N38,'27.07 Masanafu-Lubigi-24h'!N38,'28.07 Masanafu-Lubigi'!N38)</f>
        <v>0</v>
      </c>
      <c r="O38" s="15">
        <f t="shared" si="0"/>
        <v>171.57142857142856</v>
      </c>
      <c r="P38" s="15">
        <f t="shared" si="1"/>
        <v>284.57142857142856</v>
      </c>
      <c r="R38" s="28" t="s">
        <v>86</v>
      </c>
      <c r="S38" s="16">
        <f t="shared" ref="S38:AF38" si="30">SUM(S13:S18)</f>
        <v>1854.1428571428571</v>
      </c>
      <c r="T38" s="16">
        <f t="shared" si="30"/>
        <v>485.14285714285711</v>
      </c>
      <c r="U38" s="16">
        <f t="shared" si="30"/>
        <v>338.57142857142861</v>
      </c>
      <c r="V38" s="16">
        <f t="shared" si="30"/>
        <v>539.42857142857144</v>
      </c>
      <c r="W38" s="16">
        <f t="shared" si="30"/>
        <v>29.857142857142861</v>
      </c>
      <c r="X38" s="16">
        <f t="shared" si="30"/>
        <v>10.999999999999998</v>
      </c>
      <c r="Y38" s="16">
        <f t="shared" si="30"/>
        <v>302.42857142857144</v>
      </c>
      <c r="Z38" s="16">
        <f t="shared" si="30"/>
        <v>191.42857142857144</v>
      </c>
      <c r="AA38" s="16">
        <f t="shared" si="30"/>
        <v>195</v>
      </c>
      <c r="AB38" s="16">
        <f t="shared" si="30"/>
        <v>194.42857142857144</v>
      </c>
      <c r="AC38" s="16">
        <f t="shared" si="30"/>
        <v>2911.7142857142858</v>
      </c>
      <c r="AD38" s="16">
        <f t="shared" si="30"/>
        <v>1.1428571428571428</v>
      </c>
      <c r="AE38" s="32">
        <f t="shared" si="30"/>
        <v>4142.5714285714284</v>
      </c>
      <c r="AF38" s="32">
        <f t="shared" si="30"/>
        <v>7054.2857142857138</v>
      </c>
    </row>
    <row r="39" spans="2:32" ht="23.1" customHeight="1" x14ac:dyDescent="0.25">
      <c r="B39" s="24" t="s">
        <v>66</v>
      </c>
      <c r="C39" s="49">
        <f>AVERAGE('22.07 Masanafu-Lubigi'!C39,'23.07 Masanafu-Lubigi'!C39,'24.07 Masanafu-Lubigi'!C39,'25.07 Masanafu-Lubigi'!C39,'26.07 Masanafu-Lubigi-24h'!C39,'27.07 Masanafu-Lubigi-24h'!C39,'28.07 Masanafu-Lubigi'!C39)</f>
        <v>73.857142857142861</v>
      </c>
      <c r="D39" s="49">
        <f>AVERAGE('22.07 Masanafu-Lubigi'!D39,'23.07 Masanafu-Lubigi'!D39,'24.07 Masanafu-Lubigi'!D39,'25.07 Masanafu-Lubigi'!D39,'26.07 Masanafu-Lubigi-24h'!D39,'27.07 Masanafu-Lubigi-24h'!D39,'28.07 Masanafu-Lubigi'!D39)</f>
        <v>25.285714285714285</v>
      </c>
      <c r="E39" s="49">
        <f>AVERAGE('22.07 Masanafu-Lubigi'!E39,'23.07 Masanafu-Lubigi'!E39,'24.07 Masanafu-Lubigi'!E39,'25.07 Masanafu-Lubigi'!E39,'26.07 Masanafu-Lubigi-24h'!E39,'27.07 Masanafu-Lubigi-24h'!E39,'28.07 Masanafu-Lubigi'!E39)</f>
        <v>16</v>
      </c>
      <c r="F39" s="49">
        <f>AVERAGE('22.07 Masanafu-Lubigi'!F39,'23.07 Masanafu-Lubigi'!F39,'24.07 Masanafu-Lubigi'!F39,'25.07 Masanafu-Lubigi'!F39,'26.07 Masanafu-Lubigi-24h'!F39,'27.07 Masanafu-Lubigi-24h'!F39,'28.07 Masanafu-Lubigi'!F39)</f>
        <v>21.142857142857142</v>
      </c>
      <c r="G39" s="49">
        <f>AVERAGE('22.07 Masanafu-Lubigi'!G39,'23.07 Masanafu-Lubigi'!G39,'24.07 Masanafu-Lubigi'!G39,'25.07 Masanafu-Lubigi'!G39,'26.07 Masanafu-Lubigi-24h'!G39,'27.07 Masanafu-Lubigi-24h'!G39,'28.07 Masanafu-Lubigi'!G39)</f>
        <v>0.2857142857142857</v>
      </c>
      <c r="H39" s="49">
        <f>AVERAGE('22.07 Masanafu-Lubigi'!H39,'23.07 Masanafu-Lubigi'!H39,'24.07 Masanafu-Lubigi'!H39,'25.07 Masanafu-Lubigi'!H39,'26.07 Masanafu-Lubigi-24h'!H39,'27.07 Masanafu-Lubigi-24h'!H39,'28.07 Masanafu-Lubigi'!H39)</f>
        <v>0.14285714285714285</v>
      </c>
      <c r="I39" s="49">
        <f>AVERAGE('22.07 Masanafu-Lubigi'!I39,'23.07 Masanafu-Lubigi'!I39,'24.07 Masanafu-Lubigi'!I39,'25.07 Masanafu-Lubigi'!I39,'26.07 Masanafu-Lubigi-24h'!I39,'27.07 Masanafu-Lubigi-24h'!I39,'28.07 Masanafu-Lubigi'!I39)</f>
        <v>13.714285714285714</v>
      </c>
      <c r="J39" s="49">
        <f>AVERAGE('22.07 Masanafu-Lubigi'!J39,'23.07 Masanafu-Lubigi'!J39,'24.07 Masanafu-Lubigi'!J39,'25.07 Masanafu-Lubigi'!J39,'26.07 Masanafu-Lubigi-24h'!J39,'27.07 Masanafu-Lubigi-24h'!J39,'28.07 Masanafu-Lubigi'!J39)</f>
        <v>8.8571428571428577</v>
      </c>
      <c r="K39" s="49">
        <f>AVERAGE('22.07 Masanafu-Lubigi'!K39,'23.07 Masanafu-Lubigi'!K39,'24.07 Masanafu-Lubigi'!K39,'25.07 Masanafu-Lubigi'!K39,'26.07 Masanafu-Lubigi-24h'!K39,'27.07 Masanafu-Lubigi-24h'!K39,'28.07 Masanafu-Lubigi'!K39)</f>
        <v>6.8571428571428568</v>
      </c>
      <c r="L39" s="49">
        <f>AVERAGE('22.07 Masanafu-Lubigi'!L39,'23.07 Masanafu-Lubigi'!L39,'24.07 Masanafu-Lubigi'!L39,'25.07 Masanafu-Lubigi'!L39,'26.07 Masanafu-Lubigi-24h'!L39,'27.07 Masanafu-Lubigi-24h'!L39,'28.07 Masanafu-Lubigi'!L39)</f>
        <v>6</v>
      </c>
      <c r="M39" s="49">
        <f>AVERAGE('22.07 Masanafu-Lubigi'!M39,'23.07 Masanafu-Lubigi'!M39,'24.07 Masanafu-Lubigi'!M39,'25.07 Masanafu-Lubigi'!M39,'26.07 Masanafu-Lubigi-24h'!M39,'27.07 Masanafu-Lubigi-24h'!M39,'28.07 Masanafu-Lubigi'!M39)</f>
        <v>107.14285714285714</v>
      </c>
      <c r="N39" s="49">
        <f>AVERAGE('22.07 Masanafu-Lubigi'!N39,'23.07 Masanafu-Lubigi'!N39,'24.07 Masanafu-Lubigi'!N39,'25.07 Masanafu-Lubigi'!N39,'26.07 Masanafu-Lubigi-24h'!N39,'27.07 Masanafu-Lubigi-24h'!N39,'28.07 Masanafu-Lubigi'!N39)</f>
        <v>0.14285714285714285</v>
      </c>
      <c r="O39" s="15">
        <f t="shared" si="0"/>
        <v>172.28571428571428</v>
      </c>
      <c r="P39" s="15">
        <f t="shared" si="1"/>
        <v>279.42857142857144</v>
      </c>
      <c r="R39" s="29" t="s">
        <v>87</v>
      </c>
      <c r="S39" s="16">
        <f t="shared" ref="S39:AF39" si="31">SUM(S19:S21)</f>
        <v>1112.1428571428569</v>
      </c>
      <c r="T39" s="16">
        <f t="shared" si="31"/>
        <v>335.42857142857144</v>
      </c>
      <c r="U39" s="16">
        <f t="shared" si="31"/>
        <v>235.42857142857144</v>
      </c>
      <c r="V39" s="16">
        <f t="shared" si="31"/>
        <v>364.71428571428572</v>
      </c>
      <c r="W39" s="16">
        <f t="shared" si="31"/>
        <v>27.571428571428569</v>
      </c>
      <c r="X39" s="16">
        <f t="shared" si="31"/>
        <v>6.4285714285714279</v>
      </c>
      <c r="Y39" s="16">
        <f t="shared" si="31"/>
        <v>147.85714285714286</v>
      </c>
      <c r="Z39" s="16">
        <f t="shared" si="31"/>
        <v>105.99999999999999</v>
      </c>
      <c r="AA39" s="16">
        <f t="shared" si="31"/>
        <v>58.571428571428577</v>
      </c>
      <c r="AB39" s="16">
        <f t="shared" si="31"/>
        <v>86.428571428571431</v>
      </c>
      <c r="AC39" s="16">
        <f t="shared" si="31"/>
        <v>1475.2857142857142</v>
      </c>
      <c r="AD39" s="16">
        <f t="shared" si="31"/>
        <v>0.5714285714285714</v>
      </c>
      <c r="AE39" s="32">
        <f t="shared" si="31"/>
        <v>2481.1428571428569</v>
      </c>
      <c r="AF39" s="32">
        <f t="shared" si="31"/>
        <v>3956.4285714285711</v>
      </c>
    </row>
    <row r="40" spans="2:32" ht="23.1" customHeight="1" x14ac:dyDescent="0.25">
      <c r="B40" s="24" t="s">
        <v>67</v>
      </c>
      <c r="C40" s="49">
        <f>AVERAGE('22.07 Masanafu-Lubigi'!C40,'23.07 Masanafu-Lubigi'!C40,'24.07 Masanafu-Lubigi'!C40,'25.07 Masanafu-Lubigi'!C40,'26.07 Masanafu-Lubigi-24h'!C40,'27.07 Masanafu-Lubigi-24h'!C40,'28.07 Masanafu-Lubigi'!C40)</f>
        <v>78.142857142857139</v>
      </c>
      <c r="D40" s="49">
        <f>AVERAGE('22.07 Masanafu-Lubigi'!D40,'23.07 Masanafu-Lubigi'!D40,'24.07 Masanafu-Lubigi'!D40,'25.07 Masanafu-Lubigi'!D40,'26.07 Masanafu-Lubigi-24h'!D40,'27.07 Masanafu-Lubigi-24h'!D40,'28.07 Masanafu-Lubigi'!D40)</f>
        <v>22</v>
      </c>
      <c r="E40" s="49">
        <f>AVERAGE('22.07 Masanafu-Lubigi'!E40,'23.07 Masanafu-Lubigi'!E40,'24.07 Masanafu-Lubigi'!E40,'25.07 Masanafu-Lubigi'!E40,'26.07 Masanafu-Lubigi-24h'!E40,'27.07 Masanafu-Lubigi-24h'!E40,'28.07 Masanafu-Lubigi'!E40)</f>
        <v>13.285714285714286</v>
      </c>
      <c r="F40" s="49">
        <f>AVERAGE('22.07 Masanafu-Lubigi'!F40,'23.07 Masanafu-Lubigi'!F40,'24.07 Masanafu-Lubigi'!F40,'25.07 Masanafu-Lubigi'!F40,'26.07 Masanafu-Lubigi-24h'!F40,'27.07 Masanafu-Lubigi-24h'!F40,'28.07 Masanafu-Lubigi'!F40)</f>
        <v>20.714285714285715</v>
      </c>
      <c r="G40" s="49">
        <f>AVERAGE('22.07 Masanafu-Lubigi'!G40,'23.07 Masanafu-Lubigi'!G40,'24.07 Masanafu-Lubigi'!G40,'25.07 Masanafu-Lubigi'!G40,'26.07 Masanafu-Lubigi-24h'!G40,'27.07 Masanafu-Lubigi-24h'!G40,'28.07 Masanafu-Lubigi'!G40)</f>
        <v>0.7142857142857143</v>
      </c>
      <c r="H40" s="49">
        <f>AVERAGE('22.07 Masanafu-Lubigi'!H40,'23.07 Masanafu-Lubigi'!H40,'24.07 Masanafu-Lubigi'!H40,'25.07 Masanafu-Lubigi'!H40,'26.07 Masanafu-Lubigi-24h'!H40,'27.07 Masanafu-Lubigi-24h'!H40,'28.07 Masanafu-Lubigi'!H40)</f>
        <v>0.2857142857142857</v>
      </c>
      <c r="I40" s="49">
        <f>AVERAGE('22.07 Masanafu-Lubigi'!I40,'23.07 Masanafu-Lubigi'!I40,'24.07 Masanafu-Lubigi'!I40,'25.07 Masanafu-Lubigi'!I40,'26.07 Masanafu-Lubigi-24h'!I40,'27.07 Masanafu-Lubigi-24h'!I40,'28.07 Masanafu-Lubigi'!I40)</f>
        <v>12.571428571428571</v>
      </c>
      <c r="J40" s="49">
        <f>AVERAGE('22.07 Masanafu-Lubigi'!J40,'23.07 Masanafu-Lubigi'!J40,'24.07 Masanafu-Lubigi'!J40,'25.07 Masanafu-Lubigi'!J40,'26.07 Masanafu-Lubigi-24h'!J40,'27.07 Masanafu-Lubigi-24h'!J40,'28.07 Masanafu-Lubigi'!J40)</f>
        <v>6.1428571428571432</v>
      </c>
      <c r="K40" s="49">
        <f>AVERAGE('22.07 Masanafu-Lubigi'!K40,'23.07 Masanafu-Lubigi'!K40,'24.07 Masanafu-Lubigi'!K40,'25.07 Masanafu-Lubigi'!K40,'26.07 Masanafu-Lubigi-24h'!K40,'27.07 Masanafu-Lubigi-24h'!K40,'28.07 Masanafu-Lubigi'!K40)</f>
        <v>11.142857142857142</v>
      </c>
      <c r="L40" s="49">
        <f>AVERAGE('22.07 Masanafu-Lubigi'!L40,'23.07 Masanafu-Lubigi'!L40,'24.07 Masanafu-Lubigi'!L40,'25.07 Masanafu-Lubigi'!L40,'26.07 Masanafu-Lubigi-24h'!L40,'27.07 Masanafu-Lubigi-24h'!L40,'28.07 Masanafu-Lubigi'!L40)</f>
        <v>8.4285714285714288</v>
      </c>
      <c r="M40" s="49">
        <f>AVERAGE('22.07 Masanafu-Lubigi'!M40,'23.07 Masanafu-Lubigi'!M40,'24.07 Masanafu-Lubigi'!M40,'25.07 Masanafu-Lubigi'!M40,'26.07 Masanafu-Lubigi-24h'!M40,'27.07 Masanafu-Lubigi-24h'!M40,'28.07 Masanafu-Lubigi'!M40)</f>
        <v>103.71428571428571</v>
      </c>
      <c r="N40" s="49">
        <f>AVERAGE('22.07 Masanafu-Lubigi'!N40,'23.07 Masanafu-Lubigi'!N40,'24.07 Masanafu-Lubigi'!N40,'25.07 Masanafu-Lubigi'!N40,'26.07 Masanafu-Lubigi-24h'!N40,'27.07 Masanafu-Lubigi-24h'!N40,'28.07 Masanafu-Lubigi'!N40)</f>
        <v>0</v>
      </c>
      <c r="O40" s="15">
        <f t="shared" si="0"/>
        <v>173.42857142857142</v>
      </c>
      <c r="P40" s="15">
        <f t="shared" si="1"/>
        <v>277.14285714285711</v>
      </c>
      <c r="R40" s="5" t="s">
        <v>17</v>
      </c>
      <c r="S40" s="16">
        <f t="shared" ref="S40:AF40" si="32">SUM(S10:S21)</f>
        <v>3662.1428571428569</v>
      </c>
      <c r="T40" s="16">
        <f t="shared" si="32"/>
        <v>1018.8571428571428</v>
      </c>
      <c r="U40" s="16">
        <f t="shared" si="32"/>
        <v>673.28571428571433</v>
      </c>
      <c r="V40" s="16">
        <f t="shared" si="32"/>
        <v>1122.5714285714287</v>
      </c>
      <c r="W40" s="16">
        <f t="shared" si="32"/>
        <v>80.142857142857139</v>
      </c>
      <c r="X40" s="16">
        <f t="shared" si="32"/>
        <v>22.714285714285712</v>
      </c>
      <c r="Y40" s="16">
        <f t="shared" si="32"/>
        <v>546.14285714285711</v>
      </c>
      <c r="Z40" s="16">
        <f t="shared" si="32"/>
        <v>360.71428571428572</v>
      </c>
      <c r="AA40" s="16">
        <f t="shared" si="32"/>
        <v>296.14285714285711</v>
      </c>
      <c r="AB40" s="16">
        <f t="shared" si="32"/>
        <v>322.85714285714289</v>
      </c>
      <c r="AC40" s="16">
        <f t="shared" si="32"/>
        <v>5785.4285714285725</v>
      </c>
      <c r="AD40" s="16">
        <f t="shared" si="32"/>
        <v>1.8571428571428568</v>
      </c>
      <c r="AE40" s="32">
        <f t="shared" si="32"/>
        <v>8107.4285714285716</v>
      </c>
      <c r="AF40" s="32">
        <f t="shared" si="32"/>
        <v>13892.857142857141</v>
      </c>
    </row>
    <row r="41" spans="2:32" ht="23.1" customHeight="1" x14ac:dyDescent="0.25">
      <c r="B41" s="23" t="s">
        <v>68</v>
      </c>
      <c r="C41" s="49">
        <f>AVERAGE('22.07 Masanafu-Lubigi'!C41,'23.07 Masanafu-Lubigi'!C41,'24.07 Masanafu-Lubigi'!C41,'25.07 Masanafu-Lubigi'!C41,'26.07 Masanafu-Lubigi-24h'!C41,'27.07 Masanafu-Lubigi-24h'!C41,'28.07 Masanafu-Lubigi'!C41)</f>
        <v>71.142857142857139</v>
      </c>
      <c r="D41" s="49">
        <f>AVERAGE('22.07 Masanafu-Lubigi'!D41,'23.07 Masanafu-Lubigi'!D41,'24.07 Masanafu-Lubigi'!D41,'25.07 Masanafu-Lubigi'!D41,'26.07 Masanafu-Lubigi-24h'!D41,'27.07 Masanafu-Lubigi-24h'!D41,'28.07 Masanafu-Lubigi'!D41)</f>
        <v>21.428571428571427</v>
      </c>
      <c r="E41" s="49">
        <f>AVERAGE('22.07 Masanafu-Lubigi'!E41,'23.07 Masanafu-Lubigi'!E41,'24.07 Masanafu-Lubigi'!E41,'25.07 Masanafu-Lubigi'!E41,'26.07 Masanafu-Lubigi-24h'!E41,'27.07 Masanafu-Lubigi-24h'!E41,'28.07 Masanafu-Lubigi'!E41)</f>
        <v>16.428571428571427</v>
      </c>
      <c r="F41" s="49">
        <f>AVERAGE('22.07 Masanafu-Lubigi'!F41,'23.07 Masanafu-Lubigi'!F41,'24.07 Masanafu-Lubigi'!F41,'25.07 Masanafu-Lubigi'!F41,'26.07 Masanafu-Lubigi-24h'!F41,'27.07 Masanafu-Lubigi-24h'!F41,'28.07 Masanafu-Lubigi'!F41)</f>
        <v>25.428571428571427</v>
      </c>
      <c r="G41" s="49">
        <f>AVERAGE('22.07 Masanafu-Lubigi'!G41,'23.07 Masanafu-Lubigi'!G41,'24.07 Masanafu-Lubigi'!G41,'25.07 Masanafu-Lubigi'!G41,'26.07 Masanafu-Lubigi-24h'!G41,'27.07 Masanafu-Lubigi-24h'!G41,'28.07 Masanafu-Lubigi'!G41)</f>
        <v>1</v>
      </c>
      <c r="H41" s="49">
        <f>AVERAGE('22.07 Masanafu-Lubigi'!H41,'23.07 Masanafu-Lubigi'!H41,'24.07 Masanafu-Lubigi'!H41,'25.07 Masanafu-Lubigi'!H41,'26.07 Masanafu-Lubigi-24h'!H41,'27.07 Masanafu-Lubigi-24h'!H41,'28.07 Masanafu-Lubigi'!H41)</f>
        <v>0</v>
      </c>
      <c r="I41" s="49">
        <f>AVERAGE('22.07 Masanafu-Lubigi'!I41,'23.07 Masanafu-Lubigi'!I41,'24.07 Masanafu-Lubigi'!I41,'25.07 Masanafu-Lubigi'!I41,'26.07 Masanafu-Lubigi-24h'!I41,'27.07 Masanafu-Lubigi-24h'!I41,'28.07 Masanafu-Lubigi'!I41)</f>
        <v>11.857142857142858</v>
      </c>
      <c r="J41" s="49">
        <f>AVERAGE('22.07 Masanafu-Lubigi'!J41,'23.07 Masanafu-Lubigi'!J41,'24.07 Masanafu-Lubigi'!J41,'25.07 Masanafu-Lubigi'!J41,'26.07 Masanafu-Lubigi-24h'!J41,'27.07 Masanafu-Lubigi-24h'!J41,'28.07 Masanafu-Lubigi'!J41)</f>
        <v>5.7142857142857144</v>
      </c>
      <c r="K41" s="49">
        <f>AVERAGE('22.07 Masanafu-Lubigi'!K41,'23.07 Masanafu-Lubigi'!K41,'24.07 Masanafu-Lubigi'!K41,'25.07 Masanafu-Lubigi'!K41,'26.07 Masanafu-Lubigi-24h'!K41,'27.07 Masanafu-Lubigi-24h'!K41,'28.07 Masanafu-Lubigi'!K41)</f>
        <v>7.8571428571428568</v>
      </c>
      <c r="L41" s="49">
        <f>AVERAGE('22.07 Masanafu-Lubigi'!L41,'23.07 Masanafu-Lubigi'!L41,'24.07 Masanafu-Lubigi'!L41,'25.07 Masanafu-Lubigi'!L41,'26.07 Masanafu-Lubigi-24h'!L41,'27.07 Masanafu-Lubigi-24h'!L41,'28.07 Masanafu-Lubigi'!L41)</f>
        <v>5.8571428571428568</v>
      </c>
      <c r="M41" s="49">
        <f>AVERAGE('22.07 Masanafu-Lubigi'!M41,'23.07 Masanafu-Lubigi'!M41,'24.07 Masanafu-Lubigi'!M41,'25.07 Masanafu-Lubigi'!M41,'26.07 Masanafu-Lubigi-24h'!M41,'27.07 Masanafu-Lubigi-24h'!M41,'28.07 Masanafu-Lubigi'!M41)</f>
        <v>105.85714285714286</v>
      </c>
      <c r="N41" s="49">
        <f>AVERAGE('22.07 Masanafu-Lubigi'!N41,'23.07 Masanafu-Lubigi'!N41,'24.07 Masanafu-Lubigi'!N41,'25.07 Masanafu-Lubigi'!N41,'26.07 Masanafu-Lubigi-24h'!N41,'27.07 Masanafu-Lubigi-24h'!N41,'28.07 Masanafu-Lubigi'!N41)</f>
        <v>0</v>
      </c>
      <c r="O41" s="15">
        <f t="shared" si="0"/>
        <v>166.71428571428572</v>
      </c>
      <c r="P41" s="15">
        <f t="shared" si="1"/>
        <v>272.57142857142856</v>
      </c>
      <c r="R41" s="5" t="s">
        <v>182</v>
      </c>
      <c r="S41" s="16">
        <f>SUM(S10:S33)</f>
        <v>5527.6428571428569</v>
      </c>
      <c r="T41" s="16">
        <f t="shared" ref="T41:AD41" si="33">SUM(T10:T33)</f>
        <v>1890.3571428571427</v>
      </c>
      <c r="U41" s="16">
        <f t="shared" si="33"/>
        <v>1273.7857142857142</v>
      </c>
      <c r="V41" s="16">
        <f t="shared" si="33"/>
        <v>2373.0714285714284</v>
      </c>
      <c r="W41" s="16">
        <f t="shared" si="33"/>
        <v>129.14285714285714</v>
      </c>
      <c r="X41" s="16">
        <f t="shared" si="33"/>
        <v>40.214285714285708</v>
      </c>
      <c r="Y41" s="16">
        <f t="shared" si="33"/>
        <v>950.14285714285711</v>
      </c>
      <c r="Z41" s="16">
        <f t="shared" si="33"/>
        <v>702.21428571428578</v>
      </c>
      <c r="AA41" s="16">
        <f t="shared" si="33"/>
        <v>443.64285714285711</v>
      </c>
      <c r="AB41" s="16">
        <f t="shared" si="33"/>
        <v>473.85714285714289</v>
      </c>
      <c r="AC41" s="16">
        <f t="shared" si="33"/>
        <v>8859.4285714285725</v>
      </c>
      <c r="AD41" s="16">
        <f t="shared" si="33"/>
        <v>1.8571428571428568</v>
      </c>
      <c r="AE41" s="32">
        <f>SUM(AE10:AE33)</f>
        <v>13805.928571428572</v>
      </c>
      <c r="AF41" s="32">
        <f>SUM(AF10:AF33)</f>
        <v>22665.357142857141</v>
      </c>
    </row>
    <row r="42" spans="2:32" ht="23.1" customHeight="1" x14ac:dyDescent="0.25">
      <c r="B42" s="24" t="s">
        <v>69</v>
      </c>
      <c r="C42" s="49">
        <f>AVERAGE('22.07 Masanafu-Lubigi'!C42,'23.07 Masanafu-Lubigi'!C42,'24.07 Masanafu-Lubigi'!C42,'25.07 Masanafu-Lubigi'!C42,'26.07 Masanafu-Lubigi-24h'!C42,'27.07 Masanafu-Lubigi-24h'!C42,'28.07 Masanafu-Lubigi'!C42)</f>
        <v>80.142857142857139</v>
      </c>
      <c r="D42" s="49">
        <f>AVERAGE('22.07 Masanafu-Lubigi'!D42,'23.07 Masanafu-Lubigi'!D42,'24.07 Masanafu-Lubigi'!D42,'25.07 Masanafu-Lubigi'!D42,'26.07 Masanafu-Lubigi-24h'!D42,'27.07 Masanafu-Lubigi-24h'!D42,'28.07 Masanafu-Lubigi'!D42)</f>
        <v>27</v>
      </c>
      <c r="E42" s="49">
        <f>AVERAGE('22.07 Masanafu-Lubigi'!E42,'23.07 Masanafu-Lubigi'!E42,'24.07 Masanafu-Lubigi'!E42,'25.07 Masanafu-Lubigi'!E42,'26.07 Masanafu-Lubigi-24h'!E42,'27.07 Masanafu-Lubigi-24h'!E42,'28.07 Masanafu-Lubigi'!E42)</f>
        <v>16.142857142857142</v>
      </c>
      <c r="F42" s="49">
        <f>AVERAGE('22.07 Masanafu-Lubigi'!F42,'23.07 Masanafu-Lubigi'!F42,'24.07 Masanafu-Lubigi'!F42,'25.07 Masanafu-Lubigi'!F42,'26.07 Masanafu-Lubigi-24h'!F42,'27.07 Masanafu-Lubigi-24h'!F42,'28.07 Masanafu-Lubigi'!F42)</f>
        <v>24.285714285714285</v>
      </c>
      <c r="G42" s="49">
        <f>AVERAGE('22.07 Masanafu-Lubigi'!G42,'23.07 Masanafu-Lubigi'!G42,'24.07 Masanafu-Lubigi'!G42,'25.07 Masanafu-Lubigi'!G42,'26.07 Masanafu-Lubigi-24h'!G42,'27.07 Masanafu-Lubigi-24h'!G42,'28.07 Masanafu-Lubigi'!G42)</f>
        <v>1</v>
      </c>
      <c r="H42" s="49">
        <f>AVERAGE('22.07 Masanafu-Lubigi'!H42,'23.07 Masanafu-Lubigi'!H42,'24.07 Masanafu-Lubigi'!H42,'25.07 Masanafu-Lubigi'!H42,'26.07 Masanafu-Lubigi-24h'!H42,'27.07 Masanafu-Lubigi-24h'!H42,'28.07 Masanafu-Lubigi'!H42)</f>
        <v>0.14285714285714285</v>
      </c>
      <c r="I42" s="49">
        <f>AVERAGE('22.07 Masanafu-Lubigi'!I42,'23.07 Masanafu-Lubigi'!I42,'24.07 Masanafu-Lubigi'!I42,'25.07 Masanafu-Lubigi'!I42,'26.07 Masanafu-Lubigi-24h'!I42,'27.07 Masanafu-Lubigi-24h'!I42,'28.07 Masanafu-Lubigi'!I42)</f>
        <v>17.285714285714285</v>
      </c>
      <c r="J42" s="49">
        <f>AVERAGE('22.07 Masanafu-Lubigi'!J42,'23.07 Masanafu-Lubigi'!J42,'24.07 Masanafu-Lubigi'!J42,'25.07 Masanafu-Lubigi'!J42,'26.07 Masanafu-Lubigi-24h'!J42,'27.07 Masanafu-Lubigi-24h'!J42,'28.07 Masanafu-Lubigi'!J42)</f>
        <v>11.428571428571429</v>
      </c>
      <c r="K42" s="49">
        <f>AVERAGE('22.07 Masanafu-Lubigi'!K42,'23.07 Masanafu-Lubigi'!K42,'24.07 Masanafu-Lubigi'!K42,'25.07 Masanafu-Lubigi'!K42,'26.07 Masanafu-Lubigi-24h'!K42,'27.07 Masanafu-Lubigi-24h'!K42,'28.07 Masanafu-Lubigi'!K42)</f>
        <v>7</v>
      </c>
      <c r="L42" s="49">
        <f>AVERAGE('22.07 Masanafu-Lubigi'!L42,'23.07 Masanafu-Lubigi'!L42,'24.07 Masanafu-Lubigi'!L42,'25.07 Masanafu-Lubigi'!L42,'26.07 Masanafu-Lubigi-24h'!L42,'27.07 Masanafu-Lubigi-24h'!L42,'28.07 Masanafu-Lubigi'!L42)</f>
        <v>6</v>
      </c>
      <c r="M42" s="49">
        <f>AVERAGE('22.07 Masanafu-Lubigi'!M42,'23.07 Masanafu-Lubigi'!M42,'24.07 Masanafu-Lubigi'!M42,'25.07 Masanafu-Lubigi'!M42,'26.07 Masanafu-Lubigi-24h'!M42,'27.07 Masanafu-Lubigi-24h'!M42,'28.07 Masanafu-Lubigi'!M42)</f>
        <v>136.42857142857142</v>
      </c>
      <c r="N42" s="49">
        <f>AVERAGE('22.07 Masanafu-Lubigi'!N42,'23.07 Masanafu-Lubigi'!N42,'24.07 Masanafu-Lubigi'!N42,'25.07 Masanafu-Lubigi'!N42,'26.07 Masanafu-Lubigi-24h'!N42,'27.07 Masanafu-Lubigi-24h'!N42,'28.07 Masanafu-Lubigi'!N42)</f>
        <v>0</v>
      </c>
      <c r="O42" s="15">
        <f t="shared" si="0"/>
        <v>190.42857142857139</v>
      </c>
      <c r="P42" s="15">
        <f t="shared" si="1"/>
        <v>326.85714285714278</v>
      </c>
      <c r="R42" s="5" t="s">
        <v>160</v>
      </c>
      <c r="S42" s="48">
        <f>S41/S40</f>
        <v>1.5094012092841818</v>
      </c>
      <c r="T42" s="48">
        <f t="shared" ref="T42:AF42" si="34">T41/T40</f>
        <v>1.8553701626472237</v>
      </c>
      <c r="U42" s="48">
        <f t="shared" si="34"/>
        <v>1.891894759176745</v>
      </c>
      <c r="V42" s="48">
        <f t="shared" si="34"/>
        <v>2.1139602952405188</v>
      </c>
      <c r="W42" s="48">
        <f t="shared" si="34"/>
        <v>1.6114081996434937</v>
      </c>
      <c r="X42" s="48">
        <f t="shared" si="34"/>
        <v>1.770440251572327</v>
      </c>
      <c r="Y42" s="48">
        <f t="shared" si="34"/>
        <v>1.7397331938268377</v>
      </c>
      <c r="Z42" s="48">
        <f t="shared" si="34"/>
        <v>1.9467326732673269</v>
      </c>
      <c r="AA42" s="48">
        <f t="shared" si="34"/>
        <v>1.4980704293294742</v>
      </c>
      <c r="AB42" s="48">
        <f t="shared" si="34"/>
        <v>1.4676991150442478</v>
      </c>
      <c r="AC42" s="48">
        <f t="shared" si="34"/>
        <v>1.531334880734851</v>
      </c>
      <c r="AD42" s="48">
        <f t="shared" si="34"/>
        <v>1</v>
      </c>
      <c r="AE42" s="53">
        <f t="shared" si="34"/>
        <v>1.7028739075274881</v>
      </c>
      <c r="AF42" s="53">
        <f t="shared" si="34"/>
        <v>1.6314395886889461</v>
      </c>
    </row>
    <row r="43" spans="2:32" ht="23.1" customHeight="1" x14ac:dyDescent="0.25">
      <c r="B43" s="23" t="s">
        <v>70</v>
      </c>
      <c r="C43" s="49">
        <f>AVERAGE('22.07 Masanafu-Lubigi'!C43,'23.07 Masanafu-Lubigi'!C43,'24.07 Masanafu-Lubigi'!C43,'25.07 Masanafu-Lubigi'!C43,'26.07 Masanafu-Lubigi-24h'!C43,'27.07 Masanafu-Lubigi-24h'!C43,'28.07 Masanafu-Lubigi'!C43)</f>
        <v>82.285714285714292</v>
      </c>
      <c r="D43" s="49">
        <f>AVERAGE('22.07 Masanafu-Lubigi'!D43,'23.07 Masanafu-Lubigi'!D43,'24.07 Masanafu-Lubigi'!D43,'25.07 Masanafu-Lubigi'!D43,'26.07 Masanafu-Lubigi-24h'!D43,'27.07 Masanafu-Lubigi-24h'!D43,'28.07 Masanafu-Lubigi'!D43)</f>
        <v>23.285714285714285</v>
      </c>
      <c r="E43" s="49">
        <f>AVERAGE('22.07 Masanafu-Lubigi'!E43,'23.07 Masanafu-Lubigi'!E43,'24.07 Masanafu-Lubigi'!E43,'25.07 Masanafu-Lubigi'!E43,'26.07 Masanafu-Lubigi-24h'!E43,'27.07 Masanafu-Lubigi-24h'!E43,'28.07 Masanafu-Lubigi'!E43)</f>
        <v>13.285714285714286</v>
      </c>
      <c r="F43" s="49">
        <f>AVERAGE('22.07 Masanafu-Lubigi'!F43,'23.07 Masanafu-Lubigi'!F43,'24.07 Masanafu-Lubigi'!F43,'25.07 Masanafu-Lubigi'!F43,'26.07 Masanafu-Lubigi-24h'!F43,'27.07 Masanafu-Lubigi-24h'!F43,'28.07 Masanafu-Lubigi'!F43)</f>
        <v>14.857142857142858</v>
      </c>
      <c r="G43" s="49">
        <f>AVERAGE('22.07 Masanafu-Lubigi'!G43,'23.07 Masanafu-Lubigi'!G43,'24.07 Masanafu-Lubigi'!G43,'25.07 Masanafu-Lubigi'!G43,'26.07 Masanafu-Lubigi-24h'!G43,'27.07 Masanafu-Lubigi-24h'!G43,'28.07 Masanafu-Lubigi'!G43)</f>
        <v>1</v>
      </c>
      <c r="H43" s="49">
        <f>AVERAGE('22.07 Masanafu-Lubigi'!H43,'23.07 Masanafu-Lubigi'!H43,'24.07 Masanafu-Lubigi'!H43,'25.07 Masanafu-Lubigi'!H43,'26.07 Masanafu-Lubigi-24h'!H43,'27.07 Masanafu-Lubigi-24h'!H43,'28.07 Masanafu-Lubigi'!H43)</f>
        <v>0.2857142857142857</v>
      </c>
      <c r="I43" s="49">
        <f>AVERAGE('22.07 Masanafu-Lubigi'!I43,'23.07 Masanafu-Lubigi'!I43,'24.07 Masanafu-Lubigi'!I43,'25.07 Masanafu-Lubigi'!I43,'26.07 Masanafu-Lubigi-24h'!I43,'27.07 Masanafu-Lubigi-24h'!I43,'28.07 Masanafu-Lubigi'!I43)</f>
        <v>13.857142857142858</v>
      </c>
      <c r="J43" s="49">
        <f>AVERAGE('22.07 Masanafu-Lubigi'!J43,'23.07 Masanafu-Lubigi'!J43,'24.07 Masanafu-Lubigi'!J43,'25.07 Masanafu-Lubigi'!J43,'26.07 Masanafu-Lubigi-24h'!J43,'27.07 Masanafu-Lubigi-24h'!J43,'28.07 Masanafu-Lubigi'!J43)</f>
        <v>6.5714285714285712</v>
      </c>
      <c r="K43" s="49">
        <f>AVERAGE('22.07 Masanafu-Lubigi'!K43,'23.07 Masanafu-Lubigi'!K43,'24.07 Masanafu-Lubigi'!K43,'25.07 Masanafu-Lubigi'!K43,'26.07 Masanafu-Lubigi-24h'!K43,'27.07 Masanafu-Lubigi-24h'!K43,'28.07 Masanafu-Lubigi'!K43)</f>
        <v>8.7142857142857135</v>
      </c>
      <c r="L43" s="49">
        <f>AVERAGE('22.07 Masanafu-Lubigi'!L43,'23.07 Masanafu-Lubigi'!L43,'24.07 Masanafu-Lubigi'!L43,'25.07 Masanafu-Lubigi'!L43,'26.07 Masanafu-Lubigi-24h'!L43,'27.07 Masanafu-Lubigi-24h'!L43,'28.07 Masanafu-Lubigi'!L43)</f>
        <v>5.8571428571428568</v>
      </c>
      <c r="M43" s="49">
        <f>AVERAGE('22.07 Masanafu-Lubigi'!M43,'23.07 Masanafu-Lubigi'!M43,'24.07 Masanafu-Lubigi'!M43,'25.07 Masanafu-Lubigi'!M43,'26.07 Masanafu-Lubigi-24h'!M43,'27.07 Masanafu-Lubigi-24h'!M43,'28.07 Masanafu-Lubigi'!M43)</f>
        <v>97.714285714285708</v>
      </c>
      <c r="N43" s="49">
        <f>AVERAGE('22.07 Masanafu-Lubigi'!N43,'23.07 Masanafu-Lubigi'!N43,'24.07 Masanafu-Lubigi'!N43,'25.07 Masanafu-Lubigi'!N43,'26.07 Masanafu-Lubigi-24h'!N43,'27.07 Masanafu-Lubigi-24h'!N43,'28.07 Masanafu-Lubigi'!N43)</f>
        <v>0</v>
      </c>
      <c r="O43" s="15">
        <f t="shared" si="0"/>
        <v>170.00000000000003</v>
      </c>
      <c r="P43" s="15">
        <f t="shared" si="1"/>
        <v>267.71428571428572</v>
      </c>
    </row>
    <row r="44" spans="2:32" ht="23.1" customHeight="1" x14ac:dyDescent="0.25">
      <c r="B44" s="25" t="s">
        <v>71</v>
      </c>
      <c r="C44" s="49">
        <f>AVERAGE('22.07 Masanafu-Lubigi'!C44,'23.07 Masanafu-Lubigi'!C44,'24.07 Masanafu-Lubigi'!C44,'25.07 Masanafu-Lubigi'!C44,'26.07 Masanafu-Lubigi-24h'!C44,'27.07 Masanafu-Lubigi-24h'!C44,'28.07 Masanafu-Lubigi'!C44)</f>
        <v>84.714285714285708</v>
      </c>
      <c r="D44" s="49">
        <f>AVERAGE('22.07 Masanafu-Lubigi'!D44,'23.07 Masanafu-Lubigi'!D44,'24.07 Masanafu-Lubigi'!D44,'25.07 Masanafu-Lubigi'!D44,'26.07 Masanafu-Lubigi-24h'!D44,'27.07 Masanafu-Lubigi-24h'!D44,'28.07 Masanafu-Lubigi'!D44)</f>
        <v>29.428571428571427</v>
      </c>
      <c r="E44" s="49">
        <f>AVERAGE('22.07 Masanafu-Lubigi'!E44,'23.07 Masanafu-Lubigi'!E44,'24.07 Masanafu-Lubigi'!E44,'25.07 Masanafu-Lubigi'!E44,'26.07 Masanafu-Lubigi-24h'!E44,'27.07 Masanafu-Lubigi-24h'!E44,'28.07 Masanafu-Lubigi'!E44)</f>
        <v>11.714285714285714</v>
      </c>
      <c r="F44" s="49">
        <f>AVERAGE('22.07 Masanafu-Lubigi'!F44,'23.07 Masanafu-Lubigi'!F44,'24.07 Masanafu-Lubigi'!F44,'25.07 Masanafu-Lubigi'!F44,'26.07 Masanafu-Lubigi-24h'!F44,'27.07 Masanafu-Lubigi-24h'!F44,'28.07 Masanafu-Lubigi'!F44)</f>
        <v>18.714285714285715</v>
      </c>
      <c r="G44" s="49">
        <f>AVERAGE('22.07 Masanafu-Lubigi'!G44,'23.07 Masanafu-Lubigi'!G44,'24.07 Masanafu-Lubigi'!G44,'25.07 Masanafu-Lubigi'!G44,'26.07 Masanafu-Lubigi-24h'!G44,'27.07 Masanafu-Lubigi-24h'!G44,'28.07 Masanafu-Lubigi'!G44)</f>
        <v>1.5714285714285714</v>
      </c>
      <c r="H44" s="49">
        <f>AVERAGE('22.07 Masanafu-Lubigi'!H44,'23.07 Masanafu-Lubigi'!H44,'24.07 Masanafu-Lubigi'!H44,'25.07 Masanafu-Lubigi'!H44,'26.07 Masanafu-Lubigi-24h'!H44,'27.07 Masanafu-Lubigi-24h'!H44,'28.07 Masanafu-Lubigi'!H44)</f>
        <v>0.14285714285714285</v>
      </c>
      <c r="I44" s="49">
        <f>AVERAGE('22.07 Masanafu-Lubigi'!I44,'23.07 Masanafu-Lubigi'!I44,'24.07 Masanafu-Lubigi'!I44,'25.07 Masanafu-Lubigi'!I44,'26.07 Masanafu-Lubigi-24h'!I44,'27.07 Masanafu-Lubigi-24h'!I44,'28.07 Masanafu-Lubigi'!I44)</f>
        <v>14.428571428571429</v>
      </c>
      <c r="J44" s="49">
        <f>AVERAGE('22.07 Masanafu-Lubigi'!J44,'23.07 Masanafu-Lubigi'!J44,'24.07 Masanafu-Lubigi'!J44,'25.07 Masanafu-Lubigi'!J44,'26.07 Masanafu-Lubigi-24h'!J44,'27.07 Masanafu-Lubigi-24h'!J44,'28.07 Masanafu-Lubigi'!J44)</f>
        <v>8</v>
      </c>
      <c r="K44" s="49">
        <f>AVERAGE('22.07 Masanafu-Lubigi'!K44,'23.07 Masanafu-Lubigi'!K44,'24.07 Masanafu-Lubigi'!K44,'25.07 Masanafu-Lubigi'!K44,'26.07 Masanafu-Lubigi-24h'!K44,'27.07 Masanafu-Lubigi-24h'!K44,'28.07 Masanafu-Lubigi'!K44)</f>
        <v>9.8571428571428577</v>
      </c>
      <c r="L44" s="49">
        <f>AVERAGE('22.07 Masanafu-Lubigi'!L44,'23.07 Masanafu-Lubigi'!L44,'24.07 Masanafu-Lubigi'!L44,'25.07 Masanafu-Lubigi'!L44,'26.07 Masanafu-Lubigi-24h'!L44,'27.07 Masanafu-Lubigi-24h'!L44,'28.07 Masanafu-Lubigi'!L44)</f>
        <v>8.5714285714285712</v>
      </c>
      <c r="M44" s="49">
        <f>AVERAGE('22.07 Masanafu-Lubigi'!M44,'23.07 Masanafu-Lubigi'!M44,'24.07 Masanafu-Lubigi'!M44,'25.07 Masanafu-Lubigi'!M44,'26.07 Masanafu-Lubigi-24h'!M44,'27.07 Masanafu-Lubigi-24h'!M44,'28.07 Masanafu-Lubigi'!M44)</f>
        <v>118</v>
      </c>
      <c r="N44" s="49">
        <f>AVERAGE('22.07 Masanafu-Lubigi'!N44,'23.07 Masanafu-Lubigi'!N44,'24.07 Masanafu-Lubigi'!N44,'25.07 Masanafu-Lubigi'!N44,'26.07 Masanafu-Lubigi-24h'!N44,'27.07 Masanafu-Lubigi-24h'!N44,'28.07 Masanafu-Lubigi'!N44)</f>
        <v>0.14285714285714285</v>
      </c>
      <c r="O44" s="15">
        <f t="shared" si="0"/>
        <v>187.28571428571428</v>
      </c>
      <c r="P44" s="15">
        <f t="shared" si="1"/>
        <v>305.28571428571428</v>
      </c>
    </row>
    <row r="45" spans="2:32" ht="23.1" customHeight="1" x14ac:dyDescent="0.25">
      <c r="B45" s="23" t="s">
        <v>72</v>
      </c>
      <c r="C45" s="49">
        <f>AVERAGE('22.07 Masanafu-Lubigi'!C45,'23.07 Masanafu-Lubigi'!C45,'24.07 Masanafu-Lubigi'!C45,'25.07 Masanafu-Lubigi'!C45,'26.07 Masanafu-Lubigi-24h'!C45,'27.07 Masanafu-Lubigi-24h'!C45,'28.07 Masanafu-Lubigi'!C45)</f>
        <v>87.428571428571431</v>
      </c>
      <c r="D45" s="49">
        <f>AVERAGE('22.07 Masanafu-Lubigi'!D45,'23.07 Masanafu-Lubigi'!D45,'24.07 Masanafu-Lubigi'!D45,'25.07 Masanafu-Lubigi'!D45,'26.07 Masanafu-Lubigi-24h'!D45,'27.07 Masanafu-Lubigi-24h'!D45,'28.07 Masanafu-Lubigi'!D45)</f>
        <v>28.428571428571427</v>
      </c>
      <c r="E45" s="49">
        <f>AVERAGE('22.07 Masanafu-Lubigi'!E45,'23.07 Masanafu-Lubigi'!E45,'24.07 Masanafu-Lubigi'!E45,'25.07 Masanafu-Lubigi'!E45,'26.07 Masanafu-Lubigi-24h'!E45,'27.07 Masanafu-Lubigi-24h'!E45,'28.07 Masanafu-Lubigi'!E45)</f>
        <v>26.571428571428573</v>
      </c>
      <c r="F45" s="49">
        <f>AVERAGE('22.07 Masanafu-Lubigi'!F45,'23.07 Masanafu-Lubigi'!F45,'24.07 Masanafu-Lubigi'!F45,'25.07 Masanafu-Lubigi'!F45,'26.07 Masanafu-Lubigi-24h'!F45,'27.07 Masanafu-Lubigi-24h'!F45,'28.07 Masanafu-Lubigi'!F45)</f>
        <v>34.142857142857146</v>
      </c>
      <c r="G45" s="49">
        <f>AVERAGE('22.07 Masanafu-Lubigi'!G45,'23.07 Masanafu-Lubigi'!G45,'24.07 Masanafu-Lubigi'!G45,'25.07 Masanafu-Lubigi'!G45,'26.07 Masanafu-Lubigi-24h'!G45,'27.07 Masanafu-Lubigi-24h'!G45,'28.07 Masanafu-Lubigi'!G45)</f>
        <v>1.2857142857142858</v>
      </c>
      <c r="H45" s="49">
        <f>AVERAGE('22.07 Masanafu-Lubigi'!H45,'23.07 Masanafu-Lubigi'!H45,'24.07 Masanafu-Lubigi'!H45,'25.07 Masanafu-Lubigi'!H45,'26.07 Masanafu-Lubigi-24h'!H45,'27.07 Masanafu-Lubigi-24h'!H45,'28.07 Masanafu-Lubigi'!H45)</f>
        <v>0.5714285714285714</v>
      </c>
      <c r="I45" s="49">
        <f>AVERAGE('22.07 Masanafu-Lubigi'!I45,'23.07 Masanafu-Lubigi'!I45,'24.07 Masanafu-Lubigi'!I45,'25.07 Masanafu-Lubigi'!I45,'26.07 Masanafu-Lubigi-24h'!I45,'27.07 Masanafu-Lubigi-24h'!I45,'28.07 Masanafu-Lubigi'!I45)</f>
        <v>15.857142857142858</v>
      </c>
      <c r="J45" s="49">
        <f>AVERAGE('22.07 Masanafu-Lubigi'!J45,'23.07 Masanafu-Lubigi'!J45,'24.07 Masanafu-Lubigi'!J45,'25.07 Masanafu-Lubigi'!J45,'26.07 Masanafu-Lubigi-24h'!J45,'27.07 Masanafu-Lubigi-24h'!J45,'28.07 Masanafu-Lubigi'!J45)</f>
        <v>11</v>
      </c>
      <c r="K45" s="49">
        <f>AVERAGE('22.07 Masanafu-Lubigi'!K45,'23.07 Masanafu-Lubigi'!K45,'24.07 Masanafu-Lubigi'!K45,'25.07 Masanafu-Lubigi'!K45,'26.07 Masanafu-Lubigi-24h'!K45,'27.07 Masanafu-Lubigi-24h'!K45,'28.07 Masanafu-Lubigi'!K45)</f>
        <v>9.7142857142857135</v>
      </c>
      <c r="L45" s="49">
        <f>AVERAGE('22.07 Masanafu-Lubigi'!L45,'23.07 Masanafu-Lubigi'!L45,'24.07 Masanafu-Lubigi'!L45,'25.07 Masanafu-Lubigi'!L45,'26.07 Masanafu-Lubigi-24h'!L45,'27.07 Masanafu-Lubigi-24h'!L45,'28.07 Masanafu-Lubigi'!L45)</f>
        <v>12.857142857142858</v>
      </c>
      <c r="M45" s="49">
        <f>AVERAGE('22.07 Masanafu-Lubigi'!M45,'23.07 Masanafu-Lubigi'!M45,'24.07 Masanafu-Lubigi'!M45,'25.07 Masanafu-Lubigi'!M45,'26.07 Masanafu-Lubigi-24h'!M45,'27.07 Masanafu-Lubigi-24h'!M45,'28.07 Masanafu-Lubigi'!M45)</f>
        <v>104.42857142857143</v>
      </c>
      <c r="N45" s="49">
        <f>AVERAGE('22.07 Masanafu-Lubigi'!N45,'23.07 Masanafu-Lubigi'!N45,'24.07 Masanafu-Lubigi'!N45,'25.07 Masanafu-Lubigi'!N45,'26.07 Masanafu-Lubigi-24h'!N45,'27.07 Masanafu-Lubigi-24h'!N45,'28.07 Masanafu-Lubigi'!N45)</f>
        <v>0</v>
      </c>
      <c r="O45" s="15">
        <f t="shared" si="0"/>
        <v>227.85714285714289</v>
      </c>
      <c r="P45" s="15">
        <f t="shared" si="1"/>
        <v>332.28571428571433</v>
      </c>
    </row>
    <row r="46" spans="2:32" ht="23.1" customHeight="1" x14ac:dyDescent="0.25">
      <c r="B46" s="24" t="s">
        <v>73</v>
      </c>
      <c r="C46" s="49">
        <f>AVERAGE('22.07 Masanafu-Lubigi'!C46,'23.07 Masanafu-Lubigi'!C46,'24.07 Masanafu-Lubigi'!C46,'25.07 Masanafu-Lubigi'!C46,'26.07 Masanafu-Lubigi-24h'!C46,'27.07 Masanafu-Lubigi-24h'!C46,'28.07 Masanafu-Lubigi'!C46)</f>
        <v>85.714285714285708</v>
      </c>
      <c r="D46" s="49">
        <f>AVERAGE('22.07 Masanafu-Lubigi'!D46,'23.07 Masanafu-Lubigi'!D46,'24.07 Masanafu-Lubigi'!D46,'25.07 Masanafu-Lubigi'!D46,'26.07 Masanafu-Lubigi-24h'!D46,'27.07 Masanafu-Lubigi-24h'!D46,'28.07 Masanafu-Lubigi'!D46)</f>
        <v>22</v>
      </c>
      <c r="E46" s="49">
        <f>AVERAGE('22.07 Masanafu-Lubigi'!E46,'23.07 Masanafu-Lubigi'!E46,'24.07 Masanafu-Lubigi'!E46,'25.07 Masanafu-Lubigi'!E46,'26.07 Masanafu-Lubigi-24h'!E46,'27.07 Masanafu-Lubigi-24h'!E46,'28.07 Masanafu-Lubigi'!E46)</f>
        <v>22.428571428571427</v>
      </c>
      <c r="F46" s="49">
        <f>AVERAGE('22.07 Masanafu-Lubigi'!F46,'23.07 Masanafu-Lubigi'!F46,'24.07 Masanafu-Lubigi'!F46,'25.07 Masanafu-Lubigi'!F46,'26.07 Masanafu-Lubigi-24h'!F46,'27.07 Masanafu-Lubigi-24h'!F46,'28.07 Masanafu-Lubigi'!F46)</f>
        <v>27.285714285714285</v>
      </c>
      <c r="G46" s="49">
        <f>AVERAGE('22.07 Masanafu-Lubigi'!G46,'23.07 Masanafu-Lubigi'!G46,'24.07 Masanafu-Lubigi'!G46,'25.07 Masanafu-Lubigi'!G46,'26.07 Masanafu-Lubigi-24h'!G46,'27.07 Masanafu-Lubigi-24h'!G46,'28.07 Masanafu-Lubigi'!G46)</f>
        <v>0.7142857142857143</v>
      </c>
      <c r="H46" s="49">
        <f>AVERAGE('22.07 Masanafu-Lubigi'!H46,'23.07 Masanafu-Lubigi'!H46,'24.07 Masanafu-Lubigi'!H46,'25.07 Masanafu-Lubigi'!H46,'26.07 Masanafu-Lubigi-24h'!H46,'27.07 Masanafu-Lubigi-24h'!H46,'28.07 Masanafu-Lubigi'!H46)</f>
        <v>0</v>
      </c>
      <c r="I46" s="49">
        <f>AVERAGE('22.07 Masanafu-Lubigi'!I46,'23.07 Masanafu-Lubigi'!I46,'24.07 Masanafu-Lubigi'!I46,'25.07 Masanafu-Lubigi'!I46,'26.07 Masanafu-Lubigi-24h'!I46,'27.07 Masanafu-Lubigi-24h'!I46,'28.07 Masanafu-Lubigi'!I46)</f>
        <v>21.571428571428573</v>
      </c>
      <c r="J46" s="49">
        <f>AVERAGE('22.07 Masanafu-Lubigi'!J46,'23.07 Masanafu-Lubigi'!J46,'24.07 Masanafu-Lubigi'!J46,'25.07 Masanafu-Lubigi'!J46,'26.07 Masanafu-Lubigi-24h'!J46,'27.07 Masanafu-Lubigi-24h'!J46,'28.07 Masanafu-Lubigi'!J46)</f>
        <v>12.142857142857142</v>
      </c>
      <c r="K46" s="49">
        <f>AVERAGE('22.07 Masanafu-Lubigi'!K46,'23.07 Masanafu-Lubigi'!K46,'24.07 Masanafu-Lubigi'!K46,'25.07 Masanafu-Lubigi'!K46,'26.07 Masanafu-Lubigi-24h'!K46,'27.07 Masanafu-Lubigi-24h'!K46,'28.07 Masanafu-Lubigi'!K46)</f>
        <v>5.7142857142857144</v>
      </c>
      <c r="L46" s="49">
        <f>AVERAGE('22.07 Masanafu-Lubigi'!L46,'23.07 Masanafu-Lubigi'!L46,'24.07 Masanafu-Lubigi'!L46,'25.07 Masanafu-Lubigi'!L46,'26.07 Masanafu-Lubigi-24h'!L46,'27.07 Masanafu-Lubigi-24h'!L46,'28.07 Masanafu-Lubigi'!L46)</f>
        <v>7</v>
      </c>
      <c r="M46" s="49">
        <f>AVERAGE('22.07 Masanafu-Lubigi'!M46,'23.07 Masanafu-Lubigi'!M46,'24.07 Masanafu-Lubigi'!M46,'25.07 Masanafu-Lubigi'!M46,'26.07 Masanafu-Lubigi-24h'!M46,'27.07 Masanafu-Lubigi-24h'!M46,'28.07 Masanafu-Lubigi'!M46)</f>
        <v>111.71428571428571</v>
      </c>
      <c r="N46" s="49">
        <f>AVERAGE('22.07 Masanafu-Lubigi'!N46,'23.07 Masanafu-Lubigi'!N46,'24.07 Masanafu-Lubigi'!N46,'25.07 Masanafu-Lubigi'!N46,'26.07 Masanafu-Lubigi-24h'!N46,'27.07 Masanafu-Lubigi-24h'!N46,'28.07 Masanafu-Lubigi'!N46)</f>
        <v>0</v>
      </c>
      <c r="O46" s="15">
        <f t="shared" si="0"/>
        <v>204.57142857142858</v>
      </c>
      <c r="P46" s="15">
        <f t="shared" si="1"/>
        <v>316.28571428571428</v>
      </c>
      <c r="R46" s="8"/>
      <c r="T46"/>
    </row>
    <row r="47" spans="2:32" ht="23.1" customHeight="1" x14ac:dyDescent="0.25">
      <c r="B47" s="24" t="s">
        <v>74</v>
      </c>
      <c r="C47" s="49">
        <f>AVERAGE('22.07 Masanafu-Lubigi'!C47,'23.07 Masanafu-Lubigi'!C47,'24.07 Masanafu-Lubigi'!C47,'25.07 Masanafu-Lubigi'!C47,'26.07 Masanafu-Lubigi-24h'!C47,'27.07 Masanafu-Lubigi-24h'!C47,'28.07 Masanafu-Lubigi'!C47)</f>
        <v>100.71428571428571</v>
      </c>
      <c r="D47" s="49">
        <f>AVERAGE('22.07 Masanafu-Lubigi'!D47,'23.07 Masanafu-Lubigi'!D47,'24.07 Masanafu-Lubigi'!D47,'25.07 Masanafu-Lubigi'!D47,'26.07 Masanafu-Lubigi-24h'!D47,'27.07 Masanafu-Lubigi-24h'!D47,'28.07 Masanafu-Lubigi'!D47)</f>
        <v>22.857142857142858</v>
      </c>
      <c r="E47" s="49">
        <f>AVERAGE('22.07 Masanafu-Lubigi'!E47,'23.07 Masanafu-Lubigi'!E47,'24.07 Masanafu-Lubigi'!E47,'25.07 Masanafu-Lubigi'!E47,'26.07 Masanafu-Lubigi-24h'!E47,'27.07 Masanafu-Lubigi-24h'!E47,'28.07 Masanafu-Lubigi'!E47)</f>
        <v>15.571428571428571</v>
      </c>
      <c r="F47" s="49">
        <f>AVERAGE('22.07 Masanafu-Lubigi'!F47,'23.07 Masanafu-Lubigi'!F47,'24.07 Masanafu-Lubigi'!F47,'25.07 Masanafu-Lubigi'!F47,'26.07 Masanafu-Lubigi-24h'!F47,'27.07 Masanafu-Lubigi-24h'!F47,'28.07 Masanafu-Lubigi'!F47)</f>
        <v>21.571428571428573</v>
      </c>
      <c r="G47" s="49">
        <f>AVERAGE('22.07 Masanafu-Lubigi'!G47,'23.07 Masanafu-Lubigi'!G47,'24.07 Masanafu-Lubigi'!G47,'25.07 Masanafu-Lubigi'!G47,'26.07 Masanafu-Lubigi-24h'!G47,'27.07 Masanafu-Lubigi-24h'!G47,'28.07 Masanafu-Lubigi'!G47)</f>
        <v>1.2857142857142858</v>
      </c>
      <c r="H47" s="49">
        <f>AVERAGE('22.07 Masanafu-Lubigi'!H47,'23.07 Masanafu-Lubigi'!H47,'24.07 Masanafu-Lubigi'!H47,'25.07 Masanafu-Lubigi'!H47,'26.07 Masanafu-Lubigi-24h'!H47,'27.07 Masanafu-Lubigi-24h'!H47,'28.07 Masanafu-Lubigi'!H47)</f>
        <v>0.2857142857142857</v>
      </c>
      <c r="I47" s="49">
        <f>AVERAGE('22.07 Masanafu-Lubigi'!I47,'23.07 Masanafu-Lubigi'!I47,'24.07 Masanafu-Lubigi'!I47,'25.07 Masanafu-Lubigi'!I47,'26.07 Masanafu-Lubigi-24h'!I47,'27.07 Masanafu-Lubigi-24h'!I47,'28.07 Masanafu-Lubigi'!I47)</f>
        <v>14.571428571428571</v>
      </c>
      <c r="J47" s="49">
        <f>AVERAGE('22.07 Masanafu-Lubigi'!J47,'23.07 Masanafu-Lubigi'!J47,'24.07 Masanafu-Lubigi'!J47,'25.07 Masanafu-Lubigi'!J47,'26.07 Masanafu-Lubigi-24h'!J47,'27.07 Masanafu-Lubigi-24h'!J47,'28.07 Masanafu-Lubigi'!J47)</f>
        <v>10.857142857142858</v>
      </c>
      <c r="K47" s="49">
        <f>AVERAGE('22.07 Masanafu-Lubigi'!K47,'23.07 Masanafu-Lubigi'!K47,'24.07 Masanafu-Lubigi'!K47,'25.07 Masanafu-Lubigi'!K47,'26.07 Masanafu-Lubigi-24h'!K47,'27.07 Masanafu-Lubigi-24h'!K47,'28.07 Masanafu-Lubigi'!K47)</f>
        <v>8.2857142857142865</v>
      </c>
      <c r="L47" s="49">
        <f>AVERAGE('22.07 Masanafu-Lubigi'!L47,'23.07 Masanafu-Lubigi'!L47,'24.07 Masanafu-Lubigi'!L47,'25.07 Masanafu-Lubigi'!L47,'26.07 Masanafu-Lubigi-24h'!L47,'27.07 Masanafu-Lubigi-24h'!L47,'28.07 Masanafu-Lubigi'!L47)</f>
        <v>6</v>
      </c>
      <c r="M47" s="49">
        <f>AVERAGE('22.07 Masanafu-Lubigi'!M47,'23.07 Masanafu-Lubigi'!M47,'24.07 Masanafu-Lubigi'!M47,'25.07 Masanafu-Lubigi'!M47,'26.07 Masanafu-Lubigi-24h'!M47,'27.07 Masanafu-Lubigi-24h'!M47,'28.07 Masanafu-Lubigi'!M47)</f>
        <v>114.71428571428571</v>
      </c>
      <c r="N47" s="49">
        <f>AVERAGE('22.07 Masanafu-Lubigi'!N47,'23.07 Masanafu-Lubigi'!N47,'24.07 Masanafu-Lubigi'!N47,'25.07 Masanafu-Lubigi'!N47,'26.07 Masanafu-Lubigi-24h'!N47,'27.07 Masanafu-Lubigi-24h'!N47,'28.07 Masanafu-Lubigi'!N47)</f>
        <v>0</v>
      </c>
      <c r="O47" s="15">
        <f t="shared" si="0"/>
        <v>202</v>
      </c>
      <c r="P47" s="15">
        <f t="shared" si="1"/>
        <v>316.71428571428572</v>
      </c>
      <c r="R47" s="8"/>
      <c r="T47"/>
    </row>
    <row r="48" spans="2:32" ht="23.1" customHeight="1" x14ac:dyDescent="0.25">
      <c r="B48" s="24" t="s">
        <v>75</v>
      </c>
      <c r="C48" s="49">
        <f>AVERAGE('22.07 Masanafu-Lubigi'!C48,'23.07 Masanafu-Lubigi'!C48,'24.07 Masanafu-Lubigi'!C48,'25.07 Masanafu-Lubigi'!C48,'26.07 Masanafu-Lubigi-24h'!C48,'27.07 Masanafu-Lubigi-24h'!C48,'28.07 Masanafu-Lubigi'!C48)</f>
        <v>103.14285714285714</v>
      </c>
      <c r="D48" s="49">
        <f>AVERAGE('22.07 Masanafu-Lubigi'!D48,'23.07 Masanafu-Lubigi'!D48,'24.07 Masanafu-Lubigi'!D48,'25.07 Masanafu-Lubigi'!D48,'26.07 Masanafu-Lubigi-24h'!D48,'27.07 Masanafu-Lubigi-24h'!D48,'28.07 Masanafu-Lubigi'!D48)</f>
        <v>24</v>
      </c>
      <c r="E48" s="49">
        <f>AVERAGE('22.07 Masanafu-Lubigi'!E48,'23.07 Masanafu-Lubigi'!E48,'24.07 Masanafu-Lubigi'!E48,'25.07 Masanafu-Lubigi'!E48,'26.07 Masanafu-Lubigi-24h'!E48,'27.07 Masanafu-Lubigi-24h'!E48,'28.07 Masanafu-Lubigi'!E48)</f>
        <v>18.857142857142858</v>
      </c>
      <c r="F48" s="49">
        <f>AVERAGE('22.07 Masanafu-Lubigi'!F48,'23.07 Masanafu-Lubigi'!F48,'24.07 Masanafu-Lubigi'!F48,'25.07 Masanafu-Lubigi'!F48,'26.07 Masanafu-Lubigi-24h'!F48,'27.07 Masanafu-Lubigi-24h'!F48,'28.07 Masanafu-Lubigi'!F48)</f>
        <v>24.571428571428573</v>
      </c>
      <c r="G48" s="49">
        <f>AVERAGE('22.07 Masanafu-Lubigi'!G48,'23.07 Masanafu-Lubigi'!G48,'24.07 Masanafu-Lubigi'!G48,'25.07 Masanafu-Lubigi'!G48,'26.07 Masanafu-Lubigi-24h'!G48,'27.07 Masanafu-Lubigi-24h'!G48,'28.07 Masanafu-Lubigi'!G48)</f>
        <v>2</v>
      </c>
      <c r="H48" s="49">
        <f>AVERAGE('22.07 Masanafu-Lubigi'!H48,'23.07 Masanafu-Lubigi'!H48,'24.07 Masanafu-Lubigi'!H48,'25.07 Masanafu-Lubigi'!H48,'26.07 Masanafu-Lubigi-24h'!H48,'27.07 Masanafu-Lubigi-24h'!H48,'28.07 Masanafu-Lubigi'!H48)</f>
        <v>0.2857142857142857</v>
      </c>
      <c r="I48" s="49">
        <f>AVERAGE('22.07 Masanafu-Lubigi'!I48,'23.07 Masanafu-Lubigi'!I48,'24.07 Masanafu-Lubigi'!I48,'25.07 Masanafu-Lubigi'!I48,'26.07 Masanafu-Lubigi-24h'!I48,'27.07 Masanafu-Lubigi-24h'!I48,'28.07 Masanafu-Lubigi'!I48)</f>
        <v>13.285714285714286</v>
      </c>
      <c r="J48" s="49">
        <f>AVERAGE('22.07 Masanafu-Lubigi'!J48,'23.07 Masanafu-Lubigi'!J48,'24.07 Masanafu-Lubigi'!J48,'25.07 Masanafu-Lubigi'!J48,'26.07 Masanafu-Lubigi-24h'!J48,'27.07 Masanafu-Lubigi-24h'!J48,'28.07 Masanafu-Lubigi'!J48)</f>
        <v>7.5714285714285712</v>
      </c>
      <c r="K48" s="49">
        <f>AVERAGE('22.07 Masanafu-Lubigi'!K48,'23.07 Masanafu-Lubigi'!K48,'24.07 Masanafu-Lubigi'!K48,'25.07 Masanafu-Lubigi'!K48,'26.07 Masanafu-Lubigi-24h'!K48,'27.07 Masanafu-Lubigi-24h'!K48,'28.07 Masanafu-Lubigi'!K48)</f>
        <v>5</v>
      </c>
      <c r="L48" s="49">
        <f>AVERAGE('22.07 Masanafu-Lubigi'!L48,'23.07 Masanafu-Lubigi'!L48,'24.07 Masanafu-Lubigi'!L48,'25.07 Masanafu-Lubigi'!L48,'26.07 Masanafu-Lubigi-24h'!L48,'27.07 Masanafu-Lubigi-24h'!L48,'28.07 Masanafu-Lubigi'!L48)</f>
        <v>9.1428571428571423</v>
      </c>
      <c r="M48" s="49">
        <f>AVERAGE('22.07 Masanafu-Lubigi'!M48,'23.07 Masanafu-Lubigi'!M48,'24.07 Masanafu-Lubigi'!M48,'25.07 Masanafu-Lubigi'!M48,'26.07 Masanafu-Lubigi-24h'!M48,'27.07 Masanafu-Lubigi-24h'!M48,'28.07 Masanafu-Lubigi'!M48)</f>
        <v>115.42857142857143</v>
      </c>
      <c r="N48" s="49">
        <f>AVERAGE('22.07 Masanafu-Lubigi'!N48,'23.07 Masanafu-Lubigi'!N48,'24.07 Masanafu-Lubigi'!N48,'25.07 Masanafu-Lubigi'!N48,'26.07 Masanafu-Lubigi-24h'!N48,'27.07 Masanafu-Lubigi-24h'!N48,'28.07 Masanafu-Lubigi'!N48)</f>
        <v>0</v>
      </c>
      <c r="O48" s="15">
        <f t="shared" si="0"/>
        <v>207.85714285714286</v>
      </c>
      <c r="P48" s="15">
        <f t="shared" si="1"/>
        <v>323.28571428571428</v>
      </c>
      <c r="R48" s="8"/>
      <c r="T48"/>
    </row>
    <row r="49" spans="2:20" ht="23.1" customHeight="1" x14ac:dyDescent="0.25">
      <c r="B49" s="23" t="s">
        <v>76</v>
      </c>
      <c r="C49" s="49">
        <f>AVERAGE('22.07 Masanafu-Lubigi'!C49,'23.07 Masanafu-Lubigi'!C49,'24.07 Masanafu-Lubigi'!C49,'25.07 Masanafu-Lubigi'!C49,'26.07 Masanafu-Lubigi-24h'!C49,'27.07 Masanafu-Lubigi-24h'!C49,'28.07 Masanafu-Lubigi'!C49)</f>
        <v>88</v>
      </c>
      <c r="D49" s="49">
        <f>AVERAGE('22.07 Masanafu-Lubigi'!D49,'23.07 Masanafu-Lubigi'!D49,'24.07 Masanafu-Lubigi'!D49,'25.07 Masanafu-Lubigi'!D49,'26.07 Masanafu-Lubigi-24h'!D49,'27.07 Masanafu-Lubigi-24h'!D49,'28.07 Masanafu-Lubigi'!D49)</f>
        <v>24</v>
      </c>
      <c r="E49" s="49">
        <f>AVERAGE('22.07 Masanafu-Lubigi'!E49,'23.07 Masanafu-Lubigi'!E49,'24.07 Masanafu-Lubigi'!E49,'25.07 Masanafu-Lubigi'!E49,'26.07 Masanafu-Lubigi-24h'!E49,'27.07 Masanafu-Lubigi-24h'!E49,'28.07 Masanafu-Lubigi'!E49)</f>
        <v>15.285714285714286</v>
      </c>
      <c r="F49" s="49">
        <f>AVERAGE('22.07 Masanafu-Lubigi'!F49,'23.07 Masanafu-Lubigi'!F49,'24.07 Masanafu-Lubigi'!F49,'25.07 Masanafu-Lubigi'!F49,'26.07 Masanafu-Lubigi-24h'!F49,'27.07 Masanafu-Lubigi-24h'!F49,'28.07 Masanafu-Lubigi'!F49)</f>
        <v>20</v>
      </c>
      <c r="G49" s="49">
        <f>AVERAGE('22.07 Masanafu-Lubigi'!G49,'23.07 Masanafu-Lubigi'!G49,'24.07 Masanafu-Lubigi'!G49,'25.07 Masanafu-Lubigi'!G49,'26.07 Masanafu-Lubigi-24h'!G49,'27.07 Masanafu-Lubigi-24h'!G49,'28.07 Masanafu-Lubigi'!G49)</f>
        <v>1.5714285714285714</v>
      </c>
      <c r="H49" s="49">
        <f>AVERAGE('22.07 Masanafu-Lubigi'!H49,'23.07 Masanafu-Lubigi'!H49,'24.07 Masanafu-Lubigi'!H49,'25.07 Masanafu-Lubigi'!H49,'26.07 Masanafu-Lubigi-24h'!H49,'27.07 Masanafu-Lubigi-24h'!H49,'28.07 Masanafu-Lubigi'!H49)</f>
        <v>0.8571428571428571</v>
      </c>
      <c r="I49" s="49">
        <f>AVERAGE('22.07 Masanafu-Lubigi'!I49,'23.07 Masanafu-Lubigi'!I49,'24.07 Masanafu-Lubigi'!I49,'25.07 Masanafu-Lubigi'!I49,'26.07 Masanafu-Lubigi-24h'!I49,'27.07 Masanafu-Lubigi-24h'!I49,'28.07 Masanafu-Lubigi'!I49)</f>
        <v>13</v>
      </c>
      <c r="J49" s="49">
        <f>AVERAGE('22.07 Masanafu-Lubigi'!J49,'23.07 Masanafu-Lubigi'!J49,'24.07 Masanafu-Lubigi'!J49,'25.07 Masanafu-Lubigi'!J49,'26.07 Masanafu-Lubigi-24h'!J49,'27.07 Masanafu-Lubigi-24h'!J49,'28.07 Masanafu-Lubigi'!J49)</f>
        <v>5.5714285714285712</v>
      </c>
      <c r="K49" s="49">
        <f>AVERAGE('22.07 Masanafu-Lubigi'!K49,'23.07 Masanafu-Lubigi'!K49,'24.07 Masanafu-Lubigi'!K49,'25.07 Masanafu-Lubigi'!K49,'26.07 Masanafu-Lubigi-24h'!K49,'27.07 Masanafu-Lubigi-24h'!K49,'28.07 Masanafu-Lubigi'!K49)</f>
        <v>4.4285714285714288</v>
      </c>
      <c r="L49" s="49">
        <f>AVERAGE('22.07 Masanafu-Lubigi'!L49,'23.07 Masanafu-Lubigi'!L49,'24.07 Masanafu-Lubigi'!L49,'25.07 Masanafu-Lubigi'!L49,'26.07 Masanafu-Lubigi-24h'!L49,'27.07 Masanafu-Lubigi-24h'!L49,'28.07 Masanafu-Lubigi'!L49)</f>
        <v>6.2857142857142856</v>
      </c>
      <c r="M49" s="49">
        <f>AVERAGE('22.07 Masanafu-Lubigi'!M49,'23.07 Masanafu-Lubigi'!M49,'24.07 Masanafu-Lubigi'!M49,'25.07 Masanafu-Lubigi'!M49,'26.07 Masanafu-Lubigi-24h'!M49,'27.07 Masanafu-Lubigi-24h'!M49,'28.07 Masanafu-Lubigi'!M49)</f>
        <v>149.57142857142858</v>
      </c>
      <c r="N49" s="49">
        <f>AVERAGE('22.07 Masanafu-Lubigi'!N49,'23.07 Masanafu-Lubigi'!N49,'24.07 Masanafu-Lubigi'!N49,'25.07 Masanafu-Lubigi'!N49,'26.07 Masanafu-Lubigi-24h'!N49,'27.07 Masanafu-Lubigi-24h'!N49,'28.07 Masanafu-Lubigi'!N49)</f>
        <v>0.2857142857142857</v>
      </c>
      <c r="O49" s="15">
        <f t="shared" si="0"/>
        <v>179.28571428571428</v>
      </c>
      <c r="P49" s="15">
        <f t="shared" si="1"/>
        <v>328.85714285714283</v>
      </c>
      <c r="R49" s="8"/>
      <c r="T49"/>
    </row>
    <row r="50" spans="2:20" ht="23.1" customHeight="1" x14ac:dyDescent="0.25">
      <c r="B50" s="24" t="s">
        <v>77</v>
      </c>
      <c r="C50" s="49">
        <f>AVERAGE('22.07 Masanafu-Lubigi'!C50,'23.07 Masanafu-Lubigi'!C50,'24.07 Masanafu-Lubigi'!C50,'25.07 Masanafu-Lubigi'!C50,'26.07 Masanafu-Lubigi-24h'!C50,'27.07 Masanafu-Lubigi-24h'!C50,'28.07 Masanafu-Lubigi'!C50)</f>
        <v>85.142857142857139</v>
      </c>
      <c r="D50" s="49">
        <f>AVERAGE('22.07 Masanafu-Lubigi'!D50,'23.07 Masanafu-Lubigi'!D50,'24.07 Masanafu-Lubigi'!D50,'25.07 Masanafu-Lubigi'!D50,'26.07 Masanafu-Lubigi-24h'!D50,'27.07 Masanafu-Lubigi-24h'!D50,'28.07 Masanafu-Lubigi'!D50)</f>
        <v>21</v>
      </c>
      <c r="E50" s="49">
        <f>AVERAGE('22.07 Masanafu-Lubigi'!E50,'23.07 Masanafu-Lubigi'!E50,'24.07 Masanafu-Lubigi'!E50,'25.07 Masanafu-Lubigi'!E50,'26.07 Masanafu-Lubigi-24h'!E50,'27.07 Masanafu-Lubigi-24h'!E50,'28.07 Masanafu-Lubigi'!E50)</f>
        <v>16.857142857142858</v>
      </c>
      <c r="F50" s="49">
        <f>AVERAGE('22.07 Masanafu-Lubigi'!F50,'23.07 Masanafu-Lubigi'!F50,'24.07 Masanafu-Lubigi'!F50,'25.07 Masanafu-Lubigi'!F50,'26.07 Masanafu-Lubigi-24h'!F50,'27.07 Masanafu-Lubigi-24h'!F50,'28.07 Masanafu-Lubigi'!F50)</f>
        <v>28.714285714285715</v>
      </c>
      <c r="G50" s="49">
        <f>AVERAGE('22.07 Masanafu-Lubigi'!G50,'23.07 Masanafu-Lubigi'!G50,'24.07 Masanafu-Lubigi'!G50,'25.07 Masanafu-Lubigi'!G50,'26.07 Masanafu-Lubigi-24h'!G50,'27.07 Masanafu-Lubigi-24h'!G50,'28.07 Masanafu-Lubigi'!G50)</f>
        <v>2.8571428571428572</v>
      </c>
      <c r="H50" s="49">
        <f>AVERAGE('22.07 Masanafu-Lubigi'!H50,'23.07 Masanafu-Lubigi'!H50,'24.07 Masanafu-Lubigi'!H50,'25.07 Masanafu-Lubigi'!H50,'26.07 Masanafu-Lubigi-24h'!H50,'27.07 Masanafu-Lubigi-24h'!H50,'28.07 Masanafu-Lubigi'!H50)</f>
        <v>0.5714285714285714</v>
      </c>
      <c r="I50" s="49">
        <f>AVERAGE('22.07 Masanafu-Lubigi'!I50,'23.07 Masanafu-Lubigi'!I50,'24.07 Masanafu-Lubigi'!I50,'25.07 Masanafu-Lubigi'!I50,'26.07 Masanafu-Lubigi-24h'!I50,'27.07 Masanafu-Lubigi-24h'!I50,'28.07 Masanafu-Lubigi'!I50)</f>
        <v>12.428571428571429</v>
      </c>
      <c r="J50" s="49">
        <f>AVERAGE('22.07 Masanafu-Lubigi'!J50,'23.07 Masanafu-Lubigi'!J50,'24.07 Masanafu-Lubigi'!J50,'25.07 Masanafu-Lubigi'!J50,'26.07 Masanafu-Lubigi-24h'!J50,'27.07 Masanafu-Lubigi-24h'!J50,'28.07 Masanafu-Lubigi'!J50)</f>
        <v>9.5714285714285712</v>
      </c>
      <c r="K50" s="49">
        <f>AVERAGE('22.07 Masanafu-Lubigi'!K50,'23.07 Masanafu-Lubigi'!K50,'24.07 Masanafu-Lubigi'!K50,'25.07 Masanafu-Lubigi'!K50,'26.07 Masanafu-Lubigi-24h'!K50,'27.07 Masanafu-Lubigi-24h'!K50,'28.07 Masanafu-Lubigi'!K50)</f>
        <v>5.1428571428571432</v>
      </c>
      <c r="L50" s="49">
        <f>AVERAGE('22.07 Masanafu-Lubigi'!L50,'23.07 Masanafu-Lubigi'!L50,'24.07 Masanafu-Lubigi'!L50,'25.07 Masanafu-Lubigi'!L50,'26.07 Masanafu-Lubigi-24h'!L50,'27.07 Masanafu-Lubigi-24h'!L50,'28.07 Masanafu-Lubigi'!L50)</f>
        <v>6.2857142857142856</v>
      </c>
      <c r="M50" s="49">
        <f>AVERAGE('22.07 Masanafu-Lubigi'!M50,'23.07 Masanafu-Lubigi'!M50,'24.07 Masanafu-Lubigi'!M50,'25.07 Masanafu-Lubigi'!M50,'26.07 Masanafu-Lubigi-24h'!M50,'27.07 Masanafu-Lubigi-24h'!M50,'28.07 Masanafu-Lubigi'!M50)</f>
        <v>117.42857142857143</v>
      </c>
      <c r="N50" s="49">
        <f>AVERAGE('22.07 Masanafu-Lubigi'!N50,'23.07 Masanafu-Lubigi'!N50,'24.07 Masanafu-Lubigi'!N50,'25.07 Masanafu-Lubigi'!N50,'26.07 Masanafu-Lubigi-24h'!N50,'27.07 Masanafu-Lubigi-24h'!N50,'28.07 Masanafu-Lubigi'!N50)</f>
        <v>0</v>
      </c>
      <c r="O50" s="15">
        <f t="shared" si="0"/>
        <v>188.57142857142858</v>
      </c>
      <c r="P50" s="15">
        <f t="shared" si="1"/>
        <v>306</v>
      </c>
      <c r="R50" s="8"/>
      <c r="T50"/>
    </row>
    <row r="51" spans="2:20" ht="23.1" customHeight="1" x14ac:dyDescent="0.25">
      <c r="B51" s="24" t="s">
        <v>78</v>
      </c>
      <c r="C51" s="49">
        <f>AVERAGE('22.07 Masanafu-Lubigi'!C51,'23.07 Masanafu-Lubigi'!C51,'24.07 Masanafu-Lubigi'!C51,'25.07 Masanafu-Lubigi'!C51,'26.07 Masanafu-Lubigi-24h'!C51,'27.07 Masanafu-Lubigi-24h'!C51,'28.07 Masanafu-Lubigi'!C51)</f>
        <v>89.857142857142861</v>
      </c>
      <c r="D51" s="49">
        <f>AVERAGE('22.07 Masanafu-Lubigi'!D51,'23.07 Masanafu-Lubigi'!D51,'24.07 Masanafu-Lubigi'!D51,'25.07 Masanafu-Lubigi'!D51,'26.07 Masanafu-Lubigi-24h'!D51,'27.07 Masanafu-Lubigi-24h'!D51,'28.07 Masanafu-Lubigi'!D51)</f>
        <v>20.571428571428573</v>
      </c>
      <c r="E51" s="49">
        <f>AVERAGE('22.07 Masanafu-Lubigi'!E51,'23.07 Masanafu-Lubigi'!E51,'24.07 Masanafu-Lubigi'!E51,'25.07 Masanafu-Lubigi'!E51,'26.07 Masanafu-Lubigi-24h'!E51,'27.07 Masanafu-Lubigi-24h'!E51,'28.07 Masanafu-Lubigi'!E51)</f>
        <v>16.571428571428573</v>
      </c>
      <c r="F51" s="49">
        <f>AVERAGE('22.07 Masanafu-Lubigi'!F51,'23.07 Masanafu-Lubigi'!F51,'24.07 Masanafu-Lubigi'!F51,'25.07 Masanafu-Lubigi'!F51,'26.07 Masanafu-Lubigi-24h'!F51,'27.07 Masanafu-Lubigi-24h'!F51,'28.07 Masanafu-Lubigi'!F51)</f>
        <v>26.285714285714285</v>
      </c>
      <c r="G51" s="49">
        <f>AVERAGE('22.07 Masanafu-Lubigi'!G51,'23.07 Masanafu-Lubigi'!G51,'24.07 Masanafu-Lubigi'!G51,'25.07 Masanafu-Lubigi'!G51,'26.07 Masanafu-Lubigi-24h'!G51,'27.07 Masanafu-Lubigi-24h'!G51,'28.07 Masanafu-Lubigi'!G51)</f>
        <v>3.7142857142857144</v>
      </c>
      <c r="H51" s="49">
        <f>AVERAGE('22.07 Masanafu-Lubigi'!H51,'23.07 Masanafu-Lubigi'!H51,'24.07 Masanafu-Lubigi'!H51,'25.07 Masanafu-Lubigi'!H51,'26.07 Masanafu-Lubigi-24h'!H51,'27.07 Masanafu-Lubigi-24h'!H51,'28.07 Masanafu-Lubigi'!H51)</f>
        <v>0.5714285714285714</v>
      </c>
      <c r="I51" s="49">
        <f>AVERAGE('22.07 Masanafu-Lubigi'!I51,'23.07 Masanafu-Lubigi'!I51,'24.07 Masanafu-Lubigi'!I51,'25.07 Masanafu-Lubigi'!I51,'26.07 Masanafu-Lubigi-24h'!I51,'27.07 Masanafu-Lubigi-24h'!I51,'28.07 Masanafu-Lubigi'!I51)</f>
        <v>11.714285714285714</v>
      </c>
      <c r="J51" s="49">
        <f>AVERAGE('22.07 Masanafu-Lubigi'!J51,'23.07 Masanafu-Lubigi'!J51,'24.07 Masanafu-Lubigi'!J51,'25.07 Masanafu-Lubigi'!J51,'26.07 Masanafu-Lubigi-24h'!J51,'27.07 Masanafu-Lubigi-24h'!J51,'28.07 Masanafu-Lubigi'!J51)</f>
        <v>9.4285714285714288</v>
      </c>
      <c r="K51" s="49">
        <f>AVERAGE('22.07 Masanafu-Lubigi'!K51,'23.07 Masanafu-Lubigi'!K51,'24.07 Masanafu-Lubigi'!K51,'25.07 Masanafu-Lubigi'!K51,'26.07 Masanafu-Lubigi-24h'!K51,'27.07 Masanafu-Lubigi-24h'!K51,'28.07 Masanafu-Lubigi'!K51)</f>
        <v>6.2857142857142856</v>
      </c>
      <c r="L51" s="49">
        <f>AVERAGE('22.07 Masanafu-Lubigi'!L51,'23.07 Masanafu-Lubigi'!L51,'24.07 Masanafu-Lubigi'!L51,'25.07 Masanafu-Lubigi'!L51,'26.07 Masanafu-Lubigi-24h'!L51,'27.07 Masanafu-Lubigi-24h'!L51,'28.07 Masanafu-Lubigi'!L51)</f>
        <v>8.4285714285714288</v>
      </c>
      <c r="M51" s="49">
        <f>AVERAGE('22.07 Masanafu-Lubigi'!M51,'23.07 Masanafu-Lubigi'!M51,'24.07 Masanafu-Lubigi'!M51,'25.07 Masanafu-Lubigi'!M51,'26.07 Masanafu-Lubigi-24h'!M51,'27.07 Masanafu-Lubigi-24h'!M51,'28.07 Masanafu-Lubigi'!M51)</f>
        <v>130</v>
      </c>
      <c r="N51" s="49">
        <f>AVERAGE('22.07 Masanafu-Lubigi'!N51,'23.07 Masanafu-Lubigi'!N51,'24.07 Masanafu-Lubigi'!N51,'25.07 Masanafu-Lubigi'!N51,'26.07 Masanafu-Lubigi-24h'!N51,'27.07 Masanafu-Lubigi-24h'!N51,'28.07 Masanafu-Lubigi'!N51)</f>
        <v>0</v>
      </c>
      <c r="O51" s="15">
        <f t="shared" si="0"/>
        <v>193.42857142857142</v>
      </c>
      <c r="P51" s="15">
        <f t="shared" si="1"/>
        <v>323.42857142857144</v>
      </c>
      <c r="R51" s="8"/>
      <c r="T51"/>
    </row>
    <row r="52" spans="2:20" ht="23.1" customHeight="1" x14ac:dyDescent="0.25">
      <c r="B52" s="24" t="s">
        <v>79</v>
      </c>
      <c r="C52" s="49">
        <f>AVERAGE('22.07 Masanafu-Lubigi'!C52,'23.07 Masanafu-Lubigi'!C52,'24.07 Masanafu-Lubigi'!C52,'25.07 Masanafu-Lubigi'!C52,'26.07 Masanafu-Lubigi-24h'!C52,'27.07 Masanafu-Lubigi-24h'!C52,'28.07 Masanafu-Lubigi'!C52)</f>
        <v>102.71428571428571</v>
      </c>
      <c r="D52" s="49">
        <f>AVERAGE('22.07 Masanafu-Lubigi'!D52,'23.07 Masanafu-Lubigi'!D52,'24.07 Masanafu-Lubigi'!D52,'25.07 Masanafu-Lubigi'!D52,'26.07 Masanafu-Lubigi-24h'!D52,'27.07 Masanafu-Lubigi-24h'!D52,'28.07 Masanafu-Lubigi'!D52)</f>
        <v>29.857142857142858</v>
      </c>
      <c r="E52" s="49">
        <f>AVERAGE('22.07 Masanafu-Lubigi'!E52,'23.07 Masanafu-Lubigi'!E52,'24.07 Masanafu-Lubigi'!E52,'25.07 Masanafu-Lubigi'!E52,'26.07 Masanafu-Lubigi-24h'!E52,'27.07 Masanafu-Lubigi-24h'!E52,'28.07 Masanafu-Lubigi'!E52)</f>
        <v>16.428571428571427</v>
      </c>
      <c r="F52" s="49">
        <f>AVERAGE('22.07 Masanafu-Lubigi'!F52,'23.07 Masanafu-Lubigi'!F52,'24.07 Masanafu-Lubigi'!F52,'25.07 Masanafu-Lubigi'!F52,'26.07 Masanafu-Lubigi-24h'!F52,'27.07 Masanafu-Lubigi-24h'!F52,'28.07 Masanafu-Lubigi'!F52)</f>
        <v>28.571428571428573</v>
      </c>
      <c r="G52" s="49">
        <f>AVERAGE('22.07 Masanafu-Lubigi'!G52,'23.07 Masanafu-Lubigi'!G52,'24.07 Masanafu-Lubigi'!G52,'25.07 Masanafu-Lubigi'!G52,'26.07 Masanafu-Lubigi-24h'!G52,'27.07 Masanafu-Lubigi-24h'!G52,'28.07 Masanafu-Lubigi'!G52)</f>
        <v>2.5714285714285716</v>
      </c>
      <c r="H52" s="49">
        <f>AVERAGE('22.07 Masanafu-Lubigi'!H52,'23.07 Masanafu-Lubigi'!H52,'24.07 Masanafu-Lubigi'!H52,'25.07 Masanafu-Lubigi'!H52,'26.07 Masanafu-Lubigi-24h'!H52,'27.07 Masanafu-Lubigi-24h'!H52,'28.07 Masanafu-Lubigi'!H52)</f>
        <v>0.2857142857142857</v>
      </c>
      <c r="I52" s="49">
        <f>AVERAGE('22.07 Masanafu-Lubigi'!I52,'23.07 Masanafu-Lubigi'!I52,'24.07 Masanafu-Lubigi'!I52,'25.07 Masanafu-Lubigi'!I52,'26.07 Masanafu-Lubigi-24h'!I52,'27.07 Masanafu-Lubigi-24h'!I52,'28.07 Masanafu-Lubigi'!I52)</f>
        <v>11.714285714285714</v>
      </c>
      <c r="J52" s="49">
        <f>AVERAGE('22.07 Masanafu-Lubigi'!J52,'23.07 Masanafu-Lubigi'!J52,'24.07 Masanafu-Lubigi'!J52,'25.07 Masanafu-Lubigi'!J52,'26.07 Masanafu-Lubigi-24h'!J52,'27.07 Masanafu-Lubigi-24h'!J52,'28.07 Masanafu-Lubigi'!J52)</f>
        <v>7.7142857142857144</v>
      </c>
      <c r="K52" s="49">
        <f>AVERAGE('22.07 Masanafu-Lubigi'!K52,'23.07 Masanafu-Lubigi'!K52,'24.07 Masanafu-Lubigi'!K52,'25.07 Masanafu-Lubigi'!K52,'26.07 Masanafu-Lubigi-24h'!K52,'27.07 Masanafu-Lubigi-24h'!K52,'28.07 Masanafu-Lubigi'!K52)</f>
        <v>4.5714285714285712</v>
      </c>
      <c r="L52" s="49">
        <f>AVERAGE('22.07 Masanafu-Lubigi'!L52,'23.07 Masanafu-Lubigi'!L52,'24.07 Masanafu-Lubigi'!L52,'25.07 Masanafu-Lubigi'!L52,'26.07 Masanafu-Lubigi-24h'!L52,'27.07 Masanafu-Lubigi-24h'!L52,'28.07 Masanafu-Lubigi'!L52)</f>
        <v>10.428571428571429</v>
      </c>
      <c r="M52" s="49">
        <f>AVERAGE('22.07 Masanafu-Lubigi'!M52,'23.07 Masanafu-Lubigi'!M52,'24.07 Masanafu-Lubigi'!M52,'25.07 Masanafu-Lubigi'!M52,'26.07 Masanafu-Lubigi-24h'!M52,'27.07 Masanafu-Lubigi-24h'!M52,'28.07 Masanafu-Lubigi'!M52)</f>
        <v>116.57142857142857</v>
      </c>
      <c r="N52" s="49">
        <f>AVERAGE('22.07 Masanafu-Lubigi'!N52,'23.07 Masanafu-Lubigi'!N52,'24.07 Masanafu-Lubigi'!N52,'25.07 Masanafu-Lubigi'!N52,'26.07 Masanafu-Lubigi-24h'!N52,'27.07 Masanafu-Lubigi-24h'!N52,'28.07 Masanafu-Lubigi'!N52)</f>
        <v>0.14285714285714285</v>
      </c>
      <c r="O52" s="15">
        <f t="shared" si="0"/>
        <v>215</v>
      </c>
      <c r="P52" s="15">
        <f t="shared" si="1"/>
        <v>331.57142857142861</v>
      </c>
      <c r="R52" s="8"/>
      <c r="T52"/>
    </row>
    <row r="53" spans="2:20" ht="23.1" customHeight="1" x14ac:dyDescent="0.25">
      <c r="B53" s="23" t="s">
        <v>80</v>
      </c>
      <c r="C53" s="49">
        <f>AVERAGE('22.07 Masanafu-Lubigi'!C53,'23.07 Masanafu-Lubigi'!C53,'24.07 Masanafu-Lubigi'!C53,'25.07 Masanafu-Lubigi'!C53,'26.07 Masanafu-Lubigi-24h'!C53,'27.07 Masanafu-Lubigi-24h'!C53,'28.07 Masanafu-Lubigi'!C53)</f>
        <v>85</v>
      </c>
      <c r="D53" s="49">
        <f>AVERAGE('22.07 Masanafu-Lubigi'!D53,'23.07 Masanafu-Lubigi'!D53,'24.07 Masanafu-Lubigi'!D53,'25.07 Masanafu-Lubigi'!D53,'26.07 Masanafu-Lubigi-24h'!D53,'27.07 Masanafu-Lubigi-24h'!D53,'28.07 Masanafu-Lubigi'!D53)</f>
        <v>35.714285714285715</v>
      </c>
      <c r="E53" s="49">
        <f>AVERAGE('22.07 Masanafu-Lubigi'!E53,'23.07 Masanafu-Lubigi'!E53,'24.07 Masanafu-Lubigi'!E53,'25.07 Masanafu-Lubigi'!E53,'26.07 Masanafu-Lubigi-24h'!E53,'27.07 Masanafu-Lubigi-24h'!E53,'28.07 Masanafu-Lubigi'!E53)</f>
        <v>20.428571428571427</v>
      </c>
      <c r="F53" s="49">
        <f>AVERAGE('22.07 Masanafu-Lubigi'!F53,'23.07 Masanafu-Lubigi'!F53,'24.07 Masanafu-Lubigi'!F53,'25.07 Masanafu-Lubigi'!F53,'26.07 Masanafu-Lubigi-24h'!F53,'27.07 Masanafu-Lubigi-24h'!F53,'28.07 Masanafu-Lubigi'!F53)</f>
        <v>31.428571428571427</v>
      </c>
      <c r="G53" s="49">
        <f>AVERAGE('22.07 Masanafu-Lubigi'!G53,'23.07 Masanafu-Lubigi'!G53,'24.07 Masanafu-Lubigi'!G53,'25.07 Masanafu-Lubigi'!G53,'26.07 Masanafu-Lubigi-24h'!G53,'27.07 Masanafu-Lubigi-24h'!G53,'28.07 Masanafu-Lubigi'!G53)</f>
        <v>2.1428571428571428</v>
      </c>
      <c r="H53" s="49">
        <f>AVERAGE('22.07 Masanafu-Lubigi'!H53,'23.07 Masanafu-Lubigi'!H53,'24.07 Masanafu-Lubigi'!H53,'25.07 Masanafu-Lubigi'!H53,'26.07 Masanafu-Lubigi-24h'!H53,'27.07 Masanafu-Lubigi-24h'!H53,'28.07 Masanafu-Lubigi'!H53)</f>
        <v>0.2857142857142857</v>
      </c>
      <c r="I53" s="49">
        <f>AVERAGE('22.07 Masanafu-Lubigi'!I53,'23.07 Masanafu-Lubigi'!I53,'24.07 Masanafu-Lubigi'!I53,'25.07 Masanafu-Lubigi'!I53,'26.07 Masanafu-Lubigi-24h'!I53,'27.07 Masanafu-Lubigi-24h'!I53,'28.07 Masanafu-Lubigi'!I53)</f>
        <v>11.571428571428571</v>
      </c>
      <c r="J53" s="49">
        <f>AVERAGE('22.07 Masanafu-Lubigi'!J53,'23.07 Masanafu-Lubigi'!J53,'24.07 Masanafu-Lubigi'!J53,'25.07 Masanafu-Lubigi'!J53,'26.07 Masanafu-Lubigi-24h'!J53,'27.07 Masanafu-Lubigi-24h'!J53,'28.07 Masanafu-Lubigi'!J53)</f>
        <v>6.5714285714285712</v>
      </c>
      <c r="K53" s="49">
        <f>AVERAGE('22.07 Masanafu-Lubigi'!K53,'23.07 Masanafu-Lubigi'!K53,'24.07 Masanafu-Lubigi'!K53,'25.07 Masanafu-Lubigi'!K53,'26.07 Masanafu-Lubigi-24h'!K53,'27.07 Masanafu-Lubigi-24h'!K53,'28.07 Masanafu-Lubigi'!K53)</f>
        <v>3.8571428571428572</v>
      </c>
      <c r="L53" s="49">
        <f>AVERAGE('22.07 Masanafu-Lubigi'!L53,'23.07 Masanafu-Lubigi'!L53,'24.07 Masanafu-Lubigi'!L53,'25.07 Masanafu-Lubigi'!L53,'26.07 Masanafu-Lubigi-24h'!L53,'27.07 Masanafu-Lubigi-24h'!L53,'28.07 Masanafu-Lubigi'!L53)</f>
        <v>9.5714285714285712</v>
      </c>
      <c r="M53" s="49">
        <f>AVERAGE('22.07 Masanafu-Lubigi'!M53,'23.07 Masanafu-Lubigi'!M53,'24.07 Masanafu-Lubigi'!M53,'25.07 Masanafu-Lubigi'!M53,'26.07 Masanafu-Lubigi-24h'!M53,'27.07 Masanafu-Lubigi-24h'!M53,'28.07 Masanafu-Lubigi'!M53)</f>
        <v>120</v>
      </c>
      <c r="N53" s="49">
        <f>AVERAGE('22.07 Masanafu-Lubigi'!N53,'23.07 Masanafu-Lubigi'!N53,'24.07 Masanafu-Lubigi'!N53,'25.07 Masanafu-Lubigi'!N53,'26.07 Masanafu-Lubigi-24h'!N53,'27.07 Masanafu-Lubigi-24h'!N53,'28.07 Masanafu-Lubigi'!N53)</f>
        <v>0</v>
      </c>
      <c r="O53" s="15">
        <f t="shared" si="0"/>
        <v>206.57142857142858</v>
      </c>
      <c r="P53" s="15">
        <f t="shared" si="1"/>
        <v>326.57142857142856</v>
      </c>
      <c r="R53" s="8"/>
      <c r="T53"/>
    </row>
    <row r="54" spans="2:20" ht="23.1" customHeight="1" x14ac:dyDescent="0.25">
      <c r="B54" s="23" t="s">
        <v>81</v>
      </c>
      <c r="C54" s="49">
        <f>AVERAGE('22.07 Masanafu-Lubigi'!C54,'23.07 Masanafu-Lubigi'!C54,'24.07 Masanafu-Lubigi'!C54,'25.07 Masanafu-Lubigi'!C54,'26.07 Masanafu-Lubigi-24h'!C54,'27.07 Masanafu-Lubigi-24h'!C54,'28.07 Masanafu-Lubigi'!C54)</f>
        <v>88.571428571428569</v>
      </c>
      <c r="D54" s="49">
        <f>AVERAGE('22.07 Masanafu-Lubigi'!D54,'23.07 Masanafu-Lubigi'!D54,'24.07 Masanafu-Lubigi'!D54,'25.07 Masanafu-Lubigi'!D54,'26.07 Masanafu-Lubigi-24h'!D54,'27.07 Masanafu-Lubigi-24h'!D54,'28.07 Masanafu-Lubigi'!D54)</f>
        <v>38.142857142857146</v>
      </c>
      <c r="E54" s="49">
        <f>AVERAGE('22.07 Masanafu-Lubigi'!E54,'23.07 Masanafu-Lubigi'!E54,'24.07 Masanafu-Lubigi'!E54,'25.07 Masanafu-Lubigi'!E54,'26.07 Masanafu-Lubigi-24h'!E54,'27.07 Masanafu-Lubigi-24h'!E54,'28.07 Masanafu-Lubigi'!E54)</f>
        <v>19</v>
      </c>
      <c r="F54" s="49">
        <f>AVERAGE('22.07 Masanafu-Lubigi'!F54,'23.07 Masanafu-Lubigi'!F54,'24.07 Masanafu-Lubigi'!F54,'25.07 Masanafu-Lubigi'!F54,'26.07 Masanafu-Lubigi-24h'!F54,'27.07 Masanafu-Lubigi-24h'!F54,'28.07 Masanafu-Lubigi'!F54)</f>
        <v>31</v>
      </c>
      <c r="G54" s="49">
        <f>AVERAGE('22.07 Masanafu-Lubigi'!G54,'23.07 Masanafu-Lubigi'!G54,'24.07 Masanafu-Lubigi'!G54,'25.07 Masanafu-Lubigi'!G54,'26.07 Masanafu-Lubigi-24h'!G54,'27.07 Masanafu-Lubigi-24h'!G54,'28.07 Masanafu-Lubigi'!G54)</f>
        <v>2.7142857142857144</v>
      </c>
      <c r="H54" s="49">
        <f>AVERAGE('22.07 Masanafu-Lubigi'!H54,'23.07 Masanafu-Lubigi'!H54,'24.07 Masanafu-Lubigi'!H54,'25.07 Masanafu-Lubigi'!H54,'26.07 Masanafu-Lubigi-24h'!H54,'27.07 Masanafu-Lubigi-24h'!H54,'28.07 Masanafu-Lubigi'!H54)</f>
        <v>0.8571428571428571</v>
      </c>
      <c r="I54" s="49">
        <f>AVERAGE('22.07 Masanafu-Lubigi'!I54,'23.07 Masanafu-Lubigi'!I54,'24.07 Masanafu-Lubigi'!I54,'25.07 Masanafu-Lubigi'!I54,'26.07 Masanafu-Lubigi-24h'!I54,'27.07 Masanafu-Lubigi-24h'!I54,'28.07 Masanafu-Lubigi'!I54)</f>
        <v>8.4285714285714288</v>
      </c>
      <c r="J54" s="49">
        <f>AVERAGE('22.07 Masanafu-Lubigi'!J54,'23.07 Masanafu-Lubigi'!J54,'24.07 Masanafu-Lubigi'!J54,'25.07 Masanafu-Lubigi'!J54,'26.07 Masanafu-Lubigi-24h'!J54,'27.07 Masanafu-Lubigi-24h'!J54,'28.07 Masanafu-Lubigi'!J54)</f>
        <v>6.2857142857142856</v>
      </c>
      <c r="K54" s="49">
        <f>AVERAGE('22.07 Masanafu-Lubigi'!K54,'23.07 Masanafu-Lubigi'!K54,'24.07 Masanafu-Lubigi'!K54,'25.07 Masanafu-Lubigi'!K54,'26.07 Masanafu-Lubigi-24h'!K54,'27.07 Masanafu-Lubigi-24h'!K54,'28.07 Masanafu-Lubigi'!K54)</f>
        <v>4.4285714285714288</v>
      </c>
      <c r="L54" s="49">
        <f>AVERAGE('22.07 Masanafu-Lubigi'!L54,'23.07 Masanafu-Lubigi'!L54,'24.07 Masanafu-Lubigi'!L54,'25.07 Masanafu-Lubigi'!L54,'26.07 Masanafu-Lubigi-24h'!L54,'27.07 Masanafu-Lubigi-24h'!L54,'28.07 Masanafu-Lubigi'!L54)</f>
        <v>5.2857142857142856</v>
      </c>
      <c r="M54" s="49">
        <f>AVERAGE('22.07 Masanafu-Lubigi'!M54,'23.07 Masanafu-Lubigi'!M54,'24.07 Masanafu-Lubigi'!M54,'25.07 Masanafu-Lubigi'!M54,'26.07 Masanafu-Lubigi-24h'!M54,'27.07 Masanafu-Lubigi-24h'!M54,'28.07 Masanafu-Lubigi'!M54)</f>
        <v>119.14285714285714</v>
      </c>
      <c r="N54" s="49">
        <f>AVERAGE('22.07 Masanafu-Lubigi'!N54,'23.07 Masanafu-Lubigi'!N54,'24.07 Masanafu-Lubigi'!N54,'25.07 Masanafu-Lubigi'!N54,'26.07 Masanafu-Lubigi-24h'!N54,'27.07 Masanafu-Lubigi-24h'!N54,'28.07 Masanafu-Lubigi'!N54)</f>
        <v>0</v>
      </c>
      <c r="O54" s="15">
        <f t="shared" si="0"/>
        <v>204.71428571428569</v>
      </c>
      <c r="P54" s="15">
        <f t="shared" si="1"/>
        <v>323.85714285714283</v>
      </c>
      <c r="R54" s="8"/>
      <c r="T54"/>
    </row>
    <row r="55" spans="2:20" ht="23.1" customHeight="1" x14ac:dyDescent="0.25">
      <c r="B55" s="23" t="s">
        <v>82</v>
      </c>
      <c r="C55" s="49">
        <f>AVERAGE('22.07 Masanafu-Lubigi'!C55,'23.07 Masanafu-Lubigi'!C55,'24.07 Masanafu-Lubigi'!C55,'25.07 Masanafu-Lubigi'!C55,'26.07 Masanafu-Lubigi-24h'!C55,'27.07 Masanafu-Lubigi-24h'!C55,'28.07 Masanafu-Lubigi'!C55)</f>
        <v>98</v>
      </c>
      <c r="D55" s="49">
        <f>AVERAGE('22.07 Masanafu-Lubigi'!D55,'23.07 Masanafu-Lubigi'!D55,'24.07 Masanafu-Lubigi'!D55,'25.07 Masanafu-Lubigi'!D55,'26.07 Masanafu-Lubigi-24h'!D55,'27.07 Masanafu-Lubigi-24h'!D55,'28.07 Masanafu-Lubigi'!D55)</f>
        <v>34.857142857142854</v>
      </c>
      <c r="E55" s="49">
        <f>AVERAGE('22.07 Masanafu-Lubigi'!E55,'23.07 Masanafu-Lubigi'!E55,'24.07 Masanafu-Lubigi'!E55,'25.07 Masanafu-Lubigi'!E55,'26.07 Masanafu-Lubigi-24h'!E55,'27.07 Masanafu-Lubigi-24h'!E55,'28.07 Masanafu-Lubigi'!E55)</f>
        <v>25.714285714285715</v>
      </c>
      <c r="F55" s="49">
        <f>AVERAGE('22.07 Masanafu-Lubigi'!F55,'23.07 Masanafu-Lubigi'!F55,'24.07 Masanafu-Lubigi'!F55,'25.07 Masanafu-Lubigi'!F55,'26.07 Masanafu-Lubigi-24h'!F55,'27.07 Masanafu-Lubigi-24h'!F55,'28.07 Masanafu-Lubigi'!F55)</f>
        <v>45</v>
      </c>
      <c r="G55" s="49">
        <f>AVERAGE('22.07 Masanafu-Lubigi'!G55,'23.07 Masanafu-Lubigi'!G55,'24.07 Masanafu-Lubigi'!G55,'25.07 Masanafu-Lubigi'!G55,'26.07 Masanafu-Lubigi-24h'!G55,'27.07 Masanafu-Lubigi-24h'!G55,'28.07 Masanafu-Lubigi'!G55)</f>
        <v>2.5714285714285716</v>
      </c>
      <c r="H55" s="49">
        <f>AVERAGE('22.07 Masanafu-Lubigi'!H55,'23.07 Masanafu-Lubigi'!H55,'24.07 Masanafu-Lubigi'!H55,'25.07 Masanafu-Lubigi'!H55,'26.07 Masanafu-Lubigi-24h'!H55,'27.07 Masanafu-Lubigi-24h'!H55,'28.07 Masanafu-Lubigi'!H55)</f>
        <v>1.1428571428571428</v>
      </c>
      <c r="I55" s="49">
        <f>AVERAGE('22.07 Masanafu-Lubigi'!I55,'23.07 Masanafu-Lubigi'!I55,'24.07 Masanafu-Lubigi'!I55,'25.07 Masanafu-Lubigi'!I55,'26.07 Masanafu-Lubigi-24h'!I55,'27.07 Masanafu-Lubigi-24h'!I55,'28.07 Masanafu-Lubigi'!I55)</f>
        <v>11.428571428571429</v>
      </c>
      <c r="J55" s="49">
        <f>AVERAGE('22.07 Masanafu-Lubigi'!J55,'23.07 Masanafu-Lubigi'!J55,'24.07 Masanafu-Lubigi'!J55,'25.07 Masanafu-Lubigi'!J55,'26.07 Masanafu-Lubigi-24h'!J55,'27.07 Masanafu-Lubigi-24h'!J55,'28.07 Masanafu-Lubigi'!J55)</f>
        <v>10.571428571428571</v>
      </c>
      <c r="K55" s="49">
        <f>AVERAGE('22.07 Masanafu-Lubigi'!K55,'23.07 Masanafu-Lubigi'!K55,'24.07 Masanafu-Lubigi'!K55,'25.07 Masanafu-Lubigi'!K55,'26.07 Masanafu-Lubigi-24h'!K55,'27.07 Masanafu-Lubigi-24h'!K55,'28.07 Masanafu-Lubigi'!K55)</f>
        <v>3.7142857142857144</v>
      </c>
      <c r="L55" s="49">
        <f>AVERAGE('22.07 Masanafu-Lubigi'!L55,'23.07 Masanafu-Lubigi'!L55,'24.07 Masanafu-Lubigi'!L55,'25.07 Masanafu-Lubigi'!L55,'26.07 Masanafu-Lubigi-24h'!L55,'27.07 Masanafu-Lubigi-24h'!L55,'28.07 Masanafu-Lubigi'!L55)</f>
        <v>5.7142857142857144</v>
      </c>
      <c r="M55" s="49">
        <f>AVERAGE('22.07 Masanafu-Lubigi'!M55,'23.07 Masanafu-Lubigi'!M55,'24.07 Masanafu-Lubigi'!M55,'25.07 Masanafu-Lubigi'!M55,'26.07 Masanafu-Lubigi-24h'!M55,'27.07 Masanafu-Lubigi-24h'!M55,'28.07 Masanafu-Lubigi'!M55)</f>
        <v>129.28571428571428</v>
      </c>
      <c r="N55" s="49">
        <f>AVERAGE('22.07 Masanafu-Lubigi'!N55,'23.07 Masanafu-Lubigi'!N55,'24.07 Masanafu-Lubigi'!N55,'25.07 Masanafu-Lubigi'!N55,'26.07 Masanafu-Lubigi-24h'!N55,'27.07 Masanafu-Lubigi-24h'!N55,'28.07 Masanafu-Lubigi'!N55)</f>
        <v>0</v>
      </c>
      <c r="O55" s="15">
        <f t="shared" si="0"/>
        <v>238.71428571428575</v>
      </c>
      <c r="P55" s="15">
        <f t="shared" si="1"/>
        <v>368</v>
      </c>
      <c r="R55" s="8"/>
      <c r="T55"/>
    </row>
    <row r="56" spans="2:20" ht="23.1" customHeight="1" x14ac:dyDescent="0.25">
      <c r="B56" s="23" t="s">
        <v>83</v>
      </c>
      <c r="C56" s="49">
        <f>AVERAGE('22.07 Masanafu-Lubigi'!C56,'23.07 Masanafu-Lubigi'!C56,'24.07 Masanafu-Lubigi'!C56,'25.07 Masanafu-Lubigi'!C56,'26.07 Masanafu-Lubigi-24h'!C56,'27.07 Masanafu-Lubigi-24h'!C56,'28.07 Masanafu-Lubigi'!C56)</f>
        <v>91.142857142857139</v>
      </c>
      <c r="D56" s="49">
        <f>AVERAGE('22.07 Masanafu-Lubigi'!D56,'23.07 Masanafu-Lubigi'!D56,'24.07 Masanafu-Lubigi'!D56,'25.07 Masanafu-Lubigi'!D56,'26.07 Masanafu-Lubigi-24h'!D56,'27.07 Masanafu-Lubigi-24h'!D56,'28.07 Masanafu-Lubigi'!D56)</f>
        <v>28.857142857142858</v>
      </c>
      <c r="E56" s="49">
        <f>AVERAGE('22.07 Masanafu-Lubigi'!E56,'23.07 Masanafu-Lubigi'!E56,'24.07 Masanafu-Lubigi'!E56,'25.07 Masanafu-Lubigi'!E56,'26.07 Masanafu-Lubigi-24h'!E56,'27.07 Masanafu-Lubigi-24h'!E56,'28.07 Masanafu-Lubigi'!E56)</f>
        <v>26.857142857142858</v>
      </c>
      <c r="F56" s="49">
        <f>AVERAGE('22.07 Masanafu-Lubigi'!F56,'23.07 Masanafu-Lubigi'!F56,'24.07 Masanafu-Lubigi'!F56,'25.07 Masanafu-Lubigi'!F56,'26.07 Masanafu-Lubigi-24h'!F56,'27.07 Masanafu-Lubigi-24h'!F56,'28.07 Masanafu-Lubigi'!F56)</f>
        <v>39</v>
      </c>
      <c r="G56" s="49">
        <f>AVERAGE('22.07 Masanafu-Lubigi'!G56,'23.07 Masanafu-Lubigi'!G56,'24.07 Masanafu-Lubigi'!G56,'25.07 Masanafu-Lubigi'!G56,'26.07 Masanafu-Lubigi-24h'!G56,'27.07 Masanafu-Lubigi-24h'!G56,'28.07 Masanafu-Lubigi'!G56)</f>
        <v>2.2857142857142856</v>
      </c>
      <c r="H56" s="49">
        <f>AVERAGE('22.07 Masanafu-Lubigi'!H56,'23.07 Masanafu-Lubigi'!H56,'24.07 Masanafu-Lubigi'!H56,'25.07 Masanafu-Lubigi'!H56,'26.07 Masanafu-Lubigi-24h'!H56,'27.07 Masanafu-Lubigi-24h'!H56,'28.07 Masanafu-Lubigi'!H56)</f>
        <v>0.5714285714285714</v>
      </c>
      <c r="I56" s="49">
        <f>AVERAGE('22.07 Masanafu-Lubigi'!I56,'23.07 Masanafu-Lubigi'!I56,'24.07 Masanafu-Lubigi'!I56,'25.07 Masanafu-Lubigi'!I56,'26.07 Masanafu-Lubigi-24h'!I56,'27.07 Masanafu-Lubigi-24h'!I56,'28.07 Masanafu-Lubigi'!I56)</f>
        <v>8.7142857142857135</v>
      </c>
      <c r="J56" s="49">
        <f>AVERAGE('22.07 Masanafu-Lubigi'!J56,'23.07 Masanafu-Lubigi'!J56,'24.07 Masanafu-Lubigi'!J56,'25.07 Masanafu-Lubigi'!J56,'26.07 Masanafu-Lubigi-24h'!J56,'27.07 Masanafu-Lubigi-24h'!J56,'28.07 Masanafu-Lubigi'!J56)</f>
        <v>10.857142857142858</v>
      </c>
      <c r="K56" s="49">
        <f>AVERAGE('22.07 Masanafu-Lubigi'!K56,'23.07 Masanafu-Lubigi'!K56,'24.07 Masanafu-Lubigi'!K56,'25.07 Masanafu-Lubigi'!K56,'26.07 Masanafu-Lubigi-24h'!K56,'27.07 Masanafu-Lubigi-24h'!K56,'28.07 Masanafu-Lubigi'!K56)</f>
        <v>3.5714285714285716</v>
      </c>
      <c r="L56" s="49">
        <f>AVERAGE('22.07 Masanafu-Lubigi'!L56,'23.07 Masanafu-Lubigi'!L56,'24.07 Masanafu-Lubigi'!L56,'25.07 Masanafu-Lubigi'!L56,'26.07 Masanafu-Lubigi-24h'!L56,'27.07 Masanafu-Lubigi-24h'!L56,'28.07 Masanafu-Lubigi'!L56)</f>
        <v>6.4285714285714288</v>
      </c>
      <c r="M56" s="49">
        <f>AVERAGE('22.07 Masanafu-Lubigi'!M56,'23.07 Masanafu-Lubigi'!M56,'24.07 Masanafu-Lubigi'!M56,'25.07 Masanafu-Lubigi'!M56,'26.07 Masanafu-Lubigi-24h'!M56,'27.07 Masanafu-Lubigi-24h'!M56,'28.07 Masanafu-Lubigi'!M56)</f>
        <v>129.85714285714286</v>
      </c>
      <c r="N56" s="49">
        <f>AVERAGE('22.07 Masanafu-Lubigi'!N56,'23.07 Masanafu-Lubigi'!N56,'24.07 Masanafu-Lubigi'!N56,'25.07 Masanafu-Lubigi'!N56,'26.07 Masanafu-Lubigi-24h'!N56,'27.07 Masanafu-Lubigi-24h'!N56,'28.07 Masanafu-Lubigi'!N56)</f>
        <v>0</v>
      </c>
      <c r="O56" s="15">
        <f t="shared" si="0"/>
        <v>218.28571428571431</v>
      </c>
      <c r="P56" s="15">
        <f t="shared" si="1"/>
        <v>348.14285714285717</v>
      </c>
      <c r="R56" s="8"/>
      <c r="T56"/>
    </row>
    <row r="57" spans="2:20" ht="23.1" customHeight="1" x14ac:dyDescent="0.25">
      <c r="B57" s="23" t="s">
        <v>84</v>
      </c>
      <c r="C57" s="49">
        <f>AVERAGE('22.07 Masanafu-Lubigi'!C57,'23.07 Masanafu-Lubigi'!C57,'24.07 Masanafu-Lubigi'!C57,'25.07 Masanafu-Lubigi'!C57,'26.07 Masanafu-Lubigi-24h'!C57,'27.07 Masanafu-Lubigi-24h'!C57,'28.07 Masanafu-Lubigi'!C57)</f>
        <v>94.142857142857139</v>
      </c>
      <c r="D57" s="49">
        <f>AVERAGE('22.07 Masanafu-Lubigi'!D57,'23.07 Masanafu-Lubigi'!D57,'24.07 Masanafu-Lubigi'!D57,'25.07 Masanafu-Lubigi'!D57,'26.07 Masanafu-Lubigi-24h'!D57,'27.07 Masanafu-Lubigi-24h'!D57,'28.07 Masanafu-Lubigi'!D57)</f>
        <v>33.571428571428569</v>
      </c>
      <c r="E57" s="49">
        <f>AVERAGE('22.07 Masanafu-Lubigi'!E57,'23.07 Masanafu-Lubigi'!E57,'24.07 Masanafu-Lubigi'!E57,'25.07 Masanafu-Lubigi'!E57,'26.07 Masanafu-Lubigi-24h'!E57,'27.07 Masanafu-Lubigi-24h'!E57,'28.07 Masanafu-Lubigi'!E57)</f>
        <v>21.428571428571427</v>
      </c>
      <c r="F57" s="49">
        <f>AVERAGE('22.07 Masanafu-Lubigi'!F57,'23.07 Masanafu-Lubigi'!F57,'24.07 Masanafu-Lubigi'!F57,'25.07 Masanafu-Lubigi'!F57,'26.07 Masanafu-Lubigi-24h'!F57,'27.07 Masanafu-Lubigi-24h'!F57,'28.07 Masanafu-Lubigi'!F57)</f>
        <v>41.285714285714285</v>
      </c>
      <c r="G57" s="49">
        <f>AVERAGE('22.07 Masanafu-Lubigi'!G57,'23.07 Masanafu-Lubigi'!G57,'24.07 Masanafu-Lubigi'!G57,'25.07 Masanafu-Lubigi'!G57,'26.07 Masanafu-Lubigi-24h'!G57,'27.07 Masanafu-Lubigi-24h'!G57,'28.07 Masanafu-Lubigi'!G57)</f>
        <v>3.1428571428571428</v>
      </c>
      <c r="H57" s="49">
        <f>AVERAGE('22.07 Masanafu-Lubigi'!H57,'23.07 Masanafu-Lubigi'!H57,'24.07 Masanafu-Lubigi'!H57,'25.07 Masanafu-Lubigi'!H57,'26.07 Masanafu-Lubigi-24h'!H57,'27.07 Masanafu-Lubigi-24h'!H57,'28.07 Masanafu-Lubigi'!H57)</f>
        <v>0.7142857142857143</v>
      </c>
      <c r="I57" s="49">
        <f>AVERAGE('22.07 Masanafu-Lubigi'!I57,'23.07 Masanafu-Lubigi'!I57,'24.07 Masanafu-Lubigi'!I57,'25.07 Masanafu-Lubigi'!I57,'26.07 Masanafu-Lubigi-24h'!I57,'27.07 Masanafu-Lubigi-24h'!I57,'28.07 Masanafu-Lubigi'!I57)</f>
        <v>9.4285714285714288</v>
      </c>
      <c r="J57" s="49">
        <f>AVERAGE('22.07 Masanafu-Lubigi'!J57,'23.07 Masanafu-Lubigi'!J57,'24.07 Masanafu-Lubigi'!J57,'25.07 Masanafu-Lubigi'!J57,'26.07 Masanafu-Lubigi-24h'!J57,'27.07 Masanafu-Lubigi-24h'!J57,'28.07 Masanafu-Lubigi'!J57)</f>
        <v>8.8571428571428577</v>
      </c>
      <c r="K57" s="49">
        <f>AVERAGE('22.07 Masanafu-Lubigi'!K57,'23.07 Masanafu-Lubigi'!K57,'24.07 Masanafu-Lubigi'!K57,'25.07 Masanafu-Lubigi'!K57,'26.07 Masanafu-Lubigi-24h'!K57,'27.07 Masanafu-Lubigi-24h'!K57,'28.07 Masanafu-Lubigi'!K57)</f>
        <v>3.5714285714285716</v>
      </c>
      <c r="L57" s="49">
        <f>AVERAGE('22.07 Masanafu-Lubigi'!L57,'23.07 Masanafu-Lubigi'!L57,'24.07 Masanafu-Lubigi'!L57,'25.07 Masanafu-Lubigi'!L57,'26.07 Masanafu-Lubigi-24h'!L57,'27.07 Masanafu-Lubigi-24h'!L57,'28.07 Masanafu-Lubigi'!L57)</f>
        <v>5.8571428571428568</v>
      </c>
      <c r="M57" s="49">
        <f>AVERAGE('22.07 Masanafu-Lubigi'!M57,'23.07 Masanafu-Lubigi'!M57,'24.07 Masanafu-Lubigi'!M57,'25.07 Masanafu-Lubigi'!M57,'26.07 Masanafu-Lubigi-24h'!M57,'27.07 Masanafu-Lubigi-24h'!M57,'28.07 Masanafu-Lubigi'!M57)</f>
        <v>121.57142857142857</v>
      </c>
      <c r="N57" s="49">
        <f>AVERAGE('22.07 Masanafu-Lubigi'!N57,'23.07 Masanafu-Lubigi'!N57,'24.07 Masanafu-Lubigi'!N57,'25.07 Masanafu-Lubigi'!N57,'26.07 Masanafu-Lubigi-24h'!N57,'27.07 Masanafu-Lubigi-24h'!N57,'28.07 Masanafu-Lubigi'!N57)</f>
        <v>0.14285714285714285</v>
      </c>
      <c r="O57" s="15">
        <f t="shared" si="0"/>
        <v>222.14285714285714</v>
      </c>
      <c r="P57" s="15">
        <f t="shared" si="1"/>
        <v>343.71428571428572</v>
      </c>
      <c r="R57" s="8"/>
      <c r="T57"/>
    </row>
    <row r="58" spans="2:20" ht="23.1" customHeight="1" x14ac:dyDescent="0.25">
      <c r="B58" s="23" t="s">
        <v>99</v>
      </c>
      <c r="C58" s="49">
        <f>AVERAGE('26.07 Masanafu-Lubigi-24h'!C58,'27.07 Masanafu-Lubigi-24h'!C58)</f>
        <v>97</v>
      </c>
      <c r="D58" s="49">
        <f>AVERAGE('26.07 Masanafu-Lubigi-24h'!D58,'27.07 Masanafu-Lubigi-24h'!D58)</f>
        <v>49.5</v>
      </c>
      <c r="E58" s="49">
        <f>AVERAGE('26.07 Masanafu-Lubigi-24h'!E58,'27.07 Masanafu-Lubigi-24h'!E58)</f>
        <v>38.5</v>
      </c>
      <c r="F58" s="49">
        <f>AVERAGE('26.07 Masanafu-Lubigi-24h'!F58,'27.07 Masanafu-Lubigi-24h'!F58)</f>
        <v>60.5</v>
      </c>
      <c r="G58" s="49">
        <f>AVERAGE('26.07 Masanafu-Lubigi-24h'!G58,'27.07 Masanafu-Lubigi-24h'!G58)</f>
        <v>11</v>
      </c>
      <c r="H58" s="49">
        <f>AVERAGE('26.07 Masanafu-Lubigi-24h'!H58,'27.07 Masanafu-Lubigi-24h'!H58)</f>
        <v>2.5</v>
      </c>
      <c r="I58" s="49">
        <f>AVERAGE('26.07 Masanafu-Lubigi-24h'!I58,'27.07 Masanafu-Lubigi-24h'!I58)</f>
        <v>14.5</v>
      </c>
      <c r="J58" s="49">
        <f>AVERAGE('26.07 Masanafu-Lubigi-24h'!J58,'27.07 Masanafu-Lubigi-24h'!J58)</f>
        <v>6.5</v>
      </c>
      <c r="K58" s="49">
        <f>AVERAGE('26.07 Masanafu-Lubigi-24h'!K58,'27.07 Masanafu-Lubigi-24h'!K58)</f>
        <v>4</v>
      </c>
      <c r="L58" s="49">
        <f>AVERAGE('26.07 Masanafu-Lubigi-24h'!L58,'27.07 Masanafu-Lubigi-24h'!L58)</f>
        <v>4</v>
      </c>
      <c r="M58" s="49">
        <f>AVERAGE('26.07 Masanafu-Lubigi-24h'!M58,'27.07 Masanafu-Lubigi-24h'!M58)</f>
        <v>120</v>
      </c>
      <c r="N58" s="49">
        <f>AVERAGE('26.07 Masanafu-Lubigi-24h'!N58,'27.07 Masanafu-Lubigi-24h'!N58)</f>
        <v>0</v>
      </c>
      <c r="O58" s="15">
        <f t="shared" si="0"/>
        <v>288</v>
      </c>
      <c r="P58" s="15">
        <f t="shared" si="1"/>
        <v>408</v>
      </c>
      <c r="R58" s="8"/>
      <c r="T58"/>
    </row>
    <row r="59" spans="2:20" ht="23.1" customHeight="1" x14ac:dyDescent="0.25">
      <c r="B59" s="23" t="s">
        <v>100</v>
      </c>
      <c r="C59" s="49">
        <f>AVERAGE('26.07 Masanafu-Lubigi-24h'!C59,'27.07 Masanafu-Lubigi-24h'!C59)</f>
        <v>92</v>
      </c>
      <c r="D59" s="49">
        <f>AVERAGE('26.07 Masanafu-Lubigi-24h'!D59,'27.07 Masanafu-Lubigi-24h'!D59)</f>
        <v>39.5</v>
      </c>
      <c r="E59" s="49">
        <f>AVERAGE('26.07 Masanafu-Lubigi-24h'!E59,'27.07 Masanafu-Lubigi-24h'!E59)</f>
        <v>46.5</v>
      </c>
      <c r="F59" s="49">
        <f>AVERAGE('26.07 Masanafu-Lubigi-24h'!F59,'27.07 Masanafu-Lubigi-24h'!F59)</f>
        <v>69</v>
      </c>
      <c r="G59" s="49">
        <f>AVERAGE('26.07 Masanafu-Lubigi-24h'!G59,'27.07 Masanafu-Lubigi-24h'!G59)</f>
        <v>8.5</v>
      </c>
      <c r="H59" s="49">
        <f>AVERAGE('26.07 Masanafu-Lubigi-24h'!H59,'27.07 Masanafu-Lubigi-24h'!H59)</f>
        <v>1</v>
      </c>
      <c r="I59" s="49">
        <f>AVERAGE('26.07 Masanafu-Lubigi-24h'!I59,'27.07 Masanafu-Lubigi-24h'!I59)</f>
        <v>14.5</v>
      </c>
      <c r="J59" s="49">
        <f>AVERAGE('26.07 Masanafu-Lubigi-24h'!J59,'27.07 Masanafu-Lubigi-24h'!J59)</f>
        <v>12</v>
      </c>
      <c r="K59" s="49">
        <f>AVERAGE('26.07 Masanafu-Lubigi-24h'!K59,'27.07 Masanafu-Lubigi-24h'!K59)</f>
        <v>9</v>
      </c>
      <c r="L59" s="49">
        <f>AVERAGE('26.07 Masanafu-Lubigi-24h'!L59,'27.07 Masanafu-Lubigi-24h'!L59)</f>
        <v>6</v>
      </c>
      <c r="M59" s="49">
        <f>AVERAGE('26.07 Masanafu-Lubigi-24h'!M59,'27.07 Masanafu-Lubigi-24h'!M59)</f>
        <v>139.5</v>
      </c>
      <c r="N59" s="49">
        <f>AVERAGE('26.07 Masanafu-Lubigi-24h'!N59,'27.07 Masanafu-Lubigi-24h'!N59)</f>
        <v>0</v>
      </c>
      <c r="O59" s="15">
        <f t="shared" si="0"/>
        <v>298</v>
      </c>
      <c r="P59" s="15">
        <f t="shared" si="1"/>
        <v>437.5</v>
      </c>
      <c r="R59" s="8"/>
      <c r="T59"/>
    </row>
    <row r="60" spans="2:20" ht="23.1" customHeight="1" x14ac:dyDescent="0.25">
      <c r="B60" s="23" t="s">
        <v>101</v>
      </c>
      <c r="C60" s="49">
        <f>AVERAGE('26.07 Masanafu-Lubigi-24h'!C60,'27.07 Masanafu-Lubigi-24h'!C60)</f>
        <v>83</v>
      </c>
      <c r="D60" s="49">
        <f>AVERAGE('26.07 Masanafu-Lubigi-24h'!D60,'27.07 Masanafu-Lubigi-24h'!D60)</f>
        <v>55</v>
      </c>
      <c r="E60" s="49">
        <f>AVERAGE('26.07 Masanafu-Lubigi-24h'!E60,'27.07 Masanafu-Lubigi-24h'!E60)</f>
        <v>37</v>
      </c>
      <c r="F60" s="49">
        <f>AVERAGE('26.07 Masanafu-Lubigi-24h'!F60,'27.07 Masanafu-Lubigi-24h'!F60)</f>
        <v>64</v>
      </c>
      <c r="G60" s="49">
        <f>AVERAGE('26.07 Masanafu-Lubigi-24h'!G60,'27.07 Masanafu-Lubigi-24h'!G60)</f>
        <v>4</v>
      </c>
      <c r="H60" s="49">
        <f>AVERAGE('26.07 Masanafu-Lubigi-24h'!H60,'27.07 Masanafu-Lubigi-24h'!H60)</f>
        <v>0.5</v>
      </c>
      <c r="I60" s="49">
        <f>AVERAGE('26.07 Masanafu-Lubigi-24h'!I60,'27.07 Masanafu-Lubigi-24h'!I60)</f>
        <v>12</v>
      </c>
      <c r="J60" s="49">
        <f>AVERAGE('26.07 Masanafu-Lubigi-24h'!J60,'27.07 Masanafu-Lubigi-24h'!J60)</f>
        <v>11.5</v>
      </c>
      <c r="K60" s="49">
        <f>AVERAGE('26.07 Masanafu-Lubigi-24h'!K60,'27.07 Masanafu-Lubigi-24h'!K60)</f>
        <v>6</v>
      </c>
      <c r="L60" s="49">
        <f>AVERAGE('26.07 Masanafu-Lubigi-24h'!L60,'27.07 Masanafu-Lubigi-24h'!L60)</f>
        <v>6</v>
      </c>
      <c r="M60" s="49">
        <f>AVERAGE('26.07 Masanafu-Lubigi-24h'!M60,'27.07 Masanafu-Lubigi-24h'!M60)</f>
        <v>125</v>
      </c>
      <c r="N60" s="49">
        <f>AVERAGE('26.07 Masanafu-Lubigi-24h'!N60,'27.07 Masanafu-Lubigi-24h'!N60)</f>
        <v>0</v>
      </c>
      <c r="O60" s="15">
        <f t="shared" si="0"/>
        <v>279</v>
      </c>
      <c r="P60" s="15">
        <f t="shared" si="1"/>
        <v>404</v>
      </c>
      <c r="R60" s="8"/>
      <c r="T60"/>
    </row>
    <row r="61" spans="2:20" ht="23.1" customHeight="1" x14ac:dyDescent="0.25">
      <c r="B61" s="23" t="s">
        <v>102</v>
      </c>
      <c r="C61" s="49">
        <f>AVERAGE('26.07 Masanafu-Lubigi-24h'!C61,'27.07 Masanafu-Lubigi-24h'!C61)</f>
        <v>75</v>
      </c>
      <c r="D61" s="49">
        <f>AVERAGE('26.07 Masanafu-Lubigi-24h'!D61,'27.07 Masanafu-Lubigi-24h'!D61)</f>
        <v>53.5</v>
      </c>
      <c r="E61" s="49">
        <f>AVERAGE('26.07 Masanafu-Lubigi-24h'!E61,'27.07 Masanafu-Lubigi-24h'!E61)</f>
        <v>28</v>
      </c>
      <c r="F61" s="49">
        <f>AVERAGE('26.07 Masanafu-Lubigi-24h'!F61,'27.07 Masanafu-Lubigi-24h'!F61)</f>
        <v>71</v>
      </c>
      <c r="G61" s="49">
        <f>AVERAGE('26.07 Masanafu-Lubigi-24h'!G61,'27.07 Masanafu-Lubigi-24h'!G61)</f>
        <v>1.5</v>
      </c>
      <c r="H61" s="49">
        <f>AVERAGE('26.07 Masanafu-Lubigi-24h'!H61,'27.07 Masanafu-Lubigi-24h'!H61)</f>
        <v>0</v>
      </c>
      <c r="I61" s="49">
        <f>AVERAGE('26.07 Masanafu-Lubigi-24h'!I61,'27.07 Masanafu-Lubigi-24h'!I61)</f>
        <v>3.5</v>
      </c>
      <c r="J61" s="49">
        <f>AVERAGE('26.07 Masanafu-Lubigi-24h'!J61,'27.07 Masanafu-Lubigi-24h'!J61)</f>
        <v>3</v>
      </c>
      <c r="K61" s="49">
        <f>AVERAGE('26.07 Masanafu-Lubigi-24h'!K61,'27.07 Masanafu-Lubigi-24h'!K61)</f>
        <v>9</v>
      </c>
      <c r="L61" s="49">
        <f>AVERAGE('26.07 Masanafu-Lubigi-24h'!L61,'27.07 Masanafu-Lubigi-24h'!L61)</f>
        <v>3.5</v>
      </c>
      <c r="M61" s="49">
        <f>AVERAGE('26.07 Masanafu-Lubigi-24h'!M61,'27.07 Masanafu-Lubigi-24h'!M61)</f>
        <v>132</v>
      </c>
      <c r="N61" s="49">
        <f>AVERAGE('26.07 Masanafu-Lubigi-24h'!N61,'27.07 Masanafu-Lubigi-24h'!N61)</f>
        <v>0</v>
      </c>
      <c r="O61" s="15">
        <f t="shared" si="0"/>
        <v>248</v>
      </c>
      <c r="P61" s="15">
        <f t="shared" si="1"/>
        <v>380</v>
      </c>
      <c r="R61" s="8"/>
      <c r="T61"/>
    </row>
    <row r="62" spans="2:20" ht="23.1" customHeight="1" x14ac:dyDescent="0.25">
      <c r="B62" s="23" t="s">
        <v>107</v>
      </c>
      <c r="C62" s="49">
        <f>AVERAGE('26.07 Masanafu-Lubigi-24h'!C62,'27.07 Masanafu-Lubigi-24h'!C62)</f>
        <v>90</v>
      </c>
      <c r="D62" s="49">
        <f>AVERAGE('26.07 Masanafu-Lubigi-24h'!D62,'27.07 Masanafu-Lubigi-24h'!D62)</f>
        <v>27.5</v>
      </c>
      <c r="E62" s="49">
        <f>AVERAGE('26.07 Masanafu-Lubigi-24h'!E62,'27.07 Masanafu-Lubigi-24h'!E62)</f>
        <v>19</v>
      </c>
      <c r="F62" s="49">
        <f>AVERAGE('26.07 Masanafu-Lubigi-24h'!F62,'27.07 Masanafu-Lubigi-24h'!F62)</f>
        <v>39.5</v>
      </c>
      <c r="G62" s="49">
        <f>AVERAGE('26.07 Masanafu-Lubigi-24h'!G62,'27.07 Masanafu-Lubigi-24h'!G62)</f>
        <v>1.5</v>
      </c>
      <c r="H62" s="49">
        <f>AVERAGE('26.07 Masanafu-Lubigi-24h'!H62,'27.07 Masanafu-Lubigi-24h'!H62)</f>
        <v>0</v>
      </c>
      <c r="I62" s="49">
        <f>AVERAGE('26.07 Masanafu-Lubigi-24h'!I62,'27.07 Masanafu-Lubigi-24h'!I62)</f>
        <v>7.5</v>
      </c>
      <c r="J62" s="49">
        <f>AVERAGE('26.07 Masanafu-Lubigi-24h'!J62,'27.07 Masanafu-Lubigi-24h'!J62)</f>
        <v>3</v>
      </c>
      <c r="K62" s="49">
        <f>AVERAGE('26.07 Masanafu-Lubigi-24h'!K62,'27.07 Masanafu-Lubigi-24h'!K62)</f>
        <v>5.5</v>
      </c>
      <c r="L62" s="49">
        <f>AVERAGE('26.07 Masanafu-Lubigi-24h'!L62,'27.07 Masanafu-Lubigi-24h'!L62)</f>
        <v>0.5</v>
      </c>
      <c r="M62" s="49">
        <f>AVERAGE('26.07 Masanafu-Lubigi-24h'!M62,'27.07 Masanafu-Lubigi-24h'!M62)</f>
        <v>138</v>
      </c>
      <c r="N62" s="49">
        <f>AVERAGE('26.07 Masanafu-Lubigi-24h'!N62,'27.07 Masanafu-Lubigi-24h'!N62)</f>
        <v>0</v>
      </c>
      <c r="O62" s="15">
        <f t="shared" si="0"/>
        <v>194</v>
      </c>
      <c r="P62" s="15">
        <f t="shared" si="1"/>
        <v>332</v>
      </c>
      <c r="R62" s="8"/>
      <c r="T62"/>
    </row>
    <row r="63" spans="2:20" ht="23.1" customHeight="1" x14ac:dyDescent="0.25">
      <c r="B63" s="23" t="s">
        <v>108</v>
      </c>
      <c r="C63" s="49">
        <f>AVERAGE('26.07 Masanafu-Lubigi-24h'!C63,'27.07 Masanafu-Lubigi-24h'!C63)</f>
        <v>60.5</v>
      </c>
      <c r="D63" s="49">
        <f>AVERAGE('26.07 Masanafu-Lubigi-24h'!D63,'27.07 Masanafu-Lubigi-24h'!D63)</f>
        <v>17</v>
      </c>
      <c r="E63" s="49">
        <f>AVERAGE('26.07 Masanafu-Lubigi-24h'!E63,'27.07 Masanafu-Lubigi-24h'!E63)</f>
        <v>12</v>
      </c>
      <c r="F63" s="49">
        <f>AVERAGE('26.07 Masanafu-Lubigi-24h'!F63,'27.07 Masanafu-Lubigi-24h'!F63)</f>
        <v>42</v>
      </c>
      <c r="G63" s="49">
        <f>AVERAGE('26.07 Masanafu-Lubigi-24h'!G63,'27.07 Masanafu-Lubigi-24h'!G63)</f>
        <v>1</v>
      </c>
      <c r="H63" s="49">
        <f>AVERAGE('26.07 Masanafu-Lubigi-24h'!H63,'27.07 Masanafu-Lubigi-24h'!H63)</f>
        <v>0</v>
      </c>
      <c r="I63" s="49">
        <f>AVERAGE('26.07 Masanafu-Lubigi-24h'!I63,'27.07 Masanafu-Lubigi-24h'!I63)</f>
        <v>13</v>
      </c>
      <c r="J63" s="49">
        <f>AVERAGE('26.07 Masanafu-Lubigi-24h'!J63,'27.07 Masanafu-Lubigi-24h'!J63)</f>
        <v>5</v>
      </c>
      <c r="K63" s="49">
        <f>AVERAGE('26.07 Masanafu-Lubigi-24h'!K63,'27.07 Masanafu-Lubigi-24h'!K63)</f>
        <v>3.5</v>
      </c>
      <c r="L63" s="49">
        <f>AVERAGE('26.07 Masanafu-Lubigi-24h'!L63,'27.07 Masanafu-Lubigi-24h'!L63)</f>
        <v>1.5</v>
      </c>
      <c r="M63" s="49">
        <f>AVERAGE('26.07 Masanafu-Lubigi-24h'!M63,'27.07 Masanafu-Lubigi-24h'!M63)</f>
        <v>105</v>
      </c>
      <c r="N63" s="49">
        <f>AVERAGE('26.07 Masanafu-Lubigi-24h'!N63,'27.07 Masanafu-Lubigi-24h'!N63)</f>
        <v>0</v>
      </c>
      <c r="O63" s="15">
        <f t="shared" si="0"/>
        <v>155.5</v>
      </c>
      <c r="P63" s="15">
        <f t="shared" si="1"/>
        <v>260.5</v>
      </c>
      <c r="R63" s="8"/>
      <c r="T63"/>
    </row>
    <row r="64" spans="2:20" ht="23.1" customHeight="1" x14ac:dyDescent="0.25">
      <c r="B64" s="23" t="s">
        <v>109</v>
      </c>
      <c r="C64" s="49">
        <f>AVERAGE('26.07 Masanafu-Lubigi-24h'!C64,'27.07 Masanafu-Lubigi-24h'!C64)</f>
        <v>72</v>
      </c>
      <c r="D64" s="49">
        <f>AVERAGE('26.07 Masanafu-Lubigi-24h'!D64,'27.07 Masanafu-Lubigi-24h'!D64)</f>
        <v>31.5</v>
      </c>
      <c r="E64" s="49">
        <f>AVERAGE('26.07 Masanafu-Lubigi-24h'!E64,'27.07 Masanafu-Lubigi-24h'!E64)</f>
        <v>27</v>
      </c>
      <c r="F64" s="49">
        <f>AVERAGE('26.07 Masanafu-Lubigi-24h'!F64,'27.07 Masanafu-Lubigi-24h'!F64)</f>
        <v>63.5</v>
      </c>
      <c r="G64" s="49">
        <f>AVERAGE('26.07 Masanafu-Lubigi-24h'!G64,'27.07 Masanafu-Lubigi-24h'!G64)</f>
        <v>2</v>
      </c>
      <c r="H64" s="49">
        <f>AVERAGE('26.07 Masanafu-Lubigi-24h'!H64,'27.07 Masanafu-Lubigi-24h'!H64)</f>
        <v>0.5</v>
      </c>
      <c r="I64" s="49">
        <f>AVERAGE('26.07 Masanafu-Lubigi-24h'!I64,'27.07 Masanafu-Lubigi-24h'!I64)</f>
        <v>8</v>
      </c>
      <c r="J64" s="49">
        <f>AVERAGE('26.07 Masanafu-Lubigi-24h'!J64,'27.07 Masanafu-Lubigi-24h'!J64)</f>
        <v>7</v>
      </c>
      <c r="K64" s="49">
        <f>AVERAGE('26.07 Masanafu-Lubigi-24h'!K64,'27.07 Masanafu-Lubigi-24h'!K64)</f>
        <v>5.5</v>
      </c>
      <c r="L64" s="49">
        <f>AVERAGE('26.07 Masanafu-Lubigi-24h'!L64,'27.07 Masanafu-Lubigi-24h'!L64)</f>
        <v>3.5</v>
      </c>
      <c r="M64" s="49">
        <f>AVERAGE('26.07 Masanafu-Lubigi-24h'!M64,'27.07 Masanafu-Lubigi-24h'!M64)</f>
        <v>114.5</v>
      </c>
      <c r="N64" s="49">
        <f>AVERAGE('26.07 Masanafu-Lubigi-24h'!N64,'27.07 Masanafu-Lubigi-24h'!N64)</f>
        <v>0</v>
      </c>
      <c r="O64" s="15">
        <f t="shared" si="0"/>
        <v>220.5</v>
      </c>
      <c r="P64" s="15">
        <f t="shared" si="1"/>
        <v>335</v>
      </c>
      <c r="R64" s="8"/>
      <c r="T64"/>
    </row>
    <row r="65" spans="2:20" ht="23.1" customHeight="1" x14ac:dyDescent="0.25">
      <c r="B65" s="23" t="s">
        <v>158</v>
      </c>
      <c r="C65" s="49">
        <f>AVERAGE('26.07 Masanafu-Lubigi-24h'!C65,'27.07 Masanafu-Lubigi-24h'!C65)</f>
        <v>63</v>
      </c>
      <c r="D65" s="49">
        <f>AVERAGE('26.07 Masanafu-Lubigi-24h'!D65,'27.07 Masanafu-Lubigi-24h'!D65)</f>
        <v>74</v>
      </c>
      <c r="E65" s="49">
        <f>AVERAGE('26.07 Masanafu-Lubigi-24h'!E65,'27.07 Masanafu-Lubigi-24h'!E65)</f>
        <v>33.5</v>
      </c>
      <c r="F65" s="49">
        <f>AVERAGE('26.07 Masanafu-Lubigi-24h'!F65,'27.07 Masanafu-Lubigi-24h'!F65)</f>
        <v>46</v>
      </c>
      <c r="G65" s="49">
        <f>AVERAGE('26.07 Masanafu-Lubigi-24h'!G65,'27.07 Masanafu-Lubigi-24h'!G65)</f>
        <v>0.5</v>
      </c>
      <c r="H65" s="49">
        <f>AVERAGE('26.07 Masanafu-Lubigi-24h'!H65,'27.07 Masanafu-Lubigi-24h'!H65)</f>
        <v>0</v>
      </c>
      <c r="I65" s="49">
        <f>AVERAGE('26.07 Masanafu-Lubigi-24h'!I65,'27.07 Masanafu-Lubigi-24h'!I65)</f>
        <v>15.5</v>
      </c>
      <c r="J65" s="49">
        <f>AVERAGE('26.07 Masanafu-Lubigi-24h'!J65,'27.07 Masanafu-Lubigi-24h'!J65)</f>
        <v>11.5</v>
      </c>
      <c r="K65" s="49">
        <f>AVERAGE('26.07 Masanafu-Lubigi-24h'!K65,'27.07 Masanafu-Lubigi-24h'!K65)</f>
        <v>14.5</v>
      </c>
      <c r="L65" s="49">
        <f>AVERAGE('26.07 Masanafu-Lubigi-24h'!L65,'27.07 Masanafu-Lubigi-24h'!L65)</f>
        <v>7.5</v>
      </c>
      <c r="M65" s="49">
        <f>AVERAGE('26.07 Masanafu-Lubigi-24h'!M65,'27.07 Masanafu-Lubigi-24h'!M65)</f>
        <v>105</v>
      </c>
      <c r="N65" s="49">
        <f>AVERAGE('26.07 Masanafu-Lubigi-24h'!N65,'27.07 Masanafu-Lubigi-24h'!N65)</f>
        <v>0</v>
      </c>
      <c r="O65" s="15">
        <f t="shared" si="0"/>
        <v>266</v>
      </c>
      <c r="P65" s="15">
        <f t="shared" si="1"/>
        <v>371</v>
      </c>
      <c r="R65" s="8"/>
      <c r="T65"/>
    </row>
    <row r="66" spans="2:20" ht="23.1" customHeight="1" x14ac:dyDescent="0.25">
      <c r="B66" s="23" t="s">
        <v>103</v>
      </c>
      <c r="C66" s="49">
        <f>AVERAGE('26.07 Masanafu-Lubigi-24h'!C66,'27.07 Masanafu-Lubigi-24h'!C66)</f>
        <v>62</v>
      </c>
      <c r="D66" s="49">
        <f>AVERAGE('26.07 Masanafu-Lubigi-24h'!D66,'27.07 Masanafu-Lubigi-24h'!D66)</f>
        <v>35</v>
      </c>
      <c r="E66" s="49">
        <f>AVERAGE('26.07 Masanafu-Lubigi-24h'!E66,'27.07 Masanafu-Lubigi-24h'!E66)</f>
        <v>22</v>
      </c>
      <c r="F66" s="49">
        <f>AVERAGE('26.07 Masanafu-Lubigi-24h'!F66,'27.07 Masanafu-Lubigi-24h'!F66)</f>
        <v>95</v>
      </c>
      <c r="G66" s="49">
        <f>AVERAGE('26.07 Masanafu-Lubigi-24h'!G66,'27.07 Masanafu-Lubigi-24h'!G66)</f>
        <v>4</v>
      </c>
      <c r="H66" s="49">
        <f>AVERAGE('26.07 Masanafu-Lubigi-24h'!H66,'27.07 Masanafu-Lubigi-24h'!H66)</f>
        <v>1</v>
      </c>
      <c r="I66" s="49">
        <f>AVERAGE('26.07 Masanafu-Lubigi-24h'!I66,'27.07 Masanafu-Lubigi-24h'!I66)</f>
        <v>12.5</v>
      </c>
      <c r="J66" s="49">
        <f>AVERAGE('26.07 Masanafu-Lubigi-24h'!J66,'27.07 Masanafu-Lubigi-24h'!J66)</f>
        <v>5</v>
      </c>
      <c r="K66" s="49">
        <f>AVERAGE('26.07 Masanafu-Lubigi-24h'!K66,'27.07 Masanafu-Lubigi-24h'!K66)</f>
        <v>4.5</v>
      </c>
      <c r="L66" s="49">
        <f>AVERAGE('26.07 Masanafu-Lubigi-24h'!L66,'27.07 Masanafu-Lubigi-24h'!L66)</f>
        <v>5</v>
      </c>
      <c r="M66" s="49">
        <f>AVERAGE('26.07 Masanafu-Lubigi-24h'!M66,'27.07 Masanafu-Lubigi-24h'!M66)</f>
        <v>141.5</v>
      </c>
      <c r="N66" s="49">
        <f>AVERAGE('26.07 Masanafu-Lubigi-24h'!N66,'27.07 Masanafu-Lubigi-24h'!N66)</f>
        <v>0</v>
      </c>
      <c r="O66" s="15">
        <f t="shared" si="0"/>
        <v>246</v>
      </c>
      <c r="P66" s="15">
        <f t="shared" si="1"/>
        <v>387.5</v>
      </c>
      <c r="R66" s="8"/>
      <c r="T66"/>
    </row>
    <row r="67" spans="2:20" ht="23.1" customHeight="1" x14ac:dyDescent="0.25">
      <c r="B67" s="23" t="s">
        <v>104</v>
      </c>
      <c r="C67" s="49">
        <f>AVERAGE('26.07 Masanafu-Lubigi-24h'!C67,'27.07 Masanafu-Lubigi-24h'!C67)</f>
        <v>74</v>
      </c>
      <c r="D67" s="49">
        <f>AVERAGE('26.07 Masanafu-Lubigi-24h'!D67,'27.07 Masanafu-Lubigi-24h'!D67)</f>
        <v>42</v>
      </c>
      <c r="E67" s="49">
        <f>AVERAGE('26.07 Masanafu-Lubigi-24h'!E67,'27.07 Masanafu-Lubigi-24h'!E67)</f>
        <v>14</v>
      </c>
      <c r="F67" s="49">
        <f>AVERAGE('26.07 Masanafu-Lubigi-24h'!F67,'27.07 Masanafu-Lubigi-24h'!F67)</f>
        <v>79.5</v>
      </c>
      <c r="G67" s="49">
        <f>AVERAGE('26.07 Masanafu-Lubigi-24h'!G67,'27.07 Masanafu-Lubigi-24h'!G67)</f>
        <v>0.5</v>
      </c>
      <c r="H67" s="49">
        <f>AVERAGE('26.07 Masanafu-Lubigi-24h'!H67,'27.07 Masanafu-Lubigi-24h'!H67)</f>
        <v>0</v>
      </c>
      <c r="I67" s="49">
        <f>AVERAGE('26.07 Masanafu-Lubigi-24h'!I67,'27.07 Masanafu-Lubigi-24h'!I67)</f>
        <v>15</v>
      </c>
      <c r="J67" s="49">
        <f>AVERAGE('26.07 Masanafu-Lubigi-24h'!J67,'27.07 Masanafu-Lubigi-24h'!J67)</f>
        <v>10</v>
      </c>
      <c r="K67" s="49">
        <f>AVERAGE('26.07 Masanafu-Lubigi-24h'!K67,'27.07 Masanafu-Lubigi-24h'!K67)</f>
        <v>3.5</v>
      </c>
      <c r="L67" s="49">
        <f>AVERAGE('26.07 Masanafu-Lubigi-24h'!L67,'27.07 Masanafu-Lubigi-24h'!L67)</f>
        <v>4.5</v>
      </c>
      <c r="M67" s="49">
        <f>AVERAGE('26.07 Masanafu-Lubigi-24h'!M67,'27.07 Masanafu-Lubigi-24h'!M67)</f>
        <v>135</v>
      </c>
      <c r="N67" s="49">
        <f>AVERAGE('26.07 Masanafu-Lubigi-24h'!N67,'27.07 Masanafu-Lubigi-24h'!N67)</f>
        <v>0</v>
      </c>
      <c r="O67" s="15">
        <f t="shared" si="0"/>
        <v>243</v>
      </c>
      <c r="P67" s="15">
        <f t="shared" si="1"/>
        <v>378</v>
      </c>
      <c r="R67" s="8"/>
      <c r="T67"/>
    </row>
    <row r="68" spans="2:20" ht="23.1" customHeight="1" x14ac:dyDescent="0.25">
      <c r="B68" s="23" t="s">
        <v>105</v>
      </c>
      <c r="C68" s="49">
        <f>AVERAGE('26.07 Masanafu-Lubigi-24h'!C68,'27.07 Masanafu-Lubigi-24h'!C68)</f>
        <v>74</v>
      </c>
      <c r="D68" s="49">
        <f>AVERAGE('26.07 Masanafu-Lubigi-24h'!D68,'27.07 Masanafu-Lubigi-24h'!D68)</f>
        <v>54</v>
      </c>
      <c r="E68" s="49">
        <f>AVERAGE('26.07 Masanafu-Lubigi-24h'!E68,'27.07 Masanafu-Lubigi-24h'!E68)</f>
        <v>47.5</v>
      </c>
      <c r="F68" s="49">
        <f>AVERAGE('26.07 Masanafu-Lubigi-24h'!F68,'27.07 Masanafu-Lubigi-24h'!F68)</f>
        <v>71.5</v>
      </c>
      <c r="G68" s="49">
        <f>AVERAGE('26.07 Masanafu-Lubigi-24h'!G68,'27.07 Masanafu-Lubigi-24h'!G68)</f>
        <v>0.5</v>
      </c>
      <c r="H68" s="49">
        <f>AVERAGE('26.07 Masanafu-Lubigi-24h'!H68,'27.07 Masanafu-Lubigi-24h'!H68)</f>
        <v>0.5</v>
      </c>
      <c r="I68" s="49">
        <f>AVERAGE('26.07 Masanafu-Lubigi-24h'!I68,'27.07 Masanafu-Lubigi-24h'!I68)</f>
        <v>19.5</v>
      </c>
      <c r="J68" s="49">
        <f>AVERAGE('26.07 Masanafu-Lubigi-24h'!J68,'27.07 Masanafu-Lubigi-24h'!J68)</f>
        <v>7.5</v>
      </c>
      <c r="K68" s="49">
        <f>AVERAGE('26.07 Masanafu-Lubigi-24h'!K68,'27.07 Masanafu-Lubigi-24h'!K68)</f>
        <v>4</v>
      </c>
      <c r="L68" s="49">
        <f>AVERAGE('26.07 Masanafu-Lubigi-24h'!L68,'27.07 Masanafu-Lubigi-24h'!L68)</f>
        <v>3.5</v>
      </c>
      <c r="M68" s="49">
        <f>AVERAGE('26.07 Masanafu-Lubigi-24h'!M68,'27.07 Masanafu-Lubigi-24h'!M68)</f>
        <v>109</v>
      </c>
      <c r="N68" s="49">
        <f>AVERAGE('26.07 Masanafu-Lubigi-24h'!N68,'27.07 Masanafu-Lubigi-24h'!N68)</f>
        <v>0</v>
      </c>
      <c r="O68" s="15">
        <f t="shared" si="0"/>
        <v>282.5</v>
      </c>
      <c r="P68" s="15">
        <f t="shared" si="1"/>
        <v>391.5</v>
      </c>
      <c r="R68" s="8"/>
      <c r="T68"/>
    </row>
    <row r="69" spans="2:20" ht="23.1" customHeight="1" x14ac:dyDescent="0.25">
      <c r="B69" s="23" t="s">
        <v>106</v>
      </c>
      <c r="C69" s="49">
        <f>AVERAGE('26.07 Masanafu-Lubigi-24h'!C69,'27.07 Masanafu-Lubigi-24h'!C69)</f>
        <v>90.5</v>
      </c>
      <c r="D69" s="49">
        <f>AVERAGE('26.07 Masanafu-Lubigi-24h'!D69,'27.07 Masanafu-Lubigi-24h'!D69)</f>
        <v>55.5</v>
      </c>
      <c r="E69" s="49">
        <f>AVERAGE('26.07 Masanafu-Lubigi-24h'!E69,'27.07 Masanafu-Lubigi-24h'!E69)</f>
        <v>16</v>
      </c>
      <c r="F69" s="49">
        <f>AVERAGE('26.07 Masanafu-Lubigi-24h'!F69,'27.07 Masanafu-Lubigi-24h'!F69)</f>
        <v>53.5</v>
      </c>
      <c r="G69" s="49">
        <f>AVERAGE('26.07 Masanafu-Lubigi-24h'!G69,'27.07 Masanafu-Lubigi-24h'!G69)</f>
        <v>0.5</v>
      </c>
      <c r="H69" s="49">
        <f>AVERAGE('26.07 Masanafu-Lubigi-24h'!H69,'27.07 Masanafu-Lubigi-24h'!H69)</f>
        <v>0</v>
      </c>
      <c r="I69" s="49">
        <f>AVERAGE('26.07 Masanafu-Lubigi-24h'!I69,'27.07 Masanafu-Lubigi-24h'!I69)</f>
        <v>6</v>
      </c>
      <c r="J69" s="49">
        <f>AVERAGE('26.07 Masanafu-Lubigi-24h'!J69,'27.07 Masanafu-Lubigi-24h'!J69)</f>
        <v>5</v>
      </c>
      <c r="K69" s="49">
        <f>AVERAGE('26.07 Masanafu-Lubigi-24h'!K69,'27.07 Masanafu-Lubigi-24h'!K69)</f>
        <v>1.5</v>
      </c>
      <c r="L69" s="49">
        <f>AVERAGE('26.07 Masanafu-Lubigi-24h'!L69,'27.07 Masanafu-Lubigi-24h'!L69)</f>
        <v>3</v>
      </c>
      <c r="M69" s="49">
        <f>AVERAGE('26.07 Masanafu-Lubigi-24h'!M69,'27.07 Masanafu-Lubigi-24h'!M69)</f>
        <v>128</v>
      </c>
      <c r="N69" s="49">
        <f>AVERAGE('26.07 Masanafu-Lubigi-24h'!N69,'27.07 Masanafu-Lubigi-24h'!N69)</f>
        <v>0</v>
      </c>
      <c r="O69" s="15">
        <f t="shared" si="0"/>
        <v>231.5</v>
      </c>
      <c r="P69" s="15">
        <f t="shared" si="1"/>
        <v>359.5</v>
      </c>
      <c r="R69" s="8"/>
      <c r="T69"/>
    </row>
    <row r="70" spans="2:20" ht="23.1" customHeight="1" x14ac:dyDescent="0.25">
      <c r="B70" s="23" t="s">
        <v>110</v>
      </c>
      <c r="C70" s="49">
        <f>AVERAGE('26.07 Masanafu-Lubigi-24h'!C70,'27.07 Masanafu-Lubigi-24h'!C70)</f>
        <v>61.5</v>
      </c>
      <c r="D70" s="49">
        <f>AVERAGE('26.07 Masanafu-Lubigi-24h'!D70,'27.07 Masanafu-Lubigi-24h'!D70)</f>
        <v>43.5</v>
      </c>
      <c r="E70" s="49">
        <f>AVERAGE('26.07 Masanafu-Lubigi-24h'!E70,'27.07 Masanafu-Lubigi-24h'!E70)</f>
        <v>35</v>
      </c>
      <c r="F70" s="49">
        <f>AVERAGE('26.07 Masanafu-Lubigi-24h'!F70,'27.07 Masanafu-Lubigi-24h'!F70)</f>
        <v>80.5</v>
      </c>
      <c r="G70" s="49">
        <f>AVERAGE('26.07 Masanafu-Lubigi-24h'!G70,'27.07 Masanafu-Lubigi-24h'!G70)</f>
        <v>0.5</v>
      </c>
      <c r="H70" s="49">
        <f>AVERAGE('26.07 Masanafu-Lubigi-24h'!H70,'27.07 Masanafu-Lubigi-24h'!H70)</f>
        <v>0</v>
      </c>
      <c r="I70" s="49">
        <f>AVERAGE('26.07 Masanafu-Lubigi-24h'!I70,'27.07 Masanafu-Lubigi-24h'!I70)</f>
        <v>8.5</v>
      </c>
      <c r="J70" s="49">
        <f>AVERAGE('26.07 Masanafu-Lubigi-24h'!J70,'27.07 Masanafu-Lubigi-24h'!J70)</f>
        <v>3.5</v>
      </c>
      <c r="K70" s="49">
        <f>AVERAGE('26.07 Masanafu-Lubigi-24h'!K70,'27.07 Masanafu-Lubigi-24h'!K70)</f>
        <v>3</v>
      </c>
      <c r="L70" s="49">
        <f>AVERAGE('26.07 Masanafu-Lubigi-24h'!L70,'27.07 Masanafu-Lubigi-24h'!L70)</f>
        <v>2.5</v>
      </c>
      <c r="M70" s="49">
        <f>AVERAGE('26.07 Masanafu-Lubigi-24h'!M70,'27.07 Masanafu-Lubigi-24h'!M70)</f>
        <v>113.5</v>
      </c>
      <c r="N70" s="49">
        <f>AVERAGE('26.07 Masanafu-Lubigi-24h'!N70,'27.07 Masanafu-Lubigi-24h'!N70)</f>
        <v>0</v>
      </c>
      <c r="O70" s="15">
        <f t="shared" si="0"/>
        <v>238.5</v>
      </c>
      <c r="P70" s="15">
        <f t="shared" si="1"/>
        <v>352</v>
      </c>
      <c r="R70" s="8"/>
      <c r="T70"/>
    </row>
    <row r="71" spans="2:20" ht="23.1" customHeight="1" x14ac:dyDescent="0.25">
      <c r="B71" s="23" t="s">
        <v>111</v>
      </c>
      <c r="C71" s="49">
        <f>AVERAGE('26.07 Masanafu-Lubigi-24h'!C71,'27.07 Masanafu-Lubigi-24h'!C71)</f>
        <v>48.5</v>
      </c>
      <c r="D71" s="49">
        <f>AVERAGE('26.07 Masanafu-Lubigi-24h'!D71,'27.07 Masanafu-Lubigi-24h'!D71)</f>
        <v>30.5</v>
      </c>
      <c r="E71" s="49">
        <f>AVERAGE('26.07 Masanafu-Lubigi-24h'!E71,'27.07 Masanafu-Lubigi-24h'!E71)</f>
        <v>30.5</v>
      </c>
      <c r="F71" s="49">
        <f>AVERAGE('26.07 Masanafu-Lubigi-24h'!F71,'27.07 Masanafu-Lubigi-24h'!F71)</f>
        <v>69</v>
      </c>
      <c r="G71" s="49">
        <f>AVERAGE('26.07 Masanafu-Lubigi-24h'!G71,'27.07 Masanafu-Lubigi-24h'!G71)</f>
        <v>0.5</v>
      </c>
      <c r="H71" s="49">
        <f>AVERAGE('26.07 Masanafu-Lubigi-24h'!H71,'27.07 Masanafu-Lubigi-24h'!H71)</f>
        <v>0</v>
      </c>
      <c r="I71" s="49">
        <f>AVERAGE('26.07 Masanafu-Lubigi-24h'!I71,'27.07 Masanafu-Lubigi-24h'!I71)</f>
        <v>10</v>
      </c>
      <c r="J71" s="49">
        <f>AVERAGE('26.07 Masanafu-Lubigi-24h'!J71,'27.07 Masanafu-Lubigi-24h'!J71)</f>
        <v>5.5</v>
      </c>
      <c r="K71" s="49">
        <f>AVERAGE('26.07 Masanafu-Lubigi-24h'!K71,'27.07 Masanafu-Lubigi-24h'!K71)</f>
        <v>3</v>
      </c>
      <c r="L71" s="49">
        <f>AVERAGE('26.07 Masanafu-Lubigi-24h'!L71,'27.07 Masanafu-Lubigi-24h'!L71)</f>
        <v>2.5</v>
      </c>
      <c r="M71" s="49">
        <f>AVERAGE('26.07 Masanafu-Lubigi-24h'!M71,'27.07 Masanafu-Lubigi-24h'!M71)</f>
        <v>114</v>
      </c>
      <c r="N71" s="49">
        <f>AVERAGE('26.07 Masanafu-Lubigi-24h'!N71,'27.07 Masanafu-Lubigi-24h'!N71)</f>
        <v>0</v>
      </c>
      <c r="O71" s="15">
        <f t="shared" si="0"/>
        <v>200</v>
      </c>
      <c r="P71" s="15">
        <f t="shared" si="1"/>
        <v>314</v>
      </c>
      <c r="R71" s="8"/>
      <c r="T71"/>
    </row>
    <row r="72" spans="2:20" ht="23.1" customHeight="1" x14ac:dyDescent="0.25">
      <c r="B72" s="23" t="s">
        <v>112</v>
      </c>
      <c r="C72" s="49">
        <f>AVERAGE('26.07 Masanafu-Lubigi-24h'!C72,'27.07 Masanafu-Lubigi-24h'!C72)</f>
        <v>41.5</v>
      </c>
      <c r="D72" s="49">
        <f>AVERAGE('26.07 Masanafu-Lubigi-24h'!D72,'27.07 Masanafu-Lubigi-24h'!D72)</f>
        <v>15</v>
      </c>
      <c r="E72" s="49">
        <f>AVERAGE('26.07 Masanafu-Lubigi-24h'!E72,'27.07 Masanafu-Lubigi-24h'!E72)</f>
        <v>30</v>
      </c>
      <c r="F72" s="49">
        <f>AVERAGE('26.07 Masanafu-Lubigi-24h'!F72,'27.07 Masanafu-Lubigi-24h'!F72)</f>
        <v>14.5</v>
      </c>
      <c r="G72" s="49">
        <f>AVERAGE('26.07 Masanafu-Lubigi-24h'!G72,'27.07 Masanafu-Lubigi-24h'!G72)</f>
        <v>0</v>
      </c>
      <c r="H72" s="49">
        <f>AVERAGE('26.07 Masanafu-Lubigi-24h'!H72,'27.07 Masanafu-Lubigi-24h'!H72)</f>
        <v>0</v>
      </c>
      <c r="I72" s="49">
        <f>AVERAGE('26.07 Masanafu-Lubigi-24h'!I72,'27.07 Masanafu-Lubigi-24h'!I72)</f>
        <v>9</v>
      </c>
      <c r="J72" s="49">
        <f>AVERAGE('26.07 Masanafu-Lubigi-24h'!J72,'27.07 Masanafu-Lubigi-24h'!J72)</f>
        <v>3</v>
      </c>
      <c r="K72" s="49">
        <f>AVERAGE('26.07 Masanafu-Lubigi-24h'!K72,'27.07 Masanafu-Lubigi-24h'!K72)</f>
        <v>3</v>
      </c>
      <c r="L72" s="49">
        <f>AVERAGE('26.07 Masanafu-Lubigi-24h'!L72,'27.07 Masanafu-Lubigi-24h'!L72)</f>
        <v>2.5</v>
      </c>
      <c r="M72" s="49">
        <f>AVERAGE('26.07 Masanafu-Lubigi-24h'!M72,'27.07 Masanafu-Lubigi-24h'!M72)</f>
        <v>100.5</v>
      </c>
      <c r="N72" s="49">
        <f>AVERAGE('26.07 Masanafu-Lubigi-24h'!N72,'27.07 Masanafu-Lubigi-24h'!N72)</f>
        <v>0</v>
      </c>
      <c r="O72" s="15">
        <f t="shared" si="0"/>
        <v>118.5</v>
      </c>
      <c r="P72" s="15">
        <f t="shared" si="1"/>
        <v>219</v>
      </c>
      <c r="R72" s="8"/>
      <c r="T72"/>
    </row>
    <row r="73" spans="2:20" ht="23.1" customHeight="1" x14ac:dyDescent="0.25">
      <c r="B73" s="23" t="s">
        <v>113</v>
      </c>
      <c r="C73" s="49">
        <f>AVERAGE('26.07 Masanafu-Lubigi-24h'!C73,'27.07 Masanafu-Lubigi-24h'!C73)</f>
        <v>57.5</v>
      </c>
      <c r="D73" s="49">
        <f>AVERAGE('26.07 Masanafu-Lubigi-24h'!D73,'27.07 Masanafu-Lubigi-24h'!D73)</f>
        <v>27</v>
      </c>
      <c r="E73" s="49">
        <f>AVERAGE('26.07 Masanafu-Lubigi-24h'!E73,'27.07 Masanafu-Lubigi-24h'!E73)</f>
        <v>13.5</v>
      </c>
      <c r="F73" s="49">
        <f>AVERAGE('26.07 Masanafu-Lubigi-24h'!F73,'27.07 Masanafu-Lubigi-24h'!F73)</f>
        <v>36</v>
      </c>
      <c r="G73" s="49">
        <f>AVERAGE('26.07 Masanafu-Lubigi-24h'!G73,'27.07 Masanafu-Lubigi-24h'!G73)</f>
        <v>0</v>
      </c>
      <c r="H73" s="49">
        <f>AVERAGE('26.07 Masanafu-Lubigi-24h'!H73,'27.07 Masanafu-Lubigi-24h'!H73)</f>
        <v>0.5</v>
      </c>
      <c r="I73" s="49">
        <f>AVERAGE('26.07 Masanafu-Lubigi-24h'!I73,'27.07 Masanafu-Lubigi-24h'!I73)</f>
        <v>5</v>
      </c>
      <c r="J73" s="49">
        <f>AVERAGE('26.07 Masanafu-Lubigi-24h'!J73,'27.07 Masanafu-Lubigi-24h'!J73)</f>
        <v>6</v>
      </c>
      <c r="K73" s="49">
        <f>AVERAGE('26.07 Masanafu-Lubigi-24h'!K73,'27.07 Masanafu-Lubigi-24h'!K73)</f>
        <v>0.5</v>
      </c>
      <c r="L73" s="49">
        <f>AVERAGE('26.07 Masanafu-Lubigi-24h'!L73,'27.07 Masanafu-Lubigi-24h'!L73)</f>
        <v>5</v>
      </c>
      <c r="M73" s="49">
        <f>AVERAGE('26.07 Masanafu-Lubigi-24h'!M73,'27.07 Masanafu-Lubigi-24h'!M73)</f>
        <v>127.5</v>
      </c>
      <c r="N73" s="49">
        <f>AVERAGE('26.07 Masanafu-Lubigi-24h'!N73,'27.07 Masanafu-Lubigi-24h'!N73)</f>
        <v>0</v>
      </c>
      <c r="O73" s="15">
        <f t="shared" si="0"/>
        <v>151</v>
      </c>
      <c r="P73" s="15">
        <f t="shared" si="1"/>
        <v>278.5</v>
      </c>
      <c r="R73" s="8"/>
      <c r="T73"/>
    </row>
    <row r="74" spans="2:20" ht="23.1" customHeight="1" x14ac:dyDescent="0.25">
      <c r="B74" s="23" t="s">
        <v>114</v>
      </c>
      <c r="C74" s="49">
        <f>AVERAGE('26.07 Masanafu-Lubigi-24h'!C74,'27.07 Masanafu-Lubigi-24h'!C74)</f>
        <v>71</v>
      </c>
      <c r="D74" s="49">
        <f>AVERAGE('26.07 Masanafu-Lubigi-24h'!D74,'27.07 Masanafu-Lubigi-24h'!D74)</f>
        <v>15</v>
      </c>
      <c r="E74" s="49">
        <f>AVERAGE('26.07 Masanafu-Lubigi-24h'!E74,'27.07 Masanafu-Lubigi-24h'!E74)</f>
        <v>24.5</v>
      </c>
      <c r="F74" s="49">
        <f>AVERAGE('26.07 Masanafu-Lubigi-24h'!F74,'27.07 Masanafu-Lubigi-24h'!F74)</f>
        <v>50.5</v>
      </c>
      <c r="G74" s="49">
        <f>AVERAGE('26.07 Masanafu-Lubigi-24h'!G74,'27.07 Masanafu-Lubigi-24h'!G74)</f>
        <v>0</v>
      </c>
      <c r="H74" s="49">
        <f>AVERAGE('26.07 Masanafu-Lubigi-24h'!H74,'27.07 Masanafu-Lubigi-24h'!H74)</f>
        <v>0.5</v>
      </c>
      <c r="I74" s="49">
        <f>AVERAGE('26.07 Masanafu-Lubigi-24h'!I74,'27.07 Masanafu-Lubigi-24h'!I74)</f>
        <v>6.5</v>
      </c>
      <c r="J74" s="49">
        <f>AVERAGE('26.07 Masanafu-Lubigi-24h'!J74,'27.07 Masanafu-Lubigi-24h'!J74)</f>
        <v>4</v>
      </c>
      <c r="K74" s="49">
        <f>AVERAGE('26.07 Masanafu-Lubigi-24h'!K74,'27.07 Masanafu-Lubigi-24h'!K74)</f>
        <v>3</v>
      </c>
      <c r="L74" s="49">
        <f>AVERAGE('26.07 Masanafu-Lubigi-24h'!L74,'27.07 Masanafu-Lubigi-24h'!L74)</f>
        <v>0</v>
      </c>
      <c r="M74" s="49">
        <f>AVERAGE('26.07 Masanafu-Lubigi-24h'!M74,'27.07 Masanafu-Lubigi-24h'!M74)</f>
        <v>103.5</v>
      </c>
      <c r="N74" s="49">
        <f>AVERAGE('26.07 Masanafu-Lubigi-24h'!N74,'27.07 Masanafu-Lubigi-24h'!N74)</f>
        <v>0</v>
      </c>
      <c r="O74" s="15">
        <f t="shared" ref="O74:O105" si="35">SUM(C74:L74,N74)</f>
        <v>175</v>
      </c>
      <c r="P74" s="15">
        <f t="shared" ref="P74:P105" si="36">SUM(C74:N74)</f>
        <v>278.5</v>
      </c>
      <c r="R74" s="8"/>
      <c r="T74"/>
    </row>
    <row r="75" spans="2:20" ht="23.1" customHeight="1" x14ac:dyDescent="0.25">
      <c r="B75" s="23" t="s">
        <v>115</v>
      </c>
      <c r="C75" s="49">
        <f>AVERAGE('26.07 Masanafu-Lubigi-24h'!C75,'27.07 Masanafu-Lubigi-24h'!C75)</f>
        <v>64.5</v>
      </c>
      <c r="D75" s="49">
        <f>AVERAGE('26.07 Masanafu-Lubigi-24h'!D75,'27.07 Masanafu-Lubigi-24h'!D75)</f>
        <v>23</v>
      </c>
      <c r="E75" s="49">
        <f>AVERAGE('26.07 Masanafu-Lubigi-24h'!E75,'27.07 Masanafu-Lubigi-24h'!E75)</f>
        <v>15</v>
      </c>
      <c r="F75" s="49">
        <f>AVERAGE('26.07 Masanafu-Lubigi-24h'!F75,'27.07 Masanafu-Lubigi-24h'!F75)</f>
        <v>17.5</v>
      </c>
      <c r="G75" s="49">
        <f>AVERAGE('26.07 Masanafu-Lubigi-24h'!G75,'27.07 Masanafu-Lubigi-24h'!G75)</f>
        <v>0.5</v>
      </c>
      <c r="H75" s="49">
        <f>AVERAGE('26.07 Masanafu-Lubigi-24h'!H75,'27.07 Masanafu-Lubigi-24h'!H75)</f>
        <v>0</v>
      </c>
      <c r="I75" s="49">
        <f>AVERAGE('26.07 Masanafu-Lubigi-24h'!I75,'27.07 Masanafu-Lubigi-24h'!I75)</f>
        <v>8.5</v>
      </c>
      <c r="J75" s="49">
        <f>AVERAGE('26.07 Masanafu-Lubigi-24h'!J75,'27.07 Masanafu-Lubigi-24h'!J75)</f>
        <v>3.5</v>
      </c>
      <c r="K75" s="49">
        <f>AVERAGE('26.07 Masanafu-Lubigi-24h'!K75,'27.07 Masanafu-Lubigi-24h'!K75)</f>
        <v>2.5</v>
      </c>
      <c r="L75" s="49">
        <f>AVERAGE('26.07 Masanafu-Lubigi-24h'!L75,'27.07 Masanafu-Lubigi-24h'!L75)</f>
        <v>2</v>
      </c>
      <c r="M75" s="49">
        <f>AVERAGE('26.07 Masanafu-Lubigi-24h'!M75,'27.07 Masanafu-Lubigi-24h'!M75)</f>
        <v>58</v>
      </c>
      <c r="N75" s="49">
        <f>AVERAGE('26.07 Masanafu-Lubigi-24h'!N75,'27.07 Masanafu-Lubigi-24h'!N75)</f>
        <v>0</v>
      </c>
      <c r="O75" s="15">
        <f t="shared" si="35"/>
        <v>137</v>
      </c>
      <c r="P75" s="15">
        <f t="shared" si="36"/>
        <v>195</v>
      </c>
      <c r="R75" s="8"/>
      <c r="T75"/>
    </row>
    <row r="76" spans="2:20" ht="23.1" customHeight="1" x14ac:dyDescent="0.25">
      <c r="B76" s="23" t="s">
        <v>116</v>
      </c>
      <c r="C76" s="49">
        <f>AVERAGE('26.07 Masanafu-Lubigi-24h'!C76,'27.07 Masanafu-Lubigi-24h'!C76)</f>
        <v>70.5</v>
      </c>
      <c r="D76" s="49">
        <f>AVERAGE('26.07 Masanafu-Lubigi-24h'!D76,'27.07 Masanafu-Lubigi-24h'!D76)</f>
        <v>20.5</v>
      </c>
      <c r="E76" s="49">
        <f>AVERAGE('26.07 Masanafu-Lubigi-24h'!E76,'27.07 Masanafu-Lubigi-24h'!E76)</f>
        <v>15</v>
      </c>
      <c r="F76" s="49">
        <f>AVERAGE('26.07 Masanafu-Lubigi-24h'!F76,'27.07 Masanafu-Lubigi-24h'!F76)</f>
        <v>32.5</v>
      </c>
      <c r="G76" s="49">
        <f>AVERAGE('26.07 Masanafu-Lubigi-24h'!G76,'27.07 Masanafu-Lubigi-24h'!G76)</f>
        <v>1</v>
      </c>
      <c r="H76" s="49">
        <f>AVERAGE('26.07 Masanafu-Lubigi-24h'!H76,'27.07 Masanafu-Lubigi-24h'!H76)</f>
        <v>1</v>
      </c>
      <c r="I76" s="49">
        <f>AVERAGE('26.07 Masanafu-Lubigi-24h'!I76,'27.07 Masanafu-Lubigi-24h'!I76)</f>
        <v>14.5</v>
      </c>
      <c r="J76" s="49">
        <f>AVERAGE('26.07 Masanafu-Lubigi-24h'!J76,'27.07 Masanafu-Lubigi-24h'!J76)</f>
        <v>11</v>
      </c>
      <c r="K76" s="49">
        <f>AVERAGE('26.07 Masanafu-Lubigi-24h'!K76,'27.07 Masanafu-Lubigi-24h'!K76)</f>
        <v>1.5</v>
      </c>
      <c r="L76" s="49">
        <f>AVERAGE('26.07 Masanafu-Lubigi-24h'!L76,'27.07 Masanafu-Lubigi-24h'!L76)</f>
        <v>0.5</v>
      </c>
      <c r="M76" s="49">
        <f>AVERAGE('26.07 Masanafu-Lubigi-24h'!M76,'27.07 Masanafu-Lubigi-24h'!M76)</f>
        <v>103</v>
      </c>
      <c r="N76" s="49">
        <f>AVERAGE('26.07 Masanafu-Lubigi-24h'!N76,'27.07 Masanafu-Lubigi-24h'!N76)</f>
        <v>0</v>
      </c>
      <c r="O76" s="15">
        <f t="shared" si="35"/>
        <v>168</v>
      </c>
      <c r="P76" s="15">
        <f t="shared" si="36"/>
        <v>271</v>
      </c>
      <c r="R76" s="8"/>
      <c r="T76"/>
    </row>
    <row r="77" spans="2:20" ht="23.1" customHeight="1" x14ac:dyDescent="0.25">
      <c r="B77" s="23" t="s">
        <v>117</v>
      </c>
      <c r="C77" s="49">
        <f>AVERAGE('26.07 Masanafu-Lubigi-24h'!C77,'27.07 Masanafu-Lubigi-24h'!C77)</f>
        <v>51</v>
      </c>
      <c r="D77" s="49">
        <f>AVERAGE('26.07 Masanafu-Lubigi-24h'!D77,'27.07 Masanafu-Lubigi-24h'!D77)</f>
        <v>15</v>
      </c>
      <c r="E77" s="49">
        <f>AVERAGE('26.07 Masanafu-Lubigi-24h'!E77,'27.07 Masanafu-Lubigi-24h'!E77)</f>
        <v>22</v>
      </c>
      <c r="F77" s="49">
        <f>AVERAGE('26.07 Masanafu-Lubigi-24h'!F77,'27.07 Masanafu-Lubigi-24h'!F77)</f>
        <v>15</v>
      </c>
      <c r="G77" s="49">
        <f>AVERAGE('26.07 Masanafu-Lubigi-24h'!G77,'27.07 Masanafu-Lubigi-24h'!G77)</f>
        <v>0</v>
      </c>
      <c r="H77" s="49">
        <f>AVERAGE('26.07 Masanafu-Lubigi-24h'!H77,'27.07 Masanafu-Lubigi-24h'!H77)</f>
        <v>0.5</v>
      </c>
      <c r="I77" s="49">
        <f>AVERAGE('26.07 Masanafu-Lubigi-24h'!I77,'27.07 Masanafu-Lubigi-24h'!I77)</f>
        <v>14</v>
      </c>
      <c r="J77" s="49">
        <f>AVERAGE('26.07 Masanafu-Lubigi-24h'!J77,'27.07 Masanafu-Lubigi-24h'!J77)</f>
        <v>13</v>
      </c>
      <c r="K77" s="49">
        <f>AVERAGE('26.07 Masanafu-Lubigi-24h'!K77,'27.07 Masanafu-Lubigi-24h'!K77)</f>
        <v>6.5</v>
      </c>
      <c r="L77" s="49">
        <f>AVERAGE('26.07 Masanafu-Lubigi-24h'!L77,'27.07 Masanafu-Lubigi-24h'!L77)</f>
        <v>2</v>
      </c>
      <c r="M77" s="49">
        <f>AVERAGE('26.07 Masanafu-Lubigi-24h'!M77,'27.07 Masanafu-Lubigi-24h'!M77)</f>
        <v>60.5</v>
      </c>
      <c r="N77" s="49">
        <f>AVERAGE('26.07 Masanafu-Lubigi-24h'!N77,'27.07 Masanafu-Lubigi-24h'!N77)</f>
        <v>0</v>
      </c>
      <c r="O77" s="15">
        <f t="shared" si="35"/>
        <v>139</v>
      </c>
      <c r="P77" s="15">
        <f t="shared" si="36"/>
        <v>199.5</v>
      </c>
      <c r="R77" s="8"/>
      <c r="T77"/>
    </row>
    <row r="78" spans="2:20" ht="23.1" customHeight="1" x14ac:dyDescent="0.25">
      <c r="B78" s="24" t="s">
        <v>118</v>
      </c>
      <c r="C78" s="49">
        <f>AVERAGE('26.07 Masanafu-Lubigi-24h'!C78,'27.07 Masanafu-Lubigi-24h'!C78)</f>
        <v>46</v>
      </c>
      <c r="D78" s="49">
        <f>AVERAGE('26.07 Masanafu-Lubigi-24h'!D78,'27.07 Masanafu-Lubigi-24h'!D78)</f>
        <v>19.5</v>
      </c>
      <c r="E78" s="49">
        <f>AVERAGE('26.07 Masanafu-Lubigi-24h'!E78,'27.07 Masanafu-Lubigi-24h'!E78)</f>
        <v>8</v>
      </c>
      <c r="F78" s="49">
        <f>AVERAGE('26.07 Masanafu-Lubigi-24h'!F78,'27.07 Masanafu-Lubigi-24h'!F78)</f>
        <v>16</v>
      </c>
      <c r="G78" s="49">
        <f>AVERAGE('26.07 Masanafu-Lubigi-24h'!G78,'27.07 Masanafu-Lubigi-24h'!G78)</f>
        <v>1.5</v>
      </c>
      <c r="H78" s="49">
        <f>AVERAGE('26.07 Masanafu-Lubigi-24h'!H78,'27.07 Masanafu-Lubigi-24h'!H78)</f>
        <v>0.5</v>
      </c>
      <c r="I78" s="49">
        <f>AVERAGE('26.07 Masanafu-Lubigi-24h'!I78,'27.07 Masanafu-Lubigi-24h'!I78)</f>
        <v>7.5</v>
      </c>
      <c r="J78" s="49">
        <f>AVERAGE('26.07 Masanafu-Lubigi-24h'!J78,'27.07 Masanafu-Lubigi-24h'!J78)</f>
        <v>5</v>
      </c>
      <c r="K78" s="49">
        <f>AVERAGE('26.07 Masanafu-Lubigi-24h'!K78,'27.07 Masanafu-Lubigi-24h'!K78)</f>
        <v>2</v>
      </c>
      <c r="L78" s="49">
        <f>AVERAGE('26.07 Masanafu-Lubigi-24h'!L78,'27.07 Masanafu-Lubigi-24h'!L78)</f>
        <v>3.5</v>
      </c>
      <c r="M78" s="49">
        <f>AVERAGE('26.07 Masanafu-Lubigi-24h'!M78,'27.07 Masanafu-Lubigi-24h'!M78)</f>
        <v>51.5</v>
      </c>
      <c r="N78" s="49">
        <f>AVERAGE('26.07 Masanafu-Lubigi-24h'!N78,'27.07 Masanafu-Lubigi-24h'!N78)</f>
        <v>0</v>
      </c>
      <c r="O78" s="15">
        <f t="shared" si="35"/>
        <v>109.5</v>
      </c>
      <c r="P78" s="15">
        <f t="shared" si="36"/>
        <v>161</v>
      </c>
      <c r="R78" s="8"/>
      <c r="T78"/>
    </row>
    <row r="79" spans="2:20" ht="23.1" customHeight="1" x14ac:dyDescent="0.25">
      <c r="B79" s="23" t="s">
        <v>119</v>
      </c>
      <c r="C79" s="49">
        <f>AVERAGE('26.07 Masanafu-Lubigi-24h'!C79,'27.07 Masanafu-Lubigi-24h'!C79)</f>
        <v>48.5</v>
      </c>
      <c r="D79" s="49">
        <f>AVERAGE('26.07 Masanafu-Lubigi-24h'!D79,'27.07 Masanafu-Lubigi-24h'!D79)</f>
        <v>10.5</v>
      </c>
      <c r="E79" s="49">
        <f>AVERAGE('26.07 Masanafu-Lubigi-24h'!E79,'27.07 Masanafu-Lubigi-24h'!E79)</f>
        <v>8.5</v>
      </c>
      <c r="F79" s="49">
        <f>AVERAGE('26.07 Masanafu-Lubigi-24h'!F79,'27.07 Masanafu-Lubigi-24h'!F79)</f>
        <v>23.5</v>
      </c>
      <c r="G79" s="49">
        <f>AVERAGE('26.07 Masanafu-Lubigi-24h'!G79,'27.07 Masanafu-Lubigi-24h'!G79)</f>
        <v>0.5</v>
      </c>
      <c r="H79" s="49">
        <f>AVERAGE('26.07 Masanafu-Lubigi-24h'!H79,'27.07 Masanafu-Lubigi-24h'!H79)</f>
        <v>0</v>
      </c>
      <c r="I79" s="49">
        <f>AVERAGE('26.07 Masanafu-Lubigi-24h'!I79,'27.07 Masanafu-Lubigi-24h'!I79)</f>
        <v>7.5</v>
      </c>
      <c r="J79" s="49">
        <f>AVERAGE('26.07 Masanafu-Lubigi-24h'!J79,'27.07 Masanafu-Lubigi-24h'!J79)</f>
        <v>6</v>
      </c>
      <c r="K79" s="49">
        <f>AVERAGE('26.07 Masanafu-Lubigi-24h'!K79,'27.07 Masanafu-Lubigi-24h'!K79)</f>
        <v>0</v>
      </c>
      <c r="L79" s="49">
        <f>AVERAGE('26.07 Masanafu-Lubigi-24h'!L79,'27.07 Masanafu-Lubigi-24h'!L79)</f>
        <v>3.5</v>
      </c>
      <c r="M79" s="49">
        <f>AVERAGE('26.07 Masanafu-Lubigi-24h'!M79,'27.07 Masanafu-Lubigi-24h'!M79)</f>
        <v>65.5</v>
      </c>
      <c r="N79" s="49">
        <f>AVERAGE('26.07 Masanafu-Lubigi-24h'!N79,'27.07 Masanafu-Lubigi-24h'!N79)</f>
        <v>0</v>
      </c>
      <c r="O79" s="15">
        <f t="shared" si="35"/>
        <v>108.5</v>
      </c>
      <c r="P79" s="15">
        <f t="shared" si="36"/>
        <v>174</v>
      </c>
      <c r="R79" s="8"/>
      <c r="T79"/>
    </row>
    <row r="80" spans="2:20" ht="23.1" customHeight="1" x14ac:dyDescent="0.25">
      <c r="B80" s="25" t="s">
        <v>120</v>
      </c>
      <c r="C80" s="49">
        <f>AVERAGE('26.07 Masanafu-Lubigi-24h'!C80,'27.07 Masanafu-Lubigi-24h'!C80)</f>
        <v>43</v>
      </c>
      <c r="D80" s="49">
        <f>AVERAGE('26.07 Masanafu-Lubigi-24h'!D80,'27.07 Masanafu-Lubigi-24h'!D80)</f>
        <v>18.5</v>
      </c>
      <c r="E80" s="49">
        <f>AVERAGE('26.07 Masanafu-Lubigi-24h'!E80,'27.07 Masanafu-Lubigi-24h'!E80)</f>
        <v>6</v>
      </c>
      <c r="F80" s="49">
        <f>AVERAGE('26.07 Masanafu-Lubigi-24h'!F80,'27.07 Masanafu-Lubigi-24h'!F80)</f>
        <v>12</v>
      </c>
      <c r="G80" s="49">
        <f>AVERAGE('26.07 Masanafu-Lubigi-24h'!G80,'27.07 Masanafu-Lubigi-24h'!G80)</f>
        <v>0.5</v>
      </c>
      <c r="H80" s="49">
        <f>AVERAGE('26.07 Masanafu-Lubigi-24h'!H80,'27.07 Masanafu-Lubigi-24h'!H80)</f>
        <v>1</v>
      </c>
      <c r="I80" s="49">
        <f>AVERAGE('26.07 Masanafu-Lubigi-24h'!I80,'27.07 Masanafu-Lubigi-24h'!I80)</f>
        <v>10</v>
      </c>
      <c r="J80" s="49">
        <f>AVERAGE('26.07 Masanafu-Lubigi-24h'!J80,'27.07 Masanafu-Lubigi-24h'!J80)</f>
        <v>7.5</v>
      </c>
      <c r="K80" s="49">
        <f>AVERAGE('26.07 Masanafu-Lubigi-24h'!K80,'27.07 Masanafu-Lubigi-24h'!K80)</f>
        <v>2.5</v>
      </c>
      <c r="L80" s="49">
        <f>AVERAGE('26.07 Masanafu-Lubigi-24h'!L80,'27.07 Masanafu-Lubigi-24h'!L80)</f>
        <v>7</v>
      </c>
      <c r="M80" s="49">
        <f>AVERAGE('26.07 Masanafu-Lubigi-24h'!M80,'27.07 Masanafu-Lubigi-24h'!M80)</f>
        <v>39.5</v>
      </c>
      <c r="N80" s="49">
        <f>AVERAGE('26.07 Masanafu-Lubigi-24h'!N80,'27.07 Masanafu-Lubigi-24h'!N80)</f>
        <v>0</v>
      </c>
      <c r="O80" s="15">
        <f t="shared" si="35"/>
        <v>108</v>
      </c>
      <c r="P80" s="15">
        <f t="shared" si="36"/>
        <v>147.5</v>
      </c>
      <c r="R80" s="8"/>
      <c r="T80"/>
    </row>
    <row r="81" spans="2:20" ht="23.1" customHeight="1" x14ac:dyDescent="0.25">
      <c r="B81" s="23" t="s">
        <v>121</v>
      </c>
      <c r="C81" s="49">
        <f>AVERAGE('26.07 Masanafu-Lubigi-24h'!C81,'27.07 Masanafu-Lubigi-24h'!C81)</f>
        <v>26</v>
      </c>
      <c r="D81" s="49">
        <f>AVERAGE('26.07 Masanafu-Lubigi-24h'!D81,'27.07 Masanafu-Lubigi-24h'!D81)</f>
        <v>14.5</v>
      </c>
      <c r="E81" s="49">
        <f>AVERAGE('26.07 Masanafu-Lubigi-24h'!E81,'27.07 Masanafu-Lubigi-24h'!E81)</f>
        <v>4</v>
      </c>
      <c r="F81" s="49">
        <f>AVERAGE('26.07 Masanafu-Lubigi-24h'!F81,'27.07 Masanafu-Lubigi-24h'!F81)</f>
        <v>11</v>
      </c>
      <c r="G81" s="49">
        <f>AVERAGE('26.07 Masanafu-Lubigi-24h'!G81,'27.07 Masanafu-Lubigi-24h'!G81)</f>
        <v>0</v>
      </c>
      <c r="H81" s="49">
        <f>AVERAGE('26.07 Masanafu-Lubigi-24h'!H81,'27.07 Masanafu-Lubigi-24h'!H81)</f>
        <v>0</v>
      </c>
      <c r="I81" s="49">
        <f>AVERAGE('26.07 Masanafu-Lubigi-24h'!I81,'27.07 Masanafu-Lubigi-24h'!I81)</f>
        <v>16</v>
      </c>
      <c r="J81" s="49">
        <f>AVERAGE('26.07 Masanafu-Lubigi-24h'!J81,'27.07 Masanafu-Lubigi-24h'!J81)</f>
        <v>6</v>
      </c>
      <c r="K81" s="49">
        <f>AVERAGE('26.07 Masanafu-Lubigi-24h'!K81,'27.07 Masanafu-Lubigi-24h'!K81)</f>
        <v>2.5</v>
      </c>
      <c r="L81" s="49">
        <f>AVERAGE('26.07 Masanafu-Lubigi-24h'!L81,'27.07 Masanafu-Lubigi-24h'!L81)</f>
        <v>3.5</v>
      </c>
      <c r="M81" s="49">
        <f>AVERAGE('26.07 Masanafu-Lubigi-24h'!M81,'27.07 Masanafu-Lubigi-24h'!M81)</f>
        <v>30</v>
      </c>
      <c r="N81" s="49">
        <f>AVERAGE('26.07 Masanafu-Lubigi-24h'!N81,'27.07 Masanafu-Lubigi-24h'!N81)</f>
        <v>0</v>
      </c>
      <c r="O81" s="15">
        <f t="shared" si="35"/>
        <v>83.5</v>
      </c>
      <c r="P81" s="15">
        <f t="shared" si="36"/>
        <v>113.5</v>
      </c>
      <c r="R81" s="8"/>
      <c r="T81"/>
    </row>
    <row r="82" spans="2:20" ht="23.1" customHeight="1" x14ac:dyDescent="0.25">
      <c r="B82" s="24" t="s">
        <v>122</v>
      </c>
      <c r="C82" s="49">
        <f>AVERAGE('26.07 Masanafu-Lubigi-24h'!C82,'27.07 Masanafu-Lubigi-24h'!C82)</f>
        <v>12</v>
      </c>
      <c r="D82" s="49">
        <f>AVERAGE('26.07 Masanafu-Lubigi-24h'!D82,'27.07 Masanafu-Lubigi-24h'!D82)</f>
        <v>7</v>
      </c>
      <c r="E82" s="49">
        <f>AVERAGE('26.07 Masanafu-Lubigi-24h'!E82,'27.07 Masanafu-Lubigi-24h'!E82)</f>
        <v>1.5</v>
      </c>
      <c r="F82" s="49">
        <f>AVERAGE('26.07 Masanafu-Lubigi-24h'!F82,'27.07 Masanafu-Lubigi-24h'!F82)</f>
        <v>3</v>
      </c>
      <c r="G82" s="49">
        <f>AVERAGE('26.07 Masanafu-Lubigi-24h'!G82,'27.07 Masanafu-Lubigi-24h'!G82)</f>
        <v>0</v>
      </c>
      <c r="H82" s="49">
        <f>AVERAGE('26.07 Masanafu-Lubigi-24h'!H82,'27.07 Masanafu-Lubigi-24h'!H82)</f>
        <v>0</v>
      </c>
      <c r="I82" s="49">
        <f>AVERAGE('26.07 Masanafu-Lubigi-24h'!I82,'27.07 Masanafu-Lubigi-24h'!I82)</f>
        <v>7</v>
      </c>
      <c r="J82" s="49">
        <f>AVERAGE('26.07 Masanafu-Lubigi-24h'!J82,'27.07 Masanafu-Lubigi-24h'!J82)</f>
        <v>6.5</v>
      </c>
      <c r="K82" s="49">
        <f>AVERAGE('26.07 Masanafu-Lubigi-24h'!K82,'27.07 Masanafu-Lubigi-24h'!K82)</f>
        <v>1.5</v>
      </c>
      <c r="L82" s="49">
        <f>AVERAGE('26.07 Masanafu-Lubigi-24h'!L82,'27.07 Masanafu-Lubigi-24h'!L82)</f>
        <v>0</v>
      </c>
      <c r="M82" s="49">
        <f>AVERAGE('26.07 Masanafu-Lubigi-24h'!M82,'27.07 Masanafu-Lubigi-24h'!M82)</f>
        <v>15</v>
      </c>
      <c r="N82" s="49">
        <f>AVERAGE('26.07 Masanafu-Lubigi-24h'!N82,'27.07 Masanafu-Lubigi-24h'!N82)</f>
        <v>0</v>
      </c>
      <c r="O82" s="15">
        <f t="shared" si="35"/>
        <v>38.5</v>
      </c>
      <c r="P82" s="15">
        <f t="shared" si="36"/>
        <v>53.5</v>
      </c>
      <c r="R82" s="8"/>
      <c r="T82"/>
    </row>
    <row r="83" spans="2:20" ht="23.1" customHeight="1" x14ac:dyDescent="0.25">
      <c r="B83" s="23" t="s">
        <v>123</v>
      </c>
      <c r="C83" s="49">
        <f>AVERAGE('26.07 Masanafu-Lubigi-24h'!C83,'27.07 Masanafu-Lubigi-24h'!C83)</f>
        <v>15.5</v>
      </c>
      <c r="D83" s="49">
        <f>AVERAGE('26.07 Masanafu-Lubigi-24h'!D83,'27.07 Masanafu-Lubigi-24h'!D83)</f>
        <v>1</v>
      </c>
      <c r="E83" s="49">
        <f>AVERAGE('26.07 Masanafu-Lubigi-24h'!E83,'27.07 Masanafu-Lubigi-24h'!E83)</f>
        <v>2.5</v>
      </c>
      <c r="F83" s="49">
        <f>AVERAGE('26.07 Masanafu-Lubigi-24h'!F83,'27.07 Masanafu-Lubigi-24h'!F83)</f>
        <v>1.5</v>
      </c>
      <c r="G83" s="49">
        <f>AVERAGE('26.07 Masanafu-Lubigi-24h'!G83,'27.07 Masanafu-Lubigi-24h'!G83)</f>
        <v>0</v>
      </c>
      <c r="H83" s="49">
        <f>AVERAGE('26.07 Masanafu-Lubigi-24h'!H83,'27.07 Masanafu-Lubigi-24h'!H83)</f>
        <v>0</v>
      </c>
      <c r="I83" s="49">
        <f>AVERAGE('26.07 Masanafu-Lubigi-24h'!I83,'27.07 Masanafu-Lubigi-24h'!I83)</f>
        <v>8</v>
      </c>
      <c r="J83" s="49">
        <f>AVERAGE('26.07 Masanafu-Lubigi-24h'!J83,'27.07 Masanafu-Lubigi-24h'!J83)</f>
        <v>8</v>
      </c>
      <c r="K83" s="49">
        <f>AVERAGE('26.07 Masanafu-Lubigi-24h'!K83,'27.07 Masanafu-Lubigi-24h'!K83)</f>
        <v>1</v>
      </c>
      <c r="L83" s="49">
        <f>AVERAGE('26.07 Masanafu-Lubigi-24h'!L83,'27.07 Masanafu-Lubigi-24h'!L83)</f>
        <v>5.5</v>
      </c>
      <c r="M83" s="49">
        <f>AVERAGE('26.07 Masanafu-Lubigi-24h'!M83,'27.07 Masanafu-Lubigi-24h'!M83)</f>
        <v>17.5</v>
      </c>
      <c r="N83" s="49">
        <f>AVERAGE('26.07 Masanafu-Lubigi-24h'!N83,'27.07 Masanafu-Lubigi-24h'!N83)</f>
        <v>0</v>
      </c>
      <c r="O83" s="15">
        <f t="shared" si="35"/>
        <v>43</v>
      </c>
      <c r="P83" s="15">
        <f t="shared" si="36"/>
        <v>60.5</v>
      </c>
      <c r="R83" s="8"/>
      <c r="T83"/>
    </row>
    <row r="84" spans="2:20" ht="23.1" customHeight="1" x14ac:dyDescent="0.25">
      <c r="B84" s="25" t="s">
        <v>124</v>
      </c>
      <c r="C84" s="49">
        <f>AVERAGE('26.07 Masanafu-Lubigi-24h'!C84,'27.07 Masanafu-Lubigi-24h'!C84)</f>
        <v>10.5</v>
      </c>
      <c r="D84" s="49">
        <f>AVERAGE('26.07 Masanafu-Lubigi-24h'!D84,'27.07 Masanafu-Lubigi-24h'!D84)</f>
        <v>1.5</v>
      </c>
      <c r="E84" s="49">
        <f>AVERAGE('26.07 Masanafu-Lubigi-24h'!E84,'27.07 Masanafu-Lubigi-24h'!E84)</f>
        <v>1</v>
      </c>
      <c r="F84" s="49">
        <f>AVERAGE('26.07 Masanafu-Lubigi-24h'!F84,'27.07 Masanafu-Lubigi-24h'!F84)</f>
        <v>1</v>
      </c>
      <c r="G84" s="49">
        <f>AVERAGE('26.07 Masanafu-Lubigi-24h'!G84,'27.07 Masanafu-Lubigi-24h'!G84)</f>
        <v>0</v>
      </c>
      <c r="H84" s="49">
        <f>AVERAGE('26.07 Masanafu-Lubigi-24h'!H84,'27.07 Masanafu-Lubigi-24h'!H84)</f>
        <v>0</v>
      </c>
      <c r="I84" s="49">
        <f>AVERAGE('26.07 Masanafu-Lubigi-24h'!I84,'27.07 Masanafu-Lubigi-24h'!I84)</f>
        <v>2.5</v>
      </c>
      <c r="J84" s="49">
        <f>AVERAGE('26.07 Masanafu-Lubigi-24h'!J84,'27.07 Masanafu-Lubigi-24h'!J84)</f>
        <v>3</v>
      </c>
      <c r="K84" s="49">
        <f>AVERAGE('26.07 Masanafu-Lubigi-24h'!K84,'27.07 Masanafu-Lubigi-24h'!K84)</f>
        <v>1</v>
      </c>
      <c r="L84" s="49">
        <f>AVERAGE('26.07 Masanafu-Lubigi-24h'!L84,'27.07 Masanafu-Lubigi-24h'!L84)</f>
        <v>2</v>
      </c>
      <c r="M84" s="49">
        <f>AVERAGE('26.07 Masanafu-Lubigi-24h'!M84,'27.07 Masanafu-Lubigi-24h'!M84)</f>
        <v>18</v>
      </c>
      <c r="N84" s="49">
        <f>AVERAGE('26.07 Masanafu-Lubigi-24h'!N84,'27.07 Masanafu-Lubigi-24h'!N84)</f>
        <v>0</v>
      </c>
      <c r="O84" s="15">
        <f t="shared" si="35"/>
        <v>22.5</v>
      </c>
      <c r="P84" s="15">
        <f t="shared" si="36"/>
        <v>40.5</v>
      </c>
      <c r="R84" s="8"/>
      <c r="T84"/>
    </row>
    <row r="85" spans="2:20" ht="23.1" customHeight="1" x14ac:dyDescent="0.25">
      <c r="B85" s="23" t="s">
        <v>125</v>
      </c>
      <c r="C85" s="49">
        <f>AVERAGE('26.07 Masanafu-Lubigi-24h'!C85,'27.07 Masanafu-Lubigi-24h'!C85)</f>
        <v>5.5</v>
      </c>
      <c r="D85" s="49">
        <f>AVERAGE('26.07 Masanafu-Lubigi-24h'!D85,'27.07 Masanafu-Lubigi-24h'!D85)</f>
        <v>1</v>
      </c>
      <c r="E85" s="49">
        <f>AVERAGE('26.07 Masanafu-Lubigi-24h'!E85,'27.07 Masanafu-Lubigi-24h'!E85)</f>
        <v>0.5</v>
      </c>
      <c r="F85" s="49">
        <f>AVERAGE('26.07 Masanafu-Lubigi-24h'!F85,'27.07 Masanafu-Lubigi-24h'!F85)</f>
        <v>2</v>
      </c>
      <c r="G85" s="49">
        <f>AVERAGE('26.07 Masanafu-Lubigi-24h'!G85,'27.07 Masanafu-Lubigi-24h'!G85)</f>
        <v>0</v>
      </c>
      <c r="H85" s="49">
        <f>AVERAGE('26.07 Masanafu-Lubigi-24h'!H85,'27.07 Masanafu-Lubigi-24h'!H85)</f>
        <v>0</v>
      </c>
      <c r="I85" s="49">
        <f>AVERAGE('26.07 Masanafu-Lubigi-24h'!I85,'27.07 Masanafu-Lubigi-24h'!I85)</f>
        <v>2</v>
      </c>
      <c r="J85" s="49">
        <f>AVERAGE('26.07 Masanafu-Lubigi-24h'!J85,'27.07 Masanafu-Lubigi-24h'!J85)</f>
        <v>6.5</v>
      </c>
      <c r="K85" s="49">
        <f>AVERAGE('26.07 Masanafu-Lubigi-24h'!K85,'27.07 Masanafu-Lubigi-24h'!K85)</f>
        <v>4</v>
      </c>
      <c r="L85" s="49">
        <f>AVERAGE('26.07 Masanafu-Lubigi-24h'!L85,'27.07 Masanafu-Lubigi-24h'!L85)</f>
        <v>1.5</v>
      </c>
      <c r="M85" s="49">
        <f>AVERAGE('26.07 Masanafu-Lubigi-24h'!M85,'27.07 Masanafu-Lubigi-24h'!M85)</f>
        <v>8.5</v>
      </c>
      <c r="N85" s="49">
        <f>AVERAGE('26.07 Masanafu-Lubigi-24h'!N85,'27.07 Masanafu-Lubigi-24h'!N85)</f>
        <v>0</v>
      </c>
      <c r="O85" s="15">
        <f t="shared" si="35"/>
        <v>23</v>
      </c>
      <c r="P85" s="15">
        <f t="shared" si="36"/>
        <v>31.5</v>
      </c>
      <c r="R85" s="8"/>
      <c r="T85"/>
    </row>
    <row r="86" spans="2:20" ht="23.1" customHeight="1" x14ac:dyDescent="0.25">
      <c r="B86" s="24" t="s">
        <v>126</v>
      </c>
      <c r="C86" s="49">
        <f>AVERAGE('26.07 Masanafu-Lubigi-24h'!C86,'27.07 Masanafu-Lubigi-24h'!C86)</f>
        <v>5</v>
      </c>
      <c r="D86" s="49">
        <f>AVERAGE('26.07 Masanafu-Lubigi-24h'!D86,'27.07 Masanafu-Lubigi-24h'!D86)</f>
        <v>2</v>
      </c>
      <c r="E86" s="49">
        <f>AVERAGE('26.07 Masanafu-Lubigi-24h'!E86,'27.07 Masanafu-Lubigi-24h'!E86)</f>
        <v>3.5</v>
      </c>
      <c r="F86" s="49">
        <f>AVERAGE('26.07 Masanafu-Lubigi-24h'!F86,'27.07 Masanafu-Lubigi-24h'!F86)</f>
        <v>4</v>
      </c>
      <c r="G86" s="49">
        <f>AVERAGE('26.07 Masanafu-Lubigi-24h'!G86,'27.07 Masanafu-Lubigi-24h'!G86)</f>
        <v>0</v>
      </c>
      <c r="H86" s="49">
        <f>AVERAGE('26.07 Masanafu-Lubigi-24h'!H86,'27.07 Masanafu-Lubigi-24h'!H86)</f>
        <v>0</v>
      </c>
      <c r="I86" s="49">
        <f>AVERAGE('26.07 Masanafu-Lubigi-24h'!I86,'27.07 Masanafu-Lubigi-24h'!I86)</f>
        <v>2.5</v>
      </c>
      <c r="J86" s="49">
        <f>AVERAGE('26.07 Masanafu-Lubigi-24h'!J86,'27.07 Masanafu-Lubigi-24h'!J86)</f>
        <v>9</v>
      </c>
      <c r="K86" s="49">
        <f>AVERAGE('26.07 Masanafu-Lubigi-24h'!K86,'27.07 Masanafu-Lubigi-24h'!K86)</f>
        <v>2.5</v>
      </c>
      <c r="L86" s="49">
        <f>AVERAGE('26.07 Masanafu-Lubigi-24h'!L86,'27.07 Masanafu-Lubigi-24h'!L86)</f>
        <v>0</v>
      </c>
      <c r="M86" s="49">
        <f>AVERAGE('26.07 Masanafu-Lubigi-24h'!M86,'27.07 Masanafu-Lubigi-24h'!M86)</f>
        <v>5.5</v>
      </c>
      <c r="N86" s="49">
        <f>AVERAGE('26.07 Masanafu-Lubigi-24h'!N86,'27.07 Masanafu-Lubigi-24h'!N86)</f>
        <v>0</v>
      </c>
      <c r="O86" s="15">
        <f t="shared" si="35"/>
        <v>28.5</v>
      </c>
      <c r="P86" s="15">
        <f t="shared" si="36"/>
        <v>34</v>
      </c>
      <c r="R86" s="8"/>
      <c r="T86"/>
    </row>
    <row r="87" spans="2:20" ht="23.1" customHeight="1" x14ac:dyDescent="0.25">
      <c r="B87" s="23" t="s">
        <v>127</v>
      </c>
      <c r="C87" s="49">
        <f>AVERAGE('26.07 Masanafu-Lubigi-24h'!C87,'27.07 Masanafu-Lubigi-24h'!C87)</f>
        <v>4.5</v>
      </c>
      <c r="D87" s="49">
        <f>AVERAGE('26.07 Masanafu-Lubigi-24h'!D87,'27.07 Masanafu-Lubigi-24h'!D87)</f>
        <v>2</v>
      </c>
      <c r="E87" s="49">
        <f>AVERAGE('26.07 Masanafu-Lubigi-24h'!E87,'27.07 Masanafu-Lubigi-24h'!E87)</f>
        <v>2.5</v>
      </c>
      <c r="F87" s="49">
        <f>AVERAGE('26.07 Masanafu-Lubigi-24h'!F87,'27.07 Masanafu-Lubigi-24h'!F87)</f>
        <v>1.5</v>
      </c>
      <c r="G87" s="49">
        <f>AVERAGE('26.07 Masanafu-Lubigi-24h'!G87,'27.07 Masanafu-Lubigi-24h'!G87)</f>
        <v>0</v>
      </c>
      <c r="H87" s="49">
        <f>AVERAGE('26.07 Masanafu-Lubigi-24h'!H87,'27.07 Masanafu-Lubigi-24h'!H87)</f>
        <v>0.5</v>
      </c>
      <c r="I87" s="49">
        <f>AVERAGE('26.07 Masanafu-Lubigi-24h'!I87,'27.07 Masanafu-Lubigi-24h'!I87)</f>
        <v>2.5</v>
      </c>
      <c r="J87" s="49">
        <f>AVERAGE('26.07 Masanafu-Lubigi-24h'!J87,'27.07 Masanafu-Lubigi-24h'!J87)</f>
        <v>1.5</v>
      </c>
      <c r="K87" s="49">
        <f>AVERAGE('26.07 Masanafu-Lubigi-24h'!K87,'27.07 Masanafu-Lubigi-24h'!K87)</f>
        <v>0</v>
      </c>
      <c r="L87" s="49">
        <f>AVERAGE('26.07 Masanafu-Lubigi-24h'!L87,'27.07 Masanafu-Lubigi-24h'!L87)</f>
        <v>1.5</v>
      </c>
      <c r="M87" s="49">
        <f>AVERAGE('26.07 Masanafu-Lubigi-24h'!M87,'27.07 Masanafu-Lubigi-24h'!M87)</f>
        <v>9</v>
      </c>
      <c r="N87" s="49">
        <f>AVERAGE('26.07 Masanafu-Lubigi-24h'!N87,'27.07 Masanafu-Lubigi-24h'!N87)</f>
        <v>0</v>
      </c>
      <c r="O87" s="15">
        <f t="shared" si="35"/>
        <v>16.5</v>
      </c>
      <c r="P87" s="15">
        <f t="shared" si="36"/>
        <v>25.5</v>
      </c>
      <c r="R87" s="8"/>
      <c r="T87"/>
    </row>
    <row r="88" spans="2:20" ht="23.1" customHeight="1" x14ac:dyDescent="0.25">
      <c r="B88" s="25" t="s">
        <v>128</v>
      </c>
      <c r="C88" s="49">
        <f>AVERAGE('26.07 Masanafu-Lubigi-24h'!C88,'27.07 Masanafu-Lubigi-24h'!C88)</f>
        <v>2.5</v>
      </c>
      <c r="D88" s="49">
        <f>AVERAGE('26.07 Masanafu-Lubigi-24h'!D88,'27.07 Masanafu-Lubigi-24h'!D88)</f>
        <v>0.5</v>
      </c>
      <c r="E88" s="49">
        <f>AVERAGE('26.07 Masanafu-Lubigi-24h'!E88,'27.07 Masanafu-Lubigi-24h'!E88)</f>
        <v>0</v>
      </c>
      <c r="F88" s="49">
        <f>AVERAGE('26.07 Masanafu-Lubigi-24h'!F88,'27.07 Masanafu-Lubigi-24h'!F88)</f>
        <v>2</v>
      </c>
      <c r="G88" s="49">
        <f>AVERAGE('26.07 Masanafu-Lubigi-24h'!G88,'27.07 Masanafu-Lubigi-24h'!G88)</f>
        <v>0</v>
      </c>
      <c r="H88" s="49">
        <f>AVERAGE('26.07 Masanafu-Lubigi-24h'!H88,'27.07 Masanafu-Lubigi-24h'!H88)</f>
        <v>0</v>
      </c>
      <c r="I88" s="49">
        <f>AVERAGE('26.07 Masanafu-Lubigi-24h'!I88,'27.07 Masanafu-Lubigi-24h'!I88)</f>
        <v>3.5</v>
      </c>
      <c r="J88" s="49">
        <f>AVERAGE('26.07 Masanafu-Lubigi-24h'!J88,'27.07 Masanafu-Lubigi-24h'!J88)</f>
        <v>5</v>
      </c>
      <c r="K88" s="49">
        <f>AVERAGE('26.07 Masanafu-Lubigi-24h'!K88,'27.07 Masanafu-Lubigi-24h'!K88)</f>
        <v>1</v>
      </c>
      <c r="L88" s="49">
        <f>AVERAGE('26.07 Masanafu-Lubigi-24h'!L88,'27.07 Masanafu-Lubigi-24h'!L88)</f>
        <v>1</v>
      </c>
      <c r="M88" s="49">
        <f>AVERAGE('26.07 Masanafu-Lubigi-24h'!M88,'27.07 Masanafu-Lubigi-24h'!M88)</f>
        <v>8</v>
      </c>
      <c r="N88" s="49">
        <f>AVERAGE('26.07 Masanafu-Lubigi-24h'!N88,'27.07 Masanafu-Lubigi-24h'!N88)</f>
        <v>0</v>
      </c>
      <c r="O88" s="15">
        <f t="shared" si="35"/>
        <v>15.5</v>
      </c>
      <c r="P88" s="15">
        <f t="shared" si="36"/>
        <v>23.5</v>
      </c>
      <c r="R88" s="8"/>
      <c r="T88"/>
    </row>
    <row r="89" spans="2:20" ht="23.1" customHeight="1" x14ac:dyDescent="0.25">
      <c r="B89" s="23" t="s">
        <v>129</v>
      </c>
      <c r="C89" s="49">
        <f>AVERAGE('26.07 Masanafu-Lubigi-24h'!C89,'27.07 Masanafu-Lubigi-24h'!C89)</f>
        <v>5</v>
      </c>
      <c r="D89" s="49">
        <f>AVERAGE('26.07 Masanafu-Lubigi-24h'!D89,'27.07 Masanafu-Lubigi-24h'!D89)</f>
        <v>0</v>
      </c>
      <c r="E89" s="49">
        <f>AVERAGE('26.07 Masanafu-Lubigi-24h'!E89,'27.07 Masanafu-Lubigi-24h'!E89)</f>
        <v>0</v>
      </c>
      <c r="F89" s="49">
        <f>AVERAGE('26.07 Masanafu-Lubigi-24h'!F89,'27.07 Masanafu-Lubigi-24h'!F89)</f>
        <v>1.5</v>
      </c>
      <c r="G89" s="49">
        <f>AVERAGE('26.07 Masanafu-Lubigi-24h'!G89,'27.07 Masanafu-Lubigi-24h'!G89)</f>
        <v>0</v>
      </c>
      <c r="H89" s="49">
        <f>AVERAGE('26.07 Masanafu-Lubigi-24h'!H89,'27.07 Masanafu-Lubigi-24h'!H89)</f>
        <v>0</v>
      </c>
      <c r="I89" s="49">
        <f>AVERAGE('26.07 Masanafu-Lubigi-24h'!I89,'27.07 Masanafu-Lubigi-24h'!I89)</f>
        <v>5.5</v>
      </c>
      <c r="J89" s="49">
        <f>AVERAGE('26.07 Masanafu-Lubigi-24h'!J89,'27.07 Masanafu-Lubigi-24h'!J89)</f>
        <v>3.5</v>
      </c>
      <c r="K89" s="49">
        <f>AVERAGE('26.07 Masanafu-Lubigi-24h'!K89,'27.07 Masanafu-Lubigi-24h'!K89)</f>
        <v>0</v>
      </c>
      <c r="L89" s="49">
        <f>AVERAGE('26.07 Masanafu-Lubigi-24h'!L89,'27.07 Masanafu-Lubigi-24h'!L89)</f>
        <v>2</v>
      </c>
      <c r="M89" s="49">
        <f>AVERAGE('26.07 Masanafu-Lubigi-24h'!M89,'27.07 Masanafu-Lubigi-24h'!M89)</f>
        <v>9</v>
      </c>
      <c r="N89" s="49">
        <f>AVERAGE('26.07 Masanafu-Lubigi-24h'!N89,'27.07 Masanafu-Lubigi-24h'!N89)</f>
        <v>0</v>
      </c>
      <c r="O89" s="15">
        <f t="shared" si="35"/>
        <v>17.5</v>
      </c>
      <c r="P89" s="15">
        <f t="shared" si="36"/>
        <v>26.5</v>
      </c>
      <c r="R89" s="8"/>
      <c r="T89"/>
    </row>
    <row r="90" spans="2:20" ht="23.1" customHeight="1" x14ac:dyDescent="0.25">
      <c r="B90" s="24" t="s">
        <v>130</v>
      </c>
      <c r="C90" s="49">
        <f>AVERAGE('26.07 Masanafu-Lubigi-24h'!C90,'27.07 Masanafu-Lubigi-24h'!C90)</f>
        <v>2.5</v>
      </c>
      <c r="D90" s="49">
        <f>AVERAGE('26.07 Masanafu-Lubigi-24h'!D90,'27.07 Masanafu-Lubigi-24h'!D90)</f>
        <v>2</v>
      </c>
      <c r="E90" s="49">
        <f>AVERAGE('26.07 Masanafu-Lubigi-24h'!E90,'27.07 Masanafu-Lubigi-24h'!E90)</f>
        <v>1.5</v>
      </c>
      <c r="F90" s="49">
        <f>AVERAGE('26.07 Masanafu-Lubigi-24h'!F90,'27.07 Masanafu-Lubigi-24h'!F90)</f>
        <v>1.5</v>
      </c>
      <c r="G90" s="49">
        <f>AVERAGE('26.07 Masanafu-Lubigi-24h'!G90,'27.07 Masanafu-Lubigi-24h'!G90)</f>
        <v>0</v>
      </c>
      <c r="H90" s="49">
        <f>AVERAGE('26.07 Masanafu-Lubigi-24h'!H90,'27.07 Masanafu-Lubigi-24h'!H90)</f>
        <v>0</v>
      </c>
      <c r="I90" s="49">
        <f>AVERAGE('26.07 Masanafu-Lubigi-24h'!I90,'27.07 Masanafu-Lubigi-24h'!I90)</f>
        <v>4.5</v>
      </c>
      <c r="J90" s="49">
        <f>AVERAGE('26.07 Masanafu-Lubigi-24h'!J90,'27.07 Masanafu-Lubigi-24h'!J90)</f>
        <v>9.5</v>
      </c>
      <c r="K90" s="49">
        <f>AVERAGE('26.07 Masanafu-Lubigi-24h'!K90,'27.07 Masanafu-Lubigi-24h'!K90)</f>
        <v>1</v>
      </c>
      <c r="L90" s="49">
        <f>AVERAGE('26.07 Masanafu-Lubigi-24h'!L90,'27.07 Masanafu-Lubigi-24h'!L90)</f>
        <v>0</v>
      </c>
      <c r="M90" s="49">
        <f>AVERAGE('26.07 Masanafu-Lubigi-24h'!M90,'27.07 Masanafu-Lubigi-24h'!M90)</f>
        <v>8</v>
      </c>
      <c r="N90" s="49">
        <f>AVERAGE('26.07 Masanafu-Lubigi-24h'!N90,'27.07 Masanafu-Lubigi-24h'!N90)</f>
        <v>0</v>
      </c>
      <c r="O90" s="15">
        <f t="shared" si="35"/>
        <v>22.5</v>
      </c>
      <c r="P90" s="15">
        <f t="shared" si="36"/>
        <v>30.5</v>
      </c>
      <c r="R90" s="8"/>
      <c r="T90"/>
    </row>
    <row r="91" spans="2:20" ht="23.1" customHeight="1" x14ac:dyDescent="0.25">
      <c r="B91" s="23" t="s">
        <v>131</v>
      </c>
      <c r="C91" s="49">
        <f>AVERAGE('26.07 Masanafu-Lubigi-24h'!C91,'27.07 Masanafu-Lubigi-24h'!C91)</f>
        <v>4</v>
      </c>
      <c r="D91" s="49">
        <f>AVERAGE('26.07 Masanafu-Lubigi-24h'!D91,'27.07 Masanafu-Lubigi-24h'!D91)</f>
        <v>1</v>
      </c>
      <c r="E91" s="49">
        <f>AVERAGE('26.07 Masanafu-Lubigi-24h'!E91,'27.07 Masanafu-Lubigi-24h'!E91)</f>
        <v>0.5</v>
      </c>
      <c r="F91" s="49">
        <f>AVERAGE('26.07 Masanafu-Lubigi-24h'!F91,'27.07 Masanafu-Lubigi-24h'!F91)</f>
        <v>1</v>
      </c>
      <c r="G91" s="49">
        <f>AVERAGE('26.07 Masanafu-Lubigi-24h'!G91,'27.07 Masanafu-Lubigi-24h'!G91)</f>
        <v>0</v>
      </c>
      <c r="H91" s="49">
        <f>AVERAGE('26.07 Masanafu-Lubigi-24h'!H91,'27.07 Masanafu-Lubigi-24h'!H91)</f>
        <v>0</v>
      </c>
      <c r="I91" s="49">
        <f>AVERAGE('26.07 Masanafu-Lubigi-24h'!I91,'27.07 Masanafu-Lubigi-24h'!I91)</f>
        <v>2</v>
      </c>
      <c r="J91" s="49">
        <f>AVERAGE('26.07 Masanafu-Lubigi-24h'!J91,'27.07 Masanafu-Lubigi-24h'!J91)</f>
        <v>4.5</v>
      </c>
      <c r="K91" s="49">
        <f>AVERAGE('26.07 Masanafu-Lubigi-24h'!K91,'27.07 Masanafu-Lubigi-24h'!K91)</f>
        <v>3.5</v>
      </c>
      <c r="L91" s="49">
        <f>AVERAGE('26.07 Masanafu-Lubigi-24h'!L91,'27.07 Masanafu-Lubigi-24h'!L91)</f>
        <v>2</v>
      </c>
      <c r="M91" s="49">
        <f>AVERAGE('26.07 Masanafu-Lubigi-24h'!M91,'27.07 Masanafu-Lubigi-24h'!M91)</f>
        <v>9</v>
      </c>
      <c r="N91" s="49">
        <f>AVERAGE('26.07 Masanafu-Lubigi-24h'!N91,'27.07 Masanafu-Lubigi-24h'!N91)</f>
        <v>0</v>
      </c>
      <c r="O91" s="15">
        <f t="shared" si="35"/>
        <v>18.5</v>
      </c>
      <c r="P91" s="15">
        <f t="shared" si="36"/>
        <v>27.5</v>
      </c>
      <c r="R91" s="8"/>
      <c r="T91"/>
    </row>
    <row r="92" spans="2:20" ht="23.1" customHeight="1" x14ac:dyDescent="0.25">
      <c r="B92" s="25" t="s">
        <v>132</v>
      </c>
      <c r="C92" s="49">
        <f>AVERAGE('26.07 Masanafu-Lubigi-24h'!C92,'27.07 Masanafu-Lubigi-24h'!C92)</f>
        <v>4</v>
      </c>
      <c r="D92" s="49">
        <f>AVERAGE('26.07 Masanafu-Lubigi-24h'!D92,'27.07 Masanafu-Lubigi-24h'!D92)</f>
        <v>1</v>
      </c>
      <c r="E92" s="49">
        <f>AVERAGE('26.07 Masanafu-Lubigi-24h'!E92,'27.07 Masanafu-Lubigi-24h'!E92)</f>
        <v>1.5</v>
      </c>
      <c r="F92" s="49">
        <f>AVERAGE('26.07 Masanafu-Lubigi-24h'!F92,'27.07 Masanafu-Lubigi-24h'!F92)</f>
        <v>0</v>
      </c>
      <c r="G92" s="49">
        <f>AVERAGE('26.07 Masanafu-Lubigi-24h'!G92,'27.07 Masanafu-Lubigi-24h'!G92)</f>
        <v>0.5</v>
      </c>
      <c r="H92" s="49">
        <f>AVERAGE('26.07 Masanafu-Lubigi-24h'!H92,'27.07 Masanafu-Lubigi-24h'!H92)</f>
        <v>0</v>
      </c>
      <c r="I92" s="49">
        <f>AVERAGE('26.07 Masanafu-Lubigi-24h'!I92,'27.07 Masanafu-Lubigi-24h'!I92)</f>
        <v>5</v>
      </c>
      <c r="J92" s="49">
        <f>AVERAGE('26.07 Masanafu-Lubigi-24h'!J92,'27.07 Masanafu-Lubigi-24h'!J92)</f>
        <v>8</v>
      </c>
      <c r="K92" s="49">
        <f>AVERAGE('26.07 Masanafu-Lubigi-24h'!K92,'27.07 Masanafu-Lubigi-24h'!K92)</f>
        <v>1</v>
      </c>
      <c r="L92" s="49">
        <f>AVERAGE('26.07 Masanafu-Lubigi-24h'!L92,'27.07 Masanafu-Lubigi-24h'!L92)</f>
        <v>0</v>
      </c>
      <c r="M92" s="49">
        <f>AVERAGE('26.07 Masanafu-Lubigi-24h'!M92,'27.07 Masanafu-Lubigi-24h'!M92)</f>
        <v>3</v>
      </c>
      <c r="N92" s="49">
        <f>AVERAGE('26.07 Masanafu-Lubigi-24h'!N92,'27.07 Masanafu-Lubigi-24h'!N92)</f>
        <v>0</v>
      </c>
      <c r="O92" s="15">
        <f t="shared" si="35"/>
        <v>21</v>
      </c>
      <c r="P92" s="15">
        <f t="shared" si="36"/>
        <v>24</v>
      </c>
      <c r="R92" s="8"/>
      <c r="T92"/>
    </row>
    <row r="93" spans="2:20" ht="23.1" customHeight="1" x14ac:dyDescent="0.25">
      <c r="B93" s="23" t="s">
        <v>133</v>
      </c>
      <c r="C93" s="49">
        <f>AVERAGE('26.07 Masanafu-Lubigi-24h'!C93,'27.07 Masanafu-Lubigi-24h'!C93)</f>
        <v>4</v>
      </c>
      <c r="D93" s="49">
        <f>AVERAGE('26.07 Masanafu-Lubigi-24h'!D93,'27.07 Masanafu-Lubigi-24h'!D93)</f>
        <v>2</v>
      </c>
      <c r="E93" s="49">
        <f>AVERAGE('26.07 Masanafu-Lubigi-24h'!E93,'27.07 Masanafu-Lubigi-24h'!E93)</f>
        <v>2.5</v>
      </c>
      <c r="F93" s="49">
        <f>AVERAGE('26.07 Masanafu-Lubigi-24h'!F93,'27.07 Masanafu-Lubigi-24h'!F93)</f>
        <v>1</v>
      </c>
      <c r="G93" s="49">
        <f>AVERAGE('26.07 Masanafu-Lubigi-24h'!G93,'27.07 Masanafu-Lubigi-24h'!G93)</f>
        <v>0</v>
      </c>
      <c r="H93" s="49">
        <f>AVERAGE('26.07 Masanafu-Lubigi-24h'!H93,'27.07 Masanafu-Lubigi-24h'!H93)</f>
        <v>0</v>
      </c>
      <c r="I93" s="49">
        <f>AVERAGE('26.07 Masanafu-Lubigi-24h'!I93,'27.07 Masanafu-Lubigi-24h'!I93)</f>
        <v>8.5</v>
      </c>
      <c r="J93" s="49">
        <f>AVERAGE('26.07 Masanafu-Lubigi-24h'!J93,'27.07 Masanafu-Lubigi-24h'!J93)</f>
        <v>8.5</v>
      </c>
      <c r="K93" s="49">
        <f>AVERAGE('26.07 Masanafu-Lubigi-24h'!K93,'27.07 Masanafu-Lubigi-24h'!K93)</f>
        <v>3</v>
      </c>
      <c r="L93" s="49">
        <f>AVERAGE('26.07 Masanafu-Lubigi-24h'!L93,'27.07 Masanafu-Lubigi-24h'!L93)</f>
        <v>4</v>
      </c>
      <c r="M93" s="49">
        <f>AVERAGE('26.07 Masanafu-Lubigi-24h'!M93,'27.07 Masanafu-Lubigi-24h'!M93)</f>
        <v>9.5</v>
      </c>
      <c r="N93" s="49">
        <f>AVERAGE('26.07 Masanafu-Lubigi-24h'!N93,'27.07 Masanafu-Lubigi-24h'!N93)</f>
        <v>0</v>
      </c>
      <c r="O93" s="15">
        <f t="shared" si="35"/>
        <v>33.5</v>
      </c>
      <c r="P93" s="15">
        <f t="shared" si="36"/>
        <v>43</v>
      </c>
      <c r="R93" s="8"/>
      <c r="T93"/>
    </row>
    <row r="94" spans="2:20" ht="23.1" customHeight="1" x14ac:dyDescent="0.25">
      <c r="B94" s="24" t="s">
        <v>134</v>
      </c>
      <c r="C94" s="49">
        <f>AVERAGE('26.07 Masanafu-Lubigi-24h'!C94,'27.07 Masanafu-Lubigi-24h'!C94)</f>
        <v>8.5</v>
      </c>
      <c r="D94" s="49">
        <f>AVERAGE('26.07 Masanafu-Lubigi-24h'!D94,'27.07 Masanafu-Lubigi-24h'!D94)</f>
        <v>15.5</v>
      </c>
      <c r="E94" s="49">
        <f>AVERAGE('26.07 Masanafu-Lubigi-24h'!E94,'27.07 Masanafu-Lubigi-24h'!E94)</f>
        <v>3</v>
      </c>
      <c r="F94" s="49">
        <f>AVERAGE('26.07 Masanafu-Lubigi-24h'!F94,'27.07 Masanafu-Lubigi-24h'!F94)</f>
        <v>9.5</v>
      </c>
      <c r="G94" s="49">
        <f>AVERAGE('26.07 Masanafu-Lubigi-24h'!G94,'27.07 Masanafu-Lubigi-24h'!G94)</f>
        <v>0</v>
      </c>
      <c r="H94" s="49">
        <f>AVERAGE('26.07 Masanafu-Lubigi-24h'!H94,'27.07 Masanafu-Lubigi-24h'!H94)</f>
        <v>0</v>
      </c>
      <c r="I94" s="49">
        <f>AVERAGE('26.07 Masanafu-Lubigi-24h'!I94,'27.07 Masanafu-Lubigi-24h'!I94)</f>
        <v>12</v>
      </c>
      <c r="J94" s="49">
        <f>AVERAGE('26.07 Masanafu-Lubigi-24h'!J94,'27.07 Masanafu-Lubigi-24h'!J94)</f>
        <v>8.5</v>
      </c>
      <c r="K94" s="49">
        <f>AVERAGE('26.07 Masanafu-Lubigi-24h'!K94,'27.07 Masanafu-Lubigi-24h'!K94)</f>
        <v>7</v>
      </c>
      <c r="L94" s="49">
        <f>AVERAGE('26.07 Masanafu-Lubigi-24h'!L94,'27.07 Masanafu-Lubigi-24h'!L94)</f>
        <v>1.5</v>
      </c>
      <c r="M94" s="49">
        <f>AVERAGE('26.07 Masanafu-Lubigi-24h'!M94,'27.07 Masanafu-Lubigi-24h'!M94)</f>
        <v>10</v>
      </c>
      <c r="N94" s="49">
        <f>AVERAGE('26.07 Masanafu-Lubigi-24h'!N94,'27.07 Masanafu-Lubigi-24h'!N94)</f>
        <v>0</v>
      </c>
      <c r="O94" s="15">
        <f t="shared" si="35"/>
        <v>65.5</v>
      </c>
      <c r="P94" s="15">
        <f t="shared" si="36"/>
        <v>75.5</v>
      </c>
      <c r="R94" s="8"/>
      <c r="T94"/>
    </row>
    <row r="95" spans="2:20" ht="23.1" customHeight="1" x14ac:dyDescent="0.25">
      <c r="B95" s="23" t="s">
        <v>135</v>
      </c>
      <c r="C95" s="49">
        <f>AVERAGE('26.07 Masanafu-Lubigi-24h'!C95,'27.07 Masanafu-Lubigi-24h'!C95)</f>
        <v>5</v>
      </c>
      <c r="D95" s="49">
        <f>AVERAGE('26.07 Masanafu-Lubigi-24h'!D95,'27.07 Masanafu-Lubigi-24h'!D95)</f>
        <v>2</v>
      </c>
      <c r="E95" s="49">
        <f>AVERAGE('26.07 Masanafu-Lubigi-24h'!E95,'27.07 Masanafu-Lubigi-24h'!E95)</f>
        <v>1.5</v>
      </c>
      <c r="F95" s="49">
        <f>AVERAGE('26.07 Masanafu-Lubigi-24h'!F95,'27.07 Masanafu-Lubigi-24h'!F95)</f>
        <v>5.5</v>
      </c>
      <c r="G95" s="49">
        <f>AVERAGE('26.07 Masanafu-Lubigi-24h'!G95,'27.07 Masanafu-Lubigi-24h'!G95)</f>
        <v>0</v>
      </c>
      <c r="H95" s="49">
        <f>AVERAGE('26.07 Masanafu-Lubigi-24h'!H95,'27.07 Masanafu-Lubigi-24h'!H95)</f>
        <v>0.5</v>
      </c>
      <c r="I95" s="49">
        <f>AVERAGE('26.07 Masanafu-Lubigi-24h'!I95,'27.07 Masanafu-Lubigi-24h'!I95)</f>
        <v>8</v>
      </c>
      <c r="J95" s="49">
        <f>AVERAGE('26.07 Masanafu-Lubigi-24h'!J95,'27.07 Masanafu-Lubigi-24h'!J95)</f>
        <v>12</v>
      </c>
      <c r="K95" s="49">
        <f>AVERAGE('26.07 Masanafu-Lubigi-24h'!K95,'27.07 Masanafu-Lubigi-24h'!K95)</f>
        <v>2.5</v>
      </c>
      <c r="L95" s="49">
        <f>AVERAGE('26.07 Masanafu-Lubigi-24h'!L95,'27.07 Masanafu-Lubigi-24h'!L95)</f>
        <v>0</v>
      </c>
      <c r="M95" s="49">
        <f>AVERAGE('26.07 Masanafu-Lubigi-24h'!M95,'27.07 Masanafu-Lubigi-24h'!M95)</f>
        <v>6.5</v>
      </c>
      <c r="N95" s="49">
        <f>AVERAGE('26.07 Masanafu-Lubigi-24h'!N95,'27.07 Masanafu-Lubigi-24h'!N95)</f>
        <v>0</v>
      </c>
      <c r="O95" s="15">
        <f t="shared" si="35"/>
        <v>37</v>
      </c>
      <c r="P95" s="15">
        <f t="shared" si="36"/>
        <v>43.5</v>
      </c>
      <c r="R95" s="8"/>
      <c r="T95"/>
    </row>
    <row r="96" spans="2:20" ht="23.1" customHeight="1" x14ac:dyDescent="0.25">
      <c r="B96" s="25" t="s">
        <v>136</v>
      </c>
      <c r="C96" s="49">
        <f>AVERAGE('26.07 Masanafu-Lubigi-24h'!C96,'27.07 Masanafu-Lubigi-24h'!C96)</f>
        <v>9.5</v>
      </c>
      <c r="D96" s="49">
        <f>AVERAGE('26.07 Masanafu-Lubigi-24h'!D96,'27.07 Masanafu-Lubigi-24h'!D96)</f>
        <v>1</v>
      </c>
      <c r="E96" s="49">
        <f>AVERAGE('26.07 Masanafu-Lubigi-24h'!E96,'27.07 Masanafu-Lubigi-24h'!E96)</f>
        <v>0.5</v>
      </c>
      <c r="F96" s="49">
        <f>AVERAGE('26.07 Masanafu-Lubigi-24h'!F96,'27.07 Masanafu-Lubigi-24h'!F96)</f>
        <v>3</v>
      </c>
      <c r="G96" s="49">
        <f>AVERAGE('26.07 Masanafu-Lubigi-24h'!G96,'27.07 Masanafu-Lubigi-24h'!G96)</f>
        <v>0.5</v>
      </c>
      <c r="H96" s="49">
        <f>AVERAGE('26.07 Masanafu-Lubigi-24h'!H96,'27.07 Masanafu-Lubigi-24h'!H96)</f>
        <v>0.5</v>
      </c>
      <c r="I96" s="49">
        <f>AVERAGE('26.07 Masanafu-Lubigi-24h'!I96,'27.07 Masanafu-Lubigi-24h'!I96)</f>
        <v>6</v>
      </c>
      <c r="J96" s="49">
        <f>AVERAGE('26.07 Masanafu-Lubigi-24h'!J96,'27.07 Masanafu-Lubigi-24h'!J96)</f>
        <v>7.5</v>
      </c>
      <c r="K96" s="49">
        <f>AVERAGE('26.07 Masanafu-Lubigi-24h'!K96,'27.07 Masanafu-Lubigi-24h'!K96)</f>
        <v>2</v>
      </c>
      <c r="L96" s="49">
        <f>AVERAGE('26.07 Masanafu-Lubigi-24h'!L96,'27.07 Masanafu-Lubigi-24h'!L96)</f>
        <v>1</v>
      </c>
      <c r="M96" s="49">
        <f>AVERAGE('26.07 Masanafu-Lubigi-24h'!M96,'27.07 Masanafu-Lubigi-24h'!M96)</f>
        <v>11.5</v>
      </c>
      <c r="N96" s="49">
        <f>AVERAGE('26.07 Masanafu-Lubigi-24h'!N96,'27.07 Masanafu-Lubigi-24h'!N96)</f>
        <v>0</v>
      </c>
      <c r="O96" s="15">
        <f t="shared" si="35"/>
        <v>31.5</v>
      </c>
      <c r="P96" s="15">
        <f t="shared" si="36"/>
        <v>43</v>
      </c>
      <c r="R96" s="8"/>
      <c r="T96"/>
    </row>
    <row r="97" spans="2:20" ht="23.1" customHeight="1" x14ac:dyDescent="0.25">
      <c r="B97" s="23" t="s">
        <v>137</v>
      </c>
      <c r="C97" s="49">
        <f>AVERAGE('26.07 Masanafu-Lubigi-24h'!C97,'27.07 Masanafu-Lubigi-24h'!C97)</f>
        <v>9</v>
      </c>
      <c r="D97" s="49">
        <f>AVERAGE('26.07 Masanafu-Lubigi-24h'!D97,'27.07 Masanafu-Lubigi-24h'!D97)</f>
        <v>2</v>
      </c>
      <c r="E97" s="49">
        <f>AVERAGE('26.07 Masanafu-Lubigi-24h'!E97,'27.07 Masanafu-Lubigi-24h'!E97)</f>
        <v>2.5</v>
      </c>
      <c r="F97" s="49">
        <f>AVERAGE('26.07 Masanafu-Lubigi-24h'!F97,'27.07 Masanafu-Lubigi-24h'!F97)</f>
        <v>6.5</v>
      </c>
      <c r="G97" s="49">
        <f>AVERAGE('26.07 Masanafu-Lubigi-24h'!G97,'27.07 Masanafu-Lubigi-24h'!G97)</f>
        <v>0.5</v>
      </c>
      <c r="H97" s="49">
        <f>AVERAGE('26.07 Masanafu-Lubigi-24h'!H97,'27.07 Masanafu-Lubigi-24h'!H97)</f>
        <v>0.5</v>
      </c>
      <c r="I97" s="49">
        <f>AVERAGE('26.07 Masanafu-Lubigi-24h'!I97,'27.07 Masanafu-Lubigi-24h'!I97)</f>
        <v>3</v>
      </c>
      <c r="J97" s="49">
        <f>AVERAGE('26.07 Masanafu-Lubigi-24h'!J97,'27.07 Masanafu-Lubigi-24h'!J97)</f>
        <v>6.5</v>
      </c>
      <c r="K97" s="49">
        <f>AVERAGE('26.07 Masanafu-Lubigi-24h'!K97,'27.07 Masanafu-Lubigi-24h'!K97)</f>
        <v>1</v>
      </c>
      <c r="L97" s="49">
        <f>AVERAGE('26.07 Masanafu-Lubigi-24h'!L97,'27.07 Masanafu-Lubigi-24h'!L97)</f>
        <v>0.5</v>
      </c>
      <c r="M97" s="49">
        <f>AVERAGE('26.07 Masanafu-Lubigi-24h'!M97,'27.07 Masanafu-Lubigi-24h'!M97)</f>
        <v>10.5</v>
      </c>
      <c r="N97" s="49">
        <f>AVERAGE('26.07 Masanafu-Lubigi-24h'!N97,'27.07 Masanafu-Lubigi-24h'!N97)</f>
        <v>0</v>
      </c>
      <c r="O97" s="15">
        <f t="shared" si="35"/>
        <v>32</v>
      </c>
      <c r="P97" s="15">
        <f t="shared" si="36"/>
        <v>42.5</v>
      </c>
      <c r="R97" s="8"/>
      <c r="T97"/>
    </row>
    <row r="98" spans="2:20" ht="23.1" customHeight="1" x14ac:dyDescent="0.25">
      <c r="B98" s="24" t="s">
        <v>138</v>
      </c>
      <c r="C98" s="49">
        <f>AVERAGE('26.07 Masanafu-Lubigi-24h'!C98,'27.07 Masanafu-Lubigi-24h'!C98)</f>
        <v>5</v>
      </c>
      <c r="D98" s="49">
        <f>AVERAGE('26.07 Masanafu-Lubigi-24h'!D98,'27.07 Masanafu-Lubigi-24h'!D98)</f>
        <v>1.5</v>
      </c>
      <c r="E98" s="49">
        <f>AVERAGE('26.07 Masanafu-Lubigi-24h'!E98,'27.07 Masanafu-Lubigi-24h'!E98)</f>
        <v>2</v>
      </c>
      <c r="F98" s="49">
        <f>AVERAGE('26.07 Masanafu-Lubigi-24h'!F98,'27.07 Masanafu-Lubigi-24h'!F98)</f>
        <v>3</v>
      </c>
      <c r="G98" s="49">
        <f>AVERAGE('26.07 Masanafu-Lubigi-24h'!G98,'27.07 Masanafu-Lubigi-24h'!G98)</f>
        <v>1</v>
      </c>
      <c r="H98" s="49">
        <f>AVERAGE('26.07 Masanafu-Lubigi-24h'!H98,'27.07 Masanafu-Lubigi-24h'!H98)</f>
        <v>0.5</v>
      </c>
      <c r="I98" s="49">
        <f>AVERAGE('26.07 Masanafu-Lubigi-24h'!I98,'27.07 Masanafu-Lubigi-24h'!I98)</f>
        <v>4.5</v>
      </c>
      <c r="J98" s="49">
        <f>AVERAGE('26.07 Masanafu-Lubigi-24h'!J98,'27.07 Masanafu-Lubigi-24h'!J98)</f>
        <v>7</v>
      </c>
      <c r="K98" s="49">
        <f>AVERAGE('26.07 Masanafu-Lubigi-24h'!K98,'27.07 Masanafu-Lubigi-24h'!K98)</f>
        <v>2.5</v>
      </c>
      <c r="L98" s="49">
        <f>AVERAGE('26.07 Masanafu-Lubigi-24h'!L98,'27.07 Masanafu-Lubigi-24h'!L98)</f>
        <v>2.5</v>
      </c>
      <c r="M98" s="49">
        <f>AVERAGE('26.07 Masanafu-Lubigi-24h'!M98,'27.07 Masanafu-Lubigi-24h'!M98)</f>
        <v>15</v>
      </c>
      <c r="N98" s="49">
        <f>AVERAGE('26.07 Masanafu-Lubigi-24h'!N98,'27.07 Masanafu-Lubigi-24h'!N98)</f>
        <v>0</v>
      </c>
      <c r="O98" s="15">
        <f t="shared" si="35"/>
        <v>29.5</v>
      </c>
      <c r="P98" s="15">
        <f t="shared" si="36"/>
        <v>44.5</v>
      </c>
      <c r="R98" s="8"/>
      <c r="T98"/>
    </row>
    <row r="99" spans="2:20" ht="23.1" customHeight="1" x14ac:dyDescent="0.25">
      <c r="B99" s="23" t="s">
        <v>139</v>
      </c>
      <c r="C99" s="49">
        <f>AVERAGE('26.07 Masanafu-Lubigi-24h'!C99,'27.07 Masanafu-Lubigi-24h'!C99)</f>
        <v>4</v>
      </c>
      <c r="D99" s="49">
        <f>AVERAGE('26.07 Masanafu-Lubigi-24h'!D99,'27.07 Masanafu-Lubigi-24h'!D99)</f>
        <v>0.5</v>
      </c>
      <c r="E99" s="49">
        <f>AVERAGE('26.07 Masanafu-Lubigi-24h'!E99,'27.07 Masanafu-Lubigi-24h'!E99)</f>
        <v>1.5</v>
      </c>
      <c r="F99" s="49">
        <f>AVERAGE('26.07 Masanafu-Lubigi-24h'!F99,'27.07 Masanafu-Lubigi-24h'!F99)</f>
        <v>3</v>
      </c>
      <c r="G99" s="49">
        <f>AVERAGE('26.07 Masanafu-Lubigi-24h'!G99,'27.07 Masanafu-Lubigi-24h'!G99)</f>
        <v>0</v>
      </c>
      <c r="H99" s="49">
        <f>AVERAGE('26.07 Masanafu-Lubigi-24h'!H99,'27.07 Masanafu-Lubigi-24h'!H99)</f>
        <v>0</v>
      </c>
      <c r="I99" s="49">
        <f>AVERAGE('26.07 Masanafu-Lubigi-24h'!I99,'27.07 Masanafu-Lubigi-24h'!I99)</f>
        <v>5</v>
      </c>
      <c r="J99" s="49">
        <f>AVERAGE('26.07 Masanafu-Lubigi-24h'!J99,'27.07 Masanafu-Lubigi-24h'!J99)</f>
        <v>2</v>
      </c>
      <c r="K99" s="49">
        <f>AVERAGE('26.07 Masanafu-Lubigi-24h'!K99,'27.07 Masanafu-Lubigi-24h'!K99)</f>
        <v>1.5</v>
      </c>
      <c r="L99" s="49">
        <f>AVERAGE('26.07 Masanafu-Lubigi-24h'!L99,'27.07 Masanafu-Lubigi-24h'!L99)</f>
        <v>2.5</v>
      </c>
      <c r="M99" s="49">
        <f>AVERAGE('26.07 Masanafu-Lubigi-24h'!M99,'27.07 Masanafu-Lubigi-24h'!M99)</f>
        <v>7.5</v>
      </c>
      <c r="N99" s="49">
        <f>AVERAGE('26.07 Masanafu-Lubigi-24h'!N99,'27.07 Masanafu-Lubigi-24h'!N99)</f>
        <v>0</v>
      </c>
      <c r="O99" s="15">
        <f t="shared" si="35"/>
        <v>20</v>
      </c>
      <c r="P99" s="15">
        <f t="shared" si="36"/>
        <v>27.5</v>
      </c>
      <c r="R99" s="8"/>
      <c r="T99"/>
    </row>
    <row r="100" spans="2:20" ht="23.1" customHeight="1" x14ac:dyDescent="0.25">
      <c r="B100" s="25" t="s">
        <v>140</v>
      </c>
      <c r="C100" s="49">
        <f>AVERAGE('26.07 Masanafu-Lubigi-24h'!C100,'27.07 Masanafu-Lubigi-24h'!C100)</f>
        <v>8</v>
      </c>
      <c r="D100" s="49">
        <f>AVERAGE('26.07 Masanafu-Lubigi-24h'!D100,'27.07 Masanafu-Lubigi-24h'!D100)</f>
        <v>5</v>
      </c>
      <c r="E100" s="49">
        <f>AVERAGE('26.07 Masanafu-Lubigi-24h'!E100,'27.07 Masanafu-Lubigi-24h'!E100)</f>
        <v>0.5</v>
      </c>
      <c r="F100" s="49">
        <f>AVERAGE('26.07 Masanafu-Lubigi-24h'!F100,'27.07 Masanafu-Lubigi-24h'!F100)</f>
        <v>7.5</v>
      </c>
      <c r="G100" s="49">
        <f>AVERAGE('26.07 Masanafu-Lubigi-24h'!G100,'27.07 Masanafu-Lubigi-24h'!G100)</f>
        <v>1</v>
      </c>
      <c r="H100" s="49">
        <f>AVERAGE('26.07 Masanafu-Lubigi-24h'!H100,'27.07 Masanafu-Lubigi-24h'!H100)</f>
        <v>0.5</v>
      </c>
      <c r="I100" s="49">
        <f>AVERAGE('26.07 Masanafu-Lubigi-24h'!I100,'27.07 Masanafu-Lubigi-24h'!I100)</f>
        <v>5.5</v>
      </c>
      <c r="J100" s="49">
        <f>AVERAGE('26.07 Masanafu-Lubigi-24h'!J100,'27.07 Masanafu-Lubigi-24h'!J100)</f>
        <v>8.5</v>
      </c>
      <c r="K100" s="49">
        <f>AVERAGE('26.07 Masanafu-Lubigi-24h'!K100,'27.07 Masanafu-Lubigi-24h'!K100)</f>
        <v>2.5</v>
      </c>
      <c r="L100" s="49">
        <f>AVERAGE('26.07 Masanafu-Lubigi-24h'!L100,'27.07 Masanafu-Lubigi-24h'!L100)</f>
        <v>4.5</v>
      </c>
      <c r="M100" s="49">
        <f>AVERAGE('26.07 Masanafu-Lubigi-24h'!M100,'27.07 Masanafu-Lubigi-24h'!M100)</f>
        <v>22</v>
      </c>
      <c r="N100" s="49">
        <f>AVERAGE('26.07 Masanafu-Lubigi-24h'!N100,'27.07 Masanafu-Lubigi-24h'!N100)</f>
        <v>0</v>
      </c>
      <c r="O100" s="15">
        <f t="shared" si="35"/>
        <v>43.5</v>
      </c>
      <c r="P100" s="15">
        <f t="shared" si="36"/>
        <v>65.5</v>
      </c>
      <c r="R100" s="8"/>
      <c r="T100"/>
    </row>
    <row r="101" spans="2:20" ht="23.1" customHeight="1" x14ac:dyDescent="0.25">
      <c r="B101" s="23" t="s">
        <v>141</v>
      </c>
      <c r="C101" s="49">
        <f>AVERAGE('26.07 Masanafu-Lubigi-24h'!C101,'27.07 Masanafu-Lubigi-24h'!C101)</f>
        <v>18.5</v>
      </c>
      <c r="D101" s="49">
        <f>AVERAGE('26.07 Masanafu-Lubigi-24h'!D101,'27.07 Masanafu-Lubigi-24h'!D101)</f>
        <v>3</v>
      </c>
      <c r="E101" s="49">
        <f>AVERAGE('26.07 Masanafu-Lubigi-24h'!E101,'27.07 Masanafu-Lubigi-24h'!E101)</f>
        <v>1</v>
      </c>
      <c r="F101" s="49">
        <f>AVERAGE('26.07 Masanafu-Lubigi-24h'!F101,'27.07 Masanafu-Lubigi-24h'!F101)</f>
        <v>9</v>
      </c>
      <c r="G101" s="49">
        <f>AVERAGE('26.07 Masanafu-Lubigi-24h'!G101,'27.07 Masanafu-Lubigi-24h'!G101)</f>
        <v>0.5</v>
      </c>
      <c r="H101" s="49">
        <f>AVERAGE('26.07 Masanafu-Lubigi-24h'!H101,'27.07 Masanafu-Lubigi-24h'!H101)</f>
        <v>1</v>
      </c>
      <c r="I101" s="49">
        <f>AVERAGE('26.07 Masanafu-Lubigi-24h'!I101,'27.07 Masanafu-Lubigi-24h'!I101)</f>
        <v>8</v>
      </c>
      <c r="J101" s="49">
        <f>AVERAGE('26.07 Masanafu-Lubigi-24h'!J101,'27.07 Masanafu-Lubigi-24h'!J101)</f>
        <v>13.5</v>
      </c>
      <c r="K101" s="49">
        <f>AVERAGE('26.07 Masanafu-Lubigi-24h'!K101,'27.07 Masanafu-Lubigi-24h'!K101)</f>
        <v>1.5</v>
      </c>
      <c r="L101" s="49">
        <f>AVERAGE('26.07 Masanafu-Lubigi-24h'!L101,'27.07 Masanafu-Lubigi-24h'!L101)</f>
        <v>6.5</v>
      </c>
      <c r="M101" s="49">
        <f>AVERAGE('26.07 Masanafu-Lubigi-24h'!M101,'27.07 Masanafu-Lubigi-24h'!M101)</f>
        <v>45</v>
      </c>
      <c r="N101" s="49">
        <f>AVERAGE('26.07 Masanafu-Lubigi-24h'!N101,'27.07 Masanafu-Lubigi-24h'!N101)</f>
        <v>0</v>
      </c>
      <c r="O101" s="15">
        <f t="shared" si="35"/>
        <v>62.5</v>
      </c>
      <c r="P101" s="15">
        <f t="shared" si="36"/>
        <v>107.5</v>
      </c>
      <c r="R101" s="8"/>
      <c r="T101"/>
    </row>
    <row r="102" spans="2:20" ht="23.1" customHeight="1" x14ac:dyDescent="0.25">
      <c r="B102" s="24" t="s">
        <v>142</v>
      </c>
      <c r="C102" s="49">
        <f>AVERAGE('26.07 Masanafu-Lubigi-24h'!C102,'27.07 Masanafu-Lubigi-24h'!C102)</f>
        <v>9.5</v>
      </c>
      <c r="D102" s="49">
        <f>AVERAGE('26.07 Masanafu-Lubigi-24h'!D102,'27.07 Masanafu-Lubigi-24h'!D102)</f>
        <v>4</v>
      </c>
      <c r="E102" s="49">
        <f>AVERAGE('26.07 Masanafu-Lubigi-24h'!E102,'27.07 Masanafu-Lubigi-24h'!E102)</f>
        <v>2</v>
      </c>
      <c r="F102" s="49">
        <f>AVERAGE('26.07 Masanafu-Lubigi-24h'!F102,'27.07 Masanafu-Lubigi-24h'!F102)</f>
        <v>12.5</v>
      </c>
      <c r="G102" s="49">
        <f>AVERAGE('26.07 Masanafu-Lubigi-24h'!G102,'27.07 Masanafu-Lubigi-24h'!G102)</f>
        <v>0.5</v>
      </c>
      <c r="H102" s="49">
        <f>AVERAGE('26.07 Masanafu-Lubigi-24h'!H102,'27.07 Masanafu-Lubigi-24h'!H102)</f>
        <v>0.5</v>
      </c>
      <c r="I102" s="49">
        <f>AVERAGE('26.07 Masanafu-Lubigi-24h'!I102,'27.07 Masanafu-Lubigi-24h'!I102)</f>
        <v>11</v>
      </c>
      <c r="J102" s="49">
        <f>AVERAGE('26.07 Masanafu-Lubigi-24h'!J102,'27.07 Masanafu-Lubigi-24h'!J102)</f>
        <v>13.5</v>
      </c>
      <c r="K102" s="49">
        <f>AVERAGE('26.07 Masanafu-Lubigi-24h'!K102,'27.07 Masanafu-Lubigi-24h'!K102)</f>
        <v>2.5</v>
      </c>
      <c r="L102" s="49">
        <f>AVERAGE('26.07 Masanafu-Lubigi-24h'!L102,'27.07 Masanafu-Lubigi-24h'!L102)</f>
        <v>4</v>
      </c>
      <c r="M102" s="49">
        <f>AVERAGE('26.07 Masanafu-Lubigi-24h'!M102,'27.07 Masanafu-Lubigi-24h'!M102)</f>
        <v>71.5</v>
      </c>
      <c r="N102" s="49">
        <f>AVERAGE('26.07 Masanafu-Lubigi-24h'!N102,'27.07 Masanafu-Lubigi-24h'!N102)</f>
        <v>0</v>
      </c>
      <c r="O102" s="15">
        <f t="shared" si="35"/>
        <v>60</v>
      </c>
      <c r="P102" s="15">
        <f t="shared" si="36"/>
        <v>131.5</v>
      </c>
      <c r="R102" s="8"/>
      <c r="T102"/>
    </row>
    <row r="103" spans="2:20" ht="23.1" customHeight="1" x14ac:dyDescent="0.25">
      <c r="B103" s="23" t="s">
        <v>143</v>
      </c>
      <c r="C103" s="49">
        <f>AVERAGE('26.07 Masanafu-Lubigi-24h'!C103,'27.07 Masanafu-Lubigi-24h'!C103)</f>
        <v>27</v>
      </c>
      <c r="D103" s="49">
        <f>AVERAGE('26.07 Masanafu-Lubigi-24h'!D103,'27.07 Masanafu-Lubigi-24h'!D103)</f>
        <v>4.5</v>
      </c>
      <c r="E103" s="49">
        <f>AVERAGE('26.07 Masanafu-Lubigi-24h'!E103,'27.07 Masanafu-Lubigi-24h'!E103)</f>
        <v>2</v>
      </c>
      <c r="F103" s="49">
        <f>AVERAGE('26.07 Masanafu-Lubigi-24h'!F103,'27.07 Masanafu-Lubigi-24h'!F103)</f>
        <v>10.5</v>
      </c>
      <c r="G103" s="49">
        <f>AVERAGE('26.07 Masanafu-Lubigi-24h'!G103,'27.07 Masanafu-Lubigi-24h'!G103)</f>
        <v>1.5</v>
      </c>
      <c r="H103" s="49">
        <f>AVERAGE('26.07 Masanafu-Lubigi-24h'!H103,'27.07 Masanafu-Lubigi-24h'!H103)</f>
        <v>1</v>
      </c>
      <c r="I103" s="49">
        <f>AVERAGE('26.07 Masanafu-Lubigi-24h'!I103,'27.07 Masanafu-Lubigi-24h'!I103)</f>
        <v>10.5</v>
      </c>
      <c r="J103" s="49">
        <f>AVERAGE('26.07 Masanafu-Lubigi-24h'!J103,'27.07 Masanafu-Lubigi-24h'!J103)</f>
        <v>14</v>
      </c>
      <c r="K103" s="49">
        <f>AVERAGE('26.07 Masanafu-Lubigi-24h'!K103,'27.07 Masanafu-Lubigi-24h'!K103)</f>
        <v>0.5</v>
      </c>
      <c r="L103" s="49">
        <f>AVERAGE('26.07 Masanafu-Lubigi-24h'!L103,'27.07 Masanafu-Lubigi-24h'!L103)</f>
        <v>4</v>
      </c>
      <c r="M103" s="49">
        <f>AVERAGE('26.07 Masanafu-Lubigi-24h'!M103,'27.07 Masanafu-Lubigi-24h'!M103)</f>
        <v>81</v>
      </c>
      <c r="N103" s="49">
        <f>AVERAGE('26.07 Masanafu-Lubigi-24h'!N103,'27.07 Masanafu-Lubigi-24h'!N103)</f>
        <v>0</v>
      </c>
      <c r="O103" s="15">
        <f t="shared" si="35"/>
        <v>75.5</v>
      </c>
      <c r="P103" s="15">
        <f t="shared" si="36"/>
        <v>156.5</v>
      </c>
      <c r="R103" s="8"/>
      <c r="T103"/>
    </row>
    <row r="104" spans="2:20" ht="23.1" customHeight="1" x14ac:dyDescent="0.25">
      <c r="B104" s="25" t="s">
        <v>144</v>
      </c>
      <c r="C104" s="49">
        <f>AVERAGE('26.07 Masanafu-Lubigi-24h'!C104,'27.07 Masanafu-Lubigi-24h'!C104)</f>
        <v>47.5</v>
      </c>
      <c r="D104" s="49">
        <f>AVERAGE('26.07 Masanafu-Lubigi-24h'!D104,'27.07 Masanafu-Lubigi-24h'!D104)</f>
        <v>15.5</v>
      </c>
      <c r="E104" s="49">
        <f>AVERAGE('26.07 Masanafu-Lubigi-24h'!E104,'27.07 Masanafu-Lubigi-24h'!E104)</f>
        <v>7.5</v>
      </c>
      <c r="F104" s="49">
        <f>AVERAGE('26.07 Masanafu-Lubigi-24h'!F104,'27.07 Masanafu-Lubigi-24h'!F104)</f>
        <v>15.5</v>
      </c>
      <c r="G104" s="49">
        <f>AVERAGE('26.07 Masanafu-Lubigi-24h'!G104,'27.07 Masanafu-Lubigi-24h'!G104)</f>
        <v>0.5</v>
      </c>
      <c r="H104" s="49">
        <f>AVERAGE('26.07 Masanafu-Lubigi-24h'!H104,'27.07 Masanafu-Lubigi-24h'!H104)</f>
        <v>1.5</v>
      </c>
      <c r="I104" s="49">
        <f>AVERAGE('26.07 Masanafu-Lubigi-24h'!I104,'27.07 Masanafu-Lubigi-24h'!I104)</f>
        <v>11</v>
      </c>
      <c r="J104" s="49">
        <f>AVERAGE('26.07 Masanafu-Lubigi-24h'!J104,'27.07 Masanafu-Lubigi-24h'!J104)</f>
        <v>9</v>
      </c>
      <c r="K104" s="49">
        <f>AVERAGE('26.07 Masanafu-Lubigi-24h'!K104,'27.07 Masanafu-Lubigi-24h'!K104)</f>
        <v>3.5</v>
      </c>
      <c r="L104" s="49">
        <f>AVERAGE('26.07 Masanafu-Lubigi-24h'!L104,'27.07 Masanafu-Lubigi-24h'!L104)</f>
        <v>13.5</v>
      </c>
      <c r="M104" s="49">
        <f>AVERAGE('26.07 Masanafu-Lubigi-24h'!M104,'27.07 Masanafu-Lubigi-24h'!M104)</f>
        <v>106.5</v>
      </c>
      <c r="N104" s="49">
        <f>AVERAGE('26.07 Masanafu-Lubigi-24h'!N104,'27.07 Masanafu-Lubigi-24h'!N104)</f>
        <v>0</v>
      </c>
      <c r="O104" s="15">
        <f t="shared" si="35"/>
        <v>125</v>
      </c>
      <c r="P104" s="15">
        <f t="shared" si="36"/>
        <v>231.5</v>
      </c>
      <c r="R104" s="8"/>
      <c r="T104"/>
    </row>
    <row r="105" spans="2:20" ht="23.1" customHeight="1" x14ac:dyDescent="0.25">
      <c r="B105" s="23" t="s">
        <v>145</v>
      </c>
      <c r="C105" s="49">
        <f>AVERAGE('26.07 Masanafu-Lubigi-24h'!C105,'27.07 Masanafu-Lubigi-24h'!C105)</f>
        <v>76.5</v>
      </c>
      <c r="D105" s="49">
        <f>AVERAGE('26.07 Masanafu-Lubigi-24h'!D105,'27.07 Masanafu-Lubigi-24h'!D105)</f>
        <v>9.5</v>
      </c>
      <c r="E105" s="49">
        <f>AVERAGE('26.07 Masanafu-Lubigi-24h'!E105,'27.07 Masanafu-Lubigi-24h'!E105)</f>
        <v>6</v>
      </c>
      <c r="F105" s="49">
        <f>AVERAGE('26.07 Masanafu-Lubigi-24h'!F105,'27.07 Masanafu-Lubigi-24h'!F105)</f>
        <v>12</v>
      </c>
      <c r="G105" s="49">
        <f>AVERAGE('26.07 Masanafu-Lubigi-24h'!G105,'27.07 Masanafu-Lubigi-24h'!G105)</f>
        <v>2</v>
      </c>
      <c r="H105" s="49">
        <f>AVERAGE('26.07 Masanafu-Lubigi-24h'!H105,'27.07 Masanafu-Lubigi-24h'!H105)</f>
        <v>0.5</v>
      </c>
      <c r="I105" s="49">
        <f>AVERAGE('26.07 Masanafu-Lubigi-24h'!I105,'27.07 Masanafu-Lubigi-24h'!I105)</f>
        <v>7.5</v>
      </c>
      <c r="J105" s="49">
        <f>AVERAGE('26.07 Masanafu-Lubigi-24h'!J105,'27.07 Masanafu-Lubigi-24h'!J105)</f>
        <v>5</v>
      </c>
      <c r="K105" s="49">
        <f>AVERAGE('26.07 Masanafu-Lubigi-24h'!K105,'27.07 Masanafu-Lubigi-24h'!K105)</f>
        <v>0.5</v>
      </c>
      <c r="L105" s="49">
        <f>AVERAGE('26.07 Masanafu-Lubigi-24h'!L105,'27.07 Masanafu-Lubigi-24h'!L105)</f>
        <v>8</v>
      </c>
      <c r="M105" s="49">
        <f>AVERAGE('26.07 Masanafu-Lubigi-24h'!M105,'27.07 Masanafu-Lubigi-24h'!M105)</f>
        <v>107.5</v>
      </c>
      <c r="N105" s="49">
        <f>AVERAGE('26.07 Masanafu-Lubigi-24h'!N105,'27.07 Masanafu-Lubigi-24h'!N105)</f>
        <v>0</v>
      </c>
      <c r="O105" s="15">
        <f t="shared" si="35"/>
        <v>127.5</v>
      </c>
      <c r="P105" s="15">
        <f t="shared" si="36"/>
        <v>235</v>
      </c>
      <c r="R105" s="8"/>
      <c r="T105"/>
    </row>
    <row r="106" spans="2:20" ht="23.1" customHeight="1" x14ac:dyDescent="0.25">
      <c r="B106" s="57" t="s">
        <v>18</v>
      </c>
      <c r="C106" s="16">
        <f>SUM(C10:C105)</f>
        <v>5527.6428571428587</v>
      </c>
      <c r="D106" s="16">
        <f t="shared" ref="D106:P106" si="37">SUM(D10:D105)</f>
        <v>1890.3571428571431</v>
      </c>
      <c r="E106" s="16">
        <f t="shared" si="37"/>
        <v>1273.7857142857142</v>
      </c>
      <c r="F106" s="16">
        <f t="shared" si="37"/>
        <v>2373.0714285714284</v>
      </c>
      <c r="G106" s="16">
        <f t="shared" si="37"/>
        <v>129.14285714285711</v>
      </c>
      <c r="H106" s="16">
        <f t="shared" si="37"/>
        <v>40.214285714285715</v>
      </c>
      <c r="I106" s="16">
        <f t="shared" si="37"/>
        <v>950.14285714285711</v>
      </c>
      <c r="J106" s="16">
        <f t="shared" si="37"/>
        <v>702.21428571428555</v>
      </c>
      <c r="K106" s="16">
        <f t="shared" si="37"/>
        <v>443.64285714285717</v>
      </c>
      <c r="L106" s="16">
        <f t="shared" si="37"/>
        <v>473.85714285714283</v>
      </c>
      <c r="M106" s="16">
        <f t="shared" si="37"/>
        <v>8859.4285714285725</v>
      </c>
      <c r="N106" s="16">
        <f t="shared" si="37"/>
        <v>1.8571428571428568</v>
      </c>
      <c r="O106" s="16">
        <f t="shared" si="37"/>
        <v>13805.928571428572</v>
      </c>
      <c r="P106" s="16">
        <f t="shared" si="37"/>
        <v>22665.357142857145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0.24388068638419241</v>
      </c>
      <c r="D107" s="43">
        <f t="shared" si="38"/>
        <v>8.3402927690150175E-2</v>
      </c>
      <c r="E107" s="43">
        <f t="shared" si="38"/>
        <v>5.6199675401414989E-2</v>
      </c>
      <c r="F107" s="43">
        <f t="shared" si="38"/>
        <v>0.10470037659738744</v>
      </c>
      <c r="G107" s="43">
        <f t="shared" si="38"/>
        <v>5.6978081716905892E-3</v>
      </c>
      <c r="H107" s="43">
        <f t="shared" si="38"/>
        <v>1.7742621685076343E-3</v>
      </c>
      <c r="I107" s="43">
        <f t="shared" si="38"/>
        <v>4.19204891038873E-2</v>
      </c>
      <c r="J107" s="43">
        <f t="shared" si="38"/>
        <v>3.0981831933567582E-2</v>
      </c>
      <c r="K107" s="43">
        <f t="shared" si="38"/>
        <v>1.9573609819895057E-2</v>
      </c>
      <c r="L107" s="43">
        <f t="shared" si="38"/>
        <v>2.0906670028205409E-2</v>
      </c>
      <c r="M107" s="43">
        <f t="shared" si="38"/>
        <v>0.39087972519420766</v>
      </c>
      <c r="N107" s="43">
        <f t="shared" si="38"/>
        <v>8.193750689378061E-5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0.40038182354371576</v>
      </c>
      <c r="D108" s="44">
        <f t="shared" ref="D108:N108" si="39">D106/$O$106</f>
        <v>0.13692357837988856</v>
      </c>
      <c r="E108" s="44">
        <f t="shared" si="39"/>
        <v>9.2263675543115528E-2</v>
      </c>
      <c r="F108" s="44">
        <f t="shared" si="39"/>
        <v>0.17188785356187558</v>
      </c>
      <c r="G108" s="44">
        <f t="shared" si="39"/>
        <v>9.3541594449589437E-3</v>
      </c>
      <c r="H108" s="44">
        <f t="shared" si="39"/>
        <v>2.9128273050397602E-3</v>
      </c>
      <c r="I108" s="44">
        <f t="shared" si="39"/>
        <v>6.8821365562413653E-2</v>
      </c>
      <c r="J108" s="44">
        <f t="shared" si="39"/>
        <v>5.0863241981964256E-2</v>
      </c>
      <c r="K108" s="44">
        <f t="shared" si="39"/>
        <v>3.2134228049026554E-2</v>
      </c>
      <c r="L108" s="44">
        <f t="shared" si="39"/>
        <v>3.4322728848372591E-2</v>
      </c>
      <c r="M108" s="44"/>
      <c r="N108" s="44">
        <f t="shared" si="39"/>
        <v>1.3451777962883438E-4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E55" zoomScale="60" workbookViewId="0">
      <selection activeCell="AB94" sqref="AB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1" width="10.7109375" customWidth="1"/>
    <col min="32" max="32" width="15" customWidth="1"/>
    <col min="33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6" t="str">
        <f>'28.07 Masanafu-Lubigi'!C3:G3</f>
        <v>MCC - C1 - STN16 - NORTHERN BYPASS</v>
      </c>
      <c r="D3" s="66"/>
      <c r="E3" s="66"/>
      <c r="F3" s="66"/>
      <c r="G3" s="66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9" t="s">
        <v>169</v>
      </c>
      <c r="E5" s="70"/>
      <c r="F5" s="41" t="s">
        <v>1</v>
      </c>
      <c r="G5" s="67" t="str">
        <f>'Avg Week Masanafu-Lubigi'!G5:H5</f>
        <v>Northern Bypass</v>
      </c>
      <c r="H5" s="68"/>
      <c r="I5" s="14"/>
      <c r="J5" s="2" t="s">
        <v>5</v>
      </c>
      <c r="K5" s="67" t="str">
        <f>'Avg Week Masanafu-Lubigi'!K5:L5</f>
        <v>Mbaha James</v>
      </c>
      <c r="L5" s="68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161</v>
      </c>
      <c r="E6" s="72"/>
      <c r="F6" s="2" t="s">
        <v>2</v>
      </c>
      <c r="G6" s="71" t="s">
        <v>161</v>
      </c>
      <c r="H6" s="72"/>
      <c r="J6" s="2" t="s">
        <v>21</v>
      </c>
      <c r="K6" s="67" t="str">
        <f>'Avg Week Masanafu-Lubigi'!K6:L6</f>
        <v>Isaac</v>
      </c>
      <c r="L6" s="6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0" t="s">
        <v>88</v>
      </c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Lubigi-Masanafu'!C10+'Avg Week Masanafu-Lubigi'!C10</f>
        <v>78.714285714285708</v>
      </c>
      <c r="D10" s="49">
        <f>'Avg Week Lubigi-Masanafu'!D10+'Avg Week Masanafu-Lubigi'!D10</f>
        <v>20.571428571428569</v>
      </c>
      <c r="E10" s="49">
        <f>'Avg Week Lubigi-Masanafu'!E10+'Avg Week Masanafu-Lubigi'!E10</f>
        <v>10</v>
      </c>
      <c r="F10" s="49">
        <f>'Avg Week Lubigi-Masanafu'!F10+'Avg Week Masanafu-Lubigi'!F10</f>
        <v>40</v>
      </c>
      <c r="G10" s="49">
        <f>'Avg Week Lubigi-Masanafu'!G10+'Avg Week Masanafu-Lubigi'!G10</f>
        <v>5</v>
      </c>
      <c r="H10" s="49">
        <f>'Avg Week Lubigi-Masanafu'!H10+'Avg Week Masanafu-Lubigi'!H10</f>
        <v>0.5714285714285714</v>
      </c>
      <c r="I10" s="49">
        <f>'Avg Week Lubigi-Masanafu'!I10+'Avg Week Masanafu-Lubigi'!I10</f>
        <v>9.428571428571427</v>
      </c>
      <c r="J10" s="49">
        <f>'Avg Week Lubigi-Masanafu'!J10+'Avg Week Masanafu-Lubigi'!J10</f>
        <v>9.8571428571428577</v>
      </c>
      <c r="K10" s="49">
        <f>'Avg Week Lubigi-Masanafu'!K10+'Avg Week Masanafu-Lubigi'!K10</f>
        <v>6.7142857142857144</v>
      </c>
      <c r="L10" s="49">
        <f>'Avg Week Lubigi-Masanafu'!L10+'Avg Week Masanafu-Lubigi'!L10</f>
        <v>5.4285714285714288</v>
      </c>
      <c r="M10" s="49">
        <f>'Avg Week Lubigi-Masanafu'!M10+'Avg Week Masanafu-Lubigi'!M10</f>
        <v>132.14285714285714</v>
      </c>
      <c r="N10" s="49">
        <f>'Avg Week Lubigi-Masanafu'!N10+'Avg Week Masanafu-Lubigi'!N10</f>
        <v>0.14285714285714285</v>
      </c>
      <c r="O10" s="15">
        <f t="shared" ref="O10:O73" si="0">SUM(C10:L10,N10)</f>
        <v>186.42857142857142</v>
      </c>
      <c r="P10" s="15">
        <f t="shared" ref="P10:P73" si="1">SUM(C10:N10)</f>
        <v>318.57142857142861</v>
      </c>
      <c r="R10" s="1" t="s">
        <v>6</v>
      </c>
      <c r="S10" s="17">
        <f t="shared" ref="S10:AF10" si="2">SUM(C10:C13)</f>
        <v>387.71428571428572</v>
      </c>
      <c r="T10" s="17">
        <f t="shared" si="2"/>
        <v>136.42857142857142</v>
      </c>
      <c r="U10" s="17">
        <f t="shared" si="2"/>
        <v>71.142857142857139</v>
      </c>
      <c r="V10" s="17">
        <f t="shared" si="2"/>
        <v>161.28571428571428</v>
      </c>
      <c r="W10" s="17">
        <f t="shared" si="2"/>
        <v>17.571428571428569</v>
      </c>
      <c r="X10" s="17">
        <f t="shared" si="2"/>
        <v>2.5714285714285712</v>
      </c>
      <c r="Y10" s="17">
        <f t="shared" si="2"/>
        <v>58.285714285714285</v>
      </c>
      <c r="Z10" s="17">
        <f t="shared" si="2"/>
        <v>51</v>
      </c>
      <c r="AA10" s="17">
        <f t="shared" si="2"/>
        <v>31.857142857142861</v>
      </c>
      <c r="AB10" s="17">
        <f t="shared" si="2"/>
        <v>25.142857142857142</v>
      </c>
      <c r="AC10" s="17">
        <f t="shared" si="2"/>
        <v>803.71428571428578</v>
      </c>
      <c r="AD10" s="17">
        <f t="shared" si="2"/>
        <v>0.2857142857142857</v>
      </c>
      <c r="AE10" s="31">
        <f t="shared" si="2"/>
        <v>943.28571428571433</v>
      </c>
      <c r="AF10" s="31">
        <f t="shared" si="2"/>
        <v>1747</v>
      </c>
    </row>
    <row r="11" spans="2:32" s="6" customFormat="1" ht="23.1" customHeight="1" x14ac:dyDescent="0.25">
      <c r="B11" s="23" t="s">
        <v>38</v>
      </c>
      <c r="C11" s="49">
        <f>'Avg Week Lubigi-Masanafu'!C11+'Avg Week Masanafu-Lubigi'!C11</f>
        <v>88.428571428571431</v>
      </c>
      <c r="D11" s="49">
        <f>'Avg Week Lubigi-Masanafu'!D11+'Avg Week Masanafu-Lubigi'!D11</f>
        <v>21.142857142857142</v>
      </c>
      <c r="E11" s="49">
        <f>'Avg Week Lubigi-Masanafu'!E11+'Avg Week Masanafu-Lubigi'!E11</f>
        <v>14.714285714285715</v>
      </c>
      <c r="F11" s="49">
        <f>'Avg Week Lubigi-Masanafu'!F11+'Avg Week Masanafu-Lubigi'!F11</f>
        <v>29.142857142857142</v>
      </c>
      <c r="G11" s="49">
        <f>'Avg Week Lubigi-Masanafu'!G11+'Avg Week Masanafu-Lubigi'!G11</f>
        <v>4</v>
      </c>
      <c r="H11" s="49">
        <f>'Avg Week Lubigi-Masanafu'!H11+'Avg Week Masanafu-Lubigi'!H11</f>
        <v>0.5714285714285714</v>
      </c>
      <c r="I11" s="49">
        <f>'Avg Week Lubigi-Masanafu'!I11+'Avg Week Masanafu-Lubigi'!I11</f>
        <v>15.142857142857142</v>
      </c>
      <c r="J11" s="49">
        <f>'Avg Week Lubigi-Masanafu'!J11+'Avg Week Masanafu-Lubigi'!J11</f>
        <v>12.714285714285715</v>
      </c>
      <c r="K11" s="49">
        <f>'Avg Week Lubigi-Masanafu'!K11+'Avg Week Masanafu-Lubigi'!K11</f>
        <v>7</v>
      </c>
      <c r="L11" s="49">
        <f>'Avg Week Lubigi-Masanafu'!L11+'Avg Week Masanafu-Lubigi'!L11</f>
        <v>5.1428571428571423</v>
      </c>
      <c r="M11" s="49">
        <f>'Avg Week Lubigi-Masanafu'!M11+'Avg Week Masanafu-Lubigi'!M11</f>
        <v>174.71428571428572</v>
      </c>
      <c r="N11" s="49">
        <f>'Avg Week Lubigi-Masanafu'!N11+'Avg Week Masanafu-Lubigi'!N11</f>
        <v>0</v>
      </c>
      <c r="O11" s="15">
        <f t="shared" si="0"/>
        <v>198</v>
      </c>
      <c r="P11" s="15">
        <f t="shared" si="1"/>
        <v>372.71428571428572</v>
      </c>
      <c r="R11" s="1" t="s">
        <v>7</v>
      </c>
      <c r="S11" s="17">
        <f t="shared" ref="S11:AF11" si="3">SUM(C14:C17)</f>
        <v>459.28571428571433</v>
      </c>
      <c r="T11" s="17">
        <f t="shared" si="3"/>
        <v>96.857142857142847</v>
      </c>
      <c r="U11" s="17">
        <f t="shared" si="3"/>
        <v>65.571428571428569</v>
      </c>
      <c r="V11" s="17">
        <f t="shared" si="3"/>
        <v>158.71428571428572</v>
      </c>
      <c r="W11" s="17">
        <f t="shared" si="3"/>
        <v>11.142857142857142</v>
      </c>
      <c r="X11" s="17">
        <f t="shared" si="3"/>
        <v>3.1428571428571428</v>
      </c>
      <c r="Y11" s="17">
        <f t="shared" si="3"/>
        <v>76.285714285714292</v>
      </c>
      <c r="Z11" s="17">
        <f t="shared" si="3"/>
        <v>40.714285714285715</v>
      </c>
      <c r="AA11" s="17">
        <f t="shared" si="3"/>
        <v>30</v>
      </c>
      <c r="AB11" s="17">
        <f t="shared" si="3"/>
        <v>28.571428571428573</v>
      </c>
      <c r="AC11" s="17">
        <f t="shared" si="3"/>
        <v>1045.7142857142858</v>
      </c>
      <c r="AD11" s="17">
        <f t="shared" si="3"/>
        <v>0</v>
      </c>
      <c r="AE11" s="31">
        <f t="shared" si="3"/>
        <v>970.28571428571433</v>
      </c>
      <c r="AF11" s="31">
        <f t="shared" si="3"/>
        <v>2016</v>
      </c>
    </row>
    <row r="12" spans="2:32" ht="23.1" customHeight="1" x14ac:dyDescent="0.25">
      <c r="B12" s="23" t="s">
        <v>39</v>
      </c>
      <c r="C12" s="49">
        <f>'Avg Week Lubigi-Masanafu'!C12+'Avg Week Masanafu-Lubigi'!C12</f>
        <v>113.85714285714286</v>
      </c>
      <c r="D12" s="49">
        <f>'Avg Week Lubigi-Masanafu'!D12+'Avg Week Masanafu-Lubigi'!D12</f>
        <v>54.142857142857139</v>
      </c>
      <c r="E12" s="49">
        <f>'Avg Week Lubigi-Masanafu'!E12+'Avg Week Masanafu-Lubigi'!E12</f>
        <v>24.857142857142858</v>
      </c>
      <c r="F12" s="49">
        <f>'Avg Week Lubigi-Masanafu'!F12+'Avg Week Masanafu-Lubigi'!F12</f>
        <v>47.571428571428569</v>
      </c>
      <c r="G12" s="49">
        <f>'Avg Week Lubigi-Masanafu'!G12+'Avg Week Masanafu-Lubigi'!G12</f>
        <v>4.2857142857142856</v>
      </c>
      <c r="H12" s="49">
        <f>'Avg Week Lubigi-Masanafu'!H12+'Avg Week Masanafu-Lubigi'!H12</f>
        <v>0.71428571428571419</v>
      </c>
      <c r="I12" s="49">
        <f>'Avg Week Lubigi-Masanafu'!I12+'Avg Week Masanafu-Lubigi'!I12</f>
        <v>19.714285714285715</v>
      </c>
      <c r="J12" s="49">
        <f>'Avg Week Lubigi-Masanafu'!J12+'Avg Week Masanafu-Lubigi'!J12</f>
        <v>12.142857142857142</v>
      </c>
      <c r="K12" s="49">
        <f>'Avg Week Lubigi-Masanafu'!K12+'Avg Week Masanafu-Lubigi'!K12</f>
        <v>10.428571428571429</v>
      </c>
      <c r="L12" s="49">
        <f>'Avg Week Lubigi-Masanafu'!L12+'Avg Week Masanafu-Lubigi'!L12</f>
        <v>6.5714285714285712</v>
      </c>
      <c r="M12" s="49">
        <f>'Avg Week Lubigi-Masanafu'!M12+'Avg Week Masanafu-Lubigi'!M12</f>
        <v>243.71428571428572</v>
      </c>
      <c r="N12" s="49">
        <f>'Avg Week Lubigi-Masanafu'!N12+'Avg Week Masanafu-Lubigi'!N12</f>
        <v>0</v>
      </c>
      <c r="O12" s="15">
        <f t="shared" si="0"/>
        <v>294.28571428571433</v>
      </c>
      <c r="P12" s="15">
        <f t="shared" si="1"/>
        <v>538</v>
      </c>
      <c r="R12" s="1" t="s">
        <v>8</v>
      </c>
      <c r="S12" s="17">
        <f t="shared" ref="S12:AF12" si="4">SUM(C18:C21)</f>
        <v>451.14285714285711</v>
      </c>
      <c r="T12" s="17">
        <f t="shared" si="4"/>
        <v>105.71428571428572</v>
      </c>
      <c r="U12" s="17">
        <f t="shared" si="4"/>
        <v>72.571428571428569</v>
      </c>
      <c r="V12" s="17">
        <f t="shared" si="4"/>
        <v>155.14285714285714</v>
      </c>
      <c r="W12" s="17">
        <f t="shared" si="4"/>
        <v>17.857142857142858</v>
      </c>
      <c r="X12" s="17">
        <f t="shared" si="4"/>
        <v>2.5714285714285712</v>
      </c>
      <c r="Y12" s="17">
        <f t="shared" si="4"/>
        <v>80.571428571428569</v>
      </c>
      <c r="Z12" s="17">
        <f t="shared" si="4"/>
        <v>45.285714285714292</v>
      </c>
      <c r="AA12" s="17">
        <f t="shared" si="4"/>
        <v>36</v>
      </c>
      <c r="AB12" s="17">
        <f t="shared" si="4"/>
        <v>33.428571428571431</v>
      </c>
      <c r="AC12" s="17">
        <f t="shared" si="4"/>
        <v>961.42857142857133</v>
      </c>
      <c r="AD12" s="17">
        <f t="shared" si="4"/>
        <v>0.14285714285714285</v>
      </c>
      <c r="AE12" s="31">
        <f t="shared" si="4"/>
        <v>1000.4285714285716</v>
      </c>
      <c r="AF12" s="31">
        <f t="shared" si="4"/>
        <v>1961.8571428571427</v>
      </c>
    </row>
    <row r="13" spans="2:32" ht="23.1" customHeight="1" x14ac:dyDescent="0.25">
      <c r="B13" s="23" t="s">
        <v>40</v>
      </c>
      <c r="C13" s="49">
        <f>'Avg Week Lubigi-Masanafu'!C13+'Avg Week Masanafu-Lubigi'!C13</f>
        <v>106.71428571428572</v>
      </c>
      <c r="D13" s="49">
        <f>'Avg Week Lubigi-Masanafu'!D13+'Avg Week Masanafu-Lubigi'!D13</f>
        <v>40.571428571428569</v>
      </c>
      <c r="E13" s="49">
        <f>'Avg Week Lubigi-Masanafu'!E13+'Avg Week Masanafu-Lubigi'!E13</f>
        <v>21.571428571428569</v>
      </c>
      <c r="F13" s="49">
        <f>'Avg Week Lubigi-Masanafu'!F13+'Avg Week Masanafu-Lubigi'!F13</f>
        <v>44.571428571428569</v>
      </c>
      <c r="G13" s="49">
        <f>'Avg Week Lubigi-Masanafu'!G13+'Avg Week Masanafu-Lubigi'!G13</f>
        <v>4.2857142857142856</v>
      </c>
      <c r="H13" s="49">
        <f>'Avg Week Lubigi-Masanafu'!H13+'Avg Week Masanafu-Lubigi'!H13</f>
        <v>0.71428571428571419</v>
      </c>
      <c r="I13" s="49">
        <f>'Avg Week Lubigi-Masanafu'!I13+'Avg Week Masanafu-Lubigi'!I13</f>
        <v>14</v>
      </c>
      <c r="J13" s="49">
        <f>'Avg Week Lubigi-Masanafu'!J13+'Avg Week Masanafu-Lubigi'!J13</f>
        <v>16.285714285714285</v>
      </c>
      <c r="K13" s="49">
        <f>'Avg Week Lubigi-Masanafu'!K13+'Avg Week Masanafu-Lubigi'!K13</f>
        <v>7.7142857142857153</v>
      </c>
      <c r="L13" s="49">
        <f>'Avg Week Lubigi-Masanafu'!L13+'Avg Week Masanafu-Lubigi'!L13</f>
        <v>8</v>
      </c>
      <c r="M13" s="49">
        <f>'Avg Week Lubigi-Masanafu'!M13+'Avg Week Masanafu-Lubigi'!M13</f>
        <v>253.14285714285714</v>
      </c>
      <c r="N13" s="49">
        <f>'Avg Week Lubigi-Masanafu'!N13+'Avg Week Masanafu-Lubigi'!N13</f>
        <v>0.14285714285714285</v>
      </c>
      <c r="O13" s="15">
        <f t="shared" si="0"/>
        <v>264.57142857142856</v>
      </c>
      <c r="P13" s="15">
        <f t="shared" si="1"/>
        <v>517.71428571428567</v>
      </c>
      <c r="R13" s="1" t="s">
        <v>9</v>
      </c>
      <c r="S13" s="17">
        <f t="shared" ref="S13:AF13" si="5">SUM(C22:C25)</f>
        <v>513.85714285714289</v>
      </c>
      <c r="T13" s="17">
        <f t="shared" si="5"/>
        <v>125.57142857142858</v>
      </c>
      <c r="U13" s="17">
        <f t="shared" si="5"/>
        <v>94</v>
      </c>
      <c r="V13" s="17">
        <f t="shared" si="5"/>
        <v>164.42857142857144</v>
      </c>
      <c r="W13" s="17">
        <f t="shared" si="5"/>
        <v>21.571428571428573</v>
      </c>
      <c r="X13" s="17">
        <f t="shared" si="5"/>
        <v>6.2857142857142856</v>
      </c>
      <c r="Y13" s="17">
        <f t="shared" si="5"/>
        <v>81.857142857142861</v>
      </c>
      <c r="Z13" s="17">
        <f t="shared" si="5"/>
        <v>64.571428571428569</v>
      </c>
      <c r="AA13" s="17">
        <f t="shared" si="5"/>
        <v>55.571428571428569</v>
      </c>
      <c r="AB13" s="17">
        <f t="shared" si="5"/>
        <v>52.714285714285722</v>
      </c>
      <c r="AC13" s="17">
        <f t="shared" si="5"/>
        <v>1064.8571428571429</v>
      </c>
      <c r="AD13" s="17">
        <f t="shared" si="5"/>
        <v>0.14285714285714285</v>
      </c>
      <c r="AE13" s="31">
        <f t="shared" si="5"/>
        <v>1180.5714285714289</v>
      </c>
      <c r="AF13" s="31">
        <f t="shared" si="5"/>
        <v>2245.4285714285716</v>
      </c>
    </row>
    <row r="14" spans="2:32" ht="23.1" customHeight="1" x14ac:dyDescent="0.25">
      <c r="B14" s="23" t="s">
        <v>41</v>
      </c>
      <c r="C14" s="49">
        <f>'Avg Week Lubigi-Masanafu'!C14+'Avg Week Masanafu-Lubigi'!C14</f>
        <v>122.14285714285714</v>
      </c>
      <c r="D14" s="49">
        <f>'Avg Week Lubigi-Masanafu'!D14+'Avg Week Masanafu-Lubigi'!D14</f>
        <v>23.714285714285715</v>
      </c>
      <c r="E14" s="49">
        <f>'Avg Week Lubigi-Masanafu'!E14+'Avg Week Masanafu-Lubigi'!E14</f>
        <v>12.857142857142858</v>
      </c>
      <c r="F14" s="49">
        <f>'Avg Week Lubigi-Masanafu'!F14+'Avg Week Masanafu-Lubigi'!F14</f>
        <v>31.571428571428569</v>
      </c>
      <c r="G14" s="49">
        <f>'Avg Week Lubigi-Masanafu'!G14+'Avg Week Masanafu-Lubigi'!G14</f>
        <v>1.2857142857142856</v>
      </c>
      <c r="H14" s="49">
        <f>'Avg Week Lubigi-Masanafu'!H14+'Avg Week Masanafu-Lubigi'!H14</f>
        <v>0.8571428571428571</v>
      </c>
      <c r="I14" s="49">
        <f>'Avg Week Lubigi-Masanafu'!I14+'Avg Week Masanafu-Lubigi'!I14</f>
        <v>16.857142857142858</v>
      </c>
      <c r="J14" s="49">
        <f>'Avg Week Lubigi-Masanafu'!J14+'Avg Week Masanafu-Lubigi'!J14</f>
        <v>11</v>
      </c>
      <c r="K14" s="49">
        <f>'Avg Week Lubigi-Masanafu'!K14+'Avg Week Masanafu-Lubigi'!K14</f>
        <v>6.5714285714285712</v>
      </c>
      <c r="L14" s="49">
        <f>'Avg Week Lubigi-Masanafu'!L14+'Avg Week Masanafu-Lubigi'!L14</f>
        <v>5.5714285714285712</v>
      </c>
      <c r="M14" s="49">
        <f>'Avg Week Lubigi-Masanafu'!M14+'Avg Week Masanafu-Lubigi'!M14</f>
        <v>256</v>
      </c>
      <c r="N14" s="49">
        <f>'Avg Week Lubigi-Masanafu'!N14+'Avg Week Masanafu-Lubigi'!N14</f>
        <v>0</v>
      </c>
      <c r="O14" s="15">
        <f t="shared" si="0"/>
        <v>232.42857142857144</v>
      </c>
      <c r="P14" s="15">
        <f t="shared" si="1"/>
        <v>488.42857142857144</v>
      </c>
      <c r="R14" s="1" t="s">
        <v>10</v>
      </c>
      <c r="S14" s="17">
        <f t="shared" ref="S14:AF14" si="6">SUM(C26:C29)</f>
        <v>575</v>
      </c>
      <c r="T14" s="17">
        <f t="shared" si="6"/>
        <v>143.85714285714283</v>
      </c>
      <c r="U14" s="17">
        <f t="shared" si="6"/>
        <v>93.285714285714292</v>
      </c>
      <c r="V14" s="17">
        <f t="shared" si="6"/>
        <v>173</v>
      </c>
      <c r="W14" s="17">
        <f t="shared" si="6"/>
        <v>17.142857142857142</v>
      </c>
      <c r="X14" s="17">
        <f t="shared" si="6"/>
        <v>3.2857142857142856</v>
      </c>
      <c r="Y14" s="17">
        <f t="shared" si="6"/>
        <v>94.142857142857139</v>
      </c>
      <c r="Z14" s="17">
        <f t="shared" si="6"/>
        <v>74.142857142857139</v>
      </c>
      <c r="AA14" s="17">
        <f t="shared" si="6"/>
        <v>55</v>
      </c>
      <c r="AB14" s="17">
        <f t="shared" si="6"/>
        <v>60.857142857142854</v>
      </c>
      <c r="AC14" s="17">
        <f t="shared" si="6"/>
        <v>1103.1428571428571</v>
      </c>
      <c r="AD14" s="17">
        <f t="shared" si="6"/>
        <v>0.14285714285714285</v>
      </c>
      <c r="AE14" s="31">
        <f t="shared" si="6"/>
        <v>1289.8571428571429</v>
      </c>
      <c r="AF14" s="31">
        <f t="shared" si="6"/>
        <v>2393</v>
      </c>
    </row>
    <row r="15" spans="2:32" ht="23.1" customHeight="1" x14ac:dyDescent="0.25">
      <c r="B15" s="23" t="s">
        <v>42</v>
      </c>
      <c r="C15" s="49">
        <f>'Avg Week Lubigi-Masanafu'!C15+'Avg Week Masanafu-Lubigi'!C15</f>
        <v>103</v>
      </c>
      <c r="D15" s="49">
        <f>'Avg Week Lubigi-Masanafu'!D15+'Avg Week Masanafu-Lubigi'!D15</f>
        <v>24</v>
      </c>
      <c r="E15" s="49">
        <f>'Avg Week Lubigi-Masanafu'!E15+'Avg Week Masanafu-Lubigi'!E15</f>
        <v>15.142857142857142</v>
      </c>
      <c r="F15" s="49">
        <f>'Avg Week Lubigi-Masanafu'!F15+'Avg Week Masanafu-Lubigi'!F15</f>
        <v>45</v>
      </c>
      <c r="G15" s="49">
        <f>'Avg Week Lubigi-Masanafu'!G15+'Avg Week Masanafu-Lubigi'!G15</f>
        <v>2</v>
      </c>
      <c r="H15" s="49">
        <f>'Avg Week Lubigi-Masanafu'!H15+'Avg Week Masanafu-Lubigi'!H15</f>
        <v>1.2857142857142856</v>
      </c>
      <c r="I15" s="49">
        <f>'Avg Week Lubigi-Masanafu'!I15+'Avg Week Masanafu-Lubigi'!I15</f>
        <v>18.142857142857142</v>
      </c>
      <c r="J15" s="49">
        <f>'Avg Week Lubigi-Masanafu'!J15+'Avg Week Masanafu-Lubigi'!J15</f>
        <v>8</v>
      </c>
      <c r="K15" s="49">
        <f>'Avg Week Lubigi-Masanafu'!K15+'Avg Week Masanafu-Lubigi'!K15</f>
        <v>7</v>
      </c>
      <c r="L15" s="49">
        <f>'Avg Week Lubigi-Masanafu'!L15+'Avg Week Masanafu-Lubigi'!L15</f>
        <v>8.8571428571428577</v>
      </c>
      <c r="M15" s="49">
        <f>'Avg Week Lubigi-Masanafu'!M15+'Avg Week Masanafu-Lubigi'!M15</f>
        <v>268.57142857142856</v>
      </c>
      <c r="N15" s="49">
        <f>'Avg Week Lubigi-Masanafu'!N15+'Avg Week Masanafu-Lubigi'!N15</f>
        <v>0</v>
      </c>
      <c r="O15" s="15">
        <f t="shared" si="0"/>
        <v>232.42857142857142</v>
      </c>
      <c r="P15" s="15">
        <f t="shared" si="1"/>
        <v>501</v>
      </c>
      <c r="R15" s="1" t="s">
        <v>11</v>
      </c>
      <c r="S15" s="17">
        <f t="shared" ref="S15:AF15" si="7">SUM(C30:C33)</f>
        <v>597.42857142857144</v>
      </c>
      <c r="T15" s="17">
        <f t="shared" si="7"/>
        <v>146.85714285714286</v>
      </c>
      <c r="U15" s="17">
        <f t="shared" si="7"/>
        <v>104.85714285714285</v>
      </c>
      <c r="V15" s="17">
        <f t="shared" si="7"/>
        <v>189</v>
      </c>
      <c r="W15" s="17">
        <f t="shared" si="7"/>
        <v>13.714285714285715</v>
      </c>
      <c r="X15" s="17">
        <f t="shared" si="7"/>
        <v>5</v>
      </c>
      <c r="Y15" s="17">
        <f t="shared" si="7"/>
        <v>94.714285714285708</v>
      </c>
      <c r="Z15" s="17">
        <f t="shared" si="7"/>
        <v>75.571428571428569</v>
      </c>
      <c r="AA15" s="17">
        <f t="shared" si="7"/>
        <v>53.000000000000007</v>
      </c>
      <c r="AB15" s="17">
        <f t="shared" si="7"/>
        <v>47.714285714285715</v>
      </c>
      <c r="AC15" s="17">
        <f t="shared" si="7"/>
        <v>1076.7142857142858</v>
      </c>
      <c r="AD15" s="17">
        <f t="shared" si="7"/>
        <v>0.5714285714285714</v>
      </c>
      <c r="AE15" s="31">
        <f t="shared" si="7"/>
        <v>1328.4285714285716</v>
      </c>
      <c r="AF15" s="31">
        <f t="shared" si="7"/>
        <v>2405.1428571428573</v>
      </c>
    </row>
    <row r="16" spans="2:32" ht="23.1" customHeight="1" x14ac:dyDescent="0.25">
      <c r="B16" s="23" t="s">
        <v>43</v>
      </c>
      <c r="C16" s="49">
        <f>'Avg Week Lubigi-Masanafu'!C16+'Avg Week Masanafu-Lubigi'!C16</f>
        <v>108.71428571428572</v>
      </c>
      <c r="D16" s="49">
        <f>'Avg Week Lubigi-Masanafu'!D16+'Avg Week Masanafu-Lubigi'!D16</f>
        <v>23.571428571428569</v>
      </c>
      <c r="E16" s="49">
        <f>'Avg Week Lubigi-Masanafu'!E16+'Avg Week Masanafu-Lubigi'!E16</f>
        <v>17.714285714285715</v>
      </c>
      <c r="F16" s="49">
        <f>'Avg Week Lubigi-Masanafu'!F16+'Avg Week Masanafu-Lubigi'!F16</f>
        <v>42.714285714285708</v>
      </c>
      <c r="G16" s="49">
        <f>'Avg Week Lubigi-Masanafu'!G16+'Avg Week Masanafu-Lubigi'!G16</f>
        <v>3</v>
      </c>
      <c r="H16" s="49">
        <f>'Avg Week Lubigi-Masanafu'!H16+'Avg Week Masanafu-Lubigi'!H16</f>
        <v>0.7142857142857143</v>
      </c>
      <c r="I16" s="49">
        <f>'Avg Week Lubigi-Masanafu'!I16+'Avg Week Masanafu-Lubigi'!I16</f>
        <v>21.142857142857146</v>
      </c>
      <c r="J16" s="49">
        <f>'Avg Week Lubigi-Masanafu'!J16+'Avg Week Masanafu-Lubigi'!J16</f>
        <v>10</v>
      </c>
      <c r="K16" s="49">
        <f>'Avg Week Lubigi-Masanafu'!K16+'Avg Week Masanafu-Lubigi'!K16</f>
        <v>7.8571428571428577</v>
      </c>
      <c r="L16" s="49">
        <f>'Avg Week Lubigi-Masanafu'!L16+'Avg Week Masanafu-Lubigi'!L16</f>
        <v>7.4285714285714288</v>
      </c>
      <c r="M16" s="49">
        <f>'Avg Week Lubigi-Masanafu'!M16+'Avg Week Masanafu-Lubigi'!M16</f>
        <v>272.71428571428572</v>
      </c>
      <c r="N16" s="49">
        <f>'Avg Week Lubigi-Masanafu'!N16+'Avg Week Masanafu-Lubigi'!N16</f>
        <v>0</v>
      </c>
      <c r="O16" s="15">
        <f t="shared" si="0"/>
        <v>242.85714285714286</v>
      </c>
      <c r="P16" s="15">
        <f t="shared" si="1"/>
        <v>515.57142857142856</v>
      </c>
      <c r="R16" s="1" t="s">
        <v>12</v>
      </c>
      <c r="S16" s="17">
        <f t="shared" ref="S16:AF16" si="8">SUM(C34:C37)</f>
        <v>574.14285714285711</v>
      </c>
      <c r="T16" s="17">
        <f t="shared" si="8"/>
        <v>135.28571428571428</v>
      </c>
      <c r="U16" s="17">
        <f t="shared" si="8"/>
        <v>97.714285714285722</v>
      </c>
      <c r="V16" s="17">
        <f t="shared" si="8"/>
        <v>175.28571428571428</v>
      </c>
      <c r="W16" s="17">
        <f t="shared" si="8"/>
        <v>10.285714285714286</v>
      </c>
      <c r="X16" s="17">
        <f t="shared" si="8"/>
        <v>2</v>
      </c>
      <c r="Y16" s="17">
        <f t="shared" si="8"/>
        <v>91.857142857142861</v>
      </c>
      <c r="Z16" s="17">
        <f t="shared" si="8"/>
        <v>73</v>
      </c>
      <c r="AA16" s="17">
        <f t="shared" si="8"/>
        <v>52.285714285714278</v>
      </c>
      <c r="AB16" s="17">
        <f t="shared" si="8"/>
        <v>53.714285714285708</v>
      </c>
      <c r="AC16" s="17">
        <f t="shared" si="8"/>
        <v>1001.5714285714284</v>
      </c>
      <c r="AD16" s="17">
        <f t="shared" si="8"/>
        <v>1</v>
      </c>
      <c r="AE16" s="31">
        <f t="shared" si="8"/>
        <v>1266.5714285714289</v>
      </c>
      <c r="AF16" s="31">
        <f t="shared" si="8"/>
        <v>2268.1428571428573</v>
      </c>
    </row>
    <row r="17" spans="2:32" ht="23.1" customHeight="1" x14ac:dyDescent="0.25">
      <c r="B17" s="23" t="s">
        <v>44</v>
      </c>
      <c r="C17" s="49">
        <f>'Avg Week Lubigi-Masanafu'!C17+'Avg Week Masanafu-Lubigi'!C17</f>
        <v>125.42857142857142</v>
      </c>
      <c r="D17" s="49">
        <f>'Avg Week Lubigi-Masanafu'!D17+'Avg Week Masanafu-Lubigi'!D17</f>
        <v>25.571428571428569</v>
      </c>
      <c r="E17" s="49">
        <f>'Avg Week Lubigi-Masanafu'!E17+'Avg Week Masanafu-Lubigi'!E17</f>
        <v>19.857142857142858</v>
      </c>
      <c r="F17" s="49">
        <f>'Avg Week Lubigi-Masanafu'!F17+'Avg Week Masanafu-Lubigi'!F17</f>
        <v>39.428571428571431</v>
      </c>
      <c r="G17" s="49">
        <f>'Avg Week Lubigi-Masanafu'!G17+'Avg Week Masanafu-Lubigi'!G17</f>
        <v>4.8571428571428577</v>
      </c>
      <c r="H17" s="49">
        <f>'Avg Week Lubigi-Masanafu'!H17+'Avg Week Masanafu-Lubigi'!H17</f>
        <v>0.2857142857142857</v>
      </c>
      <c r="I17" s="49">
        <f>'Avg Week Lubigi-Masanafu'!I17+'Avg Week Masanafu-Lubigi'!I17</f>
        <v>20.142857142857142</v>
      </c>
      <c r="J17" s="49">
        <f>'Avg Week Lubigi-Masanafu'!J17+'Avg Week Masanafu-Lubigi'!J17</f>
        <v>11.714285714285715</v>
      </c>
      <c r="K17" s="49">
        <f>'Avg Week Lubigi-Masanafu'!K17+'Avg Week Masanafu-Lubigi'!K17</f>
        <v>8.5714285714285712</v>
      </c>
      <c r="L17" s="49">
        <f>'Avg Week Lubigi-Masanafu'!L17+'Avg Week Masanafu-Lubigi'!L17</f>
        <v>6.7142857142857144</v>
      </c>
      <c r="M17" s="49">
        <f>'Avg Week Lubigi-Masanafu'!M17+'Avg Week Masanafu-Lubigi'!M17</f>
        <v>248.42857142857144</v>
      </c>
      <c r="N17" s="49">
        <f>'Avg Week Lubigi-Masanafu'!N17+'Avg Week Masanafu-Lubigi'!N17</f>
        <v>0</v>
      </c>
      <c r="O17" s="15">
        <f t="shared" si="0"/>
        <v>262.57142857142856</v>
      </c>
      <c r="P17" s="15">
        <f t="shared" si="1"/>
        <v>511</v>
      </c>
      <c r="R17" s="1" t="s">
        <v>13</v>
      </c>
      <c r="S17" s="17">
        <f t="shared" ref="S17:AF17" si="9">SUM(C38:C41)</f>
        <v>509.85714285714289</v>
      </c>
      <c r="T17" s="17">
        <f t="shared" si="9"/>
        <v>147.85714285714286</v>
      </c>
      <c r="U17" s="17">
        <f t="shared" si="9"/>
        <v>106.71428571428572</v>
      </c>
      <c r="V17" s="17">
        <f t="shared" si="9"/>
        <v>158.57142857142856</v>
      </c>
      <c r="W17" s="17">
        <f t="shared" si="9"/>
        <v>5.5714285714285712</v>
      </c>
      <c r="X17" s="17">
        <f t="shared" si="9"/>
        <v>1.2857142857142856</v>
      </c>
      <c r="Y17" s="17">
        <f t="shared" si="9"/>
        <v>90.714285714285722</v>
      </c>
      <c r="Z17" s="17">
        <f t="shared" si="9"/>
        <v>72.428571428571431</v>
      </c>
      <c r="AA17" s="17">
        <f t="shared" si="9"/>
        <v>56.285714285714292</v>
      </c>
      <c r="AB17" s="17">
        <f t="shared" si="9"/>
        <v>48.571428571428569</v>
      </c>
      <c r="AC17" s="17">
        <f t="shared" si="9"/>
        <v>880.85714285714289</v>
      </c>
      <c r="AD17" s="17">
        <f t="shared" si="9"/>
        <v>0.14285714285714285</v>
      </c>
      <c r="AE17" s="31">
        <f t="shared" si="9"/>
        <v>1198</v>
      </c>
      <c r="AF17" s="31">
        <f t="shared" si="9"/>
        <v>2078.8571428571427</v>
      </c>
    </row>
    <row r="18" spans="2:32" ht="23.1" customHeight="1" x14ac:dyDescent="0.25">
      <c r="B18" s="23" t="s">
        <v>45</v>
      </c>
      <c r="C18" s="49">
        <f>'Avg Week Lubigi-Masanafu'!C18+'Avg Week Masanafu-Lubigi'!C18</f>
        <v>108.85714285714286</v>
      </c>
      <c r="D18" s="49">
        <f>'Avg Week Lubigi-Masanafu'!D18+'Avg Week Masanafu-Lubigi'!D18</f>
        <v>25.142857142857139</v>
      </c>
      <c r="E18" s="49">
        <f>'Avg Week Lubigi-Masanafu'!E18+'Avg Week Masanafu-Lubigi'!E18</f>
        <v>15.571428571428571</v>
      </c>
      <c r="F18" s="49">
        <f>'Avg Week Lubigi-Masanafu'!F18+'Avg Week Masanafu-Lubigi'!F18</f>
        <v>33</v>
      </c>
      <c r="G18" s="49">
        <f>'Avg Week Lubigi-Masanafu'!G18+'Avg Week Masanafu-Lubigi'!G18</f>
        <v>4.8571428571428568</v>
      </c>
      <c r="H18" s="49">
        <f>'Avg Week Lubigi-Masanafu'!H18+'Avg Week Masanafu-Lubigi'!H18</f>
        <v>0.42857142857142855</v>
      </c>
      <c r="I18" s="49">
        <f>'Avg Week Lubigi-Masanafu'!I18+'Avg Week Masanafu-Lubigi'!I18</f>
        <v>16</v>
      </c>
      <c r="J18" s="49">
        <f>'Avg Week Lubigi-Masanafu'!J18+'Avg Week Masanafu-Lubigi'!J18</f>
        <v>11.142857142857142</v>
      </c>
      <c r="K18" s="49">
        <f>'Avg Week Lubigi-Masanafu'!K18+'Avg Week Masanafu-Lubigi'!K18</f>
        <v>10.714285714285715</v>
      </c>
      <c r="L18" s="49">
        <f>'Avg Week Lubigi-Masanafu'!L18+'Avg Week Masanafu-Lubigi'!L18</f>
        <v>6.4285714285714288</v>
      </c>
      <c r="M18" s="49">
        <f>'Avg Week Lubigi-Masanafu'!M18+'Avg Week Masanafu-Lubigi'!M18</f>
        <v>238.85714285714283</v>
      </c>
      <c r="N18" s="49">
        <f>'Avg Week Lubigi-Masanafu'!N18+'Avg Week Masanafu-Lubigi'!N18</f>
        <v>0</v>
      </c>
      <c r="O18" s="15">
        <f t="shared" si="0"/>
        <v>232.14285714285714</v>
      </c>
      <c r="P18" s="15">
        <f t="shared" si="1"/>
        <v>471</v>
      </c>
      <c r="R18" s="1" t="s">
        <v>14</v>
      </c>
      <c r="S18" s="17">
        <f t="shared" ref="S18:AF18" si="10">SUM(C42:C45)</f>
        <v>585</v>
      </c>
      <c r="T18" s="17">
        <f t="shared" si="10"/>
        <v>171.85714285714283</v>
      </c>
      <c r="U18" s="17">
        <f t="shared" si="10"/>
        <v>111.57142857142858</v>
      </c>
      <c r="V18" s="17">
        <f t="shared" si="10"/>
        <v>161.28571428571428</v>
      </c>
      <c r="W18" s="17">
        <f t="shared" si="10"/>
        <v>7.8571428571428568</v>
      </c>
      <c r="X18" s="17">
        <f t="shared" si="10"/>
        <v>2.2857142857142856</v>
      </c>
      <c r="Y18" s="17">
        <f t="shared" si="10"/>
        <v>106.57142857142858</v>
      </c>
      <c r="Z18" s="17">
        <f t="shared" si="10"/>
        <v>82.571428571428569</v>
      </c>
      <c r="AA18" s="17">
        <f t="shared" si="10"/>
        <v>56.857142857142861</v>
      </c>
      <c r="AB18" s="17">
        <f t="shared" si="10"/>
        <v>53.714285714285708</v>
      </c>
      <c r="AC18" s="17">
        <f t="shared" si="10"/>
        <v>873.42857142857156</v>
      </c>
      <c r="AD18" s="17">
        <f t="shared" si="10"/>
        <v>0.14285714285714285</v>
      </c>
      <c r="AE18" s="31">
        <f t="shared" si="10"/>
        <v>1339.7142857142858</v>
      </c>
      <c r="AF18" s="31">
        <f t="shared" si="10"/>
        <v>2213.1428571428569</v>
      </c>
    </row>
    <row r="19" spans="2:32" ht="23.1" customHeight="1" x14ac:dyDescent="0.25">
      <c r="B19" s="23" t="s">
        <v>46</v>
      </c>
      <c r="C19" s="49">
        <f>'Avg Week Lubigi-Masanafu'!C19+'Avg Week Masanafu-Lubigi'!C19</f>
        <v>114.85714285714286</v>
      </c>
      <c r="D19" s="49">
        <f>'Avg Week Lubigi-Masanafu'!D19+'Avg Week Masanafu-Lubigi'!D19</f>
        <v>26.714285714285715</v>
      </c>
      <c r="E19" s="49">
        <f>'Avg Week Lubigi-Masanafu'!E19+'Avg Week Masanafu-Lubigi'!E19</f>
        <v>21.714285714285715</v>
      </c>
      <c r="F19" s="49">
        <f>'Avg Week Lubigi-Masanafu'!F19+'Avg Week Masanafu-Lubigi'!F19</f>
        <v>42.142857142857139</v>
      </c>
      <c r="G19" s="49">
        <f>'Avg Week Lubigi-Masanafu'!G19+'Avg Week Masanafu-Lubigi'!G19</f>
        <v>2.7142857142857144</v>
      </c>
      <c r="H19" s="49">
        <f>'Avg Week Lubigi-Masanafu'!H19+'Avg Week Masanafu-Lubigi'!H19</f>
        <v>0.7142857142857143</v>
      </c>
      <c r="I19" s="49">
        <f>'Avg Week Lubigi-Masanafu'!I19+'Avg Week Masanafu-Lubigi'!I19</f>
        <v>19.285714285714285</v>
      </c>
      <c r="J19" s="49">
        <f>'Avg Week Lubigi-Masanafu'!J19+'Avg Week Masanafu-Lubigi'!J19</f>
        <v>15</v>
      </c>
      <c r="K19" s="49">
        <f>'Avg Week Lubigi-Masanafu'!K19+'Avg Week Masanafu-Lubigi'!K19</f>
        <v>8.5714285714285712</v>
      </c>
      <c r="L19" s="49">
        <f>'Avg Week Lubigi-Masanafu'!L19+'Avg Week Masanafu-Lubigi'!L19</f>
        <v>8.4285714285714288</v>
      </c>
      <c r="M19" s="49">
        <f>'Avg Week Lubigi-Masanafu'!M19+'Avg Week Masanafu-Lubigi'!M19</f>
        <v>248.71428571428572</v>
      </c>
      <c r="N19" s="49">
        <f>'Avg Week Lubigi-Masanafu'!N19+'Avg Week Masanafu-Lubigi'!N19</f>
        <v>0</v>
      </c>
      <c r="O19" s="15">
        <f t="shared" si="0"/>
        <v>260.14285714285717</v>
      </c>
      <c r="P19" s="15">
        <f t="shared" si="1"/>
        <v>508.85714285714289</v>
      </c>
      <c r="R19" s="1" t="s">
        <v>15</v>
      </c>
      <c r="S19" s="17">
        <f t="shared" ref="S19:AF19" si="11">SUM(C46:C49)</f>
        <v>645.42857142857144</v>
      </c>
      <c r="T19" s="17">
        <f t="shared" si="11"/>
        <v>164.85714285714283</v>
      </c>
      <c r="U19" s="17">
        <f t="shared" si="11"/>
        <v>120.85714285714286</v>
      </c>
      <c r="V19" s="17">
        <f t="shared" si="11"/>
        <v>180.42857142857142</v>
      </c>
      <c r="W19" s="17">
        <f t="shared" si="11"/>
        <v>10.142857142857142</v>
      </c>
      <c r="X19" s="17">
        <f t="shared" si="11"/>
        <v>2.7142857142857144</v>
      </c>
      <c r="Y19" s="17">
        <f t="shared" si="11"/>
        <v>112.71428571428572</v>
      </c>
      <c r="Z19" s="17">
        <f t="shared" si="11"/>
        <v>80.285714285714292</v>
      </c>
      <c r="AA19" s="17">
        <f t="shared" si="11"/>
        <v>44</v>
      </c>
      <c r="AB19" s="17">
        <f t="shared" si="11"/>
        <v>48.857142857142854</v>
      </c>
      <c r="AC19" s="17">
        <f t="shared" si="11"/>
        <v>968.57142857142867</v>
      </c>
      <c r="AD19" s="17">
        <f t="shared" si="11"/>
        <v>0.2857142857142857</v>
      </c>
      <c r="AE19" s="31">
        <f t="shared" si="11"/>
        <v>1410.5714285714284</v>
      </c>
      <c r="AF19" s="31">
        <f t="shared" si="11"/>
        <v>2379.1428571428569</v>
      </c>
    </row>
    <row r="20" spans="2:32" ht="23.1" customHeight="1" x14ac:dyDescent="0.25">
      <c r="B20" s="23" t="s">
        <v>47</v>
      </c>
      <c r="C20" s="49">
        <f>'Avg Week Lubigi-Masanafu'!C20+'Avg Week Masanafu-Lubigi'!C20</f>
        <v>114.28571428571428</v>
      </c>
      <c r="D20" s="49">
        <f>'Avg Week Lubigi-Masanafu'!D20+'Avg Week Masanafu-Lubigi'!D20</f>
        <v>26</v>
      </c>
      <c r="E20" s="49">
        <f>'Avg Week Lubigi-Masanafu'!E20+'Avg Week Masanafu-Lubigi'!E20</f>
        <v>17.714285714285715</v>
      </c>
      <c r="F20" s="49">
        <f>'Avg Week Lubigi-Masanafu'!F20+'Avg Week Masanafu-Lubigi'!F20</f>
        <v>39</v>
      </c>
      <c r="G20" s="49">
        <f>'Avg Week Lubigi-Masanafu'!G20+'Avg Week Masanafu-Lubigi'!G20</f>
        <v>4.2857142857142856</v>
      </c>
      <c r="H20" s="49">
        <f>'Avg Week Lubigi-Masanafu'!H20+'Avg Week Masanafu-Lubigi'!H20</f>
        <v>1</v>
      </c>
      <c r="I20" s="49">
        <f>'Avg Week Lubigi-Masanafu'!I20+'Avg Week Masanafu-Lubigi'!I20</f>
        <v>22</v>
      </c>
      <c r="J20" s="49">
        <f>'Avg Week Lubigi-Masanafu'!J20+'Avg Week Masanafu-Lubigi'!J20</f>
        <v>8.2857142857142865</v>
      </c>
      <c r="K20" s="49">
        <f>'Avg Week Lubigi-Masanafu'!K20+'Avg Week Masanafu-Lubigi'!K20</f>
        <v>8.1428571428571423</v>
      </c>
      <c r="L20" s="49">
        <f>'Avg Week Lubigi-Masanafu'!L20+'Avg Week Masanafu-Lubigi'!L20</f>
        <v>6.4285714285714288</v>
      </c>
      <c r="M20" s="49">
        <f>'Avg Week Lubigi-Masanafu'!M20+'Avg Week Masanafu-Lubigi'!M20</f>
        <v>233.57142857142856</v>
      </c>
      <c r="N20" s="49">
        <f>'Avg Week Lubigi-Masanafu'!N20+'Avg Week Masanafu-Lubigi'!N20</f>
        <v>0</v>
      </c>
      <c r="O20" s="15">
        <f t="shared" si="0"/>
        <v>247.14285714285711</v>
      </c>
      <c r="P20" s="15">
        <f t="shared" si="1"/>
        <v>480.71428571428567</v>
      </c>
      <c r="R20" s="1" t="s">
        <v>16</v>
      </c>
      <c r="S20" s="17">
        <f t="shared" ref="S20:AF20" si="12">SUM(C50:C53)</f>
        <v>713.14285714285722</v>
      </c>
      <c r="T20" s="17">
        <f t="shared" si="12"/>
        <v>189.28571428571428</v>
      </c>
      <c r="U20" s="17">
        <f t="shared" si="12"/>
        <v>126.14285714285715</v>
      </c>
      <c r="V20" s="17">
        <f t="shared" si="12"/>
        <v>219.85714285714286</v>
      </c>
      <c r="W20" s="17">
        <f t="shared" si="12"/>
        <v>17</v>
      </c>
      <c r="X20" s="17">
        <f t="shared" si="12"/>
        <v>5</v>
      </c>
      <c r="Y20" s="17">
        <f t="shared" si="12"/>
        <v>110.28571428571429</v>
      </c>
      <c r="Z20" s="17">
        <f t="shared" si="12"/>
        <v>75</v>
      </c>
      <c r="AA20" s="17">
        <f t="shared" si="12"/>
        <v>46.428571428571431</v>
      </c>
      <c r="AB20" s="17">
        <f t="shared" si="12"/>
        <v>54.428571428571423</v>
      </c>
      <c r="AC20" s="17">
        <f t="shared" si="12"/>
        <v>1060.2857142857142</v>
      </c>
      <c r="AD20" s="17">
        <f t="shared" si="12"/>
        <v>0.14285714285714285</v>
      </c>
      <c r="AE20" s="31">
        <f t="shared" si="12"/>
        <v>1556.7142857142856</v>
      </c>
      <c r="AF20" s="31">
        <f t="shared" si="12"/>
        <v>2617</v>
      </c>
    </row>
    <row r="21" spans="2:32" ht="23.1" customHeight="1" x14ac:dyDescent="0.25">
      <c r="B21" s="23" t="s">
        <v>48</v>
      </c>
      <c r="C21" s="49">
        <f>'Avg Week Lubigi-Masanafu'!C21+'Avg Week Masanafu-Lubigi'!C21</f>
        <v>113.14285714285714</v>
      </c>
      <c r="D21" s="49">
        <f>'Avg Week Lubigi-Masanafu'!D21+'Avg Week Masanafu-Lubigi'!D21</f>
        <v>27.857142857142854</v>
      </c>
      <c r="E21" s="49">
        <f>'Avg Week Lubigi-Masanafu'!E21+'Avg Week Masanafu-Lubigi'!E21</f>
        <v>17.571428571428573</v>
      </c>
      <c r="F21" s="49">
        <f>'Avg Week Lubigi-Masanafu'!F21+'Avg Week Masanafu-Lubigi'!F21</f>
        <v>41</v>
      </c>
      <c r="G21" s="49">
        <f>'Avg Week Lubigi-Masanafu'!G21+'Avg Week Masanafu-Lubigi'!G21</f>
        <v>6</v>
      </c>
      <c r="H21" s="49">
        <f>'Avg Week Lubigi-Masanafu'!H21+'Avg Week Masanafu-Lubigi'!H21</f>
        <v>0.42857142857142855</v>
      </c>
      <c r="I21" s="49">
        <f>'Avg Week Lubigi-Masanafu'!I21+'Avg Week Masanafu-Lubigi'!I21</f>
        <v>23.285714285714285</v>
      </c>
      <c r="J21" s="49">
        <f>'Avg Week Lubigi-Masanafu'!J21+'Avg Week Masanafu-Lubigi'!J21</f>
        <v>10.857142857142858</v>
      </c>
      <c r="K21" s="49">
        <f>'Avg Week Lubigi-Masanafu'!K21+'Avg Week Masanafu-Lubigi'!K21</f>
        <v>8.5714285714285712</v>
      </c>
      <c r="L21" s="49">
        <f>'Avg Week Lubigi-Masanafu'!L21+'Avg Week Masanafu-Lubigi'!L21</f>
        <v>12.142857142857142</v>
      </c>
      <c r="M21" s="49">
        <f>'Avg Week Lubigi-Masanafu'!M21+'Avg Week Masanafu-Lubigi'!M21</f>
        <v>240.28571428571428</v>
      </c>
      <c r="N21" s="49">
        <f>'Avg Week Lubigi-Masanafu'!N21+'Avg Week Masanafu-Lubigi'!N21</f>
        <v>0.14285714285714285</v>
      </c>
      <c r="O21" s="15">
        <f t="shared" si="0"/>
        <v>261.00000000000006</v>
      </c>
      <c r="P21" s="15">
        <f t="shared" si="1"/>
        <v>501.28571428571433</v>
      </c>
      <c r="R21" s="36" t="s">
        <v>20</v>
      </c>
      <c r="S21" s="34">
        <f t="shared" ref="S21:AF21" si="13">SUM(C54:C57)</f>
        <v>713.71428571428567</v>
      </c>
      <c r="T21" s="17">
        <f t="shared" si="13"/>
        <v>218.42857142857144</v>
      </c>
      <c r="U21" s="17">
        <f t="shared" si="13"/>
        <v>153.14285714285714</v>
      </c>
      <c r="V21" s="17">
        <f t="shared" si="13"/>
        <v>271.57142857142856</v>
      </c>
      <c r="W21" s="17">
        <f t="shared" si="13"/>
        <v>23.857142857142858</v>
      </c>
      <c r="X21" s="17">
        <f t="shared" si="13"/>
        <v>6.2857142857142847</v>
      </c>
      <c r="Y21" s="17">
        <f t="shared" si="13"/>
        <v>88.571428571428569</v>
      </c>
      <c r="Z21" s="17">
        <f t="shared" si="13"/>
        <v>88.571428571428569</v>
      </c>
      <c r="AA21" s="17">
        <f t="shared" si="13"/>
        <v>38.714285714285715</v>
      </c>
      <c r="AB21" s="17">
        <f t="shared" si="13"/>
        <v>46.571428571428569</v>
      </c>
      <c r="AC21" s="17">
        <f t="shared" si="13"/>
        <v>1062.7142857142858</v>
      </c>
      <c r="AD21" s="17">
        <f t="shared" si="13"/>
        <v>0.14285714285714285</v>
      </c>
      <c r="AE21" s="31">
        <f t="shared" si="13"/>
        <v>1649.5714285714287</v>
      </c>
      <c r="AF21" s="31">
        <f t="shared" si="13"/>
        <v>2712.2857142857147</v>
      </c>
    </row>
    <row r="22" spans="2:32" ht="23.1" customHeight="1" x14ac:dyDescent="0.25">
      <c r="B22" s="23" t="s">
        <v>49</v>
      </c>
      <c r="C22" s="49">
        <f>'Avg Week Lubigi-Masanafu'!C22+'Avg Week Masanafu-Lubigi'!C22</f>
        <v>98.571428571428569</v>
      </c>
      <c r="D22" s="49">
        <f>'Avg Week Lubigi-Masanafu'!D22+'Avg Week Masanafu-Lubigi'!D22</f>
        <v>23.142857142857146</v>
      </c>
      <c r="E22" s="49">
        <f>'Avg Week Lubigi-Masanafu'!E22+'Avg Week Masanafu-Lubigi'!E22</f>
        <v>17.428571428571431</v>
      </c>
      <c r="F22" s="49">
        <f>'Avg Week Lubigi-Masanafu'!F22+'Avg Week Masanafu-Lubigi'!F22</f>
        <v>37.142857142857146</v>
      </c>
      <c r="G22" s="49">
        <f>'Avg Week Lubigi-Masanafu'!G22+'Avg Week Masanafu-Lubigi'!G22</f>
        <v>4</v>
      </c>
      <c r="H22" s="49">
        <f>'Avg Week Lubigi-Masanafu'!H22+'Avg Week Masanafu-Lubigi'!H22</f>
        <v>0.8571428571428571</v>
      </c>
      <c r="I22" s="49">
        <f>'Avg Week Lubigi-Masanafu'!I22+'Avg Week Masanafu-Lubigi'!I22</f>
        <v>19.428571428571431</v>
      </c>
      <c r="J22" s="49">
        <f>'Avg Week Lubigi-Masanafu'!J22+'Avg Week Masanafu-Lubigi'!J22</f>
        <v>14.857142857142858</v>
      </c>
      <c r="K22" s="49">
        <f>'Avg Week Lubigi-Masanafu'!K22+'Avg Week Masanafu-Lubigi'!K22</f>
        <v>14.428571428571431</v>
      </c>
      <c r="L22" s="49">
        <f>'Avg Week Lubigi-Masanafu'!L22+'Avg Week Masanafu-Lubigi'!L22</f>
        <v>11.428571428571429</v>
      </c>
      <c r="M22" s="49">
        <f>'Avg Week Lubigi-Masanafu'!M22+'Avg Week Masanafu-Lubigi'!M22</f>
        <v>231.71428571428572</v>
      </c>
      <c r="N22" s="49">
        <f>'Avg Week Lubigi-Masanafu'!N22+'Avg Week Masanafu-Lubigi'!N22</f>
        <v>0</v>
      </c>
      <c r="O22" s="15">
        <f t="shared" si="0"/>
        <v>241.28571428571431</v>
      </c>
      <c r="P22" s="15">
        <f t="shared" si="1"/>
        <v>473</v>
      </c>
      <c r="R22" s="1" t="s">
        <v>146</v>
      </c>
      <c r="S22" s="34">
        <f>SUM(C58:C61)</f>
        <v>727.5</v>
      </c>
      <c r="T22" s="34">
        <f t="shared" ref="T22:AF22" si="14">SUM(D58:D61)</f>
        <v>378.5</v>
      </c>
      <c r="U22" s="34">
        <f t="shared" si="14"/>
        <v>334</v>
      </c>
      <c r="V22" s="34">
        <f t="shared" si="14"/>
        <v>497.5</v>
      </c>
      <c r="W22" s="34">
        <f t="shared" si="14"/>
        <v>37</v>
      </c>
      <c r="X22" s="34">
        <f t="shared" si="14"/>
        <v>8.5</v>
      </c>
      <c r="Y22" s="34">
        <f t="shared" si="14"/>
        <v>143.5</v>
      </c>
      <c r="Z22" s="34">
        <f t="shared" si="14"/>
        <v>175.5</v>
      </c>
      <c r="AA22" s="34">
        <f t="shared" si="14"/>
        <v>92.5</v>
      </c>
      <c r="AB22" s="34">
        <f t="shared" si="14"/>
        <v>60</v>
      </c>
      <c r="AC22" s="34">
        <f t="shared" si="14"/>
        <v>1046.5</v>
      </c>
      <c r="AD22" s="34">
        <f t="shared" si="14"/>
        <v>0</v>
      </c>
      <c r="AE22" s="31">
        <f t="shared" si="14"/>
        <v>2454.5</v>
      </c>
      <c r="AF22" s="31">
        <f t="shared" si="14"/>
        <v>3501</v>
      </c>
    </row>
    <row r="23" spans="2:32" ht="23.1" customHeight="1" x14ac:dyDescent="0.25">
      <c r="B23" s="23" t="s">
        <v>50</v>
      </c>
      <c r="C23" s="49">
        <f>'Avg Week Lubigi-Masanafu'!C23+'Avg Week Masanafu-Lubigi'!C23</f>
        <v>136.42857142857144</v>
      </c>
      <c r="D23" s="49">
        <f>'Avg Week Lubigi-Masanafu'!D23+'Avg Week Masanafu-Lubigi'!D23</f>
        <v>29.142857142857142</v>
      </c>
      <c r="E23" s="49">
        <f>'Avg Week Lubigi-Masanafu'!E23+'Avg Week Masanafu-Lubigi'!E23</f>
        <v>27</v>
      </c>
      <c r="F23" s="49">
        <f>'Avg Week Lubigi-Masanafu'!F23+'Avg Week Masanafu-Lubigi'!F23</f>
        <v>46.285714285714292</v>
      </c>
      <c r="G23" s="49">
        <f>'Avg Week Lubigi-Masanafu'!G23+'Avg Week Masanafu-Lubigi'!G23</f>
        <v>7</v>
      </c>
      <c r="H23" s="49">
        <f>'Avg Week Lubigi-Masanafu'!H23+'Avg Week Masanafu-Lubigi'!H23</f>
        <v>1.7142857142857142</v>
      </c>
      <c r="I23" s="49">
        <f>'Avg Week Lubigi-Masanafu'!I23+'Avg Week Masanafu-Lubigi'!I23</f>
        <v>22.714285714285715</v>
      </c>
      <c r="J23" s="49">
        <f>'Avg Week Lubigi-Masanafu'!J23+'Avg Week Masanafu-Lubigi'!J23</f>
        <v>15.142857142857142</v>
      </c>
      <c r="K23" s="49">
        <f>'Avg Week Lubigi-Masanafu'!K23+'Avg Week Masanafu-Lubigi'!K23</f>
        <v>15</v>
      </c>
      <c r="L23" s="49">
        <f>'Avg Week Lubigi-Masanafu'!L23+'Avg Week Masanafu-Lubigi'!L23</f>
        <v>16.428571428571431</v>
      </c>
      <c r="M23" s="49">
        <f>'Avg Week Lubigi-Masanafu'!M23+'Avg Week Masanafu-Lubigi'!M23</f>
        <v>275.71428571428567</v>
      </c>
      <c r="N23" s="49">
        <f>'Avg Week Lubigi-Masanafu'!N23+'Avg Week Masanafu-Lubigi'!N23</f>
        <v>0.14285714285714285</v>
      </c>
      <c r="O23" s="15">
        <f t="shared" si="0"/>
        <v>317.00000000000011</v>
      </c>
      <c r="P23" s="15">
        <f t="shared" si="1"/>
        <v>592.71428571428578</v>
      </c>
      <c r="R23" s="1" t="s">
        <v>147</v>
      </c>
      <c r="S23" s="34">
        <f>SUM(C62:C65)</f>
        <v>598.5</v>
      </c>
      <c r="T23" s="34">
        <f t="shared" ref="T23:AF23" si="15">SUM(D62:D65)</f>
        <v>373</v>
      </c>
      <c r="U23" s="34">
        <f t="shared" si="15"/>
        <v>317</v>
      </c>
      <c r="V23" s="34">
        <f t="shared" si="15"/>
        <v>448.5</v>
      </c>
      <c r="W23" s="34">
        <f t="shared" si="15"/>
        <v>8</v>
      </c>
      <c r="X23" s="34">
        <f t="shared" si="15"/>
        <v>3</v>
      </c>
      <c r="Y23" s="34">
        <f t="shared" si="15"/>
        <v>161.5</v>
      </c>
      <c r="Z23" s="34">
        <f t="shared" si="15"/>
        <v>203.5</v>
      </c>
      <c r="AA23" s="34">
        <f t="shared" si="15"/>
        <v>184.5</v>
      </c>
      <c r="AB23" s="34">
        <f t="shared" si="15"/>
        <v>85.5</v>
      </c>
      <c r="AC23" s="34">
        <f t="shared" si="15"/>
        <v>903.5</v>
      </c>
      <c r="AD23" s="34">
        <f t="shared" si="15"/>
        <v>0</v>
      </c>
      <c r="AE23" s="31">
        <f t="shared" si="15"/>
        <v>2383</v>
      </c>
      <c r="AF23" s="31">
        <f t="shared" si="15"/>
        <v>3286.5</v>
      </c>
    </row>
    <row r="24" spans="2:32" ht="23.1" customHeight="1" x14ac:dyDescent="0.25">
      <c r="B24" s="23" t="s">
        <v>51</v>
      </c>
      <c r="C24" s="49">
        <f>'Avg Week Lubigi-Masanafu'!C24+'Avg Week Masanafu-Lubigi'!C24</f>
        <v>127</v>
      </c>
      <c r="D24" s="49">
        <f>'Avg Week Lubigi-Masanafu'!D24+'Avg Week Masanafu-Lubigi'!D24</f>
        <v>33.285714285714285</v>
      </c>
      <c r="E24" s="49">
        <f>'Avg Week Lubigi-Masanafu'!E24+'Avg Week Masanafu-Lubigi'!E24</f>
        <v>21.285714285714285</v>
      </c>
      <c r="F24" s="49">
        <f>'Avg Week Lubigi-Masanafu'!F24+'Avg Week Masanafu-Lubigi'!F24</f>
        <v>38.857142857142861</v>
      </c>
      <c r="G24" s="49">
        <f>'Avg Week Lubigi-Masanafu'!G24+'Avg Week Masanafu-Lubigi'!G24</f>
        <v>6.4285714285714288</v>
      </c>
      <c r="H24" s="49">
        <f>'Avg Week Lubigi-Masanafu'!H24+'Avg Week Masanafu-Lubigi'!H24</f>
        <v>1.2857142857142856</v>
      </c>
      <c r="I24" s="49">
        <f>'Avg Week Lubigi-Masanafu'!I24+'Avg Week Masanafu-Lubigi'!I24</f>
        <v>19</v>
      </c>
      <c r="J24" s="49">
        <f>'Avg Week Lubigi-Masanafu'!J24+'Avg Week Masanafu-Lubigi'!J24</f>
        <v>18.571428571428569</v>
      </c>
      <c r="K24" s="49">
        <f>'Avg Week Lubigi-Masanafu'!K24+'Avg Week Masanafu-Lubigi'!K24</f>
        <v>13.142857142857142</v>
      </c>
      <c r="L24" s="49">
        <f>'Avg Week Lubigi-Masanafu'!L24+'Avg Week Masanafu-Lubigi'!L24</f>
        <v>13</v>
      </c>
      <c r="M24" s="49">
        <f>'Avg Week Lubigi-Masanafu'!M24+'Avg Week Masanafu-Lubigi'!M24</f>
        <v>272.71428571428572</v>
      </c>
      <c r="N24" s="49">
        <f>'Avg Week Lubigi-Masanafu'!N24+'Avg Week Masanafu-Lubigi'!N24</f>
        <v>0</v>
      </c>
      <c r="O24" s="15">
        <f t="shared" si="0"/>
        <v>291.85714285714283</v>
      </c>
      <c r="P24" s="15">
        <f t="shared" si="1"/>
        <v>564.57142857142856</v>
      </c>
      <c r="R24" s="1" t="s">
        <v>148</v>
      </c>
      <c r="S24" s="34">
        <f>SUM(C66:C69)</f>
        <v>577</v>
      </c>
      <c r="T24" s="34">
        <f t="shared" ref="T24:AF24" si="16">SUM(D66:D69)</f>
        <v>281</v>
      </c>
      <c r="U24" s="34">
        <f t="shared" si="16"/>
        <v>195</v>
      </c>
      <c r="V24" s="34">
        <f t="shared" si="16"/>
        <v>486.5</v>
      </c>
      <c r="W24" s="34">
        <f t="shared" si="16"/>
        <v>8</v>
      </c>
      <c r="X24" s="34">
        <f t="shared" si="16"/>
        <v>2</v>
      </c>
      <c r="Y24" s="34">
        <f t="shared" si="16"/>
        <v>125.5</v>
      </c>
      <c r="Z24" s="34">
        <f t="shared" si="16"/>
        <v>121</v>
      </c>
      <c r="AA24" s="34">
        <f t="shared" si="16"/>
        <v>71.5</v>
      </c>
      <c r="AB24" s="34">
        <f t="shared" si="16"/>
        <v>37</v>
      </c>
      <c r="AC24" s="34">
        <f t="shared" si="16"/>
        <v>805</v>
      </c>
      <c r="AD24" s="34">
        <f t="shared" si="16"/>
        <v>0</v>
      </c>
      <c r="AE24" s="31">
        <f t="shared" si="16"/>
        <v>1904.5</v>
      </c>
      <c r="AF24" s="31">
        <f t="shared" si="16"/>
        <v>2709.5</v>
      </c>
    </row>
    <row r="25" spans="2:32" ht="23.1" customHeight="1" x14ac:dyDescent="0.25">
      <c r="B25" s="23" t="s">
        <v>52</v>
      </c>
      <c r="C25" s="49">
        <f>'Avg Week Lubigi-Masanafu'!C25+'Avg Week Masanafu-Lubigi'!C25</f>
        <v>151.85714285714286</v>
      </c>
      <c r="D25" s="49">
        <f>'Avg Week Lubigi-Masanafu'!D25+'Avg Week Masanafu-Lubigi'!D25</f>
        <v>40</v>
      </c>
      <c r="E25" s="49">
        <f>'Avg Week Lubigi-Masanafu'!E25+'Avg Week Masanafu-Lubigi'!E25</f>
        <v>28.285714285714285</v>
      </c>
      <c r="F25" s="49">
        <f>'Avg Week Lubigi-Masanafu'!F25+'Avg Week Masanafu-Lubigi'!F25</f>
        <v>42.142857142857146</v>
      </c>
      <c r="G25" s="49">
        <f>'Avg Week Lubigi-Masanafu'!G25+'Avg Week Masanafu-Lubigi'!G25</f>
        <v>4.1428571428571432</v>
      </c>
      <c r="H25" s="49">
        <f>'Avg Week Lubigi-Masanafu'!H25+'Avg Week Masanafu-Lubigi'!H25</f>
        <v>2.4285714285714288</v>
      </c>
      <c r="I25" s="49">
        <f>'Avg Week Lubigi-Masanafu'!I25+'Avg Week Masanafu-Lubigi'!I25</f>
        <v>20.714285714285715</v>
      </c>
      <c r="J25" s="49">
        <f>'Avg Week Lubigi-Masanafu'!J25+'Avg Week Masanafu-Lubigi'!J25</f>
        <v>16</v>
      </c>
      <c r="K25" s="49">
        <f>'Avg Week Lubigi-Masanafu'!K25+'Avg Week Masanafu-Lubigi'!K25</f>
        <v>13</v>
      </c>
      <c r="L25" s="49">
        <f>'Avg Week Lubigi-Masanafu'!L25+'Avg Week Masanafu-Lubigi'!L25</f>
        <v>11.857142857142858</v>
      </c>
      <c r="M25" s="49">
        <f>'Avg Week Lubigi-Masanafu'!M25+'Avg Week Masanafu-Lubigi'!M25</f>
        <v>284.71428571428572</v>
      </c>
      <c r="N25" s="49">
        <f>'Avg Week Lubigi-Masanafu'!N25+'Avg Week Masanafu-Lubigi'!N25</f>
        <v>0</v>
      </c>
      <c r="O25" s="15">
        <f t="shared" si="0"/>
        <v>330.42857142857144</v>
      </c>
      <c r="P25" s="15">
        <f t="shared" si="1"/>
        <v>615.14285714285711</v>
      </c>
      <c r="R25" s="1" t="s">
        <v>149</v>
      </c>
      <c r="S25" s="34">
        <f>SUM(C70:C73)</f>
        <v>457.5</v>
      </c>
      <c r="T25" s="34">
        <f t="shared" ref="T25:AF25" si="17">SUM(D70:D73)</f>
        <v>178</v>
      </c>
      <c r="U25" s="34">
        <f t="shared" si="17"/>
        <v>169.5</v>
      </c>
      <c r="V25" s="34">
        <f t="shared" si="17"/>
        <v>338</v>
      </c>
      <c r="W25" s="34">
        <f t="shared" si="17"/>
        <v>1.5</v>
      </c>
      <c r="X25" s="34">
        <f t="shared" si="17"/>
        <v>0.5</v>
      </c>
      <c r="Y25" s="34">
        <f t="shared" si="17"/>
        <v>88</v>
      </c>
      <c r="Z25" s="34">
        <f t="shared" si="17"/>
        <v>120.5</v>
      </c>
      <c r="AA25" s="34">
        <f t="shared" si="17"/>
        <v>94</v>
      </c>
      <c r="AB25" s="34">
        <f t="shared" si="17"/>
        <v>40</v>
      </c>
      <c r="AC25" s="34">
        <f t="shared" si="17"/>
        <v>814.5</v>
      </c>
      <c r="AD25" s="34">
        <f t="shared" si="17"/>
        <v>0</v>
      </c>
      <c r="AE25" s="31">
        <f t="shared" si="17"/>
        <v>1487.5</v>
      </c>
      <c r="AF25" s="31">
        <f t="shared" si="17"/>
        <v>2302</v>
      </c>
    </row>
    <row r="26" spans="2:32" ht="23.1" customHeight="1" x14ac:dyDescent="0.25">
      <c r="B26" s="23" t="s">
        <v>53</v>
      </c>
      <c r="C26" s="49">
        <f>'Avg Week Lubigi-Masanafu'!C26+'Avg Week Masanafu-Lubigi'!C26</f>
        <v>132.71428571428572</v>
      </c>
      <c r="D26" s="49">
        <f>'Avg Week Lubigi-Masanafu'!D26+'Avg Week Masanafu-Lubigi'!D26</f>
        <v>31.428571428571431</v>
      </c>
      <c r="E26" s="49">
        <f>'Avg Week Lubigi-Masanafu'!E26+'Avg Week Masanafu-Lubigi'!E26</f>
        <v>24.571428571428573</v>
      </c>
      <c r="F26" s="49">
        <f>'Avg Week Lubigi-Masanafu'!F26+'Avg Week Masanafu-Lubigi'!F26</f>
        <v>40.857142857142861</v>
      </c>
      <c r="G26" s="49">
        <f>'Avg Week Lubigi-Masanafu'!G26+'Avg Week Masanafu-Lubigi'!G26</f>
        <v>7</v>
      </c>
      <c r="H26" s="49">
        <f>'Avg Week Lubigi-Masanafu'!H26+'Avg Week Masanafu-Lubigi'!H26</f>
        <v>1.2857142857142856</v>
      </c>
      <c r="I26" s="49">
        <f>'Avg Week Lubigi-Masanafu'!I26+'Avg Week Masanafu-Lubigi'!I26</f>
        <v>24.714285714285715</v>
      </c>
      <c r="J26" s="49">
        <f>'Avg Week Lubigi-Masanafu'!J26+'Avg Week Masanafu-Lubigi'!J26</f>
        <v>16.428571428571427</v>
      </c>
      <c r="K26" s="49">
        <f>'Avg Week Lubigi-Masanafu'!K26+'Avg Week Masanafu-Lubigi'!K26</f>
        <v>15.428571428571427</v>
      </c>
      <c r="L26" s="49">
        <f>'Avg Week Lubigi-Masanafu'!L26+'Avg Week Masanafu-Lubigi'!L26</f>
        <v>16.571428571428573</v>
      </c>
      <c r="M26" s="49">
        <f>'Avg Week Lubigi-Masanafu'!M26+'Avg Week Masanafu-Lubigi'!M26</f>
        <v>264.42857142857144</v>
      </c>
      <c r="N26" s="49">
        <f>'Avg Week Lubigi-Masanafu'!N26+'Avg Week Masanafu-Lubigi'!N26</f>
        <v>0.14285714285714285</v>
      </c>
      <c r="O26" s="15">
        <f t="shared" si="0"/>
        <v>311.14285714285722</v>
      </c>
      <c r="P26" s="15">
        <f t="shared" si="1"/>
        <v>575.57142857142867</v>
      </c>
      <c r="R26" s="1" t="s">
        <v>150</v>
      </c>
      <c r="S26" s="34">
        <f>SUM(C74:C77)</f>
        <v>533</v>
      </c>
      <c r="T26" s="34">
        <f t="shared" ref="T26:AF26" si="18">SUM(D74:D77)</f>
        <v>121</v>
      </c>
      <c r="U26" s="34">
        <f t="shared" si="18"/>
        <v>167</v>
      </c>
      <c r="V26" s="34">
        <f t="shared" si="18"/>
        <v>204.5</v>
      </c>
      <c r="W26" s="34">
        <f t="shared" si="18"/>
        <v>3.5</v>
      </c>
      <c r="X26" s="34">
        <f t="shared" si="18"/>
        <v>3</v>
      </c>
      <c r="Y26" s="34">
        <f t="shared" si="18"/>
        <v>82</v>
      </c>
      <c r="Z26" s="34">
        <f t="shared" si="18"/>
        <v>108</v>
      </c>
      <c r="AA26" s="34">
        <f t="shared" si="18"/>
        <v>50</v>
      </c>
      <c r="AB26" s="34">
        <f t="shared" si="18"/>
        <v>20</v>
      </c>
      <c r="AC26" s="34">
        <f t="shared" si="18"/>
        <v>707</v>
      </c>
      <c r="AD26" s="34">
        <f t="shared" si="18"/>
        <v>0</v>
      </c>
      <c r="AE26" s="31">
        <f t="shared" si="18"/>
        <v>1292</v>
      </c>
      <c r="AF26" s="31">
        <f t="shared" si="18"/>
        <v>1999</v>
      </c>
    </row>
    <row r="27" spans="2:32" ht="23.1" customHeight="1" x14ac:dyDescent="0.25">
      <c r="B27" s="23" t="s">
        <v>54</v>
      </c>
      <c r="C27" s="49">
        <f>'Avg Week Lubigi-Masanafu'!C27+'Avg Week Masanafu-Lubigi'!C27</f>
        <v>140.42857142857142</v>
      </c>
      <c r="D27" s="49">
        <f>'Avg Week Lubigi-Masanafu'!D27+'Avg Week Masanafu-Lubigi'!D27</f>
        <v>37.714285714285715</v>
      </c>
      <c r="E27" s="49">
        <f>'Avg Week Lubigi-Masanafu'!E27+'Avg Week Masanafu-Lubigi'!E27</f>
        <v>21.857142857142854</v>
      </c>
      <c r="F27" s="49">
        <f>'Avg Week Lubigi-Masanafu'!F27+'Avg Week Masanafu-Lubigi'!F27</f>
        <v>44.714285714285715</v>
      </c>
      <c r="G27" s="49">
        <f>'Avg Week Lubigi-Masanafu'!G27+'Avg Week Masanafu-Lubigi'!G27</f>
        <v>4.4285714285714288</v>
      </c>
      <c r="H27" s="49">
        <f>'Avg Week Lubigi-Masanafu'!H27+'Avg Week Masanafu-Lubigi'!H27</f>
        <v>0.42857142857142855</v>
      </c>
      <c r="I27" s="49">
        <f>'Avg Week Lubigi-Masanafu'!I27+'Avg Week Masanafu-Lubigi'!I27</f>
        <v>24.571428571428569</v>
      </c>
      <c r="J27" s="49">
        <f>'Avg Week Lubigi-Masanafu'!J27+'Avg Week Masanafu-Lubigi'!J27</f>
        <v>18.142857142857142</v>
      </c>
      <c r="K27" s="49">
        <f>'Avg Week Lubigi-Masanafu'!K27+'Avg Week Masanafu-Lubigi'!K27</f>
        <v>12.428571428571429</v>
      </c>
      <c r="L27" s="49">
        <f>'Avg Week Lubigi-Masanafu'!L27+'Avg Week Masanafu-Lubigi'!L27</f>
        <v>14.714285714285715</v>
      </c>
      <c r="M27" s="49">
        <f>'Avg Week Lubigi-Masanafu'!M27+'Avg Week Masanafu-Lubigi'!M27</f>
        <v>285</v>
      </c>
      <c r="N27" s="49">
        <f>'Avg Week Lubigi-Masanafu'!N27+'Avg Week Masanafu-Lubigi'!N27</f>
        <v>0</v>
      </c>
      <c r="O27" s="15">
        <f t="shared" si="0"/>
        <v>319.42857142857144</v>
      </c>
      <c r="P27" s="15">
        <f t="shared" si="1"/>
        <v>604.42857142857144</v>
      </c>
      <c r="R27" s="1" t="s">
        <v>151</v>
      </c>
      <c r="S27" s="34">
        <f>SUM(C78:C81)</f>
        <v>359</v>
      </c>
      <c r="T27" s="34">
        <f t="shared" ref="T27:AF27" si="19">SUM(D78:D81)</f>
        <v>174</v>
      </c>
      <c r="U27" s="34">
        <f t="shared" si="19"/>
        <v>83.5</v>
      </c>
      <c r="V27" s="34">
        <f t="shared" si="19"/>
        <v>206.5</v>
      </c>
      <c r="W27" s="34">
        <f t="shared" si="19"/>
        <v>7</v>
      </c>
      <c r="X27" s="34">
        <f t="shared" si="19"/>
        <v>3</v>
      </c>
      <c r="Y27" s="34">
        <f t="shared" si="19"/>
        <v>57</v>
      </c>
      <c r="Z27" s="34">
        <f t="shared" si="19"/>
        <v>73.5</v>
      </c>
      <c r="AA27" s="34">
        <f t="shared" si="19"/>
        <v>53.5</v>
      </c>
      <c r="AB27" s="34">
        <f t="shared" si="19"/>
        <v>30.5</v>
      </c>
      <c r="AC27" s="34">
        <f t="shared" si="19"/>
        <v>476</v>
      </c>
      <c r="AD27" s="34">
        <f t="shared" si="19"/>
        <v>0</v>
      </c>
      <c r="AE27" s="31">
        <f t="shared" si="19"/>
        <v>1047.5</v>
      </c>
      <c r="AF27" s="31">
        <f t="shared" si="19"/>
        <v>1523.5</v>
      </c>
    </row>
    <row r="28" spans="2:32" ht="23.1" customHeight="1" x14ac:dyDescent="0.25">
      <c r="B28" s="23" t="s">
        <v>55</v>
      </c>
      <c r="C28" s="49">
        <f>'Avg Week Lubigi-Masanafu'!C28+'Avg Week Masanafu-Lubigi'!C28</f>
        <v>158.85714285714286</v>
      </c>
      <c r="D28" s="49">
        <f>'Avg Week Lubigi-Masanafu'!D28+'Avg Week Masanafu-Lubigi'!D28</f>
        <v>32.142857142857139</v>
      </c>
      <c r="E28" s="49">
        <f>'Avg Week Lubigi-Masanafu'!E28+'Avg Week Masanafu-Lubigi'!E28</f>
        <v>24.285714285714285</v>
      </c>
      <c r="F28" s="49">
        <f>'Avg Week Lubigi-Masanafu'!F28+'Avg Week Masanafu-Lubigi'!F28</f>
        <v>37.428571428571431</v>
      </c>
      <c r="G28" s="49">
        <f>'Avg Week Lubigi-Masanafu'!G28+'Avg Week Masanafu-Lubigi'!G28</f>
        <v>2.5714285714285712</v>
      </c>
      <c r="H28" s="49">
        <f>'Avg Week Lubigi-Masanafu'!H28+'Avg Week Masanafu-Lubigi'!H28</f>
        <v>0.5714285714285714</v>
      </c>
      <c r="I28" s="49">
        <f>'Avg Week Lubigi-Masanafu'!I28+'Avg Week Masanafu-Lubigi'!I28</f>
        <v>24.714285714285715</v>
      </c>
      <c r="J28" s="49">
        <f>'Avg Week Lubigi-Masanafu'!J28+'Avg Week Masanafu-Lubigi'!J28</f>
        <v>21.857142857142854</v>
      </c>
      <c r="K28" s="49">
        <f>'Avg Week Lubigi-Masanafu'!K28+'Avg Week Masanafu-Lubigi'!K28</f>
        <v>12.428571428571429</v>
      </c>
      <c r="L28" s="49">
        <f>'Avg Week Lubigi-Masanafu'!L28+'Avg Week Masanafu-Lubigi'!L28</f>
        <v>14.285714285714285</v>
      </c>
      <c r="M28" s="49">
        <f>'Avg Week Lubigi-Masanafu'!M28+'Avg Week Masanafu-Lubigi'!M28</f>
        <v>280.57142857142856</v>
      </c>
      <c r="N28" s="49">
        <f>'Avg Week Lubigi-Masanafu'!N28+'Avg Week Masanafu-Lubigi'!N28</f>
        <v>0</v>
      </c>
      <c r="O28" s="15">
        <f t="shared" si="0"/>
        <v>329.14285714285717</v>
      </c>
      <c r="P28" s="15">
        <f t="shared" si="1"/>
        <v>609.71428571428578</v>
      </c>
      <c r="R28" s="1" t="s">
        <v>152</v>
      </c>
      <c r="S28" s="34">
        <f>SUM(C82:C85)</f>
        <v>155</v>
      </c>
      <c r="T28" s="34">
        <f t="shared" ref="T28:AF28" si="20">SUM(D82:D85)</f>
        <v>53.5</v>
      </c>
      <c r="U28" s="34">
        <f t="shared" si="20"/>
        <v>36</v>
      </c>
      <c r="V28" s="34">
        <f t="shared" si="20"/>
        <v>46</v>
      </c>
      <c r="W28" s="34">
        <f t="shared" si="20"/>
        <v>0</v>
      </c>
      <c r="X28" s="34">
        <f t="shared" si="20"/>
        <v>0</v>
      </c>
      <c r="Y28" s="34">
        <f t="shared" si="20"/>
        <v>31.5</v>
      </c>
      <c r="Z28" s="34">
        <f t="shared" si="20"/>
        <v>52.5</v>
      </c>
      <c r="AA28" s="34">
        <f t="shared" si="20"/>
        <v>42</v>
      </c>
      <c r="AB28" s="34">
        <f t="shared" si="20"/>
        <v>21</v>
      </c>
      <c r="AC28" s="34">
        <f t="shared" si="20"/>
        <v>197.5</v>
      </c>
      <c r="AD28" s="34">
        <f t="shared" si="20"/>
        <v>0</v>
      </c>
      <c r="AE28" s="31">
        <f t="shared" si="20"/>
        <v>437.5</v>
      </c>
      <c r="AF28" s="31">
        <f t="shared" si="20"/>
        <v>635</v>
      </c>
    </row>
    <row r="29" spans="2:32" ht="23.1" customHeight="1" x14ac:dyDescent="0.25">
      <c r="B29" s="23" t="s">
        <v>56</v>
      </c>
      <c r="C29" s="49">
        <f>'Avg Week Lubigi-Masanafu'!C29+'Avg Week Masanafu-Lubigi'!C29</f>
        <v>143</v>
      </c>
      <c r="D29" s="49">
        <f>'Avg Week Lubigi-Masanafu'!D29+'Avg Week Masanafu-Lubigi'!D29</f>
        <v>42.571428571428569</v>
      </c>
      <c r="E29" s="49">
        <f>'Avg Week Lubigi-Masanafu'!E29+'Avg Week Masanafu-Lubigi'!E29</f>
        <v>22.571428571428569</v>
      </c>
      <c r="F29" s="49">
        <f>'Avg Week Lubigi-Masanafu'!F29+'Avg Week Masanafu-Lubigi'!F29</f>
        <v>50</v>
      </c>
      <c r="G29" s="49">
        <f>'Avg Week Lubigi-Masanafu'!G29+'Avg Week Masanafu-Lubigi'!G29</f>
        <v>3.1428571428571428</v>
      </c>
      <c r="H29" s="49">
        <f>'Avg Week Lubigi-Masanafu'!H29+'Avg Week Masanafu-Lubigi'!H29</f>
        <v>1</v>
      </c>
      <c r="I29" s="49">
        <f>'Avg Week Lubigi-Masanafu'!I29+'Avg Week Masanafu-Lubigi'!I29</f>
        <v>20.142857142857142</v>
      </c>
      <c r="J29" s="49">
        <f>'Avg Week Lubigi-Masanafu'!J29+'Avg Week Masanafu-Lubigi'!J29</f>
        <v>17.714285714285715</v>
      </c>
      <c r="K29" s="49">
        <f>'Avg Week Lubigi-Masanafu'!K29+'Avg Week Masanafu-Lubigi'!K29</f>
        <v>14.714285714285715</v>
      </c>
      <c r="L29" s="49">
        <f>'Avg Week Lubigi-Masanafu'!L29+'Avg Week Masanafu-Lubigi'!L29</f>
        <v>15.285714285714285</v>
      </c>
      <c r="M29" s="49">
        <f>'Avg Week Lubigi-Masanafu'!M29+'Avg Week Masanafu-Lubigi'!M29</f>
        <v>273.14285714285711</v>
      </c>
      <c r="N29" s="49">
        <f>'Avg Week Lubigi-Masanafu'!N29+'Avg Week Masanafu-Lubigi'!N29</f>
        <v>0</v>
      </c>
      <c r="O29" s="15">
        <f t="shared" si="0"/>
        <v>330.14285714285717</v>
      </c>
      <c r="P29" s="15">
        <f t="shared" si="1"/>
        <v>603.28571428571422</v>
      </c>
      <c r="R29" s="1" t="s">
        <v>153</v>
      </c>
      <c r="S29" s="34">
        <f>SUM(C86:C89)</f>
        <v>79.5</v>
      </c>
      <c r="T29" s="34">
        <f t="shared" ref="T29:AF29" si="21">SUM(D86:D89)</f>
        <v>25.5</v>
      </c>
      <c r="U29" s="34">
        <f t="shared" si="21"/>
        <v>20.5</v>
      </c>
      <c r="V29" s="34">
        <f t="shared" si="21"/>
        <v>34</v>
      </c>
      <c r="W29" s="34">
        <f t="shared" si="21"/>
        <v>0</v>
      </c>
      <c r="X29" s="34">
        <f t="shared" si="21"/>
        <v>0.5</v>
      </c>
      <c r="Y29" s="34">
        <f t="shared" si="21"/>
        <v>27</v>
      </c>
      <c r="Z29" s="34">
        <f t="shared" si="21"/>
        <v>48.5</v>
      </c>
      <c r="AA29" s="34">
        <f t="shared" si="21"/>
        <v>20.5</v>
      </c>
      <c r="AB29" s="34">
        <f t="shared" si="21"/>
        <v>11</v>
      </c>
      <c r="AC29" s="34">
        <f t="shared" si="21"/>
        <v>121</v>
      </c>
      <c r="AD29" s="34">
        <f t="shared" si="21"/>
        <v>0</v>
      </c>
      <c r="AE29" s="31">
        <f t="shared" si="21"/>
        <v>267</v>
      </c>
      <c r="AF29" s="31">
        <f t="shared" si="21"/>
        <v>388</v>
      </c>
    </row>
    <row r="30" spans="2:32" ht="23.1" customHeight="1" x14ac:dyDescent="0.25">
      <c r="B30" s="23" t="s">
        <v>57</v>
      </c>
      <c r="C30" s="49">
        <f>'Avg Week Lubigi-Masanafu'!C30+'Avg Week Masanafu-Lubigi'!C30</f>
        <v>159.71428571428572</v>
      </c>
      <c r="D30" s="49">
        <f>'Avg Week Lubigi-Masanafu'!D30+'Avg Week Masanafu-Lubigi'!D30</f>
        <v>37.428571428571431</v>
      </c>
      <c r="E30" s="49">
        <f>'Avg Week Lubigi-Masanafu'!E30+'Avg Week Masanafu-Lubigi'!E30</f>
        <v>31.285714285714285</v>
      </c>
      <c r="F30" s="49">
        <f>'Avg Week Lubigi-Masanafu'!F30+'Avg Week Masanafu-Lubigi'!F30</f>
        <v>46.428571428571431</v>
      </c>
      <c r="G30" s="49">
        <f>'Avg Week Lubigi-Masanafu'!G30+'Avg Week Masanafu-Lubigi'!G30</f>
        <v>4.4285714285714288</v>
      </c>
      <c r="H30" s="49">
        <f>'Avg Week Lubigi-Masanafu'!H30+'Avg Week Masanafu-Lubigi'!H30</f>
        <v>2.1428571428571428</v>
      </c>
      <c r="I30" s="49">
        <f>'Avg Week Lubigi-Masanafu'!I30+'Avg Week Masanafu-Lubigi'!I30</f>
        <v>26.571428571428569</v>
      </c>
      <c r="J30" s="49">
        <f>'Avg Week Lubigi-Masanafu'!J30+'Avg Week Masanafu-Lubigi'!J30</f>
        <v>19.714285714285715</v>
      </c>
      <c r="K30" s="49">
        <f>'Avg Week Lubigi-Masanafu'!K30+'Avg Week Masanafu-Lubigi'!K30</f>
        <v>12.571428571428573</v>
      </c>
      <c r="L30" s="49">
        <f>'Avg Week Lubigi-Masanafu'!L30+'Avg Week Masanafu-Lubigi'!L30</f>
        <v>11.428571428571427</v>
      </c>
      <c r="M30" s="49">
        <f>'Avg Week Lubigi-Masanafu'!M30+'Avg Week Masanafu-Lubigi'!M30</f>
        <v>286.28571428571428</v>
      </c>
      <c r="N30" s="49">
        <f>'Avg Week Lubigi-Masanafu'!N30+'Avg Week Masanafu-Lubigi'!N30</f>
        <v>0</v>
      </c>
      <c r="O30" s="15">
        <f t="shared" si="0"/>
        <v>351.71428571428578</v>
      </c>
      <c r="P30" s="15">
        <f t="shared" si="1"/>
        <v>638</v>
      </c>
      <c r="R30" s="1" t="s">
        <v>154</v>
      </c>
      <c r="S30" s="34">
        <f>SUM(C90:C93)</f>
        <v>83.5</v>
      </c>
      <c r="T30" s="34">
        <f t="shared" ref="T30:AF30" si="22">SUM(D90:D93)</f>
        <v>25</v>
      </c>
      <c r="U30" s="34">
        <f t="shared" si="22"/>
        <v>28</v>
      </c>
      <c r="V30" s="34">
        <f t="shared" si="22"/>
        <v>27</v>
      </c>
      <c r="W30" s="34">
        <f t="shared" si="22"/>
        <v>0.5</v>
      </c>
      <c r="X30" s="34">
        <f t="shared" si="22"/>
        <v>0</v>
      </c>
      <c r="Y30" s="34">
        <f t="shared" si="22"/>
        <v>33</v>
      </c>
      <c r="Z30" s="34">
        <f t="shared" si="22"/>
        <v>53.5</v>
      </c>
      <c r="AA30" s="34">
        <f t="shared" si="22"/>
        <v>33.5</v>
      </c>
      <c r="AB30" s="34">
        <f t="shared" si="22"/>
        <v>18</v>
      </c>
      <c r="AC30" s="34">
        <f t="shared" si="22"/>
        <v>136</v>
      </c>
      <c r="AD30" s="34">
        <f t="shared" si="22"/>
        <v>0</v>
      </c>
      <c r="AE30" s="31">
        <f t="shared" si="22"/>
        <v>302</v>
      </c>
      <c r="AF30" s="31">
        <f t="shared" si="22"/>
        <v>438</v>
      </c>
    </row>
    <row r="31" spans="2:32" ht="23.1" customHeight="1" x14ac:dyDescent="0.25">
      <c r="B31" s="24" t="s">
        <v>58</v>
      </c>
      <c r="C31" s="49">
        <f>'Avg Week Lubigi-Masanafu'!C31+'Avg Week Masanafu-Lubigi'!C31</f>
        <v>150.71428571428572</v>
      </c>
      <c r="D31" s="49">
        <f>'Avg Week Lubigi-Masanafu'!D31+'Avg Week Masanafu-Lubigi'!D31</f>
        <v>36.428571428571431</v>
      </c>
      <c r="E31" s="49">
        <f>'Avg Week Lubigi-Masanafu'!E31+'Avg Week Masanafu-Lubigi'!E31</f>
        <v>24</v>
      </c>
      <c r="F31" s="49">
        <f>'Avg Week Lubigi-Masanafu'!F31+'Avg Week Masanafu-Lubigi'!F31</f>
        <v>52.428571428571431</v>
      </c>
      <c r="G31" s="49">
        <f>'Avg Week Lubigi-Masanafu'!G31+'Avg Week Masanafu-Lubigi'!G31</f>
        <v>3.2857142857142856</v>
      </c>
      <c r="H31" s="49">
        <f>'Avg Week Lubigi-Masanafu'!H31+'Avg Week Masanafu-Lubigi'!H31</f>
        <v>1.1428571428571428</v>
      </c>
      <c r="I31" s="49">
        <f>'Avg Week Lubigi-Masanafu'!I31+'Avg Week Masanafu-Lubigi'!I31</f>
        <v>27.285714285714285</v>
      </c>
      <c r="J31" s="49">
        <f>'Avg Week Lubigi-Masanafu'!J31+'Avg Week Masanafu-Lubigi'!J31</f>
        <v>20</v>
      </c>
      <c r="K31" s="49">
        <f>'Avg Week Lubigi-Masanafu'!K31+'Avg Week Masanafu-Lubigi'!K31</f>
        <v>14.571428571428571</v>
      </c>
      <c r="L31" s="49">
        <f>'Avg Week Lubigi-Masanafu'!L31+'Avg Week Masanafu-Lubigi'!L31</f>
        <v>12.571428571428571</v>
      </c>
      <c r="M31" s="49">
        <f>'Avg Week Lubigi-Masanafu'!M31+'Avg Week Masanafu-Lubigi'!M31</f>
        <v>271.85714285714289</v>
      </c>
      <c r="N31" s="49">
        <f>'Avg Week Lubigi-Masanafu'!N31+'Avg Week Masanafu-Lubigi'!N31</f>
        <v>0.42857142857142855</v>
      </c>
      <c r="O31" s="15">
        <f t="shared" si="0"/>
        <v>342.85714285714289</v>
      </c>
      <c r="P31" s="15">
        <f t="shared" si="1"/>
        <v>614.71428571428578</v>
      </c>
      <c r="R31" s="1" t="s">
        <v>155</v>
      </c>
      <c r="S31" s="34">
        <f>SUM(C94:C97)</f>
        <v>130</v>
      </c>
      <c r="T31" s="34">
        <f t="shared" ref="T31:AF31" si="23">SUM(D94:D97)</f>
        <v>41.5</v>
      </c>
      <c r="U31" s="34">
        <f t="shared" si="23"/>
        <v>27</v>
      </c>
      <c r="V31" s="34">
        <f t="shared" si="23"/>
        <v>48.5</v>
      </c>
      <c r="W31" s="34">
        <f t="shared" si="23"/>
        <v>2</v>
      </c>
      <c r="X31" s="34">
        <f t="shared" si="23"/>
        <v>3</v>
      </c>
      <c r="Y31" s="34">
        <f t="shared" si="23"/>
        <v>50.5</v>
      </c>
      <c r="Z31" s="34">
        <f t="shared" si="23"/>
        <v>65.5</v>
      </c>
      <c r="AA31" s="34">
        <f t="shared" si="23"/>
        <v>39</v>
      </c>
      <c r="AB31" s="34">
        <f t="shared" si="23"/>
        <v>15</v>
      </c>
      <c r="AC31" s="34">
        <f t="shared" si="23"/>
        <v>128.5</v>
      </c>
      <c r="AD31" s="34">
        <f t="shared" si="23"/>
        <v>0</v>
      </c>
      <c r="AE31" s="31">
        <f t="shared" si="23"/>
        <v>422</v>
      </c>
      <c r="AF31" s="31">
        <f t="shared" si="23"/>
        <v>550.5</v>
      </c>
    </row>
    <row r="32" spans="2:32" ht="23.1" customHeight="1" x14ac:dyDescent="0.25">
      <c r="B32" s="24" t="s">
        <v>59</v>
      </c>
      <c r="C32" s="49">
        <f>'Avg Week Lubigi-Masanafu'!C32+'Avg Week Masanafu-Lubigi'!C32</f>
        <v>147.71428571428572</v>
      </c>
      <c r="D32" s="49">
        <f>'Avg Week Lubigi-Masanafu'!D32+'Avg Week Masanafu-Lubigi'!D32</f>
        <v>34.428571428571431</v>
      </c>
      <c r="E32" s="49">
        <f>'Avg Week Lubigi-Masanafu'!E32+'Avg Week Masanafu-Lubigi'!E32</f>
        <v>24</v>
      </c>
      <c r="F32" s="49">
        <f>'Avg Week Lubigi-Masanafu'!F32+'Avg Week Masanafu-Lubigi'!F32</f>
        <v>46</v>
      </c>
      <c r="G32" s="49">
        <f>'Avg Week Lubigi-Masanafu'!G32+'Avg Week Masanafu-Lubigi'!G32</f>
        <v>3.2857142857142856</v>
      </c>
      <c r="H32" s="49">
        <f>'Avg Week Lubigi-Masanafu'!H32+'Avg Week Masanafu-Lubigi'!H32</f>
        <v>0.71428571428571419</v>
      </c>
      <c r="I32" s="49">
        <f>'Avg Week Lubigi-Masanafu'!I32+'Avg Week Masanafu-Lubigi'!I32</f>
        <v>22.428571428571431</v>
      </c>
      <c r="J32" s="49">
        <f>'Avg Week Lubigi-Masanafu'!J32+'Avg Week Masanafu-Lubigi'!J32</f>
        <v>17.428571428571427</v>
      </c>
      <c r="K32" s="49">
        <f>'Avg Week Lubigi-Masanafu'!K32+'Avg Week Masanafu-Lubigi'!K32</f>
        <v>11.142857142857142</v>
      </c>
      <c r="L32" s="49">
        <f>'Avg Week Lubigi-Masanafu'!L32+'Avg Week Masanafu-Lubigi'!L32</f>
        <v>10.285714285714286</v>
      </c>
      <c r="M32" s="49">
        <f>'Avg Week Lubigi-Masanafu'!M32+'Avg Week Masanafu-Lubigi'!M32</f>
        <v>264.42857142857144</v>
      </c>
      <c r="N32" s="49">
        <f>'Avg Week Lubigi-Masanafu'!N32+'Avg Week Masanafu-Lubigi'!N32</f>
        <v>0</v>
      </c>
      <c r="O32" s="15">
        <f t="shared" si="0"/>
        <v>317.4285714285715</v>
      </c>
      <c r="P32" s="15">
        <f t="shared" si="1"/>
        <v>581.85714285714289</v>
      </c>
      <c r="R32" s="1" t="s">
        <v>156</v>
      </c>
      <c r="S32" s="34">
        <f>SUM(C98:C101)</f>
        <v>122</v>
      </c>
      <c r="T32" s="34">
        <f t="shared" ref="T32:AF32" si="24">SUM(D98:D101)</f>
        <v>33</v>
      </c>
      <c r="U32" s="34">
        <f t="shared" si="24"/>
        <v>21.5</v>
      </c>
      <c r="V32" s="34">
        <f t="shared" si="24"/>
        <v>56</v>
      </c>
      <c r="W32" s="34">
        <f t="shared" si="24"/>
        <v>6</v>
      </c>
      <c r="X32" s="34">
        <f t="shared" si="24"/>
        <v>3.5</v>
      </c>
      <c r="Y32" s="34">
        <f t="shared" si="24"/>
        <v>40</v>
      </c>
      <c r="Z32" s="34">
        <f t="shared" si="24"/>
        <v>59</v>
      </c>
      <c r="AA32" s="34">
        <f t="shared" si="24"/>
        <v>17.5</v>
      </c>
      <c r="AB32" s="34">
        <f t="shared" si="24"/>
        <v>27.5</v>
      </c>
      <c r="AC32" s="34">
        <f t="shared" si="24"/>
        <v>205</v>
      </c>
      <c r="AD32" s="34">
        <f t="shared" si="24"/>
        <v>0</v>
      </c>
      <c r="AE32" s="31">
        <f t="shared" si="24"/>
        <v>386</v>
      </c>
      <c r="AF32" s="31">
        <f t="shared" si="24"/>
        <v>591</v>
      </c>
    </row>
    <row r="33" spans="2:32" ht="23.1" customHeight="1" x14ac:dyDescent="0.25">
      <c r="B33" s="23" t="s">
        <v>60</v>
      </c>
      <c r="C33" s="49">
        <f>'Avg Week Lubigi-Masanafu'!C33+'Avg Week Masanafu-Lubigi'!C33</f>
        <v>139.28571428571428</v>
      </c>
      <c r="D33" s="49">
        <f>'Avg Week Lubigi-Masanafu'!D33+'Avg Week Masanafu-Lubigi'!D33</f>
        <v>38.571428571428569</v>
      </c>
      <c r="E33" s="49">
        <f>'Avg Week Lubigi-Masanafu'!E33+'Avg Week Masanafu-Lubigi'!E33</f>
        <v>25.571428571428569</v>
      </c>
      <c r="F33" s="49">
        <f>'Avg Week Lubigi-Masanafu'!F33+'Avg Week Masanafu-Lubigi'!F33</f>
        <v>44.142857142857139</v>
      </c>
      <c r="G33" s="49">
        <f>'Avg Week Lubigi-Masanafu'!G33+'Avg Week Masanafu-Lubigi'!G33</f>
        <v>2.7142857142857144</v>
      </c>
      <c r="H33" s="49">
        <f>'Avg Week Lubigi-Masanafu'!H33+'Avg Week Masanafu-Lubigi'!H33</f>
        <v>1</v>
      </c>
      <c r="I33" s="49">
        <f>'Avg Week Lubigi-Masanafu'!I33+'Avg Week Masanafu-Lubigi'!I33</f>
        <v>18.428571428571427</v>
      </c>
      <c r="J33" s="49">
        <f>'Avg Week Lubigi-Masanafu'!J33+'Avg Week Masanafu-Lubigi'!J33</f>
        <v>18.428571428571431</v>
      </c>
      <c r="K33" s="49">
        <f>'Avg Week Lubigi-Masanafu'!K33+'Avg Week Masanafu-Lubigi'!K33</f>
        <v>14.714285714285714</v>
      </c>
      <c r="L33" s="49">
        <f>'Avg Week Lubigi-Masanafu'!L33+'Avg Week Masanafu-Lubigi'!L33</f>
        <v>13.428571428571431</v>
      </c>
      <c r="M33" s="49">
        <f>'Avg Week Lubigi-Masanafu'!M33+'Avg Week Masanafu-Lubigi'!M33</f>
        <v>254.14285714285714</v>
      </c>
      <c r="N33" s="49">
        <f>'Avg Week Lubigi-Masanafu'!N33+'Avg Week Masanafu-Lubigi'!N33</f>
        <v>0.14285714285714285</v>
      </c>
      <c r="O33" s="15">
        <f t="shared" si="0"/>
        <v>316.42857142857144</v>
      </c>
      <c r="P33" s="15">
        <f t="shared" si="1"/>
        <v>570.57142857142856</v>
      </c>
      <c r="R33" s="1" t="s">
        <v>157</v>
      </c>
      <c r="S33" s="34">
        <f>SUM(C102:C105)</f>
        <v>350.5</v>
      </c>
      <c r="T33" s="34">
        <f t="shared" ref="T33:AF33" si="25">SUM(D102:D105)</f>
        <v>102</v>
      </c>
      <c r="U33" s="34">
        <f t="shared" si="25"/>
        <v>74.5</v>
      </c>
      <c r="V33" s="34">
        <f t="shared" si="25"/>
        <v>248</v>
      </c>
      <c r="W33" s="34">
        <f t="shared" si="25"/>
        <v>8</v>
      </c>
      <c r="X33" s="34">
        <f t="shared" si="25"/>
        <v>4</v>
      </c>
      <c r="Y33" s="34">
        <f t="shared" si="25"/>
        <v>146</v>
      </c>
      <c r="Z33" s="34">
        <f t="shared" si="25"/>
        <v>79.5</v>
      </c>
      <c r="AA33" s="34">
        <f t="shared" si="25"/>
        <v>32</v>
      </c>
      <c r="AB33" s="34">
        <f t="shared" si="25"/>
        <v>54.5</v>
      </c>
      <c r="AC33" s="34">
        <f t="shared" si="25"/>
        <v>698.5</v>
      </c>
      <c r="AD33" s="34">
        <f t="shared" si="25"/>
        <v>0</v>
      </c>
      <c r="AE33" s="31">
        <f t="shared" si="25"/>
        <v>1099</v>
      </c>
      <c r="AF33" s="31">
        <f t="shared" si="25"/>
        <v>1797.5</v>
      </c>
    </row>
    <row r="34" spans="2:32" ht="23.1" customHeight="1" x14ac:dyDescent="0.25">
      <c r="B34" s="24" t="s">
        <v>61</v>
      </c>
      <c r="C34" s="49">
        <f>'Avg Week Lubigi-Masanafu'!C34+'Avg Week Masanafu-Lubigi'!C34</f>
        <v>147.42857142857144</v>
      </c>
      <c r="D34" s="49">
        <f>'Avg Week Lubigi-Masanafu'!D34+'Avg Week Masanafu-Lubigi'!D34</f>
        <v>37</v>
      </c>
      <c r="E34" s="49">
        <f>'Avg Week Lubigi-Masanafu'!E34+'Avg Week Masanafu-Lubigi'!E34</f>
        <v>24.142857142857146</v>
      </c>
      <c r="F34" s="49">
        <f>'Avg Week Lubigi-Masanafu'!F34+'Avg Week Masanafu-Lubigi'!F34</f>
        <v>46.857142857142861</v>
      </c>
      <c r="G34" s="49">
        <f>'Avg Week Lubigi-Masanafu'!G34+'Avg Week Masanafu-Lubigi'!G34</f>
        <v>4.1428571428571432</v>
      </c>
      <c r="H34" s="49">
        <f>'Avg Week Lubigi-Masanafu'!H34+'Avg Week Masanafu-Lubigi'!H34</f>
        <v>0.42857142857142855</v>
      </c>
      <c r="I34" s="49">
        <f>'Avg Week Lubigi-Masanafu'!I34+'Avg Week Masanafu-Lubigi'!I34</f>
        <v>25.285714285714285</v>
      </c>
      <c r="J34" s="49">
        <f>'Avg Week Lubigi-Masanafu'!J34+'Avg Week Masanafu-Lubigi'!J34</f>
        <v>17.142857142857142</v>
      </c>
      <c r="K34" s="49">
        <f>'Avg Week Lubigi-Masanafu'!K34+'Avg Week Masanafu-Lubigi'!K34</f>
        <v>9.7142857142857135</v>
      </c>
      <c r="L34" s="49">
        <f>'Avg Week Lubigi-Masanafu'!L34+'Avg Week Masanafu-Lubigi'!L34</f>
        <v>12.571428571428573</v>
      </c>
      <c r="M34" s="49">
        <f>'Avg Week Lubigi-Masanafu'!M34+'Avg Week Masanafu-Lubigi'!M34</f>
        <v>263.85714285714289</v>
      </c>
      <c r="N34" s="49">
        <f>'Avg Week Lubigi-Masanafu'!N34+'Avg Week Masanafu-Lubigi'!N34</f>
        <v>0.14285714285714285</v>
      </c>
      <c r="O34" s="15">
        <f t="shared" si="0"/>
        <v>324.85714285714295</v>
      </c>
      <c r="P34" s="15">
        <f t="shared" si="1"/>
        <v>588.71428571428578</v>
      </c>
      <c r="R34" s="51" t="s">
        <v>90</v>
      </c>
      <c r="S34" s="52">
        <f t="shared" ref="S34:AF34" si="26">MAX(S10:S12)</f>
        <v>459.28571428571433</v>
      </c>
      <c r="T34" s="52">
        <f t="shared" si="26"/>
        <v>136.42857142857142</v>
      </c>
      <c r="U34" s="52">
        <f t="shared" si="26"/>
        <v>72.571428571428569</v>
      </c>
      <c r="V34" s="52">
        <f t="shared" si="26"/>
        <v>161.28571428571428</v>
      </c>
      <c r="W34" s="52">
        <f t="shared" si="26"/>
        <v>17.857142857142858</v>
      </c>
      <c r="X34" s="52">
        <f t="shared" si="26"/>
        <v>3.1428571428571428</v>
      </c>
      <c r="Y34" s="52">
        <f t="shared" si="26"/>
        <v>80.571428571428569</v>
      </c>
      <c r="Z34" s="52">
        <f t="shared" si="26"/>
        <v>51</v>
      </c>
      <c r="AA34" s="52">
        <f t="shared" si="26"/>
        <v>36</v>
      </c>
      <c r="AB34" s="52">
        <f t="shared" si="26"/>
        <v>33.428571428571431</v>
      </c>
      <c r="AC34" s="52">
        <f t="shared" si="26"/>
        <v>1045.7142857142858</v>
      </c>
      <c r="AD34" s="52">
        <f t="shared" si="26"/>
        <v>0.2857142857142857</v>
      </c>
      <c r="AE34" s="40">
        <f t="shared" si="26"/>
        <v>1000.4285714285716</v>
      </c>
      <c r="AF34" s="40">
        <f t="shared" si="26"/>
        <v>2016</v>
      </c>
    </row>
    <row r="35" spans="2:32" ht="23.1" customHeight="1" x14ac:dyDescent="0.25">
      <c r="B35" s="24" t="s">
        <v>62</v>
      </c>
      <c r="C35" s="49">
        <f>'Avg Week Lubigi-Masanafu'!C35+'Avg Week Masanafu-Lubigi'!C35</f>
        <v>139</v>
      </c>
      <c r="D35" s="49">
        <f>'Avg Week Lubigi-Masanafu'!D35+'Avg Week Masanafu-Lubigi'!D35</f>
        <v>29.142857142857142</v>
      </c>
      <c r="E35" s="49">
        <f>'Avg Week Lubigi-Masanafu'!E35+'Avg Week Masanafu-Lubigi'!E35</f>
        <v>25.857142857142858</v>
      </c>
      <c r="F35" s="49">
        <f>'Avg Week Lubigi-Masanafu'!F35+'Avg Week Masanafu-Lubigi'!F35</f>
        <v>48.142857142857139</v>
      </c>
      <c r="G35" s="49">
        <f>'Avg Week Lubigi-Masanafu'!G35+'Avg Week Masanafu-Lubigi'!G35</f>
        <v>2.2857142857142856</v>
      </c>
      <c r="H35" s="49">
        <f>'Avg Week Lubigi-Masanafu'!H35+'Avg Week Masanafu-Lubigi'!H35</f>
        <v>0.5714285714285714</v>
      </c>
      <c r="I35" s="49">
        <f>'Avg Week Lubigi-Masanafu'!I35+'Avg Week Masanafu-Lubigi'!I35</f>
        <v>21.857142857142858</v>
      </c>
      <c r="J35" s="49">
        <f>'Avg Week Lubigi-Masanafu'!J35+'Avg Week Masanafu-Lubigi'!J35</f>
        <v>20.571428571428569</v>
      </c>
      <c r="K35" s="49">
        <f>'Avg Week Lubigi-Masanafu'!K35+'Avg Week Masanafu-Lubigi'!K35</f>
        <v>12.142857142857142</v>
      </c>
      <c r="L35" s="49">
        <f>'Avg Week Lubigi-Masanafu'!L35+'Avg Week Masanafu-Lubigi'!L35</f>
        <v>13.428571428571427</v>
      </c>
      <c r="M35" s="49">
        <f>'Avg Week Lubigi-Masanafu'!M35+'Avg Week Masanafu-Lubigi'!M35</f>
        <v>248.28571428571428</v>
      </c>
      <c r="N35" s="49">
        <f>'Avg Week Lubigi-Masanafu'!N35+'Avg Week Masanafu-Lubigi'!N35</f>
        <v>0.42857142857142855</v>
      </c>
      <c r="O35" s="15">
        <f t="shared" si="0"/>
        <v>313.42857142857144</v>
      </c>
      <c r="P35" s="15">
        <f t="shared" si="1"/>
        <v>561.71428571428567</v>
      </c>
      <c r="R35" s="51" t="s">
        <v>91</v>
      </c>
      <c r="S35" s="52">
        <f t="shared" ref="S35:AF35" si="27">MAX(S13:S18)</f>
        <v>597.42857142857144</v>
      </c>
      <c r="T35" s="52">
        <f t="shared" si="27"/>
        <v>171.85714285714283</v>
      </c>
      <c r="U35" s="52">
        <f t="shared" si="27"/>
        <v>111.57142857142858</v>
      </c>
      <c r="V35" s="52">
        <f t="shared" si="27"/>
        <v>189</v>
      </c>
      <c r="W35" s="52">
        <f t="shared" si="27"/>
        <v>21.571428571428573</v>
      </c>
      <c r="X35" s="52">
        <f t="shared" si="27"/>
        <v>6.2857142857142856</v>
      </c>
      <c r="Y35" s="52">
        <f t="shared" si="27"/>
        <v>106.57142857142858</v>
      </c>
      <c r="Z35" s="52">
        <f t="shared" si="27"/>
        <v>82.571428571428569</v>
      </c>
      <c r="AA35" s="52">
        <f t="shared" si="27"/>
        <v>56.857142857142861</v>
      </c>
      <c r="AB35" s="52">
        <f t="shared" si="27"/>
        <v>60.857142857142854</v>
      </c>
      <c r="AC35" s="52">
        <f t="shared" si="27"/>
        <v>1103.1428571428571</v>
      </c>
      <c r="AD35" s="52">
        <f t="shared" si="27"/>
        <v>1</v>
      </c>
      <c r="AE35" s="40">
        <f t="shared" si="27"/>
        <v>1339.7142857142858</v>
      </c>
      <c r="AF35" s="40">
        <f t="shared" si="27"/>
        <v>2405.1428571428573</v>
      </c>
    </row>
    <row r="36" spans="2:32" ht="23.1" customHeight="1" x14ac:dyDescent="0.25">
      <c r="B36" s="24" t="s">
        <v>63</v>
      </c>
      <c r="C36" s="49">
        <f>'Avg Week Lubigi-Masanafu'!C36+'Avg Week Masanafu-Lubigi'!C36</f>
        <v>138.28571428571428</v>
      </c>
      <c r="D36" s="49">
        <f>'Avg Week Lubigi-Masanafu'!D36+'Avg Week Masanafu-Lubigi'!D36</f>
        <v>31</v>
      </c>
      <c r="E36" s="49">
        <f>'Avg Week Lubigi-Masanafu'!E36+'Avg Week Masanafu-Lubigi'!E36</f>
        <v>20.428571428571427</v>
      </c>
      <c r="F36" s="49">
        <f>'Avg Week Lubigi-Masanafu'!F36+'Avg Week Masanafu-Lubigi'!F36</f>
        <v>36.714285714285715</v>
      </c>
      <c r="G36" s="49">
        <f>'Avg Week Lubigi-Masanafu'!G36+'Avg Week Masanafu-Lubigi'!G36</f>
        <v>2</v>
      </c>
      <c r="H36" s="49">
        <f>'Avg Week Lubigi-Masanafu'!H36+'Avg Week Masanafu-Lubigi'!H36</f>
        <v>0.71428571428571419</v>
      </c>
      <c r="I36" s="49">
        <f>'Avg Week Lubigi-Masanafu'!I36+'Avg Week Masanafu-Lubigi'!I36</f>
        <v>20</v>
      </c>
      <c r="J36" s="49">
        <f>'Avg Week Lubigi-Masanafu'!J36+'Avg Week Masanafu-Lubigi'!J36</f>
        <v>18.714285714285715</v>
      </c>
      <c r="K36" s="49">
        <f>'Avg Week Lubigi-Masanafu'!K36+'Avg Week Masanafu-Lubigi'!K36</f>
        <v>15</v>
      </c>
      <c r="L36" s="49">
        <f>'Avg Week Lubigi-Masanafu'!L36+'Avg Week Masanafu-Lubigi'!L36</f>
        <v>11.571428571428573</v>
      </c>
      <c r="M36" s="49">
        <f>'Avg Week Lubigi-Masanafu'!M36+'Avg Week Masanafu-Lubigi'!M36</f>
        <v>254.28571428571428</v>
      </c>
      <c r="N36" s="49">
        <f>'Avg Week Lubigi-Masanafu'!N36+'Avg Week Masanafu-Lubigi'!N36</f>
        <v>0.42857142857142855</v>
      </c>
      <c r="O36" s="15">
        <f t="shared" si="0"/>
        <v>294.85714285714283</v>
      </c>
      <c r="P36" s="15">
        <f t="shared" si="1"/>
        <v>549.14285714285711</v>
      </c>
      <c r="R36" s="51" t="s">
        <v>92</v>
      </c>
      <c r="S36" s="52">
        <f t="shared" ref="S36:AF36" si="28">MAX(S19:S21)</f>
        <v>713.71428571428567</v>
      </c>
      <c r="T36" s="52">
        <f t="shared" si="28"/>
        <v>218.42857142857144</v>
      </c>
      <c r="U36" s="52">
        <f t="shared" si="28"/>
        <v>153.14285714285714</v>
      </c>
      <c r="V36" s="52">
        <f t="shared" si="28"/>
        <v>271.57142857142856</v>
      </c>
      <c r="W36" s="52">
        <f t="shared" si="28"/>
        <v>23.857142857142858</v>
      </c>
      <c r="X36" s="52">
        <f t="shared" si="28"/>
        <v>6.2857142857142847</v>
      </c>
      <c r="Y36" s="52">
        <f t="shared" si="28"/>
        <v>112.71428571428572</v>
      </c>
      <c r="Z36" s="52">
        <f t="shared" si="28"/>
        <v>88.571428571428569</v>
      </c>
      <c r="AA36" s="52">
        <f t="shared" si="28"/>
        <v>46.428571428571431</v>
      </c>
      <c r="AB36" s="52">
        <f t="shared" si="28"/>
        <v>54.428571428571423</v>
      </c>
      <c r="AC36" s="52">
        <f t="shared" si="28"/>
        <v>1062.7142857142858</v>
      </c>
      <c r="AD36" s="52">
        <f t="shared" si="28"/>
        <v>0.2857142857142857</v>
      </c>
      <c r="AE36" s="40">
        <f t="shared" si="28"/>
        <v>1649.5714285714287</v>
      </c>
      <c r="AF36" s="40">
        <f t="shared" si="28"/>
        <v>2712.2857142857147</v>
      </c>
    </row>
    <row r="37" spans="2:32" ht="23.1" customHeight="1" x14ac:dyDescent="0.25">
      <c r="B37" s="23" t="s">
        <v>64</v>
      </c>
      <c r="C37" s="49">
        <f>'Avg Week Lubigi-Masanafu'!C37+'Avg Week Masanafu-Lubigi'!C37</f>
        <v>149.42857142857144</v>
      </c>
      <c r="D37" s="49">
        <f>'Avg Week Lubigi-Masanafu'!D37+'Avg Week Masanafu-Lubigi'!D37</f>
        <v>38.142857142857139</v>
      </c>
      <c r="E37" s="49">
        <f>'Avg Week Lubigi-Masanafu'!E37+'Avg Week Masanafu-Lubigi'!E37</f>
        <v>27.285714285714285</v>
      </c>
      <c r="F37" s="49">
        <f>'Avg Week Lubigi-Masanafu'!F37+'Avg Week Masanafu-Lubigi'!F37</f>
        <v>43.571428571428569</v>
      </c>
      <c r="G37" s="49">
        <f>'Avg Week Lubigi-Masanafu'!G37+'Avg Week Masanafu-Lubigi'!G37</f>
        <v>1.8571428571428572</v>
      </c>
      <c r="H37" s="49">
        <f>'Avg Week Lubigi-Masanafu'!H37+'Avg Week Masanafu-Lubigi'!H37</f>
        <v>0.2857142857142857</v>
      </c>
      <c r="I37" s="49">
        <f>'Avg Week Lubigi-Masanafu'!I37+'Avg Week Masanafu-Lubigi'!I37</f>
        <v>24.714285714285715</v>
      </c>
      <c r="J37" s="49">
        <f>'Avg Week Lubigi-Masanafu'!J37+'Avg Week Masanafu-Lubigi'!J37</f>
        <v>16.571428571428569</v>
      </c>
      <c r="K37" s="49">
        <f>'Avg Week Lubigi-Masanafu'!K37+'Avg Week Masanafu-Lubigi'!K37</f>
        <v>15.428571428571427</v>
      </c>
      <c r="L37" s="49">
        <f>'Avg Week Lubigi-Masanafu'!L37+'Avg Week Masanafu-Lubigi'!L37</f>
        <v>16.142857142857142</v>
      </c>
      <c r="M37" s="49">
        <f>'Avg Week Lubigi-Masanafu'!M37+'Avg Week Masanafu-Lubigi'!M37</f>
        <v>235.14285714285714</v>
      </c>
      <c r="N37" s="49">
        <f>'Avg Week Lubigi-Masanafu'!N37+'Avg Week Masanafu-Lubigi'!N37</f>
        <v>0</v>
      </c>
      <c r="O37" s="15">
        <f t="shared" si="0"/>
        <v>333.42857142857144</v>
      </c>
      <c r="P37" s="15">
        <f t="shared" si="1"/>
        <v>568.57142857142856</v>
      </c>
      <c r="R37" s="37" t="s">
        <v>85</v>
      </c>
      <c r="S37" s="54">
        <f t="shared" ref="S37:AF37" si="29">SUM(S10:S12)</f>
        <v>1298.1428571428571</v>
      </c>
      <c r="T37" s="55">
        <f t="shared" si="29"/>
        <v>339</v>
      </c>
      <c r="U37" s="55">
        <f t="shared" si="29"/>
        <v>209.28571428571428</v>
      </c>
      <c r="V37" s="55">
        <f t="shared" si="29"/>
        <v>475.14285714285711</v>
      </c>
      <c r="W37" s="55">
        <f t="shared" si="29"/>
        <v>46.571428571428569</v>
      </c>
      <c r="X37" s="55">
        <f t="shared" si="29"/>
        <v>8.2857142857142847</v>
      </c>
      <c r="Y37" s="55">
        <f t="shared" si="29"/>
        <v>215.14285714285717</v>
      </c>
      <c r="Z37" s="55">
        <f t="shared" si="29"/>
        <v>137</v>
      </c>
      <c r="AA37" s="55">
        <f t="shared" si="29"/>
        <v>97.857142857142861</v>
      </c>
      <c r="AB37" s="55">
        <f t="shared" si="29"/>
        <v>87.142857142857139</v>
      </c>
      <c r="AC37" s="55">
        <f t="shared" si="29"/>
        <v>2810.8571428571431</v>
      </c>
      <c r="AD37" s="55">
        <f t="shared" si="29"/>
        <v>0.42857142857142855</v>
      </c>
      <c r="AE37" s="56">
        <f t="shared" si="29"/>
        <v>2914</v>
      </c>
      <c r="AF37" s="56">
        <f t="shared" si="29"/>
        <v>5724.8571428571431</v>
      </c>
    </row>
    <row r="38" spans="2:32" ht="23.1" customHeight="1" x14ac:dyDescent="0.25">
      <c r="B38" s="24" t="s">
        <v>65</v>
      </c>
      <c r="C38" s="49">
        <f>'Avg Week Lubigi-Masanafu'!C38+'Avg Week Masanafu-Lubigi'!C38</f>
        <v>126.28571428571428</v>
      </c>
      <c r="D38" s="49">
        <f>'Avg Week Lubigi-Masanafu'!D38+'Avg Week Masanafu-Lubigi'!D38</f>
        <v>38.428571428571431</v>
      </c>
      <c r="E38" s="49">
        <f>'Avg Week Lubigi-Masanafu'!E38+'Avg Week Masanafu-Lubigi'!E38</f>
        <v>25.142857142857142</v>
      </c>
      <c r="F38" s="49">
        <f>'Avg Week Lubigi-Masanafu'!F38+'Avg Week Masanafu-Lubigi'!F38</f>
        <v>41.142857142857146</v>
      </c>
      <c r="G38" s="49">
        <f>'Avg Week Lubigi-Masanafu'!G38+'Avg Week Masanafu-Lubigi'!G38</f>
        <v>1.4285714285714286</v>
      </c>
      <c r="H38" s="49">
        <f>'Avg Week Lubigi-Masanafu'!H38+'Avg Week Masanafu-Lubigi'!H38</f>
        <v>0.14285714285714285</v>
      </c>
      <c r="I38" s="49">
        <f>'Avg Week Lubigi-Masanafu'!I38+'Avg Week Masanafu-Lubigi'!I38</f>
        <v>20.571428571428569</v>
      </c>
      <c r="J38" s="49">
        <f>'Avg Week Lubigi-Masanafu'!J38+'Avg Week Masanafu-Lubigi'!J38</f>
        <v>15.857142857142858</v>
      </c>
      <c r="K38" s="49">
        <f>'Avg Week Lubigi-Masanafu'!K38+'Avg Week Masanafu-Lubigi'!K38</f>
        <v>13.857142857142858</v>
      </c>
      <c r="L38" s="49">
        <f>'Avg Week Lubigi-Masanafu'!L38+'Avg Week Masanafu-Lubigi'!L38</f>
        <v>12.142857142857142</v>
      </c>
      <c r="M38" s="49">
        <f>'Avg Week Lubigi-Masanafu'!M38+'Avg Week Masanafu-Lubigi'!M38</f>
        <v>236.28571428571428</v>
      </c>
      <c r="N38" s="49">
        <f>'Avg Week Lubigi-Masanafu'!N38+'Avg Week Masanafu-Lubigi'!N38</f>
        <v>0</v>
      </c>
      <c r="O38" s="15">
        <f t="shared" si="0"/>
        <v>294.99999999999994</v>
      </c>
      <c r="P38" s="15">
        <f t="shared" si="1"/>
        <v>531.28571428571422</v>
      </c>
      <c r="R38" s="28" t="s">
        <v>86</v>
      </c>
      <c r="S38" s="55">
        <f t="shared" ref="S38:AF38" si="30">SUM(S13:S18)</f>
        <v>3355.2857142857147</v>
      </c>
      <c r="T38" s="55">
        <f t="shared" si="30"/>
        <v>871.28571428571445</v>
      </c>
      <c r="U38" s="55">
        <f t="shared" si="30"/>
        <v>608.14285714285711</v>
      </c>
      <c r="V38" s="55">
        <f t="shared" si="30"/>
        <v>1021.5714285714287</v>
      </c>
      <c r="W38" s="55">
        <f t="shared" si="30"/>
        <v>76.142857142857153</v>
      </c>
      <c r="X38" s="55">
        <f t="shared" si="30"/>
        <v>20.142857142857139</v>
      </c>
      <c r="Y38" s="55">
        <f t="shared" si="30"/>
        <v>559.85714285714289</v>
      </c>
      <c r="Z38" s="55">
        <f t="shared" si="30"/>
        <v>442.28571428571428</v>
      </c>
      <c r="AA38" s="55">
        <f t="shared" si="30"/>
        <v>329</v>
      </c>
      <c r="AB38" s="55">
        <f t="shared" si="30"/>
        <v>317.28571428571428</v>
      </c>
      <c r="AC38" s="55">
        <f t="shared" si="30"/>
        <v>6000.5714285714284</v>
      </c>
      <c r="AD38" s="55">
        <f t="shared" si="30"/>
        <v>2.1428571428571428</v>
      </c>
      <c r="AE38" s="56">
        <f t="shared" si="30"/>
        <v>7603.1428571428587</v>
      </c>
      <c r="AF38" s="56">
        <f t="shared" si="30"/>
        <v>13603.714285714286</v>
      </c>
    </row>
    <row r="39" spans="2:32" ht="23.1" customHeight="1" x14ac:dyDescent="0.25">
      <c r="B39" s="24" t="s">
        <v>66</v>
      </c>
      <c r="C39" s="49">
        <f>'Avg Week Lubigi-Masanafu'!C39+'Avg Week Masanafu-Lubigi'!C39</f>
        <v>130.42857142857144</v>
      </c>
      <c r="D39" s="49">
        <f>'Avg Week Lubigi-Masanafu'!D39+'Avg Week Masanafu-Lubigi'!D39</f>
        <v>38.428571428571431</v>
      </c>
      <c r="E39" s="49">
        <f>'Avg Week Lubigi-Masanafu'!E39+'Avg Week Masanafu-Lubigi'!E39</f>
        <v>28.714285714285715</v>
      </c>
      <c r="F39" s="49">
        <f>'Avg Week Lubigi-Masanafu'!F39+'Avg Week Masanafu-Lubigi'!F39</f>
        <v>37.857142857142861</v>
      </c>
      <c r="G39" s="49">
        <f>'Avg Week Lubigi-Masanafu'!G39+'Avg Week Masanafu-Lubigi'!G39</f>
        <v>0.71428571428571419</v>
      </c>
      <c r="H39" s="49">
        <f>'Avg Week Lubigi-Masanafu'!H39+'Avg Week Masanafu-Lubigi'!H39</f>
        <v>0.14285714285714285</v>
      </c>
      <c r="I39" s="49">
        <f>'Avg Week Lubigi-Masanafu'!I39+'Avg Week Masanafu-Lubigi'!I39</f>
        <v>24.428571428571427</v>
      </c>
      <c r="J39" s="49">
        <f>'Avg Week Lubigi-Masanafu'!J39+'Avg Week Masanafu-Lubigi'!J39</f>
        <v>18.714285714285715</v>
      </c>
      <c r="K39" s="49">
        <f>'Avg Week Lubigi-Masanafu'!K39+'Avg Week Masanafu-Lubigi'!K39</f>
        <v>13.428571428571427</v>
      </c>
      <c r="L39" s="49">
        <f>'Avg Week Lubigi-Masanafu'!L39+'Avg Week Masanafu-Lubigi'!L39</f>
        <v>10.285714285714285</v>
      </c>
      <c r="M39" s="49">
        <f>'Avg Week Lubigi-Masanafu'!M39+'Avg Week Masanafu-Lubigi'!M39</f>
        <v>229.14285714285714</v>
      </c>
      <c r="N39" s="49">
        <f>'Avg Week Lubigi-Masanafu'!N39+'Avg Week Masanafu-Lubigi'!N39</f>
        <v>0.14285714285714285</v>
      </c>
      <c r="O39" s="15">
        <f t="shared" si="0"/>
        <v>303.28571428571439</v>
      </c>
      <c r="P39" s="15">
        <f t="shared" si="1"/>
        <v>532.42857142857144</v>
      </c>
      <c r="R39" s="29" t="s">
        <v>87</v>
      </c>
      <c r="S39" s="55">
        <f t="shared" ref="S39:AF39" si="31">SUM(S19:S21)</f>
        <v>2072.2857142857142</v>
      </c>
      <c r="T39" s="55">
        <f t="shared" si="31"/>
        <v>572.57142857142856</v>
      </c>
      <c r="U39" s="55">
        <f t="shared" si="31"/>
        <v>400.14285714285711</v>
      </c>
      <c r="V39" s="55">
        <f t="shared" si="31"/>
        <v>671.85714285714289</v>
      </c>
      <c r="W39" s="55">
        <f t="shared" si="31"/>
        <v>51</v>
      </c>
      <c r="X39" s="55">
        <f t="shared" si="31"/>
        <v>14</v>
      </c>
      <c r="Y39" s="55">
        <f t="shared" si="31"/>
        <v>311.57142857142856</v>
      </c>
      <c r="Z39" s="55">
        <f t="shared" si="31"/>
        <v>243.85714285714283</v>
      </c>
      <c r="AA39" s="55">
        <f t="shared" si="31"/>
        <v>129.14285714285714</v>
      </c>
      <c r="AB39" s="55">
        <f t="shared" si="31"/>
        <v>149.85714285714283</v>
      </c>
      <c r="AC39" s="55">
        <f t="shared" si="31"/>
        <v>3091.5714285714284</v>
      </c>
      <c r="AD39" s="55">
        <f t="shared" si="31"/>
        <v>0.5714285714285714</v>
      </c>
      <c r="AE39" s="56">
        <f t="shared" si="31"/>
        <v>4616.8571428571422</v>
      </c>
      <c r="AF39" s="56">
        <f t="shared" si="31"/>
        <v>7708.4285714285716</v>
      </c>
    </row>
    <row r="40" spans="2:32" ht="23.1" customHeight="1" x14ac:dyDescent="0.25">
      <c r="B40" s="24" t="s">
        <v>67</v>
      </c>
      <c r="C40" s="49">
        <f>'Avg Week Lubigi-Masanafu'!C40+'Avg Week Masanafu-Lubigi'!C40</f>
        <v>128.71428571428572</v>
      </c>
      <c r="D40" s="49">
        <f>'Avg Week Lubigi-Masanafu'!D40+'Avg Week Masanafu-Lubigi'!D40</f>
        <v>36.142857142857139</v>
      </c>
      <c r="E40" s="49">
        <f>'Avg Week Lubigi-Masanafu'!E40+'Avg Week Masanafu-Lubigi'!E40</f>
        <v>26.142857142857146</v>
      </c>
      <c r="F40" s="49">
        <f>'Avg Week Lubigi-Masanafu'!F40+'Avg Week Masanafu-Lubigi'!F40</f>
        <v>36.285714285714285</v>
      </c>
      <c r="G40" s="49">
        <f>'Avg Week Lubigi-Masanafu'!G40+'Avg Week Masanafu-Lubigi'!G40</f>
        <v>1.4285714285714286</v>
      </c>
      <c r="H40" s="49">
        <f>'Avg Week Lubigi-Masanafu'!H40+'Avg Week Masanafu-Lubigi'!H40</f>
        <v>0.42857142857142855</v>
      </c>
      <c r="I40" s="49">
        <f>'Avg Week Lubigi-Masanafu'!I40+'Avg Week Masanafu-Lubigi'!I40</f>
        <v>24.428571428571431</v>
      </c>
      <c r="J40" s="49">
        <f>'Avg Week Lubigi-Masanafu'!J40+'Avg Week Masanafu-Lubigi'!J40</f>
        <v>18.857142857142858</v>
      </c>
      <c r="K40" s="49">
        <f>'Avg Week Lubigi-Masanafu'!K40+'Avg Week Masanafu-Lubigi'!K40</f>
        <v>16.142857142857142</v>
      </c>
      <c r="L40" s="49">
        <f>'Avg Week Lubigi-Masanafu'!L40+'Avg Week Masanafu-Lubigi'!L40</f>
        <v>15.428571428571429</v>
      </c>
      <c r="M40" s="49">
        <f>'Avg Week Lubigi-Masanafu'!M40+'Avg Week Masanafu-Lubigi'!M40</f>
        <v>209.57142857142856</v>
      </c>
      <c r="N40" s="49">
        <f>'Avg Week Lubigi-Masanafu'!N40+'Avg Week Masanafu-Lubigi'!N40</f>
        <v>0</v>
      </c>
      <c r="O40" s="15">
        <f t="shared" si="0"/>
        <v>304</v>
      </c>
      <c r="P40" s="15">
        <f t="shared" si="1"/>
        <v>513.57142857142856</v>
      </c>
      <c r="R40" s="5" t="s">
        <v>17</v>
      </c>
      <c r="S40" s="55">
        <f t="shared" ref="S40:AF40" si="32">SUM(S10:S21)</f>
        <v>6725.7142857142853</v>
      </c>
      <c r="T40" s="55">
        <f t="shared" si="32"/>
        <v>1782.8571428571427</v>
      </c>
      <c r="U40" s="55">
        <f t="shared" si="32"/>
        <v>1217.5714285714287</v>
      </c>
      <c r="V40" s="55">
        <f t="shared" si="32"/>
        <v>2168.5714285714284</v>
      </c>
      <c r="W40" s="55">
        <f t="shared" si="32"/>
        <v>173.71428571428572</v>
      </c>
      <c r="X40" s="55">
        <f t="shared" si="32"/>
        <v>42.428571428571423</v>
      </c>
      <c r="Y40" s="55">
        <f t="shared" si="32"/>
        <v>1086.5714285714284</v>
      </c>
      <c r="Z40" s="55">
        <f t="shared" si="32"/>
        <v>823.14285714285711</v>
      </c>
      <c r="AA40" s="55">
        <f t="shared" si="32"/>
        <v>556</v>
      </c>
      <c r="AB40" s="55">
        <f t="shared" si="32"/>
        <v>554.28571428571433</v>
      </c>
      <c r="AC40" s="55">
        <f t="shared" si="32"/>
        <v>11903.000000000002</v>
      </c>
      <c r="AD40" s="55">
        <f t="shared" si="32"/>
        <v>3.1428571428571423</v>
      </c>
      <c r="AE40" s="56">
        <f t="shared" si="32"/>
        <v>15134.000000000002</v>
      </c>
      <c r="AF40" s="56">
        <f t="shared" si="32"/>
        <v>27036.999999999996</v>
      </c>
    </row>
    <row r="41" spans="2:32" ht="23.1" customHeight="1" x14ac:dyDescent="0.25">
      <c r="B41" s="23" t="s">
        <v>68</v>
      </c>
      <c r="C41" s="49">
        <f>'Avg Week Lubigi-Masanafu'!C41+'Avg Week Masanafu-Lubigi'!C41</f>
        <v>124.42857142857142</v>
      </c>
      <c r="D41" s="49">
        <f>'Avg Week Lubigi-Masanafu'!D41+'Avg Week Masanafu-Lubigi'!D41</f>
        <v>34.857142857142854</v>
      </c>
      <c r="E41" s="49">
        <f>'Avg Week Lubigi-Masanafu'!E41+'Avg Week Masanafu-Lubigi'!E41</f>
        <v>26.714285714285715</v>
      </c>
      <c r="F41" s="49">
        <f>'Avg Week Lubigi-Masanafu'!F41+'Avg Week Masanafu-Lubigi'!F41</f>
        <v>43.285714285714285</v>
      </c>
      <c r="G41" s="49">
        <f>'Avg Week Lubigi-Masanafu'!G41+'Avg Week Masanafu-Lubigi'!G41</f>
        <v>2</v>
      </c>
      <c r="H41" s="49">
        <f>'Avg Week Lubigi-Masanafu'!H41+'Avg Week Masanafu-Lubigi'!H41</f>
        <v>0.5714285714285714</v>
      </c>
      <c r="I41" s="49">
        <f>'Avg Week Lubigi-Masanafu'!I41+'Avg Week Masanafu-Lubigi'!I41</f>
        <v>21.285714285714285</v>
      </c>
      <c r="J41" s="49">
        <f>'Avg Week Lubigi-Masanafu'!J41+'Avg Week Masanafu-Lubigi'!J41</f>
        <v>19</v>
      </c>
      <c r="K41" s="49">
        <f>'Avg Week Lubigi-Masanafu'!K41+'Avg Week Masanafu-Lubigi'!K41</f>
        <v>12.857142857142858</v>
      </c>
      <c r="L41" s="49">
        <f>'Avg Week Lubigi-Masanafu'!L41+'Avg Week Masanafu-Lubigi'!L41</f>
        <v>10.714285714285714</v>
      </c>
      <c r="M41" s="49">
        <f>'Avg Week Lubigi-Masanafu'!M41+'Avg Week Masanafu-Lubigi'!M41</f>
        <v>205.85714285714286</v>
      </c>
      <c r="N41" s="49">
        <f>'Avg Week Lubigi-Masanafu'!N41+'Avg Week Masanafu-Lubigi'!N41</f>
        <v>0</v>
      </c>
      <c r="O41" s="15">
        <f t="shared" si="0"/>
        <v>295.71428571428567</v>
      </c>
      <c r="P41" s="15">
        <f t="shared" si="1"/>
        <v>501.57142857142856</v>
      </c>
      <c r="R41" s="5" t="s">
        <v>182</v>
      </c>
      <c r="S41" s="55">
        <f>SUM(S10:S33)</f>
        <v>10898.714285714286</v>
      </c>
      <c r="T41" s="55">
        <f t="shared" ref="T41:AD41" si="33">SUM(T10:T33)</f>
        <v>3568.8571428571427</v>
      </c>
      <c r="U41" s="55">
        <f t="shared" si="33"/>
        <v>2691.0714285714284</v>
      </c>
      <c r="V41" s="55">
        <f t="shared" si="33"/>
        <v>4809.5714285714284</v>
      </c>
      <c r="W41" s="55">
        <f t="shared" si="33"/>
        <v>255.21428571428572</v>
      </c>
      <c r="X41" s="55">
        <f t="shared" si="33"/>
        <v>73.428571428571416</v>
      </c>
      <c r="Y41" s="55">
        <f t="shared" si="33"/>
        <v>2072.0714285714284</v>
      </c>
      <c r="Z41" s="55">
        <f t="shared" si="33"/>
        <v>1983.6428571428571</v>
      </c>
      <c r="AA41" s="55">
        <f t="shared" si="33"/>
        <v>1286.5</v>
      </c>
      <c r="AB41" s="55">
        <f t="shared" si="33"/>
        <v>974.28571428571433</v>
      </c>
      <c r="AC41" s="55">
        <f t="shared" si="33"/>
        <v>18142</v>
      </c>
      <c r="AD41" s="55">
        <f t="shared" si="33"/>
        <v>3.1428571428571423</v>
      </c>
      <c r="AE41" s="56">
        <f>SUM(AE10:AE33)</f>
        <v>28616.5</v>
      </c>
      <c r="AF41" s="56">
        <f>SUM(AF10:AF33)</f>
        <v>46758.5</v>
      </c>
    </row>
    <row r="42" spans="2:32" ht="23.1" customHeight="1" x14ac:dyDescent="0.25">
      <c r="B42" s="24" t="s">
        <v>69</v>
      </c>
      <c r="C42" s="49">
        <f>'Avg Week Lubigi-Masanafu'!C42+'Avg Week Masanafu-Lubigi'!C42</f>
        <v>141.57142857142856</v>
      </c>
      <c r="D42" s="49">
        <f>'Avg Week Lubigi-Masanafu'!D42+'Avg Week Masanafu-Lubigi'!D42</f>
        <v>41.714285714285715</v>
      </c>
      <c r="E42" s="49">
        <f>'Avg Week Lubigi-Masanafu'!E42+'Avg Week Masanafu-Lubigi'!E42</f>
        <v>29.142857142857142</v>
      </c>
      <c r="F42" s="49">
        <f>'Avg Week Lubigi-Masanafu'!F42+'Avg Week Masanafu-Lubigi'!F42</f>
        <v>43.285714285714285</v>
      </c>
      <c r="G42" s="49">
        <f>'Avg Week Lubigi-Masanafu'!G42+'Avg Week Masanafu-Lubigi'!G42</f>
        <v>1.7142857142857144</v>
      </c>
      <c r="H42" s="49">
        <f>'Avg Week Lubigi-Masanafu'!H42+'Avg Week Masanafu-Lubigi'!H42</f>
        <v>0.2857142857142857</v>
      </c>
      <c r="I42" s="49">
        <f>'Avg Week Lubigi-Masanafu'!I42+'Avg Week Masanafu-Lubigi'!I42</f>
        <v>29.571428571428569</v>
      </c>
      <c r="J42" s="49">
        <f>'Avg Week Lubigi-Masanafu'!J42+'Avg Week Masanafu-Lubigi'!J42</f>
        <v>23.857142857142858</v>
      </c>
      <c r="K42" s="49">
        <f>'Avg Week Lubigi-Masanafu'!K42+'Avg Week Masanafu-Lubigi'!K42</f>
        <v>12.142857142857142</v>
      </c>
      <c r="L42" s="49">
        <f>'Avg Week Lubigi-Masanafu'!L42+'Avg Week Masanafu-Lubigi'!L42</f>
        <v>11.857142857142858</v>
      </c>
      <c r="M42" s="49">
        <f>'Avg Week Lubigi-Masanafu'!M42+'Avg Week Masanafu-Lubigi'!M42</f>
        <v>247.57142857142856</v>
      </c>
      <c r="N42" s="49">
        <f>'Avg Week Lubigi-Masanafu'!N42+'Avg Week Masanafu-Lubigi'!N42</f>
        <v>0</v>
      </c>
      <c r="O42" s="15">
        <f t="shared" si="0"/>
        <v>335.14285714285705</v>
      </c>
      <c r="P42" s="15">
        <f t="shared" si="1"/>
        <v>582.71428571428555</v>
      </c>
      <c r="R42" s="5" t="s">
        <v>160</v>
      </c>
      <c r="S42" s="48">
        <f>S41/S40</f>
        <v>1.6204545454545456</v>
      </c>
      <c r="T42" s="48">
        <f t="shared" ref="T42:AF42" si="34">T41/T40</f>
        <v>2.0017628205128206</v>
      </c>
      <c r="U42" s="48">
        <f t="shared" si="34"/>
        <v>2.2101959403965736</v>
      </c>
      <c r="V42" s="48">
        <f t="shared" si="34"/>
        <v>2.2178524374176547</v>
      </c>
      <c r="W42" s="48">
        <f t="shared" si="34"/>
        <v>1.4691611842105263</v>
      </c>
      <c r="X42" s="48">
        <f t="shared" si="34"/>
        <v>1.7306397306397305</v>
      </c>
      <c r="Y42" s="48">
        <f t="shared" si="34"/>
        <v>1.9069813305285301</v>
      </c>
      <c r="Z42" s="48">
        <f t="shared" si="34"/>
        <v>2.409840333217633</v>
      </c>
      <c r="AA42" s="48">
        <f t="shared" si="34"/>
        <v>2.3138489208633093</v>
      </c>
      <c r="AB42" s="48">
        <f t="shared" si="34"/>
        <v>1.7577319587628866</v>
      </c>
      <c r="AC42" s="48">
        <f t="shared" si="34"/>
        <v>1.5241535747290598</v>
      </c>
      <c r="AD42" s="48">
        <f t="shared" si="34"/>
        <v>1</v>
      </c>
      <c r="AE42" s="53">
        <f t="shared" si="34"/>
        <v>1.890874851328135</v>
      </c>
      <c r="AF42" s="53">
        <f t="shared" si="34"/>
        <v>1.7294263416799203</v>
      </c>
    </row>
    <row r="43" spans="2:32" ht="23.1" customHeight="1" x14ac:dyDescent="0.25">
      <c r="B43" s="23" t="s">
        <v>70</v>
      </c>
      <c r="C43" s="49">
        <f>'Avg Week Lubigi-Masanafu'!C43+'Avg Week Masanafu-Lubigi'!C43</f>
        <v>143.28571428571428</v>
      </c>
      <c r="D43" s="49">
        <f>'Avg Week Lubigi-Masanafu'!D43+'Avg Week Masanafu-Lubigi'!D43</f>
        <v>39.571428571428569</v>
      </c>
      <c r="E43" s="49">
        <f>'Avg Week Lubigi-Masanafu'!E43+'Avg Week Masanafu-Lubigi'!E43</f>
        <v>24.285714285714285</v>
      </c>
      <c r="F43" s="49">
        <f>'Avg Week Lubigi-Masanafu'!F43+'Avg Week Masanafu-Lubigi'!F43</f>
        <v>31.714285714285715</v>
      </c>
      <c r="G43" s="49">
        <f>'Avg Week Lubigi-Masanafu'!G43+'Avg Week Masanafu-Lubigi'!G43</f>
        <v>1.5714285714285714</v>
      </c>
      <c r="H43" s="49">
        <f>'Avg Week Lubigi-Masanafu'!H43+'Avg Week Masanafu-Lubigi'!H43</f>
        <v>0.2857142857142857</v>
      </c>
      <c r="I43" s="49">
        <f>'Avg Week Lubigi-Masanafu'!I43+'Avg Week Masanafu-Lubigi'!I43</f>
        <v>24.142857142857146</v>
      </c>
      <c r="J43" s="49">
        <f>'Avg Week Lubigi-Masanafu'!J43+'Avg Week Masanafu-Lubigi'!J43</f>
        <v>17.142857142857142</v>
      </c>
      <c r="K43" s="49">
        <f>'Avg Week Lubigi-Masanafu'!K43+'Avg Week Masanafu-Lubigi'!K43</f>
        <v>13.857142857142858</v>
      </c>
      <c r="L43" s="49">
        <f>'Avg Week Lubigi-Masanafu'!L43+'Avg Week Masanafu-Lubigi'!L43</f>
        <v>11.285714285714285</v>
      </c>
      <c r="M43" s="49">
        <f>'Avg Week Lubigi-Masanafu'!M43+'Avg Week Masanafu-Lubigi'!M43</f>
        <v>191.42857142857142</v>
      </c>
      <c r="N43" s="49">
        <f>'Avg Week Lubigi-Masanafu'!N43+'Avg Week Masanafu-Lubigi'!N43</f>
        <v>0</v>
      </c>
      <c r="O43" s="15">
        <f t="shared" si="0"/>
        <v>307.14285714285711</v>
      </c>
      <c r="P43" s="15">
        <f t="shared" si="1"/>
        <v>498.57142857142856</v>
      </c>
    </row>
    <row r="44" spans="2:32" ht="23.1" customHeight="1" x14ac:dyDescent="0.25">
      <c r="B44" s="25" t="s">
        <v>71</v>
      </c>
      <c r="C44" s="49">
        <f>'Avg Week Lubigi-Masanafu'!C44+'Avg Week Masanafu-Lubigi'!C44</f>
        <v>147.57142857142856</v>
      </c>
      <c r="D44" s="49">
        <f>'Avg Week Lubigi-Masanafu'!D44+'Avg Week Masanafu-Lubigi'!D44</f>
        <v>48</v>
      </c>
      <c r="E44" s="49">
        <f>'Avg Week Lubigi-Masanafu'!E44+'Avg Week Masanafu-Lubigi'!E44</f>
        <v>23.285714285714285</v>
      </c>
      <c r="F44" s="49">
        <f>'Avg Week Lubigi-Masanafu'!F44+'Avg Week Masanafu-Lubigi'!F44</f>
        <v>36.142857142857139</v>
      </c>
      <c r="G44" s="49">
        <f>'Avg Week Lubigi-Masanafu'!G44+'Avg Week Masanafu-Lubigi'!G44</f>
        <v>2.5714285714285712</v>
      </c>
      <c r="H44" s="49">
        <f>'Avg Week Lubigi-Masanafu'!H44+'Avg Week Masanafu-Lubigi'!H44</f>
        <v>0.5714285714285714</v>
      </c>
      <c r="I44" s="49">
        <f>'Avg Week Lubigi-Masanafu'!I44+'Avg Week Masanafu-Lubigi'!I44</f>
        <v>26.142857142857142</v>
      </c>
      <c r="J44" s="49">
        <f>'Avg Week Lubigi-Masanafu'!J44+'Avg Week Masanafu-Lubigi'!J44</f>
        <v>19.428571428571431</v>
      </c>
      <c r="K44" s="49">
        <f>'Avg Week Lubigi-Masanafu'!K44+'Avg Week Masanafu-Lubigi'!K44</f>
        <v>15.428571428571429</v>
      </c>
      <c r="L44" s="49">
        <f>'Avg Week Lubigi-Masanafu'!L44+'Avg Week Masanafu-Lubigi'!L44</f>
        <v>13</v>
      </c>
      <c r="M44" s="49">
        <f>'Avg Week Lubigi-Masanafu'!M44+'Avg Week Masanafu-Lubigi'!M44</f>
        <v>230.71428571428572</v>
      </c>
      <c r="N44" s="49">
        <f>'Avg Week Lubigi-Masanafu'!N44+'Avg Week Masanafu-Lubigi'!N44</f>
        <v>0.14285714285714285</v>
      </c>
      <c r="O44" s="15">
        <f t="shared" si="0"/>
        <v>332.28571428571433</v>
      </c>
      <c r="P44" s="15">
        <f t="shared" si="1"/>
        <v>563</v>
      </c>
    </row>
    <row r="45" spans="2:32" ht="23.1" customHeight="1" x14ac:dyDescent="0.25">
      <c r="B45" s="23" t="s">
        <v>72</v>
      </c>
      <c r="C45" s="49">
        <f>'Avg Week Lubigi-Masanafu'!C45+'Avg Week Masanafu-Lubigi'!C45</f>
        <v>152.57142857142856</v>
      </c>
      <c r="D45" s="49">
        <f>'Avg Week Lubigi-Masanafu'!D45+'Avg Week Masanafu-Lubigi'!D45</f>
        <v>42.571428571428569</v>
      </c>
      <c r="E45" s="49">
        <f>'Avg Week Lubigi-Masanafu'!E45+'Avg Week Masanafu-Lubigi'!E45</f>
        <v>34.857142857142861</v>
      </c>
      <c r="F45" s="49">
        <f>'Avg Week Lubigi-Masanafu'!F45+'Avg Week Masanafu-Lubigi'!F45</f>
        <v>50.142857142857146</v>
      </c>
      <c r="G45" s="49">
        <f>'Avg Week Lubigi-Masanafu'!G45+'Avg Week Masanafu-Lubigi'!G45</f>
        <v>2</v>
      </c>
      <c r="H45" s="49">
        <f>'Avg Week Lubigi-Masanafu'!H45+'Avg Week Masanafu-Lubigi'!H45</f>
        <v>1.1428571428571428</v>
      </c>
      <c r="I45" s="49">
        <f>'Avg Week Lubigi-Masanafu'!I45+'Avg Week Masanafu-Lubigi'!I45</f>
        <v>26.714285714285715</v>
      </c>
      <c r="J45" s="49">
        <f>'Avg Week Lubigi-Masanafu'!J45+'Avg Week Masanafu-Lubigi'!J45</f>
        <v>22.142857142857142</v>
      </c>
      <c r="K45" s="49">
        <f>'Avg Week Lubigi-Masanafu'!K45+'Avg Week Masanafu-Lubigi'!K45</f>
        <v>15.428571428571427</v>
      </c>
      <c r="L45" s="49">
        <f>'Avg Week Lubigi-Masanafu'!L45+'Avg Week Masanafu-Lubigi'!L45</f>
        <v>17.571428571428573</v>
      </c>
      <c r="M45" s="49">
        <f>'Avg Week Lubigi-Masanafu'!M45+'Avg Week Masanafu-Lubigi'!M45</f>
        <v>203.71428571428572</v>
      </c>
      <c r="N45" s="49">
        <f>'Avg Week Lubigi-Masanafu'!N45+'Avg Week Masanafu-Lubigi'!N45</f>
        <v>0</v>
      </c>
      <c r="O45" s="15">
        <f t="shared" si="0"/>
        <v>365.14285714285717</v>
      </c>
      <c r="P45" s="15">
        <f t="shared" si="1"/>
        <v>568.85714285714289</v>
      </c>
    </row>
    <row r="46" spans="2:32" ht="23.1" customHeight="1" x14ac:dyDescent="0.25">
      <c r="B46" s="24" t="s">
        <v>73</v>
      </c>
      <c r="C46" s="49">
        <f>'Avg Week Lubigi-Masanafu'!C46+'Avg Week Masanafu-Lubigi'!C46</f>
        <v>146.71428571428572</v>
      </c>
      <c r="D46" s="49">
        <f>'Avg Week Lubigi-Masanafu'!D46+'Avg Week Masanafu-Lubigi'!D46</f>
        <v>40.714285714285715</v>
      </c>
      <c r="E46" s="49">
        <f>'Avg Week Lubigi-Masanafu'!E46+'Avg Week Masanafu-Lubigi'!E46</f>
        <v>34.142857142857139</v>
      </c>
      <c r="F46" s="49">
        <f>'Avg Week Lubigi-Masanafu'!F46+'Avg Week Masanafu-Lubigi'!F46</f>
        <v>46.571428571428569</v>
      </c>
      <c r="G46" s="49">
        <f>'Avg Week Lubigi-Masanafu'!G46+'Avg Week Masanafu-Lubigi'!G46</f>
        <v>1.4285714285714286</v>
      </c>
      <c r="H46" s="49">
        <f>'Avg Week Lubigi-Masanafu'!H46+'Avg Week Masanafu-Lubigi'!H46</f>
        <v>0.42857142857142855</v>
      </c>
      <c r="I46" s="49">
        <f>'Avg Week Lubigi-Masanafu'!I46+'Avg Week Masanafu-Lubigi'!I46</f>
        <v>33.571428571428569</v>
      </c>
      <c r="J46" s="49">
        <f>'Avg Week Lubigi-Masanafu'!J46+'Avg Week Masanafu-Lubigi'!J46</f>
        <v>22.857142857142854</v>
      </c>
      <c r="K46" s="49">
        <f>'Avg Week Lubigi-Masanafu'!K46+'Avg Week Masanafu-Lubigi'!K46</f>
        <v>12.857142857142858</v>
      </c>
      <c r="L46" s="49">
        <f>'Avg Week Lubigi-Masanafu'!L46+'Avg Week Masanafu-Lubigi'!L46</f>
        <v>13.571428571428571</v>
      </c>
      <c r="M46" s="49">
        <f>'Avg Week Lubigi-Masanafu'!M46+'Avg Week Masanafu-Lubigi'!M46</f>
        <v>239.14285714285714</v>
      </c>
      <c r="N46" s="49">
        <f>'Avg Week Lubigi-Masanafu'!N46+'Avg Week Masanafu-Lubigi'!N46</f>
        <v>0</v>
      </c>
      <c r="O46" s="15">
        <f t="shared" si="0"/>
        <v>352.85714285714283</v>
      </c>
      <c r="P46" s="15">
        <f t="shared" si="1"/>
        <v>592</v>
      </c>
      <c r="R46" s="8"/>
      <c r="T46"/>
    </row>
    <row r="47" spans="2:32" ht="23.1" customHeight="1" x14ac:dyDescent="0.25">
      <c r="B47" s="24" t="s">
        <v>74</v>
      </c>
      <c r="C47" s="49">
        <f>'Avg Week Lubigi-Masanafu'!C47+'Avg Week Masanafu-Lubigi'!C47</f>
        <v>172.57142857142856</v>
      </c>
      <c r="D47" s="49">
        <f>'Avg Week Lubigi-Masanafu'!D47+'Avg Week Masanafu-Lubigi'!D47</f>
        <v>41.428571428571431</v>
      </c>
      <c r="E47" s="49">
        <f>'Avg Week Lubigi-Masanafu'!E47+'Avg Week Masanafu-Lubigi'!E47</f>
        <v>29.285714285714285</v>
      </c>
      <c r="F47" s="49">
        <f>'Avg Week Lubigi-Masanafu'!F47+'Avg Week Masanafu-Lubigi'!F47</f>
        <v>47.571428571428569</v>
      </c>
      <c r="G47" s="49">
        <f>'Avg Week Lubigi-Masanafu'!G47+'Avg Week Masanafu-Lubigi'!G47</f>
        <v>2.5714285714285716</v>
      </c>
      <c r="H47" s="49">
        <f>'Avg Week Lubigi-Masanafu'!H47+'Avg Week Masanafu-Lubigi'!H47</f>
        <v>0.5714285714285714</v>
      </c>
      <c r="I47" s="49">
        <f>'Avg Week Lubigi-Masanafu'!I47+'Avg Week Masanafu-Lubigi'!I47</f>
        <v>28.571428571428569</v>
      </c>
      <c r="J47" s="49">
        <f>'Avg Week Lubigi-Masanafu'!J47+'Avg Week Masanafu-Lubigi'!J47</f>
        <v>24.142857142857146</v>
      </c>
      <c r="K47" s="49">
        <f>'Avg Week Lubigi-Masanafu'!K47+'Avg Week Masanafu-Lubigi'!K47</f>
        <v>13</v>
      </c>
      <c r="L47" s="49">
        <f>'Avg Week Lubigi-Masanafu'!L47+'Avg Week Masanafu-Lubigi'!L47</f>
        <v>11.714285714285715</v>
      </c>
      <c r="M47" s="49">
        <f>'Avg Week Lubigi-Masanafu'!M47+'Avg Week Masanafu-Lubigi'!M47</f>
        <v>232.42857142857142</v>
      </c>
      <c r="N47" s="49">
        <f>'Avg Week Lubigi-Masanafu'!N47+'Avg Week Masanafu-Lubigi'!N47</f>
        <v>0</v>
      </c>
      <c r="O47" s="15">
        <f t="shared" si="0"/>
        <v>371.42857142857139</v>
      </c>
      <c r="P47" s="15">
        <f t="shared" si="1"/>
        <v>603.85714285714278</v>
      </c>
      <c r="R47" s="8"/>
      <c r="T47"/>
    </row>
    <row r="48" spans="2:32" ht="23.1" customHeight="1" x14ac:dyDescent="0.25">
      <c r="B48" s="24" t="s">
        <v>75</v>
      </c>
      <c r="C48" s="49">
        <f>'Avg Week Lubigi-Masanafu'!C48+'Avg Week Masanafu-Lubigi'!C48</f>
        <v>173.71428571428572</v>
      </c>
      <c r="D48" s="49">
        <f>'Avg Week Lubigi-Masanafu'!D48+'Avg Week Masanafu-Lubigi'!D48</f>
        <v>44.142857142857139</v>
      </c>
      <c r="E48" s="49">
        <f>'Avg Week Lubigi-Masanafu'!E48+'Avg Week Masanafu-Lubigi'!E48</f>
        <v>32.142857142857146</v>
      </c>
      <c r="F48" s="49">
        <f>'Avg Week Lubigi-Masanafu'!F48+'Avg Week Masanafu-Lubigi'!F48</f>
        <v>47</v>
      </c>
      <c r="G48" s="49">
        <f>'Avg Week Lubigi-Masanafu'!G48+'Avg Week Masanafu-Lubigi'!G48</f>
        <v>4.2857142857142856</v>
      </c>
      <c r="H48" s="49">
        <f>'Avg Week Lubigi-Masanafu'!H48+'Avg Week Masanafu-Lubigi'!H48</f>
        <v>0.71428571428571419</v>
      </c>
      <c r="I48" s="49">
        <f>'Avg Week Lubigi-Masanafu'!I48+'Avg Week Masanafu-Lubigi'!I48</f>
        <v>25.714285714285715</v>
      </c>
      <c r="J48" s="49">
        <f>'Avg Week Lubigi-Masanafu'!J48+'Avg Week Masanafu-Lubigi'!J48</f>
        <v>21.428571428571431</v>
      </c>
      <c r="K48" s="49">
        <f>'Avg Week Lubigi-Masanafu'!K48+'Avg Week Masanafu-Lubigi'!K48</f>
        <v>9.7142857142857153</v>
      </c>
      <c r="L48" s="49">
        <f>'Avg Week Lubigi-Masanafu'!L48+'Avg Week Masanafu-Lubigi'!L48</f>
        <v>13.857142857142858</v>
      </c>
      <c r="M48" s="49">
        <f>'Avg Week Lubigi-Masanafu'!M48+'Avg Week Masanafu-Lubigi'!M48</f>
        <v>238.85714285714286</v>
      </c>
      <c r="N48" s="49">
        <f>'Avg Week Lubigi-Masanafu'!N48+'Avg Week Masanafu-Lubigi'!N48</f>
        <v>0</v>
      </c>
      <c r="O48" s="15">
        <f t="shared" si="0"/>
        <v>372.71428571428572</v>
      </c>
      <c r="P48" s="15">
        <f t="shared" si="1"/>
        <v>611.57142857142856</v>
      </c>
      <c r="R48" s="8"/>
      <c r="T48"/>
    </row>
    <row r="49" spans="2:20" ht="23.1" customHeight="1" x14ac:dyDescent="0.25">
      <c r="B49" s="23" t="s">
        <v>76</v>
      </c>
      <c r="C49" s="49">
        <f>'Avg Week Lubigi-Masanafu'!C49+'Avg Week Masanafu-Lubigi'!C49</f>
        <v>152.42857142857144</v>
      </c>
      <c r="D49" s="49">
        <f>'Avg Week Lubigi-Masanafu'!D49+'Avg Week Masanafu-Lubigi'!D49</f>
        <v>38.571428571428569</v>
      </c>
      <c r="E49" s="49">
        <f>'Avg Week Lubigi-Masanafu'!E49+'Avg Week Masanafu-Lubigi'!E49</f>
        <v>25.285714285714285</v>
      </c>
      <c r="F49" s="49">
        <f>'Avg Week Lubigi-Masanafu'!F49+'Avg Week Masanafu-Lubigi'!F49</f>
        <v>39.285714285714285</v>
      </c>
      <c r="G49" s="49">
        <f>'Avg Week Lubigi-Masanafu'!G49+'Avg Week Masanafu-Lubigi'!G49</f>
        <v>1.8571428571428572</v>
      </c>
      <c r="H49" s="49">
        <f>'Avg Week Lubigi-Masanafu'!H49+'Avg Week Masanafu-Lubigi'!H49</f>
        <v>1</v>
      </c>
      <c r="I49" s="49">
        <f>'Avg Week Lubigi-Masanafu'!I49+'Avg Week Masanafu-Lubigi'!I49</f>
        <v>24.857142857142858</v>
      </c>
      <c r="J49" s="49">
        <f>'Avg Week Lubigi-Masanafu'!J49+'Avg Week Masanafu-Lubigi'!J49</f>
        <v>11.857142857142858</v>
      </c>
      <c r="K49" s="49">
        <f>'Avg Week Lubigi-Masanafu'!K49+'Avg Week Masanafu-Lubigi'!K49</f>
        <v>8.4285714285714288</v>
      </c>
      <c r="L49" s="49">
        <f>'Avg Week Lubigi-Masanafu'!L49+'Avg Week Masanafu-Lubigi'!L49</f>
        <v>9.7142857142857135</v>
      </c>
      <c r="M49" s="49">
        <f>'Avg Week Lubigi-Masanafu'!M49+'Avg Week Masanafu-Lubigi'!M49</f>
        <v>258.14285714285717</v>
      </c>
      <c r="N49" s="49">
        <f>'Avg Week Lubigi-Masanafu'!N49+'Avg Week Masanafu-Lubigi'!N49</f>
        <v>0.2857142857142857</v>
      </c>
      <c r="O49" s="15">
        <f t="shared" si="0"/>
        <v>313.5714285714285</v>
      </c>
      <c r="P49" s="15">
        <f t="shared" si="1"/>
        <v>571.71428571428567</v>
      </c>
      <c r="R49" s="8"/>
      <c r="T49"/>
    </row>
    <row r="50" spans="2:20" ht="23.1" customHeight="1" x14ac:dyDescent="0.25">
      <c r="B50" s="24" t="s">
        <v>77</v>
      </c>
      <c r="C50" s="49">
        <f>'Avg Week Lubigi-Masanafu'!C50+'Avg Week Masanafu-Lubigi'!C50</f>
        <v>166.71428571428572</v>
      </c>
      <c r="D50" s="49">
        <f>'Avg Week Lubigi-Masanafu'!D50+'Avg Week Masanafu-Lubigi'!D50</f>
        <v>42.142857142857139</v>
      </c>
      <c r="E50" s="49">
        <f>'Avg Week Lubigi-Masanafu'!E50+'Avg Week Masanafu-Lubigi'!E50</f>
        <v>31.142857142857146</v>
      </c>
      <c r="F50" s="49">
        <f>'Avg Week Lubigi-Masanafu'!F50+'Avg Week Masanafu-Lubigi'!F50</f>
        <v>55.285714285714292</v>
      </c>
      <c r="G50" s="49">
        <f>'Avg Week Lubigi-Masanafu'!G50+'Avg Week Masanafu-Lubigi'!G50</f>
        <v>3.8571428571428572</v>
      </c>
      <c r="H50" s="49">
        <f>'Avg Week Lubigi-Masanafu'!H50+'Avg Week Masanafu-Lubigi'!H50</f>
        <v>1.5714285714285714</v>
      </c>
      <c r="I50" s="49">
        <f>'Avg Week Lubigi-Masanafu'!I50+'Avg Week Masanafu-Lubigi'!I50</f>
        <v>27.285714285714285</v>
      </c>
      <c r="J50" s="49">
        <f>'Avg Week Lubigi-Masanafu'!J50+'Avg Week Masanafu-Lubigi'!J50</f>
        <v>17.428571428571427</v>
      </c>
      <c r="K50" s="49">
        <f>'Avg Week Lubigi-Masanafu'!K50+'Avg Week Masanafu-Lubigi'!K50</f>
        <v>10.714285714285715</v>
      </c>
      <c r="L50" s="49">
        <f>'Avg Week Lubigi-Masanafu'!L50+'Avg Week Masanafu-Lubigi'!L50</f>
        <v>11.571428571428571</v>
      </c>
      <c r="M50" s="49">
        <f>'Avg Week Lubigi-Masanafu'!M50+'Avg Week Masanafu-Lubigi'!M50</f>
        <v>252.28571428571428</v>
      </c>
      <c r="N50" s="49">
        <f>'Avg Week Lubigi-Masanafu'!N50+'Avg Week Masanafu-Lubigi'!N50</f>
        <v>0</v>
      </c>
      <c r="O50" s="15">
        <f t="shared" si="0"/>
        <v>367.71428571428567</v>
      </c>
      <c r="P50" s="15">
        <f t="shared" si="1"/>
        <v>620</v>
      </c>
      <c r="R50" s="8"/>
      <c r="T50"/>
    </row>
    <row r="51" spans="2:20" ht="23.1" customHeight="1" x14ac:dyDescent="0.25">
      <c r="B51" s="24" t="s">
        <v>78</v>
      </c>
      <c r="C51" s="49">
        <f>'Avg Week Lubigi-Masanafu'!C51+'Avg Week Masanafu-Lubigi'!C51</f>
        <v>167.14285714285717</v>
      </c>
      <c r="D51" s="49">
        <f>'Avg Week Lubigi-Masanafu'!D51+'Avg Week Masanafu-Lubigi'!D51</f>
        <v>43.142857142857146</v>
      </c>
      <c r="E51" s="49">
        <f>'Avg Week Lubigi-Masanafu'!E51+'Avg Week Masanafu-Lubigi'!E51</f>
        <v>29</v>
      </c>
      <c r="F51" s="49">
        <f>'Avg Week Lubigi-Masanafu'!F51+'Avg Week Masanafu-Lubigi'!F51</f>
        <v>50.571428571428569</v>
      </c>
      <c r="G51" s="49">
        <f>'Avg Week Lubigi-Masanafu'!G51+'Avg Week Masanafu-Lubigi'!G51</f>
        <v>4.8571428571428577</v>
      </c>
      <c r="H51" s="49">
        <f>'Avg Week Lubigi-Masanafu'!H51+'Avg Week Masanafu-Lubigi'!H51</f>
        <v>1.2857142857142856</v>
      </c>
      <c r="I51" s="49">
        <f>'Avg Week Lubigi-Masanafu'!I51+'Avg Week Masanafu-Lubigi'!I51</f>
        <v>22.714285714285715</v>
      </c>
      <c r="J51" s="49">
        <f>'Avg Week Lubigi-Masanafu'!J51+'Avg Week Masanafu-Lubigi'!J51</f>
        <v>20</v>
      </c>
      <c r="K51" s="49">
        <f>'Avg Week Lubigi-Masanafu'!K51+'Avg Week Masanafu-Lubigi'!K51</f>
        <v>10.285714285714285</v>
      </c>
      <c r="L51" s="49">
        <f>'Avg Week Lubigi-Masanafu'!L51+'Avg Week Masanafu-Lubigi'!L51</f>
        <v>12.714285714285715</v>
      </c>
      <c r="M51" s="49">
        <f>'Avg Week Lubigi-Masanafu'!M51+'Avg Week Masanafu-Lubigi'!M51</f>
        <v>282.85714285714289</v>
      </c>
      <c r="N51" s="49">
        <f>'Avg Week Lubigi-Masanafu'!N51+'Avg Week Masanafu-Lubigi'!N51</f>
        <v>0</v>
      </c>
      <c r="O51" s="15">
        <f t="shared" si="0"/>
        <v>361.71428571428572</v>
      </c>
      <c r="P51" s="15">
        <f t="shared" si="1"/>
        <v>644.57142857142867</v>
      </c>
      <c r="R51" s="8"/>
      <c r="T51"/>
    </row>
    <row r="52" spans="2:20" ht="23.1" customHeight="1" x14ac:dyDescent="0.25">
      <c r="B52" s="24" t="s">
        <v>79</v>
      </c>
      <c r="C52" s="49">
        <f>'Avg Week Lubigi-Masanafu'!C52+'Avg Week Masanafu-Lubigi'!C52</f>
        <v>202.71428571428572</v>
      </c>
      <c r="D52" s="49">
        <f>'Avg Week Lubigi-Masanafu'!D52+'Avg Week Masanafu-Lubigi'!D52</f>
        <v>52</v>
      </c>
      <c r="E52" s="49">
        <f>'Avg Week Lubigi-Masanafu'!E52+'Avg Week Masanafu-Lubigi'!E52</f>
        <v>29.571428571428569</v>
      </c>
      <c r="F52" s="49">
        <f>'Avg Week Lubigi-Masanafu'!F52+'Avg Week Masanafu-Lubigi'!F52</f>
        <v>50.857142857142861</v>
      </c>
      <c r="G52" s="49">
        <f>'Avg Week Lubigi-Masanafu'!G52+'Avg Week Masanafu-Lubigi'!G52</f>
        <v>5</v>
      </c>
      <c r="H52" s="49">
        <f>'Avg Week Lubigi-Masanafu'!H52+'Avg Week Masanafu-Lubigi'!H52</f>
        <v>0.71428571428571419</v>
      </c>
      <c r="I52" s="49">
        <f>'Avg Week Lubigi-Masanafu'!I52+'Avg Week Masanafu-Lubigi'!I52</f>
        <v>22.714285714285715</v>
      </c>
      <c r="J52" s="49">
        <f>'Avg Week Lubigi-Masanafu'!J52+'Avg Week Masanafu-Lubigi'!J52</f>
        <v>19.285714285714285</v>
      </c>
      <c r="K52" s="49">
        <f>'Avg Week Lubigi-Masanafu'!K52+'Avg Week Masanafu-Lubigi'!K52</f>
        <v>12.285714285714285</v>
      </c>
      <c r="L52" s="49">
        <f>'Avg Week Lubigi-Masanafu'!L52+'Avg Week Masanafu-Lubigi'!L52</f>
        <v>14.857142857142858</v>
      </c>
      <c r="M52" s="49">
        <f>'Avg Week Lubigi-Masanafu'!M52+'Avg Week Masanafu-Lubigi'!M52</f>
        <v>256.42857142857144</v>
      </c>
      <c r="N52" s="49">
        <f>'Avg Week Lubigi-Masanafu'!N52+'Avg Week Masanafu-Lubigi'!N52</f>
        <v>0.14285714285714285</v>
      </c>
      <c r="O52" s="15">
        <f t="shared" si="0"/>
        <v>410.14285714285711</v>
      </c>
      <c r="P52" s="15">
        <f t="shared" si="1"/>
        <v>666.57142857142844</v>
      </c>
      <c r="R52" s="8"/>
      <c r="T52"/>
    </row>
    <row r="53" spans="2:20" ht="23.1" customHeight="1" x14ac:dyDescent="0.25">
      <c r="B53" s="23" t="s">
        <v>80</v>
      </c>
      <c r="C53" s="49">
        <f>'Avg Week Lubigi-Masanafu'!C53+'Avg Week Masanafu-Lubigi'!C53</f>
        <v>176.57142857142856</v>
      </c>
      <c r="D53" s="49">
        <f>'Avg Week Lubigi-Masanafu'!D53+'Avg Week Masanafu-Lubigi'!D53</f>
        <v>52</v>
      </c>
      <c r="E53" s="49">
        <f>'Avg Week Lubigi-Masanafu'!E53+'Avg Week Masanafu-Lubigi'!E53</f>
        <v>36.428571428571431</v>
      </c>
      <c r="F53" s="49">
        <f>'Avg Week Lubigi-Masanafu'!F53+'Avg Week Masanafu-Lubigi'!F53</f>
        <v>63.142857142857139</v>
      </c>
      <c r="G53" s="49">
        <f>'Avg Week Lubigi-Masanafu'!G53+'Avg Week Masanafu-Lubigi'!G53</f>
        <v>3.2857142857142856</v>
      </c>
      <c r="H53" s="49">
        <f>'Avg Week Lubigi-Masanafu'!H53+'Avg Week Masanafu-Lubigi'!H53</f>
        <v>1.4285714285714284</v>
      </c>
      <c r="I53" s="49">
        <f>'Avg Week Lubigi-Masanafu'!I53+'Avg Week Masanafu-Lubigi'!I53</f>
        <v>37.571428571428569</v>
      </c>
      <c r="J53" s="49">
        <f>'Avg Week Lubigi-Masanafu'!J53+'Avg Week Masanafu-Lubigi'!J53</f>
        <v>18.285714285714285</v>
      </c>
      <c r="K53" s="49">
        <f>'Avg Week Lubigi-Masanafu'!K53+'Avg Week Masanafu-Lubigi'!K53</f>
        <v>13.142857142857144</v>
      </c>
      <c r="L53" s="49">
        <f>'Avg Week Lubigi-Masanafu'!L53+'Avg Week Masanafu-Lubigi'!L53</f>
        <v>15.285714285714285</v>
      </c>
      <c r="M53" s="49">
        <f>'Avg Week Lubigi-Masanafu'!M53+'Avg Week Masanafu-Lubigi'!M53</f>
        <v>268.71428571428572</v>
      </c>
      <c r="N53" s="49">
        <f>'Avg Week Lubigi-Masanafu'!N53+'Avg Week Masanafu-Lubigi'!N53</f>
        <v>0</v>
      </c>
      <c r="O53" s="15">
        <f t="shared" si="0"/>
        <v>417.14285714285711</v>
      </c>
      <c r="P53" s="15">
        <f t="shared" si="1"/>
        <v>685.85714285714289</v>
      </c>
      <c r="R53" s="8"/>
      <c r="T53"/>
    </row>
    <row r="54" spans="2:20" ht="23.1" customHeight="1" x14ac:dyDescent="0.25">
      <c r="B54" s="23" t="s">
        <v>81</v>
      </c>
      <c r="C54" s="49">
        <f>'Avg Week Lubigi-Masanafu'!C54+'Avg Week Masanafu-Lubigi'!C54</f>
        <v>185.28571428571428</v>
      </c>
      <c r="D54" s="49">
        <f>'Avg Week Lubigi-Masanafu'!D54+'Avg Week Masanafu-Lubigi'!D54</f>
        <v>58.714285714285722</v>
      </c>
      <c r="E54" s="49">
        <f>'Avg Week Lubigi-Masanafu'!E54+'Avg Week Masanafu-Lubigi'!E54</f>
        <v>32.714285714285715</v>
      </c>
      <c r="F54" s="49">
        <f>'Avg Week Lubigi-Masanafu'!F54+'Avg Week Masanafu-Lubigi'!F54</f>
        <v>56.285714285714285</v>
      </c>
      <c r="G54" s="49">
        <f>'Avg Week Lubigi-Masanafu'!G54+'Avg Week Masanafu-Lubigi'!G54</f>
        <v>5</v>
      </c>
      <c r="H54" s="49">
        <f>'Avg Week Lubigi-Masanafu'!H54+'Avg Week Masanafu-Lubigi'!H54</f>
        <v>1.5714285714285714</v>
      </c>
      <c r="I54" s="49">
        <f>'Avg Week Lubigi-Masanafu'!I54+'Avg Week Masanafu-Lubigi'!I54</f>
        <v>22</v>
      </c>
      <c r="J54" s="49">
        <f>'Avg Week Lubigi-Masanafu'!J54+'Avg Week Masanafu-Lubigi'!J54</f>
        <v>18</v>
      </c>
      <c r="K54" s="49">
        <f>'Avg Week Lubigi-Masanafu'!K54+'Avg Week Masanafu-Lubigi'!K54</f>
        <v>12.428571428571429</v>
      </c>
      <c r="L54" s="49">
        <f>'Avg Week Lubigi-Masanafu'!L54+'Avg Week Masanafu-Lubigi'!L54</f>
        <v>8.8571428571428577</v>
      </c>
      <c r="M54" s="49">
        <f>'Avg Week Lubigi-Masanafu'!M54+'Avg Week Masanafu-Lubigi'!M54</f>
        <v>261</v>
      </c>
      <c r="N54" s="49">
        <f>'Avg Week Lubigi-Masanafu'!N54+'Avg Week Masanafu-Lubigi'!N54</f>
        <v>0</v>
      </c>
      <c r="O54" s="15">
        <f t="shared" si="0"/>
        <v>400.85714285714283</v>
      </c>
      <c r="P54" s="15">
        <f t="shared" si="1"/>
        <v>661.85714285714289</v>
      </c>
      <c r="R54" s="8"/>
      <c r="T54"/>
    </row>
    <row r="55" spans="2:20" ht="23.1" customHeight="1" x14ac:dyDescent="0.25">
      <c r="B55" s="23" t="s">
        <v>82</v>
      </c>
      <c r="C55" s="49">
        <f>'Avg Week Lubigi-Masanafu'!C55+'Avg Week Masanafu-Lubigi'!C55</f>
        <v>179.85714285714286</v>
      </c>
      <c r="D55" s="49">
        <f>'Avg Week Lubigi-Masanafu'!D55+'Avg Week Masanafu-Lubigi'!D55</f>
        <v>54</v>
      </c>
      <c r="E55" s="49">
        <f>'Avg Week Lubigi-Masanafu'!E55+'Avg Week Masanafu-Lubigi'!E55</f>
        <v>41</v>
      </c>
      <c r="F55" s="49">
        <f>'Avg Week Lubigi-Masanafu'!F55+'Avg Week Masanafu-Lubigi'!F55</f>
        <v>71.857142857142861</v>
      </c>
      <c r="G55" s="49">
        <f>'Avg Week Lubigi-Masanafu'!G55+'Avg Week Masanafu-Lubigi'!G55</f>
        <v>4.8571428571428577</v>
      </c>
      <c r="H55" s="49">
        <f>'Avg Week Lubigi-Masanafu'!H55+'Avg Week Masanafu-Lubigi'!H55</f>
        <v>2.5714285714285712</v>
      </c>
      <c r="I55" s="49">
        <f>'Avg Week Lubigi-Masanafu'!I55+'Avg Week Masanafu-Lubigi'!I55</f>
        <v>21.714285714285715</v>
      </c>
      <c r="J55" s="49">
        <f>'Avg Week Lubigi-Masanafu'!J55+'Avg Week Masanafu-Lubigi'!J55</f>
        <v>24.285714285714285</v>
      </c>
      <c r="K55" s="49">
        <f>'Avg Week Lubigi-Masanafu'!K55+'Avg Week Masanafu-Lubigi'!K55</f>
        <v>9</v>
      </c>
      <c r="L55" s="49">
        <f>'Avg Week Lubigi-Masanafu'!L55+'Avg Week Masanafu-Lubigi'!L55</f>
        <v>12.285714285714285</v>
      </c>
      <c r="M55" s="49">
        <f>'Avg Week Lubigi-Masanafu'!M55+'Avg Week Masanafu-Lubigi'!M55</f>
        <v>270.28571428571428</v>
      </c>
      <c r="N55" s="49">
        <f>'Avg Week Lubigi-Masanafu'!N55+'Avg Week Masanafu-Lubigi'!N55</f>
        <v>0</v>
      </c>
      <c r="O55" s="15">
        <f t="shared" si="0"/>
        <v>421.42857142857144</v>
      </c>
      <c r="P55" s="15">
        <f t="shared" si="1"/>
        <v>691.71428571428578</v>
      </c>
      <c r="R55" s="8"/>
      <c r="T55"/>
    </row>
    <row r="56" spans="2:20" ht="23.1" customHeight="1" x14ac:dyDescent="0.25">
      <c r="B56" s="23" t="s">
        <v>83</v>
      </c>
      <c r="C56" s="49">
        <f>'Avg Week Lubigi-Masanafu'!C56+'Avg Week Masanafu-Lubigi'!C56</f>
        <v>170.42857142857144</v>
      </c>
      <c r="D56" s="49">
        <f>'Avg Week Lubigi-Masanafu'!D56+'Avg Week Masanafu-Lubigi'!D56</f>
        <v>51.857142857142861</v>
      </c>
      <c r="E56" s="49">
        <f>'Avg Week Lubigi-Masanafu'!E56+'Avg Week Masanafu-Lubigi'!E56</f>
        <v>43.285714285714285</v>
      </c>
      <c r="F56" s="49">
        <f>'Avg Week Lubigi-Masanafu'!F56+'Avg Week Masanafu-Lubigi'!F56</f>
        <v>71.714285714285722</v>
      </c>
      <c r="G56" s="49">
        <f>'Avg Week Lubigi-Masanafu'!G56+'Avg Week Masanafu-Lubigi'!G56</f>
        <v>6.1428571428571423</v>
      </c>
      <c r="H56" s="49">
        <f>'Avg Week Lubigi-Masanafu'!H56+'Avg Week Masanafu-Lubigi'!H56</f>
        <v>1</v>
      </c>
      <c r="I56" s="49">
        <f>'Avg Week Lubigi-Masanafu'!I56+'Avg Week Masanafu-Lubigi'!I56</f>
        <v>21.714285714285715</v>
      </c>
      <c r="J56" s="49">
        <f>'Avg Week Lubigi-Masanafu'!J56+'Avg Week Masanafu-Lubigi'!J56</f>
        <v>22.714285714285715</v>
      </c>
      <c r="K56" s="49">
        <f>'Avg Week Lubigi-Masanafu'!K56+'Avg Week Masanafu-Lubigi'!K56</f>
        <v>9.5714285714285712</v>
      </c>
      <c r="L56" s="49">
        <f>'Avg Week Lubigi-Masanafu'!L56+'Avg Week Masanafu-Lubigi'!L56</f>
        <v>14.285714285714285</v>
      </c>
      <c r="M56" s="49">
        <f>'Avg Week Lubigi-Masanafu'!M56+'Avg Week Masanafu-Lubigi'!M56</f>
        <v>257.85714285714289</v>
      </c>
      <c r="N56" s="49">
        <f>'Avg Week Lubigi-Masanafu'!N56+'Avg Week Masanafu-Lubigi'!N56</f>
        <v>0</v>
      </c>
      <c r="O56" s="15">
        <f t="shared" si="0"/>
        <v>412.71428571428578</v>
      </c>
      <c r="P56" s="15">
        <f t="shared" si="1"/>
        <v>670.57142857142867</v>
      </c>
      <c r="R56" s="8"/>
      <c r="T56"/>
    </row>
    <row r="57" spans="2:20" ht="23.1" customHeight="1" x14ac:dyDescent="0.25">
      <c r="B57" s="23" t="s">
        <v>84</v>
      </c>
      <c r="C57" s="49">
        <f>'Avg Week Lubigi-Masanafu'!C57+'Avg Week Masanafu-Lubigi'!C57</f>
        <v>178.14285714285714</v>
      </c>
      <c r="D57" s="49">
        <f>'Avg Week Lubigi-Masanafu'!D57+'Avg Week Masanafu-Lubigi'!D57</f>
        <v>53.857142857142854</v>
      </c>
      <c r="E57" s="49">
        <f>'Avg Week Lubigi-Masanafu'!E57+'Avg Week Masanafu-Lubigi'!E57</f>
        <v>36.142857142857139</v>
      </c>
      <c r="F57" s="49">
        <f>'Avg Week Lubigi-Masanafu'!F57+'Avg Week Masanafu-Lubigi'!F57</f>
        <v>71.714285714285708</v>
      </c>
      <c r="G57" s="49">
        <f>'Avg Week Lubigi-Masanafu'!G57+'Avg Week Masanafu-Lubigi'!G57</f>
        <v>7.8571428571428577</v>
      </c>
      <c r="H57" s="49">
        <f>'Avg Week Lubigi-Masanafu'!H57+'Avg Week Masanafu-Lubigi'!H57</f>
        <v>1.1428571428571428</v>
      </c>
      <c r="I57" s="49">
        <f>'Avg Week Lubigi-Masanafu'!I57+'Avg Week Masanafu-Lubigi'!I57</f>
        <v>23.142857142857142</v>
      </c>
      <c r="J57" s="49">
        <f>'Avg Week Lubigi-Masanafu'!J57+'Avg Week Masanafu-Lubigi'!J57</f>
        <v>23.571428571428569</v>
      </c>
      <c r="K57" s="49">
        <f>'Avg Week Lubigi-Masanafu'!K57+'Avg Week Masanafu-Lubigi'!K57</f>
        <v>7.7142857142857153</v>
      </c>
      <c r="L57" s="49">
        <f>'Avg Week Lubigi-Masanafu'!L57+'Avg Week Masanafu-Lubigi'!L57</f>
        <v>11.142857142857142</v>
      </c>
      <c r="M57" s="49">
        <f>'Avg Week Lubigi-Masanafu'!M57+'Avg Week Masanafu-Lubigi'!M57</f>
        <v>273.57142857142856</v>
      </c>
      <c r="N57" s="49">
        <f>'Avg Week Lubigi-Masanafu'!N57+'Avg Week Masanafu-Lubigi'!N57</f>
        <v>0.14285714285714285</v>
      </c>
      <c r="O57" s="15">
        <f t="shared" si="0"/>
        <v>414.57142857142861</v>
      </c>
      <c r="P57" s="15">
        <f t="shared" si="1"/>
        <v>688.14285714285711</v>
      </c>
      <c r="R57" s="8"/>
      <c r="T57"/>
    </row>
    <row r="58" spans="2:20" ht="23.1" customHeight="1" x14ac:dyDescent="0.25">
      <c r="B58" s="23" t="s">
        <v>99</v>
      </c>
      <c r="C58" s="49">
        <f>'Avg Week Lubigi-Masanafu'!C58+'Avg Week Masanafu-Lubigi'!C58</f>
        <v>204</v>
      </c>
      <c r="D58" s="49">
        <f>'Avg Week Lubigi-Masanafu'!D58+'Avg Week Masanafu-Lubigi'!D58</f>
        <v>95.5</v>
      </c>
      <c r="E58" s="49">
        <f>'Avg Week Lubigi-Masanafu'!E58+'Avg Week Masanafu-Lubigi'!E58</f>
        <v>77</v>
      </c>
      <c r="F58" s="49">
        <f>'Avg Week Lubigi-Masanafu'!F58+'Avg Week Masanafu-Lubigi'!F58</f>
        <v>108.5</v>
      </c>
      <c r="G58" s="49">
        <f>'Avg Week Lubigi-Masanafu'!G58+'Avg Week Masanafu-Lubigi'!G58</f>
        <v>15</v>
      </c>
      <c r="H58" s="49">
        <f>'Avg Week Lubigi-Masanafu'!H58+'Avg Week Masanafu-Lubigi'!H58</f>
        <v>3.5</v>
      </c>
      <c r="I58" s="49">
        <f>'Avg Week Lubigi-Masanafu'!I58+'Avg Week Masanafu-Lubigi'!I58</f>
        <v>32</v>
      </c>
      <c r="J58" s="49">
        <f>'Avg Week Lubigi-Masanafu'!J58+'Avg Week Masanafu-Lubigi'!J58</f>
        <v>35.5</v>
      </c>
      <c r="K58" s="49">
        <f>'Avg Week Lubigi-Masanafu'!K58+'Avg Week Masanafu-Lubigi'!K58</f>
        <v>16.5</v>
      </c>
      <c r="L58" s="49">
        <f>'Avg Week Lubigi-Masanafu'!L58+'Avg Week Masanafu-Lubigi'!L58</f>
        <v>9</v>
      </c>
      <c r="M58" s="49">
        <f>'Avg Week Lubigi-Masanafu'!M58+'Avg Week Masanafu-Lubigi'!M58</f>
        <v>271.5</v>
      </c>
      <c r="N58" s="49">
        <f>'Avg Week Lubigi-Masanafu'!N58+'Avg Week Masanafu-Lubigi'!N58</f>
        <v>0</v>
      </c>
      <c r="O58" s="15">
        <f t="shared" si="0"/>
        <v>596.5</v>
      </c>
      <c r="P58" s="15">
        <f t="shared" si="1"/>
        <v>868</v>
      </c>
      <c r="R58" s="8"/>
      <c r="T58"/>
    </row>
    <row r="59" spans="2:20" ht="23.1" customHeight="1" x14ac:dyDescent="0.25">
      <c r="B59" s="23" t="s">
        <v>100</v>
      </c>
      <c r="C59" s="49">
        <f>'Avg Week Lubigi-Masanafu'!C59+'Avg Week Masanafu-Lubigi'!C59</f>
        <v>188.5</v>
      </c>
      <c r="D59" s="49">
        <f>'Avg Week Lubigi-Masanafu'!D59+'Avg Week Masanafu-Lubigi'!D59</f>
        <v>90.5</v>
      </c>
      <c r="E59" s="49">
        <f>'Avg Week Lubigi-Masanafu'!E59+'Avg Week Masanafu-Lubigi'!E59</f>
        <v>96.5</v>
      </c>
      <c r="F59" s="49">
        <f>'Avg Week Lubigi-Masanafu'!F59+'Avg Week Masanafu-Lubigi'!F59</f>
        <v>140.5</v>
      </c>
      <c r="G59" s="49">
        <f>'Avg Week Lubigi-Masanafu'!G59+'Avg Week Masanafu-Lubigi'!G59</f>
        <v>10.5</v>
      </c>
      <c r="H59" s="49">
        <f>'Avg Week Lubigi-Masanafu'!H59+'Avg Week Masanafu-Lubigi'!H59</f>
        <v>1.5</v>
      </c>
      <c r="I59" s="49">
        <f>'Avg Week Lubigi-Masanafu'!I59+'Avg Week Masanafu-Lubigi'!I59</f>
        <v>42.5</v>
      </c>
      <c r="J59" s="49">
        <f>'Avg Week Lubigi-Masanafu'!J59+'Avg Week Masanafu-Lubigi'!J59</f>
        <v>47.5</v>
      </c>
      <c r="K59" s="49">
        <f>'Avg Week Lubigi-Masanafu'!K59+'Avg Week Masanafu-Lubigi'!K59</f>
        <v>22.5</v>
      </c>
      <c r="L59" s="49">
        <f>'Avg Week Lubigi-Masanafu'!L59+'Avg Week Masanafu-Lubigi'!L59</f>
        <v>14</v>
      </c>
      <c r="M59" s="49">
        <f>'Avg Week Lubigi-Masanafu'!M59+'Avg Week Masanafu-Lubigi'!M59</f>
        <v>263.5</v>
      </c>
      <c r="N59" s="49">
        <f>'Avg Week Lubigi-Masanafu'!N59+'Avg Week Masanafu-Lubigi'!N59</f>
        <v>0</v>
      </c>
      <c r="O59" s="15">
        <f t="shared" si="0"/>
        <v>654.5</v>
      </c>
      <c r="P59" s="15">
        <f t="shared" si="1"/>
        <v>918</v>
      </c>
      <c r="R59" s="8"/>
      <c r="T59"/>
    </row>
    <row r="60" spans="2:20" ht="23.1" customHeight="1" x14ac:dyDescent="0.25">
      <c r="B60" s="23" t="s">
        <v>101</v>
      </c>
      <c r="C60" s="49">
        <f>'Avg Week Lubigi-Masanafu'!C60+'Avg Week Masanafu-Lubigi'!C60</f>
        <v>160.5</v>
      </c>
      <c r="D60" s="49">
        <f>'Avg Week Lubigi-Masanafu'!D60+'Avg Week Masanafu-Lubigi'!D60</f>
        <v>93</v>
      </c>
      <c r="E60" s="49">
        <f>'Avg Week Lubigi-Masanafu'!E60+'Avg Week Masanafu-Lubigi'!E60</f>
        <v>78</v>
      </c>
      <c r="F60" s="49">
        <f>'Avg Week Lubigi-Masanafu'!F60+'Avg Week Masanafu-Lubigi'!F60</f>
        <v>116</v>
      </c>
      <c r="G60" s="49">
        <f>'Avg Week Lubigi-Masanafu'!G60+'Avg Week Masanafu-Lubigi'!G60</f>
        <v>6</v>
      </c>
      <c r="H60" s="49">
        <f>'Avg Week Lubigi-Masanafu'!H60+'Avg Week Masanafu-Lubigi'!H60</f>
        <v>1</v>
      </c>
      <c r="I60" s="49">
        <f>'Avg Week Lubigi-Masanafu'!I60+'Avg Week Masanafu-Lubigi'!I60</f>
        <v>31.5</v>
      </c>
      <c r="J60" s="49">
        <f>'Avg Week Lubigi-Masanafu'!J60+'Avg Week Masanafu-Lubigi'!J60</f>
        <v>40.5</v>
      </c>
      <c r="K60" s="49">
        <f>'Avg Week Lubigi-Masanafu'!K60+'Avg Week Masanafu-Lubigi'!K60</f>
        <v>19</v>
      </c>
      <c r="L60" s="49">
        <f>'Avg Week Lubigi-Masanafu'!L60+'Avg Week Masanafu-Lubigi'!L60</f>
        <v>13</v>
      </c>
      <c r="M60" s="49">
        <f>'Avg Week Lubigi-Masanafu'!M60+'Avg Week Masanafu-Lubigi'!M60</f>
        <v>244</v>
      </c>
      <c r="N60" s="49">
        <f>'Avg Week Lubigi-Masanafu'!N60+'Avg Week Masanafu-Lubigi'!N60</f>
        <v>0</v>
      </c>
      <c r="O60" s="15">
        <f t="shared" si="0"/>
        <v>558.5</v>
      </c>
      <c r="P60" s="15">
        <f t="shared" si="1"/>
        <v>802.5</v>
      </c>
      <c r="R60" s="8"/>
      <c r="T60"/>
    </row>
    <row r="61" spans="2:20" ht="23.1" customHeight="1" x14ac:dyDescent="0.25">
      <c r="B61" s="23" t="s">
        <v>102</v>
      </c>
      <c r="C61" s="49">
        <f>'Avg Week Lubigi-Masanafu'!C61+'Avg Week Masanafu-Lubigi'!C61</f>
        <v>174.5</v>
      </c>
      <c r="D61" s="49">
        <f>'Avg Week Lubigi-Masanafu'!D61+'Avg Week Masanafu-Lubigi'!D61</f>
        <v>99.5</v>
      </c>
      <c r="E61" s="49">
        <f>'Avg Week Lubigi-Masanafu'!E61+'Avg Week Masanafu-Lubigi'!E61</f>
        <v>82.5</v>
      </c>
      <c r="F61" s="49">
        <f>'Avg Week Lubigi-Masanafu'!F61+'Avg Week Masanafu-Lubigi'!F61</f>
        <v>132.5</v>
      </c>
      <c r="G61" s="49">
        <f>'Avg Week Lubigi-Masanafu'!G61+'Avg Week Masanafu-Lubigi'!G61</f>
        <v>5.5</v>
      </c>
      <c r="H61" s="49">
        <f>'Avg Week Lubigi-Masanafu'!H61+'Avg Week Masanafu-Lubigi'!H61</f>
        <v>2.5</v>
      </c>
      <c r="I61" s="49">
        <f>'Avg Week Lubigi-Masanafu'!I61+'Avg Week Masanafu-Lubigi'!I61</f>
        <v>37.5</v>
      </c>
      <c r="J61" s="49">
        <f>'Avg Week Lubigi-Masanafu'!J61+'Avg Week Masanafu-Lubigi'!J61</f>
        <v>52</v>
      </c>
      <c r="K61" s="49">
        <f>'Avg Week Lubigi-Masanafu'!K61+'Avg Week Masanafu-Lubigi'!K61</f>
        <v>34.5</v>
      </c>
      <c r="L61" s="49">
        <f>'Avg Week Lubigi-Masanafu'!L61+'Avg Week Masanafu-Lubigi'!L61</f>
        <v>24</v>
      </c>
      <c r="M61" s="49">
        <f>'Avg Week Lubigi-Masanafu'!M61+'Avg Week Masanafu-Lubigi'!M61</f>
        <v>267.5</v>
      </c>
      <c r="N61" s="49">
        <f>'Avg Week Lubigi-Masanafu'!N61+'Avg Week Masanafu-Lubigi'!N61</f>
        <v>0</v>
      </c>
      <c r="O61" s="15">
        <f t="shared" si="0"/>
        <v>645</v>
      </c>
      <c r="P61" s="15">
        <f t="shared" si="1"/>
        <v>912.5</v>
      </c>
      <c r="R61" s="8"/>
      <c r="T61"/>
    </row>
    <row r="62" spans="2:20" ht="23.1" customHeight="1" x14ac:dyDescent="0.25">
      <c r="B62" s="23" t="s">
        <v>107</v>
      </c>
      <c r="C62" s="49">
        <f>'Avg Week Lubigi-Masanafu'!C62+'Avg Week Masanafu-Lubigi'!C62</f>
        <v>189</v>
      </c>
      <c r="D62" s="49">
        <f>'Avg Week Lubigi-Masanafu'!D62+'Avg Week Masanafu-Lubigi'!D62</f>
        <v>87.5</v>
      </c>
      <c r="E62" s="49">
        <f>'Avg Week Lubigi-Masanafu'!E62+'Avg Week Masanafu-Lubigi'!E62</f>
        <v>78</v>
      </c>
      <c r="F62" s="49">
        <f>'Avg Week Lubigi-Masanafu'!F62+'Avg Week Masanafu-Lubigi'!F62</f>
        <v>91.5</v>
      </c>
      <c r="G62" s="49">
        <f>'Avg Week Lubigi-Masanafu'!G62+'Avg Week Masanafu-Lubigi'!G62</f>
        <v>3.5</v>
      </c>
      <c r="H62" s="49">
        <f>'Avg Week Lubigi-Masanafu'!H62+'Avg Week Masanafu-Lubigi'!H62</f>
        <v>0</v>
      </c>
      <c r="I62" s="49">
        <f>'Avg Week Lubigi-Masanafu'!I62+'Avg Week Masanafu-Lubigi'!I62</f>
        <v>45</v>
      </c>
      <c r="J62" s="49">
        <f>'Avg Week Lubigi-Masanafu'!J62+'Avg Week Masanafu-Lubigi'!J62</f>
        <v>31</v>
      </c>
      <c r="K62" s="49">
        <f>'Avg Week Lubigi-Masanafu'!K62+'Avg Week Masanafu-Lubigi'!K62</f>
        <v>37.5</v>
      </c>
      <c r="L62" s="49">
        <f>'Avg Week Lubigi-Masanafu'!L62+'Avg Week Masanafu-Lubigi'!L62</f>
        <v>23.5</v>
      </c>
      <c r="M62" s="49">
        <f>'Avg Week Lubigi-Masanafu'!M62+'Avg Week Masanafu-Lubigi'!M62</f>
        <v>237</v>
      </c>
      <c r="N62" s="49">
        <f>'Avg Week Lubigi-Masanafu'!N62+'Avg Week Masanafu-Lubigi'!N62</f>
        <v>0</v>
      </c>
      <c r="O62" s="15">
        <f t="shared" si="0"/>
        <v>586.5</v>
      </c>
      <c r="P62" s="15">
        <f t="shared" si="1"/>
        <v>823.5</v>
      </c>
      <c r="R62" s="8"/>
      <c r="T62"/>
    </row>
    <row r="63" spans="2:20" ht="23.1" customHeight="1" x14ac:dyDescent="0.25">
      <c r="B63" s="23" t="s">
        <v>108</v>
      </c>
      <c r="C63" s="49">
        <f>'Avg Week Lubigi-Masanafu'!C63+'Avg Week Masanafu-Lubigi'!C63</f>
        <v>144</v>
      </c>
      <c r="D63" s="49">
        <f>'Avg Week Lubigi-Masanafu'!D63+'Avg Week Masanafu-Lubigi'!D63</f>
        <v>73.5</v>
      </c>
      <c r="E63" s="49">
        <f>'Avg Week Lubigi-Masanafu'!E63+'Avg Week Masanafu-Lubigi'!E63</f>
        <v>72.5</v>
      </c>
      <c r="F63" s="49">
        <f>'Avg Week Lubigi-Masanafu'!F63+'Avg Week Masanafu-Lubigi'!F63</f>
        <v>117</v>
      </c>
      <c r="G63" s="49">
        <f>'Avg Week Lubigi-Masanafu'!G63+'Avg Week Masanafu-Lubigi'!G63</f>
        <v>1.5</v>
      </c>
      <c r="H63" s="49">
        <f>'Avg Week Lubigi-Masanafu'!H63+'Avg Week Masanafu-Lubigi'!H63</f>
        <v>2.5</v>
      </c>
      <c r="I63" s="49">
        <f>'Avg Week Lubigi-Masanafu'!I63+'Avg Week Masanafu-Lubigi'!I63</f>
        <v>33</v>
      </c>
      <c r="J63" s="49">
        <f>'Avg Week Lubigi-Masanafu'!J63+'Avg Week Masanafu-Lubigi'!J63</f>
        <v>58</v>
      </c>
      <c r="K63" s="49">
        <f>'Avg Week Lubigi-Masanafu'!K63+'Avg Week Masanafu-Lubigi'!K63</f>
        <v>52</v>
      </c>
      <c r="L63" s="49">
        <f>'Avg Week Lubigi-Masanafu'!L63+'Avg Week Masanafu-Lubigi'!L63</f>
        <v>17.5</v>
      </c>
      <c r="M63" s="49">
        <f>'Avg Week Lubigi-Masanafu'!M63+'Avg Week Masanafu-Lubigi'!M63</f>
        <v>216.5</v>
      </c>
      <c r="N63" s="49">
        <f>'Avg Week Lubigi-Masanafu'!N63+'Avg Week Masanafu-Lubigi'!N63</f>
        <v>0</v>
      </c>
      <c r="O63" s="15">
        <f t="shared" si="0"/>
        <v>571.5</v>
      </c>
      <c r="P63" s="15">
        <f t="shared" si="1"/>
        <v>788</v>
      </c>
      <c r="R63" s="8"/>
      <c r="T63"/>
    </row>
    <row r="64" spans="2:20" ht="23.1" customHeight="1" x14ac:dyDescent="0.25">
      <c r="B64" s="23" t="s">
        <v>109</v>
      </c>
      <c r="C64" s="49">
        <f>'Avg Week Lubigi-Masanafu'!C64+'Avg Week Masanafu-Lubigi'!C64</f>
        <v>132.5</v>
      </c>
      <c r="D64" s="49">
        <f>'Avg Week Lubigi-Masanafu'!D64+'Avg Week Masanafu-Lubigi'!D64</f>
        <v>85</v>
      </c>
      <c r="E64" s="49">
        <f>'Avg Week Lubigi-Masanafu'!E64+'Avg Week Masanafu-Lubigi'!E64</f>
        <v>80.5</v>
      </c>
      <c r="F64" s="49">
        <f>'Avg Week Lubigi-Masanafu'!F64+'Avg Week Masanafu-Lubigi'!F64</f>
        <v>129</v>
      </c>
      <c r="G64" s="49">
        <f>'Avg Week Lubigi-Masanafu'!G64+'Avg Week Masanafu-Lubigi'!G64</f>
        <v>2</v>
      </c>
      <c r="H64" s="49">
        <f>'Avg Week Lubigi-Masanafu'!H64+'Avg Week Masanafu-Lubigi'!H64</f>
        <v>0.5</v>
      </c>
      <c r="I64" s="49">
        <f>'Avg Week Lubigi-Masanafu'!I64+'Avg Week Masanafu-Lubigi'!I64</f>
        <v>47.5</v>
      </c>
      <c r="J64" s="49">
        <f>'Avg Week Lubigi-Masanafu'!J64+'Avg Week Masanafu-Lubigi'!J64</f>
        <v>61.5</v>
      </c>
      <c r="K64" s="49">
        <f>'Avg Week Lubigi-Masanafu'!K64+'Avg Week Masanafu-Lubigi'!K64</f>
        <v>47.5</v>
      </c>
      <c r="L64" s="49">
        <f>'Avg Week Lubigi-Masanafu'!L64+'Avg Week Masanafu-Lubigi'!L64</f>
        <v>26</v>
      </c>
      <c r="M64" s="49">
        <f>'Avg Week Lubigi-Masanafu'!M64+'Avg Week Masanafu-Lubigi'!M64</f>
        <v>257.5</v>
      </c>
      <c r="N64" s="49">
        <f>'Avg Week Lubigi-Masanafu'!N64+'Avg Week Masanafu-Lubigi'!N64</f>
        <v>0</v>
      </c>
      <c r="O64" s="15">
        <f t="shared" si="0"/>
        <v>612</v>
      </c>
      <c r="P64" s="15">
        <f t="shared" si="1"/>
        <v>869.5</v>
      </c>
      <c r="R64" s="8"/>
      <c r="T64"/>
    </row>
    <row r="65" spans="2:20" ht="23.1" customHeight="1" x14ac:dyDescent="0.25">
      <c r="B65" s="23" t="s">
        <v>158</v>
      </c>
      <c r="C65" s="49">
        <f>'Avg Week Lubigi-Masanafu'!C65+'Avg Week Masanafu-Lubigi'!C65</f>
        <v>133</v>
      </c>
      <c r="D65" s="49">
        <f>'Avg Week Lubigi-Masanafu'!D65+'Avg Week Masanafu-Lubigi'!D65</f>
        <v>127</v>
      </c>
      <c r="E65" s="49">
        <f>'Avg Week Lubigi-Masanafu'!E65+'Avg Week Masanafu-Lubigi'!E65</f>
        <v>86</v>
      </c>
      <c r="F65" s="49">
        <f>'Avg Week Lubigi-Masanafu'!F65+'Avg Week Masanafu-Lubigi'!F65</f>
        <v>111</v>
      </c>
      <c r="G65" s="49">
        <f>'Avg Week Lubigi-Masanafu'!G65+'Avg Week Masanafu-Lubigi'!G65</f>
        <v>1</v>
      </c>
      <c r="H65" s="49">
        <f>'Avg Week Lubigi-Masanafu'!H65+'Avg Week Masanafu-Lubigi'!H65</f>
        <v>0</v>
      </c>
      <c r="I65" s="49">
        <f>'Avg Week Lubigi-Masanafu'!I65+'Avg Week Masanafu-Lubigi'!I65</f>
        <v>36</v>
      </c>
      <c r="J65" s="49">
        <f>'Avg Week Lubigi-Masanafu'!J65+'Avg Week Masanafu-Lubigi'!J65</f>
        <v>53</v>
      </c>
      <c r="K65" s="49">
        <f>'Avg Week Lubigi-Masanafu'!K65+'Avg Week Masanafu-Lubigi'!K65</f>
        <v>47.5</v>
      </c>
      <c r="L65" s="49">
        <f>'Avg Week Lubigi-Masanafu'!L65+'Avg Week Masanafu-Lubigi'!L65</f>
        <v>18.5</v>
      </c>
      <c r="M65" s="49">
        <f>'Avg Week Lubigi-Masanafu'!M65+'Avg Week Masanafu-Lubigi'!M65</f>
        <v>192.5</v>
      </c>
      <c r="N65" s="49">
        <f>'Avg Week Lubigi-Masanafu'!N65+'Avg Week Masanafu-Lubigi'!N65</f>
        <v>0</v>
      </c>
      <c r="O65" s="15">
        <f t="shared" si="0"/>
        <v>613</v>
      </c>
      <c r="P65" s="15">
        <f t="shared" si="1"/>
        <v>805.5</v>
      </c>
      <c r="R65" s="8"/>
      <c r="T65"/>
    </row>
    <row r="66" spans="2:20" ht="23.1" customHeight="1" x14ac:dyDescent="0.25">
      <c r="B66" s="23" t="s">
        <v>103</v>
      </c>
      <c r="C66" s="49">
        <f>'Avg Week Lubigi-Masanafu'!C66+'Avg Week Masanafu-Lubigi'!C66</f>
        <v>148.5</v>
      </c>
      <c r="D66" s="49">
        <f>'Avg Week Lubigi-Masanafu'!D66+'Avg Week Masanafu-Lubigi'!D66</f>
        <v>63</v>
      </c>
      <c r="E66" s="49">
        <f>'Avg Week Lubigi-Masanafu'!E66+'Avg Week Masanafu-Lubigi'!E66</f>
        <v>55</v>
      </c>
      <c r="F66" s="49">
        <f>'Avg Week Lubigi-Masanafu'!F66+'Avg Week Masanafu-Lubigi'!F66</f>
        <v>152.5</v>
      </c>
      <c r="G66" s="49">
        <f>'Avg Week Lubigi-Masanafu'!G66+'Avg Week Masanafu-Lubigi'!G66</f>
        <v>5.5</v>
      </c>
      <c r="H66" s="49">
        <f>'Avg Week Lubigi-Masanafu'!H66+'Avg Week Masanafu-Lubigi'!H66</f>
        <v>1</v>
      </c>
      <c r="I66" s="49">
        <f>'Avg Week Lubigi-Masanafu'!I66+'Avg Week Masanafu-Lubigi'!I66</f>
        <v>31</v>
      </c>
      <c r="J66" s="49">
        <f>'Avg Week Lubigi-Masanafu'!J66+'Avg Week Masanafu-Lubigi'!J66</f>
        <v>27</v>
      </c>
      <c r="K66" s="49">
        <f>'Avg Week Lubigi-Masanafu'!K66+'Avg Week Masanafu-Lubigi'!K66</f>
        <v>22.5</v>
      </c>
      <c r="L66" s="49">
        <f>'Avg Week Lubigi-Masanafu'!L66+'Avg Week Masanafu-Lubigi'!L66</f>
        <v>14.5</v>
      </c>
      <c r="M66" s="49">
        <f>'Avg Week Lubigi-Masanafu'!M66+'Avg Week Masanafu-Lubigi'!M66</f>
        <v>211.5</v>
      </c>
      <c r="N66" s="49">
        <f>'Avg Week Lubigi-Masanafu'!N66+'Avg Week Masanafu-Lubigi'!N66</f>
        <v>0</v>
      </c>
      <c r="O66" s="15">
        <f t="shared" si="0"/>
        <v>520.5</v>
      </c>
      <c r="P66" s="15">
        <f t="shared" si="1"/>
        <v>732</v>
      </c>
      <c r="R66" s="8"/>
      <c r="T66"/>
    </row>
    <row r="67" spans="2:20" ht="23.1" customHeight="1" x14ac:dyDescent="0.25">
      <c r="B67" s="23" t="s">
        <v>104</v>
      </c>
      <c r="C67" s="49">
        <f>'Avg Week Lubigi-Masanafu'!C67+'Avg Week Masanafu-Lubigi'!C67</f>
        <v>140.5</v>
      </c>
      <c r="D67" s="49">
        <f>'Avg Week Lubigi-Masanafu'!D67+'Avg Week Masanafu-Lubigi'!D67</f>
        <v>65</v>
      </c>
      <c r="E67" s="49">
        <f>'Avg Week Lubigi-Masanafu'!E67+'Avg Week Masanafu-Lubigi'!E67</f>
        <v>36</v>
      </c>
      <c r="F67" s="49">
        <f>'Avg Week Lubigi-Masanafu'!F67+'Avg Week Masanafu-Lubigi'!F67</f>
        <v>125.5</v>
      </c>
      <c r="G67" s="49">
        <f>'Avg Week Lubigi-Masanafu'!G67+'Avg Week Masanafu-Lubigi'!G67</f>
        <v>1</v>
      </c>
      <c r="H67" s="49">
        <f>'Avg Week Lubigi-Masanafu'!H67+'Avg Week Masanafu-Lubigi'!H67</f>
        <v>0.5</v>
      </c>
      <c r="I67" s="49">
        <f>'Avg Week Lubigi-Masanafu'!I67+'Avg Week Masanafu-Lubigi'!I67</f>
        <v>25</v>
      </c>
      <c r="J67" s="49">
        <f>'Avg Week Lubigi-Masanafu'!J67+'Avg Week Masanafu-Lubigi'!J67</f>
        <v>30.5</v>
      </c>
      <c r="K67" s="49">
        <f>'Avg Week Lubigi-Masanafu'!K67+'Avg Week Masanafu-Lubigi'!K67</f>
        <v>19.5</v>
      </c>
      <c r="L67" s="49">
        <f>'Avg Week Lubigi-Masanafu'!L67+'Avg Week Masanafu-Lubigi'!L67</f>
        <v>10</v>
      </c>
      <c r="M67" s="49">
        <f>'Avg Week Lubigi-Masanafu'!M67+'Avg Week Masanafu-Lubigi'!M67</f>
        <v>221</v>
      </c>
      <c r="N67" s="49">
        <f>'Avg Week Lubigi-Masanafu'!N67+'Avg Week Masanafu-Lubigi'!N67</f>
        <v>0</v>
      </c>
      <c r="O67" s="15">
        <f t="shared" si="0"/>
        <v>453.5</v>
      </c>
      <c r="P67" s="15">
        <f t="shared" si="1"/>
        <v>674.5</v>
      </c>
      <c r="R67" s="8"/>
      <c r="T67"/>
    </row>
    <row r="68" spans="2:20" ht="23.1" customHeight="1" x14ac:dyDescent="0.25">
      <c r="B68" s="23" t="s">
        <v>105</v>
      </c>
      <c r="C68" s="49">
        <f>'Avg Week Lubigi-Masanafu'!C68+'Avg Week Masanafu-Lubigi'!C68</f>
        <v>136</v>
      </c>
      <c r="D68" s="49">
        <f>'Avg Week Lubigi-Masanafu'!D68+'Avg Week Masanafu-Lubigi'!D68</f>
        <v>73.5</v>
      </c>
      <c r="E68" s="49">
        <f>'Avg Week Lubigi-Masanafu'!E68+'Avg Week Masanafu-Lubigi'!E68</f>
        <v>68.5</v>
      </c>
      <c r="F68" s="49">
        <f>'Avg Week Lubigi-Masanafu'!F68+'Avg Week Masanafu-Lubigi'!F68</f>
        <v>108.5</v>
      </c>
      <c r="G68" s="49">
        <f>'Avg Week Lubigi-Masanafu'!G68+'Avg Week Masanafu-Lubigi'!G68</f>
        <v>1</v>
      </c>
      <c r="H68" s="49">
        <f>'Avg Week Lubigi-Masanafu'!H68+'Avg Week Masanafu-Lubigi'!H68</f>
        <v>0.5</v>
      </c>
      <c r="I68" s="49">
        <f>'Avg Week Lubigi-Masanafu'!I68+'Avg Week Masanafu-Lubigi'!I68</f>
        <v>37</v>
      </c>
      <c r="J68" s="49">
        <f>'Avg Week Lubigi-Masanafu'!J68+'Avg Week Masanafu-Lubigi'!J68</f>
        <v>33.5</v>
      </c>
      <c r="K68" s="49">
        <f>'Avg Week Lubigi-Masanafu'!K68+'Avg Week Masanafu-Lubigi'!K68</f>
        <v>19</v>
      </c>
      <c r="L68" s="49">
        <f>'Avg Week Lubigi-Masanafu'!L68+'Avg Week Masanafu-Lubigi'!L68</f>
        <v>6.5</v>
      </c>
      <c r="M68" s="49">
        <f>'Avg Week Lubigi-Masanafu'!M68+'Avg Week Masanafu-Lubigi'!M68</f>
        <v>170</v>
      </c>
      <c r="N68" s="49">
        <f>'Avg Week Lubigi-Masanafu'!N68+'Avg Week Masanafu-Lubigi'!N68</f>
        <v>0</v>
      </c>
      <c r="O68" s="15">
        <f t="shared" si="0"/>
        <v>484</v>
      </c>
      <c r="P68" s="15">
        <f t="shared" si="1"/>
        <v>654</v>
      </c>
      <c r="R68" s="8"/>
      <c r="T68"/>
    </row>
    <row r="69" spans="2:20" ht="23.1" customHeight="1" x14ac:dyDescent="0.25">
      <c r="B69" s="23" t="s">
        <v>106</v>
      </c>
      <c r="C69" s="49">
        <f>'Avg Week Lubigi-Masanafu'!C69+'Avg Week Masanafu-Lubigi'!C69</f>
        <v>152</v>
      </c>
      <c r="D69" s="49">
        <f>'Avg Week Lubigi-Masanafu'!D69+'Avg Week Masanafu-Lubigi'!D69</f>
        <v>79.5</v>
      </c>
      <c r="E69" s="49">
        <f>'Avg Week Lubigi-Masanafu'!E69+'Avg Week Masanafu-Lubigi'!E69</f>
        <v>35.5</v>
      </c>
      <c r="F69" s="49">
        <f>'Avg Week Lubigi-Masanafu'!F69+'Avg Week Masanafu-Lubigi'!F69</f>
        <v>100</v>
      </c>
      <c r="G69" s="49">
        <f>'Avg Week Lubigi-Masanafu'!G69+'Avg Week Masanafu-Lubigi'!G69</f>
        <v>0.5</v>
      </c>
      <c r="H69" s="49">
        <f>'Avg Week Lubigi-Masanafu'!H69+'Avg Week Masanafu-Lubigi'!H69</f>
        <v>0</v>
      </c>
      <c r="I69" s="49">
        <f>'Avg Week Lubigi-Masanafu'!I69+'Avg Week Masanafu-Lubigi'!I69</f>
        <v>32.5</v>
      </c>
      <c r="J69" s="49">
        <f>'Avg Week Lubigi-Masanafu'!J69+'Avg Week Masanafu-Lubigi'!J69</f>
        <v>30</v>
      </c>
      <c r="K69" s="49">
        <f>'Avg Week Lubigi-Masanafu'!K69+'Avg Week Masanafu-Lubigi'!K69</f>
        <v>10.5</v>
      </c>
      <c r="L69" s="49">
        <f>'Avg Week Lubigi-Masanafu'!L69+'Avg Week Masanafu-Lubigi'!L69</f>
        <v>6</v>
      </c>
      <c r="M69" s="49">
        <f>'Avg Week Lubigi-Masanafu'!M69+'Avg Week Masanafu-Lubigi'!M69</f>
        <v>202.5</v>
      </c>
      <c r="N69" s="49">
        <f>'Avg Week Lubigi-Masanafu'!N69+'Avg Week Masanafu-Lubigi'!N69</f>
        <v>0</v>
      </c>
      <c r="O69" s="15">
        <f t="shared" si="0"/>
        <v>446.5</v>
      </c>
      <c r="P69" s="15">
        <f t="shared" si="1"/>
        <v>649</v>
      </c>
      <c r="R69" s="8"/>
      <c r="T69"/>
    </row>
    <row r="70" spans="2:20" ht="23.1" customHeight="1" x14ac:dyDescent="0.25">
      <c r="B70" s="23" t="s">
        <v>110</v>
      </c>
      <c r="C70" s="49">
        <f>'Avg Week Lubigi-Masanafu'!C70+'Avg Week Masanafu-Lubigi'!C70</f>
        <v>123</v>
      </c>
      <c r="D70" s="49">
        <f>'Avg Week Lubigi-Masanafu'!D70+'Avg Week Masanafu-Lubigi'!D70</f>
        <v>60.5</v>
      </c>
      <c r="E70" s="49">
        <f>'Avg Week Lubigi-Masanafu'!E70+'Avg Week Masanafu-Lubigi'!E70</f>
        <v>56</v>
      </c>
      <c r="F70" s="49">
        <f>'Avg Week Lubigi-Masanafu'!F70+'Avg Week Masanafu-Lubigi'!F70</f>
        <v>123</v>
      </c>
      <c r="G70" s="49">
        <f>'Avg Week Lubigi-Masanafu'!G70+'Avg Week Masanafu-Lubigi'!G70</f>
        <v>0.5</v>
      </c>
      <c r="H70" s="49">
        <f>'Avg Week Lubigi-Masanafu'!H70+'Avg Week Masanafu-Lubigi'!H70</f>
        <v>0</v>
      </c>
      <c r="I70" s="49">
        <f>'Avg Week Lubigi-Masanafu'!I70+'Avg Week Masanafu-Lubigi'!I70</f>
        <v>19.5</v>
      </c>
      <c r="J70" s="49">
        <f>'Avg Week Lubigi-Masanafu'!J70+'Avg Week Masanafu-Lubigi'!J70</f>
        <v>22</v>
      </c>
      <c r="K70" s="49">
        <f>'Avg Week Lubigi-Masanafu'!K70+'Avg Week Masanafu-Lubigi'!K70</f>
        <v>20.5</v>
      </c>
      <c r="L70" s="49">
        <f>'Avg Week Lubigi-Masanafu'!L70+'Avg Week Masanafu-Lubigi'!L70</f>
        <v>9.5</v>
      </c>
      <c r="M70" s="49">
        <f>'Avg Week Lubigi-Masanafu'!M70+'Avg Week Masanafu-Lubigi'!M70</f>
        <v>197.5</v>
      </c>
      <c r="N70" s="49">
        <f>'Avg Week Lubigi-Masanafu'!N70+'Avg Week Masanafu-Lubigi'!N70</f>
        <v>0</v>
      </c>
      <c r="O70" s="15">
        <f t="shared" si="0"/>
        <v>434.5</v>
      </c>
      <c r="P70" s="15">
        <f t="shared" si="1"/>
        <v>632</v>
      </c>
      <c r="R70" s="8"/>
      <c r="T70"/>
    </row>
    <row r="71" spans="2:20" ht="23.1" customHeight="1" x14ac:dyDescent="0.25">
      <c r="B71" s="23" t="s">
        <v>111</v>
      </c>
      <c r="C71" s="49">
        <f>'Avg Week Lubigi-Masanafu'!C71+'Avg Week Masanafu-Lubigi'!C71</f>
        <v>112.5</v>
      </c>
      <c r="D71" s="49">
        <f>'Avg Week Lubigi-Masanafu'!D71+'Avg Week Masanafu-Lubigi'!D71</f>
        <v>46.5</v>
      </c>
      <c r="E71" s="49">
        <f>'Avg Week Lubigi-Masanafu'!E71+'Avg Week Masanafu-Lubigi'!E71</f>
        <v>40</v>
      </c>
      <c r="F71" s="49">
        <f>'Avg Week Lubigi-Masanafu'!F71+'Avg Week Masanafu-Lubigi'!F71</f>
        <v>115</v>
      </c>
      <c r="G71" s="49">
        <f>'Avg Week Lubigi-Masanafu'!G71+'Avg Week Masanafu-Lubigi'!G71</f>
        <v>0.5</v>
      </c>
      <c r="H71" s="49">
        <f>'Avg Week Lubigi-Masanafu'!H71+'Avg Week Masanafu-Lubigi'!H71</f>
        <v>0</v>
      </c>
      <c r="I71" s="49">
        <f>'Avg Week Lubigi-Masanafu'!I71+'Avg Week Masanafu-Lubigi'!I71</f>
        <v>34.5</v>
      </c>
      <c r="J71" s="49">
        <f>'Avg Week Lubigi-Masanafu'!J71+'Avg Week Masanafu-Lubigi'!J71</f>
        <v>31.5</v>
      </c>
      <c r="K71" s="49">
        <f>'Avg Week Lubigi-Masanafu'!K71+'Avg Week Masanafu-Lubigi'!K71</f>
        <v>38.5</v>
      </c>
      <c r="L71" s="49">
        <f>'Avg Week Lubigi-Masanafu'!L71+'Avg Week Masanafu-Lubigi'!L71</f>
        <v>11.5</v>
      </c>
      <c r="M71" s="49">
        <f>'Avg Week Lubigi-Masanafu'!M71+'Avg Week Masanafu-Lubigi'!M71</f>
        <v>224</v>
      </c>
      <c r="N71" s="49">
        <f>'Avg Week Lubigi-Masanafu'!N71+'Avg Week Masanafu-Lubigi'!N71</f>
        <v>0</v>
      </c>
      <c r="O71" s="15">
        <f t="shared" si="0"/>
        <v>430.5</v>
      </c>
      <c r="P71" s="15">
        <f t="shared" si="1"/>
        <v>654.5</v>
      </c>
      <c r="R71" s="8"/>
      <c r="T71"/>
    </row>
    <row r="72" spans="2:20" ht="23.1" customHeight="1" x14ac:dyDescent="0.25">
      <c r="B72" s="23" t="s">
        <v>112</v>
      </c>
      <c r="C72" s="49">
        <f>'Avg Week Lubigi-Masanafu'!C72+'Avg Week Masanafu-Lubigi'!C72</f>
        <v>96.5</v>
      </c>
      <c r="D72" s="49">
        <f>'Avg Week Lubigi-Masanafu'!D72+'Avg Week Masanafu-Lubigi'!D72</f>
        <v>35</v>
      </c>
      <c r="E72" s="49">
        <f>'Avg Week Lubigi-Masanafu'!E72+'Avg Week Masanafu-Lubigi'!E72</f>
        <v>48</v>
      </c>
      <c r="F72" s="49">
        <f>'Avg Week Lubigi-Masanafu'!F72+'Avg Week Masanafu-Lubigi'!F72</f>
        <v>43</v>
      </c>
      <c r="G72" s="49">
        <f>'Avg Week Lubigi-Masanafu'!G72+'Avg Week Masanafu-Lubigi'!G72</f>
        <v>0.5</v>
      </c>
      <c r="H72" s="49">
        <f>'Avg Week Lubigi-Masanafu'!H72+'Avg Week Masanafu-Lubigi'!H72</f>
        <v>0</v>
      </c>
      <c r="I72" s="49">
        <f>'Avg Week Lubigi-Masanafu'!I72+'Avg Week Masanafu-Lubigi'!I72</f>
        <v>19.5</v>
      </c>
      <c r="J72" s="49">
        <f>'Avg Week Lubigi-Masanafu'!J72+'Avg Week Masanafu-Lubigi'!J72</f>
        <v>44</v>
      </c>
      <c r="K72" s="49">
        <f>'Avg Week Lubigi-Masanafu'!K72+'Avg Week Masanafu-Lubigi'!K72</f>
        <v>23.5</v>
      </c>
      <c r="L72" s="49">
        <f>'Avg Week Lubigi-Masanafu'!L72+'Avg Week Masanafu-Lubigi'!L72</f>
        <v>11</v>
      </c>
      <c r="M72" s="49">
        <f>'Avg Week Lubigi-Masanafu'!M72+'Avg Week Masanafu-Lubigi'!M72</f>
        <v>165</v>
      </c>
      <c r="N72" s="49">
        <f>'Avg Week Lubigi-Masanafu'!N72+'Avg Week Masanafu-Lubigi'!N72</f>
        <v>0</v>
      </c>
      <c r="O72" s="15">
        <f t="shared" si="0"/>
        <v>321</v>
      </c>
      <c r="P72" s="15">
        <f t="shared" si="1"/>
        <v>486</v>
      </c>
      <c r="R72" s="8"/>
      <c r="T72"/>
    </row>
    <row r="73" spans="2:20" ht="23.1" customHeight="1" x14ac:dyDescent="0.25">
      <c r="B73" s="23" t="s">
        <v>113</v>
      </c>
      <c r="C73" s="49">
        <f>'Avg Week Lubigi-Masanafu'!C73+'Avg Week Masanafu-Lubigi'!C73</f>
        <v>125.5</v>
      </c>
      <c r="D73" s="49">
        <f>'Avg Week Lubigi-Masanafu'!D73+'Avg Week Masanafu-Lubigi'!D73</f>
        <v>36</v>
      </c>
      <c r="E73" s="49">
        <f>'Avg Week Lubigi-Masanafu'!E73+'Avg Week Masanafu-Lubigi'!E73</f>
        <v>25.5</v>
      </c>
      <c r="F73" s="49">
        <f>'Avg Week Lubigi-Masanafu'!F73+'Avg Week Masanafu-Lubigi'!F73</f>
        <v>57</v>
      </c>
      <c r="G73" s="49">
        <f>'Avg Week Lubigi-Masanafu'!G73+'Avg Week Masanafu-Lubigi'!G73</f>
        <v>0</v>
      </c>
      <c r="H73" s="49">
        <f>'Avg Week Lubigi-Masanafu'!H73+'Avg Week Masanafu-Lubigi'!H73</f>
        <v>0.5</v>
      </c>
      <c r="I73" s="49">
        <f>'Avg Week Lubigi-Masanafu'!I73+'Avg Week Masanafu-Lubigi'!I73</f>
        <v>14.5</v>
      </c>
      <c r="J73" s="49">
        <f>'Avg Week Lubigi-Masanafu'!J73+'Avg Week Masanafu-Lubigi'!J73</f>
        <v>23</v>
      </c>
      <c r="K73" s="49">
        <f>'Avg Week Lubigi-Masanafu'!K73+'Avg Week Masanafu-Lubigi'!K73</f>
        <v>11.5</v>
      </c>
      <c r="L73" s="49">
        <f>'Avg Week Lubigi-Masanafu'!L73+'Avg Week Masanafu-Lubigi'!L73</f>
        <v>8</v>
      </c>
      <c r="M73" s="49">
        <f>'Avg Week Lubigi-Masanafu'!M73+'Avg Week Masanafu-Lubigi'!M73</f>
        <v>228</v>
      </c>
      <c r="N73" s="49">
        <f>'Avg Week Lubigi-Masanafu'!N73+'Avg Week Masanafu-Lubigi'!N73</f>
        <v>0</v>
      </c>
      <c r="O73" s="15">
        <f t="shared" si="0"/>
        <v>301.5</v>
      </c>
      <c r="P73" s="15">
        <f t="shared" si="1"/>
        <v>529.5</v>
      </c>
      <c r="R73" s="8"/>
      <c r="T73"/>
    </row>
    <row r="74" spans="2:20" ht="23.1" customHeight="1" x14ac:dyDescent="0.25">
      <c r="B74" s="23" t="s">
        <v>114</v>
      </c>
      <c r="C74" s="49">
        <f>'Avg Week Lubigi-Masanafu'!C74+'Avg Week Masanafu-Lubigi'!C74</f>
        <v>155.5</v>
      </c>
      <c r="D74" s="49">
        <f>'Avg Week Lubigi-Masanafu'!D74+'Avg Week Masanafu-Lubigi'!D74</f>
        <v>28.5</v>
      </c>
      <c r="E74" s="49">
        <f>'Avg Week Lubigi-Masanafu'!E74+'Avg Week Masanafu-Lubigi'!E74</f>
        <v>37</v>
      </c>
      <c r="F74" s="49">
        <f>'Avg Week Lubigi-Masanafu'!F74+'Avg Week Masanafu-Lubigi'!F74</f>
        <v>80.5</v>
      </c>
      <c r="G74" s="49">
        <f>'Avg Week Lubigi-Masanafu'!G74+'Avg Week Masanafu-Lubigi'!G74</f>
        <v>2</v>
      </c>
      <c r="H74" s="49">
        <f>'Avg Week Lubigi-Masanafu'!H74+'Avg Week Masanafu-Lubigi'!H74</f>
        <v>1.5</v>
      </c>
      <c r="I74" s="49">
        <f>'Avg Week Lubigi-Masanafu'!I74+'Avg Week Masanafu-Lubigi'!I74</f>
        <v>27</v>
      </c>
      <c r="J74" s="49">
        <f>'Avg Week Lubigi-Masanafu'!J74+'Avg Week Masanafu-Lubigi'!J74</f>
        <v>21</v>
      </c>
      <c r="K74" s="49">
        <f>'Avg Week Lubigi-Masanafu'!K74+'Avg Week Masanafu-Lubigi'!K74</f>
        <v>17</v>
      </c>
      <c r="L74" s="49">
        <f>'Avg Week Lubigi-Masanafu'!L74+'Avg Week Masanafu-Lubigi'!L74</f>
        <v>3.5</v>
      </c>
      <c r="M74" s="49">
        <f>'Avg Week Lubigi-Masanafu'!M74+'Avg Week Masanafu-Lubigi'!M74</f>
        <v>223</v>
      </c>
      <c r="N74" s="49">
        <f>'Avg Week Lubigi-Masanafu'!N74+'Avg Week Masanafu-Lubigi'!N74</f>
        <v>0</v>
      </c>
      <c r="O74" s="15">
        <f t="shared" ref="O74:O105" si="35">SUM(C74:L74,N74)</f>
        <v>373.5</v>
      </c>
      <c r="P74" s="15">
        <f t="shared" ref="P74:P105" si="36">SUM(C74:N74)</f>
        <v>596.5</v>
      </c>
      <c r="R74" s="8"/>
      <c r="T74"/>
    </row>
    <row r="75" spans="2:20" ht="23.1" customHeight="1" x14ac:dyDescent="0.25">
      <c r="B75" s="23" t="s">
        <v>115</v>
      </c>
      <c r="C75" s="49">
        <f>'Avg Week Lubigi-Masanafu'!C75+'Avg Week Masanafu-Lubigi'!C75</f>
        <v>129.5</v>
      </c>
      <c r="D75" s="49">
        <f>'Avg Week Lubigi-Masanafu'!D75+'Avg Week Masanafu-Lubigi'!D75</f>
        <v>34.5</v>
      </c>
      <c r="E75" s="49">
        <f>'Avg Week Lubigi-Masanafu'!E75+'Avg Week Masanafu-Lubigi'!E75</f>
        <v>39</v>
      </c>
      <c r="F75" s="49">
        <f>'Avg Week Lubigi-Masanafu'!F75+'Avg Week Masanafu-Lubigi'!F75</f>
        <v>41</v>
      </c>
      <c r="G75" s="49">
        <f>'Avg Week Lubigi-Masanafu'!G75+'Avg Week Masanafu-Lubigi'!G75</f>
        <v>0.5</v>
      </c>
      <c r="H75" s="49">
        <f>'Avg Week Lubigi-Masanafu'!H75+'Avg Week Masanafu-Lubigi'!H75</f>
        <v>0</v>
      </c>
      <c r="I75" s="49">
        <f>'Avg Week Lubigi-Masanafu'!I75+'Avg Week Masanafu-Lubigi'!I75</f>
        <v>15.5</v>
      </c>
      <c r="J75" s="49">
        <f>'Avg Week Lubigi-Masanafu'!J75+'Avg Week Masanafu-Lubigi'!J75</f>
        <v>18</v>
      </c>
      <c r="K75" s="49">
        <f>'Avg Week Lubigi-Masanafu'!K75+'Avg Week Masanafu-Lubigi'!K75</f>
        <v>6.5</v>
      </c>
      <c r="L75" s="49">
        <f>'Avg Week Lubigi-Masanafu'!L75+'Avg Week Masanafu-Lubigi'!L75</f>
        <v>6</v>
      </c>
      <c r="M75" s="49">
        <f>'Avg Week Lubigi-Masanafu'!M75+'Avg Week Masanafu-Lubigi'!M75</f>
        <v>154</v>
      </c>
      <c r="N75" s="49">
        <f>'Avg Week Lubigi-Masanafu'!N75+'Avg Week Masanafu-Lubigi'!N75</f>
        <v>0</v>
      </c>
      <c r="O75" s="15">
        <f t="shared" si="35"/>
        <v>290.5</v>
      </c>
      <c r="P75" s="15">
        <f t="shared" si="36"/>
        <v>444.5</v>
      </c>
      <c r="R75" s="8"/>
      <c r="T75"/>
    </row>
    <row r="76" spans="2:20" ht="23.1" customHeight="1" x14ac:dyDescent="0.25">
      <c r="B76" s="23" t="s">
        <v>116</v>
      </c>
      <c r="C76" s="49">
        <f>'Avg Week Lubigi-Masanafu'!C76+'Avg Week Masanafu-Lubigi'!C76</f>
        <v>130</v>
      </c>
      <c r="D76" s="49">
        <f>'Avg Week Lubigi-Masanafu'!D76+'Avg Week Masanafu-Lubigi'!D76</f>
        <v>30.5</v>
      </c>
      <c r="E76" s="49">
        <f>'Avg Week Lubigi-Masanafu'!E76+'Avg Week Masanafu-Lubigi'!E76</f>
        <v>44.5</v>
      </c>
      <c r="F76" s="49">
        <f>'Avg Week Lubigi-Masanafu'!F76+'Avg Week Masanafu-Lubigi'!F76</f>
        <v>49.5</v>
      </c>
      <c r="G76" s="49">
        <f>'Avg Week Lubigi-Masanafu'!G76+'Avg Week Masanafu-Lubigi'!G76</f>
        <v>1</v>
      </c>
      <c r="H76" s="49">
        <f>'Avg Week Lubigi-Masanafu'!H76+'Avg Week Masanafu-Lubigi'!H76</f>
        <v>1</v>
      </c>
      <c r="I76" s="49">
        <f>'Avg Week Lubigi-Masanafu'!I76+'Avg Week Masanafu-Lubigi'!I76</f>
        <v>19.5</v>
      </c>
      <c r="J76" s="49">
        <f>'Avg Week Lubigi-Masanafu'!J76+'Avg Week Masanafu-Lubigi'!J76</f>
        <v>35</v>
      </c>
      <c r="K76" s="49">
        <f>'Avg Week Lubigi-Masanafu'!K76+'Avg Week Masanafu-Lubigi'!K76</f>
        <v>9.5</v>
      </c>
      <c r="L76" s="49">
        <f>'Avg Week Lubigi-Masanafu'!L76+'Avg Week Masanafu-Lubigi'!L76</f>
        <v>3.5</v>
      </c>
      <c r="M76" s="49">
        <f>'Avg Week Lubigi-Masanafu'!M76+'Avg Week Masanafu-Lubigi'!M76</f>
        <v>187.5</v>
      </c>
      <c r="N76" s="49">
        <f>'Avg Week Lubigi-Masanafu'!N76+'Avg Week Masanafu-Lubigi'!N76</f>
        <v>0</v>
      </c>
      <c r="O76" s="15">
        <f t="shared" si="35"/>
        <v>324</v>
      </c>
      <c r="P76" s="15">
        <f t="shared" si="36"/>
        <v>511.5</v>
      </c>
      <c r="R76" s="8"/>
      <c r="T76"/>
    </row>
    <row r="77" spans="2:20" ht="23.1" customHeight="1" x14ac:dyDescent="0.25">
      <c r="B77" s="23" t="s">
        <v>117</v>
      </c>
      <c r="C77" s="49">
        <f>'Avg Week Lubigi-Masanafu'!C77+'Avg Week Masanafu-Lubigi'!C77</f>
        <v>118</v>
      </c>
      <c r="D77" s="49">
        <f>'Avg Week Lubigi-Masanafu'!D77+'Avg Week Masanafu-Lubigi'!D77</f>
        <v>27.5</v>
      </c>
      <c r="E77" s="49">
        <f>'Avg Week Lubigi-Masanafu'!E77+'Avg Week Masanafu-Lubigi'!E77</f>
        <v>46.5</v>
      </c>
      <c r="F77" s="49">
        <f>'Avg Week Lubigi-Masanafu'!F77+'Avg Week Masanafu-Lubigi'!F77</f>
        <v>33.5</v>
      </c>
      <c r="G77" s="49">
        <f>'Avg Week Lubigi-Masanafu'!G77+'Avg Week Masanafu-Lubigi'!G77</f>
        <v>0</v>
      </c>
      <c r="H77" s="49">
        <f>'Avg Week Lubigi-Masanafu'!H77+'Avg Week Masanafu-Lubigi'!H77</f>
        <v>0.5</v>
      </c>
      <c r="I77" s="49">
        <f>'Avg Week Lubigi-Masanafu'!I77+'Avg Week Masanafu-Lubigi'!I77</f>
        <v>20</v>
      </c>
      <c r="J77" s="49">
        <f>'Avg Week Lubigi-Masanafu'!J77+'Avg Week Masanafu-Lubigi'!J77</f>
        <v>34</v>
      </c>
      <c r="K77" s="49">
        <f>'Avg Week Lubigi-Masanafu'!K77+'Avg Week Masanafu-Lubigi'!K77</f>
        <v>17</v>
      </c>
      <c r="L77" s="49">
        <f>'Avg Week Lubigi-Masanafu'!L77+'Avg Week Masanafu-Lubigi'!L77</f>
        <v>7</v>
      </c>
      <c r="M77" s="49">
        <f>'Avg Week Lubigi-Masanafu'!M77+'Avg Week Masanafu-Lubigi'!M77</f>
        <v>142.5</v>
      </c>
      <c r="N77" s="49">
        <f>'Avg Week Lubigi-Masanafu'!N77+'Avg Week Masanafu-Lubigi'!N77</f>
        <v>0</v>
      </c>
      <c r="O77" s="15">
        <f t="shared" si="35"/>
        <v>304</v>
      </c>
      <c r="P77" s="15">
        <f t="shared" si="36"/>
        <v>446.5</v>
      </c>
      <c r="R77" s="8"/>
      <c r="T77"/>
    </row>
    <row r="78" spans="2:20" ht="23.1" customHeight="1" x14ac:dyDescent="0.25">
      <c r="B78" s="24" t="s">
        <v>118</v>
      </c>
      <c r="C78" s="49">
        <f>'Avg Week Lubigi-Masanafu'!C78+'Avg Week Masanafu-Lubigi'!C78</f>
        <v>103.5</v>
      </c>
      <c r="D78" s="49">
        <f>'Avg Week Lubigi-Masanafu'!D78+'Avg Week Masanafu-Lubigi'!D78</f>
        <v>52.5</v>
      </c>
      <c r="E78" s="49">
        <f>'Avg Week Lubigi-Masanafu'!E78+'Avg Week Masanafu-Lubigi'!E78</f>
        <v>24</v>
      </c>
      <c r="F78" s="49">
        <f>'Avg Week Lubigi-Masanafu'!F78+'Avg Week Masanafu-Lubigi'!F78</f>
        <v>51.5</v>
      </c>
      <c r="G78" s="49">
        <f>'Avg Week Lubigi-Masanafu'!G78+'Avg Week Masanafu-Lubigi'!G78</f>
        <v>5</v>
      </c>
      <c r="H78" s="49">
        <f>'Avg Week Lubigi-Masanafu'!H78+'Avg Week Masanafu-Lubigi'!H78</f>
        <v>1</v>
      </c>
      <c r="I78" s="49">
        <f>'Avg Week Lubigi-Masanafu'!I78+'Avg Week Masanafu-Lubigi'!I78</f>
        <v>12.5</v>
      </c>
      <c r="J78" s="49">
        <f>'Avg Week Lubigi-Masanafu'!J78+'Avg Week Masanafu-Lubigi'!J78</f>
        <v>19.5</v>
      </c>
      <c r="K78" s="49">
        <f>'Avg Week Lubigi-Masanafu'!K78+'Avg Week Masanafu-Lubigi'!K78</f>
        <v>19</v>
      </c>
      <c r="L78" s="49">
        <f>'Avg Week Lubigi-Masanafu'!L78+'Avg Week Masanafu-Lubigi'!L78</f>
        <v>8.5</v>
      </c>
      <c r="M78" s="49">
        <f>'Avg Week Lubigi-Masanafu'!M78+'Avg Week Masanafu-Lubigi'!M78</f>
        <v>151.5</v>
      </c>
      <c r="N78" s="49">
        <f>'Avg Week Lubigi-Masanafu'!N78+'Avg Week Masanafu-Lubigi'!N78</f>
        <v>0</v>
      </c>
      <c r="O78" s="15">
        <f t="shared" si="35"/>
        <v>297</v>
      </c>
      <c r="P78" s="15">
        <f t="shared" si="36"/>
        <v>448.5</v>
      </c>
      <c r="R78" s="8"/>
      <c r="T78"/>
    </row>
    <row r="79" spans="2:20" ht="23.1" customHeight="1" x14ac:dyDescent="0.25">
      <c r="B79" s="23" t="s">
        <v>119</v>
      </c>
      <c r="C79" s="49">
        <f>'Avg Week Lubigi-Masanafu'!C79+'Avg Week Masanafu-Lubigi'!C79</f>
        <v>104</v>
      </c>
      <c r="D79" s="49">
        <f>'Avg Week Lubigi-Masanafu'!D79+'Avg Week Masanafu-Lubigi'!D79</f>
        <v>47.5</v>
      </c>
      <c r="E79" s="49">
        <f>'Avg Week Lubigi-Masanafu'!E79+'Avg Week Masanafu-Lubigi'!E79</f>
        <v>23</v>
      </c>
      <c r="F79" s="49">
        <f>'Avg Week Lubigi-Masanafu'!F79+'Avg Week Masanafu-Lubigi'!F79</f>
        <v>59</v>
      </c>
      <c r="G79" s="49">
        <f>'Avg Week Lubigi-Masanafu'!G79+'Avg Week Masanafu-Lubigi'!G79</f>
        <v>1</v>
      </c>
      <c r="H79" s="49">
        <f>'Avg Week Lubigi-Masanafu'!H79+'Avg Week Masanafu-Lubigi'!H79</f>
        <v>0</v>
      </c>
      <c r="I79" s="49">
        <f>'Avg Week Lubigi-Masanafu'!I79+'Avg Week Masanafu-Lubigi'!I79</f>
        <v>13.5</v>
      </c>
      <c r="J79" s="49">
        <f>'Avg Week Lubigi-Masanafu'!J79+'Avg Week Masanafu-Lubigi'!J79</f>
        <v>20.5</v>
      </c>
      <c r="K79" s="49">
        <f>'Avg Week Lubigi-Masanafu'!K79+'Avg Week Masanafu-Lubigi'!K79</f>
        <v>13.5</v>
      </c>
      <c r="L79" s="49">
        <f>'Avg Week Lubigi-Masanafu'!L79+'Avg Week Masanafu-Lubigi'!L79</f>
        <v>6.5</v>
      </c>
      <c r="M79" s="49">
        <f>'Avg Week Lubigi-Masanafu'!M79+'Avg Week Masanafu-Lubigi'!M79</f>
        <v>141</v>
      </c>
      <c r="N79" s="49">
        <f>'Avg Week Lubigi-Masanafu'!N79+'Avg Week Masanafu-Lubigi'!N79</f>
        <v>0</v>
      </c>
      <c r="O79" s="15">
        <f t="shared" si="35"/>
        <v>288.5</v>
      </c>
      <c r="P79" s="15">
        <f t="shared" si="36"/>
        <v>429.5</v>
      </c>
      <c r="R79" s="8"/>
      <c r="T79"/>
    </row>
    <row r="80" spans="2:20" ht="23.1" customHeight="1" x14ac:dyDescent="0.25">
      <c r="B80" s="25" t="s">
        <v>120</v>
      </c>
      <c r="C80" s="49">
        <f>'Avg Week Lubigi-Masanafu'!C80+'Avg Week Masanafu-Lubigi'!C80</f>
        <v>85.5</v>
      </c>
      <c r="D80" s="49">
        <f>'Avg Week Lubigi-Masanafu'!D80+'Avg Week Masanafu-Lubigi'!D80</f>
        <v>49</v>
      </c>
      <c r="E80" s="49">
        <f>'Avg Week Lubigi-Masanafu'!E80+'Avg Week Masanafu-Lubigi'!E80</f>
        <v>24.5</v>
      </c>
      <c r="F80" s="49">
        <f>'Avg Week Lubigi-Masanafu'!F80+'Avg Week Masanafu-Lubigi'!F80</f>
        <v>70.5</v>
      </c>
      <c r="G80" s="49">
        <f>'Avg Week Lubigi-Masanafu'!G80+'Avg Week Masanafu-Lubigi'!G80</f>
        <v>1</v>
      </c>
      <c r="H80" s="49">
        <f>'Avg Week Lubigi-Masanafu'!H80+'Avg Week Masanafu-Lubigi'!H80</f>
        <v>1</v>
      </c>
      <c r="I80" s="49">
        <f>'Avg Week Lubigi-Masanafu'!I80+'Avg Week Masanafu-Lubigi'!I80</f>
        <v>11</v>
      </c>
      <c r="J80" s="49">
        <f>'Avg Week Lubigi-Masanafu'!J80+'Avg Week Masanafu-Lubigi'!J80</f>
        <v>18</v>
      </c>
      <c r="K80" s="49">
        <f>'Avg Week Lubigi-Masanafu'!K80+'Avg Week Masanafu-Lubigi'!K80</f>
        <v>11.5</v>
      </c>
      <c r="L80" s="49">
        <f>'Avg Week Lubigi-Masanafu'!L80+'Avg Week Masanafu-Lubigi'!L80</f>
        <v>9</v>
      </c>
      <c r="M80" s="49">
        <f>'Avg Week Lubigi-Masanafu'!M80+'Avg Week Masanafu-Lubigi'!M80</f>
        <v>99.5</v>
      </c>
      <c r="N80" s="49">
        <f>'Avg Week Lubigi-Masanafu'!N80+'Avg Week Masanafu-Lubigi'!N80</f>
        <v>0</v>
      </c>
      <c r="O80" s="15">
        <f t="shared" si="35"/>
        <v>281</v>
      </c>
      <c r="P80" s="15">
        <f t="shared" si="36"/>
        <v>380.5</v>
      </c>
      <c r="R80" s="8"/>
      <c r="T80"/>
    </row>
    <row r="81" spans="2:20" ht="23.1" customHeight="1" x14ac:dyDescent="0.25">
      <c r="B81" s="23" t="s">
        <v>121</v>
      </c>
      <c r="C81" s="49">
        <f>'Avg Week Lubigi-Masanafu'!C81+'Avg Week Masanafu-Lubigi'!C81</f>
        <v>66</v>
      </c>
      <c r="D81" s="49">
        <f>'Avg Week Lubigi-Masanafu'!D81+'Avg Week Masanafu-Lubigi'!D81</f>
        <v>25</v>
      </c>
      <c r="E81" s="49">
        <f>'Avg Week Lubigi-Masanafu'!E81+'Avg Week Masanafu-Lubigi'!E81</f>
        <v>12</v>
      </c>
      <c r="F81" s="49">
        <f>'Avg Week Lubigi-Masanafu'!F81+'Avg Week Masanafu-Lubigi'!F81</f>
        <v>25.5</v>
      </c>
      <c r="G81" s="49">
        <f>'Avg Week Lubigi-Masanafu'!G81+'Avg Week Masanafu-Lubigi'!G81</f>
        <v>0</v>
      </c>
      <c r="H81" s="49">
        <f>'Avg Week Lubigi-Masanafu'!H81+'Avg Week Masanafu-Lubigi'!H81</f>
        <v>1</v>
      </c>
      <c r="I81" s="49">
        <f>'Avg Week Lubigi-Masanafu'!I81+'Avg Week Masanafu-Lubigi'!I81</f>
        <v>20</v>
      </c>
      <c r="J81" s="49">
        <f>'Avg Week Lubigi-Masanafu'!J81+'Avg Week Masanafu-Lubigi'!J81</f>
        <v>15.5</v>
      </c>
      <c r="K81" s="49">
        <f>'Avg Week Lubigi-Masanafu'!K81+'Avg Week Masanafu-Lubigi'!K81</f>
        <v>9.5</v>
      </c>
      <c r="L81" s="49">
        <f>'Avg Week Lubigi-Masanafu'!L81+'Avg Week Masanafu-Lubigi'!L81</f>
        <v>6.5</v>
      </c>
      <c r="M81" s="49">
        <f>'Avg Week Lubigi-Masanafu'!M81+'Avg Week Masanafu-Lubigi'!M81</f>
        <v>84</v>
      </c>
      <c r="N81" s="49">
        <f>'Avg Week Lubigi-Masanafu'!N81+'Avg Week Masanafu-Lubigi'!N81</f>
        <v>0</v>
      </c>
      <c r="O81" s="15">
        <f t="shared" si="35"/>
        <v>181</v>
      </c>
      <c r="P81" s="15">
        <f t="shared" si="36"/>
        <v>265</v>
      </c>
      <c r="R81" s="8"/>
      <c r="T81"/>
    </row>
    <row r="82" spans="2:20" ht="23.1" customHeight="1" x14ac:dyDescent="0.25">
      <c r="B82" s="24" t="s">
        <v>122</v>
      </c>
      <c r="C82" s="49">
        <f>'Avg Week Lubigi-Masanafu'!C82+'Avg Week Masanafu-Lubigi'!C82</f>
        <v>44.5</v>
      </c>
      <c r="D82" s="49">
        <f>'Avg Week Lubigi-Masanafu'!D82+'Avg Week Masanafu-Lubigi'!D82</f>
        <v>18.5</v>
      </c>
      <c r="E82" s="49">
        <f>'Avg Week Lubigi-Masanafu'!E82+'Avg Week Masanafu-Lubigi'!E82</f>
        <v>9.5</v>
      </c>
      <c r="F82" s="49">
        <f>'Avg Week Lubigi-Masanafu'!F82+'Avg Week Masanafu-Lubigi'!F82</f>
        <v>11.5</v>
      </c>
      <c r="G82" s="49">
        <f>'Avg Week Lubigi-Masanafu'!G82+'Avg Week Masanafu-Lubigi'!G82</f>
        <v>0</v>
      </c>
      <c r="H82" s="49">
        <f>'Avg Week Lubigi-Masanafu'!H82+'Avg Week Masanafu-Lubigi'!H82</f>
        <v>0</v>
      </c>
      <c r="I82" s="49">
        <f>'Avg Week Lubigi-Masanafu'!I82+'Avg Week Masanafu-Lubigi'!I82</f>
        <v>11.5</v>
      </c>
      <c r="J82" s="49">
        <f>'Avg Week Lubigi-Masanafu'!J82+'Avg Week Masanafu-Lubigi'!J82</f>
        <v>13.5</v>
      </c>
      <c r="K82" s="49">
        <f>'Avg Week Lubigi-Masanafu'!K82+'Avg Week Masanafu-Lubigi'!K82</f>
        <v>11</v>
      </c>
      <c r="L82" s="49">
        <f>'Avg Week Lubigi-Masanafu'!L82+'Avg Week Masanafu-Lubigi'!L82</f>
        <v>3</v>
      </c>
      <c r="M82" s="49">
        <f>'Avg Week Lubigi-Masanafu'!M82+'Avg Week Masanafu-Lubigi'!M82</f>
        <v>59</v>
      </c>
      <c r="N82" s="49">
        <f>'Avg Week Lubigi-Masanafu'!N82+'Avg Week Masanafu-Lubigi'!N82</f>
        <v>0</v>
      </c>
      <c r="O82" s="15">
        <f t="shared" si="35"/>
        <v>123</v>
      </c>
      <c r="P82" s="15">
        <f t="shared" si="36"/>
        <v>182</v>
      </c>
      <c r="R82" s="8"/>
      <c r="T82"/>
    </row>
    <row r="83" spans="2:20" ht="23.1" customHeight="1" x14ac:dyDescent="0.25">
      <c r="B83" s="23" t="s">
        <v>123</v>
      </c>
      <c r="C83" s="49">
        <f>'Avg Week Lubigi-Masanafu'!C83+'Avg Week Masanafu-Lubigi'!C83</f>
        <v>43</v>
      </c>
      <c r="D83" s="49">
        <f>'Avg Week Lubigi-Masanafu'!D83+'Avg Week Masanafu-Lubigi'!D83</f>
        <v>14.5</v>
      </c>
      <c r="E83" s="49">
        <f>'Avg Week Lubigi-Masanafu'!E83+'Avg Week Masanafu-Lubigi'!E83</f>
        <v>9.5</v>
      </c>
      <c r="F83" s="49">
        <f>'Avg Week Lubigi-Masanafu'!F83+'Avg Week Masanafu-Lubigi'!F83</f>
        <v>12</v>
      </c>
      <c r="G83" s="49">
        <f>'Avg Week Lubigi-Masanafu'!G83+'Avg Week Masanafu-Lubigi'!G83</f>
        <v>0</v>
      </c>
      <c r="H83" s="49">
        <f>'Avg Week Lubigi-Masanafu'!H83+'Avg Week Masanafu-Lubigi'!H83</f>
        <v>0</v>
      </c>
      <c r="I83" s="49">
        <f>'Avg Week Lubigi-Masanafu'!I83+'Avg Week Masanafu-Lubigi'!I83</f>
        <v>12.5</v>
      </c>
      <c r="J83" s="49">
        <f>'Avg Week Lubigi-Masanafu'!J83+'Avg Week Masanafu-Lubigi'!J83</f>
        <v>14</v>
      </c>
      <c r="K83" s="49">
        <f>'Avg Week Lubigi-Masanafu'!K83+'Avg Week Masanafu-Lubigi'!K83</f>
        <v>8</v>
      </c>
      <c r="L83" s="49">
        <f>'Avg Week Lubigi-Masanafu'!L83+'Avg Week Masanafu-Lubigi'!L83</f>
        <v>9.5</v>
      </c>
      <c r="M83" s="49">
        <f>'Avg Week Lubigi-Masanafu'!M83+'Avg Week Masanafu-Lubigi'!M83</f>
        <v>51</v>
      </c>
      <c r="N83" s="49">
        <f>'Avg Week Lubigi-Masanafu'!N83+'Avg Week Masanafu-Lubigi'!N83</f>
        <v>0</v>
      </c>
      <c r="O83" s="15">
        <f t="shared" si="35"/>
        <v>123</v>
      </c>
      <c r="P83" s="15">
        <f t="shared" si="36"/>
        <v>174</v>
      </c>
      <c r="R83" s="8"/>
      <c r="T83"/>
    </row>
    <row r="84" spans="2:20" ht="23.1" customHeight="1" x14ac:dyDescent="0.25">
      <c r="B84" s="25" t="s">
        <v>124</v>
      </c>
      <c r="C84" s="49">
        <f>'Avg Week Lubigi-Masanafu'!C84+'Avg Week Masanafu-Lubigi'!C84</f>
        <v>35.5</v>
      </c>
      <c r="D84" s="49">
        <f>'Avg Week Lubigi-Masanafu'!D84+'Avg Week Masanafu-Lubigi'!D84</f>
        <v>10.5</v>
      </c>
      <c r="E84" s="49">
        <f>'Avg Week Lubigi-Masanafu'!E84+'Avg Week Masanafu-Lubigi'!E84</f>
        <v>10.5</v>
      </c>
      <c r="F84" s="49">
        <f>'Avg Week Lubigi-Masanafu'!F84+'Avg Week Masanafu-Lubigi'!F84</f>
        <v>12</v>
      </c>
      <c r="G84" s="49">
        <f>'Avg Week Lubigi-Masanafu'!G84+'Avg Week Masanafu-Lubigi'!G84</f>
        <v>0</v>
      </c>
      <c r="H84" s="49">
        <f>'Avg Week Lubigi-Masanafu'!H84+'Avg Week Masanafu-Lubigi'!H84</f>
        <v>0</v>
      </c>
      <c r="I84" s="49">
        <f>'Avg Week Lubigi-Masanafu'!I84+'Avg Week Masanafu-Lubigi'!I84</f>
        <v>4.5</v>
      </c>
      <c r="J84" s="49">
        <f>'Avg Week Lubigi-Masanafu'!J84+'Avg Week Masanafu-Lubigi'!J84</f>
        <v>12</v>
      </c>
      <c r="K84" s="49">
        <f>'Avg Week Lubigi-Masanafu'!K84+'Avg Week Masanafu-Lubigi'!K84</f>
        <v>10.5</v>
      </c>
      <c r="L84" s="49">
        <f>'Avg Week Lubigi-Masanafu'!L84+'Avg Week Masanafu-Lubigi'!L84</f>
        <v>6</v>
      </c>
      <c r="M84" s="49">
        <f>'Avg Week Lubigi-Masanafu'!M84+'Avg Week Masanafu-Lubigi'!M84</f>
        <v>49.5</v>
      </c>
      <c r="N84" s="49">
        <f>'Avg Week Lubigi-Masanafu'!N84+'Avg Week Masanafu-Lubigi'!N84</f>
        <v>0</v>
      </c>
      <c r="O84" s="15">
        <f t="shared" si="35"/>
        <v>101.5</v>
      </c>
      <c r="P84" s="15">
        <f t="shared" si="36"/>
        <v>151</v>
      </c>
      <c r="R84" s="8"/>
      <c r="T84"/>
    </row>
    <row r="85" spans="2:20" ht="23.1" customHeight="1" x14ac:dyDescent="0.25">
      <c r="B85" s="23" t="s">
        <v>125</v>
      </c>
      <c r="C85" s="49">
        <f>'Avg Week Lubigi-Masanafu'!C85+'Avg Week Masanafu-Lubigi'!C85</f>
        <v>32</v>
      </c>
      <c r="D85" s="49">
        <f>'Avg Week Lubigi-Masanafu'!D85+'Avg Week Masanafu-Lubigi'!D85</f>
        <v>10</v>
      </c>
      <c r="E85" s="49">
        <f>'Avg Week Lubigi-Masanafu'!E85+'Avg Week Masanafu-Lubigi'!E85</f>
        <v>6.5</v>
      </c>
      <c r="F85" s="49">
        <f>'Avg Week Lubigi-Masanafu'!F85+'Avg Week Masanafu-Lubigi'!F85</f>
        <v>10.5</v>
      </c>
      <c r="G85" s="49">
        <f>'Avg Week Lubigi-Masanafu'!G85+'Avg Week Masanafu-Lubigi'!G85</f>
        <v>0</v>
      </c>
      <c r="H85" s="49">
        <f>'Avg Week Lubigi-Masanafu'!H85+'Avg Week Masanafu-Lubigi'!H85</f>
        <v>0</v>
      </c>
      <c r="I85" s="49">
        <f>'Avg Week Lubigi-Masanafu'!I85+'Avg Week Masanafu-Lubigi'!I85</f>
        <v>3</v>
      </c>
      <c r="J85" s="49">
        <f>'Avg Week Lubigi-Masanafu'!J85+'Avg Week Masanafu-Lubigi'!J85</f>
        <v>13</v>
      </c>
      <c r="K85" s="49">
        <f>'Avg Week Lubigi-Masanafu'!K85+'Avg Week Masanafu-Lubigi'!K85</f>
        <v>12.5</v>
      </c>
      <c r="L85" s="49">
        <f>'Avg Week Lubigi-Masanafu'!L85+'Avg Week Masanafu-Lubigi'!L85</f>
        <v>2.5</v>
      </c>
      <c r="M85" s="49">
        <f>'Avg Week Lubigi-Masanafu'!M85+'Avg Week Masanafu-Lubigi'!M85</f>
        <v>38</v>
      </c>
      <c r="N85" s="49">
        <f>'Avg Week Lubigi-Masanafu'!N85+'Avg Week Masanafu-Lubigi'!N85</f>
        <v>0</v>
      </c>
      <c r="O85" s="15">
        <f t="shared" si="35"/>
        <v>90</v>
      </c>
      <c r="P85" s="15">
        <f t="shared" si="36"/>
        <v>128</v>
      </c>
      <c r="R85" s="8"/>
      <c r="T85"/>
    </row>
    <row r="86" spans="2:20" ht="23.1" customHeight="1" x14ac:dyDescent="0.25">
      <c r="B86" s="24" t="s">
        <v>126</v>
      </c>
      <c r="C86" s="49">
        <f>'Avg Week Lubigi-Masanafu'!C86+'Avg Week Masanafu-Lubigi'!C86</f>
        <v>18.5</v>
      </c>
      <c r="D86" s="49">
        <f>'Avg Week Lubigi-Masanafu'!D86+'Avg Week Masanafu-Lubigi'!D86</f>
        <v>2.5</v>
      </c>
      <c r="E86" s="49">
        <f>'Avg Week Lubigi-Masanafu'!E86+'Avg Week Masanafu-Lubigi'!E86</f>
        <v>6.5</v>
      </c>
      <c r="F86" s="49">
        <f>'Avg Week Lubigi-Masanafu'!F86+'Avg Week Masanafu-Lubigi'!F86</f>
        <v>7.5</v>
      </c>
      <c r="G86" s="49">
        <f>'Avg Week Lubigi-Masanafu'!G86+'Avg Week Masanafu-Lubigi'!G86</f>
        <v>0</v>
      </c>
      <c r="H86" s="49">
        <f>'Avg Week Lubigi-Masanafu'!H86+'Avg Week Masanafu-Lubigi'!H86</f>
        <v>0</v>
      </c>
      <c r="I86" s="49">
        <f>'Avg Week Lubigi-Masanafu'!I86+'Avg Week Masanafu-Lubigi'!I86</f>
        <v>4</v>
      </c>
      <c r="J86" s="49">
        <f>'Avg Week Lubigi-Masanafu'!J86+'Avg Week Masanafu-Lubigi'!J86</f>
        <v>13.5</v>
      </c>
      <c r="K86" s="49">
        <f>'Avg Week Lubigi-Masanafu'!K86+'Avg Week Masanafu-Lubigi'!K86</f>
        <v>5.5</v>
      </c>
      <c r="L86" s="49">
        <f>'Avg Week Lubigi-Masanafu'!L86+'Avg Week Masanafu-Lubigi'!L86</f>
        <v>1.5</v>
      </c>
      <c r="M86" s="49">
        <f>'Avg Week Lubigi-Masanafu'!M86+'Avg Week Masanafu-Lubigi'!M86</f>
        <v>25.5</v>
      </c>
      <c r="N86" s="49">
        <f>'Avg Week Lubigi-Masanafu'!N86+'Avg Week Masanafu-Lubigi'!N86</f>
        <v>0</v>
      </c>
      <c r="O86" s="15">
        <f t="shared" si="35"/>
        <v>59.5</v>
      </c>
      <c r="P86" s="15">
        <f t="shared" si="36"/>
        <v>85</v>
      </c>
      <c r="R86" s="8"/>
      <c r="T86"/>
    </row>
    <row r="87" spans="2:20" ht="23.1" customHeight="1" x14ac:dyDescent="0.25">
      <c r="B87" s="23" t="s">
        <v>127</v>
      </c>
      <c r="C87" s="49">
        <f>'Avg Week Lubigi-Masanafu'!C87+'Avg Week Masanafu-Lubigi'!C87</f>
        <v>25</v>
      </c>
      <c r="D87" s="49">
        <f>'Avg Week Lubigi-Masanafu'!D87+'Avg Week Masanafu-Lubigi'!D87</f>
        <v>6</v>
      </c>
      <c r="E87" s="49">
        <f>'Avg Week Lubigi-Masanafu'!E87+'Avg Week Masanafu-Lubigi'!E87</f>
        <v>8.5</v>
      </c>
      <c r="F87" s="49">
        <f>'Avg Week Lubigi-Masanafu'!F87+'Avg Week Masanafu-Lubigi'!F87</f>
        <v>8.5</v>
      </c>
      <c r="G87" s="49">
        <f>'Avg Week Lubigi-Masanafu'!G87+'Avg Week Masanafu-Lubigi'!G87</f>
        <v>0</v>
      </c>
      <c r="H87" s="49">
        <f>'Avg Week Lubigi-Masanafu'!H87+'Avg Week Masanafu-Lubigi'!H87</f>
        <v>0.5</v>
      </c>
      <c r="I87" s="49">
        <f>'Avg Week Lubigi-Masanafu'!I87+'Avg Week Masanafu-Lubigi'!I87</f>
        <v>6</v>
      </c>
      <c r="J87" s="49">
        <f>'Avg Week Lubigi-Masanafu'!J87+'Avg Week Masanafu-Lubigi'!J87</f>
        <v>8</v>
      </c>
      <c r="K87" s="49">
        <f>'Avg Week Lubigi-Masanafu'!K87+'Avg Week Masanafu-Lubigi'!K87</f>
        <v>4.5</v>
      </c>
      <c r="L87" s="49">
        <f>'Avg Week Lubigi-Masanafu'!L87+'Avg Week Masanafu-Lubigi'!L87</f>
        <v>3</v>
      </c>
      <c r="M87" s="49">
        <f>'Avg Week Lubigi-Masanafu'!M87+'Avg Week Masanafu-Lubigi'!M87</f>
        <v>28</v>
      </c>
      <c r="N87" s="49">
        <f>'Avg Week Lubigi-Masanafu'!N87+'Avg Week Masanafu-Lubigi'!N87</f>
        <v>0</v>
      </c>
      <c r="O87" s="15">
        <f t="shared" si="35"/>
        <v>70</v>
      </c>
      <c r="P87" s="15">
        <f t="shared" si="36"/>
        <v>98</v>
      </c>
      <c r="R87" s="8"/>
      <c r="T87"/>
    </row>
    <row r="88" spans="2:20" ht="23.1" customHeight="1" x14ac:dyDescent="0.25">
      <c r="B88" s="25" t="s">
        <v>128</v>
      </c>
      <c r="C88" s="49">
        <f>'Avg Week Lubigi-Masanafu'!C88+'Avg Week Masanafu-Lubigi'!C88</f>
        <v>19</v>
      </c>
      <c r="D88" s="49">
        <f>'Avg Week Lubigi-Masanafu'!D88+'Avg Week Masanafu-Lubigi'!D88</f>
        <v>8</v>
      </c>
      <c r="E88" s="49">
        <f>'Avg Week Lubigi-Masanafu'!E88+'Avg Week Masanafu-Lubigi'!E88</f>
        <v>4</v>
      </c>
      <c r="F88" s="49">
        <f>'Avg Week Lubigi-Masanafu'!F88+'Avg Week Masanafu-Lubigi'!F88</f>
        <v>9</v>
      </c>
      <c r="G88" s="49">
        <f>'Avg Week Lubigi-Masanafu'!G88+'Avg Week Masanafu-Lubigi'!G88</f>
        <v>0</v>
      </c>
      <c r="H88" s="49">
        <f>'Avg Week Lubigi-Masanafu'!H88+'Avg Week Masanafu-Lubigi'!H88</f>
        <v>0</v>
      </c>
      <c r="I88" s="49">
        <f>'Avg Week Lubigi-Masanafu'!I88+'Avg Week Masanafu-Lubigi'!I88</f>
        <v>9</v>
      </c>
      <c r="J88" s="49">
        <f>'Avg Week Lubigi-Masanafu'!J88+'Avg Week Masanafu-Lubigi'!J88</f>
        <v>13</v>
      </c>
      <c r="K88" s="49">
        <f>'Avg Week Lubigi-Masanafu'!K88+'Avg Week Masanafu-Lubigi'!K88</f>
        <v>6</v>
      </c>
      <c r="L88" s="49">
        <f>'Avg Week Lubigi-Masanafu'!L88+'Avg Week Masanafu-Lubigi'!L88</f>
        <v>2</v>
      </c>
      <c r="M88" s="49">
        <f>'Avg Week Lubigi-Masanafu'!M88+'Avg Week Masanafu-Lubigi'!M88</f>
        <v>34.5</v>
      </c>
      <c r="N88" s="49">
        <f>'Avg Week Lubigi-Masanafu'!N88+'Avg Week Masanafu-Lubigi'!N88</f>
        <v>0</v>
      </c>
      <c r="O88" s="15">
        <f t="shared" si="35"/>
        <v>70</v>
      </c>
      <c r="P88" s="15">
        <f t="shared" si="36"/>
        <v>104.5</v>
      </c>
      <c r="R88" s="8"/>
      <c r="T88"/>
    </row>
    <row r="89" spans="2:20" ht="23.1" customHeight="1" x14ac:dyDescent="0.25">
      <c r="B89" s="23" t="s">
        <v>129</v>
      </c>
      <c r="C89" s="49">
        <f>'Avg Week Lubigi-Masanafu'!C89+'Avg Week Masanafu-Lubigi'!C89</f>
        <v>17</v>
      </c>
      <c r="D89" s="49">
        <f>'Avg Week Lubigi-Masanafu'!D89+'Avg Week Masanafu-Lubigi'!D89</f>
        <v>9</v>
      </c>
      <c r="E89" s="49">
        <f>'Avg Week Lubigi-Masanafu'!E89+'Avg Week Masanafu-Lubigi'!E89</f>
        <v>1.5</v>
      </c>
      <c r="F89" s="49">
        <f>'Avg Week Lubigi-Masanafu'!F89+'Avg Week Masanafu-Lubigi'!F89</f>
        <v>9</v>
      </c>
      <c r="G89" s="49">
        <f>'Avg Week Lubigi-Masanafu'!G89+'Avg Week Masanafu-Lubigi'!G89</f>
        <v>0</v>
      </c>
      <c r="H89" s="49">
        <f>'Avg Week Lubigi-Masanafu'!H89+'Avg Week Masanafu-Lubigi'!H89</f>
        <v>0</v>
      </c>
      <c r="I89" s="49">
        <f>'Avg Week Lubigi-Masanafu'!I89+'Avg Week Masanafu-Lubigi'!I89</f>
        <v>8</v>
      </c>
      <c r="J89" s="49">
        <f>'Avg Week Lubigi-Masanafu'!J89+'Avg Week Masanafu-Lubigi'!J89</f>
        <v>14</v>
      </c>
      <c r="K89" s="49">
        <f>'Avg Week Lubigi-Masanafu'!K89+'Avg Week Masanafu-Lubigi'!K89</f>
        <v>4.5</v>
      </c>
      <c r="L89" s="49">
        <f>'Avg Week Lubigi-Masanafu'!L89+'Avg Week Masanafu-Lubigi'!L89</f>
        <v>4.5</v>
      </c>
      <c r="M89" s="49">
        <f>'Avg Week Lubigi-Masanafu'!M89+'Avg Week Masanafu-Lubigi'!M89</f>
        <v>33</v>
      </c>
      <c r="N89" s="49">
        <f>'Avg Week Lubigi-Masanafu'!N89+'Avg Week Masanafu-Lubigi'!N89</f>
        <v>0</v>
      </c>
      <c r="O89" s="15">
        <f t="shared" si="35"/>
        <v>67.5</v>
      </c>
      <c r="P89" s="15">
        <f t="shared" si="36"/>
        <v>100.5</v>
      </c>
      <c r="R89" s="8"/>
      <c r="T89"/>
    </row>
    <row r="90" spans="2:20" ht="23.1" customHeight="1" x14ac:dyDescent="0.25">
      <c r="B90" s="24" t="s">
        <v>130</v>
      </c>
      <c r="C90" s="49">
        <f>'Avg Week Lubigi-Masanafu'!C90+'Avg Week Masanafu-Lubigi'!C90</f>
        <v>26.5</v>
      </c>
      <c r="D90" s="49">
        <f>'Avg Week Lubigi-Masanafu'!D90+'Avg Week Masanafu-Lubigi'!D90</f>
        <v>6.5</v>
      </c>
      <c r="E90" s="49">
        <f>'Avg Week Lubigi-Masanafu'!E90+'Avg Week Masanafu-Lubigi'!E90</f>
        <v>14</v>
      </c>
      <c r="F90" s="49">
        <f>'Avg Week Lubigi-Masanafu'!F90+'Avg Week Masanafu-Lubigi'!F90</f>
        <v>11.5</v>
      </c>
      <c r="G90" s="49">
        <f>'Avg Week Lubigi-Masanafu'!G90+'Avg Week Masanafu-Lubigi'!G90</f>
        <v>0</v>
      </c>
      <c r="H90" s="49">
        <f>'Avg Week Lubigi-Masanafu'!H90+'Avg Week Masanafu-Lubigi'!H90</f>
        <v>0</v>
      </c>
      <c r="I90" s="49">
        <f>'Avg Week Lubigi-Masanafu'!I90+'Avg Week Masanafu-Lubigi'!I90</f>
        <v>7</v>
      </c>
      <c r="J90" s="49">
        <f>'Avg Week Lubigi-Masanafu'!J90+'Avg Week Masanafu-Lubigi'!J90</f>
        <v>19</v>
      </c>
      <c r="K90" s="49">
        <f>'Avg Week Lubigi-Masanafu'!K90+'Avg Week Masanafu-Lubigi'!K90</f>
        <v>7.5</v>
      </c>
      <c r="L90" s="49">
        <f>'Avg Week Lubigi-Masanafu'!L90+'Avg Week Masanafu-Lubigi'!L90</f>
        <v>4.5</v>
      </c>
      <c r="M90" s="49">
        <f>'Avg Week Lubigi-Masanafu'!M90+'Avg Week Masanafu-Lubigi'!M90</f>
        <v>35.5</v>
      </c>
      <c r="N90" s="49">
        <f>'Avg Week Lubigi-Masanafu'!N90+'Avg Week Masanafu-Lubigi'!N90</f>
        <v>0</v>
      </c>
      <c r="O90" s="15">
        <f t="shared" si="35"/>
        <v>96.5</v>
      </c>
      <c r="P90" s="15">
        <f t="shared" si="36"/>
        <v>132</v>
      </c>
      <c r="R90" s="8"/>
      <c r="T90"/>
    </row>
    <row r="91" spans="2:20" ht="23.1" customHeight="1" x14ac:dyDescent="0.25">
      <c r="B91" s="23" t="s">
        <v>131</v>
      </c>
      <c r="C91" s="49">
        <f>'Avg Week Lubigi-Masanafu'!C91+'Avg Week Masanafu-Lubigi'!C91</f>
        <v>18.5</v>
      </c>
      <c r="D91" s="49">
        <f>'Avg Week Lubigi-Masanafu'!D91+'Avg Week Masanafu-Lubigi'!D91</f>
        <v>7</v>
      </c>
      <c r="E91" s="49">
        <f>'Avg Week Lubigi-Masanafu'!E91+'Avg Week Masanafu-Lubigi'!E91</f>
        <v>5</v>
      </c>
      <c r="F91" s="49">
        <f>'Avg Week Lubigi-Masanafu'!F91+'Avg Week Masanafu-Lubigi'!F91</f>
        <v>9.5</v>
      </c>
      <c r="G91" s="49">
        <f>'Avg Week Lubigi-Masanafu'!G91+'Avg Week Masanafu-Lubigi'!G91</f>
        <v>0</v>
      </c>
      <c r="H91" s="49">
        <f>'Avg Week Lubigi-Masanafu'!H91+'Avg Week Masanafu-Lubigi'!H91</f>
        <v>0</v>
      </c>
      <c r="I91" s="49">
        <f>'Avg Week Lubigi-Masanafu'!I91+'Avg Week Masanafu-Lubigi'!I91</f>
        <v>5</v>
      </c>
      <c r="J91" s="49">
        <f>'Avg Week Lubigi-Masanafu'!J91+'Avg Week Masanafu-Lubigi'!J91</f>
        <v>9</v>
      </c>
      <c r="K91" s="49">
        <f>'Avg Week Lubigi-Masanafu'!K91+'Avg Week Masanafu-Lubigi'!K91</f>
        <v>12</v>
      </c>
      <c r="L91" s="49">
        <f>'Avg Week Lubigi-Masanafu'!L91+'Avg Week Masanafu-Lubigi'!L91</f>
        <v>4.5</v>
      </c>
      <c r="M91" s="49">
        <f>'Avg Week Lubigi-Masanafu'!M91+'Avg Week Masanafu-Lubigi'!M91</f>
        <v>42.5</v>
      </c>
      <c r="N91" s="49">
        <f>'Avg Week Lubigi-Masanafu'!N91+'Avg Week Masanafu-Lubigi'!N91</f>
        <v>0</v>
      </c>
      <c r="O91" s="15">
        <f t="shared" si="35"/>
        <v>70.5</v>
      </c>
      <c r="P91" s="15">
        <f t="shared" si="36"/>
        <v>113</v>
      </c>
      <c r="R91" s="8"/>
      <c r="T91"/>
    </row>
    <row r="92" spans="2:20" ht="23.1" customHeight="1" x14ac:dyDescent="0.25">
      <c r="B92" s="25" t="s">
        <v>132</v>
      </c>
      <c r="C92" s="49">
        <f>'Avg Week Lubigi-Masanafu'!C92+'Avg Week Masanafu-Lubigi'!C92</f>
        <v>14.5</v>
      </c>
      <c r="D92" s="49">
        <f>'Avg Week Lubigi-Masanafu'!D92+'Avg Week Masanafu-Lubigi'!D92</f>
        <v>8</v>
      </c>
      <c r="E92" s="49">
        <f>'Avg Week Lubigi-Masanafu'!E92+'Avg Week Masanafu-Lubigi'!E92</f>
        <v>3.5</v>
      </c>
      <c r="F92" s="49">
        <f>'Avg Week Lubigi-Masanafu'!F92+'Avg Week Masanafu-Lubigi'!F92</f>
        <v>3.5</v>
      </c>
      <c r="G92" s="49">
        <f>'Avg Week Lubigi-Masanafu'!G92+'Avg Week Masanafu-Lubigi'!G92</f>
        <v>0.5</v>
      </c>
      <c r="H92" s="49">
        <f>'Avg Week Lubigi-Masanafu'!H92+'Avg Week Masanafu-Lubigi'!H92</f>
        <v>0</v>
      </c>
      <c r="I92" s="49">
        <f>'Avg Week Lubigi-Masanafu'!I92+'Avg Week Masanafu-Lubigi'!I92</f>
        <v>9</v>
      </c>
      <c r="J92" s="49">
        <f>'Avg Week Lubigi-Masanafu'!J92+'Avg Week Masanafu-Lubigi'!J92</f>
        <v>13.5</v>
      </c>
      <c r="K92" s="49">
        <f>'Avg Week Lubigi-Masanafu'!K92+'Avg Week Masanafu-Lubigi'!K92</f>
        <v>7</v>
      </c>
      <c r="L92" s="49">
        <f>'Avg Week Lubigi-Masanafu'!L92+'Avg Week Masanafu-Lubigi'!L92</f>
        <v>3</v>
      </c>
      <c r="M92" s="49">
        <f>'Avg Week Lubigi-Masanafu'!M92+'Avg Week Masanafu-Lubigi'!M92</f>
        <v>23</v>
      </c>
      <c r="N92" s="49">
        <f>'Avg Week Lubigi-Masanafu'!N92+'Avg Week Masanafu-Lubigi'!N92</f>
        <v>0</v>
      </c>
      <c r="O92" s="15">
        <f t="shared" si="35"/>
        <v>62.5</v>
      </c>
      <c r="P92" s="15">
        <f t="shared" si="36"/>
        <v>85.5</v>
      </c>
      <c r="R92" s="8"/>
      <c r="T92"/>
    </row>
    <row r="93" spans="2:20" ht="23.1" customHeight="1" x14ac:dyDescent="0.25">
      <c r="B93" s="23" t="s">
        <v>133</v>
      </c>
      <c r="C93" s="49">
        <f>'Avg Week Lubigi-Masanafu'!C93+'Avg Week Masanafu-Lubigi'!C93</f>
        <v>24</v>
      </c>
      <c r="D93" s="49">
        <f>'Avg Week Lubigi-Masanafu'!D93+'Avg Week Masanafu-Lubigi'!D93</f>
        <v>3.5</v>
      </c>
      <c r="E93" s="49">
        <f>'Avg Week Lubigi-Masanafu'!E93+'Avg Week Masanafu-Lubigi'!E93</f>
        <v>5.5</v>
      </c>
      <c r="F93" s="49">
        <f>'Avg Week Lubigi-Masanafu'!F93+'Avg Week Masanafu-Lubigi'!F93</f>
        <v>2.5</v>
      </c>
      <c r="G93" s="49">
        <f>'Avg Week Lubigi-Masanafu'!G93+'Avg Week Masanafu-Lubigi'!G93</f>
        <v>0</v>
      </c>
      <c r="H93" s="49">
        <f>'Avg Week Lubigi-Masanafu'!H93+'Avg Week Masanafu-Lubigi'!H93</f>
        <v>0</v>
      </c>
      <c r="I93" s="49">
        <f>'Avg Week Lubigi-Masanafu'!I93+'Avg Week Masanafu-Lubigi'!I93</f>
        <v>12</v>
      </c>
      <c r="J93" s="49">
        <f>'Avg Week Lubigi-Masanafu'!J93+'Avg Week Masanafu-Lubigi'!J93</f>
        <v>12</v>
      </c>
      <c r="K93" s="49">
        <f>'Avg Week Lubigi-Masanafu'!K93+'Avg Week Masanafu-Lubigi'!K93</f>
        <v>7</v>
      </c>
      <c r="L93" s="49">
        <f>'Avg Week Lubigi-Masanafu'!L93+'Avg Week Masanafu-Lubigi'!L93</f>
        <v>6</v>
      </c>
      <c r="M93" s="49">
        <f>'Avg Week Lubigi-Masanafu'!M93+'Avg Week Masanafu-Lubigi'!M93</f>
        <v>35</v>
      </c>
      <c r="N93" s="49">
        <f>'Avg Week Lubigi-Masanafu'!N93+'Avg Week Masanafu-Lubigi'!N93</f>
        <v>0</v>
      </c>
      <c r="O93" s="15">
        <f t="shared" si="35"/>
        <v>72.5</v>
      </c>
      <c r="P93" s="15">
        <f t="shared" si="36"/>
        <v>107.5</v>
      </c>
      <c r="R93" s="8"/>
      <c r="T93"/>
    </row>
    <row r="94" spans="2:20" ht="23.1" customHeight="1" x14ac:dyDescent="0.25">
      <c r="B94" s="24" t="s">
        <v>134</v>
      </c>
      <c r="C94" s="49">
        <f>'Avg Week Lubigi-Masanafu'!C94+'Avg Week Masanafu-Lubigi'!C94</f>
        <v>39</v>
      </c>
      <c r="D94" s="49">
        <f>'Avg Week Lubigi-Masanafu'!D94+'Avg Week Masanafu-Lubigi'!D94</f>
        <v>20</v>
      </c>
      <c r="E94" s="49">
        <f>'Avg Week Lubigi-Masanafu'!E94+'Avg Week Masanafu-Lubigi'!E94</f>
        <v>11</v>
      </c>
      <c r="F94" s="49">
        <f>'Avg Week Lubigi-Masanafu'!F94+'Avg Week Masanafu-Lubigi'!F94</f>
        <v>18.5</v>
      </c>
      <c r="G94" s="49">
        <f>'Avg Week Lubigi-Masanafu'!G94+'Avg Week Masanafu-Lubigi'!G94</f>
        <v>1</v>
      </c>
      <c r="H94" s="49">
        <f>'Avg Week Lubigi-Masanafu'!H94+'Avg Week Masanafu-Lubigi'!H94</f>
        <v>1</v>
      </c>
      <c r="I94" s="49">
        <f>'Avg Week Lubigi-Masanafu'!I94+'Avg Week Masanafu-Lubigi'!I94</f>
        <v>18</v>
      </c>
      <c r="J94" s="49">
        <f>'Avg Week Lubigi-Masanafu'!J94+'Avg Week Masanafu-Lubigi'!J94</f>
        <v>20.5</v>
      </c>
      <c r="K94" s="49">
        <f>'Avg Week Lubigi-Masanafu'!K94+'Avg Week Masanafu-Lubigi'!K94</f>
        <v>13</v>
      </c>
      <c r="L94" s="49">
        <f>'Avg Week Lubigi-Masanafu'!L94+'Avg Week Masanafu-Lubigi'!L94</f>
        <v>5</v>
      </c>
      <c r="M94" s="49">
        <f>'Avg Week Lubigi-Masanafu'!M94+'Avg Week Masanafu-Lubigi'!M94</f>
        <v>25.5</v>
      </c>
      <c r="N94" s="49">
        <f>'Avg Week Lubigi-Masanafu'!N94+'Avg Week Masanafu-Lubigi'!N94</f>
        <v>0</v>
      </c>
      <c r="O94" s="15">
        <f t="shared" si="35"/>
        <v>147</v>
      </c>
      <c r="P94" s="15">
        <f t="shared" si="36"/>
        <v>172.5</v>
      </c>
      <c r="R94" s="8"/>
      <c r="T94"/>
    </row>
    <row r="95" spans="2:20" ht="23.1" customHeight="1" x14ac:dyDescent="0.25">
      <c r="B95" s="23" t="s">
        <v>135</v>
      </c>
      <c r="C95" s="49">
        <f>'Avg Week Lubigi-Masanafu'!C95+'Avg Week Masanafu-Lubigi'!C95</f>
        <v>25.5</v>
      </c>
      <c r="D95" s="49">
        <f>'Avg Week Lubigi-Masanafu'!D95+'Avg Week Masanafu-Lubigi'!D95</f>
        <v>9.5</v>
      </c>
      <c r="E95" s="49">
        <f>'Avg Week Lubigi-Masanafu'!E95+'Avg Week Masanafu-Lubigi'!E95</f>
        <v>6</v>
      </c>
      <c r="F95" s="49">
        <f>'Avg Week Lubigi-Masanafu'!F95+'Avg Week Masanafu-Lubigi'!F95</f>
        <v>11</v>
      </c>
      <c r="G95" s="49">
        <f>'Avg Week Lubigi-Masanafu'!G95+'Avg Week Masanafu-Lubigi'!G95</f>
        <v>0</v>
      </c>
      <c r="H95" s="49">
        <f>'Avg Week Lubigi-Masanafu'!H95+'Avg Week Masanafu-Lubigi'!H95</f>
        <v>1</v>
      </c>
      <c r="I95" s="49">
        <f>'Avg Week Lubigi-Masanafu'!I95+'Avg Week Masanafu-Lubigi'!I95</f>
        <v>17</v>
      </c>
      <c r="J95" s="49">
        <f>'Avg Week Lubigi-Masanafu'!J95+'Avg Week Masanafu-Lubigi'!J95</f>
        <v>18.5</v>
      </c>
      <c r="K95" s="49">
        <f>'Avg Week Lubigi-Masanafu'!K95+'Avg Week Masanafu-Lubigi'!K95</f>
        <v>9.5</v>
      </c>
      <c r="L95" s="49">
        <f>'Avg Week Lubigi-Masanafu'!L95+'Avg Week Masanafu-Lubigi'!L95</f>
        <v>1.5</v>
      </c>
      <c r="M95" s="49">
        <f>'Avg Week Lubigi-Masanafu'!M95+'Avg Week Masanafu-Lubigi'!M95</f>
        <v>28.5</v>
      </c>
      <c r="N95" s="49">
        <f>'Avg Week Lubigi-Masanafu'!N95+'Avg Week Masanafu-Lubigi'!N95</f>
        <v>0</v>
      </c>
      <c r="O95" s="15">
        <f t="shared" si="35"/>
        <v>99.5</v>
      </c>
      <c r="P95" s="15">
        <f t="shared" si="36"/>
        <v>128</v>
      </c>
      <c r="R95" s="8"/>
      <c r="T95"/>
    </row>
    <row r="96" spans="2:20" ht="23.1" customHeight="1" x14ac:dyDescent="0.25">
      <c r="B96" s="25" t="s">
        <v>136</v>
      </c>
      <c r="C96" s="49">
        <f>'Avg Week Lubigi-Masanafu'!C96+'Avg Week Masanafu-Lubigi'!C96</f>
        <v>31</v>
      </c>
      <c r="D96" s="49">
        <f>'Avg Week Lubigi-Masanafu'!D96+'Avg Week Masanafu-Lubigi'!D96</f>
        <v>6</v>
      </c>
      <c r="E96" s="49">
        <f>'Avg Week Lubigi-Masanafu'!E96+'Avg Week Masanafu-Lubigi'!E96</f>
        <v>4.5</v>
      </c>
      <c r="F96" s="49">
        <f>'Avg Week Lubigi-Masanafu'!F96+'Avg Week Masanafu-Lubigi'!F96</f>
        <v>9</v>
      </c>
      <c r="G96" s="49">
        <f>'Avg Week Lubigi-Masanafu'!G96+'Avg Week Masanafu-Lubigi'!G96</f>
        <v>0.5</v>
      </c>
      <c r="H96" s="49">
        <f>'Avg Week Lubigi-Masanafu'!H96+'Avg Week Masanafu-Lubigi'!H96</f>
        <v>0.5</v>
      </c>
      <c r="I96" s="49">
        <f>'Avg Week Lubigi-Masanafu'!I96+'Avg Week Masanafu-Lubigi'!I96</f>
        <v>7</v>
      </c>
      <c r="J96" s="49">
        <f>'Avg Week Lubigi-Masanafu'!J96+'Avg Week Masanafu-Lubigi'!J96</f>
        <v>13</v>
      </c>
      <c r="K96" s="49">
        <f>'Avg Week Lubigi-Masanafu'!K96+'Avg Week Masanafu-Lubigi'!K96</f>
        <v>6.5</v>
      </c>
      <c r="L96" s="49">
        <f>'Avg Week Lubigi-Masanafu'!L96+'Avg Week Masanafu-Lubigi'!L96</f>
        <v>5</v>
      </c>
      <c r="M96" s="49">
        <f>'Avg Week Lubigi-Masanafu'!M96+'Avg Week Masanafu-Lubigi'!M96</f>
        <v>35.5</v>
      </c>
      <c r="N96" s="49">
        <f>'Avg Week Lubigi-Masanafu'!N96+'Avg Week Masanafu-Lubigi'!N96</f>
        <v>0</v>
      </c>
      <c r="O96" s="15">
        <f t="shared" si="35"/>
        <v>83</v>
      </c>
      <c r="P96" s="15">
        <f t="shared" si="36"/>
        <v>118.5</v>
      </c>
      <c r="R96" s="8"/>
      <c r="T96"/>
    </row>
    <row r="97" spans="2:20" ht="23.1" customHeight="1" x14ac:dyDescent="0.25">
      <c r="B97" s="23" t="s">
        <v>137</v>
      </c>
      <c r="C97" s="49">
        <f>'Avg Week Lubigi-Masanafu'!C97+'Avg Week Masanafu-Lubigi'!C97</f>
        <v>34.5</v>
      </c>
      <c r="D97" s="49">
        <f>'Avg Week Lubigi-Masanafu'!D97+'Avg Week Masanafu-Lubigi'!D97</f>
        <v>6</v>
      </c>
      <c r="E97" s="49">
        <f>'Avg Week Lubigi-Masanafu'!E97+'Avg Week Masanafu-Lubigi'!E97</f>
        <v>5.5</v>
      </c>
      <c r="F97" s="49">
        <f>'Avg Week Lubigi-Masanafu'!F97+'Avg Week Masanafu-Lubigi'!F97</f>
        <v>10</v>
      </c>
      <c r="G97" s="49">
        <f>'Avg Week Lubigi-Masanafu'!G97+'Avg Week Masanafu-Lubigi'!G97</f>
        <v>0.5</v>
      </c>
      <c r="H97" s="49">
        <f>'Avg Week Lubigi-Masanafu'!H97+'Avg Week Masanafu-Lubigi'!H97</f>
        <v>0.5</v>
      </c>
      <c r="I97" s="49">
        <f>'Avg Week Lubigi-Masanafu'!I97+'Avg Week Masanafu-Lubigi'!I97</f>
        <v>8.5</v>
      </c>
      <c r="J97" s="49">
        <f>'Avg Week Lubigi-Masanafu'!J97+'Avg Week Masanafu-Lubigi'!J97</f>
        <v>13.5</v>
      </c>
      <c r="K97" s="49">
        <f>'Avg Week Lubigi-Masanafu'!K97+'Avg Week Masanafu-Lubigi'!K97</f>
        <v>10</v>
      </c>
      <c r="L97" s="49">
        <f>'Avg Week Lubigi-Masanafu'!L97+'Avg Week Masanafu-Lubigi'!L97</f>
        <v>3.5</v>
      </c>
      <c r="M97" s="49">
        <f>'Avg Week Lubigi-Masanafu'!M97+'Avg Week Masanafu-Lubigi'!M97</f>
        <v>39</v>
      </c>
      <c r="N97" s="49">
        <f>'Avg Week Lubigi-Masanafu'!N97+'Avg Week Masanafu-Lubigi'!N97</f>
        <v>0</v>
      </c>
      <c r="O97" s="15">
        <f t="shared" si="35"/>
        <v>92.5</v>
      </c>
      <c r="P97" s="15">
        <f t="shared" si="36"/>
        <v>131.5</v>
      </c>
      <c r="R97" s="8"/>
      <c r="T97"/>
    </row>
    <row r="98" spans="2:20" ht="23.1" customHeight="1" x14ac:dyDescent="0.25">
      <c r="B98" s="24" t="s">
        <v>138</v>
      </c>
      <c r="C98" s="49">
        <f>'Avg Week Lubigi-Masanafu'!C98+'Avg Week Masanafu-Lubigi'!C98</f>
        <v>27.5</v>
      </c>
      <c r="D98" s="49">
        <f>'Avg Week Lubigi-Masanafu'!D98+'Avg Week Masanafu-Lubigi'!D98</f>
        <v>10.5</v>
      </c>
      <c r="E98" s="49">
        <f>'Avg Week Lubigi-Masanafu'!E98+'Avg Week Masanafu-Lubigi'!E98</f>
        <v>6.5</v>
      </c>
      <c r="F98" s="49">
        <f>'Avg Week Lubigi-Masanafu'!F98+'Avg Week Masanafu-Lubigi'!F98</f>
        <v>10</v>
      </c>
      <c r="G98" s="49">
        <f>'Avg Week Lubigi-Masanafu'!G98+'Avg Week Masanafu-Lubigi'!G98</f>
        <v>1.5</v>
      </c>
      <c r="H98" s="49">
        <f>'Avg Week Lubigi-Masanafu'!H98+'Avg Week Masanafu-Lubigi'!H98</f>
        <v>2</v>
      </c>
      <c r="I98" s="49">
        <f>'Avg Week Lubigi-Masanafu'!I98+'Avg Week Masanafu-Lubigi'!I98</f>
        <v>8.5</v>
      </c>
      <c r="J98" s="49">
        <f>'Avg Week Lubigi-Masanafu'!J98+'Avg Week Masanafu-Lubigi'!J98</f>
        <v>14.5</v>
      </c>
      <c r="K98" s="49">
        <f>'Avg Week Lubigi-Masanafu'!K98+'Avg Week Masanafu-Lubigi'!K98</f>
        <v>4.5</v>
      </c>
      <c r="L98" s="49">
        <f>'Avg Week Lubigi-Masanafu'!L98+'Avg Week Masanafu-Lubigi'!L98</f>
        <v>3.5</v>
      </c>
      <c r="M98" s="49">
        <f>'Avg Week Lubigi-Masanafu'!M98+'Avg Week Masanafu-Lubigi'!M98</f>
        <v>39.5</v>
      </c>
      <c r="N98" s="49">
        <f>'Avg Week Lubigi-Masanafu'!N98+'Avg Week Masanafu-Lubigi'!N98</f>
        <v>0</v>
      </c>
      <c r="O98" s="15">
        <f t="shared" si="35"/>
        <v>89</v>
      </c>
      <c r="P98" s="15">
        <f t="shared" si="36"/>
        <v>128.5</v>
      </c>
      <c r="R98" s="8"/>
      <c r="T98"/>
    </row>
    <row r="99" spans="2:20" ht="23.1" customHeight="1" x14ac:dyDescent="0.25">
      <c r="B99" s="23" t="s">
        <v>139</v>
      </c>
      <c r="C99" s="49">
        <f>'Avg Week Lubigi-Masanafu'!C99+'Avg Week Masanafu-Lubigi'!C99</f>
        <v>26</v>
      </c>
      <c r="D99" s="49">
        <f>'Avg Week Lubigi-Masanafu'!D99+'Avg Week Masanafu-Lubigi'!D99</f>
        <v>3.5</v>
      </c>
      <c r="E99" s="49">
        <f>'Avg Week Lubigi-Masanafu'!E99+'Avg Week Masanafu-Lubigi'!E99</f>
        <v>4.5</v>
      </c>
      <c r="F99" s="49">
        <f>'Avg Week Lubigi-Masanafu'!F99+'Avg Week Masanafu-Lubigi'!F99</f>
        <v>12.5</v>
      </c>
      <c r="G99" s="49">
        <f>'Avg Week Lubigi-Masanafu'!G99+'Avg Week Masanafu-Lubigi'!G99</f>
        <v>1</v>
      </c>
      <c r="H99" s="49">
        <f>'Avg Week Lubigi-Masanafu'!H99+'Avg Week Masanafu-Lubigi'!H99</f>
        <v>0</v>
      </c>
      <c r="I99" s="49">
        <f>'Avg Week Lubigi-Masanafu'!I99+'Avg Week Masanafu-Lubigi'!I99</f>
        <v>7</v>
      </c>
      <c r="J99" s="49">
        <f>'Avg Week Lubigi-Masanafu'!J99+'Avg Week Masanafu-Lubigi'!J99</f>
        <v>10.5</v>
      </c>
      <c r="K99" s="49">
        <f>'Avg Week Lubigi-Masanafu'!K99+'Avg Week Masanafu-Lubigi'!K99</f>
        <v>3.5</v>
      </c>
      <c r="L99" s="49">
        <f>'Avg Week Lubigi-Masanafu'!L99+'Avg Week Masanafu-Lubigi'!L99</f>
        <v>7.5</v>
      </c>
      <c r="M99" s="49">
        <f>'Avg Week Lubigi-Masanafu'!M99+'Avg Week Masanafu-Lubigi'!M99</f>
        <v>32.5</v>
      </c>
      <c r="N99" s="49">
        <f>'Avg Week Lubigi-Masanafu'!N99+'Avg Week Masanafu-Lubigi'!N99</f>
        <v>0</v>
      </c>
      <c r="O99" s="15">
        <f t="shared" si="35"/>
        <v>76</v>
      </c>
      <c r="P99" s="15">
        <f t="shared" si="36"/>
        <v>108.5</v>
      </c>
      <c r="R99" s="8"/>
      <c r="T99"/>
    </row>
    <row r="100" spans="2:20" ht="23.1" customHeight="1" x14ac:dyDescent="0.25">
      <c r="B100" s="25" t="s">
        <v>140</v>
      </c>
      <c r="C100" s="49">
        <f>'Avg Week Lubigi-Masanafu'!C100+'Avg Week Masanafu-Lubigi'!C100</f>
        <v>27.5</v>
      </c>
      <c r="D100" s="49">
        <f>'Avg Week Lubigi-Masanafu'!D100+'Avg Week Masanafu-Lubigi'!D100</f>
        <v>10.5</v>
      </c>
      <c r="E100" s="49">
        <f>'Avg Week Lubigi-Masanafu'!E100+'Avg Week Masanafu-Lubigi'!E100</f>
        <v>4.5</v>
      </c>
      <c r="F100" s="49">
        <f>'Avg Week Lubigi-Masanafu'!F100+'Avg Week Masanafu-Lubigi'!F100</f>
        <v>15</v>
      </c>
      <c r="G100" s="49">
        <f>'Avg Week Lubigi-Masanafu'!G100+'Avg Week Masanafu-Lubigi'!G100</f>
        <v>1.5</v>
      </c>
      <c r="H100" s="49">
        <f>'Avg Week Lubigi-Masanafu'!H100+'Avg Week Masanafu-Lubigi'!H100</f>
        <v>0.5</v>
      </c>
      <c r="I100" s="49">
        <f>'Avg Week Lubigi-Masanafu'!I100+'Avg Week Masanafu-Lubigi'!I100</f>
        <v>9.5</v>
      </c>
      <c r="J100" s="49">
        <f>'Avg Week Lubigi-Masanafu'!J100+'Avg Week Masanafu-Lubigi'!J100</f>
        <v>13.5</v>
      </c>
      <c r="K100" s="49">
        <f>'Avg Week Lubigi-Masanafu'!K100+'Avg Week Masanafu-Lubigi'!K100</f>
        <v>5</v>
      </c>
      <c r="L100" s="49">
        <f>'Avg Week Lubigi-Masanafu'!L100+'Avg Week Masanafu-Lubigi'!L100</f>
        <v>8.5</v>
      </c>
      <c r="M100" s="49">
        <f>'Avg Week Lubigi-Masanafu'!M100+'Avg Week Masanafu-Lubigi'!M100</f>
        <v>58</v>
      </c>
      <c r="N100" s="49">
        <f>'Avg Week Lubigi-Masanafu'!N100+'Avg Week Masanafu-Lubigi'!N100</f>
        <v>0</v>
      </c>
      <c r="O100" s="15">
        <f t="shared" si="35"/>
        <v>96</v>
      </c>
      <c r="P100" s="15">
        <f t="shared" si="36"/>
        <v>154</v>
      </c>
      <c r="R100" s="8"/>
      <c r="T100"/>
    </row>
    <row r="101" spans="2:20" ht="23.1" customHeight="1" x14ac:dyDescent="0.25">
      <c r="B101" s="23" t="s">
        <v>141</v>
      </c>
      <c r="C101" s="49">
        <f>'Avg Week Lubigi-Masanafu'!C101+'Avg Week Masanafu-Lubigi'!C101</f>
        <v>41</v>
      </c>
      <c r="D101" s="49">
        <f>'Avg Week Lubigi-Masanafu'!D101+'Avg Week Masanafu-Lubigi'!D101</f>
        <v>8.5</v>
      </c>
      <c r="E101" s="49">
        <f>'Avg Week Lubigi-Masanafu'!E101+'Avg Week Masanafu-Lubigi'!E101</f>
        <v>6</v>
      </c>
      <c r="F101" s="49">
        <f>'Avg Week Lubigi-Masanafu'!F101+'Avg Week Masanafu-Lubigi'!F101</f>
        <v>18.5</v>
      </c>
      <c r="G101" s="49">
        <f>'Avg Week Lubigi-Masanafu'!G101+'Avg Week Masanafu-Lubigi'!G101</f>
        <v>2</v>
      </c>
      <c r="H101" s="49">
        <f>'Avg Week Lubigi-Masanafu'!H101+'Avg Week Masanafu-Lubigi'!H101</f>
        <v>1</v>
      </c>
      <c r="I101" s="49">
        <f>'Avg Week Lubigi-Masanafu'!I101+'Avg Week Masanafu-Lubigi'!I101</f>
        <v>15</v>
      </c>
      <c r="J101" s="49">
        <f>'Avg Week Lubigi-Masanafu'!J101+'Avg Week Masanafu-Lubigi'!J101</f>
        <v>20.5</v>
      </c>
      <c r="K101" s="49">
        <f>'Avg Week Lubigi-Masanafu'!K101+'Avg Week Masanafu-Lubigi'!K101</f>
        <v>4.5</v>
      </c>
      <c r="L101" s="49">
        <f>'Avg Week Lubigi-Masanafu'!L101+'Avg Week Masanafu-Lubigi'!L101</f>
        <v>8</v>
      </c>
      <c r="M101" s="49">
        <f>'Avg Week Lubigi-Masanafu'!M101+'Avg Week Masanafu-Lubigi'!M101</f>
        <v>75</v>
      </c>
      <c r="N101" s="49">
        <f>'Avg Week Lubigi-Masanafu'!N101+'Avg Week Masanafu-Lubigi'!N101</f>
        <v>0</v>
      </c>
      <c r="O101" s="15">
        <f t="shared" si="35"/>
        <v>125</v>
      </c>
      <c r="P101" s="15">
        <f t="shared" si="36"/>
        <v>200</v>
      </c>
      <c r="R101" s="8"/>
      <c r="T101"/>
    </row>
    <row r="102" spans="2:20" ht="23.1" customHeight="1" x14ac:dyDescent="0.25">
      <c r="B102" s="24" t="s">
        <v>142</v>
      </c>
      <c r="C102" s="49">
        <f>'Avg Week Lubigi-Masanafu'!C102+'Avg Week Masanafu-Lubigi'!C102</f>
        <v>38</v>
      </c>
      <c r="D102" s="49">
        <f>'Avg Week Lubigi-Masanafu'!D102+'Avg Week Masanafu-Lubigi'!D102</f>
        <v>11</v>
      </c>
      <c r="E102" s="49">
        <f>'Avg Week Lubigi-Masanafu'!E102+'Avg Week Masanafu-Lubigi'!E102</f>
        <v>7.5</v>
      </c>
      <c r="F102" s="49">
        <f>'Avg Week Lubigi-Masanafu'!F102+'Avg Week Masanafu-Lubigi'!F102</f>
        <v>34</v>
      </c>
      <c r="G102" s="49">
        <f>'Avg Week Lubigi-Masanafu'!G102+'Avg Week Masanafu-Lubigi'!G102</f>
        <v>1</v>
      </c>
      <c r="H102" s="49">
        <f>'Avg Week Lubigi-Masanafu'!H102+'Avg Week Masanafu-Lubigi'!H102</f>
        <v>0.5</v>
      </c>
      <c r="I102" s="49">
        <f>'Avg Week Lubigi-Masanafu'!I102+'Avg Week Masanafu-Lubigi'!I102</f>
        <v>17</v>
      </c>
      <c r="J102" s="49">
        <f>'Avg Week Lubigi-Masanafu'!J102+'Avg Week Masanafu-Lubigi'!J102</f>
        <v>23.5</v>
      </c>
      <c r="K102" s="49">
        <f>'Avg Week Lubigi-Masanafu'!K102+'Avg Week Masanafu-Lubigi'!K102</f>
        <v>7</v>
      </c>
      <c r="L102" s="49">
        <f>'Avg Week Lubigi-Masanafu'!L102+'Avg Week Masanafu-Lubigi'!L102</f>
        <v>8.5</v>
      </c>
      <c r="M102" s="49">
        <f>'Avg Week Lubigi-Masanafu'!M102+'Avg Week Masanafu-Lubigi'!M102</f>
        <v>116</v>
      </c>
      <c r="N102" s="49">
        <f>'Avg Week Lubigi-Masanafu'!N102+'Avg Week Masanafu-Lubigi'!N102</f>
        <v>0</v>
      </c>
      <c r="O102" s="15">
        <f t="shared" si="35"/>
        <v>148</v>
      </c>
      <c r="P102" s="15">
        <f t="shared" si="36"/>
        <v>264</v>
      </c>
      <c r="R102" s="8"/>
      <c r="T102"/>
    </row>
    <row r="103" spans="2:20" ht="23.1" customHeight="1" x14ac:dyDescent="0.25">
      <c r="B103" s="23" t="s">
        <v>143</v>
      </c>
      <c r="C103" s="49">
        <f>'Avg Week Lubigi-Masanafu'!C103+'Avg Week Masanafu-Lubigi'!C103</f>
        <v>74</v>
      </c>
      <c r="D103" s="49">
        <f>'Avg Week Lubigi-Masanafu'!D103+'Avg Week Masanafu-Lubigi'!D103</f>
        <v>16</v>
      </c>
      <c r="E103" s="49">
        <f>'Avg Week Lubigi-Masanafu'!E103+'Avg Week Masanafu-Lubigi'!E103</f>
        <v>9.5</v>
      </c>
      <c r="F103" s="49">
        <f>'Avg Week Lubigi-Masanafu'!F103+'Avg Week Masanafu-Lubigi'!F103</f>
        <v>29</v>
      </c>
      <c r="G103" s="49">
        <f>'Avg Week Lubigi-Masanafu'!G103+'Avg Week Masanafu-Lubigi'!G103</f>
        <v>3</v>
      </c>
      <c r="H103" s="49">
        <f>'Avg Week Lubigi-Masanafu'!H103+'Avg Week Masanafu-Lubigi'!H103</f>
        <v>1</v>
      </c>
      <c r="I103" s="49">
        <f>'Avg Week Lubigi-Masanafu'!I103+'Avg Week Masanafu-Lubigi'!I103</f>
        <v>12.5</v>
      </c>
      <c r="J103" s="49">
        <f>'Avg Week Lubigi-Masanafu'!J103+'Avg Week Masanafu-Lubigi'!J103</f>
        <v>20</v>
      </c>
      <c r="K103" s="49">
        <f>'Avg Week Lubigi-Masanafu'!K103+'Avg Week Masanafu-Lubigi'!K103</f>
        <v>4.5</v>
      </c>
      <c r="L103" s="49">
        <f>'Avg Week Lubigi-Masanafu'!L103+'Avg Week Masanafu-Lubigi'!L103</f>
        <v>7</v>
      </c>
      <c r="M103" s="49">
        <f>'Avg Week Lubigi-Masanafu'!M103+'Avg Week Masanafu-Lubigi'!M103</f>
        <v>148.5</v>
      </c>
      <c r="N103" s="49">
        <f>'Avg Week Lubigi-Masanafu'!N103+'Avg Week Masanafu-Lubigi'!N103</f>
        <v>0</v>
      </c>
      <c r="O103" s="15">
        <f t="shared" si="35"/>
        <v>176.5</v>
      </c>
      <c r="P103" s="15">
        <f t="shared" si="36"/>
        <v>325</v>
      </c>
      <c r="R103" s="8"/>
      <c r="T103"/>
    </row>
    <row r="104" spans="2:20" ht="23.1" customHeight="1" x14ac:dyDescent="0.25">
      <c r="B104" s="25" t="s">
        <v>144</v>
      </c>
      <c r="C104" s="49">
        <f>'Avg Week Lubigi-Masanafu'!C104+'Avg Week Masanafu-Lubigi'!C104</f>
        <v>113.5</v>
      </c>
      <c r="D104" s="49">
        <f>'Avg Week Lubigi-Masanafu'!D104+'Avg Week Masanafu-Lubigi'!D104</f>
        <v>49</v>
      </c>
      <c r="E104" s="49">
        <f>'Avg Week Lubigi-Masanafu'!E104+'Avg Week Masanafu-Lubigi'!E104</f>
        <v>23</v>
      </c>
      <c r="F104" s="49">
        <f>'Avg Week Lubigi-Masanafu'!F104+'Avg Week Masanafu-Lubigi'!F104</f>
        <v>100.5</v>
      </c>
      <c r="G104" s="49">
        <f>'Avg Week Lubigi-Masanafu'!G104+'Avg Week Masanafu-Lubigi'!G104</f>
        <v>1.5</v>
      </c>
      <c r="H104" s="49">
        <f>'Avg Week Lubigi-Masanafu'!H104+'Avg Week Masanafu-Lubigi'!H104</f>
        <v>2</v>
      </c>
      <c r="I104" s="49">
        <f>'Avg Week Lubigi-Masanafu'!I104+'Avg Week Masanafu-Lubigi'!I104</f>
        <v>50</v>
      </c>
      <c r="J104" s="49">
        <f>'Avg Week Lubigi-Masanafu'!J104+'Avg Week Masanafu-Lubigi'!J104</f>
        <v>17</v>
      </c>
      <c r="K104" s="49">
        <f>'Avg Week Lubigi-Masanafu'!K104+'Avg Week Masanafu-Lubigi'!K104</f>
        <v>12.5</v>
      </c>
      <c r="L104" s="49">
        <f>'Avg Week Lubigi-Masanafu'!L104+'Avg Week Masanafu-Lubigi'!L104</f>
        <v>22.5</v>
      </c>
      <c r="M104" s="49">
        <f>'Avg Week Lubigi-Masanafu'!M104+'Avg Week Masanafu-Lubigi'!M104</f>
        <v>210</v>
      </c>
      <c r="N104" s="49">
        <f>'Avg Week Lubigi-Masanafu'!N104+'Avg Week Masanafu-Lubigi'!N104</f>
        <v>0</v>
      </c>
      <c r="O104" s="15">
        <f t="shared" si="35"/>
        <v>391.5</v>
      </c>
      <c r="P104" s="15">
        <f t="shared" si="36"/>
        <v>601.5</v>
      </c>
      <c r="R104" s="8"/>
      <c r="T104"/>
    </row>
    <row r="105" spans="2:20" ht="23.1" customHeight="1" x14ac:dyDescent="0.25">
      <c r="B105" s="23" t="s">
        <v>145</v>
      </c>
      <c r="C105" s="49">
        <f>'Avg Week Lubigi-Masanafu'!C105+'Avg Week Masanafu-Lubigi'!C105</f>
        <v>125</v>
      </c>
      <c r="D105" s="49">
        <f>'Avg Week Lubigi-Masanafu'!D105+'Avg Week Masanafu-Lubigi'!D105</f>
        <v>26</v>
      </c>
      <c r="E105" s="49">
        <f>'Avg Week Lubigi-Masanafu'!E105+'Avg Week Masanafu-Lubigi'!E105</f>
        <v>34.5</v>
      </c>
      <c r="F105" s="49">
        <f>'Avg Week Lubigi-Masanafu'!F105+'Avg Week Masanafu-Lubigi'!F105</f>
        <v>84.5</v>
      </c>
      <c r="G105" s="49">
        <f>'Avg Week Lubigi-Masanafu'!G105+'Avg Week Masanafu-Lubigi'!G105</f>
        <v>2.5</v>
      </c>
      <c r="H105" s="49">
        <f>'Avg Week Lubigi-Masanafu'!H105+'Avg Week Masanafu-Lubigi'!H105</f>
        <v>0.5</v>
      </c>
      <c r="I105" s="49">
        <f>'Avg Week Lubigi-Masanafu'!I105+'Avg Week Masanafu-Lubigi'!I105</f>
        <v>66.5</v>
      </c>
      <c r="J105" s="49">
        <f>'Avg Week Lubigi-Masanafu'!J105+'Avg Week Masanafu-Lubigi'!J105</f>
        <v>19</v>
      </c>
      <c r="K105" s="49">
        <f>'Avg Week Lubigi-Masanafu'!K105+'Avg Week Masanafu-Lubigi'!K105</f>
        <v>8</v>
      </c>
      <c r="L105" s="49">
        <f>'Avg Week Lubigi-Masanafu'!L105+'Avg Week Masanafu-Lubigi'!L105</f>
        <v>16.5</v>
      </c>
      <c r="M105" s="49">
        <f>'Avg Week Lubigi-Masanafu'!M105+'Avg Week Masanafu-Lubigi'!M105</f>
        <v>224</v>
      </c>
      <c r="N105" s="49">
        <f>'Avg Week Lubigi-Masanafu'!N105+'Avg Week Masanafu-Lubigi'!N105</f>
        <v>0</v>
      </c>
      <c r="O105" s="15">
        <f t="shared" si="35"/>
        <v>383</v>
      </c>
      <c r="P105" s="15">
        <f t="shared" si="36"/>
        <v>607</v>
      </c>
      <c r="R105" s="8"/>
      <c r="T105"/>
    </row>
    <row r="106" spans="2:20" ht="23.1" customHeight="1" x14ac:dyDescent="0.25">
      <c r="B106" s="57" t="s">
        <v>18</v>
      </c>
      <c r="C106" s="16">
        <f>SUM(C10:C105)</f>
        <v>10898.714285714286</v>
      </c>
      <c r="D106" s="16">
        <f t="shared" ref="D106:P106" si="37">SUM(D10:D105)</f>
        <v>3568.8571428571431</v>
      </c>
      <c r="E106" s="16">
        <f t="shared" si="37"/>
        <v>2691.0714285714284</v>
      </c>
      <c r="F106" s="16">
        <f t="shared" si="37"/>
        <v>4809.5714285714284</v>
      </c>
      <c r="G106" s="16">
        <f t="shared" si="37"/>
        <v>255.21428571428572</v>
      </c>
      <c r="H106" s="16">
        <f t="shared" si="37"/>
        <v>73.428571428571431</v>
      </c>
      <c r="I106" s="16">
        <f t="shared" si="37"/>
        <v>2072.0714285714284</v>
      </c>
      <c r="J106" s="16">
        <f t="shared" si="37"/>
        <v>1983.6428571428573</v>
      </c>
      <c r="K106" s="16">
        <f t="shared" si="37"/>
        <v>1286.5</v>
      </c>
      <c r="L106" s="16">
        <f t="shared" si="37"/>
        <v>974.28571428571433</v>
      </c>
      <c r="M106" s="16">
        <f t="shared" si="37"/>
        <v>18142</v>
      </c>
      <c r="N106" s="16">
        <f t="shared" si="37"/>
        <v>3.1428571428571423</v>
      </c>
      <c r="O106" s="16">
        <f t="shared" si="37"/>
        <v>28616.5</v>
      </c>
      <c r="P106" s="16">
        <f t="shared" si="37"/>
        <v>46758.499999999993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0.23308519917692586</v>
      </c>
      <c r="D107" s="43">
        <f t="shared" si="38"/>
        <v>7.632531289192647E-2</v>
      </c>
      <c r="E107" s="43">
        <f t="shared" si="38"/>
        <v>5.7552561108064393E-2</v>
      </c>
      <c r="F107" s="43">
        <f t="shared" si="38"/>
        <v>0.10285983144393916</v>
      </c>
      <c r="G107" s="43">
        <f t="shared" si="38"/>
        <v>5.4581367176938043E-3</v>
      </c>
      <c r="H107" s="43">
        <f t="shared" si="38"/>
        <v>1.5703791060143384E-3</v>
      </c>
      <c r="I107" s="43">
        <f t="shared" si="38"/>
        <v>4.4314326348608893E-2</v>
      </c>
      <c r="J107" s="43">
        <f t="shared" si="38"/>
        <v>4.2423149954400968E-2</v>
      </c>
      <c r="K107" s="43">
        <f t="shared" si="38"/>
        <v>2.751371408407028E-2</v>
      </c>
      <c r="L107" s="43">
        <f t="shared" si="38"/>
        <v>2.0836547671240834E-2</v>
      </c>
      <c r="M107" s="43">
        <f t="shared" si="38"/>
        <v>0.38799362682720795</v>
      </c>
      <c r="N107" s="43">
        <f t="shared" si="38"/>
        <v>6.7214669907228483E-5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0.38085420249556329</v>
      </c>
      <c r="D108" s="44">
        <f t="shared" ref="D108:N108" si="39">D106/$O$106</f>
        <v>0.12471326482473899</v>
      </c>
      <c r="E108" s="44">
        <f t="shared" si="39"/>
        <v>9.403915323577057E-2</v>
      </c>
      <c r="F108" s="44">
        <f t="shared" si="39"/>
        <v>0.16806986978042138</v>
      </c>
      <c r="G108" s="44">
        <f t="shared" si="39"/>
        <v>8.9184311748217188E-3</v>
      </c>
      <c r="H108" s="44">
        <f t="shared" si="39"/>
        <v>2.565952210388113E-3</v>
      </c>
      <c r="I108" s="44">
        <f t="shared" si="39"/>
        <v>7.2408275944697231E-2</v>
      </c>
      <c r="J108" s="44">
        <f t="shared" si="39"/>
        <v>6.9318150617401056E-2</v>
      </c>
      <c r="K108" s="44">
        <f t="shared" si="39"/>
        <v>4.4956580993482778E-2</v>
      </c>
      <c r="L108" s="44">
        <f t="shared" si="39"/>
        <v>3.4046291974410371E-2</v>
      </c>
      <c r="M108" s="44"/>
      <c r="N108" s="44">
        <f t="shared" si="39"/>
        <v>1.0982674830454955E-4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Lubigi-Masanafu</vt:lpstr>
      <vt:lpstr>22.07 Masanafu-Lubigi</vt:lpstr>
      <vt:lpstr>23.07 Lubigi-Masanafu</vt:lpstr>
      <vt:lpstr>23.07 Masanafu-Lubigi</vt:lpstr>
      <vt:lpstr>24.07 Lubigi-Masanafu</vt:lpstr>
      <vt:lpstr>24.07 Masanafu-Lubigi</vt:lpstr>
      <vt:lpstr>25.07 Lubigi-Masanafu</vt:lpstr>
      <vt:lpstr>25.07 Masanafu-Lubigi</vt:lpstr>
      <vt:lpstr>26.07 Lubigi-Masanafu-24h</vt:lpstr>
      <vt:lpstr>26.07 Masanafu-Lubigi-24h</vt:lpstr>
      <vt:lpstr>27.07 Lubigi-Masanafu-24h</vt:lpstr>
      <vt:lpstr>27.07 Masanafu-Lubigi-24h</vt:lpstr>
      <vt:lpstr>28.07 Lubigi-Masanafu</vt:lpstr>
      <vt:lpstr>28.07 Masanafu-Lubigi</vt:lpstr>
      <vt:lpstr>Avg Week Lubigi-Masanafu</vt:lpstr>
      <vt:lpstr>Avg Week Masanafu-Lubigi</vt:lpstr>
      <vt:lpstr>Avg Week Lubigi-Masanafu-2Dir</vt:lpstr>
      <vt:lpstr>'22.07 Lubigi-Masanafu'!Print_Area</vt:lpstr>
      <vt:lpstr>'22.07 Masanafu-Lubigi'!Print_Area</vt:lpstr>
      <vt:lpstr>'23.07 Lubigi-Masanafu'!Print_Area</vt:lpstr>
      <vt:lpstr>'23.07 Masanafu-Lubigi'!Print_Area</vt:lpstr>
      <vt:lpstr>'24.07 Lubigi-Masanafu'!Print_Area</vt:lpstr>
      <vt:lpstr>'24.07 Masanafu-Lubigi'!Print_Area</vt:lpstr>
      <vt:lpstr>'25.07 Lubigi-Masanafu'!Print_Area</vt:lpstr>
      <vt:lpstr>'25.07 Masanafu-Lubigi'!Print_Area</vt:lpstr>
      <vt:lpstr>'26.07 Lubigi-Masanafu-24h'!Print_Area</vt:lpstr>
      <vt:lpstr>'26.07 Masanafu-Lubigi-24h'!Print_Area</vt:lpstr>
      <vt:lpstr>'27.07 Lubigi-Masanafu-24h'!Print_Area</vt:lpstr>
      <vt:lpstr>'27.07 Masanafu-Lubigi-24h'!Print_Area</vt:lpstr>
      <vt:lpstr>'28.07 Lubigi-Masanafu'!Print_Area</vt:lpstr>
      <vt:lpstr>'28.07 Masanafu-Lubigi'!Print_Area</vt:lpstr>
      <vt:lpstr>'Avg Week Lubigi-Masanafu'!Print_Area</vt:lpstr>
      <vt:lpstr>'Avg Week Lubigi-Masanafu-2Dir'!Print_Area</vt:lpstr>
      <vt:lpstr>'Avg Week Masanafu-Lubigi'!Print_Area</vt:lpstr>
      <vt:lpstr>'22.07 Lubigi-Masanafu'!Print_Titles</vt:lpstr>
      <vt:lpstr>'22.07 Masanafu-Lubigi'!Print_Titles</vt:lpstr>
      <vt:lpstr>'23.07 Lubigi-Masanafu'!Print_Titles</vt:lpstr>
      <vt:lpstr>'23.07 Masanafu-Lubigi'!Print_Titles</vt:lpstr>
      <vt:lpstr>'24.07 Lubigi-Masanafu'!Print_Titles</vt:lpstr>
      <vt:lpstr>'24.07 Masanafu-Lubigi'!Print_Titles</vt:lpstr>
      <vt:lpstr>'25.07 Lubigi-Masanafu'!Print_Titles</vt:lpstr>
      <vt:lpstr>'25.07 Masanafu-Lubigi'!Print_Titles</vt:lpstr>
      <vt:lpstr>'26.07 Lubigi-Masanafu-24h'!Print_Titles</vt:lpstr>
      <vt:lpstr>'26.07 Masanafu-Lubigi-24h'!Print_Titles</vt:lpstr>
      <vt:lpstr>'27.07 Lubigi-Masanafu-24h'!Print_Titles</vt:lpstr>
      <vt:lpstr>'27.07 Masanafu-Lubigi-24h'!Print_Titles</vt:lpstr>
      <vt:lpstr>'28.07 Lubigi-Masanafu'!Print_Titles</vt:lpstr>
      <vt:lpstr>'28.07 Masanafu-Lubigi'!Print_Titles</vt:lpstr>
      <vt:lpstr>'Avg Week Lubigi-Masanafu'!Print_Titles</vt:lpstr>
      <vt:lpstr>'Avg Week Lubigi-Masanafu-2Dir'!Print_Titles</vt:lpstr>
      <vt:lpstr>'Avg Week Masanafu-Lubigi'!Print_Titles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2020-01-15T20:29:10Z</dcterms:modified>
</cp:coreProperties>
</file>