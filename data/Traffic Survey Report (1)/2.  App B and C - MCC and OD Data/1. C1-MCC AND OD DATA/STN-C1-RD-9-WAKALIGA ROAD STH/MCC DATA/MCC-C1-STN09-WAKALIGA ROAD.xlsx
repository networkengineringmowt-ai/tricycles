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9-WAKALIGA ROAD STH\MCC DATA\"/>
    </mc:Choice>
  </mc:AlternateContent>
  <bookViews>
    <workbookView xWindow="0" yWindow="0" windowWidth="15600" windowHeight="10920" tabRatio="940" firstSheet="14" activeTab="16"/>
  </bookViews>
  <sheets>
    <sheet name="22.07 Nakawuka-Nateete" sheetId="93" r:id="rId1"/>
    <sheet name="22.07 Nateete-Nakawuka" sheetId="94" r:id="rId2"/>
    <sheet name="23.07 Nakawuka-Nateete" sheetId="95" r:id="rId3"/>
    <sheet name="23.07 Nateete-Nakawuka" sheetId="96" r:id="rId4"/>
    <sheet name="24.07 Nakawuka-Nateete" sheetId="97" r:id="rId5"/>
    <sheet name="24.07 Nateete-Nakawuka" sheetId="98" r:id="rId6"/>
    <sheet name="25.07 Nakawuka-Nateete" sheetId="99" r:id="rId7"/>
    <sheet name="25.07 Nateete-Nakawuka" sheetId="100" r:id="rId8"/>
    <sheet name="26.07 Nakawuka-Nateete-24h" sheetId="101" r:id="rId9"/>
    <sheet name="26.07 Nateete-Nakawuka-24h" sheetId="109" r:id="rId10"/>
    <sheet name="27.07 Nakawuka-Nateete-24h" sheetId="105" r:id="rId11"/>
    <sheet name="27.07 Nateete-Nakawuka-24h" sheetId="110" r:id="rId12"/>
    <sheet name="28.07 Nakawuka-Nateete" sheetId="103" r:id="rId13"/>
    <sheet name="28.07 Nateete-Nakawuka" sheetId="104" r:id="rId14"/>
    <sheet name="Avg Week Nakawuka-Nateete" sheetId="107" r:id="rId15"/>
    <sheet name="Avg Week Nateete-Nakawuka" sheetId="108" r:id="rId16"/>
    <sheet name="Avg Week Nakawuka-Nateete-2Dir" sheetId="111" r:id="rId17"/>
  </sheets>
  <definedNames>
    <definedName name="_xlnm.Print_Area" localSheetId="0">'22.07 Nakawuka-Nateete'!$A$1:$AF$60</definedName>
    <definedName name="_xlnm.Print_Area" localSheetId="1">'22.07 Nateete-Nakawuka'!$A$1:$AF$60</definedName>
    <definedName name="_xlnm.Print_Area" localSheetId="2">'23.07 Nakawuka-Nateete'!$A$1:$AF$60</definedName>
    <definedName name="_xlnm.Print_Area" localSheetId="3">'23.07 Nateete-Nakawuka'!$A$1:$AF$60</definedName>
    <definedName name="_xlnm.Print_Area" localSheetId="4">'24.07 Nakawuka-Nateete'!$A$1:$AF$60</definedName>
    <definedName name="_xlnm.Print_Area" localSheetId="5">'24.07 Nateete-Nakawuka'!$A$1:$AF$60</definedName>
    <definedName name="_xlnm.Print_Area" localSheetId="6">'25.07 Nakawuka-Nateete'!$A$1:$AF$60</definedName>
    <definedName name="_xlnm.Print_Area" localSheetId="7">'25.07 Nateete-Nakawuka'!$A$1:$AF$60</definedName>
    <definedName name="_xlnm.Print_Area" localSheetId="8">'26.07 Nakawuka-Nateete-24h'!$A$1:$AF$108</definedName>
    <definedName name="_xlnm.Print_Area" localSheetId="9">'26.07 Nateete-Nakawuka-24h'!$A$1:$AF$108</definedName>
    <definedName name="_xlnm.Print_Area" localSheetId="10">'27.07 Nakawuka-Nateete-24h'!$A$1:$AF$108</definedName>
    <definedName name="_xlnm.Print_Area" localSheetId="11">'27.07 Nateete-Nakawuka-24h'!$A$1:$AF$108</definedName>
    <definedName name="_xlnm.Print_Area" localSheetId="12">'28.07 Nakawuka-Nateete'!$A$1:$AF$60</definedName>
    <definedName name="_xlnm.Print_Area" localSheetId="13">'28.07 Nateete-Nakawuka'!$A$1:$AF$60</definedName>
    <definedName name="_xlnm.Print_Area" localSheetId="14">'Avg Week Nakawuka-Nateete'!$A$1:$AF$108</definedName>
    <definedName name="_xlnm.Print_Area" localSheetId="16">'Avg Week Nakawuka-Nateete-2Dir'!$A$1:$AF$108</definedName>
    <definedName name="_xlnm.Print_Area" localSheetId="15">'Avg Week Nateete-Nakawuka'!$A$1:$AF$108</definedName>
    <definedName name="_xlnm.Print_Titles" localSheetId="0">'22.07 Nakawuka-Nateete'!$1:$8</definedName>
    <definedName name="_xlnm.Print_Titles" localSheetId="1">'22.07 Nateete-Nakawuka'!$1:$8</definedName>
    <definedName name="_xlnm.Print_Titles" localSheetId="2">'23.07 Nakawuka-Nateete'!$1:$8</definedName>
    <definedName name="_xlnm.Print_Titles" localSheetId="3">'23.07 Nateete-Nakawuka'!$1:$8</definedName>
    <definedName name="_xlnm.Print_Titles" localSheetId="4">'24.07 Nakawuka-Nateete'!$1:$8</definedName>
    <definedName name="_xlnm.Print_Titles" localSheetId="5">'24.07 Nateete-Nakawuka'!$1:$8</definedName>
    <definedName name="_xlnm.Print_Titles" localSheetId="6">'25.07 Nakawuka-Nateete'!$1:$8</definedName>
    <definedName name="_xlnm.Print_Titles" localSheetId="7">'25.07 Nateete-Nakawuka'!$1:$8</definedName>
    <definedName name="_xlnm.Print_Titles" localSheetId="8">'26.07 Nakawuka-Nateete-24h'!$1:$8</definedName>
    <definedName name="_xlnm.Print_Titles" localSheetId="9">'26.07 Nateete-Nakawuka-24h'!$1:$8</definedName>
    <definedName name="_xlnm.Print_Titles" localSheetId="10">'27.07 Nakawuka-Nateete-24h'!$1:$8</definedName>
    <definedName name="_xlnm.Print_Titles" localSheetId="11">'27.07 Nateete-Nakawuka-24h'!$1:$8</definedName>
    <definedName name="_xlnm.Print_Titles" localSheetId="12">'28.07 Nakawuka-Nateete'!$1:$8</definedName>
    <definedName name="_xlnm.Print_Titles" localSheetId="13">'28.07 Nateete-Nakawuka'!$1:$8</definedName>
    <definedName name="_xlnm.Print_Titles" localSheetId="14">'Avg Week Nakawuka-Nateete'!$1:$8</definedName>
    <definedName name="_xlnm.Print_Titles" localSheetId="16">'Avg Week Nakawuka-Nateete-2Dir'!$1:$8</definedName>
    <definedName name="_xlnm.Print_Titles" localSheetId="15">'Avg Week Nateete-Nakawuka'!$1:$8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V32" i="108" l="1"/>
  <c r="F61" i="111"/>
  <c r="J66" i="111"/>
  <c r="N87" i="111"/>
  <c r="I101" i="111"/>
  <c r="C58" i="111"/>
  <c r="P66" i="108"/>
  <c r="O58" i="108"/>
  <c r="O66" i="108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V24" i="108" s="1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AD26" i="108" s="1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Z29" i="108" s="1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G98" i="108"/>
  <c r="P98" i="108" s="1"/>
  <c r="H98" i="108"/>
  <c r="I98" i="108"/>
  <c r="J98" i="108"/>
  <c r="K98" i="108"/>
  <c r="L98" i="108"/>
  <c r="M98" i="108"/>
  <c r="N98" i="108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T22" i="108" s="1"/>
  <c r="E58" i="108"/>
  <c r="U22" i="108" s="1"/>
  <c r="F58" i="108"/>
  <c r="V22" i="108" s="1"/>
  <c r="G58" i="108"/>
  <c r="H58" i="108"/>
  <c r="X22" i="108" s="1"/>
  <c r="I58" i="108"/>
  <c r="Y22" i="108" s="1"/>
  <c r="J58" i="108"/>
  <c r="Z22" i="108" s="1"/>
  <c r="K58" i="108"/>
  <c r="L58" i="108"/>
  <c r="AB22" i="108" s="1"/>
  <c r="M58" i="108"/>
  <c r="AC22" i="108" s="1"/>
  <c r="N58" i="108"/>
  <c r="AD22" i="108" s="1"/>
  <c r="C58" i="108"/>
  <c r="C57" i="108"/>
  <c r="P59" i="107"/>
  <c r="O59" i="107"/>
  <c r="C59" i="107"/>
  <c r="D59" i="107"/>
  <c r="D59" i="111" s="1"/>
  <c r="E59" i="107"/>
  <c r="E59" i="111" s="1"/>
  <c r="F59" i="107"/>
  <c r="F59" i="111" s="1"/>
  <c r="G59" i="107"/>
  <c r="G59" i="111" s="1"/>
  <c r="H59" i="107"/>
  <c r="H59" i="111" s="1"/>
  <c r="I59" i="107"/>
  <c r="I59" i="111" s="1"/>
  <c r="J59" i="107"/>
  <c r="J59" i="111" s="1"/>
  <c r="K59" i="107"/>
  <c r="L59" i="107"/>
  <c r="L59" i="111" s="1"/>
  <c r="M59" i="107"/>
  <c r="M59" i="111" s="1"/>
  <c r="N59" i="107"/>
  <c r="N59" i="111" s="1"/>
  <c r="C60" i="107"/>
  <c r="C60" i="111" s="1"/>
  <c r="D60" i="107"/>
  <c r="D60" i="111" s="1"/>
  <c r="E60" i="107"/>
  <c r="E60" i="111" s="1"/>
  <c r="F60" i="107"/>
  <c r="F60" i="111" s="1"/>
  <c r="G60" i="107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G61" i="107"/>
  <c r="G61" i="111" s="1"/>
  <c r="H61" i="107"/>
  <c r="H61" i="111" s="1"/>
  <c r="I61" i="107"/>
  <c r="I61" i="111" s="1"/>
  <c r="J61" i="107"/>
  <c r="J61" i="111" s="1"/>
  <c r="K61" i="107"/>
  <c r="L61" i="107"/>
  <c r="L61" i="111" s="1"/>
  <c r="M61" i="107"/>
  <c r="M61" i="111" s="1"/>
  <c r="N61" i="107"/>
  <c r="N61" i="111" s="1"/>
  <c r="C62" i="107"/>
  <c r="D62" i="107"/>
  <c r="E62" i="107"/>
  <c r="F62" i="107"/>
  <c r="G62" i="107"/>
  <c r="H62" i="107"/>
  <c r="I62" i="107"/>
  <c r="J62" i="107"/>
  <c r="K62" i="107"/>
  <c r="L62" i="107"/>
  <c r="M62" i="107"/>
  <c r="N62" i="107"/>
  <c r="C63" i="107"/>
  <c r="D63" i="107"/>
  <c r="D63" i="111" s="1"/>
  <c r="E63" i="107"/>
  <c r="E63" i="111" s="1"/>
  <c r="F63" i="107"/>
  <c r="F63" i="111" s="1"/>
  <c r="G63" i="107"/>
  <c r="G63" i="111" s="1"/>
  <c r="H63" i="107"/>
  <c r="H63" i="111" s="1"/>
  <c r="I63" i="107"/>
  <c r="I63" i="111" s="1"/>
  <c r="J63" i="107"/>
  <c r="J63" i="111" s="1"/>
  <c r="K63" i="107"/>
  <c r="L63" i="107"/>
  <c r="L63" i="111" s="1"/>
  <c r="M63" i="107"/>
  <c r="M63" i="111" s="1"/>
  <c r="N63" i="107"/>
  <c r="N63" i="111" s="1"/>
  <c r="C64" i="107"/>
  <c r="D64" i="107"/>
  <c r="D64" i="111" s="1"/>
  <c r="E64" i="107"/>
  <c r="E64" i="111" s="1"/>
  <c r="F64" i="107"/>
  <c r="F64" i="111" s="1"/>
  <c r="G64" i="107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M64" i="111" s="1"/>
  <c r="N64" i="107"/>
  <c r="N64" i="111" s="1"/>
  <c r="C65" i="107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L65" i="107"/>
  <c r="L65" i="111" s="1"/>
  <c r="M65" i="107"/>
  <c r="M65" i="111" s="1"/>
  <c r="N65" i="107"/>
  <c r="N65" i="111" s="1"/>
  <c r="C66" i="107"/>
  <c r="D66" i="107"/>
  <c r="E66" i="107"/>
  <c r="F66" i="107"/>
  <c r="G66" i="107"/>
  <c r="H66" i="107"/>
  <c r="I66" i="107"/>
  <c r="J66" i="107"/>
  <c r="K66" i="107"/>
  <c r="L66" i="107"/>
  <c r="M66" i="107"/>
  <c r="N66" i="107"/>
  <c r="N66" i="111" s="1"/>
  <c r="C67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L67" i="107"/>
  <c r="L67" i="111" s="1"/>
  <c r="M67" i="107"/>
  <c r="M67" i="111" s="1"/>
  <c r="N67" i="107"/>
  <c r="N67" i="111" s="1"/>
  <c r="C68" i="107"/>
  <c r="D68" i="107"/>
  <c r="D68" i="111" s="1"/>
  <c r="E68" i="107"/>
  <c r="E68" i="111" s="1"/>
  <c r="F68" i="107"/>
  <c r="F68" i="111" s="1"/>
  <c r="G68" i="107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L69" i="107"/>
  <c r="L69" i="111" s="1"/>
  <c r="M69" i="107"/>
  <c r="M69" i="111" s="1"/>
  <c r="N69" i="107"/>
  <c r="N69" i="111" s="1"/>
  <c r="C70" i="107"/>
  <c r="D70" i="107"/>
  <c r="E70" i="107"/>
  <c r="F70" i="107"/>
  <c r="G70" i="107"/>
  <c r="H70" i="107"/>
  <c r="I70" i="107"/>
  <c r="J70" i="107"/>
  <c r="K70" i="107"/>
  <c r="L70" i="107"/>
  <c r="M70" i="107"/>
  <c r="N70" i="107"/>
  <c r="C71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L71" i="107"/>
  <c r="L71" i="111" s="1"/>
  <c r="M71" i="107"/>
  <c r="M71" i="111" s="1"/>
  <c r="N71" i="107"/>
  <c r="N71" i="111" s="1"/>
  <c r="C72" i="107"/>
  <c r="D72" i="107"/>
  <c r="D72" i="111" s="1"/>
  <c r="E72" i="107"/>
  <c r="E72" i="111" s="1"/>
  <c r="F72" i="107"/>
  <c r="F72" i="111" s="1"/>
  <c r="G72" i="107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L73" i="107"/>
  <c r="L73" i="111" s="1"/>
  <c r="M73" i="107"/>
  <c r="M73" i="111" s="1"/>
  <c r="N73" i="107"/>
  <c r="N73" i="111" s="1"/>
  <c r="C74" i="107"/>
  <c r="D74" i="107"/>
  <c r="E74" i="107"/>
  <c r="F74" i="107"/>
  <c r="G74" i="107"/>
  <c r="H74" i="107"/>
  <c r="I74" i="107"/>
  <c r="J74" i="107"/>
  <c r="K74" i="107"/>
  <c r="L74" i="107"/>
  <c r="M74" i="107"/>
  <c r="N74" i="107"/>
  <c r="C75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L75" i="107"/>
  <c r="L75" i="111" s="1"/>
  <c r="M75" i="107"/>
  <c r="M75" i="111" s="1"/>
  <c r="N75" i="107"/>
  <c r="N75" i="111" s="1"/>
  <c r="C76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D78" i="107"/>
  <c r="E78" i="107"/>
  <c r="F78" i="107"/>
  <c r="G78" i="107"/>
  <c r="H78" i="107"/>
  <c r="I78" i="107"/>
  <c r="J78" i="107"/>
  <c r="K78" i="107"/>
  <c r="L78" i="107"/>
  <c r="M78" i="107"/>
  <c r="N78" i="107"/>
  <c r="C79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C81" i="107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C82" i="107"/>
  <c r="D82" i="107"/>
  <c r="E82" i="107"/>
  <c r="F82" i="107"/>
  <c r="G82" i="107"/>
  <c r="H82" i="107"/>
  <c r="I82" i="107"/>
  <c r="J82" i="107"/>
  <c r="K82" i="107"/>
  <c r="L82" i="107"/>
  <c r="M82" i="107"/>
  <c r="N82" i="107"/>
  <c r="C83" i="107"/>
  <c r="C83" i="111" s="1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N83" i="111" s="1"/>
  <c r="C84" i="107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C85" i="107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D86" i="107"/>
  <c r="E86" i="107"/>
  <c r="F86" i="107"/>
  <c r="G86" i="107"/>
  <c r="H86" i="107"/>
  <c r="I86" i="107"/>
  <c r="J86" i="107"/>
  <c r="K86" i="107"/>
  <c r="L86" i="107"/>
  <c r="M86" i="107"/>
  <c r="N86" i="107"/>
  <c r="C87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C88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C89" i="107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N89" i="111" s="1"/>
  <c r="C90" i="107"/>
  <c r="D90" i="107"/>
  <c r="E90" i="107"/>
  <c r="F90" i="107"/>
  <c r="G90" i="107"/>
  <c r="H90" i="107"/>
  <c r="I90" i="107"/>
  <c r="J90" i="107"/>
  <c r="K90" i="107"/>
  <c r="L90" i="107"/>
  <c r="M90" i="107"/>
  <c r="N90" i="107"/>
  <c r="C91" i="107"/>
  <c r="C91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N91" i="111" s="1"/>
  <c r="C92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K92" i="111" s="1"/>
  <c r="L92" i="107"/>
  <c r="L92" i="111" s="1"/>
  <c r="M92" i="107"/>
  <c r="M92" i="111" s="1"/>
  <c r="N92" i="107"/>
  <c r="N92" i="111" s="1"/>
  <c r="C93" i="107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D94" i="107"/>
  <c r="E94" i="107"/>
  <c r="F94" i="107"/>
  <c r="G94" i="107"/>
  <c r="H94" i="107"/>
  <c r="I94" i="107"/>
  <c r="J94" i="107"/>
  <c r="K94" i="107"/>
  <c r="L94" i="107"/>
  <c r="M94" i="107"/>
  <c r="N94" i="107"/>
  <c r="C95" i="107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C97" i="107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D98" i="107"/>
  <c r="E98" i="107"/>
  <c r="F98" i="107"/>
  <c r="G98" i="107"/>
  <c r="G98" i="111" s="1"/>
  <c r="W32" i="111" s="1"/>
  <c r="H98" i="107"/>
  <c r="I98" i="107"/>
  <c r="J98" i="107"/>
  <c r="K98" i="107"/>
  <c r="L98" i="107"/>
  <c r="M98" i="107"/>
  <c r="N98" i="107"/>
  <c r="C99" i="107"/>
  <c r="C99" i="111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C103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L103" i="111" s="1"/>
  <c r="M103" i="107"/>
  <c r="M103" i="111" s="1"/>
  <c r="N103" i="107"/>
  <c r="N103" i="111" s="1"/>
  <c r="C104" i="107"/>
  <c r="D104" i="107"/>
  <c r="D104" i="111" s="1"/>
  <c r="E104" i="107"/>
  <c r="E104" i="111" s="1"/>
  <c r="F104" i="107"/>
  <c r="F104" i="111" s="1"/>
  <c r="G104" i="107"/>
  <c r="G104" i="111" s="1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E58" i="107"/>
  <c r="F58" i="107"/>
  <c r="G58" i="107"/>
  <c r="W22" i="107" s="1"/>
  <c r="H58" i="107"/>
  <c r="I58" i="107"/>
  <c r="J58" i="107"/>
  <c r="K58" i="107"/>
  <c r="L58" i="107"/>
  <c r="M58" i="107"/>
  <c r="N58" i="107"/>
  <c r="C57" i="107"/>
  <c r="C57" i="111" s="1"/>
  <c r="C58" i="107"/>
  <c r="E106" i="109"/>
  <c r="C106" i="109"/>
  <c r="F106" i="101"/>
  <c r="E106" i="101"/>
  <c r="D106" i="101"/>
  <c r="C106" i="101"/>
  <c r="O45" i="94"/>
  <c r="P45" i="94"/>
  <c r="S28" i="107" l="1"/>
  <c r="C82" i="111"/>
  <c r="P82" i="107"/>
  <c r="O82" i="107"/>
  <c r="K78" i="111"/>
  <c r="AA27" i="111" s="1"/>
  <c r="AA27" i="107"/>
  <c r="S27" i="107"/>
  <c r="C78" i="111"/>
  <c r="P78" i="107"/>
  <c r="O78" i="107"/>
  <c r="C72" i="111"/>
  <c r="P72" i="107"/>
  <c r="O72" i="107"/>
  <c r="K70" i="111"/>
  <c r="AA25" i="107"/>
  <c r="S24" i="107"/>
  <c r="C66" i="111"/>
  <c r="P66" i="107"/>
  <c r="O66" i="107"/>
  <c r="K62" i="111"/>
  <c r="AA23" i="107"/>
  <c r="O75" i="107"/>
  <c r="T22" i="107"/>
  <c r="D58" i="111"/>
  <c r="T22" i="111" s="1"/>
  <c r="S33" i="107"/>
  <c r="P102" i="107"/>
  <c r="O102" i="107"/>
  <c r="C102" i="111"/>
  <c r="AA32" i="107"/>
  <c r="K98" i="111"/>
  <c r="AA32" i="111" s="1"/>
  <c r="K94" i="111"/>
  <c r="AA31" i="111" s="1"/>
  <c r="AA31" i="107"/>
  <c r="AA30" i="107"/>
  <c r="K90" i="111"/>
  <c r="AA30" i="111" s="1"/>
  <c r="C86" i="111"/>
  <c r="S29" i="107"/>
  <c r="P86" i="107"/>
  <c r="O86" i="107"/>
  <c r="C70" i="111"/>
  <c r="S25" i="107"/>
  <c r="P70" i="107"/>
  <c r="O70" i="107"/>
  <c r="C68" i="111"/>
  <c r="P68" i="107"/>
  <c r="O68" i="107"/>
  <c r="AA24" i="107"/>
  <c r="K66" i="111"/>
  <c r="C64" i="111"/>
  <c r="P64" i="107"/>
  <c r="O64" i="107"/>
  <c r="C62" i="111"/>
  <c r="S23" i="107"/>
  <c r="P62" i="107"/>
  <c r="O62" i="107"/>
  <c r="AE25" i="108"/>
  <c r="AA22" i="107"/>
  <c r="K58" i="111"/>
  <c r="Z33" i="107"/>
  <c r="J102" i="111"/>
  <c r="Z33" i="111" s="1"/>
  <c r="Z32" i="107"/>
  <c r="J98" i="111"/>
  <c r="Z32" i="111" s="1"/>
  <c r="Z31" i="107"/>
  <c r="J94" i="111"/>
  <c r="Z31" i="111" s="1"/>
  <c r="Z30" i="107"/>
  <c r="J90" i="111"/>
  <c r="Z30" i="111" s="1"/>
  <c r="Z29" i="107"/>
  <c r="J86" i="111"/>
  <c r="Z29" i="111" s="1"/>
  <c r="Z28" i="107"/>
  <c r="J78" i="111"/>
  <c r="Z27" i="111" s="1"/>
  <c r="Z27" i="107"/>
  <c r="Z26" i="107"/>
  <c r="J74" i="111"/>
  <c r="Z26" i="111" s="1"/>
  <c r="Z25" i="107"/>
  <c r="J70" i="111"/>
  <c r="Z25" i="111" s="1"/>
  <c r="O67" i="107"/>
  <c r="G58" i="111"/>
  <c r="W22" i="111" s="1"/>
  <c r="J82" i="111"/>
  <c r="Z28" i="111" s="1"/>
  <c r="C104" i="111"/>
  <c r="P104" i="107"/>
  <c r="O104" i="107"/>
  <c r="Y30" i="107"/>
  <c r="I90" i="111"/>
  <c r="Y30" i="111" s="1"/>
  <c r="Y29" i="107"/>
  <c r="I86" i="111"/>
  <c r="Y29" i="111" s="1"/>
  <c r="Y27" i="107"/>
  <c r="I78" i="111"/>
  <c r="Y27" i="111" s="1"/>
  <c r="Y26" i="107"/>
  <c r="I74" i="111"/>
  <c r="Y26" i="111" s="1"/>
  <c r="Y25" i="107"/>
  <c r="I70" i="111"/>
  <c r="Y25" i="111" s="1"/>
  <c r="Y24" i="107"/>
  <c r="I66" i="111"/>
  <c r="Y24" i="111" s="1"/>
  <c r="Y23" i="107"/>
  <c r="I62" i="111"/>
  <c r="Y23" i="111" s="1"/>
  <c r="P105" i="108"/>
  <c r="O105" i="108"/>
  <c r="P103" i="108"/>
  <c r="O103" i="108"/>
  <c r="W33" i="108"/>
  <c r="P101" i="108"/>
  <c r="O101" i="108"/>
  <c r="P99" i="108"/>
  <c r="O99" i="108"/>
  <c r="W32" i="108"/>
  <c r="P97" i="108"/>
  <c r="O97" i="108"/>
  <c r="P95" i="108"/>
  <c r="O95" i="108"/>
  <c r="W31" i="108"/>
  <c r="P93" i="108"/>
  <c r="O93" i="108"/>
  <c r="P91" i="108"/>
  <c r="O91" i="108"/>
  <c r="W30" i="108"/>
  <c r="P89" i="108"/>
  <c r="O89" i="108"/>
  <c r="P87" i="108"/>
  <c r="O87" i="108"/>
  <c r="W29" i="108"/>
  <c r="P85" i="108"/>
  <c r="O85" i="108"/>
  <c r="P83" i="108"/>
  <c r="O83" i="108"/>
  <c r="W28" i="108"/>
  <c r="P81" i="108"/>
  <c r="O81" i="108"/>
  <c r="P79" i="108"/>
  <c r="O79" i="108"/>
  <c r="W27" i="108"/>
  <c r="P77" i="108"/>
  <c r="O77" i="108"/>
  <c r="P75" i="108"/>
  <c r="O75" i="108"/>
  <c r="W26" i="108"/>
  <c r="P73" i="108"/>
  <c r="O73" i="108"/>
  <c r="P71" i="108"/>
  <c r="O71" i="108"/>
  <c r="W25" i="108"/>
  <c r="P69" i="108"/>
  <c r="O69" i="108"/>
  <c r="P67" i="108"/>
  <c r="O67" i="108"/>
  <c r="W24" i="108"/>
  <c r="P65" i="108"/>
  <c r="O65" i="108"/>
  <c r="P63" i="108"/>
  <c r="O63" i="108"/>
  <c r="W23" i="108"/>
  <c r="P61" i="108"/>
  <c r="O61" i="108"/>
  <c r="P59" i="108"/>
  <c r="O59" i="108"/>
  <c r="P90" i="108"/>
  <c r="C92" i="111"/>
  <c r="P92" i="107"/>
  <c r="O92" i="107"/>
  <c r="C80" i="111"/>
  <c r="P80" i="107"/>
  <c r="O80" i="107"/>
  <c r="AA26" i="107"/>
  <c r="K74" i="111"/>
  <c r="Y28" i="107"/>
  <c r="I82" i="111"/>
  <c r="Y28" i="111" s="1"/>
  <c r="X31" i="107"/>
  <c r="H94" i="111"/>
  <c r="X31" i="111" s="1"/>
  <c r="X30" i="107"/>
  <c r="H90" i="111"/>
  <c r="X30" i="111" s="1"/>
  <c r="X29" i="107"/>
  <c r="H86" i="111"/>
  <c r="X29" i="111" s="1"/>
  <c r="X28" i="107"/>
  <c r="H82" i="111"/>
  <c r="X28" i="111" s="1"/>
  <c r="X27" i="107"/>
  <c r="H78" i="111"/>
  <c r="X27" i="111" s="1"/>
  <c r="X26" i="107"/>
  <c r="H74" i="111"/>
  <c r="X26" i="111" s="1"/>
  <c r="X25" i="107"/>
  <c r="H70" i="111"/>
  <c r="X25" i="111" s="1"/>
  <c r="X24" i="107"/>
  <c r="H66" i="111"/>
  <c r="X24" i="111" s="1"/>
  <c r="X23" i="107"/>
  <c r="H62" i="111"/>
  <c r="X23" i="111" s="1"/>
  <c r="P99" i="107"/>
  <c r="O98" i="108"/>
  <c r="P82" i="108"/>
  <c r="AB22" i="107"/>
  <c r="L58" i="111"/>
  <c r="AB22" i="111" s="1"/>
  <c r="AA33" i="107"/>
  <c r="K102" i="111"/>
  <c r="AA33" i="111" s="1"/>
  <c r="S32" i="107"/>
  <c r="C98" i="111"/>
  <c r="P98" i="107"/>
  <c r="O98" i="107"/>
  <c r="C88" i="111"/>
  <c r="P88" i="107"/>
  <c r="O88" i="107"/>
  <c r="C84" i="111"/>
  <c r="P84" i="107"/>
  <c r="O84" i="107"/>
  <c r="Y31" i="107"/>
  <c r="I94" i="111"/>
  <c r="Y31" i="111" s="1"/>
  <c r="Y22" i="107"/>
  <c r="I58" i="111"/>
  <c r="Y22" i="111" s="1"/>
  <c r="X33" i="107"/>
  <c r="H102" i="111"/>
  <c r="X33" i="111" s="1"/>
  <c r="X32" i="107"/>
  <c r="H98" i="111"/>
  <c r="X32" i="111" s="1"/>
  <c r="S22" i="107"/>
  <c r="P58" i="107"/>
  <c r="O58" i="107"/>
  <c r="X22" i="107"/>
  <c r="H58" i="111"/>
  <c r="X22" i="111" s="1"/>
  <c r="C105" i="111"/>
  <c r="P105" i="107"/>
  <c r="O105" i="107"/>
  <c r="C103" i="111"/>
  <c r="P103" i="107"/>
  <c r="O103" i="107"/>
  <c r="W33" i="107"/>
  <c r="G102" i="111"/>
  <c r="W33" i="111" s="1"/>
  <c r="P101" i="107"/>
  <c r="O101" i="107"/>
  <c r="C101" i="111"/>
  <c r="P99" i="111"/>
  <c r="O99" i="111"/>
  <c r="W32" i="107"/>
  <c r="C97" i="111"/>
  <c r="P97" i="107"/>
  <c r="O97" i="107"/>
  <c r="P95" i="107"/>
  <c r="O95" i="107"/>
  <c r="W31" i="107"/>
  <c r="G94" i="111"/>
  <c r="W31" i="111" s="1"/>
  <c r="C93" i="111"/>
  <c r="P93" i="107"/>
  <c r="O93" i="107"/>
  <c r="P91" i="111"/>
  <c r="O91" i="111"/>
  <c r="G90" i="111"/>
  <c r="W30" i="111" s="1"/>
  <c r="W30" i="107"/>
  <c r="C89" i="111"/>
  <c r="P89" i="107"/>
  <c r="O89" i="107"/>
  <c r="C87" i="111"/>
  <c r="P87" i="107"/>
  <c r="O87" i="107"/>
  <c r="W29" i="107"/>
  <c r="G86" i="111"/>
  <c r="W29" i="111" s="1"/>
  <c r="C85" i="111"/>
  <c r="P85" i="107"/>
  <c r="O85" i="107"/>
  <c r="P83" i="111"/>
  <c r="O83" i="111"/>
  <c r="W28" i="107"/>
  <c r="G82" i="111"/>
  <c r="W28" i="111" s="1"/>
  <c r="C81" i="111"/>
  <c r="P81" i="107"/>
  <c r="O81" i="107"/>
  <c r="C79" i="111"/>
  <c r="P79" i="107"/>
  <c r="O79" i="107"/>
  <c r="W27" i="107"/>
  <c r="G78" i="111"/>
  <c r="W27" i="111" s="1"/>
  <c r="C77" i="111"/>
  <c r="P77" i="107"/>
  <c r="O77" i="107"/>
  <c r="K75" i="111"/>
  <c r="C75" i="111"/>
  <c r="W26" i="107"/>
  <c r="G74" i="111"/>
  <c r="W26" i="111" s="1"/>
  <c r="K73" i="111"/>
  <c r="C73" i="111"/>
  <c r="P73" i="107"/>
  <c r="O73" i="107"/>
  <c r="G72" i="111"/>
  <c r="K71" i="111"/>
  <c r="C71" i="111"/>
  <c r="P71" i="107"/>
  <c r="O71" i="107"/>
  <c r="W25" i="107"/>
  <c r="G70" i="111"/>
  <c r="K69" i="111"/>
  <c r="C69" i="111"/>
  <c r="P69" i="107"/>
  <c r="O69" i="107"/>
  <c r="G68" i="111"/>
  <c r="P91" i="107"/>
  <c r="O90" i="108"/>
  <c r="P74" i="108"/>
  <c r="Z24" i="111"/>
  <c r="C100" i="111"/>
  <c r="P100" i="107"/>
  <c r="O100" i="107"/>
  <c r="C96" i="111"/>
  <c r="P96" i="107"/>
  <c r="O96" i="107"/>
  <c r="Y32" i="107"/>
  <c r="I98" i="111"/>
  <c r="Y32" i="111" s="1"/>
  <c r="V33" i="107"/>
  <c r="V32" i="107"/>
  <c r="F98" i="111"/>
  <c r="V32" i="111" s="1"/>
  <c r="AD31" i="107"/>
  <c r="N94" i="111"/>
  <c r="AD31" i="111" s="1"/>
  <c r="N90" i="111"/>
  <c r="AD30" i="111" s="1"/>
  <c r="AD30" i="107"/>
  <c r="F90" i="111"/>
  <c r="V30" i="111" s="1"/>
  <c r="V30" i="107"/>
  <c r="AD29" i="107"/>
  <c r="N86" i="111"/>
  <c r="AD29" i="111" s="1"/>
  <c r="V29" i="107"/>
  <c r="F86" i="111"/>
  <c r="V29" i="111" s="1"/>
  <c r="AD28" i="107"/>
  <c r="N82" i="111"/>
  <c r="AD28" i="111" s="1"/>
  <c r="F82" i="111"/>
  <c r="V28" i="111" s="1"/>
  <c r="V28" i="107"/>
  <c r="AD27" i="107"/>
  <c r="N78" i="111"/>
  <c r="AD27" i="111" s="1"/>
  <c r="V27" i="107"/>
  <c r="F78" i="111"/>
  <c r="V27" i="111" s="1"/>
  <c r="AD26" i="107"/>
  <c r="N74" i="111"/>
  <c r="AD26" i="111" s="1"/>
  <c r="V26" i="107"/>
  <c r="F74" i="111"/>
  <c r="V26" i="111" s="1"/>
  <c r="AD25" i="107"/>
  <c r="N70" i="111"/>
  <c r="AD25" i="111" s="1"/>
  <c r="V25" i="107"/>
  <c r="F70" i="111"/>
  <c r="V25" i="111" s="1"/>
  <c r="O99" i="107"/>
  <c r="P83" i="107"/>
  <c r="O82" i="108"/>
  <c r="AF33" i="108"/>
  <c r="S30" i="107"/>
  <c r="C90" i="111"/>
  <c r="P90" i="107"/>
  <c r="O90" i="107"/>
  <c r="AA29" i="107"/>
  <c r="K86" i="111"/>
  <c r="AA29" i="111" s="1"/>
  <c r="AA28" i="107"/>
  <c r="K82" i="111"/>
  <c r="AA28" i="111" s="1"/>
  <c r="C76" i="111"/>
  <c r="P76" i="107"/>
  <c r="O76" i="107"/>
  <c r="Y33" i="107"/>
  <c r="I102" i="111"/>
  <c r="Y33" i="111" s="1"/>
  <c r="AD33" i="107"/>
  <c r="N98" i="111"/>
  <c r="AD32" i="111" s="1"/>
  <c r="AD32" i="107"/>
  <c r="V31" i="107"/>
  <c r="F94" i="111"/>
  <c r="V31" i="111" s="1"/>
  <c r="AD22" i="107"/>
  <c r="N58" i="111"/>
  <c r="AD22" i="111" s="1"/>
  <c r="V22" i="107"/>
  <c r="F58" i="111"/>
  <c r="V22" i="111" s="1"/>
  <c r="AC33" i="107"/>
  <c r="M102" i="111"/>
  <c r="AC33" i="111" s="1"/>
  <c r="U33" i="107"/>
  <c r="E102" i="111"/>
  <c r="U33" i="111" s="1"/>
  <c r="AC32" i="107"/>
  <c r="M98" i="111"/>
  <c r="AC32" i="111" s="1"/>
  <c r="U32" i="107"/>
  <c r="E98" i="111"/>
  <c r="U32" i="111" s="1"/>
  <c r="AC31" i="107"/>
  <c r="M94" i="111"/>
  <c r="AC31" i="111" s="1"/>
  <c r="U31" i="107"/>
  <c r="E94" i="111"/>
  <c r="U31" i="111" s="1"/>
  <c r="AC30" i="107"/>
  <c r="M90" i="111"/>
  <c r="AC30" i="111" s="1"/>
  <c r="U30" i="107"/>
  <c r="E90" i="111"/>
  <c r="U30" i="111" s="1"/>
  <c r="AC29" i="107"/>
  <c r="M86" i="111"/>
  <c r="AC29" i="111" s="1"/>
  <c r="U29" i="107"/>
  <c r="E86" i="111"/>
  <c r="U29" i="111" s="1"/>
  <c r="AC28" i="107"/>
  <c r="M82" i="111"/>
  <c r="AC28" i="111" s="1"/>
  <c r="U28" i="107"/>
  <c r="E82" i="111"/>
  <c r="U28" i="111" s="1"/>
  <c r="AC27" i="107"/>
  <c r="M78" i="111"/>
  <c r="AC27" i="111" s="1"/>
  <c r="U27" i="107"/>
  <c r="E78" i="111"/>
  <c r="U27" i="111" s="1"/>
  <c r="AC26" i="107"/>
  <c r="M74" i="111"/>
  <c r="AC26" i="111" s="1"/>
  <c r="U26" i="107"/>
  <c r="E74" i="111"/>
  <c r="U26" i="111" s="1"/>
  <c r="AC25" i="107"/>
  <c r="M70" i="111"/>
  <c r="AC25" i="111" s="1"/>
  <c r="U25" i="107"/>
  <c r="E70" i="111"/>
  <c r="U25" i="111" s="1"/>
  <c r="O91" i="107"/>
  <c r="P75" i="107"/>
  <c r="P104" i="108"/>
  <c r="P100" i="108"/>
  <c r="P96" i="108"/>
  <c r="P92" i="108"/>
  <c r="P88" i="108"/>
  <c r="P84" i="108"/>
  <c r="P80" i="108"/>
  <c r="P76" i="108"/>
  <c r="P72" i="108"/>
  <c r="P68" i="108"/>
  <c r="P64" i="108"/>
  <c r="AF31" i="108" s="1"/>
  <c r="P60" i="108"/>
  <c r="O74" i="108"/>
  <c r="P58" i="108"/>
  <c r="AF25" i="108" s="1"/>
  <c r="N102" i="111"/>
  <c r="AD33" i="111" s="1"/>
  <c r="C95" i="111"/>
  <c r="AD24" i="107"/>
  <c r="C94" i="111"/>
  <c r="S31" i="107"/>
  <c r="P94" i="107"/>
  <c r="O94" i="107"/>
  <c r="S26" i="107"/>
  <c r="C74" i="111"/>
  <c r="P74" i="107"/>
  <c r="O74" i="107"/>
  <c r="Z22" i="107"/>
  <c r="J58" i="111"/>
  <c r="Z22" i="111" s="1"/>
  <c r="AC22" i="107"/>
  <c r="M58" i="111"/>
  <c r="AC22" i="111" s="1"/>
  <c r="U22" i="107"/>
  <c r="E58" i="111"/>
  <c r="U22" i="111" s="1"/>
  <c r="AB33" i="107"/>
  <c r="L102" i="111"/>
  <c r="AB33" i="111" s="1"/>
  <c r="T33" i="107"/>
  <c r="D102" i="111"/>
  <c r="T33" i="111" s="1"/>
  <c r="AB32" i="107"/>
  <c r="L98" i="111"/>
  <c r="AB32" i="111" s="1"/>
  <c r="T32" i="107"/>
  <c r="D98" i="111"/>
  <c r="T32" i="111" s="1"/>
  <c r="AB31" i="107"/>
  <c r="L94" i="111"/>
  <c r="AB31" i="111" s="1"/>
  <c r="T31" i="107"/>
  <c r="D94" i="111"/>
  <c r="T31" i="111" s="1"/>
  <c r="AB30" i="107"/>
  <c r="L90" i="111"/>
  <c r="AB30" i="111" s="1"/>
  <c r="T30" i="107"/>
  <c r="D90" i="111"/>
  <c r="T30" i="111" s="1"/>
  <c r="AB29" i="107"/>
  <c r="L86" i="111"/>
  <c r="AB29" i="111" s="1"/>
  <c r="T29" i="107"/>
  <c r="D86" i="111"/>
  <c r="T29" i="111" s="1"/>
  <c r="AB28" i="107"/>
  <c r="L82" i="111"/>
  <c r="AB28" i="111" s="1"/>
  <c r="T28" i="107"/>
  <c r="D82" i="111"/>
  <c r="T28" i="111" s="1"/>
  <c r="AB27" i="107"/>
  <c r="L78" i="111"/>
  <c r="AB27" i="111" s="1"/>
  <c r="T27" i="107"/>
  <c r="D78" i="111"/>
  <c r="T27" i="111" s="1"/>
  <c r="AB26" i="107"/>
  <c r="L74" i="111"/>
  <c r="AB26" i="111" s="1"/>
  <c r="T26" i="107"/>
  <c r="D74" i="111"/>
  <c r="T26" i="111" s="1"/>
  <c r="AB25" i="107"/>
  <c r="L70" i="111"/>
  <c r="AB25" i="111" s="1"/>
  <c r="T25" i="107"/>
  <c r="D70" i="111"/>
  <c r="T25" i="111" s="1"/>
  <c r="O83" i="107"/>
  <c r="P67" i="107"/>
  <c r="F102" i="111"/>
  <c r="V33" i="111" s="1"/>
  <c r="K67" i="111"/>
  <c r="C67" i="111"/>
  <c r="W24" i="107"/>
  <c r="G66" i="111"/>
  <c r="W24" i="111" s="1"/>
  <c r="K65" i="111"/>
  <c r="C65" i="111"/>
  <c r="G64" i="111"/>
  <c r="K63" i="111"/>
  <c r="C63" i="111"/>
  <c r="W23" i="107"/>
  <c r="G62" i="111"/>
  <c r="W23" i="111" s="1"/>
  <c r="K61" i="111"/>
  <c r="C61" i="111"/>
  <c r="G60" i="111"/>
  <c r="P60" i="111" s="1"/>
  <c r="K59" i="111"/>
  <c r="C59" i="111"/>
  <c r="S22" i="108"/>
  <c r="W22" i="108"/>
  <c r="AD33" i="108"/>
  <c r="V33" i="108"/>
  <c r="AD32" i="108"/>
  <c r="AD31" i="108"/>
  <c r="V31" i="108"/>
  <c r="AD30" i="108"/>
  <c r="V30" i="108"/>
  <c r="AD29" i="108"/>
  <c r="V29" i="108"/>
  <c r="AD28" i="108"/>
  <c r="V28" i="108"/>
  <c r="AD27" i="108"/>
  <c r="V27" i="108"/>
  <c r="V26" i="108"/>
  <c r="AD25" i="108"/>
  <c r="V25" i="108"/>
  <c r="AD24" i="108"/>
  <c r="AD23" i="108"/>
  <c r="V23" i="108"/>
  <c r="AD24" i="111"/>
  <c r="V24" i="107"/>
  <c r="F66" i="111"/>
  <c r="V24" i="111" s="1"/>
  <c r="AD23" i="107"/>
  <c r="N62" i="111"/>
  <c r="AD23" i="111" s="1"/>
  <c r="V23" i="107"/>
  <c r="F62" i="111"/>
  <c r="V23" i="111" s="1"/>
  <c r="O65" i="107"/>
  <c r="AE32" i="107" s="1"/>
  <c r="P65" i="107"/>
  <c r="AF32" i="107" s="1"/>
  <c r="AC33" i="108"/>
  <c r="U33" i="108"/>
  <c r="AC32" i="108"/>
  <c r="U32" i="108"/>
  <c r="AC31" i="108"/>
  <c r="U31" i="108"/>
  <c r="AC30" i="108"/>
  <c r="U30" i="108"/>
  <c r="AC29" i="108"/>
  <c r="U29" i="108"/>
  <c r="AC28" i="108"/>
  <c r="U28" i="108"/>
  <c r="AC27" i="108"/>
  <c r="U27" i="108"/>
  <c r="AC26" i="108"/>
  <c r="U26" i="108"/>
  <c r="AC25" i="108"/>
  <c r="U25" i="108"/>
  <c r="AC24" i="108"/>
  <c r="U24" i="108"/>
  <c r="AC23" i="108"/>
  <c r="U23" i="108"/>
  <c r="O104" i="108"/>
  <c r="O96" i="108"/>
  <c r="O88" i="108"/>
  <c r="O80" i="108"/>
  <c r="O72" i="108"/>
  <c r="O64" i="108"/>
  <c r="AE31" i="108" s="1"/>
  <c r="AC24" i="107"/>
  <c r="M66" i="111"/>
  <c r="AC24" i="111" s="1"/>
  <c r="U24" i="107"/>
  <c r="E66" i="111"/>
  <c r="U24" i="111" s="1"/>
  <c r="AC23" i="107"/>
  <c r="M62" i="111"/>
  <c r="AC23" i="111" s="1"/>
  <c r="U23" i="107"/>
  <c r="E62" i="111"/>
  <c r="U23" i="111" s="1"/>
  <c r="AB33" i="108"/>
  <c r="T33" i="108"/>
  <c r="AB32" i="108"/>
  <c r="T32" i="108"/>
  <c r="AB31" i="108"/>
  <c r="T31" i="108"/>
  <c r="AB30" i="108"/>
  <c r="T30" i="108"/>
  <c r="AB29" i="108"/>
  <c r="T29" i="108"/>
  <c r="AB28" i="108"/>
  <c r="T28" i="108"/>
  <c r="AB27" i="108"/>
  <c r="T27" i="108"/>
  <c r="AB26" i="108"/>
  <c r="T26" i="108"/>
  <c r="AB25" i="108"/>
  <c r="T25" i="108"/>
  <c r="AB24" i="108"/>
  <c r="T24" i="108"/>
  <c r="AB23" i="108"/>
  <c r="T23" i="108"/>
  <c r="AB24" i="107"/>
  <c r="L66" i="111"/>
  <c r="AB24" i="111" s="1"/>
  <c r="T24" i="107"/>
  <c r="D66" i="111"/>
  <c r="T24" i="111" s="1"/>
  <c r="AB23" i="107"/>
  <c r="L62" i="111"/>
  <c r="AB23" i="111" s="1"/>
  <c r="T23" i="107"/>
  <c r="D62" i="111"/>
  <c r="T23" i="111" s="1"/>
  <c r="O63" i="107"/>
  <c r="AE30" i="107" s="1"/>
  <c r="P63" i="107"/>
  <c r="AF30" i="107" s="1"/>
  <c r="AA33" i="108"/>
  <c r="S33" i="108"/>
  <c r="AA32" i="108"/>
  <c r="S32" i="108"/>
  <c r="AA31" i="108"/>
  <c r="S31" i="108"/>
  <c r="AA30" i="108"/>
  <c r="S30" i="108"/>
  <c r="AA29" i="108"/>
  <c r="S29" i="108"/>
  <c r="AA28" i="108"/>
  <c r="S28" i="108"/>
  <c r="AA27" i="108"/>
  <c r="S27" i="108"/>
  <c r="AA26" i="108"/>
  <c r="S26" i="108"/>
  <c r="AA25" i="108"/>
  <c r="S25" i="108"/>
  <c r="AA24" i="108"/>
  <c r="S24" i="108"/>
  <c r="AA23" i="108"/>
  <c r="S23" i="108"/>
  <c r="O102" i="108"/>
  <c r="O94" i="108"/>
  <c r="O86" i="108"/>
  <c r="O78" i="108"/>
  <c r="O70" i="108"/>
  <c r="O62" i="108"/>
  <c r="AE29" i="108" s="1"/>
  <c r="P102" i="108"/>
  <c r="P94" i="108"/>
  <c r="P86" i="108"/>
  <c r="P78" i="108"/>
  <c r="P70" i="108"/>
  <c r="P62" i="108"/>
  <c r="AF29" i="108" s="1"/>
  <c r="O60" i="111"/>
  <c r="AA22" i="108"/>
  <c r="Z33" i="108"/>
  <c r="Z32" i="108"/>
  <c r="Z31" i="108"/>
  <c r="Z30" i="108"/>
  <c r="Z28" i="108"/>
  <c r="Z27" i="108"/>
  <c r="Z26" i="108"/>
  <c r="Z25" i="108"/>
  <c r="Z24" i="108"/>
  <c r="Z23" i="108"/>
  <c r="Z24" i="107"/>
  <c r="Z23" i="107"/>
  <c r="O61" i="107"/>
  <c r="AE28" i="107" s="1"/>
  <c r="P61" i="107"/>
  <c r="Y33" i="108"/>
  <c r="Y32" i="108"/>
  <c r="Y31" i="108"/>
  <c r="Y30" i="108"/>
  <c r="Y29" i="108"/>
  <c r="Y28" i="108"/>
  <c r="Y27" i="108"/>
  <c r="Y26" i="108"/>
  <c r="Y25" i="108"/>
  <c r="Y24" i="108"/>
  <c r="Y23" i="108"/>
  <c r="O100" i="108"/>
  <c r="O92" i="108"/>
  <c r="O84" i="108"/>
  <c r="O76" i="108"/>
  <c r="O68" i="108"/>
  <c r="AE33" i="108" s="1"/>
  <c r="O60" i="108"/>
  <c r="AE27" i="108" s="1"/>
  <c r="J62" i="111"/>
  <c r="Z23" i="111" s="1"/>
  <c r="O60" i="107"/>
  <c r="P60" i="107"/>
  <c r="AF26" i="107" s="1"/>
  <c r="X33" i="108"/>
  <c r="X32" i="108"/>
  <c r="X31" i="108"/>
  <c r="X30" i="108"/>
  <c r="X29" i="108"/>
  <c r="X28" i="108"/>
  <c r="X27" i="108"/>
  <c r="X26" i="108"/>
  <c r="X25" i="108"/>
  <c r="X24" i="108"/>
  <c r="X23" i="108"/>
  <c r="K5" i="95"/>
  <c r="C3" i="94"/>
  <c r="O64" i="111" l="1"/>
  <c r="P64" i="111"/>
  <c r="P78" i="111"/>
  <c r="O78" i="111"/>
  <c r="S27" i="111"/>
  <c r="P94" i="111"/>
  <c r="S31" i="111"/>
  <c r="O94" i="111"/>
  <c r="P93" i="111"/>
  <c r="O93" i="111"/>
  <c r="AE25" i="107"/>
  <c r="O88" i="111"/>
  <c r="P88" i="111"/>
  <c r="AA26" i="111"/>
  <c r="AE32" i="108"/>
  <c r="AA24" i="111"/>
  <c r="P70" i="111"/>
  <c r="S25" i="111"/>
  <c r="O70" i="111"/>
  <c r="P97" i="111"/>
  <c r="O97" i="111"/>
  <c r="AF30" i="108"/>
  <c r="P67" i="111"/>
  <c r="O67" i="111"/>
  <c r="W25" i="111"/>
  <c r="P85" i="111"/>
  <c r="O85" i="111"/>
  <c r="P89" i="111"/>
  <c r="O89" i="111"/>
  <c r="AF25" i="107"/>
  <c r="AE26" i="108"/>
  <c r="AF32" i="108"/>
  <c r="AE29" i="107"/>
  <c r="AA25" i="111"/>
  <c r="P79" i="111"/>
  <c r="O79" i="111"/>
  <c r="O63" i="111"/>
  <c r="P63" i="111"/>
  <c r="O95" i="111"/>
  <c r="P95" i="111"/>
  <c r="P73" i="111"/>
  <c r="O73" i="111"/>
  <c r="P77" i="111"/>
  <c r="O77" i="111"/>
  <c r="P81" i="111"/>
  <c r="O81" i="111"/>
  <c r="P103" i="111"/>
  <c r="O103" i="111"/>
  <c r="AF26" i="108"/>
  <c r="AA22" i="111"/>
  <c r="AF29" i="107"/>
  <c r="P92" i="111"/>
  <c r="O92" i="111"/>
  <c r="AF27" i="107"/>
  <c r="AE27" i="107"/>
  <c r="P59" i="111"/>
  <c r="O59" i="111"/>
  <c r="P74" i="111"/>
  <c r="S26" i="111"/>
  <c r="O74" i="111"/>
  <c r="P101" i="111"/>
  <c r="O101" i="111"/>
  <c r="P98" i="111"/>
  <c r="S32" i="111"/>
  <c r="O98" i="111"/>
  <c r="AE28" i="108"/>
  <c r="P102" i="111"/>
  <c r="S33" i="111"/>
  <c r="O102" i="111"/>
  <c r="AA23" i="111"/>
  <c r="P69" i="111"/>
  <c r="O69" i="111"/>
  <c r="O96" i="111"/>
  <c r="P96" i="111"/>
  <c r="O80" i="111"/>
  <c r="P80" i="111"/>
  <c r="AF28" i="108"/>
  <c r="AE26" i="107"/>
  <c r="O58" i="111"/>
  <c r="AE25" i="111" s="1"/>
  <c r="P62" i="111"/>
  <c r="AF29" i="111" s="1"/>
  <c r="S23" i="111"/>
  <c r="O62" i="111"/>
  <c r="P68" i="111"/>
  <c r="O68" i="111"/>
  <c r="P86" i="111"/>
  <c r="O86" i="111"/>
  <c r="S29" i="111"/>
  <c r="AE33" i="107"/>
  <c r="O72" i="111"/>
  <c r="P72" i="111"/>
  <c r="P100" i="111"/>
  <c r="O100" i="111"/>
  <c r="P65" i="111"/>
  <c r="O65" i="111"/>
  <c r="P90" i="111"/>
  <c r="S30" i="111"/>
  <c r="O90" i="111"/>
  <c r="P71" i="111"/>
  <c r="O71" i="111"/>
  <c r="P105" i="111"/>
  <c r="O105" i="111"/>
  <c r="P84" i="111"/>
  <c r="O84" i="111"/>
  <c r="O104" i="111"/>
  <c r="P104" i="111"/>
  <c r="S22" i="111"/>
  <c r="AE31" i="107"/>
  <c r="AF33" i="107"/>
  <c r="P82" i="111"/>
  <c r="S28" i="111"/>
  <c r="O82" i="111"/>
  <c r="AE27" i="111"/>
  <c r="AF28" i="107"/>
  <c r="P61" i="111"/>
  <c r="O61" i="111"/>
  <c r="AE28" i="111" s="1"/>
  <c r="AF27" i="108"/>
  <c r="P76" i="111"/>
  <c r="O76" i="111"/>
  <c r="P75" i="111"/>
  <c r="O75" i="111"/>
  <c r="P87" i="111"/>
  <c r="O87" i="111"/>
  <c r="AE30" i="108"/>
  <c r="P58" i="111"/>
  <c r="AF25" i="111" s="1"/>
  <c r="AF31" i="107"/>
  <c r="P66" i="111"/>
  <c r="S24" i="111"/>
  <c r="O66" i="111"/>
  <c r="AE33" i="111" s="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G5" i="95"/>
  <c r="K6" i="94"/>
  <c r="K5" i="94"/>
  <c r="G5" i="94"/>
  <c r="G6" i="104"/>
  <c r="G6" i="108" s="1"/>
  <c r="G6" i="110"/>
  <c r="G6" i="100"/>
  <c r="G6" i="98"/>
  <c r="G6" i="109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AF33" i="111" l="1"/>
  <c r="AE32" i="111"/>
  <c r="AF30" i="111"/>
  <c r="AF32" i="111"/>
  <c r="AE30" i="111"/>
  <c r="AF28" i="111"/>
  <c r="AE29" i="111"/>
  <c r="AF31" i="111"/>
  <c r="AE26" i="111"/>
  <c r="AE31" i="111"/>
  <c r="AF26" i="111"/>
  <c r="AF27" i="111"/>
  <c r="K6" i="104"/>
  <c r="K6" i="108" s="1"/>
  <c r="K6" i="111" s="1"/>
  <c r="K6" i="107"/>
  <c r="K5" i="107"/>
  <c r="K5" i="104"/>
  <c r="K5" i="108" s="1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AA39" i="101" s="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Z27" i="103" l="1"/>
  <c r="V39" i="105"/>
  <c r="AD39" i="105"/>
  <c r="AC39" i="109"/>
  <c r="AA27" i="99"/>
  <c r="X39" i="105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W38" i="110" s="1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H106" i="108" s="1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H106" i="101"/>
  <c r="J106" i="101"/>
  <c r="L106" i="101"/>
  <c r="N106" i="101"/>
  <c r="M106" i="101"/>
  <c r="K106" i="101"/>
  <c r="I106" i="101"/>
  <c r="G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E106" i="107" s="1"/>
  <c r="F10" i="107"/>
  <c r="F106" i="107" s="1"/>
  <c r="G10" i="107"/>
  <c r="H10" i="107"/>
  <c r="I10" i="107"/>
  <c r="J10" i="107"/>
  <c r="K10" i="107"/>
  <c r="L10" i="107"/>
  <c r="M10" i="107"/>
  <c r="M106" i="107" s="1"/>
  <c r="N10" i="107"/>
  <c r="N106" i="107" s="1"/>
  <c r="C10" i="107"/>
  <c r="L106" i="108" l="1"/>
  <c r="E106" i="108"/>
  <c r="L106" i="107"/>
  <c r="D106" i="107"/>
  <c r="AF32" i="101"/>
  <c r="C106" i="108"/>
  <c r="K106" i="107"/>
  <c r="N106" i="108"/>
  <c r="G106" i="108"/>
  <c r="J106" i="107"/>
  <c r="AF25" i="101"/>
  <c r="J106" i="108"/>
  <c r="AB26" i="103"/>
  <c r="U38" i="109"/>
  <c r="F106" i="108"/>
  <c r="M106" i="108"/>
  <c r="I106" i="107"/>
  <c r="AF33" i="101"/>
  <c r="S35" i="110"/>
  <c r="K106" i="108"/>
  <c r="H106" i="107"/>
  <c r="C106" i="107"/>
  <c r="G106" i="107"/>
  <c r="D106" i="108"/>
  <c r="V19" i="108"/>
  <c r="I106" i="10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H106" i="111" s="1"/>
  <c r="F10" i="111"/>
  <c r="K57" i="111"/>
  <c r="E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Z41" i="108" s="1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AE23" i="108" s="1"/>
  <c r="S15" i="108"/>
  <c r="T17" i="108"/>
  <c r="O11" i="108"/>
  <c r="X18" i="108"/>
  <c r="AB15" i="108"/>
  <c r="O57" i="108"/>
  <c r="AE24" i="108" s="1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AF24" i="108" s="1"/>
  <c r="P55" i="108"/>
  <c r="AF22" i="108" s="1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AF23" i="108" s="1"/>
  <c r="O55" i="108"/>
  <c r="AE22" i="108" s="1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AC41" i="107" s="1"/>
  <c r="W10" i="107"/>
  <c r="U10" i="107"/>
  <c r="X38" i="105"/>
  <c r="O57" i="107"/>
  <c r="AE24" i="107" s="1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AB41" i="107" s="1"/>
  <c r="Z10" i="107"/>
  <c r="X10" i="107"/>
  <c r="T10" i="107"/>
  <c r="P57" i="107"/>
  <c r="AF24" i="107" s="1"/>
  <c r="P56" i="107"/>
  <c r="O56" i="107"/>
  <c r="P55" i="107"/>
  <c r="O55" i="107"/>
  <c r="AE22" i="107" s="1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S41" i="107" s="1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P106" i="107" l="1"/>
  <c r="AF22" i="107"/>
  <c r="AF10" i="108"/>
  <c r="P106" i="108"/>
  <c r="O106" i="108"/>
  <c r="X41" i="108"/>
  <c r="X42" i="108" s="1"/>
  <c r="N106" i="111"/>
  <c r="E106" i="111"/>
  <c r="AA41" i="107"/>
  <c r="AE23" i="107"/>
  <c r="AC41" i="108"/>
  <c r="AD41" i="108"/>
  <c r="I106" i="111"/>
  <c r="V41" i="107"/>
  <c r="AF23" i="107"/>
  <c r="S41" i="108"/>
  <c r="AA41" i="108"/>
  <c r="G106" i="111"/>
  <c r="M106" i="111"/>
  <c r="D106" i="111"/>
  <c r="AD41" i="107"/>
  <c r="W41" i="108"/>
  <c r="Y41" i="108"/>
  <c r="K106" i="111"/>
  <c r="V41" i="108"/>
  <c r="C106" i="111"/>
  <c r="J106" i="111"/>
  <c r="T41" i="107"/>
  <c r="AB41" i="108"/>
  <c r="L106" i="111"/>
  <c r="V22" i="93"/>
  <c r="AE24" i="98"/>
  <c r="X41" i="107"/>
  <c r="U41" i="107"/>
  <c r="U41" i="108"/>
  <c r="U42" i="108" s="1"/>
  <c r="Y34" i="108"/>
  <c r="T41" i="108"/>
  <c r="P57" i="111"/>
  <c r="AF24" i="111" s="1"/>
  <c r="O106" i="107"/>
  <c r="Y41" i="107"/>
  <c r="U36" i="107"/>
  <c r="Z41" i="107"/>
  <c r="Z42" i="107" s="1"/>
  <c r="W41" i="107"/>
  <c r="F106" i="111"/>
  <c r="AD12" i="111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AF23" i="111" s="1"/>
  <c r="O10" i="111"/>
  <c r="C108" i="110"/>
  <c r="P15" i="111"/>
  <c r="O28" i="111"/>
  <c r="O35" i="111"/>
  <c r="O25" i="111"/>
  <c r="O44" i="111"/>
  <c r="O54" i="111"/>
  <c r="AD10" i="111"/>
  <c r="P36" i="111"/>
  <c r="O57" i="111"/>
  <c r="AE24" i="111" s="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AF22" i="111" s="1"/>
  <c r="O56" i="111"/>
  <c r="AE23" i="111" s="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AA41" i="111" s="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Z42" i="108" s="1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AC42" i="107" s="1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AB42" i="107" s="1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42" i="107" s="1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41" i="107" l="1"/>
  <c r="T42" i="108"/>
  <c r="AB42" i="108"/>
  <c r="AD42" i="107"/>
  <c r="V42" i="107"/>
  <c r="AE41" i="107"/>
  <c r="AB41" i="111"/>
  <c r="AB42" i="111" s="1"/>
  <c r="P106" i="111"/>
  <c r="Z41" i="111"/>
  <c r="W42" i="107"/>
  <c r="T42" i="107"/>
  <c r="U41" i="111"/>
  <c r="V41" i="111"/>
  <c r="U42" i="107"/>
  <c r="AD42" i="108"/>
  <c r="S41" i="111"/>
  <c r="Y42" i="107"/>
  <c r="X42" i="107"/>
  <c r="V42" i="108"/>
  <c r="AC42" i="108"/>
  <c r="AE41" i="108"/>
  <c r="AD41" i="111"/>
  <c r="AD42" i="111" s="1"/>
  <c r="O106" i="111"/>
  <c r="X41" i="111"/>
  <c r="AA42" i="108"/>
  <c r="AF41" i="108"/>
  <c r="Y42" i="108"/>
  <c r="S42" i="108"/>
  <c r="AA42" i="107"/>
  <c r="AC41" i="111"/>
  <c r="Y41" i="111"/>
  <c r="AE22" i="111"/>
  <c r="W41" i="111"/>
  <c r="W42" i="108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42" i="111" s="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4" i="111" l="1"/>
  <c r="AF41" i="111"/>
  <c r="AE42" i="108"/>
  <c r="AE42" i="107"/>
  <c r="V42" i="111"/>
  <c r="U42" i="111"/>
  <c r="AF42" i="108"/>
  <c r="AC42" i="111"/>
  <c r="W42" i="111"/>
  <c r="AE41" i="111"/>
  <c r="X42" i="111"/>
  <c r="S42" i="111"/>
  <c r="Z42" i="111"/>
  <c r="AF42" i="107"/>
  <c r="Y42" i="111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  <c r="AF42" i="111"/>
</calcChain>
</file>

<file path=xl/sharedStrings.xml><?xml version="1.0" encoding="utf-8"?>
<sst xmlns="http://schemas.openxmlformats.org/spreadsheetml/2006/main" count="2326" uniqueCount="177">
  <si>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</si>
  <si>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</si>
  <si>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</si>
  <si>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</si>
  <si>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</si>
  <si>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</si>
  <si>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</si>
  <si>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</si>
  <si>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</si>
  <si>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</si>
  <si>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</si>
  <si>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</si>
  <si>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</si>
  <si>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</si>
  <si>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</si>
  <si>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</si>
  <si>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</si>
  <si>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</si>
  <si>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</si>
  <si>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</si>
  <si>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</si>
  <si>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</si>
  <si>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</si>
  <si>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</si>
  <si>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</si>
  <si>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</si>
  <si>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</si>
  <si>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</si>
  <si>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</si>
  <si>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</si>
  <si>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</si>
  <si>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</si>
  <si>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</si>
  <si>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</si>
  <si>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</si>
  <si>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</si>
  <si>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</si>
  <si>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</si>
  <si>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</si>
  <si>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</si>
  <si>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</si>
  <si>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</si>
  <si>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</si>
  <si>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</si>
  <si>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</si>
  <si>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</si>
  <si>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</si>
  <si>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</si>
  <si>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</si>
  <si>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</si>
  <si>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</si>
  <si>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</si>
  <si>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</si>
  <si>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</si>
  <si>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</si>
  <si>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</si>
  <si>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</si>
  <si>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</si>
  <si>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</si>
  <si>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</si>
  <si>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</si>
  <si>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</si>
  <si>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</si>
  <si>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</si>
  <si>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</si>
  <si>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</si>
  <si>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</si>
  <si>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</si>
  <si>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</si>
  <si>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</si>
  <si>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</si>
  <si>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</si>
  <si>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</si>
  <si>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</si>
  <si>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</si>
  <si>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</si>
  <si>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</si>
  <si>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</si>
  <si>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</si>
  <si>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</si>
  <si>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</si>
  <si>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</si>
  <si>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</si>
  <si>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</si>
  <si>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</si>
  <si>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</si>
  <si>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</si>
  <si>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</si>
  <si>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</si>
  <si>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</si>
  <si>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</si>
  <si>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</si>
  <si>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</si>
  <si>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</si>
  <si>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</si>
  <si>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</si>
  <si>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</si>
  <si>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</si>
  <si>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</si>
  <si>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</si>
  <si>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</si>
  <si>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</si>
  <si>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</si>
  <si>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</si>
  <si>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</si>
  <si>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</si>
  <si>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</si>
  <si>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</si>
  <si>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</si>
  <si>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</si>
  <si>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</si>
  <si>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</si>
  <si>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</si>
  <si>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</si>
  <si>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</si>
  <si>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</si>
  <si>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</si>
  <si>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</si>
  <si>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</si>
  <si>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</si>
  <si>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</si>
  <si>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</si>
  <si>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</si>
  <si>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</si>
  <si>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</si>
  <si>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</si>
  <si>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</si>
  <si>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</si>
  <si>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</si>
  <si>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</si>
  <si>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</si>
  <si>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</si>
  <si>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</si>
  <si>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</si>
  <si>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</si>
  <si>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</si>
  <si>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</si>
  <si>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</si>
  <si>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</si>
  <si>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</si>
  <si>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</si>
  <si>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</si>
  <si>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</si>
  <si>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</si>
  <si>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</si>
  <si>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</si>
  <si>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</si>
  <si>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</si>
  <si>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</si>
  <si>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</si>
  <si>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</si>
  <si>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</si>
  <si>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</si>
  <si>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</si>
  <si>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</si>
  <si>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</si>
  <si>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</si>
  <si>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</si>
  <si>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</si>
  <si>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</si>
  <si>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</si>
  <si>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</si>
  <si>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</si>
  <si>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</si>
  <si>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</si>
  <si>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</si>
  <si>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</si>
  <si>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</si>
  <si>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</si>
  <si>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</si>
  <si>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MCC - C1 - STN09 - WAKALIGA ROAD</t>
  </si>
  <si>
    <t>NATEETE</t>
  </si>
  <si>
    <t>TAKUWA BEST FEEDS</t>
  </si>
  <si>
    <t>BEATRICE</t>
  </si>
  <si>
    <t>NAKAWUKA</t>
  </si>
  <si>
    <t>WACHOMI RONALD/KENNETH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</si>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</sst>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Nakawuka-Nateete'!$AE$9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Nakawuka-Nateete'!$AE$10:$AE$21</c:f>
              <c:numCache>
                <c:formatCode>0</c:formatCode>
                <c:ptCount val="12"/>
                <c:pt idx="0">
                  <c:v>228</c:v>
                </c:pt>
                <c:pt idx="1">
                  <c:v>369</c:v>
                </c:pt>
                <c:pt idx="2">
                  <c:v>377</c:v>
                </c:pt>
                <c:pt idx="3">
                  <c:v>347</c:v>
                </c:pt>
                <c:pt idx="4">
                  <c:v>280</c:v>
                </c:pt>
                <c:pt idx="5">
                  <c:v>231</c:v>
                </c:pt>
                <c:pt idx="6">
                  <c:v>214</c:v>
                </c:pt>
                <c:pt idx="7">
                  <c:v>181</c:v>
                </c:pt>
                <c:pt idx="8">
                  <c:v>212</c:v>
                </c:pt>
                <c:pt idx="9">
                  <c:v>198</c:v>
                </c:pt>
                <c:pt idx="10">
                  <c:v>199</c:v>
                </c:pt>
                <c:pt idx="11">
                  <c:v>164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Nakawuka-Nateete'!$AF$9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Nakawuka-Nateete'!$AF$10:$AF$21</c:f>
              <c:numCache>
                <c:formatCode>0</c:formatCode>
                <c:ptCount val="12"/>
                <c:pt idx="0">
                  <c:v>599</c:v>
                </c:pt>
                <c:pt idx="1">
                  <c:v>829</c:v>
                </c:pt>
                <c:pt idx="2">
                  <c:v>800</c:v>
                </c:pt>
                <c:pt idx="3">
                  <c:v>751</c:v>
                </c:pt>
                <c:pt idx="4">
                  <c:v>617</c:v>
                </c:pt>
                <c:pt idx="5">
                  <c:v>558</c:v>
                </c:pt>
                <c:pt idx="6">
                  <c:v>588</c:v>
                </c:pt>
                <c:pt idx="7">
                  <c:v>512</c:v>
                </c:pt>
                <c:pt idx="8">
                  <c:v>439</c:v>
                </c:pt>
                <c:pt idx="9">
                  <c:v>533</c:v>
                </c:pt>
                <c:pt idx="10">
                  <c:v>660</c:v>
                </c:pt>
                <c:pt idx="11">
                  <c:v>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58672"/>
        <c:axId val="-145463568"/>
      </c:lineChart>
      <c:catAx>
        <c:axId val="-145458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63568"/>
        <c:crosses val="autoZero"/>
        <c:auto val="1"/>
        <c:lblAlgn val="ctr"/>
        <c:lblOffset val="100"/>
        <c:noMultiLvlLbl val="0"/>
      </c:catAx>
      <c:valAx>
        <c:axId val="-145463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Nakawuka-Nateete'!$C$59:$N$59</c:f>
              <c:numCache>
                <c:formatCode>0.0%</c:formatCode>
                <c:ptCount val="12"/>
                <c:pt idx="0">
                  <c:v>0.1174746936600959</c:v>
                </c:pt>
                <c:pt idx="1">
                  <c:v>5.0745871070857755E-2</c:v>
                </c:pt>
                <c:pt idx="2">
                  <c:v>2.70378263185935E-2</c:v>
                </c:pt>
                <c:pt idx="3">
                  <c:v>0.13385721896643579</c:v>
                </c:pt>
                <c:pt idx="4">
                  <c:v>1.9978689397975491E-3</c:v>
                </c:pt>
                <c:pt idx="5">
                  <c:v>7.9914757591901967E-4</c:v>
                </c:pt>
                <c:pt idx="6">
                  <c:v>2.1576984549813532E-2</c:v>
                </c:pt>
                <c:pt idx="7">
                  <c:v>3.4896110815130527E-2</c:v>
                </c:pt>
                <c:pt idx="8">
                  <c:v>9.3233883857218973E-3</c:v>
                </c:pt>
                <c:pt idx="9">
                  <c:v>1.8646776771443793E-3</c:v>
                </c:pt>
                <c:pt idx="10">
                  <c:v>0.60042621204049018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Nakawuka-Nateete'!$C$60:$N$60</c:f>
              <c:numCache>
                <c:formatCode>0.00%</c:formatCode>
                <c:ptCount val="12"/>
                <c:pt idx="0">
                  <c:v>0.29399999999999998</c:v>
                </c:pt>
                <c:pt idx="1">
                  <c:v>0.127</c:v>
                </c:pt>
                <c:pt idx="2">
                  <c:v>6.7666666666666667E-2</c:v>
                </c:pt>
                <c:pt idx="3">
                  <c:v>0.33500000000000002</c:v>
                </c:pt>
                <c:pt idx="4">
                  <c:v>5.0000000000000001E-3</c:v>
                </c:pt>
                <c:pt idx="5">
                  <c:v>2E-3</c:v>
                </c:pt>
                <c:pt idx="6">
                  <c:v>5.3999999999999999E-2</c:v>
                </c:pt>
                <c:pt idx="7">
                  <c:v>8.7333333333333332E-2</c:v>
                </c:pt>
                <c:pt idx="8">
                  <c:v>2.3333333333333334E-2</c:v>
                </c:pt>
                <c:pt idx="9">
                  <c:v>4.6666666666666671E-3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Nateete-Nakawuka'!$AE$9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Nateete-Nakawuka'!$AE$10:$AE$21</c:f>
              <c:numCache>
                <c:formatCode>0</c:formatCode>
                <c:ptCount val="12"/>
                <c:pt idx="0">
                  <c:v>115</c:v>
                </c:pt>
                <c:pt idx="1">
                  <c:v>144</c:v>
                </c:pt>
                <c:pt idx="2">
                  <c:v>161</c:v>
                </c:pt>
                <c:pt idx="3">
                  <c:v>171</c:v>
                </c:pt>
                <c:pt idx="4">
                  <c:v>220</c:v>
                </c:pt>
                <c:pt idx="5">
                  <c:v>174</c:v>
                </c:pt>
                <c:pt idx="6">
                  <c:v>169</c:v>
                </c:pt>
                <c:pt idx="7">
                  <c:v>196</c:v>
                </c:pt>
                <c:pt idx="8">
                  <c:v>105</c:v>
                </c:pt>
                <c:pt idx="9">
                  <c:v>119</c:v>
                </c:pt>
                <c:pt idx="10">
                  <c:v>234</c:v>
                </c:pt>
                <c:pt idx="11">
                  <c:v>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Nateete-Nakawuka'!$AF$9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Nateete-Nakawuka'!$AF$10:$AF$21</c:f>
              <c:numCache>
                <c:formatCode>0</c:formatCode>
                <c:ptCount val="12"/>
                <c:pt idx="0">
                  <c:v>469</c:v>
                </c:pt>
                <c:pt idx="1">
                  <c:v>532</c:v>
                </c:pt>
                <c:pt idx="2">
                  <c:v>607</c:v>
                </c:pt>
                <c:pt idx="3">
                  <c:v>537</c:v>
                </c:pt>
                <c:pt idx="4">
                  <c:v>581</c:v>
                </c:pt>
                <c:pt idx="5">
                  <c:v>568</c:v>
                </c:pt>
                <c:pt idx="6">
                  <c:v>499</c:v>
                </c:pt>
                <c:pt idx="7">
                  <c:v>593</c:v>
                </c:pt>
                <c:pt idx="8">
                  <c:v>320</c:v>
                </c:pt>
                <c:pt idx="9">
                  <c:v>455</c:v>
                </c:pt>
                <c:pt idx="10">
                  <c:v>661</c:v>
                </c:pt>
                <c:pt idx="11">
                  <c:v>467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59216"/>
        <c:axId val="-145461936"/>
      </c:lineChart>
      <c:catAx>
        <c:axId val="-145459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61936"/>
        <c:crosses val="autoZero"/>
        <c:auto val="1"/>
        <c:lblAlgn val="ctr"/>
        <c:lblOffset val="100"/>
        <c:noMultiLvlLbl val="0"/>
      </c:catAx>
      <c:valAx>
        <c:axId val="-145461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Nateete-Nakawuka'!$C$59:$N$59</c:f>
              <c:numCache>
                <c:formatCode>0.0%</c:formatCode>
                <c:ptCount val="12"/>
                <c:pt idx="0">
                  <c:v>9.9697885196374625E-2</c:v>
                </c:pt>
                <c:pt idx="1">
                  <c:v>2.0034981714103992E-2</c:v>
                </c:pt>
                <c:pt idx="2">
                  <c:v>2.432819208141199E-2</c:v>
                </c:pt>
                <c:pt idx="3">
                  <c:v>9.9220861822229292E-2</c:v>
                </c:pt>
                <c:pt idx="4">
                  <c:v>5.5652726983622201E-3</c:v>
                </c:pt>
                <c:pt idx="5">
                  <c:v>3.816186993162665E-3</c:v>
                </c:pt>
                <c:pt idx="6">
                  <c:v>4.7702337414533315E-2</c:v>
                </c:pt>
                <c:pt idx="7">
                  <c:v>1.3038638893305771E-2</c:v>
                </c:pt>
                <c:pt idx="8">
                  <c:v>4.9292415328351085E-3</c:v>
                </c:pt>
                <c:pt idx="9">
                  <c:v>1.2720623310542216E-3</c:v>
                </c:pt>
                <c:pt idx="10">
                  <c:v>0.68039433932262683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Nateete-Nakawuka'!$S$9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Nateete-Nakawuka'!$S$10:$S$21</c:f>
              <c:numCache>
                <c:formatCode>0</c:formatCode>
                <c:ptCount val="12"/>
                <c:pt idx="0">
                  <c:v>29</c:v>
                </c:pt>
                <c:pt idx="1">
                  <c:v>32</c:v>
                </c:pt>
                <c:pt idx="2">
                  <c:v>45</c:v>
                </c:pt>
                <c:pt idx="3">
                  <c:v>37</c:v>
                </c:pt>
                <c:pt idx="4">
                  <c:v>70</c:v>
                </c:pt>
                <c:pt idx="5">
                  <c:v>47</c:v>
                </c:pt>
                <c:pt idx="6">
                  <c:v>52</c:v>
                </c:pt>
                <c:pt idx="7">
                  <c:v>63</c:v>
                </c:pt>
                <c:pt idx="8">
                  <c:v>55</c:v>
                </c:pt>
                <c:pt idx="9">
                  <c:v>40</c:v>
                </c:pt>
                <c:pt idx="10">
                  <c:v>97</c:v>
                </c:pt>
                <c:pt idx="11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Nateete-Nakawuka'!$T$9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Nateete-Nakawuka'!$T$10:$T$21</c:f>
              <c:numCache>
                <c:formatCode>0</c:formatCode>
                <c:ptCount val="12"/>
                <c:pt idx="0">
                  <c:v>13</c:v>
                </c:pt>
                <c:pt idx="1">
                  <c:v>16</c:v>
                </c:pt>
                <c:pt idx="2">
                  <c:v>11</c:v>
                </c:pt>
                <c:pt idx="3">
                  <c:v>10</c:v>
                </c:pt>
                <c:pt idx="4">
                  <c:v>4</c:v>
                </c:pt>
                <c:pt idx="5">
                  <c:v>10</c:v>
                </c:pt>
                <c:pt idx="6">
                  <c:v>9</c:v>
                </c:pt>
                <c:pt idx="7">
                  <c:v>12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Nateete-Nakawuka'!$U$9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Nateete-Nakawuka'!$U$10:$U$21</c:f>
              <c:numCache>
                <c:formatCode>0</c:formatCode>
                <c:ptCount val="12"/>
                <c:pt idx="0">
                  <c:v>14</c:v>
                </c:pt>
                <c:pt idx="1">
                  <c:v>9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14</c:v>
                </c:pt>
                <c:pt idx="6">
                  <c:v>9</c:v>
                </c:pt>
                <c:pt idx="7">
                  <c:v>29</c:v>
                </c:pt>
                <c:pt idx="8">
                  <c:v>7</c:v>
                </c:pt>
                <c:pt idx="9">
                  <c:v>8</c:v>
                </c:pt>
                <c:pt idx="10">
                  <c:v>12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Nateete-Nakawuka'!$V$9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Nateete-Nakawuka'!$V$10:$V$21</c:f>
              <c:numCache>
                <c:formatCode>0</c:formatCode>
                <c:ptCount val="12"/>
                <c:pt idx="0">
                  <c:v>46</c:v>
                </c:pt>
                <c:pt idx="1">
                  <c:v>71</c:v>
                </c:pt>
                <c:pt idx="2">
                  <c:v>53</c:v>
                </c:pt>
                <c:pt idx="3">
                  <c:v>67</c:v>
                </c:pt>
                <c:pt idx="4">
                  <c:v>51</c:v>
                </c:pt>
                <c:pt idx="5">
                  <c:v>53</c:v>
                </c:pt>
                <c:pt idx="6">
                  <c:v>50</c:v>
                </c:pt>
                <c:pt idx="7">
                  <c:v>51</c:v>
                </c:pt>
                <c:pt idx="8">
                  <c:v>21</c:v>
                </c:pt>
                <c:pt idx="9">
                  <c:v>26</c:v>
                </c:pt>
                <c:pt idx="10">
                  <c:v>66</c:v>
                </c:pt>
                <c:pt idx="1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Nateete-Nakawuka'!$W$9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24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Nateete-Nakawuka'!$X$9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Nateete-Nakawuka'!$X$10:$X$21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6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Nateete-Nakawuka'!$Y$9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Nateete-Nakawuka'!$Y$10:$Y$21</c:f>
              <c:numCache>
                <c:formatCode>0</c:formatCode>
                <c:ptCount val="12"/>
                <c:pt idx="0">
                  <c:v>7</c:v>
                </c:pt>
                <c:pt idx="1">
                  <c:v>9</c:v>
                </c:pt>
                <c:pt idx="2">
                  <c:v>30</c:v>
                </c:pt>
                <c:pt idx="3">
                  <c:v>31</c:v>
                </c:pt>
                <c:pt idx="4">
                  <c:v>42</c:v>
                </c:pt>
                <c:pt idx="5">
                  <c:v>40</c:v>
                </c:pt>
                <c:pt idx="6">
                  <c:v>18</c:v>
                </c:pt>
                <c:pt idx="7">
                  <c:v>23</c:v>
                </c:pt>
                <c:pt idx="8">
                  <c:v>8</c:v>
                </c:pt>
                <c:pt idx="9">
                  <c:v>24</c:v>
                </c:pt>
                <c:pt idx="10">
                  <c:v>36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Nateete-Nakawuka'!$Z$9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Nateete-Nakawuka'!$Z$10:$Z$21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3</c:v>
                </c:pt>
                <c:pt idx="3">
                  <c:v>13</c:v>
                </c:pt>
                <c:pt idx="4">
                  <c:v>6</c:v>
                </c:pt>
                <c:pt idx="5">
                  <c:v>3</c:v>
                </c:pt>
                <c:pt idx="6">
                  <c:v>13</c:v>
                </c:pt>
                <c:pt idx="7">
                  <c:v>15</c:v>
                </c:pt>
                <c:pt idx="8">
                  <c:v>6</c:v>
                </c:pt>
                <c:pt idx="9">
                  <c:v>8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Nateete-Nakawuka'!$AA$9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10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Nateete-Nakawuka'!$AB$9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Nateete-Nakawuka'!$AC$9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Nateete-Nakawuka'!$AC$10:$AC$21</c:f>
              <c:numCache>
                <c:formatCode>0</c:formatCode>
                <c:ptCount val="12"/>
                <c:pt idx="0">
                  <c:v>354</c:v>
                </c:pt>
                <c:pt idx="1">
                  <c:v>388</c:v>
                </c:pt>
                <c:pt idx="2">
                  <c:v>446</c:v>
                </c:pt>
                <c:pt idx="3">
                  <c:v>366</c:v>
                </c:pt>
                <c:pt idx="4">
                  <c:v>361</c:v>
                </c:pt>
                <c:pt idx="5">
                  <c:v>394</c:v>
                </c:pt>
                <c:pt idx="6">
                  <c:v>330</c:v>
                </c:pt>
                <c:pt idx="7">
                  <c:v>397</c:v>
                </c:pt>
                <c:pt idx="8">
                  <c:v>215</c:v>
                </c:pt>
                <c:pt idx="9">
                  <c:v>336</c:v>
                </c:pt>
                <c:pt idx="10">
                  <c:v>427</c:v>
                </c:pt>
                <c:pt idx="11">
                  <c:v>265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Nateete-Nakawuka'!$AD$9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Nateete-Nakawuka'!$AD$10:$AD$21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5450512"/>
        <c:axId val="-145460304"/>
      </c:lineChart>
      <c:catAx>
        <c:axId val="-145450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60304"/>
        <c:crosses val="autoZero"/>
        <c:auto val="1"/>
        <c:lblAlgn val="ctr"/>
        <c:lblOffset val="100"/>
        <c:noMultiLvlLbl val="0"/>
      </c:catAx>
      <c:valAx>
        <c:axId val="-14546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5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Nateete-Nakawuka'!$C$60:$N$60</c:f>
              <c:numCache>
                <c:formatCode>0.00%</c:formatCode>
                <c:ptCount val="12"/>
                <c:pt idx="0">
                  <c:v>0.31194029850746269</c:v>
                </c:pt>
                <c:pt idx="1">
                  <c:v>6.2686567164179099E-2</c:v>
                </c:pt>
                <c:pt idx="2">
                  <c:v>7.6119402985074622E-2</c:v>
                </c:pt>
                <c:pt idx="3">
                  <c:v>0.31044776119402984</c:v>
                </c:pt>
                <c:pt idx="4">
                  <c:v>1.7412935323383085E-2</c:v>
                </c:pt>
                <c:pt idx="5">
                  <c:v>1.1940298507462687E-2</c:v>
                </c:pt>
                <c:pt idx="6">
                  <c:v>0.14925373134328357</c:v>
                </c:pt>
                <c:pt idx="7">
                  <c:v>4.0796019900497513E-2</c:v>
                </c:pt>
                <c:pt idx="8">
                  <c:v>1.5422885572139304E-2</c:v>
                </c:pt>
                <c:pt idx="9">
                  <c:v>3.9800995024875619E-3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Nakawuka-Nateete'!$AE$9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Nakawuka-Nateete'!$AE$10:$AE$21</c:f>
              <c:numCache>
                <c:formatCode>0</c:formatCode>
                <c:ptCount val="12"/>
                <c:pt idx="0">
                  <c:v>506</c:v>
                </c:pt>
                <c:pt idx="1">
                  <c:v>448</c:v>
                </c:pt>
                <c:pt idx="2">
                  <c:v>266</c:v>
                </c:pt>
                <c:pt idx="3">
                  <c:v>304</c:v>
                </c:pt>
                <c:pt idx="4">
                  <c:v>258</c:v>
                </c:pt>
                <c:pt idx="5">
                  <c:v>223</c:v>
                </c:pt>
                <c:pt idx="6">
                  <c:v>193</c:v>
                </c:pt>
                <c:pt idx="7">
                  <c:v>198</c:v>
                </c:pt>
                <c:pt idx="8">
                  <c:v>197</c:v>
                </c:pt>
                <c:pt idx="9">
                  <c:v>187</c:v>
                </c:pt>
                <c:pt idx="10">
                  <c:v>211</c:v>
                </c:pt>
                <c:pt idx="11">
                  <c:v>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Nakawuka-Nateete'!$AF$9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Nakawuka-Nateete'!$AF$10:$AF$21</c:f>
              <c:numCache>
                <c:formatCode>0</c:formatCode>
                <c:ptCount val="12"/>
                <c:pt idx="0">
                  <c:v>958</c:v>
                </c:pt>
                <c:pt idx="1">
                  <c:v>838</c:v>
                </c:pt>
                <c:pt idx="2">
                  <c:v>545</c:v>
                </c:pt>
                <c:pt idx="3">
                  <c:v>681</c:v>
                </c:pt>
                <c:pt idx="4">
                  <c:v>590</c:v>
                </c:pt>
                <c:pt idx="5">
                  <c:v>577</c:v>
                </c:pt>
                <c:pt idx="6">
                  <c:v>559</c:v>
                </c:pt>
                <c:pt idx="7">
                  <c:v>534</c:v>
                </c:pt>
                <c:pt idx="8">
                  <c:v>533</c:v>
                </c:pt>
                <c:pt idx="9">
                  <c:v>596</c:v>
                </c:pt>
                <c:pt idx="10">
                  <c:v>557</c:v>
                </c:pt>
                <c:pt idx="11">
                  <c:v>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449968"/>
        <c:axId val="-145460848"/>
      </c:lineChart>
      <c:catAx>
        <c:axId val="-145449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60848"/>
        <c:crosses val="autoZero"/>
        <c:auto val="1"/>
        <c:lblAlgn val="ctr"/>
        <c:lblOffset val="100"/>
        <c:noMultiLvlLbl val="0"/>
      </c:catAx>
      <c:valAx>
        <c:axId val="-145460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44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Nakawuka-Nateete'!$C$59:$N$59</c:f>
              <c:numCache>
                <c:formatCode>0.0%</c:formatCode>
                <c:ptCount val="12"/>
                <c:pt idx="0">
                  <c:v>0.12095824060740935</c:v>
                </c:pt>
                <c:pt idx="1">
                  <c:v>4.5555701007985339E-2</c:v>
                </c:pt>
                <c:pt idx="2">
                  <c:v>3.6523105118471004E-2</c:v>
                </c:pt>
                <c:pt idx="3">
                  <c:v>0.13915433957324258</c:v>
                </c:pt>
                <c:pt idx="4">
                  <c:v>4.0581227909412231E-3</c:v>
                </c:pt>
                <c:pt idx="5">
                  <c:v>6.5453593402277788E-4</c:v>
                </c:pt>
                <c:pt idx="6">
                  <c:v>3.2203167953920669E-2</c:v>
                </c:pt>
                <c:pt idx="7">
                  <c:v>3.4166775755989004E-2</c:v>
                </c:pt>
                <c:pt idx="8">
                  <c:v>5.367194658986778E-3</c:v>
                </c:pt>
                <c:pt idx="9">
                  <c:v>2.7490509228956669E-3</c:v>
                </c:pt>
                <c:pt idx="10">
                  <c:v>0.57860976567613565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Nakawuka-Nateete'!$S$9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Nakawuka-Nateete'!$S$10:$S$21</c:f>
              <c:numCache>
                <c:formatCode>0</c:formatCode>
                <c:ptCount val="12"/>
                <c:pt idx="0">
                  <c:v>164</c:v>
                </c:pt>
                <c:pt idx="1">
                  <c:v>154</c:v>
                </c:pt>
                <c:pt idx="2">
                  <c:v>71</c:v>
                </c:pt>
                <c:pt idx="3">
                  <c:v>101</c:v>
                </c:pt>
                <c:pt idx="4">
                  <c:v>70</c:v>
                </c:pt>
                <c:pt idx="5">
                  <c:v>58</c:v>
                </c:pt>
                <c:pt idx="6">
                  <c:v>51</c:v>
                </c:pt>
                <c:pt idx="7">
                  <c:v>39</c:v>
                </c:pt>
                <c:pt idx="8">
                  <c:v>56</c:v>
                </c:pt>
                <c:pt idx="9">
                  <c:v>44</c:v>
                </c:pt>
                <c:pt idx="10">
                  <c:v>58</c:v>
                </c:pt>
                <c:pt idx="11">
                  <c:v>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Nakawuka-Nateete'!$T$9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Nakawuka-Nateete'!$T$10:$T$21</c:f>
              <c:numCache>
                <c:formatCode>0</c:formatCode>
                <c:ptCount val="12"/>
                <c:pt idx="0">
                  <c:v>53</c:v>
                </c:pt>
                <c:pt idx="1">
                  <c:v>45</c:v>
                </c:pt>
                <c:pt idx="2">
                  <c:v>30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  <c:pt idx="6">
                  <c:v>16</c:v>
                </c:pt>
                <c:pt idx="7">
                  <c:v>20</c:v>
                </c:pt>
                <c:pt idx="8">
                  <c:v>26</c:v>
                </c:pt>
                <c:pt idx="9">
                  <c:v>15</c:v>
                </c:pt>
                <c:pt idx="10">
                  <c:v>34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Nakawuka-Nateete'!$U$9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Nakawuka-Nateete'!$U$10:$U$21</c:f>
              <c:numCache>
                <c:formatCode>0</c:formatCode>
                <c:ptCount val="12"/>
                <c:pt idx="0">
                  <c:v>39</c:v>
                </c:pt>
                <c:pt idx="1">
                  <c:v>32</c:v>
                </c:pt>
                <c:pt idx="2">
                  <c:v>19</c:v>
                </c:pt>
                <c:pt idx="3">
                  <c:v>21</c:v>
                </c:pt>
                <c:pt idx="4">
                  <c:v>25</c:v>
                </c:pt>
                <c:pt idx="5">
                  <c:v>21</c:v>
                </c:pt>
                <c:pt idx="6">
                  <c:v>18</c:v>
                </c:pt>
                <c:pt idx="7">
                  <c:v>24</c:v>
                </c:pt>
                <c:pt idx="8">
                  <c:v>19</c:v>
                </c:pt>
                <c:pt idx="9">
                  <c:v>15</c:v>
                </c:pt>
                <c:pt idx="10">
                  <c:v>24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Nakawuka-Nateete'!$V$9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Nakawuka-Nateete'!$V$10:$V$21</c:f>
              <c:numCache>
                <c:formatCode>0</c:formatCode>
                <c:ptCount val="12"/>
                <c:pt idx="0">
                  <c:v>175</c:v>
                </c:pt>
                <c:pt idx="1">
                  <c:v>163</c:v>
                </c:pt>
                <c:pt idx="2">
                  <c:v>93</c:v>
                </c:pt>
                <c:pt idx="3">
                  <c:v>101</c:v>
                </c:pt>
                <c:pt idx="4">
                  <c:v>84</c:v>
                </c:pt>
                <c:pt idx="5">
                  <c:v>73</c:v>
                </c:pt>
                <c:pt idx="6">
                  <c:v>65</c:v>
                </c:pt>
                <c:pt idx="7">
                  <c:v>52</c:v>
                </c:pt>
                <c:pt idx="8">
                  <c:v>58</c:v>
                </c:pt>
                <c:pt idx="9">
                  <c:v>65</c:v>
                </c:pt>
                <c:pt idx="10">
                  <c:v>48</c:v>
                </c:pt>
                <c:pt idx="1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Nakawuka-Nateete'!$W$9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Nakawuka-Nateete'!$W$10:$W$21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9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Nakawuka-Nateete'!$X$9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Nakawuka-Nateete'!$X$10:$X$21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Nakawuka-Nateete'!$Y$9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Nakawuka-Nateete'!$Y$10:$Y$21</c:f>
              <c:numCache>
                <c:formatCode>0</c:formatCode>
                <c:ptCount val="12"/>
                <c:pt idx="0">
                  <c:v>44</c:v>
                </c:pt>
                <c:pt idx="1">
                  <c:v>24</c:v>
                </c:pt>
                <c:pt idx="2">
                  <c:v>16</c:v>
                </c:pt>
                <c:pt idx="3">
                  <c:v>24</c:v>
                </c:pt>
                <c:pt idx="4">
                  <c:v>14</c:v>
                </c:pt>
                <c:pt idx="5">
                  <c:v>12</c:v>
                </c:pt>
                <c:pt idx="6">
                  <c:v>24</c:v>
                </c:pt>
                <c:pt idx="7">
                  <c:v>19</c:v>
                </c:pt>
                <c:pt idx="8">
                  <c:v>18</c:v>
                </c:pt>
                <c:pt idx="9">
                  <c:v>18</c:v>
                </c:pt>
                <c:pt idx="10">
                  <c:v>21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Nakawuka-Nateete'!$Z$9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Nakawuka-Nateete'!$Z$10:$Z$21</c:f>
              <c:numCache>
                <c:formatCode>0</c:formatCode>
                <c:ptCount val="12"/>
                <c:pt idx="0">
                  <c:v>18</c:v>
                </c:pt>
                <c:pt idx="1">
                  <c:v>25</c:v>
                </c:pt>
                <c:pt idx="2">
                  <c:v>30</c:v>
                </c:pt>
                <c:pt idx="3">
                  <c:v>22</c:v>
                </c:pt>
                <c:pt idx="4">
                  <c:v>28</c:v>
                </c:pt>
                <c:pt idx="5">
                  <c:v>26</c:v>
                </c:pt>
                <c:pt idx="6">
                  <c:v>14</c:v>
                </c:pt>
                <c:pt idx="7">
                  <c:v>26</c:v>
                </c:pt>
                <c:pt idx="8">
                  <c:v>15</c:v>
                </c:pt>
                <c:pt idx="9">
                  <c:v>18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Nakawuka-Nateete'!$AA$9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Nakawuka-Nateete'!$AA$10:$AA$21</c:f>
              <c:numCache>
                <c:formatCode>0</c:formatCode>
                <c:ptCount val="12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6</c:v>
                </c:pt>
                <c:pt idx="8">
                  <c:v>2</c:v>
                </c:pt>
                <c:pt idx="9">
                  <c:v>9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Nakawuka-Nateete'!$AB$9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Nakawuka-Nateete'!$AC$9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Nakawuka-Nateete'!$AC$10:$AC$21</c:f>
              <c:numCache>
                <c:formatCode>0</c:formatCode>
                <c:ptCount val="12"/>
                <c:pt idx="0">
                  <c:v>452</c:v>
                </c:pt>
                <c:pt idx="1">
                  <c:v>390</c:v>
                </c:pt>
                <c:pt idx="2">
                  <c:v>279</c:v>
                </c:pt>
                <c:pt idx="3">
                  <c:v>377</c:v>
                </c:pt>
                <c:pt idx="4">
                  <c:v>332</c:v>
                </c:pt>
                <c:pt idx="5">
                  <c:v>354</c:v>
                </c:pt>
                <c:pt idx="6">
                  <c:v>366</c:v>
                </c:pt>
                <c:pt idx="7">
                  <c:v>336</c:v>
                </c:pt>
                <c:pt idx="8">
                  <c:v>336</c:v>
                </c:pt>
                <c:pt idx="9">
                  <c:v>409</c:v>
                </c:pt>
                <c:pt idx="10">
                  <c:v>346</c:v>
                </c:pt>
                <c:pt idx="11">
                  <c:v>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Nakawuka-Nateete'!$AD$9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Nakawuka-Nateete'!$AD$10:$AD$21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87072"/>
        <c:axId val="-195591424"/>
      </c:lineChart>
      <c:catAx>
        <c:axId val="-195587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1424"/>
        <c:crosses val="autoZero"/>
        <c:auto val="1"/>
        <c:lblAlgn val="ctr"/>
        <c:lblOffset val="100"/>
        <c:noMultiLvlLbl val="0"/>
      </c:catAx>
      <c:valAx>
        <c:axId val="-19559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8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Nakawuka-Nateete'!$C$60:$N$60</c:f>
              <c:numCache>
                <c:formatCode>0.00%</c:formatCode>
                <c:ptCount val="12"/>
                <c:pt idx="0">
                  <c:v>0.2870456663560112</c:v>
                </c:pt>
                <c:pt idx="1">
                  <c:v>0.10810810810810811</c:v>
                </c:pt>
                <c:pt idx="2">
                  <c:v>8.6672879776328052E-2</c:v>
                </c:pt>
                <c:pt idx="3">
                  <c:v>0.33022677850264059</c:v>
                </c:pt>
                <c:pt idx="4">
                  <c:v>9.6303199751475617E-3</c:v>
                </c:pt>
                <c:pt idx="5">
                  <c:v>1.5532774153463808E-3</c:v>
                </c:pt>
                <c:pt idx="6">
                  <c:v>7.6421248835041936E-2</c:v>
                </c:pt>
                <c:pt idx="7">
                  <c:v>8.1081081081081086E-2</c:v>
                </c:pt>
                <c:pt idx="8">
                  <c:v>1.2736874805840324E-2</c:v>
                </c:pt>
                <c:pt idx="9">
                  <c:v>6.5237651444547996E-3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Nateete-Nakawuka'!$AE$9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Nateete-Nakawuka'!$AE$10:$AE$21</c:f>
              <c:numCache>
                <c:formatCode>0</c:formatCode>
                <c:ptCount val="12"/>
                <c:pt idx="0">
                  <c:v>131</c:v>
                </c:pt>
                <c:pt idx="1">
                  <c:v>130</c:v>
                </c:pt>
                <c:pt idx="2">
                  <c:v>155</c:v>
                </c:pt>
                <c:pt idx="3">
                  <c:v>192</c:v>
                </c:pt>
                <c:pt idx="4">
                  <c:v>166</c:v>
                </c:pt>
                <c:pt idx="5">
                  <c:v>129</c:v>
                </c:pt>
                <c:pt idx="6">
                  <c:v>129</c:v>
                </c:pt>
                <c:pt idx="7">
                  <c:v>146</c:v>
                </c:pt>
                <c:pt idx="8">
                  <c:v>134</c:v>
                </c:pt>
                <c:pt idx="9">
                  <c:v>130</c:v>
                </c:pt>
                <c:pt idx="10">
                  <c:v>214</c:v>
                </c:pt>
                <c:pt idx="11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Nateete-Nakawuka'!$AF$9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Nateete-Nakawuka'!$AF$10:$AF$21</c:f>
              <c:numCache>
                <c:formatCode>0</c:formatCode>
                <c:ptCount val="12"/>
                <c:pt idx="0">
                  <c:v>494</c:v>
                </c:pt>
                <c:pt idx="1">
                  <c:v>535</c:v>
                </c:pt>
                <c:pt idx="2">
                  <c:v>643</c:v>
                </c:pt>
                <c:pt idx="3">
                  <c:v>587</c:v>
                </c:pt>
                <c:pt idx="4">
                  <c:v>548</c:v>
                </c:pt>
                <c:pt idx="5">
                  <c:v>329</c:v>
                </c:pt>
                <c:pt idx="6">
                  <c:v>408</c:v>
                </c:pt>
                <c:pt idx="7">
                  <c:v>344</c:v>
                </c:pt>
                <c:pt idx="8">
                  <c:v>379</c:v>
                </c:pt>
                <c:pt idx="9">
                  <c:v>404</c:v>
                </c:pt>
                <c:pt idx="10">
                  <c:v>541</c:v>
                </c:pt>
                <c:pt idx="11">
                  <c:v>578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2512"/>
        <c:axId val="-195590880"/>
      </c:lineChart>
      <c:catAx>
        <c:axId val="-195592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0880"/>
        <c:crosses val="autoZero"/>
        <c:auto val="1"/>
        <c:lblAlgn val="ctr"/>
        <c:lblOffset val="100"/>
        <c:noMultiLvlLbl val="0"/>
      </c:catAx>
      <c:valAx>
        <c:axId val="-1955908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Nateete-Nakawuka'!$C$59:$N$59</c:f>
              <c:numCache>
                <c:formatCode>0.0%</c:formatCode>
                <c:ptCount val="12"/>
                <c:pt idx="0">
                  <c:v>0.11053540587219343</c:v>
                </c:pt>
                <c:pt idx="1">
                  <c:v>1.9170984455958551E-2</c:v>
                </c:pt>
                <c:pt idx="2">
                  <c:v>2.4870466321243522E-2</c:v>
                </c:pt>
                <c:pt idx="3">
                  <c:v>0.10898100172711572</c:v>
                </c:pt>
                <c:pt idx="4">
                  <c:v>5.5267702936096716E-3</c:v>
                </c:pt>
                <c:pt idx="5">
                  <c:v>1.7271157167530224E-3</c:v>
                </c:pt>
                <c:pt idx="6">
                  <c:v>4.1105354058721934E-2</c:v>
                </c:pt>
                <c:pt idx="7">
                  <c:v>1.468048359240069E-2</c:v>
                </c:pt>
                <c:pt idx="8">
                  <c:v>5.35405872193437E-3</c:v>
                </c:pt>
                <c:pt idx="9">
                  <c:v>1.8998272884283246E-3</c:v>
                </c:pt>
                <c:pt idx="10">
                  <c:v>0.66614853195164081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Nateete-Nakawuka'!$S$9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Nateete-Nakawuka'!$S$10:$S$21</c:f>
              <c:numCache>
                <c:formatCode>0</c:formatCode>
                <c:ptCount val="12"/>
                <c:pt idx="0">
                  <c:v>42</c:v>
                </c:pt>
                <c:pt idx="1">
                  <c:v>20</c:v>
                </c:pt>
                <c:pt idx="2">
                  <c:v>39</c:v>
                </c:pt>
                <c:pt idx="3">
                  <c:v>51</c:v>
                </c:pt>
                <c:pt idx="4">
                  <c:v>54</c:v>
                </c:pt>
                <c:pt idx="5">
                  <c:v>40</c:v>
                </c:pt>
                <c:pt idx="6">
                  <c:v>39</c:v>
                </c:pt>
                <c:pt idx="7">
                  <c:v>42</c:v>
                </c:pt>
                <c:pt idx="8">
                  <c:v>54</c:v>
                </c:pt>
                <c:pt idx="9">
                  <c:v>47</c:v>
                </c:pt>
                <c:pt idx="10">
                  <c:v>104</c:v>
                </c:pt>
                <c:pt idx="11">
                  <c:v>108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Nateete-Nakawuka'!$T$9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Nateete-Nakawuka'!$T$10:$T$21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</c:v>
                </c:pt>
                <c:pt idx="3">
                  <c:v>7</c:v>
                </c:pt>
                <c:pt idx="4">
                  <c:v>5</c:v>
                </c:pt>
                <c:pt idx="5">
                  <c:v>10</c:v>
                </c:pt>
                <c:pt idx="6">
                  <c:v>15</c:v>
                </c:pt>
                <c:pt idx="7">
                  <c:v>10</c:v>
                </c:pt>
                <c:pt idx="8">
                  <c:v>7</c:v>
                </c:pt>
                <c:pt idx="9">
                  <c:v>7</c:v>
                </c:pt>
                <c:pt idx="10">
                  <c:v>17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Nateete-Nakawuka'!$U$9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Nateete-Nakawuka'!$U$10:$U$21</c:f>
              <c:numCache>
                <c:formatCode>0</c:formatCode>
                <c:ptCount val="12"/>
                <c:pt idx="0">
                  <c:v>12</c:v>
                </c:pt>
                <c:pt idx="1">
                  <c:v>5</c:v>
                </c:pt>
                <c:pt idx="2">
                  <c:v>7</c:v>
                </c:pt>
                <c:pt idx="3">
                  <c:v>17</c:v>
                </c:pt>
                <c:pt idx="4">
                  <c:v>14</c:v>
                </c:pt>
                <c:pt idx="5">
                  <c:v>14</c:v>
                </c:pt>
                <c:pt idx="6">
                  <c:v>9</c:v>
                </c:pt>
                <c:pt idx="7">
                  <c:v>11</c:v>
                </c:pt>
                <c:pt idx="8">
                  <c:v>15</c:v>
                </c:pt>
                <c:pt idx="9">
                  <c:v>15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Nateete-Nakawuka'!$V$9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Nateete-Nakawuka'!$V$10:$V$21</c:f>
              <c:numCache>
                <c:formatCode>0</c:formatCode>
                <c:ptCount val="12"/>
                <c:pt idx="0">
                  <c:v>53</c:v>
                </c:pt>
                <c:pt idx="1">
                  <c:v>71</c:v>
                </c:pt>
                <c:pt idx="2">
                  <c:v>76</c:v>
                </c:pt>
                <c:pt idx="3">
                  <c:v>68</c:v>
                </c:pt>
                <c:pt idx="4">
                  <c:v>49</c:v>
                </c:pt>
                <c:pt idx="5">
                  <c:v>38</c:v>
                </c:pt>
                <c:pt idx="6">
                  <c:v>36</c:v>
                </c:pt>
                <c:pt idx="7">
                  <c:v>29</c:v>
                </c:pt>
                <c:pt idx="8">
                  <c:v>28</c:v>
                </c:pt>
                <c:pt idx="9">
                  <c:v>30</c:v>
                </c:pt>
                <c:pt idx="10">
                  <c:v>45</c:v>
                </c:pt>
                <c:pt idx="11">
                  <c:v>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Nateete-Nakawuka'!$W$9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</c:v>
                </c:pt>
                <c:pt idx="4">
                  <c:v>5</c:v>
                </c:pt>
                <c:pt idx="5">
                  <c:v>3</c:v>
                </c:pt>
                <c:pt idx="6">
                  <c:v>0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Nateete-Nakawuka'!$X$9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5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Nateete-Nakawuka'!$Y$9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Nateete-Nakawuka'!$Y$10:$Y$21</c:f>
              <c:numCache>
                <c:formatCode>0</c:formatCode>
                <c:ptCount val="12"/>
                <c:pt idx="0">
                  <c:v>12</c:v>
                </c:pt>
                <c:pt idx="1">
                  <c:v>18</c:v>
                </c:pt>
                <c:pt idx="2">
                  <c:v>22</c:v>
                </c:pt>
                <c:pt idx="3">
                  <c:v>24</c:v>
                </c:pt>
                <c:pt idx="4">
                  <c:v>23</c:v>
                </c:pt>
                <c:pt idx="5">
                  <c:v>15</c:v>
                </c:pt>
                <c:pt idx="6">
                  <c:v>18</c:v>
                </c:pt>
                <c:pt idx="7">
                  <c:v>29</c:v>
                </c:pt>
                <c:pt idx="8">
                  <c:v>19</c:v>
                </c:pt>
                <c:pt idx="9">
                  <c:v>15</c:v>
                </c:pt>
                <c:pt idx="10">
                  <c:v>19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Nateete-Nakawuka'!$Z$9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Nateete-Nakawuka'!$Z$10:$Z$21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8</c:v>
                </c:pt>
                <c:pt idx="3">
                  <c:v>10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18</c:v>
                </c:pt>
                <c:pt idx="8">
                  <c:v>4</c:v>
                </c:pt>
                <c:pt idx="9">
                  <c:v>11</c:v>
                </c:pt>
                <c:pt idx="10">
                  <c:v>9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Nateete-Nakawuka'!$AA$9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4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Nateete-Nakawuka'!$AB$9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Nateete-Nakawuka'!$AC$9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Nateete-Nakawuka'!$AC$10:$AC$21</c:f>
              <c:numCache>
                <c:formatCode>0</c:formatCode>
                <c:ptCount val="12"/>
                <c:pt idx="0">
                  <c:v>363</c:v>
                </c:pt>
                <c:pt idx="1">
                  <c:v>405</c:v>
                </c:pt>
                <c:pt idx="2">
                  <c:v>488</c:v>
                </c:pt>
                <c:pt idx="3">
                  <c:v>395</c:v>
                </c:pt>
                <c:pt idx="4">
                  <c:v>382</c:v>
                </c:pt>
                <c:pt idx="5">
                  <c:v>200</c:v>
                </c:pt>
                <c:pt idx="6">
                  <c:v>279</c:v>
                </c:pt>
                <c:pt idx="7">
                  <c:v>198</c:v>
                </c:pt>
                <c:pt idx="8">
                  <c:v>245</c:v>
                </c:pt>
                <c:pt idx="9">
                  <c:v>274</c:v>
                </c:pt>
                <c:pt idx="10">
                  <c:v>327</c:v>
                </c:pt>
                <c:pt idx="11">
                  <c:v>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Nateete-Nakawuka'!$AD$9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Nateete-Nakawuka'!$AD$10:$AD$21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5585440"/>
        <c:axId val="-195586528"/>
      </c:lineChart>
      <c:catAx>
        <c:axId val="-195585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86528"/>
        <c:crosses val="autoZero"/>
        <c:auto val="1"/>
        <c:lblAlgn val="ctr"/>
        <c:lblOffset val="100"/>
        <c:noMultiLvlLbl val="0"/>
      </c:catAx>
      <c:valAx>
        <c:axId val="-19558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8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Nateete-Nakawuka'!$C$60:$N$60</c:f>
              <c:numCache>
                <c:formatCode>0.00%</c:formatCode>
                <c:ptCount val="12"/>
                <c:pt idx="0">
                  <c:v>0.33109156751163993</c:v>
                </c:pt>
                <c:pt idx="1">
                  <c:v>5.7423693740300048E-2</c:v>
                </c:pt>
                <c:pt idx="2">
                  <c:v>7.4495602690118984E-2</c:v>
                </c:pt>
                <c:pt idx="3">
                  <c:v>0.3264355923435075</c:v>
                </c:pt>
                <c:pt idx="4">
                  <c:v>1.6554578375581996E-2</c:v>
                </c:pt>
                <c:pt idx="5">
                  <c:v>5.1733057423693739E-3</c:v>
                </c:pt>
                <c:pt idx="6">
                  <c:v>0.12312467666839111</c:v>
                </c:pt>
                <c:pt idx="7">
                  <c:v>4.397309881013968E-2</c:v>
                </c:pt>
                <c:pt idx="8">
                  <c:v>1.6037247801345061E-2</c:v>
                </c:pt>
                <c:pt idx="9">
                  <c:v>5.6906363166063113E-3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Nakawuka-Nateete'!$AE$9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Nakawuka-Nateete'!$AE$10:$AE$21</c:f>
              <c:numCache>
                <c:formatCode>0</c:formatCode>
                <c:ptCount val="12"/>
                <c:pt idx="0">
                  <c:v>482</c:v>
                </c:pt>
                <c:pt idx="1">
                  <c:v>442</c:v>
                </c:pt>
                <c:pt idx="2">
                  <c:v>359</c:v>
                </c:pt>
                <c:pt idx="3">
                  <c:v>306</c:v>
                </c:pt>
                <c:pt idx="4">
                  <c:v>267</c:v>
                </c:pt>
                <c:pt idx="5">
                  <c:v>247</c:v>
                </c:pt>
                <c:pt idx="6">
                  <c:v>191</c:v>
                </c:pt>
                <c:pt idx="7">
                  <c:v>201</c:v>
                </c:pt>
                <c:pt idx="8">
                  <c:v>165</c:v>
                </c:pt>
                <c:pt idx="9">
                  <c:v>221</c:v>
                </c:pt>
                <c:pt idx="10">
                  <c:v>240</c:v>
                </c:pt>
                <c:pt idx="11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Nakawuka-Nateete'!$AF$9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Nakawuka-Nateete'!$AF$10:$AF$21</c:f>
              <c:numCache>
                <c:formatCode>0</c:formatCode>
                <c:ptCount val="12"/>
                <c:pt idx="0">
                  <c:v>986</c:v>
                </c:pt>
                <c:pt idx="1">
                  <c:v>934</c:v>
                </c:pt>
                <c:pt idx="2">
                  <c:v>827</c:v>
                </c:pt>
                <c:pt idx="3">
                  <c:v>846</c:v>
                </c:pt>
                <c:pt idx="4">
                  <c:v>716</c:v>
                </c:pt>
                <c:pt idx="5">
                  <c:v>727</c:v>
                </c:pt>
                <c:pt idx="6">
                  <c:v>622</c:v>
                </c:pt>
                <c:pt idx="7">
                  <c:v>561</c:v>
                </c:pt>
                <c:pt idx="8">
                  <c:v>471</c:v>
                </c:pt>
                <c:pt idx="9">
                  <c:v>695</c:v>
                </c:pt>
                <c:pt idx="10">
                  <c:v>587</c:v>
                </c:pt>
                <c:pt idx="11">
                  <c:v>757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598496"/>
        <c:axId val="-195594688"/>
      </c:lineChart>
      <c:catAx>
        <c:axId val="-1955984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4688"/>
        <c:crosses val="autoZero"/>
        <c:auto val="1"/>
        <c:lblAlgn val="ctr"/>
        <c:lblOffset val="100"/>
        <c:noMultiLvlLbl val="0"/>
      </c:catAx>
      <c:valAx>
        <c:axId val="-195594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59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Nakawuka-Nateete'!$C$59:$N$59</c:f>
              <c:numCache>
                <c:formatCode>0.0%</c:formatCode>
                <c:ptCount val="12"/>
                <c:pt idx="0">
                  <c:v>0.12063237484247909</c:v>
                </c:pt>
                <c:pt idx="1">
                  <c:v>4.0554473593767904E-2</c:v>
                </c:pt>
                <c:pt idx="2">
                  <c:v>3.2764348722648641E-2</c:v>
                </c:pt>
                <c:pt idx="3">
                  <c:v>0.1209760568220873</c:v>
                </c:pt>
                <c:pt idx="4">
                  <c:v>5.2697903539924394E-3</c:v>
                </c:pt>
                <c:pt idx="5">
                  <c:v>6.8736395921640506E-4</c:v>
                </c:pt>
                <c:pt idx="6">
                  <c:v>4.1012716233245504E-2</c:v>
                </c:pt>
                <c:pt idx="7">
                  <c:v>1.6267613701454919E-2</c:v>
                </c:pt>
                <c:pt idx="8">
                  <c:v>2.4057738572574178E-3</c:v>
                </c:pt>
                <c:pt idx="9">
                  <c:v>2.0620918776492153E-3</c:v>
                </c:pt>
                <c:pt idx="10">
                  <c:v>0.61736739603620117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Nakawuka-Nateete'!$S$9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Nakawuka-Nateete'!$S$10:$S$21</c:f>
              <c:numCache>
                <c:formatCode>0</c:formatCode>
                <c:ptCount val="12"/>
                <c:pt idx="0">
                  <c:v>159</c:v>
                </c:pt>
                <c:pt idx="1">
                  <c:v>156</c:v>
                </c:pt>
                <c:pt idx="2">
                  <c:v>108</c:v>
                </c:pt>
                <c:pt idx="3">
                  <c:v>104</c:v>
                </c:pt>
                <c:pt idx="4">
                  <c:v>93</c:v>
                </c:pt>
                <c:pt idx="5">
                  <c:v>63</c:v>
                </c:pt>
                <c:pt idx="6">
                  <c:v>47</c:v>
                </c:pt>
                <c:pt idx="7">
                  <c:v>65</c:v>
                </c:pt>
                <c:pt idx="8">
                  <c:v>50</c:v>
                </c:pt>
                <c:pt idx="9">
                  <c:v>71</c:v>
                </c:pt>
                <c:pt idx="10">
                  <c:v>86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Nakawuka-Nateete'!$T$9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Nakawuka-Nateete'!$T$10:$T$21</c:f>
              <c:numCache>
                <c:formatCode>0</c:formatCode>
                <c:ptCount val="12"/>
                <c:pt idx="0">
                  <c:v>60</c:v>
                </c:pt>
                <c:pt idx="1">
                  <c:v>41</c:v>
                </c:pt>
                <c:pt idx="2">
                  <c:v>28</c:v>
                </c:pt>
                <c:pt idx="3">
                  <c:v>19</c:v>
                </c:pt>
                <c:pt idx="4">
                  <c:v>22</c:v>
                </c:pt>
                <c:pt idx="5">
                  <c:v>31</c:v>
                </c:pt>
                <c:pt idx="6">
                  <c:v>19</c:v>
                </c:pt>
                <c:pt idx="7">
                  <c:v>25</c:v>
                </c:pt>
                <c:pt idx="8">
                  <c:v>22</c:v>
                </c:pt>
                <c:pt idx="9">
                  <c:v>29</c:v>
                </c:pt>
                <c:pt idx="10">
                  <c:v>29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Nakawuka-Nateete'!$U$9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Nakawuka-Nateete'!$U$10:$U$21</c:f>
              <c:numCache>
                <c:formatCode>0</c:formatCode>
                <c:ptCount val="12"/>
                <c:pt idx="0">
                  <c:v>41</c:v>
                </c:pt>
                <c:pt idx="1">
                  <c:v>38</c:v>
                </c:pt>
                <c:pt idx="2">
                  <c:v>17</c:v>
                </c:pt>
                <c:pt idx="3">
                  <c:v>22</c:v>
                </c:pt>
                <c:pt idx="4">
                  <c:v>25</c:v>
                </c:pt>
                <c:pt idx="5">
                  <c:v>17</c:v>
                </c:pt>
                <c:pt idx="6">
                  <c:v>18</c:v>
                </c:pt>
                <c:pt idx="7">
                  <c:v>14</c:v>
                </c:pt>
                <c:pt idx="8">
                  <c:v>22</c:v>
                </c:pt>
                <c:pt idx="9">
                  <c:v>25</c:v>
                </c:pt>
                <c:pt idx="10">
                  <c:v>22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Nakawuka-Nateete'!$V$9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Nakawuka-Nateete'!$V$10:$V$21</c:f>
              <c:numCache>
                <c:formatCode>0</c:formatCode>
                <c:ptCount val="12"/>
                <c:pt idx="0">
                  <c:v>160</c:v>
                </c:pt>
                <c:pt idx="1">
                  <c:v>153</c:v>
                </c:pt>
                <c:pt idx="2">
                  <c:v>125</c:v>
                </c:pt>
                <c:pt idx="3">
                  <c:v>105</c:v>
                </c:pt>
                <c:pt idx="4">
                  <c:v>87</c:v>
                </c:pt>
                <c:pt idx="5">
                  <c:v>81</c:v>
                </c:pt>
                <c:pt idx="6">
                  <c:v>64</c:v>
                </c:pt>
                <c:pt idx="7">
                  <c:v>60</c:v>
                </c:pt>
                <c:pt idx="8">
                  <c:v>46</c:v>
                </c:pt>
                <c:pt idx="9">
                  <c:v>52</c:v>
                </c:pt>
                <c:pt idx="10">
                  <c:v>55</c:v>
                </c:pt>
                <c:pt idx="11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Nakawuka-Nateete'!$W$9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Nakawuka-Nateete'!$W$10:$W$21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10</c:v>
                </c:pt>
                <c:pt idx="3">
                  <c:v>7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Nakawuka-Nateete'!$X$9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Nakawuka-Nateete'!$Y$9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Nakawuka-Nateete'!$Y$10:$Y$21</c:f>
              <c:numCache>
                <c:formatCode>0</c:formatCode>
                <c:ptCount val="12"/>
                <c:pt idx="0">
                  <c:v>25</c:v>
                </c:pt>
                <c:pt idx="1">
                  <c:v>26</c:v>
                </c:pt>
                <c:pt idx="2">
                  <c:v>48</c:v>
                </c:pt>
                <c:pt idx="3">
                  <c:v>36</c:v>
                </c:pt>
                <c:pt idx="4">
                  <c:v>29</c:v>
                </c:pt>
                <c:pt idx="5">
                  <c:v>31</c:v>
                </c:pt>
                <c:pt idx="6">
                  <c:v>32</c:v>
                </c:pt>
                <c:pt idx="7">
                  <c:v>23</c:v>
                </c:pt>
                <c:pt idx="8">
                  <c:v>13</c:v>
                </c:pt>
                <c:pt idx="9">
                  <c:v>31</c:v>
                </c:pt>
                <c:pt idx="10">
                  <c:v>36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Nakawuka-Nateete'!$Z$9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Nakawuka-Nateete'!$Z$10:$Z$21</c:f>
              <c:numCache>
                <c:formatCode>0</c:formatCode>
                <c:ptCount val="12"/>
                <c:pt idx="0">
                  <c:v>25</c:v>
                </c:pt>
                <c:pt idx="1">
                  <c:v>18</c:v>
                </c:pt>
                <c:pt idx="2">
                  <c:v>18</c:v>
                </c:pt>
                <c:pt idx="3">
                  <c:v>9</c:v>
                </c:pt>
                <c:pt idx="4">
                  <c:v>10</c:v>
                </c:pt>
                <c:pt idx="5">
                  <c:v>18</c:v>
                </c:pt>
                <c:pt idx="6">
                  <c:v>4</c:v>
                </c:pt>
                <c:pt idx="7">
                  <c:v>7</c:v>
                </c:pt>
                <c:pt idx="8">
                  <c:v>7</c:v>
                </c:pt>
                <c:pt idx="9">
                  <c:v>10</c:v>
                </c:pt>
                <c:pt idx="10">
                  <c:v>6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Nakawuka-Nateete'!$AA$9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Nakawuka-Nateete'!$AA$10:$AA$21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Nakawuka-Nateete'!$AB$9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Nakawuka-Nateete'!$AB$10:$AB$21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Nakawuka-Nateete'!$AC$9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Nakawuka-Nateete'!$AC$10:$AC$21</c:f>
              <c:numCache>
                <c:formatCode>0</c:formatCode>
                <c:ptCount val="12"/>
                <c:pt idx="0">
                  <c:v>504</c:v>
                </c:pt>
                <c:pt idx="1">
                  <c:v>492</c:v>
                </c:pt>
                <c:pt idx="2">
                  <c:v>468</c:v>
                </c:pt>
                <c:pt idx="3">
                  <c:v>540</c:v>
                </c:pt>
                <c:pt idx="4">
                  <c:v>449</c:v>
                </c:pt>
                <c:pt idx="5">
                  <c:v>480</c:v>
                </c:pt>
                <c:pt idx="6">
                  <c:v>431</c:v>
                </c:pt>
                <c:pt idx="7">
                  <c:v>360</c:v>
                </c:pt>
                <c:pt idx="8">
                  <c:v>306</c:v>
                </c:pt>
                <c:pt idx="9">
                  <c:v>474</c:v>
                </c:pt>
                <c:pt idx="10">
                  <c:v>347</c:v>
                </c:pt>
                <c:pt idx="11">
                  <c:v>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Nakawuka-Nateete'!$AD$9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Nakawuka-Nateete'!$AD$10:$AD$21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69056"/>
        <c:axId val="-147756544"/>
      </c:lineChart>
      <c:catAx>
        <c:axId val="-14776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6544"/>
        <c:crosses val="autoZero"/>
        <c:auto val="1"/>
        <c:lblAlgn val="ctr"/>
        <c:lblOffset val="100"/>
        <c:noMultiLvlLbl val="0"/>
      </c:catAx>
      <c:valAx>
        <c:axId val="-14775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Nakawuka-Nateete'!$C$60:$N$60</c:f>
              <c:numCache>
                <c:formatCode>0.00%</c:formatCode>
                <c:ptCount val="12"/>
                <c:pt idx="0">
                  <c:v>0.31526946107784432</c:v>
                </c:pt>
                <c:pt idx="1">
                  <c:v>0.10598802395209581</c:v>
                </c:pt>
                <c:pt idx="2">
                  <c:v>8.562874251497006E-2</c:v>
                </c:pt>
                <c:pt idx="3">
                  <c:v>0.31616766467065871</c:v>
                </c:pt>
                <c:pt idx="4">
                  <c:v>1.3772455089820359E-2</c:v>
                </c:pt>
                <c:pt idx="5">
                  <c:v>1.7964071856287425E-3</c:v>
                </c:pt>
                <c:pt idx="6">
                  <c:v>0.10718562874251497</c:v>
                </c:pt>
                <c:pt idx="7">
                  <c:v>4.2514970059880239E-2</c:v>
                </c:pt>
                <c:pt idx="8">
                  <c:v>6.2874251497005984E-3</c:v>
                </c:pt>
                <c:pt idx="9">
                  <c:v>5.3892215568862277E-3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Nateete-Nakawuka'!$AE$9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Nateete-Nakawuka'!$AE$10:$AE$21</c:f>
              <c:numCache>
                <c:formatCode>0</c:formatCode>
                <c:ptCount val="12"/>
                <c:pt idx="0">
                  <c:v>100</c:v>
                </c:pt>
                <c:pt idx="1">
                  <c:v>172</c:v>
                </c:pt>
                <c:pt idx="2">
                  <c:v>181</c:v>
                </c:pt>
                <c:pt idx="3">
                  <c:v>127</c:v>
                </c:pt>
                <c:pt idx="4">
                  <c:v>164</c:v>
                </c:pt>
                <c:pt idx="5">
                  <c:v>167</c:v>
                </c:pt>
                <c:pt idx="6">
                  <c:v>146</c:v>
                </c:pt>
                <c:pt idx="7">
                  <c:v>216</c:v>
                </c:pt>
                <c:pt idx="8">
                  <c:v>115</c:v>
                </c:pt>
                <c:pt idx="9">
                  <c:v>142</c:v>
                </c:pt>
                <c:pt idx="10">
                  <c:v>243</c:v>
                </c:pt>
                <c:pt idx="11">
                  <c:v>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Nateete-Nakawuka'!$AF$9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Nateete-Nakawuka'!$AF$10:$AF$21</c:f>
              <c:numCache>
                <c:formatCode>0</c:formatCode>
                <c:ptCount val="12"/>
                <c:pt idx="0">
                  <c:v>468</c:v>
                </c:pt>
                <c:pt idx="1">
                  <c:v>514</c:v>
                </c:pt>
                <c:pt idx="2">
                  <c:v>658</c:v>
                </c:pt>
                <c:pt idx="3">
                  <c:v>466</c:v>
                </c:pt>
                <c:pt idx="4">
                  <c:v>478</c:v>
                </c:pt>
                <c:pt idx="5">
                  <c:v>447</c:v>
                </c:pt>
                <c:pt idx="6">
                  <c:v>475</c:v>
                </c:pt>
                <c:pt idx="7">
                  <c:v>663</c:v>
                </c:pt>
                <c:pt idx="8">
                  <c:v>389</c:v>
                </c:pt>
                <c:pt idx="9">
                  <c:v>518</c:v>
                </c:pt>
                <c:pt idx="10">
                  <c:v>647</c:v>
                </c:pt>
                <c:pt idx="11">
                  <c:v>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67968"/>
        <c:axId val="-147766336"/>
      </c:lineChart>
      <c:catAx>
        <c:axId val="-1477679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6336"/>
        <c:crosses val="autoZero"/>
        <c:auto val="1"/>
        <c:lblAlgn val="ctr"/>
        <c:lblOffset val="100"/>
        <c:noMultiLvlLbl val="0"/>
      </c:catAx>
      <c:valAx>
        <c:axId val="-147766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Nateete-Nakawuka'!$C$59:$N$59</c:f>
              <c:numCache>
                <c:formatCode>0.0%</c:formatCode>
                <c:ptCount val="12"/>
                <c:pt idx="0">
                  <c:v>9.9719538797133064E-2</c:v>
                </c:pt>
                <c:pt idx="1">
                  <c:v>1.542536615768152E-2</c:v>
                </c:pt>
                <c:pt idx="2">
                  <c:v>1.9788095980056094E-2</c:v>
                </c:pt>
                <c:pt idx="3">
                  <c:v>0.11654721096914927</c:v>
                </c:pt>
                <c:pt idx="4">
                  <c:v>5.4534122779682148E-3</c:v>
                </c:pt>
                <c:pt idx="5">
                  <c:v>3.8952944842630104E-3</c:v>
                </c:pt>
                <c:pt idx="6">
                  <c:v>3.3966967902773447E-2</c:v>
                </c:pt>
                <c:pt idx="7">
                  <c:v>1.885322530383297E-2</c:v>
                </c:pt>
                <c:pt idx="8">
                  <c:v>3.8952944842630104E-3</c:v>
                </c:pt>
                <c:pt idx="9">
                  <c:v>2.648800249298847E-3</c:v>
                </c:pt>
                <c:pt idx="10">
                  <c:v>0.67980679339358052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Nateete-Nakawuka'!$C$60:$N$60</c:f>
              <c:numCache>
                <c:formatCode>0.00%</c:formatCode>
                <c:ptCount val="12"/>
                <c:pt idx="0">
                  <c:v>0.31143552311435524</c:v>
                </c:pt>
                <c:pt idx="1">
                  <c:v>4.8175182481751823E-2</c:v>
                </c:pt>
                <c:pt idx="2">
                  <c:v>6.1800486618004864E-2</c:v>
                </c:pt>
                <c:pt idx="3">
                  <c:v>0.36399026763990266</c:v>
                </c:pt>
                <c:pt idx="4">
                  <c:v>1.7031630170316302E-2</c:v>
                </c:pt>
                <c:pt idx="5">
                  <c:v>1.2165450121654502E-2</c:v>
                </c:pt>
                <c:pt idx="6">
                  <c:v>0.10608272506082725</c:v>
                </c:pt>
                <c:pt idx="7">
                  <c:v>5.8880778588807789E-2</c:v>
                </c:pt>
                <c:pt idx="8">
                  <c:v>1.2165450121654502E-2</c:v>
                </c:pt>
                <c:pt idx="9">
                  <c:v>8.2725060827250601E-3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Nakawuka-Nateete'!$AE$9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Nakawuka-Nateete'!$AE$10:$AE$21</c:f>
              <c:numCache>
                <c:formatCode>0</c:formatCode>
                <c:ptCount val="12"/>
                <c:pt idx="0">
                  <c:v>452</c:v>
                </c:pt>
                <c:pt idx="1">
                  <c:v>406</c:v>
                </c:pt>
                <c:pt idx="2">
                  <c:v>268</c:v>
                </c:pt>
                <c:pt idx="3">
                  <c:v>239</c:v>
                </c:pt>
                <c:pt idx="4">
                  <c:v>200</c:v>
                </c:pt>
                <c:pt idx="5">
                  <c:v>192</c:v>
                </c:pt>
                <c:pt idx="6">
                  <c:v>171</c:v>
                </c:pt>
                <c:pt idx="7">
                  <c:v>197</c:v>
                </c:pt>
                <c:pt idx="8">
                  <c:v>157</c:v>
                </c:pt>
                <c:pt idx="9">
                  <c:v>198</c:v>
                </c:pt>
                <c:pt idx="10">
                  <c:v>217</c:v>
                </c:pt>
                <c:pt idx="11">
                  <c:v>178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Nakawuka-Nateete'!$AF$9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Nakawuka-Nateete'!$AF$10:$AF$21</c:f>
              <c:numCache>
                <c:formatCode>0</c:formatCode>
                <c:ptCount val="12"/>
                <c:pt idx="0">
                  <c:v>860</c:v>
                </c:pt>
                <c:pt idx="1">
                  <c:v>950</c:v>
                </c:pt>
                <c:pt idx="2">
                  <c:v>673</c:v>
                </c:pt>
                <c:pt idx="3">
                  <c:v>627</c:v>
                </c:pt>
                <c:pt idx="4">
                  <c:v>532</c:v>
                </c:pt>
                <c:pt idx="5">
                  <c:v>495</c:v>
                </c:pt>
                <c:pt idx="6">
                  <c:v>529</c:v>
                </c:pt>
                <c:pt idx="7">
                  <c:v>558</c:v>
                </c:pt>
                <c:pt idx="8">
                  <c:v>593</c:v>
                </c:pt>
                <c:pt idx="9">
                  <c:v>504</c:v>
                </c:pt>
                <c:pt idx="10">
                  <c:v>713</c:v>
                </c:pt>
                <c:pt idx="11">
                  <c:v>732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7756000"/>
        <c:axId val="-147763616"/>
      </c:lineChart>
      <c:catAx>
        <c:axId val="-147756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3616"/>
        <c:crosses val="autoZero"/>
        <c:auto val="1"/>
        <c:lblAlgn val="ctr"/>
        <c:lblOffset val="100"/>
        <c:noMultiLvlLbl val="0"/>
      </c:catAx>
      <c:valAx>
        <c:axId val="-14776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Nakawuka-Nateete'!$C$59:$N$59</c:f>
              <c:numCache>
                <c:formatCode>0.0%</c:formatCode>
                <c:ptCount val="12"/>
                <c:pt idx="0">
                  <c:v>0.11679114087046098</c:v>
                </c:pt>
                <c:pt idx="1">
                  <c:v>4.056142158125161E-2</c:v>
                </c:pt>
                <c:pt idx="2">
                  <c:v>3.2449137265001288E-2</c:v>
                </c:pt>
                <c:pt idx="3">
                  <c:v>0.11305691475663147</c:v>
                </c:pt>
                <c:pt idx="4">
                  <c:v>3.6054596961112542E-3</c:v>
                </c:pt>
                <c:pt idx="5">
                  <c:v>7.7259850630955449E-4</c:v>
                </c:pt>
                <c:pt idx="6">
                  <c:v>4.3651815606489827E-2</c:v>
                </c:pt>
                <c:pt idx="7">
                  <c:v>1.3134174607262426E-2</c:v>
                </c:pt>
                <c:pt idx="8">
                  <c:v>2.7040947720834408E-3</c:v>
                </c:pt>
                <c:pt idx="9">
                  <c:v>3.4766932783929952E-3</c:v>
                </c:pt>
                <c:pt idx="10">
                  <c:v>0.62979654906000515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Nakawuka-Nateete'!$S$9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Nakawuka-Nateete'!$S$10:$S$21</c:f>
              <c:numCache>
                <c:formatCode>0</c:formatCode>
                <c:ptCount val="12"/>
                <c:pt idx="0">
                  <c:v>142</c:v>
                </c:pt>
                <c:pt idx="1">
                  <c:v>147</c:v>
                </c:pt>
                <c:pt idx="2">
                  <c:v>87</c:v>
                </c:pt>
                <c:pt idx="3">
                  <c:v>78</c:v>
                </c:pt>
                <c:pt idx="4">
                  <c:v>57</c:v>
                </c:pt>
                <c:pt idx="5">
                  <c:v>53</c:v>
                </c:pt>
                <c:pt idx="6">
                  <c:v>51</c:v>
                </c:pt>
                <c:pt idx="7">
                  <c:v>54</c:v>
                </c:pt>
                <c:pt idx="8">
                  <c:v>43</c:v>
                </c:pt>
                <c:pt idx="9">
                  <c:v>77</c:v>
                </c:pt>
                <c:pt idx="10">
                  <c:v>70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Nakawuka-Nateete'!$T$9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Nakawuka-Nateete'!$T$10:$T$21</c:f>
              <c:numCache>
                <c:formatCode>0</c:formatCode>
                <c:ptCount val="12"/>
                <c:pt idx="0">
                  <c:v>49</c:v>
                </c:pt>
                <c:pt idx="1">
                  <c:v>37</c:v>
                </c:pt>
                <c:pt idx="2">
                  <c:v>25</c:v>
                </c:pt>
                <c:pt idx="3">
                  <c:v>26</c:v>
                </c:pt>
                <c:pt idx="4">
                  <c:v>27</c:v>
                </c:pt>
                <c:pt idx="5">
                  <c:v>28</c:v>
                </c:pt>
                <c:pt idx="6">
                  <c:v>8</c:v>
                </c:pt>
                <c:pt idx="7">
                  <c:v>26</c:v>
                </c:pt>
                <c:pt idx="8">
                  <c:v>17</c:v>
                </c:pt>
                <c:pt idx="9">
                  <c:v>17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Nakawuka-Nateete'!$U$9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Nakawuka-Nateete'!$U$10:$U$21</c:f>
              <c:numCache>
                <c:formatCode>0</c:formatCode>
                <c:ptCount val="12"/>
                <c:pt idx="0">
                  <c:v>27</c:v>
                </c:pt>
                <c:pt idx="1">
                  <c:v>27</c:v>
                </c:pt>
                <c:pt idx="2">
                  <c:v>20</c:v>
                </c:pt>
                <c:pt idx="3">
                  <c:v>19</c:v>
                </c:pt>
                <c:pt idx="4">
                  <c:v>18</c:v>
                </c:pt>
                <c:pt idx="5">
                  <c:v>21</c:v>
                </c:pt>
                <c:pt idx="6">
                  <c:v>20</c:v>
                </c:pt>
                <c:pt idx="7">
                  <c:v>22</c:v>
                </c:pt>
                <c:pt idx="8">
                  <c:v>22</c:v>
                </c:pt>
                <c:pt idx="9">
                  <c:v>13</c:v>
                </c:pt>
                <c:pt idx="10">
                  <c:v>21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Nakawuka-Nateete'!$V$9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Nakawuka-Nateete'!$V$10:$V$21</c:f>
              <c:numCache>
                <c:formatCode>0</c:formatCode>
                <c:ptCount val="12"/>
                <c:pt idx="0">
                  <c:v>167</c:v>
                </c:pt>
                <c:pt idx="1">
                  <c:v>143</c:v>
                </c:pt>
                <c:pt idx="2">
                  <c:v>89</c:v>
                </c:pt>
                <c:pt idx="3">
                  <c:v>68</c:v>
                </c:pt>
                <c:pt idx="4">
                  <c:v>67</c:v>
                </c:pt>
                <c:pt idx="5">
                  <c:v>58</c:v>
                </c:pt>
                <c:pt idx="6">
                  <c:v>44</c:v>
                </c:pt>
                <c:pt idx="7">
                  <c:v>49</c:v>
                </c:pt>
                <c:pt idx="8">
                  <c:v>45</c:v>
                </c:pt>
                <c:pt idx="9">
                  <c:v>48</c:v>
                </c:pt>
                <c:pt idx="10">
                  <c:v>46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Nakawuka-Nateete'!$W$9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Nakawuka-Nateete'!$W$10:$W$21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Nakawuka-Nateete'!$X$9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Nakawuka-Nateete'!$X$10:$X$21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Nakawuka-Nateete'!$Y$9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Nakawuka-Nateete'!$Y$10:$Y$21</c:f>
              <c:numCache>
                <c:formatCode>0</c:formatCode>
                <c:ptCount val="12"/>
                <c:pt idx="0">
                  <c:v>56</c:v>
                </c:pt>
                <c:pt idx="1">
                  <c:v>40</c:v>
                </c:pt>
                <c:pt idx="2">
                  <c:v>33</c:v>
                </c:pt>
                <c:pt idx="3">
                  <c:v>29</c:v>
                </c:pt>
                <c:pt idx="4">
                  <c:v>17</c:v>
                </c:pt>
                <c:pt idx="5">
                  <c:v>20</c:v>
                </c:pt>
                <c:pt idx="6">
                  <c:v>23</c:v>
                </c:pt>
                <c:pt idx="7">
                  <c:v>32</c:v>
                </c:pt>
                <c:pt idx="8">
                  <c:v>18</c:v>
                </c:pt>
                <c:pt idx="9">
                  <c:v>30</c:v>
                </c:pt>
                <c:pt idx="10">
                  <c:v>29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Nakawuka-Nateete'!$Z$9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Nakawuka-Nateete'!$Z$10:$Z$21</c:f>
              <c:numCache>
                <c:formatCode>0</c:formatCode>
                <c:ptCount val="12"/>
                <c:pt idx="0">
                  <c:v>0</c:v>
                </c:pt>
                <c:pt idx="1">
                  <c:v>6</c:v>
                </c:pt>
                <c:pt idx="2">
                  <c:v>6</c:v>
                </c:pt>
                <c:pt idx="3">
                  <c:v>13</c:v>
                </c:pt>
                <c:pt idx="4">
                  <c:v>9</c:v>
                </c:pt>
                <c:pt idx="5">
                  <c:v>7</c:v>
                </c:pt>
                <c:pt idx="6">
                  <c:v>14</c:v>
                </c:pt>
                <c:pt idx="7">
                  <c:v>8</c:v>
                </c:pt>
                <c:pt idx="8">
                  <c:v>8</c:v>
                </c:pt>
                <c:pt idx="9">
                  <c:v>5</c:v>
                </c:pt>
                <c:pt idx="10">
                  <c:v>14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Nakawuka-Nateete'!$AA$9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Nakawuka-Nateete'!$AA$10:$AA$21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Nakawuka-Nateete'!$AB$9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7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Nakawuka-Nateete'!$AC$9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Nakawuka-Nateete'!$AC$10:$AC$21</c:f>
              <c:numCache>
                <c:formatCode>0</c:formatCode>
                <c:ptCount val="12"/>
                <c:pt idx="0">
                  <c:v>408</c:v>
                </c:pt>
                <c:pt idx="1">
                  <c:v>544</c:v>
                </c:pt>
                <c:pt idx="2">
                  <c:v>405</c:v>
                </c:pt>
                <c:pt idx="3">
                  <c:v>388</c:v>
                </c:pt>
                <c:pt idx="4">
                  <c:v>332</c:v>
                </c:pt>
                <c:pt idx="5">
                  <c:v>303</c:v>
                </c:pt>
                <c:pt idx="6">
                  <c:v>358</c:v>
                </c:pt>
                <c:pt idx="7">
                  <c:v>361</c:v>
                </c:pt>
                <c:pt idx="8">
                  <c:v>436</c:v>
                </c:pt>
                <c:pt idx="9">
                  <c:v>306</c:v>
                </c:pt>
                <c:pt idx="10">
                  <c:v>496</c:v>
                </c:pt>
                <c:pt idx="11">
                  <c:v>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Nakawuka-Nateete'!$AD$9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Nakawuka-Nateete'!$AD$10:$AD$21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7757632"/>
        <c:axId val="-147761984"/>
      </c:lineChart>
      <c:catAx>
        <c:axId val="-147757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61984"/>
        <c:crosses val="autoZero"/>
        <c:auto val="1"/>
        <c:lblAlgn val="ctr"/>
        <c:lblOffset val="100"/>
        <c:noMultiLvlLbl val="0"/>
      </c:catAx>
      <c:valAx>
        <c:axId val="-14776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77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Nakawuka-Nateete'!$C$60:$N$60</c:f>
              <c:numCache>
                <c:formatCode>0.00%</c:formatCode>
                <c:ptCount val="12"/>
                <c:pt idx="0">
                  <c:v>0.31547826086956521</c:v>
                </c:pt>
                <c:pt idx="1">
                  <c:v>0.10956521739130434</c:v>
                </c:pt>
                <c:pt idx="2">
                  <c:v>8.7652173913043474E-2</c:v>
                </c:pt>
                <c:pt idx="3">
                  <c:v>0.30539130434782608</c:v>
                </c:pt>
                <c:pt idx="4">
                  <c:v>9.7391304347826078E-3</c:v>
                </c:pt>
                <c:pt idx="5">
                  <c:v>2.0869565217391303E-3</c:v>
                </c:pt>
                <c:pt idx="6">
                  <c:v>0.11791304347826087</c:v>
                </c:pt>
                <c:pt idx="7">
                  <c:v>3.5478260869565216E-2</c:v>
                </c:pt>
                <c:pt idx="8">
                  <c:v>7.3043478260869567E-3</c:v>
                </c:pt>
                <c:pt idx="9">
                  <c:v>9.391304347826087E-3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Nateete-Nakawuka'!$AE$9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Nateete-Nakawuka'!$AE$10:$AE$21</c:f>
              <c:numCache>
                <c:formatCode>0</c:formatCode>
                <c:ptCount val="12"/>
                <c:pt idx="0">
                  <c:v>143</c:v>
                </c:pt>
                <c:pt idx="1">
                  <c:v>127</c:v>
                </c:pt>
                <c:pt idx="2">
                  <c:v>164</c:v>
                </c:pt>
                <c:pt idx="3">
                  <c:v>137</c:v>
                </c:pt>
                <c:pt idx="4">
                  <c:v>153</c:v>
                </c:pt>
                <c:pt idx="5">
                  <c:v>119</c:v>
                </c:pt>
                <c:pt idx="6">
                  <c:v>94</c:v>
                </c:pt>
                <c:pt idx="7">
                  <c:v>158</c:v>
                </c:pt>
                <c:pt idx="8">
                  <c:v>170</c:v>
                </c:pt>
                <c:pt idx="9">
                  <c:v>177</c:v>
                </c:pt>
                <c:pt idx="10">
                  <c:v>290</c:v>
                </c:pt>
                <c:pt idx="11">
                  <c:v>408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Nateete-Nakawuka'!$AF$9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Nateete-Nakawuka'!$AF$10:$AF$21</c:f>
              <c:numCache>
                <c:formatCode>0</c:formatCode>
                <c:ptCount val="12"/>
                <c:pt idx="0">
                  <c:v>465</c:v>
                </c:pt>
                <c:pt idx="1">
                  <c:v>507</c:v>
                </c:pt>
                <c:pt idx="2">
                  <c:v>577</c:v>
                </c:pt>
                <c:pt idx="3">
                  <c:v>533</c:v>
                </c:pt>
                <c:pt idx="4">
                  <c:v>418</c:v>
                </c:pt>
                <c:pt idx="5">
                  <c:v>396</c:v>
                </c:pt>
                <c:pt idx="6">
                  <c:v>373</c:v>
                </c:pt>
                <c:pt idx="7">
                  <c:v>492</c:v>
                </c:pt>
                <c:pt idx="8">
                  <c:v>541</c:v>
                </c:pt>
                <c:pt idx="9">
                  <c:v>507</c:v>
                </c:pt>
                <c:pt idx="10">
                  <c:v>647</c:v>
                </c:pt>
                <c:pt idx="11">
                  <c:v>765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5792"/>
        <c:axId val="-291663072"/>
      </c:lineChart>
      <c:catAx>
        <c:axId val="-291665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3072"/>
        <c:crosses val="autoZero"/>
        <c:auto val="1"/>
        <c:lblAlgn val="ctr"/>
        <c:lblOffset val="100"/>
        <c:noMultiLvlLbl val="0"/>
      </c:catAx>
      <c:valAx>
        <c:axId val="-29166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Nateete-Nakawuka'!$C$59:$N$59</c:f>
              <c:numCache>
                <c:formatCode>0.0%</c:formatCode>
                <c:ptCount val="12"/>
                <c:pt idx="0">
                  <c:v>0.10287735090821411</c:v>
                </c:pt>
                <c:pt idx="1">
                  <c:v>3.6810802121845364E-2</c:v>
                </c:pt>
                <c:pt idx="2">
                  <c:v>1.9450249156084232E-2</c:v>
                </c:pt>
                <c:pt idx="3">
                  <c:v>0.11027166050474201</c:v>
                </c:pt>
                <c:pt idx="4">
                  <c:v>4.5008841022343678E-3</c:v>
                </c:pt>
                <c:pt idx="5">
                  <c:v>3.3756630766757756E-3</c:v>
                </c:pt>
                <c:pt idx="6">
                  <c:v>4.0990194502491563E-2</c:v>
                </c:pt>
                <c:pt idx="7">
                  <c:v>1.6396077800996625E-2</c:v>
                </c:pt>
                <c:pt idx="8">
                  <c:v>6.4298344317633817E-3</c:v>
                </c:pt>
                <c:pt idx="9">
                  <c:v>2.8934254942935217E-3</c:v>
                </c:pt>
                <c:pt idx="10">
                  <c:v>0.65600385790065907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Nateete-Nakawuka'!$S$9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Nateete-Nakawuka'!$S$10:$S$21</c:f>
              <c:numCache>
                <c:formatCode>0</c:formatCode>
                <c:ptCount val="12"/>
                <c:pt idx="0">
                  <c:v>40</c:v>
                </c:pt>
                <c:pt idx="1">
                  <c:v>35</c:v>
                </c:pt>
                <c:pt idx="2">
                  <c:v>39</c:v>
                </c:pt>
                <c:pt idx="3">
                  <c:v>33</c:v>
                </c:pt>
                <c:pt idx="4">
                  <c:v>50</c:v>
                </c:pt>
                <c:pt idx="5">
                  <c:v>45</c:v>
                </c:pt>
                <c:pt idx="6">
                  <c:v>27</c:v>
                </c:pt>
                <c:pt idx="7">
                  <c:v>43</c:v>
                </c:pt>
                <c:pt idx="8">
                  <c:v>52</c:v>
                </c:pt>
                <c:pt idx="9">
                  <c:v>59</c:v>
                </c:pt>
                <c:pt idx="10">
                  <c:v>93</c:v>
                </c:pt>
                <c:pt idx="11">
                  <c:v>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Nateete-Nakawuka'!$T$9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Nateete-Nakawuka'!$T$10:$T$21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3</c:v>
                </c:pt>
                <c:pt idx="3">
                  <c:v>7</c:v>
                </c:pt>
                <c:pt idx="4">
                  <c:v>11</c:v>
                </c:pt>
                <c:pt idx="5">
                  <c:v>3</c:v>
                </c:pt>
                <c:pt idx="6">
                  <c:v>4</c:v>
                </c:pt>
                <c:pt idx="7">
                  <c:v>11</c:v>
                </c:pt>
                <c:pt idx="8">
                  <c:v>17</c:v>
                </c:pt>
                <c:pt idx="9">
                  <c:v>20</c:v>
                </c:pt>
                <c:pt idx="10">
                  <c:v>54</c:v>
                </c:pt>
                <c:pt idx="11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Nateete-Nakawuka'!$U$9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Nateete-Nakawuka'!$U$10:$U$21</c:f>
              <c:numCache>
                <c:formatCode>0</c:formatCode>
                <c:ptCount val="12"/>
                <c:pt idx="0">
                  <c:v>1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8</c:v>
                </c:pt>
                <c:pt idx="8">
                  <c:v>12</c:v>
                </c:pt>
                <c:pt idx="9">
                  <c:v>13</c:v>
                </c:pt>
                <c:pt idx="10">
                  <c:v>20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Nateete-Nakawuka'!$V$9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Nateete-Nakawuka'!$V$10:$V$21</c:f>
              <c:numCache>
                <c:formatCode>0</c:formatCode>
                <c:ptCount val="12"/>
                <c:pt idx="0">
                  <c:v>76</c:v>
                </c:pt>
                <c:pt idx="1">
                  <c:v>53</c:v>
                </c:pt>
                <c:pt idx="2">
                  <c:v>85</c:v>
                </c:pt>
                <c:pt idx="3">
                  <c:v>44</c:v>
                </c:pt>
                <c:pt idx="4">
                  <c:v>57</c:v>
                </c:pt>
                <c:pt idx="5">
                  <c:v>42</c:v>
                </c:pt>
                <c:pt idx="6">
                  <c:v>26</c:v>
                </c:pt>
                <c:pt idx="7">
                  <c:v>44</c:v>
                </c:pt>
                <c:pt idx="8">
                  <c:v>45</c:v>
                </c:pt>
                <c:pt idx="9">
                  <c:v>40</c:v>
                </c:pt>
                <c:pt idx="10">
                  <c:v>77</c:v>
                </c:pt>
                <c:pt idx="1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Nateete-Nakawuka'!$W$9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Nateete-Nakawuka'!$X$9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Nateete-Nakawuka'!$Y$9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Nateete-Nakawuka'!$Y$10:$Y$21</c:f>
              <c:numCache>
                <c:formatCode>0</c:formatCode>
                <c:ptCount val="12"/>
                <c:pt idx="0">
                  <c:v>10</c:v>
                </c:pt>
                <c:pt idx="1">
                  <c:v>14</c:v>
                </c:pt>
                <c:pt idx="2">
                  <c:v>14</c:v>
                </c:pt>
                <c:pt idx="3">
                  <c:v>28</c:v>
                </c:pt>
                <c:pt idx="4">
                  <c:v>17</c:v>
                </c:pt>
                <c:pt idx="5">
                  <c:v>6</c:v>
                </c:pt>
                <c:pt idx="6">
                  <c:v>20</c:v>
                </c:pt>
                <c:pt idx="7">
                  <c:v>36</c:v>
                </c:pt>
                <c:pt idx="8">
                  <c:v>23</c:v>
                </c:pt>
                <c:pt idx="9">
                  <c:v>26</c:v>
                </c:pt>
                <c:pt idx="10">
                  <c:v>19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Nateete-Nakawuka'!$Z$9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Nateete-Nakawuka'!$Z$10:$Z$21</c:f>
              <c:numCache>
                <c:formatCode>0</c:formatCode>
                <c:ptCount val="12"/>
                <c:pt idx="0">
                  <c:v>13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5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14</c:v>
                </c:pt>
                <c:pt idx="9">
                  <c:v>7</c:v>
                </c:pt>
                <c:pt idx="10">
                  <c:v>12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Nateete-Nakawuka'!$AA$9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Nateete-Nakawuka'!$AB$9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Nateete-Nakawuka'!$AB$10:$AB$21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Nateete-Nakawuka'!$AC$9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Nateete-Nakawuka'!$AC$10:$AC$21</c:f>
              <c:numCache>
                <c:formatCode>0</c:formatCode>
                <c:ptCount val="12"/>
                <c:pt idx="0">
                  <c:v>322</c:v>
                </c:pt>
                <c:pt idx="1">
                  <c:v>380</c:v>
                </c:pt>
                <c:pt idx="2">
                  <c:v>413</c:v>
                </c:pt>
                <c:pt idx="3">
                  <c:v>396</c:v>
                </c:pt>
                <c:pt idx="4">
                  <c:v>265</c:v>
                </c:pt>
                <c:pt idx="5">
                  <c:v>277</c:v>
                </c:pt>
                <c:pt idx="6">
                  <c:v>279</c:v>
                </c:pt>
                <c:pt idx="7">
                  <c:v>334</c:v>
                </c:pt>
                <c:pt idx="8">
                  <c:v>371</c:v>
                </c:pt>
                <c:pt idx="9">
                  <c:v>330</c:v>
                </c:pt>
                <c:pt idx="10">
                  <c:v>357</c:v>
                </c:pt>
                <c:pt idx="11">
                  <c:v>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Nateete-Nakawuka'!$AD$9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Nateete-Nakawuka'!$AD$10:$AD$21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91660352"/>
        <c:axId val="-291659808"/>
      </c:lineChart>
      <c:catAx>
        <c:axId val="-29166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59808"/>
        <c:crosses val="autoZero"/>
        <c:auto val="1"/>
        <c:lblAlgn val="ctr"/>
        <c:lblOffset val="100"/>
        <c:noMultiLvlLbl val="0"/>
      </c:catAx>
      <c:valAx>
        <c:axId val="-29165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Nateete-Nakawuka'!$C$60:$N$60</c:f>
              <c:numCache>
                <c:formatCode>0.00%</c:formatCode>
                <c:ptCount val="12"/>
                <c:pt idx="0">
                  <c:v>0.29906542056074764</c:v>
                </c:pt>
                <c:pt idx="1">
                  <c:v>0.10700934579439253</c:v>
                </c:pt>
                <c:pt idx="2">
                  <c:v>5.6542056074766353E-2</c:v>
                </c:pt>
                <c:pt idx="3">
                  <c:v>0.32056074766355142</c:v>
                </c:pt>
                <c:pt idx="4">
                  <c:v>1.3084112149532711E-2</c:v>
                </c:pt>
                <c:pt idx="5">
                  <c:v>9.8130841121495324E-3</c:v>
                </c:pt>
                <c:pt idx="6">
                  <c:v>0.1191588785046729</c:v>
                </c:pt>
                <c:pt idx="7">
                  <c:v>4.7663551401869161E-2</c:v>
                </c:pt>
                <c:pt idx="8">
                  <c:v>1.8691588785046728E-2</c:v>
                </c:pt>
                <c:pt idx="9">
                  <c:v>8.4112149532710283E-3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Nakawuka-Nateete-24h'!$AE$9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Nakawuka-Nateete-24h'!$R$10:$R$33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Nakawuka-Nateete-24h'!$AE$10:$AE$33</c:f>
              <c:numCache>
                <c:formatCode>0</c:formatCode>
                <c:ptCount val="24"/>
                <c:pt idx="0">
                  <c:v>354</c:v>
                </c:pt>
                <c:pt idx="1">
                  <c:v>374</c:v>
                </c:pt>
                <c:pt idx="2">
                  <c:v>267</c:v>
                </c:pt>
                <c:pt idx="3">
                  <c:v>298</c:v>
                </c:pt>
                <c:pt idx="4">
                  <c:v>212</c:v>
                </c:pt>
                <c:pt idx="5">
                  <c:v>204</c:v>
                </c:pt>
                <c:pt idx="6">
                  <c:v>184</c:v>
                </c:pt>
                <c:pt idx="7">
                  <c:v>240</c:v>
                </c:pt>
                <c:pt idx="8">
                  <c:v>194</c:v>
                </c:pt>
                <c:pt idx="9">
                  <c:v>164</c:v>
                </c:pt>
                <c:pt idx="10">
                  <c:v>209</c:v>
                </c:pt>
                <c:pt idx="11">
                  <c:v>242</c:v>
                </c:pt>
                <c:pt idx="12">
                  <c:v>213</c:v>
                </c:pt>
                <c:pt idx="13">
                  <c:v>235</c:v>
                </c:pt>
                <c:pt idx="14">
                  <c:v>156</c:v>
                </c:pt>
                <c:pt idx="15">
                  <c:v>50</c:v>
                </c:pt>
                <c:pt idx="16">
                  <c:v>44</c:v>
                </c:pt>
                <c:pt idx="17">
                  <c:v>49</c:v>
                </c:pt>
                <c:pt idx="18">
                  <c:v>16</c:v>
                </c:pt>
                <c:pt idx="19">
                  <c:v>9</c:v>
                </c:pt>
                <c:pt idx="20">
                  <c:v>16</c:v>
                </c:pt>
                <c:pt idx="21">
                  <c:v>31</c:v>
                </c:pt>
                <c:pt idx="22">
                  <c:v>81</c:v>
                </c:pt>
                <c:pt idx="23">
                  <c:v>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Nakawuka-Nateete-24h'!$AF$9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Nakawuka-Nateete-24h'!$R$10:$R$33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Nakawuka-Nateete-24h'!$AF$10:$AF$33</c:f>
              <c:numCache>
                <c:formatCode>0</c:formatCode>
                <c:ptCount val="24"/>
                <c:pt idx="0">
                  <c:v>903</c:v>
                </c:pt>
                <c:pt idx="1">
                  <c:v>846</c:v>
                </c:pt>
                <c:pt idx="2">
                  <c:v>682</c:v>
                </c:pt>
                <c:pt idx="3">
                  <c:v>728</c:v>
                </c:pt>
                <c:pt idx="4">
                  <c:v>590</c:v>
                </c:pt>
                <c:pt idx="5">
                  <c:v>599</c:v>
                </c:pt>
                <c:pt idx="6">
                  <c:v>537</c:v>
                </c:pt>
                <c:pt idx="7">
                  <c:v>649</c:v>
                </c:pt>
                <c:pt idx="8">
                  <c:v>565</c:v>
                </c:pt>
                <c:pt idx="9">
                  <c:v>511</c:v>
                </c:pt>
                <c:pt idx="10">
                  <c:v>721</c:v>
                </c:pt>
                <c:pt idx="11">
                  <c:v>795</c:v>
                </c:pt>
                <c:pt idx="12">
                  <c:v>841</c:v>
                </c:pt>
                <c:pt idx="13">
                  <c:v>965</c:v>
                </c:pt>
                <c:pt idx="14">
                  <c:v>661</c:v>
                </c:pt>
                <c:pt idx="15">
                  <c:v>325</c:v>
                </c:pt>
                <c:pt idx="16">
                  <c:v>186</c:v>
                </c:pt>
                <c:pt idx="17">
                  <c:v>105</c:v>
                </c:pt>
                <c:pt idx="18">
                  <c:v>76</c:v>
                </c:pt>
                <c:pt idx="19">
                  <c:v>103</c:v>
                </c:pt>
                <c:pt idx="20">
                  <c:v>114</c:v>
                </c:pt>
                <c:pt idx="21">
                  <c:v>152</c:v>
                </c:pt>
                <c:pt idx="22">
                  <c:v>298</c:v>
                </c:pt>
                <c:pt idx="23">
                  <c:v>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2528"/>
        <c:axId val="-291669056"/>
      </c:lineChart>
      <c:catAx>
        <c:axId val="-291662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9056"/>
        <c:crosses val="autoZero"/>
        <c:auto val="1"/>
        <c:lblAlgn val="ctr"/>
        <c:lblOffset val="100"/>
        <c:noMultiLvlLbl val="0"/>
      </c:catAx>
      <c:valAx>
        <c:axId val="-291669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Nakawuka-Nateete-24h'!$C$9:$N$9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Nakawuka-Nateete-24h'!$C$107:$N$107</c:f>
              <c:numCache>
                <c:formatCode>0.0%</c:formatCode>
                <c:ptCount val="12"/>
                <c:pt idx="0">
                  <c:v>8.4941776997926308E-2</c:v>
                </c:pt>
                <c:pt idx="1">
                  <c:v>4.873185516031265E-2</c:v>
                </c:pt>
                <c:pt idx="2">
                  <c:v>2.5921199553357793E-2</c:v>
                </c:pt>
                <c:pt idx="3">
                  <c:v>0.10998564364332429</c:v>
                </c:pt>
                <c:pt idx="4">
                  <c:v>2.3129685755303876E-3</c:v>
                </c:pt>
                <c:pt idx="5">
                  <c:v>6.3806029669803796E-4</c:v>
                </c:pt>
                <c:pt idx="6">
                  <c:v>2.871271335141171E-2</c:v>
                </c:pt>
                <c:pt idx="7">
                  <c:v>1.7387143085021536E-2</c:v>
                </c:pt>
                <c:pt idx="8">
                  <c:v>2.3927261126176422E-3</c:v>
                </c:pt>
                <c:pt idx="9">
                  <c:v>1.914180890094114E-3</c:v>
                </c:pt>
                <c:pt idx="10">
                  <c:v>0.67698197479661826</c:v>
                </c:pt>
                <c:pt idx="11">
                  <c:v>7.9757537087254746E-5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Nakawuka-Nateete-24h'!$C$9:$N$9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Nakawuka-Nateete-24h'!$C$108:$N$108</c:f>
              <c:numCache>
                <c:formatCode>0.00%</c:formatCode>
                <c:ptCount val="12"/>
                <c:pt idx="0">
                  <c:v>0.26296296296296295</c:v>
                </c:pt>
                <c:pt idx="1">
                  <c:v>0.15086419753086419</c:v>
                </c:pt>
                <c:pt idx="2">
                  <c:v>8.0246913580246909E-2</c:v>
                </c:pt>
                <c:pt idx="3">
                  <c:v>0.34049382716049381</c:v>
                </c:pt>
                <c:pt idx="4">
                  <c:v>7.1604938271604942E-3</c:v>
                </c:pt>
                <c:pt idx="5">
                  <c:v>1.9753086419753087E-3</c:v>
                </c:pt>
                <c:pt idx="6">
                  <c:v>8.8888888888888892E-2</c:v>
                </c:pt>
                <c:pt idx="7">
                  <c:v>5.3827160493827159E-2</c:v>
                </c:pt>
                <c:pt idx="8">
                  <c:v>7.4074074074074077E-3</c:v>
                </c:pt>
                <c:pt idx="9">
                  <c:v>5.9259259259259256E-3</c:v>
                </c:pt>
                <c:pt idx="11">
                  <c:v>2.4691358024691359E-4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Nateete-Nakawuka-24h'!$AE$9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Nateete-Nakawuka-24h'!$R$10:$R$33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Nateete-Nakawuka-24h'!$AE$10:$AE$33</c:f>
              <c:numCache>
                <c:formatCode>0</c:formatCode>
                <c:ptCount val="24"/>
                <c:pt idx="0">
                  <c:v>145</c:v>
                </c:pt>
                <c:pt idx="1">
                  <c:v>121</c:v>
                </c:pt>
                <c:pt idx="2">
                  <c:v>151</c:v>
                </c:pt>
                <c:pt idx="3">
                  <c:v>111</c:v>
                </c:pt>
                <c:pt idx="4">
                  <c:v>128</c:v>
                </c:pt>
                <c:pt idx="5">
                  <c:v>195</c:v>
                </c:pt>
                <c:pt idx="6">
                  <c:v>92</c:v>
                </c:pt>
                <c:pt idx="7">
                  <c:v>129</c:v>
                </c:pt>
                <c:pt idx="8">
                  <c:v>133</c:v>
                </c:pt>
                <c:pt idx="9">
                  <c:v>137</c:v>
                </c:pt>
                <c:pt idx="10">
                  <c:v>246</c:v>
                </c:pt>
                <c:pt idx="11">
                  <c:v>273</c:v>
                </c:pt>
                <c:pt idx="12">
                  <c:v>381</c:v>
                </c:pt>
                <c:pt idx="13">
                  <c:v>256</c:v>
                </c:pt>
                <c:pt idx="14">
                  <c:v>326</c:v>
                </c:pt>
                <c:pt idx="15">
                  <c:v>206</c:v>
                </c:pt>
                <c:pt idx="16">
                  <c:v>153</c:v>
                </c:pt>
                <c:pt idx="17">
                  <c:v>46</c:v>
                </c:pt>
                <c:pt idx="18">
                  <c:v>8</c:v>
                </c:pt>
                <c:pt idx="19">
                  <c:v>17</c:v>
                </c:pt>
                <c:pt idx="20">
                  <c:v>17</c:v>
                </c:pt>
                <c:pt idx="21">
                  <c:v>16</c:v>
                </c:pt>
                <c:pt idx="22">
                  <c:v>28</c:v>
                </c:pt>
                <c:pt idx="23">
                  <c:v>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Nateete-Nakawuka-24h'!$AF$9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Nateete-Nakawuka-24h'!$R$10:$R$33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Nateete-Nakawuka-24h'!$AF$10:$AF$33</c:f>
              <c:numCache>
                <c:formatCode>0</c:formatCode>
                <c:ptCount val="24"/>
                <c:pt idx="0">
                  <c:v>605</c:v>
                </c:pt>
                <c:pt idx="1">
                  <c:v>416</c:v>
                </c:pt>
                <c:pt idx="2">
                  <c:v>464</c:v>
                </c:pt>
                <c:pt idx="3">
                  <c:v>333</c:v>
                </c:pt>
                <c:pt idx="4">
                  <c:v>360</c:v>
                </c:pt>
                <c:pt idx="5">
                  <c:v>388</c:v>
                </c:pt>
                <c:pt idx="6">
                  <c:v>326</c:v>
                </c:pt>
                <c:pt idx="7">
                  <c:v>336</c:v>
                </c:pt>
                <c:pt idx="8">
                  <c:v>373</c:v>
                </c:pt>
                <c:pt idx="9">
                  <c:v>330</c:v>
                </c:pt>
                <c:pt idx="10">
                  <c:v>446</c:v>
                </c:pt>
                <c:pt idx="11">
                  <c:v>692</c:v>
                </c:pt>
                <c:pt idx="12">
                  <c:v>900</c:v>
                </c:pt>
                <c:pt idx="13">
                  <c:v>744</c:v>
                </c:pt>
                <c:pt idx="14">
                  <c:v>581</c:v>
                </c:pt>
                <c:pt idx="15">
                  <c:v>508</c:v>
                </c:pt>
                <c:pt idx="16">
                  <c:v>441</c:v>
                </c:pt>
                <c:pt idx="17">
                  <c:v>281</c:v>
                </c:pt>
                <c:pt idx="18">
                  <c:v>47</c:v>
                </c:pt>
                <c:pt idx="19">
                  <c:v>43</c:v>
                </c:pt>
                <c:pt idx="20">
                  <c:v>71</c:v>
                </c:pt>
                <c:pt idx="21">
                  <c:v>106</c:v>
                </c:pt>
                <c:pt idx="22">
                  <c:v>139</c:v>
                </c:pt>
                <c:pt idx="23">
                  <c:v>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91666336"/>
        <c:axId val="-291667424"/>
      </c:lineChart>
      <c:catAx>
        <c:axId val="-291666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7424"/>
        <c:crosses val="autoZero"/>
        <c:auto val="1"/>
        <c:lblAlgn val="ctr"/>
        <c:lblOffset val="100"/>
        <c:noMultiLvlLbl val="0"/>
      </c:catAx>
      <c:valAx>
        <c:axId val="-2916674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29166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Nateete-Nakawuka-24h'!$C$9:$N$9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Nateete-Nakawuka-24h'!$C$107:$N$107</c:f>
              <c:numCache>
                <c:formatCode>0.0%</c:formatCode>
                <c:ptCount val="12"/>
                <c:pt idx="0">
                  <c:v>0.12054529841133534</c:v>
                </c:pt>
                <c:pt idx="1">
                  <c:v>2.1575783598110777E-2</c:v>
                </c:pt>
                <c:pt idx="2">
                  <c:v>1.2881064834693002E-2</c:v>
                </c:pt>
                <c:pt idx="3">
                  <c:v>0.14662945470158867</c:v>
                </c:pt>
                <c:pt idx="4">
                  <c:v>3.9716616573636752E-3</c:v>
                </c:pt>
                <c:pt idx="5">
                  <c:v>7.6212966938600255E-3</c:v>
                </c:pt>
                <c:pt idx="6">
                  <c:v>3.3383426363246031E-2</c:v>
                </c:pt>
                <c:pt idx="7">
                  <c:v>1.1056247316444827E-2</c:v>
                </c:pt>
                <c:pt idx="8">
                  <c:v>5.3671103477887505E-3</c:v>
                </c:pt>
                <c:pt idx="9">
                  <c:v>1.6101331043366252E-3</c:v>
                </c:pt>
                <c:pt idx="10">
                  <c:v>0.6353585229712323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Nateete-Nakawuka-24h'!$C$9:$N$9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Nateete-Nakawuka-24h'!$C$108:$N$108</c:f>
              <c:numCache>
                <c:formatCode>0.00%</c:formatCode>
                <c:ptCount val="12"/>
                <c:pt idx="0">
                  <c:v>0.33058581100971446</c:v>
                </c:pt>
                <c:pt idx="1">
                  <c:v>5.9169855755078007E-2</c:v>
                </c:pt>
                <c:pt idx="2">
                  <c:v>3.5325287017957022E-2</c:v>
                </c:pt>
                <c:pt idx="3">
                  <c:v>0.40211951722107742</c:v>
                </c:pt>
                <c:pt idx="4">
                  <c:v>1.0891963497203415E-2</c:v>
                </c:pt>
                <c:pt idx="5">
                  <c:v>2.0900794818957905E-2</c:v>
                </c:pt>
                <c:pt idx="6">
                  <c:v>9.1551368854871945E-2</c:v>
                </c:pt>
                <c:pt idx="7">
                  <c:v>3.0320871357079775E-2</c:v>
                </c:pt>
                <c:pt idx="8">
                  <c:v>1.4718869590815425E-2</c:v>
                </c:pt>
                <c:pt idx="9">
                  <c:v>4.4156608772446277E-3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Nakawuka-Nateete-24h'!$AE$9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Nakawuka-Nateete-24h'!$R$10:$R$33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Nakawuka-Nateete-24h'!$AE$10:$AE$33</c:f>
              <c:numCache>
                <c:formatCode>0</c:formatCode>
                <c:ptCount val="24"/>
                <c:pt idx="0">
                  <c:v>235</c:v>
                </c:pt>
                <c:pt idx="1">
                  <c:v>389</c:v>
                </c:pt>
                <c:pt idx="2">
                  <c:v>286</c:v>
                </c:pt>
                <c:pt idx="3">
                  <c:v>281</c:v>
                </c:pt>
                <c:pt idx="4">
                  <c:v>288</c:v>
                </c:pt>
                <c:pt idx="5">
                  <c:v>261</c:v>
                </c:pt>
                <c:pt idx="6">
                  <c:v>322</c:v>
                </c:pt>
                <c:pt idx="7">
                  <c:v>203</c:v>
                </c:pt>
                <c:pt idx="8">
                  <c:v>257</c:v>
                </c:pt>
                <c:pt idx="9">
                  <c:v>246</c:v>
                </c:pt>
                <c:pt idx="10">
                  <c:v>316</c:v>
                </c:pt>
                <c:pt idx="11">
                  <c:v>121</c:v>
                </c:pt>
                <c:pt idx="12">
                  <c:v>142</c:v>
                </c:pt>
                <c:pt idx="13">
                  <c:v>374</c:v>
                </c:pt>
                <c:pt idx="14">
                  <c:v>255</c:v>
                </c:pt>
                <c:pt idx="15">
                  <c:v>100</c:v>
                </c:pt>
                <c:pt idx="16">
                  <c:v>66</c:v>
                </c:pt>
                <c:pt idx="17">
                  <c:v>33</c:v>
                </c:pt>
                <c:pt idx="18">
                  <c:v>70</c:v>
                </c:pt>
                <c:pt idx="19">
                  <c:v>32</c:v>
                </c:pt>
                <c:pt idx="20">
                  <c:v>50</c:v>
                </c:pt>
                <c:pt idx="21">
                  <c:v>28</c:v>
                </c:pt>
                <c:pt idx="22">
                  <c:v>44</c:v>
                </c:pt>
                <c:pt idx="23">
                  <c:v>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Nakawuka-Nateete-24h'!$AF$9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Nakawuka-Nateete-24h'!$R$10:$R$33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Nakawuka-Nateete-24h'!$AF$10:$AF$33</c:f>
              <c:numCache>
                <c:formatCode>0</c:formatCode>
                <c:ptCount val="24"/>
                <c:pt idx="0">
                  <c:v>780</c:v>
                </c:pt>
                <c:pt idx="1">
                  <c:v>1035</c:v>
                </c:pt>
                <c:pt idx="2">
                  <c:v>807</c:v>
                </c:pt>
                <c:pt idx="3">
                  <c:v>771</c:v>
                </c:pt>
                <c:pt idx="4">
                  <c:v>778</c:v>
                </c:pt>
                <c:pt idx="5">
                  <c:v>744</c:v>
                </c:pt>
                <c:pt idx="6">
                  <c:v>957</c:v>
                </c:pt>
                <c:pt idx="7">
                  <c:v>618</c:v>
                </c:pt>
                <c:pt idx="8">
                  <c:v>702</c:v>
                </c:pt>
                <c:pt idx="9">
                  <c:v>539</c:v>
                </c:pt>
                <c:pt idx="10">
                  <c:v>744</c:v>
                </c:pt>
                <c:pt idx="11">
                  <c:v>441</c:v>
                </c:pt>
                <c:pt idx="12">
                  <c:v>577</c:v>
                </c:pt>
                <c:pt idx="13">
                  <c:v>1034</c:v>
                </c:pt>
                <c:pt idx="14">
                  <c:v>780</c:v>
                </c:pt>
                <c:pt idx="15">
                  <c:v>495</c:v>
                </c:pt>
                <c:pt idx="16">
                  <c:v>376</c:v>
                </c:pt>
                <c:pt idx="17">
                  <c:v>154</c:v>
                </c:pt>
                <c:pt idx="18">
                  <c:v>222</c:v>
                </c:pt>
                <c:pt idx="19">
                  <c:v>154</c:v>
                </c:pt>
                <c:pt idx="20">
                  <c:v>118</c:v>
                </c:pt>
                <c:pt idx="21">
                  <c:v>146</c:v>
                </c:pt>
                <c:pt idx="22">
                  <c:v>235</c:v>
                </c:pt>
                <c:pt idx="23">
                  <c:v>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187328"/>
        <c:axId val="-15178080"/>
      </c:lineChart>
      <c:catAx>
        <c:axId val="-15187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5178080"/>
        <c:crosses val="autoZero"/>
        <c:auto val="1"/>
        <c:lblAlgn val="ctr"/>
        <c:lblOffset val="100"/>
        <c:noMultiLvlLbl val="0"/>
      </c:catAx>
      <c:valAx>
        <c:axId val="-151780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518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Nakawuka-Nateete-24h'!$C$9:$N$9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Nakawuka-Nateete-24h'!$C$107:$N$107</c:f>
              <c:numCache>
                <c:formatCode>0.0%</c:formatCode>
                <c:ptCount val="12"/>
                <c:pt idx="0">
                  <c:v>9.0594896683579673E-2</c:v>
                </c:pt>
                <c:pt idx="1">
                  <c:v>6.4048827119641147E-2</c:v>
                </c:pt>
                <c:pt idx="2">
                  <c:v>2.7354952570041915E-2</c:v>
                </c:pt>
                <c:pt idx="3">
                  <c:v>9.7286565188616808E-2</c:v>
                </c:pt>
                <c:pt idx="4">
                  <c:v>1.5442311934701081E-3</c:v>
                </c:pt>
                <c:pt idx="5">
                  <c:v>8.8241782484006174E-4</c:v>
                </c:pt>
                <c:pt idx="6">
                  <c:v>2.8016765938671962E-2</c:v>
                </c:pt>
                <c:pt idx="7">
                  <c:v>1.2133245091550849E-2</c:v>
                </c:pt>
                <c:pt idx="8">
                  <c:v>3.4561364806235751E-3</c:v>
                </c:pt>
                <c:pt idx="9">
                  <c:v>4.9268328553570117E-3</c:v>
                </c:pt>
                <c:pt idx="10">
                  <c:v>0.6697551290536069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Nakawuka-Nateete-24h'!$C$9:$N$9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Nakawuka-Nateete-24h'!$C$108:$N$108</c:f>
              <c:numCache>
                <c:formatCode>0.00%</c:formatCode>
                <c:ptCount val="12"/>
                <c:pt idx="0">
                  <c:v>0.27432643063905587</c:v>
                </c:pt>
                <c:pt idx="1">
                  <c:v>0.19394344244043643</c:v>
                </c:pt>
                <c:pt idx="2">
                  <c:v>8.2832331329325312E-2</c:v>
                </c:pt>
                <c:pt idx="3">
                  <c:v>0.29458917835671344</c:v>
                </c:pt>
                <c:pt idx="4">
                  <c:v>4.6760187040748163E-3</c:v>
                </c:pt>
                <c:pt idx="5">
                  <c:v>2.6720106880427524E-3</c:v>
                </c:pt>
                <c:pt idx="6">
                  <c:v>8.4836339345357378E-2</c:v>
                </c:pt>
                <c:pt idx="7">
                  <c:v>3.674014696058784E-2</c:v>
                </c:pt>
                <c:pt idx="8">
                  <c:v>1.0465375194834113E-2</c:v>
                </c:pt>
                <c:pt idx="9">
                  <c:v>1.4918726341572033E-2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9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Nateete-Nakawuka-24h'!$AE$9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Nateete-Nakawuka-24h'!$R$10:$R$33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Nateete-Nakawuka-24h'!$AE$10:$AE$33</c:f>
              <c:numCache>
                <c:formatCode>0</c:formatCode>
                <c:ptCount val="24"/>
                <c:pt idx="0">
                  <c:v>139</c:v>
                </c:pt>
                <c:pt idx="1">
                  <c:v>94</c:v>
                </c:pt>
                <c:pt idx="2">
                  <c:v>155</c:v>
                </c:pt>
                <c:pt idx="3">
                  <c:v>120</c:v>
                </c:pt>
                <c:pt idx="4">
                  <c:v>143</c:v>
                </c:pt>
                <c:pt idx="5">
                  <c:v>151</c:v>
                </c:pt>
                <c:pt idx="6">
                  <c:v>195</c:v>
                </c:pt>
                <c:pt idx="7">
                  <c:v>279</c:v>
                </c:pt>
                <c:pt idx="8">
                  <c:v>226</c:v>
                </c:pt>
                <c:pt idx="9">
                  <c:v>209</c:v>
                </c:pt>
                <c:pt idx="10">
                  <c:v>283</c:v>
                </c:pt>
                <c:pt idx="11">
                  <c:v>217</c:v>
                </c:pt>
                <c:pt idx="12">
                  <c:v>773</c:v>
                </c:pt>
                <c:pt idx="13">
                  <c:v>338</c:v>
                </c:pt>
                <c:pt idx="14">
                  <c:v>418</c:v>
                </c:pt>
                <c:pt idx="15">
                  <c:v>312</c:v>
                </c:pt>
                <c:pt idx="16">
                  <c:v>174</c:v>
                </c:pt>
                <c:pt idx="17">
                  <c:v>58</c:v>
                </c:pt>
                <c:pt idx="18">
                  <c:v>55</c:v>
                </c:pt>
                <c:pt idx="19">
                  <c:v>75</c:v>
                </c:pt>
                <c:pt idx="20">
                  <c:v>24</c:v>
                </c:pt>
                <c:pt idx="21">
                  <c:v>16</c:v>
                </c:pt>
                <c:pt idx="22">
                  <c:v>33</c:v>
                </c:pt>
                <c:pt idx="23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Nateete-Nakawuka-24h'!$AF$9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Nateete-Nakawuka-24h'!$R$10:$R$33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Nateete-Nakawuka-24h'!$AF$10:$AF$33</c:f>
              <c:numCache>
                <c:formatCode>0</c:formatCode>
                <c:ptCount val="24"/>
                <c:pt idx="0">
                  <c:v>511</c:v>
                </c:pt>
                <c:pt idx="1">
                  <c:v>464</c:v>
                </c:pt>
                <c:pt idx="2">
                  <c:v>420</c:v>
                </c:pt>
                <c:pt idx="3">
                  <c:v>446</c:v>
                </c:pt>
                <c:pt idx="4">
                  <c:v>506</c:v>
                </c:pt>
                <c:pt idx="5">
                  <c:v>526</c:v>
                </c:pt>
                <c:pt idx="6">
                  <c:v>545</c:v>
                </c:pt>
                <c:pt idx="7">
                  <c:v>663</c:v>
                </c:pt>
                <c:pt idx="8">
                  <c:v>577</c:v>
                </c:pt>
                <c:pt idx="9">
                  <c:v>547</c:v>
                </c:pt>
                <c:pt idx="10">
                  <c:v>716</c:v>
                </c:pt>
                <c:pt idx="11">
                  <c:v>531</c:v>
                </c:pt>
                <c:pt idx="12">
                  <c:v>1504</c:v>
                </c:pt>
                <c:pt idx="13">
                  <c:v>813</c:v>
                </c:pt>
                <c:pt idx="14">
                  <c:v>887</c:v>
                </c:pt>
                <c:pt idx="15">
                  <c:v>663</c:v>
                </c:pt>
                <c:pt idx="16">
                  <c:v>448</c:v>
                </c:pt>
                <c:pt idx="17">
                  <c:v>235</c:v>
                </c:pt>
                <c:pt idx="18">
                  <c:v>250</c:v>
                </c:pt>
                <c:pt idx="19">
                  <c:v>308</c:v>
                </c:pt>
                <c:pt idx="20">
                  <c:v>107</c:v>
                </c:pt>
                <c:pt idx="21">
                  <c:v>142</c:v>
                </c:pt>
                <c:pt idx="22">
                  <c:v>312</c:v>
                </c:pt>
                <c:pt idx="23">
                  <c:v>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5179168"/>
        <c:axId val="-15182432"/>
      </c:lineChart>
      <c:catAx>
        <c:axId val="-15179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5182432"/>
        <c:crosses val="autoZero"/>
        <c:auto val="1"/>
        <c:lblAlgn val="ctr"/>
        <c:lblOffset val="100"/>
        <c:noMultiLvlLbl val="0"/>
      </c:catAx>
      <c:valAx>
        <c:axId val="-15182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517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Nateete-Nakawuka-24h'!$C$9:$N$9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Nateete-Nakawuka-24h'!$C$107:$N$107</c:f>
              <c:numCache>
                <c:formatCode>0.0%</c:formatCode>
                <c:ptCount val="12"/>
                <c:pt idx="0">
                  <c:v>0.10510960416338117</c:v>
                </c:pt>
                <c:pt idx="1">
                  <c:v>5.2909635704147612E-2</c:v>
                </c:pt>
                <c:pt idx="2">
                  <c:v>1.4903012143195079E-2</c:v>
                </c:pt>
                <c:pt idx="3">
                  <c:v>0.12529569468538085</c:v>
                </c:pt>
                <c:pt idx="4">
                  <c:v>7.8851916101561267E-3</c:v>
                </c:pt>
                <c:pt idx="5">
                  <c:v>6.308153288124901E-3</c:v>
                </c:pt>
                <c:pt idx="6">
                  <c:v>3.0121431950796404E-2</c:v>
                </c:pt>
                <c:pt idx="7">
                  <c:v>7.5697839457498821E-3</c:v>
                </c:pt>
                <c:pt idx="8">
                  <c:v>4.4945592177889921E-3</c:v>
                </c:pt>
                <c:pt idx="9">
                  <c:v>4.3368553855858694E-3</c:v>
                </c:pt>
                <c:pt idx="10">
                  <c:v>0.64082952215738842</c:v>
                </c:pt>
                <c:pt idx="11">
                  <c:v>2.3655574830468382E-4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Nateete-Nakawuka-24h'!$C$9:$N$9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Nateete-Nakawuka-24h'!$C$108:$N$108</c:f>
              <c:numCache>
                <c:formatCode>0.00%</c:formatCode>
                <c:ptCount val="12"/>
                <c:pt idx="0">
                  <c:v>0.29264544456641056</c:v>
                </c:pt>
                <c:pt idx="1">
                  <c:v>0.1473106476399561</c:v>
                </c:pt>
                <c:pt idx="2">
                  <c:v>4.1492864983534578E-2</c:v>
                </c:pt>
                <c:pt idx="3">
                  <c:v>0.34884742041712402</c:v>
                </c:pt>
                <c:pt idx="4">
                  <c:v>2.1953896816684963E-2</c:v>
                </c:pt>
                <c:pt idx="5">
                  <c:v>1.756311745334797E-2</c:v>
                </c:pt>
                <c:pt idx="6">
                  <c:v>8.3863885839736557E-2</c:v>
                </c:pt>
                <c:pt idx="7">
                  <c:v>2.1075740944017565E-2</c:v>
                </c:pt>
                <c:pt idx="8">
                  <c:v>1.2513721185510428E-2</c:v>
                </c:pt>
                <c:pt idx="9">
                  <c:v>1.2074643249176729E-2</c:v>
                </c:pt>
                <c:pt idx="11">
                  <c:v>6.5861690450054889E-4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Nakawuka-Nateete'!$AE$9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Nakawuka-Nateete'!$AE$10:$AE$21</c:f>
              <c:numCache>
                <c:formatCode>0</c:formatCode>
                <c:ptCount val="12"/>
                <c:pt idx="0">
                  <c:v>131</c:v>
                </c:pt>
                <c:pt idx="1">
                  <c:v>217</c:v>
                </c:pt>
                <c:pt idx="2">
                  <c:v>254</c:v>
                </c:pt>
                <c:pt idx="3">
                  <c:v>200</c:v>
                </c:pt>
                <c:pt idx="4">
                  <c:v>254</c:v>
                </c:pt>
                <c:pt idx="5">
                  <c:v>283</c:v>
                </c:pt>
                <c:pt idx="6">
                  <c:v>210</c:v>
                </c:pt>
                <c:pt idx="7">
                  <c:v>210</c:v>
                </c:pt>
                <c:pt idx="8">
                  <c:v>321</c:v>
                </c:pt>
                <c:pt idx="9">
                  <c:v>287</c:v>
                </c:pt>
                <c:pt idx="10">
                  <c:v>313</c:v>
                </c:pt>
                <c:pt idx="11">
                  <c:v>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Nakawuka-Nateete'!$AF$9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Nakawuka-Nateete'!$AF$10:$AF$21</c:f>
              <c:numCache>
                <c:formatCode>0</c:formatCode>
                <c:ptCount val="12"/>
                <c:pt idx="0">
                  <c:v>554</c:v>
                </c:pt>
                <c:pt idx="1">
                  <c:v>649</c:v>
                </c:pt>
                <c:pt idx="2">
                  <c:v>691</c:v>
                </c:pt>
                <c:pt idx="3">
                  <c:v>661</c:v>
                </c:pt>
                <c:pt idx="4">
                  <c:v>683</c:v>
                </c:pt>
                <c:pt idx="5">
                  <c:v>842</c:v>
                </c:pt>
                <c:pt idx="6">
                  <c:v>642</c:v>
                </c:pt>
                <c:pt idx="7">
                  <c:v>747</c:v>
                </c:pt>
                <c:pt idx="8">
                  <c:v>899</c:v>
                </c:pt>
                <c:pt idx="9">
                  <c:v>919</c:v>
                </c:pt>
                <c:pt idx="10">
                  <c:v>815</c:v>
                </c:pt>
                <c:pt idx="11">
                  <c:v>680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282880"/>
        <c:axId val="-145280160"/>
      </c:lineChart>
      <c:catAx>
        <c:axId val="-145282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80160"/>
        <c:crosses val="autoZero"/>
        <c:auto val="1"/>
        <c:lblAlgn val="ctr"/>
        <c:lblOffset val="100"/>
        <c:noMultiLvlLbl val="0"/>
      </c:catAx>
      <c:valAx>
        <c:axId val="-145280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8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Nakawuka-Nateete'!$C$59:$N$59</c:f>
              <c:numCache>
                <c:formatCode>0.0%</c:formatCode>
                <c:ptCount val="12"/>
                <c:pt idx="0">
                  <c:v>0.11398314734684582</c:v>
                </c:pt>
                <c:pt idx="1">
                  <c:v>4.941926668184924E-2</c:v>
                </c:pt>
                <c:pt idx="2">
                  <c:v>2.3798679116374403E-2</c:v>
                </c:pt>
                <c:pt idx="3">
                  <c:v>9.0412206786608967E-2</c:v>
                </c:pt>
                <c:pt idx="4">
                  <c:v>4.3270325666135276E-3</c:v>
                </c:pt>
                <c:pt idx="5">
                  <c:v>1.3664313368253246E-3</c:v>
                </c:pt>
                <c:pt idx="6">
                  <c:v>3.1427920746982467E-2</c:v>
                </c:pt>
                <c:pt idx="7">
                  <c:v>1.3550444090184468E-2</c:v>
                </c:pt>
                <c:pt idx="8">
                  <c:v>1.4803006148941015E-3</c:v>
                </c:pt>
                <c:pt idx="9">
                  <c:v>9.1095422455021637E-4</c:v>
                </c:pt>
                <c:pt idx="10">
                  <c:v>0.66932361648827143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Nakawuka-Nateete'!$S$9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Nakawuka-Nateete'!$S$10:$S$21</c:f>
              <c:numCache>
                <c:formatCode>0</c:formatCode>
                <c:ptCount val="12"/>
                <c:pt idx="0">
                  <c:v>31</c:v>
                </c:pt>
                <c:pt idx="1">
                  <c:v>61</c:v>
                </c:pt>
                <c:pt idx="2">
                  <c:v>79</c:v>
                </c:pt>
                <c:pt idx="3">
                  <c:v>67</c:v>
                </c:pt>
                <c:pt idx="4">
                  <c:v>74</c:v>
                </c:pt>
                <c:pt idx="5">
                  <c:v>83</c:v>
                </c:pt>
                <c:pt idx="6">
                  <c:v>65</c:v>
                </c:pt>
                <c:pt idx="7">
                  <c:v>72</c:v>
                </c:pt>
                <c:pt idx="8">
                  <c:v>121</c:v>
                </c:pt>
                <c:pt idx="9">
                  <c:v>116</c:v>
                </c:pt>
                <c:pt idx="10">
                  <c:v>151</c:v>
                </c:pt>
                <c:pt idx="11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Nakawuka-Nateete'!$T$9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Nakawuka-Nateete'!$R$10:$R$21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Nakawuka-Nateete'!$T$10:$T$21</c:f>
              <c:numCache>
                <c:formatCode>0</c:formatCode>
                <c:ptCount val="12"/>
                <c:pt idx="0">
                  <c:v>15</c:v>
                </c:pt>
                <c:pt idx="1">
                  <c:v>39</c:v>
                </c:pt>
                <c:pt idx="2">
                  <c:v>39</c:v>
                </c:pt>
                <c:pt idx="3">
                  <c:v>31</c:v>
                </c:pt>
                <c:pt idx="4">
                  <c:v>54</c:v>
                </c:pt>
                <c:pt idx="5">
                  <c:v>35</c:v>
                </c:pt>
                <c:pt idx="6">
                  <c:v>39</c:v>
                </c:pt>
                <c:pt idx="7">
                  <c:v>28</c:v>
                </c:pt>
                <c:pt idx="8">
                  <c:v>23</c:v>
                </c:pt>
                <c:pt idx="9">
                  <c:v>36</c:v>
                </c:pt>
                <c:pt idx="10">
                  <c:v>55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Nakawuka-Nateete'!$U$9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Nakawuka-Nateete'!$U$10:$U$21</c:f>
              <c:numCache>
                <c:formatCode>0</c:formatCode>
                <c:ptCount val="12"/>
                <c:pt idx="0">
                  <c:v>12</c:v>
                </c:pt>
                <c:pt idx="1">
                  <c:v>22</c:v>
                </c:pt>
                <c:pt idx="2">
                  <c:v>16</c:v>
                </c:pt>
                <c:pt idx="3">
                  <c:v>14</c:v>
                </c:pt>
                <c:pt idx="4">
                  <c:v>13</c:v>
                </c:pt>
                <c:pt idx="5">
                  <c:v>18</c:v>
                </c:pt>
                <c:pt idx="6">
                  <c:v>17</c:v>
                </c:pt>
                <c:pt idx="7">
                  <c:v>14</c:v>
                </c:pt>
                <c:pt idx="8">
                  <c:v>20</c:v>
                </c:pt>
                <c:pt idx="9">
                  <c:v>24</c:v>
                </c:pt>
                <c:pt idx="10">
                  <c:v>18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Nakawuka-Nateete'!$V$9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Nakawuka-Nateete'!$V$10:$V$21</c:f>
              <c:numCache>
                <c:formatCode>0</c:formatCode>
                <c:ptCount val="12"/>
                <c:pt idx="0">
                  <c:v>53</c:v>
                </c:pt>
                <c:pt idx="1">
                  <c:v>67</c:v>
                </c:pt>
                <c:pt idx="2">
                  <c:v>73</c:v>
                </c:pt>
                <c:pt idx="3">
                  <c:v>65</c:v>
                </c:pt>
                <c:pt idx="4">
                  <c:v>74</c:v>
                </c:pt>
                <c:pt idx="5">
                  <c:v>83</c:v>
                </c:pt>
                <c:pt idx="6">
                  <c:v>54</c:v>
                </c:pt>
                <c:pt idx="7">
                  <c:v>58</c:v>
                </c:pt>
                <c:pt idx="8">
                  <c:v>75</c:v>
                </c:pt>
                <c:pt idx="9">
                  <c:v>73</c:v>
                </c:pt>
                <c:pt idx="10">
                  <c:v>62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Nakawuka-Nateete'!$W$9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18</c:v>
                </c:pt>
                <c:pt idx="6">
                  <c:v>0</c:v>
                </c:pt>
                <c:pt idx="7">
                  <c:v>1</c:v>
                </c:pt>
                <c:pt idx="8">
                  <c:v>5</c:v>
                </c:pt>
                <c:pt idx="9">
                  <c:v>2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Nakawuka-Nateete'!$X$9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Nakawuka-Nateete'!$X$10:$X$21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Nakawuka-Nateete'!$Y$9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Nakawuka-Nateete'!$Y$10:$Y$21</c:f>
              <c:numCache>
                <c:formatCode>0</c:formatCode>
                <c:ptCount val="12"/>
                <c:pt idx="0">
                  <c:v>18</c:v>
                </c:pt>
                <c:pt idx="1">
                  <c:v>19</c:v>
                </c:pt>
                <c:pt idx="2">
                  <c:v>27</c:v>
                </c:pt>
                <c:pt idx="3">
                  <c:v>15</c:v>
                </c:pt>
                <c:pt idx="4">
                  <c:v>21</c:v>
                </c:pt>
                <c:pt idx="5">
                  <c:v>24</c:v>
                </c:pt>
                <c:pt idx="6">
                  <c:v>23</c:v>
                </c:pt>
                <c:pt idx="7">
                  <c:v>15</c:v>
                </c:pt>
                <c:pt idx="8">
                  <c:v>66</c:v>
                </c:pt>
                <c:pt idx="9">
                  <c:v>21</c:v>
                </c:pt>
                <c:pt idx="10">
                  <c:v>15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Nakawuka-Nateete'!$Z$9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Nakawuka-Nateete'!$Z$10:$Z$21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12</c:v>
                </c:pt>
                <c:pt idx="3">
                  <c:v>8</c:v>
                </c:pt>
                <c:pt idx="4">
                  <c:v>12</c:v>
                </c:pt>
                <c:pt idx="5">
                  <c:v>17</c:v>
                </c:pt>
                <c:pt idx="6">
                  <c:v>9</c:v>
                </c:pt>
                <c:pt idx="7">
                  <c:v>16</c:v>
                </c:pt>
                <c:pt idx="8">
                  <c:v>9</c:v>
                </c:pt>
                <c:pt idx="9">
                  <c:v>13</c:v>
                </c:pt>
                <c:pt idx="10">
                  <c:v>12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Nakawuka-Nateete'!$AA$9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Nakawuka-Nateete'!$AB$9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Nakawuka-Nateete'!$AC$9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Nakawuka-Nateete'!$AC$10:$AC$21</c:f>
              <c:numCache>
                <c:formatCode>0</c:formatCode>
                <c:ptCount val="12"/>
                <c:pt idx="0">
                  <c:v>423</c:v>
                </c:pt>
                <c:pt idx="1">
                  <c:v>432</c:v>
                </c:pt>
                <c:pt idx="2">
                  <c:v>437</c:v>
                </c:pt>
                <c:pt idx="3">
                  <c:v>461</c:v>
                </c:pt>
                <c:pt idx="4">
                  <c:v>429</c:v>
                </c:pt>
                <c:pt idx="5">
                  <c:v>559</c:v>
                </c:pt>
                <c:pt idx="6">
                  <c:v>432</c:v>
                </c:pt>
                <c:pt idx="7">
                  <c:v>537</c:v>
                </c:pt>
                <c:pt idx="8">
                  <c:v>578</c:v>
                </c:pt>
                <c:pt idx="9">
                  <c:v>632</c:v>
                </c:pt>
                <c:pt idx="10">
                  <c:v>502</c:v>
                </c:pt>
                <c:pt idx="11">
                  <c:v>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Nakawuka-Nateete'!$AD$9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Nakawuka-Nateete'!$AD$10:$AD$21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5287232"/>
        <c:axId val="-145292128"/>
      </c:lineChart>
      <c:catAx>
        <c:axId val="-14528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92128"/>
        <c:crosses val="autoZero"/>
        <c:auto val="1"/>
        <c:lblAlgn val="ctr"/>
        <c:lblOffset val="100"/>
        <c:noMultiLvlLbl val="0"/>
      </c:catAx>
      <c:valAx>
        <c:axId val="-14529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8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Nakawuka-Nateete'!$C$60:$N$60</c:f>
              <c:numCache>
                <c:formatCode>0.00%</c:formatCode>
                <c:ptCount val="12"/>
                <c:pt idx="0">
                  <c:v>0.34469696969696972</c:v>
                </c:pt>
                <c:pt idx="1">
                  <c:v>0.14944903581267219</c:v>
                </c:pt>
                <c:pt idx="2">
                  <c:v>7.1969696969696975E-2</c:v>
                </c:pt>
                <c:pt idx="3">
                  <c:v>0.27341597796143252</c:v>
                </c:pt>
                <c:pt idx="4">
                  <c:v>1.3085399449035813E-2</c:v>
                </c:pt>
                <c:pt idx="5">
                  <c:v>4.1322314049586778E-3</c:v>
                </c:pt>
                <c:pt idx="6">
                  <c:v>9.5041322314049589E-2</c:v>
                </c:pt>
                <c:pt idx="7">
                  <c:v>4.0977961432506885E-2</c:v>
                </c:pt>
                <c:pt idx="8">
                  <c:v>4.4765840220385676E-3</c:v>
                </c:pt>
                <c:pt idx="9">
                  <c:v>2.7548209366391185E-3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Nateete-Nakawuka'!$AE$9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Nateete-Nakawuka'!$AE$10:$AE$21</c:f>
              <c:numCache>
                <c:formatCode>0</c:formatCode>
                <c:ptCount val="12"/>
                <c:pt idx="0">
                  <c:v>80</c:v>
                </c:pt>
                <c:pt idx="1">
                  <c:v>57</c:v>
                </c:pt>
                <c:pt idx="2">
                  <c:v>129</c:v>
                </c:pt>
                <c:pt idx="3">
                  <c:v>151</c:v>
                </c:pt>
                <c:pt idx="4">
                  <c:v>185</c:v>
                </c:pt>
                <c:pt idx="5">
                  <c:v>190</c:v>
                </c:pt>
                <c:pt idx="6">
                  <c:v>214</c:v>
                </c:pt>
                <c:pt idx="7">
                  <c:v>329</c:v>
                </c:pt>
                <c:pt idx="8">
                  <c:v>211</c:v>
                </c:pt>
                <c:pt idx="9">
                  <c:v>250</c:v>
                </c:pt>
                <c:pt idx="10">
                  <c:v>222</c:v>
                </c:pt>
                <c:pt idx="11">
                  <c:v>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Nateete-Nakawuka'!$AF$9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Nateete-Nakawuka'!$AF$10:$AF$21</c:f>
              <c:numCache>
                <c:formatCode>0</c:formatCode>
                <c:ptCount val="12"/>
                <c:pt idx="0">
                  <c:v>377</c:v>
                </c:pt>
                <c:pt idx="1">
                  <c:v>351</c:v>
                </c:pt>
                <c:pt idx="2">
                  <c:v>554</c:v>
                </c:pt>
                <c:pt idx="3">
                  <c:v>619</c:v>
                </c:pt>
                <c:pt idx="4">
                  <c:v>587</c:v>
                </c:pt>
                <c:pt idx="5">
                  <c:v>561</c:v>
                </c:pt>
                <c:pt idx="6">
                  <c:v>596</c:v>
                </c:pt>
                <c:pt idx="7">
                  <c:v>709</c:v>
                </c:pt>
                <c:pt idx="8">
                  <c:v>533</c:v>
                </c:pt>
                <c:pt idx="9">
                  <c:v>504</c:v>
                </c:pt>
                <c:pt idx="10">
                  <c:v>539</c:v>
                </c:pt>
                <c:pt idx="11">
                  <c:v>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5291040"/>
        <c:axId val="-145289952"/>
      </c:lineChart>
      <c:catAx>
        <c:axId val="-145291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89952"/>
        <c:crosses val="autoZero"/>
        <c:auto val="1"/>
        <c:lblAlgn val="ctr"/>
        <c:lblOffset val="100"/>
        <c:noMultiLvlLbl val="0"/>
      </c:catAx>
      <c:valAx>
        <c:axId val="-145289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529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Nateete-Nakawuka'!$C$59:$N$59</c:f>
              <c:numCache>
                <c:formatCode>0.0%</c:formatCode>
                <c:ptCount val="12"/>
                <c:pt idx="0">
                  <c:v>0.14196969696969697</c:v>
                </c:pt>
                <c:pt idx="1">
                  <c:v>2.0454545454545454E-2</c:v>
                </c:pt>
                <c:pt idx="2">
                  <c:v>1.1818181818181818E-2</c:v>
                </c:pt>
                <c:pt idx="3">
                  <c:v>0.11378787878787879</c:v>
                </c:pt>
                <c:pt idx="4">
                  <c:v>5.0000000000000001E-3</c:v>
                </c:pt>
                <c:pt idx="5">
                  <c:v>3.9393939393939396E-3</c:v>
                </c:pt>
                <c:pt idx="6">
                  <c:v>3.1515151515151517E-2</c:v>
                </c:pt>
                <c:pt idx="7">
                  <c:v>1.1363636363636364E-2</c:v>
                </c:pt>
                <c:pt idx="8">
                  <c:v>2.7272727272727275E-3</c:v>
                </c:pt>
                <c:pt idx="9">
                  <c:v>2.1212121212121214E-3</c:v>
                </c:pt>
                <c:pt idx="10">
                  <c:v>0.65530303030303028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93"/>
          <c:y val="2.296022663732379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Nateete-Nakawuka'!$S$9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Nateete-Nakawuka'!$S$10:$S$21</c:f>
              <c:numCache>
                <c:formatCode>0</c:formatCode>
                <c:ptCount val="12"/>
                <c:pt idx="0">
                  <c:v>20</c:v>
                </c:pt>
                <c:pt idx="1">
                  <c:v>15</c:v>
                </c:pt>
                <c:pt idx="2">
                  <c:v>55</c:v>
                </c:pt>
                <c:pt idx="3">
                  <c:v>71</c:v>
                </c:pt>
                <c:pt idx="4">
                  <c:v>69</c:v>
                </c:pt>
                <c:pt idx="5">
                  <c:v>90</c:v>
                </c:pt>
                <c:pt idx="6">
                  <c:v>84</c:v>
                </c:pt>
                <c:pt idx="7">
                  <c:v>158</c:v>
                </c:pt>
                <c:pt idx="8">
                  <c:v>82</c:v>
                </c:pt>
                <c:pt idx="9">
                  <c:v>112</c:v>
                </c:pt>
                <c:pt idx="10">
                  <c:v>80</c:v>
                </c:pt>
                <c:pt idx="11">
                  <c:v>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Nateete-Nakawuka'!$T$9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Nateete-Nakawuka'!$R$10:$R$21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Nateete-Nakawuka'!$T$10:$T$21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31</c:v>
                </c:pt>
                <c:pt idx="8">
                  <c:v>8</c:v>
                </c:pt>
                <c:pt idx="9">
                  <c:v>13</c:v>
                </c:pt>
                <c:pt idx="10">
                  <c:v>16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Nateete-Nakawuka'!$U$9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Nateete-Nakawuka'!$U$10:$U$21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4</c:v>
                </c:pt>
                <c:pt idx="9">
                  <c:v>5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Nateete-Nakawuka'!$V$9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Nateete-Nakawuka'!$V$10:$V$21</c:f>
              <c:numCache>
                <c:formatCode>0</c:formatCode>
                <c:ptCount val="12"/>
                <c:pt idx="0">
                  <c:v>26</c:v>
                </c:pt>
                <c:pt idx="1">
                  <c:v>17</c:v>
                </c:pt>
                <c:pt idx="2">
                  <c:v>40</c:v>
                </c:pt>
                <c:pt idx="3">
                  <c:v>48</c:v>
                </c:pt>
                <c:pt idx="4">
                  <c:v>67</c:v>
                </c:pt>
                <c:pt idx="5">
                  <c:v>60</c:v>
                </c:pt>
                <c:pt idx="6">
                  <c:v>75</c:v>
                </c:pt>
                <c:pt idx="7">
                  <c:v>88</c:v>
                </c:pt>
                <c:pt idx="8">
                  <c:v>74</c:v>
                </c:pt>
                <c:pt idx="9">
                  <c:v>87</c:v>
                </c:pt>
                <c:pt idx="10">
                  <c:v>75</c:v>
                </c:pt>
                <c:pt idx="11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Nateete-Nakawuka'!$W$9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4</c:v>
                </c:pt>
                <c:pt idx="7">
                  <c:v>4</c:v>
                </c:pt>
                <c:pt idx="8">
                  <c:v>1</c:v>
                </c:pt>
                <c:pt idx="9">
                  <c:v>3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Nateete-Nakawuka'!$X$9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Nateete-Nakawuka'!$Y$9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Nateete-Nakawuka'!$Y$10:$Y$21</c:f>
              <c:numCache>
                <c:formatCode>0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12</c:v>
                </c:pt>
                <c:pt idx="4">
                  <c:v>16</c:v>
                </c:pt>
                <c:pt idx="5">
                  <c:v>11</c:v>
                </c:pt>
                <c:pt idx="6">
                  <c:v>21</c:v>
                </c:pt>
                <c:pt idx="7">
                  <c:v>12</c:v>
                </c:pt>
                <c:pt idx="8">
                  <c:v>31</c:v>
                </c:pt>
                <c:pt idx="9">
                  <c:v>19</c:v>
                </c:pt>
                <c:pt idx="10">
                  <c:v>28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Nateete-Nakawuka'!$Z$9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Nateete-Nakawuka'!$Z$10:$Z$21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10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Nateete-Nakawuka'!$AA$9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Nateete-Nakawuka'!$AB$9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Nateete-Nakawuka'!$AB$10:$AB$21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4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Nateete-Nakawuka'!$AC$9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Nateete-Nakawuka'!$AC$10:$AC$21</c:f>
              <c:numCache>
                <c:formatCode>0</c:formatCode>
                <c:ptCount val="12"/>
                <c:pt idx="0">
                  <c:v>297</c:v>
                </c:pt>
                <c:pt idx="1">
                  <c:v>294</c:v>
                </c:pt>
                <c:pt idx="2">
                  <c:v>425</c:v>
                </c:pt>
                <c:pt idx="3">
                  <c:v>468</c:v>
                </c:pt>
                <c:pt idx="4">
                  <c:v>402</c:v>
                </c:pt>
                <c:pt idx="5">
                  <c:v>371</c:v>
                </c:pt>
                <c:pt idx="6">
                  <c:v>382</c:v>
                </c:pt>
                <c:pt idx="7">
                  <c:v>380</c:v>
                </c:pt>
                <c:pt idx="8">
                  <c:v>322</c:v>
                </c:pt>
                <c:pt idx="9">
                  <c:v>254</c:v>
                </c:pt>
                <c:pt idx="10">
                  <c:v>317</c:v>
                </c:pt>
                <c:pt idx="11">
                  <c:v>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Nateete-Nakawuka'!$AD$9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Nateete-Nakawuka'!$AD$10:$AD$21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5332032"/>
        <c:axId val="-135334208"/>
      </c:lineChart>
      <c:catAx>
        <c:axId val="-13533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5334208"/>
        <c:crosses val="autoZero"/>
        <c:auto val="1"/>
        <c:lblAlgn val="ctr"/>
        <c:lblOffset val="100"/>
        <c:noMultiLvlLbl val="0"/>
      </c:catAx>
      <c:valAx>
        <c:axId val="-13533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5332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Nateete-Nakawuka'!$C$60:$N$60</c:f>
              <c:numCache>
                <c:formatCode>0.00%</c:formatCode>
                <c:ptCount val="12"/>
                <c:pt idx="0">
                  <c:v>0.41186813186813187</c:v>
                </c:pt>
                <c:pt idx="1">
                  <c:v>5.9340659340659338E-2</c:v>
                </c:pt>
                <c:pt idx="2">
                  <c:v>3.4285714285714287E-2</c:v>
                </c:pt>
                <c:pt idx="3">
                  <c:v>0.33010989010989011</c:v>
                </c:pt>
                <c:pt idx="4">
                  <c:v>1.4505494505494506E-2</c:v>
                </c:pt>
                <c:pt idx="5">
                  <c:v>1.1428571428571429E-2</c:v>
                </c:pt>
                <c:pt idx="6">
                  <c:v>9.1428571428571428E-2</c:v>
                </c:pt>
                <c:pt idx="7">
                  <c:v>3.2967032967032968E-2</c:v>
                </c:pt>
                <c:pt idx="8">
                  <c:v>7.9120879120879121E-3</c:v>
                </c:pt>
                <c:pt idx="9">
                  <c:v>6.1538461538461538E-3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Nakawuka-Nateete'!$AE$9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Nakawuka-Nateete'!$R$10:$R$33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Nakawuka-Nateete'!$AE$10:$AE$33</c:f>
              <c:numCache>
                <c:formatCode>0</c:formatCode>
                <c:ptCount val="24"/>
                <c:pt idx="0">
                  <c:v>341.14285714285711</c:v>
                </c:pt>
                <c:pt idx="1">
                  <c:v>377.85714285714289</c:v>
                </c:pt>
                <c:pt idx="2">
                  <c:v>296.71428571428578</c:v>
                </c:pt>
                <c:pt idx="3">
                  <c:v>282.14285714285711</c:v>
                </c:pt>
                <c:pt idx="4">
                  <c:v>251.28571428571428</c:v>
                </c:pt>
                <c:pt idx="5">
                  <c:v>234.42857142857147</c:v>
                </c:pt>
                <c:pt idx="6">
                  <c:v>212.14285714285717</c:v>
                </c:pt>
                <c:pt idx="7">
                  <c:v>204.28571428571431</c:v>
                </c:pt>
                <c:pt idx="8">
                  <c:v>214.71428571428572</c:v>
                </c:pt>
                <c:pt idx="9">
                  <c:v>214.42857142857142</c:v>
                </c:pt>
                <c:pt idx="10">
                  <c:v>243.57142857142858</c:v>
                </c:pt>
                <c:pt idx="11">
                  <c:v>196.57142857142858</c:v>
                </c:pt>
                <c:pt idx="12">
                  <c:v>200.42857142857142</c:v>
                </c:pt>
                <c:pt idx="13">
                  <c:v>183.35714285714286</c:v>
                </c:pt>
                <c:pt idx="14">
                  <c:v>184.14285714285714</c:v>
                </c:pt>
                <c:pt idx="15">
                  <c:v>177.5</c:v>
                </c:pt>
                <c:pt idx="16">
                  <c:v>185.5</c:v>
                </c:pt>
                <c:pt idx="17">
                  <c:v>199.5</c:v>
                </c:pt>
                <c:pt idx="18">
                  <c:v>227</c:v>
                </c:pt>
                <c:pt idx="19">
                  <c:v>304.5</c:v>
                </c:pt>
                <c:pt idx="20">
                  <c:v>269</c:v>
                </c:pt>
                <c:pt idx="21">
                  <c:v>318.5</c:v>
                </c:pt>
                <c:pt idx="22">
                  <c:v>283</c:v>
                </c:pt>
                <c:pt idx="23">
                  <c:v>205.5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Nakawuka-Nateete'!$AF$9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Nakawuka-Nateete'!$R$10:$R$33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Nakawuka-Nateete'!$AF$10:$AF$33</c:f>
              <c:numCache>
                <c:formatCode>0</c:formatCode>
                <c:ptCount val="24"/>
                <c:pt idx="0">
                  <c:v>805.71428571428567</c:v>
                </c:pt>
                <c:pt idx="1">
                  <c:v>868.71428571428578</c:v>
                </c:pt>
                <c:pt idx="2">
                  <c:v>717.85714285714289</c:v>
                </c:pt>
                <c:pt idx="3">
                  <c:v>723.57142857142856</c:v>
                </c:pt>
                <c:pt idx="4">
                  <c:v>643.71428571428578</c:v>
                </c:pt>
                <c:pt idx="5">
                  <c:v>648.85714285714289</c:v>
                </c:pt>
                <c:pt idx="6">
                  <c:v>633.42857142857144</c:v>
                </c:pt>
                <c:pt idx="7">
                  <c:v>597</c:v>
                </c:pt>
                <c:pt idx="8">
                  <c:v>600.28571428571422</c:v>
                </c:pt>
                <c:pt idx="9">
                  <c:v>613.85714285714278</c:v>
                </c:pt>
                <c:pt idx="10">
                  <c:v>685.28571428571445</c:v>
                </c:pt>
                <c:pt idx="11">
                  <c:v>671.14285714285711</c:v>
                </c:pt>
                <c:pt idx="12">
                  <c:v>683.42857142857144</c:v>
                </c:pt>
                <c:pt idx="13">
                  <c:v>681.35714285714289</c:v>
                </c:pt>
                <c:pt idx="14">
                  <c:v>696</c:v>
                </c:pt>
                <c:pt idx="15">
                  <c:v>709</c:v>
                </c:pt>
                <c:pt idx="16">
                  <c:v>753</c:v>
                </c:pt>
                <c:pt idx="17">
                  <c:v>779.5</c:v>
                </c:pt>
                <c:pt idx="18">
                  <c:v>832</c:v>
                </c:pt>
                <c:pt idx="19">
                  <c:v>999.5</c:v>
                </c:pt>
                <c:pt idx="20">
                  <c:v>921.5</c:v>
                </c:pt>
                <c:pt idx="21">
                  <c:v>993.5</c:v>
                </c:pt>
                <c:pt idx="22">
                  <c:v>908</c:v>
                </c:pt>
                <c:pt idx="23">
                  <c:v>720.5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5331488"/>
        <c:axId val="-135335296"/>
      </c:lineChart>
      <c:catAx>
        <c:axId val="-1353314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5335296"/>
        <c:crosses val="autoZero"/>
        <c:auto val="1"/>
        <c:lblAlgn val="ctr"/>
        <c:lblOffset val="100"/>
        <c:noMultiLvlLbl val="0"/>
      </c:catAx>
      <c:valAx>
        <c:axId val="-135335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533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Nakawuka-Nateete'!$C$107:$N$107</c:f>
              <c:numCache>
                <c:formatCode>0.0%</c:formatCode>
                <c:ptCount val="12"/>
                <c:pt idx="0">
                  <c:v>9.486721501480988E-2</c:v>
                </c:pt>
                <c:pt idx="1">
                  <c:v>5.102549314938102E-2</c:v>
                </c:pt>
                <c:pt idx="2">
                  <c:v>2.643941387593297E-2</c:v>
                </c:pt>
                <c:pt idx="3">
                  <c:v>0.10706226868312461</c:v>
                </c:pt>
                <c:pt idx="4">
                  <c:v>2.8891862685263467E-3</c:v>
                </c:pt>
                <c:pt idx="5">
                  <c:v>8.3987972922277578E-4</c:v>
                </c:pt>
                <c:pt idx="6">
                  <c:v>2.7878407812001321E-2</c:v>
                </c:pt>
                <c:pt idx="7">
                  <c:v>1.6786396188065877E-2</c:v>
                </c:pt>
                <c:pt idx="8">
                  <c:v>3.4491060880081975E-3</c:v>
                </c:pt>
                <c:pt idx="9">
                  <c:v>3.1803445746569096E-3</c:v>
                </c:pt>
                <c:pt idx="10">
                  <c:v>0.66557109021988059</c:v>
                </c:pt>
                <c:pt idx="11">
                  <c:v>1.1198396389637006E-5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277485787014124E-2"/>
          <c:y val="0.24082008926624607"/>
          <c:w val="0.82144502842597167"/>
          <c:h val="0.7399088677019874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Nakawuka-Nateete'!$C$9:$N$9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Nakawuka-Nateete'!$C$108:$N$108</c:f>
              <c:numCache>
                <c:formatCode>0.00%</c:formatCode>
                <c:ptCount val="12"/>
                <c:pt idx="0">
                  <c:v>0.28366930083043113</c:v>
                </c:pt>
                <c:pt idx="1">
                  <c:v>0.15257500669702645</c:v>
                </c:pt>
                <c:pt idx="2">
                  <c:v>7.9058398071256322E-2</c:v>
                </c:pt>
                <c:pt idx="3">
                  <c:v>0.32013461023305639</c:v>
                </c:pt>
                <c:pt idx="4">
                  <c:v>8.6391642110902698E-3</c:v>
                </c:pt>
                <c:pt idx="5">
                  <c:v>2.5113849450843825E-3</c:v>
                </c:pt>
                <c:pt idx="6">
                  <c:v>8.3361237610500877E-2</c:v>
                </c:pt>
                <c:pt idx="7">
                  <c:v>5.0194213769086511E-2</c:v>
                </c:pt>
                <c:pt idx="8">
                  <c:v>1.0313420841146524E-2</c:v>
                </c:pt>
                <c:pt idx="9">
                  <c:v>9.5097776587195239E-3</c:v>
                </c:pt>
                <c:pt idx="11">
                  <c:v>3.3485132601125083E-5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31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Nateete-Nakawuka'!$AE$9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Nateete-Nakawuka'!$R$10:$R$33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Nateete-Nakawuka'!$AE$10:$AE$33</c:f>
              <c:numCache>
                <c:formatCode>0</c:formatCode>
                <c:ptCount val="24"/>
                <c:pt idx="0">
                  <c:v>121.85714285714285</c:v>
                </c:pt>
                <c:pt idx="1">
                  <c:v>120.71428571428571</c:v>
                </c:pt>
                <c:pt idx="2">
                  <c:v>156.57142857142856</c:v>
                </c:pt>
                <c:pt idx="3">
                  <c:v>144.14285714285714</c:v>
                </c:pt>
                <c:pt idx="4">
                  <c:v>165.57142857142858</c:v>
                </c:pt>
                <c:pt idx="5">
                  <c:v>160.71428571428572</c:v>
                </c:pt>
                <c:pt idx="6">
                  <c:v>148.42857142857144</c:v>
                </c:pt>
                <c:pt idx="7">
                  <c:v>207.57142857142858</c:v>
                </c:pt>
                <c:pt idx="8">
                  <c:v>156.28571428571428</c:v>
                </c:pt>
                <c:pt idx="9">
                  <c:v>166.28571428571428</c:v>
                </c:pt>
                <c:pt idx="10">
                  <c:v>247.42857142857144</c:v>
                </c:pt>
                <c:pt idx="11">
                  <c:v>273.71428571428572</c:v>
                </c:pt>
                <c:pt idx="12">
                  <c:v>353.57142857142856</c:v>
                </c:pt>
                <c:pt idx="13">
                  <c:v>435.35714285714289</c:v>
                </c:pt>
                <c:pt idx="14">
                  <c:v>556.21428571428578</c:v>
                </c:pt>
                <c:pt idx="15">
                  <c:v>577</c:v>
                </c:pt>
                <c:pt idx="16">
                  <c:v>528.5</c:v>
                </c:pt>
                <c:pt idx="17">
                  <c:v>444.5</c:v>
                </c:pt>
                <c:pt idx="18">
                  <c:v>310</c:v>
                </c:pt>
                <c:pt idx="19">
                  <c:v>297</c:v>
                </c:pt>
                <c:pt idx="20">
                  <c:v>294</c:v>
                </c:pt>
                <c:pt idx="21">
                  <c:v>321</c:v>
                </c:pt>
                <c:pt idx="22">
                  <c:v>356</c:v>
                </c:pt>
                <c:pt idx="23">
                  <c:v>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Nateete-Nakawuka'!$AF$9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Nateete-Nakawuka'!$R$10:$R$33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Nateete-Nakawuka'!$AF$10:$AF$33</c:f>
              <c:numCache>
                <c:formatCode>0</c:formatCode>
                <c:ptCount val="24"/>
                <c:pt idx="0">
                  <c:v>484.14285714285711</c:v>
                </c:pt>
                <c:pt idx="1">
                  <c:v>474.14285714285711</c:v>
                </c:pt>
                <c:pt idx="2">
                  <c:v>560.42857142857156</c:v>
                </c:pt>
                <c:pt idx="3">
                  <c:v>503</c:v>
                </c:pt>
                <c:pt idx="4">
                  <c:v>496.85714285714289</c:v>
                </c:pt>
                <c:pt idx="5">
                  <c:v>459.28571428571433</c:v>
                </c:pt>
                <c:pt idx="6">
                  <c:v>460.28571428571428</c:v>
                </c:pt>
                <c:pt idx="7">
                  <c:v>542.85714285714289</c:v>
                </c:pt>
                <c:pt idx="8">
                  <c:v>444.57142857142856</c:v>
                </c:pt>
                <c:pt idx="9">
                  <c:v>466.42857142857144</c:v>
                </c:pt>
                <c:pt idx="10">
                  <c:v>599.57142857142856</c:v>
                </c:pt>
                <c:pt idx="11">
                  <c:v>628.28571428571433</c:v>
                </c:pt>
                <c:pt idx="12">
                  <c:v>756.64285714285711</c:v>
                </c:pt>
                <c:pt idx="13">
                  <c:v>884.85714285714289</c:v>
                </c:pt>
                <c:pt idx="14">
                  <c:v>1082.9285714285716</c:v>
                </c:pt>
                <c:pt idx="15">
                  <c:v>1202</c:v>
                </c:pt>
                <c:pt idx="16">
                  <c:v>1148</c:v>
                </c:pt>
                <c:pt idx="17">
                  <c:v>1043.5</c:v>
                </c:pt>
                <c:pt idx="18">
                  <c:v>854</c:v>
                </c:pt>
                <c:pt idx="19">
                  <c:v>778.5</c:v>
                </c:pt>
                <c:pt idx="20">
                  <c:v>740</c:v>
                </c:pt>
                <c:pt idx="21">
                  <c:v>721.5</c:v>
                </c:pt>
                <c:pt idx="22">
                  <c:v>743</c:v>
                </c:pt>
                <c:pt idx="23">
                  <c:v>734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5013536"/>
        <c:axId val="-195012992"/>
      </c:lineChart>
      <c:catAx>
        <c:axId val="-195013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012992"/>
        <c:crosses val="autoZero"/>
        <c:auto val="1"/>
        <c:lblAlgn val="ctr"/>
        <c:lblOffset val="100"/>
        <c:noMultiLvlLbl val="0"/>
      </c:catAx>
      <c:valAx>
        <c:axId val="-195012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501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11" l="0.70000000000000062" r="0.70000000000000062" t="0.75000000000000211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0916174540682375E-3"/>
          <c:y val="0.11420022846252055"/>
          <c:w val="0.82077941030354218"/>
          <c:h val="0.7473824137001886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Nateete-Nakawuka'!$C$107:$N$107</c:f>
              <c:numCache>
                <c:formatCode>0.0%</c:formatCode>
                <c:ptCount val="12"/>
                <c:pt idx="0">
                  <c:v>0.1100196834300735</c:v>
                </c:pt>
                <c:pt idx="1">
                  <c:v>3.7945628454819288E-2</c:v>
                </c:pt>
                <c:pt idx="2">
                  <c:v>1.6281278102341257E-2</c:v>
                </c:pt>
                <c:pt idx="3">
                  <c:v>0.12916857946005769</c:v>
                </c:pt>
                <c:pt idx="4">
                  <c:v>6.0370903739851703E-3</c:v>
                </c:pt>
                <c:pt idx="5">
                  <c:v>5.0560631882125805E-3</c:v>
                </c:pt>
                <c:pt idx="6">
                  <c:v>3.0713697277649551E-2</c:v>
                </c:pt>
                <c:pt idx="7">
                  <c:v>1.0269342271581021E-2</c:v>
                </c:pt>
                <c:pt idx="8">
                  <c:v>4.4271996075891254E-3</c:v>
                </c:pt>
                <c:pt idx="9">
                  <c:v>2.9619474647364745E-3</c:v>
                </c:pt>
                <c:pt idx="10">
                  <c:v>0.64701887219605447</c:v>
                </c:pt>
                <c:pt idx="11">
                  <c:v>1.0061817289975283E-4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702641235379557"/>
          <c:y val="0.25326823657532316"/>
          <c:w val="0.82077941030354218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819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Nateete-Nakawuka'!$C$9:$N$9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Nateete-Nakawuka'!$C$108:$N$108</c:f>
              <c:numCache>
                <c:formatCode>0.00%</c:formatCode>
                <c:ptCount val="12"/>
                <c:pt idx="0">
                  <c:v>0.31168715481916975</c:v>
                </c:pt>
                <c:pt idx="1">
                  <c:v>0.10750044539461963</c:v>
                </c:pt>
                <c:pt idx="2">
                  <c:v>4.6125066809192948E-2</c:v>
                </c:pt>
                <c:pt idx="3">
                  <c:v>0.36593621949046856</c:v>
                </c:pt>
                <c:pt idx="4">
                  <c:v>1.7103153393907E-2</c:v>
                </c:pt>
                <c:pt idx="5">
                  <c:v>1.4323890967397114E-2</c:v>
                </c:pt>
                <c:pt idx="6">
                  <c:v>8.7012292891501863E-2</c:v>
                </c:pt>
                <c:pt idx="7">
                  <c:v>2.9093176554427211E-2</c:v>
                </c:pt>
                <c:pt idx="8">
                  <c:v>1.2542312488865136E-2</c:v>
                </c:pt>
                <c:pt idx="9">
                  <c:v>8.3912346338856237E-3</c:v>
                </c:pt>
                <c:pt idx="11">
                  <c:v>2.8505255656511669E-4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89" l="0.70000000000000062" r="0.70000000000000062" t="0.75000000000000189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Nakawuka-Nateete-2Dir'!$AE$9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Nakawuka-Nateete-2Dir'!$R$10:$R$33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Nakawuka-Nateete-2Dir'!$AE$10:$AE$33</c:f>
              <c:numCache>
                <c:formatCode>0</c:formatCode>
                <c:ptCount val="24"/>
                <c:pt idx="0">
                  <c:v>463</c:v>
                </c:pt>
                <c:pt idx="1">
                  <c:v>498.57142857142856</c:v>
                </c:pt>
                <c:pt idx="2">
                  <c:v>453.28571428571428</c:v>
                </c:pt>
                <c:pt idx="3">
                  <c:v>426.28571428571428</c:v>
                </c:pt>
                <c:pt idx="4">
                  <c:v>416.85714285714289</c:v>
                </c:pt>
                <c:pt idx="5">
                  <c:v>395.14285714285717</c:v>
                </c:pt>
                <c:pt idx="6">
                  <c:v>360.57142857142861</c:v>
                </c:pt>
                <c:pt idx="7">
                  <c:v>411.85714285714289</c:v>
                </c:pt>
                <c:pt idx="8">
                  <c:v>370.99999999999994</c:v>
                </c:pt>
                <c:pt idx="9">
                  <c:v>380.71428571428572</c:v>
                </c:pt>
                <c:pt idx="10">
                  <c:v>491</c:v>
                </c:pt>
                <c:pt idx="11">
                  <c:v>470.28571428571428</c:v>
                </c:pt>
                <c:pt idx="12">
                  <c:v>554</c:v>
                </c:pt>
                <c:pt idx="13">
                  <c:v>618.71428571428578</c:v>
                </c:pt>
                <c:pt idx="14">
                  <c:v>740.35714285714289</c:v>
                </c:pt>
                <c:pt idx="15">
                  <c:v>754.5</c:v>
                </c:pt>
                <c:pt idx="16">
                  <c:v>714</c:v>
                </c:pt>
                <c:pt idx="17">
                  <c:v>644</c:v>
                </c:pt>
                <c:pt idx="18">
                  <c:v>537</c:v>
                </c:pt>
                <c:pt idx="19">
                  <c:v>601.5</c:v>
                </c:pt>
                <c:pt idx="20">
                  <c:v>563</c:v>
                </c:pt>
                <c:pt idx="21">
                  <c:v>639.5</c:v>
                </c:pt>
                <c:pt idx="22">
                  <c:v>639</c:v>
                </c:pt>
                <c:pt idx="23">
                  <c:v>577.5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9-4DCF-B882-877A22CF008F}"/>
            </c:ext>
          </c:extLst>
        </c:ser>
        <c:ser>
          <c:idx val="1"/>
          <c:order val="1"/>
          <c:tx>
            <c:strRef>
              <c:f>'Avg Week Nakawuka-Nateete-2Dir'!$AF$9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Nakawuka-Nateete-2Dir'!$R$10:$R$33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Nakawuka-Nateete-2Dir'!$AF$10:$AF$33</c:f>
              <c:numCache>
                <c:formatCode>0</c:formatCode>
                <c:ptCount val="24"/>
                <c:pt idx="0">
                  <c:v>1289.8571428571429</c:v>
                </c:pt>
                <c:pt idx="1">
                  <c:v>1342.8571428571429</c:v>
                </c:pt>
                <c:pt idx="2">
                  <c:v>1278.2857142857142</c:v>
                </c:pt>
                <c:pt idx="3">
                  <c:v>1226.5714285714287</c:v>
                </c:pt>
                <c:pt idx="4">
                  <c:v>1140.5714285714287</c:v>
                </c:pt>
                <c:pt idx="5">
                  <c:v>1108.1428571428573</c:v>
                </c:pt>
                <c:pt idx="6">
                  <c:v>1093.7142857142858</c:v>
                </c:pt>
                <c:pt idx="7">
                  <c:v>1139.8571428571429</c:v>
                </c:pt>
                <c:pt idx="8">
                  <c:v>1044.8571428571427</c:v>
                </c:pt>
                <c:pt idx="9">
                  <c:v>1080.2857142857142</c:v>
                </c:pt>
                <c:pt idx="10">
                  <c:v>1284.8571428571429</c:v>
                </c:pt>
                <c:pt idx="11">
                  <c:v>1299.4285714285713</c:v>
                </c:pt>
                <c:pt idx="12">
                  <c:v>1440.0714285714284</c:v>
                </c:pt>
                <c:pt idx="13">
                  <c:v>1566.2142857142858</c:v>
                </c:pt>
                <c:pt idx="14">
                  <c:v>1778.9285714285713</c:v>
                </c:pt>
                <c:pt idx="15">
                  <c:v>1911</c:v>
                </c:pt>
                <c:pt idx="16">
                  <c:v>1901</c:v>
                </c:pt>
                <c:pt idx="17">
                  <c:v>1823</c:v>
                </c:pt>
                <c:pt idx="18">
                  <c:v>1686</c:v>
                </c:pt>
                <c:pt idx="19">
                  <c:v>1778</c:v>
                </c:pt>
                <c:pt idx="20">
                  <c:v>1661.5</c:v>
                </c:pt>
                <c:pt idx="21">
                  <c:v>1715</c:v>
                </c:pt>
                <c:pt idx="22">
                  <c:v>1651</c:v>
                </c:pt>
                <c:pt idx="23">
                  <c:v>1454.5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89-4DCF-B882-877A22CF008F}"/>
            </c:ext>
          </c:extLst>
        </c:ser>
        <c:ser>
          <c:idx val="5"/>
          <c:order val="2"/>
          <c:tx>
            <c:strRef>
              <c:f>'Avg Week Nakawuka-Nateete-2Dir'!$AC$9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Nakawuka-Nateete-2Dir'!$R$10:$R$33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Nakawuka-Nateete-2Dir'!$AC$10:$AC$33</c:f>
              <c:numCache>
                <c:formatCode>0</c:formatCode>
                <c:ptCount val="24"/>
                <c:pt idx="0">
                  <c:v>826.85714285714289</c:v>
                </c:pt>
                <c:pt idx="1">
                  <c:v>844.28571428571433</c:v>
                </c:pt>
                <c:pt idx="2">
                  <c:v>825</c:v>
                </c:pt>
                <c:pt idx="3">
                  <c:v>800.28571428571422</c:v>
                </c:pt>
                <c:pt idx="4">
                  <c:v>723.71428571428567</c:v>
                </c:pt>
                <c:pt idx="5">
                  <c:v>713</c:v>
                </c:pt>
                <c:pt idx="6">
                  <c:v>733.14285714285711</c:v>
                </c:pt>
                <c:pt idx="7">
                  <c:v>728.00000000000011</c:v>
                </c:pt>
                <c:pt idx="8">
                  <c:v>673.85714285714289</c:v>
                </c:pt>
                <c:pt idx="9">
                  <c:v>699.57142857142856</c:v>
                </c:pt>
                <c:pt idx="10">
                  <c:v>793.85714285714289</c:v>
                </c:pt>
                <c:pt idx="11">
                  <c:v>829.14285714285711</c:v>
                </c:pt>
                <c:pt idx="12">
                  <c:v>1156.5</c:v>
                </c:pt>
                <c:pt idx="13">
                  <c:v>1176.5</c:v>
                </c:pt>
                <c:pt idx="14">
                  <c:v>877</c:v>
                </c:pt>
                <c:pt idx="15">
                  <c:v>661.5</c:v>
                </c:pt>
                <c:pt idx="16">
                  <c:v>507</c:v>
                </c:pt>
                <c:pt idx="17">
                  <c:v>294.5</c:v>
                </c:pt>
                <c:pt idx="18">
                  <c:v>223</c:v>
                </c:pt>
                <c:pt idx="19">
                  <c:v>237.5</c:v>
                </c:pt>
                <c:pt idx="20">
                  <c:v>151.5</c:v>
                </c:pt>
                <c:pt idx="21">
                  <c:v>227.5</c:v>
                </c:pt>
                <c:pt idx="22">
                  <c:v>399</c:v>
                </c:pt>
                <c:pt idx="23">
                  <c:v>737.5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DC-4269-83A4-9C67FBDC4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908660544"/>
        <c:axId val="-1908649664"/>
      </c:lineChart>
      <c:catAx>
        <c:axId val="-1908660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8649664"/>
        <c:crosses val="autoZero"/>
        <c:auto val="1"/>
        <c:lblAlgn val="ctr"/>
        <c:lblOffset val="100"/>
        <c:noMultiLvlLbl val="0"/>
      </c:catAx>
      <c:valAx>
        <c:axId val="-1908649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866054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2234430396682068E-2"/>
          <c:y val="8.2899945039696582E-2"/>
          <c:w val="0.82827446651949965"/>
          <c:h val="0.75902399207700977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Nakawuka-Nateete-2Dir'!$C$9:$N$9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Nakawuka-Nateete-2Dir'!$C$107:$N$107</c:f>
              <c:numCache>
                <c:formatCode>0.0%</c:formatCode>
                <c:ptCount val="12"/>
                <c:pt idx="0">
                  <c:v>0.10200406381251965</c:v>
                </c:pt>
                <c:pt idx="1">
                  <c:v>4.4864845652135284E-2</c:v>
                </c:pt>
                <c:pt idx="2">
                  <c:v>2.1654907675629571E-2</c:v>
                </c:pt>
                <c:pt idx="3">
                  <c:v>0.11747439383437894</c:v>
                </c:pt>
                <c:pt idx="4">
                  <c:v>4.3718566173203723E-3</c:v>
                </c:pt>
                <c:pt idx="5">
                  <c:v>2.8257122038778015E-3</c:v>
                </c:pt>
                <c:pt idx="6">
                  <c:v>2.9213835919126581E-2</c:v>
                </c:pt>
                <c:pt idx="7">
                  <c:v>1.3716848234966564E-2</c:v>
                </c:pt>
                <c:pt idx="8">
                  <c:v>3.9097904707743169E-3</c:v>
                </c:pt>
                <c:pt idx="9">
                  <c:v>3.0774790144958452E-3</c:v>
                </c:pt>
                <c:pt idx="10">
                  <c:v>0.65683295124017382</c:v>
                </c:pt>
                <c:pt idx="11">
                  <c:v>5.3315324601467952E-5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112600558626493"/>
          <c:y val="0.23084127433446971"/>
          <c:w val="0.83261086583830202"/>
          <c:h val="0.76871916342946045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Nakawuka-Nateete-2Dir'!$C$9:$N$9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Nakawuka-Nateete-2Dir'!$C$108:$N$108</c:f>
              <c:numCache>
                <c:formatCode>0.00%</c:formatCode>
                <c:ptCount val="12"/>
                <c:pt idx="0">
                  <c:v>0.29724317699252534</c:v>
                </c:pt>
                <c:pt idx="1">
                  <c:v>0.13073762709523726</c:v>
                </c:pt>
                <c:pt idx="2">
                  <c:v>6.3103108978231973E-2</c:v>
                </c:pt>
                <c:pt idx="3">
                  <c:v>0.34232422448169308</c:v>
                </c:pt>
                <c:pt idx="4">
                  <c:v>1.2739733121579862E-2</c:v>
                </c:pt>
                <c:pt idx="5">
                  <c:v>8.2342177493138144E-3</c:v>
                </c:pt>
                <c:pt idx="6">
                  <c:v>8.513007302042154E-2</c:v>
                </c:pt>
                <c:pt idx="7">
                  <c:v>3.9971344231731952E-2</c:v>
                </c:pt>
                <c:pt idx="8">
                  <c:v>1.1393257263201504E-2</c:v>
                </c:pt>
                <c:pt idx="9">
                  <c:v>8.9678744670199737E-3</c:v>
                </c:pt>
                <c:pt idx="11">
                  <c:v>1.5536259904365686E-4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Nakawuka-Nateete-2Dir'!$S$9:$AF$9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Nakawuka-Nateete-2Dir'!$S$41:$AF$41</c:f>
              <c:numCache>
                <c:formatCode>_(* #,##0_);_(* \(#,##0\);_(* "-"_);_(@_)</c:formatCode>
                <c:ptCount val="14"/>
                <c:pt idx="0">
                  <c:v>2459.8571428571431</c:v>
                </c:pt>
                <c:pt idx="1">
                  <c:v>1081.9285714285716</c:v>
                </c:pt>
                <c:pt idx="2">
                  <c:v>522.21428571428578</c:v>
                </c:pt>
                <c:pt idx="3">
                  <c:v>2832.9285714285716</c:v>
                </c:pt>
                <c:pt idx="4">
                  <c:v>105.42857142857143</c:v>
                </c:pt>
                <c:pt idx="5">
                  <c:v>68.142857142857139</c:v>
                </c:pt>
                <c:pt idx="6">
                  <c:v>704.5</c:v>
                </c:pt>
                <c:pt idx="7">
                  <c:v>330.78571428571422</c:v>
                </c:pt>
                <c:pt idx="8">
                  <c:v>94.285714285714278</c:v>
                </c:pt>
                <c:pt idx="9">
                  <c:v>74.214285714285722</c:v>
                </c:pt>
                <c:pt idx="10">
                  <c:v>15839.714285714284</c:v>
                </c:pt>
                <c:pt idx="11">
                  <c:v>1.2857142857142856</c:v>
                </c:pt>
                <c:pt idx="12">
                  <c:v>12721.642857142857</c:v>
                </c:pt>
                <c:pt idx="13">
                  <c:v>34695.5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908655104"/>
        <c:axId val="-1908658912"/>
      </c:barChart>
      <c:catAx>
        <c:axId val="-190865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8658912"/>
        <c:crosses val="autoZero"/>
        <c:auto val="1"/>
        <c:lblAlgn val="ctr"/>
        <c:lblOffset val="100"/>
        <c:noMultiLvlLbl val="0"/>
      </c:catAx>
      <c:valAx>
        <c:axId val="-190865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865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Nakawuka-Nateete-2Dir'!$S$9:$AF$9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Nakawuka-Nateete-2Dir'!$S$42:$AF$42</c:f>
              <c:numCache>
                <c:formatCode>0.000</c:formatCode>
                <c:ptCount val="14"/>
                <c:pt idx="0">
                  <c:v>1.5213818695882664</c:v>
                </c:pt>
                <c:pt idx="1">
                  <c:v>1.9872736814484389</c:v>
                </c:pt>
                <c:pt idx="2">
                  <c:v>1.439740055139819</c:v>
                </c:pt>
                <c:pt idx="3">
                  <c:v>1.7216964750824795</c:v>
                </c:pt>
                <c:pt idx="4">
                  <c:v>1.7740384615384615</c:v>
                </c:pt>
                <c:pt idx="5">
                  <c:v>1.9390243902439026</c:v>
                </c:pt>
                <c:pt idx="6">
                  <c:v>1.3419047619047619</c:v>
                </c:pt>
                <c:pt idx="7">
                  <c:v>1.3008426966292135</c:v>
                </c:pt>
                <c:pt idx="8">
                  <c:v>1.5384615384615383</c:v>
                </c:pt>
                <c:pt idx="9">
                  <c:v>2.2012711864406782</c:v>
                </c:pt>
                <c:pt idx="10">
                  <c:v>1.7234475790782624</c:v>
                </c:pt>
                <c:pt idx="11">
                  <c:v>4.5</c:v>
                </c:pt>
                <c:pt idx="12">
                  <c:v>2.4757158743397274</c:v>
                </c:pt>
                <c:pt idx="13">
                  <c:v>2.4213000348935747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-1908646944"/>
        <c:axId val="-1908662176"/>
      </c:barChart>
      <c:catAx>
        <c:axId val="-190864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8662176"/>
        <c:crosses val="autoZero"/>
        <c:auto val="1"/>
        <c:lblAlgn val="ctr"/>
        <c:lblOffset val="100"/>
        <c:noMultiLvlLbl val="0"/>
      </c:catAx>
      <c:valAx>
        <c:axId val="-1908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908646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6545</xdr:colOff>
      <xdr:row>42</xdr:row>
      <xdr:rowOff>277120</xdr:rowOff>
    </xdr:from>
    <xdr:to>
      <xdr:col>28</xdr:col>
      <xdr:colOff>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709233</xdr:colOff>
      <xdr:row>58</xdr:row>
      <xdr:rowOff>277834</xdr:rowOff>
    </xdr:from>
    <xdr:to>
      <xdr:col>31</xdr:col>
      <xdr:colOff>576867</xdr:colOff>
      <xdr:row>72</xdr:row>
      <xdr:rowOff>281724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2</xdr:colOff>
      <xdr:row>59</xdr:row>
      <xdr:rowOff>0</xdr:rowOff>
    </xdr:from>
    <xdr:to>
      <xdr:col>23</xdr:col>
      <xdr:colOff>696041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42</xdr:row>
      <xdr:rowOff>288924</xdr:rowOff>
    </xdr:from>
    <xdr:to>
      <xdr:col>28</xdr:col>
      <xdr:colOff>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288925</xdr:rowOff>
    </xdr:from>
    <xdr:to>
      <xdr:col>31</xdr:col>
      <xdr:colOff>609600</xdr:colOff>
      <xdr:row>73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3175</xdr:rowOff>
    </xdr:from>
    <xdr:to>
      <xdr:col>24</xdr:col>
      <xdr:colOff>0</xdr:colOff>
      <xdr:row>73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1243</xdr:colOff>
      <xdr:row>43</xdr:row>
      <xdr:rowOff>0</xdr:rowOff>
    </xdr:from>
    <xdr:to>
      <xdr:col>28</xdr:col>
      <xdr:colOff>1</xdr:colOff>
      <xdr:row>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76</xdr:row>
      <xdr:rowOff>1942</xdr:rowOff>
    </xdr:from>
    <xdr:to>
      <xdr:col>24</xdr:col>
      <xdr:colOff>709924</xdr:colOff>
      <xdr:row>92</xdr:row>
      <xdr:rowOff>15876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142422</xdr:colOff>
      <xdr:row>60</xdr:row>
      <xdr:rowOff>4251</xdr:rowOff>
    </xdr:from>
    <xdr:to>
      <xdr:col>24</xdr:col>
      <xdr:colOff>704417</xdr:colOff>
      <xdr:row>76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714004</xdr:colOff>
      <xdr:row>60</xdr:row>
      <xdr:rowOff>2662</xdr:rowOff>
    </xdr:from>
    <xdr:to>
      <xdr:col>31</xdr:col>
      <xdr:colOff>581396</xdr:colOff>
      <xdr:row>76</xdr:row>
      <xdr:rowOff>20867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714004</xdr:colOff>
      <xdr:row>75</xdr:row>
      <xdr:rowOff>282021</xdr:rowOff>
    </xdr:from>
    <xdr:to>
      <xdr:col>31</xdr:col>
      <xdr:colOff>676482</xdr:colOff>
      <xdr:row>92</xdr:row>
      <xdr:rowOff>31588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M14" zoomScale="66" zoomScaleSheetLayoutView="66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170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4" t="s">
        <v>172</v>
      </c>
      <c r="H5" s="55"/>
      <c r="I5" s="14"/>
      <c r="J5" s="2" t="s">
        <v>5</v>
      </c>
      <c r="K5" s="54" t="s">
        <v>175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174</v>
      </c>
      <c r="E6" s="55"/>
      <c r="F6" s="2" t="s">
        <v>2</v>
      </c>
      <c r="G6" s="54" t="s">
        <v>171</v>
      </c>
      <c r="H6" s="55"/>
      <c r="J6" s="2" t="s">
        <v>21</v>
      </c>
      <c r="K6" s="54" t="s">
        <v>173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20</v>
      </c>
      <c r="D10" s="50">
        <v>8</v>
      </c>
      <c r="E10" s="50">
        <v>5</v>
      </c>
      <c r="F10" s="50">
        <v>11</v>
      </c>
      <c r="G10" s="50">
        <v>0</v>
      </c>
      <c r="H10" s="50">
        <v>1</v>
      </c>
      <c r="I10" s="50">
        <v>2</v>
      </c>
      <c r="J10" s="50">
        <v>0</v>
      </c>
      <c r="K10" s="50">
        <v>0</v>
      </c>
      <c r="L10" s="50">
        <v>0</v>
      </c>
      <c r="M10" s="50">
        <v>100</v>
      </c>
      <c r="N10" s="50">
        <v>0</v>
      </c>
      <c r="O10" s="15">
        <f t="shared" ref="O10:O57" si="0">SUM(C10:L10,N10)</f>
        <v>47</v>
      </c>
      <c r="P10" s="15">
        <f t="shared" ref="P10:P57" si="1">SUM(C10:N10)</f>
        <v>147</v>
      </c>
      <c r="R10" s="1" t="s">
        <v>6</v>
      </c>
      <c r="S10" s="17">
        <f t="shared" ref="S10:AF10" si="2">SUM(C10:C13)</f>
        <v>43</v>
      </c>
      <c r="T10" s="17">
        <f t="shared" si="2"/>
        <v>40</v>
      </c>
      <c r="U10" s="17">
        <f t="shared" si="2"/>
        <v>32</v>
      </c>
      <c r="V10" s="17">
        <f t="shared" si="2"/>
        <v>83</v>
      </c>
      <c r="W10" s="17">
        <f t="shared" si="2"/>
        <v>1</v>
      </c>
      <c r="X10" s="17">
        <f t="shared" si="2"/>
        <v>1</v>
      </c>
      <c r="Y10" s="17">
        <f t="shared" si="2"/>
        <v>17</v>
      </c>
      <c r="Z10" s="17">
        <f t="shared" si="2"/>
        <v>9</v>
      </c>
      <c r="AA10" s="17">
        <f t="shared" si="2"/>
        <v>2</v>
      </c>
      <c r="AB10" s="17">
        <f t="shared" si="2"/>
        <v>0</v>
      </c>
      <c r="AC10" s="17">
        <f t="shared" si="2"/>
        <v>371</v>
      </c>
      <c r="AD10" s="17">
        <f t="shared" si="2"/>
        <v>0</v>
      </c>
      <c r="AE10" s="31">
        <f t="shared" si="2"/>
        <v>228</v>
      </c>
      <c r="AF10" s="31">
        <f t="shared" si="2"/>
        <v>599</v>
      </c>
    </row>
    <row r="11" spans="2:32" s="6" customFormat="1" ht="23.1" customHeight="1" x14ac:dyDescent="0.25">
      <c r="B11" s="23" t="s">
        <v>38</v>
      </c>
      <c r="C11" s="50">
        <v>9</v>
      </c>
      <c r="D11" s="50">
        <v>12</v>
      </c>
      <c r="E11" s="50">
        <v>3</v>
      </c>
      <c r="F11" s="50">
        <v>16</v>
      </c>
      <c r="G11" s="50">
        <v>1</v>
      </c>
      <c r="H11" s="50">
        <v>0</v>
      </c>
      <c r="I11" s="50">
        <v>3</v>
      </c>
      <c r="J11" s="50">
        <v>7</v>
      </c>
      <c r="K11" s="50">
        <v>0</v>
      </c>
      <c r="L11" s="50">
        <v>0</v>
      </c>
      <c r="M11" s="50">
        <v>89</v>
      </c>
      <c r="N11" s="50">
        <v>0</v>
      </c>
      <c r="O11" s="15">
        <f t="shared" si="0"/>
        <v>51</v>
      </c>
      <c r="P11" s="15">
        <f t="shared" si="1"/>
        <v>140</v>
      </c>
      <c r="R11" s="1" t="s">
        <v>7</v>
      </c>
      <c r="S11" s="17">
        <f t="shared" ref="S11:AF11" si="3">SUM(C14:C17)</f>
        <v>146</v>
      </c>
      <c r="T11" s="17">
        <f t="shared" si="3"/>
        <v>41</v>
      </c>
      <c r="U11" s="17">
        <f t="shared" si="3"/>
        <v>25</v>
      </c>
      <c r="V11" s="17">
        <f t="shared" si="3"/>
        <v>131</v>
      </c>
      <c r="W11" s="17">
        <f t="shared" si="3"/>
        <v>2</v>
      </c>
      <c r="X11" s="17">
        <f t="shared" si="3"/>
        <v>1</v>
      </c>
      <c r="Y11" s="17">
        <f t="shared" si="3"/>
        <v>10</v>
      </c>
      <c r="Z11" s="17">
        <f t="shared" si="3"/>
        <v>11</v>
      </c>
      <c r="AA11" s="17">
        <f t="shared" si="3"/>
        <v>1</v>
      </c>
      <c r="AB11" s="17">
        <f t="shared" si="3"/>
        <v>1</v>
      </c>
      <c r="AC11" s="17">
        <f t="shared" si="3"/>
        <v>460</v>
      </c>
      <c r="AD11" s="17">
        <f t="shared" si="3"/>
        <v>0</v>
      </c>
      <c r="AE11" s="31">
        <f t="shared" si="3"/>
        <v>369</v>
      </c>
      <c r="AF11" s="31">
        <f t="shared" si="3"/>
        <v>829</v>
      </c>
    </row>
    <row r="12" spans="2:32" ht="23.1" customHeight="1" x14ac:dyDescent="0.25">
      <c r="B12" s="23" t="s">
        <v>39</v>
      </c>
      <c r="C12" s="50">
        <v>7</v>
      </c>
      <c r="D12" s="50">
        <v>10</v>
      </c>
      <c r="E12" s="50">
        <v>12</v>
      </c>
      <c r="F12" s="50">
        <v>28</v>
      </c>
      <c r="G12" s="50">
        <v>0</v>
      </c>
      <c r="H12" s="50">
        <v>0</v>
      </c>
      <c r="I12" s="50">
        <v>6</v>
      </c>
      <c r="J12" s="50">
        <v>1</v>
      </c>
      <c r="K12" s="50">
        <v>1</v>
      </c>
      <c r="L12" s="50">
        <v>0</v>
      </c>
      <c r="M12" s="50">
        <v>91</v>
      </c>
      <c r="N12" s="50">
        <v>0</v>
      </c>
      <c r="O12" s="15">
        <f t="shared" si="0"/>
        <v>65</v>
      </c>
      <c r="P12" s="15">
        <f t="shared" si="1"/>
        <v>156</v>
      </c>
      <c r="R12" s="1" t="s">
        <v>8</v>
      </c>
      <c r="S12" s="17">
        <f t="shared" ref="S12:AF12" si="4">SUM(C18:C21)</f>
        <v>117</v>
      </c>
      <c r="T12" s="17">
        <f t="shared" si="4"/>
        <v>38</v>
      </c>
      <c r="U12" s="17">
        <f t="shared" si="4"/>
        <v>12</v>
      </c>
      <c r="V12" s="17">
        <f t="shared" si="4"/>
        <v>138</v>
      </c>
      <c r="W12" s="17">
        <f t="shared" si="4"/>
        <v>1</v>
      </c>
      <c r="X12" s="17">
        <f t="shared" si="4"/>
        <v>1</v>
      </c>
      <c r="Y12" s="17">
        <f t="shared" si="4"/>
        <v>40</v>
      </c>
      <c r="Z12" s="17">
        <f t="shared" si="4"/>
        <v>20</v>
      </c>
      <c r="AA12" s="17">
        <f t="shared" si="4"/>
        <v>8</v>
      </c>
      <c r="AB12" s="17">
        <f t="shared" si="4"/>
        <v>2</v>
      </c>
      <c r="AC12" s="17">
        <f t="shared" si="4"/>
        <v>423</v>
      </c>
      <c r="AD12" s="17">
        <f t="shared" si="4"/>
        <v>0</v>
      </c>
      <c r="AE12" s="31">
        <f t="shared" si="4"/>
        <v>377</v>
      </c>
      <c r="AF12" s="31">
        <f t="shared" si="4"/>
        <v>800</v>
      </c>
    </row>
    <row r="13" spans="2:32" ht="23.1" customHeight="1" x14ac:dyDescent="0.25">
      <c r="B13" s="23" t="s">
        <v>40</v>
      </c>
      <c r="C13" s="50">
        <v>7</v>
      </c>
      <c r="D13" s="50">
        <v>10</v>
      </c>
      <c r="E13" s="50">
        <v>12</v>
      </c>
      <c r="F13" s="50">
        <v>28</v>
      </c>
      <c r="G13" s="50">
        <v>0</v>
      </c>
      <c r="H13" s="50">
        <v>0</v>
      </c>
      <c r="I13" s="50">
        <v>6</v>
      </c>
      <c r="J13" s="50">
        <v>1</v>
      </c>
      <c r="K13" s="50">
        <v>1</v>
      </c>
      <c r="L13" s="50">
        <v>0</v>
      </c>
      <c r="M13" s="50">
        <v>91</v>
      </c>
      <c r="N13" s="50">
        <v>0</v>
      </c>
      <c r="O13" s="15">
        <f t="shared" si="0"/>
        <v>65</v>
      </c>
      <c r="P13" s="15">
        <f t="shared" si="1"/>
        <v>156</v>
      </c>
      <c r="R13" s="1" t="s">
        <v>9</v>
      </c>
      <c r="S13" s="17">
        <f t="shared" ref="S13:AF13" si="5">SUM(C22:C25)</f>
        <v>127</v>
      </c>
      <c r="T13" s="17">
        <f t="shared" si="5"/>
        <v>45</v>
      </c>
      <c r="U13" s="17">
        <f t="shared" si="5"/>
        <v>6</v>
      </c>
      <c r="V13" s="17">
        <f t="shared" si="5"/>
        <v>112</v>
      </c>
      <c r="W13" s="17">
        <f t="shared" si="5"/>
        <v>2</v>
      </c>
      <c r="X13" s="17">
        <f t="shared" si="5"/>
        <v>0</v>
      </c>
      <c r="Y13" s="17">
        <f t="shared" si="5"/>
        <v>16</v>
      </c>
      <c r="Z13" s="17">
        <f t="shared" si="5"/>
        <v>29</v>
      </c>
      <c r="AA13" s="17">
        <f t="shared" si="5"/>
        <v>6</v>
      </c>
      <c r="AB13" s="17">
        <f t="shared" si="5"/>
        <v>4</v>
      </c>
      <c r="AC13" s="17">
        <f t="shared" si="5"/>
        <v>404</v>
      </c>
      <c r="AD13" s="17">
        <f t="shared" si="5"/>
        <v>0</v>
      </c>
      <c r="AE13" s="31">
        <f t="shared" si="5"/>
        <v>347</v>
      </c>
      <c r="AF13" s="31">
        <f t="shared" si="5"/>
        <v>751</v>
      </c>
    </row>
    <row r="14" spans="2:32" ht="23.1" customHeight="1" x14ac:dyDescent="0.25">
      <c r="B14" s="23" t="s">
        <v>41</v>
      </c>
      <c r="C14" s="50">
        <v>18</v>
      </c>
      <c r="D14" s="50">
        <v>11</v>
      </c>
      <c r="E14" s="50">
        <v>15</v>
      </c>
      <c r="F14" s="50">
        <v>13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105</v>
      </c>
      <c r="N14" s="50">
        <v>0</v>
      </c>
      <c r="O14" s="15">
        <f t="shared" si="0"/>
        <v>58</v>
      </c>
      <c r="P14" s="15">
        <f t="shared" si="1"/>
        <v>163</v>
      </c>
      <c r="R14" s="1" t="s">
        <v>10</v>
      </c>
      <c r="S14" s="17">
        <f t="shared" ref="S14:AF14" si="6">SUM(C26:C29)</f>
        <v>90</v>
      </c>
      <c r="T14" s="17">
        <f t="shared" si="6"/>
        <v>39</v>
      </c>
      <c r="U14" s="17">
        <f t="shared" si="6"/>
        <v>8</v>
      </c>
      <c r="V14" s="17">
        <f t="shared" si="6"/>
        <v>94</v>
      </c>
      <c r="W14" s="17">
        <f t="shared" si="6"/>
        <v>1</v>
      </c>
      <c r="X14" s="17">
        <f t="shared" si="6"/>
        <v>0</v>
      </c>
      <c r="Y14" s="17">
        <f t="shared" si="6"/>
        <v>13</v>
      </c>
      <c r="Z14" s="17">
        <f t="shared" si="6"/>
        <v>27</v>
      </c>
      <c r="AA14" s="17">
        <f t="shared" si="6"/>
        <v>8</v>
      </c>
      <c r="AB14" s="17">
        <f t="shared" si="6"/>
        <v>0</v>
      </c>
      <c r="AC14" s="17">
        <f t="shared" si="6"/>
        <v>337</v>
      </c>
      <c r="AD14" s="17">
        <f t="shared" si="6"/>
        <v>0</v>
      </c>
      <c r="AE14" s="31">
        <f t="shared" si="6"/>
        <v>280</v>
      </c>
      <c r="AF14" s="31">
        <f t="shared" si="6"/>
        <v>617</v>
      </c>
    </row>
    <row r="15" spans="2:32" ht="23.1" customHeight="1" x14ac:dyDescent="0.25">
      <c r="B15" s="23" t="s">
        <v>42</v>
      </c>
      <c r="C15" s="50">
        <v>28</v>
      </c>
      <c r="D15" s="50">
        <v>8</v>
      </c>
      <c r="E15" s="50">
        <v>2</v>
      </c>
      <c r="F15" s="50">
        <v>28</v>
      </c>
      <c r="G15" s="50">
        <v>1</v>
      </c>
      <c r="H15" s="50">
        <v>0</v>
      </c>
      <c r="I15" s="50">
        <v>5</v>
      </c>
      <c r="J15" s="50">
        <v>2</v>
      </c>
      <c r="K15" s="50">
        <v>0</v>
      </c>
      <c r="L15" s="50">
        <v>0</v>
      </c>
      <c r="M15" s="50">
        <v>113</v>
      </c>
      <c r="N15" s="50">
        <v>0</v>
      </c>
      <c r="O15" s="15">
        <f t="shared" si="0"/>
        <v>74</v>
      </c>
      <c r="P15" s="15">
        <f t="shared" si="1"/>
        <v>187</v>
      </c>
      <c r="R15" s="1" t="s">
        <v>11</v>
      </c>
      <c r="S15" s="17">
        <f t="shared" ref="S15:AF15" si="7">SUM(C30:C33)</f>
        <v>61</v>
      </c>
      <c r="T15" s="17">
        <f t="shared" si="7"/>
        <v>25</v>
      </c>
      <c r="U15" s="17">
        <f t="shared" si="7"/>
        <v>14</v>
      </c>
      <c r="V15" s="17">
        <f t="shared" si="7"/>
        <v>79</v>
      </c>
      <c r="W15" s="17">
        <f t="shared" si="7"/>
        <v>2</v>
      </c>
      <c r="X15" s="17">
        <f t="shared" si="7"/>
        <v>0</v>
      </c>
      <c r="Y15" s="17">
        <f t="shared" si="7"/>
        <v>12</v>
      </c>
      <c r="Z15" s="17">
        <f t="shared" si="7"/>
        <v>20</v>
      </c>
      <c r="AA15" s="17">
        <f t="shared" si="7"/>
        <v>13</v>
      </c>
      <c r="AB15" s="17">
        <f t="shared" si="7"/>
        <v>5</v>
      </c>
      <c r="AC15" s="17">
        <f t="shared" si="7"/>
        <v>327</v>
      </c>
      <c r="AD15" s="17">
        <f t="shared" si="7"/>
        <v>0</v>
      </c>
      <c r="AE15" s="31">
        <f t="shared" si="7"/>
        <v>231</v>
      </c>
      <c r="AF15" s="31">
        <f t="shared" si="7"/>
        <v>558</v>
      </c>
    </row>
    <row r="16" spans="2:32" ht="23.1" customHeight="1" x14ac:dyDescent="0.25">
      <c r="B16" s="23" t="s">
        <v>43</v>
      </c>
      <c r="C16" s="50">
        <v>40</v>
      </c>
      <c r="D16" s="50">
        <v>7</v>
      </c>
      <c r="E16" s="50">
        <v>4</v>
      </c>
      <c r="F16" s="50">
        <v>48</v>
      </c>
      <c r="G16" s="50">
        <v>1</v>
      </c>
      <c r="H16" s="50">
        <v>0</v>
      </c>
      <c r="I16" s="50">
        <v>0</v>
      </c>
      <c r="J16" s="50">
        <v>5</v>
      </c>
      <c r="K16" s="50">
        <v>1</v>
      </c>
      <c r="L16" s="50">
        <v>1</v>
      </c>
      <c r="M16" s="50">
        <v>147</v>
      </c>
      <c r="N16" s="50">
        <v>0</v>
      </c>
      <c r="O16" s="15">
        <f t="shared" si="0"/>
        <v>107</v>
      </c>
      <c r="P16" s="15">
        <f t="shared" si="1"/>
        <v>254</v>
      </c>
      <c r="R16" s="1" t="s">
        <v>12</v>
      </c>
      <c r="S16" s="17">
        <f t="shared" ref="S16:AF16" si="8">SUM(C34:C37)</f>
        <v>49</v>
      </c>
      <c r="T16" s="17">
        <f t="shared" si="8"/>
        <v>26</v>
      </c>
      <c r="U16" s="17">
        <f t="shared" si="8"/>
        <v>19</v>
      </c>
      <c r="V16" s="17">
        <f t="shared" si="8"/>
        <v>76</v>
      </c>
      <c r="W16" s="17">
        <f t="shared" si="8"/>
        <v>0</v>
      </c>
      <c r="X16" s="17">
        <f t="shared" si="8"/>
        <v>0</v>
      </c>
      <c r="Y16" s="17">
        <f t="shared" si="8"/>
        <v>16</v>
      </c>
      <c r="Z16" s="17">
        <f t="shared" si="8"/>
        <v>21</v>
      </c>
      <c r="AA16" s="17">
        <f t="shared" si="8"/>
        <v>7</v>
      </c>
      <c r="AB16" s="17">
        <f t="shared" si="8"/>
        <v>0</v>
      </c>
      <c r="AC16" s="17">
        <f t="shared" si="8"/>
        <v>374</v>
      </c>
      <c r="AD16" s="17">
        <f t="shared" si="8"/>
        <v>0</v>
      </c>
      <c r="AE16" s="31">
        <f t="shared" si="8"/>
        <v>214</v>
      </c>
      <c r="AF16" s="31">
        <f t="shared" si="8"/>
        <v>588</v>
      </c>
    </row>
    <row r="17" spans="2:32" ht="23.1" customHeight="1" x14ac:dyDescent="0.25">
      <c r="B17" s="23" t="s">
        <v>44</v>
      </c>
      <c r="C17" s="50">
        <v>60</v>
      </c>
      <c r="D17" s="50">
        <v>15</v>
      </c>
      <c r="E17" s="50">
        <v>4</v>
      </c>
      <c r="F17" s="50">
        <v>42</v>
      </c>
      <c r="G17" s="50">
        <v>0</v>
      </c>
      <c r="H17" s="50">
        <v>1</v>
      </c>
      <c r="I17" s="50">
        <v>4</v>
      </c>
      <c r="J17" s="50">
        <v>4</v>
      </c>
      <c r="K17" s="50">
        <v>0</v>
      </c>
      <c r="L17" s="50">
        <v>0</v>
      </c>
      <c r="M17" s="50">
        <v>95</v>
      </c>
      <c r="N17" s="50">
        <v>0</v>
      </c>
      <c r="O17" s="15">
        <f t="shared" si="0"/>
        <v>130</v>
      </c>
      <c r="P17" s="15">
        <f t="shared" si="1"/>
        <v>225</v>
      </c>
      <c r="R17" s="1" t="s">
        <v>13</v>
      </c>
      <c r="S17" s="17">
        <f t="shared" ref="S17:AF17" si="9">SUM(C38:C41)</f>
        <v>39</v>
      </c>
      <c r="T17" s="17">
        <f t="shared" si="9"/>
        <v>27</v>
      </c>
      <c r="U17" s="17">
        <f t="shared" si="9"/>
        <v>13</v>
      </c>
      <c r="V17" s="17">
        <f t="shared" si="9"/>
        <v>61</v>
      </c>
      <c r="W17" s="17">
        <f t="shared" si="9"/>
        <v>1</v>
      </c>
      <c r="X17" s="17">
        <f t="shared" si="9"/>
        <v>0</v>
      </c>
      <c r="Y17" s="17">
        <f t="shared" si="9"/>
        <v>9</v>
      </c>
      <c r="Z17" s="17">
        <f t="shared" si="9"/>
        <v>25</v>
      </c>
      <c r="AA17" s="17">
        <f t="shared" si="9"/>
        <v>6</v>
      </c>
      <c r="AB17" s="17">
        <f t="shared" si="9"/>
        <v>0</v>
      </c>
      <c r="AC17" s="17">
        <f t="shared" si="9"/>
        <v>331</v>
      </c>
      <c r="AD17" s="17">
        <f t="shared" si="9"/>
        <v>0</v>
      </c>
      <c r="AE17" s="31">
        <f t="shared" si="9"/>
        <v>181</v>
      </c>
      <c r="AF17" s="31">
        <f t="shared" si="9"/>
        <v>512</v>
      </c>
    </row>
    <row r="18" spans="2:32" ht="23.1" customHeight="1" x14ac:dyDescent="0.25">
      <c r="B18" s="23" t="s">
        <v>45</v>
      </c>
      <c r="C18" s="50">
        <v>35</v>
      </c>
      <c r="D18" s="50">
        <v>5</v>
      </c>
      <c r="E18" s="50">
        <v>4</v>
      </c>
      <c r="F18" s="50">
        <v>38</v>
      </c>
      <c r="G18" s="50">
        <v>0</v>
      </c>
      <c r="H18" s="50">
        <v>0</v>
      </c>
      <c r="I18" s="50">
        <v>12</v>
      </c>
      <c r="J18" s="50">
        <v>5</v>
      </c>
      <c r="K18" s="50">
        <v>4</v>
      </c>
      <c r="L18" s="50">
        <v>0</v>
      </c>
      <c r="M18" s="50">
        <v>100</v>
      </c>
      <c r="N18" s="50">
        <v>0</v>
      </c>
      <c r="O18" s="15">
        <f t="shared" si="0"/>
        <v>103</v>
      </c>
      <c r="P18" s="15">
        <f t="shared" si="1"/>
        <v>203</v>
      </c>
      <c r="R18" s="1" t="s">
        <v>14</v>
      </c>
      <c r="S18" s="17">
        <f t="shared" ref="S18:AF18" si="10">SUM(C42:C45)</f>
        <v>48</v>
      </c>
      <c r="T18" s="17">
        <f t="shared" si="10"/>
        <v>40</v>
      </c>
      <c r="U18" s="17">
        <f t="shared" si="10"/>
        <v>20</v>
      </c>
      <c r="V18" s="17">
        <f t="shared" si="10"/>
        <v>63</v>
      </c>
      <c r="W18" s="17">
        <f t="shared" si="10"/>
        <v>0</v>
      </c>
      <c r="X18" s="17">
        <f t="shared" si="10"/>
        <v>1</v>
      </c>
      <c r="Y18" s="17">
        <f t="shared" si="10"/>
        <v>9</v>
      </c>
      <c r="Z18" s="17">
        <f t="shared" si="10"/>
        <v>22</v>
      </c>
      <c r="AA18" s="17">
        <f t="shared" si="10"/>
        <v>8</v>
      </c>
      <c r="AB18" s="17">
        <f t="shared" si="10"/>
        <v>1</v>
      </c>
      <c r="AC18" s="17">
        <f t="shared" si="10"/>
        <v>227</v>
      </c>
      <c r="AD18" s="17">
        <f t="shared" si="10"/>
        <v>0</v>
      </c>
      <c r="AE18" s="31">
        <f t="shared" si="10"/>
        <v>212</v>
      </c>
      <c r="AF18" s="31">
        <f t="shared" si="10"/>
        <v>439</v>
      </c>
    </row>
    <row r="19" spans="2:32" ht="23.1" customHeight="1" x14ac:dyDescent="0.25">
      <c r="B19" s="23" t="s">
        <v>46</v>
      </c>
      <c r="C19" s="50">
        <v>32</v>
      </c>
      <c r="D19" s="50">
        <v>10</v>
      </c>
      <c r="E19" s="50">
        <v>3</v>
      </c>
      <c r="F19" s="50">
        <v>32</v>
      </c>
      <c r="G19" s="50">
        <v>0</v>
      </c>
      <c r="H19" s="50">
        <v>0</v>
      </c>
      <c r="I19" s="50">
        <v>10</v>
      </c>
      <c r="J19" s="50">
        <v>5</v>
      </c>
      <c r="K19" s="50">
        <v>1</v>
      </c>
      <c r="L19" s="50">
        <v>1</v>
      </c>
      <c r="M19" s="50">
        <v>90</v>
      </c>
      <c r="N19" s="50">
        <v>0</v>
      </c>
      <c r="O19" s="15">
        <f t="shared" si="0"/>
        <v>94</v>
      </c>
      <c r="P19" s="15">
        <f t="shared" si="1"/>
        <v>184</v>
      </c>
      <c r="R19" s="1" t="s">
        <v>15</v>
      </c>
      <c r="S19" s="17">
        <f t="shared" ref="S19:AF19" si="11">SUM(C46:C49)</f>
        <v>71</v>
      </c>
      <c r="T19" s="17">
        <f t="shared" si="11"/>
        <v>22</v>
      </c>
      <c r="U19" s="17">
        <f t="shared" si="11"/>
        <v>18</v>
      </c>
      <c r="V19" s="17">
        <f t="shared" si="11"/>
        <v>46</v>
      </c>
      <c r="W19" s="17">
        <f t="shared" si="11"/>
        <v>1</v>
      </c>
      <c r="X19" s="17">
        <f t="shared" si="11"/>
        <v>0</v>
      </c>
      <c r="Y19" s="17">
        <f t="shared" si="11"/>
        <v>11</v>
      </c>
      <c r="Z19" s="17">
        <f t="shared" si="11"/>
        <v>25</v>
      </c>
      <c r="AA19" s="17">
        <f t="shared" si="11"/>
        <v>4</v>
      </c>
      <c r="AB19" s="17">
        <f t="shared" si="11"/>
        <v>0</v>
      </c>
      <c r="AC19" s="17">
        <f t="shared" si="11"/>
        <v>335</v>
      </c>
      <c r="AD19" s="17">
        <f t="shared" si="11"/>
        <v>0</v>
      </c>
      <c r="AE19" s="31">
        <f t="shared" si="11"/>
        <v>198</v>
      </c>
      <c r="AF19" s="31">
        <f t="shared" si="11"/>
        <v>533</v>
      </c>
    </row>
    <row r="20" spans="2:32" ht="23.1" customHeight="1" x14ac:dyDescent="0.25">
      <c r="B20" s="23" t="s">
        <v>47</v>
      </c>
      <c r="C20" s="50">
        <v>20</v>
      </c>
      <c r="D20" s="50">
        <v>8</v>
      </c>
      <c r="E20" s="50">
        <v>4</v>
      </c>
      <c r="F20" s="50">
        <v>33</v>
      </c>
      <c r="G20" s="50">
        <v>0</v>
      </c>
      <c r="H20" s="50">
        <v>0</v>
      </c>
      <c r="I20" s="50">
        <v>7</v>
      </c>
      <c r="J20" s="50">
        <v>5</v>
      </c>
      <c r="K20" s="50">
        <v>2</v>
      </c>
      <c r="L20" s="50">
        <v>0</v>
      </c>
      <c r="M20" s="50">
        <v>115</v>
      </c>
      <c r="N20" s="50">
        <v>0</v>
      </c>
      <c r="O20" s="15">
        <f t="shared" si="0"/>
        <v>79</v>
      </c>
      <c r="P20" s="15">
        <f t="shared" si="1"/>
        <v>194</v>
      </c>
      <c r="R20" s="1" t="s">
        <v>16</v>
      </c>
      <c r="S20" s="17">
        <f t="shared" ref="S20:AF20" si="12">SUM(C50:C53)</f>
        <v>50</v>
      </c>
      <c r="T20" s="17">
        <f t="shared" si="12"/>
        <v>23</v>
      </c>
      <c r="U20" s="17">
        <f t="shared" si="12"/>
        <v>23</v>
      </c>
      <c r="V20" s="17">
        <f t="shared" si="12"/>
        <v>60</v>
      </c>
      <c r="W20" s="17">
        <f t="shared" si="12"/>
        <v>2</v>
      </c>
      <c r="X20" s="17">
        <f t="shared" si="12"/>
        <v>1</v>
      </c>
      <c r="Y20" s="17">
        <f t="shared" si="12"/>
        <v>8</v>
      </c>
      <c r="Z20" s="17">
        <f t="shared" si="12"/>
        <v>27</v>
      </c>
      <c r="AA20" s="17">
        <f t="shared" si="12"/>
        <v>5</v>
      </c>
      <c r="AB20" s="17">
        <f t="shared" si="12"/>
        <v>0</v>
      </c>
      <c r="AC20" s="17">
        <f t="shared" si="12"/>
        <v>461</v>
      </c>
      <c r="AD20" s="17">
        <f t="shared" si="12"/>
        <v>0</v>
      </c>
      <c r="AE20" s="31">
        <f t="shared" si="12"/>
        <v>199</v>
      </c>
      <c r="AF20" s="31">
        <f t="shared" si="12"/>
        <v>660</v>
      </c>
    </row>
    <row r="21" spans="2:32" ht="23.1" customHeight="1" x14ac:dyDescent="0.25">
      <c r="B21" s="23" t="s">
        <v>48</v>
      </c>
      <c r="C21" s="50">
        <v>30</v>
      </c>
      <c r="D21" s="50">
        <v>15</v>
      </c>
      <c r="E21" s="50">
        <v>1</v>
      </c>
      <c r="F21" s="50">
        <v>35</v>
      </c>
      <c r="G21" s="50">
        <v>1</v>
      </c>
      <c r="H21" s="50">
        <v>1</v>
      </c>
      <c r="I21" s="50">
        <v>11</v>
      </c>
      <c r="J21" s="50">
        <v>5</v>
      </c>
      <c r="K21" s="50">
        <v>1</v>
      </c>
      <c r="L21" s="50">
        <v>1</v>
      </c>
      <c r="M21" s="50">
        <v>118</v>
      </c>
      <c r="N21" s="50">
        <v>0</v>
      </c>
      <c r="O21" s="15">
        <f t="shared" si="0"/>
        <v>101</v>
      </c>
      <c r="P21" s="15">
        <f t="shared" si="1"/>
        <v>219</v>
      </c>
      <c r="R21" s="36" t="s">
        <v>20</v>
      </c>
      <c r="S21" s="34">
        <f t="shared" ref="S21:AF21" si="13">SUM(C54:C57)</f>
        <v>41</v>
      </c>
      <c r="T21" s="17">
        <f t="shared" si="13"/>
        <v>15</v>
      </c>
      <c r="U21" s="17">
        <f t="shared" si="13"/>
        <v>13</v>
      </c>
      <c r="V21" s="17">
        <f t="shared" si="13"/>
        <v>62</v>
      </c>
      <c r="W21" s="17">
        <f t="shared" si="13"/>
        <v>2</v>
      </c>
      <c r="X21" s="17">
        <f t="shared" si="13"/>
        <v>1</v>
      </c>
      <c r="Y21" s="17">
        <f t="shared" si="13"/>
        <v>1</v>
      </c>
      <c r="Z21" s="17">
        <f t="shared" si="13"/>
        <v>26</v>
      </c>
      <c r="AA21" s="17">
        <f t="shared" si="13"/>
        <v>2</v>
      </c>
      <c r="AB21" s="17">
        <f t="shared" si="13"/>
        <v>1</v>
      </c>
      <c r="AC21" s="17">
        <f t="shared" si="13"/>
        <v>458</v>
      </c>
      <c r="AD21" s="17">
        <f t="shared" si="13"/>
        <v>0</v>
      </c>
      <c r="AE21" s="31">
        <f t="shared" si="13"/>
        <v>164</v>
      </c>
      <c r="AF21" s="31">
        <f t="shared" si="13"/>
        <v>622</v>
      </c>
    </row>
    <row r="22" spans="2:32" ht="23.1" customHeight="1" x14ac:dyDescent="0.25">
      <c r="B22" s="23" t="s">
        <v>49</v>
      </c>
      <c r="C22" s="50">
        <v>36</v>
      </c>
      <c r="D22" s="50">
        <v>14</v>
      </c>
      <c r="E22" s="50">
        <v>2</v>
      </c>
      <c r="F22" s="50">
        <v>27</v>
      </c>
      <c r="G22" s="50">
        <v>0</v>
      </c>
      <c r="H22" s="50">
        <v>0</v>
      </c>
      <c r="I22" s="50">
        <v>5</v>
      </c>
      <c r="J22" s="50">
        <v>5</v>
      </c>
      <c r="K22" s="50">
        <v>2</v>
      </c>
      <c r="L22" s="50">
        <v>2</v>
      </c>
      <c r="M22" s="50">
        <v>110</v>
      </c>
      <c r="N22" s="50">
        <v>0</v>
      </c>
      <c r="O22" s="15">
        <f t="shared" si="0"/>
        <v>93</v>
      </c>
      <c r="P22" s="15">
        <f t="shared" si="1"/>
        <v>203</v>
      </c>
      <c r="R22" s="38" t="s">
        <v>90</v>
      </c>
      <c r="S22" s="39">
        <f>MAX(S10:S12)</f>
        <v>146</v>
      </c>
      <c r="T22" s="39">
        <f t="shared" ref="T22:AF22" si="14">MAX(T10:T12)</f>
        <v>41</v>
      </c>
      <c r="U22" s="39">
        <f t="shared" si="14"/>
        <v>32</v>
      </c>
      <c r="V22" s="39">
        <f t="shared" si="14"/>
        <v>138</v>
      </c>
      <c r="W22" s="39">
        <f t="shared" si="14"/>
        <v>2</v>
      </c>
      <c r="X22" s="39">
        <f t="shared" si="14"/>
        <v>1</v>
      </c>
      <c r="Y22" s="39">
        <f t="shared" si="14"/>
        <v>40</v>
      </c>
      <c r="Z22" s="39">
        <f t="shared" si="14"/>
        <v>20</v>
      </c>
      <c r="AA22" s="39">
        <f t="shared" si="14"/>
        <v>8</v>
      </c>
      <c r="AB22" s="39">
        <f t="shared" si="14"/>
        <v>2</v>
      </c>
      <c r="AC22" s="39">
        <f t="shared" si="14"/>
        <v>460</v>
      </c>
      <c r="AD22" s="39">
        <f t="shared" si="14"/>
        <v>0</v>
      </c>
      <c r="AE22" s="40">
        <f t="shared" si="14"/>
        <v>377</v>
      </c>
      <c r="AF22" s="40">
        <f t="shared" si="14"/>
        <v>829</v>
      </c>
    </row>
    <row r="23" spans="2:32" ht="23.1" customHeight="1" x14ac:dyDescent="0.25">
      <c r="B23" s="23" t="s">
        <v>50</v>
      </c>
      <c r="C23" s="50">
        <v>32</v>
      </c>
      <c r="D23" s="50">
        <v>9</v>
      </c>
      <c r="E23" s="50">
        <v>0</v>
      </c>
      <c r="F23" s="50">
        <v>32</v>
      </c>
      <c r="G23" s="50">
        <v>1</v>
      </c>
      <c r="H23" s="50">
        <v>0</v>
      </c>
      <c r="I23" s="50">
        <v>6</v>
      </c>
      <c r="J23" s="50">
        <v>9</v>
      </c>
      <c r="K23" s="50">
        <v>1</v>
      </c>
      <c r="L23" s="50">
        <v>1</v>
      </c>
      <c r="M23" s="50">
        <v>114</v>
      </c>
      <c r="N23" s="50">
        <v>0</v>
      </c>
      <c r="O23" s="15">
        <f t="shared" si="0"/>
        <v>91</v>
      </c>
      <c r="P23" s="15">
        <f t="shared" si="1"/>
        <v>205</v>
      </c>
      <c r="R23" s="38" t="s">
        <v>91</v>
      </c>
      <c r="S23" s="39">
        <f>MAX(S13:S18)</f>
        <v>127</v>
      </c>
      <c r="T23" s="39">
        <f t="shared" ref="T23:AF23" si="15">MAX(T13:T18)</f>
        <v>45</v>
      </c>
      <c r="U23" s="39">
        <f t="shared" si="15"/>
        <v>20</v>
      </c>
      <c r="V23" s="39">
        <f t="shared" si="15"/>
        <v>112</v>
      </c>
      <c r="W23" s="39">
        <f t="shared" si="15"/>
        <v>2</v>
      </c>
      <c r="X23" s="39">
        <f t="shared" si="15"/>
        <v>1</v>
      </c>
      <c r="Y23" s="39">
        <f t="shared" si="15"/>
        <v>16</v>
      </c>
      <c r="Z23" s="39">
        <f t="shared" si="15"/>
        <v>29</v>
      </c>
      <c r="AA23" s="39">
        <f t="shared" si="15"/>
        <v>13</v>
      </c>
      <c r="AB23" s="39">
        <f t="shared" si="15"/>
        <v>5</v>
      </c>
      <c r="AC23" s="39">
        <f t="shared" si="15"/>
        <v>404</v>
      </c>
      <c r="AD23" s="39">
        <f t="shared" si="15"/>
        <v>0</v>
      </c>
      <c r="AE23" s="40">
        <f t="shared" si="15"/>
        <v>347</v>
      </c>
      <c r="AF23" s="40">
        <f t="shared" si="15"/>
        <v>751</v>
      </c>
    </row>
    <row r="24" spans="2:32" ht="23.1" customHeight="1" x14ac:dyDescent="0.25">
      <c r="B24" s="23" t="s">
        <v>51</v>
      </c>
      <c r="C24" s="50">
        <v>26</v>
      </c>
      <c r="D24" s="50">
        <v>15</v>
      </c>
      <c r="E24" s="50">
        <v>1</v>
      </c>
      <c r="F24" s="50">
        <v>26</v>
      </c>
      <c r="G24" s="50">
        <v>1</v>
      </c>
      <c r="H24" s="50">
        <v>0</v>
      </c>
      <c r="I24" s="50">
        <v>2</v>
      </c>
      <c r="J24" s="50">
        <v>7</v>
      </c>
      <c r="K24" s="50">
        <v>2</v>
      </c>
      <c r="L24" s="50">
        <v>1</v>
      </c>
      <c r="M24" s="50">
        <v>95</v>
      </c>
      <c r="N24" s="50">
        <v>0</v>
      </c>
      <c r="O24" s="15">
        <f t="shared" si="0"/>
        <v>81</v>
      </c>
      <c r="P24" s="15">
        <f t="shared" si="1"/>
        <v>176</v>
      </c>
      <c r="R24" s="38" t="s">
        <v>92</v>
      </c>
      <c r="S24" s="39">
        <f>MAX(S19:S21)</f>
        <v>71</v>
      </c>
      <c r="T24" s="39">
        <f t="shared" ref="T24:AF24" si="16">MAX(T19:T21)</f>
        <v>23</v>
      </c>
      <c r="U24" s="39">
        <f t="shared" si="16"/>
        <v>23</v>
      </c>
      <c r="V24" s="39">
        <f t="shared" si="16"/>
        <v>62</v>
      </c>
      <c r="W24" s="39">
        <f t="shared" si="16"/>
        <v>2</v>
      </c>
      <c r="X24" s="39">
        <f t="shared" si="16"/>
        <v>1</v>
      </c>
      <c r="Y24" s="39">
        <f t="shared" si="16"/>
        <v>11</v>
      </c>
      <c r="Z24" s="39">
        <f t="shared" si="16"/>
        <v>27</v>
      </c>
      <c r="AA24" s="39">
        <f t="shared" si="16"/>
        <v>5</v>
      </c>
      <c r="AB24" s="39">
        <f t="shared" si="16"/>
        <v>1</v>
      </c>
      <c r="AC24" s="39">
        <f t="shared" si="16"/>
        <v>461</v>
      </c>
      <c r="AD24" s="39">
        <f t="shared" si="16"/>
        <v>0</v>
      </c>
      <c r="AE24" s="40">
        <f t="shared" si="16"/>
        <v>199</v>
      </c>
      <c r="AF24" s="40">
        <f t="shared" si="16"/>
        <v>660</v>
      </c>
    </row>
    <row r="25" spans="2:32" ht="23.1" customHeight="1" x14ac:dyDescent="0.25">
      <c r="B25" s="23" t="s">
        <v>52</v>
      </c>
      <c r="C25" s="50">
        <v>33</v>
      </c>
      <c r="D25" s="50">
        <v>7</v>
      </c>
      <c r="E25" s="50">
        <v>3</v>
      </c>
      <c r="F25" s="50">
        <v>27</v>
      </c>
      <c r="G25" s="50">
        <v>0</v>
      </c>
      <c r="H25" s="50">
        <v>0</v>
      </c>
      <c r="I25" s="50">
        <v>3</v>
      </c>
      <c r="J25" s="50">
        <v>8</v>
      </c>
      <c r="K25" s="50">
        <v>1</v>
      </c>
      <c r="L25" s="50">
        <v>0</v>
      </c>
      <c r="M25" s="50">
        <v>85</v>
      </c>
      <c r="N25" s="50">
        <v>0</v>
      </c>
      <c r="O25" s="15">
        <f t="shared" si="0"/>
        <v>82</v>
      </c>
      <c r="P25" s="15">
        <f t="shared" si="1"/>
        <v>167</v>
      </c>
      <c r="R25" s="37" t="s">
        <v>85</v>
      </c>
      <c r="S25" s="35">
        <f t="shared" ref="S25:AF25" si="17">SUM(S10:S12)</f>
        <v>306</v>
      </c>
      <c r="T25" s="16">
        <f t="shared" si="17"/>
        <v>119</v>
      </c>
      <c r="U25" s="16">
        <f t="shared" si="17"/>
        <v>69</v>
      </c>
      <c r="V25" s="16">
        <f t="shared" si="17"/>
        <v>352</v>
      </c>
      <c r="W25" s="16">
        <f t="shared" si="17"/>
        <v>4</v>
      </c>
      <c r="X25" s="16">
        <f t="shared" si="17"/>
        <v>3</v>
      </c>
      <c r="Y25" s="16">
        <f t="shared" si="17"/>
        <v>67</v>
      </c>
      <c r="Z25" s="16">
        <f t="shared" si="17"/>
        <v>40</v>
      </c>
      <c r="AA25" s="16">
        <f t="shared" si="17"/>
        <v>11</v>
      </c>
      <c r="AB25" s="16">
        <f t="shared" si="17"/>
        <v>3</v>
      </c>
      <c r="AC25" s="16">
        <f t="shared" si="17"/>
        <v>1254</v>
      </c>
      <c r="AD25" s="16">
        <f t="shared" si="17"/>
        <v>0</v>
      </c>
      <c r="AE25" s="32">
        <f t="shared" si="17"/>
        <v>974</v>
      </c>
      <c r="AF25" s="32">
        <f t="shared" si="17"/>
        <v>2228</v>
      </c>
    </row>
    <row r="26" spans="2:32" ht="23.1" customHeight="1" x14ac:dyDescent="0.25">
      <c r="B26" s="23" t="s">
        <v>53</v>
      </c>
      <c r="C26" s="50">
        <v>30</v>
      </c>
      <c r="D26" s="50">
        <v>6</v>
      </c>
      <c r="E26" s="50">
        <v>1</v>
      </c>
      <c r="F26" s="50">
        <v>24</v>
      </c>
      <c r="G26" s="50">
        <v>0</v>
      </c>
      <c r="H26" s="50">
        <v>0</v>
      </c>
      <c r="I26" s="50">
        <v>4</v>
      </c>
      <c r="J26" s="50">
        <v>9</v>
      </c>
      <c r="K26" s="50">
        <v>1</v>
      </c>
      <c r="L26" s="50">
        <v>0</v>
      </c>
      <c r="M26" s="50">
        <v>110</v>
      </c>
      <c r="N26" s="50">
        <v>0</v>
      </c>
      <c r="O26" s="15">
        <f t="shared" si="0"/>
        <v>75</v>
      </c>
      <c r="P26" s="15">
        <f t="shared" si="1"/>
        <v>185</v>
      </c>
      <c r="R26" s="28" t="s">
        <v>86</v>
      </c>
      <c r="S26" s="16">
        <f t="shared" ref="S26:AF26" si="18">SUM(S13:S18)</f>
        <v>414</v>
      </c>
      <c r="T26" s="16">
        <f t="shared" si="18"/>
        <v>202</v>
      </c>
      <c r="U26" s="16">
        <f t="shared" si="18"/>
        <v>80</v>
      </c>
      <c r="V26" s="16">
        <f t="shared" si="18"/>
        <v>485</v>
      </c>
      <c r="W26" s="16">
        <f t="shared" si="18"/>
        <v>6</v>
      </c>
      <c r="X26" s="16">
        <f t="shared" si="18"/>
        <v>1</v>
      </c>
      <c r="Y26" s="16">
        <f t="shared" si="18"/>
        <v>75</v>
      </c>
      <c r="Z26" s="16">
        <f t="shared" si="18"/>
        <v>144</v>
      </c>
      <c r="AA26" s="16">
        <f t="shared" si="18"/>
        <v>48</v>
      </c>
      <c r="AB26" s="16">
        <f t="shared" si="18"/>
        <v>10</v>
      </c>
      <c r="AC26" s="16">
        <f t="shared" si="18"/>
        <v>2000</v>
      </c>
      <c r="AD26" s="16">
        <f t="shared" si="18"/>
        <v>0</v>
      </c>
      <c r="AE26" s="32">
        <f t="shared" si="18"/>
        <v>1465</v>
      </c>
      <c r="AF26" s="32">
        <f t="shared" si="18"/>
        <v>3465</v>
      </c>
    </row>
    <row r="27" spans="2:32" ht="23.1" customHeight="1" x14ac:dyDescent="0.25">
      <c r="B27" s="23" t="s">
        <v>54</v>
      </c>
      <c r="C27" s="50">
        <v>17</v>
      </c>
      <c r="D27" s="50">
        <v>4</v>
      </c>
      <c r="E27" s="50">
        <v>2</v>
      </c>
      <c r="F27" s="50">
        <v>18</v>
      </c>
      <c r="G27" s="50">
        <v>0</v>
      </c>
      <c r="H27" s="50">
        <v>0</v>
      </c>
      <c r="I27" s="50">
        <v>2</v>
      </c>
      <c r="J27" s="50">
        <v>6</v>
      </c>
      <c r="K27" s="50">
        <v>3</v>
      </c>
      <c r="L27" s="50">
        <v>0</v>
      </c>
      <c r="M27" s="50">
        <v>88</v>
      </c>
      <c r="N27" s="50">
        <v>0</v>
      </c>
      <c r="O27" s="15">
        <f t="shared" si="0"/>
        <v>52</v>
      </c>
      <c r="P27" s="15">
        <f t="shared" si="1"/>
        <v>140</v>
      </c>
      <c r="R27" s="29" t="s">
        <v>87</v>
      </c>
      <c r="S27" s="16">
        <f t="shared" ref="S27:AF27" si="19">SUM(S19:S21)</f>
        <v>162</v>
      </c>
      <c r="T27" s="16">
        <f t="shared" si="19"/>
        <v>60</v>
      </c>
      <c r="U27" s="16">
        <f t="shared" si="19"/>
        <v>54</v>
      </c>
      <c r="V27" s="16">
        <f t="shared" si="19"/>
        <v>168</v>
      </c>
      <c r="W27" s="16">
        <f t="shared" si="19"/>
        <v>5</v>
      </c>
      <c r="X27" s="16">
        <f t="shared" si="19"/>
        <v>2</v>
      </c>
      <c r="Y27" s="16">
        <f t="shared" si="19"/>
        <v>20</v>
      </c>
      <c r="Z27" s="16">
        <f t="shared" si="19"/>
        <v>78</v>
      </c>
      <c r="AA27" s="16">
        <f t="shared" si="19"/>
        <v>11</v>
      </c>
      <c r="AB27" s="16">
        <f t="shared" si="19"/>
        <v>1</v>
      </c>
      <c r="AC27" s="16">
        <f t="shared" si="19"/>
        <v>1254</v>
      </c>
      <c r="AD27" s="16">
        <f t="shared" si="19"/>
        <v>0</v>
      </c>
      <c r="AE27" s="32">
        <f t="shared" si="19"/>
        <v>561</v>
      </c>
      <c r="AF27" s="32">
        <f t="shared" si="19"/>
        <v>1815</v>
      </c>
    </row>
    <row r="28" spans="2:32" ht="23.1" customHeight="1" x14ac:dyDescent="0.25">
      <c r="B28" s="23" t="s">
        <v>55</v>
      </c>
      <c r="C28" s="50">
        <v>22</v>
      </c>
      <c r="D28" s="50">
        <v>16</v>
      </c>
      <c r="E28" s="50">
        <v>2</v>
      </c>
      <c r="F28" s="50">
        <v>33</v>
      </c>
      <c r="G28" s="50">
        <v>1</v>
      </c>
      <c r="H28" s="50">
        <v>0</v>
      </c>
      <c r="I28" s="50">
        <v>3</v>
      </c>
      <c r="J28" s="50">
        <v>8</v>
      </c>
      <c r="K28" s="50">
        <v>2</v>
      </c>
      <c r="L28" s="50">
        <v>0</v>
      </c>
      <c r="M28" s="50">
        <v>78</v>
      </c>
      <c r="N28" s="50">
        <v>0</v>
      </c>
      <c r="O28" s="15">
        <f t="shared" si="0"/>
        <v>87</v>
      </c>
      <c r="P28" s="15">
        <f t="shared" si="1"/>
        <v>165</v>
      </c>
      <c r="R28" s="5" t="s">
        <v>17</v>
      </c>
      <c r="S28" s="16">
        <f t="shared" ref="S28:AF28" si="20">SUM(S10:S21)</f>
        <v>882</v>
      </c>
      <c r="T28" s="16">
        <f t="shared" si="20"/>
        <v>381</v>
      </c>
      <c r="U28" s="16">
        <f t="shared" si="20"/>
        <v>203</v>
      </c>
      <c r="V28" s="16">
        <f t="shared" si="20"/>
        <v>1005</v>
      </c>
      <c r="W28" s="16">
        <f t="shared" si="20"/>
        <v>15</v>
      </c>
      <c r="X28" s="16">
        <f t="shared" si="20"/>
        <v>6</v>
      </c>
      <c r="Y28" s="16">
        <f t="shared" si="20"/>
        <v>162</v>
      </c>
      <c r="Z28" s="16">
        <f t="shared" si="20"/>
        <v>262</v>
      </c>
      <c r="AA28" s="16">
        <f t="shared" si="20"/>
        <v>70</v>
      </c>
      <c r="AB28" s="16">
        <f t="shared" si="20"/>
        <v>14</v>
      </c>
      <c r="AC28" s="16">
        <f t="shared" si="20"/>
        <v>4508</v>
      </c>
      <c r="AD28" s="16">
        <f t="shared" si="20"/>
        <v>0</v>
      </c>
      <c r="AE28" s="32">
        <f t="shared" si="20"/>
        <v>3000</v>
      </c>
      <c r="AF28" s="32">
        <f t="shared" si="20"/>
        <v>7508</v>
      </c>
    </row>
    <row r="29" spans="2:32" ht="23.1" customHeight="1" x14ac:dyDescent="0.25">
      <c r="B29" s="23" t="s">
        <v>56</v>
      </c>
      <c r="C29" s="50">
        <v>21</v>
      </c>
      <c r="D29" s="50">
        <v>13</v>
      </c>
      <c r="E29" s="50">
        <v>3</v>
      </c>
      <c r="F29" s="50">
        <v>19</v>
      </c>
      <c r="G29" s="50">
        <v>0</v>
      </c>
      <c r="H29" s="50">
        <v>0</v>
      </c>
      <c r="I29" s="50">
        <v>4</v>
      </c>
      <c r="J29" s="50">
        <v>4</v>
      </c>
      <c r="K29" s="50">
        <v>2</v>
      </c>
      <c r="L29" s="50">
        <v>0</v>
      </c>
      <c r="M29" s="50">
        <v>61</v>
      </c>
      <c r="N29" s="50">
        <v>0</v>
      </c>
      <c r="O29" s="15">
        <f t="shared" si="0"/>
        <v>66</v>
      </c>
      <c r="P29" s="15">
        <f t="shared" si="1"/>
        <v>127</v>
      </c>
      <c r="R29"/>
      <c r="S29" s="20"/>
      <c r="T29" s="19"/>
    </row>
    <row r="30" spans="2:32" ht="23.1" customHeight="1" x14ac:dyDescent="0.25">
      <c r="B30" s="23" t="s">
        <v>57</v>
      </c>
      <c r="C30" s="50">
        <v>14</v>
      </c>
      <c r="D30" s="50">
        <v>11</v>
      </c>
      <c r="E30" s="50">
        <v>5</v>
      </c>
      <c r="F30" s="50">
        <v>19</v>
      </c>
      <c r="G30" s="50">
        <v>0</v>
      </c>
      <c r="H30" s="50">
        <v>0</v>
      </c>
      <c r="I30" s="50">
        <v>1</v>
      </c>
      <c r="J30" s="50">
        <v>8</v>
      </c>
      <c r="K30" s="50">
        <v>7</v>
      </c>
      <c r="L30" s="50">
        <v>1</v>
      </c>
      <c r="M30" s="50">
        <v>113</v>
      </c>
      <c r="N30" s="50">
        <v>0</v>
      </c>
      <c r="O30" s="15">
        <f t="shared" si="0"/>
        <v>66</v>
      </c>
      <c r="P30" s="15">
        <f t="shared" si="1"/>
        <v>179</v>
      </c>
    </row>
    <row r="31" spans="2:32" ht="23.1" customHeight="1" x14ac:dyDescent="0.25">
      <c r="B31" s="24" t="s">
        <v>58</v>
      </c>
      <c r="C31" s="50">
        <v>17</v>
      </c>
      <c r="D31" s="50">
        <v>9</v>
      </c>
      <c r="E31" s="50">
        <v>6</v>
      </c>
      <c r="F31" s="50">
        <v>23</v>
      </c>
      <c r="G31" s="50">
        <v>2</v>
      </c>
      <c r="H31" s="50">
        <v>0</v>
      </c>
      <c r="I31" s="50">
        <v>5</v>
      </c>
      <c r="J31" s="50">
        <v>3</v>
      </c>
      <c r="K31" s="50">
        <v>1</v>
      </c>
      <c r="L31" s="50">
        <v>1</v>
      </c>
      <c r="M31" s="50">
        <v>79</v>
      </c>
      <c r="N31" s="50">
        <v>0</v>
      </c>
      <c r="O31" s="15">
        <f t="shared" si="0"/>
        <v>67</v>
      </c>
      <c r="P31" s="15">
        <f t="shared" si="1"/>
        <v>146</v>
      </c>
    </row>
    <row r="32" spans="2:32" ht="23.1" customHeight="1" x14ac:dyDescent="0.25">
      <c r="B32" s="24" t="s">
        <v>59</v>
      </c>
      <c r="C32" s="50">
        <v>15</v>
      </c>
      <c r="D32" s="50">
        <v>3</v>
      </c>
      <c r="E32" s="50">
        <v>2</v>
      </c>
      <c r="F32" s="50">
        <v>18</v>
      </c>
      <c r="G32" s="50">
        <v>0</v>
      </c>
      <c r="H32" s="50">
        <v>0</v>
      </c>
      <c r="I32" s="50">
        <v>1</v>
      </c>
      <c r="J32" s="50">
        <v>4</v>
      </c>
      <c r="K32" s="50">
        <v>2</v>
      </c>
      <c r="L32" s="50">
        <v>3</v>
      </c>
      <c r="M32" s="50">
        <v>70</v>
      </c>
      <c r="N32" s="50">
        <v>0</v>
      </c>
      <c r="O32" s="15">
        <f t="shared" si="0"/>
        <v>48</v>
      </c>
      <c r="P32" s="15">
        <f t="shared" si="1"/>
        <v>118</v>
      </c>
    </row>
    <row r="33" spans="2:20" ht="23.1" customHeight="1" x14ac:dyDescent="0.25">
      <c r="B33" s="23" t="s">
        <v>60</v>
      </c>
      <c r="C33" s="50">
        <v>15</v>
      </c>
      <c r="D33" s="50">
        <v>2</v>
      </c>
      <c r="E33" s="50">
        <v>1</v>
      </c>
      <c r="F33" s="50">
        <v>19</v>
      </c>
      <c r="G33" s="50">
        <v>0</v>
      </c>
      <c r="H33" s="50">
        <v>0</v>
      </c>
      <c r="I33" s="50">
        <v>5</v>
      </c>
      <c r="J33" s="50">
        <v>5</v>
      </c>
      <c r="K33" s="50">
        <v>3</v>
      </c>
      <c r="L33" s="50">
        <v>0</v>
      </c>
      <c r="M33" s="50">
        <v>65</v>
      </c>
      <c r="N33" s="50">
        <v>0</v>
      </c>
      <c r="O33" s="15">
        <f t="shared" si="0"/>
        <v>50</v>
      </c>
      <c r="P33" s="15">
        <f t="shared" si="1"/>
        <v>115</v>
      </c>
    </row>
    <row r="34" spans="2:20" ht="23.1" customHeight="1" x14ac:dyDescent="0.25">
      <c r="B34" s="24" t="s">
        <v>61</v>
      </c>
      <c r="C34" s="50">
        <v>17</v>
      </c>
      <c r="D34" s="50">
        <v>5</v>
      </c>
      <c r="E34" s="50">
        <v>6</v>
      </c>
      <c r="F34" s="50">
        <v>24</v>
      </c>
      <c r="G34" s="50">
        <v>0</v>
      </c>
      <c r="H34" s="50">
        <v>0</v>
      </c>
      <c r="I34" s="50">
        <v>5</v>
      </c>
      <c r="J34" s="50">
        <v>5</v>
      </c>
      <c r="K34" s="50">
        <v>1</v>
      </c>
      <c r="L34" s="50">
        <v>0</v>
      </c>
      <c r="M34" s="50">
        <v>105</v>
      </c>
      <c r="N34" s="50">
        <v>0</v>
      </c>
      <c r="O34" s="15">
        <f t="shared" si="0"/>
        <v>63</v>
      </c>
      <c r="P34" s="15">
        <f t="shared" si="1"/>
        <v>168</v>
      </c>
    </row>
    <row r="35" spans="2:20" ht="23.1" customHeight="1" x14ac:dyDescent="0.25">
      <c r="B35" s="24" t="s">
        <v>62</v>
      </c>
      <c r="C35" s="50">
        <v>13</v>
      </c>
      <c r="D35" s="50">
        <v>4</v>
      </c>
      <c r="E35" s="50">
        <v>4</v>
      </c>
      <c r="F35" s="50">
        <v>17</v>
      </c>
      <c r="G35" s="50">
        <v>0</v>
      </c>
      <c r="H35" s="50">
        <v>0</v>
      </c>
      <c r="I35" s="50">
        <v>4</v>
      </c>
      <c r="J35" s="50">
        <v>3</v>
      </c>
      <c r="K35" s="50">
        <v>1</v>
      </c>
      <c r="L35" s="50">
        <v>0</v>
      </c>
      <c r="M35" s="50">
        <v>85</v>
      </c>
      <c r="N35" s="50">
        <v>0</v>
      </c>
      <c r="O35" s="15">
        <f t="shared" si="0"/>
        <v>46</v>
      </c>
      <c r="P35" s="15">
        <f t="shared" si="1"/>
        <v>131</v>
      </c>
    </row>
    <row r="36" spans="2:20" ht="23.1" customHeight="1" x14ac:dyDescent="0.25">
      <c r="B36" s="24" t="s">
        <v>63</v>
      </c>
      <c r="C36" s="50">
        <v>6</v>
      </c>
      <c r="D36" s="50">
        <v>8</v>
      </c>
      <c r="E36" s="50">
        <v>7</v>
      </c>
      <c r="F36" s="50">
        <v>14</v>
      </c>
      <c r="G36" s="50">
        <v>0</v>
      </c>
      <c r="H36" s="50">
        <v>0</v>
      </c>
      <c r="I36" s="50">
        <v>4</v>
      </c>
      <c r="J36" s="50">
        <v>7</v>
      </c>
      <c r="K36" s="50">
        <v>4</v>
      </c>
      <c r="L36" s="50">
        <v>0</v>
      </c>
      <c r="M36" s="50">
        <v>101</v>
      </c>
      <c r="N36" s="50">
        <v>0</v>
      </c>
      <c r="O36" s="15">
        <f t="shared" si="0"/>
        <v>50</v>
      </c>
      <c r="P36" s="15">
        <f t="shared" si="1"/>
        <v>151</v>
      </c>
    </row>
    <row r="37" spans="2:20" ht="23.1" customHeight="1" x14ac:dyDescent="0.25">
      <c r="B37" s="23" t="s">
        <v>64</v>
      </c>
      <c r="C37" s="50">
        <v>13</v>
      </c>
      <c r="D37" s="50">
        <v>9</v>
      </c>
      <c r="E37" s="50">
        <v>2</v>
      </c>
      <c r="F37" s="50">
        <v>21</v>
      </c>
      <c r="G37" s="50">
        <v>0</v>
      </c>
      <c r="H37" s="50">
        <v>0</v>
      </c>
      <c r="I37" s="50">
        <v>3</v>
      </c>
      <c r="J37" s="50">
        <v>6</v>
      </c>
      <c r="K37" s="50">
        <v>1</v>
      </c>
      <c r="L37" s="50">
        <v>0</v>
      </c>
      <c r="M37" s="50">
        <v>83</v>
      </c>
      <c r="N37" s="50">
        <v>0</v>
      </c>
      <c r="O37" s="15">
        <f t="shared" si="0"/>
        <v>55</v>
      </c>
      <c r="P37" s="15">
        <f t="shared" si="1"/>
        <v>138</v>
      </c>
    </row>
    <row r="38" spans="2:20" ht="23.1" customHeight="1" x14ac:dyDescent="0.25">
      <c r="B38" s="24" t="s">
        <v>65</v>
      </c>
      <c r="C38" s="50">
        <v>8</v>
      </c>
      <c r="D38" s="50">
        <v>10</v>
      </c>
      <c r="E38" s="50">
        <v>1</v>
      </c>
      <c r="F38" s="50">
        <v>18</v>
      </c>
      <c r="G38" s="50">
        <v>0</v>
      </c>
      <c r="H38" s="50">
        <v>0</v>
      </c>
      <c r="I38" s="50">
        <v>3</v>
      </c>
      <c r="J38" s="50">
        <v>4</v>
      </c>
      <c r="K38" s="50">
        <v>1</v>
      </c>
      <c r="L38" s="50">
        <v>0</v>
      </c>
      <c r="M38" s="50">
        <v>77</v>
      </c>
      <c r="N38" s="50">
        <v>0</v>
      </c>
      <c r="O38" s="15">
        <f t="shared" si="0"/>
        <v>45</v>
      </c>
      <c r="P38" s="15">
        <f t="shared" si="1"/>
        <v>122</v>
      </c>
    </row>
    <row r="39" spans="2:20" ht="23.1" customHeight="1" x14ac:dyDescent="0.25">
      <c r="B39" s="24" t="s">
        <v>66</v>
      </c>
      <c r="C39" s="50">
        <v>14</v>
      </c>
      <c r="D39" s="50">
        <v>5</v>
      </c>
      <c r="E39" s="50">
        <v>3</v>
      </c>
      <c r="F39" s="50">
        <v>15</v>
      </c>
      <c r="G39" s="50">
        <v>1</v>
      </c>
      <c r="H39" s="50">
        <v>0</v>
      </c>
      <c r="I39" s="50">
        <v>1</v>
      </c>
      <c r="J39" s="50">
        <v>14</v>
      </c>
      <c r="K39" s="50">
        <v>2</v>
      </c>
      <c r="L39" s="50">
        <v>0</v>
      </c>
      <c r="M39" s="50">
        <v>87</v>
      </c>
      <c r="N39" s="50">
        <v>0</v>
      </c>
      <c r="O39" s="15">
        <f t="shared" si="0"/>
        <v>55</v>
      </c>
      <c r="P39" s="15">
        <f t="shared" si="1"/>
        <v>142</v>
      </c>
    </row>
    <row r="40" spans="2:20" ht="23.1" customHeight="1" x14ac:dyDescent="0.25">
      <c r="B40" s="24" t="s">
        <v>67</v>
      </c>
      <c r="C40" s="50">
        <v>10</v>
      </c>
      <c r="D40" s="50">
        <v>6</v>
      </c>
      <c r="E40" s="50">
        <v>5</v>
      </c>
      <c r="F40" s="50">
        <v>18</v>
      </c>
      <c r="G40" s="50">
        <v>0</v>
      </c>
      <c r="H40" s="50">
        <v>0</v>
      </c>
      <c r="I40" s="50">
        <v>4</v>
      </c>
      <c r="J40" s="50">
        <v>3</v>
      </c>
      <c r="K40" s="50">
        <v>0</v>
      </c>
      <c r="L40" s="50">
        <v>0</v>
      </c>
      <c r="M40" s="50">
        <v>82</v>
      </c>
      <c r="N40" s="50">
        <v>0</v>
      </c>
      <c r="O40" s="15">
        <f t="shared" si="0"/>
        <v>46</v>
      </c>
      <c r="P40" s="15">
        <f t="shared" si="1"/>
        <v>128</v>
      </c>
    </row>
    <row r="41" spans="2:20" ht="23.1" customHeight="1" x14ac:dyDescent="0.25">
      <c r="B41" s="23" t="s">
        <v>68</v>
      </c>
      <c r="C41" s="50">
        <v>7</v>
      </c>
      <c r="D41" s="50">
        <v>6</v>
      </c>
      <c r="E41" s="50">
        <v>4</v>
      </c>
      <c r="F41" s="50">
        <v>10</v>
      </c>
      <c r="G41" s="50">
        <v>0</v>
      </c>
      <c r="H41" s="50">
        <v>0</v>
      </c>
      <c r="I41" s="50">
        <v>1</v>
      </c>
      <c r="J41" s="50">
        <v>4</v>
      </c>
      <c r="K41" s="50">
        <v>3</v>
      </c>
      <c r="L41" s="50">
        <v>0</v>
      </c>
      <c r="M41" s="50">
        <v>85</v>
      </c>
      <c r="N41" s="50">
        <v>0</v>
      </c>
      <c r="O41" s="15">
        <f t="shared" si="0"/>
        <v>35</v>
      </c>
      <c r="P41" s="15">
        <f t="shared" si="1"/>
        <v>120</v>
      </c>
    </row>
    <row r="42" spans="2:20" ht="23.1" customHeight="1" x14ac:dyDescent="0.25">
      <c r="B42" s="24" t="s">
        <v>69</v>
      </c>
      <c r="C42" s="50">
        <v>11</v>
      </c>
      <c r="D42" s="50">
        <v>8</v>
      </c>
      <c r="E42" s="50">
        <v>5</v>
      </c>
      <c r="F42" s="50">
        <v>17</v>
      </c>
      <c r="G42" s="50">
        <v>0</v>
      </c>
      <c r="H42" s="50">
        <v>0</v>
      </c>
      <c r="I42" s="50">
        <v>1</v>
      </c>
      <c r="J42" s="50">
        <v>6</v>
      </c>
      <c r="K42" s="50">
        <v>3</v>
      </c>
      <c r="L42" s="50">
        <v>0</v>
      </c>
      <c r="M42" s="50">
        <v>61</v>
      </c>
      <c r="N42" s="50">
        <v>0</v>
      </c>
      <c r="O42" s="15">
        <f t="shared" si="0"/>
        <v>51</v>
      </c>
      <c r="P42" s="15">
        <f t="shared" si="1"/>
        <v>112</v>
      </c>
    </row>
    <row r="43" spans="2:20" ht="23.1" customHeight="1" x14ac:dyDescent="0.25">
      <c r="B43" s="23" t="s">
        <v>70</v>
      </c>
      <c r="C43" s="50">
        <v>12</v>
      </c>
      <c r="D43" s="50">
        <v>5</v>
      </c>
      <c r="E43" s="50">
        <v>5</v>
      </c>
      <c r="F43" s="50">
        <v>19</v>
      </c>
      <c r="G43" s="50">
        <v>0</v>
      </c>
      <c r="H43" s="50">
        <v>0</v>
      </c>
      <c r="I43" s="50">
        <v>3</v>
      </c>
      <c r="J43" s="50">
        <v>10</v>
      </c>
      <c r="K43" s="50">
        <v>3</v>
      </c>
      <c r="L43" s="50">
        <v>0</v>
      </c>
      <c r="M43" s="50">
        <v>53</v>
      </c>
      <c r="N43" s="50">
        <v>0</v>
      </c>
      <c r="O43" s="15">
        <f t="shared" si="0"/>
        <v>57</v>
      </c>
      <c r="P43" s="15">
        <f t="shared" si="1"/>
        <v>110</v>
      </c>
    </row>
    <row r="44" spans="2:20" ht="23.1" customHeight="1" x14ac:dyDescent="0.25">
      <c r="B44" s="25" t="s">
        <v>71</v>
      </c>
      <c r="C44" s="50">
        <v>5</v>
      </c>
      <c r="D44" s="50">
        <v>12</v>
      </c>
      <c r="E44" s="50">
        <v>8</v>
      </c>
      <c r="F44" s="50">
        <v>15</v>
      </c>
      <c r="G44" s="50">
        <v>0</v>
      </c>
      <c r="H44" s="50">
        <v>1</v>
      </c>
      <c r="I44" s="50">
        <v>1</v>
      </c>
      <c r="J44" s="50">
        <v>4</v>
      </c>
      <c r="K44" s="50">
        <v>0</v>
      </c>
      <c r="L44" s="50">
        <v>1</v>
      </c>
      <c r="M44" s="50">
        <v>52</v>
      </c>
      <c r="N44" s="50">
        <v>0</v>
      </c>
      <c r="O44" s="15">
        <f t="shared" si="0"/>
        <v>47</v>
      </c>
      <c r="P44" s="15">
        <f t="shared" si="1"/>
        <v>99</v>
      </c>
    </row>
    <row r="45" spans="2:20" ht="23.1" customHeight="1" x14ac:dyDescent="0.25">
      <c r="B45" s="23" t="s">
        <v>72</v>
      </c>
      <c r="C45" s="50">
        <v>20</v>
      </c>
      <c r="D45" s="50">
        <v>15</v>
      </c>
      <c r="E45" s="50">
        <v>2</v>
      </c>
      <c r="F45" s="50">
        <v>12</v>
      </c>
      <c r="G45" s="50">
        <v>0</v>
      </c>
      <c r="H45" s="50">
        <v>0</v>
      </c>
      <c r="I45" s="50">
        <v>4</v>
      </c>
      <c r="J45" s="50">
        <v>2</v>
      </c>
      <c r="K45" s="50">
        <v>2</v>
      </c>
      <c r="L45" s="50">
        <v>0</v>
      </c>
      <c r="M45" s="50">
        <v>61</v>
      </c>
      <c r="N45" s="50">
        <v>0</v>
      </c>
      <c r="O45" s="15">
        <f t="shared" si="0"/>
        <v>57</v>
      </c>
      <c r="P45" s="15">
        <f t="shared" si="1"/>
        <v>118</v>
      </c>
    </row>
    <row r="46" spans="2:20" ht="23.1" customHeight="1" x14ac:dyDescent="0.25">
      <c r="B46" s="24" t="s">
        <v>73</v>
      </c>
      <c r="C46" s="50">
        <v>22</v>
      </c>
      <c r="D46" s="50">
        <v>6</v>
      </c>
      <c r="E46" s="50">
        <v>3</v>
      </c>
      <c r="F46" s="50">
        <v>12</v>
      </c>
      <c r="G46" s="50">
        <v>0</v>
      </c>
      <c r="H46" s="50">
        <v>0</v>
      </c>
      <c r="I46" s="50">
        <v>1</v>
      </c>
      <c r="J46" s="50">
        <v>9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53</v>
      </c>
      <c r="P46" s="15">
        <f t="shared" si="1"/>
        <v>108</v>
      </c>
      <c r="R46" s="8"/>
      <c r="T46"/>
    </row>
    <row r="47" spans="2:20" ht="23.1" customHeight="1" x14ac:dyDescent="0.25">
      <c r="B47" s="24" t="s">
        <v>74</v>
      </c>
      <c r="C47" s="50">
        <v>17</v>
      </c>
      <c r="D47" s="50">
        <v>7</v>
      </c>
      <c r="E47" s="50">
        <v>5</v>
      </c>
      <c r="F47" s="50">
        <v>15</v>
      </c>
      <c r="G47" s="50">
        <v>1</v>
      </c>
      <c r="H47" s="50">
        <v>0</v>
      </c>
      <c r="I47" s="50">
        <v>2</v>
      </c>
      <c r="J47" s="50">
        <v>8</v>
      </c>
      <c r="K47" s="50">
        <v>0</v>
      </c>
      <c r="L47" s="50">
        <v>0</v>
      </c>
      <c r="M47" s="50">
        <v>85</v>
      </c>
      <c r="N47" s="50">
        <v>0</v>
      </c>
      <c r="O47" s="15">
        <f t="shared" si="0"/>
        <v>55</v>
      </c>
      <c r="P47" s="15">
        <f t="shared" si="1"/>
        <v>140</v>
      </c>
      <c r="R47" s="8"/>
      <c r="T47"/>
    </row>
    <row r="48" spans="2:20" ht="23.1" customHeight="1" x14ac:dyDescent="0.25">
      <c r="B48" s="24" t="s">
        <v>75</v>
      </c>
      <c r="C48" s="50">
        <v>17</v>
      </c>
      <c r="D48" s="50">
        <v>2</v>
      </c>
      <c r="E48" s="50">
        <v>6</v>
      </c>
      <c r="F48" s="50">
        <v>11</v>
      </c>
      <c r="G48" s="50">
        <v>0</v>
      </c>
      <c r="H48" s="50">
        <v>0</v>
      </c>
      <c r="I48" s="50">
        <v>5</v>
      </c>
      <c r="J48" s="50">
        <v>6</v>
      </c>
      <c r="K48" s="50">
        <v>2</v>
      </c>
      <c r="L48" s="50">
        <v>0</v>
      </c>
      <c r="M48" s="50">
        <v>80</v>
      </c>
      <c r="N48" s="50">
        <v>0</v>
      </c>
      <c r="O48" s="15">
        <f t="shared" si="0"/>
        <v>49</v>
      </c>
      <c r="P48" s="15">
        <f t="shared" si="1"/>
        <v>129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7</v>
      </c>
      <c r="E49" s="50">
        <v>4</v>
      </c>
      <c r="F49" s="50">
        <v>8</v>
      </c>
      <c r="G49" s="50">
        <v>0</v>
      </c>
      <c r="H49" s="50">
        <v>0</v>
      </c>
      <c r="I49" s="50">
        <v>3</v>
      </c>
      <c r="J49" s="50">
        <v>2</v>
      </c>
      <c r="K49" s="50">
        <v>2</v>
      </c>
      <c r="L49" s="50">
        <v>0</v>
      </c>
      <c r="M49" s="50">
        <v>115</v>
      </c>
      <c r="N49" s="50">
        <v>0</v>
      </c>
      <c r="O49" s="15">
        <f t="shared" si="0"/>
        <v>41</v>
      </c>
      <c r="P49" s="15">
        <f t="shared" si="1"/>
        <v>156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5</v>
      </c>
      <c r="E50" s="50">
        <v>4</v>
      </c>
      <c r="F50" s="50">
        <v>18</v>
      </c>
      <c r="G50" s="50">
        <v>0</v>
      </c>
      <c r="H50" s="50">
        <v>1</v>
      </c>
      <c r="I50" s="50">
        <v>2</v>
      </c>
      <c r="J50" s="50">
        <v>5</v>
      </c>
      <c r="K50" s="50">
        <v>4</v>
      </c>
      <c r="L50" s="50">
        <v>0</v>
      </c>
      <c r="M50" s="50">
        <v>105</v>
      </c>
      <c r="N50" s="50">
        <v>0</v>
      </c>
      <c r="O50" s="15">
        <f t="shared" si="0"/>
        <v>56</v>
      </c>
      <c r="P50" s="15">
        <f t="shared" si="1"/>
        <v>161</v>
      </c>
      <c r="R50" s="8"/>
      <c r="T50"/>
    </row>
    <row r="51" spans="2:20" ht="23.1" customHeight="1" x14ac:dyDescent="0.25">
      <c r="B51" s="24" t="s">
        <v>78</v>
      </c>
      <c r="C51" s="50">
        <v>17</v>
      </c>
      <c r="D51" s="50">
        <v>5</v>
      </c>
      <c r="E51" s="50">
        <v>6</v>
      </c>
      <c r="F51" s="50">
        <v>13</v>
      </c>
      <c r="G51" s="50">
        <v>1</v>
      </c>
      <c r="H51" s="50">
        <v>0</v>
      </c>
      <c r="I51" s="50">
        <v>4</v>
      </c>
      <c r="J51" s="50">
        <v>4</v>
      </c>
      <c r="K51" s="50">
        <v>1</v>
      </c>
      <c r="L51" s="50">
        <v>0</v>
      </c>
      <c r="M51" s="50">
        <v>110</v>
      </c>
      <c r="N51" s="50">
        <v>0</v>
      </c>
      <c r="O51" s="15">
        <f t="shared" si="0"/>
        <v>51</v>
      </c>
      <c r="P51" s="15">
        <f t="shared" si="1"/>
        <v>161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3</v>
      </c>
      <c r="E52" s="50">
        <v>5</v>
      </c>
      <c r="F52" s="50">
        <v>18</v>
      </c>
      <c r="G52" s="50">
        <v>0</v>
      </c>
      <c r="H52" s="50">
        <v>0</v>
      </c>
      <c r="I52" s="50">
        <v>2</v>
      </c>
      <c r="J52" s="50">
        <v>5</v>
      </c>
      <c r="K52" s="50">
        <v>0</v>
      </c>
      <c r="L52" s="50">
        <v>0</v>
      </c>
      <c r="M52" s="50">
        <v>92</v>
      </c>
      <c r="N52" s="50">
        <v>0</v>
      </c>
      <c r="O52" s="15">
        <f t="shared" si="0"/>
        <v>38</v>
      </c>
      <c r="P52" s="15">
        <f t="shared" si="1"/>
        <v>130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10</v>
      </c>
      <c r="E53" s="50">
        <v>8</v>
      </c>
      <c r="F53" s="50">
        <v>11</v>
      </c>
      <c r="G53" s="50">
        <v>1</v>
      </c>
      <c r="H53" s="50">
        <v>0</v>
      </c>
      <c r="I53" s="50">
        <v>0</v>
      </c>
      <c r="J53" s="50">
        <v>13</v>
      </c>
      <c r="K53" s="50">
        <v>0</v>
      </c>
      <c r="L53" s="50">
        <v>0</v>
      </c>
      <c r="M53" s="50">
        <v>154</v>
      </c>
      <c r="N53" s="50">
        <v>0</v>
      </c>
      <c r="O53" s="15">
        <f t="shared" si="0"/>
        <v>54</v>
      </c>
      <c r="P53" s="15">
        <f t="shared" si="1"/>
        <v>208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4</v>
      </c>
      <c r="E54" s="50">
        <v>4</v>
      </c>
      <c r="F54" s="50">
        <v>16</v>
      </c>
      <c r="G54" s="50">
        <v>1</v>
      </c>
      <c r="H54" s="50">
        <v>1</v>
      </c>
      <c r="I54" s="50">
        <v>1</v>
      </c>
      <c r="J54" s="50">
        <v>13</v>
      </c>
      <c r="K54" s="50">
        <v>1</v>
      </c>
      <c r="L54" s="50">
        <v>1</v>
      </c>
      <c r="M54" s="50">
        <v>103</v>
      </c>
      <c r="N54" s="50">
        <v>0</v>
      </c>
      <c r="O54" s="15">
        <f t="shared" si="0"/>
        <v>52</v>
      </c>
      <c r="P54" s="15">
        <f t="shared" si="1"/>
        <v>155</v>
      </c>
      <c r="R54" s="8"/>
      <c r="T54"/>
    </row>
    <row r="55" spans="2:20" ht="23.1" customHeight="1" x14ac:dyDescent="0.25">
      <c r="B55" s="23" t="s">
        <v>82</v>
      </c>
      <c r="C55" s="50">
        <v>6</v>
      </c>
      <c r="D55" s="50">
        <v>2</v>
      </c>
      <c r="E55" s="50">
        <v>6</v>
      </c>
      <c r="F55" s="50">
        <v>16</v>
      </c>
      <c r="G55" s="50">
        <v>1</v>
      </c>
      <c r="H55" s="50">
        <v>0</v>
      </c>
      <c r="I55" s="50">
        <v>0</v>
      </c>
      <c r="J55" s="50">
        <v>10</v>
      </c>
      <c r="K55" s="50">
        <v>1</v>
      </c>
      <c r="L55" s="50">
        <v>0</v>
      </c>
      <c r="M55" s="50">
        <v>105</v>
      </c>
      <c r="N55" s="50">
        <v>0</v>
      </c>
      <c r="O55" s="15">
        <f t="shared" si="0"/>
        <v>42</v>
      </c>
      <c r="P55" s="15">
        <f t="shared" si="1"/>
        <v>147</v>
      </c>
      <c r="R55" s="8"/>
      <c r="T55"/>
    </row>
    <row r="56" spans="2:20" ht="23.1" customHeight="1" x14ac:dyDescent="0.25">
      <c r="B56" s="23" t="s">
        <v>83</v>
      </c>
      <c r="C56" s="50">
        <v>17</v>
      </c>
      <c r="D56" s="50">
        <v>6</v>
      </c>
      <c r="E56" s="50">
        <v>2</v>
      </c>
      <c r="F56" s="50">
        <v>15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130</v>
      </c>
      <c r="N56" s="50">
        <v>0</v>
      </c>
      <c r="O56" s="15">
        <f t="shared" si="0"/>
        <v>41</v>
      </c>
      <c r="P56" s="15">
        <f t="shared" si="1"/>
        <v>171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3</v>
      </c>
      <c r="E57" s="50">
        <v>1</v>
      </c>
      <c r="F57" s="50">
        <v>15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0</v>
      </c>
      <c r="M57" s="50">
        <v>120</v>
      </c>
      <c r="N57" s="50">
        <v>0</v>
      </c>
      <c r="O57" s="15">
        <f t="shared" si="0"/>
        <v>29</v>
      </c>
      <c r="P57" s="15">
        <f t="shared" si="1"/>
        <v>149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882</v>
      </c>
      <c r="D58" s="16">
        <f t="shared" si="21"/>
        <v>381</v>
      </c>
      <c r="E58" s="16">
        <f t="shared" si="21"/>
        <v>203</v>
      </c>
      <c r="F58" s="16">
        <f t="shared" si="21"/>
        <v>1005</v>
      </c>
      <c r="G58" s="16">
        <f t="shared" si="21"/>
        <v>15</v>
      </c>
      <c r="H58" s="16">
        <f t="shared" si="21"/>
        <v>6</v>
      </c>
      <c r="I58" s="16">
        <f t="shared" si="21"/>
        <v>162</v>
      </c>
      <c r="J58" s="16">
        <f t="shared" si="21"/>
        <v>262</v>
      </c>
      <c r="K58" s="16">
        <f t="shared" si="21"/>
        <v>70</v>
      </c>
      <c r="L58" s="16">
        <f t="shared" si="21"/>
        <v>14</v>
      </c>
      <c r="M58" s="16">
        <f t="shared" si="21"/>
        <v>4508</v>
      </c>
      <c r="N58" s="16">
        <f t="shared" si="21"/>
        <v>0</v>
      </c>
      <c r="O58" s="16">
        <f t="shared" si="21"/>
        <v>3000</v>
      </c>
      <c r="P58" s="16">
        <f t="shared" si="21"/>
        <v>7508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0.1174746936600959</v>
      </c>
      <c r="D59" s="43">
        <f t="shared" si="22"/>
        <v>5.0745871070857755E-2</v>
      </c>
      <c r="E59" s="43">
        <f t="shared" si="22"/>
        <v>2.70378263185935E-2</v>
      </c>
      <c r="F59" s="43">
        <f t="shared" si="22"/>
        <v>0.13385721896643579</v>
      </c>
      <c r="G59" s="43">
        <f t="shared" si="22"/>
        <v>1.9978689397975491E-3</v>
      </c>
      <c r="H59" s="43">
        <f t="shared" si="22"/>
        <v>7.9914757591901967E-4</v>
      </c>
      <c r="I59" s="43">
        <f t="shared" si="22"/>
        <v>2.1576984549813532E-2</v>
      </c>
      <c r="J59" s="43">
        <f t="shared" si="22"/>
        <v>3.4896110815130527E-2</v>
      </c>
      <c r="K59" s="43">
        <f t="shared" si="22"/>
        <v>9.3233883857218973E-3</v>
      </c>
      <c r="L59" s="43">
        <f t="shared" si="22"/>
        <v>1.8646776771443793E-3</v>
      </c>
      <c r="M59" s="43">
        <f t="shared" si="22"/>
        <v>0.60042621204049018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0.29399999999999998</v>
      </c>
      <c r="D60" s="44">
        <f t="shared" ref="D60:N60" si="23">D58/$O$58</f>
        <v>0.127</v>
      </c>
      <c r="E60" s="44">
        <f t="shared" si="23"/>
        <v>6.7666666666666667E-2</v>
      </c>
      <c r="F60" s="44">
        <f t="shared" si="23"/>
        <v>0.33500000000000002</v>
      </c>
      <c r="G60" s="44">
        <f t="shared" si="23"/>
        <v>5.0000000000000001E-3</v>
      </c>
      <c r="H60" s="44">
        <f t="shared" si="23"/>
        <v>2E-3</v>
      </c>
      <c r="I60" s="44">
        <f t="shared" si="23"/>
        <v>5.3999999999999999E-2</v>
      </c>
      <c r="J60" s="44">
        <f t="shared" si="23"/>
        <v>8.7333333333333332E-2</v>
      </c>
      <c r="K60" s="44">
        <f t="shared" si="23"/>
        <v>2.3333333333333334E-2</v>
      </c>
      <c r="L60" s="44">
        <f t="shared" si="23"/>
        <v>4.6666666666666671E-3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30" zoomScaleSheetLayoutView="30" workbookViewId="0">
      <selection activeCell="B25" sqref="B2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Nakawuka-Nateete'!D5</f>
        <v>22.07.19</v>
      </c>
      <c r="E5" s="3"/>
      <c r="F5" s="41" t="s">
        <v>1</v>
      </c>
      <c r="G5" s="60" t="str">
        <f>'22.07 Nakawuka-Nateete'!G5:H5</f>
        <v>TAKUWA BEST FEEDS</v>
      </c>
      <c r="H5" s="61"/>
      <c r="I5" s="14"/>
      <c r="J5" s="2" t="s">
        <v>5</v>
      </c>
      <c r="K5" s="60" t="str">
        <f>'22.07 Nakawuka-Nateete'!K5:L5</f>
        <v>WACHOMI RONALD/KENNETH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171</v>
      </c>
      <c r="E6" s="55"/>
      <c r="F6" s="2" t="s">
        <v>2</v>
      </c>
      <c r="G6" s="54" t="s">
        <v>174</v>
      </c>
      <c r="H6" s="55"/>
      <c r="J6" s="2" t="s">
        <v>21</v>
      </c>
      <c r="K6" s="60" t="str">
        <f>'22.07 Nakawuka-Nateete'!K6:L6</f>
        <v>BEATRICE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2</v>
      </c>
      <c r="E10" s="50">
        <v>1</v>
      </c>
      <c r="F10" s="50">
        <v>5</v>
      </c>
      <c r="G10" s="50">
        <v>0</v>
      </c>
      <c r="H10" s="50">
        <v>2</v>
      </c>
      <c r="I10" s="50">
        <v>1</v>
      </c>
      <c r="J10" s="50">
        <v>3</v>
      </c>
      <c r="K10" s="50">
        <v>0</v>
      </c>
      <c r="L10" s="50">
        <v>0</v>
      </c>
      <c r="M10" s="50">
        <v>93</v>
      </c>
      <c r="N10" s="50">
        <v>0</v>
      </c>
      <c r="O10" s="15">
        <f t="shared" ref="O10:O57" si="0">SUM(C10:L10,N10)</f>
        <v>24</v>
      </c>
      <c r="P10" s="15">
        <f t="shared" ref="P10:P57" si="1">SUM(C10:N10)</f>
        <v>117</v>
      </c>
      <c r="R10" s="1" t="s">
        <v>6</v>
      </c>
      <c r="S10" s="17">
        <f t="shared" ref="S10:AF10" si="2">SUM(C10:C13)</f>
        <v>29</v>
      </c>
      <c r="T10" s="17">
        <f t="shared" si="2"/>
        <v>13</v>
      </c>
      <c r="U10" s="17">
        <f t="shared" si="2"/>
        <v>14</v>
      </c>
      <c r="V10" s="17">
        <f t="shared" si="2"/>
        <v>46</v>
      </c>
      <c r="W10" s="17">
        <f t="shared" si="2"/>
        <v>0</v>
      </c>
      <c r="X10" s="17">
        <f t="shared" si="2"/>
        <v>3</v>
      </c>
      <c r="Y10" s="17">
        <f t="shared" si="2"/>
        <v>7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354</v>
      </c>
      <c r="AD10" s="17">
        <f t="shared" si="2"/>
        <v>0</v>
      </c>
      <c r="AE10" s="31">
        <f t="shared" si="2"/>
        <v>115</v>
      </c>
      <c r="AF10" s="31">
        <f t="shared" si="2"/>
        <v>469</v>
      </c>
    </row>
    <row r="11" spans="2:32" s="6" customFormat="1" ht="23.1" customHeight="1" x14ac:dyDescent="0.25">
      <c r="B11" s="23" t="s">
        <v>38</v>
      </c>
      <c r="C11" s="50">
        <v>6</v>
      </c>
      <c r="D11" s="50">
        <v>4</v>
      </c>
      <c r="E11" s="50">
        <v>6</v>
      </c>
      <c r="F11" s="50">
        <v>13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94</v>
      </c>
      <c r="N11" s="50">
        <v>0</v>
      </c>
      <c r="O11" s="15">
        <f t="shared" si="0"/>
        <v>32</v>
      </c>
      <c r="P11" s="15">
        <f t="shared" si="1"/>
        <v>126</v>
      </c>
      <c r="R11" s="1" t="s">
        <v>7</v>
      </c>
      <c r="S11" s="17">
        <f t="shared" ref="S11:AF11" si="3">SUM(C14:C17)</f>
        <v>32</v>
      </c>
      <c r="T11" s="17">
        <f t="shared" si="3"/>
        <v>16</v>
      </c>
      <c r="U11" s="17">
        <f t="shared" si="3"/>
        <v>9</v>
      </c>
      <c r="V11" s="17">
        <f t="shared" si="3"/>
        <v>71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6</v>
      </c>
      <c r="AA11" s="17">
        <f t="shared" si="3"/>
        <v>1</v>
      </c>
      <c r="AB11" s="17">
        <f t="shared" si="3"/>
        <v>0</v>
      </c>
      <c r="AC11" s="17">
        <f t="shared" si="3"/>
        <v>388</v>
      </c>
      <c r="AD11" s="17">
        <f t="shared" si="3"/>
        <v>0</v>
      </c>
      <c r="AE11" s="31">
        <f t="shared" si="3"/>
        <v>144</v>
      </c>
      <c r="AF11" s="31">
        <f t="shared" si="3"/>
        <v>532</v>
      </c>
    </row>
    <row r="12" spans="2:32" ht="23.1" customHeight="1" x14ac:dyDescent="0.25">
      <c r="B12" s="23" t="s">
        <v>39</v>
      </c>
      <c r="C12" s="50">
        <v>9</v>
      </c>
      <c r="D12" s="50">
        <v>1</v>
      </c>
      <c r="E12" s="50">
        <v>4</v>
      </c>
      <c r="F12" s="50">
        <v>16</v>
      </c>
      <c r="G12" s="50">
        <v>0</v>
      </c>
      <c r="H12" s="50">
        <v>1</v>
      </c>
      <c r="I12" s="50">
        <v>1</v>
      </c>
      <c r="J12" s="50">
        <v>0</v>
      </c>
      <c r="K12" s="50">
        <v>0</v>
      </c>
      <c r="L12" s="50">
        <v>0</v>
      </c>
      <c r="M12" s="50">
        <v>83</v>
      </c>
      <c r="N12" s="50">
        <v>0</v>
      </c>
      <c r="O12" s="15">
        <f t="shared" si="0"/>
        <v>32</v>
      </c>
      <c r="P12" s="15">
        <f t="shared" si="1"/>
        <v>115</v>
      </c>
      <c r="R12" s="1" t="s">
        <v>8</v>
      </c>
      <c r="S12" s="17">
        <f t="shared" ref="S12:AF12" si="4">SUM(C18:C21)</f>
        <v>45</v>
      </c>
      <c r="T12" s="17">
        <f t="shared" si="4"/>
        <v>11</v>
      </c>
      <c r="U12" s="17">
        <f t="shared" si="4"/>
        <v>8</v>
      </c>
      <c r="V12" s="17">
        <f t="shared" si="4"/>
        <v>53</v>
      </c>
      <c r="W12" s="17">
        <f t="shared" si="4"/>
        <v>1</v>
      </c>
      <c r="X12" s="17">
        <f t="shared" si="4"/>
        <v>2</v>
      </c>
      <c r="Y12" s="17">
        <f t="shared" si="4"/>
        <v>30</v>
      </c>
      <c r="Z12" s="17">
        <f t="shared" si="4"/>
        <v>3</v>
      </c>
      <c r="AA12" s="17">
        <f t="shared" si="4"/>
        <v>8</v>
      </c>
      <c r="AB12" s="17">
        <f t="shared" si="4"/>
        <v>0</v>
      </c>
      <c r="AC12" s="17">
        <f t="shared" si="4"/>
        <v>446</v>
      </c>
      <c r="AD12" s="17">
        <f t="shared" si="4"/>
        <v>0</v>
      </c>
      <c r="AE12" s="31">
        <f t="shared" si="4"/>
        <v>161</v>
      </c>
      <c r="AF12" s="31">
        <f t="shared" si="4"/>
        <v>607</v>
      </c>
    </row>
    <row r="13" spans="2:32" ht="23.1" customHeight="1" x14ac:dyDescent="0.25">
      <c r="B13" s="23" t="s">
        <v>40</v>
      </c>
      <c r="C13" s="50">
        <v>4</v>
      </c>
      <c r="D13" s="50">
        <v>6</v>
      </c>
      <c r="E13" s="50">
        <v>3</v>
      </c>
      <c r="F13" s="50">
        <v>12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84</v>
      </c>
      <c r="N13" s="50">
        <v>0</v>
      </c>
      <c r="O13" s="15">
        <f t="shared" si="0"/>
        <v>27</v>
      </c>
      <c r="P13" s="15">
        <f t="shared" si="1"/>
        <v>111</v>
      </c>
      <c r="R13" s="1" t="s">
        <v>9</v>
      </c>
      <c r="S13" s="17">
        <f t="shared" ref="S13:AF13" si="5">SUM(C22:C25)</f>
        <v>37</v>
      </c>
      <c r="T13" s="17">
        <f t="shared" si="5"/>
        <v>10</v>
      </c>
      <c r="U13" s="17">
        <f t="shared" si="5"/>
        <v>11</v>
      </c>
      <c r="V13" s="17">
        <f t="shared" si="5"/>
        <v>67</v>
      </c>
      <c r="W13" s="17">
        <f t="shared" si="5"/>
        <v>0</v>
      </c>
      <c r="X13" s="17">
        <f t="shared" si="5"/>
        <v>0</v>
      </c>
      <c r="Y13" s="17">
        <f t="shared" si="5"/>
        <v>31</v>
      </c>
      <c r="Z13" s="17">
        <f t="shared" si="5"/>
        <v>13</v>
      </c>
      <c r="AA13" s="17">
        <f t="shared" si="5"/>
        <v>1</v>
      </c>
      <c r="AB13" s="17">
        <f t="shared" si="5"/>
        <v>1</v>
      </c>
      <c r="AC13" s="17">
        <f t="shared" si="5"/>
        <v>366</v>
      </c>
      <c r="AD13" s="17">
        <f t="shared" si="5"/>
        <v>0</v>
      </c>
      <c r="AE13" s="31">
        <f t="shared" si="5"/>
        <v>171</v>
      </c>
      <c r="AF13" s="31">
        <f t="shared" si="5"/>
        <v>537</v>
      </c>
    </row>
    <row r="14" spans="2:32" ht="23.1" customHeight="1" x14ac:dyDescent="0.25">
      <c r="B14" s="23" t="s">
        <v>41</v>
      </c>
      <c r="C14" s="50">
        <v>8</v>
      </c>
      <c r="D14" s="50">
        <v>4</v>
      </c>
      <c r="E14" s="50">
        <v>3</v>
      </c>
      <c r="F14" s="50">
        <v>7</v>
      </c>
      <c r="G14" s="50">
        <v>0</v>
      </c>
      <c r="H14" s="50">
        <v>0</v>
      </c>
      <c r="I14" s="50">
        <v>2</v>
      </c>
      <c r="J14" s="50">
        <v>2</v>
      </c>
      <c r="K14" s="50">
        <v>0</v>
      </c>
      <c r="L14" s="50">
        <v>0</v>
      </c>
      <c r="M14" s="50">
        <v>79</v>
      </c>
      <c r="N14" s="50">
        <v>0</v>
      </c>
      <c r="O14" s="15">
        <f t="shared" si="0"/>
        <v>26</v>
      </c>
      <c r="P14" s="15">
        <f t="shared" si="1"/>
        <v>105</v>
      </c>
      <c r="R14" s="1" t="s">
        <v>10</v>
      </c>
      <c r="S14" s="17">
        <f t="shared" ref="S14:AF14" si="6">SUM(C26:C29)</f>
        <v>70</v>
      </c>
      <c r="T14" s="17">
        <f t="shared" si="6"/>
        <v>4</v>
      </c>
      <c r="U14" s="17">
        <f t="shared" si="6"/>
        <v>16</v>
      </c>
      <c r="V14" s="17">
        <f t="shared" si="6"/>
        <v>51</v>
      </c>
      <c r="W14" s="17">
        <f t="shared" si="6"/>
        <v>24</v>
      </c>
      <c r="X14" s="17">
        <f t="shared" si="6"/>
        <v>4</v>
      </c>
      <c r="Y14" s="17">
        <f t="shared" si="6"/>
        <v>42</v>
      </c>
      <c r="Z14" s="17">
        <f t="shared" si="6"/>
        <v>6</v>
      </c>
      <c r="AA14" s="17">
        <f t="shared" si="6"/>
        <v>3</v>
      </c>
      <c r="AB14" s="17">
        <f t="shared" si="6"/>
        <v>0</v>
      </c>
      <c r="AC14" s="17">
        <f t="shared" si="6"/>
        <v>361</v>
      </c>
      <c r="AD14" s="17">
        <f t="shared" si="6"/>
        <v>0</v>
      </c>
      <c r="AE14" s="31">
        <f t="shared" si="6"/>
        <v>220</v>
      </c>
      <c r="AF14" s="31">
        <f t="shared" si="6"/>
        <v>581</v>
      </c>
    </row>
    <row r="15" spans="2:32" ht="23.1" customHeight="1" x14ac:dyDescent="0.25">
      <c r="B15" s="23" t="s">
        <v>42</v>
      </c>
      <c r="C15" s="50">
        <v>6</v>
      </c>
      <c r="D15" s="50">
        <v>7</v>
      </c>
      <c r="E15" s="50">
        <v>1</v>
      </c>
      <c r="F15" s="50">
        <v>30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100</v>
      </c>
      <c r="N15" s="50">
        <v>0</v>
      </c>
      <c r="O15" s="15">
        <f t="shared" si="0"/>
        <v>46</v>
      </c>
      <c r="P15" s="15">
        <f t="shared" si="1"/>
        <v>146</v>
      </c>
      <c r="R15" s="1" t="s">
        <v>11</v>
      </c>
      <c r="S15" s="17">
        <f t="shared" ref="S15:AF15" si="7">SUM(C30:C33)</f>
        <v>47</v>
      </c>
      <c r="T15" s="17">
        <f t="shared" si="7"/>
        <v>10</v>
      </c>
      <c r="U15" s="17">
        <f t="shared" si="7"/>
        <v>14</v>
      </c>
      <c r="V15" s="17">
        <f t="shared" si="7"/>
        <v>53</v>
      </c>
      <c r="W15" s="17">
        <f t="shared" si="7"/>
        <v>2</v>
      </c>
      <c r="X15" s="17">
        <f t="shared" si="7"/>
        <v>1</v>
      </c>
      <c r="Y15" s="17">
        <f t="shared" si="7"/>
        <v>40</v>
      </c>
      <c r="Z15" s="17">
        <f t="shared" si="7"/>
        <v>3</v>
      </c>
      <c r="AA15" s="17">
        <f t="shared" si="7"/>
        <v>3</v>
      </c>
      <c r="AB15" s="17">
        <f t="shared" si="7"/>
        <v>1</v>
      </c>
      <c r="AC15" s="17">
        <f t="shared" si="7"/>
        <v>394</v>
      </c>
      <c r="AD15" s="17">
        <f t="shared" si="7"/>
        <v>0</v>
      </c>
      <c r="AE15" s="31">
        <f t="shared" si="7"/>
        <v>174</v>
      </c>
      <c r="AF15" s="31">
        <f t="shared" si="7"/>
        <v>568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4</v>
      </c>
      <c r="F16" s="50">
        <v>22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95</v>
      </c>
      <c r="N16" s="50">
        <v>0</v>
      </c>
      <c r="O16" s="15">
        <f t="shared" si="0"/>
        <v>34</v>
      </c>
      <c r="P16" s="15">
        <f t="shared" si="1"/>
        <v>129</v>
      </c>
      <c r="R16" s="1" t="s">
        <v>12</v>
      </c>
      <c r="S16" s="17">
        <f t="shared" ref="S16:AF16" si="8">SUM(C34:C37)</f>
        <v>52</v>
      </c>
      <c r="T16" s="17">
        <f t="shared" si="8"/>
        <v>9</v>
      </c>
      <c r="U16" s="17">
        <f t="shared" si="8"/>
        <v>9</v>
      </c>
      <c r="V16" s="17">
        <f t="shared" si="8"/>
        <v>50</v>
      </c>
      <c r="W16" s="17">
        <f t="shared" si="8"/>
        <v>2</v>
      </c>
      <c r="X16" s="17">
        <f t="shared" si="8"/>
        <v>6</v>
      </c>
      <c r="Y16" s="17">
        <f t="shared" si="8"/>
        <v>18</v>
      </c>
      <c r="Z16" s="17">
        <f t="shared" si="8"/>
        <v>13</v>
      </c>
      <c r="AA16" s="17">
        <f t="shared" si="8"/>
        <v>10</v>
      </c>
      <c r="AB16" s="17">
        <f t="shared" si="8"/>
        <v>0</v>
      </c>
      <c r="AC16" s="17">
        <f t="shared" si="8"/>
        <v>330</v>
      </c>
      <c r="AD16" s="17">
        <f t="shared" si="8"/>
        <v>0</v>
      </c>
      <c r="AE16" s="31">
        <f t="shared" si="8"/>
        <v>169</v>
      </c>
      <c r="AF16" s="31">
        <f t="shared" si="8"/>
        <v>499</v>
      </c>
    </row>
    <row r="17" spans="2:32" ht="23.1" customHeight="1" x14ac:dyDescent="0.25">
      <c r="B17" s="23" t="s">
        <v>44</v>
      </c>
      <c r="C17" s="50">
        <v>14</v>
      </c>
      <c r="D17" s="50">
        <v>4</v>
      </c>
      <c r="E17" s="50">
        <v>1</v>
      </c>
      <c r="F17" s="50">
        <v>12</v>
      </c>
      <c r="G17" s="50">
        <v>0</v>
      </c>
      <c r="H17" s="50">
        <v>0</v>
      </c>
      <c r="I17" s="50">
        <v>4</v>
      </c>
      <c r="J17" s="50">
        <v>2</v>
      </c>
      <c r="K17" s="50">
        <v>1</v>
      </c>
      <c r="L17" s="50">
        <v>0</v>
      </c>
      <c r="M17" s="50">
        <v>114</v>
      </c>
      <c r="N17" s="50">
        <v>0</v>
      </c>
      <c r="O17" s="15">
        <f t="shared" si="0"/>
        <v>38</v>
      </c>
      <c r="P17" s="15">
        <f t="shared" si="1"/>
        <v>152</v>
      </c>
      <c r="R17" s="1" t="s">
        <v>13</v>
      </c>
      <c r="S17" s="17">
        <f t="shared" ref="S17:AF17" si="9">SUM(C38:C41)</f>
        <v>63</v>
      </c>
      <c r="T17" s="17">
        <f t="shared" si="9"/>
        <v>12</v>
      </c>
      <c r="U17" s="17">
        <f t="shared" si="9"/>
        <v>29</v>
      </c>
      <c r="V17" s="17">
        <f t="shared" si="9"/>
        <v>51</v>
      </c>
      <c r="W17" s="17">
        <f t="shared" si="9"/>
        <v>1</v>
      </c>
      <c r="X17" s="17">
        <f t="shared" si="9"/>
        <v>0</v>
      </c>
      <c r="Y17" s="17">
        <f t="shared" si="9"/>
        <v>23</v>
      </c>
      <c r="Z17" s="17">
        <f t="shared" si="9"/>
        <v>15</v>
      </c>
      <c r="AA17" s="17">
        <f t="shared" si="9"/>
        <v>2</v>
      </c>
      <c r="AB17" s="17">
        <f t="shared" si="9"/>
        <v>0</v>
      </c>
      <c r="AC17" s="17">
        <f t="shared" si="9"/>
        <v>397</v>
      </c>
      <c r="AD17" s="17">
        <f t="shared" si="9"/>
        <v>0</v>
      </c>
      <c r="AE17" s="31">
        <f t="shared" si="9"/>
        <v>196</v>
      </c>
      <c r="AF17" s="31">
        <f t="shared" si="9"/>
        <v>593</v>
      </c>
    </row>
    <row r="18" spans="2:32" ht="23.1" customHeight="1" x14ac:dyDescent="0.25">
      <c r="B18" s="23" t="s">
        <v>45</v>
      </c>
      <c r="C18" s="50">
        <v>22</v>
      </c>
      <c r="D18" s="50">
        <v>6</v>
      </c>
      <c r="E18" s="50">
        <v>2</v>
      </c>
      <c r="F18" s="50">
        <v>22</v>
      </c>
      <c r="G18" s="50">
        <v>0</v>
      </c>
      <c r="H18" s="50">
        <v>0</v>
      </c>
      <c r="I18" s="50">
        <v>5</v>
      </c>
      <c r="J18" s="50">
        <v>0</v>
      </c>
      <c r="K18" s="50">
        <v>4</v>
      </c>
      <c r="L18" s="50">
        <v>0</v>
      </c>
      <c r="M18" s="50">
        <v>108</v>
      </c>
      <c r="N18" s="50">
        <v>0</v>
      </c>
      <c r="O18" s="15">
        <f t="shared" si="0"/>
        <v>61</v>
      </c>
      <c r="P18" s="15">
        <f t="shared" si="1"/>
        <v>169</v>
      </c>
      <c r="R18" s="1" t="s">
        <v>14</v>
      </c>
      <c r="S18" s="17">
        <f t="shared" ref="S18:AF18" si="10">SUM(C42:C45)</f>
        <v>55</v>
      </c>
      <c r="T18" s="17">
        <f t="shared" si="10"/>
        <v>5</v>
      </c>
      <c r="U18" s="17">
        <f t="shared" si="10"/>
        <v>7</v>
      </c>
      <c r="V18" s="17">
        <f t="shared" si="10"/>
        <v>21</v>
      </c>
      <c r="W18" s="17">
        <f t="shared" si="10"/>
        <v>0</v>
      </c>
      <c r="X18" s="17">
        <f t="shared" si="10"/>
        <v>1</v>
      </c>
      <c r="Y18" s="17">
        <f t="shared" si="10"/>
        <v>8</v>
      </c>
      <c r="Z18" s="17">
        <f t="shared" si="10"/>
        <v>6</v>
      </c>
      <c r="AA18" s="17">
        <f t="shared" si="10"/>
        <v>2</v>
      </c>
      <c r="AB18" s="17">
        <f t="shared" si="10"/>
        <v>0</v>
      </c>
      <c r="AC18" s="17">
        <f t="shared" si="10"/>
        <v>215</v>
      </c>
      <c r="AD18" s="17">
        <f t="shared" si="10"/>
        <v>0</v>
      </c>
      <c r="AE18" s="31">
        <f t="shared" si="10"/>
        <v>105</v>
      </c>
      <c r="AF18" s="31">
        <f t="shared" si="10"/>
        <v>320</v>
      </c>
    </row>
    <row r="19" spans="2:32" ht="23.1" customHeight="1" x14ac:dyDescent="0.25">
      <c r="B19" s="23" t="s">
        <v>46</v>
      </c>
      <c r="C19" s="50">
        <v>9</v>
      </c>
      <c r="D19" s="50">
        <v>2</v>
      </c>
      <c r="E19" s="50">
        <v>1</v>
      </c>
      <c r="F19" s="50">
        <v>11</v>
      </c>
      <c r="G19" s="50">
        <v>0</v>
      </c>
      <c r="H19" s="50">
        <v>0</v>
      </c>
      <c r="I19" s="50">
        <v>3</v>
      </c>
      <c r="J19" s="50">
        <v>1</v>
      </c>
      <c r="K19" s="50">
        <v>3</v>
      </c>
      <c r="L19" s="50">
        <v>0</v>
      </c>
      <c r="M19" s="50">
        <v>105</v>
      </c>
      <c r="N19" s="50">
        <v>0</v>
      </c>
      <c r="O19" s="15">
        <f t="shared" si="0"/>
        <v>30</v>
      </c>
      <c r="P19" s="15">
        <f t="shared" si="1"/>
        <v>135</v>
      </c>
      <c r="R19" s="1" t="s">
        <v>15</v>
      </c>
      <c r="S19" s="17">
        <f t="shared" ref="S19:AF19" si="11">SUM(C46:C49)</f>
        <v>40</v>
      </c>
      <c r="T19" s="17">
        <f t="shared" si="11"/>
        <v>8</v>
      </c>
      <c r="U19" s="17">
        <f t="shared" si="11"/>
        <v>8</v>
      </c>
      <c r="V19" s="17">
        <f t="shared" si="11"/>
        <v>26</v>
      </c>
      <c r="W19" s="17">
        <f t="shared" si="11"/>
        <v>2</v>
      </c>
      <c r="X19" s="17">
        <f t="shared" si="11"/>
        <v>2</v>
      </c>
      <c r="Y19" s="17">
        <f t="shared" si="11"/>
        <v>24</v>
      </c>
      <c r="Z19" s="17">
        <f t="shared" si="11"/>
        <v>8</v>
      </c>
      <c r="AA19" s="17">
        <f t="shared" si="11"/>
        <v>0</v>
      </c>
      <c r="AB19" s="17">
        <f t="shared" si="11"/>
        <v>1</v>
      </c>
      <c r="AC19" s="17">
        <f t="shared" si="11"/>
        <v>336</v>
      </c>
      <c r="AD19" s="17">
        <f t="shared" si="11"/>
        <v>0</v>
      </c>
      <c r="AE19" s="31">
        <f t="shared" si="11"/>
        <v>119</v>
      </c>
      <c r="AF19" s="31">
        <f t="shared" si="11"/>
        <v>455</v>
      </c>
    </row>
    <row r="20" spans="2:32" ht="23.1" customHeight="1" x14ac:dyDescent="0.25">
      <c r="B20" s="23" t="s">
        <v>47</v>
      </c>
      <c r="C20" s="50">
        <v>4</v>
      </c>
      <c r="D20" s="50">
        <v>3</v>
      </c>
      <c r="E20" s="50">
        <v>1</v>
      </c>
      <c r="F20" s="50">
        <v>8</v>
      </c>
      <c r="G20" s="50">
        <v>1</v>
      </c>
      <c r="H20" s="50">
        <v>1</v>
      </c>
      <c r="I20" s="50">
        <v>5</v>
      </c>
      <c r="J20" s="50">
        <v>0</v>
      </c>
      <c r="K20" s="50">
        <v>1</v>
      </c>
      <c r="L20" s="50">
        <v>0</v>
      </c>
      <c r="M20" s="50">
        <v>104</v>
      </c>
      <c r="N20" s="50">
        <v>0</v>
      </c>
      <c r="O20" s="15">
        <f t="shared" si="0"/>
        <v>24</v>
      </c>
      <c r="P20" s="15">
        <f t="shared" si="1"/>
        <v>128</v>
      </c>
      <c r="R20" s="1" t="s">
        <v>16</v>
      </c>
      <c r="S20" s="17">
        <f t="shared" ref="S20:AF20" si="12">SUM(C50:C53)</f>
        <v>97</v>
      </c>
      <c r="T20" s="17">
        <f t="shared" si="12"/>
        <v>9</v>
      </c>
      <c r="U20" s="17">
        <f t="shared" si="12"/>
        <v>12</v>
      </c>
      <c r="V20" s="17">
        <f t="shared" si="12"/>
        <v>66</v>
      </c>
      <c r="W20" s="17">
        <f t="shared" si="12"/>
        <v>3</v>
      </c>
      <c r="X20" s="17">
        <f t="shared" si="12"/>
        <v>3</v>
      </c>
      <c r="Y20" s="17">
        <f t="shared" si="12"/>
        <v>36</v>
      </c>
      <c r="Z20" s="17">
        <f t="shared" si="12"/>
        <v>2</v>
      </c>
      <c r="AA20" s="17">
        <f t="shared" si="12"/>
        <v>1</v>
      </c>
      <c r="AB20" s="17">
        <f t="shared" si="12"/>
        <v>5</v>
      </c>
      <c r="AC20" s="17">
        <f t="shared" si="12"/>
        <v>427</v>
      </c>
      <c r="AD20" s="17">
        <f t="shared" si="12"/>
        <v>0</v>
      </c>
      <c r="AE20" s="31">
        <f t="shared" si="12"/>
        <v>234</v>
      </c>
      <c r="AF20" s="31">
        <f t="shared" si="12"/>
        <v>661</v>
      </c>
    </row>
    <row r="21" spans="2:32" ht="23.1" customHeight="1" x14ac:dyDescent="0.25">
      <c r="B21" s="23" t="s">
        <v>48</v>
      </c>
      <c r="C21" s="50">
        <v>10</v>
      </c>
      <c r="D21" s="50">
        <v>0</v>
      </c>
      <c r="E21" s="50">
        <v>4</v>
      </c>
      <c r="F21" s="50">
        <v>12</v>
      </c>
      <c r="G21" s="50">
        <v>0</v>
      </c>
      <c r="H21" s="50">
        <v>1</v>
      </c>
      <c r="I21" s="50">
        <v>17</v>
      </c>
      <c r="J21" s="50">
        <v>2</v>
      </c>
      <c r="K21" s="50">
        <v>0</v>
      </c>
      <c r="L21" s="50">
        <v>0</v>
      </c>
      <c r="M21" s="50">
        <v>129</v>
      </c>
      <c r="N21" s="50">
        <v>0</v>
      </c>
      <c r="O21" s="15">
        <f t="shared" si="0"/>
        <v>46</v>
      </c>
      <c r="P21" s="15">
        <f t="shared" si="1"/>
        <v>175</v>
      </c>
      <c r="R21" s="36" t="s">
        <v>20</v>
      </c>
      <c r="S21" s="34">
        <f t="shared" ref="S21:AF21" si="13">SUM(C54:C57)</f>
        <v>60</v>
      </c>
      <c r="T21" s="17">
        <f t="shared" si="13"/>
        <v>19</v>
      </c>
      <c r="U21" s="17">
        <f t="shared" si="13"/>
        <v>16</v>
      </c>
      <c r="V21" s="17">
        <f t="shared" si="13"/>
        <v>69</v>
      </c>
      <c r="W21" s="17">
        <f t="shared" si="13"/>
        <v>0</v>
      </c>
      <c r="X21" s="17">
        <f t="shared" si="13"/>
        <v>2</v>
      </c>
      <c r="Y21" s="17">
        <f t="shared" si="13"/>
        <v>32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265</v>
      </c>
      <c r="AD21" s="17">
        <f t="shared" si="13"/>
        <v>0</v>
      </c>
      <c r="AE21" s="31">
        <f t="shared" si="13"/>
        <v>202</v>
      </c>
      <c r="AF21" s="31">
        <f t="shared" si="13"/>
        <v>467</v>
      </c>
    </row>
    <row r="22" spans="2:32" ht="23.1" customHeight="1" x14ac:dyDescent="0.25">
      <c r="B22" s="23" t="s">
        <v>49</v>
      </c>
      <c r="C22" s="50">
        <v>6</v>
      </c>
      <c r="D22" s="50">
        <v>3</v>
      </c>
      <c r="E22" s="50">
        <v>3</v>
      </c>
      <c r="F22" s="50">
        <v>19</v>
      </c>
      <c r="G22" s="50">
        <v>0</v>
      </c>
      <c r="H22" s="50">
        <v>0</v>
      </c>
      <c r="I22" s="50">
        <v>7</v>
      </c>
      <c r="J22" s="50">
        <v>3</v>
      </c>
      <c r="K22" s="50">
        <v>1</v>
      </c>
      <c r="L22" s="50">
        <v>0</v>
      </c>
      <c r="M22" s="50">
        <v>121</v>
      </c>
      <c r="N22" s="50">
        <v>0</v>
      </c>
      <c r="O22" s="15">
        <f t="shared" si="0"/>
        <v>42</v>
      </c>
      <c r="P22" s="15">
        <f t="shared" si="1"/>
        <v>163</v>
      </c>
      <c r="R22" s="38" t="s">
        <v>90</v>
      </c>
      <c r="S22" s="39">
        <f>MAX(S10:S12)</f>
        <v>45</v>
      </c>
      <c r="T22" s="39">
        <f t="shared" ref="T22:AF22" si="14">MAX(T10:T12)</f>
        <v>16</v>
      </c>
      <c r="U22" s="39">
        <f t="shared" si="14"/>
        <v>14</v>
      </c>
      <c r="V22" s="39">
        <f t="shared" si="14"/>
        <v>71</v>
      </c>
      <c r="W22" s="39">
        <f t="shared" si="14"/>
        <v>1</v>
      </c>
      <c r="X22" s="39">
        <f t="shared" si="14"/>
        <v>3</v>
      </c>
      <c r="Y22" s="39">
        <f t="shared" si="14"/>
        <v>30</v>
      </c>
      <c r="Z22" s="39">
        <f t="shared" si="14"/>
        <v>6</v>
      </c>
      <c r="AA22" s="39">
        <f t="shared" si="14"/>
        <v>8</v>
      </c>
      <c r="AB22" s="39">
        <f t="shared" si="14"/>
        <v>0</v>
      </c>
      <c r="AC22" s="39">
        <f t="shared" si="14"/>
        <v>446</v>
      </c>
      <c r="AD22" s="39">
        <f t="shared" si="14"/>
        <v>0</v>
      </c>
      <c r="AE22" s="40">
        <f t="shared" si="14"/>
        <v>161</v>
      </c>
      <c r="AF22" s="40">
        <f t="shared" si="14"/>
        <v>607</v>
      </c>
    </row>
    <row r="23" spans="2:32" ht="23.1" customHeight="1" x14ac:dyDescent="0.25">
      <c r="B23" s="23" t="s">
        <v>50</v>
      </c>
      <c r="C23" s="50">
        <v>7</v>
      </c>
      <c r="D23" s="50">
        <v>3</v>
      </c>
      <c r="E23" s="50">
        <v>5</v>
      </c>
      <c r="F23" s="50">
        <v>15</v>
      </c>
      <c r="G23" s="50">
        <v>0</v>
      </c>
      <c r="H23" s="50">
        <v>0</v>
      </c>
      <c r="I23" s="50">
        <v>9</v>
      </c>
      <c r="J23" s="50">
        <v>3</v>
      </c>
      <c r="K23" s="50">
        <v>0</v>
      </c>
      <c r="L23" s="50">
        <v>0</v>
      </c>
      <c r="M23" s="50">
        <v>79</v>
      </c>
      <c r="N23" s="50">
        <v>0</v>
      </c>
      <c r="O23" s="15">
        <f t="shared" si="0"/>
        <v>42</v>
      </c>
      <c r="P23" s="15">
        <f t="shared" si="1"/>
        <v>121</v>
      </c>
      <c r="R23" s="38" t="s">
        <v>91</v>
      </c>
      <c r="S23" s="39">
        <f>MAX(S13:S18)</f>
        <v>70</v>
      </c>
      <c r="T23" s="39">
        <f t="shared" ref="T23:AF23" si="15">MAX(T13:T18)</f>
        <v>12</v>
      </c>
      <c r="U23" s="39">
        <f t="shared" si="15"/>
        <v>29</v>
      </c>
      <c r="V23" s="39">
        <f t="shared" si="15"/>
        <v>67</v>
      </c>
      <c r="W23" s="39">
        <f t="shared" si="15"/>
        <v>24</v>
      </c>
      <c r="X23" s="39">
        <f t="shared" si="15"/>
        <v>6</v>
      </c>
      <c r="Y23" s="39">
        <f t="shared" si="15"/>
        <v>42</v>
      </c>
      <c r="Z23" s="39">
        <f t="shared" si="15"/>
        <v>15</v>
      </c>
      <c r="AA23" s="39">
        <f t="shared" si="15"/>
        <v>10</v>
      </c>
      <c r="AB23" s="39">
        <f t="shared" si="15"/>
        <v>1</v>
      </c>
      <c r="AC23" s="39">
        <f t="shared" si="15"/>
        <v>397</v>
      </c>
      <c r="AD23" s="39">
        <f t="shared" si="15"/>
        <v>0</v>
      </c>
      <c r="AE23" s="40">
        <f t="shared" si="15"/>
        <v>220</v>
      </c>
      <c r="AF23" s="40">
        <f t="shared" si="15"/>
        <v>593</v>
      </c>
    </row>
    <row r="24" spans="2:32" ht="23.1" customHeight="1" x14ac:dyDescent="0.25">
      <c r="B24" s="23" t="s">
        <v>51</v>
      </c>
      <c r="C24" s="50">
        <v>18</v>
      </c>
      <c r="D24" s="50">
        <v>2</v>
      </c>
      <c r="E24" s="50">
        <v>0</v>
      </c>
      <c r="F24" s="50">
        <v>19</v>
      </c>
      <c r="G24" s="50">
        <v>0</v>
      </c>
      <c r="H24" s="50">
        <v>0</v>
      </c>
      <c r="I24" s="50">
        <v>8</v>
      </c>
      <c r="J24" s="50">
        <v>4</v>
      </c>
      <c r="K24" s="50">
        <v>0</v>
      </c>
      <c r="L24" s="50">
        <v>1</v>
      </c>
      <c r="M24" s="50">
        <v>72</v>
      </c>
      <c r="N24" s="50">
        <v>0</v>
      </c>
      <c r="O24" s="15">
        <f t="shared" si="0"/>
        <v>52</v>
      </c>
      <c r="P24" s="15">
        <f t="shared" si="1"/>
        <v>124</v>
      </c>
      <c r="R24" s="38" t="s">
        <v>92</v>
      </c>
      <c r="S24" s="39">
        <f>MAX(S19:S21)</f>
        <v>97</v>
      </c>
      <c r="T24" s="39">
        <f t="shared" ref="T24:AF24" si="16">MAX(T19:T21)</f>
        <v>19</v>
      </c>
      <c r="U24" s="39">
        <f t="shared" si="16"/>
        <v>16</v>
      </c>
      <c r="V24" s="39">
        <f t="shared" si="16"/>
        <v>69</v>
      </c>
      <c r="W24" s="39">
        <f t="shared" si="16"/>
        <v>3</v>
      </c>
      <c r="X24" s="39">
        <f t="shared" si="16"/>
        <v>3</v>
      </c>
      <c r="Y24" s="39">
        <f t="shared" si="16"/>
        <v>36</v>
      </c>
      <c r="Z24" s="39">
        <f t="shared" si="16"/>
        <v>8</v>
      </c>
      <c r="AA24" s="39">
        <f t="shared" si="16"/>
        <v>1</v>
      </c>
      <c r="AB24" s="39">
        <f t="shared" si="16"/>
        <v>5</v>
      </c>
      <c r="AC24" s="39">
        <f t="shared" si="16"/>
        <v>427</v>
      </c>
      <c r="AD24" s="39">
        <f t="shared" si="16"/>
        <v>0</v>
      </c>
      <c r="AE24" s="40">
        <f t="shared" si="16"/>
        <v>234</v>
      </c>
      <c r="AF24" s="40">
        <f t="shared" si="16"/>
        <v>661</v>
      </c>
    </row>
    <row r="25" spans="2:32" ht="23.1" customHeight="1" x14ac:dyDescent="0.25">
      <c r="B25" s="23" t="s">
        <v>52</v>
      </c>
      <c r="C25" s="50">
        <v>6</v>
      </c>
      <c r="D25" s="50">
        <v>2</v>
      </c>
      <c r="E25" s="50">
        <v>3</v>
      </c>
      <c r="F25" s="50">
        <v>14</v>
      </c>
      <c r="G25" s="50">
        <v>0</v>
      </c>
      <c r="H25" s="50">
        <v>0</v>
      </c>
      <c r="I25" s="50">
        <v>7</v>
      </c>
      <c r="J25" s="50">
        <v>3</v>
      </c>
      <c r="K25" s="50">
        <v>0</v>
      </c>
      <c r="L25" s="50">
        <v>0</v>
      </c>
      <c r="M25" s="50">
        <v>94</v>
      </c>
      <c r="N25" s="50">
        <v>0</v>
      </c>
      <c r="O25" s="15">
        <f t="shared" si="0"/>
        <v>35</v>
      </c>
      <c r="P25" s="15">
        <f t="shared" si="1"/>
        <v>129</v>
      </c>
      <c r="R25" s="37" t="s">
        <v>85</v>
      </c>
      <c r="S25" s="35">
        <f t="shared" ref="S25:AF25" si="17">SUM(S10:S12)</f>
        <v>106</v>
      </c>
      <c r="T25" s="16">
        <f t="shared" si="17"/>
        <v>40</v>
      </c>
      <c r="U25" s="16">
        <f t="shared" si="17"/>
        <v>31</v>
      </c>
      <c r="V25" s="16">
        <f t="shared" si="17"/>
        <v>170</v>
      </c>
      <c r="W25" s="16">
        <f t="shared" si="17"/>
        <v>1</v>
      </c>
      <c r="X25" s="16">
        <f t="shared" si="17"/>
        <v>5</v>
      </c>
      <c r="Y25" s="16">
        <f t="shared" si="17"/>
        <v>46</v>
      </c>
      <c r="Z25" s="16">
        <f t="shared" si="17"/>
        <v>12</v>
      </c>
      <c r="AA25" s="16">
        <f t="shared" si="17"/>
        <v>9</v>
      </c>
      <c r="AB25" s="16">
        <f t="shared" si="17"/>
        <v>0</v>
      </c>
      <c r="AC25" s="16">
        <f t="shared" si="17"/>
        <v>1188</v>
      </c>
      <c r="AD25" s="16">
        <f t="shared" si="17"/>
        <v>0</v>
      </c>
      <c r="AE25" s="32">
        <f t="shared" si="17"/>
        <v>420</v>
      </c>
      <c r="AF25" s="32">
        <f t="shared" si="17"/>
        <v>1608</v>
      </c>
    </row>
    <row r="26" spans="2:32" ht="23.1" customHeight="1" x14ac:dyDescent="0.25">
      <c r="B26" s="23" t="s">
        <v>53</v>
      </c>
      <c r="C26" s="50">
        <v>15</v>
      </c>
      <c r="D26" s="50">
        <v>0</v>
      </c>
      <c r="E26" s="50">
        <v>8</v>
      </c>
      <c r="F26" s="50">
        <v>14</v>
      </c>
      <c r="G26" s="50">
        <v>0</v>
      </c>
      <c r="H26" s="50">
        <v>1</v>
      </c>
      <c r="I26" s="50">
        <v>17</v>
      </c>
      <c r="J26" s="50">
        <v>4</v>
      </c>
      <c r="K26" s="50">
        <v>0</v>
      </c>
      <c r="L26" s="50">
        <v>0</v>
      </c>
      <c r="M26" s="50">
        <v>90</v>
      </c>
      <c r="N26" s="50">
        <v>0</v>
      </c>
      <c r="O26" s="15">
        <f t="shared" si="0"/>
        <v>59</v>
      </c>
      <c r="P26" s="15">
        <f t="shared" si="1"/>
        <v>149</v>
      </c>
      <c r="R26" s="28" t="s">
        <v>86</v>
      </c>
      <c r="S26" s="16">
        <f t="shared" ref="S26:AF26" si="18">SUM(S13:S18)</f>
        <v>324</v>
      </c>
      <c r="T26" s="16">
        <f t="shared" si="18"/>
        <v>50</v>
      </c>
      <c r="U26" s="16">
        <f t="shared" si="18"/>
        <v>86</v>
      </c>
      <c r="V26" s="16">
        <f t="shared" si="18"/>
        <v>293</v>
      </c>
      <c r="W26" s="16">
        <f t="shared" si="18"/>
        <v>29</v>
      </c>
      <c r="X26" s="16">
        <f t="shared" si="18"/>
        <v>12</v>
      </c>
      <c r="Y26" s="16">
        <f t="shared" si="18"/>
        <v>162</v>
      </c>
      <c r="Z26" s="16">
        <f t="shared" si="18"/>
        <v>56</v>
      </c>
      <c r="AA26" s="16">
        <f t="shared" si="18"/>
        <v>21</v>
      </c>
      <c r="AB26" s="16">
        <f t="shared" si="18"/>
        <v>2</v>
      </c>
      <c r="AC26" s="16">
        <f t="shared" si="18"/>
        <v>2063</v>
      </c>
      <c r="AD26" s="16">
        <f t="shared" si="18"/>
        <v>0</v>
      </c>
      <c r="AE26" s="32">
        <f t="shared" si="18"/>
        <v>1035</v>
      </c>
      <c r="AF26" s="32">
        <f t="shared" si="18"/>
        <v>3098</v>
      </c>
    </row>
    <row r="27" spans="2:32" ht="23.1" customHeight="1" x14ac:dyDescent="0.25">
      <c r="B27" s="23" t="s">
        <v>54</v>
      </c>
      <c r="C27" s="50">
        <v>16</v>
      </c>
      <c r="D27" s="50">
        <v>4</v>
      </c>
      <c r="E27" s="50">
        <v>1</v>
      </c>
      <c r="F27" s="50">
        <v>18</v>
      </c>
      <c r="G27" s="50">
        <v>10</v>
      </c>
      <c r="H27" s="50">
        <v>1</v>
      </c>
      <c r="I27" s="50">
        <v>4</v>
      </c>
      <c r="J27" s="50">
        <v>0</v>
      </c>
      <c r="K27" s="50">
        <v>0</v>
      </c>
      <c r="L27" s="50">
        <v>0</v>
      </c>
      <c r="M27" s="50">
        <v>83</v>
      </c>
      <c r="N27" s="50">
        <v>0</v>
      </c>
      <c r="O27" s="15">
        <f t="shared" si="0"/>
        <v>54</v>
      </c>
      <c r="P27" s="15">
        <f t="shared" si="1"/>
        <v>137</v>
      </c>
      <c r="R27" s="29" t="s">
        <v>87</v>
      </c>
      <c r="S27" s="16">
        <f t="shared" ref="S27:AF27" si="19">SUM(S19:S21)</f>
        <v>197</v>
      </c>
      <c r="T27" s="16">
        <f t="shared" si="19"/>
        <v>36</v>
      </c>
      <c r="U27" s="16">
        <f t="shared" si="19"/>
        <v>36</v>
      </c>
      <c r="V27" s="16">
        <f t="shared" si="19"/>
        <v>161</v>
      </c>
      <c r="W27" s="16">
        <f t="shared" si="19"/>
        <v>5</v>
      </c>
      <c r="X27" s="16">
        <f t="shared" si="19"/>
        <v>7</v>
      </c>
      <c r="Y27" s="16">
        <f t="shared" si="19"/>
        <v>92</v>
      </c>
      <c r="Z27" s="16">
        <f t="shared" si="19"/>
        <v>14</v>
      </c>
      <c r="AA27" s="16">
        <f t="shared" si="19"/>
        <v>1</v>
      </c>
      <c r="AB27" s="16">
        <f t="shared" si="19"/>
        <v>6</v>
      </c>
      <c r="AC27" s="16">
        <f t="shared" si="19"/>
        <v>1028</v>
      </c>
      <c r="AD27" s="16">
        <f t="shared" si="19"/>
        <v>0</v>
      </c>
      <c r="AE27" s="32">
        <f t="shared" si="19"/>
        <v>555</v>
      </c>
      <c r="AF27" s="32">
        <f t="shared" si="19"/>
        <v>1583</v>
      </c>
    </row>
    <row r="28" spans="2:32" ht="23.1" customHeight="1" x14ac:dyDescent="0.25">
      <c r="B28" s="23" t="s">
        <v>55</v>
      </c>
      <c r="C28" s="50">
        <v>19</v>
      </c>
      <c r="D28" s="50">
        <v>0</v>
      </c>
      <c r="E28" s="50">
        <v>6</v>
      </c>
      <c r="F28" s="50">
        <v>9</v>
      </c>
      <c r="G28" s="50">
        <v>7</v>
      </c>
      <c r="H28" s="50">
        <v>2</v>
      </c>
      <c r="I28" s="50">
        <v>12</v>
      </c>
      <c r="J28" s="50">
        <v>2</v>
      </c>
      <c r="K28" s="50">
        <v>1</v>
      </c>
      <c r="L28" s="50">
        <v>0</v>
      </c>
      <c r="M28" s="50">
        <v>99</v>
      </c>
      <c r="N28" s="50">
        <v>0</v>
      </c>
      <c r="O28" s="15">
        <f t="shared" si="0"/>
        <v>58</v>
      </c>
      <c r="P28" s="15">
        <f t="shared" si="1"/>
        <v>157</v>
      </c>
      <c r="R28" s="5" t="s">
        <v>17</v>
      </c>
      <c r="S28" s="16">
        <f t="shared" ref="S28:AF28" si="20">SUM(S10:S21)</f>
        <v>627</v>
      </c>
      <c r="T28" s="16">
        <f t="shared" si="20"/>
        <v>126</v>
      </c>
      <c r="U28" s="16">
        <f t="shared" si="20"/>
        <v>153</v>
      </c>
      <c r="V28" s="16">
        <f t="shared" si="20"/>
        <v>624</v>
      </c>
      <c r="W28" s="16">
        <f t="shared" si="20"/>
        <v>35</v>
      </c>
      <c r="X28" s="16">
        <f t="shared" si="20"/>
        <v>24</v>
      </c>
      <c r="Y28" s="16">
        <f t="shared" si="20"/>
        <v>300</v>
      </c>
      <c r="Z28" s="16">
        <f t="shared" si="20"/>
        <v>82</v>
      </c>
      <c r="AA28" s="16">
        <f t="shared" si="20"/>
        <v>31</v>
      </c>
      <c r="AB28" s="16">
        <f t="shared" si="20"/>
        <v>8</v>
      </c>
      <c r="AC28" s="16">
        <f t="shared" si="20"/>
        <v>4279</v>
      </c>
      <c r="AD28" s="16">
        <f t="shared" si="20"/>
        <v>0</v>
      </c>
      <c r="AE28" s="32">
        <f t="shared" si="20"/>
        <v>2010</v>
      </c>
      <c r="AF28" s="32">
        <f t="shared" si="20"/>
        <v>6289</v>
      </c>
    </row>
    <row r="29" spans="2:32" ht="23.1" customHeight="1" x14ac:dyDescent="0.25">
      <c r="B29" s="23" t="s">
        <v>56</v>
      </c>
      <c r="C29" s="50">
        <v>20</v>
      </c>
      <c r="D29" s="50">
        <v>0</v>
      </c>
      <c r="E29" s="50">
        <v>1</v>
      </c>
      <c r="F29" s="50">
        <v>10</v>
      </c>
      <c r="G29" s="50">
        <v>7</v>
      </c>
      <c r="H29" s="50">
        <v>0</v>
      </c>
      <c r="I29" s="50">
        <v>9</v>
      </c>
      <c r="J29" s="50">
        <v>0</v>
      </c>
      <c r="K29" s="50">
        <v>2</v>
      </c>
      <c r="L29" s="50">
        <v>0</v>
      </c>
      <c r="M29" s="50">
        <v>89</v>
      </c>
      <c r="N29" s="50">
        <v>0</v>
      </c>
      <c r="O29" s="15">
        <f t="shared" si="0"/>
        <v>49</v>
      </c>
      <c r="P29" s="15">
        <f t="shared" si="1"/>
        <v>138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2</v>
      </c>
      <c r="E30" s="50">
        <v>10</v>
      </c>
      <c r="F30" s="50">
        <v>12</v>
      </c>
      <c r="G30" s="50">
        <v>0</v>
      </c>
      <c r="H30" s="50">
        <v>0</v>
      </c>
      <c r="I30" s="50">
        <v>13</v>
      </c>
      <c r="J30" s="50">
        <v>0</v>
      </c>
      <c r="K30" s="50">
        <v>2</v>
      </c>
      <c r="L30" s="50">
        <v>1</v>
      </c>
      <c r="M30" s="50">
        <v>110</v>
      </c>
      <c r="N30" s="50">
        <v>0</v>
      </c>
      <c r="O30" s="15">
        <f t="shared" si="0"/>
        <v>48</v>
      </c>
      <c r="P30" s="15">
        <f t="shared" si="1"/>
        <v>158</v>
      </c>
    </row>
    <row r="31" spans="2:32" ht="23.1" customHeight="1" x14ac:dyDescent="0.25">
      <c r="B31" s="24" t="s">
        <v>58</v>
      </c>
      <c r="C31" s="50">
        <v>18</v>
      </c>
      <c r="D31" s="50">
        <v>5</v>
      </c>
      <c r="E31" s="50">
        <v>2</v>
      </c>
      <c r="F31" s="50">
        <v>20</v>
      </c>
      <c r="G31" s="50">
        <v>1</v>
      </c>
      <c r="H31" s="50">
        <v>0</v>
      </c>
      <c r="I31" s="50">
        <v>7</v>
      </c>
      <c r="J31" s="50">
        <v>0</v>
      </c>
      <c r="K31" s="50">
        <v>0</v>
      </c>
      <c r="L31" s="50">
        <v>0</v>
      </c>
      <c r="M31" s="50">
        <v>93</v>
      </c>
      <c r="N31" s="50">
        <v>0</v>
      </c>
      <c r="O31" s="15">
        <f t="shared" si="0"/>
        <v>53</v>
      </c>
      <c r="P31" s="15">
        <f t="shared" si="1"/>
        <v>146</v>
      </c>
    </row>
    <row r="32" spans="2:32" ht="23.1" customHeight="1" x14ac:dyDescent="0.25">
      <c r="B32" s="24" t="s">
        <v>59</v>
      </c>
      <c r="C32" s="50">
        <v>13</v>
      </c>
      <c r="D32" s="50">
        <v>1</v>
      </c>
      <c r="E32" s="50">
        <v>1</v>
      </c>
      <c r="F32" s="50">
        <v>5</v>
      </c>
      <c r="G32" s="50">
        <v>1</v>
      </c>
      <c r="H32" s="50">
        <v>1</v>
      </c>
      <c r="I32" s="50">
        <v>10</v>
      </c>
      <c r="J32" s="50">
        <v>1</v>
      </c>
      <c r="K32" s="50">
        <v>0</v>
      </c>
      <c r="L32" s="50">
        <v>0</v>
      </c>
      <c r="M32" s="50">
        <v>103</v>
      </c>
      <c r="N32" s="50">
        <v>0</v>
      </c>
      <c r="O32" s="15">
        <f t="shared" si="0"/>
        <v>33</v>
      </c>
      <c r="P32" s="15">
        <f t="shared" si="1"/>
        <v>136</v>
      </c>
    </row>
    <row r="33" spans="2:20" ht="23.1" customHeight="1" x14ac:dyDescent="0.25">
      <c r="B33" s="23" t="s">
        <v>60</v>
      </c>
      <c r="C33" s="50">
        <v>8</v>
      </c>
      <c r="D33" s="50">
        <v>2</v>
      </c>
      <c r="E33" s="50">
        <v>1</v>
      </c>
      <c r="F33" s="50">
        <v>16</v>
      </c>
      <c r="G33" s="50">
        <v>0</v>
      </c>
      <c r="H33" s="50">
        <v>0</v>
      </c>
      <c r="I33" s="50">
        <v>10</v>
      </c>
      <c r="J33" s="50">
        <v>2</v>
      </c>
      <c r="K33" s="50">
        <v>1</v>
      </c>
      <c r="L33" s="50">
        <v>0</v>
      </c>
      <c r="M33" s="50">
        <v>88</v>
      </c>
      <c r="N33" s="50">
        <v>0</v>
      </c>
      <c r="O33" s="15">
        <f t="shared" si="0"/>
        <v>40</v>
      </c>
      <c r="P33" s="15">
        <f t="shared" si="1"/>
        <v>128</v>
      </c>
    </row>
    <row r="34" spans="2:20" ht="23.1" customHeight="1" x14ac:dyDescent="0.25">
      <c r="B34" s="24" t="s">
        <v>61</v>
      </c>
      <c r="C34" s="50">
        <v>28</v>
      </c>
      <c r="D34" s="50">
        <v>2</v>
      </c>
      <c r="E34" s="50">
        <v>5</v>
      </c>
      <c r="F34" s="50">
        <v>22</v>
      </c>
      <c r="G34" s="50">
        <v>1</v>
      </c>
      <c r="H34" s="50">
        <v>2</v>
      </c>
      <c r="I34" s="50">
        <v>15</v>
      </c>
      <c r="J34" s="50">
        <v>7</v>
      </c>
      <c r="K34" s="50">
        <v>2</v>
      </c>
      <c r="L34" s="50">
        <v>0</v>
      </c>
      <c r="M34" s="50">
        <v>121</v>
      </c>
      <c r="N34" s="50">
        <v>0</v>
      </c>
      <c r="O34" s="15">
        <f t="shared" si="0"/>
        <v>84</v>
      </c>
      <c r="P34" s="15">
        <f t="shared" si="1"/>
        <v>205</v>
      </c>
    </row>
    <row r="35" spans="2:20" ht="23.1" customHeight="1" x14ac:dyDescent="0.25">
      <c r="B35" s="24" t="s">
        <v>62</v>
      </c>
      <c r="C35" s="50">
        <v>11</v>
      </c>
      <c r="D35" s="50">
        <v>2</v>
      </c>
      <c r="E35" s="50">
        <v>4</v>
      </c>
      <c r="F35" s="50">
        <v>8</v>
      </c>
      <c r="G35" s="50">
        <v>1</v>
      </c>
      <c r="H35" s="50">
        <v>0</v>
      </c>
      <c r="I35" s="50">
        <v>0</v>
      </c>
      <c r="J35" s="50">
        <v>0</v>
      </c>
      <c r="K35" s="50">
        <v>1</v>
      </c>
      <c r="L35" s="50">
        <v>0</v>
      </c>
      <c r="M35" s="50">
        <v>109</v>
      </c>
      <c r="N35" s="50">
        <v>0</v>
      </c>
      <c r="O35" s="15">
        <f t="shared" si="0"/>
        <v>27</v>
      </c>
      <c r="P35" s="15">
        <f t="shared" si="1"/>
        <v>136</v>
      </c>
    </row>
    <row r="36" spans="2:20" ht="23.1" customHeight="1" x14ac:dyDescent="0.25">
      <c r="B36" s="24" t="s">
        <v>63</v>
      </c>
      <c r="C36" s="50">
        <v>9</v>
      </c>
      <c r="D36" s="50">
        <v>4</v>
      </c>
      <c r="E36" s="50">
        <v>0</v>
      </c>
      <c r="F36" s="50">
        <v>12</v>
      </c>
      <c r="G36" s="50">
        <v>0</v>
      </c>
      <c r="H36" s="50">
        <v>4</v>
      </c>
      <c r="I36" s="50">
        <v>0</v>
      </c>
      <c r="J36" s="50">
        <v>3</v>
      </c>
      <c r="K36" s="50">
        <v>4</v>
      </c>
      <c r="L36" s="50">
        <v>0</v>
      </c>
      <c r="M36" s="50">
        <v>39</v>
      </c>
      <c r="N36" s="50">
        <v>0</v>
      </c>
      <c r="O36" s="15">
        <f t="shared" si="0"/>
        <v>36</v>
      </c>
      <c r="P36" s="15">
        <f t="shared" si="1"/>
        <v>75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0</v>
      </c>
      <c r="F37" s="50">
        <v>8</v>
      </c>
      <c r="G37" s="50">
        <v>0</v>
      </c>
      <c r="H37" s="50">
        <v>0</v>
      </c>
      <c r="I37" s="50">
        <v>3</v>
      </c>
      <c r="J37" s="50">
        <v>3</v>
      </c>
      <c r="K37" s="50">
        <v>3</v>
      </c>
      <c r="L37" s="50">
        <v>0</v>
      </c>
      <c r="M37" s="50">
        <v>61</v>
      </c>
      <c r="N37" s="50">
        <v>0</v>
      </c>
      <c r="O37" s="15">
        <f t="shared" si="0"/>
        <v>22</v>
      </c>
      <c r="P37" s="15">
        <f t="shared" si="1"/>
        <v>83</v>
      </c>
    </row>
    <row r="38" spans="2:20" ht="23.1" customHeight="1" x14ac:dyDescent="0.25">
      <c r="B38" s="24" t="s">
        <v>65</v>
      </c>
      <c r="C38" s="50">
        <v>18</v>
      </c>
      <c r="D38" s="50">
        <v>6</v>
      </c>
      <c r="E38" s="50">
        <v>10</v>
      </c>
      <c r="F38" s="50">
        <v>23</v>
      </c>
      <c r="G38" s="50">
        <v>0</v>
      </c>
      <c r="H38" s="50">
        <v>0</v>
      </c>
      <c r="I38" s="50">
        <v>9</v>
      </c>
      <c r="J38" s="50">
        <v>2</v>
      </c>
      <c r="K38" s="50">
        <v>0</v>
      </c>
      <c r="L38" s="50">
        <v>0</v>
      </c>
      <c r="M38" s="50">
        <v>142</v>
      </c>
      <c r="N38" s="50">
        <v>0</v>
      </c>
      <c r="O38" s="15">
        <f t="shared" si="0"/>
        <v>68</v>
      </c>
      <c r="P38" s="15">
        <f t="shared" si="1"/>
        <v>210</v>
      </c>
    </row>
    <row r="39" spans="2:20" ht="23.1" customHeight="1" x14ac:dyDescent="0.25">
      <c r="B39" s="24" t="s">
        <v>66</v>
      </c>
      <c r="C39" s="50">
        <v>22</v>
      </c>
      <c r="D39" s="50">
        <v>3</v>
      </c>
      <c r="E39" s="50">
        <v>12</v>
      </c>
      <c r="F39" s="50">
        <v>10</v>
      </c>
      <c r="G39" s="50">
        <v>0</v>
      </c>
      <c r="H39" s="50">
        <v>0</v>
      </c>
      <c r="I39" s="50">
        <v>4</v>
      </c>
      <c r="J39" s="50">
        <v>4</v>
      </c>
      <c r="K39" s="50">
        <v>0</v>
      </c>
      <c r="L39" s="50">
        <v>0</v>
      </c>
      <c r="M39" s="50">
        <v>64</v>
      </c>
      <c r="N39" s="50">
        <v>0</v>
      </c>
      <c r="O39" s="15">
        <f t="shared" si="0"/>
        <v>55</v>
      </c>
      <c r="P39" s="15">
        <f t="shared" si="1"/>
        <v>119</v>
      </c>
    </row>
    <row r="40" spans="2:20" ht="23.1" customHeight="1" x14ac:dyDescent="0.25">
      <c r="B40" s="24" t="s">
        <v>67</v>
      </c>
      <c r="C40" s="50">
        <v>7</v>
      </c>
      <c r="D40" s="50">
        <v>2</v>
      </c>
      <c r="E40" s="50">
        <v>1</v>
      </c>
      <c r="F40" s="50">
        <v>5</v>
      </c>
      <c r="G40" s="50">
        <v>1</v>
      </c>
      <c r="H40" s="50">
        <v>0</v>
      </c>
      <c r="I40" s="50">
        <v>2</v>
      </c>
      <c r="J40" s="50">
        <v>1</v>
      </c>
      <c r="K40" s="50">
        <v>2</v>
      </c>
      <c r="L40" s="50">
        <v>0</v>
      </c>
      <c r="M40" s="50">
        <v>95</v>
      </c>
      <c r="N40" s="50">
        <v>0</v>
      </c>
      <c r="O40" s="15">
        <f t="shared" si="0"/>
        <v>21</v>
      </c>
      <c r="P40" s="15">
        <f t="shared" si="1"/>
        <v>116</v>
      </c>
    </row>
    <row r="41" spans="2:20" ht="23.1" customHeight="1" x14ac:dyDescent="0.25">
      <c r="B41" s="23" t="s">
        <v>68</v>
      </c>
      <c r="C41" s="50">
        <v>16</v>
      </c>
      <c r="D41" s="50">
        <v>1</v>
      </c>
      <c r="E41" s="50">
        <v>6</v>
      </c>
      <c r="F41" s="50">
        <v>13</v>
      </c>
      <c r="G41" s="50">
        <v>0</v>
      </c>
      <c r="H41" s="50">
        <v>0</v>
      </c>
      <c r="I41" s="50">
        <v>8</v>
      </c>
      <c r="J41" s="50">
        <v>8</v>
      </c>
      <c r="K41" s="50">
        <v>0</v>
      </c>
      <c r="L41" s="50">
        <v>0</v>
      </c>
      <c r="M41" s="50">
        <v>96</v>
      </c>
      <c r="N41" s="50">
        <v>0</v>
      </c>
      <c r="O41" s="15">
        <f t="shared" si="0"/>
        <v>52</v>
      </c>
      <c r="P41" s="15">
        <f t="shared" si="1"/>
        <v>148</v>
      </c>
    </row>
    <row r="42" spans="2:20" ht="23.1" customHeight="1" x14ac:dyDescent="0.25">
      <c r="B42" s="24" t="s">
        <v>69</v>
      </c>
      <c r="C42" s="50">
        <v>9</v>
      </c>
      <c r="D42" s="50">
        <v>1</v>
      </c>
      <c r="E42" s="50">
        <v>4</v>
      </c>
      <c r="F42" s="50">
        <v>6</v>
      </c>
      <c r="G42" s="50">
        <v>0</v>
      </c>
      <c r="H42" s="50">
        <v>0</v>
      </c>
      <c r="I42" s="50">
        <v>4</v>
      </c>
      <c r="J42" s="50">
        <v>3</v>
      </c>
      <c r="K42" s="50">
        <v>0</v>
      </c>
      <c r="L42" s="50">
        <v>0</v>
      </c>
      <c r="M42" s="50">
        <v>77</v>
      </c>
      <c r="N42" s="50">
        <v>0</v>
      </c>
      <c r="O42" s="15">
        <f t="shared" si="0"/>
        <v>27</v>
      </c>
      <c r="P42" s="15">
        <f t="shared" si="1"/>
        <v>104</v>
      </c>
    </row>
    <row r="43" spans="2:20" ht="23.1" customHeight="1" x14ac:dyDescent="0.25">
      <c r="B43" s="23" t="s">
        <v>70</v>
      </c>
      <c r="C43" s="50">
        <v>14</v>
      </c>
      <c r="D43" s="50">
        <v>2</v>
      </c>
      <c r="E43" s="50">
        <v>1</v>
      </c>
      <c r="F43" s="50">
        <v>6</v>
      </c>
      <c r="G43" s="50">
        <v>0</v>
      </c>
      <c r="H43" s="50">
        <v>1</v>
      </c>
      <c r="I43" s="50">
        <v>1</v>
      </c>
      <c r="J43" s="50">
        <v>1</v>
      </c>
      <c r="K43" s="50">
        <v>0</v>
      </c>
      <c r="L43" s="50">
        <v>0</v>
      </c>
      <c r="M43" s="50">
        <v>38</v>
      </c>
      <c r="N43" s="50">
        <v>0</v>
      </c>
      <c r="O43" s="15">
        <f t="shared" si="0"/>
        <v>26</v>
      </c>
      <c r="P43" s="15">
        <f t="shared" si="1"/>
        <v>64</v>
      </c>
    </row>
    <row r="44" spans="2:20" ht="23.1" customHeight="1" x14ac:dyDescent="0.25">
      <c r="B44" s="25" t="s">
        <v>71</v>
      </c>
      <c r="C44" s="50">
        <v>24</v>
      </c>
      <c r="D44" s="50">
        <v>1</v>
      </c>
      <c r="E44" s="50">
        <v>1</v>
      </c>
      <c r="F44" s="50">
        <v>5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51</v>
      </c>
      <c r="N44" s="50">
        <v>0</v>
      </c>
      <c r="O44" s="15">
        <f t="shared" si="0"/>
        <v>32</v>
      </c>
      <c r="P44" s="15">
        <f t="shared" si="1"/>
        <v>83</v>
      </c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1</v>
      </c>
      <c r="F45" s="50">
        <v>4</v>
      </c>
      <c r="G45" s="50">
        <v>0</v>
      </c>
      <c r="H45" s="50">
        <v>0</v>
      </c>
      <c r="I45" s="50">
        <v>3</v>
      </c>
      <c r="J45" s="50">
        <v>2</v>
      </c>
      <c r="K45" s="50">
        <v>1</v>
      </c>
      <c r="L45" s="50">
        <v>0</v>
      </c>
      <c r="M45" s="50">
        <v>49</v>
      </c>
      <c r="N45" s="50">
        <v>0</v>
      </c>
      <c r="O45" s="15">
        <f>SUM(C45:L45,N45)</f>
        <v>20</v>
      </c>
      <c r="P45" s="15">
        <f>SUM(C45:N45)</f>
        <v>69</v>
      </c>
    </row>
    <row r="46" spans="2:20" ht="23.1" customHeight="1" x14ac:dyDescent="0.25">
      <c r="B46" s="24" t="s">
        <v>73</v>
      </c>
      <c r="C46" s="50">
        <v>6</v>
      </c>
      <c r="D46" s="50">
        <v>2</v>
      </c>
      <c r="E46" s="50">
        <v>1</v>
      </c>
      <c r="F46" s="50">
        <v>6</v>
      </c>
      <c r="G46" s="50">
        <v>0</v>
      </c>
      <c r="H46" s="50">
        <v>0</v>
      </c>
      <c r="I46" s="50">
        <v>8</v>
      </c>
      <c r="J46" s="50">
        <v>1</v>
      </c>
      <c r="K46" s="50">
        <v>0</v>
      </c>
      <c r="L46" s="50">
        <v>0</v>
      </c>
      <c r="M46" s="50">
        <v>74</v>
      </c>
      <c r="N46" s="50">
        <v>0</v>
      </c>
      <c r="O46" s="15">
        <f t="shared" si="0"/>
        <v>24</v>
      </c>
      <c r="P46" s="15">
        <f t="shared" si="1"/>
        <v>98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0</v>
      </c>
      <c r="E47" s="50">
        <v>2</v>
      </c>
      <c r="F47" s="50">
        <v>6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70</v>
      </c>
      <c r="N47" s="50">
        <v>0</v>
      </c>
      <c r="O47" s="15">
        <f t="shared" si="0"/>
        <v>21</v>
      </c>
      <c r="P47" s="15">
        <f t="shared" si="1"/>
        <v>91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3</v>
      </c>
      <c r="E48" s="50">
        <v>3</v>
      </c>
      <c r="F48" s="50">
        <v>10</v>
      </c>
      <c r="G48" s="50">
        <v>2</v>
      </c>
      <c r="H48" s="50">
        <v>1</v>
      </c>
      <c r="I48" s="50">
        <v>4</v>
      </c>
      <c r="J48" s="50">
        <v>2</v>
      </c>
      <c r="K48" s="50">
        <v>0</v>
      </c>
      <c r="L48" s="50">
        <v>0</v>
      </c>
      <c r="M48" s="50">
        <v>107</v>
      </c>
      <c r="N48" s="50">
        <v>0</v>
      </c>
      <c r="O48" s="15">
        <f t="shared" si="0"/>
        <v>33</v>
      </c>
      <c r="P48" s="15">
        <f t="shared" si="1"/>
        <v>140</v>
      </c>
      <c r="R48" s="8"/>
      <c r="T48"/>
    </row>
    <row r="49" spans="2:20" ht="23.1" customHeight="1" x14ac:dyDescent="0.25">
      <c r="B49" s="23" t="s">
        <v>76</v>
      </c>
      <c r="C49" s="50">
        <v>19</v>
      </c>
      <c r="D49" s="50">
        <v>3</v>
      </c>
      <c r="E49" s="50">
        <v>2</v>
      </c>
      <c r="F49" s="50">
        <v>4</v>
      </c>
      <c r="G49" s="50">
        <v>0</v>
      </c>
      <c r="H49" s="50">
        <v>1</v>
      </c>
      <c r="I49" s="50">
        <v>7</v>
      </c>
      <c r="J49" s="50">
        <v>4</v>
      </c>
      <c r="K49" s="50">
        <v>0</v>
      </c>
      <c r="L49" s="50">
        <v>1</v>
      </c>
      <c r="M49" s="50">
        <v>85</v>
      </c>
      <c r="N49" s="50">
        <v>0</v>
      </c>
      <c r="O49" s="15">
        <f t="shared" si="0"/>
        <v>41</v>
      </c>
      <c r="P49" s="15">
        <f t="shared" si="1"/>
        <v>126</v>
      </c>
      <c r="R49" s="8"/>
      <c r="T49"/>
    </row>
    <row r="50" spans="2:20" ht="23.1" customHeight="1" x14ac:dyDescent="0.25">
      <c r="B50" s="24" t="s">
        <v>77</v>
      </c>
      <c r="C50" s="50">
        <v>23</v>
      </c>
      <c r="D50" s="50">
        <v>2</v>
      </c>
      <c r="E50" s="50">
        <v>2</v>
      </c>
      <c r="F50" s="50">
        <v>26</v>
      </c>
      <c r="G50" s="50">
        <v>1</v>
      </c>
      <c r="H50" s="50">
        <v>0</v>
      </c>
      <c r="I50" s="50">
        <v>5</v>
      </c>
      <c r="J50" s="50">
        <v>0</v>
      </c>
      <c r="K50" s="50">
        <v>1</v>
      </c>
      <c r="L50" s="50">
        <v>2</v>
      </c>
      <c r="M50" s="50">
        <v>92</v>
      </c>
      <c r="N50" s="50">
        <v>0</v>
      </c>
      <c r="O50" s="15">
        <f t="shared" si="0"/>
        <v>62</v>
      </c>
      <c r="P50" s="15">
        <f t="shared" si="1"/>
        <v>154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2</v>
      </c>
      <c r="E51" s="50">
        <v>2</v>
      </c>
      <c r="F51" s="50">
        <v>11</v>
      </c>
      <c r="G51" s="50">
        <v>0</v>
      </c>
      <c r="H51" s="50">
        <v>2</v>
      </c>
      <c r="I51" s="50">
        <v>8</v>
      </c>
      <c r="J51" s="50">
        <v>0</v>
      </c>
      <c r="K51" s="50">
        <v>0</v>
      </c>
      <c r="L51" s="50">
        <v>1</v>
      </c>
      <c r="M51" s="50">
        <v>132</v>
      </c>
      <c r="N51" s="50">
        <v>0</v>
      </c>
      <c r="O51" s="15">
        <f t="shared" si="0"/>
        <v>56</v>
      </c>
      <c r="P51" s="15">
        <f t="shared" si="1"/>
        <v>188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1</v>
      </c>
      <c r="E52" s="50">
        <v>2</v>
      </c>
      <c r="F52" s="50">
        <v>14</v>
      </c>
      <c r="G52" s="50">
        <v>0</v>
      </c>
      <c r="H52" s="50">
        <v>1</v>
      </c>
      <c r="I52" s="50">
        <v>12</v>
      </c>
      <c r="J52" s="50">
        <v>1</v>
      </c>
      <c r="K52" s="50">
        <v>0</v>
      </c>
      <c r="L52" s="50">
        <v>1</v>
      </c>
      <c r="M52" s="50">
        <v>105</v>
      </c>
      <c r="N52" s="50">
        <v>0</v>
      </c>
      <c r="O52" s="15">
        <f t="shared" si="0"/>
        <v>52</v>
      </c>
      <c r="P52" s="15">
        <f t="shared" si="1"/>
        <v>157</v>
      </c>
      <c r="R52" s="8"/>
      <c r="T52"/>
    </row>
    <row r="53" spans="2:20" ht="23.1" customHeight="1" x14ac:dyDescent="0.25">
      <c r="B53" s="23" t="s">
        <v>80</v>
      </c>
      <c r="C53" s="50">
        <v>24</v>
      </c>
      <c r="D53" s="50">
        <v>4</v>
      </c>
      <c r="E53" s="50">
        <v>6</v>
      </c>
      <c r="F53" s="50">
        <v>15</v>
      </c>
      <c r="G53" s="50">
        <v>2</v>
      </c>
      <c r="H53" s="50">
        <v>0</v>
      </c>
      <c r="I53" s="50">
        <v>11</v>
      </c>
      <c r="J53" s="50">
        <v>1</v>
      </c>
      <c r="K53" s="50">
        <v>0</v>
      </c>
      <c r="L53" s="50">
        <v>1</v>
      </c>
      <c r="M53" s="50">
        <v>98</v>
      </c>
      <c r="N53" s="50">
        <v>0</v>
      </c>
      <c r="O53" s="15">
        <f t="shared" si="0"/>
        <v>64</v>
      </c>
      <c r="P53" s="15">
        <f t="shared" si="1"/>
        <v>162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4</v>
      </c>
      <c r="E54" s="50">
        <v>6</v>
      </c>
      <c r="F54" s="50">
        <v>22</v>
      </c>
      <c r="G54" s="50">
        <v>0</v>
      </c>
      <c r="H54" s="50">
        <v>0</v>
      </c>
      <c r="I54" s="50">
        <v>12</v>
      </c>
      <c r="J54" s="50">
        <v>1</v>
      </c>
      <c r="K54" s="50">
        <v>0</v>
      </c>
      <c r="L54" s="50">
        <v>0</v>
      </c>
      <c r="M54" s="50">
        <v>54</v>
      </c>
      <c r="N54" s="50">
        <v>0</v>
      </c>
      <c r="O54" s="15">
        <f t="shared" si="0"/>
        <v>58</v>
      </c>
      <c r="P54" s="15">
        <f t="shared" si="1"/>
        <v>112</v>
      </c>
      <c r="R54" s="8"/>
      <c r="T54"/>
    </row>
    <row r="55" spans="2:20" ht="23.1" customHeight="1" x14ac:dyDescent="0.25">
      <c r="B55" s="23" t="s">
        <v>82</v>
      </c>
      <c r="C55" s="50">
        <v>19</v>
      </c>
      <c r="D55" s="50">
        <v>8</v>
      </c>
      <c r="E55" s="50">
        <v>5</v>
      </c>
      <c r="F55" s="50">
        <v>24</v>
      </c>
      <c r="G55" s="50">
        <v>0</v>
      </c>
      <c r="H55" s="50">
        <v>1</v>
      </c>
      <c r="I55" s="50">
        <v>10</v>
      </c>
      <c r="J55" s="50">
        <v>0</v>
      </c>
      <c r="K55" s="50">
        <v>0</v>
      </c>
      <c r="L55" s="50">
        <v>0</v>
      </c>
      <c r="M55" s="50">
        <v>79</v>
      </c>
      <c r="N55" s="50">
        <v>0</v>
      </c>
      <c r="O55" s="15">
        <f t="shared" si="0"/>
        <v>67</v>
      </c>
      <c r="P55" s="15">
        <f t="shared" si="1"/>
        <v>146</v>
      </c>
      <c r="R55" s="8"/>
      <c r="T55"/>
    </row>
    <row r="56" spans="2:20" ht="23.1" customHeight="1" x14ac:dyDescent="0.25">
      <c r="B56" s="23" t="s">
        <v>83</v>
      </c>
      <c r="C56" s="50">
        <v>24</v>
      </c>
      <c r="D56" s="50">
        <v>3</v>
      </c>
      <c r="E56" s="50">
        <v>5</v>
      </c>
      <c r="F56" s="50">
        <v>19</v>
      </c>
      <c r="G56" s="50">
        <v>0</v>
      </c>
      <c r="H56" s="50">
        <v>1</v>
      </c>
      <c r="I56" s="50">
        <v>7</v>
      </c>
      <c r="J56" s="50">
        <v>2</v>
      </c>
      <c r="K56" s="50">
        <v>0</v>
      </c>
      <c r="L56" s="50">
        <v>0</v>
      </c>
      <c r="M56" s="50">
        <v>68</v>
      </c>
      <c r="N56" s="50">
        <v>0</v>
      </c>
      <c r="O56" s="15">
        <f t="shared" si="0"/>
        <v>61</v>
      </c>
      <c r="P56" s="15">
        <f t="shared" si="1"/>
        <v>129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4</v>
      </c>
      <c r="E57" s="50">
        <v>0</v>
      </c>
      <c r="F57" s="50">
        <v>4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64</v>
      </c>
      <c r="N57" s="50">
        <v>0</v>
      </c>
      <c r="O57" s="15">
        <f t="shared" si="0"/>
        <v>16</v>
      </c>
      <c r="P57" s="15">
        <f t="shared" si="1"/>
        <v>80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627</v>
      </c>
      <c r="D58" s="16">
        <f t="shared" si="21"/>
        <v>126</v>
      </c>
      <c r="E58" s="16">
        <f t="shared" si="21"/>
        <v>153</v>
      </c>
      <c r="F58" s="16">
        <f t="shared" si="21"/>
        <v>624</v>
      </c>
      <c r="G58" s="16">
        <f t="shared" si="21"/>
        <v>35</v>
      </c>
      <c r="H58" s="16">
        <f t="shared" si="21"/>
        <v>24</v>
      </c>
      <c r="I58" s="16">
        <f t="shared" si="21"/>
        <v>300</v>
      </c>
      <c r="J58" s="16">
        <f t="shared" si="21"/>
        <v>82</v>
      </c>
      <c r="K58" s="16">
        <f t="shared" si="21"/>
        <v>31</v>
      </c>
      <c r="L58" s="16">
        <f t="shared" si="21"/>
        <v>8</v>
      </c>
      <c r="M58" s="16">
        <f t="shared" si="21"/>
        <v>4279</v>
      </c>
      <c r="N58" s="16">
        <f t="shared" si="21"/>
        <v>0</v>
      </c>
      <c r="O58" s="16">
        <f t="shared" si="21"/>
        <v>2010</v>
      </c>
      <c r="P58" s="16">
        <f t="shared" si="21"/>
        <v>6289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9.9697885196374625E-2</v>
      </c>
      <c r="D59" s="43">
        <f t="shared" si="22"/>
        <v>2.0034981714103992E-2</v>
      </c>
      <c r="E59" s="43">
        <f t="shared" si="22"/>
        <v>2.432819208141199E-2</v>
      </c>
      <c r="F59" s="43">
        <f t="shared" si="22"/>
        <v>9.9220861822229292E-2</v>
      </c>
      <c r="G59" s="43">
        <f t="shared" si="22"/>
        <v>5.5652726983622201E-3</v>
      </c>
      <c r="H59" s="43">
        <f t="shared" si="22"/>
        <v>3.816186993162665E-3</v>
      </c>
      <c r="I59" s="43">
        <f t="shared" si="22"/>
        <v>4.7702337414533315E-2</v>
      </c>
      <c r="J59" s="43">
        <f t="shared" si="22"/>
        <v>1.3038638893305771E-2</v>
      </c>
      <c r="K59" s="43">
        <f t="shared" si="22"/>
        <v>4.9292415328351085E-3</v>
      </c>
      <c r="L59" s="43">
        <f t="shared" si="22"/>
        <v>1.2720623310542216E-3</v>
      </c>
      <c r="M59" s="43">
        <f t="shared" si="22"/>
        <v>0.68039433932262683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0.31194029850746269</v>
      </c>
      <c r="D60" s="44">
        <f t="shared" ref="D60:N60" si="23">D58/$O$58</f>
        <v>6.2686567164179099E-2</v>
      </c>
      <c r="E60" s="44">
        <f t="shared" si="23"/>
        <v>7.6119402985074622E-2</v>
      </c>
      <c r="F60" s="44">
        <f t="shared" si="23"/>
        <v>0.31044776119402984</v>
      </c>
      <c r="G60" s="44">
        <f t="shared" si="23"/>
        <v>1.7412935323383085E-2</v>
      </c>
      <c r="H60" s="44">
        <f t="shared" si="23"/>
        <v>1.1940298507462687E-2</v>
      </c>
      <c r="I60" s="44">
        <f t="shared" si="23"/>
        <v>0.14925373134328357</v>
      </c>
      <c r="J60" s="44">
        <f t="shared" si="23"/>
        <v>4.0796019900497513E-2</v>
      </c>
      <c r="K60" s="44">
        <f t="shared" si="23"/>
        <v>1.5422885572139304E-2</v>
      </c>
      <c r="L60" s="44">
        <f t="shared" si="23"/>
        <v>3.9800995024875619E-3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30" zoomScaleSheetLayoutView="30" workbookViewId="0">
      <selection activeCell="G5" sqref="G5:H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3" t="str">
        <f>'22.07 Nakawuka-Nateete'!G5:H5</f>
        <v>TAKUWA BEST FEEDS</v>
      </c>
      <c r="H5" s="64"/>
      <c r="I5" s="14"/>
      <c r="J5" s="2" t="s">
        <v>5</v>
      </c>
      <c r="K5" s="63" t="str">
        <f>'22.07 Nakawuka-Nateete'!K5:L5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Nakawuka-Nateete'!D6:E6</f>
        <v>NAKAWUKA</v>
      </c>
      <c r="E6" s="64"/>
      <c r="F6" s="2" t="s">
        <v>2</v>
      </c>
      <c r="G6" s="63" t="str">
        <f>'22.07 Nakawuka-Nateete'!G6:H6</f>
        <v>NATEETE</v>
      </c>
      <c r="H6" s="64"/>
      <c r="J6" s="2" t="s">
        <v>21</v>
      </c>
      <c r="K6" s="63" t="str">
        <f>'22.07 Nakawuka-Nateete'!K6:L6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38</v>
      </c>
      <c r="D10" s="50">
        <v>10</v>
      </c>
      <c r="E10" s="50">
        <v>5</v>
      </c>
      <c r="F10" s="50">
        <v>37</v>
      </c>
      <c r="G10" s="50">
        <v>1</v>
      </c>
      <c r="H10" s="50">
        <v>0</v>
      </c>
      <c r="I10" s="50">
        <v>18</v>
      </c>
      <c r="J10" s="50">
        <v>4</v>
      </c>
      <c r="K10" s="50">
        <v>2</v>
      </c>
      <c r="L10" s="50">
        <v>0</v>
      </c>
      <c r="M10" s="50">
        <v>105</v>
      </c>
      <c r="N10" s="50">
        <v>0</v>
      </c>
      <c r="O10" s="15">
        <f t="shared" ref="O10:O57" si="0">SUM(C10:L10,N10)</f>
        <v>115</v>
      </c>
      <c r="P10" s="15">
        <f t="shared" ref="P10:P57" si="1">SUM(C10:N10)</f>
        <v>220</v>
      </c>
      <c r="R10" s="1" t="s">
        <v>6</v>
      </c>
      <c r="S10" s="17">
        <f t="shared" ref="S10:AF10" si="2">SUM(C10:C13)</f>
        <v>164</v>
      </c>
      <c r="T10" s="17">
        <f t="shared" si="2"/>
        <v>53</v>
      </c>
      <c r="U10" s="17">
        <f t="shared" si="2"/>
        <v>39</v>
      </c>
      <c r="V10" s="17">
        <f t="shared" si="2"/>
        <v>175</v>
      </c>
      <c r="W10" s="17">
        <f t="shared" si="2"/>
        <v>4</v>
      </c>
      <c r="X10" s="17">
        <f t="shared" si="2"/>
        <v>0</v>
      </c>
      <c r="Y10" s="17">
        <f t="shared" si="2"/>
        <v>44</v>
      </c>
      <c r="Z10" s="17">
        <f t="shared" si="2"/>
        <v>18</v>
      </c>
      <c r="AA10" s="17">
        <f t="shared" si="2"/>
        <v>8</v>
      </c>
      <c r="AB10" s="17">
        <f t="shared" si="2"/>
        <v>1</v>
      </c>
      <c r="AC10" s="17">
        <f t="shared" si="2"/>
        <v>452</v>
      </c>
      <c r="AD10" s="17">
        <f t="shared" si="2"/>
        <v>0</v>
      </c>
      <c r="AE10" s="31">
        <f t="shared" si="2"/>
        <v>506</v>
      </c>
      <c r="AF10" s="31">
        <f t="shared" si="2"/>
        <v>958</v>
      </c>
    </row>
    <row r="11" spans="2:32" s="6" customFormat="1" ht="23.1" customHeight="1" x14ac:dyDescent="0.25">
      <c r="B11" s="23" t="s">
        <v>38</v>
      </c>
      <c r="C11" s="50">
        <v>36</v>
      </c>
      <c r="D11" s="50">
        <v>11</v>
      </c>
      <c r="E11" s="50">
        <v>18</v>
      </c>
      <c r="F11" s="50">
        <v>42</v>
      </c>
      <c r="G11" s="50">
        <v>1</v>
      </c>
      <c r="H11" s="50">
        <v>0</v>
      </c>
      <c r="I11" s="50">
        <v>8</v>
      </c>
      <c r="J11" s="50">
        <v>5</v>
      </c>
      <c r="K11" s="50">
        <v>3</v>
      </c>
      <c r="L11" s="50">
        <v>1</v>
      </c>
      <c r="M11" s="50">
        <v>111</v>
      </c>
      <c r="N11" s="50">
        <v>0</v>
      </c>
      <c r="O11" s="15">
        <f t="shared" si="0"/>
        <v>125</v>
      </c>
      <c r="P11" s="15">
        <f t="shared" si="1"/>
        <v>236</v>
      </c>
      <c r="R11" s="1" t="s">
        <v>7</v>
      </c>
      <c r="S11" s="17">
        <f t="shared" ref="S11:AF11" si="3">SUM(C14:C17)</f>
        <v>154</v>
      </c>
      <c r="T11" s="17">
        <f t="shared" si="3"/>
        <v>45</v>
      </c>
      <c r="U11" s="17">
        <f t="shared" si="3"/>
        <v>32</v>
      </c>
      <c r="V11" s="17">
        <f t="shared" si="3"/>
        <v>163</v>
      </c>
      <c r="W11" s="17">
        <f t="shared" si="3"/>
        <v>2</v>
      </c>
      <c r="X11" s="17">
        <f t="shared" si="3"/>
        <v>2</v>
      </c>
      <c r="Y11" s="17">
        <f t="shared" si="3"/>
        <v>24</v>
      </c>
      <c r="Z11" s="17">
        <f t="shared" si="3"/>
        <v>25</v>
      </c>
      <c r="AA11" s="17">
        <f t="shared" si="3"/>
        <v>1</v>
      </c>
      <c r="AB11" s="17">
        <f t="shared" si="3"/>
        <v>0</v>
      </c>
      <c r="AC11" s="17">
        <f t="shared" si="3"/>
        <v>390</v>
      </c>
      <c r="AD11" s="17">
        <f t="shared" si="3"/>
        <v>0</v>
      </c>
      <c r="AE11" s="31">
        <f t="shared" si="3"/>
        <v>448</v>
      </c>
      <c r="AF11" s="31">
        <f t="shared" si="3"/>
        <v>838</v>
      </c>
    </row>
    <row r="12" spans="2:32" ht="23.1" customHeight="1" x14ac:dyDescent="0.25">
      <c r="B12" s="23" t="s">
        <v>39</v>
      </c>
      <c r="C12" s="50">
        <v>42</v>
      </c>
      <c r="D12" s="50">
        <v>15</v>
      </c>
      <c r="E12" s="50">
        <v>6</v>
      </c>
      <c r="F12" s="50">
        <v>45</v>
      </c>
      <c r="G12" s="50">
        <v>1</v>
      </c>
      <c r="H12" s="50">
        <v>0</v>
      </c>
      <c r="I12" s="50">
        <v>5</v>
      </c>
      <c r="J12" s="50">
        <v>3</v>
      </c>
      <c r="K12" s="50">
        <v>1</v>
      </c>
      <c r="L12" s="50">
        <v>0</v>
      </c>
      <c r="M12" s="50">
        <v>115</v>
      </c>
      <c r="N12" s="50">
        <v>0</v>
      </c>
      <c r="O12" s="15">
        <f t="shared" si="0"/>
        <v>118</v>
      </c>
      <c r="P12" s="15">
        <f t="shared" si="1"/>
        <v>233</v>
      </c>
      <c r="R12" s="1" t="s">
        <v>8</v>
      </c>
      <c r="S12" s="17">
        <f t="shared" ref="S12:AF12" si="4">SUM(C18:C21)</f>
        <v>71</v>
      </c>
      <c r="T12" s="17">
        <f t="shared" si="4"/>
        <v>30</v>
      </c>
      <c r="U12" s="17">
        <f t="shared" si="4"/>
        <v>19</v>
      </c>
      <c r="V12" s="17">
        <f t="shared" si="4"/>
        <v>93</v>
      </c>
      <c r="W12" s="17">
        <f t="shared" si="4"/>
        <v>0</v>
      </c>
      <c r="X12" s="17">
        <f t="shared" si="4"/>
        <v>2</v>
      </c>
      <c r="Y12" s="17">
        <f t="shared" si="4"/>
        <v>16</v>
      </c>
      <c r="Z12" s="17">
        <f t="shared" si="4"/>
        <v>30</v>
      </c>
      <c r="AA12" s="17">
        <f t="shared" si="4"/>
        <v>1</v>
      </c>
      <c r="AB12" s="17">
        <f t="shared" si="4"/>
        <v>4</v>
      </c>
      <c r="AC12" s="17">
        <f t="shared" si="4"/>
        <v>279</v>
      </c>
      <c r="AD12" s="17">
        <f t="shared" si="4"/>
        <v>0</v>
      </c>
      <c r="AE12" s="31">
        <f t="shared" si="4"/>
        <v>266</v>
      </c>
      <c r="AF12" s="31">
        <f t="shared" si="4"/>
        <v>545</v>
      </c>
    </row>
    <row r="13" spans="2:32" ht="23.1" customHeight="1" x14ac:dyDescent="0.25">
      <c r="B13" s="23" t="s">
        <v>40</v>
      </c>
      <c r="C13" s="50">
        <v>48</v>
      </c>
      <c r="D13" s="50">
        <v>17</v>
      </c>
      <c r="E13" s="50">
        <v>10</v>
      </c>
      <c r="F13" s="50">
        <v>51</v>
      </c>
      <c r="G13" s="50">
        <v>1</v>
      </c>
      <c r="H13" s="50">
        <v>0</v>
      </c>
      <c r="I13" s="50">
        <v>13</v>
      </c>
      <c r="J13" s="50">
        <v>6</v>
      </c>
      <c r="K13" s="50">
        <v>2</v>
      </c>
      <c r="L13" s="50">
        <v>0</v>
      </c>
      <c r="M13" s="50">
        <v>121</v>
      </c>
      <c r="N13" s="50">
        <v>0</v>
      </c>
      <c r="O13" s="15">
        <f t="shared" si="0"/>
        <v>148</v>
      </c>
      <c r="P13" s="15">
        <f t="shared" si="1"/>
        <v>269</v>
      </c>
      <c r="R13" s="1" t="s">
        <v>9</v>
      </c>
      <c r="S13" s="17">
        <f t="shared" ref="S13:AF13" si="5">SUM(C22:C25)</f>
        <v>101</v>
      </c>
      <c r="T13" s="17">
        <f t="shared" si="5"/>
        <v>29</v>
      </c>
      <c r="U13" s="17">
        <f t="shared" si="5"/>
        <v>21</v>
      </c>
      <c r="V13" s="17">
        <f t="shared" si="5"/>
        <v>101</v>
      </c>
      <c r="W13" s="17">
        <f t="shared" si="5"/>
        <v>2</v>
      </c>
      <c r="X13" s="17">
        <f t="shared" si="5"/>
        <v>0</v>
      </c>
      <c r="Y13" s="17">
        <f t="shared" si="5"/>
        <v>24</v>
      </c>
      <c r="Z13" s="17">
        <f t="shared" si="5"/>
        <v>22</v>
      </c>
      <c r="AA13" s="17">
        <f t="shared" si="5"/>
        <v>2</v>
      </c>
      <c r="AB13" s="17">
        <f t="shared" si="5"/>
        <v>2</v>
      </c>
      <c r="AC13" s="17">
        <f t="shared" si="5"/>
        <v>377</v>
      </c>
      <c r="AD13" s="17">
        <f t="shared" si="5"/>
        <v>0</v>
      </c>
      <c r="AE13" s="31">
        <f t="shared" si="5"/>
        <v>304</v>
      </c>
      <c r="AF13" s="31">
        <f t="shared" si="5"/>
        <v>681</v>
      </c>
    </row>
    <row r="14" spans="2:32" ht="23.1" customHeight="1" x14ac:dyDescent="0.25">
      <c r="B14" s="23" t="s">
        <v>41</v>
      </c>
      <c r="C14" s="50">
        <v>40</v>
      </c>
      <c r="D14" s="50">
        <v>12</v>
      </c>
      <c r="E14" s="50">
        <v>8</v>
      </c>
      <c r="F14" s="50">
        <v>38</v>
      </c>
      <c r="G14" s="50">
        <v>0</v>
      </c>
      <c r="H14" s="50">
        <v>1</v>
      </c>
      <c r="I14" s="50">
        <v>7</v>
      </c>
      <c r="J14" s="50">
        <v>4</v>
      </c>
      <c r="K14" s="50">
        <v>0</v>
      </c>
      <c r="L14" s="50">
        <v>0</v>
      </c>
      <c r="M14" s="50">
        <v>120</v>
      </c>
      <c r="N14" s="50">
        <v>0</v>
      </c>
      <c r="O14" s="15">
        <f t="shared" si="0"/>
        <v>110</v>
      </c>
      <c r="P14" s="15">
        <f t="shared" si="1"/>
        <v>230</v>
      </c>
      <c r="R14" s="1" t="s">
        <v>10</v>
      </c>
      <c r="S14" s="17">
        <f t="shared" ref="S14:AF14" si="6">SUM(C26:C29)</f>
        <v>70</v>
      </c>
      <c r="T14" s="17">
        <f t="shared" si="6"/>
        <v>29</v>
      </c>
      <c r="U14" s="17">
        <f t="shared" si="6"/>
        <v>25</v>
      </c>
      <c r="V14" s="17">
        <f t="shared" si="6"/>
        <v>84</v>
      </c>
      <c r="W14" s="17">
        <f t="shared" si="6"/>
        <v>1</v>
      </c>
      <c r="X14" s="17">
        <f t="shared" si="6"/>
        <v>0</v>
      </c>
      <c r="Y14" s="17">
        <f t="shared" si="6"/>
        <v>14</v>
      </c>
      <c r="Z14" s="17">
        <f t="shared" si="6"/>
        <v>28</v>
      </c>
      <c r="AA14" s="17">
        <f t="shared" si="6"/>
        <v>3</v>
      </c>
      <c r="AB14" s="17">
        <f t="shared" si="6"/>
        <v>4</v>
      </c>
      <c r="AC14" s="17">
        <f t="shared" si="6"/>
        <v>332</v>
      </c>
      <c r="AD14" s="17">
        <f t="shared" si="6"/>
        <v>0</v>
      </c>
      <c r="AE14" s="31">
        <f t="shared" si="6"/>
        <v>258</v>
      </c>
      <c r="AF14" s="31">
        <f t="shared" si="6"/>
        <v>590</v>
      </c>
    </row>
    <row r="15" spans="2:32" ht="23.1" customHeight="1" x14ac:dyDescent="0.25">
      <c r="B15" s="23" t="s">
        <v>42</v>
      </c>
      <c r="C15" s="50">
        <v>42</v>
      </c>
      <c r="D15" s="50">
        <v>14</v>
      </c>
      <c r="E15" s="50">
        <v>9</v>
      </c>
      <c r="F15" s="50">
        <v>32</v>
      </c>
      <c r="G15" s="50">
        <v>2</v>
      </c>
      <c r="H15" s="50">
        <v>1</v>
      </c>
      <c r="I15" s="50">
        <v>8</v>
      </c>
      <c r="J15" s="50">
        <v>9</v>
      </c>
      <c r="K15" s="50">
        <v>1</v>
      </c>
      <c r="L15" s="50">
        <v>0</v>
      </c>
      <c r="M15" s="50">
        <v>97</v>
      </c>
      <c r="N15" s="50">
        <v>0</v>
      </c>
      <c r="O15" s="15">
        <f t="shared" si="0"/>
        <v>118</v>
      </c>
      <c r="P15" s="15">
        <f t="shared" si="1"/>
        <v>215</v>
      </c>
      <c r="R15" s="1" t="s">
        <v>11</v>
      </c>
      <c r="S15" s="17">
        <f t="shared" ref="S15:AF15" si="7">SUM(C30:C33)</f>
        <v>58</v>
      </c>
      <c r="T15" s="17">
        <f t="shared" si="7"/>
        <v>29</v>
      </c>
      <c r="U15" s="17">
        <f t="shared" si="7"/>
        <v>21</v>
      </c>
      <c r="V15" s="17">
        <f t="shared" si="7"/>
        <v>73</v>
      </c>
      <c r="W15" s="17">
        <f t="shared" si="7"/>
        <v>0</v>
      </c>
      <c r="X15" s="17">
        <f t="shared" si="7"/>
        <v>0</v>
      </c>
      <c r="Y15" s="17">
        <f t="shared" si="7"/>
        <v>12</v>
      </c>
      <c r="Z15" s="17">
        <f t="shared" si="7"/>
        <v>26</v>
      </c>
      <c r="AA15" s="17">
        <f t="shared" si="7"/>
        <v>2</v>
      </c>
      <c r="AB15" s="17">
        <f t="shared" si="7"/>
        <v>2</v>
      </c>
      <c r="AC15" s="17">
        <f t="shared" si="7"/>
        <v>354</v>
      </c>
      <c r="AD15" s="17">
        <f t="shared" si="7"/>
        <v>0</v>
      </c>
      <c r="AE15" s="31">
        <f t="shared" si="7"/>
        <v>223</v>
      </c>
      <c r="AF15" s="31">
        <f t="shared" si="7"/>
        <v>577</v>
      </c>
    </row>
    <row r="16" spans="2:32" ht="23.1" customHeight="1" x14ac:dyDescent="0.25">
      <c r="B16" s="23" t="s">
        <v>43</v>
      </c>
      <c r="C16" s="50">
        <v>42</v>
      </c>
      <c r="D16" s="50">
        <v>6</v>
      </c>
      <c r="E16" s="50">
        <v>5</v>
      </c>
      <c r="F16" s="50">
        <v>43</v>
      </c>
      <c r="G16" s="50">
        <v>0</v>
      </c>
      <c r="H16" s="50">
        <v>0</v>
      </c>
      <c r="I16" s="50">
        <v>4</v>
      </c>
      <c r="J16" s="50">
        <v>7</v>
      </c>
      <c r="K16" s="50">
        <v>0</v>
      </c>
      <c r="L16" s="50">
        <v>0</v>
      </c>
      <c r="M16" s="50">
        <v>85</v>
      </c>
      <c r="N16" s="50">
        <v>0</v>
      </c>
      <c r="O16" s="15">
        <f t="shared" si="0"/>
        <v>107</v>
      </c>
      <c r="P16" s="15">
        <f t="shared" si="1"/>
        <v>192</v>
      </c>
      <c r="R16" s="1" t="s">
        <v>12</v>
      </c>
      <c r="S16" s="17">
        <f t="shared" ref="S16:AF16" si="8">SUM(C34:C37)</f>
        <v>51</v>
      </c>
      <c r="T16" s="17">
        <f t="shared" si="8"/>
        <v>16</v>
      </c>
      <c r="U16" s="17">
        <f t="shared" si="8"/>
        <v>18</v>
      </c>
      <c r="V16" s="17">
        <f t="shared" si="8"/>
        <v>65</v>
      </c>
      <c r="W16" s="17">
        <f t="shared" si="8"/>
        <v>0</v>
      </c>
      <c r="X16" s="17">
        <f t="shared" si="8"/>
        <v>0</v>
      </c>
      <c r="Y16" s="17">
        <f t="shared" si="8"/>
        <v>24</v>
      </c>
      <c r="Z16" s="17">
        <f t="shared" si="8"/>
        <v>14</v>
      </c>
      <c r="AA16" s="17">
        <f t="shared" si="8"/>
        <v>2</v>
      </c>
      <c r="AB16" s="17">
        <f t="shared" si="8"/>
        <v>3</v>
      </c>
      <c r="AC16" s="17">
        <f t="shared" si="8"/>
        <v>366</v>
      </c>
      <c r="AD16" s="17">
        <f t="shared" si="8"/>
        <v>0</v>
      </c>
      <c r="AE16" s="31">
        <f t="shared" si="8"/>
        <v>193</v>
      </c>
      <c r="AF16" s="31">
        <f t="shared" si="8"/>
        <v>559</v>
      </c>
    </row>
    <row r="17" spans="2:32" ht="23.1" customHeight="1" x14ac:dyDescent="0.25">
      <c r="B17" s="23" t="s">
        <v>44</v>
      </c>
      <c r="C17" s="50">
        <v>30</v>
      </c>
      <c r="D17" s="50">
        <v>13</v>
      </c>
      <c r="E17" s="50">
        <v>10</v>
      </c>
      <c r="F17" s="50">
        <v>50</v>
      </c>
      <c r="G17" s="50">
        <v>0</v>
      </c>
      <c r="H17" s="50">
        <v>0</v>
      </c>
      <c r="I17" s="50">
        <v>5</v>
      </c>
      <c r="J17" s="50">
        <v>5</v>
      </c>
      <c r="K17" s="50">
        <v>0</v>
      </c>
      <c r="L17" s="50">
        <v>0</v>
      </c>
      <c r="M17" s="50">
        <v>88</v>
      </c>
      <c r="N17" s="50">
        <v>0</v>
      </c>
      <c r="O17" s="15">
        <f t="shared" si="0"/>
        <v>113</v>
      </c>
      <c r="P17" s="15">
        <f t="shared" si="1"/>
        <v>201</v>
      </c>
      <c r="R17" s="1" t="s">
        <v>13</v>
      </c>
      <c r="S17" s="17">
        <f t="shared" ref="S17:AF17" si="9">SUM(C38:C41)</f>
        <v>39</v>
      </c>
      <c r="T17" s="17">
        <f t="shared" si="9"/>
        <v>20</v>
      </c>
      <c r="U17" s="17">
        <f t="shared" si="9"/>
        <v>24</v>
      </c>
      <c r="V17" s="17">
        <f t="shared" si="9"/>
        <v>52</v>
      </c>
      <c r="W17" s="17">
        <f t="shared" si="9"/>
        <v>9</v>
      </c>
      <c r="X17" s="17">
        <f t="shared" si="9"/>
        <v>0</v>
      </c>
      <c r="Y17" s="17">
        <f t="shared" si="9"/>
        <v>19</v>
      </c>
      <c r="Z17" s="17">
        <f t="shared" si="9"/>
        <v>26</v>
      </c>
      <c r="AA17" s="17">
        <f t="shared" si="9"/>
        <v>6</v>
      </c>
      <c r="AB17" s="17">
        <f t="shared" si="9"/>
        <v>3</v>
      </c>
      <c r="AC17" s="17">
        <f t="shared" si="9"/>
        <v>336</v>
      </c>
      <c r="AD17" s="17">
        <f t="shared" si="9"/>
        <v>0</v>
      </c>
      <c r="AE17" s="31">
        <f t="shared" si="9"/>
        <v>198</v>
      </c>
      <c r="AF17" s="31">
        <f t="shared" si="9"/>
        <v>534</v>
      </c>
    </row>
    <row r="18" spans="2:32" ht="23.1" customHeight="1" x14ac:dyDescent="0.25">
      <c r="B18" s="23" t="s">
        <v>45</v>
      </c>
      <c r="C18" s="50">
        <v>25</v>
      </c>
      <c r="D18" s="50">
        <v>15</v>
      </c>
      <c r="E18" s="50">
        <v>3</v>
      </c>
      <c r="F18" s="50">
        <v>30</v>
      </c>
      <c r="G18" s="50">
        <v>0</v>
      </c>
      <c r="H18" s="50">
        <v>0</v>
      </c>
      <c r="I18" s="50">
        <v>8</v>
      </c>
      <c r="J18" s="50">
        <v>10</v>
      </c>
      <c r="K18" s="50">
        <v>1</v>
      </c>
      <c r="L18" s="50">
        <v>1</v>
      </c>
      <c r="M18" s="50">
        <v>69</v>
      </c>
      <c r="N18" s="50">
        <v>0</v>
      </c>
      <c r="O18" s="15">
        <f t="shared" si="0"/>
        <v>93</v>
      </c>
      <c r="P18" s="15">
        <f t="shared" si="1"/>
        <v>162</v>
      </c>
      <c r="R18" s="1" t="s">
        <v>14</v>
      </c>
      <c r="S18" s="17">
        <f t="shared" ref="S18:AF18" si="10">SUM(C42:C45)</f>
        <v>56</v>
      </c>
      <c r="T18" s="17">
        <f t="shared" si="10"/>
        <v>26</v>
      </c>
      <c r="U18" s="17">
        <f t="shared" si="10"/>
        <v>19</v>
      </c>
      <c r="V18" s="17">
        <f t="shared" si="10"/>
        <v>58</v>
      </c>
      <c r="W18" s="17">
        <f t="shared" si="10"/>
        <v>3</v>
      </c>
      <c r="X18" s="17">
        <f t="shared" si="10"/>
        <v>0</v>
      </c>
      <c r="Y18" s="17">
        <f t="shared" si="10"/>
        <v>18</v>
      </c>
      <c r="Z18" s="17">
        <f t="shared" si="10"/>
        <v>15</v>
      </c>
      <c r="AA18" s="17">
        <f t="shared" si="10"/>
        <v>2</v>
      </c>
      <c r="AB18" s="17">
        <f t="shared" si="10"/>
        <v>0</v>
      </c>
      <c r="AC18" s="17">
        <f t="shared" si="10"/>
        <v>336</v>
      </c>
      <c r="AD18" s="17">
        <f t="shared" si="10"/>
        <v>0</v>
      </c>
      <c r="AE18" s="31">
        <f t="shared" si="10"/>
        <v>197</v>
      </c>
      <c r="AF18" s="31">
        <f t="shared" si="10"/>
        <v>533</v>
      </c>
    </row>
    <row r="19" spans="2:32" ht="23.1" customHeight="1" x14ac:dyDescent="0.25">
      <c r="B19" s="23" t="s">
        <v>46</v>
      </c>
      <c r="C19" s="50">
        <v>23</v>
      </c>
      <c r="D19" s="50">
        <v>6</v>
      </c>
      <c r="E19" s="50">
        <v>5</v>
      </c>
      <c r="F19" s="50">
        <v>27</v>
      </c>
      <c r="G19" s="50">
        <v>0</v>
      </c>
      <c r="H19" s="50">
        <v>1</v>
      </c>
      <c r="I19" s="50">
        <v>3</v>
      </c>
      <c r="J19" s="50">
        <v>7</v>
      </c>
      <c r="K19" s="50">
        <v>0</v>
      </c>
      <c r="L19" s="50">
        <v>1</v>
      </c>
      <c r="M19" s="50">
        <v>74</v>
      </c>
      <c r="N19" s="50">
        <v>0</v>
      </c>
      <c r="O19" s="15">
        <f t="shared" si="0"/>
        <v>73</v>
      </c>
      <c r="P19" s="15">
        <f t="shared" si="1"/>
        <v>147</v>
      </c>
      <c r="R19" s="1" t="s">
        <v>15</v>
      </c>
      <c r="S19" s="17">
        <f t="shared" ref="S19:AF19" si="11">SUM(C46:C49)</f>
        <v>44</v>
      </c>
      <c r="T19" s="17">
        <f t="shared" si="11"/>
        <v>15</v>
      </c>
      <c r="U19" s="17">
        <f t="shared" si="11"/>
        <v>15</v>
      </c>
      <c r="V19" s="17">
        <f t="shared" si="11"/>
        <v>65</v>
      </c>
      <c r="W19" s="17">
        <f t="shared" si="11"/>
        <v>2</v>
      </c>
      <c r="X19" s="17">
        <f t="shared" si="11"/>
        <v>0</v>
      </c>
      <c r="Y19" s="17">
        <f t="shared" si="11"/>
        <v>18</v>
      </c>
      <c r="Z19" s="17">
        <f t="shared" si="11"/>
        <v>18</v>
      </c>
      <c r="AA19" s="17">
        <f t="shared" si="11"/>
        <v>9</v>
      </c>
      <c r="AB19" s="17">
        <f t="shared" si="11"/>
        <v>1</v>
      </c>
      <c r="AC19" s="17">
        <f t="shared" si="11"/>
        <v>409</v>
      </c>
      <c r="AD19" s="17">
        <f t="shared" si="11"/>
        <v>0</v>
      </c>
      <c r="AE19" s="31">
        <f t="shared" si="11"/>
        <v>187</v>
      </c>
      <c r="AF19" s="31">
        <f t="shared" si="11"/>
        <v>596</v>
      </c>
    </row>
    <row r="20" spans="2:32" ht="23.1" customHeight="1" x14ac:dyDescent="0.25">
      <c r="B20" s="23" t="s">
        <v>47</v>
      </c>
      <c r="C20" s="50">
        <v>17</v>
      </c>
      <c r="D20" s="50">
        <v>4</v>
      </c>
      <c r="E20" s="50">
        <v>6</v>
      </c>
      <c r="F20" s="50">
        <v>15</v>
      </c>
      <c r="G20" s="50">
        <v>0</v>
      </c>
      <c r="H20" s="50">
        <v>0</v>
      </c>
      <c r="I20" s="50">
        <v>3</v>
      </c>
      <c r="J20" s="50">
        <v>8</v>
      </c>
      <c r="K20" s="50">
        <v>0</v>
      </c>
      <c r="L20" s="50">
        <v>1</v>
      </c>
      <c r="M20" s="50">
        <v>71</v>
      </c>
      <c r="N20" s="50">
        <v>0</v>
      </c>
      <c r="O20" s="15">
        <f t="shared" si="0"/>
        <v>54</v>
      </c>
      <c r="P20" s="15">
        <f t="shared" si="1"/>
        <v>125</v>
      </c>
      <c r="R20" s="1" t="s">
        <v>16</v>
      </c>
      <c r="S20" s="17">
        <f t="shared" ref="S20:AF20" si="12">SUM(C50:C53)</f>
        <v>58</v>
      </c>
      <c r="T20" s="17">
        <f t="shared" si="12"/>
        <v>34</v>
      </c>
      <c r="U20" s="17">
        <f t="shared" si="12"/>
        <v>24</v>
      </c>
      <c r="V20" s="17">
        <f t="shared" si="12"/>
        <v>48</v>
      </c>
      <c r="W20" s="17">
        <f t="shared" si="12"/>
        <v>3</v>
      </c>
      <c r="X20" s="17">
        <f t="shared" si="12"/>
        <v>1</v>
      </c>
      <c r="Y20" s="17">
        <f t="shared" si="12"/>
        <v>21</v>
      </c>
      <c r="Z20" s="17">
        <f t="shared" si="12"/>
        <v>19</v>
      </c>
      <c r="AA20" s="17">
        <f t="shared" si="12"/>
        <v>3</v>
      </c>
      <c r="AB20" s="17">
        <f t="shared" si="12"/>
        <v>0</v>
      </c>
      <c r="AC20" s="17">
        <f t="shared" si="12"/>
        <v>346</v>
      </c>
      <c r="AD20" s="17">
        <f t="shared" si="12"/>
        <v>0</v>
      </c>
      <c r="AE20" s="31">
        <f t="shared" si="12"/>
        <v>211</v>
      </c>
      <c r="AF20" s="31">
        <f t="shared" si="12"/>
        <v>557</v>
      </c>
    </row>
    <row r="21" spans="2:32" ht="23.1" customHeight="1" x14ac:dyDescent="0.25">
      <c r="B21" s="23" t="s">
        <v>48</v>
      </c>
      <c r="C21" s="50">
        <v>6</v>
      </c>
      <c r="D21" s="50">
        <v>5</v>
      </c>
      <c r="E21" s="50">
        <v>5</v>
      </c>
      <c r="F21" s="50">
        <v>21</v>
      </c>
      <c r="G21" s="50">
        <v>0</v>
      </c>
      <c r="H21" s="50">
        <v>1</v>
      </c>
      <c r="I21" s="50">
        <v>2</v>
      </c>
      <c r="J21" s="50">
        <v>5</v>
      </c>
      <c r="K21" s="50">
        <v>0</v>
      </c>
      <c r="L21" s="50">
        <v>1</v>
      </c>
      <c r="M21" s="50">
        <v>65</v>
      </c>
      <c r="N21" s="50">
        <v>0</v>
      </c>
      <c r="O21" s="15">
        <f t="shared" si="0"/>
        <v>46</v>
      </c>
      <c r="P21" s="15">
        <f t="shared" si="1"/>
        <v>111</v>
      </c>
      <c r="R21" s="36" t="s">
        <v>20</v>
      </c>
      <c r="S21" s="34">
        <f t="shared" ref="S21:AF21" si="13">SUM(C54:C57)</f>
        <v>58</v>
      </c>
      <c r="T21" s="17">
        <f t="shared" si="13"/>
        <v>22</v>
      </c>
      <c r="U21" s="17">
        <f t="shared" si="13"/>
        <v>22</v>
      </c>
      <c r="V21" s="17">
        <f t="shared" si="13"/>
        <v>86</v>
      </c>
      <c r="W21" s="17">
        <f t="shared" si="13"/>
        <v>5</v>
      </c>
      <c r="X21" s="17">
        <f t="shared" si="13"/>
        <v>0</v>
      </c>
      <c r="Y21" s="17">
        <f t="shared" si="13"/>
        <v>12</v>
      </c>
      <c r="Z21" s="17">
        <f t="shared" si="13"/>
        <v>20</v>
      </c>
      <c r="AA21" s="17">
        <f t="shared" si="13"/>
        <v>2</v>
      </c>
      <c r="AB21" s="17">
        <f t="shared" si="13"/>
        <v>1</v>
      </c>
      <c r="AC21" s="17">
        <f t="shared" si="13"/>
        <v>443</v>
      </c>
      <c r="AD21" s="17">
        <f t="shared" si="13"/>
        <v>0</v>
      </c>
      <c r="AE21" s="31">
        <f t="shared" si="13"/>
        <v>228</v>
      </c>
      <c r="AF21" s="31">
        <f t="shared" si="13"/>
        <v>671</v>
      </c>
    </row>
    <row r="22" spans="2:32" ht="23.1" customHeight="1" x14ac:dyDescent="0.25">
      <c r="B22" s="23" t="s">
        <v>49</v>
      </c>
      <c r="C22" s="50">
        <v>24</v>
      </c>
      <c r="D22" s="50">
        <v>8</v>
      </c>
      <c r="E22" s="50">
        <v>7</v>
      </c>
      <c r="F22" s="50">
        <v>22</v>
      </c>
      <c r="G22" s="50">
        <v>2</v>
      </c>
      <c r="H22" s="50">
        <v>0</v>
      </c>
      <c r="I22" s="50">
        <v>5</v>
      </c>
      <c r="J22" s="50">
        <v>5</v>
      </c>
      <c r="K22" s="50">
        <v>0</v>
      </c>
      <c r="L22" s="50">
        <v>0</v>
      </c>
      <c r="M22" s="50">
        <v>80</v>
      </c>
      <c r="N22" s="50">
        <v>0</v>
      </c>
      <c r="O22" s="15">
        <f t="shared" si="0"/>
        <v>73</v>
      </c>
      <c r="P22" s="15">
        <f t="shared" si="1"/>
        <v>153</v>
      </c>
      <c r="R22" s="38" t="s">
        <v>90</v>
      </c>
      <c r="S22" s="39">
        <f>MAX(S10:S12)</f>
        <v>164</v>
      </c>
      <c r="T22" s="39">
        <f t="shared" ref="T22:AF22" si="14">MAX(T10:T12)</f>
        <v>53</v>
      </c>
      <c r="U22" s="39">
        <f t="shared" si="14"/>
        <v>39</v>
      </c>
      <c r="V22" s="39">
        <f t="shared" si="14"/>
        <v>175</v>
      </c>
      <c r="W22" s="39">
        <f t="shared" si="14"/>
        <v>4</v>
      </c>
      <c r="X22" s="39">
        <f t="shared" si="14"/>
        <v>2</v>
      </c>
      <c r="Y22" s="39">
        <f t="shared" si="14"/>
        <v>44</v>
      </c>
      <c r="Z22" s="39">
        <f t="shared" si="14"/>
        <v>30</v>
      </c>
      <c r="AA22" s="39">
        <f t="shared" si="14"/>
        <v>8</v>
      </c>
      <c r="AB22" s="39">
        <f t="shared" si="14"/>
        <v>4</v>
      </c>
      <c r="AC22" s="39">
        <f t="shared" si="14"/>
        <v>452</v>
      </c>
      <c r="AD22" s="39">
        <f t="shared" si="14"/>
        <v>0</v>
      </c>
      <c r="AE22" s="40">
        <f t="shared" si="14"/>
        <v>506</v>
      </c>
      <c r="AF22" s="40">
        <f t="shared" si="14"/>
        <v>958</v>
      </c>
    </row>
    <row r="23" spans="2:32" ht="23.1" customHeight="1" x14ac:dyDescent="0.25">
      <c r="B23" s="23" t="s">
        <v>50</v>
      </c>
      <c r="C23" s="50">
        <v>28</v>
      </c>
      <c r="D23" s="50">
        <v>7</v>
      </c>
      <c r="E23" s="50">
        <v>3</v>
      </c>
      <c r="F23" s="50">
        <v>31</v>
      </c>
      <c r="G23" s="50">
        <v>0</v>
      </c>
      <c r="H23" s="50">
        <v>0</v>
      </c>
      <c r="I23" s="50">
        <v>3</v>
      </c>
      <c r="J23" s="50">
        <v>6</v>
      </c>
      <c r="K23" s="50">
        <v>0</v>
      </c>
      <c r="L23" s="50">
        <v>1</v>
      </c>
      <c r="M23" s="50">
        <v>98</v>
      </c>
      <c r="N23" s="50">
        <v>0</v>
      </c>
      <c r="O23" s="15">
        <f t="shared" si="0"/>
        <v>79</v>
      </c>
      <c r="P23" s="15">
        <f t="shared" si="1"/>
        <v>177</v>
      </c>
      <c r="R23" s="38" t="s">
        <v>91</v>
      </c>
      <c r="S23" s="39">
        <f>MAX(S13:S18)</f>
        <v>101</v>
      </c>
      <c r="T23" s="39">
        <f t="shared" ref="T23:AF23" si="15">MAX(T13:T18)</f>
        <v>29</v>
      </c>
      <c r="U23" s="39">
        <f t="shared" si="15"/>
        <v>25</v>
      </c>
      <c r="V23" s="39">
        <f t="shared" si="15"/>
        <v>101</v>
      </c>
      <c r="W23" s="39">
        <f t="shared" si="15"/>
        <v>9</v>
      </c>
      <c r="X23" s="39">
        <f t="shared" si="15"/>
        <v>0</v>
      </c>
      <c r="Y23" s="39">
        <f t="shared" si="15"/>
        <v>24</v>
      </c>
      <c r="Z23" s="39">
        <f t="shared" si="15"/>
        <v>28</v>
      </c>
      <c r="AA23" s="39">
        <f t="shared" si="15"/>
        <v>6</v>
      </c>
      <c r="AB23" s="39">
        <f t="shared" si="15"/>
        <v>4</v>
      </c>
      <c r="AC23" s="39">
        <f t="shared" si="15"/>
        <v>377</v>
      </c>
      <c r="AD23" s="39">
        <f t="shared" si="15"/>
        <v>0</v>
      </c>
      <c r="AE23" s="40">
        <f t="shared" si="15"/>
        <v>304</v>
      </c>
      <c r="AF23" s="40">
        <f t="shared" si="15"/>
        <v>681</v>
      </c>
    </row>
    <row r="24" spans="2:32" ht="23.1" customHeight="1" x14ac:dyDescent="0.25">
      <c r="B24" s="23" t="s">
        <v>51</v>
      </c>
      <c r="C24" s="50">
        <v>27</v>
      </c>
      <c r="D24" s="50">
        <v>6</v>
      </c>
      <c r="E24" s="50">
        <v>5</v>
      </c>
      <c r="F24" s="50">
        <v>24</v>
      </c>
      <c r="G24" s="50">
        <v>0</v>
      </c>
      <c r="H24" s="50">
        <v>0</v>
      </c>
      <c r="I24" s="50">
        <v>10</v>
      </c>
      <c r="J24" s="50">
        <v>5</v>
      </c>
      <c r="K24" s="50">
        <v>1</v>
      </c>
      <c r="L24" s="50">
        <v>1</v>
      </c>
      <c r="M24" s="50">
        <v>90</v>
      </c>
      <c r="N24" s="50">
        <v>0</v>
      </c>
      <c r="O24" s="15">
        <f t="shared" si="0"/>
        <v>79</v>
      </c>
      <c r="P24" s="15">
        <f t="shared" si="1"/>
        <v>169</v>
      </c>
      <c r="R24" s="38" t="s">
        <v>92</v>
      </c>
      <c r="S24" s="39">
        <f>MAX(S19:S21)</f>
        <v>58</v>
      </c>
      <c r="T24" s="39">
        <f t="shared" ref="T24:AF24" si="16">MAX(T19:T21)</f>
        <v>34</v>
      </c>
      <c r="U24" s="39">
        <f t="shared" si="16"/>
        <v>24</v>
      </c>
      <c r="V24" s="39">
        <f t="shared" si="16"/>
        <v>86</v>
      </c>
      <c r="W24" s="39">
        <f t="shared" si="16"/>
        <v>5</v>
      </c>
      <c r="X24" s="39">
        <f t="shared" si="16"/>
        <v>1</v>
      </c>
      <c r="Y24" s="39">
        <f t="shared" si="16"/>
        <v>21</v>
      </c>
      <c r="Z24" s="39">
        <f t="shared" si="16"/>
        <v>20</v>
      </c>
      <c r="AA24" s="39">
        <f t="shared" si="16"/>
        <v>9</v>
      </c>
      <c r="AB24" s="39">
        <f t="shared" si="16"/>
        <v>1</v>
      </c>
      <c r="AC24" s="39">
        <f t="shared" si="16"/>
        <v>443</v>
      </c>
      <c r="AD24" s="39">
        <f t="shared" si="16"/>
        <v>0</v>
      </c>
      <c r="AE24" s="40">
        <f t="shared" si="16"/>
        <v>228</v>
      </c>
      <c r="AF24" s="40">
        <f t="shared" si="16"/>
        <v>671</v>
      </c>
    </row>
    <row r="25" spans="2:32" ht="23.1" customHeight="1" x14ac:dyDescent="0.25">
      <c r="B25" s="23" t="s">
        <v>52</v>
      </c>
      <c r="C25" s="50">
        <v>22</v>
      </c>
      <c r="D25" s="50">
        <v>8</v>
      </c>
      <c r="E25" s="50">
        <v>6</v>
      </c>
      <c r="F25" s="50">
        <v>24</v>
      </c>
      <c r="G25" s="50">
        <v>0</v>
      </c>
      <c r="H25" s="50">
        <v>0</v>
      </c>
      <c r="I25" s="50">
        <v>6</v>
      </c>
      <c r="J25" s="50">
        <v>6</v>
      </c>
      <c r="K25" s="50">
        <v>1</v>
      </c>
      <c r="L25" s="50">
        <v>0</v>
      </c>
      <c r="M25" s="50">
        <v>109</v>
      </c>
      <c r="N25" s="50">
        <v>0</v>
      </c>
      <c r="O25" s="15">
        <f t="shared" si="0"/>
        <v>73</v>
      </c>
      <c r="P25" s="15">
        <f t="shared" si="1"/>
        <v>182</v>
      </c>
      <c r="R25" s="37" t="s">
        <v>85</v>
      </c>
      <c r="S25" s="35">
        <f t="shared" ref="S25:AF25" si="17">SUM(S10:S12)</f>
        <v>389</v>
      </c>
      <c r="T25" s="16">
        <f t="shared" si="17"/>
        <v>128</v>
      </c>
      <c r="U25" s="16">
        <f t="shared" si="17"/>
        <v>90</v>
      </c>
      <c r="V25" s="16">
        <f t="shared" si="17"/>
        <v>431</v>
      </c>
      <c r="W25" s="16">
        <f t="shared" si="17"/>
        <v>6</v>
      </c>
      <c r="X25" s="16">
        <f t="shared" si="17"/>
        <v>4</v>
      </c>
      <c r="Y25" s="16">
        <f t="shared" si="17"/>
        <v>84</v>
      </c>
      <c r="Z25" s="16">
        <f t="shared" si="17"/>
        <v>73</v>
      </c>
      <c r="AA25" s="16">
        <f t="shared" si="17"/>
        <v>10</v>
      </c>
      <c r="AB25" s="16">
        <f t="shared" si="17"/>
        <v>5</v>
      </c>
      <c r="AC25" s="16">
        <f t="shared" si="17"/>
        <v>1121</v>
      </c>
      <c r="AD25" s="16">
        <f t="shared" si="17"/>
        <v>0</v>
      </c>
      <c r="AE25" s="32">
        <f t="shared" si="17"/>
        <v>1220</v>
      </c>
      <c r="AF25" s="32">
        <f t="shared" si="17"/>
        <v>2341</v>
      </c>
    </row>
    <row r="26" spans="2:32" ht="23.1" customHeight="1" x14ac:dyDescent="0.25">
      <c r="B26" s="23" t="s">
        <v>53</v>
      </c>
      <c r="C26" s="50">
        <v>22</v>
      </c>
      <c r="D26" s="50">
        <v>8</v>
      </c>
      <c r="E26" s="50">
        <v>5</v>
      </c>
      <c r="F26" s="50">
        <v>24</v>
      </c>
      <c r="G26" s="50">
        <v>0</v>
      </c>
      <c r="H26" s="50">
        <v>0</v>
      </c>
      <c r="I26" s="50">
        <v>6</v>
      </c>
      <c r="J26" s="50">
        <v>8</v>
      </c>
      <c r="K26" s="50">
        <v>2</v>
      </c>
      <c r="L26" s="50">
        <v>2</v>
      </c>
      <c r="M26" s="50">
        <v>73</v>
      </c>
      <c r="N26" s="50">
        <v>0</v>
      </c>
      <c r="O26" s="15">
        <f t="shared" si="0"/>
        <v>77</v>
      </c>
      <c r="P26" s="15">
        <f t="shared" si="1"/>
        <v>150</v>
      </c>
      <c r="R26" s="28" t="s">
        <v>86</v>
      </c>
      <c r="S26" s="16">
        <f t="shared" ref="S26:AF26" si="18">SUM(S13:S18)</f>
        <v>375</v>
      </c>
      <c r="T26" s="16">
        <f t="shared" si="18"/>
        <v>149</v>
      </c>
      <c r="U26" s="16">
        <f t="shared" si="18"/>
        <v>128</v>
      </c>
      <c r="V26" s="16">
        <f t="shared" si="18"/>
        <v>433</v>
      </c>
      <c r="W26" s="16">
        <f t="shared" si="18"/>
        <v>15</v>
      </c>
      <c r="X26" s="16">
        <f t="shared" si="18"/>
        <v>0</v>
      </c>
      <c r="Y26" s="16">
        <f t="shared" si="18"/>
        <v>111</v>
      </c>
      <c r="Z26" s="16">
        <f t="shared" si="18"/>
        <v>131</v>
      </c>
      <c r="AA26" s="16">
        <f t="shared" si="18"/>
        <v>17</v>
      </c>
      <c r="AB26" s="16">
        <f t="shared" si="18"/>
        <v>14</v>
      </c>
      <c r="AC26" s="16">
        <f t="shared" si="18"/>
        <v>2101</v>
      </c>
      <c r="AD26" s="16">
        <f t="shared" si="18"/>
        <v>0</v>
      </c>
      <c r="AE26" s="32">
        <f t="shared" si="18"/>
        <v>1373</v>
      </c>
      <c r="AF26" s="32">
        <f t="shared" si="18"/>
        <v>3474</v>
      </c>
    </row>
    <row r="27" spans="2:32" ht="23.1" customHeight="1" x14ac:dyDescent="0.25">
      <c r="B27" s="23" t="s">
        <v>54</v>
      </c>
      <c r="C27" s="50">
        <v>20</v>
      </c>
      <c r="D27" s="50">
        <v>12</v>
      </c>
      <c r="E27" s="50">
        <v>10</v>
      </c>
      <c r="F27" s="50">
        <v>23</v>
      </c>
      <c r="G27" s="50">
        <v>1</v>
      </c>
      <c r="H27" s="50">
        <v>0</v>
      </c>
      <c r="I27" s="50">
        <v>7</v>
      </c>
      <c r="J27" s="50">
        <v>5</v>
      </c>
      <c r="K27" s="50">
        <v>1</v>
      </c>
      <c r="L27" s="50">
        <v>0</v>
      </c>
      <c r="M27" s="50">
        <v>75</v>
      </c>
      <c r="N27" s="50">
        <v>0</v>
      </c>
      <c r="O27" s="15">
        <f t="shared" si="0"/>
        <v>79</v>
      </c>
      <c r="P27" s="15">
        <f t="shared" si="1"/>
        <v>154</v>
      </c>
      <c r="R27" s="29" t="s">
        <v>87</v>
      </c>
      <c r="S27" s="16">
        <f t="shared" ref="S27:AF27" si="19">SUM(S19:S21)</f>
        <v>160</v>
      </c>
      <c r="T27" s="16">
        <f t="shared" si="19"/>
        <v>71</v>
      </c>
      <c r="U27" s="16">
        <f t="shared" si="19"/>
        <v>61</v>
      </c>
      <c r="V27" s="16">
        <f t="shared" si="19"/>
        <v>199</v>
      </c>
      <c r="W27" s="16">
        <f t="shared" si="19"/>
        <v>10</v>
      </c>
      <c r="X27" s="16">
        <f t="shared" si="19"/>
        <v>1</v>
      </c>
      <c r="Y27" s="16">
        <f t="shared" si="19"/>
        <v>51</v>
      </c>
      <c r="Z27" s="16">
        <f t="shared" si="19"/>
        <v>57</v>
      </c>
      <c r="AA27" s="16">
        <f t="shared" si="19"/>
        <v>14</v>
      </c>
      <c r="AB27" s="16">
        <f t="shared" si="19"/>
        <v>2</v>
      </c>
      <c r="AC27" s="16">
        <f t="shared" si="19"/>
        <v>1198</v>
      </c>
      <c r="AD27" s="16">
        <f t="shared" si="19"/>
        <v>0</v>
      </c>
      <c r="AE27" s="32">
        <f t="shared" si="19"/>
        <v>626</v>
      </c>
      <c r="AF27" s="32">
        <f t="shared" si="19"/>
        <v>1824</v>
      </c>
    </row>
    <row r="28" spans="2:32" ht="23.1" customHeight="1" x14ac:dyDescent="0.25">
      <c r="B28" s="23" t="s">
        <v>55</v>
      </c>
      <c r="C28" s="50">
        <v>13</v>
      </c>
      <c r="D28" s="50">
        <v>4</v>
      </c>
      <c r="E28" s="50">
        <v>4</v>
      </c>
      <c r="F28" s="50">
        <v>23</v>
      </c>
      <c r="G28" s="50">
        <v>0</v>
      </c>
      <c r="H28" s="50">
        <v>0</v>
      </c>
      <c r="I28" s="50">
        <v>0</v>
      </c>
      <c r="J28" s="50">
        <v>6</v>
      </c>
      <c r="K28" s="50">
        <v>0</v>
      </c>
      <c r="L28" s="50">
        <v>1</v>
      </c>
      <c r="M28" s="50">
        <v>94</v>
      </c>
      <c r="N28" s="50">
        <v>0</v>
      </c>
      <c r="O28" s="15">
        <f t="shared" si="0"/>
        <v>51</v>
      </c>
      <c r="P28" s="15">
        <f t="shared" si="1"/>
        <v>145</v>
      </c>
      <c r="R28" s="5" t="s">
        <v>17</v>
      </c>
      <c r="S28" s="16">
        <f t="shared" ref="S28:AF28" si="20">SUM(S10:S21)</f>
        <v>924</v>
      </c>
      <c r="T28" s="16">
        <f t="shared" si="20"/>
        <v>348</v>
      </c>
      <c r="U28" s="16">
        <f t="shared" si="20"/>
        <v>279</v>
      </c>
      <c r="V28" s="16">
        <f t="shared" si="20"/>
        <v>1063</v>
      </c>
      <c r="W28" s="16">
        <f t="shared" si="20"/>
        <v>31</v>
      </c>
      <c r="X28" s="16">
        <f t="shared" si="20"/>
        <v>5</v>
      </c>
      <c r="Y28" s="16">
        <f t="shared" si="20"/>
        <v>246</v>
      </c>
      <c r="Z28" s="16">
        <f t="shared" si="20"/>
        <v>261</v>
      </c>
      <c r="AA28" s="16">
        <f t="shared" si="20"/>
        <v>41</v>
      </c>
      <c r="AB28" s="16">
        <f t="shared" si="20"/>
        <v>21</v>
      </c>
      <c r="AC28" s="16">
        <f t="shared" si="20"/>
        <v>4420</v>
      </c>
      <c r="AD28" s="16">
        <f t="shared" si="20"/>
        <v>0</v>
      </c>
      <c r="AE28" s="32">
        <f t="shared" si="20"/>
        <v>3219</v>
      </c>
      <c r="AF28" s="32">
        <f t="shared" si="20"/>
        <v>7639</v>
      </c>
    </row>
    <row r="29" spans="2:32" ht="23.1" customHeight="1" x14ac:dyDescent="0.25">
      <c r="B29" s="23" t="s">
        <v>56</v>
      </c>
      <c r="C29" s="50">
        <v>15</v>
      </c>
      <c r="D29" s="50">
        <v>5</v>
      </c>
      <c r="E29" s="50">
        <v>6</v>
      </c>
      <c r="F29" s="50">
        <v>14</v>
      </c>
      <c r="G29" s="50">
        <v>0</v>
      </c>
      <c r="H29" s="50">
        <v>0</v>
      </c>
      <c r="I29" s="50">
        <v>1</v>
      </c>
      <c r="J29" s="50">
        <v>9</v>
      </c>
      <c r="K29" s="50">
        <v>0</v>
      </c>
      <c r="L29" s="50">
        <v>1</v>
      </c>
      <c r="M29" s="50">
        <v>90</v>
      </c>
      <c r="N29" s="50">
        <v>0</v>
      </c>
      <c r="O29" s="15">
        <f t="shared" si="0"/>
        <v>51</v>
      </c>
      <c r="P29" s="15">
        <f t="shared" si="1"/>
        <v>141</v>
      </c>
      <c r="R29"/>
      <c r="S29" s="20"/>
      <c r="T29" s="19"/>
    </row>
    <row r="30" spans="2:32" ht="23.1" customHeight="1" x14ac:dyDescent="0.25">
      <c r="B30" s="23" t="s">
        <v>57</v>
      </c>
      <c r="C30" s="50">
        <v>16</v>
      </c>
      <c r="D30" s="50">
        <v>9</v>
      </c>
      <c r="E30" s="50">
        <v>6</v>
      </c>
      <c r="F30" s="50">
        <v>21</v>
      </c>
      <c r="G30" s="50">
        <v>0</v>
      </c>
      <c r="H30" s="50">
        <v>0</v>
      </c>
      <c r="I30" s="50">
        <v>4</v>
      </c>
      <c r="J30" s="50">
        <v>7</v>
      </c>
      <c r="K30" s="50">
        <v>1</v>
      </c>
      <c r="L30" s="50">
        <v>1</v>
      </c>
      <c r="M30" s="50">
        <v>89</v>
      </c>
      <c r="N30" s="50">
        <v>0</v>
      </c>
      <c r="O30" s="15">
        <f t="shared" si="0"/>
        <v>65</v>
      </c>
      <c r="P30" s="15">
        <f t="shared" si="1"/>
        <v>154</v>
      </c>
    </row>
    <row r="31" spans="2:32" ht="23.1" customHeight="1" x14ac:dyDescent="0.25">
      <c r="B31" s="24" t="s">
        <v>58</v>
      </c>
      <c r="C31" s="50">
        <v>12</v>
      </c>
      <c r="D31" s="50">
        <v>7</v>
      </c>
      <c r="E31" s="50">
        <v>8</v>
      </c>
      <c r="F31" s="50">
        <v>14</v>
      </c>
      <c r="G31" s="50">
        <v>0</v>
      </c>
      <c r="H31" s="50">
        <v>0</v>
      </c>
      <c r="I31" s="50">
        <v>1</v>
      </c>
      <c r="J31" s="50">
        <v>5</v>
      </c>
      <c r="K31" s="50">
        <v>0</v>
      </c>
      <c r="L31" s="50">
        <v>1</v>
      </c>
      <c r="M31" s="50">
        <v>70</v>
      </c>
      <c r="N31" s="50">
        <v>0</v>
      </c>
      <c r="O31" s="15">
        <f t="shared" si="0"/>
        <v>48</v>
      </c>
      <c r="P31" s="15">
        <f t="shared" si="1"/>
        <v>118</v>
      </c>
    </row>
    <row r="32" spans="2:32" ht="23.1" customHeight="1" x14ac:dyDescent="0.25">
      <c r="B32" s="24" t="s">
        <v>59</v>
      </c>
      <c r="C32" s="50">
        <v>15</v>
      </c>
      <c r="D32" s="50">
        <v>7</v>
      </c>
      <c r="E32" s="50">
        <v>4</v>
      </c>
      <c r="F32" s="50">
        <v>13</v>
      </c>
      <c r="G32" s="50">
        <v>0</v>
      </c>
      <c r="H32" s="50">
        <v>0</v>
      </c>
      <c r="I32" s="50">
        <v>5</v>
      </c>
      <c r="J32" s="50">
        <v>8</v>
      </c>
      <c r="K32" s="50">
        <v>0</v>
      </c>
      <c r="L32" s="50">
        <v>0</v>
      </c>
      <c r="M32" s="50">
        <v>90</v>
      </c>
      <c r="N32" s="50">
        <v>0</v>
      </c>
      <c r="O32" s="15">
        <f t="shared" si="0"/>
        <v>52</v>
      </c>
      <c r="P32" s="15">
        <f t="shared" si="1"/>
        <v>142</v>
      </c>
    </row>
    <row r="33" spans="2:20" ht="23.1" customHeight="1" x14ac:dyDescent="0.25">
      <c r="B33" s="23" t="s">
        <v>60</v>
      </c>
      <c r="C33" s="50">
        <v>15</v>
      </c>
      <c r="D33" s="50">
        <v>6</v>
      </c>
      <c r="E33" s="50">
        <v>3</v>
      </c>
      <c r="F33" s="50">
        <v>25</v>
      </c>
      <c r="G33" s="50">
        <v>0</v>
      </c>
      <c r="H33" s="50">
        <v>0</v>
      </c>
      <c r="I33" s="50">
        <v>2</v>
      </c>
      <c r="J33" s="50">
        <v>6</v>
      </c>
      <c r="K33" s="50">
        <v>1</v>
      </c>
      <c r="L33" s="50">
        <v>0</v>
      </c>
      <c r="M33" s="50">
        <v>105</v>
      </c>
      <c r="N33" s="50">
        <v>0</v>
      </c>
      <c r="O33" s="15">
        <f t="shared" si="0"/>
        <v>58</v>
      </c>
      <c r="P33" s="15">
        <f t="shared" si="1"/>
        <v>163</v>
      </c>
    </row>
    <row r="34" spans="2:20" ht="23.1" customHeight="1" x14ac:dyDescent="0.25">
      <c r="B34" s="24" t="s">
        <v>61</v>
      </c>
      <c r="C34" s="50">
        <v>10</v>
      </c>
      <c r="D34" s="50">
        <v>5</v>
      </c>
      <c r="E34" s="50">
        <v>1</v>
      </c>
      <c r="F34" s="50">
        <v>20</v>
      </c>
      <c r="G34" s="50">
        <v>0</v>
      </c>
      <c r="H34" s="50">
        <v>0</v>
      </c>
      <c r="I34" s="50">
        <v>7</v>
      </c>
      <c r="J34" s="50">
        <v>3</v>
      </c>
      <c r="K34" s="50">
        <v>1</v>
      </c>
      <c r="L34" s="50">
        <v>1</v>
      </c>
      <c r="M34" s="50">
        <v>95</v>
      </c>
      <c r="N34" s="50">
        <v>0</v>
      </c>
      <c r="O34" s="15">
        <f t="shared" si="0"/>
        <v>48</v>
      </c>
      <c r="P34" s="15">
        <f t="shared" si="1"/>
        <v>143</v>
      </c>
    </row>
    <row r="35" spans="2:20" ht="23.1" customHeight="1" x14ac:dyDescent="0.25">
      <c r="B35" s="24" t="s">
        <v>62</v>
      </c>
      <c r="C35" s="50">
        <v>9</v>
      </c>
      <c r="D35" s="50">
        <v>0</v>
      </c>
      <c r="E35" s="50">
        <v>6</v>
      </c>
      <c r="F35" s="50">
        <v>12</v>
      </c>
      <c r="G35" s="50">
        <v>0</v>
      </c>
      <c r="H35" s="50">
        <v>0</v>
      </c>
      <c r="I35" s="50">
        <v>6</v>
      </c>
      <c r="J35" s="50">
        <v>7</v>
      </c>
      <c r="K35" s="50">
        <v>0</v>
      </c>
      <c r="L35" s="50">
        <v>1</v>
      </c>
      <c r="M35" s="50">
        <v>96</v>
      </c>
      <c r="N35" s="50">
        <v>0</v>
      </c>
      <c r="O35" s="15">
        <f t="shared" si="0"/>
        <v>41</v>
      </c>
      <c r="P35" s="15">
        <f t="shared" si="1"/>
        <v>137</v>
      </c>
    </row>
    <row r="36" spans="2:20" ht="23.1" customHeight="1" x14ac:dyDescent="0.25">
      <c r="B36" s="24" t="s">
        <v>63</v>
      </c>
      <c r="C36" s="50">
        <v>14</v>
      </c>
      <c r="D36" s="50">
        <v>7</v>
      </c>
      <c r="E36" s="50">
        <v>3</v>
      </c>
      <c r="F36" s="50">
        <v>20</v>
      </c>
      <c r="G36" s="50">
        <v>0</v>
      </c>
      <c r="H36" s="50">
        <v>0</v>
      </c>
      <c r="I36" s="50">
        <v>6</v>
      </c>
      <c r="J36" s="50">
        <v>1</v>
      </c>
      <c r="K36" s="50">
        <v>1</v>
      </c>
      <c r="L36" s="50">
        <v>0</v>
      </c>
      <c r="M36" s="50">
        <v>105</v>
      </c>
      <c r="N36" s="50">
        <v>0</v>
      </c>
      <c r="O36" s="15">
        <f t="shared" si="0"/>
        <v>52</v>
      </c>
      <c r="P36" s="15">
        <f t="shared" si="1"/>
        <v>157</v>
      </c>
    </row>
    <row r="37" spans="2:20" ht="23.1" customHeight="1" x14ac:dyDescent="0.25">
      <c r="B37" s="23" t="s">
        <v>64</v>
      </c>
      <c r="C37" s="50">
        <v>18</v>
      </c>
      <c r="D37" s="50">
        <v>4</v>
      </c>
      <c r="E37" s="50">
        <v>8</v>
      </c>
      <c r="F37" s="50">
        <v>13</v>
      </c>
      <c r="G37" s="50">
        <v>0</v>
      </c>
      <c r="H37" s="50">
        <v>0</v>
      </c>
      <c r="I37" s="50">
        <v>5</v>
      </c>
      <c r="J37" s="50">
        <v>3</v>
      </c>
      <c r="K37" s="50">
        <v>0</v>
      </c>
      <c r="L37" s="50">
        <v>1</v>
      </c>
      <c r="M37" s="50">
        <v>70</v>
      </c>
      <c r="N37" s="50">
        <v>0</v>
      </c>
      <c r="O37" s="15">
        <f t="shared" si="0"/>
        <v>52</v>
      </c>
      <c r="P37" s="15">
        <f t="shared" si="1"/>
        <v>122</v>
      </c>
    </row>
    <row r="38" spans="2:20" ht="23.1" customHeight="1" x14ac:dyDescent="0.25">
      <c r="B38" s="24" t="s">
        <v>65</v>
      </c>
      <c r="C38" s="50">
        <v>7</v>
      </c>
      <c r="D38" s="50">
        <v>5</v>
      </c>
      <c r="E38" s="50">
        <v>5</v>
      </c>
      <c r="F38" s="50">
        <v>16</v>
      </c>
      <c r="G38" s="50">
        <v>0</v>
      </c>
      <c r="H38" s="50">
        <v>0</v>
      </c>
      <c r="I38" s="50">
        <v>3</v>
      </c>
      <c r="J38" s="50">
        <v>12</v>
      </c>
      <c r="K38" s="50">
        <v>1</v>
      </c>
      <c r="L38" s="50">
        <v>1</v>
      </c>
      <c r="M38" s="50">
        <v>90</v>
      </c>
      <c r="N38" s="50">
        <v>0</v>
      </c>
      <c r="O38" s="15">
        <f t="shared" si="0"/>
        <v>50</v>
      </c>
      <c r="P38" s="15">
        <f t="shared" si="1"/>
        <v>140</v>
      </c>
    </row>
    <row r="39" spans="2:20" ht="23.1" customHeight="1" x14ac:dyDescent="0.25">
      <c r="B39" s="24" t="s">
        <v>66</v>
      </c>
      <c r="C39" s="50">
        <v>11</v>
      </c>
      <c r="D39" s="50">
        <v>4</v>
      </c>
      <c r="E39" s="50">
        <v>7</v>
      </c>
      <c r="F39" s="50">
        <v>19</v>
      </c>
      <c r="G39" s="50">
        <v>3</v>
      </c>
      <c r="H39" s="50">
        <v>0</v>
      </c>
      <c r="I39" s="50">
        <v>4</v>
      </c>
      <c r="J39" s="50">
        <v>6</v>
      </c>
      <c r="K39" s="50">
        <v>4</v>
      </c>
      <c r="L39" s="50">
        <v>0</v>
      </c>
      <c r="M39" s="50">
        <v>86</v>
      </c>
      <c r="N39" s="50">
        <v>0</v>
      </c>
      <c r="O39" s="15">
        <f t="shared" si="0"/>
        <v>58</v>
      </c>
      <c r="P39" s="15">
        <f t="shared" si="1"/>
        <v>144</v>
      </c>
    </row>
    <row r="40" spans="2:20" ht="23.1" customHeight="1" x14ac:dyDescent="0.25">
      <c r="B40" s="24" t="s">
        <v>67</v>
      </c>
      <c r="C40" s="50">
        <v>14</v>
      </c>
      <c r="D40" s="50">
        <v>4</v>
      </c>
      <c r="E40" s="50">
        <v>7</v>
      </c>
      <c r="F40" s="50">
        <v>9</v>
      </c>
      <c r="G40" s="50">
        <v>3</v>
      </c>
      <c r="H40" s="50">
        <v>0</v>
      </c>
      <c r="I40" s="50">
        <v>6</v>
      </c>
      <c r="J40" s="50">
        <v>3</v>
      </c>
      <c r="K40" s="50">
        <v>1</v>
      </c>
      <c r="L40" s="50">
        <v>1</v>
      </c>
      <c r="M40" s="50">
        <v>87</v>
      </c>
      <c r="N40" s="50">
        <v>0</v>
      </c>
      <c r="O40" s="15">
        <f t="shared" si="0"/>
        <v>48</v>
      </c>
      <c r="P40" s="15">
        <f t="shared" si="1"/>
        <v>135</v>
      </c>
    </row>
    <row r="41" spans="2:20" ht="23.1" customHeight="1" x14ac:dyDescent="0.25">
      <c r="B41" s="23" t="s">
        <v>68</v>
      </c>
      <c r="C41" s="50">
        <v>7</v>
      </c>
      <c r="D41" s="50">
        <v>7</v>
      </c>
      <c r="E41" s="50">
        <v>5</v>
      </c>
      <c r="F41" s="50">
        <v>8</v>
      </c>
      <c r="G41" s="50">
        <v>3</v>
      </c>
      <c r="H41" s="50">
        <v>0</v>
      </c>
      <c r="I41" s="50">
        <v>6</v>
      </c>
      <c r="J41" s="50">
        <v>5</v>
      </c>
      <c r="K41" s="50">
        <v>0</v>
      </c>
      <c r="L41" s="50">
        <v>1</v>
      </c>
      <c r="M41" s="50">
        <v>73</v>
      </c>
      <c r="N41" s="50">
        <v>0</v>
      </c>
      <c r="O41" s="15">
        <f t="shared" si="0"/>
        <v>42</v>
      </c>
      <c r="P41" s="15">
        <f t="shared" si="1"/>
        <v>115</v>
      </c>
    </row>
    <row r="42" spans="2:20" ht="23.1" customHeight="1" x14ac:dyDescent="0.25">
      <c r="B42" s="24" t="s">
        <v>69</v>
      </c>
      <c r="C42" s="50">
        <v>13</v>
      </c>
      <c r="D42" s="50">
        <v>10</v>
      </c>
      <c r="E42" s="50">
        <v>5</v>
      </c>
      <c r="F42" s="50">
        <v>13</v>
      </c>
      <c r="G42" s="50">
        <v>1</v>
      </c>
      <c r="H42" s="50">
        <v>0</v>
      </c>
      <c r="I42" s="50">
        <v>4</v>
      </c>
      <c r="J42" s="50">
        <v>3</v>
      </c>
      <c r="K42" s="50">
        <v>1</v>
      </c>
      <c r="L42" s="50">
        <v>0</v>
      </c>
      <c r="M42" s="50">
        <v>57</v>
      </c>
      <c r="N42" s="50">
        <v>0</v>
      </c>
      <c r="O42" s="15">
        <f t="shared" si="0"/>
        <v>50</v>
      </c>
      <c r="P42" s="15">
        <f t="shared" si="1"/>
        <v>107</v>
      </c>
    </row>
    <row r="43" spans="2:20" ht="23.1" customHeight="1" x14ac:dyDescent="0.25">
      <c r="B43" s="23" t="s">
        <v>70</v>
      </c>
      <c r="C43" s="50">
        <v>15</v>
      </c>
      <c r="D43" s="50">
        <v>6</v>
      </c>
      <c r="E43" s="50">
        <v>2</v>
      </c>
      <c r="F43" s="50">
        <v>19</v>
      </c>
      <c r="G43" s="50">
        <v>2</v>
      </c>
      <c r="H43" s="50">
        <v>0</v>
      </c>
      <c r="I43" s="50">
        <v>6</v>
      </c>
      <c r="J43" s="50">
        <v>2</v>
      </c>
      <c r="K43" s="50">
        <v>0</v>
      </c>
      <c r="L43" s="50">
        <v>0</v>
      </c>
      <c r="M43" s="50">
        <v>64</v>
      </c>
      <c r="N43" s="50">
        <v>0</v>
      </c>
      <c r="O43" s="15">
        <f t="shared" si="0"/>
        <v>52</v>
      </c>
      <c r="P43" s="15">
        <f t="shared" si="1"/>
        <v>116</v>
      </c>
    </row>
    <row r="44" spans="2:20" ht="23.1" customHeight="1" x14ac:dyDescent="0.25">
      <c r="B44" s="25" t="s">
        <v>71</v>
      </c>
      <c r="C44" s="50">
        <v>13</v>
      </c>
      <c r="D44" s="50">
        <v>5</v>
      </c>
      <c r="E44" s="50">
        <v>7</v>
      </c>
      <c r="F44" s="50">
        <v>16</v>
      </c>
      <c r="G44" s="50">
        <v>0</v>
      </c>
      <c r="H44" s="50">
        <v>0</v>
      </c>
      <c r="I44" s="50">
        <v>2</v>
      </c>
      <c r="J44" s="50">
        <v>6</v>
      </c>
      <c r="K44" s="50">
        <v>0</v>
      </c>
      <c r="L44" s="50">
        <v>0</v>
      </c>
      <c r="M44" s="50">
        <v>125</v>
      </c>
      <c r="N44" s="50">
        <v>0</v>
      </c>
      <c r="O44" s="15">
        <f t="shared" si="0"/>
        <v>49</v>
      </c>
      <c r="P44" s="15">
        <f t="shared" si="1"/>
        <v>174</v>
      </c>
    </row>
    <row r="45" spans="2:20" ht="23.1" customHeight="1" x14ac:dyDescent="0.25">
      <c r="B45" s="23" t="s">
        <v>72</v>
      </c>
      <c r="C45" s="50">
        <v>15</v>
      </c>
      <c r="D45" s="50">
        <v>5</v>
      </c>
      <c r="E45" s="50">
        <v>5</v>
      </c>
      <c r="F45" s="50">
        <v>10</v>
      </c>
      <c r="G45" s="50">
        <v>0</v>
      </c>
      <c r="H45" s="50">
        <v>0</v>
      </c>
      <c r="I45" s="50">
        <v>6</v>
      </c>
      <c r="J45" s="50">
        <v>4</v>
      </c>
      <c r="K45" s="50">
        <v>1</v>
      </c>
      <c r="L45" s="50">
        <v>0</v>
      </c>
      <c r="M45" s="50">
        <v>90</v>
      </c>
      <c r="N45" s="50">
        <v>0</v>
      </c>
      <c r="O45" s="15">
        <f t="shared" si="0"/>
        <v>46</v>
      </c>
      <c r="P45" s="15">
        <f t="shared" si="1"/>
        <v>136</v>
      </c>
    </row>
    <row r="46" spans="2:20" ht="23.1" customHeight="1" x14ac:dyDescent="0.25">
      <c r="B46" s="24" t="s">
        <v>73</v>
      </c>
      <c r="C46" s="50">
        <v>10</v>
      </c>
      <c r="D46" s="50">
        <v>2</v>
      </c>
      <c r="E46" s="50">
        <v>4</v>
      </c>
      <c r="F46" s="50">
        <v>20</v>
      </c>
      <c r="G46" s="50">
        <v>1</v>
      </c>
      <c r="H46" s="50">
        <v>0</v>
      </c>
      <c r="I46" s="50">
        <v>4</v>
      </c>
      <c r="J46" s="50">
        <v>7</v>
      </c>
      <c r="K46" s="50">
        <v>2</v>
      </c>
      <c r="L46" s="50">
        <v>0</v>
      </c>
      <c r="M46" s="50">
        <v>95</v>
      </c>
      <c r="N46" s="50">
        <v>0</v>
      </c>
      <c r="O46" s="15">
        <f t="shared" si="0"/>
        <v>50</v>
      </c>
      <c r="P46" s="15">
        <f t="shared" si="1"/>
        <v>145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7</v>
      </c>
      <c r="E47" s="50">
        <v>6</v>
      </c>
      <c r="F47" s="50">
        <v>13</v>
      </c>
      <c r="G47" s="50">
        <v>1</v>
      </c>
      <c r="H47" s="50">
        <v>0</v>
      </c>
      <c r="I47" s="50">
        <v>6</v>
      </c>
      <c r="J47" s="50">
        <v>4</v>
      </c>
      <c r="K47" s="50">
        <v>3</v>
      </c>
      <c r="L47" s="50">
        <v>1</v>
      </c>
      <c r="M47" s="50">
        <v>109</v>
      </c>
      <c r="N47" s="50">
        <v>0</v>
      </c>
      <c r="O47" s="15">
        <f t="shared" si="0"/>
        <v>53</v>
      </c>
      <c r="P47" s="15">
        <f t="shared" si="1"/>
        <v>162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3</v>
      </c>
      <c r="E48" s="50">
        <v>4</v>
      </c>
      <c r="F48" s="50">
        <v>9</v>
      </c>
      <c r="G48" s="50">
        <v>0</v>
      </c>
      <c r="H48" s="50">
        <v>0</v>
      </c>
      <c r="I48" s="50">
        <v>4</v>
      </c>
      <c r="J48" s="50">
        <v>0</v>
      </c>
      <c r="K48" s="50">
        <v>4</v>
      </c>
      <c r="L48" s="50">
        <v>0</v>
      </c>
      <c r="M48" s="50">
        <v>120</v>
      </c>
      <c r="N48" s="50">
        <v>0</v>
      </c>
      <c r="O48" s="15">
        <f t="shared" si="0"/>
        <v>33</v>
      </c>
      <c r="P48" s="15">
        <f t="shared" si="1"/>
        <v>153</v>
      </c>
      <c r="R48" s="8"/>
      <c r="T48"/>
    </row>
    <row r="49" spans="2:20" ht="23.1" customHeight="1" x14ac:dyDescent="0.25">
      <c r="B49" s="23" t="s">
        <v>76</v>
      </c>
      <c r="C49" s="50">
        <v>13</v>
      </c>
      <c r="D49" s="50">
        <v>3</v>
      </c>
      <c r="E49" s="50">
        <v>1</v>
      </c>
      <c r="F49" s="50">
        <v>23</v>
      </c>
      <c r="G49" s="50">
        <v>0</v>
      </c>
      <c r="H49" s="50">
        <v>0</v>
      </c>
      <c r="I49" s="50">
        <v>4</v>
      </c>
      <c r="J49" s="50">
        <v>7</v>
      </c>
      <c r="K49" s="50">
        <v>0</v>
      </c>
      <c r="L49" s="50">
        <v>0</v>
      </c>
      <c r="M49" s="50">
        <v>85</v>
      </c>
      <c r="N49" s="50">
        <v>0</v>
      </c>
      <c r="O49" s="15">
        <f t="shared" si="0"/>
        <v>51</v>
      </c>
      <c r="P49" s="15">
        <f t="shared" si="1"/>
        <v>136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8</v>
      </c>
      <c r="E50" s="50">
        <v>4</v>
      </c>
      <c r="F50" s="50">
        <v>14</v>
      </c>
      <c r="G50" s="50">
        <v>0</v>
      </c>
      <c r="H50" s="50">
        <v>0</v>
      </c>
      <c r="I50" s="50">
        <v>5</v>
      </c>
      <c r="J50" s="50">
        <v>2</v>
      </c>
      <c r="K50" s="50">
        <v>1</v>
      </c>
      <c r="L50" s="50">
        <v>0</v>
      </c>
      <c r="M50" s="50">
        <v>80</v>
      </c>
      <c r="N50" s="50">
        <v>0</v>
      </c>
      <c r="O50" s="15">
        <f t="shared" si="0"/>
        <v>54</v>
      </c>
      <c r="P50" s="15">
        <f t="shared" si="1"/>
        <v>134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10</v>
      </c>
      <c r="E51" s="50">
        <v>4</v>
      </c>
      <c r="F51" s="50">
        <v>9</v>
      </c>
      <c r="G51" s="50">
        <v>2</v>
      </c>
      <c r="H51" s="50">
        <v>0</v>
      </c>
      <c r="I51" s="50">
        <v>5</v>
      </c>
      <c r="J51" s="50">
        <v>6</v>
      </c>
      <c r="K51" s="50">
        <v>0</v>
      </c>
      <c r="L51" s="50">
        <v>0</v>
      </c>
      <c r="M51" s="50">
        <v>81</v>
      </c>
      <c r="N51" s="50">
        <v>0</v>
      </c>
      <c r="O51" s="15">
        <f t="shared" si="0"/>
        <v>48</v>
      </c>
      <c r="P51" s="15">
        <f t="shared" si="1"/>
        <v>129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5</v>
      </c>
      <c r="E52" s="50">
        <v>7</v>
      </c>
      <c r="F52" s="50">
        <v>10</v>
      </c>
      <c r="G52" s="50">
        <v>1</v>
      </c>
      <c r="H52" s="50">
        <v>0</v>
      </c>
      <c r="I52" s="50">
        <v>4</v>
      </c>
      <c r="J52" s="50">
        <v>4</v>
      </c>
      <c r="K52" s="50">
        <v>0</v>
      </c>
      <c r="L52" s="50">
        <v>0</v>
      </c>
      <c r="M52" s="50">
        <v>92</v>
      </c>
      <c r="N52" s="50">
        <v>0</v>
      </c>
      <c r="O52" s="15">
        <f t="shared" si="0"/>
        <v>45</v>
      </c>
      <c r="P52" s="15">
        <f t="shared" si="1"/>
        <v>137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11</v>
      </c>
      <c r="E53" s="50">
        <v>9</v>
      </c>
      <c r="F53" s="50">
        <v>15</v>
      </c>
      <c r="G53" s="50">
        <v>0</v>
      </c>
      <c r="H53" s="50">
        <v>1</v>
      </c>
      <c r="I53" s="50">
        <v>7</v>
      </c>
      <c r="J53" s="50">
        <v>7</v>
      </c>
      <c r="K53" s="50">
        <v>2</v>
      </c>
      <c r="L53" s="50">
        <v>0</v>
      </c>
      <c r="M53" s="50">
        <v>93</v>
      </c>
      <c r="N53" s="50">
        <v>0</v>
      </c>
      <c r="O53" s="15">
        <f t="shared" si="0"/>
        <v>64</v>
      </c>
      <c r="P53" s="15">
        <f t="shared" si="1"/>
        <v>157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11</v>
      </c>
      <c r="E54" s="50">
        <v>7</v>
      </c>
      <c r="F54" s="50">
        <v>30</v>
      </c>
      <c r="G54" s="50">
        <v>0</v>
      </c>
      <c r="H54" s="50">
        <v>0</v>
      </c>
      <c r="I54" s="50">
        <v>2</v>
      </c>
      <c r="J54" s="50">
        <v>10</v>
      </c>
      <c r="K54" s="50">
        <v>2</v>
      </c>
      <c r="L54" s="50">
        <v>0</v>
      </c>
      <c r="M54" s="50">
        <v>108</v>
      </c>
      <c r="N54" s="50">
        <v>0</v>
      </c>
      <c r="O54" s="15">
        <f t="shared" si="0"/>
        <v>85</v>
      </c>
      <c r="P54" s="15">
        <f t="shared" si="1"/>
        <v>193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6</v>
      </c>
      <c r="E55" s="50">
        <v>6</v>
      </c>
      <c r="F55" s="50">
        <v>20</v>
      </c>
      <c r="G55" s="50">
        <v>3</v>
      </c>
      <c r="H55" s="50">
        <v>0</v>
      </c>
      <c r="I55" s="50">
        <v>4</v>
      </c>
      <c r="J55" s="50">
        <v>4</v>
      </c>
      <c r="K55" s="50">
        <v>0</v>
      </c>
      <c r="L55" s="50">
        <v>0</v>
      </c>
      <c r="M55" s="50">
        <v>90</v>
      </c>
      <c r="N55" s="50">
        <v>0</v>
      </c>
      <c r="O55" s="15">
        <f t="shared" si="0"/>
        <v>53</v>
      </c>
      <c r="P55" s="15">
        <f t="shared" si="1"/>
        <v>143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3</v>
      </c>
      <c r="E56" s="50">
        <v>5</v>
      </c>
      <c r="F56" s="50">
        <v>19</v>
      </c>
      <c r="G56" s="50">
        <v>1</v>
      </c>
      <c r="H56" s="50">
        <v>0</v>
      </c>
      <c r="I56" s="50">
        <v>3</v>
      </c>
      <c r="J56" s="50">
        <v>2</v>
      </c>
      <c r="K56" s="50">
        <v>0</v>
      </c>
      <c r="L56" s="50">
        <v>0</v>
      </c>
      <c r="M56" s="50">
        <v>120</v>
      </c>
      <c r="N56" s="50">
        <v>0</v>
      </c>
      <c r="O56" s="15">
        <f t="shared" si="0"/>
        <v>42</v>
      </c>
      <c r="P56" s="15">
        <f t="shared" si="1"/>
        <v>162</v>
      </c>
      <c r="R56" s="8"/>
      <c r="T56"/>
    </row>
    <row r="57" spans="2:20" ht="23.1" customHeight="1" x14ac:dyDescent="0.25">
      <c r="B57" s="23" t="s">
        <v>84</v>
      </c>
      <c r="C57" s="50">
        <v>16</v>
      </c>
      <c r="D57" s="50">
        <v>2</v>
      </c>
      <c r="E57" s="50">
        <v>4</v>
      </c>
      <c r="F57" s="50">
        <v>17</v>
      </c>
      <c r="G57" s="50">
        <v>1</v>
      </c>
      <c r="H57" s="50">
        <v>0</v>
      </c>
      <c r="I57" s="50">
        <v>3</v>
      </c>
      <c r="J57" s="50">
        <v>4</v>
      </c>
      <c r="K57" s="50">
        <v>0</v>
      </c>
      <c r="L57" s="50">
        <v>1</v>
      </c>
      <c r="M57" s="50">
        <v>125</v>
      </c>
      <c r="N57" s="50">
        <v>0</v>
      </c>
      <c r="O57" s="15">
        <f t="shared" si="0"/>
        <v>48</v>
      </c>
      <c r="P57" s="15">
        <f t="shared" si="1"/>
        <v>173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924</v>
      </c>
      <c r="D58" s="16">
        <f t="shared" si="21"/>
        <v>348</v>
      </c>
      <c r="E58" s="16">
        <f t="shared" si="21"/>
        <v>279</v>
      </c>
      <c r="F58" s="16">
        <f t="shared" si="21"/>
        <v>1063</v>
      </c>
      <c r="G58" s="16">
        <f t="shared" si="21"/>
        <v>31</v>
      </c>
      <c r="H58" s="16">
        <f t="shared" si="21"/>
        <v>5</v>
      </c>
      <c r="I58" s="16">
        <f t="shared" si="21"/>
        <v>246</v>
      </c>
      <c r="J58" s="16">
        <f t="shared" si="21"/>
        <v>261</v>
      </c>
      <c r="K58" s="16">
        <f t="shared" si="21"/>
        <v>41</v>
      </c>
      <c r="L58" s="16">
        <f t="shared" si="21"/>
        <v>21</v>
      </c>
      <c r="M58" s="16">
        <f t="shared" si="21"/>
        <v>4420</v>
      </c>
      <c r="N58" s="16">
        <f t="shared" si="21"/>
        <v>0</v>
      </c>
      <c r="O58" s="16">
        <f t="shared" si="21"/>
        <v>3219</v>
      </c>
      <c r="P58" s="16">
        <f t="shared" si="21"/>
        <v>7639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0.12095824060740935</v>
      </c>
      <c r="D59" s="43">
        <f t="shared" si="22"/>
        <v>4.5555701007985339E-2</v>
      </c>
      <c r="E59" s="43">
        <f t="shared" si="22"/>
        <v>3.6523105118471004E-2</v>
      </c>
      <c r="F59" s="43">
        <f t="shared" si="22"/>
        <v>0.13915433957324258</v>
      </c>
      <c r="G59" s="43">
        <f t="shared" si="22"/>
        <v>4.0581227909412231E-3</v>
      </c>
      <c r="H59" s="43">
        <f t="shared" si="22"/>
        <v>6.5453593402277788E-4</v>
      </c>
      <c r="I59" s="43">
        <f t="shared" si="22"/>
        <v>3.2203167953920669E-2</v>
      </c>
      <c r="J59" s="43">
        <f t="shared" si="22"/>
        <v>3.4166775755989004E-2</v>
      </c>
      <c r="K59" s="43">
        <f t="shared" si="22"/>
        <v>5.367194658986778E-3</v>
      </c>
      <c r="L59" s="43">
        <f t="shared" si="22"/>
        <v>2.7490509228956669E-3</v>
      </c>
      <c r="M59" s="43">
        <f t="shared" si="22"/>
        <v>0.57860976567613565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0.2870456663560112</v>
      </c>
      <c r="D60" s="44">
        <f t="shared" ref="D60:N60" si="23">D58/$O$58</f>
        <v>0.10810810810810811</v>
      </c>
      <c r="E60" s="44">
        <f t="shared" si="23"/>
        <v>8.6672879776328052E-2</v>
      </c>
      <c r="F60" s="44">
        <f t="shared" si="23"/>
        <v>0.33022677850264059</v>
      </c>
      <c r="G60" s="44">
        <f t="shared" si="23"/>
        <v>9.6303199751475617E-3</v>
      </c>
      <c r="H60" s="44">
        <f t="shared" si="23"/>
        <v>1.5532774153463808E-3</v>
      </c>
      <c r="I60" s="44">
        <f t="shared" si="23"/>
        <v>7.6421248835041936E-2</v>
      </c>
      <c r="J60" s="44">
        <f t="shared" si="23"/>
        <v>8.1081081081081086E-2</v>
      </c>
      <c r="K60" s="44">
        <f t="shared" si="23"/>
        <v>1.2736874805840324E-2</v>
      </c>
      <c r="L60" s="44">
        <f t="shared" si="23"/>
        <v>6.5237651444547996E-3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30" zoomScaleSheetLayoutView="30" workbookViewId="0">
      <selection activeCell="M49" sqref="M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Nateete-Nakawuka'!C3:G3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Nakawuka-Nateete'!D5</f>
        <v>23.07.19</v>
      </c>
      <c r="E5" s="3"/>
      <c r="F5" s="41" t="s">
        <v>1</v>
      </c>
      <c r="G5" s="63" t="str">
        <f>'22.07 Nakawuka-Nateete'!G5:H5</f>
        <v>TAKUWA BEST FEEDS</v>
      </c>
      <c r="H5" s="64"/>
      <c r="I5" s="14"/>
      <c r="J5" s="2" t="s">
        <v>5</v>
      </c>
      <c r="K5" s="63" t="str">
        <f>'22.07 Nakawuka-Nateete'!K5:L5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">
        <v>171</v>
      </c>
      <c r="E6" s="64"/>
      <c r="F6" s="2" t="s">
        <v>2</v>
      </c>
      <c r="G6" s="63" t="s">
        <v>174</v>
      </c>
      <c r="H6" s="64"/>
      <c r="J6" s="2" t="s">
        <v>21</v>
      </c>
      <c r="K6" s="63" t="str">
        <f>'22.07 Nakawuka-Nateete'!K6:L6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</v>
      </c>
      <c r="D10" s="50">
        <v>2</v>
      </c>
      <c r="E10" s="50">
        <v>7</v>
      </c>
      <c r="F10" s="50">
        <v>9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87</v>
      </c>
      <c r="N10" s="50">
        <v>0</v>
      </c>
      <c r="O10" s="15">
        <f t="shared" ref="O10:O57" si="0">SUM(C10:L10,N10)</f>
        <v>33</v>
      </c>
      <c r="P10" s="15">
        <f t="shared" ref="P10:P57" si="1">SUM(C10:N10)</f>
        <v>120</v>
      </c>
      <c r="R10" s="1" t="s">
        <v>6</v>
      </c>
      <c r="S10" s="17">
        <f t="shared" ref="S10:AF10" si="2">SUM(C10:C13)</f>
        <v>42</v>
      </c>
      <c r="T10" s="17">
        <f t="shared" si="2"/>
        <v>6</v>
      </c>
      <c r="U10" s="17">
        <f t="shared" si="2"/>
        <v>12</v>
      </c>
      <c r="V10" s="17">
        <f t="shared" si="2"/>
        <v>53</v>
      </c>
      <c r="W10" s="17">
        <f t="shared" si="2"/>
        <v>0</v>
      </c>
      <c r="X10" s="17">
        <f t="shared" si="2"/>
        <v>0</v>
      </c>
      <c r="Y10" s="17">
        <f t="shared" si="2"/>
        <v>12</v>
      </c>
      <c r="Z10" s="17">
        <f t="shared" si="2"/>
        <v>3</v>
      </c>
      <c r="AA10" s="17">
        <f t="shared" si="2"/>
        <v>2</v>
      </c>
      <c r="AB10" s="17">
        <f t="shared" si="2"/>
        <v>1</v>
      </c>
      <c r="AC10" s="17">
        <f t="shared" si="2"/>
        <v>363</v>
      </c>
      <c r="AD10" s="17">
        <f t="shared" si="2"/>
        <v>0</v>
      </c>
      <c r="AE10" s="31">
        <f t="shared" si="2"/>
        <v>131</v>
      </c>
      <c r="AF10" s="31">
        <f t="shared" si="2"/>
        <v>494</v>
      </c>
    </row>
    <row r="11" spans="2:32" s="6" customFormat="1" ht="23.1" customHeight="1" x14ac:dyDescent="0.25">
      <c r="B11" s="23" t="s">
        <v>38</v>
      </c>
      <c r="C11" s="50">
        <v>8</v>
      </c>
      <c r="D11" s="50">
        <v>4</v>
      </c>
      <c r="E11" s="50">
        <v>3</v>
      </c>
      <c r="F11" s="50">
        <v>6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83</v>
      </c>
      <c r="N11" s="50">
        <v>0</v>
      </c>
      <c r="O11" s="15">
        <f t="shared" si="0"/>
        <v>24</v>
      </c>
      <c r="P11" s="15">
        <f t="shared" si="1"/>
        <v>107</v>
      </c>
      <c r="R11" s="1" t="s">
        <v>7</v>
      </c>
      <c r="S11" s="17">
        <f t="shared" ref="S11:AF11" si="3">SUM(C14:C17)</f>
        <v>20</v>
      </c>
      <c r="T11" s="17">
        <f t="shared" si="3"/>
        <v>8</v>
      </c>
      <c r="U11" s="17">
        <f t="shared" si="3"/>
        <v>5</v>
      </c>
      <c r="V11" s="17">
        <f t="shared" si="3"/>
        <v>71</v>
      </c>
      <c r="W11" s="17">
        <f t="shared" si="3"/>
        <v>0</v>
      </c>
      <c r="X11" s="17">
        <f t="shared" si="3"/>
        <v>0</v>
      </c>
      <c r="Y11" s="17">
        <f t="shared" si="3"/>
        <v>18</v>
      </c>
      <c r="Z11" s="17">
        <f t="shared" si="3"/>
        <v>7</v>
      </c>
      <c r="AA11" s="17">
        <f t="shared" si="3"/>
        <v>0</v>
      </c>
      <c r="AB11" s="17">
        <f t="shared" si="3"/>
        <v>1</v>
      </c>
      <c r="AC11" s="17">
        <f t="shared" si="3"/>
        <v>405</v>
      </c>
      <c r="AD11" s="17">
        <f t="shared" si="3"/>
        <v>0</v>
      </c>
      <c r="AE11" s="31">
        <f t="shared" si="3"/>
        <v>130</v>
      </c>
      <c r="AF11" s="31">
        <f t="shared" si="3"/>
        <v>535</v>
      </c>
    </row>
    <row r="12" spans="2:32" ht="23.1" customHeight="1" x14ac:dyDescent="0.25">
      <c r="B12" s="23" t="s">
        <v>39</v>
      </c>
      <c r="C12" s="50">
        <v>8</v>
      </c>
      <c r="D12" s="50">
        <v>0</v>
      </c>
      <c r="E12" s="50">
        <v>1</v>
      </c>
      <c r="F12" s="50">
        <v>18</v>
      </c>
      <c r="G12" s="50">
        <v>0</v>
      </c>
      <c r="H12" s="50">
        <v>0</v>
      </c>
      <c r="I12" s="50">
        <v>3</v>
      </c>
      <c r="J12" s="50">
        <v>0</v>
      </c>
      <c r="K12" s="50">
        <v>1</v>
      </c>
      <c r="L12" s="50">
        <v>0</v>
      </c>
      <c r="M12" s="50">
        <v>109</v>
      </c>
      <c r="N12" s="50">
        <v>0</v>
      </c>
      <c r="O12" s="15">
        <f t="shared" si="0"/>
        <v>31</v>
      </c>
      <c r="P12" s="15">
        <f t="shared" si="1"/>
        <v>140</v>
      </c>
      <c r="R12" s="1" t="s">
        <v>8</v>
      </c>
      <c r="S12" s="17">
        <f t="shared" ref="S12:AF12" si="4">SUM(C18:C21)</f>
        <v>39</v>
      </c>
      <c r="T12" s="17">
        <f t="shared" si="4"/>
        <v>1</v>
      </c>
      <c r="U12" s="17">
        <f t="shared" si="4"/>
        <v>7</v>
      </c>
      <c r="V12" s="17">
        <f t="shared" si="4"/>
        <v>76</v>
      </c>
      <c r="W12" s="17">
        <f t="shared" si="4"/>
        <v>0</v>
      </c>
      <c r="X12" s="17">
        <f t="shared" si="4"/>
        <v>0</v>
      </c>
      <c r="Y12" s="17">
        <f t="shared" si="4"/>
        <v>22</v>
      </c>
      <c r="Z12" s="17">
        <f t="shared" si="4"/>
        <v>8</v>
      </c>
      <c r="AA12" s="17">
        <f t="shared" si="4"/>
        <v>2</v>
      </c>
      <c r="AB12" s="17">
        <f t="shared" si="4"/>
        <v>0</v>
      </c>
      <c r="AC12" s="17">
        <f t="shared" si="4"/>
        <v>488</v>
      </c>
      <c r="AD12" s="17">
        <f t="shared" si="4"/>
        <v>0</v>
      </c>
      <c r="AE12" s="31">
        <f t="shared" si="4"/>
        <v>155</v>
      </c>
      <c r="AF12" s="31">
        <f t="shared" si="4"/>
        <v>643</v>
      </c>
    </row>
    <row r="13" spans="2:32" ht="23.1" customHeight="1" x14ac:dyDescent="0.25">
      <c r="B13" s="23" t="s">
        <v>40</v>
      </c>
      <c r="C13" s="50">
        <v>14</v>
      </c>
      <c r="D13" s="50">
        <v>0</v>
      </c>
      <c r="E13" s="50">
        <v>1</v>
      </c>
      <c r="F13" s="50">
        <v>20</v>
      </c>
      <c r="G13" s="50">
        <v>0</v>
      </c>
      <c r="H13" s="50">
        <v>0</v>
      </c>
      <c r="I13" s="50">
        <v>4</v>
      </c>
      <c r="J13" s="50">
        <v>2</v>
      </c>
      <c r="K13" s="50">
        <v>1</v>
      </c>
      <c r="L13" s="50">
        <v>1</v>
      </c>
      <c r="M13" s="50">
        <v>84</v>
      </c>
      <c r="N13" s="50">
        <v>0</v>
      </c>
      <c r="O13" s="15">
        <f t="shared" si="0"/>
        <v>43</v>
      </c>
      <c r="P13" s="15">
        <f t="shared" si="1"/>
        <v>127</v>
      </c>
      <c r="R13" s="1" t="s">
        <v>9</v>
      </c>
      <c r="S13" s="17">
        <f t="shared" ref="S13:AF13" si="5">SUM(C22:C25)</f>
        <v>51</v>
      </c>
      <c r="T13" s="17">
        <f t="shared" si="5"/>
        <v>7</v>
      </c>
      <c r="U13" s="17">
        <f t="shared" si="5"/>
        <v>17</v>
      </c>
      <c r="V13" s="17">
        <f t="shared" si="5"/>
        <v>68</v>
      </c>
      <c r="W13" s="17">
        <f t="shared" si="5"/>
        <v>8</v>
      </c>
      <c r="X13" s="17">
        <f t="shared" si="5"/>
        <v>1</v>
      </c>
      <c r="Y13" s="17">
        <f t="shared" si="5"/>
        <v>24</v>
      </c>
      <c r="Z13" s="17">
        <f t="shared" si="5"/>
        <v>10</v>
      </c>
      <c r="AA13" s="17">
        <f t="shared" si="5"/>
        <v>5</v>
      </c>
      <c r="AB13" s="17">
        <f t="shared" si="5"/>
        <v>1</v>
      </c>
      <c r="AC13" s="17">
        <f t="shared" si="5"/>
        <v>395</v>
      </c>
      <c r="AD13" s="17">
        <f t="shared" si="5"/>
        <v>0</v>
      </c>
      <c r="AE13" s="31">
        <f t="shared" si="5"/>
        <v>192</v>
      </c>
      <c r="AF13" s="31">
        <f t="shared" si="5"/>
        <v>587</v>
      </c>
    </row>
    <row r="14" spans="2:32" ht="23.1" customHeight="1" x14ac:dyDescent="0.25">
      <c r="B14" s="23" t="s">
        <v>41</v>
      </c>
      <c r="C14" s="50">
        <v>7</v>
      </c>
      <c r="D14" s="50">
        <v>2</v>
      </c>
      <c r="E14" s="50">
        <v>2</v>
      </c>
      <c r="F14" s="50">
        <v>19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1</v>
      </c>
      <c r="M14" s="50">
        <v>104</v>
      </c>
      <c r="N14" s="50">
        <v>0</v>
      </c>
      <c r="O14" s="15">
        <f t="shared" si="0"/>
        <v>35</v>
      </c>
      <c r="P14" s="15">
        <f t="shared" si="1"/>
        <v>139</v>
      </c>
      <c r="R14" s="1" t="s">
        <v>10</v>
      </c>
      <c r="S14" s="17">
        <f t="shared" ref="S14:AF14" si="6">SUM(C26:C29)</f>
        <v>54</v>
      </c>
      <c r="T14" s="17">
        <f t="shared" si="6"/>
        <v>5</v>
      </c>
      <c r="U14" s="17">
        <f t="shared" si="6"/>
        <v>14</v>
      </c>
      <c r="V14" s="17">
        <f t="shared" si="6"/>
        <v>49</v>
      </c>
      <c r="W14" s="17">
        <f t="shared" si="6"/>
        <v>5</v>
      </c>
      <c r="X14" s="17">
        <f t="shared" si="6"/>
        <v>5</v>
      </c>
      <c r="Y14" s="17">
        <f t="shared" si="6"/>
        <v>23</v>
      </c>
      <c r="Z14" s="17">
        <f t="shared" si="6"/>
        <v>6</v>
      </c>
      <c r="AA14" s="17">
        <f t="shared" si="6"/>
        <v>4</v>
      </c>
      <c r="AB14" s="17">
        <f t="shared" si="6"/>
        <v>1</v>
      </c>
      <c r="AC14" s="17">
        <f t="shared" si="6"/>
        <v>382</v>
      </c>
      <c r="AD14" s="17">
        <f t="shared" si="6"/>
        <v>0</v>
      </c>
      <c r="AE14" s="31">
        <f t="shared" si="6"/>
        <v>166</v>
      </c>
      <c r="AF14" s="31">
        <f t="shared" si="6"/>
        <v>548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0</v>
      </c>
      <c r="F15" s="50">
        <v>14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94</v>
      </c>
      <c r="N15" s="50">
        <v>0</v>
      </c>
      <c r="O15" s="15">
        <f t="shared" si="0"/>
        <v>21</v>
      </c>
      <c r="P15" s="15">
        <f t="shared" si="1"/>
        <v>115</v>
      </c>
      <c r="R15" s="1" t="s">
        <v>11</v>
      </c>
      <c r="S15" s="17">
        <f t="shared" ref="S15:AF15" si="7">SUM(C30:C33)</f>
        <v>40</v>
      </c>
      <c r="T15" s="17">
        <f t="shared" si="7"/>
        <v>10</v>
      </c>
      <c r="U15" s="17">
        <f t="shared" si="7"/>
        <v>14</v>
      </c>
      <c r="V15" s="17">
        <f t="shared" si="7"/>
        <v>38</v>
      </c>
      <c r="W15" s="17">
        <f t="shared" si="7"/>
        <v>3</v>
      </c>
      <c r="X15" s="17">
        <f t="shared" si="7"/>
        <v>0</v>
      </c>
      <c r="Y15" s="17">
        <f t="shared" si="7"/>
        <v>15</v>
      </c>
      <c r="Z15" s="17">
        <f t="shared" si="7"/>
        <v>3</v>
      </c>
      <c r="AA15" s="17">
        <f t="shared" si="7"/>
        <v>5</v>
      </c>
      <c r="AB15" s="17">
        <f t="shared" si="7"/>
        <v>1</v>
      </c>
      <c r="AC15" s="17">
        <f t="shared" si="7"/>
        <v>200</v>
      </c>
      <c r="AD15" s="17">
        <f t="shared" si="7"/>
        <v>0</v>
      </c>
      <c r="AE15" s="31">
        <f t="shared" si="7"/>
        <v>129</v>
      </c>
      <c r="AF15" s="31">
        <f t="shared" si="7"/>
        <v>329</v>
      </c>
    </row>
    <row r="16" spans="2:32" ht="23.1" customHeight="1" x14ac:dyDescent="0.25">
      <c r="B16" s="23" t="s">
        <v>43</v>
      </c>
      <c r="C16" s="50">
        <v>4</v>
      </c>
      <c r="D16" s="50">
        <v>5</v>
      </c>
      <c r="E16" s="50">
        <v>3</v>
      </c>
      <c r="F16" s="50">
        <v>24</v>
      </c>
      <c r="G16" s="50">
        <v>0</v>
      </c>
      <c r="H16" s="50">
        <v>0</v>
      </c>
      <c r="I16" s="50">
        <v>10</v>
      </c>
      <c r="J16" s="50">
        <v>3</v>
      </c>
      <c r="K16" s="50">
        <v>0</v>
      </c>
      <c r="L16" s="50">
        <v>0</v>
      </c>
      <c r="M16" s="50">
        <v>98</v>
      </c>
      <c r="N16" s="50">
        <v>0</v>
      </c>
      <c r="O16" s="15">
        <f t="shared" si="0"/>
        <v>49</v>
      </c>
      <c r="P16" s="15">
        <f t="shared" si="1"/>
        <v>147</v>
      </c>
      <c r="R16" s="1" t="s">
        <v>12</v>
      </c>
      <c r="S16" s="17">
        <f t="shared" ref="S16:AF16" si="8">SUM(C34:C37)</f>
        <v>39</v>
      </c>
      <c r="T16" s="17">
        <f t="shared" si="8"/>
        <v>15</v>
      </c>
      <c r="U16" s="17">
        <f t="shared" si="8"/>
        <v>9</v>
      </c>
      <c r="V16" s="17">
        <f t="shared" si="8"/>
        <v>36</v>
      </c>
      <c r="W16" s="17">
        <f t="shared" si="8"/>
        <v>0</v>
      </c>
      <c r="X16" s="17">
        <f t="shared" si="8"/>
        <v>1</v>
      </c>
      <c r="Y16" s="17">
        <f t="shared" si="8"/>
        <v>18</v>
      </c>
      <c r="Z16" s="17">
        <f t="shared" si="8"/>
        <v>4</v>
      </c>
      <c r="AA16" s="17">
        <f t="shared" si="8"/>
        <v>4</v>
      </c>
      <c r="AB16" s="17">
        <f t="shared" si="8"/>
        <v>3</v>
      </c>
      <c r="AC16" s="17">
        <f t="shared" si="8"/>
        <v>279</v>
      </c>
      <c r="AD16" s="17">
        <f t="shared" si="8"/>
        <v>0</v>
      </c>
      <c r="AE16" s="31">
        <f t="shared" si="8"/>
        <v>129</v>
      </c>
      <c r="AF16" s="31">
        <f t="shared" si="8"/>
        <v>408</v>
      </c>
    </row>
    <row r="17" spans="2:32" ht="23.1" customHeight="1" x14ac:dyDescent="0.25">
      <c r="B17" s="23" t="s">
        <v>44</v>
      </c>
      <c r="C17" s="50">
        <v>6</v>
      </c>
      <c r="D17" s="50">
        <v>1</v>
      </c>
      <c r="E17" s="50">
        <v>0</v>
      </c>
      <c r="F17" s="50">
        <v>14</v>
      </c>
      <c r="G17" s="50">
        <v>0</v>
      </c>
      <c r="H17" s="50">
        <v>0</v>
      </c>
      <c r="I17" s="50">
        <v>1</v>
      </c>
      <c r="J17" s="50">
        <v>3</v>
      </c>
      <c r="K17" s="50">
        <v>0</v>
      </c>
      <c r="L17" s="50">
        <v>0</v>
      </c>
      <c r="M17" s="50">
        <v>109</v>
      </c>
      <c r="N17" s="50">
        <v>0</v>
      </c>
      <c r="O17" s="15">
        <f t="shared" si="0"/>
        <v>25</v>
      </c>
      <c r="P17" s="15">
        <f t="shared" si="1"/>
        <v>134</v>
      </c>
      <c r="R17" s="1" t="s">
        <v>13</v>
      </c>
      <c r="S17" s="17">
        <f t="shared" ref="S17:AF17" si="9">SUM(C38:C41)</f>
        <v>42</v>
      </c>
      <c r="T17" s="17">
        <f t="shared" si="9"/>
        <v>10</v>
      </c>
      <c r="U17" s="17">
        <f t="shared" si="9"/>
        <v>11</v>
      </c>
      <c r="V17" s="17">
        <f t="shared" si="9"/>
        <v>29</v>
      </c>
      <c r="W17" s="17">
        <f t="shared" si="9"/>
        <v>5</v>
      </c>
      <c r="X17" s="17">
        <f t="shared" si="9"/>
        <v>2</v>
      </c>
      <c r="Y17" s="17">
        <f t="shared" si="9"/>
        <v>29</v>
      </c>
      <c r="Z17" s="17">
        <f t="shared" si="9"/>
        <v>18</v>
      </c>
      <c r="AA17" s="17">
        <f t="shared" si="9"/>
        <v>0</v>
      </c>
      <c r="AB17" s="17">
        <f t="shared" si="9"/>
        <v>0</v>
      </c>
      <c r="AC17" s="17">
        <f t="shared" si="9"/>
        <v>198</v>
      </c>
      <c r="AD17" s="17">
        <f t="shared" si="9"/>
        <v>0</v>
      </c>
      <c r="AE17" s="31">
        <f t="shared" si="9"/>
        <v>146</v>
      </c>
      <c r="AF17" s="31">
        <f t="shared" si="9"/>
        <v>344</v>
      </c>
    </row>
    <row r="18" spans="2:32" ht="23.1" customHeight="1" x14ac:dyDescent="0.25">
      <c r="B18" s="23" t="s">
        <v>45</v>
      </c>
      <c r="C18" s="50">
        <v>14</v>
      </c>
      <c r="D18" s="50">
        <v>0</v>
      </c>
      <c r="E18" s="50">
        <v>2</v>
      </c>
      <c r="F18" s="50">
        <v>29</v>
      </c>
      <c r="G18" s="50">
        <v>0</v>
      </c>
      <c r="H18" s="50">
        <v>0</v>
      </c>
      <c r="I18" s="50">
        <v>5</v>
      </c>
      <c r="J18" s="50">
        <v>3</v>
      </c>
      <c r="K18" s="50">
        <v>1</v>
      </c>
      <c r="L18" s="50">
        <v>0</v>
      </c>
      <c r="M18" s="50">
        <v>125</v>
      </c>
      <c r="N18" s="50">
        <v>0</v>
      </c>
      <c r="O18" s="15">
        <f t="shared" si="0"/>
        <v>54</v>
      </c>
      <c r="P18" s="15">
        <f t="shared" si="1"/>
        <v>179</v>
      </c>
      <c r="R18" s="1" t="s">
        <v>14</v>
      </c>
      <c r="S18" s="17">
        <f t="shared" ref="S18:AF18" si="10">SUM(C42:C45)</f>
        <v>54</v>
      </c>
      <c r="T18" s="17">
        <f t="shared" si="10"/>
        <v>7</v>
      </c>
      <c r="U18" s="17">
        <f t="shared" si="10"/>
        <v>15</v>
      </c>
      <c r="V18" s="17">
        <f t="shared" si="10"/>
        <v>28</v>
      </c>
      <c r="W18" s="17">
        <f t="shared" si="10"/>
        <v>4</v>
      </c>
      <c r="X18" s="17">
        <f t="shared" si="10"/>
        <v>0</v>
      </c>
      <c r="Y18" s="17">
        <f t="shared" si="10"/>
        <v>19</v>
      </c>
      <c r="Z18" s="17">
        <f t="shared" si="10"/>
        <v>4</v>
      </c>
      <c r="AA18" s="17">
        <f t="shared" si="10"/>
        <v>2</v>
      </c>
      <c r="AB18" s="17">
        <f t="shared" si="10"/>
        <v>1</v>
      </c>
      <c r="AC18" s="17">
        <f t="shared" si="10"/>
        <v>245</v>
      </c>
      <c r="AD18" s="17">
        <f t="shared" si="10"/>
        <v>0</v>
      </c>
      <c r="AE18" s="31">
        <f t="shared" si="10"/>
        <v>134</v>
      </c>
      <c r="AF18" s="31">
        <f t="shared" si="10"/>
        <v>379</v>
      </c>
    </row>
    <row r="19" spans="2:32" ht="23.1" customHeight="1" x14ac:dyDescent="0.25">
      <c r="B19" s="23" t="s">
        <v>46</v>
      </c>
      <c r="C19" s="50">
        <v>4</v>
      </c>
      <c r="D19" s="50">
        <v>1</v>
      </c>
      <c r="E19" s="50">
        <v>1</v>
      </c>
      <c r="F19" s="50">
        <v>10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121</v>
      </c>
      <c r="N19" s="50">
        <v>0</v>
      </c>
      <c r="O19" s="15">
        <f t="shared" si="0"/>
        <v>17</v>
      </c>
      <c r="P19" s="15">
        <f t="shared" si="1"/>
        <v>138</v>
      </c>
      <c r="R19" s="1" t="s">
        <v>15</v>
      </c>
      <c r="S19" s="17">
        <f t="shared" ref="S19:AF19" si="11">SUM(C46:C49)</f>
        <v>47</v>
      </c>
      <c r="T19" s="17">
        <f t="shared" si="11"/>
        <v>7</v>
      </c>
      <c r="U19" s="17">
        <f t="shared" si="11"/>
        <v>15</v>
      </c>
      <c r="V19" s="17">
        <f t="shared" si="11"/>
        <v>30</v>
      </c>
      <c r="W19" s="17">
        <f t="shared" si="11"/>
        <v>3</v>
      </c>
      <c r="X19" s="17">
        <f t="shared" si="11"/>
        <v>0</v>
      </c>
      <c r="Y19" s="17">
        <f t="shared" si="11"/>
        <v>15</v>
      </c>
      <c r="Z19" s="17">
        <f t="shared" si="11"/>
        <v>11</v>
      </c>
      <c r="AA19" s="17">
        <f t="shared" si="11"/>
        <v>1</v>
      </c>
      <c r="AB19" s="17">
        <f t="shared" si="11"/>
        <v>1</v>
      </c>
      <c r="AC19" s="17">
        <f t="shared" si="11"/>
        <v>274</v>
      </c>
      <c r="AD19" s="17">
        <f t="shared" si="11"/>
        <v>0</v>
      </c>
      <c r="AE19" s="31">
        <f t="shared" si="11"/>
        <v>130</v>
      </c>
      <c r="AF19" s="31">
        <f t="shared" si="11"/>
        <v>404</v>
      </c>
    </row>
    <row r="20" spans="2:32" ht="23.1" customHeight="1" x14ac:dyDescent="0.25">
      <c r="B20" s="23" t="s">
        <v>47</v>
      </c>
      <c r="C20" s="50">
        <v>8</v>
      </c>
      <c r="D20" s="50">
        <v>0</v>
      </c>
      <c r="E20" s="50">
        <v>2</v>
      </c>
      <c r="F20" s="50">
        <v>18</v>
      </c>
      <c r="G20" s="50">
        <v>0</v>
      </c>
      <c r="H20" s="50">
        <v>0</v>
      </c>
      <c r="I20" s="50">
        <v>9</v>
      </c>
      <c r="J20" s="50">
        <v>4</v>
      </c>
      <c r="K20" s="50">
        <v>0</v>
      </c>
      <c r="L20" s="50">
        <v>0</v>
      </c>
      <c r="M20" s="50">
        <v>122</v>
      </c>
      <c r="N20" s="50">
        <v>0</v>
      </c>
      <c r="O20" s="15">
        <f t="shared" si="0"/>
        <v>41</v>
      </c>
      <c r="P20" s="15">
        <f t="shared" si="1"/>
        <v>163</v>
      </c>
      <c r="R20" s="1" t="s">
        <v>16</v>
      </c>
      <c r="S20" s="17">
        <f t="shared" ref="S20:AF20" si="12">SUM(C50:C53)</f>
        <v>104</v>
      </c>
      <c r="T20" s="17">
        <f t="shared" si="12"/>
        <v>17</v>
      </c>
      <c r="U20" s="17">
        <f t="shared" si="12"/>
        <v>14</v>
      </c>
      <c r="V20" s="17">
        <f t="shared" si="12"/>
        <v>45</v>
      </c>
      <c r="W20" s="17">
        <f t="shared" si="12"/>
        <v>3</v>
      </c>
      <c r="X20" s="17">
        <f t="shared" si="12"/>
        <v>1</v>
      </c>
      <c r="Y20" s="17">
        <f t="shared" si="12"/>
        <v>19</v>
      </c>
      <c r="Z20" s="17">
        <f t="shared" si="12"/>
        <v>9</v>
      </c>
      <c r="AA20" s="17">
        <f t="shared" si="12"/>
        <v>2</v>
      </c>
      <c r="AB20" s="17">
        <f t="shared" si="12"/>
        <v>0</v>
      </c>
      <c r="AC20" s="17">
        <f t="shared" si="12"/>
        <v>327</v>
      </c>
      <c r="AD20" s="17">
        <f t="shared" si="12"/>
        <v>0</v>
      </c>
      <c r="AE20" s="31">
        <f t="shared" si="12"/>
        <v>214</v>
      </c>
      <c r="AF20" s="31">
        <f t="shared" si="12"/>
        <v>541</v>
      </c>
    </row>
    <row r="21" spans="2:32" ht="23.1" customHeight="1" x14ac:dyDescent="0.25">
      <c r="B21" s="23" t="s">
        <v>48</v>
      </c>
      <c r="C21" s="50">
        <v>13</v>
      </c>
      <c r="D21" s="50">
        <v>0</v>
      </c>
      <c r="E21" s="50">
        <v>2</v>
      </c>
      <c r="F21" s="50">
        <v>19</v>
      </c>
      <c r="G21" s="50">
        <v>0</v>
      </c>
      <c r="H21" s="50">
        <v>0</v>
      </c>
      <c r="I21" s="50">
        <v>8</v>
      </c>
      <c r="J21" s="50">
        <v>1</v>
      </c>
      <c r="K21" s="50">
        <v>0</v>
      </c>
      <c r="L21" s="50">
        <v>0</v>
      </c>
      <c r="M21" s="50">
        <v>120</v>
      </c>
      <c r="N21" s="50">
        <v>0</v>
      </c>
      <c r="O21" s="15">
        <f t="shared" si="0"/>
        <v>43</v>
      </c>
      <c r="P21" s="15">
        <f t="shared" si="1"/>
        <v>163</v>
      </c>
      <c r="R21" s="36" t="s">
        <v>20</v>
      </c>
      <c r="S21" s="34">
        <f t="shared" ref="S21:AF21" si="13">SUM(C54:C57)</f>
        <v>108</v>
      </c>
      <c r="T21" s="17">
        <f t="shared" si="13"/>
        <v>18</v>
      </c>
      <c r="U21" s="17">
        <f t="shared" si="13"/>
        <v>11</v>
      </c>
      <c r="V21" s="17">
        <f t="shared" si="13"/>
        <v>108</v>
      </c>
      <c r="W21" s="17">
        <f t="shared" si="13"/>
        <v>1</v>
      </c>
      <c r="X21" s="17">
        <f t="shared" si="13"/>
        <v>0</v>
      </c>
      <c r="Y21" s="17">
        <f t="shared" si="13"/>
        <v>24</v>
      </c>
      <c r="Z21" s="17">
        <f t="shared" si="13"/>
        <v>2</v>
      </c>
      <c r="AA21" s="17">
        <f t="shared" si="13"/>
        <v>4</v>
      </c>
      <c r="AB21" s="17">
        <f t="shared" si="13"/>
        <v>1</v>
      </c>
      <c r="AC21" s="17">
        <f t="shared" si="13"/>
        <v>301</v>
      </c>
      <c r="AD21" s="17">
        <f t="shared" si="13"/>
        <v>0</v>
      </c>
      <c r="AE21" s="31">
        <f t="shared" si="13"/>
        <v>277</v>
      </c>
      <c r="AF21" s="31">
        <f t="shared" si="13"/>
        <v>578</v>
      </c>
    </row>
    <row r="22" spans="2:32" ht="23.1" customHeight="1" x14ac:dyDescent="0.25">
      <c r="B22" s="23" t="s">
        <v>49</v>
      </c>
      <c r="C22" s="50">
        <v>9</v>
      </c>
      <c r="D22" s="50">
        <v>1</v>
      </c>
      <c r="E22" s="50">
        <v>3</v>
      </c>
      <c r="F22" s="50">
        <v>18</v>
      </c>
      <c r="G22" s="50">
        <v>0</v>
      </c>
      <c r="H22" s="50">
        <v>0</v>
      </c>
      <c r="I22" s="50">
        <v>10</v>
      </c>
      <c r="J22" s="50">
        <v>4</v>
      </c>
      <c r="K22" s="50">
        <v>0</v>
      </c>
      <c r="L22" s="50">
        <v>0</v>
      </c>
      <c r="M22" s="50">
        <v>75</v>
      </c>
      <c r="N22" s="50">
        <v>0</v>
      </c>
      <c r="O22" s="15">
        <f t="shared" si="0"/>
        <v>45</v>
      </c>
      <c r="P22" s="15">
        <f t="shared" si="1"/>
        <v>120</v>
      </c>
      <c r="R22" s="38" t="s">
        <v>90</v>
      </c>
      <c r="S22" s="39">
        <f>MAX(S10:S12)</f>
        <v>42</v>
      </c>
      <c r="T22" s="39">
        <f t="shared" ref="T22:AF22" si="14">MAX(T10:T12)</f>
        <v>8</v>
      </c>
      <c r="U22" s="39">
        <f t="shared" si="14"/>
        <v>12</v>
      </c>
      <c r="V22" s="39">
        <f t="shared" si="14"/>
        <v>76</v>
      </c>
      <c r="W22" s="39">
        <f t="shared" si="14"/>
        <v>0</v>
      </c>
      <c r="X22" s="39">
        <f t="shared" si="14"/>
        <v>0</v>
      </c>
      <c r="Y22" s="39">
        <f t="shared" si="14"/>
        <v>22</v>
      </c>
      <c r="Z22" s="39">
        <f t="shared" si="14"/>
        <v>8</v>
      </c>
      <c r="AA22" s="39">
        <f t="shared" si="14"/>
        <v>2</v>
      </c>
      <c r="AB22" s="39">
        <f t="shared" si="14"/>
        <v>1</v>
      </c>
      <c r="AC22" s="39">
        <f t="shared" si="14"/>
        <v>488</v>
      </c>
      <c r="AD22" s="39">
        <f t="shared" si="14"/>
        <v>0</v>
      </c>
      <c r="AE22" s="40">
        <f t="shared" si="14"/>
        <v>155</v>
      </c>
      <c r="AF22" s="40">
        <f t="shared" si="14"/>
        <v>643</v>
      </c>
    </row>
    <row r="23" spans="2:32" ht="23.1" customHeight="1" x14ac:dyDescent="0.25">
      <c r="B23" s="23" t="s">
        <v>50</v>
      </c>
      <c r="C23" s="50">
        <v>6</v>
      </c>
      <c r="D23" s="50">
        <v>1</v>
      </c>
      <c r="E23" s="50">
        <v>2</v>
      </c>
      <c r="F23" s="50">
        <v>13</v>
      </c>
      <c r="G23" s="50">
        <v>0</v>
      </c>
      <c r="H23" s="50">
        <v>0</v>
      </c>
      <c r="I23" s="50">
        <v>7</v>
      </c>
      <c r="J23" s="50">
        <v>0</v>
      </c>
      <c r="K23" s="50">
        <v>1</v>
      </c>
      <c r="L23" s="50">
        <v>0</v>
      </c>
      <c r="M23" s="50">
        <v>94</v>
      </c>
      <c r="N23" s="50">
        <v>0</v>
      </c>
      <c r="O23" s="15">
        <f t="shared" si="0"/>
        <v>30</v>
      </c>
      <c r="P23" s="15">
        <f t="shared" si="1"/>
        <v>124</v>
      </c>
      <c r="R23" s="38" t="s">
        <v>91</v>
      </c>
      <c r="S23" s="39">
        <f>MAX(S13:S18)</f>
        <v>54</v>
      </c>
      <c r="T23" s="39">
        <f t="shared" ref="T23:AF23" si="15">MAX(T13:T18)</f>
        <v>15</v>
      </c>
      <c r="U23" s="39">
        <f t="shared" si="15"/>
        <v>17</v>
      </c>
      <c r="V23" s="39">
        <f t="shared" si="15"/>
        <v>68</v>
      </c>
      <c r="W23" s="39">
        <f t="shared" si="15"/>
        <v>8</v>
      </c>
      <c r="X23" s="39">
        <f t="shared" si="15"/>
        <v>5</v>
      </c>
      <c r="Y23" s="39">
        <f t="shared" si="15"/>
        <v>29</v>
      </c>
      <c r="Z23" s="39">
        <f t="shared" si="15"/>
        <v>18</v>
      </c>
      <c r="AA23" s="39">
        <f t="shared" si="15"/>
        <v>5</v>
      </c>
      <c r="AB23" s="39">
        <f t="shared" si="15"/>
        <v>3</v>
      </c>
      <c r="AC23" s="39">
        <f t="shared" si="15"/>
        <v>395</v>
      </c>
      <c r="AD23" s="39">
        <f t="shared" si="15"/>
        <v>0</v>
      </c>
      <c r="AE23" s="40">
        <f t="shared" si="15"/>
        <v>192</v>
      </c>
      <c r="AF23" s="40">
        <f t="shared" si="15"/>
        <v>587</v>
      </c>
    </row>
    <row r="24" spans="2:32" ht="23.1" customHeight="1" x14ac:dyDescent="0.25">
      <c r="B24" s="23" t="s">
        <v>51</v>
      </c>
      <c r="C24" s="50">
        <v>27</v>
      </c>
      <c r="D24" s="50">
        <v>1</v>
      </c>
      <c r="E24" s="50">
        <v>5</v>
      </c>
      <c r="F24" s="50">
        <v>17</v>
      </c>
      <c r="G24" s="50">
        <v>6</v>
      </c>
      <c r="H24" s="50">
        <v>1</v>
      </c>
      <c r="I24" s="50">
        <v>3</v>
      </c>
      <c r="J24" s="50">
        <v>2</v>
      </c>
      <c r="K24" s="50">
        <v>2</v>
      </c>
      <c r="L24" s="50">
        <v>1</v>
      </c>
      <c r="M24" s="50">
        <v>115</v>
      </c>
      <c r="N24" s="50">
        <v>0</v>
      </c>
      <c r="O24" s="15">
        <f t="shared" si="0"/>
        <v>65</v>
      </c>
      <c r="P24" s="15">
        <f t="shared" si="1"/>
        <v>180</v>
      </c>
      <c r="R24" s="38" t="s">
        <v>92</v>
      </c>
      <c r="S24" s="39">
        <f>MAX(S19:S21)</f>
        <v>108</v>
      </c>
      <c r="T24" s="39">
        <f t="shared" ref="T24:AF24" si="16">MAX(T19:T21)</f>
        <v>18</v>
      </c>
      <c r="U24" s="39">
        <f t="shared" si="16"/>
        <v>15</v>
      </c>
      <c r="V24" s="39">
        <f t="shared" si="16"/>
        <v>108</v>
      </c>
      <c r="W24" s="39">
        <f t="shared" si="16"/>
        <v>3</v>
      </c>
      <c r="X24" s="39">
        <f t="shared" si="16"/>
        <v>1</v>
      </c>
      <c r="Y24" s="39">
        <f t="shared" si="16"/>
        <v>24</v>
      </c>
      <c r="Z24" s="39">
        <f t="shared" si="16"/>
        <v>11</v>
      </c>
      <c r="AA24" s="39">
        <f t="shared" si="16"/>
        <v>4</v>
      </c>
      <c r="AB24" s="39">
        <f t="shared" si="16"/>
        <v>1</v>
      </c>
      <c r="AC24" s="39">
        <f t="shared" si="16"/>
        <v>327</v>
      </c>
      <c r="AD24" s="39">
        <f t="shared" si="16"/>
        <v>0</v>
      </c>
      <c r="AE24" s="40">
        <f t="shared" si="16"/>
        <v>277</v>
      </c>
      <c r="AF24" s="40">
        <f t="shared" si="16"/>
        <v>578</v>
      </c>
    </row>
    <row r="25" spans="2:32" ht="23.1" customHeight="1" x14ac:dyDescent="0.25">
      <c r="B25" s="23" t="s">
        <v>52</v>
      </c>
      <c r="C25" s="50">
        <v>9</v>
      </c>
      <c r="D25" s="50">
        <v>4</v>
      </c>
      <c r="E25" s="50">
        <v>7</v>
      </c>
      <c r="F25" s="50">
        <v>20</v>
      </c>
      <c r="G25" s="50">
        <v>2</v>
      </c>
      <c r="H25" s="50">
        <v>0</v>
      </c>
      <c r="I25" s="50">
        <v>4</v>
      </c>
      <c r="J25" s="50">
        <v>4</v>
      </c>
      <c r="K25" s="50">
        <v>2</v>
      </c>
      <c r="L25" s="50">
        <v>0</v>
      </c>
      <c r="M25" s="50">
        <v>111</v>
      </c>
      <c r="N25" s="50">
        <v>0</v>
      </c>
      <c r="O25" s="15">
        <f t="shared" si="0"/>
        <v>52</v>
      </c>
      <c r="P25" s="15">
        <f t="shared" si="1"/>
        <v>163</v>
      </c>
      <c r="R25" s="37" t="s">
        <v>85</v>
      </c>
      <c r="S25" s="35">
        <f t="shared" ref="S25:AF25" si="17">SUM(S10:S12)</f>
        <v>101</v>
      </c>
      <c r="T25" s="16">
        <f t="shared" si="17"/>
        <v>15</v>
      </c>
      <c r="U25" s="16">
        <f t="shared" si="17"/>
        <v>24</v>
      </c>
      <c r="V25" s="16">
        <f t="shared" si="17"/>
        <v>200</v>
      </c>
      <c r="W25" s="16">
        <f t="shared" si="17"/>
        <v>0</v>
      </c>
      <c r="X25" s="16">
        <f t="shared" si="17"/>
        <v>0</v>
      </c>
      <c r="Y25" s="16">
        <f t="shared" si="17"/>
        <v>52</v>
      </c>
      <c r="Z25" s="16">
        <f t="shared" si="17"/>
        <v>18</v>
      </c>
      <c r="AA25" s="16">
        <f t="shared" si="17"/>
        <v>4</v>
      </c>
      <c r="AB25" s="16">
        <f t="shared" si="17"/>
        <v>2</v>
      </c>
      <c r="AC25" s="16">
        <f t="shared" si="17"/>
        <v>1256</v>
      </c>
      <c r="AD25" s="16">
        <f t="shared" si="17"/>
        <v>0</v>
      </c>
      <c r="AE25" s="32">
        <f t="shared" si="17"/>
        <v>416</v>
      </c>
      <c r="AF25" s="32">
        <f t="shared" si="17"/>
        <v>1672</v>
      </c>
    </row>
    <row r="26" spans="2:32" ht="23.1" customHeight="1" x14ac:dyDescent="0.25">
      <c r="B26" s="23" t="s">
        <v>53</v>
      </c>
      <c r="C26" s="50">
        <v>10</v>
      </c>
      <c r="D26" s="50">
        <v>1</v>
      </c>
      <c r="E26" s="50">
        <v>6</v>
      </c>
      <c r="F26" s="50">
        <v>14</v>
      </c>
      <c r="G26" s="50">
        <v>0</v>
      </c>
      <c r="H26" s="50">
        <v>1</v>
      </c>
      <c r="I26" s="50">
        <v>4</v>
      </c>
      <c r="J26" s="50">
        <v>0</v>
      </c>
      <c r="K26" s="50">
        <v>0</v>
      </c>
      <c r="L26" s="50">
        <v>1</v>
      </c>
      <c r="M26" s="50">
        <v>132</v>
      </c>
      <c r="N26" s="50">
        <v>0</v>
      </c>
      <c r="O26" s="15">
        <f t="shared" si="0"/>
        <v>37</v>
      </c>
      <c r="P26" s="15">
        <f t="shared" si="1"/>
        <v>169</v>
      </c>
      <c r="R26" s="28" t="s">
        <v>86</v>
      </c>
      <c r="S26" s="16">
        <f t="shared" ref="S26:AF26" si="18">SUM(S13:S18)</f>
        <v>280</v>
      </c>
      <c r="T26" s="16">
        <f t="shared" si="18"/>
        <v>54</v>
      </c>
      <c r="U26" s="16">
        <f t="shared" si="18"/>
        <v>80</v>
      </c>
      <c r="V26" s="16">
        <f t="shared" si="18"/>
        <v>248</v>
      </c>
      <c r="W26" s="16">
        <f t="shared" si="18"/>
        <v>25</v>
      </c>
      <c r="X26" s="16">
        <f t="shared" si="18"/>
        <v>9</v>
      </c>
      <c r="Y26" s="16">
        <f t="shared" si="18"/>
        <v>128</v>
      </c>
      <c r="Z26" s="16">
        <f t="shared" si="18"/>
        <v>45</v>
      </c>
      <c r="AA26" s="16">
        <f t="shared" si="18"/>
        <v>20</v>
      </c>
      <c r="AB26" s="16">
        <f t="shared" si="18"/>
        <v>7</v>
      </c>
      <c r="AC26" s="16">
        <f t="shared" si="18"/>
        <v>1699</v>
      </c>
      <c r="AD26" s="16">
        <f t="shared" si="18"/>
        <v>0</v>
      </c>
      <c r="AE26" s="32">
        <f t="shared" si="18"/>
        <v>896</v>
      </c>
      <c r="AF26" s="32">
        <f t="shared" si="18"/>
        <v>2595</v>
      </c>
    </row>
    <row r="27" spans="2:32" ht="23.1" customHeight="1" x14ac:dyDescent="0.25">
      <c r="B27" s="23" t="s">
        <v>54</v>
      </c>
      <c r="C27" s="50">
        <v>5</v>
      </c>
      <c r="D27" s="50">
        <v>1</v>
      </c>
      <c r="E27" s="50">
        <v>6</v>
      </c>
      <c r="F27" s="50">
        <v>20</v>
      </c>
      <c r="G27" s="50">
        <v>4</v>
      </c>
      <c r="H27" s="50">
        <v>0</v>
      </c>
      <c r="I27" s="50">
        <v>2</v>
      </c>
      <c r="J27" s="50">
        <v>2</v>
      </c>
      <c r="K27" s="50">
        <v>1</v>
      </c>
      <c r="L27" s="50">
        <v>0</v>
      </c>
      <c r="M27" s="50">
        <v>78</v>
      </c>
      <c r="N27" s="50">
        <v>0</v>
      </c>
      <c r="O27" s="15">
        <f t="shared" si="0"/>
        <v>41</v>
      </c>
      <c r="P27" s="15">
        <f t="shared" si="1"/>
        <v>119</v>
      </c>
      <c r="R27" s="29" t="s">
        <v>87</v>
      </c>
      <c r="S27" s="16">
        <f t="shared" ref="S27:AF27" si="19">SUM(S19:S21)</f>
        <v>259</v>
      </c>
      <c r="T27" s="16">
        <f t="shared" si="19"/>
        <v>42</v>
      </c>
      <c r="U27" s="16">
        <f t="shared" si="19"/>
        <v>40</v>
      </c>
      <c r="V27" s="16">
        <f t="shared" si="19"/>
        <v>183</v>
      </c>
      <c r="W27" s="16">
        <f t="shared" si="19"/>
        <v>7</v>
      </c>
      <c r="X27" s="16">
        <f t="shared" si="19"/>
        <v>1</v>
      </c>
      <c r="Y27" s="16">
        <f t="shared" si="19"/>
        <v>58</v>
      </c>
      <c r="Z27" s="16">
        <f t="shared" si="19"/>
        <v>22</v>
      </c>
      <c r="AA27" s="16">
        <f t="shared" si="19"/>
        <v>7</v>
      </c>
      <c r="AB27" s="16">
        <f t="shared" si="19"/>
        <v>2</v>
      </c>
      <c r="AC27" s="16">
        <f t="shared" si="19"/>
        <v>902</v>
      </c>
      <c r="AD27" s="16">
        <f t="shared" si="19"/>
        <v>0</v>
      </c>
      <c r="AE27" s="32">
        <f t="shared" si="19"/>
        <v>621</v>
      </c>
      <c r="AF27" s="32">
        <f t="shared" si="19"/>
        <v>1523</v>
      </c>
    </row>
    <row r="28" spans="2:32" ht="23.1" customHeight="1" x14ac:dyDescent="0.25">
      <c r="B28" s="23" t="s">
        <v>55</v>
      </c>
      <c r="C28" s="50">
        <v>10</v>
      </c>
      <c r="D28" s="50">
        <v>1</v>
      </c>
      <c r="E28" s="50">
        <v>1</v>
      </c>
      <c r="F28" s="50">
        <v>6</v>
      </c>
      <c r="G28" s="50">
        <v>1</v>
      </c>
      <c r="H28" s="50">
        <v>1</v>
      </c>
      <c r="I28" s="50">
        <v>3</v>
      </c>
      <c r="J28" s="50">
        <v>2</v>
      </c>
      <c r="K28" s="50">
        <v>1</v>
      </c>
      <c r="L28" s="50">
        <v>0</v>
      </c>
      <c r="M28" s="50">
        <v>76</v>
      </c>
      <c r="N28" s="50">
        <v>0</v>
      </c>
      <c r="O28" s="15">
        <f t="shared" si="0"/>
        <v>26</v>
      </c>
      <c r="P28" s="15">
        <f t="shared" si="1"/>
        <v>102</v>
      </c>
      <c r="R28" s="5" t="s">
        <v>17</v>
      </c>
      <c r="S28" s="16">
        <f t="shared" ref="S28:AF28" si="20">SUM(S10:S21)</f>
        <v>640</v>
      </c>
      <c r="T28" s="16">
        <f t="shared" si="20"/>
        <v>111</v>
      </c>
      <c r="U28" s="16">
        <f t="shared" si="20"/>
        <v>144</v>
      </c>
      <c r="V28" s="16">
        <f t="shared" si="20"/>
        <v>631</v>
      </c>
      <c r="W28" s="16">
        <f t="shared" si="20"/>
        <v>32</v>
      </c>
      <c r="X28" s="16">
        <f t="shared" si="20"/>
        <v>10</v>
      </c>
      <c r="Y28" s="16">
        <f t="shared" si="20"/>
        <v>238</v>
      </c>
      <c r="Z28" s="16">
        <f t="shared" si="20"/>
        <v>85</v>
      </c>
      <c r="AA28" s="16">
        <f t="shared" si="20"/>
        <v>31</v>
      </c>
      <c r="AB28" s="16">
        <f t="shared" si="20"/>
        <v>11</v>
      </c>
      <c r="AC28" s="16">
        <f t="shared" si="20"/>
        <v>3857</v>
      </c>
      <c r="AD28" s="16">
        <f t="shared" si="20"/>
        <v>0</v>
      </c>
      <c r="AE28" s="32">
        <f t="shared" si="20"/>
        <v>1933</v>
      </c>
      <c r="AF28" s="32">
        <f t="shared" si="20"/>
        <v>5790</v>
      </c>
    </row>
    <row r="29" spans="2:32" ht="23.1" customHeight="1" x14ac:dyDescent="0.25">
      <c r="B29" s="23" t="s">
        <v>56</v>
      </c>
      <c r="C29" s="50">
        <v>29</v>
      </c>
      <c r="D29" s="50">
        <v>2</v>
      </c>
      <c r="E29" s="50">
        <v>1</v>
      </c>
      <c r="F29" s="50">
        <v>9</v>
      </c>
      <c r="G29" s="50">
        <v>0</v>
      </c>
      <c r="H29" s="50">
        <v>3</v>
      </c>
      <c r="I29" s="50">
        <v>14</v>
      </c>
      <c r="J29" s="50">
        <v>2</v>
      </c>
      <c r="K29" s="50">
        <v>2</v>
      </c>
      <c r="L29" s="50">
        <v>0</v>
      </c>
      <c r="M29" s="50">
        <v>96</v>
      </c>
      <c r="N29" s="50">
        <v>0</v>
      </c>
      <c r="O29" s="15">
        <f t="shared" si="0"/>
        <v>62</v>
      </c>
      <c r="P29" s="15">
        <f t="shared" si="1"/>
        <v>158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2</v>
      </c>
      <c r="E30" s="50">
        <v>1</v>
      </c>
      <c r="F30" s="50">
        <v>9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1</v>
      </c>
      <c r="M30" s="50">
        <v>40</v>
      </c>
      <c r="N30" s="50">
        <v>0</v>
      </c>
      <c r="O30" s="15">
        <f t="shared" si="0"/>
        <v>26</v>
      </c>
      <c r="P30" s="15">
        <f t="shared" si="1"/>
        <v>66</v>
      </c>
    </row>
    <row r="31" spans="2:32" ht="23.1" customHeight="1" x14ac:dyDescent="0.25">
      <c r="B31" s="24" t="s">
        <v>58</v>
      </c>
      <c r="C31" s="50">
        <v>18</v>
      </c>
      <c r="D31" s="50">
        <v>3</v>
      </c>
      <c r="E31" s="50">
        <v>4</v>
      </c>
      <c r="F31" s="50">
        <v>15</v>
      </c>
      <c r="G31" s="50">
        <v>2</v>
      </c>
      <c r="H31" s="50">
        <v>0</v>
      </c>
      <c r="I31" s="50">
        <v>8</v>
      </c>
      <c r="J31" s="50">
        <v>0</v>
      </c>
      <c r="K31" s="50">
        <v>0</v>
      </c>
      <c r="L31" s="50">
        <v>0</v>
      </c>
      <c r="M31" s="50">
        <v>76</v>
      </c>
      <c r="N31" s="50">
        <v>0</v>
      </c>
      <c r="O31" s="15">
        <f t="shared" si="0"/>
        <v>50</v>
      </c>
      <c r="P31" s="15">
        <f t="shared" si="1"/>
        <v>126</v>
      </c>
    </row>
    <row r="32" spans="2:32" ht="23.1" customHeight="1" x14ac:dyDescent="0.25">
      <c r="B32" s="24" t="s">
        <v>59</v>
      </c>
      <c r="C32" s="50">
        <v>9</v>
      </c>
      <c r="D32" s="50">
        <v>2</v>
      </c>
      <c r="E32" s="50">
        <v>9</v>
      </c>
      <c r="F32" s="50">
        <v>9</v>
      </c>
      <c r="G32" s="50">
        <v>1</v>
      </c>
      <c r="H32" s="50">
        <v>0</v>
      </c>
      <c r="I32" s="50">
        <v>4</v>
      </c>
      <c r="J32" s="50">
        <v>0</v>
      </c>
      <c r="K32" s="50">
        <v>3</v>
      </c>
      <c r="L32" s="50">
        <v>0</v>
      </c>
      <c r="M32" s="50">
        <v>59</v>
      </c>
      <c r="N32" s="50">
        <v>0</v>
      </c>
      <c r="O32" s="15">
        <f t="shared" si="0"/>
        <v>37</v>
      </c>
      <c r="P32" s="15">
        <f t="shared" si="1"/>
        <v>96</v>
      </c>
    </row>
    <row r="33" spans="2:20" ht="23.1" customHeight="1" x14ac:dyDescent="0.25">
      <c r="B33" s="23" t="s">
        <v>60</v>
      </c>
      <c r="C33" s="50">
        <v>3</v>
      </c>
      <c r="D33" s="50">
        <v>3</v>
      </c>
      <c r="E33" s="50">
        <v>0</v>
      </c>
      <c r="F33" s="50">
        <v>5</v>
      </c>
      <c r="G33" s="50">
        <v>0</v>
      </c>
      <c r="H33" s="50">
        <v>0</v>
      </c>
      <c r="I33" s="50">
        <v>1</v>
      </c>
      <c r="J33" s="50">
        <v>2</v>
      </c>
      <c r="K33" s="50">
        <v>2</v>
      </c>
      <c r="L33" s="50">
        <v>0</v>
      </c>
      <c r="M33" s="50">
        <v>25</v>
      </c>
      <c r="N33" s="50">
        <v>0</v>
      </c>
      <c r="O33" s="15">
        <f t="shared" si="0"/>
        <v>16</v>
      </c>
      <c r="P33" s="15">
        <f t="shared" si="1"/>
        <v>41</v>
      </c>
    </row>
    <row r="34" spans="2:20" ht="23.1" customHeight="1" x14ac:dyDescent="0.25">
      <c r="B34" s="24" t="s">
        <v>61</v>
      </c>
      <c r="C34" s="50">
        <v>3</v>
      </c>
      <c r="D34" s="50">
        <v>3</v>
      </c>
      <c r="E34" s="50">
        <v>1</v>
      </c>
      <c r="F34" s="50">
        <v>8</v>
      </c>
      <c r="G34" s="50">
        <v>0</v>
      </c>
      <c r="H34" s="50">
        <v>0</v>
      </c>
      <c r="I34" s="50">
        <v>0</v>
      </c>
      <c r="J34" s="50">
        <v>1</v>
      </c>
      <c r="K34" s="50">
        <v>1</v>
      </c>
      <c r="L34" s="50">
        <v>1</v>
      </c>
      <c r="M34" s="50">
        <v>57</v>
      </c>
      <c r="N34" s="50">
        <v>0</v>
      </c>
      <c r="O34" s="15">
        <f t="shared" si="0"/>
        <v>18</v>
      </c>
      <c r="P34" s="15">
        <f t="shared" si="1"/>
        <v>75</v>
      </c>
    </row>
    <row r="35" spans="2:20" ht="23.1" customHeight="1" x14ac:dyDescent="0.25">
      <c r="B35" s="24" t="s">
        <v>62</v>
      </c>
      <c r="C35" s="50">
        <v>13</v>
      </c>
      <c r="D35" s="50">
        <v>4</v>
      </c>
      <c r="E35" s="50">
        <v>3</v>
      </c>
      <c r="F35" s="50">
        <v>7</v>
      </c>
      <c r="G35" s="50">
        <v>0</v>
      </c>
      <c r="H35" s="50">
        <v>1</v>
      </c>
      <c r="I35" s="50">
        <v>5</v>
      </c>
      <c r="J35" s="50">
        <v>2</v>
      </c>
      <c r="K35" s="50">
        <v>2</v>
      </c>
      <c r="L35" s="50">
        <v>1</v>
      </c>
      <c r="M35" s="50">
        <v>81</v>
      </c>
      <c r="N35" s="50">
        <v>0</v>
      </c>
      <c r="O35" s="15">
        <f t="shared" si="0"/>
        <v>38</v>
      </c>
      <c r="P35" s="15">
        <f t="shared" si="1"/>
        <v>119</v>
      </c>
    </row>
    <row r="36" spans="2:20" ht="23.1" customHeight="1" x14ac:dyDescent="0.25">
      <c r="B36" s="24" t="s">
        <v>63</v>
      </c>
      <c r="C36" s="50">
        <v>7</v>
      </c>
      <c r="D36" s="50">
        <v>5</v>
      </c>
      <c r="E36" s="50">
        <v>2</v>
      </c>
      <c r="F36" s="50">
        <v>14</v>
      </c>
      <c r="G36" s="50">
        <v>0</v>
      </c>
      <c r="H36" s="50">
        <v>0</v>
      </c>
      <c r="I36" s="50">
        <v>6</v>
      </c>
      <c r="J36" s="50">
        <v>1</v>
      </c>
      <c r="K36" s="50">
        <v>1</v>
      </c>
      <c r="L36" s="50">
        <v>0</v>
      </c>
      <c r="M36" s="50">
        <v>75</v>
      </c>
      <c r="N36" s="50">
        <v>0</v>
      </c>
      <c r="O36" s="15">
        <f t="shared" si="0"/>
        <v>36</v>
      </c>
      <c r="P36" s="15">
        <f t="shared" si="1"/>
        <v>111</v>
      </c>
    </row>
    <row r="37" spans="2:20" ht="23.1" customHeight="1" x14ac:dyDescent="0.25">
      <c r="B37" s="23" t="s">
        <v>64</v>
      </c>
      <c r="C37" s="50">
        <v>16</v>
      </c>
      <c r="D37" s="50">
        <v>3</v>
      </c>
      <c r="E37" s="50">
        <v>3</v>
      </c>
      <c r="F37" s="50">
        <v>7</v>
      </c>
      <c r="G37" s="50">
        <v>0</v>
      </c>
      <c r="H37" s="50">
        <v>0</v>
      </c>
      <c r="I37" s="50">
        <v>7</v>
      </c>
      <c r="J37" s="50">
        <v>0</v>
      </c>
      <c r="K37" s="50">
        <v>0</v>
      </c>
      <c r="L37" s="50">
        <v>1</v>
      </c>
      <c r="M37" s="50">
        <v>66</v>
      </c>
      <c r="N37" s="50">
        <v>0</v>
      </c>
      <c r="O37" s="15">
        <f t="shared" si="0"/>
        <v>37</v>
      </c>
      <c r="P37" s="15">
        <f t="shared" si="1"/>
        <v>103</v>
      </c>
    </row>
    <row r="38" spans="2:20" ht="23.1" customHeight="1" x14ac:dyDescent="0.25">
      <c r="B38" s="24" t="s">
        <v>65</v>
      </c>
      <c r="C38" s="50">
        <v>14</v>
      </c>
      <c r="D38" s="50">
        <v>0</v>
      </c>
      <c r="E38" s="50">
        <v>2</v>
      </c>
      <c r="F38" s="50">
        <v>7</v>
      </c>
      <c r="G38" s="50">
        <v>0</v>
      </c>
      <c r="H38" s="50">
        <v>0</v>
      </c>
      <c r="I38" s="50">
        <v>9</v>
      </c>
      <c r="J38" s="50">
        <v>3</v>
      </c>
      <c r="K38" s="50">
        <v>0</v>
      </c>
      <c r="L38" s="50">
        <v>0</v>
      </c>
      <c r="M38" s="50">
        <v>47</v>
      </c>
      <c r="N38" s="50">
        <v>0</v>
      </c>
      <c r="O38" s="15">
        <f t="shared" si="0"/>
        <v>35</v>
      </c>
      <c r="P38" s="15">
        <f t="shared" si="1"/>
        <v>82</v>
      </c>
    </row>
    <row r="39" spans="2:20" ht="23.1" customHeight="1" x14ac:dyDescent="0.25">
      <c r="B39" s="24" t="s">
        <v>66</v>
      </c>
      <c r="C39" s="50">
        <v>14</v>
      </c>
      <c r="D39" s="50">
        <v>4</v>
      </c>
      <c r="E39" s="50">
        <v>3</v>
      </c>
      <c r="F39" s="50">
        <v>8</v>
      </c>
      <c r="G39" s="50">
        <v>1</v>
      </c>
      <c r="H39" s="50">
        <v>0</v>
      </c>
      <c r="I39" s="50">
        <v>7</v>
      </c>
      <c r="J39" s="50">
        <v>4</v>
      </c>
      <c r="K39" s="50">
        <v>0</v>
      </c>
      <c r="L39" s="50">
        <v>0</v>
      </c>
      <c r="M39" s="50">
        <v>45</v>
      </c>
      <c r="N39" s="50">
        <v>0</v>
      </c>
      <c r="O39" s="15">
        <f t="shared" si="0"/>
        <v>41</v>
      </c>
      <c r="P39" s="15">
        <f t="shared" si="1"/>
        <v>86</v>
      </c>
    </row>
    <row r="40" spans="2:20" ht="23.1" customHeight="1" x14ac:dyDescent="0.25">
      <c r="B40" s="24" t="s">
        <v>67</v>
      </c>
      <c r="C40" s="50">
        <v>6</v>
      </c>
      <c r="D40" s="50">
        <v>2</v>
      </c>
      <c r="E40" s="50">
        <v>3</v>
      </c>
      <c r="F40" s="50">
        <v>6</v>
      </c>
      <c r="G40" s="50">
        <v>0</v>
      </c>
      <c r="H40" s="50">
        <v>1</v>
      </c>
      <c r="I40" s="50">
        <v>6</v>
      </c>
      <c r="J40" s="50">
        <v>7</v>
      </c>
      <c r="K40" s="50">
        <v>0</v>
      </c>
      <c r="L40" s="50">
        <v>0</v>
      </c>
      <c r="M40" s="50">
        <v>46</v>
      </c>
      <c r="N40" s="50">
        <v>0</v>
      </c>
      <c r="O40" s="15">
        <f t="shared" si="0"/>
        <v>31</v>
      </c>
      <c r="P40" s="15">
        <f t="shared" si="1"/>
        <v>77</v>
      </c>
    </row>
    <row r="41" spans="2:20" ht="23.1" customHeight="1" x14ac:dyDescent="0.25">
      <c r="B41" s="23" t="s">
        <v>68</v>
      </c>
      <c r="C41" s="50">
        <v>8</v>
      </c>
      <c r="D41" s="50">
        <v>4</v>
      </c>
      <c r="E41" s="50">
        <v>3</v>
      </c>
      <c r="F41" s="50">
        <v>8</v>
      </c>
      <c r="G41" s="50">
        <v>4</v>
      </c>
      <c r="H41" s="50">
        <v>1</v>
      </c>
      <c r="I41" s="50">
        <v>7</v>
      </c>
      <c r="J41" s="50">
        <v>4</v>
      </c>
      <c r="K41" s="50">
        <v>0</v>
      </c>
      <c r="L41" s="50">
        <v>0</v>
      </c>
      <c r="M41" s="50">
        <v>60</v>
      </c>
      <c r="N41" s="50">
        <v>0</v>
      </c>
      <c r="O41" s="15">
        <f t="shared" si="0"/>
        <v>39</v>
      </c>
      <c r="P41" s="15">
        <f t="shared" si="1"/>
        <v>99</v>
      </c>
    </row>
    <row r="42" spans="2:20" ht="23.1" customHeight="1" x14ac:dyDescent="0.25">
      <c r="B42" s="24" t="s">
        <v>69</v>
      </c>
      <c r="C42" s="50">
        <v>14</v>
      </c>
      <c r="D42" s="50">
        <v>4</v>
      </c>
      <c r="E42" s="50">
        <v>3</v>
      </c>
      <c r="F42" s="50">
        <v>8</v>
      </c>
      <c r="G42" s="50">
        <v>1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60</v>
      </c>
      <c r="N42" s="50">
        <v>0</v>
      </c>
      <c r="O42" s="15">
        <f t="shared" si="0"/>
        <v>35</v>
      </c>
      <c r="P42" s="15">
        <f t="shared" si="1"/>
        <v>95</v>
      </c>
    </row>
    <row r="43" spans="2:20" ht="23.1" customHeight="1" x14ac:dyDescent="0.25">
      <c r="B43" s="23" t="s">
        <v>70</v>
      </c>
      <c r="C43" s="50">
        <v>15</v>
      </c>
      <c r="D43" s="50">
        <v>1</v>
      </c>
      <c r="E43" s="50">
        <v>1</v>
      </c>
      <c r="F43" s="50">
        <v>9</v>
      </c>
      <c r="G43" s="50">
        <v>0</v>
      </c>
      <c r="H43" s="50">
        <v>0</v>
      </c>
      <c r="I43" s="50">
        <v>4</v>
      </c>
      <c r="J43" s="50">
        <v>3</v>
      </c>
      <c r="K43" s="50">
        <v>2</v>
      </c>
      <c r="L43" s="50">
        <v>1</v>
      </c>
      <c r="M43" s="50">
        <v>69</v>
      </c>
      <c r="N43" s="50">
        <v>0</v>
      </c>
      <c r="O43" s="15">
        <f t="shared" si="0"/>
        <v>36</v>
      </c>
      <c r="P43" s="15">
        <f t="shared" si="1"/>
        <v>105</v>
      </c>
    </row>
    <row r="44" spans="2:20" ht="23.1" customHeight="1" x14ac:dyDescent="0.25">
      <c r="B44" s="25" t="s">
        <v>71</v>
      </c>
      <c r="C44" s="50">
        <v>13</v>
      </c>
      <c r="D44" s="50">
        <v>2</v>
      </c>
      <c r="E44" s="50">
        <v>9</v>
      </c>
      <c r="F44" s="50">
        <v>8</v>
      </c>
      <c r="G44" s="50">
        <v>2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63</v>
      </c>
      <c r="N44" s="50">
        <v>0</v>
      </c>
      <c r="O44" s="15">
        <f t="shared" si="0"/>
        <v>38</v>
      </c>
      <c r="P44" s="15">
        <f t="shared" si="1"/>
        <v>101</v>
      </c>
    </row>
    <row r="45" spans="2:20" ht="23.1" customHeight="1" x14ac:dyDescent="0.25">
      <c r="B45" s="23" t="s">
        <v>72</v>
      </c>
      <c r="C45" s="50">
        <v>12</v>
      </c>
      <c r="D45" s="50">
        <v>0</v>
      </c>
      <c r="E45" s="50">
        <v>2</v>
      </c>
      <c r="F45" s="50">
        <v>3</v>
      </c>
      <c r="G45" s="50">
        <v>1</v>
      </c>
      <c r="H45" s="50">
        <v>0</v>
      </c>
      <c r="I45" s="50">
        <v>6</v>
      </c>
      <c r="J45" s="50">
        <v>1</v>
      </c>
      <c r="K45" s="50">
        <v>0</v>
      </c>
      <c r="L45" s="50">
        <v>0</v>
      </c>
      <c r="M45" s="50">
        <v>53</v>
      </c>
      <c r="N45" s="50">
        <v>0</v>
      </c>
      <c r="O45" s="15">
        <f t="shared" si="0"/>
        <v>25</v>
      </c>
      <c r="P45" s="15">
        <f t="shared" si="1"/>
        <v>78</v>
      </c>
    </row>
    <row r="46" spans="2:20" ht="23.1" customHeight="1" x14ac:dyDescent="0.25">
      <c r="B46" s="24" t="s">
        <v>73</v>
      </c>
      <c r="C46" s="50">
        <v>11</v>
      </c>
      <c r="D46" s="50">
        <v>0</v>
      </c>
      <c r="E46" s="50">
        <v>1</v>
      </c>
      <c r="F46" s="50">
        <v>6</v>
      </c>
      <c r="G46" s="50">
        <v>0</v>
      </c>
      <c r="H46" s="50">
        <v>0</v>
      </c>
      <c r="I46" s="50">
        <v>3</v>
      </c>
      <c r="J46" s="50">
        <v>6</v>
      </c>
      <c r="K46" s="50">
        <v>1</v>
      </c>
      <c r="L46" s="50">
        <v>0</v>
      </c>
      <c r="M46" s="50">
        <v>43</v>
      </c>
      <c r="N46" s="50">
        <v>0</v>
      </c>
      <c r="O46" s="15">
        <f t="shared" si="0"/>
        <v>28</v>
      </c>
      <c r="P46" s="15">
        <f t="shared" si="1"/>
        <v>71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2</v>
      </c>
      <c r="E47" s="50">
        <v>3</v>
      </c>
      <c r="F47" s="50">
        <v>6</v>
      </c>
      <c r="G47" s="50">
        <v>1</v>
      </c>
      <c r="H47" s="50">
        <v>0</v>
      </c>
      <c r="I47" s="50">
        <v>4</v>
      </c>
      <c r="J47" s="50">
        <v>1</v>
      </c>
      <c r="K47" s="50">
        <v>0</v>
      </c>
      <c r="L47" s="50">
        <v>1</v>
      </c>
      <c r="M47" s="50">
        <v>61</v>
      </c>
      <c r="N47" s="50">
        <v>0</v>
      </c>
      <c r="O47" s="15">
        <f t="shared" si="0"/>
        <v>27</v>
      </c>
      <c r="P47" s="15">
        <f t="shared" si="1"/>
        <v>88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2</v>
      </c>
      <c r="E48" s="50">
        <v>6</v>
      </c>
      <c r="F48" s="50">
        <v>7</v>
      </c>
      <c r="G48" s="50">
        <v>1</v>
      </c>
      <c r="H48" s="50">
        <v>0</v>
      </c>
      <c r="I48" s="50">
        <v>4</v>
      </c>
      <c r="J48" s="50">
        <v>1</v>
      </c>
      <c r="K48" s="50">
        <v>0</v>
      </c>
      <c r="L48" s="50">
        <v>0</v>
      </c>
      <c r="M48" s="50">
        <v>76</v>
      </c>
      <c r="N48" s="50">
        <v>0</v>
      </c>
      <c r="O48" s="15">
        <f t="shared" si="0"/>
        <v>32</v>
      </c>
      <c r="P48" s="15">
        <f t="shared" si="1"/>
        <v>108</v>
      </c>
      <c r="R48" s="8"/>
      <c r="T48"/>
    </row>
    <row r="49" spans="2:20" ht="23.1" customHeight="1" x14ac:dyDescent="0.25">
      <c r="B49" s="23" t="s">
        <v>76</v>
      </c>
      <c r="C49" s="50">
        <v>16</v>
      </c>
      <c r="D49" s="50">
        <v>3</v>
      </c>
      <c r="E49" s="50">
        <v>5</v>
      </c>
      <c r="F49" s="50">
        <v>11</v>
      </c>
      <c r="G49" s="50">
        <v>1</v>
      </c>
      <c r="H49" s="50">
        <v>0</v>
      </c>
      <c r="I49" s="50">
        <v>4</v>
      </c>
      <c r="J49" s="50">
        <v>3</v>
      </c>
      <c r="K49" s="50">
        <v>0</v>
      </c>
      <c r="L49" s="50">
        <v>0</v>
      </c>
      <c r="M49" s="50">
        <v>94</v>
      </c>
      <c r="N49" s="50">
        <v>0</v>
      </c>
      <c r="O49" s="15">
        <f t="shared" si="0"/>
        <v>43</v>
      </c>
      <c r="P49" s="15">
        <f t="shared" si="1"/>
        <v>137</v>
      </c>
      <c r="R49" s="8"/>
      <c r="T49"/>
    </row>
    <row r="50" spans="2:20" ht="23.1" customHeight="1" x14ac:dyDescent="0.25">
      <c r="B50" s="24" t="s">
        <v>77</v>
      </c>
      <c r="C50" s="50">
        <v>18</v>
      </c>
      <c r="D50" s="50">
        <v>6</v>
      </c>
      <c r="E50" s="50">
        <v>6</v>
      </c>
      <c r="F50" s="50">
        <v>16</v>
      </c>
      <c r="G50" s="50">
        <v>1</v>
      </c>
      <c r="H50" s="50">
        <v>0</v>
      </c>
      <c r="I50" s="50">
        <v>1</v>
      </c>
      <c r="J50" s="50">
        <v>2</v>
      </c>
      <c r="K50" s="50">
        <v>0</v>
      </c>
      <c r="L50" s="50">
        <v>0</v>
      </c>
      <c r="M50" s="50">
        <v>79</v>
      </c>
      <c r="N50" s="50">
        <v>0</v>
      </c>
      <c r="O50" s="15">
        <f t="shared" si="0"/>
        <v>50</v>
      </c>
      <c r="P50" s="15">
        <f t="shared" si="1"/>
        <v>129</v>
      </c>
      <c r="R50" s="8"/>
      <c r="T50"/>
    </row>
    <row r="51" spans="2:20" ht="23.1" customHeight="1" x14ac:dyDescent="0.25">
      <c r="B51" s="24" t="s">
        <v>78</v>
      </c>
      <c r="C51" s="50">
        <v>30</v>
      </c>
      <c r="D51" s="50">
        <v>4</v>
      </c>
      <c r="E51" s="50">
        <v>3</v>
      </c>
      <c r="F51" s="50">
        <v>8</v>
      </c>
      <c r="G51" s="50">
        <v>1</v>
      </c>
      <c r="H51" s="50">
        <v>0</v>
      </c>
      <c r="I51" s="50">
        <v>5</v>
      </c>
      <c r="J51" s="50">
        <v>4</v>
      </c>
      <c r="K51" s="50">
        <v>2</v>
      </c>
      <c r="L51" s="50">
        <v>0</v>
      </c>
      <c r="M51" s="50">
        <v>81</v>
      </c>
      <c r="N51" s="50">
        <v>0</v>
      </c>
      <c r="O51" s="15">
        <f t="shared" si="0"/>
        <v>57</v>
      </c>
      <c r="P51" s="15">
        <f t="shared" si="1"/>
        <v>138</v>
      </c>
      <c r="R51" s="8"/>
      <c r="T51"/>
    </row>
    <row r="52" spans="2:20" ht="23.1" customHeight="1" x14ac:dyDescent="0.25">
      <c r="B52" s="24" t="s">
        <v>79</v>
      </c>
      <c r="C52" s="50">
        <v>23</v>
      </c>
      <c r="D52" s="50">
        <v>7</v>
      </c>
      <c r="E52" s="50">
        <v>2</v>
      </c>
      <c r="F52" s="50">
        <v>12</v>
      </c>
      <c r="G52" s="50">
        <v>0</v>
      </c>
      <c r="H52" s="50">
        <v>1</v>
      </c>
      <c r="I52" s="50">
        <v>7</v>
      </c>
      <c r="J52" s="50">
        <v>3</v>
      </c>
      <c r="K52" s="50">
        <v>0</v>
      </c>
      <c r="L52" s="50">
        <v>0</v>
      </c>
      <c r="M52" s="50">
        <v>81</v>
      </c>
      <c r="N52" s="50">
        <v>0</v>
      </c>
      <c r="O52" s="15">
        <f t="shared" si="0"/>
        <v>55</v>
      </c>
      <c r="P52" s="15">
        <f t="shared" si="1"/>
        <v>136</v>
      </c>
      <c r="R52" s="8"/>
      <c r="T52"/>
    </row>
    <row r="53" spans="2:20" ht="23.1" customHeight="1" x14ac:dyDescent="0.25">
      <c r="B53" s="23" t="s">
        <v>80</v>
      </c>
      <c r="C53" s="50">
        <v>33</v>
      </c>
      <c r="D53" s="50">
        <v>0</v>
      </c>
      <c r="E53" s="50">
        <v>3</v>
      </c>
      <c r="F53" s="50">
        <v>9</v>
      </c>
      <c r="G53" s="50">
        <v>1</v>
      </c>
      <c r="H53" s="50">
        <v>0</v>
      </c>
      <c r="I53" s="50">
        <v>6</v>
      </c>
      <c r="J53" s="50">
        <v>0</v>
      </c>
      <c r="K53" s="50">
        <v>0</v>
      </c>
      <c r="L53" s="50">
        <v>0</v>
      </c>
      <c r="M53" s="50">
        <v>86</v>
      </c>
      <c r="N53" s="50">
        <v>0</v>
      </c>
      <c r="O53" s="15">
        <f t="shared" si="0"/>
        <v>52</v>
      </c>
      <c r="P53" s="15">
        <f t="shared" si="1"/>
        <v>138</v>
      </c>
      <c r="R53" s="8"/>
      <c r="T53"/>
    </row>
    <row r="54" spans="2:20" ht="23.1" customHeight="1" x14ac:dyDescent="0.25">
      <c r="B54" s="23" t="s">
        <v>81</v>
      </c>
      <c r="C54" s="50">
        <v>25</v>
      </c>
      <c r="D54" s="50">
        <v>5</v>
      </c>
      <c r="E54" s="50">
        <v>5</v>
      </c>
      <c r="F54" s="50">
        <v>21</v>
      </c>
      <c r="G54" s="50">
        <v>0</v>
      </c>
      <c r="H54" s="50">
        <v>0</v>
      </c>
      <c r="I54" s="50">
        <v>8</v>
      </c>
      <c r="J54" s="50">
        <v>1</v>
      </c>
      <c r="K54" s="50">
        <v>0</v>
      </c>
      <c r="L54" s="50">
        <v>0</v>
      </c>
      <c r="M54" s="50">
        <v>86</v>
      </c>
      <c r="N54" s="50">
        <v>0</v>
      </c>
      <c r="O54" s="15">
        <f t="shared" si="0"/>
        <v>65</v>
      </c>
      <c r="P54" s="15">
        <f t="shared" si="1"/>
        <v>151</v>
      </c>
      <c r="R54" s="8"/>
      <c r="T54"/>
    </row>
    <row r="55" spans="2:20" ht="23.1" customHeight="1" x14ac:dyDescent="0.25">
      <c r="B55" s="23" t="s">
        <v>82</v>
      </c>
      <c r="C55" s="50">
        <v>22</v>
      </c>
      <c r="D55" s="50">
        <v>3</v>
      </c>
      <c r="E55" s="50">
        <v>3</v>
      </c>
      <c r="F55" s="50">
        <v>12</v>
      </c>
      <c r="G55" s="50">
        <v>1</v>
      </c>
      <c r="H55" s="50">
        <v>0</v>
      </c>
      <c r="I55" s="50">
        <v>4</v>
      </c>
      <c r="J55" s="50">
        <v>1</v>
      </c>
      <c r="K55" s="50">
        <v>2</v>
      </c>
      <c r="L55" s="50">
        <v>0</v>
      </c>
      <c r="M55" s="50">
        <v>91</v>
      </c>
      <c r="N55" s="50">
        <v>0</v>
      </c>
      <c r="O55" s="15">
        <f t="shared" si="0"/>
        <v>48</v>
      </c>
      <c r="P55" s="15">
        <f t="shared" si="1"/>
        <v>139</v>
      </c>
      <c r="R55" s="8"/>
      <c r="T55"/>
    </row>
    <row r="56" spans="2:20" ht="23.1" customHeight="1" x14ac:dyDescent="0.25">
      <c r="B56" s="23" t="s">
        <v>83</v>
      </c>
      <c r="C56" s="50">
        <v>27</v>
      </c>
      <c r="D56" s="50">
        <v>10</v>
      </c>
      <c r="E56" s="50">
        <v>3</v>
      </c>
      <c r="F56" s="50">
        <v>41</v>
      </c>
      <c r="G56" s="50">
        <v>0</v>
      </c>
      <c r="H56" s="50">
        <v>0</v>
      </c>
      <c r="I56" s="50">
        <v>7</v>
      </c>
      <c r="J56" s="50">
        <v>0</v>
      </c>
      <c r="K56" s="50">
        <v>1</v>
      </c>
      <c r="L56" s="50">
        <v>1</v>
      </c>
      <c r="M56" s="50">
        <v>59</v>
      </c>
      <c r="N56" s="50">
        <v>0</v>
      </c>
      <c r="O56" s="15">
        <f t="shared" si="0"/>
        <v>90</v>
      </c>
      <c r="P56" s="15">
        <f t="shared" si="1"/>
        <v>149</v>
      </c>
      <c r="R56" s="8"/>
      <c r="T56"/>
    </row>
    <row r="57" spans="2:20" ht="23.1" customHeight="1" x14ac:dyDescent="0.25">
      <c r="B57" s="23" t="s">
        <v>84</v>
      </c>
      <c r="C57" s="50">
        <v>34</v>
      </c>
      <c r="D57" s="50">
        <v>0</v>
      </c>
      <c r="E57" s="50">
        <v>0</v>
      </c>
      <c r="F57" s="50">
        <v>34</v>
      </c>
      <c r="G57" s="50">
        <v>0</v>
      </c>
      <c r="H57" s="50">
        <v>0</v>
      </c>
      <c r="I57" s="50">
        <v>5</v>
      </c>
      <c r="J57" s="50">
        <v>0</v>
      </c>
      <c r="K57" s="50">
        <v>1</v>
      </c>
      <c r="L57" s="50">
        <v>0</v>
      </c>
      <c r="M57" s="50">
        <v>65</v>
      </c>
      <c r="N57" s="50">
        <v>0</v>
      </c>
      <c r="O57" s="15">
        <f t="shared" si="0"/>
        <v>74</v>
      </c>
      <c r="P57" s="15">
        <f t="shared" si="1"/>
        <v>139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640</v>
      </c>
      <c r="D58" s="16">
        <f t="shared" si="21"/>
        <v>111</v>
      </c>
      <c r="E58" s="16">
        <f t="shared" si="21"/>
        <v>144</v>
      </c>
      <c r="F58" s="16">
        <f t="shared" si="21"/>
        <v>631</v>
      </c>
      <c r="G58" s="16">
        <f t="shared" si="21"/>
        <v>32</v>
      </c>
      <c r="H58" s="16">
        <f t="shared" si="21"/>
        <v>10</v>
      </c>
      <c r="I58" s="16">
        <f t="shared" si="21"/>
        <v>238</v>
      </c>
      <c r="J58" s="16">
        <f t="shared" si="21"/>
        <v>85</v>
      </c>
      <c r="K58" s="16">
        <f t="shared" si="21"/>
        <v>31</v>
      </c>
      <c r="L58" s="16">
        <f t="shared" si="21"/>
        <v>11</v>
      </c>
      <c r="M58" s="16">
        <f t="shared" si="21"/>
        <v>3857</v>
      </c>
      <c r="N58" s="16">
        <f t="shared" si="21"/>
        <v>0</v>
      </c>
      <c r="O58" s="16">
        <f t="shared" si="21"/>
        <v>1933</v>
      </c>
      <c r="P58" s="16">
        <f t="shared" si="21"/>
        <v>5790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0.11053540587219343</v>
      </c>
      <c r="D59" s="43">
        <f t="shared" si="22"/>
        <v>1.9170984455958551E-2</v>
      </c>
      <c r="E59" s="43">
        <f t="shared" si="22"/>
        <v>2.4870466321243522E-2</v>
      </c>
      <c r="F59" s="43">
        <f t="shared" si="22"/>
        <v>0.10898100172711572</v>
      </c>
      <c r="G59" s="43">
        <f t="shared" si="22"/>
        <v>5.5267702936096716E-3</v>
      </c>
      <c r="H59" s="43">
        <f t="shared" si="22"/>
        <v>1.7271157167530224E-3</v>
      </c>
      <c r="I59" s="43">
        <f t="shared" si="22"/>
        <v>4.1105354058721934E-2</v>
      </c>
      <c r="J59" s="43">
        <f t="shared" si="22"/>
        <v>1.468048359240069E-2</v>
      </c>
      <c r="K59" s="43">
        <f t="shared" si="22"/>
        <v>5.35405872193437E-3</v>
      </c>
      <c r="L59" s="43">
        <f t="shared" si="22"/>
        <v>1.8998272884283246E-3</v>
      </c>
      <c r="M59" s="43">
        <f t="shared" si="22"/>
        <v>0.66614853195164081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0.33109156751163993</v>
      </c>
      <c r="D60" s="44">
        <f t="shared" ref="D60:N60" si="23">D58/$O$58</f>
        <v>5.7423693740300048E-2</v>
      </c>
      <c r="E60" s="44">
        <f t="shared" si="23"/>
        <v>7.4495602690118984E-2</v>
      </c>
      <c r="F60" s="44">
        <f t="shared" si="23"/>
        <v>0.3264355923435075</v>
      </c>
      <c r="G60" s="44">
        <f t="shared" si="23"/>
        <v>1.6554578375581996E-2</v>
      </c>
      <c r="H60" s="44">
        <f t="shared" si="23"/>
        <v>5.1733057423693739E-3</v>
      </c>
      <c r="I60" s="44">
        <f t="shared" si="23"/>
        <v>0.12312467666839111</v>
      </c>
      <c r="J60" s="44">
        <f t="shared" si="23"/>
        <v>4.397309881013968E-2</v>
      </c>
      <c r="K60" s="44">
        <f t="shared" si="23"/>
        <v>1.6037247801345061E-2</v>
      </c>
      <c r="L60" s="44">
        <f t="shared" si="23"/>
        <v>5.6906363166063113E-3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4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3" t="str">
        <f>'22.07 Nakawuka-Nateete'!G5:H5</f>
        <v>TAKUWA BEST FEEDS</v>
      </c>
      <c r="H5" s="64"/>
      <c r="I5" s="14"/>
      <c r="J5" s="2" t="s">
        <v>5</v>
      </c>
      <c r="K5" s="63" t="str">
        <f>'22.07 Nakawuka-Nateete'!K5:L5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Nakawuka-Nateete'!D6:E6</f>
        <v>NAKAWUKA</v>
      </c>
      <c r="E6" s="64"/>
      <c r="F6" s="2" t="s">
        <v>2</v>
      </c>
      <c r="G6" s="63" t="str">
        <f>'22.07 Nakawuka-Nateete'!G6:H6</f>
        <v>NATEETE</v>
      </c>
      <c r="H6" s="64"/>
      <c r="J6" s="2" t="s">
        <v>21</v>
      </c>
      <c r="K6" s="63" t="str">
        <f>'22.07 Nakawuka-Nateete'!K6:L6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41</v>
      </c>
      <c r="D10" s="50">
        <v>17</v>
      </c>
      <c r="E10" s="50">
        <v>10</v>
      </c>
      <c r="F10" s="50">
        <v>34</v>
      </c>
      <c r="G10" s="50">
        <v>1</v>
      </c>
      <c r="H10" s="50">
        <v>1</v>
      </c>
      <c r="I10" s="50">
        <v>10</v>
      </c>
      <c r="J10" s="50">
        <v>6</v>
      </c>
      <c r="K10" s="50">
        <v>3</v>
      </c>
      <c r="L10" s="50">
        <v>0</v>
      </c>
      <c r="M10" s="50">
        <v>145</v>
      </c>
      <c r="N10" s="50">
        <v>0</v>
      </c>
      <c r="O10" s="15">
        <f t="shared" ref="O10:O57" si="0">SUM(C10:L10,N10)</f>
        <v>123</v>
      </c>
      <c r="P10" s="15">
        <f t="shared" ref="P10:P57" si="1">SUM(C10:N10)</f>
        <v>268</v>
      </c>
      <c r="R10" s="1" t="s">
        <v>6</v>
      </c>
      <c r="S10" s="17">
        <f t="shared" ref="S10:AF10" si="2">SUM(C10:C13)</f>
        <v>159</v>
      </c>
      <c r="T10" s="17">
        <f t="shared" si="2"/>
        <v>60</v>
      </c>
      <c r="U10" s="17">
        <f t="shared" si="2"/>
        <v>41</v>
      </c>
      <c r="V10" s="17">
        <f t="shared" si="2"/>
        <v>160</v>
      </c>
      <c r="W10" s="17">
        <f t="shared" si="2"/>
        <v>5</v>
      </c>
      <c r="X10" s="17">
        <f t="shared" si="2"/>
        <v>1</v>
      </c>
      <c r="Y10" s="17">
        <f t="shared" si="2"/>
        <v>25</v>
      </c>
      <c r="Z10" s="17">
        <f t="shared" si="2"/>
        <v>25</v>
      </c>
      <c r="AA10" s="17">
        <f t="shared" si="2"/>
        <v>5</v>
      </c>
      <c r="AB10" s="17">
        <f t="shared" si="2"/>
        <v>1</v>
      </c>
      <c r="AC10" s="17">
        <f t="shared" si="2"/>
        <v>504</v>
      </c>
      <c r="AD10" s="17">
        <f t="shared" si="2"/>
        <v>0</v>
      </c>
      <c r="AE10" s="31">
        <f t="shared" si="2"/>
        <v>482</v>
      </c>
      <c r="AF10" s="31">
        <f t="shared" si="2"/>
        <v>986</v>
      </c>
    </row>
    <row r="11" spans="2:32" s="6" customFormat="1" ht="23.1" customHeight="1" x14ac:dyDescent="0.25">
      <c r="B11" s="23" t="s">
        <v>38</v>
      </c>
      <c r="C11" s="50">
        <v>50</v>
      </c>
      <c r="D11" s="50">
        <v>18</v>
      </c>
      <c r="E11" s="50">
        <v>11</v>
      </c>
      <c r="F11" s="50">
        <v>42</v>
      </c>
      <c r="G11" s="50">
        <v>1</v>
      </c>
      <c r="H11" s="50">
        <v>0</v>
      </c>
      <c r="I11" s="50">
        <v>7</v>
      </c>
      <c r="J11" s="50">
        <v>10</v>
      </c>
      <c r="K11" s="50">
        <v>2</v>
      </c>
      <c r="L11" s="50">
        <v>0</v>
      </c>
      <c r="M11" s="50">
        <v>120</v>
      </c>
      <c r="N11" s="50">
        <v>0</v>
      </c>
      <c r="O11" s="15">
        <f t="shared" si="0"/>
        <v>141</v>
      </c>
      <c r="P11" s="15">
        <f t="shared" si="1"/>
        <v>261</v>
      </c>
      <c r="R11" s="1" t="s">
        <v>7</v>
      </c>
      <c r="S11" s="17">
        <f t="shared" ref="S11:AF11" si="3">SUM(C14:C17)</f>
        <v>156</v>
      </c>
      <c r="T11" s="17">
        <f t="shared" si="3"/>
        <v>41</v>
      </c>
      <c r="U11" s="17">
        <f t="shared" si="3"/>
        <v>38</v>
      </c>
      <c r="V11" s="17">
        <f t="shared" si="3"/>
        <v>153</v>
      </c>
      <c r="W11" s="17">
        <f t="shared" si="3"/>
        <v>3</v>
      </c>
      <c r="X11" s="17">
        <f t="shared" si="3"/>
        <v>2</v>
      </c>
      <c r="Y11" s="17">
        <f t="shared" si="3"/>
        <v>26</v>
      </c>
      <c r="Z11" s="17">
        <f t="shared" si="3"/>
        <v>18</v>
      </c>
      <c r="AA11" s="17">
        <f t="shared" si="3"/>
        <v>3</v>
      </c>
      <c r="AB11" s="17">
        <f t="shared" si="3"/>
        <v>2</v>
      </c>
      <c r="AC11" s="17">
        <f t="shared" si="3"/>
        <v>492</v>
      </c>
      <c r="AD11" s="17">
        <f t="shared" si="3"/>
        <v>0</v>
      </c>
      <c r="AE11" s="31">
        <f t="shared" si="3"/>
        <v>442</v>
      </c>
      <c r="AF11" s="31">
        <f t="shared" si="3"/>
        <v>934</v>
      </c>
    </row>
    <row r="12" spans="2:32" ht="23.1" customHeight="1" x14ac:dyDescent="0.25">
      <c r="B12" s="23" t="s">
        <v>39</v>
      </c>
      <c r="C12" s="50">
        <v>25</v>
      </c>
      <c r="D12" s="50">
        <v>14</v>
      </c>
      <c r="E12" s="50">
        <v>12</v>
      </c>
      <c r="F12" s="50">
        <v>37</v>
      </c>
      <c r="G12" s="50">
        <v>1</v>
      </c>
      <c r="H12" s="50">
        <v>0</v>
      </c>
      <c r="I12" s="50">
        <v>4</v>
      </c>
      <c r="J12" s="50">
        <v>5</v>
      </c>
      <c r="K12" s="50">
        <v>0</v>
      </c>
      <c r="L12" s="50">
        <v>0</v>
      </c>
      <c r="M12" s="50">
        <v>125</v>
      </c>
      <c r="N12" s="50">
        <v>0</v>
      </c>
      <c r="O12" s="15">
        <f t="shared" si="0"/>
        <v>98</v>
      </c>
      <c r="P12" s="15">
        <f t="shared" si="1"/>
        <v>223</v>
      </c>
      <c r="R12" s="1" t="s">
        <v>8</v>
      </c>
      <c r="S12" s="17">
        <f t="shared" ref="S12:AF12" si="4">SUM(C18:C21)</f>
        <v>108</v>
      </c>
      <c r="T12" s="17">
        <f t="shared" si="4"/>
        <v>28</v>
      </c>
      <c r="U12" s="17">
        <f t="shared" si="4"/>
        <v>17</v>
      </c>
      <c r="V12" s="17">
        <f t="shared" si="4"/>
        <v>125</v>
      </c>
      <c r="W12" s="17">
        <f t="shared" si="4"/>
        <v>10</v>
      </c>
      <c r="X12" s="17">
        <f t="shared" si="4"/>
        <v>2</v>
      </c>
      <c r="Y12" s="17">
        <f t="shared" si="4"/>
        <v>48</v>
      </c>
      <c r="Z12" s="17">
        <f t="shared" si="4"/>
        <v>18</v>
      </c>
      <c r="AA12" s="17">
        <f t="shared" si="4"/>
        <v>1</v>
      </c>
      <c r="AB12" s="17">
        <f t="shared" si="4"/>
        <v>2</v>
      </c>
      <c r="AC12" s="17">
        <f t="shared" si="4"/>
        <v>468</v>
      </c>
      <c r="AD12" s="17">
        <f t="shared" si="4"/>
        <v>0</v>
      </c>
      <c r="AE12" s="31">
        <f t="shared" si="4"/>
        <v>359</v>
      </c>
      <c r="AF12" s="31">
        <f t="shared" si="4"/>
        <v>827</v>
      </c>
    </row>
    <row r="13" spans="2:32" ht="23.1" customHeight="1" x14ac:dyDescent="0.25">
      <c r="B13" s="23" t="s">
        <v>40</v>
      </c>
      <c r="C13" s="50">
        <v>43</v>
      </c>
      <c r="D13" s="50">
        <v>11</v>
      </c>
      <c r="E13" s="50">
        <v>8</v>
      </c>
      <c r="F13" s="50">
        <v>47</v>
      </c>
      <c r="G13" s="50">
        <v>2</v>
      </c>
      <c r="H13" s="50">
        <v>0</v>
      </c>
      <c r="I13" s="50">
        <v>4</v>
      </c>
      <c r="J13" s="50">
        <v>4</v>
      </c>
      <c r="K13" s="50">
        <v>0</v>
      </c>
      <c r="L13" s="50">
        <v>1</v>
      </c>
      <c r="M13" s="50">
        <v>114</v>
      </c>
      <c r="N13" s="50">
        <v>0</v>
      </c>
      <c r="O13" s="15">
        <f t="shared" si="0"/>
        <v>120</v>
      </c>
      <c r="P13" s="15">
        <f t="shared" si="1"/>
        <v>234</v>
      </c>
      <c r="R13" s="1" t="s">
        <v>9</v>
      </c>
      <c r="S13" s="17">
        <f t="shared" ref="S13:AF13" si="5">SUM(C22:C25)</f>
        <v>104</v>
      </c>
      <c r="T13" s="17">
        <f t="shared" si="5"/>
        <v>19</v>
      </c>
      <c r="U13" s="17">
        <f t="shared" si="5"/>
        <v>22</v>
      </c>
      <c r="V13" s="17">
        <f t="shared" si="5"/>
        <v>105</v>
      </c>
      <c r="W13" s="17">
        <f t="shared" si="5"/>
        <v>7</v>
      </c>
      <c r="X13" s="17">
        <f t="shared" si="5"/>
        <v>1</v>
      </c>
      <c r="Y13" s="17">
        <f t="shared" si="5"/>
        <v>36</v>
      </c>
      <c r="Z13" s="17">
        <f t="shared" si="5"/>
        <v>9</v>
      </c>
      <c r="AA13" s="17">
        <f t="shared" si="5"/>
        <v>0</v>
      </c>
      <c r="AB13" s="17">
        <f t="shared" si="5"/>
        <v>3</v>
      </c>
      <c r="AC13" s="17">
        <f t="shared" si="5"/>
        <v>540</v>
      </c>
      <c r="AD13" s="17">
        <f t="shared" si="5"/>
        <v>0</v>
      </c>
      <c r="AE13" s="31">
        <f t="shared" si="5"/>
        <v>306</v>
      </c>
      <c r="AF13" s="31">
        <f t="shared" si="5"/>
        <v>846</v>
      </c>
    </row>
    <row r="14" spans="2:32" ht="23.1" customHeight="1" x14ac:dyDescent="0.25">
      <c r="B14" s="23" t="s">
        <v>41</v>
      </c>
      <c r="C14" s="50">
        <v>42</v>
      </c>
      <c r="D14" s="50">
        <v>11</v>
      </c>
      <c r="E14" s="50">
        <v>7</v>
      </c>
      <c r="F14" s="50">
        <v>43</v>
      </c>
      <c r="G14" s="50">
        <v>0</v>
      </c>
      <c r="H14" s="50">
        <v>1</v>
      </c>
      <c r="I14" s="50">
        <v>7</v>
      </c>
      <c r="J14" s="50">
        <v>3</v>
      </c>
      <c r="K14" s="50">
        <v>1</v>
      </c>
      <c r="L14" s="50">
        <v>1</v>
      </c>
      <c r="M14" s="50">
        <v>120</v>
      </c>
      <c r="N14" s="50">
        <v>0</v>
      </c>
      <c r="O14" s="15">
        <f t="shared" si="0"/>
        <v>116</v>
      </c>
      <c r="P14" s="15">
        <f t="shared" si="1"/>
        <v>236</v>
      </c>
      <c r="R14" s="1" t="s">
        <v>10</v>
      </c>
      <c r="S14" s="17">
        <f t="shared" ref="S14:AF14" si="6">SUM(C26:C29)</f>
        <v>93</v>
      </c>
      <c r="T14" s="17">
        <f t="shared" si="6"/>
        <v>22</v>
      </c>
      <c r="U14" s="17">
        <f t="shared" si="6"/>
        <v>25</v>
      </c>
      <c r="V14" s="17">
        <f t="shared" si="6"/>
        <v>87</v>
      </c>
      <c r="W14" s="17">
        <f t="shared" si="6"/>
        <v>1</v>
      </c>
      <c r="X14" s="17">
        <f t="shared" si="6"/>
        <v>0</v>
      </c>
      <c r="Y14" s="17">
        <f t="shared" si="6"/>
        <v>29</v>
      </c>
      <c r="Z14" s="17">
        <f t="shared" si="6"/>
        <v>10</v>
      </c>
      <c r="AA14" s="17">
        <f t="shared" si="6"/>
        <v>0</v>
      </c>
      <c r="AB14" s="17">
        <f t="shared" si="6"/>
        <v>0</v>
      </c>
      <c r="AC14" s="17">
        <f t="shared" si="6"/>
        <v>449</v>
      </c>
      <c r="AD14" s="17">
        <f t="shared" si="6"/>
        <v>0</v>
      </c>
      <c r="AE14" s="31">
        <f t="shared" si="6"/>
        <v>267</v>
      </c>
      <c r="AF14" s="31">
        <f t="shared" si="6"/>
        <v>716</v>
      </c>
    </row>
    <row r="15" spans="2:32" ht="23.1" customHeight="1" x14ac:dyDescent="0.25">
      <c r="B15" s="23" t="s">
        <v>42</v>
      </c>
      <c r="C15" s="50">
        <v>37</v>
      </c>
      <c r="D15" s="50">
        <v>8</v>
      </c>
      <c r="E15" s="50">
        <v>9</v>
      </c>
      <c r="F15" s="50">
        <v>49</v>
      </c>
      <c r="G15" s="50">
        <v>0</v>
      </c>
      <c r="H15" s="50">
        <v>0</v>
      </c>
      <c r="I15" s="50">
        <v>9</v>
      </c>
      <c r="J15" s="50">
        <v>8</v>
      </c>
      <c r="K15" s="50">
        <v>2</v>
      </c>
      <c r="L15" s="50">
        <v>0</v>
      </c>
      <c r="M15" s="50">
        <v>126</v>
      </c>
      <c r="N15" s="50">
        <v>0</v>
      </c>
      <c r="O15" s="15">
        <f t="shared" si="0"/>
        <v>122</v>
      </c>
      <c r="P15" s="15">
        <f t="shared" si="1"/>
        <v>248</v>
      </c>
      <c r="R15" s="1" t="s">
        <v>11</v>
      </c>
      <c r="S15" s="17">
        <f t="shared" ref="S15:AF15" si="7">SUM(C30:C33)</f>
        <v>63</v>
      </c>
      <c r="T15" s="17">
        <f t="shared" si="7"/>
        <v>31</v>
      </c>
      <c r="U15" s="17">
        <f t="shared" si="7"/>
        <v>17</v>
      </c>
      <c r="V15" s="17">
        <f t="shared" si="7"/>
        <v>81</v>
      </c>
      <c r="W15" s="17">
        <f t="shared" si="7"/>
        <v>2</v>
      </c>
      <c r="X15" s="17">
        <f t="shared" si="7"/>
        <v>0</v>
      </c>
      <c r="Y15" s="17">
        <f t="shared" si="7"/>
        <v>31</v>
      </c>
      <c r="Z15" s="17">
        <f t="shared" si="7"/>
        <v>18</v>
      </c>
      <c r="AA15" s="17">
        <f t="shared" si="7"/>
        <v>2</v>
      </c>
      <c r="AB15" s="17">
        <f t="shared" si="7"/>
        <v>2</v>
      </c>
      <c r="AC15" s="17">
        <f t="shared" si="7"/>
        <v>480</v>
      </c>
      <c r="AD15" s="17">
        <f t="shared" si="7"/>
        <v>0</v>
      </c>
      <c r="AE15" s="31">
        <f t="shared" si="7"/>
        <v>247</v>
      </c>
      <c r="AF15" s="31">
        <f t="shared" si="7"/>
        <v>727</v>
      </c>
    </row>
    <row r="16" spans="2:32" ht="23.1" customHeight="1" x14ac:dyDescent="0.25">
      <c r="B16" s="23" t="s">
        <v>43</v>
      </c>
      <c r="C16" s="50">
        <v>38</v>
      </c>
      <c r="D16" s="50">
        <v>11</v>
      </c>
      <c r="E16" s="50">
        <v>10</v>
      </c>
      <c r="F16" s="50">
        <v>31</v>
      </c>
      <c r="G16" s="50">
        <v>0</v>
      </c>
      <c r="H16" s="50">
        <v>0</v>
      </c>
      <c r="I16" s="50">
        <v>3</v>
      </c>
      <c r="J16" s="50">
        <v>4</v>
      </c>
      <c r="K16" s="50">
        <v>0</v>
      </c>
      <c r="L16" s="50">
        <v>0</v>
      </c>
      <c r="M16" s="50">
        <v>131</v>
      </c>
      <c r="N16" s="50">
        <v>0</v>
      </c>
      <c r="O16" s="15">
        <f t="shared" si="0"/>
        <v>97</v>
      </c>
      <c r="P16" s="15">
        <f t="shared" si="1"/>
        <v>228</v>
      </c>
      <c r="R16" s="1" t="s">
        <v>12</v>
      </c>
      <c r="S16" s="17">
        <f t="shared" ref="S16:AF16" si="8">SUM(C34:C37)</f>
        <v>47</v>
      </c>
      <c r="T16" s="17">
        <f t="shared" si="8"/>
        <v>19</v>
      </c>
      <c r="U16" s="17">
        <f t="shared" si="8"/>
        <v>18</v>
      </c>
      <c r="V16" s="17">
        <f t="shared" si="8"/>
        <v>64</v>
      </c>
      <c r="W16" s="17">
        <f t="shared" si="8"/>
        <v>2</v>
      </c>
      <c r="X16" s="17">
        <f t="shared" si="8"/>
        <v>0</v>
      </c>
      <c r="Y16" s="17">
        <f t="shared" si="8"/>
        <v>32</v>
      </c>
      <c r="Z16" s="17">
        <f t="shared" si="8"/>
        <v>4</v>
      </c>
      <c r="AA16" s="17">
        <f t="shared" si="8"/>
        <v>4</v>
      </c>
      <c r="AB16" s="17">
        <f t="shared" si="8"/>
        <v>1</v>
      </c>
      <c r="AC16" s="17">
        <f t="shared" si="8"/>
        <v>431</v>
      </c>
      <c r="AD16" s="17">
        <f t="shared" si="8"/>
        <v>0</v>
      </c>
      <c r="AE16" s="31">
        <f t="shared" si="8"/>
        <v>191</v>
      </c>
      <c r="AF16" s="31">
        <f t="shared" si="8"/>
        <v>622</v>
      </c>
    </row>
    <row r="17" spans="2:32" ht="23.1" customHeight="1" x14ac:dyDescent="0.25">
      <c r="B17" s="23" t="s">
        <v>44</v>
      </c>
      <c r="C17" s="50">
        <v>39</v>
      </c>
      <c r="D17" s="50">
        <v>11</v>
      </c>
      <c r="E17" s="50">
        <v>12</v>
      </c>
      <c r="F17" s="50">
        <v>30</v>
      </c>
      <c r="G17" s="50">
        <v>3</v>
      </c>
      <c r="H17" s="50">
        <v>1</v>
      </c>
      <c r="I17" s="50">
        <v>7</v>
      </c>
      <c r="J17" s="50">
        <v>3</v>
      </c>
      <c r="K17" s="50">
        <v>0</v>
      </c>
      <c r="L17" s="50">
        <v>1</v>
      </c>
      <c r="M17" s="50">
        <v>115</v>
      </c>
      <c r="N17" s="50">
        <v>0</v>
      </c>
      <c r="O17" s="15">
        <f t="shared" si="0"/>
        <v>107</v>
      </c>
      <c r="P17" s="15">
        <f t="shared" si="1"/>
        <v>222</v>
      </c>
      <c r="R17" s="1" t="s">
        <v>13</v>
      </c>
      <c r="S17" s="17">
        <f t="shared" ref="S17:AF17" si="9">SUM(C38:C41)</f>
        <v>65</v>
      </c>
      <c r="T17" s="17">
        <f t="shared" si="9"/>
        <v>25</v>
      </c>
      <c r="U17" s="17">
        <f t="shared" si="9"/>
        <v>14</v>
      </c>
      <c r="V17" s="17">
        <f t="shared" si="9"/>
        <v>60</v>
      </c>
      <c r="W17" s="17">
        <f t="shared" si="9"/>
        <v>2</v>
      </c>
      <c r="X17" s="17">
        <f t="shared" si="9"/>
        <v>0</v>
      </c>
      <c r="Y17" s="17">
        <f t="shared" si="9"/>
        <v>23</v>
      </c>
      <c r="Z17" s="17">
        <f t="shared" si="9"/>
        <v>7</v>
      </c>
      <c r="AA17" s="17">
        <f t="shared" si="9"/>
        <v>1</v>
      </c>
      <c r="AB17" s="17">
        <f t="shared" si="9"/>
        <v>4</v>
      </c>
      <c r="AC17" s="17">
        <f t="shared" si="9"/>
        <v>360</v>
      </c>
      <c r="AD17" s="17">
        <f t="shared" si="9"/>
        <v>0</v>
      </c>
      <c r="AE17" s="31">
        <f t="shared" si="9"/>
        <v>201</v>
      </c>
      <c r="AF17" s="31">
        <f t="shared" si="9"/>
        <v>561</v>
      </c>
    </row>
    <row r="18" spans="2:32" ht="23.1" customHeight="1" x14ac:dyDescent="0.25">
      <c r="B18" s="23" t="s">
        <v>45</v>
      </c>
      <c r="C18" s="50">
        <v>27</v>
      </c>
      <c r="D18" s="50">
        <v>5</v>
      </c>
      <c r="E18" s="50">
        <v>4</v>
      </c>
      <c r="F18" s="50">
        <v>38</v>
      </c>
      <c r="G18" s="50">
        <v>2</v>
      </c>
      <c r="H18" s="50">
        <v>1</v>
      </c>
      <c r="I18" s="50">
        <v>6</v>
      </c>
      <c r="J18" s="50">
        <v>10</v>
      </c>
      <c r="K18" s="50">
        <v>0</v>
      </c>
      <c r="L18" s="50">
        <v>2</v>
      </c>
      <c r="M18" s="50">
        <v>70</v>
      </c>
      <c r="N18" s="50">
        <v>0</v>
      </c>
      <c r="O18" s="15">
        <f t="shared" si="0"/>
        <v>95</v>
      </c>
      <c r="P18" s="15">
        <f t="shared" si="1"/>
        <v>165</v>
      </c>
      <c r="R18" s="1" t="s">
        <v>14</v>
      </c>
      <c r="S18" s="17">
        <f t="shared" ref="S18:AF18" si="10">SUM(C42:C45)</f>
        <v>50</v>
      </c>
      <c r="T18" s="17">
        <f t="shared" si="10"/>
        <v>22</v>
      </c>
      <c r="U18" s="17">
        <f t="shared" si="10"/>
        <v>22</v>
      </c>
      <c r="V18" s="17">
        <f t="shared" si="10"/>
        <v>46</v>
      </c>
      <c r="W18" s="17">
        <f t="shared" si="10"/>
        <v>2</v>
      </c>
      <c r="X18" s="17">
        <f t="shared" si="10"/>
        <v>0</v>
      </c>
      <c r="Y18" s="17">
        <f t="shared" si="10"/>
        <v>13</v>
      </c>
      <c r="Z18" s="17">
        <f t="shared" si="10"/>
        <v>7</v>
      </c>
      <c r="AA18" s="17">
        <f t="shared" si="10"/>
        <v>2</v>
      </c>
      <c r="AB18" s="17">
        <f t="shared" si="10"/>
        <v>1</v>
      </c>
      <c r="AC18" s="17">
        <f t="shared" si="10"/>
        <v>306</v>
      </c>
      <c r="AD18" s="17">
        <f t="shared" si="10"/>
        <v>0</v>
      </c>
      <c r="AE18" s="31">
        <f t="shared" si="10"/>
        <v>165</v>
      </c>
      <c r="AF18" s="31">
        <f t="shared" si="10"/>
        <v>471</v>
      </c>
    </row>
    <row r="19" spans="2:32" ht="23.1" customHeight="1" x14ac:dyDescent="0.25">
      <c r="B19" s="23" t="s">
        <v>46</v>
      </c>
      <c r="C19" s="50">
        <v>36</v>
      </c>
      <c r="D19" s="50">
        <v>7</v>
      </c>
      <c r="E19" s="50">
        <v>3</v>
      </c>
      <c r="F19" s="50">
        <v>27</v>
      </c>
      <c r="G19" s="50">
        <v>3</v>
      </c>
      <c r="H19" s="50">
        <v>0</v>
      </c>
      <c r="I19" s="50">
        <v>18</v>
      </c>
      <c r="J19" s="50">
        <v>3</v>
      </c>
      <c r="K19" s="50">
        <v>0</v>
      </c>
      <c r="L19" s="50">
        <v>0</v>
      </c>
      <c r="M19" s="50">
        <v>117</v>
      </c>
      <c r="N19" s="50">
        <v>0</v>
      </c>
      <c r="O19" s="15">
        <f t="shared" si="0"/>
        <v>97</v>
      </c>
      <c r="P19" s="15">
        <f t="shared" si="1"/>
        <v>214</v>
      </c>
      <c r="R19" s="1" t="s">
        <v>15</v>
      </c>
      <c r="S19" s="17">
        <f t="shared" ref="S19:AF19" si="11">SUM(C46:C49)</f>
        <v>71</v>
      </c>
      <c r="T19" s="17">
        <f t="shared" si="11"/>
        <v>29</v>
      </c>
      <c r="U19" s="17">
        <f t="shared" si="11"/>
        <v>25</v>
      </c>
      <c r="V19" s="17">
        <f t="shared" si="11"/>
        <v>52</v>
      </c>
      <c r="W19" s="17">
        <f t="shared" si="11"/>
        <v>3</v>
      </c>
      <c r="X19" s="17">
        <f t="shared" si="11"/>
        <v>0</v>
      </c>
      <c r="Y19" s="17">
        <f t="shared" si="11"/>
        <v>31</v>
      </c>
      <c r="Z19" s="17">
        <f t="shared" si="11"/>
        <v>10</v>
      </c>
      <c r="AA19" s="17">
        <f t="shared" si="11"/>
        <v>0</v>
      </c>
      <c r="AB19" s="17">
        <f t="shared" si="11"/>
        <v>0</v>
      </c>
      <c r="AC19" s="17">
        <f t="shared" si="11"/>
        <v>474</v>
      </c>
      <c r="AD19" s="17">
        <f t="shared" si="11"/>
        <v>0</v>
      </c>
      <c r="AE19" s="31">
        <f t="shared" si="11"/>
        <v>221</v>
      </c>
      <c r="AF19" s="31">
        <f t="shared" si="11"/>
        <v>695</v>
      </c>
    </row>
    <row r="20" spans="2:32" ht="23.1" customHeight="1" x14ac:dyDescent="0.25">
      <c r="B20" s="23" t="s">
        <v>47</v>
      </c>
      <c r="C20" s="50">
        <v>20</v>
      </c>
      <c r="D20" s="50">
        <v>9</v>
      </c>
      <c r="E20" s="50">
        <v>8</v>
      </c>
      <c r="F20" s="50">
        <v>29</v>
      </c>
      <c r="G20" s="50">
        <v>2</v>
      </c>
      <c r="H20" s="50">
        <v>1</v>
      </c>
      <c r="I20" s="50">
        <v>18</v>
      </c>
      <c r="J20" s="50">
        <v>4</v>
      </c>
      <c r="K20" s="50">
        <v>0</v>
      </c>
      <c r="L20" s="50">
        <v>0</v>
      </c>
      <c r="M20" s="50">
        <v>110</v>
      </c>
      <c r="N20" s="50">
        <v>0</v>
      </c>
      <c r="O20" s="15">
        <f t="shared" si="0"/>
        <v>91</v>
      </c>
      <c r="P20" s="15">
        <f t="shared" si="1"/>
        <v>201</v>
      </c>
      <c r="R20" s="1" t="s">
        <v>16</v>
      </c>
      <c r="S20" s="17">
        <f t="shared" ref="S20:AF20" si="12">SUM(C50:C53)</f>
        <v>86</v>
      </c>
      <c r="T20" s="17">
        <f t="shared" si="12"/>
        <v>29</v>
      </c>
      <c r="U20" s="17">
        <f t="shared" si="12"/>
        <v>22</v>
      </c>
      <c r="V20" s="17">
        <f t="shared" si="12"/>
        <v>55</v>
      </c>
      <c r="W20" s="17">
        <f t="shared" si="12"/>
        <v>2</v>
      </c>
      <c r="X20" s="17">
        <f t="shared" si="12"/>
        <v>0</v>
      </c>
      <c r="Y20" s="17">
        <f t="shared" si="12"/>
        <v>36</v>
      </c>
      <c r="Z20" s="17">
        <f t="shared" si="12"/>
        <v>6</v>
      </c>
      <c r="AA20" s="17">
        <f t="shared" si="12"/>
        <v>3</v>
      </c>
      <c r="AB20" s="17">
        <f t="shared" si="12"/>
        <v>1</v>
      </c>
      <c r="AC20" s="17">
        <f t="shared" si="12"/>
        <v>347</v>
      </c>
      <c r="AD20" s="17">
        <f t="shared" si="12"/>
        <v>0</v>
      </c>
      <c r="AE20" s="31">
        <f t="shared" si="12"/>
        <v>240</v>
      </c>
      <c r="AF20" s="31">
        <f t="shared" si="12"/>
        <v>587</v>
      </c>
    </row>
    <row r="21" spans="2:32" ht="23.1" customHeight="1" x14ac:dyDescent="0.25">
      <c r="B21" s="23" t="s">
        <v>48</v>
      </c>
      <c r="C21" s="50">
        <v>25</v>
      </c>
      <c r="D21" s="50">
        <v>7</v>
      </c>
      <c r="E21" s="50">
        <v>2</v>
      </c>
      <c r="F21" s="50">
        <v>31</v>
      </c>
      <c r="G21" s="50">
        <v>3</v>
      </c>
      <c r="H21" s="50">
        <v>0</v>
      </c>
      <c r="I21" s="50">
        <v>6</v>
      </c>
      <c r="J21" s="50">
        <v>1</v>
      </c>
      <c r="K21" s="50">
        <v>1</v>
      </c>
      <c r="L21" s="50">
        <v>0</v>
      </c>
      <c r="M21" s="50">
        <v>171</v>
      </c>
      <c r="N21" s="50">
        <v>0</v>
      </c>
      <c r="O21" s="15">
        <f t="shared" si="0"/>
        <v>76</v>
      </c>
      <c r="P21" s="15">
        <f t="shared" si="1"/>
        <v>247</v>
      </c>
      <c r="R21" s="36" t="s">
        <v>20</v>
      </c>
      <c r="S21" s="34">
        <f t="shared" ref="S21:AF21" si="13">SUM(C54:C57)</f>
        <v>51</v>
      </c>
      <c r="T21" s="17">
        <f t="shared" si="13"/>
        <v>29</v>
      </c>
      <c r="U21" s="17">
        <f t="shared" si="13"/>
        <v>25</v>
      </c>
      <c r="V21" s="17">
        <f t="shared" si="13"/>
        <v>68</v>
      </c>
      <c r="W21" s="17">
        <f t="shared" si="13"/>
        <v>7</v>
      </c>
      <c r="X21" s="17">
        <f t="shared" si="13"/>
        <v>0</v>
      </c>
      <c r="Y21" s="17">
        <f t="shared" si="13"/>
        <v>28</v>
      </c>
      <c r="Z21" s="17">
        <f t="shared" si="13"/>
        <v>10</v>
      </c>
      <c r="AA21" s="17">
        <f t="shared" si="13"/>
        <v>0</v>
      </c>
      <c r="AB21" s="17">
        <f t="shared" si="13"/>
        <v>1</v>
      </c>
      <c r="AC21" s="17">
        <f t="shared" si="13"/>
        <v>538</v>
      </c>
      <c r="AD21" s="17">
        <f t="shared" si="13"/>
        <v>0</v>
      </c>
      <c r="AE21" s="31">
        <f t="shared" si="13"/>
        <v>219</v>
      </c>
      <c r="AF21" s="31">
        <f t="shared" si="13"/>
        <v>757</v>
      </c>
    </row>
    <row r="22" spans="2:32" ht="23.1" customHeight="1" x14ac:dyDescent="0.25">
      <c r="B22" s="23" t="s">
        <v>49</v>
      </c>
      <c r="C22" s="50">
        <v>29</v>
      </c>
      <c r="D22" s="50">
        <v>4</v>
      </c>
      <c r="E22" s="50">
        <v>9</v>
      </c>
      <c r="F22" s="50">
        <v>29</v>
      </c>
      <c r="G22" s="50">
        <v>2</v>
      </c>
      <c r="H22" s="50">
        <v>1</v>
      </c>
      <c r="I22" s="50">
        <v>9</v>
      </c>
      <c r="J22" s="50">
        <v>2</v>
      </c>
      <c r="K22" s="50">
        <v>0</v>
      </c>
      <c r="L22" s="50">
        <v>0</v>
      </c>
      <c r="M22" s="50">
        <v>147</v>
      </c>
      <c r="N22" s="50">
        <v>0</v>
      </c>
      <c r="O22" s="15">
        <f t="shared" si="0"/>
        <v>85</v>
      </c>
      <c r="P22" s="15">
        <f t="shared" si="1"/>
        <v>232</v>
      </c>
      <c r="R22" s="38" t="s">
        <v>90</v>
      </c>
      <c r="S22" s="39">
        <f>MAX(S10:S12)</f>
        <v>159</v>
      </c>
      <c r="T22" s="39">
        <f t="shared" ref="T22:AF22" si="14">MAX(T10:T12)</f>
        <v>60</v>
      </c>
      <c r="U22" s="39">
        <f t="shared" si="14"/>
        <v>41</v>
      </c>
      <c r="V22" s="39">
        <f t="shared" si="14"/>
        <v>160</v>
      </c>
      <c r="W22" s="39">
        <f t="shared" si="14"/>
        <v>10</v>
      </c>
      <c r="X22" s="39">
        <f t="shared" si="14"/>
        <v>2</v>
      </c>
      <c r="Y22" s="39">
        <f t="shared" si="14"/>
        <v>48</v>
      </c>
      <c r="Z22" s="39">
        <f t="shared" si="14"/>
        <v>25</v>
      </c>
      <c r="AA22" s="39">
        <f t="shared" si="14"/>
        <v>5</v>
      </c>
      <c r="AB22" s="39">
        <f t="shared" si="14"/>
        <v>2</v>
      </c>
      <c r="AC22" s="39">
        <f t="shared" si="14"/>
        <v>504</v>
      </c>
      <c r="AD22" s="39">
        <f t="shared" si="14"/>
        <v>0</v>
      </c>
      <c r="AE22" s="40">
        <f t="shared" si="14"/>
        <v>482</v>
      </c>
      <c r="AF22" s="40">
        <f t="shared" si="14"/>
        <v>986</v>
      </c>
    </row>
    <row r="23" spans="2:32" ht="23.1" customHeight="1" x14ac:dyDescent="0.25">
      <c r="B23" s="23" t="s">
        <v>50</v>
      </c>
      <c r="C23" s="50">
        <v>21</v>
      </c>
      <c r="D23" s="50">
        <v>3</v>
      </c>
      <c r="E23" s="50">
        <v>7</v>
      </c>
      <c r="F23" s="50">
        <v>26</v>
      </c>
      <c r="G23" s="50">
        <v>3</v>
      </c>
      <c r="H23" s="50">
        <v>0</v>
      </c>
      <c r="I23" s="50">
        <v>10</v>
      </c>
      <c r="J23" s="50">
        <v>3</v>
      </c>
      <c r="K23" s="50">
        <v>0</v>
      </c>
      <c r="L23" s="50">
        <v>1</v>
      </c>
      <c r="M23" s="50">
        <v>138</v>
      </c>
      <c r="N23" s="50">
        <v>0</v>
      </c>
      <c r="O23" s="15">
        <f t="shared" si="0"/>
        <v>74</v>
      </c>
      <c r="P23" s="15">
        <f t="shared" si="1"/>
        <v>212</v>
      </c>
      <c r="R23" s="38" t="s">
        <v>91</v>
      </c>
      <c r="S23" s="39">
        <f>MAX(S13:S18)</f>
        <v>104</v>
      </c>
      <c r="T23" s="39">
        <f t="shared" ref="T23:AF23" si="15">MAX(T13:T18)</f>
        <v>31</v>
      </c>
      <c r="U23" s="39">
        <f t="shared" si="15"/>
        <v>25</v>
      </c>
      <c r="V23" s="39">
        <f t="shared" si="15"/>
        <v>105</v>
      </c>
      <c r="W23" s="39">
        <f t="shared" si="15"/>
        <v>7</v>
      </c>
      <c r="X23" s="39">
        <f t="shared" si="15"/>
        <v>1</v>
      </c>
      <c r="Y23" s="39">
        <f t="shared" si="15"/>
        <v>36</v>
      </c>
      <c r="Z23" s="39">
        <f t="shared" si="15"/>
        <v>18</v>
      </c>
      <c r="AA23" s="39">
        <f t="shared" si="15"/>
        <v>4</v>
      </c>
      <c r="AB23" s="39">
        <f t="shared" si="15"/>
        <v>4</v>
      </c>
      <c r="AC23" s="39">
        <f t="shared" si="15"/>
        <v>540</v>
      </c>
      <c r="AD23" s="39">
        <f t="shared" si="15"/>
        <v>0</v>
      </c>
      <c r="AE23" s="40">
        <f t="shared" si="15"/>
        <v>306</v>
      </c>
      <c r="AF23" s="40">
        <f t="shared" si="15"/>
        <v>846</v>
      </c>
    </row>
    <row r="24" spans="2:32" ht="23.1" customHeight="1" x14ac:dyDescent="0.25">
      <c r="B24" s="23" t="s">
        <v>51</v>
      </c>
      <c r="C24" s="50">
        <v>25</v>
      </c>
      <c r="D24" s="50">
        <v>9</v>
      </c>
      <c r="E24" s="50">
        <v>2</v>
      </c>
      <c r="F24" s="50">
        <v>27</v>
      </c>
      <c r="G24" s="50">
        <v>2</v>
      </c>
      <c r="H24" s="50">
        <v>0</v>
      </c>
      <c r="I24" s="50">
        <v>12</v>
      </c>
      <c r="J24" s="50">
        <v>1</v>
      </c>
      <c r="K24" s="50">
        <v>0</v>
      </c>
      <c r="L24" s="50">
        <v>1</v>
      </c>
      <c r="M24" s="50">
        <v>126</v>
      </c>
      <c r="N24" s="50">
        <v>0</v>
      </c>
      <c r="O24" s="15">
        <f t="shared" si="0"/>
        <v>79</v>
      </c>
      <c r="P24" s="15">
        <f t="shared" si="1"/>
        <v>205</v>
      </c>
      <c r="R24" s="38" t="s">
        <v>92</v>
      </c>
      <c r="S24" s="39">
        <f>MAX(S19:S21)</f>
        <v>86</v>
      </c>
      <c r="T24" s="39">
        <f t="shared" ref="T24:AF24" si="16">MAX(T19:T21)</f>
        <v>29</v>
      </c>
      <c r="U24" s="39">
        <f t="shared" si="16"/>
        <v>25</v>
      </c>
      <c r="V24" s="39">
        <f t="shared" si="16"/>
        <v>68</v>
      </c>
      <c r="W24" s="39">
        <f t="shared" si="16"/>
        <v>7</v>
      </c>
      <c r="X24" s="39">
        <f t="shared" si="16"/>
        <v>0</v>
      </c>
      <c r="Y24" s="39">
        <f t="shared" si="16"/>
        <v>36</v>
      </c>
      <c r="Z24" s="39">
        <f t="shared" si="16"/>
        <v>10</v>
      </c>
      <c r="AA24" s="39">
        <f t="shared" si="16"/>
        <v>3</v>
      </c>
      <c r="AB24" s="39">
        <f t="shared" si="16"/>
        <v>1</v>
      </c>
      <c r="AC24" s="39">
        <f t="shared" si="16"/>
        <v>538</v>
      </c>
      <c r="AD24" s="39">
        <f t="shared" si="16"/>
        <v>0</v>
      </c>
      <c r="AE24" s="40">
        <f t="shared" si="16"/>
        <v>240</v>
      </c>
      <c r="AF24" s="40">
        <f t="shared" si="16"/>
        <v>757</v>
      </c>
    </row>
    <row r="25" spans="2:32" ht="23.1" customHeight="1" x14ac:dyDescent="0.25">
      <c r="B25" s="23" t="s">
        <v>52</v>
      </c>
      <c r="C25" s="50">
        <v>29</v>
      </c>
      <c r="D25" s="50">
        <v>3</v>
      </c>
      <c r="E25" s="50">
        <v>4</v>
      </c>
      <c r="F25" s="50">
        <v>23</v>
      </c>
      <c r="G25" s="50">
        <v>0</v>
      </c>
      <c r="H25" s="50">
        <v>0</v>
      </c>
      <c r="I25" s="50">
        <v>5</v>
      </c>
      <c r="J25" s="50">
        <v>3</v>
      </c>
      <c r="K25" s="50">
        <v>0</v>
      </c>
      <c r="L25" s="50">
        <v>1</v>
      </c>
      <c r="M25" s="50">
        <v>129</v>
      </c>
      <c r="N25" s="50">
        <v>0</v>
      </c>
      <c r="O25" s="15">
        <f t="shared" si="0"/>
        <v>68</v>
      </c>
      <c r="P25" s="15">
        <f t="shared" si="1"/>
        <v>197</v>
      </c>
      <c r="R25" s="37" t="s">
        <v>85</v>
      </c>
      <c r="S25" s="35">
        <f t="shared" ref="S25:AF25" si="17">SUM(S10:S12)</f>
        <v>423</v>
      </c>
      <c r="T25" s="16">
        <f t="shared" si="17"/>
        <v>129</v>
      </c>
      <c r="U25" s="16">
        <f t="shared" si="17"/>
        <v>96</v>
      </c>
      <c r="V25" s="16">
        <f t="shared" si="17"/>
        <v>438</v>
      </c>
      <c r="W25" s="16">
        <f t="shared" si="17"/>
        <v>18</v>
      </c>
      <c r="X25" s="16">
        <f t="shared" si="17"/>
        <v>5</v>
      </c>
      <c r="Y25" s="16">
        <f t="shared" si="17"/>
        <v>99</v>
      </c>
      <c r="Z25" s="16">
        <f t="shared" si="17"/>
        <v>61</v>
      </c>
      <c r="AA25" s="16">
        <f t="shared" si="17"/>
        <v>9</v>
      </c>
      <c r="AB25" s="16">
        <f t="shared" si="17"/>
        <v>5</v>
      </c>
      <c r="AC25" s="16">
        <f t="shared" si="17"/>
        <v>1464</v>
      </c>
      <c r="AD25" s="16">
        <f t="shared" si="17"/>
        <v>0</v>
      </c>
      <c r="AE25" s="32">
        <f t="shared" si="17"/>
        <v>1283</v>
      </c>
      <c r="AF25" s="32">
        <f t="shared" si="17"/>
        <v>2747</v>
      </c>
    </row>
    <row r="26" spans="2:32" ht="23.1" customHeight="1" x14ac:dyDescent="0.25">
      <c r="B26" s="23" t="s">
        <v>53</v>
      </c>
      <c r="C26" s="50">
        <v>23</v>
      </c>
      <c r="D26" s="50">
        <v>11</v>
      </c>
      <c r="E26" s="50">
        <v>9</v>
      </c>
      <c r="F26" s="50">
        <v>24</v>
      </c>
      <c r="G26" s="50">
        <v>0</v>
      </c>
      <c r="H26" s="50">
        <v>0</v>
      </c>
      <c r="I26" s="50">
        <v>6</v>
      </c>
      <c r="J26" s="50">
        <v>0</v>
      </c>
      <c r="K26" s="50">
        <v>0</v>
      </c>
      <c r="L26" s="50">
        <v>0</v>
      </c>
      <c r="M26" s="50">
        <v>69</v>
      </c>
      <c r="N26" s="50">
        <v>0</v>
      </c>
      <c r="O26" s="15">
        <f t="shared" si="0"/>
        <v>73</v>
      </c>
      <c r="P26" s="15">
        <f t="shared" si="1"/>
        <v>142</v>
      </c>
      <c r="R26" s="28" t="s">
        <v>86</v>
      </c>
      <c r="S26" s="16">
        <f t="shared" ref="S26:AF26" si="18">SUM(S13:S18)</f>
        <v>422</v>
      </c>
      <c r="T26" s="16">
        <f t="shared" si="18"/>
        <v>138</v>
      </c>
      <c r="U26" s="16">
        <f t="shared" si="18"/>
        <v>118</v>
      </c>
      <c r="V26" s="16">
        <f t="shared" si="18"/>
        <v>443</v>
      </c>
      <c r="W26" s="16">
        <f t="shared" si="18"/>
        <v>16</v>
      </c>
      <c r="X26" s="16">
        <f t="shared" si="18"/>
        <v>1</v>
      </c>
      <c r="Y26" s="16">
        <f t="shared" si="18"/>
        <v>164</v>
      </c>
      <c r="Z26" s="16">
        <f t="shared" si="18"/>
        <v>55</v>
      </c>
      <c r="AA26" s="16">
        <f t="shared" si="18"/>
        <v>9</v>
      </c>
      <c r="AB26" s="16">
        <f t="shared" si="18"/>
        <v>11</v>
      </c>
      <c r="AC26" s="16">
        <f t="shared" si="18"/>
        <v>2566</v>
      </c>
      <c r="AD26" s="16">
        <f t="shared" si="18"/>
        <v>0</v>
      </c>
      <c r="AE26" s="32">
        <f t="shared" si="18"/>
        <v>1377</v>
      </c>
      <c r="AF26" s="32">
        <f t="shared" si="18"/>
        <v>3943</v>
      </c>
    </row>
    <row r="27" spans="2:32" ht="23.1" customHeight="1" x14ac:dyDescent="0.25">
      <c r="B27" s="23" t="s">
        <v>54</v>
      </c>
      <c r="C27" s="50">
        <v>21</v>
      </c>
      <c r="D27" s="50">
        <v>4</v>
      </c>
      <c r="E27" s="50">
        <v>3</v>
      </c>
      <c r="F27" s="50">
        <v>13</v>
      </c>
      <c r="G27" s="50">
        <v>1</v>
      </c>
      <c r="H27" s="50">
        <v>0</v>
      </c>
      <c r="I27" s="50">
        <v>4</v>
      </c>
      <c r="J27" s="50">
        <v>3</v>
      </c>
      <c r="K27" s="50">
        <v>0</v>
      </c>
      <c r="L27" s="50">
        <v>0</v>
      </c>
      <c r="M27" s="50">
        <v>117</v>
      </c>
      <c r="N27" s="50">
        <v>0</v>
      </c>
      <c r="O27" s="15">
        <f t="shared" si="0"/>
        <v>49</v>
      </c>
      <c r="P27" s="15">
        <f t="shared" si="1"/>
        <v>166</v>
      </c>
      <c r="R27" s="29" t="s">
        <v>87</v>
      </c>
      <c r="S27" s="16">
        <f t="shared" ref="S27:AF27" si="19">SUM(S19:S21)</f>
        <v>208</v>
      </c>
      <c r="T27" s="16">
        <f t="shared" si="19"/>
        <v>87</v>
      </c>
      <c r="U27" s="16">
        <f t="shared" si="19"/>
        <v>72</v>
      </c>
      <c r="V27" s="16">
        <f t="shared" si="19"/>
        <v>175</v>
      </c>
      <c r="W27" s="16">
        <f t="shared" si="19"/>
        <v>12</v>
      </c>
      <c r="X27" s="16">
        <f t="shared" si="19"/>
        <v>0</v>
      </c>
      <c r="Y27" s="16">
        <f t="shared" si="19"/>
        <v>95</v>
      </c>
      <c r="Z27" s="16">
        <f t="shared" si="19"/>
        <v>26</v>
      </c>
      <c r="AA27" s="16">
        <f t="shared" si="19"/>
        <v>3</v>
      </c>
      <c r="AB27" s="16">
        <f t="shared" si="19"/>
        <v>2</v>
      </c>
      <c r="AC27" s="16">
        <f t="shared" si="19"/>
        <v>1359</v>
      </c>
      <c r="AD27" s="16">
        <f t="shared" si="19"/>
        <v>0</v>
      </c>
      <c r="AE27" s="32">
        <f t="shared" si="19"/>
        <v>680</v>
      </c>
      <c r="AF27" s="32">
        <f t="shared" si="19"/>
        <v>2039</v>
      </c>
    </row>
    <row r="28" spans="2:32" ht="23.1" customHeight="1" x14ac:dyDescent="0.25">
      <c r="B28" s="23" t="s">
        <v>55</v>
      </c>
      <c r="C28" s="50">
        <v>32</v>
      </c>
      <c r="D28" s="50">
        <v>3</v>
      </c>
      <c r="E28" s="50">
        <v>5</v>
      </c>
      <c r="F28" s="50">
        <v>30</v>
      </c>
      <c r="G28" s="50">
        <v>0</v>
      </c>
      <c r="H28" s="50">
        <v>0</v>
      </c>
      <c r="I28" s="50">
        <v>10</v>
      </c>
      <c r="J28" s="50">
        <v>5</v>
      </c>
      <c r="K28" s="50">
        <v>0</v>
      </c>
      <c r="L28" s="50">
        <v>0</v>
      </c>
      <c r="M28" s="50">
        <v>135</v>
      </c>
      <c r="N28" s="50">
        <v>0</v>
      </c>
      <c r="O28" s="15">
        <f t="shared" si="0"/>
        <v>85</v>
      </c>
      <c r="P28" s="15">
        <f t="shared" si="1"/>
        <v>220</v>
      </c>
      <c r="R28" s="5" t="s">
        <v>17</v>
      </c>
      <c r="S28" s="16">
        <f t="shared" ref="S28:AF28" si="20">SUM(S10:S21)</f>
        <v>1053</v>
      </c>
      <c r="T28" s="16">
        <f t="shared" si="20"/>
        <v>354</v>
      </c>
      <c r="U28" s="16">
        <f t="shared" si="20"/>
        <v>286</v>
      </c>
      <c r="V28" s="16">
        <f t="shared" si="20"/>
        <v>1056</v>
      </c>
      <c r="W28" s="16">
        <f t="shared" si="20"/>
        <v>46</v>
      </c>
      <c r="X28" s="16">
        <f t="shared" si="20"/>
        <v>6</v>
      </c>
      <c r="Y28" s="16">
        <f t="shared" si="20"/>
        <v>358</v>
      </c>
      <c r="Z28" s="16">
        <f t="shared" si="20"/>
        <v>142</v>
      </c>
      <c r="AA28" s="16">
        <f t="shared" si="20"/>
        <v>21</v>
      </c>
      <c r="AB28" s="16">
        <f t="shared" si="20"/>
        <v>18</v>
      </c>
      <c r="AC28" s="16">
        <f t="shared" si="20"/>
        <v>5389</v>
      </c>
      <c r="AD28" s="16">
        <f t="shared" si="20"/>
        <v>0</v>
      </c>
      <c r="AE28" s="32">
        <f t="shared" si="20"/>
        <v>3340</v>
      </c>
      <c r="AF28" s="32">
        <f t="shared" si="20"/>
        <v>8729</v>
      </c>
    </row>
    <row r="29" spans="2:32" ht="23.1" customHeight="1" x14ac:dyDescent="0.25">
      <c r="B29" s="23" t="s">
        <v>56</v>
      </c>
      <c r="C29" s="50">
        <v>17</v>
      </c>
      <c r="D29" s="50">
        <v>4</v>
      </c>
      <c r="E29" s="50">
        <v>8</v>
      </c>
      <c r="F29" s="50">
        <v>20</v>
      </c>
      <c r="G29" s="50">
        <v>0</v>
      </c>
      <c r="H29" s="50">
        <v>0</v>
      </c>
      <c r="I29" s="50">
        <v>9</v>
      </c>
      <c r="J29" s="50">
        <v>2</v>
      </c>
      <c r="K29" s="50">
        <v>0</v>
      </c>
      <c r="L29" s="50">
        <v>0</v>
      </c>
      <c r="M29" s="50">
        <v>128</v>
      </c>
      <c r="N29" s="50">
        <v>0</v>
      </c>
      <c r="O29" s="15">
        <f t="shared" si="0"/>
        <v>60</v>
      </c>
      <c r="P29" s="15">
        <f t="shared" si="1"/>
        <v>188</v>
      </c>
      <c r="R29"/>
      <c r="S29" s="20"/>
      <c r="T29" s="19"/>
    </row>
    <row r="30" spans="2:32" ht="23.1" customHeight="1" x14ac:dyDescent="0.25">
      <c r="B30" s="23" t="s">
        <v>57</v>
      </c>
      <c r="C30" s="50">
        <v>23</v>
      </c>
      <c r="D30" s="50">
        <v>8</v>
      </c>
      <c r="E30" s="50">
        <v>7</v>
      </c>
      <c r="F30" s="50">
        <v>22</v>
      </c>
      <c r="G30" s="50">
        <v>0</v>
      </c>
      <c r="H30" s="50">
        <v>0</v>
      </c>
      <c r="I30" s="50">
        <v>8</v>
      </c>
      <c r="J30" s="50">
        <v>2</v>
      </c>
      <c r="K30" s="50">
        <v>0</v>
      </c>
      <c r="L30" s="50">
        <v>2</v>
      </c>
      <c r="M30" s="50">
        <v>110</v>
      </c>
      <c r="N30" s="50">
        <v>0</v>
      </c>
      <c r="O30" s="15">
        <f t="shared" si="0"/>
        <v>72</v>
      </c>
      <c r="P30" s="15">
        <f t="shared" si="1"/>
        <v>182</v>
      </c>
    </row>
    <row r="31" spans="2:32" ht="23.1" customHeight="1" x14ac:dyDescent="0.25">
      <c r="B31" s="24" t="s">
        <v>58</v>
      </c>
      <c r="C31" s="50">
        <v>15</v>
      </c>
      <c r="D31" s="50">
        <v>6</v>
      </c>
      <c r="E31" s="50">
        <v>5</v>
      </c>
      <c r="F31" s="50">
        <v>16</v>
      </c>
      <c r="G31" s="50">
        <v>0</v>
      </c>
      <c r="H31" s="50">
        <v>0</v>
      </c>
      <c r="I31" s="50">
        <v>5</v>
      </c>
      <c r="J31" s="50">
        <v>3</v>
      </c>
      <c r="K31" s="50">
        <v>0</v>
      </c>
      <c r="L31" s="50">
        <v>0</v>
      </c>
      <c r="M31" s="50">
        <v>125</v>
      </c>
      <c r="N31" s="50">
        <v>0</v>
      </c>
      <c r="O31" s="15">
        <f t="shared" si="0"/>
        <v>50</v>
      </c>
      <c r="P31" s="15">
        <f t="shared" si="1"/>
        <v>175</v>
      </c>
    </row>
    <row r="32" spans="2:32" ht="23.1" customHeight="1" x14ac:dyDescent="0.25">
      <c r="B32" s="24" t="s">
        <v>59</v>
      </c>
      <c r="C32" s="50">
        <v>15</v>
      </c>
      <c r="D32" s="50">
        <v>3</v>
      </c>
      <c r="E32" s="50">
        <v>1</v>
      </c>
      <c r="F32" s="50">
        <v>19</v>
      </c>
      <c r="G32" s="50">
        <v>2</v>
      </c>
      <c r="H32" s="50">
        <v>0</v>
      </c>
      <c r="I32" s="50">
        <v>4</v>
      </c>
      <c r="J32" s="50">
        <v>8</v>
      </c>
      <c r="K32" s="50">
        <v>1</v>
      </c>
      <c r="L32" s="50">
        <v>0</v>
      </c>
      <c r="M32" s="50">
        <v>139</v>
      </c>
      <c r="N32" s="50">
        <v>0</v>
      </c>
      <c r="O32" s="15">
        <f t="shared" si="0"/>
        <v>53</v>
      </c>
      <c r="P32" s="15">
        <f t="shared" si="1"/>
        <v>192</v>
      </c>
    </row>
    <row r="33" spans="2:20" ht="23.1" customHeight="1" x14ac:dyDescent="0.25">
      <c r="B33" s="23" t="s">
        <v>60</v>
      </c>
      <c r="C33" s="50">
        <v>10</v>
      </c>
      <c r="D33" s="50">
        <v>14</v>
      </c>
      <c r="E33" s="50">
        <v>4</v>
      </c>
      <c r="F33" s="50">
        <v>24</v>
      </c>
      <c r="G33" s="50">
        <v>0</v>
      </c>
      <c r="H33" s="50">
        <v>0</v>
      </c>
      <c r="I33" s="50">
        <v>14</v>
      </c>
      <c r="J33" s="50">
        <v>5</v>
      </c>
      <c r="K33" s="50">
        <v>1</v>
      </c>
      <c r="L33" s="50">
        <v>0</v>
      </c>
      <c r="M33" s="50">
        <v>106</v>
      </c>
      <c r="N33" s="50">
        <v>0</v>
      </c>
      <c r="O33" s="15">
        <f t="shared" si="0"/>
        <v>72</v>
      </c>
      <c r="P33" s="15">
        <f t="shared" si="1"/>
        <v>178</v>
      </c>
    </row>
    <row r="34" spans="2:20" ht="23.1" customHeight="1" x14ac:dyDescent="0.25">
      <c r="B34" s="24" t="s">
        <v>61</v>
      </c>
      <c r="C34" s="50">
        <v>12</v>
      </c>
      <c r="D34" s="50">
        <v>3</v>
      </c>
      <c r="E34" s="50">
        <v>4</v>
      </c>
      <c r="F34" s="50">
        <v>17</v>
      </c>
      <c r="G34" s="50">
        <v>2</v>
      </c>
      <c r="H34" s="50">
        <v>0</v>
      </c>
      <c r="I34" s="50">
        <v>7</v>
      </c>
      <c r="J34" s="50">
        <v>2</v>
      </c>
      <c r="K34" s="50">
        <v>0</v>
      </c>
      <c r="L34" s="50">
        <v>0</v>
      </c>
      <c r="M34" s="50">
        <v>109</v>
      </c>
      <c r="N34" s="50">
        <v>0</v>
      </c>
      <c r="O34" s="15">
        <f t="shared" si="0"/>
        <v>47</v>
      </c>
      <c r="P34" s="15">
        <f t="shared" si="1"/>
        <v>156</v>
      </c>
    </row>
    <row r="35" spans="2:20" ht="23.1" customHeight="1" x14ac:dyDescent="0.25">
      <c r="B35" s="24" t="s">
        <v>62</v>
      </c>
      <c r="C35" s="50">
        <v>12</v>
      </c>
      <c r="D35" s="50">
        <v>5</v>
      </c>
      <c r="E35" s="50">
        <v>5</v>
      </c>
      <c r="F35" s="50">
        <v>12</v>
      </c>
      <c r="G35" s="50">
        <v>0</v>
      </c>
      <c r="H35" s="50">
        <v>0</v>
      </c>
      <c r="I35" s="50">
        <v>8</v>
      </c>
      <c r="J35" s="50">
        <v>1</v>
      </c>
      <c r="K35" s="50">
        <v>3</v>
      </c>
      <c r="L35" s="50">
        <v>0</v>
      </c>
      <c r="M35" s="50">
        <v>110</v>
      </c>
      <c r="N35" s="50">
        <v>0</v>
      </c>
      <c r="O35" s="15">
        <f t="shared" si="0"/>
        <v>46</v>
      </c>
      <c r="P35" s="15">
        <f t="shared" si="1"/>
        <v>156</v>
      </c>
    </row>
    <row r="36" spans="2:20" ht="23.1" customHeight="1" x14ac:dyDescent="0.25">
      <c r="B36" s="24" t="s">
        <v>63</v>
      </c>
      <c r="C36" s="50">
        <v>11</v>
      </c>
      <c r="D36" s="50">
        <v>7</v>
      </c>
      <c r="E36" s="50">
        <v>7</v>
      </c>
      <c r="F36" s="50">
        <v>16</v>
      </c>
      <c r="G36" s="50">
        <v>0</v>
      </c>
      <c r="H36" s="50">
        <v>0</v>
      </c>
      <c r="I36" s="50">
        <v>10</v>
      </c>
      <c r="J36" s="50">
        <v>1</v>
      </c>
      <c r="K36" s="50">
        <v>0</v>
      </c>
      <c r="L36" s="50">
        <v>1</v>
      </c>
      <c r="M36" s="50">
        <v>120</v>
      </c>
      <c r="N36" s="50">
        <v>0</v>
      </c>
      <c r="O36" s="15">
        <f t="shared" si="0"/>
        <v>53</v>
      </c>
      <c r="P36" s="15">
        <f t="shared" si="1"/>
        <v>173</v>
      </c>
    </row>
    <row r="37" spans="2:20" ht="23.1" customHeight="1" x14ac:dyDescent="0.25">
      <c r="B37" s="23" t="s">
        <v>64</v>
      </c>
      <c r="C37" s="50">
        <v>12</v>
      </c>
      <c r="D37" s="50">
        <v>4</v>
      </c>
      <c r="E37" s="50">
        <v>2</v>
      </c>
      <c r="F37" s="50">
        <v>19</v>
      </c>
      <c r="G37" s="50">
        <v>0</v>
      </c>
      <c r="H37" s="50">
        <v>0</v>
      </c>
      <c r="I37" s="50">
        <v>7</v>
      </c>
      <c r="J37" s="50">
        <v>0</v>
      </c>
      <c r="K37" s="50">
        <v>1</v>
      </c>
      <c r="L37" s="50">
        <v>0</v>
      </c>
      <c r="M37" s="50">
        <v>92</v>
      </c>
      <c r="N37" s="50">
        <v>0</v>
      </c>
      <c r="O37" s="15">
        <f t="shared" si="0"/>
        <v>45</v>
      </c>
      <c r="P37" s="15">
        <f t="shared" si="1"/>
        <v>137</v>
      </c>
    </row>
    <row r="38" spans="2:20" ht="23.1" customHeight="1" x14ac:dyDescent="0.25">
      <c r="B38" s="24" t="s">
        <v>65</v>
      </c>
      <c r="C38" s="50">
        <v>16</v>
      </c>
      <c r="D38" s="50">
        <v>3</v>
      </c>
      <c r="E38" s="50">
        <v>3</v>
      </c>
      <c r="F38" s="50">
        <v>18</v>
      </c>
      <c r="G38" s="50">
        <v>1</v>
      </c>
      <c r="H38" s="50">
        <v>0</v>
      </c>
      <c r="I38" s="50">
        <v>8</v>
      </c>
      <c r="J38" s="50">
        <v>0</v>
      </c>
      <c r="K38" s="50">
        <v>1</v>
      </c>
      <c r="L38" s="50">
        <v>2</v>
      </c>
      <c r="M38" s="50">
        <v>104</v>
      </c>
      <c r="N38" s="50">
        <v>0</v>
      </c>
      <c r="O38" s="15">
        <f t="shared" si="0"/>
        <v>52</v>
      </c>
      <c r="P38" s="15">
        <f t="shared" si="1"/>
        <v>156</v>
      </c>
    </row>
    <row r="39" spans="2:20" ht="23.1" customHeight="1" x14ac:dyDescent="0.25">
      <c r="B39" s="24" t="s">
        <v>66</v>
      </c>
      <c r="C39" s="50">
        <v>20</v>
      </c>
      <c r="D39" s="50">
        <v>8</v>
      </c>
      <c r="E39" s="50">
        <v>4</v>
      </c>
      <c r="F39" s="50">
        <v>9</v>
      </c>
      <c r="G39" s="50">
        <v>0</v>
      </c>
      <c r="H39" s="50">
        <v>0</v>
      </c>
      <c r="I39" s="50">
        <v>5</v>
      </c>
      <c r="J39" s="50">
        <v>2</v>
      </c>
      <c r="K39" s="50">
        <v>0</v>
      </c>
      <c r="L39" s="50">
        <v>2</v>
      </c>
      <c r="M39" s="50">
        <v>102</v>
      </c>
      <c r="N39" s="50">
        <v>0</v>
      </c>
      <c r="O39" s="15">
        <f t="shared" si="0"/>
        <v>50</v>
      </c>
      <c r="P39" s="15">
        <f t="shared" si="1"/>
        <v>152</v>
      </c>
    </row>
    <row r="40" spans="2:20" ht="23.1" customHeight="1" x14ac:dyDescent="0.25">
      <c r="B40" s="24" t="s">
        <v>67</v>
      </c>
      <c r="C40" s="50">
        <v>15</v>
      </c>
      <c r="D40" s="50">
        <v>9</v>
      </c>
      <c r="E40" s="50">
        <v>5</v>
      </c>
      <c r="F40" s="50">
        <v>23</v>
      </c>
      <c r="G40" s="50">
        <v>1</v>
      </c>
      <c r="H40" s="50">
        <v>0</v>
      </c>
      <c r="I40" s="50">
        <v>5</v>
      </c>
      <c r="J40" s="50">
        <v>2</v>
      </c>
      <c r="K40" s="50">
        <v>0</v>
      </c>
      <c r="L40" s="50">
        <v>0</v>
      </c>
      <c r="M40" s="50">
        <v>90</v>
      </c>
      <c r="N40" s="50">
        <v>0</v>
      </c>
      <c r="O40" s="15">
        <f t="shared" si="0"/>
        <v>60</v>
      </c>
      <c r="P40" s="15">
        <f t="shared" si="1"/>
        <v>150</v>
      </c>
    </row>
    <row r="41" spans="2:20" ht="23.1" customHeight="1" x14ac:dyDescent="0.25">
      <c r="B41" s="23" t="s">
        <v>68</v>
      </c>
      <c r="C41" s="50">
        <v>14</v>
      </c>
      <c r="D41" s="50">
        <v>5</v>
      </c>
      <c r="E41" s="50">
        <v>2</v>
      </c>
      <c r="F41" s="50">
        <v>10</v>
      </c>
      <c r="G41" s="50">
        <v>0</v>
      </c>
      <c r="H41" s="50">
        <v>0</v>
      </c>
      <c r="I41" s="50">
        <v>5</v>
      </c>
      <c r="J41" s="50">
        <v>3</v>
      </c>
      <c r="K41" s="50">
        <v>0</v>
      </c>
      <c r="L41" s="50">
        <v>0</v>
      </c>
      <c r="M41" s="50">
        <v>64</v>
      </c>
      <c r="N41" s="50">
        <v>0</v>
      </c>
      <c r="O41" s="15">
        <f t="shared" si="0"/>
        <v>39</v>
      </c>
      <c r="P41" s="15">
        <f t="shared" si="1"/>
        <v>103</v>
      </c>
    </row>
    <row r="42" spans="2:20" ht="23.1" customHeight="1" x14ac:dyDescent="0.25">
      <c r="B42" s="24" t="s">
        <v>69</v>
      </c>
      <c r="C42" s="50">
        <v>10</v>
      </c>
      <c r="D42" s="50">
        <v>12</v>
      </c>
      <c r="E42" s="50">
        <v>6</v>
      </c>
      <c r="F42" s="50">
        <v>10</v>
      </c>
      <c r="G42" s="50">
        <v>1</v>
      </c>
      <c r="H42" s="50">
        <v>0</v>
      </c>
      <c r="I42" s="50">
        <v>3</v>
      </c>
      <c r="J42" s="50">
        <v>2</v>
      </c>
      <c r="K42" s="50">
        <v>0</v>
      </c>
      <c r="L42" s="50">
        <v>1</v>
      </c>
      <c r="M42" s="50">
        <v>75</v>
      </c>
      <c r="N42" s="50">
        <v>0</v>
      </c>
      <c r="O42" s="15">
        <f t="shared" si="0"/>
        <v>45</v>
      </c>
      <c r="P42" s="15">
        <f t="shared" si="1"/>
        <v>120</v>
      </c>
    </row>
    <row r="43" spans="2:20" ht="23.1" customHeight="1" x14ac:dyDescent="0.25">
      <c r="B43" s="23" t="s">
        <v>70</v>
      </c>
      <c r="C43" s="50">
        <v>8</v>
      </c>
      <c r="D43" s="50">
        <v>2</v>
      </c>
      <c r="E43" s="50">
        <v>4</v>
      </c>
      <c r="F43" s="50">
        <v>13</v>
      </c>
      <c r="G43" s="50">
        <v>0</v>
      </c>
      <c r="H43" s="50">
        <v>0</v>
      </c>
      <c r="I43" s="50">
        <v>2</v>
      </c>
      <c r="J43" s="50">
        <v>1</v>
      </c>
      <c r="K43" s="50">
        <v>0</v>
      </c>
      <c r="L43" s="50">
        <v>0</v>
      </c>
      <c r="M43" s="50">
        <v>65</v>
      </c>
      <c r="N43" s="50">
        <v>0</v>
      </c>
      <c r="O43" s="15">
        <f t="shared" si="0"/>
        <v>30</v>
      </c>
      <c r="P43" s="15">
        <f t="shared" si="1"/>
        <v>95</v>
      </c>
    </row>
    <row r="44" spans="2:20" ht="23.1" customHeight="1" x14ac:dyDescent="0.25">
      <c r="B44" s="25" t="s">
        <v>71</v>
      </c>
      <c r="C44" s="50">
        <v>15</v>
      </c>
      <c r="D44" s="50">
        <v>5</v>
      </c>
      <c r="E44" s="50">
        <v>2</v>
      </c>
      <c r="F44" s="50">
        <v>10</v>
      </c>
      <c r="G44" s="50">
        <v>0</v>
      </c>
      <c r="H44" s="50">
        <v>0</v>
      </c>
      <c r="I44" s="50">
        <v>4</v>
      </c>
      <c r="J44" s="50">
        <v>1</v>
      </c>
      <c r="K44" s="50">
        <v>1</v>
      </c>
      <c r="L44" s="50">
        <v>0</v>
      </c>
      <c r="M44" s="50">
        <v>94</v>
      </c>
      <c r="N44" s="50">
        <v>0</v>
      </c>
      <c r="O44" s="15">
        <f t="shared" si="0"/>
        <v>38</v>
      </c>
      <c r="P44" s="15">
        <f t="shared" si="1"/>
        <v>132</v>
      </c>
    </row>
    <row r="45" spans="2:20" ht="23.1" customHeight="1" x14ac:dyDescent="0.25">
      <c r="B45" s="23" t="s">
        <v>72</v>
      </c>
      <c r="C45" s="50">
        <v>17</v>
      </c>
      <c r="D45" s="50">
        <v>3</v>
      </c>
      <c r="E45" s="50">
        <v>10</v>
      </c>
      <c r="F45" s="50">
        <v>13</v>
      </c>
      <c r="G45" s="50">
        <v>1</v>
      </c>
      <c r="H45" s="50">
        <v>0</v>
      </c>
      <c r="I45" s="50">
        <v>4</v>
      </c>
      <c r="J45" s="50">
        <v>3</v>
      </c>
      <c r="K45" s="50">
        <v>1</v>
      </c>
      <c r="L45" s="50">
        <v>0</v>
      </c>
      <c r="M45" s="50">
        <v>72</v>
      </c>
      <c r="N45" s="50">
        <v>0</v>
      </c>
      <c r="O45" s="15">
        <f t="shared" si="0"/>
        <v>52</v>
      </c>
      <c r="P45" s="15">
        <f t="shared" si="1"/>
        <v>124</v>
      </c>
    </row>
    <row r="46" spans="2:20" ht="23.1" customHeight="1" x14ac:dyDescent="0.25">
      <c r="B46" s="24" t="s">
        <v>73</v>
      </c>
      <c r="C46" s="50">
        <v>15</v>
      </c>
      <c r="D46" s="50">
        <v>11</v>
      </c>
      <c r="E46" s="50">
        <v>8</v>
      </c>
      <c r="F46" s="50">
        <v>11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125</v>
      </c>
      <c r="N46" s="50">
        <v>0</v>
      </c>
      <c r="O46" s="15">
        <f t="shared" si="0"/>
        <v>51</v>
      </c>
      <c r="P46" s="15">
        <f t="shared" si="1"/>
        <v>176</v>
      </c>
      <c r="R46" s="8"/>
      <c r="T46"/>
    </row>
    <row r="47" spans="2:20" ht="23.1" customHeight="1" x14ac:dyDescent="0.25">
      <c r="B47" s="24" t="s">
        <v>74</v>
      </c>
      <c r="C47" s="50">
        <v>22</v>
      </c>
      <c r="D47" s="50">
        <v>7</v>
      </c>
      <c r="E47" s="50">
        <v>6</v>
      </c>
      <c r="F47" s="50">
        <v>12</v>
      </c>
      <c r="G47" s="50">
        <v>1</v>
      </c>
      <c r="H47" s="50">
        <v>0</v>
      </c>
      <c r="I47" s="50">
        <v>8</v>
      </c>
      <c r="J47" s="50">
        <v>2</v>
      </c>
      <c r="K47" s="50">
        <v>0</v>
      </c>
      <c r="L47" s="50">
        <v>0</v>
      </c>
      <c r="M47" s="50">
        <v>110</v>
      </c>
      <c r="N47" s="50">
        <v>0</v>
      </c>
      <c r="O47" s="15">
        <f t="shared" si="0"/>
        <v>58</v>
      </c>
      <c r="P47" s="15">
        <f t="shared" si="1"/>
        <v>168</v>
      </c>
      <c r="R47" s="8"/>
      <c r="T47"/>
    </row>
    <row r="48" spans="2:20" ht="23.1" customHeight="1" x14ac:dyDescent="0.25">
      <c r="B48" s="24" t="s">
        <v>75</v>
      </c>
      <c r="C48" s="50">
        <v>19</v>
      </c>
      <c r="D48" s="50">
        <v>8</v>
      </c>
      <c r="E48" s="50">
        <v>8</v>
      </c>
      <c r="F48" s="50">
        <v>12</v>
      </c>
      <c r="G48" s="50">
        <v>2</v>
      </c>
      <c r="H48" s="50">
        <v>0</v>
      </c>
      <c r="I48" s="50">
        <v>7</v>
      </c>
      <c r="J48" s="50">
        <v>4</v>
      </c>
      <c r="K48" s="50">
        <v>0</v>
      </c>
      <c r="L48" s="50">
        <v>0</v>
      </c>
      <c r="M48" s="50">
        <v>114</v>
      </c>
      <c r="N48" s="50">
        <v>0</v>
      </c>
      <c r="O48" s="15">
        <f t="shared" si="0"/>
        <v>60</v>
      </c>
      <c r="P48" s="15">
        <f t="shared" si="1"/>
        <v>174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3</v>
      </c>
      <c r="E49" s="50">
        <v>3</v>
      </c>
      <c r="F49" s="50">
        <v>17</v>
      </c>
      <c r="G49" s="50">
        <v>0</v>
      </c>
      <c r="H49" s="50">
        <v>0</v>
      </c>
      <c r="I49" s="50">
        <v>10</v>
      </c>
      <c r="J49" s="50">
        <v>4</v>
      </c>
      <c r="K49" s="50">
        <v>0</v>
      </c>
      <c r="L49" s="50">
        <v>0</v>
      </c>
      <c r="M49" s="50">
        <v>125</v>
      </c>
      <c r="N49" s="50">
        <v>0</v>
      </c>
      <c r="O49" s="15">
        <f t="shared" si="0"/>
        <v>52</v>
      </c>
      <c r="P49" s="15">
        <f t="shared" si="1"/>
        <v>177</v>
      </c>
      <c r="R49" s="8"/>
      <c r="T49"/>
    </row>
    <row r="50" spans="2:20" ht="23.1" customHeight="1" x14ac:dyDescent="0.25">
      <c r="B50" s="24" t="s">
        <v>77</v>
      </c>
      <c r="C50" s="50">
        <v>25</v>
      </c>
      <c r="D50" s="50">
        <v>7</v>
      </c>
      <c r="E50" s="50">
        <v>7</v>
      </c>
      <c r="F50" s="50">
        <v>12</v>
      </c>
      <c r="G50" s="50">
        <v>0</v>
      </c>
      <c r="H50" s="50">
        <v>0</v>
      </c>
      <c r="I50" s="50">
        <v>9</v>
      </c>
      <c r="J50" s="50">
        <v>1</v>
      </c>
      <c r="K50" s="50">
        <v>0</v>
      </c>
      <c r="L50" s="50">
        <v>0</v>
      </c>
      <c r="M50" s="50">
        <v>120</v>
      </c>
      <c r="N50" s="50">
        <v>0</v>
      </c>
      <c r="O50" s="15">
        <f t="shared" si="0"/>
        <v>61</v>
      </c>
      <c r="P50" s="15">
        <f t="shared" si="1"/>
        <v>181</v>
      </c>
      <c r="R50" s="8"/>
      <c r="T50"/>
    </row>
    <row r="51" spans="2:20" ht="23.1" customHeight="1" x14ac:dyDescent="0.25">
      <c r="B51" s="24" t="s">
        <v>78</v>
      </c>
      <c r="C51" s="50">
        <v>18</v>
      </c>
      <c r="D51" s="50">
        <v>8</v>
      </c>
      <c r="E51" s="50">
        <v>7</v>
      </c>
      <c r="F51" s="50">
        <v>12</v>
      </c>
      <c r="G51" s="50">
        <v>2</v>
      </c>
      <c r="H51" s="50">
        <v>0</v>
      </c>
      <c r="I51" s="50">
        <v>8</v>
      </c>
      <c r="J51" s="50">
        <v>2</v>
      </c>
      <c r="K51" s="50">
        <v>3</v>
      </c>
      <c r="L51" s="50">
        <v>0</v>
      </c>
      <c r="M51" s="50">
        <v>95</v>
      </c>
      <c r="N51" s="50">
        <v>0</v>
      </c>
      <c r="O51" s="15">
        <f t="shared" si="0"/>
        <v>60</v>
      </c>
      <c r="P51" s="15">
        <f t="shared" si="1"/>
        <v>155</v>
      </c>
      <c r="R51" s="8"/>
      <c r="T51"/>
    </row>
    <row r="52" spans="2:20" ht="23.1" customHeight="1" x14ac:dyDescent="0.25">
      <c r="B52" s="24" t="s">
        <v>79</v>
      </c>
      <c r="C52" s="50">
        <v>26</v>
      </c>
      <c r="D52" s="50">
        <v>9</v>
      </c>
      <c r="E52" s="50">
        <v>5</v>
      </c>
      <c r="F52" s="50">
        <v>18</v>
      </c>
      <c r="G52" s="50">
        <v>0</v>
      </c>
      <c r="H52" s="50">
        <v>0</v>
      </c>
      <c r="I52" s="50">
        <v>12</v>
      </c>
      <c r="J52" s="50">
        <v>0</v>
      </c>
      <c r="K52" s="50">
        <v>0</v>
      </c>
      <c r="L52" s="50">
        <v>1</v>
      </c>
      <c r="M52" s="50">
        <v>11</v>
      </c>
      <c r="N52" s="50">
        <v>0</v>
      </c>
      <c r="O52" s="15">
        <f t="shared" si="0"/>
        <v>71</v>
      </c>
      <c r="P52" s="15">
        <f t="shared" si="1"/>
        <v>82</v>
      </c>
      <c r="R52" s="8"/>
      <c r="T52"/>
    </row>
    <row r="53" spans="2:20" ht="23.1" customHeight="1" x14ac:dyDescent="0.25">
      <c r="B53" s="23" t="s">
        <v>80</v>
      </c>
      <c r="C53" s="50">
        <v>17</v>
      </c>
      <c r="D53" s="50">
        <v>5</v>
      </c>
      <c r="E53" s="50">
        <v>3</v>
      </c>
      <c r="F53" s="50">
        <v>13</v>
      </c>
      <c r="G53" s="50">
        <v>0</v>
      </c>
      <c r="H53" s="50">
        <v>0</v>
      </c>
      <c r="I53" s="50">
        <v>7</v>
      </c>
      <c r="J53" s="50">
        <v>3</v>
      </c>
      <c r="K53" s="50">
        <v>0</v>
      </c>
      <c r="L53" s="50">
        <v>0</v>
      </c>
      <c r="M53" s="50">
        <v>121</v>
      </c>
      <c r="N53" s="50">
        <v>0</v>
      </c>
      <c r="O53" s="15">
        <f t="shared" si="0"/>
        <v>48</v>
      </c>
      <c r="P53" s="15">
        <f t="shared" si="1"/>
        <v>169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3</v>
      </c>
      <c r="E54" s="50">
        <v>4</v>
      </c>
      <c r="F54" s="50">
        <v>17</v>
      </c>
      <c r="G54" s="50">
        <v>0</v>
      </c>
      <c r="H54" s="50">
        <v>0</v>
      </c>
      <c r="I54" s="50">
        <v>7</v>
      </c>
      <c r="J54" s="50">
        <v>1</v>
      </c>
      <c r="K54" s="50">
        <v>0</v>
      </c>
      <c r="L54" s="50">
        <v>0</v>
      </c>
      <c r="M54" s="50">
        <v>145</v>
      </c>
      <c r="N54" s="50">
        <v>0</v>
      </c>
      <c r="O54" s="15">
        <f t="shared" si="0"/>
        <v>44</v>
      </c>
      <c r="P54" s="15">
        <f t="shared" si="1"/>
        <v>189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7</v>
      </c>
      <c r="E55" s="50">
        <v>4</v>
      </c>
      <c r="F55" s="50">
        <v>9</v>
      </c>
      <c r="G55" s="50">
        <v>3</v>
      </c>
      <c r="H55" s="50">
        <v>0</v>
      </c>
      <c r="I55" s="50">
        <v>9</v>
      </c>
      <c r="J55" s="50">
        <v>0</v>
      </c>
      <c r="K55" s="50">
        <v>0</v>
      </c>
      <c r="L55" s="50">
        <v>0</v>
      </c>
      <c r="M55" s="50">
        <v>129</v>
      </c>
      <c r="N55" s="50">
        <v>0</v>
      </c>
      <c r="O55" s="15">
        <f t="shared" si="0"/>
        <v>41</v>
      </c>
      <c r="P55" s="15">
        <f t="shared" si="1"/>
        <v>170</v>
      </c>
      <c r="R55" s="8"/>
      <c r="T55"/>
    </row>
    <row r="56" spans="2:20" ht="23.1" customHeight="1" x14ac:dyDescent="0.25">
      <c r="B56" s="23" t="s">
        <v>83</v>
      </c>
      <c r="C56" s="50">
        <v>18</v>
      </c>
      <c r="D56" s="50">
        <v>7</v>
      </c>
      <c r="E56" s="50">
        <v>8</v>
      </c>
      <c r="F56" s="50">
        <v>19</v>
      </c>
      <c r="G56" s="50">
        <v>3</v>
      </c>
      <c r="H56" s="50">
        <v>0</v>
      </c>
      <c r="I56" s="50">
        <v>8</v>
      </c>
      <c r="J56" s="50">
        <v>2</v>
      </c>
      <c r="K56" s="50">
        <v>0</v>
      </c>
      <c r="L56" s="50">
        <v>1</v>
      </c>
      <c r="M56" s="50">
        <v>130</v>
      </c>
      <c r="N56" s="50">
        <v>0</v>
      </c>
      <c r="O56" s="15">
        <f t="shared" si="0"/>
        <v>66</v>
      </c>
      <c r="P56" s="15">
        <f t="shared" si="1"/>
        <v>196</v>
      </c>
      <c r="R56" s="8"/>
      <c r="T56"/>
    </row>
    <row r="57" spans="2:20" ht="23.1" customHeight="1" x14ac:dyDescent="0.25">
      <c r="B57" s="23" t="s">
        <v>84</v>
      </c>
      <c r="C57" s="50">
        <v>12</v>
      </c>
      <c r="D57" s="50">
        <v>12</v>
      </c>
      <c r="E57" s="50">
        <v>9</v>
      </c>
      <c r="F57" s="50">
        <v>23</v>
      </c>
      <c r="G57" s="50">
        <v>1</v>
      </c>
      <c r="H57" s="50">
        <v>0</v>
      </c>
      <c r="I57" s="50">
        <v>4</v>
      </c>
      <c r="J57" s="50">
        <v>7</v>
      </c>
      <c r="K57" s="50">
        <v>0</v>
      </c>
      <c r="L57" s="50">
        <v>0</v>
      </c>
      <c r="M57" s="50">
        <v>134</v>
      </c>
      <c r="N57" s="50">
        <v>0</v>
      </c>
      <c r="O57" s="15">
        <f t="shared" si="0"/>
        <v>68</v>
      </c>
      <c r="P57" s="15">
        <f t="shared" si="1"/>
        <v>202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1053</v>
      </c>
      <c r="D58" s="16">
        <f t="shared" si="21"/>
        <v>354</v>
      </c>
      <c r="E58" s="16">
        <f t="shared" si="21"/>
        <v>286</v>
      </c>
      <c r="F58" s="16">
        <f t="shared" si="21"/>
        <v>1056</v>
      </c>
      <c r="G58" s="16">
        <f t="shared" si="21"/>
        <v>46</v>
      </c>
      <c r="H58" s="16">
        <f t="shared" si="21"/>
        <v>6</v>
      </c>
      <c r="I58" s="16">
        <f t="shared" si="21"/>
        <v>358</v>
      </c>
      <c r="J58" s="16">
        <f t="shared" si="21"/>
        <v>142</v>
      </c>
      <c r="K58" s="16">
        <f t="shared" si="21"/>
        <v>21</v>
      </c>
      <c r="L58" s="16">
        <f t="shared" si="21"/>
        <v>18</v>
      </c>
      <c r="M58" s="16">
        <f t="shared" si="21"/>
        <v>5389</v>
      </c>
      <c r="N58" s="16">
        <f t="shared" si="21"/>
        <v>0</v>
      </c>
      <c r="O58" s="16">
        <f t="shared" si="21"/>
        <v>3340</v>
      </c>
      <c r="P58" s="16">
        <f t="shared" si="21"/>
        <v>8729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0.12063237484247909</v>
      </c>
      <c r="D59" s="43">
        <f t="shared" si="22"/>
        <v>4.0554473593767904E-2</v>
      </c>
      <c r="E59" s="43">
        <f t="shared" si="22"/>
        <v>3.2764348722648641E-2</v>
      </c>
      <c r="F59" s="43">
        <f t="shared" si="22"/>
        <v>0.1209760568220873</v>
      </c>
      <c r="G59" s="43">
        <f t="shared" si="22"/>
        <v>5.2697903539924394E-3</v>
      </c>
      <c r="H59" s="43">
        <f t="shared" si="22"/>
        <v>6.8736395921640506E-4</v>
      </c>
      <c r="I59" s="43">
        <f t="shared" si="22"/>
        <v>4.1012716233245504E-2</v>
      </c>
      <c r="J59" s="43">
        <f t="shared" si="22"/>
        <v>1.6267613701454919E-2</v>
      </c>
      <c r="K59" s="43">
        <f t="shared" si="22"/>
        <v>2.4057738572574178E-3</v>
      </c>
      <c r="L59" s="43">
        <f t="shared" si="22"/>
        <v>2.0620918776492153E-3</v>
      </c>
      <c r="M59" s="43">
        <f t="shared" si="22"/>
        <v>0.61736739603620117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0.31526946107784432</v>
      </c>
      <c r="D60" s="44">
        <f t="shared" ref="D60:N60" si="23">D58/$O$58</f>
        <v>0.10598802395209581</v>
      </c>
      <c r="E60" s="44">
        <f t="shared" si="23"/>
        <v>8.562874251497006E-2</v>
      </c>
      <c r="F60" s="44">
        <f t="shared" si="23"/>
        <v>0.31616766467065871</v>
      </c>
      <c r="G60" s="44">
        <f t="shared" si="23"/>
        <v>1.3772455089820359E-2</v>
      </c>
      <c r="H60" s="44">
        <f t="shared" si="23"/>
        <v>1.7964071856287425E-3</v>
      </c>
      <c r="I60" s="44">
        <f t="shared" si="23"/>
        <v>0.10718562874251497</v>
      </c>
      <c r="J60" s="44">
        <f t="shared" si="23"/>
        <v>4.2514970059880239E-2</v>
      </c>
      <c r="K60" s="44">
        <f t="shared" si="23"/>
        <v>6.2874251497005984E-3</v>
      </c>
      <c r="L60" s="44">
        <f t="shared" si="23"/>
        <v>5.3892215568862277E-3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1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Nateete-Nakawuka'!C3:G3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Nakawuka-Nateete'!D5</f>
        <v>24.07.19</v>
      </c>
      <c r="E5" s="3"/>
      <c r="F5" s="41" t="s">
        <v>1</v>
      </c>
      <c r="G5" s="63" t="str">
        <f>'22.07 Nakawuka-Nateete'!G5:H5</f>
        <v>TAKUWA BEST FEEDS</v>
      </c>
      <c r="H5" s="64"/>
      <c r="I5" s="14"/>
      <c r="J5" s="2" t="s">
        <v>5</v>
      </c>
      <c r="K5" s="63" t="str">
        <f>'22.07 Nakawuka-Nateete'!K5:L5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Nateete-Nakawuka'!D6:E6</f>
        <v>NATEETE</v>
      </c>
      <c r="E6" s="64"/>
      <c r="F6" s="2" t="s">
        <v>2</v>
      </c>
      <c r="G6" s="63" t="str">
        <f>'22.07 Nateete-Nakawuka'!G6:H6</f>
        <v>NAKAWUKA</v>
      </c>
      <c r="H6" s="64"/>
      <c r="J6" s="2" t="s">
        <v>21</v>
      </c>
      <c r="K6" s="63" t="str">
        <f>'22.07 Nakawuka-Nateete'!K6:L6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0</v>
      </c>
      <c r="F10" s="50">
        <v>6</v>
      </c>
      <c r="G10" s="50">
        <v>0</v>
      </c>
      <c r="H10" s="50">
        <v>0</v>
      </c>
      <c r="I10" s="50">
        <v>0</v>
      </c>
      <c r="J10" s="50">
        <v>3</v>
      </c>
      <c r="K10" s="50">
        <v>0</v>
      </c>
      <c r="L10" s="50">
        <v>0</v>
      </c>
      <c r="M10" s="50">
        <v>76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88</v>
      </c>
      <c r="R10" s="1" t="s">
        <v>6</v>
      </c>
      <c r="S10" s="17">
        <f t="shared" ref="S10:AF10" si="2">SUM(C10:C13)</f>
        <v>26</v>
      </c>
      <c r="T10" s="17">
        <f t="shared" si="2"/>
        <v>1</v>
      </c>
      <c r="U10" s="17">
        <f t="shared" si="2"/>
        <v>3</v>
      </c>
      <c r="V10" s="17">
        <f t="shared" si="2"/>
        <v>50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16</v>
      </c>
      <c r="AA10" s="17">
        <f t="shared" si="2"/>
        <v>0</v>
      </c>
      <c r="AB10" s="17">
        <f t="shared" si="2"/>
        <v>0</v>
      </c>
      <c r="AC10" s="17">
        <f t="shared" si="2"/>
        <v>368</v>
      </c>
      <c r="AD10" s="17">
        <f t="shared" si="2"/>
        <v>0</v>
      </c>
      <c r="AE10" s="31">
        <f t="shared" si="2"/>
        <v>100</v>
      </c>
      <c r="AF10" s="31">
        <f t="shared" si="2"/>
        <v>468</v>
      </c>
    </row>
    <row r="11" spans="2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0</v>
      </c>
      <c r="F11" s="50">
        <v>7</v>
      </c>
      <c r="G11" s="50">
        <v>0</v>
      </c>
      <c r="H11" s="50">
        <v>0</v>
      </c>
      <c r="I11" s="50">
        <v>0</v>
      </c>
      <c r="J11" s="50">
        <v>7</v>
      </c>
      <c r="K11" s="50">
        <v>0</v>
      </c>
      <c r="L11" s="50">
        <v>0</v>
      </c>
      <c r="M11" s="50">
        <v>94</v>
      </c>
      <c r="N11" s="50">
        <v>0</v>
      </c>
      <c r="O11" s="15">
        <f t="shared" si="0"/>
        <v>20</v>
      </c>
      <c r="P11" s="15">
        <f t="shared" si="1"/>
        <v>114</v>
      </c>
      <c r="R11" s="1" t="s">
        <v>7</v>
      </c>
      <c r="S11" s="17">
        <f t="shared" ref="S11:AF11" si="3">SUM(C14:C17)</f>
        <v>44</v>
      </c>
      <c r="T11" s="17">
        <f t="shared" si="3"/>
        <v>8</v>
      </c>
      <c r="U11" s="17">
        <f t="shared" si="3"/>
        <v>6</v>
      </c>
      <c r="V11" s="17">
        <f t="shared" si="3"/>
        <v>87</v>
      </c>
      <c r="W11" s="17">
        <f t="shared" si="3"/>
        <v>0</v>
      </c>
      <c r="X11" s="17">
        <f t="shared" si="3"/>
        <v>0</v>
      </c>
      <c r="Y11" s="17">
        <f t="shared" si="3"/>
        <v>14</v>
      </c>
      <c r="Z11" s="17">
        <f t="shared" si="3"/>
        <v>12</v>
      </c>
      <c r="AA11" s="17">
        <f t="shared" si="3"/>
        <v>1</v>
      </c>
      <c r="AB11" s="17">
        <f t="shared" si="3"/>
        <v>0</v>
      </c>
      <c r="AC11" s="17">
        <f t="shared" si="3"/>
        <v>342</v>
      </c>
      <c r="AD11" s="17">
        <f t="shared" si="3"/>
        <v>0</v>
      </c>
      <c r="AE11" s="31">
        <f t="shared" si="3"/>
        <v>172</v>
      </c>
      <c r="AF11" s="31">
        <f t="shared" si="3"/>
        <v>514</v>
      </c>
    </row>
    <row r="12" spans="2:32" ht="23.1" customHeight="1" x14ac:dyDescent="0.25">
      <c r="B12" s="23" t="s">
        <v>39</v>
      </c>
      <c r="C12" s="50">
        <v>10</v>
      </c>
      <c r="D12" s="50">
        <v>0</v>
      </c>
      <c r="E12" s="50">
        <v>1</v>
      </c>
      <c r="F12" s="50">
        <v>14</v>
      </c>
      <c r="G12" s="50">
        <v>0</v>
      </c>
      <c r="H12" s="50">
        <v>0</v>
      </c>
      <c r="I12" s="50">
        <v>1</v>
      </c>
      <c r="J12" s="50">
        <v>4</v>
      </c>
      <c r="K12" s="50">
        <v>0</v>
      </c>
      <c r="L12" s="50">
        <v>0</v>
      </c>
      <c r="M12" s="50">
        <v>105</v>
      </c>
      <c r="N12" s="50">
        <v>0</v>
      </c>
      <c r="O12" s="15">
        <f t="shared" si="0"/>
        <v>30</v>
      </c>
      <c r="P12" s="15">
        <f t="shared" si="1"/>
        <v>135</v>
      </c>
      <c r="R12" s="1" t="s">
        <v>8</v>
      </c>
      <c r="S12" s="17">
        <f t="shared" ref="S12:AF12" si="4">SUM(C18:C21)</f>
        <v>35</v>
      </c>
      <c r="T12" s="17">
        <f t="shared" si="4"/>
        <v>5</v>
      </c>
      <c r="U12" s="17">
        <f t="shared" si="4"/>
        <v>11</v>
      </c>
      <c r="V12" s="17">
        <f t="shared" si="4"/>
        <v>82</v>
      </c>
      <c r="W12" s="17">
        <f t="shared" si="4"/>
        <v>2</v>
      </c>
      <c r="X12" s="17">
        <f t="shared" si="4"/>
        <v>1</v>
      </c>
      <c r="Y12" s="17">
        <f t="shared" si="4"/>
        <v>28</v>
      </c>
      <c r="Z12" s="17">
        <f t="shared" si="4"/>
        <v>9</v>
      </c>
      <c r="AA12" s="17">
        <f t="shared" si="4"/>
        <v>3</v>
      </c>
      <c r="AB12" s="17">
        <f t="shared" si="4"/>
        <v>5</v>
      </c>
      <c r="AC12" s="17">
        <f t="shared" si="4"/>
        <v>477</v>
      </c>
      <c r="AD12" s="17">
        <f t="shared" si="4"/>
        <v>0</v>
      </c>
      <c r="AE12" s="31">
        <f t="shared" si="4"/>
        <v>181</v>
      </c>
      <c r="AF12" s="31">
        <f t="shared" si="4"/>
        <v>658</v>
      </c>
    </row>
    <row r="13" spans="2:32" ht="23.1" customHeight="1" x14ac:dyDescent="0.25">
      <c r="B13" s="23" t="s">
        <v>40</v>
      </c>
      <c r="C13" s="50">
        <v>7</v>
      </c>
      <c r="D13" s="50">
        <v>1</v>
      </c>
      <c r="E13" s="50">
        <v>2</v>
      </c>
      <c r="F13" s="50">
        <v>23</v>
      </c>
      <c r="G13" s="50">
        <v>0</v>
      </c>
      <c r="H13" s="50">
        <v>0</v>
      </c>
      <c r="I13" s="50">
        <v>3</v>
      </c>
      <c r="J13" s="50">
        <v>2</v>
      </c>
      <c r="K13" s="50">
        <v>0</v>
      </c>
      <c r="L13" s="50">
        <v>0</v>
      </c>
      <c r="M13" s="50">
        <v>93</v>
      </c>
      <c r="N13" s="50">
        <v>0</v>
      </c>
      <c r="O13" s="15">
        <f t="shared" si="0"/>
        <v>38</v>
      </c>
      <c r="P13" s="15">
        <f t="shared" si="1"/>
        <v>131</v>
      </c>
      <c r="R13" s="1" t="s">
        <v>9</v>
      </c>
      <c r="S13" s="17">
        <f t="shared" ref="S13:AF13" si="5">SUM(C22:C25)</f>
        <v>35</v>
      </c>
      <c r="T13" s="17">
        <f t="shared" si="5"/>
        <v>3</v>
      </c>
      <c r="U13" s="17">
        <f t="shared" si="5"/>
        <v>7</v>
      </c>
      <c r="V13" s="17">
        <f t="shared" si="5"/>
        <v>50</v>
      </c>
      <c r="W13" s="17">
        <f t="shared" si="5"/>
        <v>5</v>
      </c>
      <c r="X13" s="17">
        <f t="shared" si="5"/>
        <v>2</v>
      </c>
      <c r="Y13" s="17">
        <f t="shared" si="5"/>
        <v>11</v>
      </c>
      <c r="Z13" s="17">
        <f t="shared" si="5"/>
        <v>11</v>
      </c>
      <c r="AA13" s="17">
        <f t="shared" si="5"/>
        <v>2</v>
      </c>
      <c r="AB13" s="17">
        <f t="shared" si="5"/>
        <v>1</v>
      </c>
      <c r="AC13" s="17">
        <f t="shared" si="5"/>
        <v>339</v>
      </c>
      <c r="AD13" s="17">
        <f t="shared" si="5"/>
        <v>0</v>
      </c>
      <c r="AE13" s="31">
        <f t="shared" si="5"/>
        <v>127</v>
      </c>
      <c r="AF13" s="31">
        <f t="shared" si="5"/>
        <v>466</v>
      </c>
    </row>
    <row r="14" spans="2:32" ht="23.1" customHeight="1" x14ac:dyDescent="0.25">
      <c r="B14" s="23" t="s">
        <v>41</v>
      </c>
      <c r="C14" s="50">
        <v>11</v>
      </c>
      <c r="D14" s="50">
        <v>3</v>
      </c>
      <c r="E14" s="50">
        <v>3</v>
      </c>
      <c r="F14" s="50">
        <v>26</v>
      </c>
      <c r="G14" s="50">
        <v>0</v>
      </c>
      <c r="H14" s="50">
        <v>0</v>
      </c>
      <c r="I14" s="50">
        <v>0</v>
      </c>
      <c r="J14" s="50">
        <v>7</v>
      </c>
      <c r="K14" s="50">
        <v>1</v>
      </c>
      <c r="L14" s="50">
        <v>0</v>
      </c>
      <c r="M14" s="50">
        <v>109</v>
      </c>
      <c r="N14" s="50">
        <v>0</v>
      </c>
      <c r="O14" s="15">
        <f t="shared" si="0"/>
        <v>51</v>
      </c>
      <c r="P14" s="15">
        <f t="shared" si="1"/>
        <v>160</v>
      </c>
      <c r="R14" s="1" t="s">
        <v>10</v>
      </c>
      <c r="S14" s="17">
        <f t="shared" ref="S14:AF14" si="6">SUM(C26:C29)</f>
        <v>53</v>
      </c>
      <c r="T14" s="17">
        <f t="shared" si="6"/>
        <v>6</v>
      </c>
      <c r="U14" s="17">
        <f t="shared" si="6"/>
        <v>12</v>
      </c>
      <c r="V14" s="17">
        <f t="shared" si="6"/>
        <v>42</v>
      </c>
      <c r="W14" s="17">
        <f t="shared" si="6"/>
        <v>6</v>
      </c>
      <c r="X14" s="17">
        <f t="shared" si="6"/>
        <v>6</v>
      </c>
      <c r="Y14" s="17">
        <f t="shared" si="6"/>
        <v>27</v>
      </c>
      <c r="Z14" s="17">
        <f t="shared" si="6"/>
        <v>8</v>
      </c>
      <c r="AA14" s="17">
        <f t="shared" si="6"/>
        <v>2</v>
      </c>
      <c r="AB14" s="17">
        <f t="shared" si="6"/>
        <v>2</v>
      </c>
      <c r="AC14" s="17">
        <f t="shared" si="6"/>
        <v>314</v>
      </c>
      <c r="AD14" s="17">
        <f t="shared" si="6"/>
        <v>0</v>
      </c>
      <c r="AE14" s="31">
        <f t="shared" si="6"/>
        <v>164</v>
      </c>
      <c r="AF14" s="31">
        <f t="shared" si="6"/>
        <v>478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0</v>
      </c>
      <c r="F15" s="50">
        <v>12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19</v>
      </c>
      <c r="P15" s="15">
        <f t="shared" si="1"/>
        <v>30</v>
      </c>
      <c r="R15" s="1" t="s">
        <v>11</v>
      </c>
      <c r="S15" s="17">
        <f t="shared" ref="S15:AF15" si="7">SUM(C30:C33)</f>
        <v>66</v>
      </c>
      <c r="T15" s="17">
        <f t="shared" si="7"/>
        <v>13</v>
      </c>
      <c r="U15" s="17">
        <f t="shared" si="7"/>
        <v>12</v>
      </c>
      <c r="V15" s="17">
        <f t="shared" si="7"/>
        <v>41</v>
      </c>
      <c r="W15" s="17">
        <f t="shared" si="7"/>
        <v>4</v>
      </c>
      <c r="X15" s="17">
        <f t="shared" si="7"/>
        <v>1</v>
      </c>
      <c r="Y15" s="17">
        <f t="shared" si="7"/>
        <v>23</v>
      </c>
      <c r="Z15" s="17">
        <f t="shared" si="7"/>
        <v>5</v>
      </c>
      <c r="AA15" s="17">
        <f t="shared" si="7"/>
        <v>0</v>
      </c>
      <c r="AB15" s="17">
        <f t="shared" si="7"/>
        <v>2</v>
      </c>
      <c r="AC15" s="17">
        <f t="shared" si="7"/>
        <v>280</v>
      </c>
      <c r="AD15" s="17">
        <f t="shared" si="7"/>
        <v>0</v>
      </c>
      <c r="AE15" s="31">
        <f t="shared" si="7"/>
        <v>167</v>
      </c>
      <c r="AF15" s="31">
        <f t="shared" si="7"/>
        <v>447</v>
      </c>
    </row>
    <row r="16" spans="2:32" ht="23.1" customHeight="1" x14ac:dyDescent="0.25">
      <c r="B16" s="23" t="s">
        <v>43</v>
      </c>
      <c r="C16" s="50">
        <v>13</v>
      </c>
      <c r="D16" s="50">
        <v>4</v>
      </c>
      <c r="E16" s="50">
        <v>2</v>
      </c>
      <c r="F16" s="50">
        <v>26</v>
      </c>
      <c r="G16" s="50">
        <v>0</v>
      </c>
      <c r="H16" s="50">
        <v>0</v>
      </c>
      <c r="I16" s="50">
        <v>10</v>
      </c>
      <c r="J16" s="50">
        <v>2</v>
      </c>
      <c r="K16" s="50">
        <v>0</v>
      </c>
      <c r="L16" s="50">
        <v>0</v>
      </c>
      <c r="M16" s="50">
        <v>123</v>
      </c>
      <c r="N16" s="50">
        <v>0</v>
      </c>
      <c r="O16" s="15">
        <f t="shared" si="0"/>
        <v>57</v>
      </c>
      <c r="P16" s="15">
        <f t="shared" si="1"/>
        <v>180</v>
      </c>
      <c r="R16" s="1" t="s">
        <v>12</v>
      </c>
      <c r="S16" s="17">
        <f t="shared" ref="S16:AF16" si="8">SUM(C34:C37)</f>
        <v>45</v>
      </c>
      <c r="T16" s="17">
        <f t="shared" si="8"/>
        <v>14</v>
      </c>
      <c r="U16" s="17">
        <f t="shared" si="8"/>
        <v>13</v>
      </c>
      <c r="V16" s="17">
        <f t="shared" si="8"/>
        <v>37</v>
      </c>
      <c r="W16" s="17">
        <f t="shared" si="8"/>
        <v>7</v>
      </c>
      <c r="X16" s="17">
        <f t="shared" si="8"/>
        <v>1</v>
      </c>
      <c r="Y16" s="17">
        <f t="shared" si="8"/>
        <v>18</v>
      </c>
      <c r="Z16" s="17">
        <f t="shared" si="8"/>
        <v>6</v>
      </c>
      <c r="AA16" s="17">
        <f t="shared" si="8"/>
        <v>4</v>
      </c>
      <c r="AB16" s="17">
        <f t="shared" si="8"/>
        <v>1</v>
      </c>
      <c r="AC16" s="17">
        <f t="shared" si="8"/>
        <v>329</v>
      </c>
      <c r="AD16" s="17">
        <f t="shared" si="8"/>
        <v>0</v>
      </c>
      <c r="AE16" s="31">
        <f t="shared" si="8"/>
        <v>146</v>
      </c>
      <c r="AF16" s="31">
        <f t="shared" si="8"/>
        <v>475</v>
      </c>
    </row>
    <row r="17" spans="2:32" ht="23.1" customHeight="1" x14ac:dyDescent="0.25">
      <c r="B17" s="23" t="s">
        <v>44</v>
      </c>
      <c r="C17" s="50">
        <v>15</v>
      </c>
      <c r="D17" s="50">
        <v>1</v>
      </c>
      <c r="E17" s="50">
        <v>1</v>
      </c>
      <c r="F17" s="50">
        <v>23</v>
      </c>
      <c r="G17" s="50">
        <v>0</v>
      </c>
      <c r="H17" s="50">
        <v>0</v>
      </c>
      <c r="I17" s="50">
        <v>2</v>
      </c>
      <c r="J17" s="50">
        <v>3</v>
      </c>
      <c r="K17" s="50">
        <v>0</v>
      </c>
      <c r="L17" s="50">
        <v>0</v>
      </c>
      <c r="M17" s="50">
        <v>99</v>
      </c>
      <c r="N17" s="50">
        <v>0</v>
      </c>
      <c r="O17" s="15">
        <f t="shared" si="0"/>
        <v>45</v>
      </c>
      <c r="P17" s="15">
        <f t="shared" si="1"/>
        <v>144</v>
      </c>
      <c r="R17" s="1" t="s">
        <v>13</v>
      </c>
      <c r="S17" s="17">
        <f t="shared" ref="S17:AF17" si="9">SUM(C38:C41)</f>
        <v>84</v>
      </c>
      <c r="T17" s="17">
        <f t="shared" si="9"/>
        <v>9</v>
      </c>
      <c r="U17" s="17">
        <f t="shared" si="9"/>
        <v>18</v>
      </c>
      <c r="V17" s="17">
        <f t="shared" si="9"/>
        <v>52</v>
      </c>
      <c r="W17" s="17">
        <f t="shared" si="9"/>
        <v>1</v>
      </c>
      <c r="X17" s="17">
        <f t="shared" si="9"/>
        <v>2</v>
      </c>
      <c r="Y17" s="17">
        <f t="shared" si="9"/>
        <v>38</v>
      </c>
      <c r="Z17" s="17">
        <f t="shared" si="9"/>
        <v>9</v>
      </c>
      <c r="AA17" s="17">
        <f t="shared" si="9"/>
        <v>1</v>
      </c>
      <c r="AB17" s="17">
        <f t="shared" si="9"/>
        <v>2</v>
      </c>
      <c r="AC17" s="17">
        <f t="shared" si="9"/>
        <v>447</v>
      </c>
      <c r="AD17" s="17">
        <f t="shared" si="9"/>
        <v>0</v>
      </c>
      <c r="AE17" s="31">
        <f t="shared" si="9"/>
        <v>216</v>
      </c>
      <c r="AF17" s="31">
        <f t="shared" si="9"/>
        <v>663</v>
      </c>
    </row>
    <row r="18" spans="2:32" ht="23.1" customHeight="1" x14ac:dyDescent="0.25">
      <c r="B18" s="23" t="s">
        <v>45</v>
      </c>
      <c r="C18" s="50">
        <v>3</v>
      </c>
      <c r="D18" s="50">
        <v>2</v>
      </c>
      <c r="E18" s="50">
        <v>6</v>
      </c>
      <c r="F18" s="50">
        <v>18</v>
      </c>
      <c r="G18" s="50">
        <v>0</v>
      </c>
      <c r="H18" s="50">
        <v>0</v>
      </c>
      <c r="I18" s="50">
        <v>7</v>
      </c>
      <c r="J18" s="50">
        <v>2</v>
      </c>
      <c r="K18" s="50">
        <v>1</v>
      </c>
      <c r="L18" s="50">
        <v>1</v>
      </c>
      <c r="M18" s="50">
        <v>109</v>
      </c>
      <c r="N18" s="50">
        <v>0</v>
      </c>
      <c r="O18" s="15">
        <f t="shared" si="0"/>
        <v>40</v>
      </c>
      <c r="P18" s="15">
        <f t="shared" si="1"/>
        <v>149</v>
      </c>
      <c r="R18" s="1" t="s">
        <v>14</v>
      </c>
      <c r="S18" s="17">
        <f t="shared" ref="S18:AF18" si="10">SUM(C42:C45)</f>
        <v>39</v>
      </c>
      <c r="T18" s="17">
        <f t="shared" si="10"/>
        <v>13</v>
      </c>
      <c r="U18" s="17">
        <f t="shared" si="10"/>
        <v>9</v>
      </c>
      <c r="V18" s="17">
        <f t="shared" si="10"/>
        <v>28</v>
      </c>
      <c r="W18" s="17">
        <f t="shared" si="10"/>
        <v>3</v>
      </c>
      <c r="X18" s="17">
        <f t="shared" si="10"/>
        <v>2</v>
      </c>
      <c r="Y18" s="17">
        <f t="shared" si="10"/>
        <v>11</v>
      </c>
      <c r="Z18" s="17">
        <f t="shared" si="10"/>
        <v>8</v>
      </c>
      <c r="AA18" s="17">
        <f t="shared" si="10"/>
        <v>1</v>
      </c>
      <c r="AB18" s="17">
        <f t="shared" si="10"/>
        <v>1</v>
      </c>
      <c r="AC18" s="17">
        <f t="shared" si="10"/>
        <v>274</v>
      </c>
      <c r="AD18" s="17">
        <f t="shared" si="10"/>
        <v>0</v>
      </c>
      <c r="AE18" s="31">
        <f t="shared" si="10"/>
        <v>115</v>
      </c>
      <c r="AF18" s="31">
        <f t="shared" si="10"/>
        <v>389</v>
      </c>
    </row>
    <row r="19" spans="2:32" ht="23.1" customHeight="1" x14ac:dyDescent="0.25">
      <c r="B19" s="23" t="s">
        <v>46</v>
      </c>
      <c r="C19" s="50">
        <v>9</v>
      </c>
      <c r="D19" s="50">
        <v>1</v>
      </c>
      <c r="E19" s="50">
        <v>1</v>
      </c>
      <c r="F19" s="50">
        <v>16</v>
      </c>
      <c r="G19" s="50">
        <v>0</v>
      </c>
      <c r="H19" s="50">
        <v>0</v>
      </c>
      <c r="I19" s="50">
        <v>11</v>
      </c>
      <c r="J19" s="50">
        <v>6</v>
      </c>
      <c r="K19" s="50">
        <v>0</v>
      </c>
      <c r="L19" s="50">
        <v>1</v>
      </c>
      <c r="M19" s="50">
        <v>128</v>
      </c>
      <c r="N19" s="50">
        <v>0</v>
      </c>
      <c r="O19" s="15">
        <f t="shared" si="0"/>
        <v>45</v>
      </c>
      <c r="P19" s="15">
        <f t="shared" si="1"/>
        <v>173</v>
      </c>
      <c r="R19" s="1" t="s">
        <v>15</v>
      </c>
      <c r="S19" s="17">
        <f t="shared" ref="S19:AF19" si="11">SUM(C46:C49)</f>
        <v>41</v>
      </c>
      <c r="T19" s="17">
        <f t="shared" si="11"/>
        <v>8</v>
      </c>
      <c r="U19" s="17">
        <f t="shared" si="11"/>
        <v>13</v>
      </c>
      <c r="V19" s="17">
        <f t="shared" si="11"/>
        <v>44</v>
      </c>
      <c r="W19" s="17">
        <f t="shared" si="11"/>
        <v>3</v>
      </c>
      <c r="X19" s="17">
        <f t="shared" si="11"/>
        <v>1</v>
      </c>
      <c r="Y19" s="17">
        <f t="shared" si="11"/>
        <v>16</v>
      </c>
      <c r="Z19" s="17">
        <f t="shared" si="11"/>
        <v>13</v>
      </c>
      <c r="AA19" s="17">
        <f t="shared" si="11"/>
        <v>2</v>
      </c>
      <c r="AB19" s="17">
        <f t="shared" si="11"/>
        <v>1</v>
      </c>
      <c r="AC19" s="17">
        <f t="shared" si="11"/>
        <v>376</v>
      </c>
      <c r="AD19" s="17">
        <f t="shared" si="11"/>
        <v>0</v>
      </c>
      <c r="AE19" s="31">
        <f t="shared" si="11"/>
        <v>142</v>
      </c>
      <c r="AF19" s="31">
        <f t="shared" si="11"/>
        <v>518</v>
      </c>
    </row>
    <row r="20" spans="2:32" ht="23.1" customHeight="1" x14ac:dyDescent="0.25">
      <c r="B20" s="23" t="s">
        <v>47</v>
      </c>
      <c r="C20" s="50">
        <v>14</v>
      </c>
      <c r="D20" s="50">
        <v>0</v>
      </c>
      <c r="E20" s="50">
        <v>2</v>
      </c>
      <c r="F20" s="50">
        <v>24</v>
      </c>
      <c r="G20" s="50">
        <v>0</v>
      </c>
      <c r="H20" s="50">
        <v>0</v>
      </c>
      <c r="I20" s="50">
        <v>5</v>
      </c>
      <c r="J20" s="50">
        <v>1</v>
      </c>
      <c r="K20" s="50">
        <v>1</v>
      </c>
      <c r="L20" s="50">
        <v>2</v>
      </c>
      <c r="M20" s="50">
        <v>124</v>
      </c>
      <c r="N20" s="50">
        <v>0</v>
      </c>
      <c r="O20" s="15">
        <f t="shared" si="0"/>
        <v>49</v>
      </c>
      <c r="P20" s="15">
        <f t="shared" si="1"/>
        <v>173</v>
      </c>
      <c r="R20" s="1" t="s">
        <v>16</v>
      </c>
      <c r="S20" s="17">
        <f t="shared" ref="S20:AF20" si="12">SUM(C50:C53)</f>
        <v>98</v>
      </c>
      <c r="T20" s="17">
        <f t="shared" si="12"/>
        <v>12</v>
      </c>
      <c r="U20" s="17">
        <f t="shared" si="12"/>
        <v>14</v>
      </c>
      <c r="V20" s="17">
        <f t="shared" si="12"/>
        <v>80</v>
      </c>
      <c r="W20" s="17">
        <f t="shared" si="12"/>
        <v>2</v>
      </c>
      <c r="X20" s="17">
        <f t="shared" si="12"/>
        <v>4</v>
      </c>
      <c r="Y20" s="17">
        <f t="shared" si="12"/>
        <v>14</v>
      </c>
      <c r="Z20" s="17">
        <f t="shared" si="12"/>
        <v>15</v>
      </c>
      <c r="AA20" s="17">
        <f t="shared" si="12"/>
        <v>3</v>
      </c>
      <c r="AB20" s="17">
        <f t="shared" si="12"/>
        <v>1</v>
      </c>
      <c r="AC20" s="17">
        <f t="shared" si="12"/>
        <v>404</v>
      </c>
      <c r="AD20" s="17">
        <f t="shared" si="12"/>
        <v>0</v>
      </c>
      <c r="AE20" s="31">
        <f t="shared" si="12"/>
        <v>243</v>
      </c>
      <c r="AF20" s="31">
        <f t="shared" si="12"/>
        <v>647</v>
      </c>
    </row>
    <row r="21" spans="2:32" ht="23.1" customHeight="1" x14ac:dyDescent="0.25">
      <c r="B21" s="23" t="s">
        <v>48</v>
      </c>
      <c r="C21" s="50">
        <v>9</v>
      </c>
      <c r="D21" s="50">
        <v>2</v>
      </c>
      <c r="E21" s="50">
        <v>2</v>
      </c>
      <c r="F21" s="50">
        <v>24</v>
      </c>
      <c r="G21" s="50">
        <v>2</v>
      </c>
      <c r="H21" s="50">
        <v>1</v>
      </c>
      <c r="I21" s="50">
        <v>5</v>
      </c>
      <c r="J21" s="50">
        <v>0</v>
      </c>
      <c r="K21" s="50">
        <v>1</v>
      </c>
      <c r="L21" s="50">
        <v>1</v>
      </c>
      <c r="M21" s="50">
        <v>116</v>
      </c>
      <c r="N21" s="50">
        <v>0</v>
      </c>
      <c r="O21" s="15">
        <f t="shared" si="0"/>
        <v>47</v>
      </c>
      <c r="P21" s="15">
        <f t="shared" si="1"/>
        <v>163</v>
      </c>
      <c r="R21" s="36" t="s">
        <v>20</v>
      </c>
      <c r="S21" s="34">
        <f t="shared" ref="S21:AF21" si="13">SUM(C54:C57)</f>
        <v>74</v>
      </c>
      <c r="T21" s="17">
        <f t="shared" si="13"/>
        <v>7</v>
      </c>
      <c r="U21" s="17">
        <f t="shared" si="13"/>
        <v>9</v>
      </c>
      <c r="V21" s="17">
        <f t="shared" si="13"/>
        <v>155</v>
      </c>
      <c r="W21" s="17">
        <f t="shared" si="13"/>
        <v>2</v>
      </c>
      <c r="X21" s="17">
        <f t="shared" si="13"/>
        <v>5</v>
      </c>
      <c r="Y21" s="17">
        <f t="shared" si="13"/>
        <v>14</v>
      </c>
      <c r="Z21" s="17">
        <f t="shared" si="13"/>
        <v>9</v>
      </c>
      <c r="AA21" s="17">
        <f t="shared" si="13"/>
        <v>6</v>
      </c>
      <c r="AB21" s="17">
        <f t="shared" si="13"/>
        <v>1</v>
      </c>
      <c r="AC21" s="17">
        <f t="shared" si="13"/>
        <v>413</v>
      </c>
      <c r="AD21" s="17">
        <f t="shared" si="13"/>
        <v>0</v>
      </c>
      <c r="AE21" s="31">
        <f t="shared" si="13"/>
        <v>282</v>
      </c>
      <c r="AF21" s="31">
        <f t="shared" si="13"/>
        <v>695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1</v>
      </c>
      <c r="F22" s="50">
        <v>15</v>
      </c>
      <c r="G22" s="50">
        <v>0</v>
      </c>
      <c r="H22" s="50">
        <v>0</v>
      </c>
      <c r="I22" s="50">
        <v>2</v>
      </c>
      <c r="J22" s="50">
        <v>4</v>
      </c>
      <c r="K22" s="50">
        <v>1</v>
      </c>
      <c r="L22" s="50">
        <v>0</v>
      </c>
      <c r="M22" s="50">
        <v>85</v>
      </c>
      <c r="N22" s="50">
        <v>0</v>
      </c>
      <c r="O22" s="15">
        <f t="shared" si="0"/>
        <v>28</v>
      </c>
      <c r="P22" s="15">
        <f t="shared" si="1"/>
        <v>113</v>
      </c>
      <c r="R22" s="38" t="s">
        <v>90</v>
      </c>
      <c r="S22" s="39">
        <f>MAX(S10:S12)</f>
        <v>44</v>
      </c>
      <c r="T22" s="39">
        <f t="shared" ref="T22:AF22" si="14">MAX(T10:T12)</f>
        <v>8</v>
      </c>
      <c r="U22" s="39">
        <f t="shared" si="14"/>
        <v>11</v>
      </c>
      <c r="V22" s="39">
        <f t="shared" si="14"/>
        <v>87</v>
      </c>
      <c r="W22" s="39">
        <f t="shared" si="14"/>
        <v>2</v>
      </c>
      <c r="X22" s="39">
        <f t="shared" si="14"/>
        <v>1</v>
      </c>
      <c r="Y22" s="39">
        <f t="shared" si="14"/>
        <v>28</v>
      </c>
      <c r="Z22" s="39">
        <f t="shared" si="14"/>
        <v>16</v>
      </c>
      <c r="AA22" s="39">
        <f t="shared" si="14"/>
        <v>3</v>
      </c>
      <c r="AB22" s="39">
        <f t="shared" si="14"/>
        <v>5</v>
      </c>
      <c r="AC22" s="39">
        <f t="shared" si="14"/>
        <v>477</v>
      </c>
      <c r="AD22" s="39">
        <f t="shared" si="14"/>
        <v>0</v>
      </c>
      <c r="AE22" s="40">
        <f t="shared" si="14"/>
        <v>181</v>
      </c>
      <c r="AF22" s="40">
        <f t="shared" si="14"/>
        <v>658</v>
      </c>
    </row>
    <row r="23" spans="2:32" ht="23.1" customHeight="1" x14ac:dyDescent="0.25">
      <c r="B23" s="23" t="s">
        <v>50</v>
      </c>
      <c r="C23" s="50">
        <v>13</v>
      </c>
      <c r="D23" s="50">
        <v>1</v>
      </c>
      <c r="E23" s="50">
        <v>1</v>
      </c>
      <c r="F23" s="50">
        <v>8</v>
      </c>
      <c r="G23" s="50">
        <v>2</v>
      </c>
      <c r="H23" s="50">
        <v>0</v>
      </c>
      <c r="I23" s="50">
        <v>2</v>
      </c>
      <c r="J23" s="50">
        <v>2</v>
      </c>
      <c r="K23" s="50">
        <v>0</v>
      </c>
      <c r="L23" s="50">
        <v>0</v>
      </c>
      <c r="M23" s="50">
        <v>72</v>
      </c>
      <c r="N23" s="50">
        <v>0</v>
      </c>
      <c r="O23" s="15">
        <f t="shared" si="0"/>
        <v>29</v>
      </c>
      <c r="P23" s="15">
        <f t="shared" si="1"/>
        <v>101</v>
      </c>
      <c r="R23" s="38" t="s">
        <v>91</v>
      </c>
      <c r="S23" s="39">
        <f>MAX(S13:S18)</f>
        <v>84</v>
      </c>
      <c r="T23" s="39">
        <f t="shared" ref="T23:AF23" si="15">MAX(T13:T18)</f>
        <v>14</v>
      </c>
      <c r="U23" s="39">
        <f t="shared" si="15"/>
        <v>18</v>
      </c>
      <c r="V23" s="39">
        <f t="shared" si="15"/>
        <v>52</v>
      </c>
      <c r="W23" s="39">
        <f t="shared" si="15"/>
        <v>7</v>
      </c>
      <c r="X23" s="39">
        <f t="shared" si="15"/>
        <v>6</v>
      </c>
      <c r="Y23" s="39">
        <f t="shared" si="15"/>
        <v>38</v>
      </c>
      <c r="Z23" s="39">
        <f t="shared" si="15"/>
        <v>11</v>
      </c>
      <c r="AA23" s="39">
        <f t="shared" si="15"/>
        <v>4</v>
      </c>
      <c r="AB23" s="39">
        <f t="shared" si="15"/>
        <v>2</v>
      </c>
      <c r="AC23" s="39">
        <f t="shared" si="15"/>
        <v>447</v>
      </c>
      <c r="AD23" s="39">
        <f t="shared" si="15"/>
        <v>0</v>
      </c>
      <c r="AE23" s="40">
        <f t="shared" si="15"/>
        <v>216</v>
      </c>
      <c r="AF23" s="40">
        <f t="shared" si="15"/>
        <v>663</v>
      </c>
    </row>
    <row r="24" spans="2:32" ht="23.1" customHeight="1" x14ac:dyDescent="0.25">
      <c r="B24" s="23" t="s">
        <v>51</v>
      </c>
      <c r="C24" s="50">
        <v>9</v>
      </c>
      <c r="D24" s="50">
        <v>2</v>
      </c>
      <c r="E24" s="50">
        <v>1</v>
      </c>
      <c r="F24" s="50">
        <v>13</v>
      </c>
      <c r="G24" s="50">
        <v>0</v>
      </c>
      <c r="H24" s="50">
        <v>1</v>
      </c>
      <c r="I24" s="50">
        <v>2</v>
      </c>
      <c r="J24" s="50">
        <v>3</v>
      </c>
      <c r="K24" s="50">
        <v>1</v>
      </c>
      <c r="L24" s="50">
        <v>0</v>
      </c>
      <c r="M24" s="50">
        <v>86</v>
      </c>
      <c r="N24" s="50">
        <v>0</v>
      </c>
      <c r="O24" s="15">
        <f t="shared" si="0"/>
        <v>32</v>
      </c>
      <c r="P24" s="15">
        <f t="shared" si="1"/>
        <v>118</v>
      </c>
      <c r="R24" s="38" t="s">
        <v>92</v>
      </c>
      <c r="S24" s="39">
        <f>MAX(S19:S21)</f>
        <v>98</v>
      </c>
      <c r="T24" s="39">
        <f t="shared" ref="T24:AF24" si="16">MAX(T19:T21)</f>
        <v>12</v>
      </c>
      <c r="U24" s="39">
        <f t="shared" si="16"/>
        <v>14</v>
      </c>
      <c r="V24" s="39">
        <f t="shared" si="16"/>
        <v>155</v>
      </c>
      <c r="W24" s="39">
        <f t="shared" si="16"/>
        <v>3</v>
      </c>
      <c r="X24" s="39">
        <f t="shared" si="16"/>
        <v>5</v>
      </c>
      <c r="Y24" s="39">
        <f t="shared" si="16"/>
        <v>16</v>
      </c>
      <c r="Z24" s="39">
        <f t="shared" si="16"/>
        <v>15</v>
      </c>
      <c r="AA24" s="39">
        <f t="shared" si="16"/>
        <v>6</v>
      </c>
      <c r="AB24" s="39">
        <f t="shared" si="16"/>
        <v>1</v>
      </c>
      <c r="AC24" s="39">
        <f t="shared" si="16"/>
        <v>413</v>
      </c>
      <c r="AD24" s="39">
        <f t="shared" si="16"/>
        <v>0</v>
      </c>
      <c r="AE24" s="40">
        <f t="shared" si="16"/>
        <v>282</v>
      </c>
      <c r="AF24" s="40">
        <f t="shared" si="16"/>
        <v>695</v>
      </c>
    </row>
    <row r="25" spans="2:32" ht="23.1" customHeight="1" x14ac:dyDescent="0.25">
      <c r="B25" s="23" t="s">
        <v>52</v>
      </c>
      <c r="C25" s="50">
        <v>8</v>
      </c>
      <c r="D25" s="50">
        <v>0</v>
      </c>
      <c r="E25" s="50">
        <v>4</v>
      </c>
      <c r="F25" s="50">
        <v>14</v>
      </c>
      <c r="G25" s="50">
        <v>3</v>
      </c>
      <c r="H25" s="50">
        <v>1</v>
      </c>
      <c r="I25" s="50">
        <v>5</v>
      </c>
      <c r="J25" s="50">
        <v>2</v>
      </c>
      <c r="K25" s="50">
        <v>0</v>
      </c>
      <c r="L25" s="50">
        <v>1</v>
      </c>
      <c r="M25" s="50">
        <v>96</v>
      </c>
      <c r="N25" s="50">
        <v>0</v>
      </c>
      <c r="O25" s="15">
        <f t="shared" si="0"/>
        <v>38</v>
      </c>
      <c r="P25" s="15">
        <f t="shared" si="1"/>
        <v>134</v>
      </c>
      <c r="R25" s="37" t="s">
        <v>85</v>
      </c>
      <c r="S25" s="35">
        <f t="shared" ref="S25:AF25" si="17">SUM(S10:S12)</f>
        <v>105</v>
      </c>
      <c r="T25" s="16">
        <f t="shared" si="17"/>
        <v>14</v>
      </c>
      <c r="U25" s="16">
        <f t="shared" si="17"/>
        <v>20</v>
      </c>
      <c r="V25" s="16">
        <f t="shared" si="17"/>
        <v>219</v>
      </c>
      <c r="W25" s="16">
        <f t="shared" si="17"/>
        <v>2</v>
      </c>
      <c r="X25" s="16">
        <f t="shared" si="17"/>
        <v>1</v>
      </c>
      <c r="Y25" s="16">
        <f t="shared" si="17"/>
        <v>46</v>
      </c>
      <c r="Z25" s="16">
        <f t="shared" si="17"/>
        <v>37</v>
      </c>
      <c r="AA25" s="16">
        <f t="shared" si="17"/>
        <v>4</v>
      </c>
      <c r="AB25" s="16">
        <f t="shared" si="17"/>
        <v>5</v>
      </c>
      <c r="AC25" s="16">
        <f t="shared" si="17"/>
        <v>1187</v>
      </c>
      <c r="AD25" s="16">
        <f t="shared" si="17"/>
        <v>0</v>
      </c>
      <c r="AE25" s="32">
        <f t="shared" si="17"/>
        <v>453</v>
      </c>
      <c r="AF25" s="32">
        <f t="shared" si="17"/>
        <v>1640</v>
      </c>
    </row>
    <row r="26" spans="2:32" ht="23.1" customHeight="1" x14ac:dyDescent="0.25">
      <c r="B26" s="23" t="s">
        <v>53</v>
      </c>
      <c r="C26" s="50">
        <v>7</v>
      </c>
      <c r="D26" s="50">
        <v>1</v>
      </c>
      <c r="E26" s="50">
        <v>0</v>
      </c>
      <c r="F26" s="50">
        <v>9</v>
      </c>
      <c r="G26" s="50">
        <v>2</v>
      </c>
      <c r="H26" s="50">
        <v>1</v>
      </c>
      <c r="I26" s="50">
        <v>10</v>
      </c>
      <c r="J26" s="50">
        <v>3</v>
      </c>
      <c r="K26" s="50">
        <v>0</v>
      </c>
      <c r="L26" s="50">
        <v>2</v>
      </c>
      <c r="M26" s="50">
        <v>105</v>
      </c>
      <c r="N26" s="50">
        <v>0</v>
      </c>
      <c r="O26" s="15">
        <f t="shared" si="0"/>
        <v>35</v>
      </c>
      <c r="P26" s="15">
        <f t="shared" si="1"/>
        <v>140</v>
      </c>
      <c r="R26" s="28" t="s">
        <v>86</v>
      </c>
      <c r="S26" s="16">
        <f t="shared" ref="S26:AF26" si="18">SUM(S13:S18)</f>
        <v>322</v>
      </c>
      <c r="T26" s="16">
        <f t="shared" si="18"/>
        <v>58</v>
      </c>
      <c r="U26" s="16">
        <f t="shared" si="18"/>
        <v>71</v>
      </c>
      <c r="V26" s="16">
        <f t="shared" si="18"/>
        <v>250</v>
      </c>
      <c r="W26" s="16">
        <f t="shared" si="18"/>
        <v>26</v>
      </c>
      <c r="X26" s="16">
        <f t="shared" si="18"/>
        <v>14</v>
      </c>
      <c r="Y26" s="16">
        <f t="shared" si="18"/>
        <v>128</v>
      </c>
      <c r="Z26" s="16">
        <f t="shared" si="18"/>
        <v>47</v>
      </c>
      <c r="AA26" s="16">
        <f t="shared" si="18"/>
        <v>10</v>
      </c>
      <c r="AB26" s="16">
        <f t="shared" si="18"/>
        <v>9</v>
      </c>
      <c r="AC26" s="16">
        <f t="shared" si="18"/>
        <v>1983</v>
      </c>
      <c r="AD26" s="16">
        <f t="shared" si="18"/>
        <v>0</v>
      </c>
      <c r="AE26" s="32">
        <f t="shared" si="18"/>
        <v>935</v>
      </c>
      <c r="AF26" s="32">
        <f t="shared" si="18"/>
        <v>2918</v>
      </c>
    </row>
    <row r="27" spans="2:32" ht="23.1" customHeight="1" x14ac:dyDescent="0.25">
      <c r="B27" s="23" t="s">
        <v>54</v>
      </c>
      <c r="C27" s="50">
        <v>8</v>
      </c>
      <c r="D27" s="50">
        <v>0</v>
      </c>
      <c r="E27" s="50">
        <v>3</v>
      </c>
      <c r="F27" s="50">
        <v>13</v>
      </c>
      <c r="G27" s="50">
        <v>2</v>
      </c>
      <c r="H27" s="50">
        <v>0</v>
      </c>
      <c r="I27" s="50">
        <v>2</v>
      </c>
      <c r="J27" s="50">
        <v>2</v>
      </c>
      <c r="K27" s="50">
        <v>1</v>
      </c>
      <c r="L27" s="50">
        <v>0</v>
      </c>
      <c r="M27" s="50">
        <v>84</v>
      </c>
      <c r="N27" s="50">
        <v>0</v>
      </c>
      <c r="O27" s="15">
        <f t="shared" si="0"/>
        <v>31</v>
      </c>
      <c r="P27" s="15">
        <f t="shared" si="1"/>
        <v>115</v>
      </c>
      <c r="R27" s="29" t="s">
        <v>87</v>
      </c>
      <c r="S27" s="16">
        <f t="shared" ref="S27:AF27" si="19">SUM(S19:S21)</f>
        <v>213</v>
      </c>
      <c r="T27" s="16">
        <f t="shared" si="19"/>
        <v>27</v>
      </c>
      <c r="U27" s="16">
        <f t="shared" si="19"/>
        <v>36</v>
      </c>
      <c r="V27" s="16">
        <f t="shared" si="19"/>
        <v>279</v>
      </c>
      <c r="W27" s="16">
        <f t="shared" si="19"/>
        <v>7</v>
      </c>
      <c r="X27" s="16">
        <f t="shared" si="19"/>
        <v>10</v>
      </c>
      <c r="Y27" s="16">
        <f t="shared" si="19"/>
        <v>44</v>
      </c>
      <c r="Z27" s="16">
        <f t="shared" si="19"/>
        <v>37</v>
      </c>
      <c r="AA27" s="16">
        <f t="shared" si="19"/>
        <v>11</v>
      </c>
      <c r="AB27" s="16">
        <f t="shared" si="19"/>
        <v>3</v>
      </c>
      <c r="AC27" s="16">
        <f t="shared" si="19"/>
        <v>1193</v>
      </c>
      <c r="AD27" s="16">
        <f t="shared" si="19"/>
        <v>0</v>
      </c>
      <c r="AE27" s="32">
        <f t="shared" si="19"/>
        <v>667</v>
      </c>
      <c r="AF27" s="32">
        <f t="shared" si="19"/>
        <v>1860</v>
      </c>
    </row>
    <row r="28" spans="2:32" ht="23.1" customHeight="1" x14ac:dyDescent="0.25">
      <c r="B28" s="23" t="s">
        <v>55</v>
      </c>
      <c r="C28" s="50">
        <v>20</v>
      </c>
      <c r="D28" s="50">
        <v>2</v>
      </c>
      <c r="E28" s="50">
        <v>5</v>
      </c>
      <c r="F28" s="50">
        <v>10</v>
      </c>
      <c r="G28" s="50">
        <v>2</v>
      </c>
      <c r="H28" s="50">
        <v>3</v>
      </c>
      <c r="I28" s="50">
        <v>10</v>
      </c>
      <c r="J28" s="50">
        <v>1</v>
      </c>
      <c r="K28" s="50">
        <v>0</v>
      </c>
      <c r="L28" s="50">
        <v>0</v>
      </c>
      <c r="M28" s="50">
        <v>57</v>
      </c>
      <c r="N28" s="50">
        <v>0</v>
      </c>
      <c r="O28" s="15">
        <f t="shared" si="0"/>
        <v>53</v>
      </c>
      <c r="P28" s="15">
        <f t="shared" si="1"/>
        <v>110</v>
      </c>
      <c r="R28" s="5" t="s">
        <v>17</v>
      </c>
      <c r="S28" s="16">
        <f t="shared" ref="S28:AF28" si="20">SUM(S10:S21)</f>
        <v>640</v>
      </c>
      <c r="T28" s="16">
        <f t="shared" si="20"/>
        <v>99</v>
      </c>
      <c r="U28" s="16">
        <f t="shared" si="20"/>
        <v>127</v>
      </c>
      <c r="V28" s="16">
        <f t="shared" si="20"/>
        <v>748</v>
      </c>
      <c r="W28" s="16">
        <f t="shared" si="20"/>
        <v>35</v>
      </c>
      <c r="X28" s="16">
        <f t="shared" si="20"/>
        <v>25</v>
      </c>
      <c r="Y28" s="16">
        <f t="shared" si="20"/>
        <v>218</v>
      </c>
      <c r="Z28" s="16">
        <f t="shared" si="20"/>
        <v>121</v>
      </c>
      <c r="AA28" s="16">
        <f t="shared" si="20"/>
        <v>25</v>
      </c>
      <c r="AB28" s="16">
        <f t="shared" si="20"/>
        <v>17</v>
      </c>
      <c r="AC28" s="16">
        <f t="shared" si="20"/>
        <v>4363</v>
      </c>
      <c r="AD28" s="16">
        <f t="shared" si="20"/>
        <v>0</v>
      </c>
      <c r="AE28" s="32">
        <f t="shared" si="20"/>
        <v>2055</v>
      </c>
      <c r="AF28" s="32">
        <f t="shared" si="20"/>
        <v>6418</v>
      </c>
    </row>
    <row r="29" spans="2:32" ht="23.1" customHeight="1" x14ac:dyDescent="0.25">
      <c r="B29" s="23" t="s">
        <v>56</v>
      </c>
      <c r="C29" s="50">
        <v>18</v>
      </c>
      <c r="D29" s="50">
        <v>3</v>
      </c>
      <c r="E29" s="50">
        <v>4</v>
      </c>
      <c r="F29" s="50">
        <v>10</v>
      </c>
      <c r="G29" s="50">
        <v>0</v>
      </c>
      <c r="H29" s="50">
        <v>2</v>
      </c>
      <c r="I29" s="50">
        <v>5</v>
      </c>
      <c r="J29" s="50">
        <v>2</v>
      </c>
      <c r="K29" s="50">
        <v>1</v>
      </c>
      <c r="L29" s="50">
        <v>0</v>
      </c>
      <c r="M29" s="50">
        <v>68</v>
      </c>
      <c r="N29" s="50">
        <v>0</v>
      </c>
      <c r="O29" s="15">
        <f t="shared" si="0"/>
        <v>45</v>
      </c>
      <c r="P29" s="15">
        <f t="shared" si="1"/>
        <v>113</v>
      </c>
      <c r="R29"/>
      <c r="S29" s="20"/>
      <c r="T29" s="19"/>
    </row>
    <row r="30" spans="2:32" ht="23.1" customHeight="1" x14ac:dyDescent="0.25">
      <c r="B30" s="23" t="s">
        <v>57</v>
      </c>
      <c r="C30" s="50">
        <v>26</v>
      </c>
      <c r="D30" s="50">
        <v>6</v>
      </c>
      <c r="E30" s="50">
        <v>5</v>
      </c>
      <c r="F30" s="50">
        <v>16</v>
      </c>
      <c r="G30" s="50">
        <v>1</v>
      </c>
      <c r="H30" s="50">
        <v>0</v>
      </c>
      <c r="I30" s="50">
        <v>9</v>
      </c>
      <c r="J30" s="50">
        <v>1</v>
      </c>
      <c r="K30" s="50">
        <v>0</v>
      </c>
      <c r="L30" s="50">
        <v>1</v>
      </c>
      <c r="M30" s="50">
        <v>73</v>
      </c>
      <c r="N30" s="50">
        <v>0</v>
      </c>
      <c r="O30" s="15">
        <f t="shared" si="0"/>
        <v>65</v>
      </c>
      <c r="P30" s="15">
        <f t="shared" si="1"/>
        <v>138</v>
      </c>
    </row>
    <row r="31" spans="2:32" ht="23.1" customHeight="1" x14ac:dyDescent="0.25">
      <c r="B31" s="24" t="s">
        <v>58</v>
      </c>
      <c r="C31" s="50">
        <v>14</v>
      </c>
      <c r="D31" s="50">
        <v>3</v>
      </c>
      <c r="E31" s="50">
        <v>4</v>
      </c>
      <c r="F31" s="50">
        <v>17</v>
      </c>
      <c r="G31" s="50">
        <v>2</v>
      </c>
      <c r="H31" s="50">
        <v>0</v>
      </c>
      <c r="I31" s="50">
        <v>9</v>
      </c>
      <c r="J31" s="50">
        <v>2</v>
      </c>
      <c r="K31" s="50">
        <v>0</v>
      </c>
      <c r="L31" s="50">
        <v>0</v>
      </c>
      <c r="M31" s="50">
        <v>65</v>
      </c>
      <c r="N31" s="50">
        <v>0</v>
      </c>
      <c r="O31" s="15">
        <f t="shared" si="0"/>
        <v>51</v>
      </c>
      <c r="P31" s="15">
        <f t="shared" si="1"/>
        <v>116</v>
      </c>
    </row>
    <row r="32" spans="2:32" ht="23.1" customHeight="1" x14ac:dyDescent="0.25">
      <c r="B32" s="24" t="s">
        <v>59</v>
      </c>
      <c r="C32" s="50">
        <v>13</v>
      </c>
      <c r="D32" s="50">
        <v>2</v>
      </c>
      <c r="E32" s="50">
        <v>1</v>
      </c>
      <c r="F32" s="50">
        <v>4</v>
      </c>
      <c r="G32" s="50">
        <v>1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55</v>
      </c>
      <c r="N32" s="50">
        <v>0</v>
      </c>
      <c r="O32" s="15">
        <f t="shared" si="0"/>
        <v>24</v>
      </c>
      <c r="P32" s="15">
        <f t="shared" si="1"/>
        <v>79</v>
      </c>
    </row>
    <row r="33" spans="2:20" ht="23.1" customHeight="1" x14ac:dyDescent="0.25">
      <c r="B33" s="23" t="s">
        <v>60</v>
      </c>
      <c r="C33" s="50">
        <v>13</v>
      </c>
      <c r="D33" s="50">
        <v>2</v>
      </c>
      <c r="E33" s="50">
        <v>2</v>
      </c>
      <c r="F33" s="50">
        <v>4</v>
      </c>
      <c r="G33" s="50">
        <v>0</v>
      </c>
      <c r="H33" s="50">
        <v>1</v>
      </c>
      <c r="I33" s="50">
        <v>2</v>
      </c>
      <c r="J33" s="50">
        <v>2</v>
      </c>
      <c r="K33" s="50">
        <v>0</v>
      </c>
      <c r="L33" s="50">
        <v>1</v>
      </c>
      <c r="M33" s="50">
        <v>87</v>
      </c>
      <c r="N33" s="50">
        <v>0</v>
      </c>
      <c r="O33" s="15">
        <f t="shared" si="0"/>
        <v>27</v>
      </c>
      <c r="P33" s="15">
        <f t="shared" si="1"/>
        <v>114</v>
      </c>
    </row>
    <row r="34" spans="2:20" ht="23.1" customHeight="1" x14ac:dyDescent="0.25">
      <c r="B34" s="24" t="s">
        <v>61</v>
      </c>
      <c r="C34" s="50">
        <v>11</v>
      </c>
      <c r="D34" s="50">
        <v>7</v>
      </c>
      <c r="E34" s="50">
        <v>0</v>
      </c>
      <c r="F34" s="50">
        <v>14</v>
      </c>
      <c r="G34" s="50">
        <v>1</v>
      </c>
      <c r="H34" s="50">
        <v>0</v>
      </c>
      <c r="I34" s="50">
        <v>2</v>
      </c>
      <c r="J34" s="50">
        <v>0</v>
      </c>
      <c r="K34" s="50">
        <v>0</v>
      </c>
      <c r="L34" s="50">
        <v>1</v>
      </c>
      <c r="M34" s="50">
        <v>85</v>
      </c>
      <c r="N34" s="50">
        <v>0</v>
      </c>
      <c r="O34" s="15">
        <f t="shared" si="0"/>
        <v>36</v>
      </c>
      <c r="P34" s="15">
        <f t="shared" si="1"/>
        <v>121</v>
      </c>
    </row>
    <row r="35" spans="2:20" ht="23.1" customHeight="1" x14ac:dyDescent="0.25">
      <c r="B35" s="24" t="s">
        <v>62</v>
      </c>
      <c r="C35" s="50">
        <v>9</v>
      </c>
      <c r="D35" s="50">
        <v>3</v>
      </c>
      <c r="E35" s="50">
        <v>3</v>
      </c>
      <c r="F35" s="50">
        <v>9</v>
      </c>
      <c r="G35" s="50">
        <v>2</v>
      </c>
      <c r="H35" s="50">
        <v>1</v>
      </c>
      <c r="I35" s="50">
        <v>4</v>
      </c>
      <c r="J35" s="50">
        <v>1</v>
      </c>
      <c r="K35" s="50">
        <v>3</v>
      </c>
      <c r="L35" s="50">
        <v>0</v>
      </c>
      <c r="M35" s="50">
        <v>80</v>
      </c>
      <c r="N35" s="50">
        <v>0</v>
      </c>
      <c r="O35" s="15">
        <f t="shared" si="0"/>
        <v>35</v>
      </c>
      <c r="P35" s="15">
        <f t="shared" si="1"/>
        <v>115</v>
      </c>
    </row>
    <row r="36" spans="2:20" ht="23.1" customHeight="1" x14ac:dyDescent="0.25">
      <c r="B36" s="24" t="s">
        <v>63</v>
      </c>
      <c r="C36" s="50">
        <v>13</v>
      </c>
      <c r="D36" s="50">
        <v>0</v>
      </c>
      <c r="E36" s="50">
        <v>3</v>
      </c>
      <c r="F36" s="50">
        <v>7</v>
      </c>
      <c r="G36" s="50">
        <v>3</v>
      </c>
      <c r="H36" s="50">
        <v>0</v>
      </c>
      <c r="I36" s="50">
        <v>10</v>
      </c>
      <c r="J36" s="50">
        <v>1</v>
      </c>
      <c r="K36" s="50">
        <v>1</v>
      </c>
      <c r="L36" s="50">
        <v>0</v>
      </c>
      <c r="M36" s="50">
        <v>92</v>
      </c>
      <c r="N36" s="50">
        <v>0</v>
      </c>
      <c r="O36" s="15">
        <f t="shared" si="0"/>
        <v>38</v>
      </c>
      <c r="P36" s="15">
        <f t="shared" si="1"/>
        <v>130</v>
      </c>
    </row>
    <row r="37" spans="2:20" ht="23.1" customHeight="1" x14ac:dyDescent="0.25">
      <c r="B37" s="23" t="s">
        <v>64</v>
      </c>
      <c r="C37" s="50">
        <v>12</v>
      </c>
      <c r="D37" s="50">
        <v>4</v>
      </c>
      <c r="E37" s="50">
        <v>7</v>
      </c>
      <c r="F37" s="50">
        <v>7</v>
      </c>
      <c r="G37" s="50">
        <v>1</v>
      </c>
      <c r="H37" s="50">
        <v>0</v>
      </c>
      <c r="I37" s="50">
        <v>2</v>
      </c>
      <c r="J37" s="50">
        <v>4</v>
      </c>
      <c r="K37" s="50">
        <v>0</v>
      </c>
      <c r="L37" s="50">
        <v>0</v>
      </c>
      <c r="M37" s="50">
        <v>72</v>
      </c>
      <c r="N37" s="50">
        <v>0</v>
      </c>
      <c r="O37" s="15">
        <f t="shared" si="0"/>
        <v>37</v>
      </c>
      <c r="P37" s="15">
        <f t="shared" si="1"/>
        <v>109</v>
      </c>
    </row>
    <row r="38" spans="2:20" ht="23.1" customHeight="1" x14ac:dyDescent="0.25">
      <c r="B38" s="24" t="s">
        <v>65</v>
      </c>
      <c r="C38" s="50">
        <v>15</v>
      </c>
      <c r="D38" s="50">
        <v>3</v>
      </c>
      <c r="E38" s="50">
        <v>2</v>
      </c>
      <c r="F38" s="50">
        <v>7</v>
      </c>
      <c r="G38" s="50">
        <v>0</v>
      </c>
      <c r="H38" s="50">
        <v>2</v>
      </c>
      <c r="I38" s="50">
        <v>5</v>
      </c>
      <c r="J38" s="50">
        <v>4</v>
      </c>
      <c r="K38" s="50">
        <v>0</v>
      </c>
      <c r="L38" s="50">
        <v>1</v>
      </c>
      <c r="M38" s="50">
        <v>78</v>
      </c>
      <c r="N38" s="50">
        <v>0</v>
      </c>
      <c r="O38" s="15">
        <f t="shared" si="0"/>
        <v>39</v>
      </c>
      <c r="P38" s="15">
        <f t="shared" si="1"/>
        <v>117</v>
      </c>
    </row>
    <row r="39" spans="2:20" ht="23.1" customHeight="1" x14ac:dyDescent="0.25">
      <c r="B39" s="24" t="s">
        <v>66</v>
      </c>
      <c r="C39" s="50">
        <v>22</v>
      </c>
      <c r="D39" s="50">
        <v>3</v>
      </c>
      <c r="E39" s="50">
        <v>4</v>
      </c>
      <c r="F39" s="50">
        <v>14</v>
      </c>
      <c r="G39" s="50">
        <v>0</v>
      </c>
      <c r="H39" s="50">
        <v>0</v>
      </c>
      <c r="I39" s="50">
        <v>11</v>
      </c>
      <c r="J39" s="50">
        <v>0</v>
      </c>
      <c r="K39" s="50">
        <v>0</v>
      </c>
      <c r="L39" s="50">
        <v>0</v>
      </c>
      <c r="M39" s="50">
        <v>145</v>
      </c>
      <c r="N39" s="50">
        <v>0</v>
      </c>
      <c r="O39" s="15">
        <f t="shared" si="0"/>
        <v>54</v>
      </c>
      <c r="P39" s="15">
        <f t="shared" si="1"/>
        <v>199</v>
      </c>
    </row>
    <row r="40" spans="2:20" ht="23.1" customHeight="1" x14ac:dyDescent="0.25">
      <c r="B40" s="24" t="s">
        <v>67</v>
      </c>
      <c r="C40" s="50">
        <v>26</v>
      </c>
      <c r="D40" s="50">
        <v>3</v>
      </c>
      <c r="E40" s="50">
        <v>6</v>
      </c>
      <c r="F40" s="50">
        <v>16</v>
      </c>
      <c r="G40" s="50">
        <v>0</v>
      </c>
      <c r="H40" s="50">
        <v>0</v>
      </c>
      <c r="I40" s="50">
        <v>13</v>
      </c>
      <c r="J40" s="50">
        <v>3</v>
      </c>
      <c r="K40" s="50">
        <v>0</v>
      </c>
      <c r="L40" s="50">
        <v>0</v>
      </c>
      <c r="M40" s="50">
        <v>126</v>
      </c>
      <c r="N40" s="50">
        <v>0</v>
      </c>
      <c r="O40" s="15">
        <f t="shared" si="0"/>
        <v>67</v>
      </c>
      <c r="P40" s="15">
        <f t="shared" si="1"/>
        <v>193</v>
      </c>
    </row>
    <row r="41" spans="2:20" ht="23.1" customHeight="1" x14ac:dyDescent="0.25">
      <c r="B41" s="23" t="s">
        <v>68</v>
      </c>
      <c r="C41" s="50">
        <v>21</v>
      </c>
      <c r="D41" s="50">
        <v>0</v>
      </c>
      <c r="E41" s="50">
        <v>6</v>
      </c>
      <c r="F41" s="50">
        <v>15</v>
      </c>
      <c r="G41" s="50">
        <v>1</v>
      </c>
      <c r="H41" s="50">
        <v>0</v>
      </c>
      <c r="I41" s="50">
        <v>9</v>
      </c>
      <c r="J41" s="50">
        <v>2</v>
      </c>
      <c r="K41" s="50">
        <v>1</v>
      </c>
      <c r="L41" s="50">
        <v>1</v>
      </c>
      <c r="M41" s="50">
        <v>98</v>
      </c>
      <c r="N41" s="50">
        <v>0</v>
      </c>
      <c r="O41" s="15">
        <f t="shared" si="0"/>
        <v>56</v>
      </c>
      <c r="P41" s="15">
        <f t="shared" si="1"/>
        <v>154</v>
      </c>
    </row>
    <row r="42" spans="2:20" ht="23.1" customHeight="1" x14ac:dyDescent="0.25">
      <c r="B42" s="24" t="s">
        <v>69</v>
      </c>
      <c r="C42" s="50">
        <v>4</v>
      </c>
      <c r="D42" s="50">
        <v>3</v>
      </c>
      <c r="E42" s="50">
        <v>2</v>
      </c>
      <c r="F42" s="50">
        <v>4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64</v>
      </c>
      <c r="N42" s="50">
        <v>0</v>
      </c>
      <c r="O42" s="15">
        <f t="shared" si="0"/>
        <v>16</v>
      </c>
      <c r="P42" s="15">
        <f t="shared" si="1"/>
        <v>80</v>
      </c>
    </row>
    <row r="43" spans="2:20" ht="23.1" customHeight="1" x14ac:dyDescent="0.25">
      <c r="B43" s="23" t="s">
        <v>70</v>
      </c>
      <c r="C43" s="50">
        <v>12</v>
      </c>
      <c r="D43" s="50">
        <v>4</v>
      </c>
      <c r="E43" s="50">
        <v>1</v>
      </c>
      <c r="F43" s="50">
        <v>3</v>
      </c>
      <c r="G43" s="50">
        <v>1</v>
      </c>
      <c r="H43" s="50">
        <v>1</v>
      </c>
      <c r="I43" s="50">
        <v>3</v>
      </c>
      <c r="J43" s="50">
        <v>1</v>
      </c>
      <c r="K43" s="50">
        <v>1</v>
      </c>
      <c r="L43" s="50">
        <v>0</v>
      </c>
      <c r="M43" s="50">
        <v>68</v>
      </c>
      <c r="N43" s="50">
        <v>0</v>
      </c>
      <c r="O43" s="15">
        <f t="shared" si="0"/>
        <v>27</v>
      </c>
      <c r="P43" s="15">
        <f t="shared" si="1"/>
        <v>95</v>
      </c>
    </row>
    <row r="44" spans="2:20" ht="23.1" customHeight="1" x14ac:dyDescent="0.25">
      <c r="B44" s="25" t="s">
        <v>71</v>
      </c>
      <c r="C44" s="50">
        <v>9</v>
      </c>
      <c r="D44" s="50">
        <v>4</v>
      </c>
      <c r="E44" s="50">
        <v>4</v>
      </c>
      <c r="F44" s="50">
        <v>14</v>
      </c>
      <c r="G44" s="50">
        <v>0</v>
      </c>
      <c r="H44" s="50">
        <v>1</v>
      </c>
      <c r="I44" s="50">
        <v>0</v>
      </c>
      <c r="J44" s="50">
        <v>2</v>
      </c>
      <c r="K44" s="50">
        <v>0</v>
      </c>
      <c r="L44" s="50">
        <v>0</v>
      </c>
      <c r="M44" s="50">
        <v>69</v>
      </c>
      <c r="N44" s="50">
        <v>0</v>
      </c>
      <c r="O44" s="15">
        <f t="shared" si="0"/>
        <v>34</v>
      </c>
      <c r="P44" s="15">
        <f t="shared" si="1"/>
        <v>103</v>
      </c>
    </row>
    <row r="45" spans="2:20" ht="23.1" customHeight="1" x14ac:dyDescent="0.25">
      <c r="B45" s="23" t="s">
        <v>72</v>
      </c>
      <c r="C45" s="50">
        <v>14</v>
      </c>
      <c r="D45" s="50">
        <v>2</v>
      </c>
      <c r="E45" s="50">
        <v>2</v>
      </c>
      <c r="F45" s="50">
        <v>7</v>
      </c>
      <c r="G45" s="50">
        <v>2</v>
      </c>
      <c r="H45" s="50">
        <v>0</v>
      </c>
      <c r="I45" s="50">
        <v>6</v>
      </c>
      <c r="J45" s="50">
        <v>4</v>
      </c>
      <c r="K45" s="50">
        <v>0</v>
      </c>
      <c r="L45" s="50">
        <v>1</v>
      </c>
      <c r="M45" s="50">
        <v>73</v>
      </c>
      <c r="N45" s="50">
        <v>0</v>
      </c>
      <c r="O45" s="15">
        <f t="shared" si="0"/>
        <v>38</v>
      </c>
      <c r="P45" s="15">
        <f t="shared" si="1"/>
        <v>111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3</v>
      </c>
      <c r="F46" s="50">
        <v>15</v>
      </c>
      <c r="G46" s="50">
        <v>0</v>
      </c>
      <c r="H46" s="50">
        <v>0</v>
      </c>
      <c r="I46" s="50">
        <v>4</v>
      </c>
      <c r="J46" s="50">
        <v>3</v>
      </c>
      <c r="K46" s="50">
        <v>0</v>
      </c>
      <c r="L46" s="50">
        <v>0</v>
      </c>
      <c r="M46" s="50">
        <v>81</v>
      </c>
      <c r="N46" s="50">
        <v>0</v>
      </c>
      <c r="O46" s="15">
        <f t="shared" si="0"/>
        <v>27</v>
      </c>
      <c r="P46" s="15">
        <f t="shared" si="1"/>
        <v>108</v>
      </c>
      <c r="R46" s="8"/>
      <c r="T46"/>
    </row>
    <row r="47" spans="2:20" ht="23.1" customHeight="1" x14ac:dyDescent="0.25">
      <c r="B47" s="24" t="s">
        <v>74</v>
      </c>
      <c r="C47" s="50">
        <v>10</v>
      </c>
      <c r="D47" s="50">
        <v>2</v>
      </c>
      <c r="E47" s="50">
        <v>4</v>
      </c>
      <c r="F47" s="50">
        <v>11</v>
      </c>
      <c r="G47" s="50">
        <v>0</v>
      </c>
      <c r="H47" s="50">
        <v>0</v>
      </c>
      <c r="I47" s="50">
        <v>6</v>
      </c>
      <c r="J47" s="50">
        <v>0</v>
      </c>
      <c r="K47" s="50">
        <v>1</v>
      </c>
      <c r="L47" s="50">
        <v>0</v>
      </c>
      <c r="M47" s="50">
        <v>110</v>
      </c>
      <c r="N47" s="50">
        <v>0</v>
      </c>
      <c r="O47" s="15">
        <f t="shared" si="0"/>
        <v>34</v>
      </c>
      <c r="P47" s="15">
        <f t="shared" si="1"/>
        <v>144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1</v>
      </c>
      <c r="E48" s="50">
        <v>3</v>
      </c>
      <c r="F48" s="50">
        <v>2</v>
      </c>
      <c r="G48" s="50">
        <v>1</v>
      </c>
      <c r="H48" s="50">
        <v>1</v>
      </c>
      <c r="I48" s="50">
        <v>2</v>
      </c>
      <c r="J48" s="50">
        <v>0</v>
      </c>
      <c r="K48" s="50">
        <v>1</v>
      </c>
      <c r="L48" s="50">
        <v>1</v>
      </c>
      <c r="M48" s="50">
        <v>64</v>
      </c>
      <c r="N48" s="50">
        <v>0</v>
      </c>
      <c r="O48" s="15">
        <f t="shared" si="0"/>
        <v>23</v>
      </c>
      <c r="P48" s="15">
        <f t="shared" si="1"/>
        <v>87</v>
      </c>
      <c r="R48" s="8"/>
      <c r="T48"/>
    </row>
    <row r="49" spans="2:20" ht="23.1" customHeight="1" x14ac:dyDescent="0.25">
      <c r="B49" s="23" t="s">
        <v>76</v>
      </c>
      <c r="C49" s="50">
        <v>19</v>
      </c>
      <c r="D49" s="50">
        <v>4</v>
      </c>
      <c r="E49" s="50">
        <v>3</v>
      </c>
      <c r="F49" s="50">
        <v>16</v>
      </c>
      <c r="G49" s="50">
        <v>2</v>
      </c>
      <c r="H49" s="50">
        <v>0</v>
      </c>
      <c r="I49" s="50">
        <v>4</v>
      </c>
      <c r="J49" s="50">
        <v>10</v>
      </c>
      <c r="K49" s="50">
        <v>0</v>
      </c>
      <c r="L49" s="50">
        <v>0</v>
      </c>
      <c r="M49" s="50">
        <v>121</v>
      </c>
      <c r="N49" s="50">
        <v>0</v>
      </c>
      <c r="O49" s="15">
        <f t="shared" si="0"/>
        <v>58</v>
      </c>
      <c r="P49" s="15">
        <f t="shared" si="1"/>
        <v>179</v>
      </c>
      <c r="R49" s="8"/>
      <c r="T49"/>
    </row>
    <row r="50" spans="2:20" ht="23.1" customHeight="1" x14ac:dyDescent="0.25">
      <c r="B50" s="24" t="s">
        <v>77</v>
      </c>
      <c r="C50" s="50">
        <v>30</v>
      </c>
      <c r="D50" s="50">
        <v>4</v>
      </c>
      <c r="E50" s="50">
        <v>5</v>
      </c>
      <c r="F50" s="50">
        <v>23</v>
      </c>
      <c r="G50" s="50">
        <v>0</v>
      </c>
      <c r="H50" s="50">
        <v>2</v>
      </c>
      <c r="I50" s="50">
        <v>6</v>
      </c>
      <c r="J50" s="50">
        <v>7</v>
      </c>
      <c r="K50" s="50">
        <v>0</v>
      </c>
      <c r="L50" s="50">
        <v>0</v>
      </c>
      <c r="M50" s="50">
        <v>111</v>
      </c>
      <c r="N50" s="50">
        <v>0</v>
      </c>
      <c r="O50" s="15">
        <f t="shared" si="0"/>
        <v>77</v>
      </c>
      <c r="P50" s="15">
        <f t="shared" si="1"/>
        <v>188</v>
      </c>
      <c r="R50" s="8"/>
      <c r="T50"/>
    </row>
    <row r="51" spans="2:20" ht="23.1" customHeight="1" x14ac:dyDescent="0.25">
      <c r="B51" s="24" t="s">
        <v>78</v>
      </c>
      <c r="C51" s="50">
        <v>26</v>
      </c>
      <c r="D51" s="50">
        <v>2</v>
      </c>
      <c r="E51" s="50">
        <v>4</v>
      </c>
      <c r="F51" s="50">
        <v>8</v>
      </c>
      <c r="G51" s="50">
        <v>0</v>
      </c>
      <c r="H51" s="50">
        <v>0</v>
      </c>
      <c r="I51" s="50">
        <v>2</v>
      </c>
      <c r="J51" s="50">
        <v>4</v>
      </c>
      <c r="K51" s="50">
        <v>2</v>
      </c>
      <c r="L51" s="50">
        <v>0</v>
      </c>
      <c r="M51" s="50">
        <v>100</v>
      </c>
      <c r="N51" s="50">
        <v>0</v>
      </c>
      <c r="O51" s="15">
        <f t="shared" si="0"/>
        <v>48</v>
      </c>
      <c r="P51" s="15">
        <f t="shared" si="1"/>
        <v>148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2</v>
      </c>
      <c r="E52" s="50">
        <v>3</v>
      </c>
      <c r="F52" s="50">
        <v>19</v>
      </c>
      <c r="G52" s="50">
        <v>0</v>
      </c>
      <c r="H52" s="50">
        <v>2</v>
      </c>
      <c r="I52" s="50">
        <v>3</v>
      </c>
      <c r="J52" s="50">
        <v>0</v>
      </c>
      <c r="K52" s="50">
        <v>1</v>
      </c>
      <c r="L52" s="50">
        <v>1</v>
      </c>
      <c r="M52" s="50">
        <v>89</v>
      </c>
      <c r="N52" s="50">
        <v>0</v>
      </c>
      <c r="O52" s="15">
        <f t="shared" si="0"/>
        <v>49</v>
      </c>
      <c r="P52" s="15">
        <f t="shared" si="1"/>
        <v>138</v>
      </c>
      <c r="R52" s="8"/>
      <c r="T52"/>
    </row>
    <row r="53" spans="2:20" ht="23.1" customHeight="1" x14ac:dyDescent="0.25">
      <c r="B53" s="23" t="s">
        <v>80</v>
      </c>
      <c r="C53" s="50">
        <v>24</v>
      </c>
      <c r="D53" s="50">
        <v>4</v>
      </c>
      <c r="E53" s="50">
        <v>2</v>
      </c>
      <c r="F53" s="50">
        <v>30</v>
      </c>
      <c r="G53" s="50">
        <v>2</v>
      </c>
      <c r="H53" s="50">
        <v>0</v>
      </c>
      <c r="I53" s="50">
        <v>3</v>
      </c>
      <c r="J53" s="50">
        <v>4</v>
      </c>
      <c r="K53" s="50">
        <v>0</v>
      </c>
      <c r="L53" s="50">
        <v>0</v>
      </c>
      <c r="M53" s="50">
        <v>104</v>
      </c>
      <c r="N53" s="50">
        <v>0</v>
      </c>
      <c r="O53" s="15">
        <f t="shared" si="0"/>
        <v>69</v>
      </c>
      <c r="P53" s="15">
        <f t="shared" si="1"/>
        <v>173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3</v>
      </c>
      <c r="E54" s="50">
        <v>2</v>
      </c>
      <c r="F54" s="50">
        <v>33</v>
      </c>
      <c r="G54" s="50">
        <v>1</v>
      </c>
      <c r="H54" s="50">
        <v>0</v>
      </c>
      <c r="I54" s="50">
        <v>3</v>
      </c>
      <c r="J54" s="50">
        <v>4</v>
      </c>
      <c r="K54" s="50">
        <v>4</v>
      </c>
      <c r="L54" s="50">
        <v>1</v>
      </c>
      <c r="M54" s="50">
        <v>123</v>
      </c>
      <c r="N54" s="50">
        <v>0</v>
      </c>
      <c r="O54" s="15">
        <f t="shared" si="0"/>
        <v>64</v>
      </c>
      <c r="P54" s="15">
        <f t="shared" si="1"/>
        <v>187</v>
      </c>
      <c r="R54" s="8"/>
      <c r="T54"/>
    </row>
    <row r="55" spans="2:20" ht="23.1" customHeight="1" x14ac:dyDescent="0.25">
      <c r="B55" s="23" t="s">
        <v>82</v>
      </c>
      <c r="C55" s="50">
        <v>20</v>
      </c>
      <c r="D55" s="50">
        <v>1</v>
      </c>
      <c r="E55" s="50">
        <v>3</v>
      </c>
      <c r="F55" s="50">
        <v>34</v>
      </c>
      <c r="G55" s="50">
        <v>0</v>
      </c>
      <c r="H55" s="50">
        <v>1</v>
      </c>
      <c r="I55" s="50">
        <v>4</v>
      </c>
      <c r="J55" s="50">
        <v>3</v>
      </c>
      <c r="K55" s="50">
        <v>2</v>
      </c>
      <c r="L55" s="50">
        <v>0</v>
      </c>
      <c r="M55" s="50">
        <v>89</v>
      </c>
      <c r="N55" s="50">
        <v>0</v>
      </c>
      <c r="O55" s="15">
        <f t="shared" si="0"/>
        <v>68</v>
      </c>
      <c r="P55" s="15">
        <f t="shared" si="1"/>
        <v>157</v>
      </c>
      <c r="R55" s="8"/>
      <c r="T55"/>
    </row>
    <row r="56" spans="2:20" ht="23.1" customHeight="1" x14ac:dyDescent="0.25">
      <c r="B56" s="23" t="s">
        <v>83</v>
      </c>
      <c r="C56" s="50">
        <v>22</v>
      </c>
      <c r="D56" s="50">
        <v>3</v>
      </c>
      <c r="E56" s="50">
        <v>4</v>
      </c>
      <c r="F56" s="50">
        <v>44</v>
      </c>
      <c r="G56" s="50">
        <v>1</v>
      </c>
      <c r="H56" s="50">
        <v>2</v>
      </c>
      <c r="I56" s="50">
        <v>4</v>
      </c>
      <c r="J56" s="50">
        <v>1</v>
      </c>
      <c r="K56" s="50">
        <v>0</v>
      </c>
      <c r="L56" s="50">
        <v>0</v>
      </c>
      <c r="M56" s="50">
        <v>102</v>
      </c>
      <c r="N56" s="50">
        <v>0</v>
      </c>
      <c r="O56" s="15">
        <f t="shared" si="0"/>
        <v>81</v>
      </c>
      <c r="P56" s="15">
        <f t="shared" si="1"/>
        <v>183</v>
      </c>
      <c r="R56" s="8"/>
      <c r="T56"/>
    </row>
    <row r="57" spans="2:20" ht="23.1" customHeight="1" x14ac:dyDescent="0.25">
      <c r="B57" s="23" t="s">
        <v>84</v>
      </c>
      <c r="C57" s="50">
        <v>19</v>
      </c>
      <c r="D57" s="50">
        <v>0</v>
      </c>
      <c r="E57" s="50">
        <v>0</v>
      </c>
      <c r="F57" s="50">
        <v>44</v>
      </c>
      <c r="G57" s="50">
        <v>0</v>
      </c>
      <c r="H57" s="50">
        <v>2</v>
      </c>
      <c r="I57" s="50">
        <v>3</v>
      </c>
      <c r="J57" s="50">
        <v>1</v>
      </c>
      <c r="K57" s="50">
        <v>0</v>
      </c>
      <c r="L57" s="50">
        <v>0</v>
      </c>
      <c r="M57" s="50">
        <v>99</v>
      </c>
      <c r="N57" s="50">
        <v>0</v>
      </c>
      <c r="O57" s="15">
        <f t="shared" si="0"/>
        <v>69</v>
      </c>
      <c r="P57" s="15">
        <f t="shared" si="1"/>
        <v>168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640</v>
      </c>
      <c r="D58" s="16">
        <f t="shared" si="21"/>
        <v>99</v>
      </c>
      <c r="E58" s="16">
        <f t="shared" si="21"/>
        <v>127</v>
      </c>
      <c r="F58" s="16">
        <f t="shared" si="21"/>
        <v>748</v>
      </c>
      <c r="G58" s="16">
        <f t="shared" si="21"/>
        <v>35</v>
      </c>
      <c r="H58" s="16">
        <f t="shared" si="21"/>
        <v>25</v>
      </c>
      <c r="I58" s="16">
        <f t="shared" si="21"/>
        <v>218</v>
      </c>
      <c r="J58" s="16">
        <f t="shared" si="21"/>
        <v>121</v>
      </c>
      <c r="K58" s="16">
        <f t="shared" si="21"/>
        <v>25</v>
      </c>
      <c r="L58" s="16">
        <f t="shared" si="21"/>
        <v>17</v>
      </c>
      <c r="M58" s="16">
        <f t="shared" si="21"/>
        <v>4363</v>
      </c>
      <c r="N58" s="16">
        <f t="shared" si="21"/>
        <v>0</v>
      </c>
      <c r="O58" s="16">
        <f t="shared" si="21"/>
        <v>2055</v>
      </c>
      <c r="P58" s="16">
        <f t="shared" si="21"/>
        <v>6418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9.9719538797133064E-2</v>
      </c>
      <c r="D59" s="43">
        <f t="shared" si="22"/>
        <v>1.542536615768152E-2</v>
      </c>
      <c r="E59" s="43">
        <f t="shared" si="22"/>
        <v>1.9788095980056094E-2</v>
      </c>
      <c r="F59" s="43">
        <f t="shared" si="22"/>
        <v>0.11654721096914927</v>
      </c>
      <c r="G59" s="43">
        <f t="shared" si="22"/>
        <v>5.4534122779682148E-3</v>
      </c>
      <c r="H59" s="43">
        <f t="shared" si="22"/>
        <v>3.8952944842630104E-3</v>
      </c>
      <c r="I59" s="43">
        <f t="shared" si="22"/>
        <v>3.3966967902773447E-2</v>
      </c>
      <c r="J59" s="43">
        <f t="shared" si="22"/>
        <v>1.885322530383297E-2</v>
      </c>
      <c r="K59" s="43">
        <f t="shared" si="22"/>
        <v>3.8952944842630104E-3</v>
      </c>
      <c r="L59" s="43">
        <f t="shared" si="22"/>
        <v>2.648800249298847E-3</v>
      </c>
      <c r="M59" s="43">
        <f t="shared" si="22"/>
        <v>0.67980679339358052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0.31143552311435524</v>
      </c>
      <c r="D60" s="44">
        <f t="shared" ref="D60:N60" si="23">D58/$O$58</f>
        <v>4.8175182481751823E-2</v>
      </c>
      <c r="E60" s="44">
        <f t="shared" si="23"/>
        <v>6.1800486618004864E-2</v>
      </c>
      <c r="F60" s="44">
        <f t="shared" si="23"/>
        <v>0.36399026763990266</v>
      </c>
      <c r="G60" s="44">
        <f t="shared" si="23"/>
        <v>1.7031630170316302E-2</v>
      </c>
      <c r="H60" s="44">
        <f t="shared" si="23"/>
        <v>1.2165450121654502E-2</v>
      </c>
      <c r="I60" s="44">
        <f t="shared" si="23"/>
        <v>0.10608272506082725</v>
      </c>
      <c r="J60" s="44">
        <f t="shared" si="23"/>
        <v>5.8880778588807789E-2</v>
      </c>
      <c r="K60" s="44">
        <f t="shared" si="23"/>
        <v>1.2165450121654502E-2</v>
      </c>
      <c r="L60" s="44">
        <f t="shared" si="23"/>
        <v>8.2725060827250601E-3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9" zoomScale="30" zoomScaleSheetLayoutView="30" workbookViewId="0">
      <selection activeCell="M55" sqref="M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3" t="str">
        <f>'24.07 Nateete-Nakawuka'!G5:H5</f>
        <v>TAKUWA BEST FEEDS</v>
      </c>
      <c r="H5" s="64"/>
      <c r="I5" s="14"/>
      <c r="J5" s="2" t="s">
        <v>5</v>
      </c>
      <c r="K5" s="63" t="str">
        <f>'24.07 Nateete-Nakawuka'!K5:L5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Nakawuka-Nateete'!D6:E6</f>
        <v>NAKAWUKA</v>
      </c>
      <c r="E6" s="64"/>
      <c r="F6" s="2" t="s">
        <v>2</v>
      </c>
      <c r="G6" s="63" t="str">
        <f>'22.07 Nakawuka-Nateete'!G6:H6</f>
        <v>NATEETE</v>
      </c>
      <c r="H6" s="64"/>
      <c r="J6" s="2" t="s">
        <v>21</v>
      </c>
      <c r="K6" s="63" t="str">
        <f>'24.07 Nateete-Nakawuka'!K6:L6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13</v>
      </c>
      <c r="E10" s="50">
        <v>10</v>
      </c>
      <c r="F10" s="50">
        <v>35</v>
      </c>
      <c r="G10" s="50">
        <v>2</v>
      </c>
      <c r="H10" s="50">
        <v>1</v>
      </c>
      <c r="I10" s="50">
        <v>13</v>
      </c>
      <c r="J10" s="50">
        <v>0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57" si="0">SUM(C10:L10,N10)</f>
        <v>107</v>
      </c>
      <c r="P10" s="15">
        <f t="shared" ref="P10:P57" si="1">SUM(C10:N10)</f>
        <v>122</v>
      </c>
      <c r="R10" s="1" t="s">
        <v>6</v>
      </c>
      <c r="S10" s="17">
        <f t="shared" ref="S10:AF10" si="2">SUM(C10:C13)</f>
        <v>142</v>
      </c>
      <c r="T10" s="17">
        <f t="shared" si="2"/>
        <v>49</v>
      </c>
      <c r="U10" s="17">
        <f t="shared" si="2"/>
        <v>27</v>
      </c>
      <c r="V10" s="17">
        <f t="shared" si="2"/>
        <v>167</v>
      </c>
      <c r="W10" s="17">
        <f t="shared" si="2"/>
        <v>5</v>
      </c>
      <c r="X10" s="17">
        <f t="shared" si="2"/>
        <v>2</v>
      </c>
      <c r="Y10" s="17">
        <f t="shared" si="2"/>
        <v>56</v>
      </c>
      <c r="Z10" s="17">
        <f t="shared" si="2"/>
        <v>0</v>
      </c>
      <c r="AA10" s="17">
        <f t="shared" si="2"/>
        <v>3</v>
      </c>
      <c r="AB10" s="17">
        <f t="shared" si="2"/>
        <v>1</v>
      </c>
      <c r="AC10" s="17">
        <f t="shared" si="2"/>
        <v>408</v>
      </c>
      <c r="AD10" s="17">
        <f t="shared" si="2"/>
        <v>0</v>
      </c>
      <c r="AE10" s="31">
        <f t="shared" si="2"/>
        <v>452</v>
      </c>
      <c r="AF10" s="31">
        <f t="shared" si="2"/>
        <v>860</v>
      </c>
    </row>
    <row r="11" spans="2:32" s="6" customFormat="1" ht="23.1" customHeight="1" x14ac:dyDescent="0.25">
      <c r="B11" s="23" t="s">
        <v>38</v>
      </c>
      <c r="C11" s="50">
        <v>50</v>
      </c>
      <c r="D11" s="50">
        <v>15</v>
      </c>
      <c r="E11" s="50">
        <v>6</v>
      </c>
      <c r="F11" s="50">
        <v>45</v>
      </c>
      <c r="G11" s="50">
        <v>0</v>
      </c>
      <c r="H11" s="50">
        <v>0</v>
      </c>
      <c r="I11" s="50">
        <v>21</v>
      </c>
      <c r="J11" s="50">
        <v>0</v>
      </c>
      <c r="K11" s="50">
        <v>0</v>
      </c>
      <c r="L11" s="50">
        <v>0</v>
      </c>
      <c r="M11" s="50">
        <v>153</v>
      </c>
      <c r="N11" s="50">
        <v>0</v>
      </c>
      <c r="O11" s="15">
        <f t="shared" si="0"/>
        <v>137</v>
      </c>
      <c r="P11" s="15">
        <f t="shared" si="1"/>
        <v>290</v>
      </c>
      <c r="R11" s="1" t="s">
        <v>7</v>
      </c>
      <c r="S11" s="17">
        <f t="shared" ref="S11:AF11" si="3">SUM(C14:C17)</f>
        <v>147</v>
      </c>
      <c r="T11" s="17">
        <f t="shared" si="3"/>
        <v>37</v>
      </c>
      <c r="U11" s="17">
        <f t="shared" si="3"/>
        <v>27</v>
      </c>
      <c r="V11" s="17">
        <f t="shared" si="3"/>
        <v>143</v>
      </c>
      <c r="W11" s="17">
        <f t="shared" si="3"/>
        <v>2</v>
      </c>
      <c r="X11" s="17">
        <f t="shared" si="3"/>
        <v>2</v>
      </c>
      <c r="Y11" s="17">
        <f t="shared" si="3"/>
        <v>40</v>
      </c>
      <c r="Z11" s="17">
        <f t="shared" si="3"/>
        <v>6</v>
      </c>
      <c r="AA11" s="17">
        <f t="shared" si="3"/>
        <v>1</v>
      </c>
      <c r="AB11" s="17">
        <f t="shared" si="3"/>
        <v>1</v>
      </c>
      <c r="AC11" s="17">
        <f t="shared" si="3"/>
        <v>544</v>
      </c>
      <c r="AD11" s="17">
        <f t="shared" si="3"/>
        <v>0</v>
      </c>
      <c r="AE11" s="31">
        <f t="shared" si="3"/>
        <v>406</v>
      </c>
      <c r="AF11" s="31">
        <f t="shared" si="3"/>
        <v>950</v>
      </c>
    </row>
    <row r="12" spans="2:32" ht="23.1" customHeight="1" x14ac:dyDescent="0.25">
      <c r="B12" s="23" t="s">
        <v>39</v>
      </c>
      <c r="C12" s="50">
        <v>30</v>
      </c>
      <c r="D12" s="50">
        <v>10</v>
      </c>
      <c r="E12" s="50">
        <v>6</v>
      </c>
      <c r="F12" s="50">
        <v>32</v>
      </c>
      <c r="G12" s="50">
        <v>1</v>
      </c>
      <c r="H12" s="50">
        <v>0</v>
      </c>
      <c r="I12" s="50">
        <v>11</v>
      </c>
      <c r="J12" s="50">
        <v>0</v>
      </c>
      <c r="K12" s="50">
        <v>1</v>
      </c>
      <c r="L12" s="50">
        <v>1</v>
      </c>
      <c r="M12" s="50">
        <v>105</v>
      </c>
      <c r="N12" s="50">
        <v>0</v>
      </c>
      <c r="O12" s="15">
        <f t="shared" si="0"/>
        <v>92</v>
      </c>
      <c r="P12" s="15">
        <f t="shared" si="1"/>
        <v>197</v>
      </c>
      <c r="R12" s="1" t="s">
        <v>8</v>
      </c>
      <c r="S12" s="17">
        <f t="shared" ref="S12:AF12" si="4">SUM(C18:C21)</f>
        <v>87</v>
      </c>
      <c r="T12" s="17">
        <f t="shared" si="4"/>
        <v>25</v>
      </c>
      <c r="U12" s="17">
        <f t="shared" si="4"/>
        <v>20</v>
      </c>
      <c r="V12" s="17">
        <f t="shared" si="4"/>
        <v>89</v>
      </c>
      <c r="W12" s="17">
        <f t="shared" si="4"/>
        <v>2</v>
      </c>
      <c r="X12" s="17">
        <f t="shared" si="4"/>
        <v>1</v>
      </c>
      <c r="Y12" s="17">
        <f t="shared" si="4"/>
        <v>33</v>
      </c>
      <c r="Z12" s="17">
        <f t="shared" si="4"/>
        <v>6</v>
      </c>
      <c r="AA12" s="17">
        <f t="shared" si="4"/>
        <v>3</v>
      </c>
      <c r="AB12" s="17">
        <f t="shared" si="4"/>
        <v>2</v>
      </c>
      <c r="AC12" s="17">
        <f t="shared" si="4"/>
        <v>405</v>
      </c>
      <c r="AD12" s="17">
        <f t="shared" si="4"/>
        <v>0</v>
      </c>
      <c r="AE12" s="31">
        <f t="shared" si="4"/>
        <v>268</v>
      </c>
      <c r="AF12" s="31">
        <f t="shared" si="4"/>
        <v>673</v>
      </c>
    </row>
    <row r="13" spans="2:32" ht="23.1" customHeight="1" x14ac:dyDescent="0.25">
      <c r="B13" s="23" t="s">
        <v>40</v>
      </c>
      <c r="C13" s="50">
        <v>29</v>
      </c>
      <c r="D13" s="50">
        <v>11</v>
      </c>
      <c r="E13" s="50">
        <v>5</v>
      </c>
      <c r="F13" s="50">
        <v>55</v>
      </c>
      <c r="G13" s="50">
        <v>2</v>
      </c>
      <c r="H13" s="50">
        <v>1</v>
      </c>
      <c r="I13" s="50">
        <v>11</v>
      </c>
      <c r="J13" s="50">
        <v>0</v>
      </c>
      <c r="K13" s="50">
        <v>2</v>
      </c>
      <c r="L13" s="50">
        <v>0</v>
      </c>
      <c r="M13" s="50">
        <v>135</v>
      </c>
      <c r="N13" s="50">
        <v>0</v>
      </c>
      <c r="O13" s="15">
        <f t="shared" si="0"/>
        <v>116</v>
      </c>
      <c r="P13" s="15">
        <f t="shared" si="1"/>
        <v>251</v>
      </c>
      <c r="R13" s="1" t="s">
        <v>9</v>
      </c>
      <c r="S13" s="17">
        <f t="shared" ref="S13:AF13" si="5">SUM(C22:C25)</f>
        <v>78</v>
      </c>
      <c r="T13" s="17">
        <f t="shared" si="5"/>
        <v>26</v>
      </c>
      <c r="U13" s="17">
        <f t="shared" si="5"/>
        <v>19</v>
      </c>
      <c r="V13" s="17">
        <f t="shared" si="5"/>
        <v>68</v>
      </c>
      <c r="W13" s="17">
        <f t="shared" si="5"/>
        <v>4</v>
      </c>
      <c r="X13" s="17">
        <f t="shared" si="5"/>
        <v>0</v>
      </c>
      <c r="Y13" s="17">
        <f t="shared" si="5"/>
        <v>29</v>
      </c>
      <c r="Z13" s="17">
        <f t="shared" si="5"/>
        <v>13</v>
      </c>
      <c r="AA13" s="17">
        <f t="shared" si="5"/>
        <v>0</v>
      </c>
      <c r="AB13" s="17">
        <f t="shared" si="5"/>
        <v>2</v>
      </c>
      <c r="AC13" s="17">
        <f t="shared" si="5"/>
        <v>388</v>
      </c>
      <c r="AD13" s="17">
        <f t="shared" si="5"/>
        <v>0</v>
      </c>
      <c r="AE13" s="31">
        <f t="shared" si="5"/>
        <v>239</v>
      </c>
      <c r="AF13" s="31">
        <f t="shared" si="5"/>
        <v>627</v>
      </c>
    </row>
    <row r="14" spans="2:32" ht="23.1" customHeight="1" x14ac:dyDescent="0.25">
      <c r="B14" s="23" t="s">
        <v>41</v>
      </c>
      <c r="C14" s="50">
        <v>51</v>
      </c>
      <c r="D14" s="50">
        <v>13</v>
      </c>
      <c r="E14" s="50">
        <v>10</v>
      </c>
      <c r="F14" s="50">
        <v>39</v>
      </c>
      <c r="G14" s="50">
        <v>0</v>
      </c>
      <c r="H14" s="50">
        <v>1</v>
      </c>
      <c r="I14" s="50">
        <v>9</v>
      </c>
      <c r="J14" s="50">
        <v>1</v>
      </c>
      <c r="K14" s="50">
        <v>0</v>
      </c>
      <c r="L14" s="50">
        <v>0</v>
      </c>
      <c r="M14" s="50">
        <v>160</v>
      </c>
      <c r="N14" s="50">
        <v>0</v>
      </c>
      <c r="O14" s="15">
        <f t="shared" si="0"/>
        <v>124</v>
      </c>
      <c r="P14" s="15">
        <f t="shared" si="1"/>
        <v>284</v>
      </c>
      <c r="R14" s="1" t="s">
        <v>10</v>
      </c>
      <c r="S14" s="17">
        <f t="shared" ref="S14:AF14" si="6">SUM(C26:C29)</f>
        <v>57</v>
      </c>
      <c r="T14" s="17">
        <f t="shared" si="6"/>
        <v>27</v>
      </c>
      <c r="U14" s="17">
        <f t="shared" si="6"/>
        <v>18</v>
      </c>
      <c r="V14" s="17">
        <f t="shared" si="6"/>
        <v>67</v>
      </c>
      <c r="W14" s="17">
        <f t="shared" si="6"/>
        <v>3</v>
      </c>
      <c r="X14" s="17">
        <f t="shared" si="6"/>
        <v>0</v>
      </c>
      <c r="Y14" s="17">
        <f t="shared" si="6"/>
        <v>17</v>
      </c>
      <c r="Z14" s="17">
        <f t="shared" si="6"/>
        <v>9</v>
      </c>
      <c r="AA14" s="17">
        <f t="shared" si="6"/>
        <v>0</v>
      </c>
      <c r="AB14" s="17">
        <f t="shared" si="6"/>
        <v>2</v>
      </c>
      <c r="AC14" s="17">
        <f t="shared" si="6"/>
        <v>332</v>
      </c>
      <c r="AD14" s="17">
        <f t="shared" si="6"/>
        <v>0</v>
      </c>
      <c r="AE14" s="31">
        <f t="shared" si="6"/>
        <v>200</v>
      </c>
      <c r="AF14" s="31">
        <f t="shared" si="6"/>
        <v>532</v>
      </c>
    </row>
    <row r="15" spans="2:32" ht="23.1" customHeight="1" x14ac:dyDescent="0.25">
      <c r="B15" s="23" t="s">
        <v>42</v>
      </c>
      <c r="C15" s="50">
        <v>30</v>
      </c>
      <c r="D15" s="50">
        <v>9</v>
      </c>
      <c r="E15" s="50">
        <v>5</v>
      </c>
      <c r="F15" s="50">
        <v>33</v>
      </c>
      <c r="G15" s="50">
        <v>0</v>
      </c>
      <c r="H15" s="50">
        <v>1</v>
      </c>
      <c r="I15" s="50">
        <v>7</v>
      </c>
      <c r="J15" s="50">
        <v>2</v>
      </c>
      <c r="K15" s="50">
        <v>1</v>
      </c>
      <c r="L15" s="50">
        <v>0</v>
      </c>
      <c r="M15" s="50">
        <v>136</v>
      </c>
      <c r="N15" s="50">
        <v>0</v>
      </c>
      <c r="O15" s="15">
        <f t="shared" si="0"/>
        <v>88</v>
      </c>
      <c r="P15" s="15">
        <f t="shared" si="1"/>
        <v>224</v>
      </c>
      <c r="R15" s="1" t="s">
        <v>11</v>
      </c>
      <c r="S15" s="17">
        <f t="shared" ref="S15:AF15" si="7">SUM(C30:C33)</f>
        <v>53</v>
      </c>
      <c r="T15" s="17">
        <f t="shared" si="7"/>
        <v>28</v>
      </c>
      <c r="U15" s="17">
        <f t="shared" si="7"/>
        <v>21</v>
      </c>
      <c r="V15" s="17">
        <f t="shared" si="7"/>
        <v>58</v>
      </c>
      <c r="W15" s="17">
        <f t="shared" si="7"/>
        <v>1</v>
      </c>
      <c r="X15" s="17">
        <f t="shared" si="7"/>
        <v>0</v>
      </c>
      <c r="Y15" s="17">
        <f t="shared" si="7"/>
        <v>20</v>
      </c>
      <c r="Z15" s="17">
        <f t="shared" si="7"/>
        <v>7</v>
      </c>
      <c r="AA15" s="17">
        <f t="shared" si="7"/>
        <v>1</v>
      </c>
      <c r="AB15" s="17">
        <f t="shared" si="7"/>
        <v>3</v>
      </c>
      <c r="AC15" s="17">
        <f t="shared" si="7"/>
        <v>303</v>
      </c>
      <c r="AD15" s="17">
        <f t="shared" si="7"/>
        <v>0</v>
      </c>
      <c r="AE15" s="31">
        <f t="shared" si="7"/>
        <v>192</v>
      </c>
      <c r="AF15" s="31">
        <f t="shared" si="7"/>
        <v>495</v>
      </c>
    </row>
    <row r="16" spans="2:32" ht="23.1" customHeight="1" x14ac:dyDescent="0.25">
      <c r="B16" s="23" t="s">
        <v>43</v>
      </c>
      <c r="C16" s="50">
        <v>34</v>
      </c>
      <c r="D16" s="50">
        <v>7</v>
      </c>
      <c r="E16" s="50">
        <v>6</v>
      </c>
      <c r="F16" s="50">
        <v>35</v>
      </c>
      <c r="G16" s="50">
        <v>2</v>
      </c>
      <c r="H16" s="50">
        <v>0</v>
      </c>
      <c r="I16" s="50">
        <v>15</v>
      </c>
      <c r="J16" s="50">
        <v>0</v>
      </c>
      <c r="K16" s="50">
        <v>0</v>
      </c>
      <c r="L16" s="50">
        <v>0</v>
      </c>
      <c r="M16" s="50">
        <v>105</v>
      </c>
      <c r="N16" s="50">
        <v>0</v>
      </c>
      <c r="O16" s="15">
        <f t="shared" si="0"/>
        <v>99</v>
      </c>
      <c r="P16" s="15">
        <f t="shared" si="1"/>
        <v>204</v>
      </c>
      <c r="R16" s="1" t="s">
        <v>12</v>
      </c>
      <c r="S16" s="17">
        <f t="shared" ref="S16:AF16" si="8">SUM(C34:C37)</f>
        <v>51</v>
      </c>
      <c r="T16" s="17">
        <f t="shared" si="8"/>
        <v>8</v>
      </c>
      <c r="U16" s="17">
        <f t="shared" si="8"/>
        <v>20</v>
      </c>
      <c r="V16" s="17">
        <f t="shared" si="8"/>
        <v>44</v>
      </c>
      <c r="W16" s="17">
        <f t="shared" si="8"/>
        <v>2</v>
      </c>
      <c r="X16" s="17">
        <f t="shared" si="8"/>
        <v>0</v>
      </c>
      <c r="Y16" s="17">
        <f t="shared" si="8"/>
        <v>23</v>
      </c>
      <c r="Z16" s="17">
        <f t="shared" si="8"/>
        <v>14</v>
      </c>
      <c r="AA16" s="17">
        <f t="shared" si="8"/>
        <v>2</v>
      </c>
      <c r="AB16" s="17">
        <f t="shared" si="8"/>
        <v>7</v>
      </c>
      <c r="AC16" s="17">
        <f t="shared" si="8"/>
        <v>358</v>
      </c>
      <c r="AD16" s="17">
        <f t="shared" si="8"/>
        <v>0</v>
      </c>
      <c r="AE16" s="31">
        <f t="shared" si="8"/>
        <v>171</v>
      </c>
      <c r="AF16" s="31">
        <f t="shared" si="8"/>
        <v>529</v>
      </c>
    </row>
    <row r="17" spans="2:32" ht="23.1" customHeight="1" x14ac:dyDescent="0.25">
      <c r="B17" s="23" t="s">
        <v>44</v>
      </c>
      <c r="C17" s="50">
        <v>32</v>
      </c>
      <c r="D17" s="50">
        <v>8</v>
      </c>
      <c r="E17" s="50">
        <v>6</v>
      </c>
      <c r="F17" s="50">
        <v>36</v>
      </c>
      <c r="G17" s="50">
        <v>0</v>
      </c>
      <c r="H17" s="50">
        <v>0</v>
      </c>
      <c r="I17" s="50">
        <v>9</v>
      </c>
      <c r="J17" s="50">
        <v>3</v>
      </c>
      <c r="K17" s="50">
        <v>0</v>
      </c>
      <c r="L17" s="50">
        <v>1</v>
      </c>
      <c r="M17" s="50">
        <v>143</v>
      </c>
      <c r="N17" s="50">
        <v>0</v>
      </c>
      <c r="O17" s="15">
        <f t="shared" si="0"/>
        <v>95</v>
      </c>
      <c r="P17" s="15">
        <f t="shared" si="1"/>
        <v>238</v>
      </c>
      <c r="R17" s="1" t="s">
        <v>13</v>
      </c>
      <c r="S17" s="17">
        <f t="shared" ref="S17:AF17" si="9">SUM(C38:C41)</f>
        <v>54</v>
      </c>
      <c r="T17" s="17">
        <f t="shared" si="9"/>
        <v>26</v>
      </c>
      <c r="U17" s="17">
        <f t="shared" si="9"/>
        <v>22</v>
      </c>
      <c r="V17" s="17">
        <f t="shared" si="9"/>
        <v>49</v>
      </c>
      <c r="W17" s="17">
        <f t="shared" si="9"/>
        <v>2</v>
      </c>
      <c r="X17" s="17">
        <f t="shared" si="9"/>
        <v>1</v>
      </c>
      <c r="Y17" s="17">
        <f t="shared" si="9"/>
        <v>32</v>
      </c>
      <c r="Z17" s="17">
        <f t="shared" si="9"/>
        <v>8</v>
      </c>
      <c r="AA17" s="17">
        <f t="shared" si="9"/>
        <v>2</v>
      </c>
      <c r="AB17" s="17">
        <f t="shared" si="9"/>
        <v>1</v>
      </c>
      <c r="AC17" s="17">
        <f t="shared" si="9"/>
        <v>361</v>
      </c>
      <c r="AD17" s="17">
        <f t="shared" si="9"/>
        <v>0</v>
      </c>
      <c r="AE17" s="31">
        <f t="shared" si="9"/>
        <v>197</v>
      </c>
      <c r="AF17" s="31">
        <f t="shared" si="9"/>
        <v>558</v>
      </c>
    </row>
    <row r="18" spans="2:32" ht="23.1" customHeight="1" x14ac:dyDescent="0.25">
      <c r="B18" s="23" t="s">
        <v>45</v>
      </c>
      <c r="C18" s="50">
        <v>24</v>
      </c>
      <c r="D18" s="50">
        <v>4</v>
      </c>
      <c r="E18" s="50">
        <v>4</v>
      </c>
      <c r="F18" s="50">
        <v>28</v>
      </c>
      <c r="G18" s="50">
        <v>1</v>
      </c>
      <c r="H18" s="50">
        <v>1</v>
      </c>
      <c r="I18" s="50">
        <v>8</v>
      </c>
      <c r="J18" s="50">
        <v>1</v>
      </c>
      <c r="K18" s="50">
        <v>0</v>
      </c>
      <c r="L18" s="50">
        <v>0</v>
      </c>
      <c r="M18" s="50">
        <v>86</v>
      </c>
      <c r="N18" s="50">
        <v>0</v>
      </c>
      <c r="O18" s="15">
        <f t="shared" si="0"/>
        <v>71</v>
      </c>
      <c r="P18" s="15">
        <f t="shared" si="1"/>
        <v>157</v>
      </c>
      <c r="R18" s="1" t="s">
        <v>14</v>
      </c>
      <c r="S18" s="17">
        <f t="shared" ref="S18:AF18" si="10">SUM(C42:C45)</f>
        <v>43</v>
      </c>
      <c r="T18" s="17">
        <f t="shared" si="10"/>
        <v>17</v>
      </c>
      <c r="U18" s="17">
        <f t="shared" si="10"/>
        <v>22</v>
      </c>
      <c r="V18" s="17">
        <f t="shared" si="10"/>
        <v>45</v>
      </c>
      <c r="W18" s="17">
        <f t="shared" si="10"/>
        <v>0</v>
      </c>
      <c r="X18" s="17">
        <f t="shared" si="10"/>
        <v>0</v>
      </c>
      <c r="Y18" s="17">
        <f t="shared" si="10"/>
        <v>18</v>
      </c>
      <c r="Z18" s="17">
        <f t="shared" si="10"/>
        <v>8</v>
      </c>
      <c r="AA18" s="17">
        <f t="shared" si="10"/>
        <v>4</v>
      </c>
      <c r="AB18" s="17">
        <f t="shared" si="10"/>
        <v>0</v>
      </c>
      <c r="AC18" s="17">
        <f t="shared" si="10"/>
        <v>436</v>
      </c>
      <c r="AD18" s="17">
        <f t="shared" si="10"/>
        <v>0</v>
      </c>
      <c r="AE18" s="31">
        <f t="shared" si="10"/>
        <v>157</v>
      </c>
      <c r="AF18" s="31">
        <f t="shared" si="10"/>
        <v>593</v>
      </c>
    </row>
    <row r="19" spans="2:32" ht="23.1" customHeight="1" x14ac:dyDescent="0.25">
      <c r="B19" s="23" t="s">
        <v>46</v>
      </c>
      <c r="C19" s="50">
        <v>22</v>
      </c>
      <c r="D19" s="50">
        <v>7</v>
      </c>
      <c r="E19" s="50">
        <v>5</v>
      </c>
      <c r="F19" s="50">
        <v>23</v>
      </c>
      <c r="G19" s="50">
        <v>1</v>
      </c>
      <c r="H19" s="50">
        <v>0</v>
      </c>
      <c r="I19" s="50">
        <v>9</v>
      </c>
      <c r="J19" s="50">
        <v>4</v>
      </c>
      <c r="K19" s="50">
        <v>3</v>
      </c>
      <c r="L19" s="50">
        <v>0</v>
      </c>
      <c r="M19" s="50">
        <v>90</v>
      </c>
      <c r="N19" s="50">
        <v>0</v>
      </c>
      <c r="O19" s="15">
        <f t="shared" si="0"/>
        <v>74</v>
      </c>
      <c r="P19" s="15">
        <f t="shared" si="1"/>
        <v>164</v>
      </c>
      <c r="R19" s="1" t="s">
        <v>15</v>
      </c>
      <c r="S19" s="17">
        <f t="shared" ref="S19:AF19" si="11">SUM(C46:C49)</f>
        <v>77</v>
      </c>
      <c r="T19" s="17">
        <f t="shared" si="11"/>
        <v>17</v>
      </c>
      <c r="U19" s="17">
        <f t="shared" si="11"/>
        <v>13</v>
      </c>
      <c r="V19" s="17">
        <f t="shared" si="11"/>
        <v>48</v>
      </c>
      <c r="W19" s="17">
        <f t="shared" si="11"/>
        <v>3</v>
      </c>
      <c r="X19" s="17">
        <f t="shared" si="11"/>
        <v>0</v>
      </c>
      <c r="Y19" s="17">
        <f t="shared" si="11"/>
        <v>30</v>
      </c>
      <c r="Z19" s="17">
        <f t="shared" si="11"/>
        <v>5</v>
      </c>
      <c r="AA19" s="17">
        <f t="shared" si="11"/>
        <v>4</v>
      </c>
      <c r="AB19" s="17">
        <f t="shared" si="11"/>
        <v>1</v>
      </c>
      <c r="AC19" s="17">
        <f t="shared" si="11"/>
        <v>306</v>
      </c>
      <c r="AD19" s="17">
        <f t="shared" si="11"/>
        <v>0</v>
      </c>
      <c r="AE19" s="31">
        <f t="shared" si="11"/>
        <v>198</v>
      </c>
      <c r="AF19" s="31">
        <f t="shared" si="11"/>
        <v>504</v>
      </c>
    </row>
    <row r="20" spans="2:32" ht="23.1" customHeight="1" x14ac:dyDescent="0.25">
      <c r="B20" s="23" t="s">
        <v>47</v>
      </c>
      <c r="C20" s="50">
        <v>21</v>
      </c>
      <c r="D20" s="50">
        <v>8</v>
      </c>
      <c r="E20" s="50">
        <v>4</v>
      </c>
      <c r="F20" s="50">
        <v>23</v>
      </c>
      <c r="G20" s="50">
        <v>0</v>
      </c>
      <c r="H20" s="50">
        <v>0</v>
      </c>
      <c r="I20" s="50">
        <v>11</v>
      </c>
      <c r="J20" s="50">
        <v>1</v>
      </c>
      <c r="K20" s="50">
        <v>0</v>
      </c>
      <c r="L20" s="50">
        <v>1</v>
      </c>
      <c r="M20" s="50">
        <v>104</v>
      </c>
      <c r="N20" s="50">
        <v>0</v>
      </c>
      <c r="O20" s="15">
        <f t="shared" si="0"/>
        <v>69</v>
      </c>
      <c r="P20" s="15">
        <f t="shared" si="1"/>
        <v>173</v>
      </c>
      <c r="R20" s="1" t="s">
        <v>16</v>
      </c>
      <c r="S20" s="17">
        <f t="shared" ref="S20:AF20" si="12">SUM(C50:C53)</f>
        <v>70</v>
      </c>
      <c r="T20" s="17">
        <f t="shared" si="12"/>
        <v>26</v>
      </c>
      <c r="U20" s="17">
        <f t="shared" si="12"/>
        <v>21</v>
      </c>
      <c r="V20" s="17">
        <f t="shared" si="12"/>
        <v>46</v>
      </c>
      <c r="W20" s="17">
        <f t="shared" si="12"/>
        <v>4</v>
      </c>
      <c r="X20" s="17">
        <f t="shared" si="12"/>
        <v>0</v>
      </c>
      <c r="Y20" s="17">
        <f t="shared" si="12"/>
        <v>29</v>
      </c>
      <c r="Z20" s="17">
        <f t="shared" si="12"/>
        <v>14</v>
      </c>
      <c r="AA20" s="17">
        <f t="shared" si="12"/>
        <v>0</v>
      </c>
      <c r="AB20" s="17">
        <f t="shared" si="12"/>
        <v>7</v>
      </c>
      <c r="AC20" s="17">
        <f t="shared" si="12"/>
        <v>496</v>
      </c>
      <c r="AD20" s="17">
        <f t="shared" si="12"/>
        <v>0</v>
      </c>
      <c r="AE20" s="31">
        <f t="shared" si="12"/>
        <v>217</v>
      </c>
      <c r="AF20" s="31">
        <f t="shared" si="12"/>
        <v>713</v>
      </c>
    </row>
    <row r="21" spans="2:32" ht="23.1" customHeight="1" x14ac:dyDescent="0.25">
      <c r="B21" s="23" t="s">
        <v>48</v>
      </c>
      <c r="C21" s="50">
        <v>20</v>
      </c>
      <c r="D21" s="50">
        <v>6</v>
      </c>
      <c r="E21" s="50">
        <v>7</v>
      </c>
      <c r="F21" s="50">
        <v>15</v>
      </c>
      <c r="G21" s="50">
        <v>0</v>
      </c>
      <c r="H21" s="50">
        <v>0</v>
      </c>
      <c r="I21" s="50">
        <v>5</v>
      </c>
      <c r="J21" s="50">
        <v>0</v>
      </c>
      <c r="K21" s="50">
        <v>0</v>
      </c>
      <c r="L21" s="50">
        <v>1</v>
      </c>
      <c r="M21" s="50">
        <v>125</v>
      </c>
      <c r="N21" s="50">
        <v>0</v>
      </c>
      <c r="O21" s="15">
        <f t="shared" si="0"/>
        <v>54</v>
      </c>
      <c r="P21" s="15">
        <f t="shared" si="1"/>
        <v>179</v>
      </c>
      <c r="R21" s="36" t="s">
        <v>20</v>
      </c>
      <c r="S21" s="34">
        <f t="shared" ref="S21:AF21" si="13">SUM(C54:C57)</f>
        <v>48</v>
      </c>
      <c r="T21" s="17">
        <f t="shared" si="13"/>
        <v>29</v>
      </c>
      <c r="U21" s="17">
        <f t="shared" si="13"/>
        <v>22</v>
      </c>
      <c r="V21" s="17">
        <f t="shared" si="13"/>
        <v>54</v>
      </c>
      <c r="W21" s="17">
        <f t="shared" si="13"/>
        <v>0</v>
      </c>
      <c r="X21" s="17">
        <f t="shared" si="13"/>
        <v>0</v>
      </c>
      <c r="Y21" s="17">
        <f t="shared" si="13"/>
        <v>12</v>
      </c>
      <c r="Z21" s="17">
        <f t="shared" si="13"/>
        <v>12</v>
      </c>
      <c r="AA21" s="17">
        <f t="shared" si="13"/>
        <v>1</v>
      </c>
      <c r="AB21" s="17">
        <f t="shared" si="13"/>
        <v>0</v>
      </c>
      <c r="AC21" s="17">
        <f t="shared" si="13"/>
        <v>554</v>
      </c>
      <c r="AD21" s="17">
        <f t="shared" si="13"/>
        <v>0</v>
      </c>
      <c r="AE21" s="31">
        <f t="shared" si="13"/>
        <v>178</v>
      </c>
      <c r="AF21" s="31">
        <f t="shared" si="13"/>
        <v>732</v>
      </c>
    </row>
    <row r="22" spans="2:32" ht="23.1" customHeight="1" x14ac:dyDescent="0.25">
      <c r="B22" s="23" t="s">
        <v>49</v>
      </c>
      <c r="C22" s="50">
        <v>19</v>
      </c>
      <c r="D22" s="50">
        <v>6</v>
      </c>
      <c r="E22" s="50">
        <v>3</v>
      </c>
      <c r="F22" s="50">
        <v>16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105</v>
      </c>
      <c r="N22" s="50">
        <v>0</v>
      </c>
      <c r="O22" s="15">
        <f t="shared" si="0"/>
        <v>47</v>
      </c>
      <c r="P22" s="15">
        <f t="shared" si="1"/>
        <v>152</v>
      </c>
      <c r="R22" s="38" t="s">
        <v>90</v>
      </c>
      <c r="S22" s="39">
        <f>MAX(S10:S12)</f>
        <v>147</v>
      </c>
      <c r="T22" s="39">
        <f t="shared" ref="T22:AF22" si="14">MAX(T10:T12)</f>
        <v>49</v>
      </c>
      <c r="U22" s="39">
        <f t="shared" si="14"/>
        <v>27</v>
      </c>
      <c r="V22" s="39">
        <f t="shared" si="14"/>
        <v>167</v>
      </c>
      <c r="W22" s="39">
        <f t="shared" si="14"/>
        <v>5</v>
      </c>
      <c r="X22" s="39">
        <f t="shared" si="14"/>
        <v>2</v>
      </c>
      <c r="Y22" s="39">
        <f t="shared" si="14"/>
        <v>56</v>
      </c>
      <c r="Z22" s="39">
        <f t="shared" si="14"/>
        <v>6</v>
      </c>
      <c r="AA22" s="39">
        <f t="shared" si="14"/>
        <v>3</v>
      </c>
      <c r="AB22" s="39">
        <f t="shared" si="14"/>
        <v>2</v>
      </c>
      <c r="AC22" s="39">
        <f t="shared" si="14"/>
        <v>544</v>
      </c>
      <c r="AD22" s="39">
        <f t="shared" si="14"/>
        <v>0</v>
      </c>
      <c r="AE22" s="40">
        <f t="shared" si="14"/>
        <v>452</v>
      </c>
      <c r="AF22" s="40">
        <f t="shared" si="14"/>
        <v>950</v>
      </c>
    </row>
    <row r="23" spans="2:32" ht="23.1" customHeight="1" x14ac:dyDescent="0.25">
      <c r="B23" s="23" t="s">
        <v>50</v>
      </c>
      <c r="C23" s="50">
        <v>23</v>
      </c>
      <c r="D23" s="50">
        <v>8</v>
      </c>
      <c r="E23" s="50">
        <v>7</v>
      </c>
      <c r="F23" s="50">
        <v>18</v>
      </c>
      <c r="G23" s="50">
        <v>2</v>
      </c>
      <c r="H23" s="50">
        <v>0</v>
      </c>
      <c r="I23" s="50">
        <v>8</v>
      </c>
      <c r="J23" s="50">
        <v>5</v>
      </c>
      <c r="K23" s="50">
        <v>0</v>
      </c>
      <c r="L23" s="50">
        <v>0</v>
      </c>
      <c r="M23" s="50">
        <v>110</v>
      </c>
      <c r="N23" s="50">
        <v>0</v>
      </c>
      <c r="O23" s="15">
        <f t="shared" si="0"/>
        <v>71</v>
      </c>
      <c r="P23" s="15">
        <f t="shared" si="1"/>
        <v>181</v>
      </c>
      <c r="R23" s="38" t="s">
        <v>91</v>
      </c>
      <c r="S23" s="39">
        <f>MAX(S13:S18)</f>
        <v>78</v>
      </c>
      <c r="T23" s="39">
        <f t="shared" ref="T23:AF23" si="15">MAX(T13:T18)</f>
        <v>28</v>
      </c>
      <c r="U23" s="39">
        <f t="shared" si="15"/>
        <v>22</v>
      </c>
      <c r="V23" s="39">
        <f t="shared" si="15"/>
        <v>68</v>
      </c>
      <c r="W23" s="39">
        <f t="shared" si="15"/>
        <v>4</v>
      </c>
      <c r="X23" s="39">
        <f t="shared" si="15"/>
        <v>1</v>
      </c>
      <c r="Y23" s="39">
        <f t="shared" si="15"/>
        <v>32</v>
      </c>
      <c r="Z23" s="39">
        <f t="shared" si="15"/>
        <v>14</v>
      </c>
      <c r="AA23" s="39">
        <f t="shared" si="15"/>
        <v>4</v>
      </c>
      <c r="AB23" s="39">
        <f t="shared" si="15"/>
        <v>7</v>
      </c>
      <c r="AC23" s="39">
        <f t="shared" si="15"/>
        <v>436</v>
      </c>
      <c r="AD23" s="39">
        <f t="shared" si="15"/>
        <v>0</v>
      </c>
      <c r="AE23" s="40">
        <f t="shared" si="15"/>
        <v>239</v>
      </c>
      <c r="AF23" s="40">
        <f t="shared" si="15"/>
        <v>627</v>
      </c>
    </row>
    <row r="24" spans="2:32" ht="23.1" customHeight="1" x14ac:dyDescent="0.25">
      <c r="B24" s="23" t="s">
        <v>51</v>
      </c>
      <c r="C24" s="50">
        <v>15</v>
      </c>
      <c r="D24" s="50">
        <v>6</v>
      </c>
      <c r="E24" s="50">
        <v>7</v>
      </c>
      <c r="F24" s="50">
        <v>18</v>
      </c>
      <c r="G24" s="50">
        <v>1</v>
      </c>
      <c r="H24" s="50">
        <v>0</v>
      </c>
      <c r="I24" s="50">
        <v>12</v>
      </c>
      <c r="J24" s="50">
        <v>3</v>
      </c>
      <c r="K24" s="50">
        <v>0</v>
      </c>
      <c r="L24" s="50">
        <v>2</v>
      </c>
      <c r="M24" s="50">
        <v>83</v>
      </c>
      <c r="N24" s="50">
        <v>0</v>
      </c>
      <c r="O24" s="15">
        <f t="shared" si="0"/>
        <v>64</v>
      </c>
      <c r="P24" s="15">
        <f t="shared" si="1"/>
        <v>147</v>
      </c>
      <c r="R24" s="38" t="s">
        <v>92</v>
      </c>
      <c r="S24" s="39">
        <f>MAX(S19:S21)</f>
        <v>77</v>
      </c>
      <c r="T24" s="39">
        <f t="shared" ref="T24:AF24" si="16">MAX(T19:T21)</f>
        <v>29</v>
      </c>
      <c r="U24" s="39">
        <f t="shared" si="16"/>
        <v>22</v>
      </c>
      <c r="V24" s="39">
        <f t="shared" si="16"/>
        <v>54</v>
      </c>
      <c r="W24" s="39">
        <f t="shared" si="16"/>
        <v>4</v>
      </c>
      <c r="X24" s="39">
        <f t="shared" si="16"/>
        <v>0</v>
      </c>
      <c r="Y24" s="39">
        <f t="shared" si="16"/>
        <v>30</v>
      </c>
      <c r="Z24" s="39">
        <f t="shared" si="16"/>
        <v>14</v>
      </c>
      <c r="AA24" s="39">
        <f t="shared" si="16"/>
        <v>4</v>
      </c>
      <c r="AB24" s="39">
        <f t="shared" si="16"/>
        <v>7</v>
      </c>
      <c r="AC24" s="39">
        <f t="shared" si="16"/>
        <v>554</v>
      </c>
      <c r="AD24" s="39">
        <f t="shared" si="16"/>
        <v>0</v>
      </c>
      <c r="AE24" s="40">
        <f t="shared" si="16"/>
        <v>217</v>
      </c>
      <c r="AF24" s="40">
        <f t="shared" si="16"/>
        <v>732</v>
      </c>
    </row>
    <row r="25" spans="2:32" ht="23.1" customHeight="1" x14ac:dyDescent="0.25">
      <c r="B25" s="23" t="s">
        <v>52</v>
      </c>
      <c r="C25" s="50">
        <v>21</v>
      </c>
      <c r="D25" s="50">
        <v>6</v>
      </c>
      <c r="E25" s="50">
        <v>2</v>
      </c>
      <c r="F25" s="50">
        <v>16</v>
      </c>
      <c r="G25" s="50">
        <v>1</v>
      </c>
      <c r="H25" s="50">
        <v>0</v>
      </c>
      <c r="I25" s="50">
        <v>6</v>
      </c>
      <c r="J25" s="50">
        <v>5</v>
      </c>
      <c r="K25" s="50">
        <v>0</v>
      </c>
      <c r="L25" s="50">
        <v>0</v>
      </c>
      <c r="M25" s="50">
        <v>90</v>
      </c>
      <c r="N25" s="50">
        <v>0</v>
      </c>
      <c r="O25" s="15">
        <f t="shared" si="0"/>
        <v>57</v>
      </c>
      <c r="P25" s="15">
        <f t="shared" si="1"/>
        <v>147</v>
      </c>
      <c r="R25" s="37" t="s">
        <v>85</v>
      </c>
      <c r="S25" s="35">
        <f t="shared" ref="S25:AF25" si="17">SUM(S10:S12)</f>
        <v>376</v>
      </c>
      <c r="T25" s="16">
        <f t="shared" si="17"/>
        <v>111</v>
      </c>
      <c r="U25" s="16">
        <f t="shared" si="17"/>
        <v>74</v>
      </c>
      <c r="V25" s="16">
        <f t="shared" si="17"/>
        <v>399</v>
      </c>
      <c r="W25" s="16">
        <f t="shared" si="17"/>
        <v>9</v>
      </c>
      <c r="X25" s="16">
        <f t="shared" si="17"/>
        <v>5</v>
      </c>
      <c r="Y25" s="16">
        <f t="shared" si="17"/>
        <v>129</v>
      </c>
      <c r="Z25" s="16">
        <f t="shared" si="17"/>
        <v>12</v>
      </c>
      <c r="AA25" s="16">
        <f t="shared" si="17"/>
        <v>7</v>
      </c>
      <c r="AB25" s="16">
        <f t="shared" si="17"/>
        <v>4</v>
      </c>
      <c r="AC25" s="16">
        <f t="shared" si="17"/>
        <v>1357</v>
      </c>
      <c r="AD25" s="16">
        <f t="shared" si="17"/>
        <v>0</v>
      </c>
      <c r="AE25" s="32">
        <f t="shared" si="17"/>
        <v>1126</v>
      </c>
      <c r="AF25" s="32">
        <f t="shared" si="17"/>
        <v>2483</v>
      </c>
    </row>
    <row r="26" spans="2:32" ht="23.1" customHeight="1" x14ac:dyDescent="0.25">
      <c r="B26" s="23" t="s">
        <v>53</v>
      </c>
      <c r="C26" s="50">
        <v>17</v>
      </c>
      <c r="D26" s="50">
        <v>6</v>
      </c>
      <c r="E26" s="50">
        <v>8</v>
      </c>
      <c r="F26" s="50">
        <v>16</v>
      </c>
      <c r="G26" s="50">
        <v>0</v>
      </c>
      <c r="H26" s="50">
        <v>0</v>
      </c>
      <c r="I26" s="50">
        <v>4</v>
      </c>
      <c r="J26" s="50">
        <v>3</v>
      </c>
      <c r="K26" s="50">
        <v>0</v>
      </c>
      <c r="L26" s="50">
        <v>0</v>
      </c>
      <c r="M26" s="50">
        <v>88</v>
      </c>
      <c r="N26" s="50">
        <v>0</v>
      </c>
      <c r="O26" s="15">
        <f t="shared" si="0"/>
        <v>54</v>
      </c>
      <c r="P26" s="15">
        <f t="shared" si="1"/>
        <v>142</v>
      </c>
      <c r="R26" s="28" t="s">
        <v>86</v>
      </c>
      <c r="S26" s="16">
        <f t="shared" ref="S26:AF26" si="18">SUM(S13:S18)</f>
        <v>336</v>
      </c>
      <c r="T26" s="16">
        <f t="shared" si="18"/>
        <v>132</v>
      </c>
      <c r="U26" s="16">
        <f t="shared" si="18"/>
        <v>122</v>
      </c>
      <c r="V26" s="16">
        <f t="shared" si="18"/>
        <v>331</v>
      </c>
      <c r="W26" s="16">
        <f t="shared" si="18"/>
        <v>12</v>
      </c>
      <c r="X26" s="16">
        <f t="shared" si="18"/>
        <v>1</v>
      </c>
      <c r="Y26" s="16">
        <f t="shared" si="18"/>
        <v>139</v>
      </c>
      <c r="Z26" s="16">
        <f t="shared" si="18"/>
        <v>59</v>
      </c>
      <c r="AA26" s="16">
        <f t="shared" si="18"/>
        <v>9</v>
      </c>
      <c r="AB26" s="16">
        <f t="shared" si="18"/>
        <v>15</v>
      </c>
      <c r="AC26" s="16">
        <f t="shared" si="18"/>
        <v>2178</v>
      </c>
      <c r="AD26" s="16">
        <f t="shared" si="18"/>
        <v>0</v>
      </c>
      <c r="AE26" s="32">
        <f t="shared" si="18"/>
        <v>1156</v>
      </c>
      <c r="AF26" s="32">
        <f t="shared" si="18"/>
        <v>3334</v>
      </c>
    </row>
    <row r="27" spans="2:32" ht="23.1" customHeight="1" x14ac:dyDescent="0.25">
      <c r="B27" s="23" t="s">
        <v>54</v>
      </c>
      <c r="C27" s="50">
        <v>16</v>
      </c>
      <c r="D27" s="50">
        <v>9</v>
      </c>
      <c r="E27" s="50">
        <v>3</v>
      </c>
      <c r="F27" s="50">
        <v>13</v>
      </c>
      <c r="G27" s="50">
        <v>3</v>
      </c>
      <c r="H27" s="50">
        <v>0</v>
      </c>
      <c r="I27" s="50">
        <v>2</v>
      </c>
      <c r="J27" s="50">
        <v>2</v>
      </c>
      <c r="K27" s="50">
        <v>0</v>
      </c>
      <c r="L27" s="50">
        <v>1</v>
      </c>
      <c r="M27" s="50">
        <v>93</v>
      </c>
      <c r="N27" s="50">
        <v>0</v>
      </c>
      <c r="O27" s="15">
        <f t="shared" si="0"/>
        <v>49</v>
      </c>
      <c r="P27" s="15">
        <f t="shared" si="1"/>
        <v>142</v>
      </c>
      <c r="R27" s="29" t="s">
        <v>87</v>
      </c>
      <c r="S27" s="16">
        <f t="shared" ref="S27:AF27" si="19">SUM(S19:S21)</f>
        <v>195</v>
      </c>
      <c r="T27" s="16">
        <f t="shared" si="19"/>
        <v>72</v>
      </c>
      <c r="U27" s="16">
        <f t="shared" si="19"/>
        <v>56</v>
      </c>
      <c r="V27" s="16">
        <f t="shared" si="19"/>
        <v>148</v>
      </c>
      <c r="W27" s="16">
        <f t="shared" si="19"/>
        <v>7</v>
      </c>
      <c r="X27" s="16">
        <f t="shared" si="19"/>
        <v>0</v>
      </c>
      <c r="Y27" s="16">
        <f t="shared" si="19"/>
        <v>71</v>
      </c>
      <c r="Z27" s="16">
        <f t="shared" si="19"/>
        <v>31</v>
      </c>
      <c r="AA27" s="16">
        <f t="shared" si="19"/>
        <v>5</v>
      </c>
      <c r="AB27" s="16">
        <f t="shared" si="19"/>
        <v>8</v>
      </c>
      <c r="AC27" s="16">
        <f t="shared" si="19"/>
        <v>1356</v>
      </c>
      <c r="AD27" s="16">
        <f t="shared" si="19"/>
        <v>0</v>
      </c>
      <c r="AE27" s="32">
        <f t="shared" si="19"/>
        <v>593</v>
      </c>
      <c r="AF27" s="32">
        <f t="shared" si="19"/>
        <v>1949</v>
      </c>
    </row>
    <row r="28" spans="2:32" ht="23.1" customHeight="1" x14ac:dyDescent="0.25">
      <c r="B28" s="23" t="s">
        <v>55</v>
      </c>
      <c r="C28" s="50">
        <v>17</v>
      </c>
      <c r="D28" s="50">
        <v>5</v>
      </c>
      <c r="E28" s="50">
        <v>4</v>
      </c>
      <c r="F28" s="50">
        <v>12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0"/>
        <v>42</v>
      </c>
      <c r="P28" s="15">
        <f t="shared" si="1"/>
        <v>117</v>
      </c>
      <c r="R28" s="5" t="s">
        <v>17</v>
      </c>
      <c r="S28" s="16">
        <f t="shared" ref="S28:AF28" si="20">SUM(S10:S21)</f>
        <v>907</v>
      </c>
      <c r="T28" s="16">
        <f t="shared" si="20"/>
        <v>315</v>
      </c>
      <c r="U28" s="16">
        <f t="shared" si="20"/>
        <v>252</v>
      </c>
      <c r="V28" s="16">
        <f t="shared" si="20"/>
        <v>878</v>
      </c>
      <c r="W28" s="16">
        <f t="shared" si="20"/>
        <v>28</v>
      </c>
      <c r="X28" s="16">
        <f t="shared" si="20"/>
        <v>6</v>
      </c>
      <c r="Y28" s="16">
        <f t="shared" si="20"/>
        <v>339</v>
      </c>
      <c r="Z28" s="16">
        <f t="shared" si="20"/>
        <v>102</v>
      </c>
      <c r="AA28" s="16">
        <f t="shared" si="20"/>
        <v>21</v>
      </c>
      <c r="AB28" s="16">
        <f t="shared" si="20"/>
        <v>27</v>
      </c>
      <c r="AC28" s="16">
        <f t="shared" si="20"/>
        <v>4891</v>
      </c>
      <c r="AD28" s="16">
        <f t="shared" si="20"/>
        <v>0</v>
      </c>
      <c r="AE28" s="32">
        <f t="shared" si="20"/>
        <v>2875</v>
      </c>
      <c r="AF28" s="32">
        <f t="shared" si="20"/>
        <v>7766</v>
      </c>
    </row>
    <row r="29" spans="2:32" ht="23.1" customHeight="1" x14ac:dyDescent="0.25">
      <c r="B29" s="23" t="s">
        <v>56</v>
      </c>
      <c r="C29" s="50">
        <v>7</v>
      </c>
      <c r="D29" s="50">
        <v>7</v>
      </c>
      <c r="E29" s="50">
        <v>3</v>
      </c>
      <c r="F29" s="50">
        <v>26</v>
      </c>
      <c r="G29" s="50">
        <v>0</v>
      </c>
      <c r="H29" s="50">
        <v>0</v>
      </c>
      <c r="I29" s="50">
        <v>8</v>
      </c>
      <c r="J29" s="50">
        <v>3</v>
      </c>
      <c r="K29" s="50">
        <v>0</v>
      </c>
      <c r="L29" s="50">
        <v>1</v>
      </c>
      <c r="M29" s="50">
        <v>76</v>
      </c>
      <c r="N29" s="50">
        <v>0</v>
      </c>
      <c r="O29" s="15">
        <f t="shared" si="0"/>
        <v>55</v>
      </c>
      <c r="P29" s="15">
        <f t="shared" si="1"/>
        <v>131</v>
      </c>
      <c r="R29"/>
      <c r="S29" s="20"/>
      <c r="T29" s="19"/>
    </row>
    <row r="30" spans="2:32" ht="23.1" customHeight="1" x14ac:dyDescent="0.25">
      <c r="B30" s="23" t="s">
        <v>57</v>
      </c>
      <c r="C30" s="50">
        <v>22</v>
      </c>
      <c r="D30" s="50">
        <v>6</v>
      </c>
      <c r="E30" s="50">
        <v>5</v>
      </c>
      <c r="F30" s="50">
        <v>11</v>
      </c>
      <c r="G30" s="50">
        <v>0</v>
      </c>
      <c r="H30" s="50">
        <v>0</v>
      </c>
      <c r="I30" s="50">
        <v>7</v>
      </c>
      <c r="J30" s="50">
        <v>2</v>
      </c>
      <c r="K30" s="50">
        <v>0</v>
      </c>
      <c r="L30" s="50">
        <v>1</v>
      </c>
      <c r="M30" s="50">
        <v>63</v>
      </c>
      <c r="N30" s="50">
        <v>0</v>
      </c>
      <c r="O30" s="15">
        <f t="shared" si="0"/>
        <v>54</v>
      </c>
      <c r="P30" s="15">
        <f t="shared" si="1"/>
        <v>117</v>
      </c>
    </row>
    <row r="31" spans="2:32" ht="23.1" customHeight="1" x14ac:dyDescent="0.25">
      <c r="B31" s="24" t="s">
        <v>58</v>
      </c>
      <c r="C31" s="50">
        <v>10</v>
      </c>
      <c r="D31" s="50">
        <v>6</v>
      </c>
      <c r="E31" s="50">
        <v>4</v>
      </c>
      <c r="F31" s="50">
        <v>13</v>
      </c>
      <c r="G31" s="50">
        <v>0</v>
      </c>
      <c r="H31" s="50">
        <v>0</v>
      </c>
      <c r="I31" s="50">
        <v>4</v>
      </c>
      <c r="J31" s="50">
        <v>1</v>
      </c>
      <c r="K31" s="50">
        <v>0</v>
      </c>
      <c r="L31" s="50">
        <v>0</v>
      </c>
      <c r="M31" s="50">
        <v>65</v>
      </c>
      <c r="N31" s="50">
        <v>0</v>
      </c>
      <c r="O31" s="15">
        <f t="shared" si="0"/>
        <v>38</v>
      </c>
      <c r="P31" s="15">
        <f t="shared" si="1"/>
        <v>103</v>
      </c>
    </row>
    <row r="32" spans="2:32" ht="23.1" customHeight="1" x14ac:dyDescent="0.25">
      <c r="B32" s="24" t="s">
        <v>59</v>
      </c>
      <c r="C32" s="50">
        <v>10</v>
      </c>
      <c r="D32" s="50">
        <v>9</v>
      </c>
      <c r="E32" s="50">
        <v>11</v>
      </c>
      <c r="F32" s="50">
        <v>20</v>
      </c>
      <c r="G32" s="50">
        <v>0</v>
      </c>
      <c r="H32" s="50">
        <v>0</v>
      </c>
      <c r="I32" s="50">
        <v>6</v>
      </c>
      <c r="J32" s="50">
        <v>4</v>
      </c>
      <c r="K32" s="50">
        <v>1</v>
      </c>
      <c r="L32" s="50">
        <v>2</v>
      </c>
      <c r="M32" s="50">
        <v>94</v>
      </c>
      <c r="N32" s="50">
        <v>0</v>
      </c>
      <c r="O32" s="15">
        <f t="shared" si="0"/>
        <v>63</v>
      </c>
      <c r="P32" s="15">
        <f t="shared" si="1"/>
        <v>157</v>
      </c>
    </row>
    <row r="33" spans="2:20" ht="23.1" customHeight="1" x14ac:dyDescent="0.25">
      <c r="B33" s="23" t="s">
        <v>60</v>
      </c>
      <c r="C33" s="50">
        <v>11</v>
      </c>
      <c r="D33" s="50">
        <v>7</v>
      </c>
      <c r="E33" s="50">
        <v>1</v>
      </c>
      <c r="F33" s="50">
        <v>14</v>
      </c>
      <c r="G33" s="50">
        <v>1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81</v>
      </c>
      <c r="N33" s="50">
        <v>0</v>
      </c>
      <c r="O33" s="15">
        <f t="shared" si="0"/>
        <v>37</v>
      </c>
      <c r="P33" s="15">
        <f t="shared" si="1"/>
        <v>118</v>
      </c>
    </row>
    <row r="34" spans="2:20" ht="23.1" customHeight="1" x14ac:dyDescent="0.25">
      <c r="B34" s="24" t="s">
        <v>61</v>
      </c>
      <c r="C34" s="50">
        <v>10</v>
      </c>
      <c r="D34" s="50">
        <v>0</v>
      </c>
      <c r="E34" s="50">
        <v>1</v>
      </c>
      <c r="F34" s="50">
        <v>11</v>
      </c>
      <c r="G34" s="50">
        <v>0</v>
      </c>
      <c r="H34" s="50">
        <v>0</v>
      </c>
      <c r="I34" s="50">
        <v>6</v>
      </c>
      <c r="J34" s="50">
        <v>1</v>
      </c>
      <c r="K34" s="50">
        <v>0</v>
      </c>
      <c r="L34" s="50">
        <v>0</v>
      </c>
      <c r="M34" s="50">
        <v>88</v>
      </c>
      <c r="N34" s="50">
        <v>0</v>
      </c>
      <c r="O34" s="15">
        <f t="shared" si="0"/>
        <v>29</v>
      </c>
      <c r="P34" s="15">
        <f t="shared" si="1"/>
        <v>117</v>
      </c>
    </row>
    <row r="35" spans="2:20" ht="23.1" customHeight="1" x14ac:dyDescent="0.25">
      <c r="B35" s="24" t="s">
        <v>62</v>
      </c>
      <c r="C35" s="50">
        <v>12</v>
      </c>
      <c r="D35" s="50">
        <v>2</v>
      </c>
      <c r="E35" s="50">
        <v>4</v>
      </c>
      <c r="F35" s="50">
        <v>12</v>
      </c>
      <c r="G35" s="50">
        <v>0</v>
      </c>
      <c r="H35" s="50">
        <v>0</v>
      </c>
      <c r="I35" s="50">
        <v>5</v>
      </c>
      <c r="J35" s="50">
        <v>3</v>
      </c>
      <c r="K35" s="50">
        <v>1</v>
      </c>
      <c r="L35" s="50">
        <v>0</v>
      </c>
      <c r="M35" s="50">
        <v>75</v>
      </c>
      <c r="N35" s="50">
        <v>0</v>
      </c>
      <c r="O35" s="15">
        <f t="shared" si="0"/>
        <v>39</v>
      </c>
      <c r="P35" s="15">
        <f t="shared" si="1"/>
        <v>114</v>
      </c>
    </row>
    <row r="36" spans="2:20" ht="23.1" customHeight="1" x14ac:dyDescent="0.25">
      <c r="B36" s="24" t="s">
        <v>63</v>
      </c>
      <c r="C36" s="50">
        <v>13</v>
      </c>
      <c r="D36" s="50">
        <v>4</v>
      </c>
      <c r="E36" s="50">
        <v>8</v>
      </c>
      <c r="F36" s="50">
        <v>6</v>
      </c>
      <c r="G36" s="50">
        <v>1</v>
      </c>
      <c r="H36" s="50">
        <v>0</v>
      </c>
      <c r="I36" s="50">
        <v>7</v>
      </c>
      <c r="J36" s="50">
        <v>6</v>
      </c>
      <c r="K36" s="50">
        <v>0</v>
      </c>
      <c r="L36" s="50">
        <v>1</v>
      </c>
      <c r="M36" s="50">
        <v>85</v>
      </c>
      <c r="N36" s="50">
        <v>0</v>
      </c>
      <c r="O36" s="15">
        <f t="shared" si="0"/>
        <v>46</v>
      </c>
      <c r="P36" s="15">
        <f t="shared" si="1"/>
        <v>131</v>
      </c>
    </row>
    <row r="37" spans="2:20" ht="23.1" customHeight="1" x14ac:dyDescent="0.25">
      <c r="B37" s="23" t="s">
        <v>64</v>
      </c>
      <c r="C37" s="50">
        <v>16</v>
      </c>
      <c r="D37" s="50">
        <v>2</v>
      </c>
      <c r="E37" s="50">
        <v>7</v>
      </c>
      <c r="F37" s="50">
        <v>15</v>
      </c>
      <c r="G37" s="50">
        <v>1</v>
      </c>
      <c r="H37" s="50">
        <v>0</v>
      </c>
      <c r="I37" s="50">
        <v>5</v>
      </c>
      <c r="J37" s="50">
        <v>4</v>
      </c>
      <c r="K37" s="50">
        <v>1</v>
      </c>
      <c r="L37" s="50">
        <v>6</v>
      </c>
      <c r="M37" s="50">
        <v>110</v>
      </c>
      <c r="N37" s="50">
        <v>0</v>
      </c>
      <c r="O37" s="15">
        <f t="shared" si="0"/>
        <v>57</v>
      </c>
      <c r="P37" s="15">
        <f t="shared" si="1"/>
        <v>167</v>
      </c>
    </row>
    <row r="38" spans="2:20" ht="23.1" customHeight="1" x14ac:dyDescent="0.25">
      <c r="B38" s="24" t="s">
        <v>65</v>
      </c>
      <c r="C38" s="50">
        <v>22</v>
      </c>
      <c r="D38" s="50">
        <v>7</v>
      </c>
      <c r="E38" s="50">
        <v>6</v>
      </c>
      <c r="F38" s="50">
        <v>12</v>
      </c>
      <c r="G38" s="50">
        <v>1</v>
      </c>
      <c r="H38" s="50">
        <v>0</v>
      </c>
      <c r="I38" s="50">
        <v>5</v>
      </c>
      <c r="J38" s="50">
        <v>2</v>
      </c>
      <c r="K38" s="50">
        <v>1</v>
      </c>
      <c r="L38" s="50">
        <v>0</v>
      </c>
      <c r="M38" s="50">
        <v>105</v>
      </c>
      <c r="N38" s="50">
        <v>0</v>
      </c>
      <c r="O38" s="15">
        <f t="shared" si="0"/>
        <v>56</v>
      </c>
      <c r="P38" s="15">
        <f t="shared" si="1"/>
        <v>161</v>
      </c>
    </row>
    <row r="39" spans="2:20" ht="23.1" customHeight="1" x14ac:dyDescent="0.25">
      <c r="B39" s="24" t="s">
        <v>66</v>
      </c>
      <c r="C39" s="50">
        <v>12</v>
      </c>
      <c r="D39" s="50">
        <v>9</v>
      </c>
      <c r="E39" s="50">
        <v>7</v>
      </c>
      <c r="F39" s="50">
        <v>7</v>
      </c>
      <c r="G39" s="50">
        <v>0</v>
      </c>
      <c r="H39" s="50">
        <v>1</v>
      </c>
      <c r="I39" s="50">
        <v>14</v>
      </c>
      <c r="J39" s="50">
        <v>2</v>
      </c>
      <c r="K39" s="50">
        <v>1</v>
      </c>
      <c r="L39" s="50">
        <v>0</v>
      </c>
      <c r="M39" s="50">
        <v>66</v>
      </c>
      <c r="N39" s="50">
        <v>0</v>
      </c>
      <c r="O39" s="15">
        <f t="shared" si="0"/>
        <v>53</v>
      </c>
      <c r="P39" s="15">
        <f t="shared" si="1"/>
        <v>119</v>
      </c>
    </row>
    <row r="40" spans="2:20" ht="23.1" customHeight="1" x14ac:dyDescent="0.25">
      <c r="B40" s="24" t="s">
        <v>67</v>
      </c>
      <c r="C40" s="50">
        <v>8</v>
      </c>
      <c r="D40" s="50">
        <v>3</v>
      </c>
      <c r="E40" s="50">
        <v>7</v>
      </c>
      <c r="F40" s="50">
        <v>13</v>
      </c>
      <c r="G40" s="50">
        <v>0</v>
      </c>
      <c r="H40" s="50">
        <v>0</v>
      </c>
      <c r="I40" s="50">
        <v>8</v>
      </c>
      <c r="J40" s="50">
        <v>2</v>
      </c>
      <c r="K40" s="50">
        <v>0</v>
      </c>
      <c r="L40" s="50">
        <v>0</v>
      </c>
      <c r="M40" s="50">
        <v>65</v>
      </c>
      <c r="N40" s="50">
        <v>0</v>
      </c>
      <c r="O40" s="15">
        <f t="shared" si="0"/>
        <v>41</v>
      </c>
      <c r="P40" s="15">
        <f t="shared" si="1"/>
        <v>106</v>
      </c>
    </row>
    <row r="41" spans="2:20" ht="23.1" customHeight="1" x14ac:dyDescent="0.25">
      <c r="B41" s="23" t="s">
        <v>68</v>
      </c>
      <c r="C41" s="50">
        <v>12</v>
      </c>
      <c r="D41" s="50">
        <v>7</v>
      </c>
      <c r="E41" s="50">
        <v>2</v>
      </c>
      <c r="F41" s="50">
        <v>17</v>
      </c>
      <c r="G41" s="50">
        <v>1</v>
      </c>
      <c r="H41" s="50">
        <v>0</v>
      </c>
      <c r="I41" s="50">
        <v>5</v>
      </c>
      <c r="J41" s="50">
        <v>2</v>
      </c>
      <c r="K41" s="50">
        <v>0</v>
      </c>
      <c r="L41" s="50">
        <v>1</v>
      </c>
      <c r="M41" s="50">
        <v>125</v>
      </c>
      <c r="N41" s="50">
        <v>0</v>
      </c>
      <c r="O41" s="15">
        <f t="shared" si="0"/>
        <v>47</v>
      </c>
      <c r="P41" s="15">
        <f t="shared" si="1"/>
        <v>172</v>
      </c>
    </row>
    <row r="42" spans="2:20" ht="23.1" customHeight="1" x14ac:dyDescent="0.25">
      <c r="B42" s="24" t="s">
        <v>69</v>
      </c>
      <c r="C42" s="50">
        <v>11</v>
      </c>
      <c r="D42" s="50">
        <v>5</v>
      </c>
      <c r="E42" s="50">
        <v>6</v>
      </c>
      <c r="F42" s="50">
        <v>13</v>
      </c>
      <c r="G42" s="50">
        <v>0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91</v>
      </c>
      <c r="N42" s="50">
        <v>0</v>
      </c>
      <c r="O42" s="15">
        <f t="shared" si="0"/>
        <v>40</v>
      </c>
      <c r="P42" s="15">
        <f t="shared" si="1"/>
        <v>131</v>
      </c>
    </row>
    <row r="43" spans="2:20" ht="23.1" customHeight="1" x14ac:dyDescent="0.25">
      <c r="B43" s="23" t="s">
        <v>70</v>
      </c>
      <c r="C43" s="50">
        <v>10</v>
      </c>
      <c r="D43" s="50">
        <v>2</v>
      </c>
      <c r="E43" s="50">
        <v>4</v>
      </c>
      <c r="F43" s="50">
        <v>11</v>
      </c>
      <c r="G43" s="50">
        <v>0</v>
      </c>
      <c r="H43" s="50">
        <v>0</v>
      </c>
      <c r="I43" s="50">
        <v>1</v>
      </c>
      <c r="J43" s="50">
        <v>3</v>
      </c>
      <c r="K43" s="50">
        <v>4</v>
      </c>
      <c r="L43" s="50">
        <v>0</v>
      </c>
      <c r="M43" s="50">
        <v>115</v>
      </c>
      <c r="N43" s="50">
        <v>0</v>
      </c>
      <c r="O43" s="15">
        <f t="shared" si="0"/>
        <v>35</v>
      </c>
      <c r="P43" s="15">
        <f t="shared" si="1"/>
        <v>150</v>
      </c>
    </row>
    <row r="44" spans="2:20" ht="23.1" customHeight="1" x14ac:dyDescent="0.25">
      <c r="B44" s="25" t="s">
        <v>71</v>
      </c>
      <c r="C44" s="50">
        <v>9</v>
      </c>
      <c r="D44" s="50">
        <v>5</v>
      </c>
      <c r="E44" s="50">
        <v>6</v>
      </c>
      <c r="F44" s="50">
        <v>10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122</v>
      </c>
      <c r="N44" s="50">
        <v>0</v>
      </c>
      <c r="O44" s="15">
        <f t="shared" si="0"/>
        <v>33</v>
      </c>
      <c r="P44" s="15">
        <f t="shared" si="1"/>
        <v>155</v>
      </c>
    </row>
    <row r="45" spans="2:20" ht="23.1" customHeight="1" x14ac:dyDescent="0.25">
      <c r="B45" s="23" t="s">
        <v>72</v>
      </c>
      <c r="C45" s="50">
        <v>13</v>
      </c>
      <c r="D45" s="50">
        <v>5</v>
      </c>
      <c r="E45" s="50">
        <v>6</v>
      </c>
      <c r="F45" s="50">
        <v>11</v>
      </c>
      <c r="G45" s="50">
        <v>0</v>
      </c>
      <c r="H45" s="50">
        <v>0</v>
      </c>
      <c r="I45" s="50">
        <v>10</v>
      </c>
      <c r="J45" s="50">
        <v>4</v>
      </c>
      <c r="K45" s="50">
        <v>0</v>
      </c>
      <c r="L45" s="50">
        <v>0</v>
      </c>
      <c r="M45" s="50">
        <v>108</v>
      </c>
      <c r="N45" s="50">
        <v>0</v>
      </c>
      <c r="O45" s="15">
        <f t="shared" si="0"/>
        <v>49</v>
      </c>
      <c r="P45" s="15">
        <f t="shared" si="1"/>
        <v>157</v>
      </c>
    </row>
    <row r="46" spans="2:20" ht="23.1" customHeight="1" x14ac:dyDescent="0.25">
      <c r="B46" s="24" t="s">
        <v>73</v>
      </c>
      <c r="C46" s="50">
        <v>17</v>
      </c>
      <c r="D46" s="50">
        <v>7</v>
      </c>
      <c r="E46" s="50">
        <v>2</v>
      </c>
      <c r="F46" s="50">
        <v>10</v>
      </c>
      <c r="G46" s="50">
        <v>1</v>
      </c>
      <c r="H46" s="50">
        <v>0</v>
      </c>
      <c r="I46" s="50">
        <v>10</v>
      </c>
      <c r="J46" s="50">
        <v>1</v>
      </c>
      <c r="K46" s="50">
        <v>0</v>
      </c>
      <c r="L46" s="50">
        <v>0</v>
      </c>
      <c r="M46" s="50">
        <v>71</v>
      </c>
      <c r="N46" s="50">
        <v>0</v>
      </c>
      <c r="O46" s="15">
        <f t="shared" si="0"/>
        <v>48</v>
      </c>
      <c r="P46" s="15">
        <f t="shared" si="1"/>
        <v>119</v>
      </c>
      <c r="R46" s="8"/>
      <c r="T46"/>
    </row>
    <row r="47" spans="2:20" ht="23.1" customHeight="1" x14ac:dyDescent="0.25">
      <c r="B47" s="24" t="s">
        <v>74</v>
      </c>
      <c r="C47" s="50">
        <v>16</v>
      </c>
      <c r="D47" s="50">
        <v>4</v>
      </c>
      <c r="E47" s="50">
        <v>5</v>
      </c>
      <c r="F47" s="50">
        <v>18</v>
      </c>
      <c r="G47" s="50">
        <v>1</v>
      </c>
      <c r="H47" s="50">
        <v>0</v>
      </c>
      <c r="I47" s="50">
        <v>10</v>
      </c>
      <c r="J47" s="50">
        <v>2</v>
      </c>
      <c r="K47" s="50">
        <v>1</v>
      </c>
      <c r="L47" s="50">
        <v>1</v>
      </c>
      <c r="M47" s="50">
        <v>75</v>
      </c>
      <c r="N47" s="50">
        <v>0</v>
      </c>
      <c r="O47" s="15">
        <f t="shared" si="0"/>
        <v>58</v>
      </c>
      <c r="P47" s="15">
        <f t="shared" si="1"/>
        <v>133</v>
      </c>
      <c r="R47" s="8"/>
      <c r="T47"/>
    </row>
    <row r="48" spans="2:20" ht="23.1" customHeight="1" x14ac:dyDescent="0.25">
      <c r="B48" s="24" t="s">
        <v>75</v>
      </c>
      <c r="C48" s="50">
        <v>29</v>
      </c>
      <c r="D48" s="50">
        <v>2</v>
      </c>
      <c r="E48" s="50">
        <v>4</v>
      </c>
      <c r="F48" s="50">
        <v>13</v>
      </c>
      <c r="G48" s="50">
        <v>1</v>
      </c>
      <c r="H48" s="50">
        <v>0</v>
      </c>
      <c r="I48" s="50">
        <v>8</v>
      </c>
      <c r="J48" s="50">
        <v>1</v>
      </c>
      <c r="K48" s="50">
        <v>2</v>
      </c>
      <c r="L48" s="50">
        <v>0</v>
      </c>
      <c r="M48" s="50">
        <v>90</v>
      </c>
      <c r="N48" s="50">
        <v>0</v>
      </c>
      <c r="O48" s="15">
        <f t="shared" si="0"/>
        <v>60</v>
      </c>
      <c r="P48" s="15">
        <f t="shared" si="1"/>
        <v>150</v>
      </c>
      <c r="R48" s="8"/>
      <c r="T48"/>
    </row>
    <row r="49" spans="2:20" ht="23.1" customHeight="1" x14ac:dyDescent="0.25">
      <c r="B49" s="23" t="s">
        <v>76</v>
      </c>
      <c r="C49" s="50">
        <v>15</v>
      </c>
      <c r="D49" s="50">
        <v>4</v>
      </c>
      <c r="E49" s="50">
        <v>2</v>
      </c>
      <c r="F49" s="50">
        <v>7</v>
      </c>
      <c r="G49" s="50">
        <v>0</v>
      </c>
      <c r="H49" s="50">
        <v>0</v>
      </c>
      <c r="I49" s="50">
        <v>2</v>
      </c>
      <c r="J49" s="50">
        <v>1</v>
      </c>
      <c r="K49" s="50">
        <v>1</v>
      </c>
      <c r="L49" s="50">
        <v>0</v>
      </c>
      <c r="M49" s="50">
        <v>70</v>
      </c>
      <c r="N49" s="50">
        <v>0</v>
      </c>
      <c r="O49" s="15">
        <f t="shared" si="0"/>
        <v>32</v>
      </c>
      <c r="P49" s="15">
        <f t="shared" si="1"/>
        <v>102</v>
      </c>
      <c r="R49" s="8"/>
      <c r="T49"/>
    </row>
    <row r="50" spans="2:20" ht="23.1" customHeight="1" x14ac:dyDescent="0.25">
      <c r="B50" s="24" t="s">
        <v>77</v>
      </c>
      <c r="C50" s="50">
        <v>15</v>
      </c>
      <c r="D50" s="50">
        <v>4</v>
      </c>
      <c r="E50" s="50">
        <v>3</v>
      </c>
      <c r="F50" s="50">
        <v>17</v>
      </c>
      <c r="G50" s="50">
        <v>1</v>
      </c>
      <c r="H50" s="50">
        <v>0</v>
      </c>
      <c r="I50" s="50">
        <v>4</v>
      </c>
      <c r="J50" s="50">
        <v>8</v>
      </c>
      <c r="K50" s="50">
        <v>0</v>
      </c>
      <c r="L50" s="50">
        <v>0</v>
      </c>
      <c r="M50" s="50">
        <v>140</v>
      </c>
      <c r="N50" s="50">
        <v>0</v>
      </c>
      <c r="O50" s="15">
        <f t="shared" si="0"/>
        <v>52</v>
      </c>
      <c r="P50" s="15">
        <f t="shared" si="1"/>
        <v>192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9</v>
      </c>
      <c r="E51" s="50">
        <v>6</v>
      </c>
      <c r="F51" s="50">
        <v>13</v>
      </c>
      <c r="G51" s="50">
        <v>1</v>
      </c>
      <c r="H51" s="50">
        <v>0</v>
      </c>
      <c r="I51" s="50">
        <v>5</v>
      </c>
      <c r="J51" s="50">
        <v>3</v>
      </c>
      <c r="K51" s="50">
        <v>0</v>
      </c>
      <c r="L51" s="50">
        <v>2</v>
      </c>
      <c r="M51" s="50">
        <v>106</v>
      </c>
      <c r="N51" s="50">
        <v>0</v>
      </c>
      <c r="O51" s="15">
        <f t="shared" si="0"/>
        <v>52</v>
      </c>
      <c r="P51" s="15">
        <f t="shared" si="1"/>
        <v>158</v>
      </c>
      <c r="R51" s="8"/>
      <c r="T51"/>
    </row>
    <row r="52" spans="2:20" ht="23.1" customHeight="1" x14ac:dyDescent="0.25">
      <c r="B52" s="24" t="s">
        <v>79</v>
      </c>
      <c r="C52" s="50">
        <v>21</v>
      </c>
      <c r="D52" s="50">
        <v>6</v>
      </c>
      <c r="E52" s="50">
        <v>6</v>
      </c>
      <c r="F52" s="50">
        <v>10</v>
      </c>
      <c r="G52" s="50">
        <v>0</v>
      </c>
      <c r="H52" s="50">
        <v>0</v>
      </c>
      <c r="I52" s="50">
        <v>12</v>
      </c>
      <c r="J52" s="50">
        <v>1</v>
      </c>
      <c r="K52" s="50">
        <v>0</v>
      </c>
      <c r="L52" s="50">
        <v>0</v>
      </c>
      <c r="M52" s="50">
        <v>115</v>
      </c>
      <c r="N52" s="50">
        <v>0</v>
      </c>
      <c r="O52" s="15">
        <f t="shared" si="0"/>
        <v>56</v>
      </c>
      <c r="P52" s="15">
        <f t="shared" si="1"/>
        <v>171</v>
      </c>
      <c r="R52" s="8"/>
      <c r="T52"/>
    </row>
    <row r="53" spans="2:20" ht="23.1" customHeight="1" x14ac:dyDescent="0.25">
      <c r="B53" s="23" t="s">
        <v>80</v>
      </c>
      <c r="C53" s="50">
        <v>21</v>
      </c>
      <c r="D53" s="50">
        <v>7</v>
      </c>
      <c r="E53" s="50">
        <v>6</v>
      </c>
      <c r="F53" s="50">
        <v>6</v>
      </c>
      <c r="G53" s="50">
        <v>2</v>
      </c>
      <c r="H53" s="50">
        <v>0</v>
      </c>
      <c r="I53" s="50">
        <v>8</v>
      </c>
      <c r="J53" s="50">
        <v>2</v>
      </c>
      <c r="K53" s="50">
        <v>0</v>
      </c>
      <c r="L53" s="50">
        <v>5</v>
      </c>
      <c r="M53" s="50">
        <v>135</v>
      </c>
      <c r="N53" s="50">
        <v>0</v>
      </c>
      <c r="O53" s="15">
        <f t="shared" si="0"/>
        <v>57</v>
      </c>
      <c r="P53" s="15">
        <f t="shared" si="1"/>
        <v>192</v>
      </c>
      <c r="R53" s="8"/>
      <c r="T53"/>
    </row>
    <row r="54" spans="2:20" ht="23.1" customHeight="1" x14ac:dyDescent="0.25">
      <c r="B54" s="23" t="s">
        <v>81</v>
      </c>
      <c r="C54" s="50">
        <v>16</v>
      </c>
      <c r="D54" s="50">
        <v>8</v>
      </c>
      <c r="E54" s="50">
        <v>3</v>
      </c>
      <c r="F54" s="50">
        <v>13</v>
      </c>
      <c r="G54" s="50">
        <v>0</v>
      </c>
      <c r="H54" s="50">
        <v>0</v>
      </c>
      <c r="I54" s="50">
        <v>6</v>
      </c>
      <c r="J54" s="50">
        <v>1</v>
      </c>
      <c r="K54" s="50">
        <v>0</v>
      </c>
      <c r="L54" s="50">
        <v>0</v>
      </c>
      <c r="M54" s="50">
        <v>125</v>
      </c>
      <c r="N54" s="50">
        <v>0</v>
      </c>
      <c r="O54" s="15">
        <f t="shared" si="0"/>
        <v>47</v>
      </c>
      <c r="P54" s="15">
        <f t="shared" si="1"/>
        <v>172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10</v>
      </c>
      <c r="E55" s="50">
        <v>7</v>
      </c>
      <c r="F55" s="50">
        <v>11</v>
      </c>
      <c r="G55" s="50">
        <v>0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130</v>
      </c>
      <c r="N55" s="50">
        <v>0</v>
      </c>
      <c r="O55" s="15">
        <f t="shared" si="0"/>
        <v>40</v>
      </c>
      <c r="P55" s="15">
        <f t="shared" si="1"/>
        <v>170</v>
      </c>
      <c r="R55" s="8"/>
      <c r="T55"/>
    </row>
    <row r="56" spans="2:20" ht="23.1" customHeight="1" x14ac:dyDescent="0.25">
      <c r="B56" s="23" t="s">
        <v>83</v>
      </c>
      <c r="C56" s="50">
        <v>11</v>
      </c>
      <c r="D56" s="50">
        <v>5</v>
      </c>
      <c r="E56" s="50">
        <v>9</v>
      </c>
      <c r="F56" s="50">
        <v>16</v>
      </c>
      <c r="G56" s="50">
        <v>0</v>
      </c>
      <c r="H56" s="50">
        <v>0</v>
      </c>
      <c r="I56" s="50">
        <v>1</v>
      </c>
      <c r="J56" s="50">
        <v>4</v>
      </c>
      <c r="K56" s="50">
        <v>0</v>
      </c>
      <c r="L56" s="50">
        <v>0</v>
      </c>
      <c r="M56" s="50">
        <v>150</v>
      </c>
      <c r="N56" s="50">
        <v>0</v>
      </c>
      <c r="O56" s="15">
        <f t="shared" si="0"/>
        <v>46</v>
      </c>
      <c r="P56" s="15">
        <f t="shared" si="1"/>
        <v>196</v>
      </c>
      <c r="R56" s="8"/>
      <c r="T56"/>
    </row>
    <row r="57" spans="2:20" ht="23.1" customHeight="1" x14ac:dyDescent="0.25">
      <c r="B57" s="23" t="s">
        <v>84</v>
      </c>
      <c r="C57" s="50">
        <v>13</v>
      </c>
      <c r="D57" s="50">
        <v>6</v>
      </c>
      <c r="E57" s="50">
        <v>3</v>
      </c>
      <c r="F57" s="50">
        <v>14</v>
      </c>
      <c r="G57" s="50">
        <v>0</v>
      </c>
      <c r="H57" s="50">
        <v>0</v>
      </c>
      <c r="I57" s="50">
        <v>3</v>
      </c>
      <c r="J57" s="50">
        <v>5</v>
      </c>
      <c r="K57" s="50">
        <v>1</v>
      </c>
      <c r="L57" s="50">
        <v>0</v>
      </c>
      <c r="M57" s="50">
        <v>149</v>
      </c>
      <c r="N57" s="50">
        <v>0</v>
      </c>
      <c r="O57" s="15">
        <f t="shared" si="0"/>
        <v>45</v>
      </c>
      <c r="P57" s="15">
        <f t="shared" si="1"/>
        <v>194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907</v>
      </c>
      <c r="D58" s="16">
        <f t="shared" si="21"/>
        <v>315</v>
      </c>
      <c r="E58" s="16">
        <f t="shared" si="21"/>
        <v>252</v>
      </c>
      <c r="F58" s="16">
        <f t="shared" si="21"/>
        <v>878</v>
      </c>
      <c r="G58" s="16">
        <f t="shared" si="21"/>
        <v>28</v>
      </c>
      <c r="H58" s="16">
        <f t="shared" si="21"/>
        <v>6</v>
      </c>
      <c r="I58" s="16">
        <f t="shared" si="21"/>
        <v>339</v>
      </c>
      <c r="J58" s="16">
        <f t="shared" si="21"/>
        <v>102</v>
      </c>
      <c r="K58" s="16">
        <f t="shared" si="21"/>
        <v>21</v>
      </c>
      <c r="L58" s="16">
        <f t="shared" si="21"/>
        <v>27</v>
      </c>
      <c r="M58" s="16">
        <f t="shared" si="21"/>
        <v>4891</v>
      </c>
      <c r="N58" s="16">
        <f t="shared" si="21"/>
        <v>0</v>
      </c>
      <c r="O58" s="16">
        <f t="shared" si="21"/>
        <v>2875</v>
      </c>
      <c r="P58" s="16">
        <f t="shared" si="21"/>
        <v>7766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0.11679114087046098</v>
      </c>
      <c r="D59" s="43">
        <f t="shared" si="22"/>
        <v>4.056142158125161E-2</v>
      </c>
      <c r="E59" s="43">
        <f t="shared" si="22"/>
        <v>3.2449137265001288E-2</v>
      </c>
      <c r="F59" s="43">
        <f t="shared" si="22"/>
        <v>0.11305691475663147</v>
      </c>
      <c r="G59" s="43">
        <f t="shared" si="22"/>
        <v>3.6054596961112542E-3</v>
      </c>
      <c r="H59" s="43">
        <f t="shared" si="22"/>
        <v>7.7259850630955449E-4</v>
      </c>
      <c r="I59" s="43">
        <f t="shared" si="22"/>
        <v>4.3651815606489827E-2</v>
      </c>
      <c r="J59" s="43">
        <f t="shared" si="22"/>
        <v>1.3134174607262426E-2</v>
      </c>
      <c r="K59" s="43">
        <f t="shared" si="22"/>
        <v>2.7040947720834408E-3</v>
      </c>
      <c r="L59" s="43">
        <f t="shared" si="22"/>
        <v>3.4766932783929952E-3</v>
      </c>
      <c r="M59" s="43">
        <f t="shared" si="22"/>
        <v>0.62979654906000515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0.31547826086956521</v>
      </c>
      <c r="D60" s="44">
        <f t="shared" ref="D60:N60" si="23">D58/$O$58</f>
        <v>0.10956521739130434</v>
      </c>
      <c r="E60" s="44">
        <f t="shared" si="23"/>
        <v>8.7652173913043474E-2</v>
      </c>
      <c r="F60" s="44">
        <f t="shared" si="23"/>
        <v>0.30539130434782608</v>
      </c>
      <c r="G60" s="44">
        <f t="shared" si="23"/>
        <v>9.7391304347826078E-3</v>
      </c>
      <c r="H60" s="44">
        <f t="shared" si="23"/>
        <v>2.0869565217391303E-3</v>
      </c>
      <c r="I60" s="44">
        <f t="shared" si="23"/>
        <v>0.11791304347826087</v>
      </c>
      <c r="J60" s="44">
        <f t="shared" si="23"/>
        <v>3.5478260869565216E-2</v>
      </c>
      <c r="K60" s="44">
        <f t="shared" si="23"/>
        <v>7.3043478260869567E-3</v>
      </c>
      <c r="L60" s="44">
        <f t="shared" si="23"/>
        <v>9.391304347826087E-3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" zoomScale="30" zoomScaleSheetLayoutView="30" workbookViewId="0">
      <selection activeCell="G54" sqref="G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Nateete-Nakawuka'!C3:G3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Nakawuka-Nateete'!D5</f>
        <v>25.07.19</v>
      </c>
      <c r="E5" s="3"/>
      <c r="F5" s="41" t="s">
        <v>1</v>
      </c>
      <c r="G5" s="63" t="str">
        <f>'25.07 Nakawuka-Nateete'!G5:H5</f>
        <v>TAKUWA BEST FEEDS</v>
      </c>
      <c r="H5" s="64"/>
      <c r="I5" s="14"/>
      <c r="J5" s="2" t="s">
        <v>5</v>
      </c>
      <c r="K5" s="63" t="str">
        <f>'25.07 Nakawuka-Nateete'!K5:L5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Nateete-Nakawuka'!D6:E6</f>
        <v>NATEETE</v>
      </c>
      <c r="E6" s="64"/>
      <c r="F6" s="2" t="s">
        <v>2</v>
      </c>
      <c r="G6" s="63" t="str">
        <f>'22.07 Nateete-Nakawuka'!G6:H6</f>
        <v>NAKAWUKA</v>
      </c>
      <c r="H6" s="64"/>
      <c r="J6" s="2" t="s">
        <v>21</v>
      </c>
      <c r="K6" s="63" t="str">
        <f>'25.07 Nakawuka-Nateete'!K6:L6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0</v>
      </c>
      <c r="E10" s="50">
        <v>0</v>
      </c>
      <c r="F10" s="50">
        <v>8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63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80</v>
      </c>
      <c r="R10" s="1" t="s">
        <v>6</v>
      </c>
      <c r="S10" s="17">
        <f t="shared" ref="S10:AF10" si="2">SUM(C10:C13)</f>
        <v>40</v>
      </c>
      <c r="T10" s="17">
        <f t="shared" si="2"/>
        <v>0</v>
      </c>
      <c r="U10" s="17">
        <f t="shared" si="2"/>
        <v>1</v>
      </c>
      <c r="V10" s="17">
        <f t="shared" si="2"/>
        <v>76</v>
      </c>
      <c r="W10" s="17">
        <f t="shared" si="2"/>
        <v>1</v>
      </c>
      <c r="X10" s="17">
        <f t="shared" si="2"/>
        <v>0</v>
      </c>
      <c r="Y10" s="17">
        <f t="shared" si="2"/>
        <v>10</v>
      </c>
      <c r="Z10" s="17">
        <f t="shared" si="2"/>
        <v>13</v>
      </c>
      <c r="AA10" s="17">
        <f t="shared" si="2"/>
        <v>2</v>
      </c>
      <c r="AB10" s="17">
        <f t="shared" si="2"/>
        <v>0</v>
      </c>
      <c r="AC10" s="17">
        <f t="shared" si="2"/>
        <v>322</v>
      </c>
      <c r="AD10" s="17">
        <f t="shared" si="2"/>
        <v>0</v>
      </c>
      <c r="AE10" s="31">
        <f t="shared" si="2"/>
        <v>143</v>
      </c>
      <c r="AF10" s="31">
        <f t="shared" si="2"/>
        <v>465</v>
      </c>
    </row>
    <row r="11" spans="2:32" s="6" customFormat="1" ht="23.1" customHeight="1" x14ac:dyDescent="0.25">
      <c r="B11" s="23" t="s">
        <v>38</v>
      </c>
      <c r="C11" s="50">
        <v>9</v>
      </c>
      <c r="D11" s="50">
        <v>0</v>
      </c>
      <c r="E11" s="50">
        <v>0</v>
      </c>
      <c r="F11" s="50">
        <v>13</v>
      </c>
      <c r="G11" s="50">
        <v>0</v>
      </c>
      <c r="H11" s="50">
        <v>0</v>
      </c>
      <c r="I11" s="50">
        <v>3</v>
      </c>
      <c r="J11" s="50">
        <v>3</v>
      </c>
      <c r="K11" s="50">
        <v>0</v>
      </c>
      <c r="L11" s="50">
        <v>0</v>
      </c>
      <c r="M11" s="50">
        <v>83</v>
      </c>
      <c r="N11" s="50">
        <v>0</v>
      </c>
      <c r="O11" s="15">
        <f t="shared" si="0"/>
        <v>28</v>
      </c>
      <c r="P11" s="15">
        <f t="shared" si="1"/>
        <v>111</v>
      </c>
      <c r="R11" s="1" t="s">
        <v>7</v>
      </c>
      <c r="S11" s="17">
        <f t="shared" ref="S11:AF11" si="3">SUM(C14:C17)</f>
        <v>35</v>
      </c>
      <c r="T11" s="17">
        <f t="shared" si="3"/>
        <v>8</v>
      </c>
      <c r="U11" s="17">
        <f t="shared" si="3"/>
        <v>8</v>
      </c>
      <c r="V11" s="17">
        <f t="shared" si="3"/>
        <v>53</v>
      </c>
      <c r="W11" s="17">
        <f t="shared" si="3"/>
        <v>1</v>
      </c>
      <c r="X11" s="17">
        <f t="shared" si="3"/>
        <v>0</v>
      </c>
      <c r="Y11" s="17">
        <f t="shared" si="3"/>
        <v>14</v>
      </c>
      <c r="Z11" s="17">
        <f t="shared" si="3"/>
        <v>5</v>
      </c>
      <c r="AA11" s="17">
        <f t="shared" si="3"/>
        <v>1</v>
      </c>
      <c r="AB11" s="17">
        <f t="shared" si="3"/>
        <v>2</v>
      </c>
      <c r="AC11" s="17">
        <f t="shared" si="3"/>
        <v>380</v>
      </c>
      <c r="AD11" s="17">
        <f t="shared" si="3"/>
        <v>0</v>
      </c>
      <c r="AE11" s="31">
        <f t="shared" si="3"/>
        <v>127</v>
      </c>
      <c r="AF11" s="31">
        <f t="shared" si="3"/>
        <v>507</v>
      </c>
    </row>
    <row r="12" spans="2:32" ht="23.1" customHeight="1" x14ac:dyDescent="0.25">
      <c r="B12" s="23" t="s">
        <v>39</v>
      </c>
      <c r="C12" s="50">
        <v>12</v>
      </c>
      <c r="D12" s="50">
        <v>0</v>
      </c>
      <c r="E12" s="50">
        <v>1</v>
      </c>
      <c r="F12" s="50">
        <v>17</v>
      </c>
      <c r="G12" s="50">
        <v>1</v>
      </c>
      <c r="H12" s="50">
        <v>0</v>
      </c>
      <c r="I12" s="50">
        <v>0</v>
      </c>
      <c r="J12" s="50">
        <v>6</v>
      </c>
      <c r="K12" s="50">
        <v>2</v>
      </c>
      <c r="L12" s="50">
        <v>0</v>
      </c>
      <c r="M12" s="50">
        <v>79</v>
      </c>
      <c r="N12" s="50">
        <v>0</v>
      </c>
      <c r="O12" s="15">
        <f t="shared" si="0"/>
        <v>39</v>
      </c>
      <c r="P12" s="15">
        <f t="shared" si="1"/>
        <v>118</v>
      </c>
      <c r="R12" s="1" t="s">
        <v>8</v>
      </c>
      <c r="S12" s="17">
        <f t="shared" ref="S12:AF12" si="4">SUM(C18:C21)</f>
        <v>39</v>
      </c>
      <c r="T12" s="17">
        <f t="shared" si="4"/>
        <v>3</v>
      </c>
      <c r="U12" s="17">
        <f t="shared" si="4"/>
        <v>7</v>
      </c>
      <c r="V12" s="17">
        <f t="shared" si="4"/>
        <v>85</v>
      </c>
      <c r="W12" s="17">
        <f t="shared" si="4"/>
        <v>2</v>
      </c>
      <c r="X12" s="17">
        <f t="shared" si="4"/>
        <v>5</v>
      </c>
      <c r="Y12" s="17">
        <f t="shared" si="4"/>
        <v>14</v>
      </c>
      <c r="Z12" s="17">
        <f t="shared" si="4"/>
        <v>7</v>
      </c>
      <c r="AA12" s="17">
        <f t="shared" si="4"/>
        <v>2</v>
      </c>
      <c r="AB12" s="17">
        <f t="shared" si="4"/>
        <v>0</v>
      </c>
      <c r="AC12" s="17">
        <f t="shared" si="4"/>
        <v>413</v>
      </c>
      <c r="AD12" s="17">
        <f t="shared" si="4"/>
        <v>0</v>
      </c>
      <c r="AE12" s="31">
        <f t="shared" si="4"/>
        <v>164</v>
      </c>
      <c r="AF12" s="31">
        <f t="shared" si="4"/>
        <v>577</v>
      </c>
    </row>
    <row r="13" spans="2:32" ht="23.1" customHeight="1" x14ac:dyDescent="0.25">
      <c r="B13" s="23" t="s">
        <v>40</v>
      </c>
      <c r="C13" s="50">
        <v>13</v>
      </c>
      <c r="D13" s="50">
        <v>0</v>
      </c>
      <c r="E13" s="50">
        <v>0</v>
      </c>
      <c r="F13" s="50">
        <v>38</v>
      </c>
      <c r="G13" s="50">
        <v>0</v>
      </c>
      <c r="H13" s="50">
        <v>0</v>
      </c>
      <c r="I13" s="50">
        <v>6</v>
      </c>
      <c r="J13" s="50">
        <v>2</v>
      </c>
      <c r="K13" s="50">
        <v>0</v>
      </c>
      <c r="L13" s="50">
        <v>0</v>
      </c>
      <c r="M13" s="50">
        <v>97</v>
      </c>
      <c r="N13" s="50">
        <v>0</v>
      </c>
      <c r="O13" s="15">
        <f t="shared" si="0"/>
        <v>59</v>
      </c>
      <c r="P13" s="15">
        <f t="shared" si="1"/>
        <v>156</v>
      </c>
      <c r="R13" s="1" t="s">
        <v>9</v>
      </c>
      <c r="S13" s="17">
        <f t="shared" ref="S13:AF13" si="5">SUM(C22:C25)</f>
        <v>33</v>
      </c>
      <c r="T13" s="17">
        <f t="shared" si="5"/>
        <v>7</v>
      </c>
      <c r="U13" s="17">
        <f t="shared" si="5"/>
        <v>7</v>
      </c>
      <c r="V13" s="17">
        <f t="shared" si="5"/>
        <v>44</v>
      </c>
      <c r="W13" s="17">
        <f t="shared" si="5"/>
        <v>1</v>
      </c>
      <c r="X13" s="17">
        <f t="shared" si="5"/>
        <v>2</v>
      </c>
      <c r="Y13" s="17">
        <f t="shared" si="5"/>
        <v>28</v>
      </c>
      <c r="Z13" s="17">
        <f t="shared" si="5"/>
        <v>9</v>
      </c>
      <c r="AA13" s="17">
        <f t="shared" si="5"/>
        <v>4</v>
      </c>
      <c r="AB13" s="17">
        <f t="shared" si="5"/>
        <v>2</v>
      </c>
      <c r="AC13" s="17">
        <f t="shared" si="5"/>
        <v>396</v>
      </c>
      <c r="AD13" s="17">
        <f t="shared" si="5"/>
        <v>0</v>
      </c>
      <c r="AE13" s="31">
        <f t="shared" si="5"/>
        <v>137</v>
      </c>
      <c r="AF13" s="31">
        <f t="shared" si="5"/>
        <v>533</v>
      </c>
    </row>
    <row r="14" spans="2:32" ht="23.1" customHeight="1" x14ac:dyDescent="0.25">
      <c r="B14" s="23" t="s">
        <v>41</v>
      </c>
      <c r="C14" s="50">
        <v>13</v>
      </c>
      <c r="D14" s="50">
        <v>0</v>
      </c>
      <c r="E14" s="50">
        <v>1</v>
      </c>
      <c r="F14" s="50">
        <v>7</v>
      </c>
      <c r="G14" s="50">
        <v>0</v>
      </c>
      <c r="H14" s="50">
        <v>0</v>
      </c>
      <c r="I14" s="50">
        <v>2</v>
      </c>
      <c r="J14" s="50">
        <v>2</v>
      </c>
      <c r="K14" s="50">
        <v>1</v>
      </c>
      <c r="L14" s="50">
        <v>1</v>
      </c>
      <c r="M14" s="50">
        <v>88</v>
      </c>
      <c r="N14" s="50">
        <v>0</v>
      </c>
      <c r="O14" s="15">
        <f t="shared" si="0"/>
        <v>27</v>
      </c>
      <c r="P14" s="15">
        <f t="shared" si="1"/>
        <v>115</v>
      </c>
      <c r="R14" s="1" t="s">
        <v>10</v>
      </c>
      <c r="S14" s="17">
        <f t="shared" ref="S14:AF14" si="6">SUM(C26:C29)</f>
        <v>50</v>
      </c>
      <c r="T14" s="17">
        <f t="shared" si="6"/>
        <v>11</v>
      </c>
      <c r="U14" s="17">
        <f t="shared" si="6"/>
        <v>8</v>
      </c>
      <c r="V14" s="17">
        <f t="shared" si="6"/>
        <v>57</v>
      </c>
      <c r="W14" s="17">
        <f t="shared" si="6"/>
        <v>0</v>
      </c>
      <c r="X14" s="17">
        <f t="shared" si="6"/>
        <v>1</v>
      </c>
      <c r="Y14" s="17">
        <f t="shared" si="6"/>
        <v>17</v>
      </c>
      <c r="Z14" s="17">
        <f t="shared" si="6"/>
        <v>5</v>
      </c>
      <c r="AA14" s="17">
        <f t="shared" si="6"/>
        <v>2</v>
      </c>
      <c r="AB14" s="17">
        <f t="shared" si="6"/>
        <v>2</v>
      </c>
      <c r="AC14" s="17">
        <f t="shared" si="6"/>
        <v>265</v>
      </c>
      <c r="AD14" s="17">
        <f t="shared" si="6"/>
        <v>0</v>
      </c>
      <c r="AE14" s="31">
        <f t="shared" si="6"/>
        <v>153</v>
      </c>
      <c r="AF14" s="31">
        <f t="shared" si="6"/>
        <v>418</v>
      </c>
    </row>
    <row r="15" spans="2:32" ht="23.1" customHeight="1" x14ac:dyDescent="0.25">
      <c r="B15" s="23" t="s">
        <v>42</v>
      </c>
      <c r="C15" s="50">
        <v>4</v>
      </c>
      <c r="D15" s="50">
        <v>3</v>
      </c>
      <c r="E15" s="50">
        <v>2</v>
      </c>
      <c r="F15" s="50">
        <v>14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0</v>
      </c>
      <c r="M15" s="50">
        <v>99</v>
      </c>
      <c r="N15" s="50">
        <v>0</v>
      </c>
      <c r="O15" s="15">
        <f t="shared" si="0"/>
        <v>28</v>
      </c>
      <c r="P15" s="15">
        <f t="shared" si="1"/>
        <v>127</v>
      </c>
      <c r="R15" s="1" t="s">
        <v>11</v>
      </c>
      <c r="S15" s="17">
        <f t="shared" ref="S15:AF15" si="7">SUM(C30:C33)</f>
        <v>45</v>
      </c>
      <c r="T15" s="17">
        <f t="shared" si="7"/>
        <v>3</v>
      </c>
      <c r="U15" s="17">
        <f t="shared" si="7"/>
        <v>8</v>
      </c>
      <c r="V15" s="17">
        <f t="shared" si="7"/>
        <v>42</v>
      </c>
      <c r="W15" s="17">
        <f t="shared" si="7"/>
        <v>5</v>
      </c>
      <c r="X15" s="17">
        <f t="shared" si="7"/>
        <v>1</v>
      </c>
      <c r="Y15" s="17">
        <f t="shared" si="7"/>
        <v>6</v>
      </c>
      <c r="Z15" s="17">
        <f t="shared" si="7"/>
        <v>3</v>
      </c>
      <c r="AA15" s="17">
        <f t="shared" si="7"/>
        <v>4</v>
      </c>
      <c r="AB15" s="17">
        <f t="shared" si="7"/>
        <v>2</v>
      </c>
      <c r="AC15" s="17">
        <f t="shared" si="7"/>
        <v>277</v>
      </c>
      <c r="AD15" s="17">
        <f t="shared" si="7"/>
        <v>0</v>
      </c>
      <c r="AE15" s="31">
        <f t="shared" si="7"/>
        <v>119</v>
      </c>
      <c r="AF15" s="31">
        <f t="shared" si="7"/>
        <v>396</v>
      </c>
    </row>
    <row r="16" spans="2:32" ht="23.1" customHeight="1" x14ac:dyDescent="0.25">
      <c r="B16" s="23" t="s">
        <v>43</v>
      </c>
      <c r="C16" s="50">
        <v>5</v>
      </c>
      <c r="D16" s="50">
        <v>4</v>
      </c>
      <c r="E16" s="50">
        <v>2</v>
      </c>
      <c r="F16" s="50">
        <v>19</v>
      </c>
      <c r="G16" s="50">
        <v>0</v>
      </c>
      <c r="H16" s="50">
        <v>0</v>
      </c>
      <c r="I16" s="50">
        <v>5</v>
      </c>
      <c r="J16" s="50">
        <v>1</v>
      </c>
      <c r="K16" s="50">
        <v>0</v>
      </c>
      <c r="L16" s="50">
        <v>1</v>
      </c>
      <c r="M16" s="50">
        <v>84</v>
      </c>
      <c r="N16" s="50">
        <v>0</v>
      </c>
      <c r="O16" s="15">
        <f t="shared" si="0"/>
        <v>37</v>
      </c>
      <c r="P16" s="15">
        <f t="shared" si="1"/>
        <v>121</v>
      </c>
      <c r="R16" s="1" t="s">
        <v>12</v>
      </c>
      <c r="S16" s="17">
        <f t="shared" ref="S16:AF16" si="8">SUM(C34:C37)</f>
        <v>27</v>
      </c>
      <c r="T16" s="17">
        <f t="shared" si="8"/>
        <v>4</v>
      </c>
      <c r="U16" s="17">
        <f t="shared" si="8"/>
        <v>5</v>
      </c>
      <c r="V16" s="17">
        <f t="shared" si="8"/>
        <v>26</v>
      </c>
      <c r="W16" s="17">
        <f t="shared" si="8"/>
        <v>2</v>
      </c>
      <c r="X16" s="17">
        <f t="shared" si="8"/>
        <v>1</v>
      </c>
      <c r="Y16" s="17">
        <f t="shared" si="8"/>
        <v>20</v>
      </c>
      <c r="Z16" s="17">
        <f t="shared" si="8"/>
        <v>5</v>
      </c>
      <c r="AA16" s="17">
        <f t="shared" si="8"/>
        <v>3</v>
      </c>
      <c r="AB16" s="17">
        <f t="shared" si="8"/>
        <v>1</v>
      </c>
      <c r="AC16" s="17">
        <f t="shared" si="8"/>
        <v>279</v>
      </c>
      <c r="AD16" s="17">
        <f t="shared" si="8"/>
        <v>0</v>
      </c>
      <c r="AE16" s="31">
        <f t="shared" si="8"/>
        <v>94</v>
      </c>
      <c r="AF16" s="31">
        <f t="shared" si="8"/>
        <v>373</v>
      </c>
    </row>
    <row r="17" spans="2:32" ht="23.1" customHeight="1" x14ac:dyDescent="0.25">
      <c r="B17" s="23" t="s">
        <v>44</v>
      </c>
      <c r="C17" s="50">
        <v>13</v>
      </c>
      <c r="D17" s="50">
        <v>1</v>
      </c>
      <c r="E17" s="50">
        <v>3</v>
      </c>
      <c r="F17" s="50">
        <v>13</v>
      </c>
      <c r="G17" s="50">
        <v>1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109</v>
      </c>
      <c r="N17" s="50">
        <v>0</v>
      </c>
      <c r="O17" s="15">
        <f t="shared" si="0"/>
        <v>35</v>
      </c>
      <c r="P17" s="15">
        <f t="shared" si="1"/>
        <v>144</v>
      </c>
      <c r="R17" s="1" t="s">
        <v>13</v>
      </c>
      <c r="S17" s="17">
        <f t="shared" ref="S17:AF17" si="9">SUM(C38:C41)</f>
        <v>43</v>
      </c>
      <c r="T17" s="17">
        <f t="shared" si="9"/>
        <v>11</v>
      </c>
      <c r="U17" s="17">
        <f t="shared" si="9"/>
        <v>8</v>
      </c>
      <c r="V17" s="17">
        <f t="shared" si="9"/>
        <v>44</v>
      </c>
      <c r="W17" s="17">
        <f t="shared" si="9"/>
        <v>3</v>
      </c>
      <c r="X17" s="17">
        <f t="shared" si="9"/>
        <v>1</v>
      </c>
      <c r="Y17" s="17">
        <f t="shared" si="9"/>
        <v>36</v>
      </c>
      <c r="Z17" s="17">
        <f t="shared" si="9"/>
        <v>6</v>
      </c>
      <c r="AA17" s="17">
        <f t="shared" si="9"/>
        <v>4</v>
      </c>
      <c r="AB17" s="17">
        <f t="shared" si="9"/>
        <v>2</v>
      </c>
      <c r="AC17" s="17">
        <f t="shared" si="9"/>
        <v>334</v>
      </c>
      <c r="AD17" s="17">
        <f t="shared" si="9"/>
        <v>0</v>
      </c>
      <c r="AE17" s="31">
        <f t="shared" si="9"/>
        <v>158</v>
      </c>
      <c r="AF17" s="31">
        <f t="shared" si="9"/>
        <v>492</v>
      </c>
    </row>
    <row r="18" spans="2:32" ht="23.1" customHeight="1" x14ac:dyDescent="0.25">
      <c r="B18" s="23" t="s">
        <v>45</v>
      </c>
      <c r="C18" s="50">
        <v>11</v>
      </c>
      <c r="D18" s="50">
        <v>1</v>
      </c>
      <c r="E18" s="50">
        <v>0</v>
      </c>
      <c r="F18" s="50">
        <v>33</v>
      </c>
      <c r="G18" s="50">
        <v>0</v>
      </c>
      <c r="H18" s="50">
        <v>1</v>
      </c>
      <c r="I18" s="50">
        <v>1</v>
      </c>
      <c r="J18" s="50">
        <v>2</v>
      </c>
      <c r="K18" s="50">
        <v>1</v>
      </c>
      <c r="L18" s="50">
        <v>0</v>
      </c>
      <c r="M18" s="50">
        <v>119</v>
      </c>
      <c r="N18" s="50">
        <v>0</v>
      </c>
      <c r="O18" s="15">
        <f t="shared" si="0"/>
        <v>50</v>
      </c>
      <c r="P18" s="15">
        <f t="shared" si="1"/>
        <v>169</v>
      </c>
      <c r="R18" s="1" t="s">
        <v>14</v>
      </c>
      <c r="S18" s="17">
        <f t="shared" ref="S18:AF18" si="10">SUM(C42:C45)</f>
        <v>52</v>
      </c>
      <c r="T18" s="17">
        <f t="shared" si="10"/>
        <v>17</v>
      </c>
      <c r="U18" s="17">
        <f t="shared" si="10"/>
        <v>12</v>
      </c>
      <c r="V18" s="17">
        <f t="shared" si="10"/>
        <v>45</v>
      </c>
      <c r="W18" s="17">
        <f t="shared" si="10"/>
        <v>1</v>
      </c>
      <c r="X18" s="17">
        <f t="shared" si="10"/>
        <v>2</v>
      </c>
      <c r="Y18" s="17">
        <f t="shared" si="10"/>
        <v>23</v>
      </c>
      <c r="Z18" s="17">
        <f t="shared" si="10"/>
        <v>14</v>
      </c>
      <c r="AA18" s="17">
        <f t="shared" si="10"/>
        <v>4</v>
      </c>
      <c r="AB18" s="17">
        <f t="shared" si="10"/>
        <v>0</v>
      </c>
      <c r="AC18" s="17">
        <f t="shared" si="10"/>
        <v>371</v>
      </c>
      <c r="AD18" s="17">
        <f t="shared" si="10"/>
        <v>0</v>
      </c>
      <c r="AE18" s="31">
        <f t="shared" si="10"/>
        <v>170</v>
      </c>
      <c r="AF18" s="31">
        <f t="shared" si="10"/>
        <v>541</v>
      </c>
    </row>
    <row r="19" spans="2:32" ht="23.1" customHeight="1" x14ac:dyDescent="0.25">
      <c r="B19" s="23" t="s">
        <v>46</v>
      </c>
      <c r="C19" s="50">
        <v>8</v>
      </c>
      <c r="D19" s="50">
        <v>0</v>
      </c>
      <c r="E19" s="50">
        <v>2</v>
      </c>
      <c r="F19" s="50">
        <v>15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79</v>
      </c>
      <c r="N19" s="50">
        <v>0</v>
      </c>
      <c r="O19" s="15">
        <f t="shared" si="0"/>
        <v>28</v>
      </c>
      <c r="P19" s="15">
        <f t="shared" si="1"/>
        <v>107</v>
      </c>
      <c r="R19" s="1" t="s">
        <v>15</v>
      </c>
      <c r="S19" s="17">
        <f t="shared" ref="S19:AF19" si="11">SUM(C46:C49)</f>
        <v>59</v>
      </c>
      <c r="T19" s="17">
        <f t="shared" si="11"/>
        <v>20</v>
      </c>
      <c r="U19" s="17">
        <f t="shared" si="11"/>
        <v>13</v>
      </c>
      <c r="V19" s="17">
        <f t="shared" si="11"/>
        <v>40</v>
      </c>
      <c r="W19" s="17">
        <f t="shared" si="11"/>
        <v>4</v>
      </c>
      <c r="X19" s="17">
        <f t="shared" si="11"/>
        <v>1</v>
      </c>
      <c r="Y19" s="17">
        <f t="shared" si="11"/>
        <v>26</v>
      </c>
      <c r="Z19" s="17">
        <f t="shared" si="11"/>
        <v>7</v>
      </c>
      <c r="AA19" s="17">
        <f t="shared" si="11"/>
        <v>5</v>
      </c>
      <c r="AB19" s="17">
        <f t="shared" si="11"/>
        <v>2</v>
      </c>
      <c r="AC19" s="17">
        <f t="shared" si="11"/>
        <v>330</v>
      </c>
      <c r="AD19" s="17">
        <f t="shared" si="11"/>
        <v>0</v>
      </c>
      <c r="AE19" s="31">
        <f t="shared" si="11"/>
        <v>177</v>
      </c>
      <c r="AF19" s="31">
        <f t="shared" si="11"/>
        <v>507</v>
      </c>
    </row>
    <row r="20" spans="2:32" ht="23.1" customHeight="1" x14ac:dyDescent="0.25">
      <c r="B20" s="23" t="s">
        <v>47</v>
      </c>
      <c r="C20" s="50">
        <v>11</v>
      </c>
      <c r="D20" s="50">
        <v>0</v>
      </c>
      <c r="E20" s="50">
        <v>3</v>
      </c>
      <c r="F20" s="50">
        <v>22</v>
      </c>
      <c r="G20" s="50">
        <v>0</v>
      </c>
      <c r="H20" s="50">
        <v>3</v>
      </c>
      <c r="I20" s="50">
        <v>5</v>
      </c>
      <c r="J20" s="50">
        <v>2</v>
      </c>
      <c r="K20" s="50">
        <v>0</v>
      </c>
      <c r="L20" s="50">
        <v>0</v>
      </c>
      <c r="M20" s="50">
        <v>88</v>
      </c>
      <c r="N20" s="50">
        <v>0</v>
      </c>
      <c r="O20" s="15">
        <f t="shared" si="0"/>
        <v>46</v>
      </c>
      <c r="P20" s="15">
        <f t="shared" si="1"/>
        <v>134</v>
      </c>
      <c r="R20" s="1" t="s">
        <v>16</v>
      </c>
      <c r="S20" s="17">
        <f t="shared" ref="S20:AF20" si="12">SUM(C50:C53)</f>
        <v>93</v>
      </c>
      <c r="T20" s="17">
        <f t="shared" si="12"/>
        <v>54</v>
      </c>
      <c r="U20" s="17">
        <f t="shared" si="12"/>
        <v>20</v>
      </c>
      <c r="V20" s="17">
        <f t="shared" si="12"/>
        <v>77</v>
      </c>
      <c r="W20" s="17">
        <f t="shared" si="12"/>
        <v>3</v>
      </c>
      <c r="X20" s="17">
        <f t="shared" si="12"/>
        <v>6</v>
      </c>
      <c r="Y20" s="17">
        <f t="shared" si="12"/>
        <v>19</v>
      </c>
      <c r="Z20" s="17">
        <f t="shared" si="12"/>
        <v>12</v>
      </c>
      <c r="AA20" s="17">
        <f t="shared" si="12"/>
        <v>3</v>
      </c>
      <c r="AB20" s="17">
        <f t="shared" si="12"/>
        <v>3</v>
      </c>
      <c r="AC20" s="17">
        <f t="shared" si="12"/>
        <v>357</v>
      </c>
      <c r="AD20" s="17">
        <f t="shared" si="12"/>
        <v>0</v>
      </c>
      <c r="AE20" s="31">
        <f t="shared" si="12"/>
        <v>290</v>
      </c>
      <c r="AF20" s="31">
        <f t="shared" si="12"/>
        <v>647</v>
      </c>
    </row>
    <row r="21" spans="2:32" ht="23.1" customHeight="1" x14ac:dyDescent="0.25">
      <c r="B21" s="23" t="s">
        <v>48</v>
      </c>
      <c r="C21" s="50">
        <v>9</v>
      </c>
      <c r="D21" s="50">
        <v>2</v>
      </c>
      <c r="E21" s="50">
        <v>2</v>
      </c>
      <c r="F21" s="50">
        <v>15</v>
      </c>
      <c r="G21" s="50">
        <v>2</v>
      </c>
      <c r="H21" s="50">
        <v>1</v>
      </c>
      <c r="I21" s="50">
        <v>6</v>
      </c>
      <c r="J21" s="50">
        <v>2</v>
      </c>
      <c r="K21" s="50">
        <v>1</v>
      </c>
      <c r="L21" s="50">
        <v>0</v>
      </c>
      <c r="M21" s="50">
        <v>127</v>
      </c>
      <c r="N21" s="50">
        <v>0</v>
      </c>
      <c r="O21" s="15">
        <f t="shared" si="0"/>
        <v>40</v>
      </c>
      <c r="P21" s="15">
        <f t="shared" si="1"/>
        <v>167</v>
      </c>
      <c r="R21" s="36" t="s">
        <v>20</v>
      </c>
      <c r="S21" s="34">
        <f t="shared" ref="S21:AF21" si="13">SUM(C54:C57)</f>
        <v>124</v>
      </c>
      <c r="T21" s="17">
        <f t="shared" si="13"/>
        <v>91</v>
      </c>
      <c r="U21" s="17">
        <f t="shared" si="13"/>
        <v>24</v>
      </c>
      <c r="V21" s="17">
        <f t="shared" si="13"/>
        <v>97</v>
      </c>
      <c r="W21" s="17">
        <f t="shared" si="13"/>
        <v>5</v>
      </c>
      <c r="X21" s="17">
        <f t="shared" si="13"/>
        <v>1</v>
      </c>
      <c r="Y21" s="17">
        <f t="shared" si="13"/>
        <v>42</v>
      </c>
      <c r="Z21" s="17">
        <f t="shared" si="13"/>
        <v>16</v>
      </c>
      <c r="AA21" s="17">
        <f t="shared" si="13"/>
        <v>6</v>
      </c>
      <c r="AB21" s="17">
        <f t="shared" si="13"/>
        <v>2</v>
      </c>
      <c r="AC21" s="17">
        <f t="shared" si="13"/>
        <v>357</v>
      </c>
      <c r="AD21" s="17">
        <f t="shared" si="13"/>
        <v>0</v>
      </c>
      <c r="AE21" s="31">
        <f t="shared" si="13"/>
        <v>408</v>
      </c>
      <c r="AF21" s="31">
        <f t="shared" si="13"/>
        <v>765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1</v>
      </c>
      <c r="F22" s="50">
        <v>11</v>
      </c>
      <c r="G22" s="50">
        <v>0</v>
      </c>
      <c r="H22" s="50">
        <v>0</v>
      </c>
      <c r="I22" s="50">
        <v>7</v>
      </c>
      <c r="J22" s="50">
        <v>3</v>
      </c>
      <c r="K22" s="50">
        <v>1</v>
      </c>
      <c r="L22" s="50">
        <v>0</v>
      </c>
      <c r="M22" s="50">
        <v>129</v>
      </c>
      <c r="N22" s="50">
        <v>0</v>
      </c>
      <c r="O22" s="15">
        <f t="shared" si="0"/>
        <v>28</v>
      </c>
      <c r="P22" s="15">
        <f t="shared" si="1"/>
        <v>157</v>
      </c>
      <c r="R22" s="38" t="s">
        <v>90</v>
      </c>
      <c r="S22" s="39">
        <f>MAX(S10:S12)</f>
        <v>40</v>
      </c>
      <c r="T22" s="39">
        <f t="shared" ref="T22:AF22" si="14">MAX(T10:T12)</f>
        <v>8</v>
      </c>
      <c r="U22" s="39">
        <f t="shared" si="14"/>
        <v>8</v>
      </c>
      <c r="V22" s="39">
        <f t="shared" si="14"/>
        <v>85</v>
      </c>
      <c r="W22" s="39">
        <f t="shared" si="14"/>
        <v>2</v>
      </c>
      <c r="X22" s="39">
        <f t="shared" si="14"/>
        <v>5</v>
      </c>
      <c r="Y22" s="39">
        <f t="shared" si="14"/>
        <v>14</v>
      </c>
      <c r="Z22" s="39">
        <f t="shared" si="14"/>
        <v>13</v>
      </c>
      <c r="AA22" s="39">
        <f t="shared" si="14"/>
        <v>2</v>
      </c>
      <c r="AB22" s="39">
        <f t="shared" si="14"/>
        <v>2</v>
      </c>
      <c r="AC22" s="39">
        <f t="shared" si="14"/>
        <v>413</v>
      </c>
      <c r="AD22" s="39">
        <f t="shared" si="14"/>
        <v>0</v>
      </c>
      <c r="AE22" s="40">
        <f t="shared" si="14"/>
        <v>164</v>
      </c>
      <c r="AF22" s="40">
        <f t="shared" si="14"/>
        <v>577</v>
      </c>
    </row>
    <row r="23" spans="2:32" ht="23.1" customHeight="1" x14ac:dyDescent="0.25">
      <c r="B23" s="23" t="s">
        <v>50</v>
      </c>
      <c r="C23" s="50">
        <v>8</v>
      </c>
      <c r="D23" s="50">
        <v>4</v>
      </c>
      <c r="E23" s="50">
        <v>3</v>
      </c>
      <c r="F23" s="50">
        <v>5</v>
      </c>
      <c r="G23" s="50">
        <v>1</v>
      </c>
      <c r="H23" s="50">
        <v>1</v>
      </c>
      <c r="I23" s="50">
        <v>10</v>
      </c>
      <c r="J23" s="50">
        <v>4</v>
      </c>
      <c r="K23" s="50">
        <v>0</v>
      </c>
      <c r="L23" s="50">
        <v>1</v>
      </c>
      <c r="M23" s="50">
        <v>83</v>
      </c>
      <c r="N23" s="50">
        <v>0</v>
      </c>
      <c r="O23" s="15">
        <f t="shared" si="0"/>
        <v>37</v>
      </c>
      <c r="P23" s="15">
        <f t="shared" si="1"/>
        <v>120</v>
      </c>
      <c r="R23" s="38" t="s">
        <v>91</v>
      </c>
      <c r="S23" s="39">
        <f>MAX(S13:S18)</f>
        <v>52</v>
      </c>
      <c r="T23" s="39">
        <f t="shared" ref="T23:AF23" si="15">MAX(T13:T18)</f>
        <v>17</v>
      </c>
      <c r="U23" s="39">
        <f t="shared" si="15"/>
        <v>12</v>
      </c>
      <c r="V23" s="39">
        <f t="shared" si="15"/>
        <v>57</v>
      </c>
      <c r="W23" s="39">
        <f t="shared" si="15"/>
        <v>5</v>
      </c>
      <c r="X23" s="39">
        <f t="shared" si="15"/>
        <v>2</v>
      </c>
      <c r="Y23" s="39">
        <f t="shared" si="15"/>
        <v>36</v>
      </c>
      <c r="Z23" s="39">
        <f t="shared" si="15"/>
        <v>14</v>
      </c>
      <c r="AA23" s="39">
        <f t="shared" si="15"/>
        <v>4</v>
      </c>
      <c r="AB23" s="39">
        <f t="shared" si="15"/>
        <v>2</v>
      </c>
      <c r="AC23" s="39">
        <f t="shared" si="15"/>
        <v>396</v>
      </c>
      <c r="AD23" s="39">
        <f t="shared" si="15"/>
        <v>0</v>
      </c>
      <c r="AE23" s="40">
        <f t="shared" si="15"/>
        <v>170</v>
      </c>
      <c r="AF23" s="40">
        <f t="shared" si="15"/>
        <v>541</v>
      </c>
    </row>
    <row r="24" spans="2:32" ht="23.1" customHeight="1" x14ac:dyDescent="0.25">
      <c r="B24" s="23" t="s">
        <v>51</v>
      </c>
      <c r="C24" s="50">
        <v>13</v>
      </c>
      <c r="D24" s="50">
        <v>1</v>
      </c>
      <c r="E24" s="50">
        <v>1</v>
      </c>
      <c r="F24" s="50">
        <v>15</v>
      </c>
      <c r="G24" s="50">
        <v>0</v>
      </c>
      <c r="H24" s="50">
        <v>1</v>
      </c>
      <c r="I24" s="50">
        <v>3</v>
      </c>
      <c r="J24" s="50">
        <v>2</v>
      </c>
      <c r="K24" s="50">
        <v>0</v>
      </c>
      <c r="L24" s="50">
        <v>1</v>
      </c>
      <c r="M24" s="50">
        <v>105</v>
      </c>
      <c r="N24" s="50">
        <v>0</v>
      </c>
      <c r="O24" s="15">
        <f t="shared" si="0"/>
        <v>37</v>
      </c>
      <c r="P24" s="15">
        <f t="shared" si="1"/>
        <v>142</v>
      </c>
      <c r="R24" s="38" t="s">
        <v>92</v>
      </c>
      <c r="S24" s="39">
        <f>MAX(S19:S21)</f>
        <v>124</v>
      </c>
      <c r="T24" s="39">
        <f t="shared" ref="T24:AF24" si="16">MAX(T19:T21)</f>
        <v>91</v>
      </c>
      <c r="U24" s="39">
        <f t="shared" si="16"/>
        <v>24</v>
      </c>
      <c r="V24" s="39">
        <f t="shared" si="16"/>
        <v>97</v>
      </c>
      <c r="W24" s="39">
        <f t="shared" si="16"/>
        <v>5</v>
      </c>
      <c r="X24" s="39">
        <f t="shared" si="16"/>
        <v>6</v>
      </c>
      <c r="Y24" s="39">
        <f t="shared" si="16"/>
        <v>42</v>
      </c>
      <c r="Z24" s="39">
        <f t="shared" si="16"/>
        <v>16</v>
      </c>
      <c r="AA24" s="39">
        <f t="shared" si="16"/>
        <v>6</v>
      </c>
      <c r="AB24" s="39">
        <f t="shared" si="16"/>
        <v>3</v>
      </c>
      <c r="AC24" s="39">
        <f t="shared" si="16"/>
        <v>357</v>
      </c>
      <c r="AD24" s="39">
        <f t="shared" si="16"/>
        <v>0</v>
      </c>
      <c r="AE24" s="40">
        <f t="shared" si="16"/>
        <v>408</v>
      </c>
      <c r="AF24" s="40">
        <f t="shared" si="16"/>
        <v>765</v>
      </c>
    </row>
    <row r="25" spans="2:32" ht="23.1" customHeight="1" x14ac:dyDescent="0.25">
      <c r="B25" s="23" t="s">
        <v>52</v>
      </c>
      <c r="C25" s="50">
        <v>9</v>
      </c>
      <c r="D25" s="50">
        <v>0</v>
      </c>
      <c r="E25" s="50">
        <v>2</v>
      </c>
      <c r="F25" s="50">
        <v>13</v>
      </c>
      <c r="G25" s="50">
        <v>0</v>
      </c>
      <c r="H25" s="50">
        <v>0</v>
      </c>
      <c r="I25" s="50">
        <v>8</v>
      </c>
      <c r="J25" s="50">
        <v>0</v>
      </c>
      <c r="K25" s="50">
        <v>3</v>
      </c>
      <c r="L25" s="50">
        <v>0</v>
      </c>
      <c r="M25" s="50">
        <v>79</v>
      </c>
      <c r="N25" s="50">
        <v>0</v>
      </c>
      <c r="O25" s="15">
        <f t="shared" si="0"/>
        <v>35</v>
      </c>
      <c r="P25" s="15">
        <f t="shared" si="1"/>
        <v>114</v>
      </c>
      <c r="R25" s="37" t="s">
        <v>85</v>
      </c>
      <c r="S25" s="35">
        <f t="shared" ref="S25:AF25" si="17">SUM(S10:S12)</f>
        <v>114</v>
      </c>
      <c r="T25" s="16">
        <f t="shared" si="17"/>
        <v>11</v>
      </c>
      <c r="U25" s="16">
        <f t="shared" si="17"/>
        <v>16</v>
      </c>
      <c r="V25" s="16">
        <f t="shared" si="17"/>
        <v>214</v>
      </c>
      <c r="W25" s="16">
        <f t="shared" si="17"/>
        <v>4</v>
      </c>
      <c r="X25" s="16">
        <f t="shared" si="17"/>
        <v>5</v>
      </c>
      <c r="Y25" s="16">
        <f t="shared" si="17"/>
        <v>38</v>
      </c>
      <c r="Z25" s="16">
        <f t="shared" si="17"/>
        <v>25</v>
      </c>
      <c r="AA25" s="16">
        <f t="shared" si="17"/>
        <v>5</v>
      </c>
      <c r="AB25" s="16">
        <f t="shared" si="17"/>
        <v>2</v>
      </c>
      <c r="AC25" s="16">
        <f t="shared" si="17"/>
        <v>1115</v>
      </c>
      <c r="AD25" s="16">
        <f t="shared" si="17"/>
        <v>0</v>
      </c>
      <c r="AE25" s="32">
        <f t="shared" si="17"/>
        <v>434</v>
      </c>
      <c r="AF25" s="32">
        <f t="shared" si="17"/>
        <v>1549</v>
      </c>
    </row>
    <row r="26" spans="2:32" ht="23.1" customHeight="1" x14ac:dyDescent="0.25">
      <c r="B26" s="23" t="s">
        <v>53</v>
      </c>
      <c r="C26" s="50">
        <v>18</v>
      </c>
      <c r="D26" s="50">
        <v>2</v>
      </c>
      <c r="E26" s="50">
        <v>1</v>
      </c>
      <c r="F26" s="50">
        <v>24</v>
      </c>
      <c r="G26" s="50">
        <v>0</v>
      </c>
      <c r="H26" s="50">
        <v>1</v>
      </c>
      <c r="I26" s="50">
        <v>9</v>
      </c>
      <c r="J26" s="50">
        <v>0</v>
      </c>
      <c r="K26" s="50">
        <v>0</v>
      </c>
      <c r="L26" s="50">
        <v>2</v>
      </c>
      <c r="M26" s="50">
        <v>84</v>
      </c>
      <c r="N26" s="50">
        <v>0</v>
      </c>
      <c r="O26" s="15">
        <f t="shared" si="0"/>
        <v>57</v>
      </c>
      <c r="P26" s="15">
        <f t="shared" si="1"/>
        <v>141</v>
      </c>
      <c r="R26" s="28" t="s">
        <v>86</v>
      </c>
      <c r="S26" s="16">
        <f t="shared" ref="S26:AF26" si="18">SUM(S13:S18)</f>
        <v>250</v>
      </c>
      <c r="T26" s="16">
        <f t="shared" si="18"/>
        <v>53</v>
      </c>
      <c r="U26" s="16">
        <f t="shared" si="18"/>
        <v>48</v>
      </c>
      <c r="V26" s="16">
        <f t="shared" si="18"/>
        <v>258</v>
      </c>
      <c r="W26" s="16">
        <f t="shared" si="18"/>
        <v>12</v>
      </c>
      <c r="X26" s="16">
        <f t="shared" si="18"/>
        <v>8</v>
      </c>
      <c r="Y26" s="16">
        <f t="shared" si="18"/>
        <v>130</v>
      </c>
      <c r="Z26" s="16">
        <f t="shared" si="18"/>
        <v>42</v>
      </c>
      <c r="AA26" s="16">
        <f t="shared" si="18"/>
        <v>21</v>
      </c>
      <c r="AB26" s="16">
        <f t="shared" si="18"/>
        <v>9</v>
      </c>
      <c r="AC26" s="16">
        <f t="shared" si="18"/>
        <v>1922</v>
      </c>
      <c r="AD26" s="16">
        <f t="shared" si="18"/>
        <v>0</v>
      </c>
      <c r="AE26" s="32">
        <f t="shared" si="18"/>
        <v>831</v>
      </c>
      <c r="AF26" s="32">
        <f t="shared" si="18"/>
        <v>2753</v>
      </c>
    </row>
    <row r="27" spans="2:32" ht="23.1" customHeight="1" x14ac:dyDescent="0.25">
      <c r="B27" s="23" t="s">
        <v>54</v>
      </c>
      <c r="C27" s="50">
        <v>9</v>
      </c>
      <c r="D27" s="50">
        <v>5</v>
      </c>
      <c r="E27" s="50">
        <v>3</v>
      </c>
      <c r="F27" s="50">
        <v>9</v>
      </c>
      <c r="G27" s="50">
        <v>0</v>
      </c>
      <c r="H27" s="50">
        <v>0</v>
      </c>
      <c r="I27" s="50">
        <v>3</v>
      </c>
      <c r="J27" s="50">
        <v>2</v>
      </c>
      <c r="K27" s="50">
        <v>0</v>
      </c>
      <c r="L27" s="50">
        <v>0</v>
      </c>
      <c r="M27" s="50">
        <v>74</v>
      </c>
      <c r="N27" s="50">
        <v>0</v>
      </c>
      <c r="O27" s="15">
        <f t="shared" si="0"/>
        <v>31</v>
      </c>
      <c r="P27" s="15">
        <f t="shared" si="1"/>
        <v>105</v>
      </c>
      <c r="R27" s="29" t="s">
        <v>87</v>
      </c>
      <c r="S27" s="16">
        <f t="shared" ref="S27:AF27" si="19">SUM(S19:S21)</f>
        <v>276</v>
      </c>
      <c r="T27" s="16">
        <f t="shared" si="19"/>
        <v>165</v>
      </c>
      <c r="U27" s="16">
        <f t="shared" si="19"/>
        <v>57</v>
      </c>
      <c r="V27" s="16">
        <f t="shared" si="19"/>
        <v>214</v>
      </c>
      <c r="W27" s="16">
        <f t="shared" si="19"/>
        <v>12</v>
      </c>
      <c r="X27" s="16">
        <f t="shared" si="19"/>
        <v>8</v>
      </c>
      <c r="Y27" s="16">
        <f t="shared" si="19"/>
        <v>87</v>
      </c>
      <c r="Z27" s="16">
        <f t="shared" si="19"/>
        <v>35</v>
      </c>
      <c r="AA27" s="16">
        <f t="shared" si="19"/>
        <v>14</v>
      </c>
      <c r="AB27" s="16">
        <f t="shared" si="19"/>
        <v>7</v>
      </c>
      <c r="AC27" s="16">
        <f t="shared" si="19"/>
        <v>1044</v>
      </c>
      <c r="AD27" s="16">
        <f t="shared" si="19"/>
        <v>0</v>
      </c>
      <c r="AE27" s="32">
        <f t="shared" si="19"/>
        <v>875</v>
      </c>
      <c r="AF27" s="32">
        <f t="shared" si="19"/>
        <v>1919</v>
      </c>
    </row>
    <row r="28" spans="2:32" ht="23.1" customHeight="1" x14ac:dyDescent="0.25">
      <c r="B28" s="23" t="s">
        <v>55</v>
      </c>
      <c r="C28" s="50">
        <v>15</v>
      </c>
      <c r="D28" s="50">
        <v>0</v>
      </c>
      <c r="E28" s="50">
        <v>4</v>
      </c>
      <c r="F28" s="50">
        <v>15</v>
      </c>
      <c r="G28" s="50">
        <v>0</v>
      </c>
      <c r="H28" s="50">
        <v>0</v>
      </c>
      <c r="I28" s="50">
        <v>4</v>
      </c>
      <c r="J28" s="50">
        <v>3</v>
      </c>
      <c r="K28" s="50">
        <v>1</v>
      </c>
      <c r="L28" s="50">
        <v>0</v>
      </c>
      <c r="M28" s="50">
        <v>65</v>
      </c>
      <c r="N28" s="50">
        <v>0</v>
      </c>
      <c r="O28" s="15">
        <f t="shared" si="0"/>
        <v>42</v>
      </c>
      <c r="P28" s="15">
        <f t="shared" si="1"/>
        <v>107</v>
      </c>
      <c r="R28" s="5" t="s">
        <v>17</v>
      </c>
      <c r="S28" s="16">
        <f t="shared" ref="S28:AF28" si="20">SUM(S10:S21)</f>
        <v>640</v>
      </c>
      <c r="T28" s="16">
        <f t="shared" si="20"/>
        <v>229</v>
      </c>
      <c r="U28" s="16">
        <f t="shared" si="20"/>
        <v>121</v>
      </c>
      <c r="V28" s="16">
        <f t="shared" si="20"/>
        <v>686</v>
      </c>
      <c r="W28" s="16">
        <f t="shared" si="20"/>
        <v>28</v>
      </c>
      <c r="X28" s="16">
        <f t="shared" si="20"/>
        <v>21</v>
      </c>
      <c r="Y28" s="16">
        <f t="shared" si="20"/>
        <v>255</v>
      </c>
      <c r="Z28" s="16">
        <f t="shared" si="20"/>
        <v>102</v>
      </c>
      <c r="AA28" s="16">
        <f t="shared" si="20"/>
        <v>40</v>
      </c>
      <c r="AB28" s="16">
        <f t="shared" si="20"/>
        <v>18</v>
      </c>
      <c r="AC28" s="16">
        <f t="shared" si="20"/>
        <v>4081</v>
      </c>
      <c r="AD28" s="16">
        <f t="shared" si="20"/>
        <v>0</v>
      </c>
      <c r="AE28" s="32">
        <f t="shared" si="20"/>
        <v>2140</v>
      </c>
      <c r="AF28" s="32">
        <f t="shared" si="20"/>
        <v>6221</v>
      </c>
    </row>
    <row r="29" spans="2:32" ht="23.1" customHeight="1" x14ac:dyDescent="0.25">
      <c r="B29" s="23" t="s">
        <v>56</v>
      </c>
      <c r="C29" s="50">
        <v>8</v>
      </c>
      <c r="D29" s="50">
        <v>4</v>
      </c>
      <c r="E29" s="50">
        <v>0</v>
      </c>
      <c r="F29" s="50">
        <v>9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42</v>
      </c>
      <c r="N29" s="50">
        <v>0</v>
      </c>
      <c r="O29" s="15">
        <f t="shared" si="0"/>
        <v>23</v>
      </c>
      <c r="P29" s="15">
        <f t="shared" si="1"/>
        <v>65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1</v>
      </c>
      <c r="E30" s="50">
        <v>2</v>
      </c>
      <c r="F30" s="50">
        <v>8</v>
      </c>
      <c r="G30" s="50">
        <v>0</v>
      </c>
      <c r="H30" s="50">
        <v>0</v>
      </c>
      <c r="I30" s="50">
        <v>3</v>
      </c>
      <c r="J30" s="50">
        <v>2</v>
      </c>
      <c r="K30" s="50">
        <v>2</v>
      </c>
      <c r="L30" s="50">
        <v>2</v>
      </c>
      <c r="M30" s="50">
        <v>63</v>
      </c>
      <c r="N30" s="50">
        <v>0</v>
      </c>
      <c r="O30" s="15">
        <f t="shared" si="0"/>
        <v>30</v>
      </c>
      <c r="P30" s="15">
        <f t="shared" si="1"/>
        <v>93</v>
      </c>
    </row>
    <row r="31" spans="2:32" ht="23.1" customHeight="1" x14ac:dyDescent="0.25">
      <c r="B31" s="24" t="s">
        <v>58</v>
      </c>
      <c r="C31" s="50">
        <v>5</v>
      </c>
      <c r="D31" s="50">
        <v>1</v>
      </c>
      <c r="E31" s="50">
        <v>1</v>
      </c>
      <c r="F31" s="50">
        <v>9</v>
      </c>
      <c r="G31" s="50">
        <v>2</v>
      </c>
      <c r="H31" s="50">
        <v>1</v>
      </c>
      <c r="I31" s="50">
        <v>3</v>
      </c>
      <c r="J31" s="50">
        <v>1</v>
      </c>
      <c r="K31" s="50">
        <v>1</v>
      </c>
      <c r="L31" s="50">
        <v>0</v>
      </c>
      <c r="M31" s="50">
        <v>63</v>
      </c>
      <c r="N31" s="50">
        <v>0</v>
      </c>
      <c r="O31" s="15">
        <f t="shared" si="0"/>
        <v>24</v>
      </c>
      <c r="P31" s="15">
        <f t="shared" si="1"/>
        <v>87</v>
      </c>
    </row>
    <row r="32" spans="2:32" ht="23.1" customHeight="1" x14ac:dyDescent="0.25">
      <c r="B32" s="24" t="s">
        <v>59</v>
      </c>
      <c r="C32" s="50">
        <v>9</v>
      </c>
      <c r="D32" s="50">
        <v>1</v>
      </c>
      <c r="E32" s="50">
        <v>1</v>
      </c>
      <c r="F32" s="50">
        <v>10</v>
      </c>
      <c r="G32" s="50">
        <v>3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87</v>
      </c>
      <c r="N32" s="50">
        <v>0</v>
      </c>
      <c r="O32" s="15">
        <f t="shared" si="0"/>
        <v>24</v>
      </c>
      <c r="P32" s="15">
        <f t="shared" si="1"/>
        <v>111</v>
      </c>
    </row>
    <row r="33" spans="2:20" ht="23.1" customHeight="1" x14ac:dyDescent="0.25">
      <c r="B33" s="23" t="s">
        <v>60</v>
      </c>
      <c r="C33" s="50">
        <v>21</v>
      </c>
      <c r="D33" s="50">
        <v>0</v>
      </c>
      <c r="E33" s="50">
        <v>4</v>
      </c>
      <c r="F33" s="50">
        <v>15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0</v>
      </c>
      <c r="M33" s="50">
        <v>64</v>
      </c>
      <c r="N33" s="50">
        <v>0</v>
      </c>
      <c r="O33" s="15">
        <f t="shared" si="0"/>
        <v>41</v>
      </c>
      <c r="P33" s="15">
        <f t="shared" si="1"/>
        <v>105</v>
      </c>
    </row>
    <row r="34" spans="2:20" ht="23.1" customHeight="1" x14ac:dyDescent="0.25">
      <c r="B34" s="24" t="s">
        <v>61</v>
      </c>
      <c r="C34" s="50">
        <v>9</v>
      </c>
      <c r="D34" s="50">
        <v>0</v>
      </c>
      <c r="E34" s="50">
        <v>0</v>
      </c>
      <c r="F34" s="50">
        <v>8</v>
      </c>
      <c r="G34" s="50">
        <v>1</v>
      </c>
      <c r="H34" s="50">
        <v>0</v>
      </c>
      <c r="I34" s="50">
        <v>1</v>
      </c>
      <c r="J34" s="50">
        <v>3</v>
      </c>
      <c r="K34" s="50">
        <v>0</v>
      </c>
      <c r="L34" s="50">
        <v>0</v>
      </c>
      <c r="M34" s="50">
        <v>71</v>
      </c>
      <c r="N34" s="50">
        <v>0</v>
      </c>
      <c r="O34" s="15">
        <f t="shared" si="0"/>
        <v>22</v>
      </c>
      <c r="P34" s="15">
        <f t="shared" si="1"/>
        <v>93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0</v>
      </c>
      <c r="F35" s="50">
        <v>11</v>
      </c>
      <c r="G35" s="50">
        <v>0</v>
      </c>
      <c r="H35" s="50">
        <v>0</v>
      </c>
      <c r="I35" s="50">
        <v>2</v>
      </c>
      <c r="J35" s="50">
        <v>0</v>
      </c>
      <c r="K35" s="50">
        <v>1</v>
      </c>
      <c r="L35" s="50">
        <v>0</v>
      </c>
      <c r="M35" s="50">
        <v>68</v>
      </c>
      <c r="N35" s="50">
        <v>0</v>
      </c>
      <c r="O35" s="15">
        <f t="shared" si="0"/>
        <v>17</v>
      </c>
      <c r="P35" s="15">
        <f t="shared" si="1"/>
        <v>85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2</v>
      </c>
      <c r="F36" s="50">
        <v>4</v>
      </c>
      <c r="G36" s="50">
        <v>1</v>
      </c>
      <c r="H36" s="50">
        <v>0</v>
      </c>
      <c r="I36" s="50">
        <v>10</v>
      </c>
      <c r="J36" s="50">
        <v>2</v>
      </c>
      <c r="K36" s="50">
        <v>2</v>
      </c>
      <c r="L36" s="50">
        <v>1</v>
      </c>
      <c r="M36" s="50">
        <v>72</v>
      </c>
      <c r="N36" s="50">
        <v>0</v>
      </c>
      <c r="O36" s="15">
        <f t="shared" si="0"/>
        <v>26</v>
      </c>
      <c r="P36" s="15">
        <f t="shared" si="1"/>
        <v>98</v>
      </c>
    </row>
    <row r="37" spans="2:20" ht="23.1" customHeight="1" x14ac:dyDescent="0.25">
      <c r="B37" s="23" t="s">
        <v>64</v>
      </c>
      <c r="C37" s="50">
        <v>13</v>
      </c>
      <c r="D37" s="50">
        <v>2</v>
      </c>
      <c r="E37" s="50">
        <v>3</v>
      </c>
      <c r="F37" s="50">
        <v>3</v>
      </c>
      <c r="G37" s="50">
        <v>0</v>
      </c>
      <c r="H37" s="50">
        <v>1</v>
      </c>
      <c r="I37" s="50">
        <v>7</v>
      </c>
      <c r="J37" s="50">
        <v>0</v>
      </c>
      <c r="K37" s="50">
        <v>0</v>
      </c>
      <c r="L37" s="50">
        <v>0</v>
      </c>
      <c r="M37" s="50">
        <v>68</v>
      </c>
      <c r="N37" s="50">
        <v>0</v>
      </c>
      <c r="O37" s="15">
        <f t="shared" si="0"/>
        <v>29</v>
      </c>
      <c r="P37" s="15">
        <f t="shared" si="1"/>
        <v>97</v>
      </c>
    </row>
    <row r="38" spans="2:20" ht="23.1" customHeight="1" x14ac:dyDescent="0.25">
      <c r="B38" s="24" t="s">
        <v>65</v>
      </c>
      <c r="C38" s="50">
        <v>4</v>
      </c>
      <c r="D38" s="50">
        <v>3</v>
      </c>
      <c r="E38" s="50">
        <v>3</v>
      </c>
      <c r="F38" s="50">
        <v>8</v>
      </c>
      <c r="G38" s="50">
        <v>2</v>
      </c>
      <c r="H38" s="50">
        <v>0</v>
      </c>
      <c r="I38" s="50">
        <v>8</v>
      </c>
      <c r="J38" s="50">
        <v>2</v>
      </c>
      <c r="K38" s="50">
        <v>1</v>
      </c>
      <c r="L38" s="50">
        <v>0</v>
      </c>
      <c r="M38" s="50">
        <v>87</v>
      </c>
      <c r="N38" s="50">
        <v>0</v>
      </c>
      <c r="O38" s="15">
        <f t="shared" si="0"/>
        <v>31</v>
      </c>
      <c r="P38" s="15">
        <f t="shared" si="1"/>
        <v>118</v>
      </c>
    </row>
    <row r="39" spans="2:20" ht="23.1" customHeight="1" x14ac:dyDescent="0.25">
      <c r="B39" s="24" t="s">
        <v>66</v>
      </c>
      <c r="C39" s="50">
        <v>4</v>
      </c>
      <c r="D39" s="50">
        <v>2</v>
      </c>
      <c r="E39" s="50">
        <v>1</v>
      </c>
      <c r="F39" s="50">
        <v>6</v>
      </c>
      <c r="G39" s="50">
        <v>0</v>
      </c>
      <c r="H39" s="50">
        <v>0</v>
      </c>
      <c r="I39" s="50">
        <v>7</v>
      </c>
      <c r="J39" s="50">
        <v>1</v>
      </c>
      <c r="K39" s="50">
        <v>2</v>
      </c>
      <c r="L39" s="50">
        <v>0</v>
      </c>
      <c r="M39" s="50">
        <v>87</v>
      </c>
      <c r="N39" s="50">
        <v>0</v>
      </c>
      <c r="O39" s="15">
        <f t="shared" si="0"/>
        <v>23</v>
      </c>
      <c r="P39" s="15">
        <f t="shared" si="1"/>
        <v>110</v>
      </c>
    </row>
    <row r="40" spans="2:20" ht="23.1" customHeight="1" x14ac:dyDescent="0.25">
      <c r="B40" s="24" t="s">
        <v>67</v>
      </c>
      <c r="C40" s="50">
        <v>13</v>
      </c>
      <c r="D40" s="50">
        <v>3</v>
      </c>
      <c r="E40" s="50">
        <v>3</v>
      </c>
      <c r="F40" s="50">
        <v>11</v>
      </c>
      <c r="G40" s="50">
        <v>0</v>
      </c>
      <c r="H40" s="50">
        <v>0</v>
      </c>
      <c r="I40" s="50">
        <v>12</v>
      </c>
      <c r="J40" s="50">
        <v>0</v>
      </c>
      <c r="K40" s="50">
        <v>1</v>
      </c>
      <c r="L40" s="50">
        <v>2</v>
      </c>
      <c r="M40" s="50">
        <v>86</v>
      </c>
      <c r="N40" s="50">
        <v>0</v>
      </c>
      <c r="O40" s="15">
        <f t="shared" si="0"/>
        <v>45</v>
      </c>
      <c r="P40" s="15">
        <f t="shared" si="1"/>
        <v>131</v>
      </c>
    </row>
    <row r="41" spans="2:20" ht="23.1" customHeight="1" x14ac:dyDescent="0.25">
      <c r="B41" s="23" t="s">
        <v>68</v>
      </c>
      <c r="C41" s="50">
        <v>22</v>
      </c>
      <c r="D41" s="50">
        <v>3</v>
      </c>
      <c r="E41" s="50">
        <v>1</v>
      </c>
      <c r="F41" s="50">
        <v>19</v>
      </c>
      <c r="G41" s="50">
        <v>1</v>
      </c>
      <c r="H41" s="50">
        <v>1</v>
      </c>
      <c r="I41" s="50">
        <v>9</v>
      </c>
      <c r="J41" s="50">
        <v>3</v>
      </c>
      <c r="K41" s="50">
        <v>0</v>
      </c>
      <c r="L41" s="50">
        <v>0</v>
      </c>
      <c r="M41" s="50">
        <v>74</v>
      </c>
      <c r="N41" s="50">
        <v>0</v>
      </c>
      <c r="O41" s="15">
        <f t="shared" si="0"/>
        <v>59</v>
      </c>
      <c r="P41" s="15">
        <f t="shared" si="1"/>
        <v>133</v>
      </c>
    </row>
    <row r="42" spans="2:20" ht="23.1" customHeight="1" x14ac:dyDescent="0.25">
      <c r="B42" s="24" t="s">
        <v>69</v>
      </c>
      <c r="C42" s="50">
        <v>6</v>
      </c>
      <c r="D42" s="50">
        <v>0</v>
      </c>
      <c r="E42" s="50">
        <v>7</v>
      </c>
      <c r="F42" s="50">
        <v>6</v>
      </c>
      <c r="G42" s="50">
        <v>0</v>
      </c>
      <c r="H42" s="50">
        <v>0</v>
      </c>
      <c r="I42" s="50">
        <v>9</v>
      </c>
      <c r="J42" s="50">
        <v>2</v>
      </c>
      <c r="K42" s="50">
        <v>2</v>
      </c>
      <c r="L42" s="50">
        <v>0</v>
      </c>
      <c r="M42" s="50">
        <v>94</v>
      </c>
      <c r="N42" s="50">
        <v>0</v>
      </c>
      <c r="O42" s="15">
        <f t="shared" si="0"/>
        <v>32</v>
      </c>
      <c r="P42" s="15">
        <f t="shared" si="1"/>
        <v>126</v>
      </c>
    </row>
    <row r="43" spans="2:20" ht="23.1" customHeight="1" x14ac:dyDescent="0.25">
      <c r="B43" s="23" t="s">
        <v>70</v>
      </c>
      <c r="C43" s="50">
        <v>12</v>
      </c>
      <c r="D43" s="50">
        <v>4</v>
      </c>
      <c r="E43" s="50">
        <v>2</v>
      </c>
      <c r="F43" s="50">
        <v>7</v>
      </c>
      <c r="G43" s="50">
        <v>0</v>
      </c>
      <c r="H43" s="50">
        <v>1</v>
      </c>
      <c r="I43" s="50">
        <v>3</v>
      </c>
      <c r="J43" s="50">
        <v>5</v>
      </c>
      <c r="K43" s="50">
        <v>1</v>
      </c>
      <c r="L43" s="50">
        <v>0</v>
      </c>
      <c r="M43" s="50">
        <v>72</v>
      </c>
      <c r="N43" s="50">
        <v>0</v>
      </c>
      <c r="O43" s="15">
        <f t="shared" si="0"/>
        <v>35</v>
      </c>
      <c r="P43" s="15">
        <f t="shared" si="1"/>
        <v>107</v>
      </c>
    </row>
    <row r="44" spans="2:20" ht="23.1" customHeight="1" x14ac:dyDescent="0.25">
      <c r="B44" s="25" t="s">
        <v>71</v>
      </c>
      <c r="C44" s="50">
        <v>21</v>
      </c>
      <c r="D44" s="50">
        <v>5</v>
      </c>
      <c r="E44" s="50">
        <v>1</v>
      </c>
      <c r="F44" s="50">
        <v>17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0</v>
      </c>
      <c r="M44" s="50">
        <v>105</v>
      </c>
      <c r="N44" s="50">
        <v>0</v>
      </c>
      <c r="O44" s="15">
        <f t="shared" si="0"/>
        <v>49</v>
      </c>
      <c r="P44" s="15">
        <f t="shared" si="1"/>
        <v>154</v>
      </c>
    </row>
    <row r="45" spans="2:20" ht="23.1" customHeight="1" x14ac:dyDescent="0.25">
      <c r="B45" s="23" t="s">
        <v>72</v>
      </c>
      <c r="C45" s="50">
        <v>13</v>
      </c>
      <c r="D45" s="50">
        <v>8</v>
      </c>
      <c r="E45" s="50">
        <v>2</v>
      </c>
      <c r="F45" s="50">
        <v>15</v>
      </c>
      <c r="G45" s="50">
        <v>1</v>
      </c>
      <c r="H45" s="50">
        <v>1</v>
      </c>
      <c r="I45" s="50">
        <v>8</v>
      </c>
      <c r="J45" s="50">
        <v>5</v>
      </c>
      <c r="K45" s="50">
        <v>1</v>
      </c>
      <c r="L45" s="50">
        <v>0</v>
      </c>
      <c r="M45" s="50">
        <v>100</v>
      </c>
      <c r="N45" s="50">
        <v>0</v>
      </c>
      <c r="O45" s="15">
        <f t="shared" si="0"/>
        <v>54</v>
      </c>
      <c r="P45" s="15">
        <f t="shared" si="1"/>
        <v>154</v>
      </c>
    </row>
    <row r="46" spans="2:20" ht="23.1" customHeight="1" x14ac:dyDescent="0.25">
      <c r="B46" s="24" t="s">
        <v>73</v>
      </c>
      <c r="C46" s="50">
        <v>9</v>
      </c>
      <c r="D46" s="50">
        <v>1</v>
      </c>
      <c r="E46" s="50">
        <v>4</v>
      </c>
      <c r="F46" s="50">
        <v>7</v>
      </c>
      <c r="G46" s="50">
        <v>1</v>
      </c>
      <c r="H46" s="50">
        <v>0</v>
      </c>
      <c r="I46" s="50">
        <v>9</v>
      </c>
      <c r="J46" s="50">
        <v>3</v>
      </c>
      <c r="K46" s="50">
        <v>1</v>
      </c>
      <c r="L46" s="50">
        <v>1</v>
      </c>
      <c r="M46" s="50">
        <v>93</v>
      </c>
      <c r="N46" s="50">
        <v>0</v>
      </c>
      <c r="O46" s="15">
        <f t="shared" si="0"/>
        <v>36</v>
      </c>
      <c r="P46" s="15">
        <f t="shared" si="1"/>
        <v>129</v>
      </c>
      <c r="R46" s="8"/>
      <c r="T46"/>
    </row>
    <row r="47" spans="2:20" ht="23.1" customHeight="1" x14ac:dyDescent="0.25">
      <c r="B47" s="24" t="s">
        <v>74</v>
      </c>
      <c r="C47" s="50">
        <v>21</v>
      </c>
      <c r="D47" s="50">
        <v>3</v>
      </c>
      <c r="E47" s="50">
        <v>5</v>
      </c>
      <c r="F47" s="50">
        <v>9</v>
      </c>
      <c r="G47" s="50">
        <v>1</v>
      </c>
      <c r="H47" s="50">
        <v>0</v>
      </c>
      <c r="I47" s="50">
        <v>6</v>
      </c>
      <c r="J47" s="50">
        <v>0</v>
      </c>
      <c r="K47" s="50">
        <v>2</v>
      </c>
      <c r="L47" s="50">
        <v>1</v>
      </c>
      <c r="M47" s="50">
        <v>100</v>
      </c>
      <c r="N47" s="50">
        <v>0</v>
      </c>
      <c r="O47" s="15">
        <f t="shared" si="0"/>
        <v>48</v>
      </c>
      <c r="P47" s="15">
        <f t="shared" si="1"/>
        <v>148</v>
      </c>
      <c r="R47" s="8"/>
      <c r="T47"/>
    </row>
    <row r="48" spans="2:20" ht="23.1" customHeight="1" x14ac:dyDescent="0.25">
      <c r="B48" s="24" t="s">
        <v>75</v>
      </c>
      <c r="C48" s="50">
        <v>15</v>
      </c>
      <c r="D48" s="50">
        <v>13</v>
      </c>
      <c r="E48" s="50">
        <v>3</v>
      </c>
      <c r="F48" s="50">
        <v>11</v>
      </c>
      <c r="G48" s="50">
        <v>0</v>
      </c>
      <c r="H48" s="50">
        <v>1</v>
      </c>
      <c r="I48" s="50">
        <v>9</v>
      </c>
      <c r="J48" s="50">
        <v>1</v>
      </c>
      <c r="K48" s="50">
        <v>2</v>
      </c>
      <c r="L48" s="50">
        <v>0</v>
      </c>
      <c r="M48" s="50">
        <v>103</v>
      </c>
      <c r="N48" s="50">
        <v>0</v>
      </c>
      <c r="O48" s="15">
        <f t="shared" si="0"/>
        <v>55</v>
      </c>
      <c r="P48" s="15">
        <f t="shared" si="1"/>
        <v>158</v>
      </c>
      <c r="R48" s="8"/>
      <c r="T48"/>
    </row>
    <row r="49" spans="2:20" ht="23.1" customHeight="1" x14ac:dyDescent="0.25">
      <c r="B49" s="23" t="s">
        <v>76</v>
      </c>
      <c r="C49" s="50">
        <v>14</v>
      </c>
      <c r="D49" s="50">
        <v>3</v>
      </c>
      <c r="E49" s="50">
        <v>1</v>
      </c>
      <c r="F49" s="50">
        <v>13</v>
      </c>
      <c r="G49" s="50">
        <v>2</v>
      </c>
      <c r="H49" s="50">
        <v>0</v>
      </c>
      <c r="I49" s="50">
        <v>2</v>
      </c>
      <c r="J49" s="50">
        <v>3</v>
      </c>
      <c r="K49" s="50">
        <v>0</v>
      </c>
      <c r="L49" s="50">
        <v>0</v>
      </c>
      <c r="M49" s="50">
        <v>34</v>
      </c>
      <c r="N49" s="50">
        <v>0</v>
      </c>
      <c r="O49" s="15">
        <f t="shared" si="0"/>
        <v>38</v>
      </c>
      <c r="P49" s="15">
        <f t="shared" si="1"/>
        <v>72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12</v>
      </c>
      <c r="E50" s="50">
        <v>4</v>
      </c>
      <c r="F50" s="50">
        <v>11</v>
      </c>
      <c r="G50" s="50">
        <v>0</v>
      </c>
      <c r="H50" s="50">
        <v>1</v>
      </c>
      <c r="I50" s="50">
        <v>6</v>
      </c>
      <c r="J50" s="50">
        <v>3</v>
      </c>
      <c r="K50" s="50">
        <v>0</v>
      </c>
      <c r="L50" s="50">
        <v>0</v>
      </c>
      <c r="M50" s="50">
        <v>87</v>
      </c>
      <c r="N50" s="50">
        <v>0</v>
      </c>
      <c r="O50" s="15">
        <f t="shared" si="0"/>
        <v>54</v>
      </c>
      <c r="P50" s="15">
        <f t="shared" si="1"/>
        <v>141</v>
      </c>
      <c r="R50" s="8"/>
      <c r="T50"/>
    </row>
    <row r="51" spans="2:20" ht="23.1" customHeight="1" x14ac:dyDescent="0.25">
      <c r="B51" s="24" t="s">
        <v>78</v>
      </c>
      <c r="C51" s="50">
        <v>35</v>
      </c>
      <c r="D51" s="50">
        <v>18</v>
      </c>
      <c r="E51" s="50">
        <v>4</v>
      </c>
      <c r="F51" s="50">
        <v>15</v>
      </c>
      <c r="G51" s="50">
        <v>0</v>
      </c>
      <c r="H51" s="50">
        <v>1</v>
      </c>
      <c r="I51" s="50">
        <v>8</v>
      </c>
      <c r="J51" s="50">
        <v>3</v>
      </c>
      <c r="K51" s="50">
        <v>3</v>
      </c>
      <c r="L51" s="50">
        <v>2</v>
      </c>
      <c r="M51" s="50">
        <v>90</v>
      </c>
      <c r="N51" s="50">
        <v>0</v>
      </c>
      <c r="O51" s="15">
        <f t="shared" si="0"/>
        <v>89</v>
      </c>
      <c r="P51" s="15">
        <f t="shared" si="1"/>
        <v>179</v>
      </c>
      <c r="R51" s="8"/>
      <c r="T51"/>
    </row>
    <row r="52" spans="2:20" ht="23.1" customHeight="1" x14ac:dyDescent="0.25">
      <c r="B52" s="24" t="s">
        <v>79</v>
      </c>
      <c r="C52" s="50">
        <v>25</v>
      </c>
      <c r="D52" s="50">
        <v>18</v>
      </c>
      <c r="E52" s="50">
        <v>11</v>
      </c>
      <c r="F52" s="50">
        <v>32</v>
      </c>
      <c r="G52" s="50">
        <v>3</v>
      </c>
      <c r="H52" s="50">
        <v>4</v>
      </c>
      <c r="I52" s="50">
        <v>2</v>
      </c>
      <c r="J52" s="50">
        <v>5</v>
      </c>
      <c r="K52" s="50">
        <v>0</v>
      </c>
      <c r="L52" s="50">
        <v>1</v>
      </c>
      <c r="M52" s="50">
        <v>90</v>
      </c>
      <c r="N52" s="50">
        <v>0</v>
      </c>
      <c r="O52" s="15">
        <f t="shared" si="0"/>
        <v>101</v>
      </c>
      <c r="P52" s="15">
        <f t="shared" si="1"/>
        <v>191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6</v>
      </c>
      <c r="E53" s="50">
        <v>1</v>
      </c>
      <c r="F53" s="50">
        <v>19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90</v>
      </c>
      <c r="N53" s="50">
        <v>0</v>
      </c>
      <c r="O53" s="15">
        <f t="shared" si="0"/>
        <v>46</v>
      </c>
      <c r="P53" s="15">
        <f t="shared" si="1"/>
        <v>136</v>
      </c>
      <c r="R53" s="8"/>
      <c r="T53"/>
    </row>
    <row r="54" spans="2:20" ht="23.1" customHeight="1" x14ac:dyDescent="0.25">
      <c r="B54" s="23" t="s">
        <v>81</v>
      </c>
      <c r="C54" s="50">
        <v>29</v>
      </c>
      <c r="D54" s="50">
        <v>11</v>
      </c>
      <c r="E54" s="50">
        <v>4</v>
      </c>
      <c r="F54" s="50">
        <v>35</v>
      </c>
      <c r="G54" s="50">
        <v>1</v>
      </c>
      <c r="H54" s="50">
        <v>0</v>
      </c>
      <c r="I54" s="50">
        <v>8</v>
      </c>
      <c r="J54" s="50">
        <v>6</v>
      </c>
      <c r="K54" s="50">
        <v>1</v>
      </c>
      <c r="L54" s="50">
        <v>0</v>
      </c>
      <c r="M54" s="50">
        <v>94</v>
      </c>
      <c r="N54" s="50">
        <v>0</v>
      </c>
      <c r="O54" s="15">
        <f t="shared" si="0"/>
        <v>95</v>
      </c>
      <c r="P54" s="15">
        <f t="shared" si="1"/>
        <v>189</v>
      </c>
      <c r="R54" s="8"/>
      <c r="T54"/>
    </row>
    <row r="55" spans="2:20" ht="23.1" customHeight="1" x14ac:dyDescent="0.25">
      <c r="B55" s="23" t="s">
        <v>82</v>
      </c>
      <c r="C55" s="50">
        <v>33</v>
      </c>
      <c r="D55" s="50">
        <v>18</v>
      </c>
      <c r="E55" s="50">
        <v>1</v>
      </c>
      <c r="F55" s="50">
        <v>15</v>
      </c>
      <c r="G55" s="50">
        <v>0</v>
      </c>
      <c r="H55" s="50">
        <v>0</v>
      </c>
      <c r="I55" s="50">
        <v>4</v>
      </c>
      <c r="J55" s="50">
        <v>3</v>
      </c>
      <c r="K55" s="50">
        <v>4</v>
      </c>
      <c r="L55" s="50">
        <v>0</v>
      </c>
      <c r="M55" s="50">
        <v>75</v>
      </c>
      <c r="N55" s="50">
        <v>0</v>
      </c>
      <c r="O55" s="15">
        <f t="shared" si="0"/>
        <v>78</v>
      </c>
      <c r="P55" s="15">
        <f t="shared" si="1"/>
        <v>153</v>
      </c>
      <c r="R55" s="8"/>
      <c r="T55"/>
    </row>
    <row r="56" spans="2:20" ht="23.1" customHeight="1" x14ac:dyDescent="0.25">
      <c r="B56" s="23" t="s">
        <v>83</v>
      </c>
      <c r="C56" s="50">
        <v>32</v>
      </c>
      <c r="D56" s="50">
        <v>23</v>
      </c>
      <c r="E56" s="50">
        <v>7</v>
      </c>
      <c r="F56" s="50">
        <v>21</v>
      </c>
      <c r="G56" s="50">
        <v>1</v>
      </c>
      <c r="H56" s="50">
        <v>0</v>
      </c>
      <c r="I56" s="50">
        <v>11</v>
      </c>
      <c r="J56" s="50">
        <v>4</v>
      </c>
      <c r="K56" s="50">
        <v>1</v>
      </c>
      <c r="L56" s="50">
        <v>1</v>
      </c>
      <c r="M56" s="50">
        <v>103</v>
      </c>
      <c r="N56" s="50">
        <v>0</v>
      </c>
      <c r="O56" s="15">
        <f t="shared" si="0"/>
        <v>101</v>
      </c>
      <c r="P56" s="15">
        <f t="shared" si="1"/>
        <v>204</v>
      </c>
      <c r="R56" s="8"/>
      <c r="T56"/>
    </row>
    <row r="57" spans="2:20" ht="23.1" customHeight="1" x14ac:dyDescent="0.25">
      <c r="B57" s="23" t="s">
        <v>84</v>
      </c>
      <c r="C57" s="50">
        <v>30</v>
      </c>
      <c r="D57" s="50">
        <v>39</v>
      </c>
      <c r="E57" s="50">
        <v>12</v>
      </c>
      <c r="F57" s="50">
        <v>26</v>
      </c>
      <c r="G57" s="50">
        <v>3</v>
      </c>
      <c r="H57" s="50">
        <v>1</v>
      </c>
      <c r="I57" s="50">
        <v>19</v>
      </c>
      <c r="J57" s="50">
        <v>3</v>
      </c>
      <c r="K57" s="50">
        <v>0</v>
      </c>
      <c r="L57" s="50">
        <v>1</v>
      </c>
      <c r="M57" s="50">
        <v>85</v>
      </c>
      <c r="N57" s="50">
        <v>0</v>
      </c>
      <c r="O57" s="15">
        <f t="shared" si="0"/>
        <v>134</v>
      </c>
      <c r="P57" s="15">
        <f t="shared" si="1"/>
        <v>219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640</v>
      </c>
      <c r="D58" s="16">
        <f t="shared" si="21"/>
        <v>229</v>
      </c>
      <c r="E58" s="16">
        <f t="shared" si="21"/>
        <v>121</v>
      </c>
      <c r="F58" s="16">
        <f t="shared" si="21"/>
        <v>686</v>
      </c>
      <c r="G58" s="16">
        <f t="shared" si="21"/>
        <v>28</v>
      </c>
      <c r="H58" s="16">
        <f t="shared" si="21"/>
        <v>21</v>
      </c>
      <c r="I58" s="16">
        <f t="shared" si="21"/>
        <v>255</v>
      </c>
      <c r="J58" s="16">
        <f t="shared" si="21"/>
        <v>102</v>
      </c>
      <c r="K58" s="16">
        <f t="shared" si="21"/>
        <v>40</v>
      </c>
      <c r="L58" s="16">
        <f t="shared" si="21"/>
        <v>18</v>
      </c>
      <c r="M58" s="16">
        <f t="shared" si="21"/>
        <v>4081</v>
      </c>
      <c r="N58" s="16">
        <f t="shared" si="21"/>
        <v>0</v>
      </c>
      <c r="O58" s="16">
        <f t="shared" si="21"/>
        <v>2140</v>
      </c>
      <c r="P58" s="16">
        <f t="shared" si="21"/>
        <v>6221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0.10287735090821411</v>
      </c>
      <c r="D59" s="43">
        <f t="shared" si="22"/>
        <v>3.6810802121845364E-2</v>
      </c>
      <c r="E59" s="43">
        <f t="shared" si="22"/>
        <v>1.9450249156084232E-2</v>
      </c>
      <c r="F59" s="43">
        <f t="shared" si="22"/>
        <v>0.11027166050474201</v>
      </c>
      <c r="G59" s="43">
        <f t="shared" si="22"/>
        <v>4.5008841022343678E-3</v>
      </c>
      <c r="H59" s="43">
        <f t="shared" si="22"/>
        <v>3.3756630766757756E-3</v>
      </c>
      <c r="I59" s="43">
        <f t="shared" si="22"/>
        <v>4.0990194502491563E-2</v>
      </c>
      <c r="J59" s="43">
        <f t="shared" si="22"/>
        <v>1.6396077800996625E-2</v>
      </c>
      <c r="K59" s="43">
        <f t="shared" si="22"/>
        <v>6.4298344317633817E-3</v>
      </c>
      <c r="L59" s="43">
        <f t="shared" si="22"/>
        <v>2.8934254942935217E-3</v>
      </c>
      <c r="M59" s="43">
        <f t="shared" si="22"/>
        <v>0.65600385790065907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0.29906542056074764</v>
      </c>
      <c r="D60" s="44">
        <f t="shared" ref="D60:N60" si="23">D58/$O$58</f>
        <v>0.10700934579439253</v>
      </c>
      <c r="E60" s="44">
        <f t="shared" si="23"/>
        <v>5.6542056074766353E-2</v>
      </c>
      <c r="F60" s="44">
        <f t="shared" si="23"/>
        <v>0.32056074766355142</v>
      </c>
      <c r="G60" s="44">
        <f t="shared" si="23"/>
        <v>1.3084112149532711E-2</v>
      </c>
      <c r="H60" s="44">
        <f t="shared" si="23"/>
        <v>9.8130841121495324E-3</v>
      </c>
      <c r="I60" s="44">
        <f t="shared" si="23"/>
        <v>0.1191588785046729</v>
      </c>
      <c r="J60" s="44">
        <f t="shared" si="23"/>
        <v>4.7663551401869161E-2</v>
      </c>
      <c r="K60" s="44">
        <f t="shared" si="23"/>
        <v>1.8691588785046728E-2</v>
      </c>
      <c r="L60" s="44">
        <f t="shared" si="23"/>
        <v>8.4112149532710283E-3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24" zoomScale="30" zoomScaleSheetLayoutView="3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3" t="str">
        <f>'25.07 Nateete-Nakawuka'!G5:H5</f>
        <v>TAKUWA BEST FEEDS</v>
      </c>
      <c r="H5" s="64"/>
      <c r="I5" s="14"/>
      <c r="J5" s="2" t="s">
        <v>5</v>
      </c>
      <c r="K5" s="63" t="str">
        <f>'25.07 Nateete-Nakawuka'!K5:L5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Nakawuka-Nateete'!D6:E6</f>
        <v>NAKAWUKA</v>
      </c>
      <c r="E6" s="64"/>
      <c r="F6" s="2" t="s">
        <v>2</v>
      </c>
      <c r="G6" s="63" t="str">
        <f>'22.07 Nakawuka-Nateete'!G6:H6</f>
        <v>NATEETE</v>
      </c>
      <c r="H6" s="64"/>
      <c r="J6" s="2" t="s">
        <v>21</v>
      </c>
      <c r="K6" s="63" t="str">
        <f>'25.07 Nateete-Nakawuka'!K6:L6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40</v>
      </c>
      <c r="D10" s="50">
        <v>7</v>
      </c>
      <c r="E10" s="50">
        <v>16</v>
      </c>
      <c r="F10" s="50">
        <v>35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134</v>
      </c>
      <c r="N10" s="50">
        <v>0</v>
      </c>
      <c r="O10" s="15">
        <f t="shared" ref="O10:O57" si="0">SUM(C10:L10,N10)</f>
        <v>98</v>
      </c>
      <c r="P10" s="15">
        <f t="shared" ref="P10:P57" si="1">SUM(C10:N10)</f>
        <v>232</v>
      </c>
      <c r="R10" s="1" t="s">
        <v>6</v>
      </c>
      <c r="S10" s="17">
        <f t="shared" ref="S10:AF10" si="2">SUM(C10:C13)</f>
        <v>134</v>
      </c>
      <c r="T10" s="17">
        <f t="shared" si="2"/>
        <v>23</v>
      </c>
      <c r="U10" s="17">
        <f t="shared" si="2"/>
        <v>29</v>
      </c>
      <c r="V10" s="17">
        <f t="shared" si="2"/>
        <v>146</v>
      </c>
      <c r="W10" s="17">
        <f t="shared" si="2"/>
        <v>0</v>
      </c>
      <c r="X10" s="17">
        <f t="shared" si="2"/>
        <v>2</v>
      </c>
      <c r="Y10" s="17">
        <f t="shared" si="2"/>
        <v>18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549</v>
      </c>
      <c r="AD10" s="17">
        <f t="shared" si="2"/>
        <v>0</v>
      </c>
      <c r="AE10" s="31">
        <f t="shared" si="2"/>
        <v>354</v>
      </c>
      <c r="AF10" s="31">
        <f t="shared" si="2"/>
        <v>903</v>
      </c>
    </row>
    <row r="11" spans="2:32" s="6" customFormat="1" ht="23.1" customHeight="1" x14ac:dyDescent="0.25">
      <c r="B11" s="45" t="s">
        <v>38</v>
      </c>
      <c r="C11" s="50">
        <v>18</v>
      </c>
      <c r="D11" s="50">
        <v>1</v>
      </c>
      <c r="E11" s="50">
        <v>0</v>
      </c>
      <c r="F11" s="50">
        <v>33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125</v>
      </c>
      <c r="N11" s="50">
        <v>0</v>
      </c>
      <c r="O11" s="15">
        <f t="shared" si="0"/>
        <v>54</v>
      </c>
      <c r="P11" s="15">
        <f t="shared" si="1"/>
        <v>179</v>
      </c>
      <c r="R11" s="1" t="s">
        <v>7</v>
      </c>
      <c r="S11" s="17">
        <f t="shared" ref="S11:AF11" si="3">SUM(C14:C17)</f>
        <v>103</v>
      </c>
      <c r="T11" s="17">
        <f t="shared" si="3"/>
        <v>49</v>
      </c>
      <c r="U11" s="17">
        <f t="shared" si="3"/>
        <v>29</v>
      </c>
      <c r="V11" s="17">
        <f t="shared" si="3"/>
        <v>141</v>
      </c>
      <c r="W11" s="17">
        <f t="shared" si="3"/>
        <v>4</v>
      </c>
      <c r="X11" s="17">
        <f t="shared" si="3"/>
        <v>1</v>
      </c>
      <c r="Y11" s="17">
        <f t="shared" si="3"/>
        <v>39</v>
      </c>
      <c r="Z11" s="17">
        <f t="shared" si="3"/>
        <v>7</v>
      </c>
      <c r="AA11" s="17">
        <f t="shared" si="3"/>
        <v>0</v>
      </c>
      <c r="AB11" s="17">
        <f t="shared" si="3"/>
        <v>1</v>
      </c>
      <c r="AC11" s="17">
        <f t="shared" si="3"/>
        <v>472</v>
      </c>
      <c r="AD11" s="17">
        <f t="shared" si="3"/>
        <v>0</v>
      </c>
      <c r="AE11" s="31">
        <f t="shared" si="3"/>
        <v>374</v>
      </c>
      <c r="AF11" s="31">
        <f t="shared" si="3"/>
        <v>846</v>
      </c>
    </row>
    <row r="12" spans="2:32" ht="23.1" customHeight="1" x14ac:dyDescent="0.25">
      <c r="B12" s="45" t="s">
        <v>39</v>
      </c>
      <c r="C12" s="50">
        <v>44</v>
      </c>
      <c r="D12" s="50">
        <v>11</v>
      </c>
      <c r="E12" s="50">
        <v>8</v>
      </c>
      <c r="F12" s="50">
        <v>45</v>
      </c>
      <c r="G12" s="50">
        <v>0</v>
      </c>
      <c r="H12" s="50">
        <v>2</v>
      </c>
      <c r="I12" s="50">
        <v>10</v>
      </c>
      <c r="J12" s="50">
        <v>0</v>
      </c>
      <c r="K12" s="50">
        <v>0</v>
      </c>
      <c r="L12" s="50">
        <v>0</v>
      </c>
      <c r="M12" s="50">
        <v>150</v>
      </c>
      <c r="N12" s="50">
        <v>0</v>
      </c>
      <c r="O12" s="15">
        <f t="shared" si="0"/>
        <v>120</v>
      </c>
      <c r="P12" s="15">
        <f t="shared" si="1"/>
        <v>270</v>
      </c>
      <c r="R12" s="1" t="s">
        <v>8</v>
      </c>
      <c r="S12" s="17">
        <f t="shared" ref="S12:AF12" si="4">SUM(C18:C21)</f>
        <v>65</v>
      </c>
      <c r="T12" s="17">
        <f t="shared" si="4"/>
        <v>48</v>
      </c>
      <c r="U12" s="17">
        <f t="shared" si="4"/>
        <v>21</v>
      </c>
      <c r="V12" s="17">
        <f t="shared" si="4"/>
        <v>84</v>
      </c>
      <c r="W12" s="17">
        <f t="shared" si="4"/>
        <v>2</v>
      </c>
      <c r="X12" s="17">
        <f t="shared" si="4"/>
        <v>1</v>
      </c>
      <c r="Y12" s="17">
        <f t="shared" si="4"/>
        <v>25</v>
      </c>
      <c r="Z12" s="17">
        <f t="shared" si="4"/>
        <v>18</v>
      </c>
      <c r="AA12" s="17">
        <f t="shared" si="4"/>
        <v>1</v>
      </c>
      <c r="AB12" s="17">
        <f t="shared" si="4"/>
        <v>2</v>
      </c>
      <c r="AC12" s="17">
        <f t="shared" si="4"/>
        <v>415</v>
      </c>
      <c r="AD12" s="17">
        <f t="shared" si="4"/>
        <v>0</v>
      </c>
      <c r="AE12" s="31">
        <f t="shared" si="4"/>
        <v>267</v>
      </c>
      <c r="AF12" s="31">
        <f t="shared" si="4"/>
        <v>682</v>
      </c>
    </row>
    <row r="13" spans="2:32" ht="23.1" customHeight="1" x14ac:dyDescent="0.25">
      <c r="B13" s="45" t="s">
        <v>40</v>
      </c>
      <c r="C13" s="50">
        <v>32</v>
      </c>
      <c r="D13" s="50">
        <v>4</v>
      </c>
      <c r="E13" s="50">
        <v>5</v>
      </c>
      <c r="F13" s="50">
        <v>33</v>
      </c>
      <c r="G13" s="50">
        <v>0</v>
      </c>
      <c r="H13" s="50">
        <v>0</v>
      </c>
      <c r="I13" s="50">
        <v>6</v>
      </c>
      <c r="J13" s="50">
        <v>0</v>
      </c>
      <c r="K13" s="50">
        <v>2</v>
      </c>
      <c r="L13" s="50">
        <v>0</v>
      </c>
      <c r="M13" s="50">
        <v>140</v>
      </c>
      <c r="N13" s="50">
        <v>0</v>
      </c>
      <c r="O13" s="15">
        <f t="shared" si="0"/>
        <v>82</v>
      </c>
      <c r="P13" s="15">
        <f t="shared" si="1"/>
        <v>222</v>
      </c>
      <c r="R13" s="1" t="s">
        <v>9</v>
      </c>
      <c r="S13" s="17">
        <f t="shared" ref="S13:AF13" si="5">SUM(C22:C25)</f>
        <v>81</v>
      </c>
      <c r="T13" s="17">
        <f t="shared" si="5"/>
        <v>42</v>
      </c>
      <c r="U13" s="17">
        <f t="shared" si="5"/>
        <v>13</v>
      </c>
      <c r="V13" s="17">
        <f t="shared" si="5"/>
        <v>97</v>
      </c>
      <c r="W13" s="17">
        <f t="shared" si="5"/>
        <v>1</v>
      </c>
      <c r="X13" s="17">
        <f t="shared" si="5"/>
        <v>1</v>
      </c>
      <c r="Y13" s="17">
        <f t="shared" si="5"/>
        <v>36</v>
      </c>
      <c r="Z13" s="17">
        <f t="shared" si="5"/>
        <v>18</v>
      </c>
      <c r="AA13" s="17">
        <f t="shared" si="5"/>
        <v>5</v>
      </c>
      <c r="AB13" s="17">
        <f t="shared" si="5"/>
        <v>3</v>
      </c>
      <c r="AC13" s="17">
        <f t="shared" si="5"/>
        <v>430</v>
      </c>
      <c r="AD13" s="17">
        <f t="shared" si="5"/>
        <v>1</v>
      </c>
      <c r="AE13" s="31">
        <f t="shared" si="5"/>
        <v>298</v>
      </c>
      <c r="AF13" s="31">
        <f t="shared" si="5"/>
        <v>728</v>
      </c>
    </row>
    <row r="14" spans="2:32" ht="23.1" customHeight="1" x14ac:dyDescent="0.25">
      <c r="B14" s="45" t="s">
        <v>41</v>
      </c>
      <c r="C14" s="50">
        <v>31</v>
      </c>
      <c r="D14" s="50">
        <v>17</v>
      </c>
      <c r="E14" s="50">
        <v>10</v>
      </c>
      <c r="F14" s="50">
        <v>40</v>
      </c>
      <c r="G14" s="50">
        <v>1</v>
      </c>
      <c r="H14" s="50">
        <v>0</v>
      </c>
      <c r="I14" s="50">
        <v>8</v>
      </c>
      <c r="J14" s="50">
        <v>1</v>
      </c>
      <c r="K14" s="50">
        <v>0</v>
      </c>
      <c r="L14" s="50">
        <v>1</v>
      </c>
      <c r="M14" s="50">
        <v>130</v>
      </c>
      <c r="N14" s="50">
        <v>0</v>
      </c>
      <c r="O14" s="15">
        <f t="shared" si="0"/>
        <v>109</v>
      </c>
      <c r="P14" s="15">
        <f t="shared" si="1"/>
        <v>239</v>
      </c>
      <c r="R14" s="1" t="s">
        <v>10</v>
      </c>
      <c r="S14" s="17">
        <f t="shared" ref="S14:AF14" si="6">SUM(C26:C29)</f>
        <v>44</v>
      </c>
      <c r="T14" s="17">
        <f t="shared" si="6"/>
        <v>36</v>
      </c>
      <c r="U14" s="17">
        <f t="shared" si="6"/>
        <v>21</v>
      </c>
      <c r="V14" s="17">
        <f t="shared" si="6"/>
        <v>50</v>
      </c>
      <c r="W14" s="17">
        <f t="shared" si="6"/>
        <v>0</v>
      </c>
      <c r="X14" s="17">
        <f t="shared" si="6"/>
        <v>0</v>
      </c>
      <c r="Y14" s="17">
        <f t="shared" si="6"/>
        <v>33</v>
      </c>
      <c r="Z14" s="17">
        <f t="shared" si="6"/>
        <v>20</v>
      </c>
      <c r="AA14" s="17">
        <f t="shared" si="6"/>
        <v>3</v>
      </c>
      <c r="AB14" s="17">
        <f t="shared" si="6"/>
        <v>5</v>
      </c>
      <c r="AC14" s="17">
        <f t="shared" si="6"/>
        <v>378</v>
      </c>
      <c r="AD14" s="17">
        <f t="shared" si="6"/>
        <v>0</v>
      </c>
      <c r="AE14" s="31">
        <f t="shared" si="6"/>
        <v>212</v>
      </c>
      <c r="AF14" s="31">
        <f t="shared" si="6"/>
        <v>590</v>
      </c>
    </row>
    <row r="15" spans="2:32" ht="23.1" customHeight="1" x14ac:dyDescent="0.25">
      <c r="B15" s="45" t="s">
        <v>42</v>
      </c>
      <c r="C15" s="50">
        <v>27</v>
      </c>
      <c r="D15" s="50">
        <v>9</v>
      </c>
      <c r="E15" s="50">
        <v>8</v>
      </c>
      <c r="F15" s="50">
        <v>42</v>
      </c>
      <c r="G15" s="50">
        <v>1</v>
      </c>
      <c r="H15" s="50">
        <v>1</v>
      </c>
      <c r="I15" s="50">
        <v>11</v>
      </c>
      <c r="J15" s="50">
        <v>2</v>
      </c>
      <c r="K15" s="50">
        <v>0</v>
      </c>
      <c r="L15" s="50">
        <v>0</v>
      </c>
      <c r="M15" s="50">
        <v>125</v>
      </c>
      <c r="N15" s="50">
        <v>0</v>
      </c>
      <c r="O15" s="15">
        <f t="shared" si="0"/>
        <v>101</v>
      </c>
      <c r="P15" s="15">
        <f t="shared" si="1"/>
        <v>226</v>
      </c>
      <c r="R15" s="1" t="s">
        <v>11</v>
      </c>
      <c r="S15" s="17">
        <f t="shared" ref="S15:AF15" si="7">SUM(C30:C33)</f>
        <v>47</v>
      </c>
      <c r="T15" s="17">
        <f t="shared" si="7"/>
        <v>41</v>
      </c>
      <c r="U15" s="17">
        <f t="shared" si="7"/>
        <v>20</v>
      </c>
      <c r="V15" s="17">
        <f t="shared" si="7"/>
        <v>62</v>
      </c>
      <c r="W15" s="17">
        <f t="shared" si="7"/>
        <v>2</v>
      </c>
      <c r="X15" s="17">
        <f t="shared" si="7"/>
        <v>0</v>
      </c>
      <c r="Y15" s="17">
        <f t="shared" si="7"/>
        <v>16</v>
      </c>
      <c r="Z15" s="17">
        <f t="shared" si="7"/>
        <v>14</v>
      </c>
      <c r="AA15" s="17">
        <f t="shared" si="7"/>
        <v>1</v>
      </c>
      <c r="AB15" s="17">
        <f t="shared" si="7"/>
        <v>1</v>
      </c>
      <c r="AC15" s="17">
        <f t="shared" si="7"/>
        <v>395</v>
      </c>
      <c r="AD15" s="17">
        <f t="shared" si="7"/>
        <v>0</v>
      </c>
      <c r="AE15" s="31">
        <f t="shared" si="7"/>
        <v>204</v>
      </c>
      <c r="AF15" s="31">
        <f t="shared" si="7"/>
        <v>599</v>
      </c>
    </row>
    <row r="16" spans="2:32" ht="23.1" customHeight="1" x14ac:dyDescent="0.25">
      <c r="B16" s="45" t="s">
        <v>43</v>
      </c>
      <c r="C16" s="50">
        <v>25</v>
      </c>
      <c r="D16" s="50">
        <v>10</v>
      </c>
      <c r="E16" s="50">
        <v>7</v>
      </c>
      <c r="F16" s="50">
        <v>39</v>
      </c>
      <c r="G16" s="50">
        <v>2</v>
      </c>
      <c r="H16" s="50">
        <v>0</v>
      </c>
      <c r="I16" s="50">
        <v>14</v>
      </c>
      <c r="J16" s="50">
        <v>1</v>
      </c>
      <c r="K16" s="50">
        <v>0</v>
      </c>
      <c r="L16" s="50">
        <v>0</v>
      </c>
      <c r="M16" s="50">
        <v>102</v>
      </c>
      <c r="N16" s="50">
        <v>0</v>
      </c>
      <c r="O16" s="15">
        <f t="shared" si="0"/>
        <v>98</v>
      </c>
      <c r="P16" s="15">
        <f t="shared" si="1"/>
        <v>200</v>
      </c>
      <c r="R16" s="1" t="s">
        <v>12</v>
      </c>
      <c r="S16" s="17">
        <f t="shared" ref="S16:AF16" si="8">SUM(C34:C37)</f>
        <v>56</v>
      </c>
      <c r="T16" s="17">
        <f t="shared" si="8"/>
        <v>31</v>
      </c>
      <c r="U16" s="17">
        <f t="shared" si="8"/>
        <v>16</v>
      </c>
      <c r="V16" s="17">
        <f t="shared" si="8"/>
        <v>51</v>
      </c>
      <c r="W16" s="17">
        <f t="shared" si="8"/>
        <v>1</v>
      </c>
      <c r="X16" s="17">
        <f t="shared" si="8"/>
        <v>1</v>
      </c>
      <c r="Y16" s="17">
        <f t="shared" si="8"/>
        <v>11</v>
      </c>
      <c r="Z16" s="17">
        <f t="shared" si="8"/>
        <v>14</v>
      </c>
      <c r="AA16" s="17">
        <f t="shared" si="8"/>
        <v>2</v>
      </c>
      <c r="AB16" s="17">
        <f t="shared" si="8"/>
        <v>1</v>
      </c>
      <c r="AC16" s="17">
        <f t="shared" si="8"/>
        <v>353</v>
      </c>
      <c r="AD16" s="17">
        <f t="shared" si="8"/>
        <v>0</v>
      </c>
      <c r="AE16" s="31">
        <f t="shared" si="8"/>
        <v>184</v>
      </c>
      <c r="AF16" s="31">
        <f t="shared" si="8"/>
        <v>537</v>
      </c>
    </row>
    <row r="17" spans="2:32" ht="23.1" customHeight="1" x14ac:dyDescent="0.25">
      <c r="B17" s="45" t="s">
        <v>44</v>
      </c>
      <c r="C17" s="50">
        <v>20</v>
      </c>
      <c r="D17" s="50">
        <v>13</v>
      </c>
      <c r="E17" s="50">
        <v>4</v>
      </c>
      <c r="F17" s="50">
        <v>20</v>
      </c>
      <c r="G17" s="50">
        <v>0</v>
      </c>
      <c r="H17" s="50">
        <v>0</v>
      </c>
      <c r="I17" s="50">
        <v>6</v>
      </c>
      <c r="J17" s="50">
        <v>3</v>
      </c>
      <c r="K17" s="50">
        <v>0</v>
      </c>
      <c r="L17" s="50">
        <v>0</v>
      </c>
      <c r="M17" s="50">
        <v>115</v>
      </c>
      <c r="N17" s="50">
        <v>0</v>
      </c>
      <c r="O17" s="15">
        <f t="shared" si="0"/>
        <v>66</v>
      </c>
      <c r="P17" s="15">
        <f t="shared" si="1"/>
        <v>181</v>
      </c>
      <c r="R17" s="1" t="s">
        <v>13</v>
      </c>
      <c r="S17" s="17">
        <f t="shared" ref="S17:AF17" si="9">SUM(C38:C41)</f>
        <v>54</v>
      </c>
      <c r="T17" s="17">
        <f t="shared" si="9"/>
        <v>42</v>
      </c>
      <c r="U17" s="17">
        <f t="shared" si="9"/>
        <v>32</v>
      </c>
      <c r="V17" s="17">
        <f t="shared" si="9"/>
        <v>70</v>
      </c>
      <c r="W17" s="17">
        <f t="shared" si="9"/>
        <v>0</v>
      </c>
      <c r="X17" s="17">
        <f t="shared" si="9"/>
        <v>0</v>
      </c>
      <c r="Y17" s="17">
        <f t="shared" si="9"/>
        <v>22</v>
      </c>
      <c r="Z17" s="17">
        <f t="shared" si="9"/>
        <v>18</v>
      </c>
      <c r="AA17" s="17">
        <f t="shared" si="9"/>
        <v>2</v>
      </c>
      <c r="AB17" s="17">
        <f t="shared" si="9"/>
        <v>0</v>
      </c>
      <c r="AC17" s="17">
        <f t="shared" si="9"/>
        <v>409</v>
      </c>
      <c r="AD17" s="17">
        <f t="shared" si="9"/>
        <v>0</v>
      </c>
      <c r="AE17" s="31">
        <f t="shared" si="9"/>
        <v>240</v>
      </c>
      <c r="AF17" s="31">
        <f t="shared" si="9"/>
        <v>649</v>
      </c>
    </row>
    <row r="18" spans="2:32" ht="23.1" customHeight="1" x14ac:dyDescent="0.25">
      <c r="B18" s="45" t="s">
        <v>45</v>
      </c>
      <c r="C18" s="50">
        <v>17</v>
      </c>
      <c r="D18" s="50">
        <v>17</v>
      </c>
      <c r="E18" s="50">
        <v>4</v>
      </c>
      <c r="F18" s="50">
        <v>24</v>
      </c>
      <c r="G18" s="50">
        <v>0</v>
      </c>
      <c r="H18" s="50">
        <v>0</v>
      </c>
      <c r="I18" s="50">
        <v>11</v>
      </c>
      <c r="J18" s="50">
        <v>6</v>
      </c>
      <c r="K18" s="50">
        <v>0</v>
      </c>
      <c r="L18" s="50">
        <v>0</v>
      </c>
      <c r="M18" s="50">
        <v>130</v>
      </c>
      <c r="N18" s="50">
        <v>0</v>
      </c>
      <c r="O18" s="15">
        <f t="shared" si="0"/>
        <v>79</v>
      </c>
      <c r="P18" s="15">
        <f t="shared" si="1"/>
        <v>209</v>
      </c>
      <c r="R18" s="1" t="s">
        <v>14</v>
      </c>
      <c r="S18" s="17">
        <f t="shared" ref="S18:AF18" si="10">SUM(C42:C45)</f>
        <v>51</v>
      </c>
      <c r="T18" s="17">
        <f t="shared" si="10"/>
        <v>30</v>
      </c>
      <c r="U18" s="17">
        <f t="shared" si="10"/>
        <v>14</v>
      </c>
      <c r="V18" s="17">
        <f t="shared" si="10"/>
        <v>54</v>
      </c>
      <c r="W18" s="17">
        <f t="shared" si="10"/>
        <v>1</v>
      </c>
      <c r="X18" s="17">
        <f t="shared" si="10"/>
        <v>0</v>
      </c>
      <c r="Y18" s="17">
        <f t="shared" si="10"/>
        <v>12</v>
      </c>
      <c r="Z18" s="17">
        <f t="shared" si="10"/>
        <v>23</v>
      </c>
      <c r="AA18" s="17">
        <f t="shared" si="10"/>
        <v>5</v>
      </c>
      <c r="AB18" s="17">
        <f t="shared" si="10"/>
        <v>4</v>
      </c>
      <c r="AC18" s="17">
        <f t="shared" si="10"/>
        <v>371</v>
      </c>
      <c r="AD18" s="17">
        <f t="shared" si="10"/>
        <v>0</v>
      </c>
      <c r="AE18" s="31">
        <f t="shared" si="10"/>
        <v>194</v>
      </c>
      <c r="AF18" s="31">
        <f t="shared" si="10"/>
        <v>565</v>
      </c>
    </row>
    <row r="19" spans="2:32" ht="23.1" customHeight="1" x14ac:dyDescent="0.25">
      <c r="B19" s="45" t="s">
        <v>46</v>
      </c>
      <c r="C19" s="50">
        <v>2</v>
      </c>
      <c r="D19" s="50">
        <v>4</v>
      </c>
      <c r="E19" s="50">
        <v>3</v>
      </c>
      <c r="F19" s="50">
        <v>17</v>
      </c>
      <c r="G19" s="50">
        <v>0</v>
      </c>
      <c r="H19" s="50">
        <v>1</v>
      </c>
      <c r="I19" s="50">
        <v>5</v>
      </c>
      <c r="J19" s="50">
        <v>2</v>
      </c>
      <c r="K19" s="50">
        <v>1</v>
      </c>
      <c r="L19" s="50">
        <v>0</v>
      </c>
      <c r="M19" s="50">
        <v>107</v>
      </c>
      <c r="N19" s="50">
        <v>0</v>
      </c>
      <c r="O19" s="15">
        <f t="shared" si="0"/>
        <v>35</v>
      </c>
      <c r="P19" s="15">
        <f t="shared" si="1"/>
        <v>142</v>
      </c>
      <c r="R19" s="1" t="s">
        <v>15</v>
      </c>
      <c r="S19" s="17">
        <f t="shared" ref="S19:AF19" si="11">SUM(C46:C49)</f>
        <v>45</v>
      </c>
      <c r="T19" s="17">
        <f t="shared" si="11"/>
        <v>17</v>
      </c>
      <c r="U19" s="17">
        <f t="shared" si="11"/>
        <v>19</v>
      </c>
      <c r="V19" s="17">
        <f t="shared" si="11"/>
        <v>47</v>
      </c>
      <c r="W19" s="17">
        <f t="shared" si="11"/>
        <v>0</v>
      </c>
      <c r="X19" s="17">
        <f t="shared" si="11"/>
        <v>0</v>
      </c>
      <c r="Y19" s="17">
        <f t="shared" si="11"/>
        <v>16</v>
      </c>
      <c r="Z19" s="17">
        <f t="shared" si="11"/>
        <v>20</v>
      </c>
      <c r="AA19" s="17">
        <f t="shared" si="11"/>
        <v>0</v>
      </c>
      <c r="AB19" s="17">
        <f t="shared" si="11"/>
        <v>0</v>
      </c>
      <c r="AC19" s="17">
        <f t="shared" si="11"/>
        <v>347</v>
      </c>
      <c r="AD19" s="17">
        <f t="shared" si="11"/>
        <v>0</v>
      </c>
      <c r="AE19" s="31">
        <f t="shared" si="11"/>
        <v>164</v>
      </c>
      <c r="AF19" s="31">
        <f t="shared" si="11"/>
        <v>511</v>
      </c>
    </row>
    <row r="20" spans="2:32" ht="23.1" customHeight="1" x14ac:dyDescent="0.25">
      <c r="B20" s="45" t="s">
        <v>47</v>
      </c>
      <c r="C20" s="50">
        <v>22</v>
      </c>
      <c r="D20" s="50">
        <v>13</v>
      </c>
      <c r="E20" s="50">
        <v>8</v>
      </c>
      <c r="F20" s="50">
        <v>24</v>
      </c>
      <c r="G20" s="50">
        <v>2</v>
      </c>
      <c r="H20" s="50">
        <v>0</v>
      </c>
      <c r="I20" s="50">
        <v>3</v>
      </c>
      <c r="J20" s="50">
        <v>9</v>
      </c>
      <c r="K20" s="50">
        <v>0</v>
      </c>
      <c r="L20" s="50">
        <v>2</v>
      </c>
      <c r="M20" s="50">
        <v>95</v>
      </c>
      <c r="N20" s="50">
        <v>0</v>
      </c>
      <c r="O20" s="15">
        <f t="shared" si="0"/>
        <v>83</v>
      </c>
      <c r="P20" s="15">
        <f t="shared" si="1"/>
        <v>178</v>
      </c>
      <c r="R20" s="1" t="s">
        <v>16</v>
      </c>
      <c r="S20" s="17">
        <f t="shared" ref="S20:AF20" si="12">SUM(C50:C53)</f>
        <v>39</v>
      </c>
      <c r="T20" s="17">
        <f t="shared" si="12"/>
        <v>45</v>
      </c>
      <c r="U20" s="17">
        <f t="shared" si="12"/>
        <v>18</v>
      </c>
      <c r="V20" s="17">
        <f t="shared" si="12"/>
        <v>60</v>
      </c>
      <c r="W20" s="17">
        <f t="shared" si="12"/>
        <v>1</v>
      </c>
      <c r="X20" s="17">
        <f t="shared" si="12"/>
        <v>0</v>
      </c>
      <c r="Y20" s="17">
        <f t="shared" si="12"/>
        <v>26</v>
      </c>
      <c r="Z20" s="17">
        <f t="shared" si="12"/>
        <v>16</v>
      </c>
      <c r="AA20" s="17">
        <f t="shared" si="12"/>
        <v>3</v>
      </c>
      <c r="AB20" s="17">
        <f t="shared" si="12"/>
        <v>1</v>
      </c>
      <c r="AC20" s="17">
        <f t="shared" si="12"/>
        <v>512</v>
      </c>
      <c r="AD20" s="17">
        <f t="shared" si="12"/>
        <v>0</v>
      </c>
      <c r="AE20" s="31">
        <f t="shared" si="12"/>
        <v>209</v>
      </c>
      <c r="AF20" s="31">
        <f t="shared" si="12"/>
        <v>721</v>
      </c>
    </row>
    <row r="21" spans="2:32" ht="23.1" customHeight="1" x14ac:dyDescent="0.25">
      <c r="B21" s="45" t="s">
        <v>48</v>
      </c>
      <c r="C21" s="50">
        <v>24</v>
      </c>
      <c r="D21" s="50">
        <v>14</v>
      </c>
      <c r="E21" s="50">
        <v>6</v>
      </c>
      <c r="F21" s="50">
        <v>19</v>
      </c>
      <c r="G21" s="50">
        <v>0</v>
      </c>
      <c r="H21" s="50">
        <v>0</v>
      </c>
      <c r="I21" s="50">
        <v>6</v>
      </c>
      <c r="J21" s="50">
        <v>1</v>
      </c>
      <c r="K21" s="50">
        <v>0</v>
      </c>
      <c r="L21" s="50">
        <v>0</v>
      </c>
      <c r="M21" s="50">
        <v>83</v>
      </c>
      <c r="N21" s="50">
        <v>0</v>
      </c>
      <c r="O21" s="15">
        <f t="shared" si="0"/>
        <v>70</v>
      </c>
      <c r="P21" s="15">
        <f t="shared" si="1"/>
        <v>153</v>
      </c>
      <c r="R21" s="36" t="s">
        <v>20</v>
      </c>
      <c r="S21" s="34">
        <f t="shared" ref="S21:AF21" si="13">SUM(C54:C57)</f>
        <v>60</v>
      </c>
      <c r="T21" s="17">
        <f t="shared" si="13"/>
        <v>41</v>
      </c>
      <c r="U21" s="17">
        <f t="shared" si="13"/>
        <v>15</v>
      </c>
      <c r="V21" s="17">
        <f t="shared" si="13"/>
        <v>80</v>
      </c>
      <c r="W21" s="17">
        <f t="shared" si="13"/>
        <v>5</v>
      </c>
      <c r="X21" s="17">
        <f t="shared" si="13"/>
        <v>0</v>
      </c>
      <c r="Y21" s="17">
        <f t="shared" si="13"/>
        <v>27</v>
      </c>
      <c r="Z21" s="17">
        <f t="shared" si="13"/>
        <v>10</v>
      </c>
      <c r="AA21" s="17">
        <f t="shared" si="13"/>
        <v>0</v>
      </c>
      <c r="AB21" s="17">
        <f t="shared" si="13"/>
        <v>4</v>
      </c>
      <c r="AC21" s="17">
        <f t="shared" si="13"/>
        <v>553</v>
      </c>
      <c r="AD21" s="17">
        <f t="shared" si="13"/>
        <v>0</v>
      </c>
      <c r="AE21" s="31">
        <f t="shared" si="13"/>
        <v>242</v>
      </c>
      <c r="AF21" s="31">
        <f t="shared" si="13"/>
        <v>795</v>
      </c>
    </row>
    <row r="22" spans="2:32" ht="23.1" customHeight="1" x14ac:dyDescent="0.25">
      <c r="B22" s="45" t="s">
        <v>49</v>
      </c>
      <c r="C22" s="50">
        <v>18</v>
      </c>
      <c r="D22" s="50">
        <v>13</v>
      </c>
      <c r="E22" s="50">
        <v>3</v>
      </c>
      <c r="F22" s="50">
        <v>32</v>
      </c>
      <c r="G22" s="50">
        <v>0</v>
      </c>
      <c r="H22" s="50">
        <v>0</v>
      </c>
      <c r="I22" s="50">
        <v>8</v>
      </c>
      <c r="J22" s="50">
        <v>4</v>
      </c>
      <c r="K22" s="50">
        <v>1</v>
      </c>
      <c r="L22" s="50">
        <v>0</v>
      </c>
      <c r="M22" s="50">
        <v>114</v>
      </c>
      <c r="N22" s="50">
        <v>0</v>
      </c>
      <c r="O22" s="15">
        <f t="shared" si="0"/>
        <v>79</v>
      </c>
      <c r="P22" s="15">
        <f t="shared" si="1"/>
        <v>193</v>
      </c>
      <c r="R22" s="36" t="s">
        <v>146</v>
      </c>
      <c r="S22" s="34">
        <f>SUM(C58:C61)</f>
        <v>59</v>
      </c>
      <c r="T22" s="34">
        <f t="shared" ref="T22:AF22" si="14">SUM(D58:D61)</f>
        <v>46</v>
      </c>
      <c r="U22" s="34">
        <f t="shared" si="14"/>
        <v>14</v>
      </c>
      <c r="V22" s="34">
        <f t="shared" si="14"/>
        <v>64</v>
      </c>
      <c r="W22" s="34">
        <f t="shared" si="14"/>
        <v>7</v>
      </c>
      <c r="X22" s="34">
        <f t="shared" si="14"/>
        <v>0</v>
      </c>
      <c r="Y22" s="34">
        <f t="shared" si="14"/>
        <v>14</v>
      </c>
      <c r="Z22" s="34">
        <f t="shared" si="14"/>
        <v>6</v>
      </c>
      <c r="AA22" s="34">
        <f t="shared" si="14"/>
        <v>1</v>
      </c>
      <c r="AB22" s="34">
        <f t="shared" si="14"/>
        <v>2</v>
      </c>
      <c r="AC22" s="34">
        <f t="shared" si="14"/>
        <v>628</v>
      </c>
      <c r="AD22" s="34">
        <f t="shared" si="14"/>
        <v>0</v>
      </c>
      <c r="AE22" s="31">
        <f t="shared" si="14"/>
        <v>213</v>
      </c>
      <c r="AF22" s="31">
        <f t="shared" si="14"/>
        <v>841</v>
      </c>
    </row>
    <row r="23" spans="2:32" ht="23.1" customHeight="1" x14ac:dyDescent="0.25">
      <c r="B23" s="45" t="s">
        <v>50</v>
      </c>
      <c r="C23" s="50">
        <v>19</v>
      </c>
      <c r="D23" s="50">
        <v>8</v>
      </c>
      <c r="E23" s="50">
        <v>0</v>
      </c>
      <c r="F23" s="50">
        <v>20</v>
      </c>
      <c r="G23" s="50">
        <v>0</v>
      </c>
      <c r="H23" s="50">
        <v>0</v>
      </c>
      <c r="I23" s="50">
        <v>5</v>
      </c>
      <c r="J23" s="50">
        <v>5</v>
      </c>
      <c r="K23" s="50">
        <v>2</v>
      </c>
      <c r="L23" s="50">
        <v>0</v>
      </c>
      <c r="M23" s="50">
        <v>109</v>
      </c>
      <c r="N23" s="50">
        <v>0</v>
      </c>
      <c r="O23" s="15">
        <f t="shared" si="0"/>
        <v>59</v>
      </c>
      <c r="P23" s="15">
        <f t="shared" si="1"/>
        <v>168</v>
      </c>
      <c r="R23" s="36" t="s">
        <v>147</v>
      </c>
      <c r="S23" s="34">
        <f>SUM(C62:C65)</f>
        <v>60</v>
      </c>
      <c r="T23" s="34">
        <f t="shared" ref="T23:AF23" si="15">SUM(D62:D65)</f>
        <v>27</v>
      </c>
      <c r="U23" s="34">
        <f t="shared" si="15"/>
        <v>12</v>
      </c>
      <c r="V23" s="34">
        <f t="shared" si="15"/>
        <v>112</v>
      </c>
      <c r="W23" s="34">
        <f t="shared" si="15"/>
        <v>2</v>
      </c>
      <c r="X23" s="34">
        <f t="shared" si="15"/>
        <v>2</v>
      </c>
      <c r="Y23" s="34">
        <f t="shared" si="15"/>
        <v>13</v>
      </c>
      <c r="Z23" s="34">
        <f t="shared" si="15"/>
        <v>6</v>
      </c>
      <c r="AA23" s="34">
        <f t="shared" si="15"/>
        <v>1</v>
      </c>
      <c r="AB23" s="34">
        <f t="shared" si="15"/>
        <v>0</v>
      </c>
      <c r="AC23" s="34">
        <f t="shared" si="15"/>
        <v>730</v>
      </c>
      <c r="AD23" s="34">
        <f t="shared" si="15"/>
        <v>0</v>
      </c>
      <c r="AE23" s="31">
        <f t="shared" si="15"/>
        <v>235</v>
      </c>
      <c r="AF23" s="31">
        <f t="shared" si="15"/>
        <v>965</v>
      </c>
    </row>
    <row r="24" spans="2:32" ht="23.1" customHeight="1" x14ac:dyDescent="0.25">
      <c r="B24" s="45" t="s">
        <v>51</v>
      </c>
      <c r="C24" s="50">
        <v>27</v>
      </c>
      <c r="D24" s="50">
        <v>11</v>
      </c>
      <c r="E24" s="50">
        <v>6</v>
      </c>
      <c r="F24" s="50">
        <v>22</v>
      </c>
      <c r="G24" s="50">
        <v>1</v>
      </c>
      <c r="H24" s="50">
        <v>1</v>
      </c>
      <c r="I24" s="50">
        <v>15</v>
      </c>
      <c r="J24" s="50">
        <v>6</v>
      </c>
      <c r="K24" s="50">
        <v>1</v>
      </c>
      <c r="L24" s="50">
        <v>1</v>
      </c>
      <c r="M24" s="50">
        <v>112</v>
      </c>
      <c r="N24" s="50">
        <v>1</v>
      </c>
      <c r="O24" s="15">
        <f t="shared" si="0"/>
        <v>92</v>
      </c>
      <c r="P24" s="15">
        <f t="shared" si="1"/>
        <v>204</v>
      </c>
      <c r="R24" s="36" t="s">
        <v>148</v>
      </c>
      <c r="S24" s="34">
        <f>SUM(C66:C69)</f>
        <v>26</v>
      </c>
      <c r="T24" s="34">
        <f t="shared" ref="T24:AF24" si="16">SUM(D66:D69)</f>
        <v>25</v>
      </c>
      <c r="U24" s="34">
        <f t="shared" si="16"/>
        <v>16</v>
      </c>
      <c r="V24" s="34">
        <f t="shared" si="16"/>
        <v>69</v>
      </c>
      <c r="W24" s="34">
        <f t="shared" si="16"/>
        <v>1</v>
      </c>
      <c r="X24" s="34">
        <f t="shared" si="16"/>
        <v>0</v>
      </c>
      <c r="Y24" s="34">
        <f t="shared" si="16"/>
        <v>6</v>
      </c>
      <c r="Z24" s="34">
        <f t="shared" si="16"/>
        <v>13</v>
      </c>
      <c r="AA24" s="34">
        <f t="shared" si="16"/>
        <v>0</v>
      </c>
      <c r="AB24" s="34">
        <f t="shared" si="16"/>
        <v>0</v>
      </c>
      <c r="AC24" s="34">
        <f t="shared" si="16"/>
        <v>505</v>
      </c>
      <c r="AD24" s="34">
        <f t="shared" si="16"/>
        <v>0</v>
      </c>
      <c r="AE24" s="31">
        <f t="shared" si="16"/>
        <v>156</v>
      </c>
      <c r="AF24" s="31">
        <f t="shared" si="16"/>
        <v>661</v>
      </c>
    </row>
    <row r="25" spans="2:32" ht="23.1" customHeight="1" x14ac:dyDescent="0.25">
      <c r="B25" s="45" t="s">
        <v>52</v>
      </c>
      <c r="C25" s="50">
        <v>17</v>
      </c>
      <c r="D25" s="50">
        <v>10</v>
      </c>
      <c r="E25" s="50">
        <v>4</v>
      </c>
      <c r="F25" s="50">
        <v>23</v>
      </c>
      <c r="G25" s="50">
        <v>0</v>
      </c>
      <c r="H25" s="50">
        <v>0</v>
      </c>
      <c r="I25" s="50">
        <v>8</v>
      </c>
      <c r="J25" s="50">
        <v>3</v>
      </c>
      <c r="K25" s="50">
        <v>1</v>
      </c>
      <c r="L25" s="50">
        <v>2</v>
      </c>
      <c r="M25" s="50">
        <v>95</v>
      </c>
      <c r="N25" s="50">
        <v>0</v>
      </c>
      <c r="O25" s="15">
        <f t="shared" si="0"/>
        <v>68</v>
      </c>
      <c r="P25" s="15">
        <f t="shared" si="1"/>
        <v>163</v>
      </c>
      <c r="R25" s="36" t="s">
        <v>149</v>
      </c>
      <c r="S25" s="34">
        <f>SUM(C70:C73)</f>
        <v>24</v>
      </c>
      <c r="T25" s="34">
        <f t="shared" ref="T25:AF25" si="17">SUM(D70:D73)</f>
        <v>2</v>
      </c>
      <c r="U25" s="34">
        <f t="shared" si="17"/>
        <v>4</v>
      </c>
      <c r="V25" s="34">
        <f t="shared" si="17"/>
        <v>14</v>
      </c>
      <c r="W25" s="34">
        <f t="shared" si="17"/>
        <v>0</v>
      </c>
      <c r="X25" s="34">
        <f t="shared" si="17"/>
        <v>0</v>
      </c>
      <c r="Y25" s="34">
        <f t="shared" si="17"/>
        <v>6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275</v>
      </c>
      <c r="AD25" s="34">
        <f t="shared" si="17"/>
        <v>0</v>
      </c>
      <c r="AE25" s="31">
        <f t="shared" si="17"/>
        <v>50</v>
      </c>
      <c r="AF25" s="31">
        <f t="shared" si="17"/>
        <v>325</v>
      </c>
    </row>
    <row r="26" spans="2:32" ht="23.1" customHeight="1" x14ac:dyDescent="0.25">
      <c r="B26" s="45" t="s">
        <v>53</v>
      </c>
      <c r="C26" s="50">
        <v>12</v>
      </c>
      <c r="D26" s="50">
        <v>11</v>
      </c>
      <c r="E26" s="50">
        <v>11</v>
      </c>
      <c r="F26" s="50">
        <v>24</v>
      </c>
      <c r="G26" s="50">
        <v>0</v>
      </c>
      <c r="H26" s="50">
        <v>0</v>
      </c>
      <c r="I26" s="50">
        <v>8</v>
      </c>
      <c r="J26" s="50">
        <v>7</v>
      </c>
      <c r="K26" s="50">
        <v>0</v>
      </c>
      <c r="L26" s="50">
        <v>3</v>
      </c>
      <c r="M26" s="50">
        <v>96</v>
      </c>
      <c r="N26" s="50">
        <v>0</v>
      </c>
      <c r="O26" s="15">
        <f t="shared" si="0"/>
        <v>76</v>
      </c>
      <c r="P26" s="15">
        <f t="shared" si="1"/>
        <v>172</v>
      </c>
      <c r="R26" s="36" t="s">
        <v>150</v>
      </c>
      <c r="S26" s="34">
        <f>SUM(C74:C77)</f>
        <v>13</v>
      </c>
      <c r="T26" s="34">
        <f t="shared" ref="T26:AF26" si="18">SUM(D74:D77)</f>
        <v>7</v>
      </c>
      <c r="U26" s="34">
        <f t="shared" si="18"/>
        <v>2</v>
      </c>
      <c r="V26" s="34">
        <f t="shared" si="18"/>
        <v>18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142</v>
      </c>
      <c r="AD26" s="34">
        <f t="shared" si="18"/>
        <v>0</v>
      </c>
      <c r="AE26" s="31">
        <f t="shared" si="18"/>
        <v>44</v>
      </c>
      <c r="AF26" s="31">
        <f t="shared" si="18"/>
        <v>186</v>
      </c>
    </row>
    <row r="27" spans="2:32" ht="23.1" customHeight="1" x14ac:dyDescent="0.25">
      <c r="B27" s="45" t="s">
        <v>54</v>
      </c>
      <c r="C27" s="50">
        <v>10</v>
      </c>
      <c r="D27" s="50">
        <v>0</v>
      </c>
      <c r="E27" s="50">
        <v>2</v>
      </c>
      <c r="F27" s="50">
        <v>2</v>
      </c>
      <c r="G27" s="50">
        <v>0</v>
      </c>
      <c r="H27" s="50">
        <v>0</v>
      </c>
      <c r="I27" s="50">
        <v>6</v>
      </c>
      <c r="J27" s="50">
        <v>4</v>
      </c>
      <c r="K27" s="50">
        <v>1</v>
      </c>
      <c r="L27" s="50">
        <v>0</v>
      </c>
      <c r="M27" s="50">
        <v>100</v>
      </c>
      <c r="N27" s="50">
        <v>0</v>
      </c>
      <c r="O27" s="15">
        <f t="shared" si="0"/>
        <v>25</v>
      </c>
      <c r="P27" s="15">
        <f t="shared" si="1"/>
        <v>125</v>
      </c>
      <c r="R27" s="36" t="s">
        <v>151</v>
      </c>
      <c r="S27" s="34">
        <f>SUM(C78:C81)</f>
        <v>10</v>
      </c>
      <c r="T27" s="34">
        <f t="shared" ref="T27:AF27" si="19">SUM(D78:D81)</f>
        <v>10</v>
      </c>
      <c r="U27" s="34">
        <f t="shared" si="19"/>
        <v>5</v>
      </c>
      <c r="V27" s="34">
        <f t="shared" si="19"/>
        <v>22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56</v>
      </c>
      <c r="AD27" s="34">
        <f t="shared" si="19"/>
        <v>0</v>
      </c>
      <c r="AE27" s="31">
        <f t="shared" si="19"/>
        <v>49</v>
      </c>
      <c r="AF27" s="31">
        <f t="shared" si="19"/>
        <v>105</v>
      </c>
    </row>
    <row r="28" spans="2:32" ht="23.1" customHeight="1" x14ac:dyDescent="0.25">
      <c r="B28" s="45" t="s">
        <v>55</v>
      </c>
      <c r="C28" s="50">
        <v>11</v>
      </c>
      <c r="D28" s="50">
        <v>9</v>
      </c>
      <c r="E28" s="50">
        <v>4</v>
      </c>
      <c r="F28" s="50">
        <v>4</v>
      </c>
      <c r="G28" s="50">
        <v>0</v>
      </c>
      <c r="H28" s="50">
        <v>0</v>
      </c>
      <c r="I28" s="50">
        <v>10</v>
      </c>
      <c r="J28" s="50">
        <v>6</v>
      </c>
      <c r="K28" s="50">
        <v>1</v>
      </c>
      <c r="L28" s="50">
        <v>2</v>
      </c>
      <c r="M28" s="50">
        <v>92</v>
      </c>
      <c r="N28" s="50">
        <v>0</v>
      </c>
      <c r="O28" s="15">
        <f t="shared" si="0"/>
        <v>47</v>
      </c>
      <c r="P28" s="15">
        <f t="shared" si="1"/>
        <v>139</v>
      </c>
      <c r="R28" s="36" t="s">
        <v>152</v>
      </c>
      <c r="S28" s="34">
        <f>SUM(C82:C85)</f>
        <v>3</v>
      </c>
      <c r="T28" s="34">
        <f t="shared" ref="T28:AF28" si="20">SUM(D82:D85)</f>
        <v>5</v>
      </c>
      <c r="U28" s="34">
        <f t="shared" si="20"/>
        <v>2</v>
      </c>
      <c r="V28" s="34">
        <f t="shared" si="20"/>
        <v>5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60</v>
      </c>
      <c r="AD28" s="34">
        <f t="shared" si="20"/>
        <v>0</v>
      </c>
      <c r="AE28" s="31">
        <f t="shared" si="20"/>
        <v>16</v>
      </c>
      <c r="AF28" s="31">
        <f t="shared" si="20"/>
        <v>76</v>
      </c>
    </row>
    <row r="29" spans="2:32" ht="23.1" customHeight="1" x14ac:dyDescent="0.25">
      <c r="B29" s="45" t="s">
        <v>56</v>
      </c>
      <c r="C29" s="50">
        <v>11</v>
      </c>
      <c r="D29" s="50">
        <v>16</v>
      </c>
      <c r="E29" s="50">
        <v>4</v>
      </c>
      <c r="F29" s="50">
        <v>20</v>
      </c>
      <c r="G29" s="50">
        <v>0</v>
      </c>
      <c r="H29" s="50">
        <v>0</v>
      </c>
      <c r="I29" s="50">
        <v>9</v>
      </c>
      <c r="J29" s="50">
        <v>3</v>
      </c>
      <c r="K29" s="50">
        <v>1</v>
      </c>
      <c r="L29" s="50">
        <v>0</v>
      </c>
      <c r="M29" s="50">
        <v>90</v>
      </c>
      <c r="N29" s="50">
        <v>0</v>
      </c>
      <c r="O29" s="15">
        <f t="shared" si="0"/>
        <v>64</v>
      </c>
      <c r="P29" s="15">
        <f t="shared" si="1"/>
        <v>154</v>
      </c>
      <c r="R29" s="36" t="s">
        <v>153</v>
      </c>
      <c r="S29" s="34">
        <f>SUM(C86:C89)</f>
        <v>6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94</v>
      </c>
      <c r="AD29" s="34">
        <f t="shared" si="21"/>
        <v>0</v>
      </c>
      <c r="AE29" s="31">
        <f t="shared" si="21"/>
        <v>9</v>
      </c>
      <c r="AF29" s="31">
        <f t="shared" si="21"/>
        <v>103</v>
      </c>
    </row>
    <row r="30" spans="2:32" ht="23.1" customHeight="1" x14ac:dyDescent="0.25">
      <c r="B30" s="45" t="s">
        <v>57</v>
      </c>
      <c r="C30" s="50">
        <v>9</v>
      </c>
      <c r="D30" s="50">
        <v>14</v>
      </c>
      <c r="E30" s="50">
        <v>1</v>
      </c>
      <c r="F30" s="50">
        <v>19</v>
      </c>
      <c r="G30" s="50">
        <v>0</v>
      </c>
      <c r="H30" s="50">
        <v>0</v>
      </c>
      <c r="I30" s="50">
        <v>7</v>
      </c>
      <c r="J30" s="50">
        <v>4</v>
      </c>
      <c r="K30" s="50">
        <v>0</v>
      </c>
      <c r="L30" s="50">
        <v>1</v>
      </c>
      <c r="M30" s="50">
        <v>95</v>
      </c>
      <c r="N30" s="50">
        <v>0</v>
      </c>
      <c r="O30" s="15">
        <f t="shared" si="0"/>
        <v>55</v>
      </c>
      <c r="P30" s="15">
        <f t="shared" si="1"/>
        <v>150</v>
      </c>
      <c r="R30" s="36" t="s">
        <v>154</v>
      </c>
      <c r="S30" s="34">
        <f>SUM(C90:C93)</f>
        <v>4</v>
      </c>
      <c r="T30" s="34">
        <f t="shared" ref="T30:AF30" si="22">SUM(D90:D93)</f>
        <v>1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4</v>
      </c>
      <c r="AA30" s="34">
        <f t="shared" si="22"/>
        <v>2</v>
      </c>
      <c r="AB30" s="34">
        <f t="shared" si="22"/>
        <v>0</v>
      </c>
      <c r="AC30" s="34">
        <f t="shared" si="22"/>
        <v>98</v>
      </c>
      <c r="AD30" s="34">
        <f t="shared" si="22"/>
        <v>0</v>
      </c>
      <c r="AE30" s="31">
        <f t="shared" si="22"/>
        <v>16</v>
      </c>
      <c r="AF30" s="31">
        <f t="shared" si="22"/>
        <v>114</v>
      </c>
    </row>
    <row r="31" spans="2:32" ht="23.1" customHeight="1" x14ac:dyDescent="0.25">
      <c r="B31" s="46" t="s">
        <v>58</v>
      </c>
      <c r="C31" s="50">
        <v>14</v>
      </c>
      <c r="D31" s="50">
        <v>12</v>
      </c>
      <c r="E31" s="50">
        <v>5</v>
      </c>
      <c r="F31" s="50">
        <v>16</v>
      </c>
      <c r="G31" s="50">
        <v>2</v>
      </c>
      <c r="H31" s="50">
        <v>0</v>
      </c>
      <c r="I31" s="50">
        <v>4</v>
      </c>
      <c r="J31" s="50">
        <v>6</v>
      </c>
      <c r="K31" s="50">
        <v>0</v>
      </c>
      <c r="L31" s="50">
        <v>0</v>
      </c>
      <c r="M31" s="50">
        <v>88</v>
      </c>
      <c r="N31" s="50">
        <v>0</v>
      </c>
      <c r="O31" s="15">
        <f t="shared" si="0"/>
        <v>59</v>
      </c>
      <c r="P31" s="15">
        <f t="shared" si="1"/>
        <v>147</v>
      </c>
      <c r="R31" s="36" t="s">
        <v>155</v>
      </c>
      <c r="S31" s="34">
        <f>SUM(C94:C97)</f>
        <v>13</v>
      </c>
      <c r="T31" s="34">
        <f t="shared" ref="T31:AF31" si="23">SUM(D94:D97)</f>
        <v>5</v>
      </c>
      <c r="U31" s="34">
        <f t="shared" si="23"/>
        <v>2</v>
      </c>
      <c r="V31" s="34">
        <f t="shared" si="23"/>
        <v>6</v>
      </c>
      <c r="W31" s="34">
        <f t="shared" si="23"/>
        <v>1</v>
      </c>
      <c r="X31" s="34">
        <f t="shared" si="23"/>
        <v>0</v>
      </c>
      <c r="Y31" s="34">
        <f t="shared" si="23"/>
        <v>2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121</v>
      </c>
      <c r="AD31" s="34">
        <f t="shared" si="23"/>
        <v>0</v>
      </c>
      <c r="AE31" s="31">
        <f t="shared" si="23"/>
        <v>31</v>
      </c>
      <c r="AF31" s="31">
        <f t="shared" si="23"/>
        <v>152</v>
      </c>
    </row>
    <row r="32" spans="2:32" ht="23.1" customHeight="1" x14ac:dyDescent="0.25">
      <c r="B32" s="46" t="s">
        <v>59</v>
      </c>
      <c r="C32" s="50">
        <v>12</v>
      </c>
      <c r="D32" s="50">
        <v>5</v>
      </c>
      <c r="E32" s="50">
        <v>7</v>
      </c>
      <c r="F32" s="50">
        <v>14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0</v>
      </c>
      <c r="M32" s="50">
        <v>105</v>
      </c>
      <c r="N32" s="50">
        <v>0</v>
      </c>
      <c r="O32" s="15">
        <f t="shared" si="0"/>
        <v>42</v>
      </c>
      <c r="P32" s="15">
        <f t="shared" si="1"/>
        <v>147</v>
      </c>
      <c r="R32" s="33" t="s">
        <v>156</v>
      </c>
      <c r="S32" s="34">
        <f>SUM(C98:C101)</f>
        <v>16</v>
      </c>
      <c r="T32" s="34">
        <f t="shared" ref="T32:AF32" si="24">SUM(D98:D101)</f>
        <v>11</v>
      </c>
      <c r="U32" s="34">
        <f t="shared" si="24"/>
        <v>8</v>
      </c>
      <c r="V32" s="34">
        <f t="shared" si="24"/>
        <v>37</v>
      </c>
      <c r="W32" s="34">
        <f t="shared" si="24"/>
        <v>0</v>
      </c>
      <c r="X32" s="34">
        <f t="shared" si="24"/>
        <v>0</v>
      </c>
      <c r="Y32" s="34">
        <f t="shared" si="24"/>
        <v>7</v>
      </c>
      <c r="Z32" s="34">
        <f t="shared" si="24"/>
        <v>1</v>
      </c>
      <c r="AA32" s="34">
        <f t="shared" si="24"/>
        <v>1</v>
      </c>
      <c r="AB32" s="34">
        <f t="shared" si="24"/>
        <v>0</v>
      </c>
      <c r="AC32" s="34">
        <f t="shared" si="24"/>
        <v>217</v>
      </c>
      <c r="AD32" s="34">
        <f t="shared" si="24"/>
        <v>0</v>
      </c>
      <c r="AE32" s="31">
        <f t="shared" si="24"/>
        <v>81</v>
      </c>
      <c r="AF32" s="31">
        <f t="shared" si="24"/>
        <v>298</v>
      </c>
    </row>
    <row r="33" spans="2:32" ht="23.1" customHeight="1" x14ac:dyDescent="0.25">
      <c r="B33" s="45" t="s">
        <v>60</v>
      </c>
      <c r="C33" s="50">
        <v>12</v>
      </c>
      <c r="D33" s="50">
        <v>10</v>
      </c>
      <c r="E33" s="50">
        <v>7</v>
      </c>
      <c r="F33" s="50">
        <v>13</v>
      </c>
      <c r="G33" s="50">
        <v>0</v>
      </c>
      <c r="H33" s="50">
        <v>0</v>
      </c>
      <c r="I33" s="50">
        <v>3</v>
      </c>
      <c r="J33" s="50">
        <v>2</v>
      </c>
      <c r="K33" s="50">
        <v>1</v>
      </c>
      <c r="L33" s="50">
        <v>0</v>
      </c>
      <c r="M33" s="50">
        <v>107</v>
      </c>
      <c r="N33" s="50">
        <v>0</v>
      </c>
      <c r="O33" s="15">
        <f t="shared" si="0"/>
        <v>48</v>
      </c>
      <c r="P33" s="15">
        <f t="shared" si="1"/>
        <v>155</v>
      </c>
      <c r="R33" s="33" t="s">
        <v>157</v>
      </c>
      <c r="S33" s="34">
        <f>SUM(C102:C105)</f>
        <v>52</v>
      </c>
      <c r="T33" s="34">
        <f t="shared" ref="T33:AF33" si="25">SUM(D102:D105)</f>
        <v>26</v>
      </c>
      <c r="U33" s="34">
        <f t="shared" si="25"/>
        <v>11</v>
      </c>
      <c r="V33" s="34">
        <f t="shared" si="25"/>
        <v>88</v>
      </c>
      <c r="W33" s="34">
        <f t="shared" si="25"/>
        <v>1</v>
      </c>
      <c r="X33" s="34">
        <f t="shared" si="25"/>
        <v>0</v>
      </c>
      <c r="Y33" s="34">
        <f t="shared" si="25"/>
        <v>23</v>
      </c>
      <c r="Z33" s="34">
        <f t="shared" si="25"/>
        <v>6</v>
      </c>
      <c r="AA33" s="34">
        <f t="shared" si="25"/>
        <v>1</v>
      </c>
      <c r="AB33" s="34">
        <f t="shared" si="25"/>
        <v>0</v>
      </c>
      <c r="AC33" s="34">
        <f t="shared" si="25"/>
        <v>378</v>
      </c>
      <c r="AD33" s="34">
        <f t="shared" si="25"/>
        <v>0</v>
      </c>
      <c r="AE33" s="31">
        <f t="shared" si="25"/>
        <v>208</v>
      </c>
      <c r="AF33" s="31">
        <f t="shared" si="25"/>
        <v>586</v>
      </c>
    </row>
    <row r="34" spans="2:32" ht="23.1" customHeight="1" x14ac:dyDescent="0.25">
      <c r="B34" s="46" t="s">
        <v>61</v>
      </c>
      <c r="C34" s="50">
        <v>15</v>
      </c>
      <c r="D34" s="50">
        <v>13</v>
      </c>
      <c r="E34" s="50">
        <v>1</v>
      </c>
      <c r="F34" s="50">
        <v>11</v>
      </c>
      <c r="G34" s="50">
        <v>1</v>
      </c>
      <c r="H34" s="50">
        <v>0</v>
      </c>
      <c r="I34" s="50">
        <v>1</v>
      </c>
      <c r="J34" s="50">
        <v>7</v>
      </c>
      <c r="K34" s="50">
        <v>2</v>
      </c>
      <c r="L34" s="50">
        <v>0</v>
      </c>
      <c r="M34" s="50">
        <v>87</v>
      </c>
      <c r="N34" s="50">
        <v>0</v>
      </c>
      <c r="O34" s="15">
        <f t="shared" si="0"/>
        <v>51</v>
      </c>
      <c r="P34" s="15">
        <f t="shared" si="1"/>
        <v>138</v>
      </c>
      <c r="R34" s="38" t="s">
        <v>90</v>
      </c>
      <c r="S34" s="39">
        <f t="shared" ref="S34:AF34" si="26">MAX(S10:S12)</f>
        <v>134</v>
      </c>
      <c r="T34" s="39">
        <f t="shared" si="26"/>
        <v>49</v>
      </c>
      <c r="U34" s="39">
        <f t="shared" si="26"/>
        <v>29</v>
      </c>
      <c r="V34" s="39">
        <f t="shared" si="26"/>
        <v>146</v>
      </c>
      <c r="W34" s="39">
        <f t="shared" si="26"/>
        <v>4</v>
      </c>
      <c r="X34" s="39">
        <f t="shared" si="26"/>
        <v>2</v>
      </c>
      <c r="Y34" s="39">
        <f t="shared" si="26"/>
        <v>39</v>
      </c>
      <c r="Z34" s="39">
        <f t="shared" si="26"/>
        <v>18</v>
      </c>
      <c r="AA34" s="39">
        <f t="shared" si="26"/>
        <v>2</v>
      </c>
      <c r="AB34" s="39">
        <f t="shared" si="26"/>
        <v>2</v>
      </c>
      <c r="AC34" s="39">
        <f t="shared" si="26"/>
        <v>549</v>
      </c>
      <c r="AD34" s="39">
        <f t="shared" si="26"/>
        <v>0</v>
      </c>
      <c r="AE34" s="40">
        <f t="shared" si="26"/>
        <v>374</v>
      </c>
      <c r="AF34" s="40">
        <f t="shared" si="26"/>
        <v>903</v>
      </c>
    </row>
    <row r="35" spans="2:32" ht="23.1" customHeight="1" x14ac:dyDescent="0.25">
      <c r="B35" s="46" t="s">
        <v>62</v>
      </c>
      <c r="C35" s="50">
        <v>15</v>
      </c>
      <c r="D35" s="50">
        <v>6</v>
      </c>
      <c r="E35" s="50">
        <v>4</v>
      </c>
      <c r="F35" s="50">
        <v>16</v>
      </c>
      <c r="G35" s="50">
        <v>0</v>
      </c>
      <c r="H35" s="50">
        <v>1</v>
      </c>
      <c r="I35" s="50">
        <v>3</v>
      </c>
      <c r="J35" s="50">
        <v>3</v>
      </c>
      <c r="K35" s="50">
        <v>0</v>
      </c>
      <c r="L35" s="50">
        <v>0</v>
      </c>
      <c r="M35" s="50">
        <v>93</v>
      </c>
      <c r="N35" s="50">
        <v>0</v>
      </c>
      <c r="O35" s="15">
        <f t="shared" si="0"/>
        <v>48</v>
      </c>
      <c r="P35" s="15">
        <f t="shared" si="1"/>
        <v>141</v>
      </c>
      <c r="R35" s="38" t="s">
        <v>91</v>
      </c>
      <c r="S35" s="39">
        <f t="shared" ref="S35:AF35" si="27">MAX(S13:S18)</f>
        <v>81</v>
      </c>
      <c r="T35" s="39">
        <f t="shared" si="27"/>
        <v>42</v>
      </c>
      <c r="U35" s="39">
        <f t="shared" si="27"/>
        <v>32</v>
      </c>
      <c r="V35" s="39">
        <f t="shared" si="27"/>
        <v>97</v>
      </c>
      <c r="W35" s="39">
        <f t="shared" si="27"/>
        <v>2</v>
      </c>
      <c r="X35" s="39">
        <f t="shared" si="27"/>
        <v>1</v>
      </c>
      <c r="Y35" s="39">
        <f t="shared" si="27"/>
        <v>36</v>
      </c>
      <c r="Z35" s="39">
        <f t="shared" si="27"/>
        <v>23</v>
      </c>
      <c r="AA35" s="39">
        <f t="shared" si="27"/>
        <v>5</v>
      </c>
      <c r="AB35" s="39">
        <f t="shared" si="27"/>
        <v>5</v>
      </c>
      <c r="AC35" s="39">
        <f t="shared" si="27"/>
        <v>430</v>
      </c>
      <c r="AD35" s="39">
        <f t="shared" si="27"/>
        <v>1</v>
      </c>
      <c r="AE35" s="40">
        <f t="shared" si="27"/>
        <v>298</v>
      </c>
      <c r="AF35" s="40">
        <f t="shared" si="27"/>
        <v>728</v>
      </c>
    </row>
    <row r="36" spans="2:32" ht="23.1" customHeight="1" x14ac:dyDescent="0.25">
      <c r="B36" s="46" t="s">
        <v>63</v>
      </c>
      <c r="C36" s="50">
        <v>11</v>
      </c>
      <c r="D36" s="50">
        <v>5</v>
      </c>
      <c r="E36" s="50">
        <v>6</v>
      </c>
      <c r="F36" s="50">
        <v>15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1</v>
      </c>
      <c r="M36" s="50">
        <v>83</v>
      </c>
      <c r="N36" s="50">
        <v>0</v>
      </c>
      <c r="O36" s="15">
        <f t="shared" si="0"/>
        <v>42</v>
      </c>
      <c r="P36" s="15">
        <f t="shared" si="1"/>
        <v>125</v>
      </c>
      <c r="R36" s="38" t="s">
        <v>92</v>
      </c>
      <c r="S36" s="39">
        <f t="shared" ref="S36:AF36" si="28">MAX(S19:S21)</f>
        <v>60</v>
      </c>
      <c r="T36" s="39">
        <f t="shared" si="28"/>
        <v>45</v>
      </c>
      <c r="U36" s="39">
        <f t="shared" si="28"/>
        <v>19</v>
      </c>
      <c r="V36" s="39">
        <f t="shared" si="28"/>
        <v>80</v>
      </c>
      <c r="W36" s="39">
        <f t="shared" si="28"/>
        <v>5</v>
      </c>
      <c r="X36" s="39">
        <f t="shared" si="28"/>
        <v>0</v>
      </c>
      <c r="Y36" s="39">
        <f t="shared" si="28"/>
        <v>27</v>
      </c>
      <c r="Z36" s="39">
        <f t="shared" si="28"/>
        <v>20</v>
      </c>
      <c r="AA36" s="39">
        <f t="shared" si="28"/>
        <v>3</v>
      </c>
      <c r="AB36" s="39">
        <f t="shared" si="28"/>
        <v>4</v>
      </c>
      <c r="AC36" s="39">
        <f t="shared" si="28"/>
        <v>553</v>
      </c>
      <c r="AD36" s="39">
        <f t="shared" si="28"/>
        <v>0</v>
      </c>
      <c r="AE36" s="40">
        <f t="shared" si="28"/>
        <v>242</v>
      </c>
      <c r="AF36" s="40">
        <f t="shared" si="28"/>
        <v>795</v>
      </c>
    </row>
    <row r="37" spans="2:32" ht="23.1" customHeight="1" x14ac:dyDescent="0.25">
      <c r="B37" s="45" t="s">
        <v>64</v>
      </c>
      <c r="C37" s="50">
        <v>15</v>
      </c>
      <c r="D37" s="50">
        <v>7</v>
      </c>
      <c r="E37" s="50">
        <v>5</v>
      </c>
      <c r="F37" s="50">
        <v>9</v>
      </c>
      <c r="G37" s="50">
        <v>0</v>
      </c>
      <c r="H37" s="50">
        <v>0</v>
      </c>
      <c r="I37" s="50">
        <v>4</v>
      </c>
      <c r="J37" s="50">
        <v>3</v>
      </c>
      <c r="K37" s="50">
        <v>0</v>
      </c>
      <c r="L37" s="50">
        <v>0</v>
      </c>
      <c r="M37" s="50">
        <v>90</v>
      </c>
      <c r="N37" s="50">
        <v>0</v>
      </c>
      <c r="O37" s="15">
        <f t="shared" si="0"/>
        <v>43</v>
      </c>
      <c r="P37" s="15">
        <f t="shared" si="1"/>
        <v>133</v>
      </c>
      <c r="R37" s="37" t="s">
        <v>85</v>
      </c>
      <c r="S37" s="35">
        <f t="shared" ref="S37:AF37" si="29">SUM(S10:S12)</f>
        <v>302</v>
      </c>
      <c r="T37" s="16">
        <f t="shared" si="29"/>
        <v>120</v>
      </c>
      <c r="U37" s="16">
        <f t="shared" si="29"/>
        <v>79</v>
      </c>
      <c r="V37" s="16">
        <f t="shared" si="29"/>
        <v>371</v>
      </c>
      <c r="W37" s="16">
        <f t="shared" si="29"/>
        <v>6</v>
      </c>
      <c r="X37" s="16">
        <f t="shared" si="29"/>
        <v>4</v>
      </c>
      <c r="Y37" s="16">
        <f t="shared" si="29"/>
        <v>82</v>
      </c>
      <c r="Z37" s="16">
        <f t="shared" si="29"/>
        <v>25</v>
      </c>
      <c r="AA37" s="16">
        <f t="shared" si="29"/>
        <v>3</v>
      </c>
      <c r="AB37" s="16">
        <f t="shared" si="29"/>
        <v>3</v>
      </c>
      <c r="AC37" s="16">
        <f t="shared" si="29"/>
        <v>1436</v>
      </c>
      <c r="AD37" s="16">
        <f t="shared" si="29"/>
        <v>0</v>
      </c>
      <c r="AE37" s="32">
        <f t="shared" si="29"/>
        <v>995</v>
      </c>
      <c r="AF37" s="32">
        <f t="shared" si="29"/>
        <v>2431</v>
      </c>
    </row>
    <row r="38" spans="2:32" ht="23.1" customHeight="1" x14ac:dyDescent="0.25">
      <c r="B38" s="46" t="s">
        <v>65</v>
      </c>
      <c r="C38" s="50">
        <v>15</v>
      </c>
      <c r="D38" s="50">
        <v>8</v>
      </c>
      <c r="E38" s="50">
        <v>8</v>
      </c>
      <c r="F38" s="50">
        <v>17</v>
      </c>
      <c r="G38" s="50">
        <v>0</v>
      </c>
      <c r="H38" s="50">
        <v>0</v>
      </c>
      <c r="I38" s="50">
        <v>5</v>
      </c>
      <c r="J38" s="50">
        <v>7</v>
      </c>
      <c r="K38" s="50">
        <v>0</v>
      </c>
      <c r="L38" s="50">
        <v>0</v>
      </c>
      <c r="M38" s="50">
        <v>90</v>
      </c>
      <c r="N38" s="50">
        <v>0</v>
      </c>
      <c r="O38" s="15">
        <f t="shared" si="0"/>
        <v>60</v>
      </c>
      <c r="P38" s="15">
        <f t="shared" si="1"/>
        <v>150</v>
      </c>
      <c r="R38" s="28" t="s">
        <v>86</v>
      </c>
      <c r="S38" s="16">
        <f t="shared" ref="S38:AF38" si="30">SUM(S13:S18)</f>
        <v>333</v>
      </c>
      <c r="T38" s="16">
        <f t="shared" si="30"/>
        <v>222</v>
      </c>
      <c r="U38" s="16">
        <f t="shared" si="30"/>
        <v>116</v>
      </c>
      <c r="V38" s="16">
        <f t="shared" si="30"/>
        <v>384</v>
      </c>
      <c r="W38" s="16">
        <f t="shared" si="30"/>
        <v>5</v>
      </c>
      <c r="X38" s="16">
        <f t="shared" si="30"/>
        <v>2</v>
      </c>
      <c r="Y38" s="16">
        <f t="shared" si="30"/>
        <v>130</v>
      </c>
      <c r="Z38" s="16">
        <f t="shared" si="30"/>
        <v>107</v>
      </c>
      <c r="AA38" s="16">
        <f t="shared" si="30"/>
        <v>18</v>
      </c>
      <c r="AB38" s="16">
        <f t="shared" si="30"/>
        <v>14</v>
      </c>
      <c r="AC38" s="16">
        <f t="shared" si="30"/>
        <v>2336</v>
      </c>
      <c r="AD38" s="16">
        <f t="shared" si="30"/>
        <v>1</v>
      </c>
      <c r="AE38" s="32">
        <f t="shared" si="30"/>
        <v>1332</v>
      </c>
      <c r="AF38" s="32">
        <f t="shared" si="30"/>
        <v>3668</v>
      </c>
    </row>
    <row r="39" spans="2:32" ht="23.1" customHeight="1" x14ac:dyDescent="0.25">
      <c r="B39" s="46" t="s">
        <v>66</v>
      </c>
      <c r="C39" s="50">
        <v>22</v>
      </c>
      <c r="D39" s="50">
        <v>17</v>
      </c>
      <c r="E39" s="50">
        <v>8</v>
      </c>
      <c r="F39" s="50">
        <v>28</v>
      </c>
      <c r="G39" s="50">
        <v>0</v>
      </c>
      <c r="H39" s="50">
        <v>0</v>
      </c>
      <c r="I39" s="50">
        <v>9</v>
      </c>
      <c r="J39" s="50">
        <v>5</v>
      </c>
      <c r="K39" s="50">
        <v>1</v>
      </c>
      <c r="L39" s="50">
        <v>0</v>
      </c>
      <c r="M39" s="50">
        <v>130</v>
      </c>
      <c r="N39" s="50">
        <v>0</v>
      </c>
      <c r="O39" s="15">
        <f t="shared" si="0"/>
        <v>90</v>
      </c>
      <c r="P39" s="15">
        <f t="shared" si="1"/>
        <v>220</v>
      </c>
      <c r="R39" s="29" t="s">
        <v>87</v>
      </c>
      <c r="S39" s="16">
        <f t="shared" ref="S39:AF39" si="31">SUM(S19:S21)</f>
        <v>144</v>
      </c>
      <c r="T39" s="16">
        <f t="shared" si="31"/>
        <v>103</v>
      </c>
      <c r="U39" s="16">
        <f t="shared" si="31"/>
        <v>52</v>
      </c>
      <c r="V39" s="16">
        <f t="shared" si="31"/>
        <v>187</v>
      </c>
      <c r="W39" s="16">
        <f t="shared" si="31"/>
        <v>6</v>
      </c>
      <c r="X39" s="16">
        <f t="shared" si="31"/>
        <v>0</v>
      </c>
      <c r="Y39" s="16">
        <f t="shared" si="31"/>
        <v>69</v>
      </c>
      <c r="Z39" s="16">
        <f t="shared" si="31"/>
        <v>46</v>
      </c>
      <c r="AA39" s="16">
        <f t="shared" si="31"/>
        <v>3</v>
      </c>
      <c r="AB39" s="16">
        <f t="shared" si="31"/>
        <v>5</v>
      </c>
      <c r="AC39" s="16">
        <f t="shared" si="31"/>
        <v>1412</v>
      </c>
      <c r="AD39" s="16">
        <f t="shared" si="31"/>
        <v>0</v>
      </c>
      <c r="AE39" s="32">
        <f t="shared" si="31"/>
        <v>615</v>
      </c>
      <c r="AF39" s="32">
        <f t="shared" si="31"/>
        <v>2027</v>
      </c>
    </row>
    <row r="40" spans="2:32" ht="23.1" customHeight="1" x14ac:dyDescent="0.25">
      <c r="B40" s="46" t="s">
        <v>67</v>
      </c>
      <c r="C40" s="50">
        <v>8</v>
      </c>
      <c r="D40" s="50">
        <v>6</v>
      </c>
      <c r="E40" s="50">
        <v>11</v>
      </c>
      <c r="F40" s="50">
        <v>15</v>
      </c>
      <c r="G40" s="50">
        <v>0</v>
      </c>
      <c r="H40" s="50">
        <v>0</v>
      </c>
      <c r="I40" s="50">
        <v>4</v>
      </c>
      <c r="J40" s="50">
        <v>2</v>
      </c>
      <c r="K40" s="50">
        <v>0</v>
      </c>
      <c r="L40" s="50">
        <v>0</v>
      </c>
      <c r="M40" s="50">
        <v>95</v>
      </c>
      <c r="N40" s="50">
        <v>0</v>
      </c>
      <c r="O40" s="15">
        <f t="shared" si="0"/>
        <v>46</v>
      </c>
      <c r="P40" s="15">
        <f t="shared" si="1"/>
        <v>141</v>
      </c>
      <c r="R40" s="5" t="s">
        <v>17</v>
      </c>
      <c r="S40" s="16">
        <f t="shared" ref="S40:AF40" si="32">SUM(S10:S21)</f>
        <v>779</v>
      </c>
      <c r="T40" s="16">
        <f t="shared" si="32"/>
        <v>445</v>
      </c>
      <c r="U40" s="16">
        <f t="shared" si="32"/>
        <v>247</v>
      </c>
      <c r="V40" s="16">
        <f t="shared" si="32"/>
        <v>942</v>
      </c>
      <c r="W40" s="16">
        <f t="shared" si="32"/>
        <v>17</v>
      </c>
      <c r="X40" s="16">
        <f t="shared" si="32"/>
        <v>6</v>
      </c>
      <c r="Y40" s="16">
        <f t="shared" si="32"/>
        <v>281</v>
      </c>
      <c r="Z40" s="16">
        <f t="shared" si="32"/>
        <v>178</v>
      </c>
      <c r="AA40" s="16">
        <f t="shared" si="32"/>
        <v>24</v>
      </c>
      <c r="AB40" s="16">
        <f t="shared" si="32"/>
        <v>22</v>
      </c>
      <c r="AC40" s="16">
        <f t="shared" si="32"/>
        <v>5184</v>
      </c>
      <c r="AD40" s="16">
        <f t="shared" si="32"/>
        <v>1</v>
      </c>
      <c r="AE40" s="32">
        <f t="shared" si="32"/>
        <v>2942</v>
      </c>
      <c r="AF40" s="32">
        <f t="shared" si="32"/>
        <v>8126</v>
      </c>
    </row>
    <row r="41" spans="2:32" ht="23.1" customHeight="1" x14ac:dyDescent="0.25">
      <c r="B41" s="45" t="s">
        <v>68</v>
      </c>
      <c r="C41" s="50">
        <v>9</v>
      </c>
      <c r="D41" s="50">
        <v>11</v>
      </c>
      <c r="E41" s="50">
        <v>5</v>
      </c>
      <c r="F41" s="50">
        <v>10</v>
      </c>
      <c r="G41" s="50">
        <v>0</v>
      </c>
      <c r="H41" s="50">
        <v>0</v>
      </c>
      <c r="I41" s="50">
        <v>4</v>
      </c>
      <c r="J41" s="50">
        <v>4</v>
      </c>
      <c r="K41" s="50">
        <v>1</v>
      </c>
      <c r="L41" s="50">
        <v>0</v>
      </c>
      <c r="M41" s="50">
        <v>94</v>
      </c>
      <c r="N41" s="50">
        <v>0</v>
      </c>
      <c r="O41" s="15">
        <f t="shared" si="0"/>
        <v>44</v>
      </c>
      <c r="P41" s="15">
        <f t="shared" si="1"/>
        <v>138</v>
      </c>
      <c r="R41" s="5" t="s">
        <v>159</v>
      </c>
      <c r="S41" s="16">
        <f>SUM(S10:S33)</f>
        <v>1065</v>
      </c>
      <c r="T41" s="16">
        <f t="shared" ref="T41:AF41" si="33">SUM(T10:T33)</f>
        <v>611</v>
      </c>
      <c r="U41" s="16">
        <f t="shared" si="33"/>
        <v>325</v>
      </c>
      <c r="V41" s="16">
        <f t="shared" si="33"/>
        <v>1379</v>
      </c>
      <c r="W41" s="16">
        <f t="shared" si="33"/>
        <v>29</v>
      </c>
      <c r="X41" s="16">
        <f t="shared" si="33"/>
        <v>8</v>
      </c>
      <c r="Y41" s="16">
        <f t="shared" si="33"/>
        <v>360</v>
      </c>
      <c r="Z41" s="16">
        <f t="shared" si="33"/>
        <v>218</v>
      </c>
      <c r="AA41" s="16">
        <f t="shared" si="33"/>
        <v>30</v>
      </c>
      <c r="AB41" s="16">
        <f t="shared" si="33"/>
        <v>24</v>
      </c>
      <c r="AC41" s="16">
        <f t="shared" si="33"/>
        <v>8488</v>
      </c>
      <c r="AD41" s="16">
        <f t="shared" si="33"/>
        <v>1</v>
      </c>
      <c r="AE41" s="32">
        <f t="shared" si="33"/>
        <v>4050</v>
      </c>
      <c r="AF41" s="32">
        <f t="shared" si="33"/>
        <v>12538</v>
      </c>
    </row>
    <row r="42" spans="2:32" ht="23.1" customHeight="1" x14ac:dyDescent="0.25">
      <c r="B42" s="46" t="s">
        <v>69</v>
      </c>
      <c r="C42" s="50">
        <v>21</v>
      </c>
      <c r="D42" s="50">
        <v>8</v>
      </c>
      <c r="E42" s="50">
        <v>3</v>
      </c>
      <c r="F42" s="50">
        <v>9</v>
      </c>
      <c r="G42" s="50">
        <v>1</v>
      </c>
      <c r="H42" s="50">
        <v>0</v>
      </c>
      <c r="I42" s="50">
        <v>0</v>
      </c>
      <c r="J42" s="50">
        <v>7</v>
      </c>
      <c r="K42" s="50">
        <v>1</v>
      </c>
      <c r="L42" s="50">
        <v>1</v>
      </c>
      <c r="M42" s="50">
        <v>75</v>
      </c>
      <c r="N42" s="50">
        <v>0</v>
      </c>
      <c r="O42" s="15">
        <f t="shared" si="0"/>
        <v>51</v>
      </c>
      <c r="P42" s="15">
        <f t="shared" si="1"/>
        <v>126</v>
      </c>
      <c r="R42" s="5" t="s">
        <v>160</v>
      </c>
      <c r="S42" s="48">
        <f>S41/S40</f>
        <v>1.3671373555840822</v>
      </c>
      <c r="T42" s="48">
        <f t="shared" ref="T42:AF42" si="34">T41/T40</f>
        <v>1.3730337078651684</v>
      </c>
      <c r="U42" s="48">
        <f t="shared" si="34"/>
        <v>1.3157894736842106</v>
      </c>
      <c r="V42" s="48">
        <f t="shared" si="34"/>
        <v>1.4639065817409767</v>
      </c>
      <c r="W42" s="48">
        <f t="shared" si="34"/>
        <v>1.7058823529411764</v>
      </c>
      <c r="X42" s="48">
        <f t="shared" si="34"/>
        <v>1.3333333333333333</v>
      </c>
      <c r="Y42" s="48">
        <f t="shared" si="34"/>
        <v>1.2811387900355873</v>
      </c>
      <c r="Z42" s="48">
        <f t="shared" si="34"/>
        <v>1.2247191011235956</v>
      </c>
      <c r="AA42" s="48">
        <f t="shared" si="34"/>
        <v>1.25</v>
      </c>
      <c r="AB42" s="48">
        <f t="shared" si="34"/>
        <v>1.0909090909090908</v>
      </c>
      <c r="AC42" s="48">
        <f t="shared" si="34"/>
        <v>1.6373456790123457</v>
      </c>
      <c r="AD42" s="48">
        <f t="shared" si="34"/>
        <v>1</v>
      </c>
      <c r="AE42" s="48">
        <f t="shared" si="34"/>
        <v>1.3766145479265806</v>
      </c>
      <c r="AF42" s="48">
        <f t="shared" si="34"/>
        <v>1.542948560177209</v>
      </c>
    </row>
    <row r="43" spans="2:32" ht="23.1" customHeight="1" x14ac:dyDescent="0.25">
      <c r="B43" s="45" t="s">
        <v>70</v>
      </c>
      <c r="C43" s="50">
        <v>11</v>
      </c>
      <c r="D43" s="50">
        <v>10</v>
      </c>
      <c r="E43" s="50">
        <v>3</v>
      </c>
      <c r="F43" s="50">
        <v>13</v>
      </c>
      <c r="G43" s="50">
        <v>0</v>
      </c>
      <c r="H43" s="50">
        <v>0</v>
      </c>
      <c r="I43" s="50">
        <v>4</v>
      </c>
      <c r="J43" s="50">
        <v>4</v>
      </c>
      <c r="K43" s="50">
        <v>2</v>
      </c>
      <c r="L43" s="50">
        <v>0</v>
      </c>
      <c r="M43" s="50">
        <v>104</v>
      </c>
      <c r="N43" s="50">
        <v>0</v>
      </c>
      <c r="O43" s="15">
        <f t="shared" si="0"/>
        <v>47</v>
      </c>
      <c r="P43" s="15">
        <f t="shared" si="1"/>
        <v>151</v>
      </c>
    </row>
    <row r="44" spans="2:32" ht="23.1" customHeight="1" x14ac:dyDescent="0.25">
      <c r="B44" s="47" t="s">
        <v>71</v>
      </c>
      <c r="C44" s="50">
        <v>16</v>
      </c>
      <c r="D44" s="50">
        <v>7</v>
      </c>
      <c r="E44" s="50">
        <v>4</v>
      </c>
      <c r="F44" s="50">
        <v>14</v>
      </c>
      <c r="G44" s="50">
        <v>0</v>
      </c>
      <c r="H44" s="50">
        <v>0</v>
      </c>
      <c r="I44" s="50">
        <v>8</v>
      </c>
      <c r="J44" s="50">
        <v>4</v>
      </c>
      <c r="K44" s="50">
        <v>1</v>
      </c>
      <c r="L44" s="50">
        <v>1</v>
      </c>
      <c r="M44" s="50">
        <v>100</v>
      </c>
      <c r="N44" s="50">
        <v>0</v>
      </c>
      <c r="O44" s="15">
        <f t="shared" si="0"/>
        <v>55</v>
      </c>
      <c r="P44" s="15">
        <f t="shared" si="1"/>
        <v>155</v>
      </c>
    </row>
    <row r="45" spans="2:32" ht="23.1" customHeight="1" x14ac:dyDescent="0.25">
      <c r="B45" s="45" t="s">
        <v>72</v>
      </c>
      <c r="C45" s="50">
        <v>3</v>
      </c>
      <c r="D45" s="50">
        <v>5</v>
      </c>
      <c r="E45" s="50">
        <v>4</v>
      </c>
      <c r="F45" s="50">
        <v>18</v>
      </c>
      <c r="G45" s="50">
        <v>0</v>
      </c>
      <c r="H45" s="50">
        <v>0</v>
      </c>
      <c r="I45" s="50">
        <v>0</v>
      </c>
      <c r="J45" s="50">
        <v>8</v>
      </c>
      <c r="K45" s="50">
        <v>1</v>
      </c>
      <c r="L45" s="50">
        <v>2</v>
      </c>
      <c r="M45" s="50">
        <v>92</v>
      </c>
      <c r="N45" s="50">
        <v>0</v>
      </c>
      <c r="O45" s="15">
        <f t="shared" si="0"/>
        <v>41</v>
      </c>
      <c r="P45" s="15">
        <f t="shared" si="1"/>
        <v>133</v>
      </c>
    </row>
    <row r="46" spans="2:32" ht="23.1" customHeight="1" x14ac:dyDescent="0.25">
      <c r="B46" s="46" t="s">
        <v>73</v>
      </c>
      <c r="C46" s="50">
        <v>5</v>
      </c>
      <c r="D46" s="50">
        <v>3</v>
      </c>
      <c r="E46" s="50">
        <v>1</v>
      </c>
      <c r="F46" s="50">
        <v>10</v>
      </c>
      <c r="G46" s="50">
        <v>0</v>
      </c>
      <c r="H46" s="50">
        <v>0</v>
      </c>
      <c r="I46" s="50">
        <v>1</v>
      </c>
      <c r="J46" s="50">
        <v>3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23</v>
      </c>
      <c r="P46" s="15">
        <f t="shared" si="1"/>
        <v>41</v>
      </c>
      <c r="R46" s="8"/>
      <c r="T46"/>
    </row>
    <row r="47" spans="2:32" ht="23.1" customHeight="1" x14ac:dyDescent="0.25">
      <c r="B47" s="46" t="s">
        <v>74</v>
      </c>
      <c r="C47" s="50">
        <v>11</v>
      </c>
      <c r="D47" s="50">
        <v>2</v>
      </c>
      <c r="E47" s="50">
        <v>3</v>
      </c>
      <c r="F47" s="50">
        <v>15</v>
      </c>
      <c r="G47" s="50">
        <v>0</v>
      </c>
      <c r="H47" s="50">
        <v>0</v>
      </c>
      <c r="I47" s="50">
        <v>5</v>
      </c>
      <c r="J47" s="50">
        <v>7</v>
      </c>
      <c r="K47" s="50">
        <v>0</v>
      </c>
      <c r="L47" s="50">
        <v>0</v>
      </c>
      <c r="M47" s="50">
        <v>79</v>
      </c>
      <c r="N47" s="50">
        <v>0</v>
      </c>
      <c r="O47" s="15">
        <f t="shared" si="0"/>
        <v>43</v>
      </c>
      <c r="P47" s="15">
        <f t="shared" si="1"/>
        <v>122</v>
      </c>
      <c r="R47" s="8"/>
      <c r="T47"/>
    </row>
    <row r="48" spans="2:32" ht="23.1" customHeight="1" x14ac:dyDescent="0.25">
      <c r="B48" s="46" t="s">
        <v>75</v>
      </c>
      <c r="C48" s="50">
        <v>16</v>
      </c>
      <c r="D48" s="50">
        <v>9</v>
      </c>
      <c r="E48" s="50">
        <v>10</v>
      </c>
      <c r="F48" s="50">
        <v>16</v>
      </c>
      <c r="G48" s="50">
        <v>0</v>
      </c>
      <c r="H48" s="50">
        <v>0</v>
      </c>
      <c r="I48" s="50">
        <v>2</v>
      </c>
      <c r="J48" s="50">
        <v>6</v>
      </c>
      <c r="K48" s="50">
        <v>0</v>
      </c>
      <c r="L48" s="50">
        <v>0</v>
      </c>
      <c r="M48" s="50">
        <v>120</v>
      </c>
      <c r="N48" s="50">
        <v>0</v>
      </c>
      <c r="O48" s="15">
        <f t="shared" si="0"/>
        <v>59</v>
      </c>
      <c r="P48" s="15">
        <f t="shared" si="1"/>
        <v>179</v>
      </c>
      <c r="R48" s="8"/>
      <c r="T48"/>
    </row>
    <row r="49" spans="2:20" ht="23.1" customHeight="1" x14ac:dyDescent="0.25">
      <c r="B49" s="45" t="s">
        <v>76</v>
      </c>
      <c r="C49" s="50">
        <v>13</v>
      </c>
      <c r="D49" s="50">
        <v>3</v>
      </c>
      <c r="E49" s="50">
        <v>5</v>
      </c>
      <c r="F49" s="50">
        <v>6</v>
      </c>
      <c r="G49" s="50">
        <v>0</v>
      </c>
      <c r="H49" s="50">
        <v>0</v>
      </c>
      <c r="I49" s="50">
        <v>8</v>
      </c>
      <c r="J49" s="50">
        <v>4</v>
      </c>
      <c r="K49" s="50">
        <v>0</v>
      </c>
      <c r="L49" s="50">
        <v>0</v>
      </c>
      <c r="M49" s="50">
        <v>130</v>
      </c>
      <c r="N49" s="50">
        <v>0</v>
      </c>
      <c r="O49" s="15">
        <f t="shared" si="0"/>
        <v>39</v>
      </c>
      <c r="P49" s="15">
        <f t="shared" si="1"/>
        <v>169</v>
      </c>
      <c r="R49" s="8"/>
      <c r="T49"/>
    </row>
    <row r="50" spans="2:20" ht="23.1" customHeight="1" x14ac:dyDescent="0.25">
      <c r="B50" s="46" t="s">
        <v>77</v>
      </c>
      <c r="C50" s="50">
        <v>11</v>
      </c>
      <c r="D50" s="50">
        <v>8</v>
      </c>
      <c r="E50" s="50">
        <v>4</v>
      </c>
      <c r="F50" s="50">
        <v>20</v>
      </c>
      <c r="G50" s="50">
        <v>0</v>
      </c>
      <c r="H50" s="50">
        <v>0</v>
      </c>
      <c r="I50" s="50">
        <v>6</v>
      </c>
      <c r="J50" s="50">
        <v>6</v>
      </c>
      <c r="K50" s="50">
        <v>1</v>
      </c>
      <c r="L50" s="50">
        <v>1</v>
      </c>
      <c r="M50" s="50">
        <v>120</v>
      </c>
      <c r="N50" s="50">
        <v>0</v>
      </c>
      <c r="O50" s="15">
        <f t="shared" si="0"/>
        <v>57</v>
      </c>
      <c r="P50" s="15">
        <f t="shared" si="1"/>
        <v>177</v>
      </c>
      <c r="R50" s="8"/>
      <c r="T50"/>
    </row>
    <row r="51" spans="2:20" ht="23.1" customHeight="1" x14ac:dyDescent="0.25">
      <c r="B51" s="46" t="s">
        <v>78</v>
      </c>
      <c r="C51" s="50">
        <v>7</v>
      </c>
      <c r="D51" s="50">
        <v>8</v>
      </c>
      <c r="E51" s="50">
        <v>2</v>
      </c>
      <c r="F51" s="50">
        <v>8</v>
      </c>
      <c r="G51" s="50">
        <v>1</v>
      </c>
      <c r="H51" s="50">
        <v>0</v>
      </c>
      <c r="I51" s="50">
        <v>10</v>
      </c>
      <c r="J51" s="50">
        <v>1</v>
      </c>
      <c r="K51" s="50">
        <v>0</v>
      </c>
      <c r="L51" s="50">
        <v>0</v>
      </c>
      <c r="M51" s="50">
        <v>110</v>
      </c>
      <c r="N51" s="50">
        <v>0</v>
      </c>
      <c r="O51" s="15">
        <f t="shared" si="0"/>
        <v>37</v>
      </c>
      <c r="P51" s="15">
        <f t="shared" si="1"/>
        <v>147</v>
      </c>
      <c r="R51" s="8"/>
      <c r="T51"/>
    </row>
    <row r="52" spans="2:20" ht="23.1" customHeight="1" x14ac:dyDescent="0.25">
      <c r="B52" s="46" t="s">
        <v>79</v>
      </c>
      <c r="C52" s="50">
        <v>7</v>
      </c>
      <c r="D52" s="50">
        <v>15</v>
      </c>
      <c r="E52" s="50">
        <v>4</v>
      </c>
      <c r="F52" s="50">
        <v>19</v>
      </c>
      <c r="G52" s="50">
        <v>0</v>
      </c>
      <c r="H52" s="50">
        <v>0</v>
      </c>
      <c r="I52" s="50">
        <v>3</v>
      </c>
      <c r="J52" s="50">
        <v>7</v>
      </c>
      <c r="K52" s="50">
        <v>1</v>
      </c>
      <c r="L52" s="50">
        <v>0</v>
      </c>
      <c r="M52" s="50">
        <v>140</v>
      </c>
      <c r="N52" s="50">
        <v>0</v>
      </c>
      <c r="O52" s="15">
        <f t="shared" si="0"/>
        <v>56</v>
      </c>
      <c r="P52" s="15">
        <f t="shared" si="1"/>
        <v>196</v>
      </c>
      <c r="R52" s="8"/>
      <c r="T52"/>
    </row>
    <row r="53" spans="2:20" ht="23.1" customHeight="1" x14ac:dyDescent="0.25">
      <c r="B53" s="45" t="s">
        <v>80</v>
      </c>
      <c r="C53" s="50">
        <v>14</v>
      </c>
      <c r="D53" s="50">
        <v>14</v>
      </c>
      <c r="E53" s="50">
        <v>8</v>
      </c>
      <c r="F53" s="50">
        <v>13</v>
      </c>
      <c r="G53" s="50">
        <v>0</v>
      </c>
      <c r="H53" s="50">
        <v>0</v>
      </c>
      <c r="I53" s="50">
        <v>7</v>
      </c>
      <c r="J53" s="50">
        <v>2</v>
      </c>
      <c r="K53" s="50">
        <v>1</v>
      </c>
      <c r="L53" s="50">
        <v>0</v>
      </c>
      <c r="M53" s="50">
        <v>142</v>
      </c>
      <c r="N53" s="50">
        <v>0</v>
      </c>
      <c r="O53" s="15">
        <f t="shared" si="0"/>
        <v>59</v>
      </c>
      <c r="P53" s="15">
        <f t="shared" si="1"/>
        <v>201</v>
      </c>
      <c r="R53" s="8"/>
      <c r="T53"/>
    </row>
    <row r="54" spans="2:20" ht="23.1" customHeight="1" x14ac:dyDescent="0.25">
      <c r="B54" s="45" t="s">
        <v>81</v>
      </c>
      <c r="C54" s="50">
        <v>14</v>
      </c>
      <c r="D54" s="50">
        <v>7</v>
      </c>
      <c r="E54" s="50">
        <v>5</v>
      </c>
      <c r="F54" s="50">
        <v>19</v>
      </c>
      <c r="G54" s="50">
        <v>2</v>
      </c>
      <c r="H54" s="50">
        <v>0</v>
      </c>
      <c r="I54" s="50">
        <v>10</v>
      </c>
      <c r="J54" s="50">
        <v>3</v>
      </c>
      <c r="K54" s="50">
        <v>0</v>
      </c>
      <c r="L54" s="50">
        <v>1</v>
      </c>
      <c r="M54" s="50">
        <v>123</v>
      </c>
      <c r="N54" s="50">
        <v>0</v>
      </c>
      <c r="O54" s="15">
        <f t="shared" si="0"/>
        <v>61</v>
      </c>
      <c r="P54" s="15">
        <f t="shared" si="1"/>
        <v>184</v>
      </c>
      <c r="R54" s="8"/>
      <c r="T54"/>
    </row>
    <row r="55" spans="2:20" ht="23.1" customHeight="1" x14ac:dyDescent="0.25">
      <c r="B55" s="45" t="s">
        <v>82</v>
      </c>
      <c r="C55" s="50">
        <v>12</v>
      </c>
      <c r="D55" s="50">
        <v>13</v>
      </c>
      <c r="E55" s="50">
        <v>5</v>
      </c>
      <c r="F55" s="50">
        <v>19</v>
      </c>
      <c r="G55" s="50">
        <v>2</v>
      </c>
      <c r="H55" s="50">
        <v>0</v>
      </c>
      <c r="I55" s="50">
        <v>7</v>
      </c>
      <c r="J55" s="50">
        <v>1</v>
      </c>
      <c r="K55" s="50">
        <v>0</v>
      </c>
      <c r="L55" s="50">
        <v>1</v>
      </c>
      <c r="M55" s="50">
        <v>150</v>
      </c>
      <c r="N55" s="50">
        <v>0</v>
      </c>
      <c r="O55" s="15">
        <f t="shared" si="0"/>
        <v>60</v>
      </c>
      <c r="P55" s="15">
        <f t="shared" si="1"/>
        <v>210</v>
      </c>
      <c r="R55" s="8"/>
      <c r="T55"/>
    </row>
    <row r="56" spans="2:20" ht="23.1" customHeight="1" x14ac:dyDescent="0.25">
      <c r="B56" s="45" t="s">
        <v>83</v>
      </c>
      <c r="C56" s="50">
        <v>16</v>
      </c>
      <c r="D56" s="50">
        <v>9</v>
      </c>
      <c r="E56" s="50">
        <v>3</v>
      </c>
      <c r="F56" s="50">
        <v>12</v>
      </c>
      <c r="G56" s="50">
        <v>1</v>
      </c>
      <c r="H56" s="50">
        <v>0</v>
      </c>
      <c r="I56" s="50">
        <v>6</v>
      </c>
      <c r="J56" s="50">
        <v>3</v>
      </c>
      <c r="K56" s="50">
        <v>0</v>
      </c>
      <c r="L56" s="50">
        <v>2</v>
      </c>
      <c r="M56" s="50">
        <v>140</v>
      </c>
      <c r="N56" s="50">
        <v>0</v>
      </c>
      <c r="O56" s="15">
        <f t="shared" si="0"/>
        <v>52</v>
      </c>
      <c r="P56" s="15">
        <f t="shared" si="1"/>
        <v>192</v>
      </c>
      <c r="R56" s="8"/>
      <c r="T56"/>
    </row>
    <row r="57" spans="2:20" ht="23.1" customHeight="1" x14ac:dyDescent="0.25">
      <c r="B57" s="45" t="s">
        <v>84</v>
      </c>
      <c r="C57" s="50">
        <v>18</v>
      </c>
      <c r="D57" s="50">
        <v>12</v>
      </c>
      <c r="E57" s="50">
        <v>2</v>
      </c>
      <c r="F57" s="50">
        <v>30</v>
      </c>
      <c r="G57" s="50">
        <v>0</v>
      </c>
      <c r="H57" s="50">
        <v>0</v>
      </c>
      <c r="I57" s="50">
        <v>4</v>
      </c>
      <c r="J57" s="50">
        <v>3</v>
      </c>
      <c r="K57" s="50">
        <v>0</v>
      </c>
      <c r="L57" s="50">
        <v>0</v>
      </c>
      <c r="M57" s="50">
        <v>140</v>
      </c>
      <c r="N57" s="50">
        <v>0</v>
      </c>
      <c r="O57" s="15">
        <f t="shared" si="0"/>
        <v>69</v>
      </c>
      <c r="P57" s="15">
        <f t="shared" si="1"/>
        <v>209</v>
      </c>
      <c r="R57" s="8"/>
      <c r="T57"/>
    </row>
    <row r="58" spans="2:20" ht="23.1" customHeight="1" x14ac:dyDescent="0.25">
      <c r="B58" s="45" t="s">
        <v>99</v>
      </c>
      <c r="C58" s="50">
        <v>16</v>
      </c>
      <c r="D58" s="50">
        <v>13</v>
      </c>
      <c r="E58" s="50">
        <v>8</v>
      </c>
      <c r="F58" s="50">
        <v>25</v>
      </c>
      <c r="G58" s="50">
        <v>3</v>
      </c>
      <c r="H58" s="50">
        <v>0</v>
      </c>
      <c r="I58" s="50">
        <v>5</v>
      </c>
      <c r="J58" s="50">
        <v>2</v>
      </c>
      <c r="K58" s="50">
        <v>0</v>
      </c>
      <c r="L58" s="50">
        <v>0</v>
      </c>
      <c r="M58" s="50">
        <v>143</v>
      </c>
      <c r="N58" s="50">
        <v>0</v>
      </c>
      <c r="O58" s="15">
        <f t="shared" ref="O58:O105" si="35">SUM(C58:L58,N58)</f>
        <v>72</v>
      </c>
      <c r="P58" s="15">
        <f t="shared" ref="P58:P105" si="36">SUM(C58:N58)</f>
        <v>215</v>
      </c>
      <c r="R58" s="8"/>
      <c r="T58"/>
    </row>
    <row r="59" spans="2:20" ht="23.1" customHeight="1" x14ac:dyDescent="0.25">
      <c r="B59" s="45" t="s">
        <v>100</v>
      </c>
      <c r="C59" s="50">
        <v>5</v>
      </c>
      <c r="D59" s="50">
        <v>10</v>
      </c>
      <c r="E59" s="50">
        <v>3</v>
      </c>
      <c r="F59" s="50">
        <v>4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150</v>
      </c>
      <c r="N59" s="50">
        <v>0</v>
      </c>
      <c r="O59" s="15">
        <f t="shared" si="35"/>
        <v>22</v>
      </c>
      <c r="P59" s="15">
        <f t="shared" si="36"/>
        <v>172</v>
      </c>
      <c r="R59" s="8"/>
      <c r="T59"/>
    </row>
    <row r="60" spans="2:20" ht="23.1" customHeight="1" x14ac:dyDescent="0.25">
      <c r="B60" s="45" t="s">
        <v>101</v>
      </c>
      <c r="C60" s="50">
        <v>21</v>
      </c>
      <c r="D60" s="50">
        <v>12</v>
      </c>
      <c r="E60" s="50">
        <v>1</v>
      </c>
      <c r="F60" s="50">
        <v>16</v>
      </c>
      <c r="G60" s="50">
        <v>1</v>
      </c>
      <c r="H60" s="50">
        <v>0</v>
      </c>
      <c r="I60" s="50">
        <v>3</v>
      </c>
      <c r="J60" s="50">
        <v>1</v>
      </c>
      <c r="K60" s="50">
        <v>1</v>
      </c>
      <c r="L60" s="50">
        <v>1</v>
      </c>
      <c r="M60" s="50">
        <v>160</v>
      </c>
      <c r="N60" s="50">
        <v>0</v>
      </c>
      <c r="O60" s="15">
        <f t="shared" si="35"/>
        <v>57</v>
      </c>
      <c r="P60" s="15">
        <f t="shared" si="36"/>
        <v>217</v>
      </c>
      <c r="R60" s="8"/>
      <c r="T60"/>
    </row>
    <row r="61" spans="2:20" ht="23.1" customHeight="1" x14ac:dyDescent="0.25">
      <c r="B61" s="45" t="s">
        <v>102</v>
      </c>
      <c r="C61" s="50">
        <v>17</v>
      </c>
      <c r="D61" s="50">
        <v>11</v>
      </c>
      <c r="E61" s="50">
        <v>2</v>
      </c>
      <c r="F61" s="50">
        <v>19</v>
      </c>
      <c r="G61" s="50">
        <v>3</v>
      </c>
      <c r="H61" s="50">
        <v>0</v>
      </c>
      <c r="I61" s="50">
        <v>6</v>
      </c>
      <c r="J61" s="50">
        <v>3</v>
      </c>
      <c r="K61" s="50">
        <v>0</v>
      </c>
      <c r="L61" s="50">
        <v>1</v>
      </c>
      <c r="M61" s="50">
        <v>175</v>
      </c>
      <c r="N61" s="50">
        <v>0</v>
      </c>
      <c r="O61" s="15">
        <f t="shared" si="35"/>
        <v>62</v>
      </c>
      <c r="P61" s="15">
        <f t="shared" si="36"/>
        <v>237</v>
      </c>
      <c r="R61" s="8"/>
      <c r="T61"/>
    </row>
    <row r="62" spans="2:20" ht="23.1" customHeight="1" x14ac:dyDescent="0.25">
      <c r="B62" s="45" t="s">
        <v>107</v>
      </c>
      <c r="C62" s="50">
        <v>11</v>
      </c>
      <c r="D62" s="50">
        <v>5</v>
      </c>
      <c r="E62" s="50">
        <v>4</v>
      </c>
      <c r="F62" s="50">
        <v>23</v>
      </c>
      <c r="G62" s="50">
        <v>0</v>
      </c>
      <c r="H62" s="50">
        <v>2</v>
      </c>
      <c r="I62" s="50">
        <v>2</v>
      </c>
      <c r="J62" s="50">
        <v>1</v>
      </c>
      <c r="K62" s="50">
        <v>0</v>
      </c>
      <c r="L62" s="50">
        <v>0</v>
      </c>
      <c r="M62" s="50">
        <v>185</v>
      </c>
      <c r="N62" s="50">
        <v>0</v>
      </c>
      <c r="O62" s="15">
        <f t="shared" si="35"/>
        <v>48</v>
      </c>
      <c r="P62" s="15">
        <f t="shared" si="36"/>
        <v>233</v>
      </c>
      <c r="R62" s="8"/>
      <c r="T62"/>
    </row>
    <row r="63" spans="2:20" ht="23.1" customHeight="1" x14ac:dyDescent="0.25">
      <c r="B63" s="45" t="s">
        <v>108</v>
      </c>
      <c r="C63" s="50">
        <v>12</v>
      </c>
      <c r="D63" s="50">
        <v>7</v>
      </c>
      <c r="E63" s="50">
        <v>3</v>
      </c>
      <c r="F63" s="50">
        <v>25</v>
      </c>
      <c r="G63" s="50">
        <v>1</v>
      </c>
      <c r="H63" s="50">
        <v>0</v>
      </c>
      <c r="I63" s="50">
        <v>1</v>
      </c>
      <c r="J63" s="50">
        <v>2</v>
      </c>
      <c r="K63" s="50">
        <v>0</v>
      </c>
      <c r="L63" s="50">
        <v>0</v>
      </c>
      <c r="M63" s="50">
        <v>165</v>
      </c>
      <c r="N63" s="50">
        <v>0</v>
      </c>
      <c r="O63" s="15">
        <f t="shared" si="35"/>
        <v>51</v>
      </c>
      <c r="P63" s="15">
        <f t="shared" si="36"/>
        <v>216</v>
      </c>
      <c r="R63" s="8"/>
      <c r="T63"/>
    </row>
    <row r="64" spans="2:20" ht="23.1" customHeight="1" x14ac:dyDescent="0.25">
      <c r="B64" s="45" t="s">
        <v>109</v>
      </c>
      <c r="C64" s="50">
        <v>14</v>
      </c>
      <c r="D64" s="50">
        <v>10</v>
      </c>
      <c r="E64" s="50">
        <v>5</v>
      </c>
      <c r="F64" s="50">
        <v>24</v>
      </c>
      <c r="G64" s="50">
        <v>1</v>
      </c>
      <c r="H64" s="50">
        <v>0</v>
      </c>
      <c r="I64" s="50">
        <v>5</v>
      </c>
      <c r="J64" s="50">
        <v>1</v>
      </c>
      <c r="K64" s="50">
        <v>1</v>
      </c>
      <c r="L64" s="50">
        <v>0</v>
      </c>
      <c r="M64" s="50">
        <v>170</v>
      </c>
      <c r="N64" s="50">
        <v>0</v>
      </c>
      <c r="O64" s="15">
        <f t="shared" si="35"/>
        <v>61</v>
      </c>
      <c r="P64" s="15">
        <f t="shared" si="36"/>
        <v>231</v>
      </c>
      <c r="R64" s="8"/>
      <c r="T64"/>
    </row>
    <row r="65" spans="2:20" ht="23.1" customHeight="1" x14ac:dyDescent="0.25">
      <c r="B65" s="45" t="s">
        <v>158</v>
      </c>
      <c r="C65" s="50">
        <v>23</v>
      </c>
      <c r="D65" s="50">
        <v>5</v>
      </c>
      <c r="E65" s="50">
        <v>0</v>
      </c>
      <c r="F65" s="50">
        <v>40</v>
      </c>
      <c r="G65" s="50">
        <v>0</v>
      </c>
      <c r="H65" s="50">
        <v>0</v>
      </c>
      <c r="I65" s="50">
        <v>5</v>
      </c>
      <c r="J65" s="50">
        <v>2</v>
      </c>
      <c r="K65" s="50">
        <v>0</v>
      </c>
      <c r="L65" s="50">
        <v>0</v>
      </c>
      <c r="M65" s="50">
        <v>210</v>
      </c>
      <c r="N65" s="50">
        <v>0</v>
      </c>
      <c r="O65" s="15">
        <f t="shared" si="35"/>
        <v>75</v>
      </c>
      <c r="P65" s="15">
        <f t="shared" si="36"/>
        <v>285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3</v>
      </c>
      <c r="E66" s="50">
        <v>2</v>
      </c>
      <c r="F66" s="50">
        <v>19</v>
      </c>
      <c r="G66" s="50">
        <v>1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150</v>
      </c>
      <c r="N66" s="50">
        <v>0</v>
      </c>
      <c r="O66" s="15">
        <f t="shared" si="35"/>
        <v>29</v>
      </c>
      <c r="P66" s="15">
        <f t="shared" si="36"/>
        <v>179</v>
      </c>
      <c r="R66" s="8"/>
      <c r="T66"/>
    </row>
    <row r="67" spans="2:20" ht="23.1" customHeight="1" x14ac:dyDescent="0.25">
      <c r="B67" s="45" t="s">
        <v>104</v>
      </c>
      <c r="C67" s="50">
        <v>6</v>
      </c>
      <c r="D67" s="50">
        <v>6</v>
      </c>
      <c r="E67" s="50">
        <v>6</v>
      </c>
      <c r="F67" s="50">
        <v>19</v>
      </c>
      <c r="G67" s="50">
        <v>0</v>
      </c>
      <c r="H67" s="50">
        <v>0</v>
      </c>
      <c r="I67" s="50">
        <v>3</v>
      </c>
      <c r="J67" s="50">
        <v>7</v>
      </c>
      <c r="K67" s="50">
        <v>0</v>
      </c>
      <c r="L67" s="50">
        <v>0</v>
      </c>
      <c r="M67" s="50">
        <v>130</v>
      </c>
      <c r="N67" s="50">
        <v>0</v>
      </c>
      <c r="O67" s="15">
        <f t="shared" si="35"/>
        <v>47</v>
      </c>
      <c r="P67" s="15">
        <f t="shared" si="36"/>
        <v>177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6</v>
      </c>
      <c r="E68" s="50">
        <v>5</v>
      </c>
      <c r="F68" s="50">
        <v>17</v>
      </c>
      <c r="G68" s="50">
        <v>0</v>
      </c>
      <c r="H68" s="50">
        <v>0</v>
      </c>
      <c r="I68" s="50">
        <v>1</v>
      </c>
      <c r="J68" s="50">
        <v>5</v>
      </c>
      <c r="K68" s="50">
        <v>0</v>
      </c>
      <c r="L68" s="50">
        <v>0</v>
      </c>
      <c r="M68" s="50">
        <v>100</v>
      </c>
      <c r="N68" s="50">
        <v>0</v>
      </c>
      <c r="O68" s="15">
        <f t="shared" si="35"/>
        <v>40</v>
      </c>
      <c r="P68" s="15">
        <f t="shared" si="36"/>
        <v>140</v>
      </c>
      <c r="R68" s="8"/>
      <c r="T68"/>
    </row>
    <row r="69" spans="2:20" ht="23.1" customHeight="1" x14ac:dyDescent="0.25">
      <c r="B69" s="45" t="s">
        <v>106</v>
      </c>
      <c r="C69" s="50">
        <v>11</v>
      </c>
      <c r="D69" s="50">
        <v>10</v>
      </c>
      <c r="E69" s="50">
        <v>3</v>
      </c>
      <c r="F69" s="50">
        <v>14</v>
      </c>
      <c r="G69" s="50">
        <v>0</v>
      </c>
      <c r="H69" s="50">
        <v>0</v>
      </c>
      <c r="I69" s="50">
        <v>2</v>
      </c>
      <c r="J69" s="50">
        <v>0</v>
      </c>
      <c r="K69" s="50">
        <v>0</v>
      </c>
      <c r="L69" s="50">
        <v>0</v>
      </c>
      <c r="M69" s="50">
        <v>125</v>
      </c>
      <c r="N69" s="50">
        <v>0</v>
      </c>
      <c r="O69" s="15">
        <f t="shared" si="35"/>
        <v>40</v>
      </c>
      <c r="P69" s="15">
        <f t="shared" si="36"/>
        <v>165</v>
      </c>
      <c r="R69" s="8"/>
      <c r="T69"/>
    </row>
    <row r="70" spans="2:20" ht="23.1" customHeight="1" x14ac:dyDescent="0.25">
      <c r="B70" s="45" t="s">
        <v>110</v>
      </c>
      <c r="C70" s="50">
        <v>13</v>
      </c>
      <c r="D70" s="50">
        <v>1</v>
      </c>
      <c r="E70" s="50">
        <v>3</v>
      </c>
      <c r="F70" s="50">
        <v>8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90</v>
      </c>
      <c r="N70" s="50">
        <v>0</v>
      </c>
      <c r="O70" s="15">
        <f t="shared" si="35"/>
        <v>27</v>
      </c>
      <c r="P70" s="15">
        <f t="shared" si="36"/>
        <v>117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1</v>
      </c>
      <c r="E71" s="50">
        <v>1</v>
      </c>
      <c r="F71" s="50">
        <v>3</v>
      </c>
      <c r="G71" s="50">
        <v>0</v>
      </c>
      <c r="H71" s="50">
        <v>0</v>
      </c>
      <c r="I71" s="50">
        <v>3</v>
      </c>
      <c r="J71" s="50">
        <v>0</v>
      </c>
      <c r="K71" s="50">
        <v>0</v>
      </c>
      <c r="L71" s="50">
        <v>0</v>
      </c>
      <c r="M71" s="50">
        <v>70</v>
      </c>
      <c r="N71" s="50">
        <v>0</v>
      </c>
      <c r="O71" s="15">
        <f t="shared" si="35"/>
        <v>15</v>
      </c>
      <c r="P71" s="15">
        <f t="shared" si="36"/>
        <v>85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60</v>
      </c>
      <c r="N72" s="50">
        <v>0</v>
      </c>
      <c r="O72" s="15">
        <f t="shared" si="35"/>
        <v>4</v>
      </c>
      <c r="P72" s="15">
        <f t="shared" si="36"/>
        <v>64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55</v>
      </c>
      <c r="N73" s="50">
        <v>0</v>
      </c>
      <c r="O73" s="15">
        <f t="shared" si="35"/>
        <v>4</v>
      </c>
      <c r="P73" s="15">
        <f t="shared" si="36"/>
        <v>59</v>
      </c>
      <c r="R73" s="8"/>
      <c r="T73"/>
    </row>
    <row r="74" spans="2:20" ht="23.1" customHeight="1" x14ac:dyDescent="0.25">
      <c r="B74" s="45" t="s">
        <v>114</v>
      </c>
      <c r="C74" s="50">
        <v>5</v>
      </c>
      <c r="D74" s="50">
        <v>1</v>
      </c>
      <c r="E74" s="50">
        <v>1</v>
      </c>
      <c r="F74" s="50">
        <v>3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40</v>
      </c>
      <c r="N74" s="50">
        <v>0</v>
      </c>
      <c r="O74" s="15">
        <f t="shared" si="35"/>
        <v>12</v>
      </c>
      <c r="P74" s="15">
        <f t="shared" si="36"/>
        <v>52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2</v>
      </c>
      <c r="E75" s="50">
        <v>0</v>
      </c>
      <c r="F75" s="50">
        <v>4</v>
      </c>
      <c r="G75" s="50">
        <v>0</v>
      </c>
      <c r="H75" s="50">
        <v>0</v>
      </c>
      <c r="I75" s="50">
        <v>2</v>
      </c>
      <c r="J75" s="50">
        <v>0</v>
      </c>
      <c r="K75" s="50">
        <v>0</v>
      </c>
      <c r="L75" s="50">
        <v>0</v>
      </c>
      <c r="M75" s="50">
        <v>34</v>
      </c>
      <c r="N75" s="50">
        <v>0</v>
      </c>
      <c r="O75" s="15">
        <f t="shared" si="35"/>
        <v>11</v>
      </c>
      <c r="P75" s="15">
        <f t="shared" si="36"/>
        <v>45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1</v>
      </c>
      <c r="F76" s="50">
        <v>5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23</v>
      </c>
      <c r="N76" s="50">
        <v>0</v>
      </c>
      <c r="O76" s="15">
        <f t="shared" si="35"/>
        <v>8</v>
      </c>
      <c r="P76" s="15">
        <f t="shared" si="36"/>
        <v>31</v>
      </c>
      <c r="R76" s="8"/>
      <c r="T76"/>
    </row>
    <row r="77" spans="2:20" ht="23.1" customHeight="1" x14ac:dyDescent="0.25">
      <c r="B77" s="45" t="s">
        <v>117</v>
      </c>
      <c r="C77" s="50">
        <v>3</v>
      </c>
      <c r="D77" s="50">
        <v>4</v>
      </c>
      <c r="E77" s="50">
        <v>0</v>
      </c>
      <c r="F77" s="50">
        <v>6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45</v>
      </c>
      <c r="N77" s="50">
        <v>0</v>
      </c>
      <c r="O77" s="15">
        <f t="shared" si="35"/>
        <v>13</v>
      </c>
      <c r="P77" s="15">
        <f t="shared" si="36"/>
        <v>58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4</v>
      </c>
      <c r="E78" s="50">
        <v>2</v>
      </c>
      <c r="F78" s="50">
        <v>8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11</v>
      </c>
      <c r="N78" s="50">
        <v>0</v>
      </c>
      <c r="O78" s="15">
        <f t="shared" si="35"/>
        <v>18</v>
      </c>
      <c r="P78" s="15">
        <f t="shared" si="36"/>
        <v>29</v>
      </c>
      <c r="R78" s="8"/>
      <c r="T78"/>
    </row>
    <row r="79" spans="2:20" ht="23.1" customHeight="1" x14ac:dyDescent="0.25">
      <c r="B79" s="45" t="s">
        <v>119</v>
      </c>
      <c r="C79" s="50">
        <v>4</v>
      </c>
      <c r="D79" s="50">
        <v>2</v>
      </c>
      <c r="E79" s="50">
        <v>2</v>
      </c>
      <c r="F79" s="50">
        <v>5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19</v>
      </c>
      <c r="N79" s="50">
        <v>0</v>
      </c>
      <c r="O79" s="15">
        <f t="shared" si="35"/>
        <v>14</v>
      </c>
      <c r="P79" s="15">
        <f t="shared" si="36"/>
        <v>33</v>
      </c>
      <c r="R79" s="8"/>
      <c r="T79"/>
    </row>
    <row r="80" spans="2:20" ht="23.1" customHeight="1" x14ac:dyDescent="0.25">
      <c r="B80" s="47" t="s">
        <v>120</v>
      </c>
      <c r="C80" s="50">
        <v>2</v>
      </c>
      <c r="D80" s="50">
        <v>4</v>
      </c>
      <c r="E80" s="50">
        <v>0</v>
      </c>
      <c r="F80" s="50">
        <v>6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11</v>
      </c>
      <c r="N80" s="50">
        <v>0</v>
      </c>
      <c r="O80" s="15">
        <f t="shared" si="35"/>
        <v>12</v>
      </c>
      <c r="P80" s="15">
        <f t="shared" si="36"/>
        <v>23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1</v>
      </c>
      <c r="F81" s="50">
        <v>3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15</v>
      </c>
      <c r="N81" s="50">
        <v>0</v>
      </c>
      <c r="O81" s="15">
        <f t="shared" si="35"/>
        <v>5</v>
      </c>
      <c r="P81" s="15">
        <f t="shared" si="36"/>
        <v>20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3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12</v>
      </c>
      <c r="N82" s="50">
        <v>0</v>
      </c>
      <c r="O82" s="15">
        <f t="shared" si="35"/>
        <v>3</v>
      </c>
      <c r="P82" s="15">
        <f t="shared" si="36"/>
        <v>15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2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18</v>
      </c>
      <c r="N83" s="50">
        <v>0</v>
      </c>
      <c r="O83" s="15">
        <f t="shared" si="35"/>
        <v>6</v>
      </c>
      <c r="P83" s="15">
        <f t="shared" si="36"/>
        <v>24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2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16</v>
      </c>
      <c r="N84" s="50">
        <v>0</v>
      </c>
      <c r="O84" s="15">
        <f t="shared" si="35"/>
        <v>2</v>
      </c>
      <c r="P84" s="15">
        <f t="shared" si="36"/>
        <v>18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3</v>
      </c>
      <c r="E85" s="50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14</v>
      </c>
      <c r="N85" s="50">
        <v>0</v>
      </c>
      <c r="O85" s="15">
        <f t="shared" si="35"/>
        <v>5</v>
      </c>
      <c r="P85" s="15">
        <f t="shared" si="36"/>
        <v>19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21</v>
      </c>
      <c r="N86" s="50">
        <v>0</v>
      </c>
      <c r="O86" s="15">
        <f t="shared" si="35"/>
        <v>0</v>
      </c>
      <c r="P86" s="15">
        <f t="shared" si="36"/>
        <v>21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16</v>
      </c>
      <c r="N87" s="50">
        <v>0</v>
      </c>
      <c r="O87" s="15">
        <f t="shared" si="35"/>
        <v>3</v>
      </c>
      <c r="P87" s="15">
        <f t="shared" si="36"/>
        <v>19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21</v>
      </c>
      <c r="N88" s="50">
        <v>0</v>
      </c>
      <c r="O88" s="15">
        <f t="shared" si="35"/>
        <v>3</v>
      </c>
      <c r="P88" s="15">
        <f t="shared" si="36"/>
        <v>24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36</v>
      </c>
      <c r="N89" s="50">
        <v>0</v>
      </c>
      <c r="O89" s="15">
        <f t="shared" si="35"/>
        <v>3</v>
      </c>
      <c r="P89" s="15">
        <f t="shared" si="36"/>
        <v>39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2</v>
      </c>
      <c r="K90" s="50">
        <v>0</v>
      </c>
      <c r="L90" s="50">
        <v>0</v>
      </c>
      <c r="M90" s="50">
        <v>33</v>
      </c>
      <c r="N90" s="50">
        <v>0</v>
      </c>
      <c r="O90" s="15">
        <f t="shared" si="35"/>
        <v>4</v>
      </c>
      <c r="P90" s="15">
        <f t="shared" si="36"/>
        <v>37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1</v>
      </c>
      <c r="L91" s="50">
        <v>0</v>
      </c>
      <c r="M91" s="50">
        <v>20</v>
      </c>
      <c r="N91" s="50">
        <v>0</v>
      </c>
      <c r="O91" s="15">
        <f t="shared" si="35"/>
        <v>4</v>
      </c>
      <c r="P91" s="15">
        <f t="shared" si="36"/>
        <v>24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2</v>
      </c>
      <c r="G92" s="50">
        <v>0</v>
      </c>
      <c r="H92" s="50">
        <v>0</v>
      </c>
      <c r="I92" s="50">
        <v>0</v>
      </c>
      <c r="J92" s="50">
        <v>1</v>
      </c>
      <c r="K92" s="50">
        <v>1</v>
      </c>
      <c r="L92" s="50">
        <v>0</v>
      </c>
      <c r="M92" s="50">
        <v>25</v>
      </c>
      <c r="N92" s="50">
        <v>0</v>
      </c>
      <c r="O92" s="15">
        <f t="shared" si="35"/>
        <v>6</v>
      </c>
      <c r="P92" s="15">
        <f t="shared" si="36"/>
        <v>31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20</v>
      </c>
      <c r="N93" s="50">
        <v>0</v>
      </c>
      <c r="O93" s="15">
        <f t="shared" si="35"/>
        <v>2</v>
      </c>
      <c r="P93" s="15">
        <f t="shared" si="36"/>
        <v>22</v>
      </c>
      <c r="R93" s="8"/>
      <c r="T93"/>
    </row>
    <row r="94" spans="2:20" ht="23.1" customHeight="1" x14ac:dyDescent="0.25">
      <c r="B94" s="46" t="s">
        <v>134</v>
      </c>
      <c r="C94" s="50">
        <v>4</v>
      </c>
      <c r="D94" s="50">
        <v>1</v>
      </c>
      <c r="E94" s="50">
        <v>1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22</v>
      </c>
      <c r="N94" s="50">
        <v>0</v>
      </c>
      <c r="O94" s="15">
        <f t="shared" si="35"/>
        <v>7</v>
      </c>
      <c r="P94" s="15">
        <f t="shared" si="36"/>
        <v>29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1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26</v>
      </c>
      <c r="N95" s="50">
        <v>0</v>
      </c>
      <c r="O95" s="15">
        <f t="shared" si="35"/>
        <v>3</v>
      </c>
      <c r="P95" s="15">
        <f t="shared" si="36"/>
        <v>29</v>
      </c>
      <c r="R95" s="8"/>
      <c r="T95"/>
    </row>
    <row r="96" spans="2:20" ht="23.1" customHeight="1" x14ac:dyDescent="0.25">
      <c r="B96" s="47" t="s">
        <v>136</v>
      </c>
      <c r="C96" s="50">
        <v>5</v>
      </c>
      <c r="D96" s="50">
        <v>2</v>
      </c>
      <c r="E96" s="50">
        <v>0</v>
      </c>
      <c r="F96" s="50">
        <v>4</v>
      </c>
      <c r="G96" s="50">
        <v>1</v>
      </c>
      <c r="H96" s="50">
        <v>0</v>
      </c>
      <c r="I96" s="50">
        <v>1</v>
      </c>
      <c r="J96" s="50">
        <v>1</v>
      </c>
      <c r="K96" s="50">
        <v>0</v>
      </c>
      <c r="L96" s="50">
        <v>0</v>
      </c>
      <c r="M96" s="50">
        <v>36</v>
      </c>
      <c r="N96" s="50">
        <v>0</v>
      </c>
      <c r="O96" s="15">
        <f t="shared" si="35"/>
        <v>14</v>
      </c>
      <c r="P96" s="15">
        <f t="shared" si="36"/>
        <v>50</v>
      </c>
      <c r="R96" s="8"/>
      <c r="T96"/>
    </row>
    <row r="97" spans="2:20" ht="23.1" customHeight="1" x14ac:dyDescent="0.25">
      <c r="B97" s="45" t="s">
        <v>137</v>
      </c>
      <c r="C97" s="50">
        <v>3</v>
      </c>
      <c r="D97" s="50">
        <v>2</v>
      </c>
      <c r="E97" s="50">
        <v>0</v>
      </c>
      <c r="F97" s="50">
        <v>2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37</v>
      </c>
      <c r="N97" s="50">
        <v>0</v>
      </c>
      <c r="O97" s="15">
        <f t="shared" si="35"/>
        <v>7</v>
      </c>
      <c r="P97" s="15">
        <f t="shared" si="36"/>
        <v>44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1</v>
      </c>
      <c r="E98" s="50">
        <v>1</v>
      </c>
      <c r="F98" s="50">
        <v>8</v>
      </c>
      <c r="G98" s="50">
        <v>0</v>
      </c>
      <c r="H98" s="50">
        <v>0</v>
      </c>
      <c r="I98" s="50">
        <v>2</v>
      </c>
      <c r="J98" s="50">
        <v>0</v>
      </c>
      <c r="K98" s="50">
        <v>0</v>
      </c>
      <c r="L98" s="50">
        <v>0</v>
      </c>
      <c r="M98" s="50">
        <v>38</v>
      </c>
      <c r="N98" s="50">
        <v>0</v>
      </c>
      <c r="O98" s="15">
        <f t="shared" si="35"/>
        <v>15</v>
      </c>
      <c r="P98" s="15">
        <f t="shared" si="36"/>
        <v>53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3</v>
      </c>
      <c r="E99" s="50">
        <v>1</v>
      </c>
      <c r="F99" s="50">
        <v>10</v>
      </c>
      <c r="G99" s="50">
        <v>0</v>
      </c>
      <c r="H99" s="50">
        <v>0</v>
      </c>
      <c r="I99" s="50">
        <v>2</v>
      </c>
      <c r="J99" s="50">
        <v>0</v>
      </c>
      <c r="K99" s="50">
        <v>0</v>
      </c>
      <c r="L99" s="50">
        <v>0</v>
      </c>
      <c r="M99" s="50">
        <v>49</v>
      </c>
      <c r="N99" s="50">
        <v>0</v>
      </c>
      <c r="O99" s="15">
        <f t="shared" si="35"/>
        <v>19</v>
      </c>
      <c r="P99" s="15">
        <f t="shared" si="36"/>
        <v>68</v>
      </c>
      <c r="R99" s="8"/>
      <c r="T99"/>
    </row>
    <row r="100" spans="2:20" ht="23.1" customHeight="1" x14ac:dyDescent="0.25">
      <c r="B100" s="47" t="s">
        <v>140</v>
      </c>
      <c r="C100" s="50">
        <v>5</v>
      </c>
      <c r="D100" s="50">
        <v>4</v>
      </c>
      <c r="E100" s="50">
        <v>2</v>
      </c>
      <c r="F100" s="50">
        <v>8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50</v>
      </c>
      <c r="N100" s="50">
        <v>0</v>
      </c>
      <c r="O100" s="15">
        <f t="shared" si="35"/>
        <v>19</v>
      </c>
      <c r="P100" s="15">
        <f t="shared" si="36"/>
        <v>69</v>
      </c>
      <c r="R100" s="8"/>
      <c r="T100"/>
    </row>
    <row r="101" spans="2:20" ht="23.1" customHeight="1" x14ac:dyDescent="0.25">
      <c r="B101" s="45" t="s">
        <v>141</v>
      </c>
      <c r="C101" s="50">
        <v>5</v>
      </c>
      <c r="D101" s="50">
        <v>3</v>
      </c>
      <c r="E101" s="50">
        <v>4</v>
      </c>
      <c r="F101" s="50">
        <v>11</v>
      </c>
      <c r="G101" s="50">
        <v>0</v>
      </c>
      <c r="H101" s="50">
        <v>0</v>
      </c>
      <c r="I101" s="50">
        <v>3</v>
      </c>
      <c r="J101" s="50">
        <v>1</v>
      </c>
      <c r="K101" s="50">
        <v>1</v>
      </c>
      <c r="L101" s="50">
        <v>0</v>
      </c>
      <c r="M101" s="50">
        <v>80</v>
      </c>
      <c r="N101" s="50">
        <v>0</v>
      </c>
      <c r="O101" s="15">
        <f t="shared" si="35"/>
        <v>28</v>
      </c>
      <c r="P101" s="15">
        <f t="shared" si="36"/>
        <v>108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2</v>
      </c>
      <c r="F102" s="50">
        <v>11</v>
      </c>
      <c r="G102" s="50">
        <v>0</v>
      </c>
      <c r="H102" s="50">
        <v>0</v>
      </c>
      <c r="I102" s="50">
        <v>7</v>
      </c>
      <c r="J102" s="50">
        <v>1</v>
      </c>
      <c r="K102" s="50">
        <v>0</v>
      </c>
      <c r="L102" s="50">
        <v>0</v>
      </c>
      <c r="M102" s="50">
        <v>63</v>
      </c>
      <c r="N102" s="50">
        <v>0</v>
      </c>
      <c r="O102" s="15">
        <f t="shared" si="35"/>
        <v>21</v>
      </c>
      <c r="P102" s="15">
        <f t="shared" si="36"/>
        <v>84</v>
      </c>
      <c r="R102" s="8"/>
      <c r="T102"/>
    </row>
    <row r="103" spans="2:20" ht="23.1" customHeight="1" x14ac:dyDescent="0.25">
      <c r="B103" s="45" t="s">
        <v>143</v>
      </c>
      <c r="C103" s="50">
        <v>11</v>
      </c>
      <c r="D103" s="50">
        <v>7</v>
      </c>
      <c r="E103" s="50">
        <v>3</v>
      </c>
      <c r="F103" s="50">
        <v>20</v>
      </c>
      <c r="G103" s="50">
        <v>0</v>
      </c>
      <c r="H103" s="50">
        <v>0</v>
      </c>
      <c r="I103" s="50">
        <v>7</v>
      </c>
      <c r="J103" s="50">
        <v>0</v>
      </c>
      <c r="K103" s="50">
        <v>0</v>
      </c>
      <c r="L103" s="50">
        <v>0</v>
      </c>
      <c r="M103" s="50">
        <v>80</v>
      </c>
      <c r="N103" s="50">
        <v>0</v>
      </c>
      <c r="O103" s="15">
        <f t="shared" si="35"/>
        <v>48</v>
      </c>
      <c r="P103" s="15">
        <f t="shared" si="36"/>
        <v>128</v>
      </c>
      <c r="R103" s="8"/>
      <c r="T103"/>
    </row>
    <row r="104" spans="2:20" ht="23.1" customHeight="1" x14ac:dyDescent="0.25">
      <c r="B104" s="47" t="s">
        <v>144</v>
      </c>
      <c r="C104" s="50">
        <v>19</v>
      </c>
      <c r="D104" s="50">
        <v>9</v>
      </c>
      <c r="E104" s="50">
        <v>4</v>
      </c>
      <c r="F104" s="50">
        <v>24</v>
      </c>
      <c r="G104" s="50">
        <v>0</v>
      </c>
      <c r="H104" s="50">
        <v>0</v>
      </c>
      <c r="I104" s="50">
        <v>6</v>
      </c>
      <c r="J104" s="50">
        <v>2</v>
      </c>
      <c r="K104" s="50">
        <v>1</v>
      </c>
      <c r="L104" s="50">
        <v>0</v>
      </c>
      <c r="M104" s="50">
        <v>120</v>
      </c>
      <c r="N104" s="50">
        <v>0</v>
      </c>
      <c r="O104" s="15">
        <f t="shared" si="35"/>
        <v>65</v>
      </c>
      <c r="P104" s="15">
        <f t="shared" si="36"/>
        <v>185</v>
      </c>
      <c r="R104" s="8"/>
      <c r="T104"/>
    </row>
    <row r="105" spans="2:20" ht="23.1" customHeight="1" x14ac:dyDescent="0.25">
      <c r="B105" s="45" t="s">
        <v>145</v>
      </c>
      <c r="C105" s="50">
        <v>22</v>
      </c>
      <c r="D105" s="50">
        <v>10</v>
      </c>
      <c r="E105" s="50">
        <v>2</v>
      </c>
      <c r="F105" s="50">
        <v>33</v>
      </c>
      <c r="G105" s="50">
        <v>1</v>
      </c>
      <c r="H105" s="50">
        <v>0</v>
      </c>
      <c r="I105" s="50">
        <v>3</v>
      </c>
      <c r="J105" s="50">
        <v>3</v>
      </c>
      <c r="K105" s="50">
        <v>0</v>
      </c>
      <c r="L105" s="50">
        <v>0</v>
      </c>
      <c r="M105" s="50">
        <v>115</v>
      </c>
      <c r="N105" s="50">
        <v>0</v>
      </c>
      <c r="O105" s="15">
        <f t="shared" si="35"/>
        <v>74</v>
      </c>
      <c r="P105" s="15">
        <f t="shared" si="36"/>
        <v>189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1065</v>
      </c>
      <c r="D106" s="16">
        <f>SUM(D10:D105)</f>
        <v>611</v>
      </c>
      <c r="E106" s="16">
        <f>SUM(E10:E105)</f>
        <v>325</v>
      </c>
      <c r="F106" s="16">
        <f>SUM(F10:F105)</f>
        <v>1379</v>
      </c>
      <c r="G106" s="16">
        <f t="shared" ref="G106:P106" si="37">SUM(G10:G105)</f>
        <v>29</v>
      </c>
      <c r="H106" s="16">
        <f t="shared" si="37"/>
        <v>8</v>
      </c>
      <c r="I106" s="16">
        <f t="shared" si="37"/>
        <v>360</v>
      </c>
      <c r="J106" s="16">
        <f t="shared" si="37"/>
        <v>218</v>
      </c>
      <c r="K106" s="16">
        <f t="shared" si="37"/>
        <v>30</v>
      </c>
      <c r="L106" s="16">
        <f t="shared" si="37"/>
        <v>24</v>
      </c>
      <c r="M106" s="16">
        <f t="shared" si="37"/>
        <v>8488</v>
      </c>
      <c r="N106" s="16">
        <f t="shared" si="37"/>
        <v>1</v>
      </c>
      <c r="O106" s="16">
        <f t="shared" si="37"/>
        <v>4050</v>
      </c>
      <c r="P106" s="16">
        <f t="shared" si="37"/>
        <v>12538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8.4941776997926308E-2</v>
      </c>
      <c r="D107" s="43">
        <f t="shared" si="38"/>
        <v>4.873185516031265E-2</v>
      </c>
      <c r="E107" s="43">
        <f t="shared" si="38"/>
        <v>2.5921199553357793E-2</v>
      </c>
      <c r="F107" s="43">
        <f t="shared" si="38"/>
        <v>0.10998564364332429</v>
      </c>
      <c r="G107" s="43">
        <f t="shared" si="38"/>
        <v>2.3129685755303876E-3</v>
      </c>
      <c r="H107" s="43">
        <f t="shared" si="38"/>
        <v>6.3806029669803796E-4</v>
      </c>
      <c r="I107" s="43">
        <f t="shared" si="38"/>
        <v>2.871271335141171E-2</v>
      </c>
      <c r="J107" s="43">
        <f t="shared" si="38"/>
        <v>1.7387143085021536E-2</v>
      </c>
      <c r="K107" s="43">
        <f t="shared" si="38"/>
        <v>2.3927261126176422E-3</v>
      </c>
      <c r="L107" s="43">
        <f t="shared" si="38"/>
        <v>1.914180890094114E-3</v>
      </c>
      <c r="M107" s="43">
        <f t="shared" si="38"/>
        <v>0.67698197479661826</v>
      </c>
      <c r="N107" s="43">
        <f t="shared" si="38"/>
        <v>7.9757537087254746E-5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0.26296296296296295</v>
      </c>
      <c r="D108" s="44">
        <f t="shared" ref="D108:N108" si="39">D106/$O$106</f>
        <v>0.15086419753086419</v>
      </c>
      <c r="E108" s="44">
        <f t="shared" si="39"/>
        <v>8.0246913580246909E-2</v>
      </c>
      <c r="F108" s="44">
        <f t="shared" si="39"/>
        <v>0.34049382716049381</v>
      </c>
      <c r="G108" s="44">
        <f t="shared" si="39"/>
        <v>7.1604938271604942E-3</v>
      </c>
      <c r="H108" s="44">
        <f t="shared" si="39"/>
        <v>1.9753086419753087E-3</v>
      </c>
      <c r="I108" s="44">
        <f t="shared" si="39"/>
        <v>8.8888888888888892E-2</v>
      </c>
      <c r="J108" s="44">
        <f t="shared" si="39"/>
        <v>5.3827160493827159E-2</v>
      </c>
      <c r="K108" s="44">
        <f t="shared" si="39"/>
        <v>7.4074074074074077E-3</v>
      </c>
      <c r="L108" s="44">
        <f t="shared" si="39"/>
        <v>5.9259259259259256E-3</v>
      </c>
      <c r="M108" s="44"/>
      <c r="N108" s="44">
        <f t="shared" si="39"/>
        <v>2.4691358024691359E-4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3" zoomScale="30" zoomScaleSheetLayoutView="30" workbookViewId="0">
      <selection activeCell="G103" sqref="G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Nakawuka-Nateete-24h'!D5</f>
        <v>26.07.19</v>
      </c>
      <c r="E5" s="3"/>
      <c r="F5" s="41" t="s">
        <v>1</v>
      </c>
      <c r="G5" s="63" t="str">
        <f>'26.07 Nakawuka-Nateete-24h'!G5:H5</f>
        <v>TAKUWA BEST FEEDS</v>
      </c>
      <c r="H5" s="64"/>
      <c r="I5" s="14"/>
      <c r="J5" s="2" t="s">
        <v>5</v>
      </c>
      <c r="K5" s="63" t="str">
        <f>'26.07 Nakawuka-Nateete-24h'!K5:L5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Nateete-Nakawuka'!D6:E6</f>
        <v>NATEETE</v>
      </c>
      <c r="E6" s="64"/>
      <c r="F6" s="2" t="s">
        <v>2</v>
      </c>
      <c r="G6" s="63" t="str">
        <f>'23.07 Nateete-Nakawuka'!G6:H6</f>
        <v>NAKAWUKA</v>
      </c>
      <c r="H6" s="64"/>
      <c r="J6" s="2" t="s">
        <v>21</v>
      </c>
      <c r="K6" s="63" t="str">
        <f>'26.07 Nakawuka-Nateete-24h'!K6:L6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8</v>
      </c>
      <c r="D10" s="50">
        <v>1</v>
      </c>
      <c r="E10" s="50">
        <v>7</v>
      </c>
      <c r="F10" s="50">
        <v>13</v>
      </c>
      <c r="G10" s="50">
        <v>0</v>
      </c>
      <c r="H10" s="50">
        <v>0</v>
      </c>
      <c r="I10" s="50">
        <v>9</v>
      </c>
      <c r="J10" s="50">
        <v>3</v>
      </c>
      <c r="K10" s="50">
        <v>0</v>
      </c>
      <c r="L10" s="50">
        <v>0</v>
      </c>
      <c r="M10" s="50">
        <v>119</v>
      </c>
      <c r="N10" s="50">
        <v>0</v>
      </c>
      <c r="O10" s="15">
        <f t="shared" ref="O10:O73" si="0">SUM(C10:L10,N10)</f>
        <v>41</v>
      </c>
      <c r="P10" s="15">
        <f t="shared" ref="P10:P73" si="1">SUM(C10:N10)</f>
        <v>160</v>
      </c>
      <c r="R10" s="1" t="s">
        <v>6</v>
      </c>
      <c r="S10" s="17">
        <f t="shared" ref="S10:AF10" si="2">SUM(C10:C13)</f>
        <v>33</v>
      </c>
      <c r="T10" s="17">
        <f t="shared" si="2"/>
        <v>1</v>
      </c>
      <c r="U10" s="17">
        <f t="shared" si="2"/>
        <v>14</v>
      </c>
      <c r="V10" s="17">
        <f t="shared" si="2"/>
        <v>65</v>
      </c>
      <c r="W10" s="17">
        <f t="shared" si="2"/>
        <v>1</v>
      </c>
      <c r="X10" s="17">
        <f t="shared" si="2"/>
        <v>1</v>
      </c>
      <c r="Y10" s="17">
        <f t="shared" si="2"/>
        <v>21</v>
      </c>
      <c r="Z10" s="17">
        <f t="shared" si="2"/>
        <v>8</v>
      </c>
      <c r="AA10" s="17">
        <f t="shared" si="2"/>
        <v>1</v>
      </c>
      <c r="AB10" s="17">
        <f t="shared" si="2"/>
        <v>0</v>
      </c>
      <c r="AC10" s="17">
        <f t="shared" si="2"/>
        <v>460</v>
      </c>
      <c r="AD10" s="17">
        <f t="shared" si="2"/>
        <v>0</v>
      </c>
      <c r="AE10" s="31">
        <f t="shared" si="2"/>
        <v>145</v>
      </c>
      <c r="AF10" s="31">
        <f t="shared" si="2"/>
        <v>605</v>
      </c>
    </row>
    <row r="11" spans="2:32" s="6" customFormat="1" ht="23.1" customHeight="1" x14ac:dyDescent="0.25">
      <c r="B11" s="45" t="s">
        <v>38</v>
      </c>
      <c r="C11" s="50">
        <v>5</v>
      </c>
      <c r="D11" s="50">
        <v>0</v>
      </c>
      <c r="E11" s="50">
        <v>3</v>
      </c>
      <c r="F11" s="50">
        <v>22</v>
      </c>
      <c r="G11" s="50">
        <v>1</v>
      </c>
      <c r="H11" s="50">
        <v>0</v>
      </c>
      <c r="I11" s="50">
        <v>6</v>
      </c>
      <c r="J11" s="50">
        <v>3</v>
      </c>
      <c r="K11" s="50">
        <v>0</v>
      </c>
      <c r="L11" s="50">
        <v>0</v>
      </c>
      <c r="M11" s="50">
        <v>132</v>
      </c>
      <c r="N11" s="50">
        <v>0</v>
      </c>
      <c r="O11" s="15">
        <f t="shared" si="0"/>
        <v>40</v>
      </c>
      <c r="P11" s="15">
        <f t="shared" si="1"/>
        <v>172</v>
      </c>
      <c r="R11" s="1" t="s">
        <v>7</v>
      </c>
      <c r="S11" s="17">
        <f t="shared" ref="S11:AF11" si="3">SUM(C14:C17)</f>
        <v>29</v>
      </c>
      <c r="T11" s="17">
        <f t="shared" si="3"/>
        <v>4</v>
      </c>
      <c r="U11" s="17">
        <f t="shared" si="3"/>
        <v>2</v>
      </c>
      <c r="V11" s="17">
        <f t="shared" si="3"/>
        <v>60</v>
      </c>
      <c r="W11" s="17">
        <f t="shared" si="3"/>
        <v>3</v>
      </c>
      <c r="X11" s="17">
        <f t="shared" si="3"/>
        <v>4</v>
      </c>
      <c r="Y11" s="17">
        <f t="shared" si="3"/>
        <v>11</v>
      </c>
      <c r="Z11" s="17">
        <f t="shared" si="3"/>
        <v>7</v>
      </c>
      <c r="AA11" s="17">
        <f t="shared" si="3"/>
        <v>1</v>
      </c>
      <c r="AB11" s="17">
        <f t="shared" si="3"/>
        <v>0</v>
      </c>
      <c r="AC11" s="17">
        <f t="shared" si="3"/>
        <v>295</v>
      </c>
      <c r="AD11" s="17">
        <f t="shared" si="3"/>
        <v>0</v>
      </c>
      <c r="AE11" s="31">
        <f t="shared" si="3"/>
        <v>121</v>
      </c>
      <c r="AF11" s="31">
        <f t="shared" si="3"/>
        <v>416</v>
      </c>
    </row>
    <row r="12" spans="2:32" ht="23.1" customHeight="1" x14ac:dyDescent="0.25">
      <c r="B12" s="45" t="s">
        <v>39</v>
      </c>
      <c r="C12" s="50">
        <v>16</v>
      </c>
      <c r="D12" s="50">
        <v>0</v>
      </c>
      <c r="E12" s="50">
        <v>2</v>
      </c>
      <c r="F12" s="50">
        <v>18</v>
      </c>
      <c r="G12" s="50">
        <v>0</v>
      </c>
      <c r="H12" s="50">
        <v>1</v>
      </c>
      <c r="I12" s="50">
        <v>2</v>
      </c>
      <c r="J12" s="50">
        <v>2</v>
      </c>
      <c r="K12" s="50">
        <v>0</v>
      </c>
      <c r="L12" s="50">
        <v>0</v>
      </c>
      <c r="M12" s="50">
        <v>119</v>
      </c>
      <c r="N12" s="50">
        <v>0</v>
      </c>
      <c r="O12" s="15">
        <f t="shared" si="0"/>
        <v>41</v>
      </c>
      <c r="P12" s="15">
        <f t="shared" si="1"/>
        <v>160</v>
      </c>
      <c r="R12" s="1" t="s">
        <v>8</v>
      </c>
      <c r="S12" s="17">
        <f t="shared" ref="S12:AF12" si="4">SUM(C18:C21)</f>
        <v>44</v>
      </c>
      <c r="T12" s="17">
        <f t="shared" si="4"/>
        <v>10</v>
      </c>
      <c r="U12" s="17">
        <f t="shared" si="4"/>
        <v>8</v>
      </c>
      <c r="V12" s="17">
        <f t="shared" si="4"/>
        <v>53</v>
      </c>
      <c r="W12" s="17">
        <f t="shared" si="4"/>
        <v>1</v>
      </c>
      <c r="X12" s="17">
        <f t="shared" si="4"/>
        <v>2</v>
      </c>
      <c r="Y12" s="17">
        <f t="shared" si="4"/>
        <v>16</v>
      </c>
      <c r="Z12" s="17">
        <f t="shared" si="4"/>
        <v>10</v>
      </c>
      <c r="AA12" s="17">
        <f t="shared" si="4"/>
        <v>7</v>
      </c>
      <c r="AB12" s="17">
        <f t="shared" si="4"/>
        <v>0</v>
      </c>
      <c r="AC12" s="17">
        <f t="shared" si="4"/>
        <v>313</v>
      </c>
      <c r="AD12" s="17">
        <f t="shared" si="4"/>
        <v>0</v>
      </c>
      <c r="AE12" s="31">
        <f t="shared" si="4"/>
        <v>151</v>
      </c>
      <c r="AF12" s="31">
        <f t="shared" si="4"/>
        <v>464</v>
      </c>
    </row>
    <row r="13" spans="2:32" ht="23.1" customHeight="1" x14ac:dyDescent="0.25">
      <c r="B13" s="45" t="s">
        <v>40</v>
      </c>
      <c r="C13" s="50">
        <v>4</v>
      </c>
      <c r="D13" s="50">
        <v>0</v>
      </c>
      <c r="E13" s="50">
        <v>2</v>
      </c>
      <c r="F13" s="50">
        <v>12</v>
      </c>
      <c r="G13" s="50">
        <v>0</v>
      </c>
      <c r="H13" s="50">
        <v>0</v>
      </c>
      <c r="I13" s="50">
        <v>4</v>
      </c>
      <c r="J13" s="50">
        <v>0</v>
      </c>
      <c r="K13" s="50">
        <v>1</v>
      </c>
      <c r="L13" s="50">
        <v>0</v>
      </c>
      <c r="M13" s="50">
        <v>90</v>
      </c>
      <c r="N13" s="50">
        <v>0</v>
      </c>
      <c r="O13" s="15">
        <f t="shared" si="0"/>
        <v>23</v>
      </c>
      <c r="P13" s="15">
        <f t="shared" si="1"/>
        <v>113</v>
      </c>
      <c r="R13" s="1" t="s">
        <v>9</v>
      </c>
      <c r="S13" s="17">
        <f t="shared" ref="S13:AF13" si="5">SUM(C22:C25)</f>
        <v>64</v>
      </c>
      <c r="T13" s="17">
        <f t="shared" si="5"/>
        <v>1</v>
      </c>
      <c r="U13" s="17">
        <f t="shared" si="5"/>
        <v>4</v>
      </c>
      <c r="V13" s="17">
        <f t="shared" si="5"/>
        <v>21</v>
      </c>
      <c r="W13" s="17">
        <f t="shared" si="5"/>
        <v>1</v>
      </c>
      <c r="X13" s="17">
        <f t="shared" si="5"/>
        <v>3</v>
      </c>
      <c r="Y13" s="17">
        <f t="shared" si="5"/>
        <v>12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222</v>
      </c>
      <c r="AD13" s="17">
        <f t="shared" si="5"/>
        <v>0</v>
      </c>
      <c r="AE13" s="31">
        <f t="shared" si="5"/>
        <v>111</v>
      </c>
      <c r="AF13" s="31">
        <f t="shared" si="5"/>
        <v>333</v>
      </c>
    </row>
    <row r="14" spans="2:32" ht="23.1" customHeight="1" x14ac:dyDescent="0.25">
      <c r="B14" s="45" t="s">
        <v>41</v>
      </c>
      <c r="C14" s="50">
        <v>8</v>
      </c>
      <c r="D14" s="50">
        <v>1</v>
      </c>
      <c r="E14" s="50">
        <v>0</v>
      </c>
      <c r="F14" s="50">
        <v>20</v>
      </c>
      <c r="G14" s="50">
        <v>0</v>
      </c>
      <c r="H14" s="50">
        <v>0</v>
      </c>
      <c r="I14" s="50">
        <v>4</v>
      </c>
      <c r="J14" s="50">
        <v>1</v>
      </c>
      <c r="K14" s="50">
        <v>0</v>
      </c>
      <c r="L14" s="50">
        <v>0</v>
      </c>
      <c r="M14" s="50">
        <v>85</v>
      </c>
      <c r="N14" s="50">
        <v>0</v>
      </c>
      <c r="O14" s="15">
        <f t="shared" si="0"/>
        <v>34</v>
      </c>
      <c r="P14" s="15">
        <f t="shared" si="1"/>
        <v>119</v>
      </c>
      <c r="R14" s="1" t="s">
        <v>10</v>
      </c>
      <c r="S14" s="17">
        <f t="shared" ref="S14:AF14" si="6">SUM(C26:C29)</f>
        <v>30</v>
      </c>
      <c r="T14" s="17">
        <f t="shared" si="6"/>
        <v>11</v>
      </c>
      <c r="U14" s="17">
        <f t="shared" si="6"/>
        <v>3</v>
      </c>
      <c r="V14" s="17">
        <f t="shared" si="6"/>
        <v>31</v>
      </c>
      <c r="W14" s="17">
        <f t="shared" si="6"/>
        <v>6</v>
      </c>
      <c r="X14" s="17">
        <f t="shared" si="6"/>
        <v>9</v>
      </c>
      <c r="Y14" s="17">
        <f t="shared" si="6"/>
        <v>33</v>
      </c>
      <c r="Z14" s="17">
        <f t="shared" si="6"/>
        <v>1</v>
      </c>
      <c r="AA14" s="17">
        <f t="shared" si="6"/>
        <v>4</v>
      </c>
      <c r="AB14" s="17">
        <f t="shared" si="6"/>
        <v>0</v>
      </c>
      <c r="AC14" s="17">
        <f t="shared" si="6"/>
        <v>232</v>
      </c>
      <c r="AD14" s="17">
        <f t="shared" si="6"/>
        <v>0</v>
      </c>
      <c r="AE14" s="31">
        <f t="shared" si="6"/>
        <v>128</v>
      </c>
      <c r="AF14" s="31">
        <f t="shared" si="6"/>
        <v>360</v>
      </c>
    </row>
    <row r="15" spans="2:32" ht="23.1" customHeight="1" x14ac:dyDescent="0.25">
      <c r="B15" s="45" t="s">
        <v>42</v>
      </c>
      <c r="C15" s="50">
        <v>6</v>
      </c>
      <c r="D15" s="50">
        <v>2</v>
      </c>
      <c r="E15" s="50">
        <v>2</v>
      </c>
      <c r="F15" s="50">
        <v>9</v>
      </c>
      <c r="G15" s="50">
        <v>3</v>
      </c>
      <c r="H15" s="50">
        <v>2</v>
      </c>
      <c r="I15" s="50">
        <v>1</v>
      </c>
      <c r="J15" s="50">
        <v>1</v>
      </c>
      <c r="K15" s="50">
        <v>0</v>
      </c>
      <c r="L15" s="50">
        <v>0</v>
      </c>
      <c r="M15" s="50">
        <v>78</v>
      </c>
      <c r="N15" s="50">
        <v>0</v>
      </c>
      <c r="O15" s="15">
        <f t="shared" si="0"/>
        <v>26</v>
      </c>
      <c r="P15" s="15">
        <f t="shared" si="1"/>
        <v>104</v>
      </c>
      <c r="R15" s="1" t="s">
        <v>11</v>
      </c>
      <c r="S15" s="17">
        <f t="shared" ref="S15:AF15" si="7">SUM(C30:C33)</f>
        <v>45</v>
      </c>
      <c r="T15" s="17">
        <f t="shared" si="7"/>
        <v>14</v>
      </c>
      <c r="U15" s="17">
        <f t="shared" si="7"/>
        <v>8</v>
      </c>
      <c r="V15" s="17">
        <f t="shared" si="7"/>
        <v>76</v>
      </c>
      <c r="W15" s="17">
        <f t="shared" si="7"/>
        <v>3</v>
      </c>
      <c r="X15" s="17">
        <f t="shared" si="7"/>
        <v>5</v>
      </c>
      <c r="Y15" s="17">
        <f t="shared" si="7"/>
        <v>30</v>
      </c>
      <c r="Z15" s="17">
        <f t="shared" si="7"/>
        <v>10</v>
      </c>
      <c r="AA15" s="17">
        <f t="shared" si="7"/>
        <v>3</v>
      </c>
      <c r="AB15" s="17">
        <f t="shared" si="7"/>
        <v>1</v>
      </c>
      <c r="AC15" s="17">
        <f t="shared" si="7"/>
        <v>193</v>
      </c>
      <c r="AD15" s="17">
        <f t="shared" si="7"/>
        <v>0</v>
      </c>
      <c r="AE15" s="31">
        <f t="shared" si="7"/>
        <v>195</v>
      </c>
      <c r="AF15" s="31">
        <f t="shared" si="7"/>
        <v>388</v>
      </c>
    </row>
    <row r="16" spans="2:32" ht="23.1" customHeight="1" x14ac:dyDescent="0.25">
      <c r="B16" s="45" t="s">
        <v>43</v>
      </c>
      <c r="C16" s="50">
        <v>2</v>
      </c>
      <c r="D16" s="50">
        <v>1</v>
      </c>
      <c r="E16" s="50">
        <v>0</v>
      </c>
      <c r="F16" s="50">
        <v>20</v>
      </c>
      <c r="G16" s="50">
        <v>0</v>
      </c>
      <c r="H16" s="50">
        <v>1</v>
      </c>
      <c r="I16" s="50">
        <v>2</v>
      </c>
      <c r="J16" s="50">
        <v>1</v>
      </c>
      <c r="K16" s="50">
        <v>0</v>
      </c>
      <c r="L16" s="50">
        <v>0</v>
      </c>
      <c r="M16" s="50">
        <v>78</v>
      </c>
      <c r="N16" s="50">
        <v>0</v>
      </c>
      <c r="O16" s="15">
        <f t="shared" si="0"/>
        <v>27</v>
      </c>
      <c r="P16" s="15">
        <f t="shared" si="1"/>
        <v>105</v>
      </c>
      <c r="R16" s="1" t="s">
        <v>12</v>
      </c>
      <c r="S16" s="17">
        <f t="shared" ref="S16:AF16" si="8">SUM(C34:C37)</f>
        <v>19</v>
      </c>
      <c r="T16" s="17">
        <f t="shared" si="8"/>
        <v>10</v>
      </c>
      <c r="U16" s="17">
        <f t="shared" si="8"/>
        <v>7</v>
      </c>
      <c r="V16" s="17">
        <f t="shared" si="8"/>
        <v>28</v>
      </c>
      <c r="W16" s="17">
        <f t="shared" si="8"/>
        <v>3</v>
      </c>
      <c r="X16" s="17">
        <f t="shared" si="8"/>
        <v>2</v>
      </c>
      <c r="Y16" s="17">
        <f t="shared" si="8"/>
        <v>14</v>
      </c>
      <c r="Z16" s="17">
        <f t="shared" si="8"/>
        <v>8</v>
      </c>
      <c r="AA16" s="17">
        <f t="shared" si="8"/>
        <v>0</v>
      </c>
      <c r="AB16" s="17">
        <f t="shared" si="8"/>
        <v>1</v>
      </c>
      <c r="AC16" s="17">
        <f t="shared" si="8"/>
        <v>234</v>
      </c>
      <c r="AD16" s="17">
        <f t="shared" si="8"/>
        <v>0</v>
      </c>
      <c r="AE16" s="31">
        <f t="shared" si="8"/>
        <v>92</v>
      </c>
      <c r="AF16" s="31">
        <f t="shared" si="8"/>
        <v>326</v>
      </c>
    </row>
    <row r="17" spans="2:32" ht="23.1" customHeight="1" x14ac:dyDescent="0.25">
      <c r="B17" s="45" t="s">
        <v>44</v>
      </c>
      <c r="C17" s="50">
        <v>13</v>
      </c>
      <c r="D17" s="50">
        <v>0</v>
      </c>
      <c r="E17" s="50">
        <v>0</v>
      </c>
      <c r="F17" s="50">
        <v>11</v>
      </c>
      <c r="G17" s="50">
        <v>0</v>
      </c>
      <c r="H17" s="50">
        <v>1</v>
      </c>
      <c r="I17" s="50">
        <v>4</v>
      </c>
      <c r="J17" s="50">
        <v>4</v>
      </c>
      <c r="K17" s="50">
        <v>1</v>
      </c>
      <c r="L17" s="50">
        <v>0</v>
      </c>
      <c r="M17" s="50">
        <v>54</v>
      </c>
      <c r="N17" s="50">
        <v>0</v>
      </c>
      <c r="O17" s="15">
        <f t="shared" si="0"/>
        <v>34</v>
      </c>
      <c r="P17" s="15">
        <f t="shared" si="1"/>
        <v>88</v>
      </c>
      <c r="R17" s="1" t="s">
        <v>13</v>
      </c>
      <c r="S17" s="17">
        <f t="shared" ref="S17:AF17" si="9">SUM(C38:C41)</f>
        <v>55</v>
      </c>
      <c r="T17" s="17">
        <f t="shared" si="9"/>
        <v>7</v>
      </c>
      <c r="U17" s="17">
        <f t="shared" si="9"/>
        <v>8</v>
      </c>
      <c r="V17" s="17">
        <f t="shared" si="9"/>
        <v>27</v>
      </c>
      <c r="W17" s="17">
        <f t="shared" si="9"/>
        <v>0</v>
      </c>
      <c r="X17" s="17">
        <f t="shared" si="9"/>
        <v>2</v>
      </c>
      <c r="Y17" s="17">
        <f t="shared" si="9"/>
        <v>24</v>
      </c>
      <c r="Z17" s="17">
        <f t="shared" si="9"/>
        <v>3</v>
      </c>
      <c r="AA17" s="17">
        <f t="shared" si="9"/>
        <v>1</v>
      </c>
      <c r="AB17" s="17">
        <f t="shared" si="9"/>
        <v>2</v>
      </c>
      <c r="AC17" s="17">
        <f t="shared" si="9"/>
        <v>207</v>
      </c>
      <c r="AD17" s="17">
        <f t="shared" si="9"/>
        <v>0</v>
      </c>
      <c r="AE17" s="31">
        <f t="shared" si="9"/>
        <v>129</v>
      </c>
      <c r="AF17" s="31">
        <f t="shared" si="9"/>
        <v>336</v>
      </c>
    </row>
    <row r="18" spans="2:32" ht="23.1" customHeight="1" x14ac:dyDescent="0.25">
      <c r="B18" s="45" t="s">
        <v>45</v>
      </c>
      <c r="C18" s="50">
        <v>10</v>
      </c>
      <c r="D18" s="50">
        <v>0</v>
      </c>
      <c r="E18" s="50">
        <v>3</v>
      </c>
      <c r="F18" s="50">
        <v>5</v>
      </c>
      <c r="G18" s="50">
        <v>0</v>
      </c>
      <c r="H18" s="50">
        <v>1</v>
      </c>
      <c r="I18" s="50">
        <v>4</v>
      </c>
      <c r="J18" s="50">
        <v>3</v>
      </c>
      <c r="K18" s="50">
        <v>0</v>
      </c>
      <c r="L18" s="50">
        <v>0</v>
      </c>
      <c r="M18" s="50">
        <v>83</v>
      </c>
      <c r="N18" s="50">
        <v>0</v>
      </c>
      <c r="O18" s="15">
        <f t="shared" si="0"/>
        <v>26</v>
      </c>
      <c r="P18" s="15">
        <f t="shared" si="1"/>
        <v>109</v>
      </c>
      <c r="R18" s="1" t="s">
        <v>14</v>
      </c>
      <c r="S18" s="17">
        <f t="shared" ref="S18:AF18" si="10">SUM(C42:C45)</f>
        <v>37</v>
      </c>
      <c r="T18" s="17">
        <f t="shared" si="10"/>
        <v>20</v>
      </c>
      <c r="U18" s="17">
        <f t="shared" si="10"/>
        <v>6</v>
      </c>
      <c r="V18" s="17">
        <f t="shared" si="10"/>
        <v>34</v>
      </c>
      <c r="W18" s="17">
        <f t="shared" si="10"/>
        <v>1</v>
      </c>
      <c r="X18" s="17">
        <f t="shared" si="10"/>
        <v>5</v>
      </c>
      <c r="Y18" s="17">
        <f t="shared" si="10"/>
        <v>22</v>
      </c>
      <c r="Z18" s="17">
        <f t="shared" si="10"/>
        <v>3</v>
      </c>
      <c r="AA18" s="17">
        <f t="shared" si="10"/>
        <v>4</v>
      </c>
      <c r="AB18" s="17">
        <f t="shared" si="10"/>
        <v>1</v>
      </c>
      <c r="AC18" s="17">
        <f t="shared" si="10"/>
        <v>240</v>
      </c>
      <c r="AD18" s="17">
        <f t="shared" si="10"/>
        <v>0</v>
      </c>
      <c r="AE18" s="31">
        <f t="shared" si="10"/>
        <v>133</v>
      </c>
      <c r="AF18" s="31">
        <f t="shared" si="10"/>
        <v>373</v>
      </c>
    </row>
    <row r="19" spans="2:32" ht="23.1" customHeight="1" x14ac:dyDescent="0.25">
      <c r="B19" s="45" t="s">
        <v>46</v>
      </c>
      <c r="C19" s="50">
        <v>7</v>
      </c>
      <c r="D19" s="50">
        <v>1</v>
      </c>
      <c r="E19" s="50">
        <v>0</v>
      </c>
      <c r="F19" s="50">
        <v>25</v>
      </c>
      <c r="G19" s="50">
        <v>0</v>
      </c>
      <c r="H19" s="50">
        <v>0</v>
      </c>
      <c r="I19" s="50">
        <v>1</v>
      </c>
      <c r="J19" s="50">
        <v>3</v>
      </c>
      <c r="K19" s="50">
        <v>0</v>
      </c>
      <c r="L19" s="50">
        <v>0</v>
      </c>
      <c r="M19" s="50">
        <v>79</v>
      </c>
      <c r="N19" s="50">
        <v>0</v>
      </c>
      <c r="O19" s="15">
        <f t="shared" si="0"/>
        <v>37</v>
      </c>
      <c r="P19" s="15">
        <f t="shared" si="1"/>
        <v>116</v>
      </c>
      <c r="R19" s="1" t="s">
        <v>15</v>
      </c>
      <c r="S19" s="17">
        <f t="shared" ref="S19:AF19" si="11">SUM(C46:C49)</f>
        <v>45</v>
      </c>
      <c r="T19" s="17">
        <f t="shared" si="11"/>
        <v>18</v>
      </c>
      <c r="U19" s="17">
        <f t="shared" si="11"/>
        <v>7</v>
      </c>
      <c r="V19" s="17">
        <f t="shared" si="11"/>
        <v>43</v>
      </c>
      <c r="W19" s="17">
        <f t="shared" si="11"/>
        <v>2</v>
      </c>
      <c r="X19" s="17">
        <f t="shared" si="11"/>
        <v>6</v>
      </c>
      <c r="Y19" s="17">
        <f t="shared" si="11"/>
        <v>9</v>
      </c>
      <c r="Z19" s="17">
        <f t="shared" si="11"/>
        <v>5</v>
      </c>
      <c r="AA19" s="17">
        <f t="shared" si="11"/>
        <v>1</v>
      </c>
      <c r="AB19" s="17">
        <f t="shared" si="11"/>
        <v>1</v>
      </c>
      <c r="AC19" s="17">
        <f t="shared" si="11"/>
        <v>193</v>
      </c>
      <c r="AD19" s="17">
        <f t="shared" si="11"/>
        <v>0</v>
      </c>
      <c r="AE19" s="31">
        <f t="shared" si="11"/>
        <v>137</v>
      </c>
      <c r="AF19" s="31">
        <f t="shared" si="11"/>
        <v>330</v>
      </c>
    </row>
    <row r="20" spans="2:32" ht="23.1" customHeight="1" x14ac:dyDescent="0.25">
      <c r="B20" s="45" t="s">
        <v>47</v>
      </c>
      <c r="C20" s="50">
        <v>19</v>
      </c>
      <c r="D20" s="50">
        <v>3</v>
      </c>
      <c r="E20" s="50">
        <v>4</v>
      </c>
      <c r="F20" s="50">
        <v>14</v>
      </c>
      <c r="G20" s="50">
        <v>1</v>
      </c>
      <c r="H20" s="50">
        <v>1</v>
      </c>
      <c r="I20" s="50">
        <v>5</v>
      </c>
      <c r="J20" s="50">
        <v>1</v>
      </c>
      <c r="K20" s="50">
        <v>0</v>
      </c>
      <c r="L20" s="50">
        <v>0</v>
      </c>
      <c r="M20" s="50">
        <v>75</v>
      </c>
      <c r="N20" s="50">
        <v>0</v>
      </c>
      <c r="O20" s="15">
        <f t="shared" si="0"/>
        <v>48</v>
      </c>
      <c r="P20" s="15">
        <f t="shared" si="1"/>
        <v>123</v>
      </c>
      <c r="R20" s="1" t="s">
        <v>16</v>
      </c>
      <c r="S20" s="17">
        <f t="shared" ref="S20:AF20" si="12">SUM(C50:C53)</f>
        <v>79</v>
      </c>
      <c r="T20" s="17">
        <f t="shared" si="12"/>
        <v>28</v>
      </c>
      <c r="U20" s="17">
        <f t="shared" si="12"/>
        <v>7</v>
      </c>
      <c r="V20" s="17">
        <f t="shared" si="12"/>
        <v>77</v>
      </c>
      <c r="W20" s="17">
        <f t="shared" si="12"/>
        <v>5</v>
      </c>
      <c r="X20" s="17">
        <f t="shared" si="12"/>
        <v>6</v>
      </c>
      <c r="Y20" s="17">
        <f t="shared" si="12"/>
        <v>38</v>
      </c>
      <c r="Z20" s="17">
        <f t="shared" si="12"/>
        <v>2</v>
      </c>
      <c r="AA20" s="17">
        <f t="shared" si="12"/>
        <v>3</v>
      </c>
      <c r="AB20" s="17">
        <f t="shared" si="12"/>
        <v>1</v>
      </c>
      <c r="AC20" s="17">
        <f t="shared" si="12"/>
        <v>200</v>
      </c>
      <c r="AD20" s="17">
        <f t="shared" si="12"/>
        <v>0</v>
      </c>
      <c r="AE20" s="31">
        <f t="shared" si="12"/>
        <v>246</v>
      </c>
      <c r="AF20" s="31">
        <f t="shared" si="12"/>
        <v>446</v>
      </c>
    </row>
    <row r="21" spans="2:32" ht="23.1" customHeight="1" x14ac:dyDescent="0.25">
      <c r="B21" s="45" t="s">
        <v>48</v>
      </c>
      <c r="C21" s="50">
        <v>8</v>
      </c>
      <c r="D21" s="50">
        <v>6</v>
      </c>
      <c r="E21" s="50">
        <v>1</v>
      </c>
      <c r="F21" s="50">
        <v>9</v>
      </c>
      <c r="G21" s="50">
        <v>0</v>
      </c>
      <c r="H21" s="50">
        <v>0</v>
      </c>
      <c r="I21" s="50">
        <v>6</v>
      </c>
      <c r="J21" s="50">
        <v>3</v>
      </c>
      <c r="K21" s="50">
        <v>7</v>
      </c>
      <c r="L21" s="50">
        <v>0</v>
      </c>
      <c r="M21" s="50">
        <v>76</v>
      </c>
      <c r="N21" s="50">
        <v>0</v>
      </c>
      <c r="O21" s="15">
        <f t="shared" si="0"/>
        <v>40</v>
      </c>
      <c r="P21" s="15">
        <f t="shared" si="1"/>
        <v>116</v>
      </c>
      <c r="R21" s="36" t="s">
        <v>20</v>
      </c>
      <c r="S21" s="34">
        <f t="shared" ref="S21:AF21" si="13">SUM(C54:C57)</f>
        <v>67</v>
      </c>
      <c r="T21" s="17">
        <f t="shared" si="13"/>
        <v>11</v>
      </c>
      <c r="U21" s="17">
        <f t="shared" si="13"/>
        <v>18</v>
      </c>
      <c r="V21" s="17">
        <f t="shared" si="13"/>
        <v>131</v>
      </c>
      <c r="W21" s="17">
        <f t="shared" si="13"/>
        <v>5</v>
      </c>
      <c r="X21" s="17">
        <f t="shared" si="13"/>
        <v>5</v>
      </c>
      <c r="Y21" s="17">
        <f t="shared" si="13"/>
        <v>17</v>
      </c>
      <c r="Z21" s="17">
        <f t="shared" si="13"/>
        <v>5</v>
      </c>
      <c r="AA21" s="17">
        <f t="shared" si="13"/>
        <v>8</v>
      </c>
      <c r="AB21" s="17">
        <f t="shared" si="13"/>
        <v>6</v>
      </c>
      <c r="AC21" s="17">
        <f t="shared" si="13"/>
        <v>419</v>
      </c>
      <c r="AD21" s="17">
        <f t="shared" si="13"/>
        <v>0</v>
      </c>
      <c r="AE21" s="31">
        <f t="shared" si="13"/>
        <v>273</v>
      </c>
      <c r="AF21" s="31">
        <f t="shared" si="13"/>
        <v>692</v>
      </c>
    </row>
    <row r="22" spans="2:32" ht="23.1" customHeight="1" x14ac:dyDescent="0.25">
      <c r="B22" s="45" t="s">
        <v>49</v>
      </c>
      <c r="C22" s="50">
        <v>16</v>
      </c>
      <c r="D22" s="50">
        <v>0</v>
      </c>
      <c r="E22" s="50">
        <v>0</v>
      </c>
      <c r="F22" s="50">
        <v>10</v>
      </c>
      <c r="G22" s="50">
        <v>0</v>
      </c>
      <c r="H22" s="50">
        <v>0</v>
      </c>
      <c r="I22" s="50">
        <v>6</v>
      </c>
      <c r="J22" s="50">
        <v>0</v>
      </c>
      <c r="K22" s="50">
        <v>1</v>
      </c>
      <c r="L22" s="50">
        <v>0</v>
      </c>
      <c r="M22" s="50">
        <v>44</v>
      </c>
      <c r="N22" s="50">
        <v>0</v>
      </c>
      <c r="O22" s="15">
        <f t="shared" si="0"/>
        <v>33</v>
      </c>
      <c r="P22" s="15">
        <f t="shared" si="1"/>
        <v>77</v>
      </c>
      <c r="R22" s="36" t="s">
        <v>146</v>
      </c>
      <c r="S22" s="34">
        <f>SUM(C58:C61)</f>
        <v>109</v>
      </c>
      <c r="T22" s="34">
        <f t="shared" ref="T22:AF22" si="14">SUM(D58:D61)</f>
        <v>24</v>
      </c>
      <c r="U22" s="34">
        <f t="shared" si="14"/>
        <v>9</v>
      </c>
      <c r="V22" s="34">
        <f t="shared" si="14"/>
        <v>203</v>
      </c>
      <c r="W22" s="34">
        <f t="shared" si="14"/>
        <v>3</v>
      </c>
      <c r="X22" s="34">
        <f t="shared" si="14"/>
        <v>2</v>
      </c>
      <c r="Y22" s="34">
        <f t="shared" si="14"/>
        <v>19</v>
      </c>
      <c r="Z22" s="34">
        <f t="shared" si="14"/>
        <v>8</v>
      </c>
      <c r="AA22" s="34">
        <f t="shared" si="14"/>
        <v>4</v>
      </c>
      <c r="AB22" s="34">
        <f t="shared" si="14"/>
        <v>0</v>
      </c>
      <c r="AC22" s="34">
        <f t="shared" si="14"/>
        <v>519</v>
      </c>
      <c r="AD22" s="34">
        <f t="shared" si="14"/>
        <v>0</v>
      </c>
      <c r="AE22" s="31">
        <f t="shared" si="14"/>
        <v>381</v>
      </c>
      <c r="AF22" s="31">
        <f t="shared" si="14"/>
        <v>900</v>
      </c>
    </row>
    <row r="23" spans="2:32" ht="23.1" customHeight="1" x14ac:dyDescent="0.25">
      <c r="B23" s="45" t="s">
        <v>50</v>
      </c>
      <c r="C23" s="50">
        <v>27</v>
      </c>
      <c r="D23" s="50">
        <v>0</v>
      </c>
      <c r="E23" s="50">
        <v>0</v>
      </c>
      <c r="F23" s="50">
        <v>4</v>
      </c>
      <c r="G23" s="50">
        <v>1</v>
      </c>
      <c r="H23" s="50">
        <v>2</v>
      </c>
      <c r="I23" s="50">
        <v>1</v>
      </c>
      <c r="J23" s="50">
        <v>3</v>
      </c>
      <c r="K23" s="50">
        <v>0</v>
      </c>
      <c r="L23" s="50">
        <v>0</v>
      </c>
      <c r="M23" s="50">
        <v>67</v>
      </c>
      <c r="N23" s="50">
        <v>0</v>
      </c>
      <c r="O23" s="15">
        <f t="shared" si="0"/>
        <v>38</v>
      </c>
      <c r="P23" s="15">
        <f t="shared" si="1"/>
        <v>105</v>
      </c>
      <c r="R23" s="36" t="s">
        <v>147</v>
      </c>
      <c r="S23" s="34">
        <f>SUM(C62:C65)</f>
        <v>88</v>
      </c>
      <c r="T23" s="34">
        <f t="shared" ref="T23:AF23" si="15">SUM(D62:D65)</f>
        <v>8</v>
      </c>
      <c r="U23" s="34">
        <f t="shared" si="15"/>
        <v>1</v>
      </c>
      <c r="V23" s="34">
        <f t="shared" si="15"/>
        <v>144</v>
      </c>
      <c r="W23" s="34">
        <f t="shared" si="15"/>
        <v>0</v>
      </c>
      <c r="X23" s="34">
        <f t="shared" si="15"/>
        <v>8</v>
      </c>
      <c r="Y23" s="34">
        <f t="shared" si="15"/>
        <v>7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488</v>
      </c>
      <c r="AD23" s="34">
        <f t="shared" si="15"/>
        <v>0</v>
      </c>
      <c r="AE23" s="31">
        <f t="shared" si="15"/>
        <v>256</v>
      </c>
      <c r="AF23" s="31">
        <f t="shared" si="15"/>
        <v>744</v>
      </c>
    </row>
    <row r="24" spans="2:32" ht="23.1" customHeight="1" x14ac:dyDescent="0.25">
      <c r="B24" s="45" t="s">
        <v>51</v>
      </c>
      <c r="C24" s="50">
        <v>7</v>
      </c>
      <c r="D24" s="50">
        <v>1</v>
      </c>
      <c r="E24" s="50">
        <v>2</v>
      </c>
      <c r="F24" s="50">
        <v>4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63</v>
      </c>
      <c r="N24" s="50">
        <v>0</v>
      </c>
      <c r="O24" s="15">
        <f t="shared" si="0"/>
        <v>19</v>
      </c>
      <c r="P24" s="15">
        <f t="shared" si="1"/>
        <v>82</v>
      </c>
      <c r="R24" s="36" t="s">
        <v>148</v>
      </c>
      <c r="S24" s="34">
        <f>SUM(C66:C69)</f>
        <v>110</v>
      </c>
      <c r="T24" s="34">
        <f t="shared" ref="T24:AF24" si="16">SUM(D66:D69)</f>
        <v>5</v>
      </c>
      <c r="U24" s="34">
        <f t="shared" si="16"/>
        <v>1</v>
      </c>
      <c r="V24" s="34">
        <f t="shared" si="16"/>
        <v>183</v>
      </c>
      <c r="W24" s="34">
        <f t="shared" si="16"/>
        <v>0</v>
      </c>
      <c r="X24" s="34">
        <f t="shared" si="16"/>
        <v>7</v>
      </c>
      <c r="Y24" s="34">
        <f t="shared" si="16"/>
        <v>11</v>
      </c>
      <c r="Z24" s="34">
        <f t="shared" si="16"/>
        <v>4</v>
      </c>
      <c r="AA24" s="34">
        <f t="shared" si="16"/>
        <v>5</v>
      </c>
      <c r="AB24" s="34">
        <f t="shared" si="16"/>
        <v>0</v>
      </c>
      <c r="AC24" s="34">
        <f t="shared" si="16"/>
        <v>255</v>
      </c>
      <c r="AD24" s="34">
        <f t="shared" si="16"/>
        <v>0</v>
      </c>
      <c r="AE24" s="31">
        <f t="shared" si="16"/>
        <v>326</v>
      </c>
      <c r="AF24" s="31">
        <f t="shared" si="16"/>
        <v>581</v>
      </c>
    </row>
    <row r="25" spans="2:32" ht="23.1" customHeight="1" x14ac:dyDescent="0.25">
      <c r="B25" s="45" t="s">
        <v>52</v>
      </c>
      <c r="C25" s="50">
        <v>14</v>
      </c>
      <c r="D25" s="50">
        <v>0</v>
      </c>
      <c r="E25" s="50">
        <v>2</v>
      </c>
      <c r="F25" s="50">
        <v>3</v>
      </c>
      <c r="G25" s="50">
        <v>0</v>
      </c>
      <c r="H25" s="50">
        <v>1</v>
      </c>
      <c r="I25" s="50">
        <v>1</v>
      </c>
      <c r="J25" s="50">
        <v>0</v>
      </c>
      <c r="K25" s="50">
        <v>0</v>
      </c>
      <c r="L25" s="50">
        <v>0</v>
      </c>
      <c r="M25" s="50">
        <v>48</v>
      </c>
      <c r="N25" s="50">
        <v>0</v>
      </c>
      <c r="O25" s="15">
        <f t="shared" si="0"/>
        <v>21</v>
      </c>
      <c r="P25" s="15">
        <f t="shared" si="1"/>
        <v>69</v>
      </c>
      <c r="R25" s="36" t="s">
        <v>149</v>
      </c>
      <c r="S25" s="34">
        <f>SUM(C70:C73)</f>
        <v>71</v>
      </c>
      <c r="T25" s="34">
        <f t="shared" ref="T25:AF25" si="17">SUM(D70:D73)</f>
        <v>6</v>
      </c>
      <c r="U25" s="34">
        <f t="shared" si="17"/>
        <v>9</v>
      </c>
      <c r="V25" s="34">
        <f t="shared" si="17"/>
        <v>107</v>
      </c>
      <c r="W25" s="34">
        <f t="shared" si="17"/>
        <v>2</v>
      </c>
      <c r="X25" s="34">
        <f t="shared" si="17"/>
        <v>4</v>
      </c>
      <c r="Y25" s="34">
        <f t="shared" si="17"/>
        <v>5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302</v>
      </c>
      <c r="AD25" s="34">
        <f t="shared" si="17"/>
        <v>0</v>
      </c>
      <c r="AE25" s="31">
        <f t="shared" si="17"/>
        <v>206</v>
      </c>
      <c r="AF25" s="31">
        <f t="shared" si="17"/>
        <v>508</v>
      </c>
    </row>
    <row r="26" spans="2:32" ht="23.1" customHeight="1" x14ac:dyDescent="0.25">
      <c r="B26" s="45" t="s">
        <v>53</v>
      </c>
      <c r="C26" s="50">
        <v>3</v>
      </c>
      <c r="D26" s="50">
        <v>4</v>
      </c>
      <c r="E26" s="50">
        <v>1</v>
      </c>
      <c r="F26" s="50">
        <v>12</v>
      </c>
      <c r="G26" s="50">
        <v>1</v>
      </c>
      <c r="H26" s="50">
        <v>3</v>
      </c>
      <c r="I26" s="50">
        <v>2</v>
      </c>
      <c r="J26" s="50">
        <v>0</v>
      </c>
      <c r="K26" s="50">
        <v>0</v>
      </c>
      <c r="L26" s="50">
        <v>0</v>
      </c>
      <c r="M26" s="50">
        <v>64</v>
      </c>
      <c r="N26" s="50">
        <v>0</v>
      </c>
      <c r="O26" s="15">
        <f t="shared" si="0"/>
        <v>26</v>
      </c>
      <c r="P26" s="15">
        <f t="shared" si="1"/>
        <v>90</v>
      </c>
      <c r="R26" s="36" t="s">
        <v>150</v>
      </c>
      <c r="S26" s="34">
        <f>SUM(C74:C77)</f>
        <v>94</v>
      </c>
      <c r="T26" s="34">
        <f t="shared" ref="T26:AF26" si="18">SUM(D74:D77)</f>
        <v>12</v>
      </c>
      <c r="U26" s="34">
        <f t="shared" si="18"/>
        <v>4</v>
      </c>
      <c r="V26" s="34">
        <f t="shared" si="18"/>
        <v>38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288</v>
      </c>
      <c r="AD26" s="34">
        <f t="shared" si="18"/>
        <v>0</v>
      </c>
      <c r="AE26" s="31">
        <f t="shared" si="18"/>
        <v>153</v>
      </c>
      <c r="AF26" s="31">
        <f t="shared" si="18"/>
        <v>441</v>
      </c>
    </row>
    <row r="27" spans="2:32" ht="23.1" customHeight="1" x14ac:dyDescent="0.25">
      <c r="B27" s="45" t="s">
        <v>54</v>
      </c>
      <c r="C27" s="50">
        <v>4</v>
      </c>
      <c r="D27" s="50">
        <v>3</v>
      </c>
      <c r="E27" s="50">
        <v>0</v>
      </c>
      <c r="F27" s="50">
        <v>4</v>
      </c>
      <c r="G27" s="50">
        <v>0</v>
      </c>
      <c r="H27" s="50">
        <v>1</v>
      </c>
      <c r="I27" s="50">
        <v>15</v>
      </c>
      <c r="J27" s="50">
        <v>0</v>
      </c>
      <c r="K27" s="50">
        <v>0</v>
      </c>
      <c r="L27" s="50">
        <v>0</v>
      </c>
      <c r="M27" s="50">
        <v>61</v>
      </c>
      <c r="N27" s="50">
        <v>0</v>
      </c>
      <c r="O27" s="15">
        <f t="shared" si="0"/>
        <v>27</v>
      </c>
      <c r="P27" s="15">
        <f t="shared" si="1"/>
        <v>88</v>
      </c>
      <c r="R27" s="36" t="s">
        <v>151</v>
      </c>
      <c r="S27" s="34">
        <f>SUM(C78:C81)</f>
        <v>20</v>
      </c>
      <c r="T27" s="34">
        <f t="shared" ref="T27:AF27" si="19">SUM(D78:D81)</f>
        <v>2</v>
      </c>
      <c r="U27" s="34">
        <f t="shared" si="19"/>
        <v>1</v>
      </c>
      <c r="V27" s="34">
        <f t="shared" si="19"/>
        <v>12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5</v>
      </c>
      <c r="AA27" s="34">
        <f t="shared" si="19"/>
        <v>3</v>
      </c>
      <c r="AB27" s="34">
        <f t="shared" si="19"/>
        <v>0</v>
      </c>
      <c r="AC27" s="34">
        <f t="shared" si="19"/>
        <v>235</v>
      </c>
      <c r="AD27" s="34">
        <f t="shared" si="19"/>
        <v>0</v>
      </c>
      <c r="AE27" s="31">
        <f t="shared" si="19"/>
        <v>46</v>
      </c>
      <c r="AF27" s="31">
        <f t="shared" si="19"/>
        <v>281</v>
      </c>
    </row>
    <row r="28" spans="2:32" ht="23.1" customHeight="1" x14ac:dyDescent="0.25">
      <c r="B28" s="45" t="s">
        <v>55</v>
      </c>
      <c r="C28" s="50">
        <v>14</v>
      </c>
      <c r="D28" s="50">
        <v>3</v>
      </c>
      <c r="E28" s="50">
        <v>1</v>
      </c>
      <c r="F28" s="50">
        <v>9</v>
      </c>
      <c r="G28" s="50">
        <v>4</v>
      </c>
      <c r="H28" s="50">
        <v>3</v>
      </c>
      <c r="I28" s="50">
        <v>8</v>
      </c>
      <c r="J28" s="50">
        <v>0</v>
      </c>
      <c r="K28" s="50">
        <v>2</v>
      </c>
      <c r="L28" s="50">
        <v>0</v>
      </c>
      <c r="M28" s="50">
        <v>64</v>
      </c>
      <c r="N28" s="50">
        <v>0</v>
      </c>
      <c r="O28" s="15">
        <f t="shared" si="0"/>
        <v>44</v>
      </c>
      <c r="P28" s="15">
        <f t="shared" si="1"/>
        <v>108</v>
      </c>
      <c r="R28" s="36" t="s">
        <v>152</v>
      </c>
      <c r="S28" s="34">
        <f>SUM(C82:C85)</f>
        <v>8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39</v>
      </c>
      <c r="AD28" s="34">
        <f t="shared" si="20"/>
        <v>0</v>
      </c>
      <c r="AE28" s="31">
        <f t="shared" si="20"/>
        <v>8</v>
      </c>
      <c r="AF28" s="31">
        <f t="shared" si="20"/>
        <v>47</v>
      </c>
    </row>
    <row r="29" spans="2:32" ht="23.1" customHeight="1" x14ac:dyDescent="0.25">
      <c r="B29" s="45" t="s">
        <v>56</v>
      </c>
      <c r="C29" s="50">
        <v>9</v>
      </c>
      <c r="D29" s="50">
        <v>1</v>
      </c>
      <c r="E29" s="50">
        <v>1</v>
      </c>
      <c r="F29" s="50">
        <v>6</v>
      </c>
      <c r="G29" s="50">
        <v>1</v>
      </c>
      <c r="H29" s="50">
        <v>2</v>
      </c>
      <c r="I29" s="50">
        <v>8</v>
      </c>
      <c r="J29" s="50">
        <v>1</v>
      </c>
      <c r="K29" s="50">
        <v>2</v>
      </c>
      <c r="L29" s="50">
        <v>0</v>
      </c>
      <c r="M29" s="50">
        <v>43</v>
      </c>
      <c r="N29" s="50">
        <v>0</v>
      </c>
      <c r="O29" s="15">
        <f t="shared" si="0"/>
        <v>31</v>
      </c>
      <c r="P29" s="15">
        <f t="shared" si="1"/>
        <v>74</v>
      </c>
      <c r="R29" s="36" t="s">
        <v>153</v>
      </c>
      <c r="S29" s="34">
        <f>SUM(C86:C89)</f>
        <v>8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6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26</v>
      </c>
      <c r="AD29" s="34">
        <f t="shared" si="21"/>
        <v>0</v>
      </c>
      <c r="AE29" s="31">
        <f t="shared" si="21"/>
        <v>17</v>
      </c>
      <c r="AF29" s="31">
        <f t="shared" si="21"/>
        <v>43</v>
      </c>
    </row>
    <row r="30" spans="2:32" ht="23.1" customHeight="1" x14ac:dyDescent="0.25">
      <c r="B30" s="45" t="s">
        <v>57</v>
      </c>
      <c r="C30" s="50">
        <v>8</v>
      </c>
      <c r="D30" s="50">
        <v>5</v>
      </c>
      <c r="E30" s="50">
        <v>2</v>
      </c>
      <c r="F30" s="50">
        <v>12</v>
      </c>
      <c r="G30" s="50">
        <v>1</v>
      </c>
      <c r="H30" s="50">
        <v>2</v>
      </c>
      <c r="I30" s="50">
        <v>12</v>
      </c>
      <c r="J30" s="50">
        <v>2</v>
      </c>
      <c r="K30" s="50">
        <v>0</v>
      </c>
      <c r="L30" s="50">
        <v>1</v>
      </c>
      <c r="M30" s="50">
        <v>45</v>
      </c>
      <c r="N30" s="50">
        <v>0</v>
      </c>
      <c r="O30" s="15">
        <f t="shared" si="0"/>
        <v>45</v>
      </c>
      <c r="P30" s="15">
        <f t="shared" si="1"/>
        <v>90</v>
      </c>
      <c r="R30" s="36" t="s">
        <v>154</v>
      </c>
      <c r="S30" s="34">
        <f>SUM(C90:C93)</f>
        <v>12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</v>
      </c>
      <c r="AA30" s="34">
        <f t="shared" si="22"/>
        <v>2</v>
      </c>
      <c r="AB30" s="34">
        <f t="shared" si="22"/>
        <v>0</v>
      </c>
      <c r="AC30" s="34">
        <f t="shared" si="22"/>
        <v>54</v>
      </c>
      <c r="AD30" s="34">
        <f t="shared" si="22"/>
        <v>0</v>
      </c>
      <c r="AE30" s="31">
        <f t="shared" si="22"/>
        <v>17</v>
      </c>
      <c r="AF30" s="31">
        <f t="shared" si="22"/>
        <v>71</v>
      </c>
    </row>
    <row r="31" spans="2:32" ht="23.1" customHeight="1" x14ac:dyDescent="0.25">
      <c r="B31" s="46" t="s">
        <v>58</v>
      </c>
      <c r="C31" s="50">
        <v>13</v>
      </c>
      <c r="D31" s="50">
        <v>8</v>
      </c>
      <c r="E31" s="50">
        <v>4</v>
      </c>
      <c r="F31" s="50">
        <v>18</v>
      </c>
      <c r="G31" s="50">
        <v>2</v>
      </c>
      <c r="H31" s="50">
        <v>3</v>
      </c>
      <c r="I31" s="50">
        <v>7</v>
      </c>
      <c r="J31" s="50">
        <v>3</v>
      </c>
      <c r="K31" s="50">
        <v>0</v>
      </c>
      <c r="L31" s="50">
        <v>0</v>
      </c>
      <c r="M31" s="50">
        <v>45</v>
      </c>
      <c r="N31" s="50">
        <v>0</v>
      </c>
      <c r="O31" s="15">
        <f t="shared" si="0"/>
        <v>58</v>
      </c>
      <c r="P31" s="15">
        <f t="shared" si="1"/>
        <v>103</v>
      </c>
      <c r="R31" s="36" t="s">
        <v>155</v>
      </c>
      <c r="S31" s="34">
        <f>SUM(C94:C97)</f>
        <v>10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90</v>
      </c>
      <c r="AD31" s="34">
        <f t="shared" si="23"/>
        <v>0</v>
      </c>
      <c r="AE31" s="31">
        <f t="shared" si="23"/>
        <v>16</v>
      </c>
      <c r="AF31" s="31">
        <f t="shared" si="23"/>
        <v>106</v>
      </c>
    </row>
    <row r="32" spans="2:32" ht="23.1" customHeight="1" x14ac:dyDescent="0.25">
      <c r="B32" s="46" t="s">
        <v>59</v>
      </c>
      <c r="C32" s="50">
        <v>14</v>
      </c>
      <c r="D32" s="50">
        <v>1</v>
      </c>
      <c r="E32" s="50">
        <v>1</v>
      </c>
      <c r="F32" s="50">
        <v>28</v>
      </c>
      <c r="G32" s="50">
        <v>0</v>
      </c>
      <c r="H32" s="50">
        <v>0</v>
      </c>
      <c r="I32" s="50">
        <v>4</v>
      </c>
      <c r="J32" s="50">
        <v>3</v>
      </c>
      <c r="K32" s="50">
        <v>1</v>
      </c>
      <c r="L32" s="50">
        <v>0</v>
      </c>
      <c r="M32" s="50">
        <v>54</v>
      </c>
      <c r="N32" s="50">
        <v>0</v>
      </c>
      <c r="O32" s="15">
        <f t="shared" si="0"/>
        <v>52</v>
      </c>
      <c r="P32" s="15">
        <f t="shared" si="1"/>
        <v>106</v>
      </c>
      <c r="R32" s="33" t="s">
        <v>156</v>
      </c>
      <c r="S32" s="34">
        <f>SUM(C98:C101)</f>
        <v>12</v>
      </c>
      <c r="T32" s="34">
        <f t="shared" ref="T32:AF32" si="24">SUM(D98:D101)</f>
        <v>5</v>
      </c>
      <c r="U32" s="34">
        <f t="shared" si="24"/>
        <v>0</v>
      </c>
      <c r="V32" s="34">
        <f t="shared" si="24"/>
        <v>5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4</v>
      </c>
      <c r="AA32" s="34">
        <f t="shared" si="24"/>
        <v>1</v>
      </c>
      <c r="AB32" s="34">
        <f t="shared" si="24"/>
        <v>1</v>
      </c>
      <c r="AC32" s="34">
        <f t="shared" si="24"/>
        <v>111</v>
      </c>
      <c r="AD32" s="34">
        <f t="shared" si="24"/>
        <v>0</v>
      </c>
      <c r="AE32" s="31">
        <f t="shared" si="24"/>
        <v>28</v>
      </c>
      <c r="AF32" s="31">
        <f t="shared" si="24"/>
        <v>139</v>
      </c>
    </row>
    <row r="33" spans="2:32" ht="23.1" customHeight="1" x14ac:dyDescent="0.25">
      <c r="B33" s="45" t="s">
        <v>60</v>
      </c>
      <c r="C33" s="50">
        <v>10</v>
      </c>
      <c r="D33" s="50">
        <v>0</v>
      </c>
      <c r="E33" s="50">
        <v>1</v>
      </c>
      <c r="F33" s="50">
        <v>18</v>
      </c>
      <c r="G33" s="50">
        <v>0</v>
      </c>
      <c r="H33" s="50">
        <v>0</v>
      </c>
      <c r="I33" s="50">
        <v>7</v>
      </c>
      <c r="J33" s="50">
        <v>2</v>
      </c>
      <c r="K33" s="50">
        <v>2</v>
      </c>
      <c r="L33" s="50">
        <v>0</v>
      </c>
      <c r="M33" s="50">
        <v>49</v>
      </c>
      <c r="N33" s="50">
        <v>0</v>
      </c>
      <c r="O33" s="15">
        <f t="shared" si="0"/>
        <v>40</v>
      </c>
      <c r="P33" s="15">
        <f t="shared" si="1"/>
        <v>89</v>
      </c>
      <c r="R33" s="33" t="s">
        <v>157</v>
      </c>
      <c r="S33" s="34">
        <f>SUM(C102:C105)</f>
        <v>34</v>
      </c>
      <c r="T33" s="34">
        <f t="shared" ref="T33:AF33" si="25">SUM(D102:D105)</f>
        <v>2</v>
      </c>
      <c r="U33" s="34">
        <f t="shared" si="25"/>
        <v>2</v>
      </c>
      <c r="V33" s="34">
        <f t="shared" si="25"/>
        <v>24</v>
      </c>
      <c r="W33" s="34">
        <f t="shared" si="25"/>
        <v>1</v>
      </c>
      <c r="X33" s="34">
        <f t="shared" si="25"/>
        <v>0</v>
      </c>
      <c r="Y33" s="34">
        <f t="shared" si="25"/>
        <v>8</v>
      </c>
      <c r="Z33" s="34">
        <f t="shared" si="25"/>
        <v>10</v>
      </c>
      <c r="AA33" s="34">
        <f t="shared" si="25"/>
        <v>1</v>
      </c>
      <c r="AB33" s="34">
        <f t="shared" si="25"/>
        <v>0</v>
      </c>
      <c r="AC33" s="34">
        <f t="shared" si="25"/>
        <v>304</v>
      </c>
      <c r="AD33" s="34">
        <f t="shared" si="25"/>
        <v>0</v>
      </c>
      <c r="AE33" s="31">
        <f t="shared" si="25"/>
        <v>82</v>
      </c>
      <c r="AF33" s="31">
        <f t="shared" si="25"/>
        <v>386</v>
      </c>
    </row>
    <row r="34" spans="2:32" ht="23.1" customHeight="1" x14ac:dyDescent="0.25">
      <c r="B34" s="46" t="s">
        <v>61</v>
      </c>
      <c r="C34" s="50">
        <v>4</v>
      </c>
      <c r="D34" s="50">
        <v>4</v>
      </c>
      <c r="E34" s="50">
        <v>3</v>
      </c>
      <c r="F34" s="50">
        <v>10</v>
      </c>
      <c r="G34" s="50">
        <v>3</v>
      </c>
      <c r="H34" s="50">
        <v>0</v>
      </c>
      <c r="I34" s="50">
        <v>3</v>
      </c>
      <c r="J34" s="50">
        <v>3</v>
      </c>
      <c r="K34" s="50">
        <v>0</v>
      </c>
      <c r="L34" s="50">
        <v>0</v>
      </c>
      <c r="M34" s="50">
        <v>53</v>
      </c>
      <c r="N34" s="50">
        <v>0</v>
      </c>
      <c r="O34" s="15">
        <f t="shared" si="0"/>
        <v>30</v>
      </c>
      <c r="P34" s="15">
        <f t="shared" si="1"/>
        <v>83</v>
      </c>
      <c r="R34" s="38" t="s">
        <v>90</v>
      </c>
      <c r="S34" s="39">
        <f t="shared" ref="S34:AF34" si="26">MAX(S10:S12)</f>
        <v>44</v>
      </c>
      <c r="T34" s="39">
        <f t="shared" si="26"/>
        <v>10</v>
      </c>
      <c r="U34" s="39">
        <f t="shared" si="26"/>
        <v>14</v>
      </c>
      <c r="V34" s="39">
        <f t="shared" si="26"/>
        <v>65</v>
      </c>
      <c r="W34" s="39">
        <f t="shared" si="26"/>
        <v>3</v>
      </c>
      <c r="X34" s="39">
        <f t="shared" si="26"/>
        <v>4</v>
      </c>
      <c r="Y34" s="39">
        <f t="shared" si="26"/>
        <v>21</v>
      </c>
      <c r="Z34" s="39">
        <f t="shared" si="26"/>
        <v>10</v>
      </c>
      <c r="AA34" s="39">
        <f t="shared" si="26"/>
        <v>7</v>
      </c>
      <c r="AB34" s="39">
        <f t="shared" si="26"/>
        <v>0</v>
      </c>
      <c r="AC34" s="39">
        <f t="shared" si="26"/>
        <v>460</v>
      </c>
      <c r="AD34" s="39">
        <f t="shared" si="26"/>
        <v>0</v>
      </c>
      <c r="AE34" s="40">
        <f t="shared" si="26"/>
        <v>151</v>
      </c>
      <c r="AF34" s="40">
        <f t="shared" si="26"/>
        <v>605</v>
      </c>
    </row>
    <row r="35" spans="2:32" ht="23.1" customHeight="1" x14ac:dyDescent="0.25">
      <c r="B35" s="46" t="s">
        <v>62</v>
      </c>
      <c r="C35" s="50">
        <v>3</v>
      </c>
      <c r="D35" s="50">
        <v>1</v>
      </c>
      <c r="E35" s="50">
        <v>1</v>
      </c>
      <c r="F35" s="50">
        <v>13</v>
      </c>
      <c r="G35" s="50">
        <v>0</v>
      </c>
      <c r="H35" s="50">
        <v>0</v>
      </c>
      <c r="I35" s="50">
        <v>6</v>
      </c>
      <c r="J35" s="50">
        <v>3</v>
      </c>
      <c r="K35" s="50">
        <v>0</v>
      </c>
      <c r="L35" s="50">
        <v>0</v>
      </c>
      <c r="M35" s="50">
        <v>57</v>
      </c>
      <c r="N35" s="50">
        <v>0</v>
      </c>
      <c r="O35" s="15">
        <f t="shared" si="0"/>
        <v>27</v>
      </c>
      <c r="P35" s="15">
        <f t="shared" si="1"/>
        <v>84</v>
      </c>
      <c r="R35" s="38" t="s">
        <v>91</v>
      </c>
      <c r="S35" s="39">
        <f t="shared" ref="S35:AF35" si="27">MAX(S13:S18)</f>
        <v>64</v>
      </c>
      <c r="T35" s="39">
        <f t="shared" si="27"/>
        <v>20</v>
      </c>
      <c r="U35" s="39">
        <f t="shared" si="27"/>
        <v>8</v>
      </c>
      <c r="V35" s="39">
        <f t="shared" si="27"/>
        <v>76</v>
      </c>
      <c r="W35" s="39">
        <f t="shared" si="27"/>
        <v>6</v>
      </c>
      <c r="X35" s="39">
        <f t="shared" si="27"/>
        <v>9</v>
      </c>
      <c r="Y35" s="39">
        <f t="shared" si="27"/>
        <v>33</v>
      </c>
      <c r="Z35" s="39">
        <f t="shared" si="27"/>
        <v>10</v>
      </c>
      <c r="AA35" s="39">
        <f t="shared" si="27"/>
        <v>4</v>
      </c>
      <c r="AB35" s="39">
        <f t="shared" si="27"/>
        <v>2</v>
      </c>
      <c r="AC35" s="39">
        <f t="shared" si="27"/>
        <v>240</v>
      </c>
      <c r="AD35" s="39">
        <f t="shared" si="27"/>
        <v>0</v>
      </c>
      <c r="AE35" s="40">
        <f t="shared" si="27"/>
        <v>195</v>
      </c>
      <c r="AF35" s="40">
        <f t="shared" si="27"/>
        <v>388</v>
      </c>
    </row>
    <row r="36" spans="2:32" ht="23.1" customHeight="1" x14ac:dyDescent="0.25">
      <c r="B36" s="46" t="s">
        <v>63</v>
      </c>
      <c r="C36" s="50">
        <v>4</v>
      </c>
      <c r="D36" s="50">
        <v>3</v>
      </c>
      <c r="E36" s="50">
        <v>0</v>
      </c>
      <c r="F36" s="50">
        <v>1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61</v>
      </c>
      <c r="N36" s="50">
        <v>0</v>
      </c>
      <c r="O36" s="15">
        <f t="shared" si="0"/>
        <v>12</v>
      </c>
      <c r="P36" s="15">
        <f t="shared" si="1"/>
        <v>73</v>
      </c>
      <c r="R36" s="38" t="s">
        <v>92</v>
      </c>
      <c r="S36" s="39">
        <f t="shared" ref="S36:AF36" si="28">MAX(S19:S21)</f>
        <v>79</v>
      </c>
      <c r="T36" s="39">
        <f t="shared" si="28"/>
        <v>28</v>
      </c>
      <c r="U36" s="39">
        <f t="shared" si="28"/>
        <v>18</v>
      </c>
      <c r="V36" s="39">
        <f t="shared" si="28"/>
        <v>131</v>
      </c>
      <c r="W36" s="39">
        <f t="shared" si="28"/>
        <v>5</v>
      </c>
      <c r="X36" s="39">
        <f t="shared" si="28"/>
        <v>6</v>
      </c>
      <c r="Y36" s="39">
        <f t="shared" si="28"/>
        <v>38</v>
      </c>
      <c r="Z36" s="39">
        <f t="shared" si="28"/>
        <v>5</v>
      </c>
      <c r="AA36" s="39">
        <f t="shared" si="28"/>
        <v>8</v>
      </c>
      <c r="AB36" s="39">
        <f t="shared" si="28"/>
        <v>6</v>
      </c>
      <c r="AC36" s="39">
        <f t="shared" si="28"/>
        <v>419</v>
      </c>
      <c r="AD36" s="39">
        <f t="shared" si="28"/>
        <v>0</v>
      </c>
      <c r="AE36" s="40">
        <f t="shared" si="28"/>
        <v>273</v>
      </c>
      <c r="AF36" s="40">
        <f t="shared" si="28"/>
        <v>692</v>
      </c>
    </row>
    <row r="37" spans="2:32" ht="23.1" customHeight="1" x14ac:dyDescent="0.25">
      <c r="B37" s="45" t="s">
        <v>64</v>
      </c>
      <c r="C37" s="50">
        <v>8</v>
      </c>
      <c r="D37" s="50">
        <v>2</v>
      </c>
      <c r="E37" s="50">
        <v>3</v>
      </c>
      <c r="F37" s="50">
        <v>4</v>
      </c>
      <c r="G37" s="50">
        <v>0</v>
      </c>
      <c r="H37" s="50">
        <v>2</v>
      </c>
      <c r="I37" s="50">
        <v>3</v>
      </c>
      <c r="J37" s="50">
        <v>0</v>
      </c>
      <c r="K37" s="50">
        <v>0</v>
      </c>
      <c r="L37" s="50">
        <v>1</v>
      </c>
      <c r="M37" s="50">
        <v>63</v>
      </c>
      <c r="N37" s="50">
        <v>0</v>
      </c>
      <c r="O37" s="15">
        <f t="shared" si="0"/>
        <v>23</v>
      </c>
      <c r="P37" s="15">
        <f t="shared" si="1"/>
        <v>86</v>
      </c>
      <c r="R37" s="37" t="s">
        <v>85</v>
      </c>
      <c r="S37" s="35">
        <f t="shared" ref="S37:AF37" si="29">SUM(S10:S12)</f>
        <v>106</v>
      </c>
      <c r="T37" s="16">
        <f t="shared" si="29"/>
        <v>15</v>
      </c>
      <c r="U37" s="16">
        <f t="shared" si="29"/>
        <v>24</v>
      </c>
      <c r="V37" s="16">
        <f t="shared" si="29"/>
        <v>178</v>
      </c>
      <c r="W37" s="16">
        <f t="shared" si="29"/>
        <v>5</v>
      </c>
      <c r="X37" s="16">
        <f t="shared" si="29"/>
        <v>7</v>
      </c>
      <c r="Y37" s="16">
        <f t="shared" si="29"/>
        <v>48</v>
      </c>
      <c r="Z37" s="16">
        <f t="shared" si="29"/>
        <v>25</v>
      </c>
      <c r="AA37" s="16">
        <f t="shared" si="29"/>
        <v>9</v>
      </c>
      <c r="AB37" s="16">
        <f t="shared" si="29"/>
        <v>0</v>
      </c>
      <c r="AC37" s="16">
        <f t="shared" si="29"/>
        <v>1068</v>
      </c>
      <c r="AD37" s="16">
        <f t="shared" si="29"/>
        <v>0</v>
      </c>
      <c r="AE37" s="32">
        <f t="shared" si="29"/>
        <v>417</v>
      </c>
      <c r="AF37" s="32">
        <f t="shared" si="29"/>
        <v>1485</v>
      </c>
    </row>
    <row r="38" spans="2:32" ht="23.1" customHeight="1" x14ac:dyDescent="0.25">
      <c r="B38" s="46" t="s">
        <v>65</v>
      </c>
      <c r="C38" s="50">
        <v>8</v>
      </c>
      <c r="D38" s="50">
        <v>1</v>
      </c>
      <c r="E38" s="50">
        <v>3</v>
      </c>
      <c r="F38" s="50">
        <v>7</v>
      </c>
      <c r="G38" s="50">
        <v>0</v>
      </c>
      <c r="H38" s="50">
        <v>0</v>
      </c>
      <c r="I38" s="50">
        <v>7</v>
      </c>
      <c r="J38" s="50">
        <v>0</v>
      </c>
      <c r="K38" s="50">
        <v>0</v>
      </c>
      <c r="L38" s="50">
        <v>0</v>
      </c>
      <c r="M38" s="50">
        <v>44</v>
      </c>
      <c r="N38" s="50">
        <v>0</v>
      </c>
      <c r="O38" s="15">
        <f t="shared" si="0"/>
        <v>26</v>
      </c>
      <c r="P38" s="15">
        <f t="shared" si="1"/>
        <v>70</v>
      </c>
      <c r="R38" s="28" t="s">
        <v>86</v>
      </c>
      <c r="S38" s="16">
        <f t="shared" ref="S38:AF38" si="30">SUM(S13:S18)</f>
        <v>250</v>
      </c>
      <c r="T38" s="16">
        <f t="shared" si="30"/>
        <v>63</v>
      </c>
      <c r="U38" s="16">
        <f t="shared" si="30"/>
        <v>36</v>
      </c>
      <c r="V38" s="16">
        <f t="shared" si="30"/>
        <v>217</v>
      </c>
      <c r="W38" s="16">
        <f t="shared" si="30"/>
        <v>14</v>
      </c>
      <c r="X38" s="16">
        <f t="shared" si="30"/>
        <v>26</v>
      </c>
      <c r="Y38" s="16">
        <f t="shared" si="30"/>
        <v>135</v>
      </c>
      <c r="Z38" s="16">
        <f t="shared" si="30"/>
        <v>29</v>
      </c>
      <c r="AA38" s="16">
        <f t="shared" si="30"/>
        <v>13</v>
      </c>
      <c r="AB38" s="16">
        <f t="shared" si="30"/>
        <v>5</v>
      </c>
      <c r="AC38" s="16">
        <f t="shared" si="30"/>
        <v>1328</v>
      </c>
      <c r="AD38" s="16">
        <f t="shared" si="30"/>
        <v>0</v>
      </c>
      <c r="AE38" s="32">
        <f t="shared" si="30"/>
        <v>788</v>
      </c>
      <c r="AF38" s="32">
        <f t="shared" si="30"/>
        <v>2116</v>
      </c>
    </row>
    <row r="39" spans="2:32" ht="23.1" customHeight="1" x14ac:dyDescent="0.25">
      <c r="B39" s="46" t="s">
        <v>66</v>
      </c>
      <c r="C39" s="50">
        <v>18</v>
      </c>
      <c r="D39" s="50">
        <v>6</v>
      </c>
      <c r="E39" s="50">
        <v>2</v>
      </c>
      <c r="F39" s="50">
        <v>5</v>
      </c>
      <c r="G39" s="50">
        <v>0</v>
      </c>
      <c r="H39" s="50">
        <v>1</v>
      </c>
      <c r="I39" s="50">
        <v>5</v>
      </c>
      <c r="J39" s="50">
        <v>1</v>
      </c>
      <c r="K39" s="50">
        <v>1</v>
      </c>
      <c r="L39" s="50">
        <v>1</v>
      </c>
      <c r="M39" s="50">
        <v>51</v>
      </c>
      <c r="N39" s="50">
        <v>0</v>
      </c>
      <c r="O39" s="15">
        <f t="shared" si="0"/>
        <v>40</v>
      </c>
      <c r="P39" s="15">
        <f t="shared" si="1"/>
        <v>91</v>
      </c>
      <c r="R39" s="29" t="s">
        <v>87</v>
      </c>
      <c r="S39" s="16">
        <f t="shared" ref="S39:AF39" si="31">SUM(S19:S21)</f>
        <v>191</v>
      </c>
      <c r="T39" s="16">
        <f t="shared" si="31"/>
        <v>57</v>
      </c>
      <c r="U39" s="16">
        <f t="shared" si="31"/>
        <v>32</v>
      </c>
      <c r="V39" s="16">
        <f t="shared" si="31"/>
        <v>251</v>
      </c>
      <c r="W39" s="16">
        <f t="shared" si="31"/>
        <v>12</v>
      </c>
      <c r="X39" s="16">
        <f t="shared" si="31"/>
        <v>17</v>
      </c>
      <c r="Y39" s="16">
        <f t="shared" si="31"/>
        <v>64</v>
      </c>
      <c r="Z39" s="16">
        <f t="shared" si="31"/>
        <v>12</v>
      </c>
      <c r="AA39" s="16">
        <f t="shared" si="31"/>
        <v>12</v>
      </c>
      <c r="AB39" s="16">
        <f t="shared" si="31"/>
        <v>8</v>
      </c>
      <c r="AC39" s="16">
        <f t="shared" si="31"/>
        <v>812</v>
      </c>
      <c r="AD39" s="16">
        <f t="shared" si="31"/>
        <v>0</v>
      </c>
      <c r="AE39" s="32">
        <f t="shared" si="31"/>
        <v>656</v>
      </c>
      <c r="AF39" s="32">
        <f t="shared" si="31"/>
        <v>1468</v>
      </c>
    </row>
    <row r="40" spans="2:32" ht="23.1" customHeight="1" x14ac:dyDescent="0.25">
      <c r="B40" s="46" t="s">
        <v>67</v>
      </c>
      <c r="C40" s="50">
        <v>18</v>
      </c>
      <c r="D40" s="50">
        <v>0</v>
      </c>
      <c r="E40" s="50">
        <v>2</v>
      </c>
      <c r="F40" s="50">
        <v>10</v>
      </c>
      <c r="G40" s="50">
        <v>0</v>
      </c>
      <c r="H40" s="50">
        <v>1</v>
      </c>
      <c r="I40" s="50">
        <v>7</v>
      </c>
      <c r="J40" s="50">
        <v>2</v>
      </c>
      <c r="K40" s="50">
        <v>0</v>
      </c>
      <c r="L40" s="50">
        <v>1</v>
      </c>
      <c r="M40" s="50">
        <v>53</v>
      </c>
      <c r="N40" s="50">
        <v>0</v>
      </c>
      <c r="O40" s="15">
        <f t="shared" si="0"/>
        <v>41</v>
      </c>
      <c r="P40" s="15">
        <f t="shared" si="1"/>
        <v>94</v>
      </c>
      <c r="R40" s="5" t="s">
        <v>17</v>
      </c>
      <c r="S40" s="16">
        <f t="shared" ref="S40:AF40" si="32">SUM(S10:S21)</f>
        <v>547</v>
      </c>
      <c r="T40" s="16">
        <f t="shared" si="32"/>
        <v>135</v>
      </c>
      <c r="U40" s="16">
        <f t="shared" si="32"/>
        <v>92</v>
      </c>
      <c r="V40" s="16">
        <f t="shared" si="32"/>
        <v>646</v>
      </c>
      <c r="W40" s="16">
        <f t="shared" si="32"/>
        <v>31</v>
      </c>
      <c r="X40" s="16">
        <f t="shared" si="32"/>
        <v>50</v>
      </c>
      <c r="Y40" s="16">
        <f t="shared" si="32"/>
        <v>247</v>
      </c>
      <c r="Z40" s="16">
        <f t="shared" si="32"/>
        <v>66</v>
      </c>
      <c r="AA40" s="16">
        <f t="shared" si="32"/>
        <v>34</v>
      </c>
      <c r="AB40" s="16">
        <f t="shared" si="32"/>
        <v>13</v>
      </c>
      <c r="AC40" s="16">
        <f t="shared" si="32"/>
        <v>3208</v>
      </c>
      <c r="AD40" s="16">
        <f t="shared" si="32"/>
        <v>0</v>
      </c>
      <c r="AE40" s="32">
        <f t="shared" si="32"/>
        <v>1861</v>
      </c>
      <c r="AF40" s="32">
        <f t="shared" si="32"/>
        <v>5069</v>
      </c>
    </row>
    <row r="41" spans="2:32" ht="23.1" customHeight="1" x14ac:dyDescent="0.25">
      <c r="B41" s="45" t="s">
        <v>68</v>
      </c>
      <c r="C41" s="50">
        <v>11</v>
      </c>
      <c r="D41" s="50">
        <v>0</v>
      </c>
      <c r="E41" s="50">
        <v>1</v>
      </c>
      <c r="F41" s="50">
        <v>5</v>
      </c>
      <c r="G41" s="50">
        <v>0</v>
      </c>
      <c r="H41" s="50">
        <v>0</v>
      </c>
      <c r="I41" s="50">
        <v>5</v>
      </c>
      <c r="J41" s="50">
        <v>0</v>
      </c>
      <c r="K41" s="50">
        <v>0</v>
      </c>
      <c r="L41" s="50">
        <v>0</v>
      </c>
      <c r="M41" s="50">
        <v>59</v>
      </c>
      <c r="N41" s="50">
        <v>0</v>
      </c>
      <c r="O41" s="15">
        <f t="shared" si="0"/>
        <v>22</v>
      </c>
      <c r="P41" s="15">
        <f t="shared" si="1"/>
        <v>81</v>
      </c>
      <c r="R41" s="5" t="s">
        <v>159</v>
      </c>
      <c r="S41" s="16">
        <f>SUM(S10:S33)</f>
        <v>1123</v>
      </c>
      <c r="T41" s="16">
        <f t="shared" ref="T41:AF41" si="33">SUM(T10:T33)</f>
        <v>201</v>
      </c>
      <c r="U41" s="16">
        <f t="shared" si="33"/>
        <v>120</v>
      </c>
      <c r="V41" s="16">
        <f t="shared" si="33"/>
        <v>1366</v>
      </c>
      <c r="W41" s="16">
        <f t="shared" si="33"/>
        <v>37</v>
      </c>
      <c r="X41" s="16">
        <f t="shared" si="33"/>
        <v>71</v>
      </c>
      <c r="Y41" s="16">
        <f t="shared" si="33"/>
        <v>311</v>
      </c>
      <c r="Z41" s="16">
        <f t="shared" si="33"/>
        <v>103</v>
      </c>
      <c r="AA41" s="16">
        <f t="shared" si="33"/>
        <v>50</v>
      </c>
      <c r="AB41" s="16">
        <f t="shared" si="33"/>
        <v>15</v>
      </c>
      <c r="AC41" s="16">
        <f t="shared" si="33"/>
        <v>5919</v>
      </c>
      <c r="AD41" s="16">
        <f t="shared" si="33"/>
        <v>0</v>
      </c>
      <c r="AE41" s="32">
        <f t="shared" si="33"/>
        <v>3397</v>
      </c>
      <c r="AF41" s="32">
        <f t="shared" si="33"/>
        <v>9316</v>
      </c>
    </row>
    <row r="42" spans="2:32" ht="23.1" customHeight="1" x14ac:dyDescent="0.25">
      <c r="B42" s="46" t="s">
        <v>69</v>
      </c>
      <c r="C42" s="50">
        <v>6</v>
      </c>
      <c r="D42" s="50">
        <v>4</v>
      </c>
      <c r="E42" s="50">
        <v>2</v>
      </c>
      <c r="F42" s="50">
        <v>14</v>
      </c>
      <c r="G42" s="50">
        <v>0</v>
      </c>
      <c r="H42" s="50">
        <v>2</v>
      </c>
      <c r="I42" s="50">
        <v>3</v>
      </c>
      <c r="J42" s="50">
        <v>2</v>
      </c>
      <c r="K42" s="50">
        <v>2</v>
      </c>
      <c r="L42" s="50">
        <v>0</v>
      </c>
      <c r="M42" s="50">
        <v>57</v>
      </c>
      <c r="N42" s="50">
        <v>0</v>
      </c>
      <c r="O42" s="15">
        <f t="shared" si="0"/>
        <v>35</v>
      </c>
      <c r="P42" s="15">
        <f t="shared" si="1"/>
        <v>92</v>
      </c>
      <c r="R42" s="5" t="s">
        <v>160</v>
      </c>
      <c r="S42" s="48">
        <f>S41/S40</f>
        <v>2.0530164533820843</v>
      </c>
      <c r="T42" s="48">
        <f t="shared" ref="T42:AF42" si="34">T41/T40</f>
        <v>1.4888888888888889</v>
      </c>
      <c r="U42" s="48">
        <f t="shared" si="34"/>
        <v>1.3043478260869565</v>
      </c>
      <c r="V42" s="48">
        <f t="shared" si="34"/>
        <v>2.1145510835913313</v>
      </c>
      <c r="W42" s="48">
        <f t="shared" si="34"/>
        <v>1.1935483870967742</v>
      </c>
      <c r="X42" s="48">
        <f t="shared" si="34"/>
        <v>1.42</v>
      </c>
      <c r="Y42" s="48">
        <f t="shared" si="34"/>
        <v>1.2591093117408907</v>
      </c>
      <c r="Z42" s="48">
        <f t="shared" si="34"/>
        <v>1.5606060606060606</v>
      </c>
      <c r="AA42" s="48">
        <f t="shared" si="34"/>
        <v>1.4705882352941178</v>
      </c>
      <c r="AB42" s="48">
        <f t="shared" si="34"/>
        <v>1.1538461538461537</v>
      </c>
      <c r="AC42" s="48">
        <f t="shared" si="34"/>
        <v>1.8450748129675811</v>
      </c>
      <c r="AD42" s="48" t="e">
        <f t="shared" si="34"/>
        <v>#DIV/0!</v>
      </c>
      <c r="AE42" s="48">
        <f t="shared" si="34"/>
        <v>1.8253627082213864</v>
      </c>
      <c r="AF42" s="48">
        <f t="shared" si="34"/>
        <v>1.8378378378378379</v>
      </c>
    </row>
    <row r="43" spans="2:32" ht="23.1" customHeight="1" x14ac:dyDescent="0.25">
      <c r="B43" s="45" t="s">
        <v>70</v>
      </c>
      <c r="C43" s="50">
        <v>5</v>
      </c>
      <c r="D43" s="50">
        <v>4</v>
      </c>
      <c r="E43" s="50">
        <v>1</v>
      </c>
      <c r="F43" s="50">
        <v>4</v>
      </c>
      <c r="G43" s="50">
        <v>0</v>
      </c>
      <c r="H43" s="50">
        <v>1</v>
      </c>
      <c r="I43" s="50">
        <v>3</v>
      </c>
      <c r="J43" s="50">
        <v>0</v>
      </c>
      <c r="K43" s="50">
        <v>1</v>
      </c>
      <c r="L43" s="50">
        <v>1</v>
      </c>
      <c r="M43" s="50">
        <v>58</v>
      </c>
      <c r="N43" s="50">
        <v>0</v>
      </c>
      <c r="O43" s="15">
        <f t="shared" si="0"/>
        <v>20</v>
      </c>
      <c r="P43" s="15">
        <f t="shared" si="1"/>
        <v>78</v>
      </c>
    </row>
    <row r="44" spans="2:32" ht="23.1" customHeight="1" x14ac:dyDescent="0.25">
      <c r="B44" s="47" t="s">
        <v>71</v>
      </c>
      <c r="C44" s="50">
        <v>18</v>
      </c>
      <c r="D44" s="50">
        <v>8</v>
      </c>
      <c r="E44" s="50">
        <v>2</v>
      </c>
      <c r="F44" s="50">
        <v>14</v>
      </c>
      <c r="G44" s="50">
        <v>0</v>
      </c>
      <c r="H44" s="50">
        <v>1</v>
      </c>
      <c r="I44" s="50">
        <v>10</v>
      </c>
      <c r="J44" s="50">
        <v>1</v>
      </c>
      <c r="K44" s="50">
        <v>0</v>
      </c>
      <c r="L44" s="50">
        <v>0</v>
      </c>
      <c r="M44" s="50">
        <v>68</v>
      </c>
      <c r="N44" s="50">
        <v>0</v>
      </c>
      <c r="O44" s="15">
        <f t="shared" si="0"/>
        <v>54</v>
      </c>
      <c r="P44" s="15">
        <f t="shared" si="1"/>
        <v>122</v>
      </c>
    </row>
    <row r="45" spans="2:32" ht="23.1" customHeight="1" x14ac:dyDescent="0.25">
      <c r="B45" s="45" t="s">
        <v>72</v>
      </c>
      <c r="C45" s="50">
        <v>8</v>
      </c>
      <c r="D45" s="50">
        <v>4</v>
      </c>
      <c r="E45" s="50">
        <v>1</v>
      </c>
      <c r="F45" s="50">
        <v>2</v>
      </c>
      <c r="G45" s="50">
        <v>1</v>
      </c>
      <c r="H45" s="50">
        <v>1</v>
      </c>
      <c r="I45" s="50">
        <v>6</v>
      </c>
      <c r="J45" s="50">
        <v>0</v>
      </c>
      <c r="K45" s="50">
        <v>1</v>
      </c>
      <c r="L45" s="50">
        <v>0</v>
      </c>
      <c r="M45" s="50">
        <v>57</v>
      </c>
      <c r="N45" s="50">
        <v>0</v>
      </c>
      <c r="O45" s="15">
        <f t="shared" si="0"/>
        <v>24</v>
      </c>
      <c r="P45" s="15">
        <f t="shared" si="1"/>
        <v>81</v>
      </c>
    </row>
    <row r="46" spans="2:32" ht="23.1" customHeight="1" x14ac:dyDescent="0.25">
      <c r="B46" s="46" t="s">
        <v>73</v>
      </c>
      <c r="C46" s="50">
        <v>11</v>
      </c>
      <c r="D46" s="50">
        <v>1</v>
      </c>
      <c r="E46" s="50">
        <v>0</v>
      </c>
      <c r="F46" s="50">
        <v>4</v>
      </c>
      <c r="G46" s="50">
        <v>0</v>
      </c>
      <c r="H46" s="50">
        <v>2</v>
      </c>
      <c r="I46" s="50">
        <v>2</v>
      </c>
      <c r="J46" s="50">
        <v>1</v>
      </c>
      <c r="K46" s="50">
        <v>1</v>
      </c>
      <c r="L46" s="50">
        <v>0</v>
      </c>
      <c r="M46" s="50">
        <v>42</v>
      </c>
      <c r="N46" s="50">
        <v>0</v>
      </c>
      <c r="O46" s="15">
        <f t="shared" si="0"/>
        <v>22</v>
      </c>
      <c r="P46" s="15">
        <f t="shared" si="1"/>
        <v>64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2</v>
      </c>
      <c r="E47" s="50">
        <v>1</v>
      </c>
      <c r="F47" s="50">
        <v>3</v>
      </c>
      <c r="G47" s="50">
        <v>1</v>
      </c>
      <c r="H47" s="50">
        <v>1</v>
      </c>
      <c r="I47" s="50">
        <v>0</v>
      </c>
      <c r="J47" s="50">
        <v>3</v>
      </c>
      <c r="K47" s="50">
        <v>0</v>
      </c>
      <c r="L47" s="50">
        <v>1</v>
      </c>
      <c r="M47" s="50">
        <v>41</v>
      </c>
      <c r="N47" s="50">
        <v>0</v>
      </c>
      <c r="O47" s="15">
        <f t="shared" si="0"/>
        <v>15</v>
      </c>
      <c r="P47" s="15">
        <f t="shared" si="1"/>
        <v>56</v>
      </c>
      <c r="R47" s="8"/>
      <c r="T47"/>
    </row>
    <row r="48" spans="2:32" ht="23.1" customHeight="1" x14ac:dyDescent="0.25">
      <c r="B48" s="46" t="s">
        <v>75</v>
      </c>
      <c r="C48" s="50">
        <v>19</v>
      </c>
      <c r="D48" s="50">
        <v>10</v>
      </c>
      <c r="E48" s="50">
        <v>5</v>
      </c>
      <c r="F48" s="50">
        <v>20</v>
      </c>
      <c r="G48" s="50">
        <v>0</v>
      </c>
      <c r="H48" s="50">
        <v>2</v>
      </c>
      <c r="I48" s="50">
        <v>2</v>
      </c>
      <c r="J48" s="50">
        <v>1</v>
      </c>
      <c r="K48" s="50">
        <v>0</v>
      </c>
      <c r="L48" s="50">
        <v>0</v>
      </c>
      <c r="M48" s="50">
        <v>49</v>
      </c>
      <c r="N48" s="50">
        <v>0</v>
      </c>
      <c r="O48" s="15">
        <f t="shared" si="0"/>
        <v>59</v>
      </c>
      <c r="P48" s="15">
        <f t="shared" si="1"/>
        <v>108</v>
      </c>
      <c r="R48" s="8"/>
      <c r="T48"/>
    </row>
    <row r="49" spans="2:20" ht="23.1" customHeight="1" x14ac:dyDescent="0.25">
      <c r="B49" s="45" t="s">
        <v>76</v>
      </c>
      <c r="C49" s="50">
        <v>12</v>
      </c>
      <c r="D49" s="50">
        <v>5</v>
      </c>
      <c r="E49" s="50">
        <v>1</v>
      </c>
      <c r="F49" s="50">
        <v>16</v>
      </c>
      <c r="G49" s="50">
        <v>1</v>
      </c>
      <c r="H49" s="50">
        <v>1</v>
      </c>
      <c r="I49" s="50">
        <v>5</v>
      </c>
      <c r="J49" s="50">
        <v>0</v>
      </c>
      <c r="K49" s="50">
        <v>0</v>
      </c>
      <c r="L49" s="50">
        <v>0</v>
      </c>
      <c r="M49" s="50">
        <v>61</v>
      </c>
      <c r="N49" s="50">
        <v>0</v>
      </c>
      <c r="O49" s="15">
        <f t="shared" si="0"/>
        <v>41</v>
      </c>
      <c r="P49" s="15">
        <f t="shared" si="1"/>
        <v>102</v>
      </c>
      <c r="R49" s="8"/>
      <c r="T49"/>
    </row>
    <row r="50" spans="2:20" ht="23.1" customHeight="1" x14ac:dyDescent="0.25">
      <c r="B50" s="46" t="s">
        <v>77</v>
      </c>
      <c r="C50" s="50">
        <v>20</v>
      </c>
      <c r="D50" s="50">
        <v>8</v>
      </c>
      <c r="E50" s="50">
        <v>2</v>
      </c>
      <c r="F50" s="50">
        <v>19</v>
      </c>
      <c r="G50" s="50">
        <v>2</v>
      </c>
      <c r="H50" s="50">
        <v>2</v>
      </c>
      <c r="I50" s="50">
        <v>4</v>
      </c>
      <c r="J50" s="50">
        <v>0</v>
      </c>
      <c r="K50" s="50">
        <v>2</v>
      </c>
      <c r="L50" s="50">
        <v>0</v>
      </c>
      <c r="M50" s="50">
        <v>60</v>
      </c>
      <c r="N50" s="50">
        <v>0</v>
      </c>
      <c r="O50" s="15">
        <f t="shared" si="0"/>
        <v>59</v>
      </c>
      <c r="P50" s="15">
        <f t="shared" si="1"/>
        <v>119</v>
      </c>
      <c r="R50" s="8"/>
      <c r="T50"/>
    </row>
    <row r="51" spans="2:20" ht="23.1" customHeight="1" x14ac:dyDescent="0.25">
      <c r="B51" s="46" t="s">
        <v>78</v>
      </c>
      <c r="C51" s="50">
        <v>17</v>
      </c>
      <c r="D51" s="50">
        <v>13</v>
      </c>
      <c r="E51" s="50">
        <v>2</v>
      </c>
      <c r="F51" s="50">
        <v>23</v>
      </c>
      <c r="G51" s="50">
        <v>1</v>
      </c>
      <c r="H51" s="50">
        <v>2</v>
      </c>
      <c r="I51" s="50">
        <v>16</v>
      </c>
      <c r="J51" s="50">
        <v>0</v>
      </c>
      <c r="K51" s="50">
        <v>1</v>
      </c>
      <c r="L51" s="50">
        <v>0</v>
      </c>
      <c r="M51" s="50">
        <v>50</v>
      </c>
      <c r="N51" s="50">
        <v>0</v>
      </c>
      <c r="O51" s="15">
        <f t="shared" si="0"/>
        <v>75</v>
      </c>
      <c r="P51" s="15">
        <f t="shared" si="1"/>
        <v>125</v>
      </c>
      <c r="R51" s="8"/>
      <c r="T51"/>
    </row>
    <row r="52" spans="2:20" ht="23.1" customHeight="1" x14ac:dyDescent="0.25">
      <c r="B52" s="46" t="s">
        <v>79</v>
      </c>
      <c r="C52" s="50">
        <v>26</v>
      </c>
      <c r="D52" s="50">
        <v>7</v>
      </c>
      <c r="E52" s="50">
        <v>1</v>
      </c>
      <c r="F52" s="50">
        <v>24</v>
      </c>
      <c r="G52" s="50">
        <v>0</v>
      </c>
      <c r="H52" s="50">
        <v>1</v>
      </c>
      <c r="I52" s="50">
        <v>10</v>
      </c>
      <c r="J52" s="50">
        <v>0</v>
      </c>
      <c r="K52" s="50">
        <v>0</v>
      </c>
      <c r="L52" s="50">
        <v>1</v>
      </c>
      <c r="M52" s="50">
        <v>46</v>
      </c>
      <c r="N52" s="50">
        <v>0</v>
      </c>
      <c r="O52" s="15">
        <f t="shared" si="0"/>
        <v>70</v>
      </c>
      <c r="P52" s="15">
        <f t="shared" si="1"/>
        <v>116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0</v>
      </c>
      <c r="E53" s="50">
        <v>2</v>
      </c>
      <c r="F53" s="50">
        <v>11</v>
      </c>
      <c r="G53" s="50">
        <v>2</v>
      </c>
      <c r="H53" s="50">
        <v>1</v>
      </c>
      <c r="I53" s="50">
        <v>8</v>
      </c>
      <c r="J53" s="50">
        <v>2</v>
      </c>
      <c r="K53" s="50">
        <v>0</v>
      </c>
      <c r="L53" s="50">
        <v>0</v>
      </c>
      <c r="M53" s="50">
        <v>44</v>
      </c>
      <c r="N53" s="50">
        <v>0</v>
      </c>
      <c r="O53" s="15">
        <f t="shared" si="0"/>
        <v>42</v>
      </c>
      <c r="P53" s="15">
        <f t="shared" si="1"/>
        <v>86</v>
      </c>
      <c r="R53" s="8"/>
      <c r="T53"/>
    </row>
    <row r="54" spans="2:20" ht="23.1" customHeight="1" x14ac:dyDescent="0.25">
      <c r="B54" s="45" t="s">
        <v>81</v>
      </c>
      <c r="C54" s="50">
        <v>10</v>
      </c>
      <c r="D54" s="50">
        <v>5</v>
      </c>
      <c r="E54" s="50">
        <v>4</v>
      </c>
      <c r="F54" s="50">
        <v>25</v>
      </c>
      <c r="G54" s="50">
        <v>0</v>
      </c>
      <c r="H54" s="50">
        <v>1</v>
      </c>
      <c r="I54" s="50">
        <v>4</v>
      </c>
      <c r="J54" s="50">
        <v>1</v>
      </c>
      <c r="K54" s="50">
        <v>2</v>
      </c>
      <c r="L54" s="50">
        <v>1</v>
      </c>
      <c r="M54" s="50">
        <v>102</v>
      </c>
      <c r="N54" s="50">
        <v>0</v>
      </c>
      <c r="O54" s="15">
        <f t="shared" si="0"/>
        <v>53</v>
      </c>
      <c r="P54" s="15">
        <f t="shared" si="1"/>
        <v>155</v>
      </c>
      <c r="R54" s="8"/>
      <c r="T54"/>
    </row>
    <row r="55" spans="2:20" ht="23.1" customHeight="1" x14ac:dyDescent="0.25">
      <c r="B55" s="45" t="s">
        <v>82</v>
      </c>
      <c r="C55" s="50">
        <v>14</v>
      </c>
      <c r="D55" s="50">
        <v>3</v>
      </c>
      <c r="E55" s="50">
        <v>6</v>
      </c>
      <c r="F55" s="50">
        <v>33</v>
      </c>
      <c r="G55" s="50">
        <v>1</v>
      </c>
      <c r="H55" s="50">
        <v>2</v>
      </c>
      <c r="I55" s="50">
        <v>7</v>
      </c>
      <c r="J55" s="50">
        <v>0</v>
      </c>
      <c r="K55" s="50">
        <v>3</v>
      </c>
      <c r="L55" s="50">
        <v>2</v>
      </c>
      <c r="M55" s="50">
        <v>111</v>
      </c>
      <c r="N55" s="50">
        <v>0</v>
      </c>
      <c r="O55" s="15">
        <f t="shared" si="0"/>
        <v>71</v>
      </c>
      <c r="P55" s="15">
        <f t="shared" si="1"/>
        <v>182</v>
      </c>
      <c r="R55" s="8"/>
      <c r="T55"/>
    </row>
    <row r="56" spans="2:20" ht="23.1" customHeight="1" x14ac:dyDescent="0.25">
      <c r="B56" s="45" t="s">
        <v>83</v>
      </c>
      <c r="C56" s="50">
        <v>24</v>
      </c>
      <c r="D56" s="50">
        <v>1</v>
      </c>
      <c r="E56" s="50">
        <v>5</v>
      </c>
      <c r="F56" s="50">
        <v>39</v>
      </c>
      <c r="G56" s="50">
        <v>3</v>
      </c>
      <c r="H56" s="50">
        <v>1</v>
      </c>
      <c r="I56" s="50">
        <v>4</v>
      </c>
      <c r="J56" s="50">
        <v>1</v>
      </c>
      <c r="K56" s="50">
        <v>2</v>
      </c>
      <c r="L56" s="50">
        <v>2</v>
      </c>
      <c r="M56" s="50">
        <v>103</v>
      </c>
      <c r="N56" s="50">
        <v>0</v>
      </c>
      <c r="O56" s="15">
        <f t="shared" si="0"/>
        <v>82</v>
      </c>
      <c r="P56" s="15">
        <f t="shared" si="1"/>
        <v>185</v>
      </c>
      <c r="R56" s="8"/>
      <c r="T56"/>
    </row>
    <row r="57" spans="2:20" ht="23.1" customHeight="1" x14ac:dyDescent="0.25">
      <c r="B57" s="45" t="s">
        <v>84</v>
      </c>
      <c r="C57" s="50">
        <v>19</v>
      </c>
      <c r="D57" s="50">
        <v>2</v>
      </c>
      <c r="E57" s="50">
        <v>3</v>
      </c>
      <c r="F57" s="50">
        <v>34</v>
      </c>
      <c r="G57" s="50">
        <v>1</v>
      </c>
      <c r="H57" s="50">
        <v>1</v>
      </c>
      <c r="I57" s="50">
        <v>2</v>
      </c>
      <c r="J57" s="50">
        <v>3</v>
      </c>
      <c r="K57" s="50">
        <v>1</v>
      </c>
      <c r="L57" s="50">
        <v>1</v>
      </c>
      <c r="M57" s="50">
        <v>103</v>
      </c>
      <c r="N57" s="50">
        <v>0</v>
      </c>
      <c r="O57" s="15">
        <f t="shared" si="0"/>
        <v>67</v>
      </c>
      <c r="P57" s="15">
        <f t="shared" si="1"/>
        <v>170</v>
      </c>
      <c r="R57" s="8"/>
      <c r="T57"/>
    </row>
    <row r="58" spans="2:20" ht="23.1" customHeight="1" x14ac:dyDescent="0.25">
      <c r="B58" s="45" t="s">
        <v>99</v>
      </c>
      <c r="C58" s="50">
        <v>33</v>
      </c>
      <c r="D58" s="50">
        <v>3</v>
      </c>
      <c r="E58" s="50">
        <v>2</v>
      </c>
      <c r="F58" s="50">
        <v>49</v>
      </c>
      <c r="G58" s="50">
        <v>2</v>
      </c>
      <c r="H58" s="50">
        <v>0</v>
      </c>
      <c r="I58" s="50">
        <v>6</v>
      </c>
      <c r="J58" s="50">
        <v>4</v>
      </c>
      <c r="K58" s="50">
        <v>0</v>
      </c>
      <c r="L58" s="50">
        <v>0</v>
      </c>
      <c r="M58" s="50">
        <v>99</v>
      </c>
      <c r="N58" s="50">
        <v>0</v>
      </c>
      <c r="O58" s="15">
        <f t="shared" si="0"/>
        <v>99</v>
      </c>
      <c r="P58" s="15">
        <f t="shared" si="1"/>
        <v>198</v>
      </c>
      <c r="R58" s="8"/>
      <c r="T58"/>
    </row>
    <row r="59" spans="2:20" ht="23.1" customHeight="1" x14ac:dyDescent="0.25">
      <c r="B59" s="45" t="s">
        <v>100</v>
      </c>
      <c r="C59" s="50">
        <v>33</v>
      </c>
      <c r="D59" s="50">
        <v>8</v>
      </c>
      <c r="E59" s="50">
        <v>3</v>
      </c>
      <c r="F59" s="50">
        <v>43</v>
      </c>
      <c r="G59" s="50">
        <v>1</v>
      </c>
      <c r="H59" s="50">
        <v>0</v>
      </c>
      <c r="I59" s="50">
        <v>8</v>
      </c>
      <c r="J59" s="50">
        <v>1</v>
      </c>
      <c r="K59" s="50">
        <v>0</v>
      </c>
      <c r="L59" s="50">
        <v>0</v>
      </c>
      <c r="M59" s="50">
        <v>84</v>
      </c>
      <c r="N59" s="50">
        <v>0</v>
      </c>
      <c r="O59" s="15">
        <f t="shared" si="0"/>
        <v>97</v>
      </c>
      <c r="P59" s="15">
        <f t="shared" si="1"/>
        <v>181</v>
      </c>
      <c r="R59" s="8"/>
      <c r="T59"/>
    </row>
    <row r="60" spans="2:20" ht="23.1" customHeight="1" x14ac:dyDescent="0.25">
      <c r="B60" s="45" t="s">
        <v>101</v>
      </c>
      <c r="C60" s="50">
        <v>24</v>
      </c>
      <c r="D60" s="50">
        <v>9</v>
      </c>
      <c r="E60" s="50">
        <v>1</v>
      </c>
      <c r="F60" s="50">
        <v>57</v>
      </c>
      <c r="G60" s="50">
        <v>0</v>
      </c>
      <c r="H60" s="50">
        <v>2</v>
      </c>
      <c r="I60" s="50">
        <v>3</v>
      </c>
      <c r="J60" s="50">
        <v>2</v>
      </c>
      <c r="K60" s="50">
        <v>2</v>
      </c>
      <c r="L60" s="50">
        <v>0</v>
      </c>
      <c r="M60" s="50">
        <v>155</v>
      </c>
      <c r="N60" s="50">
        <v>0</v>
      </c>
      <c r="O60" s="15">
        <f t="shared" si="0"/>
        <v>100</v>
      </c>
      <c r="P60" s="15">
        <f t="shared" si="1"/>
        <v>255</v>
      </c>
      <c r="R60" s="8"/>
      <c r="T60"/>
    </row>
    <row r="61" spans="2:20" ht="23.1" customHeight="1" x14ac:dyDescent="0.25">
      <c r="B61" s="45" t="s">
        <v>102</v>
      </c>
      <c r="C61" s="50">
        <v>19</v>
      </c>
      <c r="D61" s="50">
        <v>4</v>
      </c>
      <c r="E61" s="50">
        <v>3</v>
      </c>
      <c r="F61" s="50">
        <v>54</v>
      </c>
      <c r="G61" s="50">
        <v>0</v>
      </c>
      <c r="H61" s="50">
        <v>0</v>
      </c>
      <c r="I61" s="50">
        <v>2</v>
      </c>
      <c r="J61" s="50">
        <v>1</v>
      </c>
      <c r="K61" s="50">
        <v>2</v>
      </c>
      <c r="L61" s="50">
        <v>0</v>
      </c>
      <c r="M61" s="50">
        <v>181</v>
      </c>
      <c r="N61" s="50">
        <v>0</v>
      </c>
      <c r="O61" s="15">
        <f t="shared" si="0"/>
        <v>85</v>
      </c>
      <c r="P61" s="15">
        <f t="shared" si="1"/>
        <v>266</v>
      </c>
      <c r="R61" s="8"/>
      <c r="T61"/>
    </row>
    <row r="62" spans="2:20" ht="23.1" customHeight="1" x14ac:dyDescent="0.25">
      <c r="B62" s="45" t="s">
        <v>107</v>
      </c>
      <c r="C62" s="50">
        <v>20</v>
      </c>
      <c r="D62" s="50">
        <v>2</v>
      </c>
      <c r="E62" s="50">
        <v>1</v>
      </c>
      <c r="F62" s="50">
        <v>39</v>
      </c>
      <c r="G62" s="50">
        <v>0</v>
      </c>
      <c r="H62" s="50">
        <v>2</v>
      </c>
      <c r="I62" s="50">
        <v>3</v>
      </c>
      <c r="J62" s="50">
        <v>0</v>
      </c>
      <c r="K62" s="50">
        <v>0</v>
      </c>
      <c r="L62" s="50">
        <v>0</v>
      </c>
      <c r="M62" s="50">
        <v>143</v>
      </c>
      <c r="N62" s="50">
        <v>0</v>
      </c>
      <c r="O62" s="15">
        <f t="shared" si="0"/>
        <v>67</v>
      </c>
      <c r="P62" s="15">
        <f t="shared" si="1"/>
        <v>210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4</v>
      </c>
      <c r="E63" s="50">
        <v>0</v>
      </c>
      <c r="F63" s="50">
        <v>34</v>
      </c>
      <c r="G63" s="50">
        <v>0</v>
      </c>
      <c r="H63" s="50">
        <v>1</v>
      </c>
      <c r="I63" s="50">
        <v>1</v>
      </c>
      <c r="J63" s="50">
        <v>0</v>
      </c>
      <c r="K63" s="50">
        <v>0</v>
      </c>
      <c r="L63" s="50">
        <v>0</v>
      </c>
      <c r="M63" s="50">
        <v>104</v>
      </c>
      <c r="N63" s="50">
        <v>0</v>
      </c>
      <c r="O63" s="15">
        <f t="shared" si="0"/>
        <v>56</v>
      </c>
      <c r="P63" s="15">
        <f t="shared" si="1"/>
        <v>160</v>
      </c>
      <c r="R63" s="8"/>
      <c r="T63"/>
    </row>
    <row r="64" spans="2:20" ht="23.1" customHeight="1" x14ac:dyDescent="0.25">
      <c r="B64" s="45" t="s">
        <v>109</v>
      </c>
      <c r="C64" s="50">
        <v>23</v>
      </c>
      <c r="D64" s="50">
        <v>0</v>
      </c>
      <c r="E64" s="50">
        <v>0</v>
      </c>
      <c r="F64" s="50">
        <v>48</v>
      </c>
      <c r="G64" s="50">
        <v>0</v>
      </c>
      <c r="H64" s="50">
        <v>2</v>
      </c>
      <c r="I64" s="50">
        <v>3</v>
      </c>
      <c r="J64" s="50">
        <v>0</v>
      </c>
      <c r="K64" s="50">
        <v>0</v>
      </c>
      <c r="L64" s="50">
        <v>0</v>
      </c>
      <c r="M64" s="50">
        <v>118</v>
      </c>
      <c r="N64" s="50">
        <v>0</v>
      </c>
      <c r="O64" s="15">
        <f t="shared" si="0"/>
        <v>76</v>
      </c>
      <c r="P64" s="15">
        <f t="shared" si="1"/>
        <v>194</v>
      </c>
      <c r="R64" s="8"/>
      <c r="T64"/>
    </row>
    <row r="65" spans="2:20" ht="23.1" customHeight="1" x14ac:dyDescent="0.25">
      <c r="B65" s="45" t="s">
        <v>158</v>
      </c>
      <c r="C65" s="50">
        <v>29</v>
      </c>
      <c r="D65" s="50">
        <v>2</v>
      </c>
      <c r="E65" s="50">
        <v>0</v>
      </c>
      <c r="F65" s="50">
        <v>23</v>
      </c>
      <c r="G65" s="50">
        <v>0</v>
      </c>
      <c r="H65" s="50">
        <v>3</v>
      </c>
      <c r="I65" s="50">
        <v>0</v>
      </c>
      <c r="J65" s="50">
        <v>0</v>
      </c>
      <c r="K65" s="50">
        <v>0</v>
      </c>
      <c r="L65" s="50">
        <v>0</v>
      </c>
      <c r="M65" s="50">
        <v>123</v>
      </c>
      <c r="N65" s="50">
        <v>0</v>
      </c>
      <c r="O65" s="15">
        <f t="shared" si="0"/>
        <v>57</v>
      </c>
      <c r="P65" s="15">
        <f t="shared" si="1"/>
        <v>180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0</v>
      </c>
      <c r="E66" s="50">
        <v>0</v>
      </c>
      <c r="F66" s="50">
        <v>34</v>
      </c>
      <c r="G66" s="50">
        <v>0</v>
      </c>
      <c r="H66" s="50">
        <v>1</v>
      </c>
      <c r="I66" s="50">
        <v>3</v>
      </c>
      <c r="J66" s="50">
        <v>1</v>
      </c>
      <c r="K66" s="50">
        <v>0</v>
      </c>
      <c r="L66" s="50">
        <v>0</v>
      </c>
      <c r="M66" s="50">
        <v>82</v>
      </c>
      <c r="N66" s="50">
        <v>0</v>
      </c>
      <c r="O66" s="15">
        <f t="shared" si="0"/>
        <v>42</v>
      </c>
      <c r="P66" s="15">
        <f t="shared" si="1"/>
        <v>124</v>
      </c>
      <c r="R66" s="8"/>
      <c r="T66"/>
    </row>
    <row r="67" spans="2:20" ht="23.1" customHeight="1" x14ac:dyDescent="0.25">
      <c r="B67" s="45" t="s">
        <v>104</v>
      </c>
      <c r="C67" s="50">
        <v>30</v>
      </c>
      <c r="D67" s="50">
        <v>1</v>
      </c>
      <c r="E67" s="50">
        <v>0</v>
      </c>
      <c r="F67" s="50">
        <v>49</v>
      </c>
      <c r="G67" s="50">
        <v>0</v>
      </c>
      <c r="H67" s="50">
        <v>2</v>
      </c>
      <c r="I67" s="50">
        <v>2</v>
      </c>
      <c r="J67" s="50">
        <v>1</v>
      </c>
      <c r="K67" s="50">
        <v>1</v>
      </c>
      <c r="L67" s="50">
        <v>0</v>
      </c>
      <c r="M67" s="50">
        <v>48</v>
      </c>
      <c r="N67" s="50">
        <v>0</v>
      </c>
      <c r="O67" s="15">
        <f t="shared" si="0"/>
        <v>86</v>
      </c>
      <c r="P67" s="15">
        <f t="shared" si="1"/>
        <v>134</v>
      </c>
      <c r="R67" s="8"/>
      <c r="T67"/>
    </row>
    <row r="68" spans="2:20" ht="23.1" customHeight="1" x14ac:dyDescent="0.25">
      <c r="B68" s="45" t="s">
        <v>105</v>
      </c>
      <c r="C68" s="50">
        <v>39</v>
      </c>
      <c r="D68" s="50">
        <v>3</v>
      </c>
      <c r="E68" s="50">
        <v>1</v>
      </c>
      <c r="F68" s="50">
        <v>59</v>
      </c>
      <c r="G68" s="50">
        <v>0</v>
      </c>
      <c r="H68" s="50">
        <v>4</v>
      </c>
      <c r="I68" s="50">
        <v>2</v>
      </c>
      <c r="J68" s="50">
        <v>1</v>
      </c>
      <c r="K68" s="50">
        <v>1</v>
      </c>
      <c r="L68" s="50">
        <v>0</v>
      </c>
      <c r="M68" s="50">
        <v>54</v>
      </c>
      <c r="N68" s="50">
        <v>0</v>
      </c>
      <c r="O68" s="15">
        <f t="shared" si="0"/>
        <v>110</v>
      </c>
      <c r="P68" s="15">
        <f t="shared" si="1"/>
        <v>164</v>
      </c>
      <c r="R68" s="8"/>
      <c r="T68"/>
    </row>
    <row r="69" spans="2:20" ht="23.1" customHeight="1" x14ac:dyDescent="0.25">
      <c r="B69" s="45" t="s">
        <v>106</v>
      </c>
      <c r="C69" s="50">
        <v>38</v>
      </c>
      <c r="D69" s="50">
        <v>1</v>
      </c>
      <c r="E69" s="50">
        <v>0</v>
      </c>
      <c r="F69" s="50">
        <v>41</v>
      </c>
      <c r="G69" s="50">
        <v>0</v>
      </c>
      <c r="H69" s="50">
        <v>0</v>
      </c>
      <c r="I69" s="50">
        <v>4</v>
      </c>
      <c r="J69" s="50">
        <v>1</v>
      </c>
      <c r="K69" s="50">
        <v>3</v>
      </c>
      <c r="L69" s="50">
        <v>0</v>
      </c>
      <c r="M69" s="50">
        <v>71</v>
      </c>
      <c r="N69" s="50">
        <v>0</v>
      </c>
      <c r="O69" s="15">
        <f t="shared" si="0"/>
        <v>88</v>
      </c>
      <c r="P69" s="15">
        <f t="shared" si="1"/>
        <v>159</v>
      </c>
      <c r="R69" s="8"/>
      <c r="T69"/>
    </row>
    <row r="70" spans="2:20" ht="23.1" customHeight="1" x14ac:dyDescent="0.25">
      <c r="B70" s="45" t="s">
        <v>110</v>
      </c>
      <c r="C70" s="50">
        <v>18</v>
      </c>
      <c r="D70" s="50">
        <v>4</v>
      </c>
      <c r="E70" s="50">
        <v>7</v>
      </c>
      <c r="F70" s="50">
        <v>24</v>
      </c>
      <c r="G70" s="50">
        <v>2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68</v>
      </c>
      <c r="N70" s="50">
        <v>0</v>
      </c>
      <c r="O70" s="15">
        <f t="shared" si="0"/>
        <v>55</v>
      </c>
      <c r="P70" s="15">
        <f t="shared" si="1"/>
        <v>123</v>
      </c>
      <c r="R70" s="8"/>
      <c r="T70"/>
    </row>
    <row r="71" spans="2:20" ht="23.1" customHeight="1" x14ac:dyDescent="0.25">
      <c r="B71" s="45" t="s">
        <v>111</v>
      </c>
      <c r="C71" s="50">
        <v>31</v>
      </c>
      <c r="D71" s="50">
        <v>1</v>
      </c>
      <c r="E71" s="50">
        <v>2</v>
      </c>
      <c r="F71" s="50">
        <v>39</v>
      </c>
      <c r="G71" s="50">
        <v>0</v>
      </c>
      <c r="H71" s="50">
        <v>1</v>
      </c>
      <c r="I71" s="50">
        <v>1</v>
      </c>
      <c r="J71" s="50">
        <v>0</v>
      </c>
      <c r="K71" s="50">
        <v>0</v>
      </c>
      <c r="L71" s="50">
        <v>0</v>
      </c>
      <c r="M71" s="50">
        <v>74</v>
      </c>
      <c r="N71" s="50">
        <v>0</v>
      </c>
      <c r="O71" s="15">
        <f t="shared" si="0"/>
        <v>75</v>
      </c>
      <c r="P71" s="15">
        <f t="shared" si="1"/>
        <v>149</v>
      </c>
      <c r="R71" s="8"/>
      <c r="T71"/>
    </row>
    <row r="72" spans="2:20" ht="23.1" customHeight="1" x14ac:dyDescent="0.25">
      <c r="B72" s="45" t="s">
        <v>112</v>
      </c>
      <c r="C72" s="50">
        <v>14</v>
      </c>
      <c r="D72" s="50">
        <v>0</v>
      </c>
      <c r="E72" s="50">
        <v>0</v>
      </c>
      <c r="F72" s="50">
        <v>20</v>
      </c>
      <c r="G72" s="50">
        <v>0</v>
      </c>
      <c r="H72" s="50">
        <v>3</v>
      </c>
      <c r="I72" s="50">
        <v>3</v>
      </c>
      <c r="J72" s="50">
        <v>2</v>
      </c>
      <c r="K72" s="50">
        <v>0</v>
      </c>
      <c r="L72" s="50">
        <v>0</v>
      </c>
      <c r="M72" s="50">
        <v>78</v>
      </c>
      <c r="N72" s="50">
        <v>0</v>
      </c>
      <c r="O72" s="15">
        <f t="shared" si="0"/>
        <v>42</v>
      </c>
      <c r="P72" s="15">
        <f t="shared" si="1"/>
        <v>120</v>
      </c>
      <c r="R72" s="8"/>
      <c r="T72"/>
    </row>
    <row r="73" spans="2:20" ht="23.1" customHeight="1" x14ac:dyDescent="0.25">
      <c r="B73" s="45" t="s">
        <v>113</v>
      </c>
      <c r="C73" s="50">
        <v>8</v>
      </c>
      <c r="D73" s="50">
        <v>1</v>
      </c>
      <c r="E73" s="50">
        <v>0</v>
      </c>
      <c r="F73" s="50">
        <v>24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82</v>
      </c>
      <c r="N73" s="50">
        <v>0</v>
      </c>
      <c r="O73" s="15">
        <f t="shared" si="0"/>
        <v>34</v>
      </c>
      <c r="P73" s="15">
        <f t="shared" si="1"/>
        <v>116</v>
      </c>
      <c r="R73" s="8"/>
      <c r="T73"/>
    </row>
    <row r="74" spans="2:20" ht="23.1" customHeight="1" x14ac:dyDescent="0.25">
      <c r="B74" s="45" t="s">
        <v>114</v>
      </c>
      <c r="C74" s="50">
        <v>27</v>
      </c>
      <c r="D74" s="50">
        <v>6</v>
      </c>
      <c r="E74" s="50">
        <v>0</v>
      </c>
      <c r="F74" s="50">
        <v>14</v>
      </c>
      <c r="G74" s="50">
        <v>0</v>
      </c>
      <c r="H74" s="50">
        <v>0</v>
      </c>
      <c r="I74" s="50">
        <v>3</v>
      </c>
      <c r="J74" s="50">
        <v>0</v>
      </c>
      <c r="K74" s="50">
        <v>0</v>
      </c>
      <c r="L74" s="50">
        <v>0</v>
      </c>
      <c r="M74" s="50">
        <v>74</v>
      </c>
      <c r="N74" s="50">
        <v>0</v>
      </c>
      <c r="O74" s="15">
        <f t="shared" ref="O74:O105" si="35">SUM(C74:L74,N74)</f>
        <v>50</v>
      </c>
      <c r="P74" s="15">
        <f t="shared" ref="P74:P105" si="36">SUM(C74:N74)</f>
        <v>124</v>
      </c>
      <c r="R74" s="8"/>
      <c r="T74"/>
    </row>
    <row r="75" spans="2:20" ht="23.1" customHeight="1" x14ac:dyDescent="0.25">
      <c r="B75" s="45" t="s">
        <v>115</v>
      </c>
      <c r="C75" s="50">
        <v>30</v>
      </c>
      <c r="D75" s="50">
        <v>3</v>
      </c>
      <c r="E75" s="50">
        <v>0</v>
      </c>
      <c r="F75" s="50">
        <v>9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53</v>
      </c>
      <c r="N75" s="50">
        <v>0</v>
      </c>
      <c r="O75" s="15">
        <f t="shared" si="35"/>
        <v>42</v>
      </c>
      <c r="P75" s="15">
        <f t="shared" si="36"/>
        <v>95</v>
      </c>
      <c r="R75" s="8"/>
      <c r="T75"/>
    </row>
    <row r="76" spans="2:20" ht="23.1" customHeight="1" x14ac:dyDescent="0.25">
      <c r="B76" s="45" t="s">
        <v>116</v>
      </c>
      <c r="C76" s="50">
        <v>23</v>
      </c>
      <c r="D76" s="50">
        <v>1</v>
      </c>
      <c r="E76" s="50">
        <v>1</v>
      </c>
      <c r="F76" s="50">
        <v>7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1</v>
      </c>
      <c r="M76" s="50">
        <v>78</v>
      </c>
      <c r="N76" s="50">
        <v>0</v>
      </c>
      <c r="O76" s="15">
        <f t="shared" si="35"/>
        <v>33</v>
      </c>
      <c r="P76" s="15">
        <f t="shared" si="36"/>
        <v>111</v>
      </c>
      <c r="R76" s="8"/>
      <c r="T76"/>
    </row>
    <row r="77" spans="2:20" ht="23.1" customHeight="1" x14ac:dyDescent="0.25">
      <c r="B77" s="45" t="s">
        <v>117</v>
      </c>
      <c r="C77" s="50">
        <v>14</v>
      </c>
      <c r="D77" s="50">
        <v>2</v>
      </c>
      <c r="E77" s="50">
        <v>3</v>
      </c>
      <c r="F77" s="50">
        <v>8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83</v>
      </c>
      <c r="N77" s="50">
        <v>0</v>
      </c>
      <c r="O77" s="15">
        <f t="shared" si="35"/>
        <v>28</v>
      </c>
      <c r="P77" s="15">
        <f t="shared" si="36"/>
        <v>111</v>
      </c>
      <c r="R77" s="8"/>
      <c r="T77"/>
    </row>
    <row r="78" spans="2:20" ht="23.1" customHeight="1" x14ac:dyDescent="0.25">
      <c r="B78" s="46" t="s">
        <v>118</v>
      </c>
      <c r="C78" s="50">
        <v>6</v>
      </c>
      <c r="D78" s="50">
        <v>0</v>
      </c>
      <c r="E78" s="50">
        <v>1</v>
      </c>
      <c r="F78" s="50">
        <v>1</v>
      </c>
      <c r="G78" s="50">
        <v>0</v>
      </c>
      <c r="H78" s="50">
        <v>0</v>
      </c>
      <c r="I78" s="50">
        <v>1</v>
      </c>
      <c r="J78" s="50">
        <v>2</v>
      </c>
      <c r="K78" s="50">
        <v>1</v>
      </c>
      <c r="L78" s="50">
        <v>0</v>
      </c>
      <c r="M78" s="50">
        <v>143</v>
      </c>
      <c r="N78" s="50">
        <v>0</v>
      </c>
      <c r="O78" s="15">
        <f t="shared" si="35"/>
        <v>12</v>
      </c>
      <c r="P78" s="15">
        <f t="shared" si="36"/>
        <v>155</v>
      </c>
      <c r="R78" s="8"/>
      <c r="T78"/>
    </row>
    <row r="79" spans="2:20" ht="23.1" customHeight="1" x14ac:dyDescent="0.25">
      <c r="B79" s="45" t="s">
        <v>119</v>
      </c>
      <c r="C79" s="50">
        <v>9</v>
      </c>
      <c r="D79" s="50">
        <v>2</v>
      </c>
      <c r="E79" s="50">
        <v>0</v>
      </c>
      <c r="F79" s="50">
        <v>3</v>
      </c>
      <c r="G79" s="50">
        <v>0</v>
      </c>
      <c r="H79" s="50">
        <v>0</v>
      </c>
      <c r="I79" s="50">
        <v>2</v>
      </c>
      <c r="J79" s="50">
        <v>2</v>
      </c>
      <c r="K79" s="50">
        <v>0</v>
      </c>
      <c r="L79" s="50">
        <v>0</v>
      </c>
      <c r="M79" s="50">
        <v>42</v>
      </c>
      <c r="N79" s="50">
        <v>0</v>
      </c>
      <c r="O79" s="15">
        <f t="shared" si="35"/>
        <v>18</v>
      </c>
      <c r="P79" s="15">
        <f t="shared" si="36"/>
        <v>60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0</v>
      </c>
      <c r="E80" s="50">
        <v>0</v>
      </c>
      <c r="F80" s="50">
        <v>5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33</v>
      </c>
      <c r="N80" s="50">
        <v>0</v>
      </c>
      <c r="O80" s="15">
        <f t="shared" si="35"/>
        <v>9</v>
      </c>
      <c r="P80" s="15">
        <f t="shared" si="36"/>
        <v>42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3</v>
      </c>
      <c r="G81" s="50">
        <v>0</v>
      </c>
      <c r="H81" s="50">
        <v>0</v>
      </c>
      <c r="I81" s="50">
        <v>0</v>
      </c>
      <c r="J81" s="50">
        <v>1</v>
      </c>
      <c r="K81" s="50">
        <v>1</v>
      </c>
      <c r="L81" s="50">
        <v>0</v>
      </c>
      <c r="M81" s="50">
        <v>17</v>
      </c>
      <c r="N81" s="50">
        <v>0</v>
      </c>
      <c r="O81" s="15">
        <f t="shared" si="35"/>
        <v>7</v>
      </c>
      <c r="P81" s="15">
        <f t="shared" si="36"/>
        <v>24</v>
      </c>
      <c r="R81" s="8"/>
      <c r="T81"/>
    </row>
    <row r="82" spans="2:20" ht="23.1" customHeight="1" x14ac:dyDescent="0.25">
      <c r="B82" s="46" t="s">
        <v>122</v>
      </c>
      <c r="C82" s="50">
        <v>3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13</v>
      </c>
      <c r="N82" s="50">
        <v>0</v>
      </c>
      <c r="O82" s="15">
        <f t="shared" si="35"/>
        <v>3</v>
      </c>
      <c r="P82" s="15">
        <f t="shared" si="36"/>
        <v>16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13</v>
      </c>
      <c r="N83" s="50">
        <v>0</v>
      </c>
      <c r="O83" s="15">
        <f t="shared" si="35"/>
        <v>2</v>
      </c>
      <c r="P83" s="15">
        <f t="shared" si="36"/>
        <v>15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9</v>
      </c>
      <c r="N84" s="50">
        <v>0</v>
      </c>
      <c r="O84" s="15">
        <f t="shared" si="35"/>
        <v>1</v>
      </c>
      <c r="P84" s="15">
        <f t="shared" si="36"/>
        <v>10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2</v>
      </c>
      <c r="P85" s="15">
        <f t="shared" si="36"/>
        <v>6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2</v>
      </c>
      <c r="J86" s="50">
        <v>0</v>
      </c>
      <c r="K86" s="50">
        <v>0</v>
      </c>
      <c r="L86" s="50">
        <v>0</v>
      </c>
      <c r="M86" s="50">
        <v>7</v>
      </c>
      <c r="N86" s="50">
        <v>0</v>
      </c>
      <c r="O86" s="15">
        <f t="shared" si="35"/>
        <v>4</v>
      </c>
      <c r="P86" s="15">
        <f t="shared" si="36"/>
        <v>11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4</v>
      </c>
      <c r="J87" s="50">
        <v>0</v>
      </c>
      <c r="K87" s="50">
        <v>0</v>
      </c>
      <c r="L87" s="50">
        <v>0</v>
      </c>
      <c r="M87" s="50">
        <v>8</v>
      </c>
      <c r="N87" s="50">
        <v>0</v>
      </c>
      <c r="O87" s="15">
        <f t="shared" si="35"/>
        <v>6</v>
      </c>
      <c r="P87" s="15">
        <f t="shared" si="36"/>
        <v>14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2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8</v>
      </c>
      <c r="N88" s="50">
        <v>0</v>
      </c>
      <c r="O88" s="15">
        <f t="shared" si="35"/>
        <v>3</v>
      </c>
      <c r="P88" s="15">
        <f t="shared" si="36"/>
        <v>11</v>
      </c>
      <c r="R88" s="8"/>
      <c r="T88"/>
    </row>
    <row r="89" spans="2:20" ht="23.1" customHeight="1" x14ac:dyDescent="0.25">
      <c r="B89" s="45" t="s">
        <v>129</v>
      </c>
      <c r="C89" s="50">
        <v>3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3</v>
      </c>
      <c r="N89" s="50">
        <v>0</v>
      </c>
      <c r="O89" s="15">
        <f t="shared" si="35"/>
        <v>4</v>
      </c>
      <c r="P89" s="15">
        <f t="shared" si="36"/>
        <v>7</v>
      </c>
      <c r="R89" s="8"/>
      <c r="T89"/>
    </row>
    <row r="90" spans="2:20" ht="23.1" customHeight="1" x14ac:dyDescent="0.25">
      <c r="B90" s="46" t="s">
        <v>130</v>
      </c>
      <c r="C90" s="50">
        <v>3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1</v>
      </c>
      <c r="L90" s="50">
        <v>0</v>
      </c>
      <c r="M90" s="50">
        <v>8</v>
      </c>
      <c r="N90" s="50">
        <v>0</v>
      </c>
      <c r="O90" s="15">
        <f t="shared" si="35"/>
        <v>4</v>
      </c>
      <c r="P90" s="15">
        <f t="shared" si="36"/>
        <v>12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10</v>
      </c>
      <c r="N91" s="50">
        <v>0</v>
      </c>
      <c r="O91" s="15">
        <f t="shared" si="35"/>
        <v>3</v>
      </c>
      <c r="P91" s="15">
        <f t="shared" si="36"/>
        <v>13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22</v>
      </c>
      <c r="N92" s="50">
        <v>0</v>
      </c>
      <c r="O92" s="15">
        <f t="shared" si="35"/>
        <v>2</v>
      </c>
      <c r="P92" s="15">
        <f t="shared" si="36"/>
        <v>24</v>
      </c>
      <c r="R92" s="8"/>
      <c r="T92"/>
    </row>
    <row r="93" spans="2:20" ht="23.1" customHeight="1" x14ac:dyDescent="0.25">
      <c r="B93" s="45" t="s">
        <v>133</v>
      </c>
      <c r="C93" s="50">
        <v>4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2</v>
      </c>
      <c r="K93" s="50">
        <v>1</v>
      </c>
      <c r="L93" s="50">
        <v>0</v>
      </c>
      <c r="M93" s="50">
        <v>14</v>
      </c>
      <c r="N93" s="50">
        <v>0</v>
      </c>
      <c r="O93" s="15">
        <f t="shared" si="35"/>
        <v>8</v>
      </c>
      <c r="P93" s="15">
        <f t="shared" si="36"/>
        <v>22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26</v>
      </c>
      <c r="N94" s="50">
        <v>0</v>
      </c>
      <c r="O94" s="15">
        <f t="shared" si="35"/>
        <v>3</v>
      </c>
      <c r="P94" s="15">
        <f t="shared" si="36"/>
        <v>29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24</v>
      </c>
      <c r="N95" s="50">
        <v>0</v>
      </c>
      <c r="O95" s="15">
        <f t="shared" si="35"/>
        <v>4</v>
      </c>
      <c r="P95" s="15">
        <f t="shared" si="36"/>
        <v>28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17</v>
      </c>
      <c r="N96" s="50">
        <v>0</v>
      </c>
      <c r="O96" s="15">
        <f t="shared" si="35"/>
        <v>5</v>
      </c>
      <c r="P96" s="15">
        <f t="shared" si="36"/>
        <v>22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1</v>
      </c>
      <c r="E97" s="50">
        <v>1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23</v>
      </c>
      <c r="N97" s="50">
        <v>0</v>
      </c>
      <c r="O97" s="15">
        <f t="shared" si="35"/>
        <v>4</v>
      </c>
      <c r="P97" s="15">
        <f t="shared" si="36"/>
        <v>27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3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1</v>
      </c>
      <c r="M98" s="50">
        <v>18</v>
      </c>
      <c r="N98" s="50">
        <v>0</v>
      </c>
      <c r="O98" s="15">
        <f t="shared" si="35"/>
        <v>5</v>
      </c>
      <c r="P98" s="15">
        <f t="shared" si="36"/>
        <v>23</v>
      </c>
      <c r="R98" s="8"/>
      <c r="T98"/>
    </row>
    <row r="99" spans="2:20" ht="23.1" customHeight="1" x14ac:dyDescent="0.25">
      <c r="B99" s="45" t="s">
        <v>139</v>
      </c>
      <c r="C99" s="50">
        <v>6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0</v>
      </c>
      <c r="M99" s="50">
        <v>19</v>
      </c>
      <c r="N99" s="50">
        <v>0</v>
      </c>
      <c r="O99" s="15">
        <f t="shared" si="35"/>
        <v>8</v>
      </c>
      <c r="P99" s="15">
        <f t="shared" si="36"/>
        <v>27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2</v>
      </c>
      <c r="E100" s="50">
        <v>0</v>
      </c>
      <c r="F100" s="50">
        <v>2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31</v>
      </c>
      <c r="N100" s="50">
        <v>0</v>
      </c>
      <c r="O100" s="15">
        <f t="shared" si="35"/>
        <v>5</v>
      </c>
      <c r="P100" s="15">
        <f t="shared" si="36"/>
        <v>36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0</v>
      </c>
      <c r="E101" s="50">
        <v>0</v>
      </c>
      <c r="F101" s="50">
        <v>3</v>
      </c>
      <c r="G101" s="50">
        <v>0</v>
      </c>
      <c r="H101" s="50">
        <v>0</v>
      </c>
      <c r="I101" s="50">
        <v>0</v>
      </c>
      <c r="J101" s="50">
        <v>2</v>
      </c>
      <c r="K101" s="50">
        <v>1</v>
      </c>
      <c r="L101" s="50">
        <v>0</v>
      </c>
      <c r="M101" s="50">
        <v>43</v>
      </c>
      <c r="N101" s="50">
        <v>0</v>
      </c>
      <c r="O101" s="15">
        <f t="shared" si="35"/>
        <v>10</v>
      </c>
      <c r="P101" s="15">
        <f t="shared" si="36"/>
        <v>53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43</v>
      </c>
      <c r="N102" s="50">
        <v>0</v>
      </c>
      <c r="O102" s="15">
        <f t="shared" si="35"/>
        <v>5</v>
      </c>
      <c r="P102" s="15">
        <f t="shared" si="36"/>
        <v>48</v>
      </c>
      <c r="R102" s="8"/>
      <c r="T102"/>
    </row>
    <row r="103" spans="2:20" ht="23.1" customHeight="1" x14ac:dyDescent="0.25">
      <c r="B103" s="45" t="s">
        <v>143</v>
      </c>
      <c r="C103" s="50">
        <v>6</v>
      </c>
      <c r="D103" s="50">
        <v>1</v>
      </c>
      <c r="E103" s="50">
        <v>0</v>
      </c>
      <c r="F103" s="50">
        <v>3</v>
      </c>
      <c r="G103" s="50">
        <v>0</v>
      </c>
      <c r="H103" s="50">
        <v>0</v>
      </c>
      <c r="I103" s="50">
        <v>2</v>
      </c>
      <c r="J103" s="50">
        <v>1</v>
      </c>
      <c r="K103" s="50">
        <v>0</v>
      </c>
      <c r="L103" s="50">
        <v>0</v>
      </c>
      <c r="M103" s="50">
        <v>54</v>
      </c>
      <c r="N103" s="50">
        <v>0</v>
      </c>
      <c r="O103" s="15">
        <f t="shared" si="35"/>
        <v>13</v>
      </c>
      <c r="P103" s="15">
        <f t="shared" si="36"/>
        <v>67</v>
      </c>
      <c r="R103" s="8"/>
      <c r="T103"/>
    </row>
    <row r="104" spans="2:20" ht="23.1" customHeight="1" x14ac:dyDescent="0.25">
      <c r="B104" s="47" t="s">
        <v>144</v>
      </c>
      <c r="C104" s="50">
        <v>11</v>
      </c>
      <c r="D104" s="50">
        <v>1</v>
      </c>
      <c r="E104" s="50">
        <v>1</v>
      </c>
      <c r="F104" s="50">
        <v>5</v>
      </c>
      <c r="G104" s="50">
        <v>1</v>
      </c>
      <c r="H104" s="50">
        <v>0</v>
      </c>
      <c r="I104" s="50">
        <v>5</v>
      </c>
      <c r="J104" s="50">
        <v>4</v>
      </c>
      <c r="K104" s="50">
        <v>1</v>
      </c>
      <c r="L104" s="50">
        <v>0</v>
      </c>
      <c r="M104" s="50">
        <v>103</v>
      </c>
      <c r="N104" s="50">
        <v>0</v>
      </c>
      <c r="O104" s="15">
        <f t="shared" si="35"/>
        <v>29</v>
      </c>
      <c r="P104" s="15">
        <f t="shared" si="36"/>
        <v>132</v>
      </c>
      <c r="R104" s="8"/>
      <c r="T104"/>
    </row>
    <row r="105" spans="2:20" ht="23.1" customHeight="1" x14ac:dyDescent="0.25">
      <c r="B105" s="45" t="s">
        <v>145</v>
      </c>
      <c r="C105" s="50">
        <v>14</v>
      </c>
      <c r="D105" s="50">
        <v>0</v>
      </c>
      <c r="E105" s="50">
        <v>1</v>
      </c>
      <c r="F105" s="50">
        <v>14</v>
      </c>
      <c r="G105" s="50">
        <v>0</v>
      </c>
      <c r="H105" s="50">
        <v>0</v>
      </c>
      <c r="I105" s="50">
        <v>1</v>
      </c>
      <c r="J105" s="50">
        <v>5</v>
      </c>
      <c r="K105" s="50">
        <v>0</v>
      </c>
      <c r="L105" s="50">
        <v>0</v>
      </c>
      <c r="M105" s="50">
        <v>104</v>
      </c>
      <c r="N105" s="50">
        <v>0</v>
      </c>
      <c r="O105" s="15">
        <f t="shared" si="35"/>
        <v>35</v>
      </c>
      <c r="P105" s="15">
        <f t="shared" si="36"/>
        <v>139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1123</v>
      </c>
      <c r="D106" s="16">
        <f t="shared" ref="D106:P106" si="37">SUM(D10:D105)</f>
        <v>201</v>
      </c>
      <c r="E106" s="16">
        <f>SUM(E10:E105)</f>
        <v>120</v>
      </c>
      <c r="F106" s="16">
        <f t="shared" si="37"/>
        <v>1366</v>
      </c>
      <c r="G106" s="16">
        <f t="shared" si="37"/>
        <v>37</v>
      </c>
      <c r="H106" s="16">
        <f t="shared" si="37"/>
        <v>71</v>
      </c>
      <c r="I106" s="16">
        <f t="shared" si="37"/>
        <v>311</v>
      </c>
      <c r="J106" s="16">
        <f t="shared" si="37"/>
        <v>103</v>
      </c>
      <c r="K106" s="16">
        <f t="shared" si="37"/>
        <v>50</v>
      </c>
      <c r="L106" s="16">
        <f t="shared" si="37"/>
        <v>15</v>
      </c>
      <c r="M106" s="16">
        <f t="shared" si="37"/>
        <v>5919</v>
      </c>
      <c r="N106" s="16">
        <f t="shared" si="37"/>
        <v>0</v>
      </c>
      <c r="O106" s="16">
        <f t="shared" si="37"/>
        <v>3397</v>
      </c>
      <c r="P106" s="16">
        <f t="shared" si="37"/>
        <v>9316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0.12054529841133534</v>
      </c>
      <c r="D107" s="43">
        <f t="shared" si="38"/>
        <v>2.1575783598110777E-2</v>
      </c>
      <c r="E107" s="43">
        <f t="shared" si="38"/>
        <v>1.2881064834693002E-2</v>
      </c>
      <c r="F107" s="43">
        <f t="shared" si="38"/>
        <v>0.14662945470158867</v>
      </c>
      <c r="G107" s="43">
        <f t="shared" si="38"/>
        <v>3.9716616573636752E-3</v>
      </c>
      <c r="H107" s="43">
        <f t="shared" si="38"/>
        <v>7.6212966938600255E-3</v>
      </c>
      <c r="I107" s="43">
        <f t="shared" si="38"/>
        <v>3.3383426363246031E-2</v>
      </c>
      <c r="J107" s="43">
        <f t="shared" si="38"/>
        <v>1.1056247316444827E-2</v>
      </c>
      <c r="K107" s="43">
        <f t="shared" si="38"/>
        <v>5.3671103477887505E-3</v>
      </c>
      <c r="L107" s="43">
        <f t="shared" si="38"/>
        <v>1.6101331043366252E-3</v>
      </c>
      <c r="M107" s="43">
        <f t="shared" si="38"/>
        <v>0.6353585229712323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0.33058581100971446</v>
      </c>
      <c r="D108" s="44">
        <f t="shared" ref="D108:N108" si="39">D106/$O$106</f>
        <v>5.9169855755078007E-2</v>
      </c>
      <c r="E108" s="44">
        <f t="shared" si="39"/>
        <v>3.5325287017957022E-2</v>
      </c>
      <c r="F108" s="44">
        <f t="shared" si="39"/>
        <v>0.40211951722107742</v>
      </c>
      <c r="G108" s="44">
        <f t="shared" si="39"/>
        <v>1.0891963497203415E-2</v>
      </c>
      <c r="H108" s="44">
        <f t="shared" si="39"/>
        <v>2.0900794818957905E-2</v>
      </c>
      <c r="I108" s="44">
        <f t="shared" si="39"/>
        <v>9.1551368854871945E-2</v>
      </c>
      <c r="J108" s="44">
        <f t="shared" si="39"/>
        <v>3.0320871357079775E-2</v>
      </c>
      <c r="K108" s="44">
        <f t="shared" si="39"/>
        <v>1.4718869590815425E-2</v>
      </c>
      <c r="L108" s="44">
        <f t="shared" si="39"/>
        <v>4.4156608772446277E-3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27" zoomScale="30" zoomScaleSheetLayoutView="30" workbookViewId="0">
      <selection activeCell="M102" sqref="M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3" t="str">
        <f>'26.07 Nateete-Nakawuka-24h'!G5:H5</f>
        <v>TAKUWA BEST FEEDS</v>
      </c>
      <c r="H5" s="64"/>
      <c r="I5" s="14"/>
      <c r="J5" s="2" t="s">
        <v>5</v>
      </c>
      <c r="K5" s="63" t="str">
        <f>'26.07 Nateete-Nakawuka-24h'!K5:L5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Nakawuka-Nateete'!D6:E6</f>
        <v>NAKAWUKA</v>
      </c>
      <c r="E6" s="64"/>
      <c r="F6" s="2" t="s">
        <v>2</v>
      </c>
      <c r="G6" s="63" t="str">
        <f>'22.07 Nakawuka-Nateete'!G6:H6</f>
        <v>NATEETE</v>
      </c>
      <c r="H6" s="64"/>
      <c r="J6" s="2" t="s">
        <v>21</v>
      </c>
      <c r="K6" s="63" t="str">
        <f>'26.07 Nateete-Nakawuka-24h'!K6:L6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9</v>
      </c>
      <c r="D10" s="50">
        <v>2</v>
      </c>
      <c r="E10" s="50">
        <v>3</v>
      </c>
      <c r="F10" s="50">
        <v>15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130</v>
      </c>
      <c r="N10" s="50">
        <v>0</v>
      </c>
      <c r="O10" s="15">
        <f t="shared" ref="O10:O73" si="0">SUM(C10:L10,N10)</f>
        <v>32</v>
      </c>
      <c r="P10" s="15">
        <f t="shared" ref="P10:P73" si="1">SUM(C10:N10)</f>
        <v>162</v>
      </c>
      <c r="R10" s="1" t="s">
        <v>6</v>
      </c>
      <c r="S10" s="17">
        <f t="shared" ref="S10:AF10" si="2">SUM(C10:C13)</f>
        <v>54</v>
      </c>
      <c r="T10" s="17">
        <f t="shared" si="2"/>
        <v>32</v>
      </c>
      <c r="U10" s="17">
        <f t="shared" si="2"/>
        <v>17</v>
      </c>
      <c r="V10" s="17">
        <f t="shared" si="2"/>
        <v>108</v>
      </c>
      <c r="W10" s="17">
        <f t="shared" si="2"/>
        <v>0</v>
      </c>
      <c r="X10" s="17">
        <f t="shared" si="2"/>
        <v>2</v>
      </c>
      <c r="Y10" s="17">
        <f t="shared" si="2"/>
        <v>15</v>
      </c>
      <c r="Z10" s="17">
        <f t="shared" si="2"/>
        <v>6</v>
      </c>
      <c r="AA10" s="17">
        <f t="shared" si="2"/>
        <v>1</v>
      </c>
      <c r="AB10" s="17">
        <f t="shared" si="2"/>
        <v>0</v>
      </c>
      <c r="AC10" s="17">
        <f t="shared" si="2"/>
        <v>545</v>
      </c>
      <c r="AD10" s="17">
        <f t="shared" si="2"/>
        <v>0</v>
      </c>
      <c r="AE10" s="31">
        <f t="shared" si="2"/>
        <v>235</v>
      </c>
      <c r="AF10" s="31">
        <f t="shared" si="2"/>
        <v>780</v>
      </c>
    </row>
    <row r="11" spans="2:32" s="6" customFormat="1" ht="23.1" customHeight="1" x14ac:dyDescent="0.25">
      <c r="B11" s="45" t="s">
        <v>38</v>
      </c>
      <c r="C11" s="50">
        <v>11</v>
      </c>
      <c r="D11" s="50">
        <v>3</v>
      </c>
      <c r="E11" s="50">
        <v>0</v>
      </c>
      <c r="F11" s="50">
        <v>32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131</v>
      </c>
      <c r="N11" s="50">
        <v>0</v>
      </c>
      <c r="O11" s="15">
        <f t="shared" si="0"/>
        <v>46</v>
      </c>
      <c r="P11" s="15">
        <f t="shared" si="1"/>
        <v>177</v>
      </c>
      <c r="R11" s="1" t="s">
        <v>7</v>
      </c>
      <c r="S11" s="17">
        <f t="shared" ref="S11:AF11" si="3">SUM(C14:C17)</f>
        <v>122</v>
      </c>
      <c r="T11" s="17">
        <f t="shared" si="3"/>
        <v>78</v>
      </c>
      <c r="U11" s="17">
        <f t="shared" si="3"/>
        <v>31</v>
      </c>
      <c r="V11" s="17">
        <f t="shared" si="3"/>
        <v>115</v>
      </c>
      <c r="W11" s="17">
        <f t="shared" si="3"/>
        <v>4</v>
      </c>
      <c r="X11" s="17">
        <f t="shared" si="3"/>
        <v>0</v>
      </c>
      <c r="Y11" s="17">
        <f t="shared" si="3"/>
        <v>25</v>
      </c>
      <c r="Z11" s="17">
        <f t="shared" si="3"/>
        <v>11</v>
      </c>
      <c r="AA11" s="17">
        <f t="shared" si="3"/>
        <v>0</v>
      </c>
      <c r="AB11" s="17">
        <f t="shared" si="3"/>
        <v>3</v>
      </c>
      <c r="AC11" s="17">
        <f t="shared" si="3"/>
        <v>646</v>
      </c>
      <c r="AD11" s="17">
        <f t="shared" si="3"/>
        <v>0</v>
      </c>
      <c r="AE11" s="31">
        <f t="shared" si="3"/>
        <v>389</v>
      </c>
      <c r="AF11" s="31">
        <f t="shared" si="3"/>
        <v>1035</v>
      </c>
    </row>
    <row r="12" spans="2:32" ht="23.1" customHeight="1" x14ac:dyDescent="0.25">
      <c r="B12" s="45" t="s">
        <v>39</v>
      </c>
      <c r="C12" s="50">
        <v>15</v>
      </c>
      <c r="D12" s="50">
        <v>15</v>
      </c>
      <c r="E12" s="50">
        <v>7</v>
      </c>
      <c r="F12" s="50">
        <v>33</v>
      </c>
      <c r="G12" s="50">
        <v>0</v>
      </c>
      <c r="H12" s="50">
        <v>1</v>
      </c>
      <c r="I12" s="50">
        <v>5</v>
      </c>
      <c r="J12" s="50">
        <v>3</v>
      </c>
      <c r="K12" s="50">
        <v>0</v>
      </c>
      <c r="L12" s="50">
        <v>0</v>
      </c>
      <c r="M12" s="50">
        <v>145</v>
      </c>
      <c r="N12" s="50">
        <v>0</v>
      </c>
      <c r="O12" s="15">
        <f t="shared" si="0"/>
        <v>79</v>
      </c>
      <c r="P12" s="15">
        <f t="shared" si="1"/>
        <v>224</v>
      </c>
      <c r="R12" s="1" t="s">
        <v>8</v>
      </c>
      <c r="S12" s="17">
        <f t="shared" ref="S12:AF12" si="4">SUM(C18:C21)</f>
        <v>87</v>
      </c>
      <c r="T12" s="17">
        <f t="shared" si="4"/>
        <v>50</v>
      </c>
      <c r="U12" s="17">
        <f t="shared" si="4"/>
        <v>22</v>
      </c>
      <c r="V12" s="17">
        <f t="shared" si="4"/>
        <v>88</v>
      </c>
      <c r="W12" s="17">
        <f t="shared" si="4"/>
        <v>2</v>
      </c>
      <c r="X12" s="17">
        <f t="shared" si="4"/>
        <v>2</v>
      </c>
      <c r="Y12" s="17">
        <f t="shared" si="4"/>
        <v>20</v>
      </c>
      <c r="Z12" s="17">
        <f t="shared" si="4"/>
        <v>12</v>
      </c>
      <c r="AA12" s="17">
        <f t="shared" si="4"/>
        <v>2</v>
      </c>
      <c r="AB12" s="17">
        <f t="shared" si="4"/>
        <v>1</v>
      </c>
      <c r="AC12" s="17">
        <f t="shared" si="4"/>
        <v>521</v>
      </c>
      <c r="AD12" s="17">
        <f t="shared" si="4"/>
        <v>0</v>
      </c>
      <c r="AE12" s="31">
        <f t="shared" si="4"/>
        <v>286</v>
      </c>
      <c r="AF12" s="31">
        <f t="shared" si="4"/>
        <v>807</v>
      </c>
    </row>
    <row r="13" spans="2:32" ht="23.1" customHeight="1" x14ac:dyDescent="0.25">
      <c r="B13" s="45" t="s">
        <v>40</v>
      </c>
      <c r="C13" s="50">
        <v>19</v>
      </c>
      <c r="D13" s="50">
        <v>12</v>
      </c>
      <c r="E13" s="50">
        <v>7</v>
      </c>
      <c r="F13" s="50">
        <v>28</v>
      </c>
      <c r="G13" s="50">
        <v>0</v>
      </c>
      <c r="H13" s="50">
        <v>1</v>
      </c>
      <c r="I13" s="50">
        <v>7</v>
      </c>
      <c r="J13" s="50">
        <v>3</v>
      </c>
      <c r="K13" s="50">
        <v>1</v>
      </c>
      <c r="L13" s="50">
        <v>0</v>
      </c>
      <c r="M13" s="50">
        <v>139</v>
      </c>
      <c r="N13" s="50">
        <v>0</v>
      </c>
      <c r="O13" s="15">
        <f t="shared" si="0"/>
        <v>78</v>
      </c>
      <c r="P13" s="15">
        <f t="shared" si="1"/>
        <v>217</v>
      </c>
      <c r="R13" s="1" t="s">
        <v>9</v>
      </c>
      <c r="S13" s="17">
        <f t="shared" ref="S13:AF13" si="5">SUM(C22:C25)</f>
        <v>83</v>
      </c>
      <c r="T13" s="17">
        <f t="shared" si="5"/>
        <v>56</v>
      </c>
      <c r="U13" s="17">
        <f t="shared" si="5"/>
        <v>20</v>
      </c>
      <c r="V13" s="17">
        <f t="shared" si="5"/>
        <v>87</v>
      </c>
      <c r="W13" s="17">
        <f t="shared" si="5"/>
        <v>4</v>
      </c>
      <c r="X13" s="17">
        <f t="shared" si="5"/>
        <v>0</v>
      </c>
      <c r="Y13" s="17">
        <f t="shared" si="5"/>
        <v>20</v>
      </c>
      <c r="Z13" s="17">
        <f t="shared" si="5"/>
        <v>8</v>
      </c>
      <c r="AA13" s="17">
        <f t="shared" si="5"/>
        <v>3</v>
      </c>
      <c r="AB13" s="17">
        <f t="shared" si="5"/>
        <v>0</v>
      </c>
      <c r="AC13" s="17">
        <f t="shared" si="5"/>
        <v>490</v>
      </c>
      <c r="AD13" s="17">
        <f t="shared" si="5"/>
        <v>0</v>
      </c>
      <c r="AE13" s="31">
        <f t="shared" si="5"/>
        <v>281</v>
      </c>
      <c r="AF13" s="31">
        <f t="shared" si="5"/>
        <v>771</v>
      </c>
    </row>
    <row r="14" spans="2:32" ht="23.1" customHeight="1" x14ac:dyDescent="0.25">
      <c r="B14" s="45" t="s">
        <v>41</v>
      </c>
      <c r="C14" s="50">
        <v>31</v>
      </c>
      <c r="D14" s="50">
        <v>22</v>
      </c>
      <c r="E14" s="50">
        <v>9</v>
      </c>
      <c r="F14" s="50">
        <v>33</v>
      </c>
      <c r="G14" s="50">
        <v>1</v>
      </c>
      <c r="H14" s="50">
        <v>0</v>
      </c>
      <c r="I14" s="50">
        <v>2</v>
      </c>
      <c r="J14" s="50">
        <v>5</v>
      </c>
      <c r="K14" s="50">
        <v>0</v>
      </c>
      <c r="L14" s="50">
        <v>0</v>
      </c>
      <c r="M14" s="50">
        <v>145</v>
      </c>
      <c r="N14" s="50">
        <v>0</v>
      </c>
      <c r="O14" s="15">
        <f t="shared" si="0"/>
        <v>103</v>
      </c>
      <c r="P14" s="15">
        <f t="shared" si="1"/>
        <v>248</v>
      </c>
      <c r="R14" s="1" t="s">
        <v>10</v>
      </c>
      <c r="S14" s="17">
        <f t="shared" ref="S14:AF14" si="6">SUM(C26:C29)</f>
        <v>70</v>
      </c>
      <c r="T14" s="17">
        <f t="shared" si="6"/>
        <v>51</v>
      </c>
      <c r="U14" s="17">
        <f t="shared" si="6"/>
        <v>25</v>
      </c>
      <c r="V14" s="17">
        <f t="shared" si="6"/>
        <v>82</v>
      </c>
      <c r="W14" s="17">
        <f t="shared" si="6"/>
        <v>0</v>
      </c>
      <c r="X14" s="17">
        <f t="shared" si="6"/>
        <v>0</v>
      </c>
      <c r="Y14" s="17">
        <f t="shared" si="6"/>
        <v>35</v>
      </c>
      <c r="Z14" s="17">
        <f t="shared" si="6"/>
        <v>8</v>
      </c>
      <c r="AA14" s="17">
        <f t="shared" si="6"/>
        <v>2</v>
      </c>
      <c r="AB14" s="17">
        <f t="shared" si="6"/>
        <v>15</v>
      </c>
      <c r="AC14" s="17">
        <f t="shared" si="6"/>
        <v>490</v>
      </c>
      <c r="AD14" s="17">
        <f t="shared" si="6"/>
        <v>0</v>
      </c>
      <c r="AE14" s="31">
        <f t="shared" si="6"/>
        <v>288</v>
      </c>
      <c r="AF14" s="31">
        <f t="shared" si="6"/>
        <v>778</v>
      </c>
    </row>
    <row r="15" spans="2:32" ht="23.1" customHeight="1" x14ac:dyDescent="0.25">
      <c r="B15" s="45" t="s">
        <v>42</v>
      </c>
      <c r="C15" s="50">
        <v>29</v>
      </c>
      <c r="D15" s="50">
        <v>20</v>
      </c>
      <c r="E15" s="50">
        <v>7</v>
      </c>
      <c r="F15" s="50">
        <v>34</v>
      </c>
      <c r="G15" s="50">
        <v>1</v>
      </c>
      <c r="H15" s="50">
        <v>0</v>
      </c>
      <c r="I15" s="50">
        <v>11</v>
      </c>
      <c r="J15" s="50">
        <v>3</v>
      </c>
      <c r="K15" s="50">
        <v>0</v>
      </c>
      <c r="L15" s="50">
        <v>1</v>
      </c>
      <c r="M15" s="50">
        <v>176</v>
      </c>
      <c r="N15" s="50">
        <v>0</v>
      </c>
      <c r="O15" s="15">
        <f t="shared" si="0"/>
        <v>106</v>
      </c>
      <c r="P15" s="15">
        <f t="shared" si="1"/>
        <v>282</v>
      </c>
      <c r="R15" s="1" t="s">
        <v>11</v>
      </c>
      <c r="S15" s="17">
        <f t="shared" ref="S15:AF15" si="7">SUM(C30:C33)</f>
        <v>83</v>
      </c>
      <c r="T15" s="17">
        <f t="shared" si="7"/>
        <v>29</v>
      </c>
      <c r="U15" s="17">
        <f t="shared" si="7"/>
        <v>27</v>
      </c>
      <c r="V15" s="17">
        <f t="shared" si="7"/>
        <v>71</v>
      </c>
      <c r="W15" s="17">
        <f t="shared" si="7"/>
        <v>0</v>
      </c>
      <c r="X15" s="17">
        <f t="shared" si="7"/>
        <v>0</v>
      </c>
      <c r="Y15" s="17">
        <f t="shared" si="7"/>
        <v>34</v>
      </c>
      <c r="Z15" s="17">
        <f t="shared" si="7"/>
        <v>11</v>
      </c>
      <c r="AA15" s="17">
        <f t="shared" si="7"/>
        <v>2</v>
      </c>
      <c r="AB15" s="17">
        <f t="shared" si="7"/>
        <v>4</v>
      </c>
      <c r="AC15" s="17">
        <f t="shared" si="7"/>
        <v>483</v>
      </c>
      <c r="AD15" s="17">
        <f t="shared" si="7"/>
        <v>0</v>
      </c>
      <c r="AE15" s="31">
        <f t="shared" si="7"/>
        <v>261</v>
      </c>
      <c r="AF15" s="31">
        <f t="shared" si="7"/>
        <v>744</v>
      </c>
    </row>
    <row r="16" spans="2:32" ht="23.1" customHeight="1" x14ac:dyDescent="0.25">
      <c r="B16" s="45" t="s">
        <v>43</v>
      </c>
      <c r="C16" s="50">
        <v>32</v>
      </c>
      <c r="D16" s="50">
        <v>13</v>
      </c>
      <c r="E16" s="50">
        <v>12</v>
      </c>
      <c r="F16" s="50">
        <v>27</v>
      </c>
      <c r="G16" s="50">
        <v>1</v>
      </c>
      <c r="H16" s="50">
        <v>0</v>
      </c>
      <c r="I16" s="50">
        <v>5</v>
      </c>
      <c r="J16" s="50">
        <v>1</v>
      </c>
      <c r="K16" s="50">
        <v>0</v>
      </c>
      <c r="L16" s="50">
        <v>2</v>
      </c>
      <c r="M16" s="50">
        <v>175</v>
      </c>
      <c r="N16" s="50">
        <v>0</v>
      </c>
      <c r="O16" s="15">
        <f t="shared" si="0"/>
        <v>93</v>
      </c>
      <c r="P16" s="15">
        <f t="shared" si="1"/>
        <v>268</v>
      </c>
      <c r="R16" s="1" t="s">
        <v>12</v>
      </c>
      <c r="S16" s="17">
        <f t="shared" ref="S16:AF16" si="8">SUM(C34:C37)</f>
        <v>133</v>
      </c>
      <c r="T16" s="17">
        <f t="shared" si="8"/>
        <v>26</v>
      </c>
      <c r="U16" s="17">
        <f t="shared" si="8"/>
        <v>18</v>
      </c>
      <c r="V16" s="17">
        <f t="shared" si="8"/>
        <v>101</v>
      </c>
      <c r="W16" s="17">
        <f t="shared" si="8"/>
        <v>1</v>
      </c>
      <c r="X16" s="17">
        <f t="shared" si="8"/>
        <v>0</v>
      </c>
      <c r="Y16" s="17">
        <f t="shared" si="8"/>
        <v>32</v>
      </c>
      <c r="Z16" s="17">
        <f t="shared" si="8"/>
        <v>11</v>
      </c>
      <c r="AA16" s="17">
        <f t="shared" si="8"/>
        <v>0</v>
      </c>
      <c r="AB16" s="17">
        <f t="shared" si="8"/>
        <v>0</v>
      </c>
      <c r="AC16" s="17">
        <f t="shared" si="8"/>
        <v>635</v>
      </c>
      <c r="AD16" s="17">
        <f t="shared" si="8"/>
        <v>0</v>
      </c>
      <c r="AE16" s="31">
        <f t="shared" si="8"/>
        <v>322</v>
      </c>
      <c r="AF16" s="31">
        <f t="shared" si="8"/>
        <v>957</v>
      </c>
    </row>
    <row r="17" spans="2:32" ht="23.1" customHeight="1" x14ac:dyDescent="0.25">
      <c r="B17" s="45" t="s">
        <v>44</v>
      </c>
      <c r="C17" s="50">
        <v>30</v>
      </c>
      <c r="D17" s="50">
        <v>23</v>
      </c>
      <c r="E17" s="50">
        <v>3</v>
      </c>
      <c r="F17" s="50">
        <v>21</v>
      </c>
      <c r="G17" s="50">
        <v>1</v>
      </c>
      <c r="H17" s="50">
        <v>0</v>
      </c>
      <c r="I17" s="50">
        <v>7</v>
      </c>
      <c r="J17" s="50">
        <v>2</v>
      </c>
      <c r="K17" s="50">
        <v>0</v>
      </c>
      <c r="L17" s="50">
        <v>0</v>
      </c>
      <c r="M17" s="50">
        <v>150</v>
      </c>
      <c r="N17" s="50">
        <v>0</v>
      </c>
      <c r="O17" s="15">
        <f t="shared" si="0"/>
        <v>87</v>
      </c>
      <c r="P17" s="15">
        <f t="shared" si="1"/>
        <v>237</v>
      </c>
      <c r="R17" s="1" t="s">
        <v>13</v>
      </c>
      <c r="S17" s="17">
        <f t="shared" ref="S17:AF17" si="9">SUM(C38:C41)</f>
        <v>49</v>
      </c>
      <c r="T17" s="17">
        <f t="shared" si="9"/>
        <v>35</v>
      </c>
      <c r="U17" s="17">
        <f t="shared" si="9"/>
        <v>35</v>
      </c>
      <c r="V17" s="17">
        <f t="shared" si="9"/>
        <v>49</v>
      </c>
      <c r="W17" s="17">
        <f t="shared" si="9"/>
        <v>1</v>
      </c>
      <c r="X17" s="17">
        <f t="shared" si="9"/>
        <v>0</v>
      </c>
      <c r="Y17" s="17">
        <f t="shared" si="9"/>
        <v>19</v>
      </c>
      <c r="Z17" s="17">
        <f t="shared" si="9"/>
        <v>12</v>
      </c>
      <c r="AA17" s="17">
        <f t="shared" si="9"/>
        <v>2</v>
      </c>
      <c r="AB17" s="17">
        <f t="shared" si="9"/>
        <v>1</v>
      </c>
      <c r="AC17" s="17">
        <f t="shared" si="9"/>
        <v>415</v>
      </c>
      <c r="AD17" s="17">
        <f t="shared" si="9"/>
        <v>0</v>
      </c>
      <c r="AE17" s="31">
        <f t="shared" si="9"/>
        <v>203</v>
      </c>
      <c r="AF17" s="31">
        <f t="shared" si="9"/>
        <v>618</v>
      </c>
    </row>
    <row r="18" spans="2:32" ht="23.1" customHeight="1" x14ac:dyDescent="0.25">
      <c r="B18" s="45" t="s">
        <v>45</v>
      </c>
      <c r="C18" s="50">
        <v>23</v>
      </c>
      <c r="D18" s="50">
        <v>16</v>
      </c>
      <c r="E18" s="50">
        <v>11</v>
      </c>
      <c r="F18" s="50">
        <v>23</v>
      </c>
      <c r="G18" s="50">
        <v>0</v>
      </c>
      <c r="H18" s="50">
        <v>0</v>
      </c>
      <c r="I18" s="50">
        <v>10</v>
      </c>
      <c r="J18" s="50">
        <v>4</v>
      </c>
      <c r="K18" s="50">
        <v>2</v>
      </c>
      <c r="L18" s="50">
        <v>0</v>
      </c>
      <c r="M18" s="50">
        <v>125</v>
      </c>
      <c r="N18" s="50">
        <v>0</v>
      </c>
      <c r="O18" s="15">
        <f t="shared" si="0"/>
        <v>89</v>
      </c>
      <c r="P18" s="15">
        <f t="shared" si="1"/>
        <v>214</v>
      </c>
      <c r="R18" s="1" t="s">
        <v>14</v>
      </c>
      <c r="S18" s="17">
        <f t="shared" ref="S18:AF18" si="10">SUM(C42:C45)</f>
        <v>55</v>
      </c>
      <c r="T18" s="17">
        <f t="shared" si="10"/>
        <v>73</v>
      </c>
      <c r="U18" s="17">
        <f t="shared" si="10"/>
        <v>26</v>
      </c>
      <c r="V18" s="17">
        <f t="shared" si="10"/>
        <v>57</v>
      </c>
      <c r="W18" s="17">
        <f t="shared" si="10"/>
        <v>0</v>
      </c>
      <c r="X18" s="17">
        <f t="shared" si="10"/>
        <v>0</v>
      </c>
      <c r="Y18" s="17">
        <f t="shared" si="10"/>
        <v>37</v>
      </c>
      <c r="Z18" s="17">
        <f t="shared" si="10"/>
        <v>8</v>
      </c>
      <c r="AA18" s="17">
        <f t="shared" si="10"/>
        <v>1</v>
      </c>
      <c r="AB18" s="17">
        <f t="shared" si="10"/>
        <v>0</v>
      </c>
      <c r="AC18" s="17">
        <f t="shared" si="10"/>
        <v>445</v>
      </c>
      <c r="AD18" s="17">
        <f t="shared" si="10"/>
        <v>0</v>
      </c>
      <c r="AE18" s="31">
        <f t="shared" si="10"/>
        <v>257</v>
      </c>
      <c r="AF18" s="31">
        <f t="shared" si="10"/>
        <v>702</v>
      </c>
    </row>
    <row r="19" spans="2:32" ht="23.1" customHeight="1" x14ac:dyDescent="0.25">
      <c r="B19" s="45" t="s">
        <v>46</v>
      </c>
      <c r="C19" s="50">
        <v>15</v>
      </c>
      <c r="D19" s="50">
        <v>13</v>
      </c>
      <c r="E19" s="50">
        <v>4</v>
      </c>
      <c r="F19" s="50">
        <v>20</v>
      </c>
      <c r="G19" s="50">
        <v>1</v>
      </c>
      <c r="H19" s="50">
        <v>0</v>
      </c>
      <c r="I19" s="50">
        <v>6</v>
      </c>
      <c r="J19" s="50">
        <v>2</v>
      </c>
      <c r="K19" s="50">
        <v>0</v>
      </c>
      <c r="L19" s="50">
        <v>1</v>
      </c>
      <c r="M19" s="50">
        <v>125</v>
      </c>
      <c r="N19" s="50">
        <v>0</v>
      </c>
      <c r="O19" s="15">
        <f t="shared" si="0"/>
        <v>62</v>
      </c>
      <c r="P19" s="15">
        <f t="shared" si="1"/>
        <v>187</v>
      </c>
      <c r="R19" s="1" t="s">
        <v>15</v>
      </c>
      <c r="S19" s="17">
        <f t="shared" ref="S19:AF19" si="11">SUM(C46:C49)</f>
        <v>86</v>
      </c>
      <c r="T19" s="17">
        <f t="shared" si="11"/>
        <v>43</v>
      </c>
      <c r="U19" s="17">
        <f t="shared" si="11"/>
        <v>19</v>
      </c>
      <c r="V19" s="17">
        <f t="shared" si="11"/>
        <v>48</v>
      </c>
      <c r="W19" s="17">
        <f t="shared" si="11"/>
        <v>0</v>
      </c>
      <c r="X19" s="17">
        <f t="shared" si="11"/>
        <v>0</v>
      </c>
      <c r="Y19" s="17">
        <f t="shared" si="11"/>
        <v>31</v>
      </c>
      <c r="Z19" s="17">
        <f t="shared" si="11"/>
        <v>12</v>
      </c>
      <c r="AA19" s="17">
        <f t="shared" si="11"/>
        <v>5</v>
      </c>
      <c r="AB19" s="17">
        <f t="shared" si="11"/>
        <v>2</v>
      </c>
      <c r="AC19" s="17">
        <f t="shared" si="11"/>
        <v>293</v>
      </c>
      <c r="AD19" s="17">
        <f t="shared" si="11"/>
        <v>0</v>
      </c>
      <c r="AE19" s="31">
        <f t="shared" si="11"/>
        <v>246</v>
      </c>
      <c r="AF19" s="31">
        <f t="shared" si="11"/>
        <v>539</v>
      </c>
    </row>
    <row r="20" spans="2:32" ht="23.1" customHeight="1" x14ac:dyDescent="0.25">
      <c r="B20" s="45" t="s">
        <v>47</v>
      </c>
      <c r="C20" s="50">
        <v>20</v>
      </c>
      <c r="D20" s="50">
        <v>7</v>
      </c>
      <c r="E20" s="50">
        <v>3</v>
      </c>
      <c r="F20" s="50">
        <v>18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146</v>
      </c>
      <c r="N20" s="50">
        <v>0</v>
      </c>
      <c r="O20" s="15">
        <f t="shared" si="0"/>
        <v>51</v>
      </c>
      <c r="P20" s="15">
        <f t="shared" si="1"/>
        <v>197</v>
      </c>
      <c r="R20" s="1" t="s">
        <v>16</v>
      </c>
      <c r="S20" s="17">
        <f t="shared" ref="S20:AF20" si="12">SUM(C50:C53)</f>
        <v>99</v>
      </c>
      <c r="T20" s="17">
        <f t="shared" si="12"/>
        <v>49</v>
      </c>
      <c r="U20" s="17">
        <f t="shared" si="12"/>
        <v>33</v>
      </c>
      <c r="V20" s="17">
        <f t="shared" si="12"/>
        <v>80</v>
      </c>
      <c r="W20" s="17">
        <f t="shared" si="12"/>
        <v>1</v>
      </c>
      <c r="X20" s="17">
        <f t="shared" si="12"/>
        <v>2</v>
      </c>
      <c r="Y20" s="17">
        <f t="shared" si="12"/>
        <v>40</v>
      </c>
      <c r="Z20" s="17">
        <f t="shared" si="12"/>
        <v>8</v>
      </c>
      <c r="AA20" s="17">
        <f t="shared" si="12"/>
        <v>3</v>
      </c>
      <c r="AB20" s="17">
        <f t="shared" si="12"/>
        <v>1</v>
      </c>
      <c r="AC20" s="17">
        <f t="shared" si="12"/>
        <v>428</v>
      </c>
      <c r="AD20" s="17">
        <f t="shared" si="12"/>
        <v>0</v>
      </c>
      <c r="AE20" s="31">
        <f t="shared" si="12"/>
        <v>316</v>
      </c>
      <c r="AF20" s="31">
        <f t="shared" si="12"/>
        <v>744</v>
      </c>
    </row>
    <row r="21" spans="2:32" ht="23.1" customHeight="1" x14ac:dyDescent="0.25">
      <c r="B21" s="45" t="s">
        <v>48</v>
      </c>
      <c r="C21" s="50">
        <v>29</v>
      </c>
      <c r="D21" s="50">
        <v>14</v>
      </c>
      <c r="E21" s="50">
        <v>4</v>
      </c>
      <c r="F21" s="50">
        <v>27</v>
      </c>
      <c r="G21" s="50">
        <v>1</v>
      </c>
      <c r="H21" s="50">
        <v>2</v>
      </c>
      <c r="I21" s="50">
        <v>2</v>
      </c>
      <c r="J21" s="50">
        <v>5</v>
      </c>
      <c r="K21" s="50">
        <v>0</v>
      </c>
      <c r="L21" s="50">
        <v>0</v>
      </c>
      <c r="M21" s="50">
        <v>125</v>
      </c>
      <c r="N21" s="50">
        <v>0</v>
      </c>
      <c r="O21" s="15">
        <f t="shared" si="0"/>
        <v>84</v>
      </c>
      <c r="P21" s="15">
        <f t="shared" si="1"/>
        <v>209</v>
      </c>
      <c r="R21" s="36" t="s">
        <v>20</v>
      </c>
      <c r="S21" s="34">
        <f t="shared" ref="S21:AF21" si="13">SUM(C54:C57)</f>
        <v>34</v>
      </c>
      <c r="T21" s="17">
        <f t="shared" si="13"/>
        <v>18</v>
      </c>
      <c r="U21" s="17">
        <f t="shared" si="13"/>
        <v>3</v>
      </c>
      <c r="V21" s="17">
        <f t="shared" si="13"/>
        <v>49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6</v>
      </c>
      <c r="AA21" s="17">
        <f t="shared" si="13"/>
        <v>6</v>
      </c>
      <c r="AB21" s="17">
        <f t="shared" si="13"/>
        <v>0</v>
      </c>
      <c r="AC21" s="17">
        <f t="shared" si="13"/>
        <v>320</v>
      </c>
      <c r="AD21" s="17">
        <f t="shared" si="13"/>
        <v>0</v>
      </c>
      <c r="AE21" s="31">
        <f t="shared" si="13"/>
        <v>121</v>
      </c>
      <c r="AF21" s="31">
        <f t="shared" si="13"/>
        <v>441</v>
      </c>
    </row>
    <row r="22" spans="2:32" ht="23.1" customHeight="1" x14ac:dyDescent="0.25">
      <c r="B22" s="45" t="s">
        <v>49</v>
      </c>
      <c r="C22" s="50">
        <v>24</v>
      </c>
      <c r="D22" s="50">
        <v>13</v>
      </c>
      <c r="E22" s="50">
        <v>6</v>
      </c>
      <c r="F22" s="50">
        <v>23</v>
      </c>
      <c r="G22" s="50">
        <v>2</v>
      </c>
      <c r="H22" s="50">
        <v>0</v>
      </c>
      <c r="I22" s="50">
        <v>5</v>
      </c>
      <c r="J22" s="50">
        <v>2</v>
      </c>
      <c r="K22" s="50">
        <v>1</v>
      </c>
      <c r="L22" s="50">
        <v>0</v>
      </c>
      <c r="M22" s="50">
        <v>120</v>
      </c>
      <c r="N22" s="50">
        <v>0</v>
      </c>
      <c r="O22" s="15">
        <f t="shared" si="0"/>
        <v>76</v>
      </c>
      <c r="P22" s="15">
        <f t="shared" si="1"/>
        <v>196</v>
      </c>
      <c r="R22" s="36" t="s">
        <v>146</v>
      </c>
      <c r="S22" s="34">
        <f>SUM(C58:C61)</f>
        <v>58</v>
      </c>
      <c r="T22" s="34">
        <f t="shared" ref="T22:AF22" si="14">SUM(D58:D61)</f>
        <v>14</v>
      </c>
      <c r="U22" s="34">
        <f t="shared" si="14"/>
        <v>23</v>
      </c>
      <c r="V22" s="34">
        <f t="shared" si="14"/>
        <v>35</v>
      </c>
      <c r="W22" s="34">
        <f t="shared" si="14"/>
        <v>1</v>
      </c>
      <c r="X22" s="34">
        <f t="shared" si="14"/>
        <v>0</v>
      </c>
      <c r="Y22" s="34">
        <f t="shared" si="14"/>
        <v>10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435</v>
      </c>
      <c r="AD22" s="34">
        <f t="shared" si="14"/>
        <v>0</v>
      </c>
      <c r="AE22" s="31">
        <f t="shared" si="14"/>
        <v>142</v>
      </c>
      <c r="AF22" s="31">
        <f t="shared" si="14"/>
        <v>577</v>
      </c>
    </row>
    <row r="23" spans="2:32" ht="23.1" customHeight="1" x14ac:dyDescent="0.25">
      <c r="B23" s="45" t="s">
        <v>50</v>
      </c>
      <c r="C23" s="50">
        <v>22</v>
      </c>
      <c r="D23" s="50">
        <v>21</v>
      </c>
      <c r="E23" s="50">
        <v>9</v>
      </c>
      <c r="F23" s="50">
        <v>28</v>
      </c>
      <c r="G23" s="50">
        <v>1</v>
      </c>
      <c r="H23" s="50">
        <v>0</v>
      </c>
      <c r="I23" s="50">
        <v>4</v>
      </c>
      <c r="J23" s="50">
        <v>2</v>
      </c>
      <c r="K23" s="50">
        <v>1</v>
      </c>
      <c r="L23" s="50">
        <v>0</v>
      </c>
      <c r="M23" s="50">
        <v>125</v>
      </c>
      <c r="N23" s="50">
        <v>0</v>
      </c>
      <c r="O23" s="15">
        <f t="shared" si="0"/>
        <v>88</v>
      </c>
      <c r="P23" s="15">
        <f t="shared" si="1"/>
        <v>213</v>
      </c>
      <c r="R23" s="36" t="s">
        <v>147</v>
      </c>
      <c r="S23" s="34">
        <f>SUM(C62:C65)</f>
        <v>68</v>
      </c>
      <c r="T23" s="34">
        <f t="shared" ref="T23:AF23" si="15">SUM(D62:D65)</f>
        <v>116</v>
      </c>
      <c r="U23" s="34">
        <f t="shared" si="15"/>
        <v>34</v>
      </c>
      <c r="V23" s="34">
        <f t="shared" si="15"/>
        <v>116</v>
      </c>
      <c r="W23" s="34">
        <f t="shared" si="15"/>
        <v>5</v>
      </c>
      <c r="X23" s="34">
        <f t="shared" si="15"/>
        <v>2</v>
      </c>
      <c r="Y23" s="34">
        <f t="shared" si="15"/>
        <v>10</v>
      </c>
      <c r="Z23" s="34">
        <f t="shared" si="15"/>
        <v>7</v>
      </c>
      <c r="AA23" s="34">
        <f t="shared" si="15"/>
        <v>13</v>
      </c>
      <c r="AB23" s="34">
        <f t="shared" si="15"/>
        <v>3</v>
      </c>
      <c r="AC23" s="34">
        <f t="shared" si="15"/>
        <v>660</v>
      </c>
      <c r="AD23" s="34">
        <f t="shared" si="15"/>
        <v>0</v>
      </c>
      <c r="AE23" s="31">
        <f t="shared" si="15"/>
        <v>374</v>
      </c>
      <c r="AF23" s="31">
        <f t="shared" si="15"/>
        <v>1034</v>
      </c>
    </row>
    <row r="24" spans="2:32" ht="23.1" customHeight="1" x14ac:dyDescent="0.25">
      <c r="B24" s="45" t="s">
        <v>51</v>
      </c>
      <c r="C24" s="50">
        <v>14</v>
      </c>
      <c r="D24" s="50">
        <v>6</v>
      </c>
      <c r="E24" s="50">
        <v>3</v>
      </c>
      <c r="F24" s="50">
        <v>15</v>
      </c>
      <c r="G24" s="50">
        <v>0</v>
      </c>
      <c r="H24" s="50">
        <v>0</v>
      </c>
      <c r="I24" s="50">
        <v>4</v>
      </c>
      <c r="J24" s="50">
        <v>1</v>
      </c>
      <c r="K24" s="50">
        <v>1</v>
      </c>
      <c r="L24" s="50">
        <v>0</v>
      </c>
      <c r="M24" s="50">
        <v>105</v>
      </c>
      <c r="N24" s="50">
        <v>0</v>
      </c>
      <c r="O24" s="15">
        <f t="shared" si="0"/>
        <v>44</v>
      </c>
      <c r="P24" s="15">
        <f t="shared" si="1"/>
        <v>149</v>
      </c>
      <c r="R24" s="36" t="s">
        <v>148</v>
      </c>
      <c r="S24" s="34">
        <f>SUM(C66:C69)</f>
        <v>41</v>
      </c>
      <c r="T24" s="34">
        <f t="shared" ref="T24:AF24" si="16">SUM(D66:D69)</f>
        <v>76</v>
      </c>
      <c r="U24" s="34">
        <f t="shared" si="16"/>
        <v>17</v>
      </c>
      <c r="V24" s="34">
        <f t="shared" si="16"/>
        <v>92</v>
      </c>
      <c r="W24" s="34">
        <f t="shared" si="16"/>
        <v>2</v>
      </c>
      <c r="X24" s="34">
        <f t="shared" si="16"/>
        <v>2</v>
      </c>
      <c r="Y24" s="34">
        <f t="shared" si="16"/>
        <v>15</v>
      </c>
      <c r="Z24" s="34">
        <f t="shared" si="16"/>
        <v>5</v>
      </c>
      <c r="AA24" s="34">
        <f t="shared" si="16"/>
        <v>2</v>
      </c>
      <c r="AB24" s="34">
        <f t="shared" si="16"/>
        <v>3</v>
      </c>
      <c r="AC24" s="34">
        <f t="shared" si="16"/>
        <v>525</v>
      </c>
      <c r="AD24" s="34">
        <f t="shared" si="16"/>
        <v>0</v>
      </c>
      <c r="AE24" s="31">
        <f t="shared" si="16"/>
        <v>255</v>
      </c>
      <c r="AF24" s="31">
        <f t="shared" si="16"/>
        <v>780</v>
      </c>
    </row>
    <row r="25" spans="2:32" ht="23.1" customHeight="1" x14ac:dyDescent="0.25">
      <c r="B25" s="45" t="s">
        <v>52</v>
      </c>
      <c r="C25" s="50">
        <v>23</v>
      </c>
      <c r="D25" s="50">
        <v>16</v>
      </c>
      <c r="E25" s="50">
        <v>2</v>
      </c>
      <c r="F25" s="50">
        <v>21</v>
      </c>
      <c r="G25" s="50">
        <v>1</v>
      </c>
      <c r="H25" s="50">
        <v>0</v>
      </c>
      <c r="I25" s="50">
        <v>7</v>
      </c>
      <c r="J25" s="50">
        <v>3</v>
      </c>
      <c r="K25" s="50">
        <v>0</v>
      </c>
      <c r="L25" s="50">
        <v>0</v>
      </c>
      <c r="M25" s="50">
        <v>140</v>
      </c>
      <c r="N25" s="50">
        <v>0</v>
      </c>
      <c r="O25" s="15">
        <f t="shared" si="0"/>
        <v>73</v>
      </c>
      <c r="P25" s="15">
        <f t="shared" si="1"/>
        <v>213</v>
      </c>
      <c r="R25" s="36" t="s">
        <v>149</v>
      </c>
      <c r="S25" s="34">
        <f>SUM(C70:C73)</f>
        <v>21</v>
      </c>
      <c r="T25" s="34">
        <f t="shared" ref="T25:AF25" si="17">SUM(D70:D73)</f>
        <v>24</v>
      </c>
      <c r="U25" s="34">
        <f t="shared" si="17"/>
        <v>7</v>
      </c>
      <c r="V25" s="34">
        <f t="shared" si="17"/>
        <v>34</v>
      </c>
      <c r="W25" s="34">
        <f t="shared" si="17"/>
        <v>0</v>
      </c>
      <c r="X25" s="34">
        <f t="shared" si="17"/>
        <v>0</v>
      </c>
      <c r="Y25" s="34">
        <f t="shared" si="17"/>
        <v>8</v>
      </c>
      <c r="Z25" s="34">
        <f t="shared" si="17"/>
        <v>4</v>
      </c>
      <c r="AA25" s="34">
        <f t="shared" si="17"/>
        <v>2</v>
      </c>
      <c r="AB25" s="34">
        <f t="shared" si="17"/>
        <v>0</v>
      </c>
      <c r="AC25" s="34">
        <f t="shared" si="17"/>
        <v>395</v>
      </c>
      <c r="AD25" s="34">
        <f t="shared" si="17"/>
        <v>0</v>
      </c>
      <c r="AE25" s="31">
        <f t="shared" si="17"/>
        <v>100</v>
      </c>
      <c r="AF25" s="31">
        <f t="shared" si="17"/>
        <v>495</v>
      </c>
    </row>
    <row r="26" spans="2:32" ht="23.1" customHeight="1" x14ac:dyDescent="0.25">
      <c r="B26" s="45" t="s">
        <v>53</v>
      </c>
      <c r="C26" s="50">
        <v>20</v>
      </c>
      <c r="D26" s="50">
        <v>8</v>
      </c>
      <c r="E26" s="50">
        <v>4</v>
      </c>
      <c r="F26" s="50">
        <v>27</v>
      </c>
      <c r="G26" s="50">
        <v>0</v>
      </c>
      <c r="H26" s="50">
        <v>0</v>
      </c>
      <c r="I26" s="50">
        <v>5</v>
      </c>
      <c r="J26" s="50">
        <v>1</v>
      </c>
      <c r="K26" s="50">
        <v>0</v>
      </c>
      <c r="L26" s="50">
        <v>10</v>
      </c>
      <c r="M26" s="50">
        <v>100</v>
      </c>
      <c r="N26" s="50">
        <v>0</v>
      </c>
      <c r="O26" s="15">
        <f t="shared" si="0"/>
        <v>75</v>
      </c>
      <c r="P26" s="15">
        <f t="shared" si="1"/>
        <v>175</v>
      </c>
      <c r="R26" s="36" t="s">
        <v>150</v>
      </c>
      <c r="S26" s="34">
        <f>SUM(C74:C77)</f>
        <v>15</v>
      </c>
      <c r="T26" s="34">
        <f t="shared" ref="T26:AF26" si="18">SUM(D74:D77)</f>
        <v>28</v>
      </c>
      <c r="U26" s="34">
        <f t="shared" si="18"/>
        <v>5</v>
      </c>
      <c r="V26" s="34">
        <f t="shared" si="18"/>
        <v>12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0</v>
      </c>
      <c r="AA26" s="34">
        <f t="shared" si="18"/>
        <v>0</v>
      </c>
      <c r="AB26" s="34">
        <f t="shared" si="18"/>
        <v>2</v>
      </c>
      <c r="AC26" s="34">
        <f t="shared" si="18"/>
        <v>310</v>
      </c>
      <c r="AD26" s="34">
        <f t="shared" si="18"/>
        <v>0</v>
      </c>
      <c r="AE26" s="31">
        <f t="shared" si="18"/>
        <v>66</v>
      </c>
      <c r="AF26" s="31">
        <f t="shared" si="18"/>
        <v>376</v>
      </c>
    </row>
    <row r="27" spans="2:32" ht="23.1" customHeight="1" x14ac:dyDescent="0.25">
      <c r="B27" s="45" t="s">
        <v>54</v>
      </c>
      <c r="C27" s="50">
        <v>13</v>
      </c>
      <c r="D27" s="50">
        <v>18</v>
      </c>
      <c r="E27" s="50">
        <v>6</v>
      </c>
      <c r="F27" s="50">
        <v>23</v>
      </c>
      <c r="G27" s="50">
        <v>0</v>
      </c>
      <c r="H27" s="50">
        <v>0</v>
      </c>
      <c r="I27" s="50">
        <v>7</v>
      </c>
      <c r="J27" s="50">
        <v>4</v>
      </c>
      <c r="K27" s="50">
        <v>1</v>
      </c>
      <c r="L27" s="50">
        <v>1</v>
      </c>
      <c r="M27" s="50">
        <v>133</v>
      </c>
      <c r="N27" s="50">
        <v>0</v>
      </c>
      <c r="O27" s="15">
        <f t="shared" si="0"/>
        <v>73</v>
      </c>
      <c r="P27" s="15">
        <f t="shared" si="1"/>
        <v>206</v>
      </c>
      <c r="R27" s="36" t="s">
        <v>151</v>
      </c>
      <c r="S27" s="34">
        <f>SUM(C78:C81)</f>
        <v>5</v>
      </c>
      <c r="T27" s="34">
        <f t="shared" ref="T27:AF27" si="19">SUM(D78:D81)</f>
        <v>18</v>
      </c>
      <c r="U27" s="34">
        <f t="shared" si="19"/>
        <v>1</v>
      </c>
      <c r="V27" s="34">
        <f t="shared" si="19"/>
        <v>5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1</v>
      </c>
      <c r="AA27" s="34">
        <f t="shared" si="19"/>
        <v>1</v>
      </c>
      <c r="AB27" s="34">
        <f t="shared" si="19"/>
        <v>0</v>
      </c>
      <c r="AC27" s="34">
        <f t="shared" si="19"/>
        <v>121</v>
      </c>
      <c r="AD27" s="34">
        <f t="shared" si="19"/>
        <v>0</v>
      </c>
      <c r="AE27" s="31">
        <f t="shared" si="19"/>
        <v>33</v>
      </c>
      <c r="AF27" s="31">
        <f t="shared" si="19"/>
        <v>154</v>
      </c>
    </row>
    <row r="28" spans="2:32" ht="23.1" customHeight="1" x14ac:dyDescent="0.25">
      <c r="B28" s="45" t="s">
        <v>55</v>
      </c>
      <c r="C28" s="50">
        <v>19</v>
      </c>
      <c r="D28" s="50">
        <v>18</v>
      </c>
      <c r="E28" s="50">
        <v>2</v>
      </c>
      <c r="F28" s="50">
        <v>17</v>
      </c>
      <c r="G28" s="50">
        <v>0</v>
      </c>
      <c r="H28" s="50">
        <v>0</v>
      </c>
      <c r="I28" s="50">
        <v>8</v>
      </c>
      <c r="J28" s="50">
        <v>3</v>
      </c>
      <c r="K28" s="50">
        <v>0</v>
      </c>
      <c r="L28" s="50">
        <v>2</v>
      </c>
      <c r="M28" s="50">
        <v>140</v>
      </c>
      <c r="N28" s="50">
        <v>0</v>
      </c>
      <c r="O28" s="15">
        <f t="shared" si="0"/>
        <v>69</v>
      </c>
      <c r="P28" s="15">
        <f t="shared" si="1"/>
        <v>209</v>
      </c>
      <c r="R28" s="36" t="s">
        <v>152</v>
      </c>
      <c r="S28" s="34">
        <f>SUM(C82:C85)</f>
        <v>37</v>
      </c>
      <c r="T28" s="34">
        <f t="shared" ref="T28:AF28" si="20">SUM(D82:D85)</f>
        <v>11</v>
      </c>
      <c r="U28" s="34">
        <f t="shared" si="20"/>
        <v>2</v>
      </c>
      <c r="V28" s="34">
        <f t="shared" si="20"/>
        <v>13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5</v>
      </c>
      <c r="AA28" s="34">
        <f t="shared" si="20"/>
        <v>1</v>
      </c>
      <c r="AB28" s="34">
        <f t="shared" si="20"/>
        <v>0</v>
      </c>
      <c r="AC28" s="34">
        <f t="shared" si="20"/>
        <v>152</v>
      </c>
      <c r="AD28" s="34">
        <f t="shared" si="20"/>
        <v>0</v>
      </c>
      <c r="AE28" s="31">
        <f t="shared" si="20"/>
        <v>70</v>
      </c>
      <c r="AF28" s="31">
        <f t="shared" si="20"/>
        <v>222</v>
      </c>
    </row>
    <row r="29" spans="2:32" ht="23.1" customHeight="1" x14ac:dyDescent="0.25">
      <c r="B29" s="45" t="s">
        <v>56</v>
      </c>
      <c r="C29" s="50">
        <v>18</v>
      </c>
      <c r="D29" s="50">
        <v>7</v>
      </c>
      <c r="E29" s="50">
        <v>13</v>
      </c>
      <c r="F29" s="50">
        <v>15</v>
      </c>
      <c r="G29" s="50">
        <v>0</v>
      </c>
      <c r="H29" s="50">
        <v>0</v>
      </c>
      <c r="I29" s="50">
        <v>15</v>
      </c>
      <c r="J29" s="50">
        <v>0</v>
      </c>
      <c r="K29" s="50">
        <v>1</v>
      </c>
      <c r="L29" s="50">
        <v>2</v>
      </c>
      <c r="M29" s="50">
        <v>117</v>
      </c>
      <c r="N29" s="50">
        <v>0</v>
      </c>
      <c r="O29" s="15">
        <f t="shared" si="0"/>
        <v>71</v>
      </c>
      <c r="P29" s="15">
        <f t="shared" si="1"/>
        <v>188</v>
      </c>
      <c r="R29" s="36" t="s">
        <v>153</v>
      </c>
      <c r="S29" s="34">
        <f>SUM(C86:C89)</f>
        <v>6</v>
      </c>
      <c r="T29" s="34">
        <f t="shared" ref="T29:AF29" si="21">SUM(D86:D89)</f>
        <v>11</v>
      </c>
      <c r="U29" s="34">
        <f t="shared" si="21"/>
        <v>1</v>
      </c>
      <c r="V29" s="34">
        <f t="shared" si="21"/>
        <v>7</v>
      </c>
      <c r="W29" s="34">
        <f t="shared" si="21"/>
        <v>0</v>
      </c>
      <c r="X29" s="34">
        <f t="shared" si="21"/>
        <v>0</v>
      </c>
      <c r="Y29" s="34">
        <f t="shared" si="21"/>
        <v>5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122</v>
      </c>
      <c r="AD29" s="34">
        <f t="shared" si="21"/>
        <v>0</v>
      </c>
      <c r="AE29" s="31">
        <f t="shared" si="21"/>
        <v>32</v>
      </c>
      <c r="AF29" s="31">
        <f t="shared" si="21"/>
        <v>154</v>
      </c>
    </row>
    <row r="30" spans="2:32" ht="23.1" customHeight="1" x14ac:dyDescent="0.25">
      <c r="B30" s="45" t="s">
        <v>57</v>
      </c>
      <c r="C30" s="50">
        <v>25</v>
      </c>
      <c r="D30" s="50">
        <v>3</v>
      </c>
      <c r="E30" s="50">
        <v>11</v>
      </c>
      <c r="F30" s="50">
        <v>20</v>
      </c>
      <c r="G30" s="50">
        <v>0</v>
      </c>
      <c r="H30" s="50">
        <v>0</v>
      </c>
      <c r="I30" s="50">
        <v>5</v>
      </c>
      <c r="J30" s="50">
        <v>1</v>
      </c>
      <c r="K30" s="50">
        <v>0</v>
      </c>
      <c r="L30" s="50">
        <v>2</v>
      </c>
      <c r="M30" s="50">
        <v>133</v>
      </c>
      <c r="N30" s="50">
        <v>0</v>
      </c>
      <c r="O30" s="15">
        <f t="shared" si="0"/>
        <v>67</v>
      </c>
      <c r="P30" s="15">
        <f t="shared" si="1"/>
        <v>200</v>
      </c>
      <c r="R30" s="36" t="s">
        <v>154</v>
      </c>
      <c r="S30" s="34">
        <f>SUM(C90:C93)</f>
        <v>8</v>
      </c>
      <c r="T30" s="34">
        <f t="shared" ref="T30:AF30" si="22">SUM(D90:D93)</f>
        <v>3</v>
      </c>
      <c r="U30" s="34">
        <f t="shared" si="22"/>
        <v>4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31</v>
      </c>
      <c r="AC30" s="34">
        <f t="shared" si="22"/>
        <v>68</v>
      </c>
      <c r="AD30" s="34">
        <f t="shared" si="22"/>
        <v>0</v>
      </c>
      <c r="AE30" s="31">
        <f t="shared" si="22"/>
        <v>50</v>
      </c>
      <c r="AF30" s="31">
        <f t="shared" si="22"/>
        <v>118</v>
      </c>
    </row>
    <row r="31" spans="2:32" ht="23.1" customHeight="1" x14ac:dyDescent="0.25">
      <c r="B31" s="46" t="s">
        <v>58</v>
      </c>
      <c r="C31" s="50">
        <v>28</v>
      </c>
      <c r="D31" s="50">
        <v>13</v>
      </c>
      <c r="E31" s="50">
        <v>4</v>
      </c>
      <c r="F31" s="50">
        <v>22</v>
      </c>
      <c r="G31" s="50">
        <v>0</v>
      </c>
      <c r="H31" s="50">
        <v>0</v>
      </c>
      <c r="I31" s="50">
        <v>13</v>
      </c>
      <c r="J31" s="50">
        <v>5</v>
      </c>
      <c r="K31" s="50">
        <v>1</v>
      </c>
      <c r="L31" s="50">
        <v>1</v>
      </c>
      <c r="M31" s="50">
        <v>115</v>
      </c>
      <c r="N31" s="50">
        <v>0</v>
      </c>
      <c r="O31" s="15">
        <f t="shared" si="0"/>
        <v>87</v>
      </c>
      <c r="P31" s="15">
        <f t="shared" si="1"/>
        <v>202</v>
      </c>
      <c r="R31" s="36" t="s">
        <v>155</v>
      </c>
      <c r="S31" s="34">
        <f>SUM(C94:C97)</f>
        <v>8</v>
      </c>
      <c r="T31" s="34">
        <f t="shared" ref="T31:AF31" si="23">SUM(D94:D97)</f>
        <v>7</v>
      </c>
      <c r="U31" s="34">
        <f t="shared" si="23"/>
        <v>0</v>
      </c>
      <c r="V31" s="34">
        <f t="shared" si="23"/>
        <v>10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118</v>
      </c>
      <c r="AD31" s="34">
        <f t="shared" si="23"/>
        <v>0</v>
      </c>
      <c r="AE31" s="31">
        <f t="shared" si="23"/>
        <v>28</v>
      </c>
      <c r="AF31" s="31">
        <f t="shared" si="23"/>
        <v>146</v>
      </c>
    </row>
    <row r="32" spans="2:32" ht="23.1" customHeight="1" x14ac:dyDescent="0.25">
      <c r="B32" s="46" t="s">
        <v>59</v>
      </c>
      <c r="C32" s="50">
        <v>13</v>
      </c>
      <c r="D32" s="50">
        <v>5</v>
      </c>
      <c r="E32" s="50">
        <v>6</v>
      </c>
      <c r="F32" s="50">
        <v>13</v>
      </c>
      <c r="G32" s="50">
        <v>0</v>
      </c>
      <c r="H32" s="50">
        <v>0</v>
      </c>
      <c r="I32" s="50">
        <v>8</v>
      </c>
      <c r="J32" s="50">
        <v>3</v>
      </c>
      <c r="K32" s="50">
        <v>0</v>
      </c>
      <c r="L32" s="50">
        <v>1</v>
      </c>
      <c r="M32" s="50">
        <v>120</v>
      </c>
      <c r="N32" s="50">
        <v>0</v>
      </c>
      <c r="O32" s="15">
        <f t="shared" si="0"/>
        <v>49</v>
      </c>
      <c r="P32" s="15">
        <f t="shared" si="1"/>
        <v>169</v>
      </c>
      <c r="R32" s="33" t="s">
        <v>156</v>
      </c>
      <c r="S32" s="34">
        <f>SUM(C98:C101)</f>
        <v>3</v>
      </c>
      <c r="T32" s="34">
        <f t="shared" ref="T32:AF32" si="24">SUM(D98:D101)</f>
        <v>7</v>
      </c>
      <c r="U32" s="34">
        <f t="shared" si="24"/>
        <v>0</v>
      </c>
      <c r="V32" s="34">
        <f t="shared" si="24"/>
        <v>19</v>
      </c>
      <c r="W32" s="34">
        <f t="shared" si="24"/>
        <v>0</v>
      </c>
      <c r="X32" s="34">
        <f t="shared" si="24"/>
        <v>1</v>
      </c>
      <c r="Y32" s="34">
        <f t="shared" si="24"/>
        <v>5</v>
      </c>
      <c r="Z32" s="34">
        <f t="shared" si="24"/>
        <v>9</v>
      </c>
      <c r="AA32" s="34">
        <f t="shared" si="24"/>
        <v>0</v>
      </c>
      <c r="AB32" s="34">
        <f t="shared" si="24"/>
        <v>0</v>
      </c>
      <c r="AC32" s="34">
        <f t="shared" si="24"/>
        <v>191</v>
      </c>
      <c r="AD32" s="34">
        <f t="shared" si="24"/>
        <v>0</v>
      </c>
      <c r="AE32" s="31">
        <f t="shared" si="24"/>
        <v>44</v>
      </c>
      <c r="AF32" s="31">
        <f t="shared" si="24"/>
        <v>235</v>
      </c>
    </row>
    <row r="33" spans="2:32" ht="23.1" customHeight="1" x14ac:dyDescent="0.25">
      <c r="B33" s="45" t="s">
        <v>60</v>
      </c>
      <c r="C33" s="50">
        <v>17</v>
      </c>
      <c r="D33" s="50">
        <v>8</v>
      </c>
      <c r="E33" s="50">
        <v>6</v>
      </c>
      <c r="F33" s="50">
        <v>16</v>
      </c>
      <c r="G33" s="50">
        <v>0</v>
      </c>
      <c r="H33" s="50">
        <v>0</v>
      </c>
      <c r="I33" s="50">
        <v>8</v>
      </c>
      <c r="J33" s="50">
        <v>2</v>
      </c>
      <c r="K33" s="50">
        <v>1</v>
      </c>
      <c r="L33" s="50">
        <v>0</v>
      </c>
      <c r="M33" s="50">
        <v>115</v>
      </c>
      <c r="N33" s="50">
        <v>0</v>
      </c>
      <c r="O33" s="15">
        <f t="shared" si="0"/>
        <v>58</v>
      </c>
      <c r="P33" s="15">
        <f t="shared" si="1"/>
        <v>173</v>
      </c>
      <c r="R33" s="33" t="s">
        <v>157</v>
      </c>
      <c r="S33" s="34">
        <f>SUM(C102:C105)</f>
        <v>7</v>
      </c>
      <c r="T33" s="34">
        <f t="shared" ref="T33:AF33" si="25">SUM(D102:D105)</f>
        <v>16</v>
      </c>
      <c r="U33" s="34">
        <f t="shared" si="25"/>
        <v>2</v>
      </c>
      <c r="V33" s="34">
        <f t="shared" si="25"/>
        <v>42</v>
      </c>
      <c r="W33" s="34">
        <f t="shared" si="25"/>
        <v>0</v>
      </c>
      <c r="X33" s="34">
        <f t="shared" si="25"/>
        <v>1</v>
      </c>
      <c r="Y33" s="34">
        <f t="shared" si="25"/>
        <v>5</v>
      </c>
      <c r="Z33" s="34">
        <f t="shared" si="25"/>
        <v>18</v>
      </c>
      <c r="AA33" s="34">
        <f t="shared" si="25"/>
        <v>0</v>
      </c>
      <c r="AB33" s="34">
        <f t="shared" si="25"/>
        <v>1</v>
      </c>
      <c r="AC33" s="34">
        <f t="shared" si="25"/>
        <v>300</v>
      </c>
      <c r="AD33" s="34">
        <f t="shared" si="25"/>
        <v>0</v>
      </c>
      <c r="AE33" s="31">
        <f t="shared" si="25"/>
        <v>92</v>
      </c>
      <c r="AF33" s="31">
        <f t="shared" si="25"/>
        <v>392</v>
      </c>
    </row>
    <row r="34" spans="2:32" ht="23.1" customHeight="1" x14ac:dyDescent="0.25">
      <c r="B34" s="46" t="s">
        <v>61</v>
      </c>
      <c r="C34" s="50">
        <v>22</v>
      </c>
      <c r="D34" s="50">
        <v>7</v>
      </c>
      <c r="E34" s="50">
        <v>5</v>
      </c>
      <c r="F34" s="50">
        <v>20</v>
      </c>
      <c r="G34" s="50">
        <v>0</v>
      </c>
      <c r="H34" s="50">
        <v>0</v>
      </c>
      <c r="I34" s="50">
        <v>7</v>
      </c>
      <c r="J34" s="50">
        <v>2</v>
      </c>
      <c r="K34" s="50">
        <v>0</v>
      </c>
      <c r="L34" s="50">
        <v>0</v>
      </c>
      <c r="M34" s="50">
        <v>135</v>
      </c>
      <c r="N34" s="50">
        <v>0</v>
      </c>
      <c r="O34" s="15">
        <f t="shared" si="0"/>
        <v>63</v>
      </c>
      <c r="P34" s="15">
        <f t="shared" si="1"/>
        <v>198</v>
      </c>
      <c r="R34" s="38" t="s">
        <v>90</v>
      </c>
      <c r="S34" s="39">
        <f t="shared" ref="S34:AF34" si="26">MAX(S10:S12)</f>
        <v>122</v>
      </c>
      <c r="T34" s="39">
        <f t="shared" si="26"/>
        <v>78</v>
      </c>
      <c r="U34" s="39">
        <f t="shared" si="26"/>
        <v>31</v>
      </c>
      <c r="V34" s="39">
        <f t="shared" si="26"/>
        <v>115</v>
      </c>
      <c r="W34" s="39">
        <f t="shared" si="26"/>
        <v>4</v>
      </c>
      <c r="X34" s="39">
        <f t="shared" si="26"/>
        <v>2</v>
      </c>
      <c r="Y34" s="39">
        <f t="shared" si="26"/>
        <v>25</v>
      </c>
      <c r="Z34" s="39">
        <f t="shared" si="26"/>
        <v>12</v>
      </c>
      <c r="AA34" s="39">
        <f t="shared" si="26"/>
        <v>2</v>
      </c>
      <c r="AB34" s="39">
        <f t="shared" si="26"/>
        <v>3</v>
      </c>
      <c r="AC34" s="39">
        <f t="shared" si="26"/>
        <v>646</v>
      </c>
      <c r="AD34" s="39">
        <f t="shared" si="26"/>
        <v>0</v>
      </c>
      <c r="AE34" s="40">
        <f t="shared" si="26"/>
        <v>389</v>
      </c>
      <c r="AF34" s="40">
        <f t="shared" si="26"/>
        <v>1035</v>
      </c>
    </row>
    <row r="35" spans="2:32" ht="23.1" customHeight="1" x14ac:dyDescent="0.25">
      <c r="B35" s="46" t="s">
        <v>62</v>
      </c>
      <c r="C35" s="50">
        <v>12</v>
      </c>
      <c r="D35" s="50">
        <v>3</v>
      </c>
      <c r="E35" s="50">
        <v>2</v>
      </c>
      <c r="F35" s="50">
        <v>13</v>
      </c>
      <c r="G35" s="50">
        <v>1</v>
      </c>
      <c r="H35" s="50">
        <v>0</v>
      </c>
      <c r="I35" s="50">
        <v>5</v>
      </c>
      <c r="J35" s="50">
        <v>2</v>
      </c>
      <c r="K35" s="50">
        <v>0</v>
      </c>
      <c r="L35" s="50">
        <v>0</v>
      </c>
      <c r="M35" s="50">
        <v>115</v>
      </c>
      <c r="N35" s="50">
        <v>0</v>
      </c>
      <c r="O35" s="15">
        <f t="shared" si="0"/>
        <v>38</v>
      </c>
      <c r="P35" s="15">
        <f t="shared" si="1"/>
        <v>153</v>
      </c>
      <c r="R35" s="38" t="s">
        <v>91</v>
      </c>
      <c r="S35" s="39">
        <f t="shared" ref="S35:AF35" si="27">MAX(S13:S18)</f>
        <v>133</v>
      </c>
      <c r="T35" s="39">
        <f t="shared" si="27"/>
        <v>73</v>
      </c>
      <c r="U35" s="39">
        <f t="shared" si="27"/>
        <v>35</v>
      </c>
      <c r="V35" s="39">
        <f t="shared" si="27"/>
        <v>101</v>
      </c>
      <c r="W35" s="39">
        <f t="shared" si="27"/>
        <v>4</v>
      </c>
      <c r="X35" s="39">
        <f t="shared" si="27"/>
        <v>0</v>
      </c>
      <c r="Y35" s="39">
        <f t="shared" si="27"/>
        <v>37</v>
      </c>
      <c r="Z35" s="39">
        <f t="shared" si="27"/>
        <v>12</v>
      </c>
      <c r="AA35" s="39">
        <f t="shared" si="27"/>
        <v>3</v>
      </c>
      <c r="AB35" s="39">
        <f t="shared" si="27"/>
        <v>15</v>
      </c>
      <c r="AC35" s="39">
        <f t="shared" si="27"/>
        <v>635</v>
      </c>
      <c r="AD35" s="39">
        <f t="shared" si="27"/>
        <v>0</v>
      </c>
      <c r="AE35" s="40">
        <f t="shared" si="27"/>
        <v>322</v>
      </c>
      <c r="AF35" s="40">
        <f t="shared" si="27"/>
        <v>957</v>
      </c>
    </row>
    <row r="36" spans="2:32" ht="23.1" customHeight="1" x14ac:dyDescent="0.25">
      <c r="B36" s="46" t="s">
        <v>63</v>
      </c>
      <c r="C36" s="50">
        <v>68</v>
      </c>
      <c r="D36" s="50">
        <v>1</v>
      </c>
      <c r="E36" s="50">
        <v>5</v>
      </c>
      <c r="F36" s="50">
        <v>43</v>
      </c>
      <c r="G36" s="50">
        <v>0</v>
      </c>
      <c r="H36" s="50">
        <v>0</v>
      </c>
      <c r="I36" s="50">
        <v>15</v>
      </c>
      <c r="J36" s="50">
        <v>5</v>
      </c>
      <c r="K36" s="50">
        <v>0</v>
      </c>
      <c r="L36" s="50">
        <v>0</v>
      </c>
      <c r="M36" s="50">
        <v>220</v>
      </c>
      <c r="N36" s="50">
        <v>0</v>
      </c>
      <c r="O36" s="15">
        <f t="shared" si="0"/>
        <v>137</v>
      </c>
      <c r="P36" s="15">
        <f t="shared" si="1"/>
        <v>357</v>
      </c>
      <c r="R36" s="38" t="s">
        <v>92</v>
      </c>
      <c r="S36" s="39">
        <f t="shared" ref="S36:AF36" si="28">MAX(S19:S21)</f>
        <v>99</v>
      </c>
      <c r="T36" s="39">
        <f t="shared" si="28"/>
        <v>49</v>
      </c>
      <c r="U36" s="39">
        <f t="shared" si="28"/>
        <v>33</v>
      </c>
      <c r="V36" s="39">
        <f t="shared" si="28"/>
        <v>80</v>
      </c>
      <c r="W36" s="39">
        <f t="shared" si="28"/>
        <v>1</v>
      </c>
      <c r="X36" s="39">
        <f t="shared" si="28"/>
        <v>2</v>
      </c>
      <c r="Y36" s="39">
        <f t="shared" si="28"/>
        <v>40</v>
      </c>
      <c r="Z36" s="39">
        <f t="shared" si="28"/>
        <v>12</v>
      </c>
      <c r="AA36" s="39">
        <f t="shared" si="28"/>
        <v>6</v>
      </c>
      <c r="AB36" s="39">
        <f t="shared" si="28"/>
        <v>2</v>
      </c>
      <c r="AC36" s="39">
        <f t="shared" si="28"/>
        <v>428</v>
      </c>
      <c r="AD36" s="39">
        <f t="shared" si="28"/>
        <v>0</v>
      </c>
      <c r="AE36" s="40">
        <f t="shared" si="28"/>
        <v>316</v>
      </c>
      <c r="AF36" s="40">
        <f t="shared" si="28"/>
        <v>744</v>
      </c>
    </row>
    <row r="37" spans="2:32" ht="23.1" customHeight="1" x14ac:dyDescent="0.25">
      <c r="B37" s="45" t="s">
        <v>64</v>
      </c>
      <c r="C37" s="50">
        <v>31</v>
      </c>
      <c r="D37" s="50">
        <v>15</v>
      </c>
      <c r="E37" s="50">
        <v>6</v>
      </c>
      <c r="F37" s="50">
        <v>25</v>
      </c>
      <c r="G37" s="50">
        <v>0</v>
      </c>
      <c r="H37" s="50">
        <v>0</v>
      </c>
      <c r="I37" s="50">
        <v>5</v>
      </c>
      <c r="J37" s="50">
        <v>2</v>
      </c>
      <c r="K37" s="50">
        <v>0</v>
      </c>
      <c r="L37" s="50">
        <v>0</v>
      </c>
      <c r="M37" s="50">
        <v>165</v>
      </c>
      <c r="N37" s="50">
        <v>0</v>
      </c>
      <c r="O37" s="15">
        <f t="shared" si="0"/>
        <v>84</v>
      </c>
      <c r="P37" s="15">
        <f t="shared" si="1"/>
        <v>249</v>
      </c>
      <c r="R37" s="37" t="s">
        <v>85</v>
      </c>
      <c r="S37" s="35">
        <f t="shared" ref="S37:AF37" si="29">SUM(S10:S12)</f>
        <v>263</v>
      </c>
      <c r="T37" s="16">
        <f t="shared" si="29"/>
        <v>160</v>
      </c>
      <c r="U37" s="16">
        <f t="shared" si="29"/>
        <v>70</v>
      </c>
      <c r="V37" s="16">
        <f t="shared" si="29"/>
        <v>311</v>
      </c>
      <c r="W37" s="16">
        <f t="shared" si="29"/>
        <v>6</v>
      </c>
      <c r="X37" s="16">
        <f t="shared" si="29"/>
        <v>4</v>
      </c>
      <c r="Y37" s="16">
        <f t="shared" si="29"/>
        <v>60</v>
      </c>
      <c r="Z37" s="16">
        <f t="shared" si="29"/>
        <v>29</v>
      </c>
      <c r="AA37" s="16">
        <f t="shared" si="29"/>
        <v>3</v>
      </c>
      <c r="AB37" s="16">
        <f t="shared" si="29"/>
        <v>4</v>
      </c>
      <c r="AC37" s="16">
        <f t="shared" si="29"/>
        <v>1712</v>
      </c>
      <c r="AD37" s="16">
        <f t="shared" si="29"/>
        <v>0</v>
      </c>
      <c r="AE37" s="32">
        <f t="shared" si="29"/>
        <v>910</v>
      </c>
      <c r="AF37" s="32">
        <f t="shared" si="29"/>
        <v>2622</v>
      </c>
    </row>
    <row r="38" spans="2:32" ht="23.1" customHeight="1" x14ac:dyDescent="0.25">
      <c r="B38" s="46" t="s">
        <v>65</v>
      </c>
      <c r="C38" s="50">
        <v>11</v>
      </c>
      <c r="D38" s="50">
        <v>6</v>
      </c>
      <c r="E38" s="50">
        <v>3</v>
      </c>
      <c r="F38" s="50">
        <v>11</v>
      </c>
      <c r="G38" s="50">
        <v>0</v>
      </c>
      <c r="H38" s="50">
        <v>0</v>
      </c>
      <c r="I38" s="50">
        <v>4</v>
      </c>
      <c r="J38" s="50">
        <v>6</v>
      </c>
      <c r="K38" s="50">
        <v>0</v>
      </c>
      <c r="L38" s="50">
        <v>0</v>
      </c>
      <c r="M38" s="50">
        <v>95</v>
      </c>
      <c r="N38" s="50">
        <v>0</v>
      </c>
      <c r="O38" s="15">
        <f t="shared" si="0"/>
        <v>41</v>
      </c>
      <c r="P38" s="15">
        <f t="shared" si="1"/>
        <v>136</v>
      </c>
      <c r="R38" s="28" t="s">
        <v>86</v>
      </c>
      <c r="S38" s="16">
        <f t="shared" ref="S38:AF38" si="30">SUM(S13:S18)</f>
        <v>473</v>
      </c>
      <c r="T38" s="16">
        <f t="shared" si="30"/>
        <v>270</v>
      </c>
      <c r="U38" s="16">
        <f t="shared" si="30"/>
        <v>151</v>
      </c>
      <c r="V38" s="16">
        <f t="shared" si="30"/>
        <v>447</v>
      </c>
      <c r="W38" s="16">
        <f t="shared" si="30"/>
        <v>6</v>
      </c>
      <c r="X38" s="16">
        <f t="shared" si="30"/>
        <v>0</v>
      </c>
      <c r="Y38" s="16">
        <f t="shared" si="30"/>
        <v>177</v>
      </c>
      <c r="Z38" s="16">
        <f t="shared" si="30"/>
        <v>58</v>
      </c>
      <c r="AA38" s="16">
        <f t="shared" si="30"/>
        <v>10</v>
      </c>
      <c r="AB38" s="16">
        <f t="shared" si="30"/>
        <v>20</v>
      </c>
      <c r="AC38" s="16">
        <f t="shared" si="30"/>
        <v>2958</v>
      </c>
      <c r="AD38" s="16">
        <f t="shared" si="30"/>
        <v>0</v>
      </c>
      <c r="AE38" s="32">
        <f t="shared" si="30"/>
        <v>1612</v>
      </c>
      <c r="AF38" s="32">
        <f t="shared" si="30"/>
        <v>4570</v>
      </c>
    </row>
    <row r="39" spans="2:32" ht="23.1" customHeight="1" x14ac:dyDescent="0.25">
      <c r="B39" s="46" t="s">
        <v>66</v>
      </c>
      <c r="C39" s="50">
        <v>14</v>
      </c>
      <c r="D39" s="50">
        <v>13</v>
      </c>
      <c r="E39" s="50">
        <v>10</v>
      </c>
      <c r="F39" s="50">
        <v>10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120</v>
      </c>
      <c r="N39" s="50">
        <v>0</v>
      </c>
      <c r="O39" s="15">
        <f t="shared" si="0"/>
        <v>51</v>
      </c>
      <c r="P39" s="15">
        <f t="shared" si="1"/>
        <v>171</v>
      </c>
      <c r="R39" s="29" t="s">
        <v>87</v>
      </c>
      <c r="S39" s="16">
        <f t="shared" ref="S39:AF39" si="31">SUM(S19:S21)</f>
        <v>219</v>
      </c>
      <c r="T39" s="16">
        <f t="shared" si="31"/>
        <v>110</v>
      </c>
      <c r="U39" s="16">
        <f t="shared" si="31"/>
        <v>55</v>
      </c>
      <c r="V39" s="16">
        <f t="shared" si="31"/>
        <v>177</v>
      </c>
      <c r="W39" s="16">
        <f t="shared" si="31"/>
        <v>1</v>
      </c>
      <c r="X39" s="16">
        <f t="shared" si="31"/>
        <v>2</v>
      </c>
      <c r="Y39" s="16">
        <f t="shared" si="31"/>
        <v>76</v>
      </c>
      <c r="Z39" s="16">
        <f t="shared" si="31"/>
        <v>26</v>
      </c>
      <c r="AA39" s="16">
        <f t="shared" si="31"/>
        <v>14</v>
      </c>
      <c r="AB39" s="16">
        <f t="shared" si="31"/>
        <v>3</v>
      </c>
      <c r="AC39" s="16">
        <f t="shared" si="31"/>
        <v>1041</v>
      </c>
      <c r="AD39" s="16">
        <f t="shared" si="31"/>
        <v>0</v>
      </c>
      <c r="AE39" s="32">
        <f t="shared" si="31"/>
        <v>683</v>
      </c>
      <c r="AF39" s="32">
        <f t="shared" si="31"/>
        <v>1724</v>
      </c>
    </row>
    <row r="40" spans="2:32" ht="23.1" customHeight="1" x14ac:dyDescent="0.25">
      <c r="B40" s="46" t="s">
        <v>67</v>
      </c>
      <c r="C40" s="50">
        <v>12</v>
      </c>
      <c r="D40" s="50">
        <v>6</v>
      </c>
      <c r="E40" s="50">
        <v>8</v>
      </c>
      <c r="F40" s="50">
        <v>13</v>
      </c>
      <c r="G40" s="50">
        <v>1</v>
      </c>
      <c r="H40" s="50">
        <v>0</v>
      </c>
      <c r="I40" s="50">
        <v>5</v>
      </c>
      <c r="J40" s="50">
        <v>3</v>
      </c>
      <c r="K40" s="50">
        <v>0</v>
      </c>
      <c r="L40" s="50">
        <v>1</v>
      </c>
      <c r="M40" s="50">
        <v>105</v>
      </c>
      <c r="N40" s="50">
        <v>0</v>
      </c>
      <c r="O40" s="15">
        <f t="shared" si="0"/>
        <v>49</v>
      </c>
      <c r="P40" s="15">
        <f t="shared" si="1"/>
        <v>154</v>
      </c>
      <c r="R40" s="5" t="s">
        <v>17</v>
      </c>
      <c r="S40" s="16">
        <f t="shared" ref="S40:AF40" si="32">SUM(S10:S21)</f>
        <v>955</v>
      </c>
      <c r="T40" s="16">
        <f t="shared" si="32"/>
        <v>540</v>
      </c>
      <c r="U40" s="16">
        <f t="shared" si="32"/>
        <v>276</v>
      </c>
      <c r="V40" s="16">
        <f t="shared" si="32"/>
        <v>935</v>
      </c>
      <c r="W40" s="16">
        <f t="shared" si="32"/>
        <v>13</v>
      </c>
      <c r="X40" s="16">
        <f t="shared" si="32"/>
        <v>6</v>
      </c>
      <c r="Y40" s="16">
        <f t="shared" si="32"/>
        <v>313</v>
      </c>
      <c r="Z40" s="16">
        <f t="shared" si="32"/>
        <v>113</v>
      </c>
      <c r="AA40" s="16">
        <f t="shared" si="32"/>
        <v>27</v>
      </c>
      <c r="AB40" s="16">
        <f t="shared" si="32"/>
        <v>27</v>
      </c>
      <c r="AC40" s="16">
        <f t="shared" si="32"/>
        <v>5711</v>
      </c>
      <c r="AD40" s="16">
        <f t="shared" si="32"/>
        <v>0</v>
      </c>
      <c r="AE40" s="32">
        <f t="shared" si="32"/>
        <v>3205</v>
      </c>
      <c r="AF40" s="32">
        <f t="shared" si="32"/>
        <v>8916</v>
      </c>
    </row>
    <row r="41" spans="2:32" ht="23.1" customHeight="1" x14ac:dyDescent="0.25">
      <c r="B41" s="45" t="s">
        <v>68</v>
      </c>
      <c r="C41" s="50">
        <v>12</v>
      </c>
      <c r="D41" s="50">
        <v>10</v>
      </c>
      <c r="E41" s="50">
        <v>14</v>
      </c>
      <c r="F41" s="50">
        <v>15</v>
      </c>
      <c r="G41" s="50">
        <v>0</v>
      </c>
      <c r="H41" s="50">
        <v>0</v>
      </c>
      <c r="I41" s="50">
        <v>7</v>
      </c>
      <c r="J41" s="50">
        <v>2</v>
      </c>
      <c r="K41" s="50">
        <v>2</v>
      </c>
      <c r="L41" s="50">
        <v>0</v>
      </c>
      <c r="M41" s="50">
        <v>95</v>
      </c>
      <c r="N41" s="50">
        <v>0</v>
      </c>
      <c r="O41" s="15">
        <f t="shared" si="0"/>
        <v>62</v>
      </c>
      <c r="P41" s="15">
        <f t="shared" si="1"/>
        <v>157</v>
      </c>
      <c r="R41" s="5" t="s">
        <v>159</v>
      </c>
      <c r="S41" s="16">
        <f>SUM(S10:S33)</f>
        <v>1232</v>
      </c>
      <c r="T41" s="16">
        <f t="shared" ref="T41:AF41" si="33">SUM(T10:T33)</f>
        <v>871</v>
      </c>
      <c r="U41" s="16">
        <f t="shared" si="33"/>
        <v>372</v>
      </c>
      <c r="V41" s="16">
        <f t="shared" si="33"/>
        <v>1323</v>
      </c>
      <c r="W41" s="16">
        <f t="shared" si="33"/>
        <v>21</v>
      </c>
      <c r="X41" s="16">
        <f t="shared" si="33"/>
        <v>12</v>
      </c>
      <c r="Y41" s="16">
        <f t="shared" si="33"/>
        <v>381</v>
      </c>
      <c r="Z41" s="16">
        <f t="shared" si="33"/>
        <v>165</v>
      </c>
      <c r="AA41" s="16">
        <f t="shared" si="33"/>
        <v>47</v>
      </c>
      <c r="AB41" s="16">
        <f t="shared" si="33"/>
        <v>67</v>
      </c>
      <c r="AC41" s="16">
        <f t="shared" si="33"/>
        <v>9108</v>
      </c>
      <c r="AD41" s="16">
        <f t="shared" si="33"/>
        <v>0</v>
      </c>
      <c r="AE41" s="32">
        <f t="shared" si="33"/>
        <v>4491</v>
      </c>
      <c r="AF41" s="32">
        <f t="shared" si="33"/>
        <v>13599</v>
      </c>
    </row>
    <row r="42" spans="2:32" ht="23.1" customHeight="1" x14ac:dyDescent="0.25">
      <c r="B42" s="46" t="s">
        <v>69</v>
      </c>
      <c r="C42" s="50">
        <v>15</v>
      </c>
      <c r="D42" s="50">
        <v>19</v>
      </c>
      <c r="E42" s="50">
        <v>6</v>
      </c>
      <c r="F42" s="50">
        <v>24</v>
      </c>
      <c r="G42" s="50">
        <v>0</v>
      </c>
      <c r="H42" s="50">
        <v>0</v>
      </c>
      <c r="I42" s="50">
        <v>10</v>
      </c>
      <c r="J42" s="50">
        <v>4</v>
      </c>
      <c r="K42" s="50">
        <v>0</v>
      </c>
      <c r="L42" s="50">
        <v>0</v>
      </c>
      <c r="M42" s="50">
        <v>92</v>
      </c>
      <c r="N42" s="50">
        <v>0</v>
      </c>
      <c r="O42" s="15">
        <f t="shared" si="0"/>
        <v>78</v>
      </c>
      <c r="P42" s="15">
        <f t="shared" si="1"/>
        <v>170</v>
      </c>
      <c r="R42" s="5" t="s">
        <v>160</v>
      </c>
      <c r="S42" s="48">
        <f>S41/S40</f>
        <v>1.2900523560209425</v>
      </c>
      <c r="T42" s="48">
        <f t="shared" ref="T42:AF42" si="34">T41/T40</f>
        <v>1.6129629629629629</v>
      </c>
      <c r="U42" s="48">
        <f t="shared" si="34"/>
        <v>1.3478260869565217</v>
      </c>
      <c r="V42" s="48">
        <f t="shared" si="34"/>
        <v>1.4149732620320856</v>
      </c>
      <c r="W42" s="48">
        <f t="shared" si="34"/>
        <v>1.6153846153846154</v>
      </c>
      <c r="X42" s="48">
        <f t="shared" si="34"/>
        <v>2</v>
      </c>
      <c r="Y42" s="48">
        <f t="shared" si="34"/>
        <v>1.2172523961661341</v>
      </c>
      <c r="Z42" s="48">
        <f t="shared" si="34"/>
        <v>1.4601769911504425</v>
      </c>
      <c r="AA42" s="48">
        <f t="shared" si="34"/>
        <v>1.7407407407407407</v>
      </c>
      <c r="AB42" s="48">
        <f t="shared" si="34"/>
        <v>2.4814814814814814</v>
      </c>
      <c r="AC42" s="48">
        <f t="shared" si="34"/>
        <v>1.5948170197863771</v>
      </c>
      <c r="AD42" s="48" t="e">
        <f t="shared" si="34"/>
        <v>#DIV/0!</v>
      </c>
      <c r="AE42" s="48">
        <f t="shared" si="34"/>
        <v>1.4012480499219968</v>
      </c>
      <c r="AF42" s="48">
        <f t="shared" si="34"/>
        <v>1.5252355316285329</v>
      </c>
    </row>
    <row r="43" spans="2:32" ht="23.1" customHeight="1" x14ac:dyDescent="0.25">
      <c r="B43" s="45" t="s">
        <v>70</v>
      </c>
      <c r="C43" s="50">
        <v>12</v>
      </c>
      <c r="D43" s="50">
        <v>28</v>
      </c>
      <c r="E43" s="50">
        <v>9</v>
      </c>
      <c r="F43" s="50">
        <v>10</v>
      </c>
      <c r="G43" s="50">
        <v>0</v>
      </c>
      <c r="H43" s="50">
        <v>0</v>
      </c>
      <c r="I43" s="50">
        <v>13</v>
      </c>
      <c r="J43" s="50">
        <v>0</v>
      </c>
      <c r="K43" s="50">
        <v>1</v>
      </c>
      <c r="L43" s="50">
        <v>0</v>
      </c>
      <c r="M43" s="50">
        <v>133</v>
      </c>
      <c r="N43" s="50">
        <v>0</v>
      </c>
      <c r="O43" s="15">
        <f t="shared" si="0"/>
        <v>73</v>
      </c>
      <c r="P43" s="15">
        <f t="shared" si="1"/>
        <v>206</v>
      </c>
    </row>
    <row r="44" spans="2:32" ht="23.1" customHeight="1" x14ac:dyDescent="0.25">
      <c r="B44" s="47" t="s">
        <v>71</v>
      </c>
      <c r="C44" s="50">
        <v>11</v>
      </c>
      <c r="D44" s="50">
        <v>14</v>
      </c>
      <c r="E44" s="50">
        <v>3</v>
      </c>
      <c r="F44" s="50">
        <v>11</v>
      </c>
      <c r="G44" s="50">
        <v>0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120</v>
      </c>
      <c r="N44" s="50">
        <v>0</v>
      </c>
      <c r="O44" s="15">
        <f t="shared" si="0"/>
        <v>43</v>
      </c>
      <c r="P44" s="15">
        <f t="shared" si="1"/>
        <v>163</v>
      </c>
    </row>
    <row r="45" spans="2:32" ht="23.1" customHeight="1" x14ac:dyDescent="0.25">
      <c r="B45" s="45" t="s">
        <v>72</v>
      </c>
      <c r="C45" s="50">
        <v>17</v>
      </c>
      <c r="D45" s="50">
        <v>12</v>
      </c>
      <c r="E45" s="50">
        <v>8</v>
      </c>
      <c r="F45" s="50">
        <v>12</v>
      </c>
      <c r="G45" s="50">
        <v>0</v>
      </c>
      <c r="H45" s="50">
        <v>0</v>
      </c>
      <c r="I45" s="50">
        <v>10</v>
      </c>
      <c r="J45" s="50">
        <v>4</v>
      </c>
      <c r="K45" s="50">
        <v>0</v>
      </c>
      <c r="L45" s="50">
        <v>0</v>
      </c>
      <c r="M45" s="50">
        <v>100</v>
      </c>
      <c r="N45" s="50">
        <v>0</v>
      </c>
      <c r="O45" s="15">
        <f t="shared" si="0"/>
        <v>63</v>
      </c>
      <c r="P45" s="15">
        <f t="shared" si="1"/>
        <v>163</v>
      </c>
    </row>
    <row r="46" spans="2:32" ht="23.1" customHeight="1" x14ac:dyDescent="0.25">
      <c r="B46" s="46" t="s">
        <v>73</v>
      </c>
      <c r="C46" s="50">
        <v>14</v>
      </c>
      <c r="D46" s="50">
        <v>3</v>
      </c>
      <c r="E46" s="50">
        <v>3</v>
      </c>
      <c r="F46" s="50">
        <v>11</v>
      </c>
      <c r="G46" s="50">
        <v>0</v>
      </c>
      <c r="H46" s="50">
        <v>0</v>
      </c>
      <c r="I46" s="50">
        <v>6</v>
      </c>
      <c r="J46" s="50">
        <v>4</v>
      </c>
      <c r="K46" s="50">
        <v>0</v>
      </c>
      <c r="L46" s="50">
        <v>2</v>
      </c>
      <c r="M46" s="50">
        <v>47</v>
      </c>
      <c r="N46" s="50">
        <v>0</v>
      </c>
      <c r="O46" s="15">
        <f t="shared" si="0"/>
        <v>43</v>
      </c>
      <c r="P46" s="15">
        <f t="shared" si="1"/>
        <v>90</v>
      </c>
      <c r="R46" s="8"/>
      <c r="T46"/>
    </row>
    <row r="47" spans="2:32" ht="23.1" customHeight="1" x14ac:dyDescent="0.25">
      <c r="B47" s="46" t="s">
        <v>74</v>
      </c>
      <c r="C47" s="50">
        <v>23</v>
      </c>
      <c r="D47" s="50">
        <v>11</v>
      </c>
      <c r="E47" s="50">
        <v>2</v>
      </c>
      <c r="F47" s="50">
        <v>12</v>
      </c>
      <c r="G47" s="50">
        <v>0</v>
      </c>
      <c r="H47" s="50">
        <v>0</v>
      </c>
      <c r="I47" s="50">
        <v>7</v>
      </c>
      <c r="J47" s="50">
        <v>3</v>
      </c>
      <c r="K47" s="50">
        <v>2</v>
      </c>
      <c r="L47" s="50">
        <v>0</v>
      </c>
      <c r="M47" s="50">
        <v>75</v>
      </c>
      <c r="N47" s="50">
        <v>0</v>
      </c>
      <c r="O47" s="15">
        <f t="shared" si="0"/>
        <v>60</v>
      </c>
      <c r="P47" s="15">
        <f t="shared" si="1"/>
        <v>135</v>
      </c>
      <c r="R47" s="8"/>
      <c r="T47"/>
    </row>
    <row r="48" spans="2:32" ht="23.1" customHeight="1" x14ac:dyDescent="0.25">
      <c r="B48" s="46" t="s">
        <v>75</v>
      </c>
      <c r="C48" s="50">
        <v>33</v>
      </c>
      <c r="D48" s="50">
        <v>14</v>
      </c>
      <c r="E48" s="50">
        <v>6</v>
      </c>
      <c r="F48" s="50">
        <v>13</v>
      </c>
      <c r="G48" s="50">
        <v>0</v>
      </c>
      <c r="H48" s="50">
        <v>0</v>
      </c>
      <c r="I48" s="50">
        <v>11</v>
      </c>
      <c r="J48" s="50">
        <v>3</v>
      </c>
      <c r="K48" s="50">
        <v>3</v>
      </c>
      <c r="L48" s="50">
        <v>0</v>
      </c>
      <c r="M48" s="50">
        <v>92</v>
      </c>
      <c r="N48" s="50">
        <v>0</v>
      </c>
      <c r="O48" s="15">
        <f t="shared" si="0"/>
        <v>83</v>
      </c>
      <c r="P48" s="15">
        <f t="shared" si="1"/>
        <v>175</v>
      </c>
      <c r="R48" s="8"/>
      <c r="T48"/>
    </row>
    <row r="49" spans="2:20" ht="23.1" customHeight="1" x14ac:dyDescent="0.25">
      <c r="B49" s="45" t="s">
        <v>76</v>
      </c>
      <c r="C49" s="50">
        <v>16</v>
      </c>
      <c r="D49" s="50">
        <v>15</v>
      </c>
      <c r="E49" s="50">
        <v>8</v>
      </c>
      <c r="F49" s="50">
        <v>12</v>
      </c>
      <c r="G49" s="50">
        <v>0</v>
      </c>
      <c r="H49" s="50">
        <v>0</v>
      </c>
      <c r="I49" s="50">
        <v>7</v>
      </c>
      <c r="J49" s="50">
        <v>2</v>
      </c>
      <c r="K49" s="50">
        <v>0</v>
      </c>
      <c r="L49" s="50">
        <v>0</v>
      </c>
      <c r="M49" s="50">
        <v>79</v>
      </c>
      <c r="N49" s="50">
        <v>0</v>
      </c>
      <c r="O49" s="15">
        <f t="shared" si="0"/>
        <v>60</v>
      </c>
      <c r="P49" s="15">
        <f t="shared" si="1"/>
        <v>139</v>
      </c>
      <c r="R49" s="8"/>
      <c r="T49"/>
    </row>
    <row r="50" spans="2:20" ht="23.1" customHeight="1" x14ac:dyDescent="0.25">
      <c r="B50" s="46" t="s">
        <v>77</v>
      </c>
      <c r="C50" s="50">
        <v>41</v>
      </c>
      <c r="D50" s="50">
        <v>11</v>
      </c>
      <c r="E50" s="50">
        <v>15</v>
      </c>
      <c r="F50" s="50">
        <v>31</v>
      </c>
      <c r="G50" s="50">
        <v>0</v>
      </c>
      <c r="H50" s="50">
        <v>2</v>
      </c>
      <c r="I50" s="50">
        <v>13</v>
      </c>
      <c r="J50" s="50">
        <v>1</v>
      </c>
      <c r="K50" s="50">
        <v>3</v>
      </c>
      <c r="L50" s="50">
        <v>0</v>
      </c>
      <c r="M50" s="50">
        <v>170</v>
      </c>
      <c r="N50" s="50">
        <v>0</v>
      </c>
      <c r="O50" s="15">
        <f t="shared" si="0"/>
        <v>117</v>
      </c>
      <c r="P50" s="15">
        <f t="shared" si="1"/>
        <v>287</v>
      </c>
      <c r="R50" s="8"/>
      <c r="T50"/>
    </row>
    <row r="51" spans="2:20" ht="23.1" customHeight="1" x14ac:dyDescent="0.25">
      <c r="B51" s="46" t="s">
        <v>78</v>
      </c>
      <c r="C51" s="50">
        <v>20</v>
      </c>
      <c r="D51" s="50">
        <v>18</v>
      </c>
      <c r="E51" s="50">
        <v>4</v>
      </c>
      <c r="F51" s="50">
        <v>11</v>
      </c>
      <c r="G51" s="50">
        <v>0</v>
      </c>
      <c r="H51" s="50">
        <v>0</v>
      </c>
      <c r="I51" s="50">
        <v>7</v>
      </c>
      <c r="J51" s="50">
        <v>2</v>
      </c>
      <c r="K51" s="50">
        <v>0</v>
      </c>
      <c r="L51" s="50">
        <v>0</v>
      </c>
      <c r="M51" s="50">
        <v>77</v>
      </c>
      <c r="N51" s="50">
        <v>0</v>
      </c>
      <c r="O51" s="15">
        <f t="shared" si="0"/>
        <v>62</v>
      </c>
      <c r="P51" s="15">
        <f t="shared" si="1"/>
        <v>139</v>
      </c>
      <c r="R51" s="8"/>
      <c r="T51"/>
    </row>
    <row r="52" spans="2:20" ht="23.1" customHeight="1" x14ac:dyDescent="0.25">
      <c r="B52" s="46" t="s">
        <v>79</v>
      </c>
      <c r="C52" s="50">
        <v>19</v>
      </c>
      <c r="D52" s="50">
        <v>13</v>
      </c>
      <c r="E52" s="50">
        <v>8</v>
      </c>
      <c r="F52" s="50">
        <v>16</v>
      </c>
      <c r="G52" s="50">
        <v>1</v>
      </c>
      <c r="H52" s="50">
        <v>0</v>
      </c>
      <c r="I52" s="50">
        <v>12</v>
      </c>
      <c r="J52" s="50">
        <v>0</v>
      </c>
      <c r="K52" s="50">
        <v>0</v>
      </c>
      <c r="L52" s="50">
        <v>1</v>
      </c>
      <c r="M52" s="50">
        <v>95</v>
      </c>
      <c r="N52" s="50">
        <v>0</v>
      </c>
      <c r="O52" s="15">
        <f t="shared" si="0"/>
        <v>70</v>
      </c>
      <c r="P52" s="15">
        <f t="shared" si="1"/>
        <v>165</v>
      </c>
      <c r="R52" s="8"/>
      <c r="T52"/>
    </row>
    <row r="53" spans="2:20" ht="23.1" customHeight="1" x14ac:dyDescent="0.25">
      <c r="B53" s="45" t="s">
        <v>80</v>
      </c>
      <c r="C53" s="50">
        <v>19</v>
      </c>
      <c r="D53" s="50">
        <v>7</v>
      </c>
      <c r="E53" s="50">
        <v>6</v>
      </c>
      <c r="F53" s="50">
        <v>22</v>
      </c>
      <c r="G53" s="50">
        <v>0</v>
      </c>
      <c r="H53" s="50">
        <v>0</v>
      </c>
      <c r="I53" s="50">
        <v>8</v>
      </c>
      <c r="J53" s="50">
        <v>5</v>
      </c>
      <c r="K53" s="50">
        <v>0</v>
      </c>
      <c r="L53" s="50">
        <v>0</v>
      </c>
      <c r="M53" s="50">
        <v>86</v>
      </c>
      <c r="N53" s="50">
        <v>0</v>
      </c>
      <c r="O53" s="15">
        <f t="shared" si="0"/>
        <v>67</v>
      </c>
      <c r="P53" s="15">
        <f t="shared" si="1"/>
        <v>153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4</v>
      </c>
      <c r="E54" s="50">
        <v>2</v>
      </c>
      <c r="F54" s="50">
        <v>11</v>
      </c>
      <c r="G54" s="50">
        <v>0</v>
      </c>
      <c r="H54" s="50">
        <v>0</v>
      </c>
      <c r="I54" s="50">
        <v>4</v>
      </c>
      <c r="J54" s="50">
        <v>2</v>
      </c>
      <c r="K54" s="50">
        <v>0</v>
      </c>
      <c r="L54" s="50">
        <v>0</v>
      </c>
      <c r="M54" s="50">
        <v>85</v>
      </c>
      <c r="N54" s="50">
        <v>0</v>
      </c>
      <c r="O54" s="15">
        <f t="shared" si="0"/>
        <v>30</v>
      </c>
      <c r="P54" s="15">
        <f t="shared" si="1"/>
        <v>115</v>
      </c>
      <c r="R54" s="8"/>
      <c r="T54"/>
    </row>
    <row r="55" spans="2:20" ht="23.1" customHeight="1" x14ac:dyDescent="0.25">
      <c r="B55" s="45" t="s">
        <v>82</v>
      </c>
      <c r="C55" s="50">
        <v>11</v>
      </c>
      <c r="D55" s="50">
        <v>2</v>
      </c>
      <c r="E55" s="50">
        <v>1</v>
      </c>
      <c r="F55" s="50">
        <v>13</v>
      </c>
      <c r="G55" s="50">
        <v>0</v>
      </c>
      <c r="H55" s="50">
        <v>0</v>
      </c>
      <c r="I55" s="50">
        <v>1</v>
      </c>
      <c r="J55" s="50">
        <v>1</v>
      </c>
      <c r="K55" s="50">
        <v>2</v>
      </c>
      <c r="L55" s="50">
        <v>0</v>
      </c>
      <c r="M55" s="50">
        <v>80</v>
      </c>
      <c r="N55" s="50">
        <v>0</v>
      </c>
      <c r="O55" s="15">
        <f t="shared" si="0"/>
        <v>31</v>
      </c>
      <c r="P55" s="15">
        <f t="shared" si="1"/>
        <v>111</v>
      </c>
      <c r="R55" s="8"/>
      <c r="T55"/>
    </row>
    <row r="56" spans="2:20" ht="23.1" customHeight="1" x14ac:dyDescent="0.25">
      <c r="B56" s="45" t="s">
        <v>83</v>
      </c>
      <c r="C56" s="50">
        <v>8</v>
      </c>
      <c r="D56" s="50">
        <v>5</v>
      </c>
      <c r="E56" s="50">
        <v>0</v>
      </c>
      <c r="F56" s="50">
        <v>10</v>
      </c>
      <c r="G56" s="50">
        <v>0</v>
      </c>
      <c r="H56" s="50">
        <v>0</v>
      </c>
      <c r="I56" s="50">
        <v>0</v>
      </c>
      <c r="J56" s="50">
        <v>0</v>
      </c>
      <c r="K56" s="50">
        <v>3</v>
      </c>
      <c r="L56" s="50">
        <v>0</v>
      </c>
      <c r="M56" s="50">
        <v>80</v>
      </c>
      <c r="N56" s="50">
        <v>0</v>
      </c>
      <c r="O56" s="15">
        <f t="shared" si="0"/>
        <v>26</v>
      </c>
      <c r="P56" s="15">
        <f t="shared" si="1"/>
        <v>106</v>
      </c>
      <c r="R56" s="8"/>
      <c r="T56"/>
    </row>
    <row r="57" spans="2:20" ht="23.1" customHeight="1" x14ac:dyDescent="0.25">
      <c r="B57" s="45" t="s">
        <v>84</v>
      </c>
      <c r="C57" s="50">
        <v>8</v>
      </c>
      <c r="D57" s="50">
        <v>7</v>
      </c>
      <c r="E57" s="50">
        <v>0</v>
      </c>
      <c r="F57" s="50">
        <v>15</v>
      </c>
      <c r="G57" s="50">
        <v>0</v>
      </c>
      <c r="H57" s="50">
        <v>0</v>
      </c>
      <c r="I57" s="50">
        <v>0</v>
      </c>
      <c r="J57" s="50">
        <v>3</v>
      </c>
      <c r="K57" s="50">
        <v>1</v>
      </c>
      <c r="L57" s="50">
        <v>0</v>
      </c>
      <c r="M57" s="50">
        <v>75</v>
      </c>
      <c r="N57" s="50">
        <v>0</v>
      </c>
      <c r="O57" s="15">
        <f t="shared" si="0"/>
        <v>34</v>
      </c>
      <c r="P57" s="15">
        <f t="shared" si="1"/>
        <v>109</v>
      </c>
      <c r="R57" s="8"/>
      <c r="T57"/>
    </row>
    <row r="58" spans="2:20" ht="23.1" customHeight="1" x14ac:dyDescent="0.25">
      <c r="B58" s="45" t="s">
        <v>99</v>
      </c>
      <c r="C58" s="50">
        <v>18</v>
      </c>
      <c r="D58" s="50">
        <v>4</v>
      </c>
      <c r="E58" s="50">
        <v>5</v>
      </c>
      <c r="F58" s="50">
        <v>12</v>
      </c>
      <c r="G58" s="50">
        <v>1</v>
      </c>
      <c r="H58" s="50">
        <v>0</v>
      </c>
      <c r="I58" s="50">
        <v>3</v>
      </c>
      <c r="J58" s="50">
        <v>1</v>
      </c>
      <c r="K58" s="50">
        <v>0</v>
      </c>
      <c r="L58" s="50">
        <v>0</v>
      </c>
      <c r="M58" s="50">
        <v>105</v>
      </c>
      <c r="N58" s="50">
        <v>0</v>
      </c>
      <c r="O58" s="15">
        <f t="shared" si="0"/>
        <v>44</v>
      </c>
      <c r="P58" s="15">
        <f t="shared" si="1"/>
        <v>149</v>
      </c>
      <c r="R58" s="8"/>
      <c r="T58"/>
    </row>
    <row r="59" spans="2:20" ht="23.1" customHeight="1" x14ac:dyDescent="0.25">
      <c r="B59" s="45" t="s">
        <v>100</v>
      </c>
      <c r="C59" s="50">
        <v>15</v>
      </c>
      <c r="D59" s="50">
        <v>2</v>
      </c>
      <c r="E59" s="50">
        <v>7</v>
      </c>
      <c r="F59" s="50">
        <v>10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0</v>
      </c>
      <c r="M59" s="50">
        <v>110</v>
      </c>
      <c r="N59" s="50">
        <v>0</v>
      </c>
      <c r="O59" s="15">
        <f t="shared" si="0"/>
        <v>37</v>
      </c>
      <c r="P59" s="15">
        <f t="shared" si="1"/>
        <v>147</v>
      </c>
      <c r="R59" s="8"/>
      <c r="T59"/>
    </row>
    <row r="60" spans="2:20" ht="23.1" customHeight="1" x14ac:dyDescent="0.25">
      <c r="B60" s="45" t="s">
        <v>101</v>
      </c>
      <c r="C60" s="50">
        <v>16</v>
      </c>
      <c r="D60" s="50">
        <v>5</v>
      </c>
      <c r="E60" s="50">
        <v>3</v>
      </c>
      <c r="F60" s="50">
        <v>8</v>
      </c>
      <c r="G60" s="50">
        <v>0</v>
      </c>
      <c r="H60" s="50">
        <v>0</v>
      </c>
      <c r="I60" s="50">
        <v>4</v>
      </c>
      <c r="J60" s="50">
        <v>0</v>
      </c>
      <c r="K60" s="50">
        <v>0</v>
      </c>
      <c r="L60" s="50">
        <v>0</v>
      </c>
      <c r="M60" s="50">
        <v>110</v>
      </c>
      <c r="N60" s="50">
        <v>0</v>
      </c>
      <c r="O60" s="15">
        <f t="shared" si="0"/>
        <v>36</v>
      </c>
      <c r="P60" s="15">
        <f t="shared" si="1"/>
        <v>146</v>
      </c>
      <c r="R60" s="8"/>
      <c r="T60"/>
    </row>
    <row r="61" spans="2:20" ht="23.1" customHeight="1" x14ac:dyDescent="0.25">
      <c r="B61" s="45" t="s">
        <v>102</v>
      </c>
      <c r="C61" s="50">
        <v>9</v>
      </c>
      <c r="D61" s="50">
        <v>3</v>
      </c>
      <c r="E61" s="50">
        <v>8</v>
      </c>
      <c r="F61" s="50">
        <v>5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110</v>
      </c>
      <c r="N61" s="50">
        <v>0</v>
      </c>
      <c r="O61" s="15">
        <f t="shared" si="0"/>
        <v>25</v>
      </c>
      <c r="P61" s="15">
        <f t="shared" si="1"/>
        <v>135</v>
      </c>
      <c r="R61" s="8"/>
      <c r="T61"/>
    </row>
    <row r="62" spans="2:20" ht="23.1" customHeight="1" x14ac:dyDescent="0.25">
      <c r="B62" s="45" t="s">
        <v>107</v>
      </c>
      <c r="C62" s="50">
        <v>23</v>
      </c>
      <c r="D62" s="50">
        <v>20</v>
      </c>
      <c r="E62" s="50">
        <v>5</v>
      </c>
      <c r="F62" s="50">
        <v>25</v>
      </c>
      <c r="G62" s="50">
        <v>0</v>
      </c>
      <c r="H62" s="50">
        <v>0</v>
      </c>
      <c r="I62" s="50">
        <v>6</v>
      </c>
      <c r="J62" s="50">
        <v>1</v>
      </c>
      <c r="K62" s="50">
        <v>4</v>
      </c>
      <c r="L62" s="50">
        <v>0</v>
      </c>
      <c r="M62" s="50">
        <v>135</v>
      </c>
      <c r="N62" s="50">
        <v>0</v>
      </c>
      <c r="O62" s="15">
        <f t="shared" si="0"/>
        <v>84</v>
      </c>
      <c r="P62" s="15">
        <f t="shared" si="1"/>
        <v>219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23</v>
      </c>
      <c r="E63" s="50">
        <v>0</v>
      </c>
      <c r="F63" s="50">
        <v>11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120</v>
      </c>
      <c r="N63" s="50">
        <v>0</v>
      </c>
      <c r="O63" s="15">
        <f t="shared" si="0"/>
        <v>36</v>
      </c>
      <c r="P63" s="15">
        <f t="shared" si="1"/>
        <v>156</v>
      </c>
      <c r="R63" s="8"/>
      <c r="T63"/>
    </row>
    <row r="64" spans="2:20" ht="23.1" customHeight="1" x14ac:dyDescent="0.25">
      <c r="B64" s="45" t="s">
        <v>109</v>
      </c>
      <c r="C64" s="50">
        <v>11</v>
      </c>
      <c r="D64" s="50">
        <v>20</v>
      </c>
      <c r="E64" s="50">
        <v>13</v>
      </c>
      <c r="F64" s="50">
        <v>30</v>
      </c>
      <c r="G64" s="50">
        <v>1</v>
      </c>
      <c r="H64" s="50">
        <v>1</v>
      </c>
      <c r="I64" s="50">
        <v>3</v>
      </c>
      <c r="J64" s="50">
        <v>1</v>
      </c>
      <c r="K64" s="50">
        <v>5</v>
      </c>
      <c r="L64" s="50">
        <v>2</v>
      </c>
      <c r="M64" s="50">
        <v>150</v>
      </c>
      <c r="N64" s="50">
        <v>0</v>
      </c>
      <c r="O64" s="15">
        <f t="shared" si="0"/>
        <v>87</v>
      </c>
      <c r="P64" s="15">
        <f t="shared" si="1"/>
        <v>237</v>
      </c>
      <c r="R64" s="8"/>
      <c r="T64"/>
    </row>
    <row r="65" spans="2:20" ht="23.1" customHeight="1" x14ac:dyDescent="0.25">
      <c r="B65" s="45" t="s">
        <v>158</v>
      </c>
      <c r="C65" s="50">
        <v>32</v>
      </c>
      <c r="D65" s="50">
        <v>53</v>
      </c>
      <c r="E65" s="50">
        <v>16</v>
      </c>
      <c r="F65" s="50">
        <v>50</v>
      </c>
      <c r="G65" s="50">
        <v>4</v>
      </c>
      <c r="H65" s="50">
        <v>1</v>
      </c>
      <c r="I65" s="50">
        <v>1</v>
      </c>
      <c r="J65" s="50">
        <v>5</v>
      </c>
      <c r="K65" s="50">
        <v>4</v>
      </c>
      <c r="L65" s="50">
        <v>1</v>
      </c>
      <c r="M65" s="50">
        <v>255</v>
      </c>
      <c r="N65" s="50">
        <v>0</v>
      </c>
      <c r="O65" s="15">
        <f t="shared" si="0"/>
        <v>167</v>
      </c>
      <c r="P65" s="15">
        <f t="shared" si="1"/>
        <v>422</v>
      </c>
      <c r="R65" s="8"/>
      <c r="T65"/>
    </row>
    <row r="66" spans="2:20" ht="23.1" customHeight="1" x14ac:dyDescent="0.25">
      <c r="B66" s="45" t="s">
        <v>103</v>
      </c>
      <c r="C66" s="50">
        <v>5</v>
      </c>
      <c r="D66" s="50">
        <v>6</v>
      </c>
      <c r="E66" s="50">
        <v>3</v>
      </c>
      <c r="F66" s="50">
        <v>12</v>
      </c>
      <c r="G66" s="50">
        <v>0</v>
      </c>
      <c r="H66" s="50">
        <v>1</v>
      </c>
      <c r="I66" s="50">
        <v>1</v>
      </c>
      <c r="J66" s="50">
        <v>1</v>
      </c>
      <c r="K66" s="50">
        <v>1</v>
      </c>
      <c r="L66" s="50">
        <v>2</v>
      </c>
      <c r="M66" s="50">
        <v>85</v>
      </c>
      <c r="N66" s="50">
        <v>0</v>
      </c>
      <c r="O66" s="15">
        <f t="shared" si="0"/>
        <v>32</v>
      </c>
      <c r="P66" s="15">
        <f t="shared" si="1"/>
        <v>117</v>
      </c>
      <c r="R66" s="8"/>
      <c r="T66"/>
    </row>
    <row r="67" spans="2:20" ht="23.1" customHeight="1" x14ac:dyDescent="0.25">
      <c r="B67" s="45" t="s">
        <v>104</v>
      </c>
      <c r="C67" s="50">
        <v>20</v>
      </c>
      <c r="D67" s="50">
        <v>46</v>
      </c>
      <c r="E67" s="50">
        <v>10</v>
      </c>
      <c r="F67" s="50">
        <v>48</v>
      </c>
      <c r="G67" s="50">
        <v>1</v>
      </c>
      <c r="H67" s="50">
        <v>1</v>
      </c>
      <c r="I67" s="50">
        <v>10</v>
      </c>
      <c r="J67" s="50">
        <v>1</v>
      </c>
      <c r="K67" s="50">
        <v>1</v>
      </c>
      <c r="L67" s="50">
        <v>1</v>
      </c>
      <c r="M67" s="50">
        <v>200</v>
      </c>
      <c r="N67" s="50">
        <v>0</v>
      </c>
      <c r="O67" s="15">
        <f t="shared" si="0"/>
        <v>139</v>
      </c>
      <c r="P67" s="15">
        <f t="shared" si="1"/>
        <v>339</v>
      </c>
      <c r="R67" s="8"/>
      <c r="T67"/>
    </row>
    <row r="68" spans="2:20" ht="23.1" customHeight="1" x14ac:dyDescent="0.25">
      <c r="B68" s="45" t="s">
        <v>105</v>
      </c>
      <c r="C68" s="50">
        <v>7</v>
      </c>
      <c r="D68" s="50">
        <v>7</v>
      </c>
      <c r="E68" s="50">
        <v>3</v>
      </c>
      <c r="F68" s="50">
        <v>16</v>
      </c>
      <c r="G68" s="50">
        <v>1</v>
      </c>
      <c r="H68" s="50">
        <v>0</v>
      </c>
      <c r="I68" s="50">
        <v>1</v>
      </c>
      <c r="J68" s="50">
        <v>2</v>
      </c>
      <c r="K68" s="50">
        <v>0</v>
      </c>
      <c r="L68" s="50">
        <v>0</v>
      </c>
      <c r="M68" s="50">
        <v>120</v>
      </c>
      <c r="N68" s="50">
        <v>0</v>
      </c>
      <c r="O68" s="15">
        <f t="shared" si="0"/>
        <v>37</v>
      </c>
      <c r="P68" s="15">
        <f t="shared" si="1"/>
        <v>157</v>
      </c>
      <c r="R68" s="8"/>
      <c r="T68"/>
    </row>
    <row r="69" spans="2:20" ht="23.1" customHeight="1" x14ac:dyDescent="0.25">
      <c r="B69" s="45" t="s">
        <v>106</v>
      </c>
      <c r="C69" s="50">
        <v>9</v>
      </c>
      <c r="D69" s="50">
        <v>17</v>
      </c>
      <c r="E69" s="50">
        <v>1</v>
      </c>
      <c r="F69" s="50">
        <v>16</v>
      </c>
      <c r="G69" s="50">
        <v>0</v>
      </c>
      <c r="H69" s="50">
        <v>0</v>
      </c>
      <c r="I69" s="50">
        <v>3</v>
      </c>
      <c r="J69" s="50">
        <v>1</v>
      </c>
      <c r="K69" s="50">
        <v>0</v>
      </c>
      <c r="L69" s="50">
        <v>0</v>
      </c>
      <c r="M69" s="50">
        <v>120</v>
      </c>
      <c r="N69" s="50">
        <v>0</v>
      </c>
      <c r="O69" s="15">
        <f t="shared" si="0"/>
        <v>47</v>
      </c>
      <c r="P69" s="15">
        <f t="shared" si="1"/>
        <v>167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5</v>
      </c>
      <c r="E70" s="50">
        <v>1</v>
      </c>
      <c r="F70" s="50">
        <v>13</v>
      </c>
      <c r="G70" s="50">
        <v>0</v>
      </c>
      <c r="H70" s="50">
        <v>0</v>
      </c>
      <c r="I70" s="50">
        <v>3</v>
      </c>
      <c r="J70" s="50">
        <v>1</v>
      </c>
      <c r="K70" s="50">
        <v>1</v>
      </c>
      <c r="L70" s="50">
        <v>0</v>
      </c>
      <c r="M70" s="50">
        <v>90</v>
      </c>
      <c r="N70" s="50">
        <v>0</v>
      </c>
      <c r="O70" s="15">
        <f t="shared" si="0"/>
        <v>27</v>
      </c>
      <c r="P70" s="15">
        <f t="shared" si="1"/>
        <v>117</v>
      </c>
      <c r="R70" s="8"/>
      <c r="T70"/>
    </row>
    <row r="71" spans="2:20" ht="23.1" customHeight="1" x14ac:dyDescent="0.25">
      <c r="B71" s="45" t="s">
        <v>111</v>
      </c>
      <c r="C71" s="50">
        <v>11</v>
      </c>
      <c r="D71" s="50">
        <v>7</v>
      </c>
      <c r="E71" s="50">
        <v>1</v>
      </c>
      <c r="F71" s="50">
        <v>4</v>
      </c>
      <c r="G71" s="50">
        <v>0</v>
      </c>
      <c r="H71" s="50">
        <v>0</v>
      </c>
      <c r="I71" s="50">
        <v>2</v>
      </c>
      <c r="J71" s="50">
        <v>2</v>
      </c>
      <c r="K71" s="50">
        <v>0</v>
      </c>
      <c r="L71" s="50">
        <v>0</v>
      </c>
      <c r="M71" s="50">
        <v>105</v>
      </c>
      <c r="N71" s="50">
        <v>0</v>
      </c>
      <c r="O71" s="15">
        <f t="shared" si="0"/>
        <v>27</v>
      </c>
      <c r="P71" s="15">
        <f t="shared" si="1"/>
        <v>132</v>
      </c>
      <c r="R71" s="8"/>
      <c r="T71"/>
    </row>
    <row r="72" spans="2:20" ht="23.1" customHeight="1" x14ac:dyDescent="0.25">
      <c r="B72" s="45" t="s">
        <v>112</v>
      </c>
      <c r="C72" s="50">
        <v>6</v>
      </c>
      <c r="D72" s="50">
        <v>7</v>
      </c>
      <c r="E72" s="50">
        <v>4</v>
      </c>
      <c r="F72" s="50">
        <v>10</v>
      </c>
      <c r="G72" s="50">
        <v>0</v>
      </c>
      <c r="H72" s="50">
        <v>0</v>
      </c>
      <c r="I72" s="50">
        <v>1</v>
      </c>
      <c r="J72" s="50">
        <v>1</v>
      </c>
      <c r="K72" s="50">
        <v>1</v>
      </c>
      <c r="L72" s="50">
        <v>0</v>
      </c>
      <c r="M72" s="50">
        <v>105</v>
      </c>
      <c r="N72" s="50">
        <v>0</v>
      </c>
      <c r="O72" s="15">
        <f t="shared" si="0"/>
        <v>30</v>
      </c>
      <c r="P72" s="15">
        <f t="shared" si="1"/>
        <v>135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5</v>
      </c>
      <c r="E73" s="50">
        <v>1</v>
      </c>
      <c r="F73" s="50">
        <v>7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95</v>
      </c>
      <c r="N73" s="50">
        <v>0</v>
      </c>
      <c r="O73" s="15">
        <f t="shared" si="0"/>
        <v>16</v>
      </c>
      <c r="P73" s="15">
        <f t="shared" si="1"/>
        <v>111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9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78</v>
      </c>
      <c r="N74" s="50">
        <v>0</v>
      </c>
      <c r="O74" s="15">
        <f t="shared" ref="O74:O105" si="35">SUM(C74:L74,N74)</f>
        <v>13</v>
      </c>
      <c r="P74" s="15">
        <f t="shared" ref="P74:P105" si="36">SUM(C74:N74)</f>
        <v>91</v>
      </c>
      <c r="R74" s="8"/>
      <c r="T74"/>
    </row>
    <row r="75" spans="2:20" ht="23.1" customHeight="1" x14ac:dyDescent="0.25">
      <c r="B75" s="45" t="s">
        <v>115</v>
      </c>
      <c r="C75" s="50">
        <v>7</v>
      </c>
      <c r="D75" s="50">
        <v>9</v>
      </c>
      <c r="E75" s="50">
        <v>2</v>
      </c>
      <c r="F75" s="50">
        <v>6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90</v>
      </c>
      <c r="N75" s="50">
        <v>0</v>
      </c>
      <c r="O75" s="15">
        <f t="shared" si="35"/>
        <v>25</v>
      </c>
      <c r="P75" s="15">
        <f t="shared" si="36"/>
        <v>115</v>
      </c>
      <c r="R75" s="8"/>
      <c r="T75"/>
    </row>
    <row r="76" spans="2:20" ht="23.1" customHeight="1" x14ac:dyDescent="0.25">
      <c r="B76" s="45" t="s">
        <v>116</v>
      </c>
      <c r="C76" s="50">
        <v>4</v>
      </c>
      <c r="D76" s="50">
        <v>6</v>
      </c>
      <c r="E76" s="50">
        <v>1</v>
      </c>
      <c r="F76" s="50">
        <v>2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1</v>
      </c>
      <c r="M76" s="50">
        <v>77</v>
      </c>
      <c r="N76" s="50">
        <v>0</v>
      </c>
      <c r="O76" s="15">
        <f t="shared" si="35"/>
        <v>15</v>
      </c>
      <c r="P76" s="15">
        <f t="shared" si="36"/>
        <v>92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4</v>
      </c>
      <c r="E77" s="50">
        <v>1</v>
      </c>
      <c r="F77" s="50">
        <v>4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1</v>
      </c>
      <c r="M77" s="50">
        <v>65</v>
      </c>
      <c r="N77" s="50">
        <v>0</v>
      </c>
      <c r="O77" s="15">
        <f t="shared" si="35"/>
        <v>13</v>
      </c>
      <c r="P77" s="15">
        <f t="shared" si="36"/>
        <v>78</v>
      </c>
      <c r="R77" s="8"/>
      <c r="T77"/>
    </row>
    <row r="78" spans="2:20" ht="23.1" customHeight="1" x14ac:dyDescent="0.25">
      <c r="B78" s="46" t="s">
        <v>118</v>
      </c>
      <c r="C78" s="50">
        <v>4</v>
      </c>
      <c r="D78" s="50">
        <v>6</v>
      </c>
      <c r="E78" s="50">
        <v>0</v>
      </c>
      <c r="F78" s="50">
        <v>3</v>
      </c>
      <c r="G78" s="50">
        <v>0</v>
      </c>
      <c r="H78" s="50">
        <v>0</v>
      </c>
      <c r="I78" s="50">
        <v>2</v>
      </c>
      <c r="J78" s="50">
        <v>1</v>
      </c>
      <c r="K78" s="50">
        <v>0</v>
      </c>
      <c r="L78" s="50">
        <v>0</v>
      </c>
      <c r="M78" s="50">
        <v>55</v>
      </c>
      <c r="N78" s="50">
        <v>0</v>
      </c>
      <c r="O78" s="15">
        <f t="shared" si="35"/>
        <v>16</v>
      </c>
      <c r="P78" s="15">
        <f t="shared" si="36"/>
        <v>71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6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35</v>
      </c>
      <c r="N79" s="50">
        <v>0</v>
      </c>
      <c r="O79" s="15">
        <f t="shared" si="35"/>
        <v>7</v>
      </c>
      <c r="P79" s="15">
        <f t="shared" si="36"/>
        <v>42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2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15</v>
      </c>
      <c r="N80" s="50">
        <v>0</v>
      </c>
      <c r="O80" s="15">
        <f t="shared" si="35"/>
        <v>3</v>
      </c>
      <c r="P80" s="15">
        <f t="shared" si="36"/>
        <v>18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4</v>
      </c>
      <c r="E81" s="50">
        <v>1</v>
      </c>
      <c r="F81" s="50">
        <v>2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16</v>
      </c>
      <c r="N81" s="50">
        <v>0</v>
      </c>
      <c r="O81" s="15">
        <f t="shared" si="35"/>
        <v>7</v>
      </c>
      <c r="P81" s="15">
        <f t="shared" si="36"/>
        <v>23</v>
      </c>
      <c r="R81" s="8"/>
      <c r="T81"/>
    </row>
    <row r="82" spans="2:20" ht="23.1" customHeight="1" x14ac:dyDescent="0.25">
      <c r="B82" s="46" t="s">
        <v>122</v>
      </c>
      <c r="C82" s="50">
        <v>32</v>
      </c>
      <c r="D82" s="50">
        <v>4</v>
      </c>
      <c r="E82" s="50">
        <v>1</v>
      </c>
      <c r="F82" s="50">
        <v>4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52</v>
      </c>
      <c r="N82" s="50">
        <v>0</v>
      </c>
      <c r="O82" s="15">
        <f t="shared" si="35"/>
        <v>41</v>
      </c>
      <c r="P82" s="15">
        <f t="shared" si="36"/>
        <v>93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1</v>
      </c>
      <c r="J83" s="50">
        <v>1</v>
      </c>
      <c r="K83" s="50">
        <v>1</v>
      </c>
      <c r="L83" s="50">
        <v>0</v>
      </c>
      <c r="M83" s="50">
        <v>35</v>
      </c>
      <c r="N83" s="50">
        <v>0</v>
      </c>
      <c r="O83" s="15">
        <f t="shared" si="35"/>
        <v>5</v>
      </c>
      <c r="P83" s="15">
        <f t="shared" si="36"/>
        <v>40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3</v>
      </c>
      <c r="E84" s="50">
        <v>1</v>
      </c>
      <c r="F84" s="50">
        <v>5</v>
      </c>
      <c r="G84" s="50">
        <v>0</v>
      </c>
      <c r="H84" s="50">
        <v>0</v>
      </c>
      <c r="I84" s="50">
        <v>0</v>
      </c>
      <c r="J84" s="50">
        <v>3</v>
      </c>
      <c r="K84" s="50">
        <v>0</v>
      </c>
      <c r="L84" s="50">
        <v>0</v>
      </c>
      <c r="M84" s="50">
        <v>50</v>
      </c>
      <c r="N84" s="50">
        <v>0</v>
      </c>
      <c r="O84" s="15">
        <f t="shared" si="35"/>
        <v>15</v>
      </c>
      <c r="P84" s="15">
        <f t="shared" si="36"/>
        <v>65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4</v>
      </c>
      <c r="E85" s="50">
        <v>0</v>
      </c>
      <c r="F85" s="50">
        <v>3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15</v>
      </c>
      <c r="N85" s="50">
        <v>0</v>
      </c>
      <c r="O85" s="15">
        <f t="shared" si="35"/>
        <v>9</v>
      </c>
      <c r="P85" s="15">
        <f t="shared" si="36"/>
        <v>24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5</v>
      </c>
      <c r="E86" s="50">
        <v>0</v>
      </c>
      <c r="F86" s="50">
        <v>3</v>
      </c>
      <c r="G86" s="50">
        <v>0</v>
      </c>
      <c r="H86" s="50">
        <v>0</v>
      </c>
      <c r="I86" s="50">
        <v>4</v>
      </c>
      <c r="J86" s="50">
        <v>0</v>
      </c>
      <c r="K86" s="50">
        <v>0</v>
      </c>
      <c r="L86" s="50">
        <v>0</v>
      </c>
      <c r="M86" s="50">
        <v>17</v>
      </c>
      <c r="N86" s="50">
        <v>0</v>
      </c>
      <c r="O86" s="15">
        <f t="shared" si="35"/>
        <v>15</v>
      </c>
      <c r="P86" s="15">
        <f t="shared" si="36"/>
        <v>32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3</v>
      </c>
      <c r="E87" s="50">
        <v>0</v>
      </c>
      <c r="F87" s="50">
        <v>4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60</v>
      </c>
      <c r="N87" s="50">
        <v>0</v>
      </c>
      <c r="O87" s="15">
        <f t="shared" si="35"/>
        <v>9</v>
      </c>
      <c r="P87" s="15">
        <f t="shared" si="36"/>
        <v>69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2</v>
      </c>
      <c r="E88" s="50">
        <v>1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1</v>
      </c>
      <c r="L88" s="50">
        <v>0</v>
      </c>
      <c r="M88" s="50">
        <v>20</v>
      </c>
      <c r="N88" s="50">
        <v>0</v>
      </c>
      <c r="O88" s="15">
        <f t="shared" si="35"/>
        <v>4</v>
      </c>
      <c r="P88" s="15">
        <f t="shared" si="36"/>
        <v>24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1</v>
      </c>
      <c r="K89" s="50">
        <v>0</v>
      </c>
      <c r="L89" s="50">
        <v>0</v>
      </c>
      <c r="M89" s="50">
        <v>25</v>
      </c>
      <c r="N89" s="50">
        <v>0</v>
      </c>
      <c r="O89" s="15">
        <f t="shared" si="35"/>
        <v>4</v>
      </c>
      <c r="P89" s="15">
        <f t="shared" si="36"/>
        <v>29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2</v>
      </c>
      <c r="E90" s="50">
        <v>2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25</v>
      </c>
      <c r="N90" s="50">
        <v>0</v>
      </c>
      <c r="O90" s="15">
        <f t="shared" si="35"/>
        <v>7</v>
      </c>
      <c r="P90" s="15">
        <f t="shared" si="36"/>
        <v>32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16</v>
      </c>
      <c r="M91" s="50">
        <v>16</v>
      </c>
      <c r="N91" s="50">
        <v>0</v>
      </c>
      <c r="O91" s="15">
        <f t="shared" si="35"/>
        <v>18</v>
      </c>
      <c r="P91" s="15">
        <f t="shared" si="36"/>
        <v>34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15</v>
      </c>
      <c r="M92" s="50">
        <v>15</v>
      </c>
      <c r="N92" s="50">
        <v>0</v>
      </c>
      <c r="O92" s="15">
        <f t="shared" si="35"/>
        <v>19</v>
      </c>
      <c r="P92" s="15">
        <f t="shared" si="36"/>
        <v>34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0</v>
      </c>
      <c r="E93" s="50">
        <v>2</v>
      </c>
      <c r="F93" s="50">
        <v>1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12</v>
      </c>
      <c r="N93" s="50">
        <v>0</v>
      </c>
      <c r="O93" s="15">
        <f t="shared" si="35"/>
        <v>6</v>
      </c>
      <c r="P93" s="15">
        <f t="shared" si="36"/>
        <v>18</v>
      </c>
      <c r="R93" s="8"/>
      <c r="T93"/>
    </row>
    <row r="94" spans="2:20" ht="23.1" customHeight="1" x14ac:dyDescent="0.25">
      <c r="B94" s="46" t="s">
        <v>134</v>
      </c>
      <c r="C94" s="50">
        <v>5</v>
      </c>
      <c r="D94" s="50">
        <v>2</v>
      </c>
      <c r="E94" s="50">
        <v>0</v>
      </c>
      <c r="F94" s="50">
        <v>1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20</v>
      </c>
      <c r="N94" s="50">
        <v>0</v>
      </c>
      <c r="O94" s="15">
        <f t="shared" si="35"/>
        <v>9</v>
      </c>
      <c r="P94" s="15">
        <f t="shared" si="36"/>
        <v>29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2</v>
      </c>
      <c r="G95" s="50">
        <v>0</v>
      </c>
      <c r="H95" s="50">
        <v>0</v>
      </c>
      <c r="I95" s="50">
        <v>1</v>
      </c>
      <c r="J95" s="50">
        <v>1</v>
      </c>
      <c r="K95" s="50">
        <v>0</v>
      </c>
      <c r="L95" s="50">
        <v>0</v>
      </c>
      <c r="M95" s="50">
        <v>25</v>
      </c>
      <c r="N95" s="50">
        <v>0</v>
      </c>
      <c r="O95" s="15">
        <f t="shared" si="35"/>
        <v>4</v>
      </c>
      <c r="P95" s="15">
        <f t="shared" si="36"/>
        <v>29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2</v>
      </c>
      <c r="E96" s="50">
        <v>0</v>
      </c>
      <c r="F96" s="50">
        <v>4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28</v>
      </c>
      <c r="N96" s="50">
        <v>0</v>
      </c>
      <c r="O96" s="15">
        <f t="shared" si="35"/>
        <v>7</v>
      </c>
      <c r="P96" s="15">
        <f t="shared" si="36"/>
        <v>35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3</v>
      </c>
      <c r="E97" s="50">
        <v>0</v>
      </c>
      <c r="F97" s="50">
        <v>3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45</v>
      </c>
      <c r="N97" s="50">
        <v>0</v>
      </c>
      <c r="O97" s="15">
        <f t="shared" si="35"/>
        <v>8</v>
      </c>
      <c r="P97" s="15">
        <f t="shared" si="36"/>
        <v>53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2</v>
      </c>
      <c r="J98" s="50">
        <v>1</v>
      </c>
      <c r="K98" s="50">
        <v>0</v>
      </c>
      <c r="L98" s="50">
        <v>0</v>
      </c>
      <c r="M98" s="50">
        <v>48</v>
      </c>
      <c r="N98" s="50">
        <v>0</v>
      </c>
      <c r="O98" s="15">
        <f t="shared" si="35"/>
        <v>6</v>
      </c>
      <c r="P98" s="15">
        <f t="shared" si="36"/>
        <v>54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2</v>
      </c>
      <c r="E99" s="50">
        <v>0</v>
      </c>
      <c r="F99" s="50">
        <v>5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20</v>
      </c>
      <c r="N99" s="50">
        <v>0</v>
      </c>
      <c r="O99" s="15">
        <f t="shared" si="35"/>
        <v>7</v>
      </c>
      <c r="P99" s="15">
        <f t="shared" si="36"/>
        <v>27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2</v>
      </c>
      <c r="E100" s="50">
        <v>0</v>
      </c>
      <c r="F100" s="50">
        <v>5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50</v>
      </c>
      <c r="N100" s="50">
        <v>0</v>
      </c>
      <c r="O100" s="15">
        <f t="shared" si="35"/>
        <v>10</v>
      </c>
      <c r="P100" s="15">
        <f t="shared" si="36"/>
        <v>60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3</v>
      </c>
      <c r="E101" s="50">
        <v>0</v>
      </c>
      <c r="F101" s="50">
        <v>7</v>
      </c>
      <c r="G101" s="50">
        <v>0</v>
      </c>
      <c r="H101" s="50">
        <v>1</v>
      </c>
      <c r="I101" s="50">
        <v>3</v>
      </c>
      <c r="J101" s="50">
        <v>7</v>
      </c>
      <c r="K101" s="50">
        <v>0</v>
      </c>
      <c r="L101" s="50">
        <v>0</v>
      </c>
      <c r="M101" s="50">
        <v>73</v>
      </c>
      <c r="N101" s="50">
        <v>0</v>
      </c>
      <c r="O101" s="15">
        <f t="shared" si="35"/>
        <v>21</v>
      </c>
      <c r="P101" s="15">
        <f t="shared" si="36"/>
        <v>94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3</v>
      </c>
      <c r="E102" s="50">
        <v>1</v>
      </c>
      <c r="F102" s="50">
        <v>6</v>
      </c>
      <c r="G102" s="50">
        <v>0</v>
      </c>
      <c r="H102" s="50">
        <v>0</v>
      </c>
      <c r="I102" s="50">
        <v>0</v>
      </c>
      <c r="J102" s="50">
        <v>3</v>
      </c>
      <c r="K102" s="50">
        <v>0</v>
      </c>
      <c r="L102" s="50">
        <v>0</v>
      </c>
      <c r="M102" s="50">
        <v>25</v>
      </c>
      <c r="N102" s="50">
        <v>0</v>
      </c>
      <c r="O102" s="15">
        <f t="shared" si="35"/>
        <v>15</v>
      </c>
      <c r="P102" s="15">
        <f t="shared" si="36"/>
        <v>40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3</v>
      </c>
      <c r="E103" s="50">
        <v>0</v>
      </c>
      <c r="F103" s="50">
        <v>11</v>
      </c>
      <c r="G103" s="50">
        <v>0</v>
      </c>
      <c r="H103" s="50">
        <v>0</v>
      </c>
      <c r="I103" s="50">
        <v>2</v>
      </c>
      <c r="J103" s="50">
        <v>7</v>
      </c>
      <c r="K103" s="50">
        <v>0</v>
      </c>
      <c r="L103" s="50">
        <v>0</v>
      </c>
      <c r="M103" s="50">
        <v>90</v>
      </c>
      <c r="N103" s="50">
        <v>0</v>
      </c>
      <c r="O103" s="15">
        <f t="shared" si="35"/>
        <v>25</v>
      </c>
      <c r="P103" s="15">
        <f t="shared" si="36"/>
        <v>115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5</v>
      </c>
      <c r="E104" s="50">
        <v>0</v>
      </c>
      <c r="F104" s="50">
        <v>12</v>
      </c>
      <c r="G104" s="50">
        <v>0</v>
      </c>
      <c r="H104" s="50">
        <v>1</v>
      </c>
      <c r="I104" s="50">
        <v>1</v>
      </c>
      <c r="J104" s="50">
        <v>5</v>
      </c>
      <c r="K104" s="50">
        <v>0</v>
      </c>
      <c r="L104" s="50">
        <v>1</v>
      </c>
      <c r="M104" s="50">
        <v>85</v>
      </c>
      <c r="N104" s="50">
        <v>0</v>
      </c>
      <c r="O104" s="15">
        <f t="shared" si="35"/>
        <v>26</v>
      </c>
      <c r="P104" s="15">
        <f t="shared" si="36"/>
        <v>111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5</v>
      </c>
      <c r="E105" s="50">
        <v>1</v>
      </c>
      <c r="F105" s="50">
        <v>13</v>
      </c>
      <c r="G105" s="50">
        <v>0</v>
      </c>
      <c r="H105" s="50">
        <v>0</v>
      </c>
      <c r="I105" s="50">
        <v>2</v>
      </c>
      <c r="J105" s="50">
        <v>3</v>
      </c>
      <c r="K105" s="50">
        <v>0</v>
      </c>
      <c r="L105" s="50">
        <v>0</v>
      </c>
      <c r="M105" s="50">
        <v>100</v>
      </c>
      <c r="N105" s="50">
        <v>0</v>
      </c>
      <c r="O105" s="15">
        <f t="shared" si="35"/>
        <v>26</v>
      </c>
      <c r="P105" s="15">
        <f t="shared" si="36"/>
        <v>126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1232</v>
      </c>
      <c r="D106" s="16">
        <f t="shared" ref="D106:P106" si="37">SUM(D10:D105)</f>
        <v>871</v>
      </c>
      <c r="E106" s="16">
        <f t="shared" si="37"/>
        <v>372</v>
      </c>
      <c r="F106" s="16">
        <f t="shared" si="37"/>
        <v>1323</v>
      </c>
      <c r="G106" s="16">
        <f t="shared" si="37"/>
        <v>21</v>
      </c>
      <c r="H106" s="16">
        <f t="shared" si="37"/>
        <v>12</v>
      </c>
      <c r="I106" s="16">
        <f t="shared" si="37"/>
        <v>381</v>
      </c>
      <c r="J106" s="16">
        <f t="shared" si="37"/>
        <v>165</v>
      </c>
      <c r="K106" s="16">
        <f t="shared" si="37"/>
        <v>47</v>
      </c>
      <c r="L106" s="16">
        <f t="shared" si="37"/>
        <v>67</v>
      </c>
      <c r="M106" s="16">
        <f t="shared" si="37"/>
        <v>9108</v>
      </c>
      <c r="N106" s="16">
        <f t="shared" si="37"/>
        <v>0</v>
      </c>
      <c r="O106" s="16">
        <f t="shared" si="37"/>
        <v>4491</v>
      </c>
      <c r="P106" s="16">
        <f t="shared" si="37"/>
        <v>13599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9.0594896683579673E-2</v>
      </c>
      <c r="D107" s="43">
        <f t="shared" si="38"/>
        <v>6.4048827119641147E-2</v>
      </c>
      <c r="E107" s="43">
        <f t="shared" si="38"/>
        <v>2.7354952570041915E-2</v>
      </c>
      <c r="F107" s="43">
        <f t="shared" si="38"/>
        <v>9.7286565188616808E-2</v>
      </c>
      <c r="G107" s="43">
        <f t="shared" si="38"/>
        <v>1.5442311934701081E-3</v>
      </c>
      <c r="H107" s="43">
        <f t="shared" si="38"/>
        <v>8.8241782484006174E-4</v>
      </c>
      <c r="I107" s="43">
        <f t="shared" si="38"/>
        <v>2.8016765938671962E-2</v>
      </c>
      <c r="J107" s="43">
        <f t="shared" si="38"/>
        <v>1.2133245091550849E-2</v>
      </c>
      <c r="K107" s="43">
        <f t="shared" si="38"/>
        <v>3.4561364806235751E-3</v>
      </c>
      <c r="L107" s="43">
        <f t="shared" si="38"/>
        <v>4.9268328553570117E-3</v>
      </c>
      <c r="M107" s="43">
        <f t="shared" si="38"/>
        <v>0.6697551290536069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0.27432643063905587</v>
      </c>
      <c r="D108" s="44">
        <f t="shared" ref="D108:N108" si="39">D106/$O$106</f>
        <v>0.19394344244043643</v>
      </c>
      <c r="E108" s="44">
        <f t="shared" si="39"/>
        <v>8.2832331329325312E-2</v>
      </c>
      <c r="F108" s="44">
        <f t="shared" si="39"/>
        <v>0.29458917835671344</v>
      </c>
      <c r="G108" s="44">
        <f t="shared" si="39"/>
        <v>4.6760187040748163E-3</v>
      </c>
      <c r="H108" s="44">
        <f t="shared" si="39"/>
        <v>2.6720106880427524E-3</v>
      </c>
      <c r="I108" s="44">
        <f t="shared" si="39"/>
        <v>8.4836339345357378E-2</v>
      </c>
      <c r="J108" s="44">
        <f t="shared" si="39"/>
        <v>3.674014696058784E-2</v>
      </c>
      <c r="K108" s="44">
        <f t="shared" si="39"/>
        <v>1.0465375194834113E-2</v>
      </c>
      <c r="L108" s="44">
        <f t="shared" si="39"/>
        <v>1.4918726341572033E-2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9" zoomScale="30" zoomScaleSheetLayoutView="3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Nakawuka-Nateete-24h'!D5</f>
        <v>27.07.19</v>
      </c>
      <c r="E5" s="3"/>
      <c r="F5" s="41" t="s">
        <v>1</v>
      </c>
      <c r="G5" s="63" t="str">
        <f>'27.07 Nakawuka-Nateete-24h'!G5:H5</f>
        <v>TAKUWA BEST FEEDS</v>
      </c>
      <c r="H5" s="64"/>
      <c r="I5" s="14"/>
      <c r="J5" s="2" t="s">
        <v>5</v>
      </c>
      <c r="K5" s="63" t="str">
        <f>'27.07 Nakawuka-Nateete-24h'!K5:L5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Nateete-Nakawuka'!D6:E6</f>
        <v>NATEETE</v>
      </c>
      <c r="E6" s="64"/>
      <c r="F6" s="2" t="s">
        <v>2</v>
      </c>
      <c r="G6" s="63" t="str">
        <f>'22.07 Nateete-Nakawuka'!G6:H6</f>
        <v>NAKAWUKA</v>
      </c>
      <c r="H6" s="64"/>
      <c r="J6" s="2" t="s">
        <v>21</v>
      </c>
      <c r="K6" s="63" t="str">
        <f>'27.07 Nakawuka-Nateete-24h'!K6:L6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14</v>
      </c>
      <c r="D10" s="50">
        <v>2</v>
      </c>
      <c r="E10" s="50">
        <v>0</v>
      </c>
      <c r="F10" s="50">
        <v>9</v>
      </c>
      <c r="G10" s="50">
        <v>2</v>
      </c>
      <c r="H10" s="50">
        <v>0</v>
      </c>
      <c r="I10" s="50">
        <v>4</v>
      </c>
      <c r="J10" s="50">
        <v>1</v>
      </c>
      <c r="K10" s="50">
        <v>0</v>
      </c>
      <c r="L10" s="50">
        <v>0</v>
      </c>
      <c r="M10" s="50">
        <v>104</v>
      </c>
      <c r="N10" s="50">
        <v>0</v>
      </c>
      <c r="O10" s="15">
        <f t="shared" ref="O10:O73" si="0">SUM(C10:L10,N10)</f>
        <v>32</v>
      </c>
      <c r="P10" s="15">
        <f t="shared" ref="P10:P73" si="1">SUM(C10:N10)</f>
        <v>136</v>
      </c>
      <c r="R10" s="1" t="s">
        <v>6</v>
      </c>
      <c r="S10" s="17">
        <f t="shared" ref="S10:AF10" si="2">SUM(C10:C13)</f>
        <v>55</v>
      </c>
      <c r="T10" s="17">
        <f t="shared" si="2"/>
        <v>18</v>
      </c>
      <c r="U10" s="17">
        <f t="shared" si="2"/>
        <v>3</v>
      </c>
      <c r="V10" s="17">
        <f t="shared" si="2"/>
        <v>39</v>
      </c>
      <c r="W10" s="17">
        <f t="shared" si="2"/>
        <v>5</v>
      </c>
      <c r="X10" s="17">
        <f t="shared" si="2"/>
        <v>0</v>
      </c>
      <c r="Y10" s="17">
        <f t="shared" si="2"/>
        <v>11</v>
      </c>
      <c r="Z10" s="17">
        <f t="shared" si="2"/>
        <v>8</v>
      </c>
      <c r="AA10" s="17">
        <f t="shared" si="2"/>
        <v>0</v>
      </c>
      <c r="AB10" s="17">
        <f t="shared" si="2"/>
        <v>0</v>
      </c>
      <c r="AC10" s="17">
        <f t="shared" si="2"/>
        <v>372</v>
      </c>
      <c r="AD10" s="17">
        <f t="shared" si="2"/>
        <v>0</v>
      </c>
      <c r="AE10" s="31">
        <f t="shared" si="2"/>
        <v>139</v>
      </c>
      <c r="AF10" s="31">
        <f t="shared" si="2"/>
        <v>511</v>
      </c>
    </row>
    <row r="11" spans="2:32" s="6" customFormat="1" ht="23.1" customHeight="1" x14ac:dyDescent="0.25">
      <c r="B11" s="45" t="s">
        <v>38</v>
      </c>
      <c r="C11" s="50">
        <v>12</v>
      </c>
      <c r="D11" s="50">
        <v>3</v>
      </c>
      <c r="E11" s="50">
        <v>0</v>
      </c>
      <c r="F11" s="50">
        <v>0</v>
      </c>
      <c r="G11" s="50">
        <v>1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79</v>
      </c>
      <c r="N11" s="50">
        <v>0</v>
      </c>
      <c r="O11" s="15">
        <f t="shared" si="0"/>
        <v>20</v>
      </c>
      <c r="P11" s="15">
        <f t="shared" si="1"/>
        <v>99</v>
      </c>
      <c r="R11" s="1" t="s">
        <v>7</v>
      </c>
      <c r="S11" s="17">
        <f t="shared" ref="S11:AF11" si="3">SUM(C14:C17)</f>
        <v>18</v>
      </c>
      <c r="T11" s="17">
        <f t="shared" si="3"/>
        <v>6</v>
      </c>
      <c r="U11" s="17">
        <f t="shared" si="3"/>
        <v>1</v>
      </c>
      <c r="V11" s="17">
        <f t="shared" si="3"/>
        <v>52</v>
      </c>
      <c r="W11" s="17">
        <f t="shared" si="3"/>
        <v>0</v>
      </c>
      <c r="X11" s="17">
        <f t="shared" si="3"/>
        <v>2</v>
      </c>
      <c r="Y11" s="17">
        <f t="shared" si="3"/>
        <v>12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370</v>
      </c>
      <c r="AD11" s="17">
        <f t="shared" si="3"/>
        <v>0</v>
      </c>
      <c r="AE11" s="31">
        <f t="shared" si="3"/>
        <v>94</v>
      </c>
      <c r="AF11" s="31">
        <f t="shared" si="3"/>
        <v>464</v>
      </c>
    </row>
    <row r="12" spans="2:32" ht="23.1" customHeight="1" x14ac:dyDescent="0.25">
      <c r="B12" s="45" t="s">
        <v>39</v>
      </c>
      <c r="C12" s="50">
        <v>20</v>
      </c>
      <c r="D12" s="50">
        <v>7</v>
      </c>
      <c r="E12" s="50">
        <v>2</v>
      </c>
      <c r="F12" s="50">
        <v>15</v>
      </c>
      <c r="G12" s="50">
        <v>2</v>
      </c>
      <c r="H12" s="50">
        <v>0</v>
      </c>
      <c r="I12" s="50">
        <v>3</v>
      </c>
      <c r="J12" s="50">
        <v>3</v>
      </c>
      <c r="K12" s="50">
        <v>0</v>
      </c>
      <c r="L12" s="50">
        <v>0</v>
      </c>
      <c r="M12" s="50">
        <v>99</v>
      </c>
      <c r="N12" s="50">
        <v>0</v>
      </c>
      <c r="O12" s="15">
        <f t="shared" si="0"/>
        <v>52</v>
      </c>
      <c r="P12" s="15">
        <f t="shared" si="1"/>
        <v>151</v>
      </c>
      <c r="R12" s="1" t="s">
        <v>8</v>
      </c>
      <c r="S12" s="17">
        <f t="shared" ref="S12:AF12" si="4">SUM(C18:C21)</f>
        <v>55</v>
      </c>
      <c r="T12" s="17">
        <f t="shared" si="4"/>
        <v>10</v>
      </c>
      <c r="U12" s="17">
        <f t="shared" si="4"/>
        <v>0</v>
      </c>
      <c r="V12" s="17">
        <f t="shared" si="4"/>
        <v>64</v>
      </c>
      <c r="W12" s="17">
        <f t="shared" si="4"/>
        <v>0</v>
      </c>
      <c r="X12" s="17">
        <f t="shared" si="4"/>
        <v>2</v>
      </c>
      <c r="Y12" s="17">
        <f t="shared" si="4"/>
        <v>17</v>
      </c>
      <c r="Z12" s="17">
        <f t="shared" si="4"/>
        <v>5</v>
      </c>
      <c r="AA12" s="17">
        <f t="shared" si="4"/>
        <v>1</v>
      </c>
      <c r="AB12" s="17">
        <f t="shared" si="4"/>
        <v>1</v>
      </c>
      <c r="AC12" s="17">
        <f t="shared" si="4"/>
        <v>265</v>
      </c>
      <c r="AD12" s="17">
        <f t="shared" si="4"/>
        <v>0</v>
      </c>
      <c r="AE12" s="31">
        <f t="shared" si="4"/>
        <v>155</v>
      </c>
      <c r="AF12" s="31">
        <f t="shared" si="4"/>
        <v>420</v>
      </c>
    </row>
    <row r="13" spans="2:32" ht="23.1" customHeight="1" x14ac:dyDescent="0.25">
      <c r="B13" s="45" t="s">
        <v>40</v>
      </c>
      <c r="C13" s="50">
        <v>9</v>
      </c>
      <c r="D13" s="50">
        <v>6</v>
      </c>
      <c r="E13" s="50">
        <v>1</v>
      </c>
      <c r="F13" s="50">
        <v>15</v>
      </c>
      <c r="G13" s="50">
        <v>0</v>
      </c>
      <c r="H13" s="50">
        <v>0</v>
      </c>
      <c r="I13" s="50">
        <v>1</v>
      </c>
      <c r="J13" s="50">
        <v>3</v>
      </c>
      <c r="K13" s="50">
        <v>0</v>
      </c>
      <c r="L13" s="50">
        <v>0</v>
      </c>
      <c r="M13" s="50">
        <v>90</v>
      </c>
      <c r="N13" s="50">
        <v>0</v>
      </c>
      <c r="O13" s="15">
        <f t="shared" si="0"/>
        <v>35</v>
      </c>
      <c r="P13" s="15">
        <f t="shared" si="1"/>
        <v>125</v>
      </c>
      <c r="R13" s="1" t="s">
        <v>9</v>
      </c>
      <c r="S13" s="17">
        <f t="shared" ref="S13:AF13" si="5">SUM(C22:C25)</f>
        <v>46</v>
      </c>
      <c r="T13" s="17">
        <f t="shared" si="5"/>
        <v>2</v>
      </c>
      <c r="U13" s="17">
        <f t="shared" si="5"/>
        <v>7</v>
      </c>
      <c r="V13" s="17">
        <f t="shared" si="5"/>
        <v>42</v>
      </c>
      <c r="W13" s="17">
        <f t="shared" si="5"/>
        <v>2</v>
      </c>
      <c r="X13" s="17">
        <f t="shared" si="5"/>
        <v>4</v>
      </c>
      <c r="Y13" s="17">
        <f t="shared" si="5"/>
        <v>10</v>
      </c>
      <c r="Z13" s="17">
        <f t="shared" si="5"/>
        <v>4</v>
      </c>
      <c r="AA13" s="17">
        <f t="shared" si="5"/>
        <v>2</v>
      </c>
      <c r="AB13" s="17">
        <f t="shared" si="5"/>
        <v>1</v>
      </c>
      <c r="AC13" s="17">
        <f t="shared" si="5"/>
        <v>326</v>
      </c>
      <c r="AD13" s="17">
        <f t="shared" si="5"/>
        <v>0</v>
      </c>
      <c r="AE13" s="31">
        <f t="shared" si="5"/>
        <v>120</v>
      </c>
      <c r="AF13" s="31">
        <f t="shared" si="5"/>
        <v>446</v>
      </c>
    </row>
    <row r="14" spans="2:32" ht="23.1" customHeight="1" x14ac:dyDescent="0.25">
      <c r="B14" s="45" t="s">
        <v>41</v>
      </c>
      <c r="C14" s="50">
        <v>9</v>
      </c>
      <c r="D14" s="50">
        <v>5</v>
      </c>
      <c r="E14" s="50">
        <v>0</v>
      </c>
      <c r="F14" s="50">
        <v>10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99</v>
      </c>
      <c r="N14" s="50">
        <v>0</v>
      </c>
      <c r="O14" s="15">
        <f t="shared" si="0"/>
        <v>28</v>
      </c>
      <c r="P14" s="15">
        <f t="shared" si="1"/>
        <v>127</v>
      </c>
      <c r="R14" s="1" t="s">
        <v>10</v>
      </c>
      <c r="S14" s="17">
        <f t="shared" ref="S14:AF14" si="6">SUM(C26:C29)</f>
        <v>54</v>
      </c>
      <c r="T14" s="17">
        <f t="shared" si="6"/>
        <v>15</v>
      </c>
      <c r="U14" s="17">
        <f t="shared" si="6"/>
        <v>8</v>
      </c>
      <c r="V14" s="17">
        <f t="shared" si="6"/>
        <v>38</v>
      </c>
      <c r="W14" s="17">
        <f t="shared" si="6"/>
        <v>4</v>
      </c>
      <c r="X14" s="17">
        <f t="shared" si="6"/>
        <v>1</v>
      </c>
      <c r="Y14" s="17">
        <f t="shared" si="6"/>
        <v>14</v>
      </c>
      <c r="Z14" s="17">
        <f t="shared" si="6"/>
        <v>2</v>
      </c>
      <c r="AA14" s="17">
        <f t="shared" si="6"/>
        <v>4</v>
      </c>
      <c r="AB14" s="17">
        <f t="shared" si="6"/>
        <v>3</v>
      </c>
      <c r="AC14" s="17">
        <f t="shared" si="6"/>
        <v>363</v>
      </c>
      <c r="AD14" s="17">
        <f t="shared" si="6"/>
        <v>0</v>
      </c>
      <c r="AE14" s="31">
        <f t="shared" si="6"/>
        <v>143</v>
      </c>
      <c r="AF14" s="31">
        <f t="shared" si="6"/>
        <v>506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1</v>
      </c>
      <c r="F15" s="50">
        <v>19</v>
      </c>
      <c r="G15" s="50">
        <v>0</v>
      </c>
      <c r="H15" s="50">
        <v>0</v>
      </c>
      <c r="I15" s="50">
        <v>3</v>
      </c>
      <c r="J15" s="50">
        <v>0</v>
      </c>
      <c r="K15" s="50">
        <v>1</v>
      </c>
      <c r="L15" s="50">
        <v>0</v>
      </c>
      <c r="M15" s="50">
        <v>103</v>
      </c>
      <c r="N15" s="50">
        <v>0</v>
      </c>
      <c r="O15" s="15">
        <f t="shared" si="0"/>
        <v>26</v>
      </c>
      <c r="P15" s="15">
        <f t="shared" si="1"/>
        <v>129</v>
      </c>
      <c r="R15" s="1" t="s">
        <v>11</v>
      </c>
      <c r="S15" s="17">
        <f t="shared" ref="S15:AF15" si="7">SUM(C30:C33)</f>
        <v>58</v>
      </c>
      <c r="T15" s="17">
        <f t="shared" si="7"/>
        <v>12</v>
      </c>
      <c r="U15" s="17">
        <f t="shared" si="7"/>
        <v>6</v>
      </c>
      <c r="V15" s="17">
        <f t="shared" si="7"/>
        <v>39</v>
      </c>
      <c r="W15" s="17">
        <f t="shared" si="7"/>
        <v>6</v>
      </c>
      <c r="X15" s="17">
        <f t="shared" si="7"/>
        <v>2</v>
      </c>
      <c r="Y15" s="17">
        <f t="shared" si="7"/>
        <v>20</v>
      </c>
      <c r="Z15" s="17">
        <f t="shared" si="7"/>
        <v>6</v>
      </c>
      <c r="AA15" s="17">
        <f t="shared" si="7"/>
        <v>0</v>
      </c>
      <c r="AB15" s="17">
        <f t="shared" si="7"/>
        <v>2</v>
      </c>
      <c r="AC15" s="17">
        <f t="shared" si="7"/>
        <v>375</v>
      </c>
      <c r="AD15" s="17">
        <f t="shared" si="7"/>
        <v>0</v>
      </c>
      <c r="AE15" s="31">
        <f t="shared" si="7"/>
        <v>151</v>
      </c>
      <c r="AF15" s="31">
        <f t="shared" si="7"/>
        <v>526</v>
      </c>
    </row>
    <row r="16" spans="2:32" ht="23.1" customHeight="1" x14ac:dyDescent="0.25">
      <c r="B16" s="45" t="s">
        <v>43</v>
      </c>
      <c r="C16" s="50">
        <v>2</v>
      </c>
      <c r="D16" s="50">
        <v>1</v>
      </c>
      <c r="E16" s="50">
        <v>0</v>
      </c>
      <c r="F16" s="50">
        <v>19</v>
      </c>
      <c r="G16" s="50">
        <v>0</v>
      </c>
      <c r="H16" s="50">
        <v>1</v>
      </c>
      <c r="I16" s="50">
        <v>3</v>
      </c>
      <c r="J16" s="50">
        <v>1</v>
      </c>
      <c r="K16" s="50">
        <v>0</v>
      </c>
      <c r="L16" s="50">
        <v>0</v>
      </c>
      <c r="M16" s="50">
        <v>89</v>
      </c>
      <c r="N16" s="50">
        <v>0</v>
      </c>
      <c r="O16" s="15">
        <f t="shared" si="0"/>
        <v>27</v>
      </c>
      <c r="P16" s="15">
        <f t="shared" si="1"/>
        <v>116</v>
      </c>
      <c r="R16" s="1" t="s">
        <v>12</v>
      </c>
      <c r="S16" s="17">
        <f t="shared" ref="S16:AF16" si="8">SUM(C34:C37)</f>
        <v>70</v>
      </c>
      <c r="T16" s="17">
        <f t="shared" si="8"/>
        <v>14</v>
      </c>
      <c r="U16" s="17">
        <f t="shared" si="8"/>
        <v>3</v>
      </c>
      <c r="V16" s="17">
        <f t="shared" si="8"/>
        <v>78</v>
      </c>
      <c r="W16" s="17">
        <f t="shared" si="8"/>
        <v>1</v>
      </c>
      <c r="X16" s="17">
        <f t="shared" si="8"/>
        <v>6</v>
      </c>
      <c r="Y16" s="17">
        <f t="shared" si="8"/>
        <v>18</v>
      </c>
      <c r="Z16" s="17">
        <f t="shared" si="8"/>
        <v>1</v>
      </c>
      <c r="AA16" s="17">
        <f t="shared" si="8"/>
        <v>2</v>
      </c>
      <c r="AB16" s="17">
        <f t="shared" si="8"/>
        <v>1</v>
      </c>
      <c r="AC16" s="17">
        <f t="shared" si="8"/>
        <v>350</v>
      </c>
      <c r="AD16" s="17">
        <f t="shared" si="8"/>
        <v>1</v>
      </c>
      <c r="AE16" s="31">
        <f t="shared" si="8"/>
        <v>195</v>
      </c>
      <c r="AF16" s="31">
        <f t="shared" si="8"/>
        <v>545</v>
      </c>
    </row>
    <row r="17" spans="2:32" ht="23.1" customHeight="1" x14ac:dyDescent="0.25">
      <c r="B17" s="45" t="s">
        <v>44</v>
      </c>
      <c r="C17" s="50">
        <v>5</v>
      </c>
      <c r="D17" s="50">
        <v>0</v>
      </c>
      <c r="E17" s="50">
        <v>0</v>
      </c>
      <c r="F17" s="50">
        <v>4</v>
      </c>
      <c r="G17" s="50">
        <v>0</v>
      </c>
      <c r="H17" s="50">
        <v>1</v>
      </c>
      <c r="I17" s="50">
        <v>2</v>
      </c>
      <c r="J17" s="50">
        <v>0</v>
      </c>
      <c r="K17" s="50">
        <v>1</v>
      </c>
      <c r="L17" s="50">
        <v>0</v>
      </c>
      <c r="M17" s="50">
        <v>79</v>
      </c>
      <c r="N17" s="50">
        <v>0</v>
      </c>
      <c r="O17" s="15">
        <f t="shared" si="0"/>
        <v>13</v>
      </c>
      <c r="P17" s="15">
        <f t="shared" si="1"/>
        <v>92</v>
      </c>
      <c r="R17" s="1" t="s">
        <v>13</v>
      </c>
      <c r="S17" s="17">
        <f t="shared" ref="S17:AF17" si="9">SUM(C38:C41)</f>
        <v>98</v>
      </c>
      <c r="T17" s="17">
        <f t="shared" si="9"/>
        <v>21</v>
      </c>
      <c r="U17" s="17">
        <f t="shared" si="9"/>
        <v>2</v>
      </c>
      <c r="V17" s="17">
        <f t="shared" si="9"/>
        <v>103</v>
      </c>
      <c r="W17" s="17">
        <f t="shared" si="9"/>
        <v>4</v>
      </c>
      <c r="X17" s="17">
        <f t="shared" si="9"/>
        <v>7</v>
      </c>
      <c r="Y17" s="17">
        <f t="shared" si="9"/>
        <v>30</v>
      </c>
      <c r="Z17" s="17">
        <f t="shared" si="9"/>
        <v>5</v>
      </c>
      <c r="AA17" s="17">
        <f t="shared" si="9"/>
        <v>7</v>
      </c>
      <c r="AB17" s="17">
        <f t="shared" si="9"/>
        <v>2</v>
      </c>
      <c r="AC17" s="17">
        <f t="shared" si="9"/>
        <v>384</v>
      </c>
      <c r="AD17" s="17">
        <f t="shared" si="9"/>
        <v>0</v>
      </c>
      <c r="AE17" s="31">
        <f t="shared" si="9"/>
        <v>279</v>
      </c>
      <c r="AF17" s="31">
        <f t="shared" si="9"/>
        <v>663</v>
      </c>
    </row>
    <row r="18" spans="2:32" ht="23.1" customHeight="1" x14ac:dyDescent="0.25">
      <c r="B18" s="45" t="s">
        <v>45</v>
      </c>
      <c r="C18" s="50">
        <v>7</v>
      </c>
      <c r="D18" s="50">
        <v>0</v>
      </c>
      <c r="E18" s="50">
        <v>0</v>
      </c>
      <c r="F18" s="50">
        <v>25</v>
      </c>
      <c r="G18" s="50">
        <v>0</v>
      </c>
      <c r="H18" s="50">
        <v>1</v>
      </c>
      <c r="I18" s="50">
        <v>1</v>
      </c>
      <c r="J18" s="50">
        <v>0</v>
      </c>
      <c r="K18" s="50">
        <v>0</v>
      </c>
      <c r="L18" s="50">
        <v>0</v>
      </c>
      <c r="M18" s="50">
        <v>73</v>
      </c>
      <c r="N18" s="50">
        <v>0</v>
      </c>
      <c r="O18" s="15">
        <f t="shared" si="0"/>
        <v>34</v>
      </c>
      <c r="P18" s="15">
        <f t="shared" si="1"/>
        <v>107</v>
      </c>
      <c r="R18" s="1" t="s">
        <v>14</v>
      </c>
      <c r="S18" s="17">
        <f t="shared" ref="S18:AF18" si="10">SUM(C42:C45)</f>
        <v>88</v>
      </c>
      <c r="T18" s="17">
        <f t="shared" si="10"/>
        <v>14</v>
      </c>
      <c r="U18" s="17">
        <f t="shared" si="10"/>
        <v>12</v>
      </c>
      <c r="V18" s="17">
        <f t="shared" si="10"/>
        <v>63</v>
      </c>
      <c r="W18" s="17">
        <f t="shared" si="10"/>
        <v>0</v>
      </c>
      <c r="X18" s="17">
        <f t="shared" si="10"/>
        <v>6</v>
      </c>
      <c r="Y18" s="17">
        <f t="shared" si="10"/>
        <v>26</v>
      </c>
      <c r="Z18" s="17">
        <f t="shared" si="10"/>
        <v>12</v>
      </c>
      <c r="AA18" s="17">
        <f t="shared" si="10"/>
        <v>1</v>
      </c>
      <c r="AB18" s="17">
        <f t="shared" si="10"/>
        <v>4</v>
      </c>
      <c r="AC18" s="17">
        <f t="shared" si="10"/>
        <v>351</v>
      </c>
      <c r="AD18" s="17">
        <f t="shared" si="10"/>
        <v>0</v>
      </c>
      <c r="AE18" s="31">
        <f t="shared" si="10"/>
        <v>226</v>
      </c>
      <c r="AF18" s="31">
        <f t="shared" si="10"/>
        <v>577</v>
      </c>
    </row>
    <row r="19" spans="2:32" ht="23.1" customHeight="1" x14ac:dyDescent="0.25">
      <c r="B19" s="45" t="s">
        <v>46</v>
      </c>
      <c r="C19" s="50">
        <v>10</v>
      </c>
      <c r="D19" s="50">
        <v>2</v>
      </c>
      <c r="E19" s="50">
        <v>0</v>
      </c>
      <c r="F19" s="50">
        <v>11</v>
      </c>
      <c r="G19" s="50">
        <v>0</v>
      </c>
      <c r="H19" s="50">
        <v>0</v>
      </c>
      <c r="I19" s="50">
        <v>9</v>
      </c>
      <c r="J19" s="50">
        <v>1</v>
      </c>
      <c r="K19" s="50">
        <v>0</v>
      </c>
      <c r="L19" s="50">
        <v>1</v>
      </c>
      <c r="M19" s="50">
        <v>59</v>
      </c>
      <c r="N19" s="50">
        <v>0</v>
      </c>
      <c r="O19" s="15">
        <f t="shared" si="0"/>
        <v>34</v>
      </c>
      <c r="P19" s="15">
        <f t="shared" si="1"/>
        <v>93</v>
      </c>
      <c r="R19" s="1" t="s">
        <v>15</v>
      </c>
      <c r="S19" s="17">
        <f t="shared" ref="S19:AF19" si="11">SUM(C46:C49)</f>
        <v>59</v>
      </c>
      <c r="T19" s="17">
        <f t="shared" si="11"/>
        <v>18</v>
      </c>
      <c r="U19" s="17">
        <f t="shared" si="11"/>
        <v>10</v>
      </c>
      <c r="V19" s="17">
        <f t="shared" si="11"/>
        <v>57</v>
      </c>
      <c r="W19" s="17">
        <f t="shared" si="11"/>
        <v>5</v>
      </c>
      <c r="X19" s="17">
        <f t="shared" si="11"/>
        <v>3</v>
      </c>
      <c r="Y19" s="17">
        <f t="shared" si="11"/>
        <v>31</v>
      </c>
      <c r="Z19" s="17">
        <f t="shared" si="11"/>
        <v>16</v>
      </c>
      <c r="AA19" s="17">
        <f t="shared" si="11"/>
        <v>8</v>
      </c>
      <c r="AB19" s="17">
        <f t="shared" si="11"/>
        <v>2</v>
      </c>
      <c r="AC19" s="17">
        <f t="shared" si="11"/>
        <v>338</v>
      </c>
      <c r="AD19" s="17">
        <f t="shared" si="11"/>
        <v>0</v>
      </c>
      <c r="AE19" s="31">
        <f t="shared" si="11"/>
        <v>209</v>
      </c>
      <c r="AF19" s="31">
        <f t="shared" si="11"/>
        <v>547</v>
      </c>
    </row>
    <row r="20" spans="2:32" ht="23.1" customHeight="1" x14ac:dyDescent="0.25">
      <c r="B20" s="45" t="s">
        <v>47</v>
      </c>
      <c r="C20" s="50">
        <v>20</v>
      </c>
      <c r="D20" s="50">
        <v>0</v>
      </c>
      <c r="E20" s="50">
        <v>0</v>
      </c>
      <c r="F20" s="50">
        <v>15</v>
      </c>
      <c r="G20" s="50">
        <v>0</v>
      </c>
      <c r="H20" s="50">
        <v>1</v>
      </c>
      <c r="I20" s="50">
        <v>3</v>
      </c>
      <c r="J20" s="50">
        <v>1</v>
      </c>
      <c r="K20" s="50">
        <v>1</v>
      </c>
      <c r="L20" s="50">
        <v>0</v>
      </c>
      <c r="M20" s="50">
        <v>64</v>
      </c>
      <c r="N20" s="50">
        <v>0</v>
      </c>
      <c r="O20" s="15">
        <f t="shared" si="0"/>
        <v>41</v>
      </c>
      <c r="P20" s="15">
        <f t="shared" si="1"/>
        <v>105</v>
      </c>
      <c r="R20" s="1" t="s">
        <v>16</v>
      </c>
      <c r="S20" s="17">
        <f t="shared" ref="S20:AF20" si="12">SUM(C50:C53)</f>
        <v>103</v>
      </c>
      <c r="T20" s="17">
        <f t="shared" si="12"/>
        <v>23</v>
      </c>
      <c r="U20" s="17">
        <f t="shared" si="12"/>
        <v>9</v>
      </c>
      <c r="V20" s="17">
        <f t="shared" si="12"/>
        <v>99</v>
      </c>
      <c r="W20" s="17">
        <f t="shared" si="12"/>
        <v>3</v>
      </c>
      <c r="X20" s="17">
        <f t="shared" si="12"/>
        <v>8</v>
      </c>
      <c r="Y20" s="17">
        <f t="shared" si="12"/>
        <v>23</v>
      </c>
      <c r="Z20" s="17">
        <f t="shared" si="12"/>
        <v>8</v>
      </c>
      <c r="AA20" s="17">
        <f t="shared" si="12"/>
        <v>6</v>
      </c>
      <c r="AB20" s="17">
        <f t="shared" si="12"/>
        <v>1</v>
      </c>
      <c r="AC20" s="17">
        <f t="shared" si="12"/>
        <v>433</v>
      </c>
      <c r="AD20" s="17">
        <f t="shared" si="12"/>
        <v>0</v>
      </c>
      <c r="AE20" s="31">
        <f t="shared" si="12"/>
        <v>283</v>
      </c>
      <c r="AF20" s="31">
        <f t="shared" si="12"/>
        <v>716</v>
      </c>
    </row>
    <row r="21" spans="2:32" ht="23.1" customHeight="1" x14ac:dyDescent="0.25">
      <c r="B21" s="45" t="s">
        <v>48</v>
      </c>
      <c r="C21" s="50">
        <v>18</v>
      </c>
      <c r="D21" s="50">
        <v>8</v>
      </c>
      <c r="E21" s="50">
        <v>0</v>
      </c>
      <c r="F21" s="50">
        <v>13</v>
      </c>
      <c r="G21" s="50">
        <v>0</v>
      </c>
      <c r="H21" s="50">
        <v>0</v>
      </c>
      <c r="I21" s="50">
        <v>4</v>
      </c>
      <c r="J21" s="50">
        <v>3</v>
      </c>
      <c r="K21" s="50">
        <v>0</v>
      </c>
      <c r="L21" s="50">
        <v>0</v>
      </c>
      <c r="M21" s="50">
        <v>69</v>
      </c>
      <c r="N21" s="50">
        <v>0</v>
      </c>
      <c r="O21" s="15">
        <f t="shared" si="0"/>
        <v>46</v>
      </c>
      <c r="P21" s="15">
        <f t="shared" si="1"/>
        <v>115</v>
      </c>
      <c r="R21" s="36" t="s">
        <v>20</v>
      </c>
      <c r="S21" s="34">
        <f t="shared" ref="S21:AF21" si="13">SUM(C54:C57)</f>
        <v>82</v>
      </c>
      <c r="T21" s="17">
        <f t="shared" si="13"/>
        <v>6</v>
      </c>
      <c r="U21" s="17">
        <f t="shared" si="13"/>
        <v>11</v>
      </c>
      <c r="V21" s="17">
        <f t="shared" si="13"/>
        <v>85</v>
      </c>
      <c r="W21" s="17">
        <f t="shared" si="13"/>
        <v>4</v>
      </c>
      <c r="X21" s="17">
        <f t="shared" si="13"/>
        <v>2</v>
      </c>
      <c r="Y21" s="17">
        <f t="shared" si="13"/>
        <v>22</v>
      </c>
      <c r="Z21" s="17">
        <f t="shared" si="13"/>
        <v>4</v>
      </c>
      <c r="AA21" s="17">
        <f t="shared" si="13"/>
        <v>0</v>
      </c>
      <c r="AB21" s="17">
        <f t="shared" si="13"/>
        <v>1</v>
      </c>
      <c r="AC21" s="17">
        <f t="shared" si="13"/>
        <v>314</v>
      </c>
      <c r="AD21" s="17">
        <f t="shared" si="13"/>
        <v>0</v>
      </c>
      <c r="AE21" s="31">
        <f t="shared" si="13"/>
        <v>217</v>
      </c>
      <c r="AF21" s="31">
        <f t="shared" si="13"/>
        <v>531</v>
      </c>
    </row>
    <row r="22" spans="2:32" ht="23.1" customHeight="1" x14ac:dyDescent="0.25">
      <c r="B22" s="45" t="s">
        <v>49</v>
      </c>
      <c r="C22" s="50">
        <v>9</v>
      </c>
      <c r="D22" s="50">
        <v>1</v>
      </c>
      <c r="E22" s="50">
        <v>1</v>
      </c>
      <c r="F22" s="50">
        <v>9</v>
      </c>
      <c r="G22" s="50">
        <v>0</v>
      </c>
      <c r="H22" s="50">
        <v>1</v>
      </c>
      <c r="I22" s="50">
        <v>3</v>
      </c>
      <c r="J22" s="50">
        <v>1</v>
      </c>
      <c r="K22" s="50">
        <v>0</v>
      </c>
      <c r="L22" s="50">
        <v>0</v>
      </c>
      <c r="M22" s="50">
        <v>74</v>
      </c>
      <c r="N22" s="50">
        <v>0</v>
      </c>
      <c r="O22" s="15">
        <f t="shared" si="0"/>
        <v>25</v>
      </c>
      <c r="P22" s="15">
        <f t="shared" si="1"/>
        <v>99</v>
      </c>
      <c r="R22" s="36" t="s">
        <v>146</v>
      </c>
      <c r="S22" s="34">
        <f>SUM(C58:C61)</f>
        <v>180</v>
      </c>
      <c r="T22" s="34">
        <f t="shared" ref="T22:AF22" si="14">SUM(D58:D61)</f>
        <v>111</v>
      </c>
      <c r="U22" s="34">
        <f t="shared" si="14"/>
        <v>53</v>
      </c>
      <c r="V22" s="34">
        <f t="shared" si="14"/>
        <v>289</v>
      </c>
      <c r="W22" s="34">
        <f t="shared" si="14"/>
        <v>57</v>
      </c>
      <c r="X22" s="34">
        <f t="shared" si="14"/>
        <v>8</v>
      </c>
      <c r="Y22" s="34">
        <f t="shared" si="14"/>
        <v>49</v>
      </c>
      <c r="Z22" s="34">
        <f t="shared" si="14"/>
        <v>13</v>
      </c>
      <c r="AA22" s="34">
        <f t="shared" si="14"/>
        <v>8</v>
      </c>
      <c r="AB22" s="34">
        <f t="shared" si="14"/>
        <v>3</v>
      </c>
      <c r="AC22" s="34">
        <f t="shared" si="14"/>
        <v>731</v>
      </c>
      <c r="AD22" s="34">
        <f t="shared" si="14"/>
        <v>2</v>
      </c>
      <c r="AE22" s="31">
        <f t="shared" si="14"/>
        <v>773</v>
      </c>
      <c r="AF22" s="31">
        <f t="shared" si="14"/>
        <v>1504</v>
      </c>
    </row>
    <row r="23" spans="2:32" ht="23.1" customHeight="1" x14ac:dyDescent="0.25">
      <c r="B23" s="45" t="s">
        <v>50</v>
      </c>
      <c r="C23" s="50">
        <v>4</v>
      </c>
      <c r="D23" s="50">
        <v>0</v>
      </c>
      <c r="E23" s="50">
        <v>0</v>
      </c>
      <c r="F23" s="50">
        <v>6</v>
      </c>
      <c r="G23" s="50">
        <v>0</v>
      </c>
      <c r="H23" s="50">
        <v>2</v>
      </c>
      <c r="I23" s="50">
        <v>3</v>
      </c>
      <c r="J23" s="50">
        <v>0</v>
      </c>
      <c r="K23" s="50">
        <v>0</v>
      </c>
      <c r="L23" s="50">
        <v>0</v>
      </c>
      <c r="M23" s="50">
        <v>89</v>
      </c>
      <c r="N23" s="50">
        <v>0</v>
      </c>
      <c r="O23" s="15">
        <f t="shared" si="0"/>
        <v>15</v>
      </c>
      <c r="P23" s="15">
        <f t="shared" si="1"/>
        <v>104</v>
      </c>
      <c r="R23" s="36" t="s">
        <v>147</v>
      </c>
      <c r="S23" s="34">
        <f>SUM(C62:C65)</f>
        <v>154</v>
      </c>
      <c r="T23" s="34">
        <f t="shared" ref="T23:AF23" si="15">SUM(D62:D65)</f>
        <v>35</v>
      </c>
      <c r="U23" s="34">
        <f t="shared" si="15"/>
        <v>7</v>
      </c>
      <c r="V23" s="34">
        <f t="shared" si="15"/>
        <v>105</v>
      </c>
      <c r="W23" s="34">
        <f t="shared" si="15"/>
        <v>2</v>
      </c>
      <c r="X23" s="34">
        <f t="shared" si="15"/>
        <v>4</v>
      </c>
      <c r="Y23" s="34">
        <f t="shared" si="15"/>
        <v>26</v>
      </c>
      <c r="Z23" s="34">
        <f t="shared" si="15"/>
        <v>2</v>
      </c>
      <c r="AA23" s="34">
        <f t="shared" si="15"/>
        <v>3</v>
      </c>
      <c r="AB23" s="34">
        <f t="shared" si="15"/>
        <v>0</v>
      </c>
      <c r="AC23" s="34">
        <f t="shared" si="15"/>
        <v>475</v>
      </c>
      <c r="AD23" s="34">
        <f t="shared" si="15"/>
        <v>0</v>
      </c>
      <c r="AE23" s="31">
        <f t="shared" si="15"/>
        <v>338</v>
      </c>
      <c r="AF23" s="31">
        <f t="shared" si="15"/>
        <v>813</v>
      </c>
    </row>
    <row r="24" spans="2:32" ht="23.1" customHeight="1" x14ac:dyDescent="0.25">
      <c r="B24" s="45" t="s">
        <v>51</v>
      </c>
      <c r="C24" s="50">
        <v>15</v>
      </c>
      <c r="D24" s="50">
        <v>1</v>
      </c>
      <c r="E24" s="50">
        <v>4</v>
      </c>
      <c r="F24" s="50">
        <v>19</v>
      </c>
      <c r="G24" s="50">
        <v>1</v>
      </c>
      <c r="H24" s="50">
        <v>1</v>
      </c>
      <c r="I24" s="50">
        <v>1</v>
      </c>
      <c r="J24" s="50">
        <v>2</v>
      </c>
      <c r="K24" s="50">
        <v>1</v>
      </c>
      <c r="L24" s="50">
        <v>1</v>
      </c>
      <c r="M24" s="50">
        <v>84</v>
      </c>
      <c r="N24" s="50">
        <v>0</v>
      </c>
      <c r="O24" s="15">
        <f t="shared" si="0"/>
        <v>46</v>
      </c>
      <c r="P24" s="15">
        <f t="shared" si="1"/>
        <v>130</v>
      </c>
      <c r="R24" s="36" t="s">
        <v>148</v>
      </c>
      <c r="S24" s="34">
        <f>SUM(C66:C69)</f>
        <v>70</v>
      </c>
      <c r="T24" s="34">
        <f t="shared" ref="T24:AF24" si="16">SUM(D66:D69)</f>
        <v>84</v>
      </c>
      <c r="U24" s="34">
        <f t="shared" si="16"/>
        <v>15</v>
      </c>
      <c r="V24" s="34">
        <f t="shared" si="16"/>
        <v>189</v>
      </c>
      <c r="W24" s="34">
        <f t="shared" si="16"/>
        <v>3</v>
      </c>
      <c r="X24" s="34">
        <f t="shared" si="16"/>
        <v>10</v>
      </c>
      <c r="Y24" s="34">
        <f t="shared" si="16"/>
        <v>27</v>
      </c>
      <c r="Z24" s="34">
        <f t="shared" si="16"/>
        <v>0</v>
      </c>
      <c r="AA24" s="34">
        <f t="shared" si="16"/>
        <v>5</v>
      </c>
      <c r="AB24" s="34">
        <f t="shared" si="16"/>
        <v>15</v>
      </c>
      <c r="AC24" s="34">
        <f t="shared" si="16"/>
        <v>469</v>
      </c>
      <c r="AD24" s="34">
        <f t="shared" si="16"/>
        <v>0</v>
      </c>
      <c r="AE24" s="31">
        <f t="shared" si="16"/>
        <v>418</v>
      </c>
      <c r="AF24" s="31">
        <f t="shared" si="16"/>
        <v>887</v>
      </c>
    </row>
    <row r="25" spans="2:32" ht="23.1" customHeight="1" x14ac:dyDescent="0.25">
      <c r="B25" s="45" t="s">
        <v>52</v>
      </c>
      <c r="C25" s="50">
        <v>18</v>
      </c>
      <c r="D25" s="50">
        <v>0</v>
      </c>
      <c r="E25" s="50">
        <v>2</v>
      </c>
      <c r="F25" s="50">
        <v>8</v>
      </c>
      <c r="G25" s="50">
        <v>1</v>
      </c>
      <c r="H25" s="50">
        <v>0</v>
      </c>
      <c r="I25" s="50">
        <v>3</v>
      </c>
      <c r="J25" s="50">
        <v>1</v>
      </c>
      <c r="K25" s="50">
        <v>1</v>
      </c>
      <c r="L25" s="50">
        <v>0</v>
      </c>
      <c r="M25" s="50">
        <v>79</v>
      </c>
      <c r="N25" s="50">
        <v>0</v>
      </c>
      <c r="O25" s="15">
        <f t="shared" si="0"/>
        <v>34</v>
      </c>
      <c r="P25" s="15">
        <f t="shared" si="1"/>
        <v>113</v>
      </c>
      <c r="R25" s="36" t="s">
        <v>149</v>
      </c>
      <c r="S25" s="34">
        <f>SUM(C70:C73)</f>
        <v>46</v>
      </c>
      <c r="T25" s="34">
        <f t="shared" ref="T25:AF25" si="17">SUM(D70:D73)</f>
        <v>102</v>
      </c>
      <c r="U25" s="34">
        <f t="shared" si="17"/>
        <v>16</v>
      </c>
      <c r="V25" s="34">
        <f t="shared" si="17"/>
        <v>117</v>
      </c>
      <c r="W25" s="34">
        <f t="shared" si="17"/>
        <v>1</v>
      </c>
      <c r="X25" s="34">
        <f t="shared" si="17"/>
        <v>4</v>
      </c>
      <c r="Y25" s="34">
        <f t="shared" si="17"/>
        <v>21</v>
      </c>
      <c r="Z25" s="34">
        <f t="shared" si="17"/>
        <v>0</v>
      </c>
      <c r="AA25" s="34">
        <f t="shared" si="17"/>
        <v>0</v>
      </c>
      <c r="AB25" s="34">
        <f t="shared" si="17"/>
        <v>5</v>
      </c>
      <c r="AC25" s="34">
        <f t="shared" si="17"/>
        <v>351</v>
      </c>
      <c r="AD25" s="34">
        <f t="shared" si="17"/>
        <v>0</v>
      </c>
      <c r="AE25" s="31">
        <f t="shared" si="17"/>
        <v>312</v>
      </c>
      <c r="AF25" s="31">
        <f t="shared" si="17"/>
        <v>663</v>
      </c>
    </row>
    <row r="26" spans="2:32" ht="23.1" customHeight="1" x14ac:dyDescent="0.25">
      <c r="B26" s="45" t="s">
        <v>53</v>
      </c>
      <c r="C26" s="50">
        <v>13</v>
      </c>
      <c r="D26" s="50">
        <v>7</v>
      </c>
      <c r="E26" s="50">
        <v>4</v>
      </c>
      <c r="F26" s="50">
        <v>13</v>
      </c>
      <c r="G26" s="50">
        <v>0</v>
      </c>
      <c r="H26" s="50">
        <v>1</v>
      </c>
      <c r="I26" s="50">
        <v>3</v>
      </c>
      <c r="J26" s="50">
        <v>0</v>
      </c>
      <c r="K26" s="50">
        <v>1</v>
      </c>
      <c r="L26" s="50">
        <v>0</v>
      </c>
      <c r="M26" s="50">
        <v>93</v>
      </c>
      <c r="N26" s="50">
        <v>0</v>
      </c>
      <c r="O26" s="15">
        <f t="shared" si="0"/>
        <v>42</v>
      </c>
      <c r="P26" s="15">
        <f t="shared" si="1"/>
        <v>135</v>
      </c>
      <c r="R26" s="36" t="s">
        <v>150</v>
      </c>
      <c r="S26" s="34">
        <f>SUM(C74:C77)</f>
        <v>34</v>
      </c>
      <c r="T26" s="34">
        <f t="shared" ref="T26:AF26" si="18">SUM(D74:D77)</f>
        <v>72</v>
      </c>
      <c r="U26" s="34">
        <f t="shared" si="18"/>
        <v>10</v>
      </c>
      <c r="V26" s="34">
        <f t="shared" si="18"/>
        <v>36</v>
      </c>
      <c r="W26" s="34">
        <f t="shared" si="18"/>
        <v>2</v>
      </c>
      <c r="X26" s="34">
        <f t="shared" si="18"/>
        <v>2</v>
      </c>
      <c r="Y26" s="34">
        <f t="shared" si="18"/>
        <v>4</v>
      </c>
      <c r="Z26" s="34">
        <f t="shared" si="18"/>
        <v>3</v>
      </c>
      <c r="AA26" s="34">
        <f t="shared" si="18"/>
        <v>3</v>
      </c>
      <c r="AB26" s="34">
        <f t="shared" si="18"/>
        <v>8</v>
      </c>
      <c r="AC26" s="34">
        <f t="shared" si="18"/>
        <v>274</v>
      </c>
      <c r="AD26" s="34">
        <f t="shared" si="18"/>
        <v>0</v>
      </c>
      <c r="AE26" s="31">
        <f t="shared" si="18"/>
        <v>174</v>
      </c>
      <c r="AF26" s="31">
        <f t="shared" si="18"/>
        <v>448</v>
      </c>
    </row>
    <row r="27" spans="2:32" ht="23.1" customHeight="1" x14ac:dyDescent="0.25">
      <c r="B27" s="45" t="s">
        <v>54</v>
      </c>
      <c r="C27" s="50">
        <v>16</v>
      </c>
      <c r="D27" s="50">
        <v>3</v>
      </c>
      <c r="E27" s="50">
        <v>0</v>
      </c>
      <c r="F27" s="50">
        <v>6</v>
      </c>
      <c r="G27" s="50">
        <v>2</v>
      </c>
      <c r="H27" s="50">
        <v>0</v>
      </c>
      <c r="I27" s="50">
        <v>3</v>
      </c>
      <c r="J27" s="50">
        <v>0</v>
      </c>
      <c r="K27" s="50">
        <v>2</v>
      </c>
      <c r="L27" s="50">
        <v>1</v>
      </c>
      <c r="M27" s="50">
        <v>76</v>
      </c>
      <c r="N27" s="50">
        <v>0</v>
      </c>
      <c r="O27" s="15">
        <f t="shared" si="0"/>
        <v>33</v>
      </c>
      <c r="P27" s="15">
        <f t="shared" si="1"/>
        <v>109</v>
      </c>
      <c r="R27" s="36" t="s">
        <v>151</v>
      </c>
      <c r="S27" s="34">
        <f>SUM(C78:C81)</f>
        <v>12</v>
      </c>
      <c r="T27" s="34">
        <f t="shared" ref="T27:AF27" si="19">SUM(D78:D81)</f>
        <v>27</v>
      </c>
      <c r="U27" s="34">
        <f t="shared" si="19"/>
        <v>0</v>
      </c>
      <c r="V27" s="34">
        <f t="shared" si="19"/>
        <v>14</v>
      </c>
      <c r="W27" s="34">
        <f t="shared" si="19"/>
        <v>0</v>
      </c>
      <c r="X27" s="34">
        <f t="shared" si="19"/>
        <v>0</v>
      </c>
      <c r="Y27" s="34">
        <f t="shared" si="19"/>
        <v>5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177</v>
      </c>
      <c r="AD27" s="34">
        <f t="shared" si="19"/>
        <v>0</v>
      </c>
      <c r="AE27" s="31">
        <f t="shared" si="19"/>
        <v>58</v>
      </c>
      <c r="AF27" s="31">
        <f t="shared" si="19"/>
        <v>235</v>
      </c>
    </row>
    <row r="28" spans="2:32" ht="23.1" customHeight="1" x14ac:dyDescent="0.25">
      <c r="B28" s="45" t="s">
        <v>55</v>
      </c>
      <c r="C28" s="50">
        <v>14</v>
      </c>
      <c r="D28" s="50">
        <v>4</v>
      </c>
      <c r="E28" s="50">
        <v>4</v>
      </c>
      <c r="F28" s="50">
        <v>13</v>
      </c>
      <c r="G28" s="50">
        <v>2</v>
      </c>
      <c r="H28" s="50">
        <v>0</v>
      </c>
      <c r="I28" s="50">
        <v>5</v>
      </c>
      <c r="J28" s="50">
        <v>1</v>
      </c>
      <c r="K28" s="50">
        <v>1</v>
      </c>
      <c r="L28" s="50">
        <v>2</v>
      </c>
      <c r="M28" s="50">
        <v>89</v>
      </c>
      <c r="N28" s="50">
        <v>0</v>
      </c>
      <c r="O28" s="15">
        <f t="shared" si="0"/>
        <v>46</v>
      </c>
      <c r="P28" s="15">
        <f t="shared" si="1"/>
        <v>135</v>
      </c>
      <c r="R28" s="36" t="s">
        <v>152</v>
      </c>
      <c r="S28" s="34">
        <f>SUM(C82:C85)</f>
        <v>11</v>
      </c>
      <c r="T28" s="34">
        <f t="shared" ref="T28:AF28" si="20">SUM(D82:D85)</f>
        <v>13</v>
      </c>
      <c r="U28" s="34">
        <f t="shared" si="20"/>
        <v>1</v>
      </c>
      <c r="V28" s="34">
        <f t="shared" si="20"/>
        <v>17</v>
      </c>
      <c r="W28" s="34">
        <f t="shared" si="20"/>
        <v>0</v>
      </c>
      <c r="X28" s="34">
        <f t="shared" si="20"/>
        <v>4</v>
      </c>
      <c r="Y28" s="34">
        <f t="shared" si="20"/>
        <v>5</v>
      </c>
      <c r="Z28" s="34">
        <f t="shared" si="20"/>
        <v>0</v>
      </c>
      <c r="AA28" s="34">
        <f t="shared" si="20"/>
        <v>1</v>
      </c>
      <c r="AB28" s="34">
        <f t="shared" si="20"/>
        <v>3</v>
      </c>
      <c r="AC28" s="34">
        <f t="shared" si="20"/>
        <v>195</v>
      </c>
      <c r="AD28" s="34">
        <f t="shared" si="20"/>
        <v>0</v>
      </c>
      <c r="AE28" s="31">
        <f t="shared" si="20"/>
        <v>55</v>
      </c>
      <c r="AF28" s="31">
        <f t="shared" si="20"/>
        <v>250</v>
      </c>
    </row>
    <row r="29" spans="2:32" ht="23.1" customHeight="1" x14ac:dyDescent="0.25">
      <c r="B29" s="45" t="s">
        <v>56</v>
      </c>
      <c r="C29" s="50">
        <v>11</v>
      </c>
      <c r="D29" s="50">
        <v>1</v>
      </c>
      <c r="E29" s="50">
        <v>0</v>
      </c>
      <c r="F29" s="50">
        <v>6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105</v>
      </c>
      <c r="N29" s="50">
        <v>0</v>
      </c>
      <c r="O29" s="15">
        <f t="shared" si="0"/>
        <v>22</v>
      </c>
      <c r="P29" s="15">
        <f t="shared" si="1"/>
        <v>127</v>
      </c>
      <c r="R29" s="36" t="s">
        <v>153</v>
      </c>
      <c r="S29" s="34">
        <f>SUM(C86:C89)</f>
        <v>7</v>
      </c>
      <c r="T29" s="34">
        <f t="shared" ref="T29:AF29" si="21">SUM(D86:D89)</f>
        <v>17</v>
      </c>
      <c r="U29" s="34">
        <f t="shared" si="21"/>
        <v>3</v>
      </c>
      <c r="V29" s="34">
        <f t="shared" si="21"/>
        <v>42</v>
      </c>
      <c r="W29" s="34">
        <f t="shared" si="21"/>
        <v>0</v>
      </c>
      <c r="X29" s="34">
        <f t="shared" si="21"/>
        <v>2</v>
      </c>
      <c r="Y29" s="34">
        <f t="shared" si="21"/>
        <v>3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233</v>
      </c>
      <c r="AD29" s="34">
        <f t="shared" si="21"/>
        <v>0</v>
      </c>
      <c r="AE29" s="31">
        <f t="shared" si="21"/>
        <v>75</v>
      </c>
      <c r="AF29" s="31">
        <f t="shared" si="21"/>
        <v>308</v>
      </c>
    </row>
    <row r="30" spans="2:32" ht="23.1" customHeight="1" x14ac:dyDescent="0.25">
      <c r="B30" s="45" t="s">
        <v>57</v>
      </c>
      <c r="C30" s="50">
        <v>14</v>
      </c>
      <c r="D30" s="50">
        <v>3</v>
      </c>
      <c r="E30" s="50">
        <v>2</v>
      </c>
      <c r="F30" s="50">
        <v>9</v>
      </c>
      <c r="G30" s="50">
        <v>0</v>
      </c>
      <c r="H30" s="50">
        <v>0</v>
      </c>
      <c r="I30" s="50">
        <v>8</v>
      </c>
      <c r="J30" s="50">
        <v>3</v>
      </c>
      <c r="K30" s="50">
        <v>0</v>
      </c>
      <c r="L30" s="50">
        <v>0</v>
      </c>
      <c r="M30" s="50">
        <v>119</v>
      </c>
      <c r="N30" s="50">
        <v>0</v>
      </c>
      <c r="O30" s="15">
        <f t="shared" si="0"/>
        <v>39</v>
      </c>
      <c r="P30" s="15">
        <f t="shared" si="1"/>
        <v>158</v>
      </c>
      <c r="R30" s="36" t="s">
        <v>154</v>
      </c>
      <c r="S30" s="34">
        <f>SUM(C90:C93)</f>
        <v>9</v>
      </c>
      <c r="T30" s="34">
        <f t="shared" ref="T30:AF30" si="22">SUM(D90:D93)</f>
        <v>2</v>
      </c>
      <c r="U30" s="34">
        <f t="shared" si="22"/>
        <v>5</v>
      </c>
      <c r="V30" s="34">
        <f t="shared" si="22"/>
        <v>3</v>
      </c>
      <c r="W30" s="34">
        <f t="shared" si="22"/>
        <v>1</v>
      </c>
      <c r="X30" s="34">
        <f t="shared" si="22"/>
        <v>1</v>
      </c>
      <c r="Y30" s="34">
        <f t="shared" si="22"/>
        <v>2</v>
      </c>
      <c r="Z30" s="34">
        <f t="shared" si="22"/>
        <v>0</v>
      </c>
      <c r="AA30" s="34">
        <f t="shared" si="22"/>
        <v>0</v>
      </c>
      <c r="AB30" s="34">
        <f t="shared" si="22"/>
        <v>1</v>
      </c>
      <c r="AC30" s="34">
        <f t="shared" si="22"/>
        <v>83</v>
      </c>
      <c r="AD30" s="34">
        <f t="shared" si="22"/>
        <v>0</v>
      </c>
      <c r="AE30" s="31">
        <f t="shared" si="22"/>
        <v>24</v>
      </c>
      <c r="AF30" s="31">
        <f t="shared" si="22"/>
        <v>107</v>
      </c>
    </row>
    <row r="31" spans="2:32" ht="23.1" customHeight="1" x14ac:dyDescent="0.25">
      <c r="B31" s="46" t="s">
        <v>58</v>
      </c>
      <c r="C31" s="50">
        <v>17</v>
      </c>
      <c r="D31" s="50">
        <v>4</v>
      </c>
      <c r="E31" s="50">
        <v>1</v>
      </c>
      <c r="F31" s="50">
        <v>9</v>
      </c>
      <c r="G31" s="50">
        <v>2</v>
      </c>
      <c r="H31" s="50">
        <v>1</v>
      </c>
      <c r="I31" s="50">
        <v>8</v>
      </c>
      <c r="J31" s="50">
        <v>1</v>
      </c>
      <c r="K31" s="50">
        <v>0</v>
      </c>
      <c r="L31" s="50">
        <v>0</v>
      </c>
      <c r="M31" s="50">
        <v>89</v>
      </c>
      <c r="N31" s="50">
        <v>0</v>
      </c>
      <c r="O31" s="15">
        <f t="shared" si="0"/>
        <v>43</v>
      </c>
      <c r="P31" s="15">
        <f t="shared" si="1"/>
        <v>132</v>
      </c>
      <c r="R31" s="36" t="s">
        <v>155</v>
      </c>
      <c r="S31" s="34">
        <f>SUM(C94:C97)</f>
        <v>5</v>
      </c>
      <c r="T31" s="34">
        <f t="shared" ref="T31:AF31" si="23">SUM(D94:D97)</f>
        <v>8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126</v>
      </c>
      <c r="AD31" s="34">
        <f t="shared" si="23"/>
        <v>0</v>
      </c>
      <c r="AE31" s="31">
        <f t="shared" si="23"/>
        <v>16</v>
      </c>
      <c r="AF31" s="31">
        <f t="shared" si="23"/>
        <v>142</v>
      </c>
    </row>
    <row r="32" spans="2:32" ht="23.1" customHeight="1" x14ac:dyDescent="0.25">
      <c r="B32" s="46" t="s">
        <v>59</v>
      </c>
      <c r="C32" s="50">
        <v>12</v>
      </c>
      <c r="D32" s="50">
        <v>2</v>
      </c>
      <c r="E32" s="50">
        <v>2</v>
      </c>
      <c r="F32" s="50">
        <v>10</v>
      </c>
      <c r="G32" s="50">
        <v>3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89</v>
      </c>
      <c r="N32" s="50">
        <v>0</v>
      </c>
      <c r="O32" s="15">
        <f t="shared" si="0"/>
        <v>32</v>
      </c>
      <c r="P32" s="15">
        <f t="shared" si="1"/>
        <v>121</v>
      </c>
      <c r="R32" s="33" t="s">
        <v>156</v>
      </c>
      <c r="S32" s="34">
        <f>SUM(C98:C101)</f>
        <v>6</v>
      </c>
      <c r="T32" s="34">
        <f t="shared" ref="T32:AF32" si="24">SUM(D98:D101)</f>
        <v>14</v>
      </c>
      <c r="U32" s="34">
        <f t="shared" si="24"/>
        <v>1</v>
      </c>
      <c r="V32" s="34">
        <f t="shared" si="24"/>
        <v>3</v>
      </c>
      <c r="W32" s="34">
        <f t="shared" si="24"/>
        <v>0</v>
      </c>
      <c r="X32" s="34">
        <f t="shared" si="24"/>
        <v>1</v>
      </c>
      <c r="Y32" s="34">
        <f t="shared" si="24"/>
        <v>3</v>
      </c>
      <c r="Z32" s="34">
        <f t="shared" si="24"/>
        <v>2</v>
      </c>
      <c r="AA32" s="34">
        <f t="shared" si="24"/>
        <v>2</v>
      </c>
      <c r="AB32" s="34">
        <f t="shared" si="24"/>
        <v>1</v>
      </c>
      <c r="AC32" s="34">
        <f t="shared" si="24"/>
        <v>279</v>
      </c>
      <c r="AD32" s="34">
        <f t="shared" si="24"/>
        <v>0</v>
      </c>
      <c r="AE32" s="31">
        <f t="shared" si="24"/>
        <v>33</v>
      </c>
      <c r="AF32" s="31">
        <f t="shared" si="24"/>
        <v>312</v>
      </c>
    </row>
    <row r="33" spans="2:32" ht="23.1" customHeight="1" x14ac:dyDescent="0.25">
      <c r="B33" s="45" t="s">
        <v>60</v>
      </c>
      <c r="C33" s="50">
        <v>15</v>
      </c>
      <c r="D33" s="50">
        <v>3</v>
      </c>
      <c r="E33" s="50">
        <v>1</v>
      </c>
      <c r="F33" s="50">
        <v>11</v>
      </c>
      <c r="G33" s="50">
        <v>1</v>
      </c>
      <c r="H33" s="50">
        <v>1</v>
      </c>
      <c r="I33" s="50">
        <v>2</v>
      </c>
      <c r="J33" s="50">
        <v>1</v>
      </c>
      <c r="K33" s="50">
        <v>0</v>
      </c>
      <c r="L33" s="50">
        <v>2</v>
      </c>
      <c r="M33" s="50">
        <v>78</v>
      </c>
      <c r="N33" s="50">
        <v>0</v>
      </c>
      <c r="O33" s="15">
        <f t="shared" si="0"/>
        <v>37</v>
      </c>
      <c r="P33" s="15">
        <f t="shared" si="1"/>
        <v>115</v>
      </c>
      <c r="R33" s="33" t="s">
        <v>157</v>
      </c>
      <c r="S33" s="34">
        <f>SUM(C102:C105)</f>
        <v>13</v>
      </c>
      <c r="T33" s="34">
        <f t="shared" ref="T33:AF33" si="25">SUM(D102:D105)</f>
        <v>27</v>
      </c>
      <c r="U33" s="34">
        <f t="shared" si="25"/>
        <v>6</v>
      </c>
      <c r="V33" s="34">
        <f t="shared" si="25"/>
        <v>13</v>
      </c>
      <c r="W33" s="34">
        <f t="shared" si="25"/>
        <v>0</v>
      </c>
      <c r="X33" s="34">
        <f t="shared" si="25"/>
        <v>1</v>
      </c>
      <c r="Y33" s="34">
        <f t="shared" si="25"/>
        <v>3</v>
      </c>
      <c r="Z33" s="34">
        <f t="shared" si="25"/>
        <v>3</v>
      </c>
      <c r="AA33" s="34">
        <f t="shared" si="25"/>
        <v>2</v>
      </c>
      <c r="AB33" s="34">
        <f t="shared" si="25"/>
        <v>0</v>
      </c>
      <c r="AC33" s="34">
        <f t="shared" si="25"/>
        <v>493</v>
      </c>
      <c r="AD33" s="34">
        <f t="shared" si="25"/>
        <v>0</v>
      </c>
      <c r="AE33" s="31">
        <f t="shared" si="25"/>
        <v>68</v>
      </c>
      <c r="AF33" s="31">
        <f t="shared" si="25"/>
        <v>561</v>
      </c>
    </row>
    <row r="34" spans="2:32" ht="23.1" customHeight="1" x14ac:dyDescent="0.25">
      <c r="B34" s="46" t="s">
        <v>61</v>
      </c>
      <c r="C34" s="50">
        <v>19</v>
      </c>
      <c r="D34" s="50">
        <v>4</v>
      </c>
      <c r="E34" s="50">
        <v>0</v>
      </c>
      <c r="F34" s="50">
        <v>19</v>
      </c>
      <c r="G34" s="50">
        <v>0</v>
      </c>
      <c r="H34" s="50">
        <v>3</v>
      </c>
      <c r="I34" s="50">
        <v>4</v>
      </c>
      <c r="J34" s="50">
        <v>0</v>
      </c>
      <c r="K34" s="50">
        <v>2</v>
      </c>
      <c r="L34" s="50">
        <v>1</v>
      </c>
      <c r="M34" s="50">
        <v>84</v>
      </c>
      <c r="N34" s="50">
        <v>1</v>
      </c>
      <c r="O34" s="15">
        <f t="shared" si="0"/>
        <v>53</v>
      </c>
      <c r="P34" s="15">
        <f t="shared" si="1"/>
        <v>137</v>
      </c>
      <c r="R34" s="38" t="s">
        <v>90</v>
      </c>
      <c r="S34" s="39">
        <f t="shared" ref="S34:AF34" si="26">MAX(S10:S12)</f>
        <v>55</v>
      </c>
      <c r="T34" s="39">
        <f t="shared" si="26"/>
        <v>18</v>
      </c>
      <c r="U34" s="39">
        <f t="shared" si="26"/>
        <v>3</v>
      </c>
      <c r="V34" s="39">
        <f t="shared" si="26"/>
        <v>64</v>
      </c>
      <c r="W34" s="39">
        <f t="shared" si="26"/>
        <v>5</v>
      </c>
      <c r="X34" s="39">
        <f t="shared" si="26"/>
        <v>2</v>
      </c>
      <c r="Y34" s="39">
        <f t="shared" si="26"/>
        <v>17</v>
      </c>
      <c r="Z34" s="39">
        <f t="shared" si="26"/>
        <v>8</v>
      </c>
      <c r="AA34" s="39">
        <f t="shared" si="26"/>
        <v>2</v>
      </c>
      <c r="AB34" s="39">
        <f t="shared" si="26"/>
        <v>1</v>
      </c>
      <c r="AC34" s="39">
        <f t="shared" si="26"/>
        <v>372</v>
      </c>
      <c r="AD34" s="39">
        <f t="shared" si="26"/>
        <v>0</v>
      </c>
      <c r="AE34" s="40">
        <f t="shared" si="26"/>
        <v>155</v>
      </c>
      <c r="AF34" s="40">
        <f t="shared" si="26"/>
        <v>511</v>
      </c>
    </row>
    <row r="35" spans="2:32" ht="23.1" customHeight="1" x14ac:dyDescent="0.25">
      <c r="B35" s="46" t="s">
        <v>62</v>
      </c>
      <c r="C35" s="50">
        <v>28</v>
      </c>
      <c r="D35" s="50">
        <v>4</v>
      </c>
      <c r="E35" s="50">
        <v>0</v>
      </c>
      <c r="F35" s="50">
        <v>9</v>
      </c>
      <c r="G35" s="50">
        <v>0</v>
      </c>
      <c r="H35" s="50">
        <v>0</v>
      </c>
      <c r="I35" s="50">
        <v>9</v>
      </c>
      <c r="J35" s="50">
        <v>1</v>
      </c>
      <c r="K35" s="50">
        <v>0</v>
      </c>
      <c r="L35" s="50">
        <v>0</v>
      </c>
      <c r="M35" s="50">
        <v>83</v>
      </c>
      <c r="N35" s="50">
        <v>0</v>
      </c>
      <c r="O35" s="15">
        <f t="shared" si="0"/>
        <v>51</v>
      </c>
      <c r="P35" s="15">
        <f t="shared" si="1"/>
        <v>134</v>
      </c>
      <c r="R35" s="38" t="s">
        <v>91</v>
      </c>
      <c r="S35" s="39">
        <f t="shared" ref="S35:AF35" si="27">MAX(S13:S18)</f>
        <v>98</v>
      </c>
      <c r="T35" s="39">
        <f t="shared" si="27"/>
        <v>21</v>
      </c>
      <c r="U35" s="39">
        <f t="shared" si="27"/>
        <v>12</v>
      </c>
      <c r="V35" s="39">
        <f t="shared" si="27"/>
        <v>103</v>
      </c>
      <c r="W35" s="39">
        <f t="shared" si="27"/>
        <v>6</v>
      </c>
      <c r="X35" s="39">
        <f t="shared" si="27"/>
        <v>7</v>
      </c>
      <c r="Y35" s="39">
        <f t="shared" si="27"/>
        <v>30</v>
      </c>
      <c r="Z35" s="39">
        <f t="shared" si="27"/>
        <v>12</v>
      </c>
      <c r="AA35" s="39">
        <f t="shared" si="27"/>
        <v>7</v>
      </c>
      <c r="AB35" s="39">
        <f t="shared" si="27"/>
        <v>4</v>
      </c>
      <c r="AC35" s="39">
        <f t="shared" si="27"/>
        <v>384</v>
      </c>
      <c r="AD35" s="39">
        <f t="shared" si="27"/>
        <v>1</v>
      </c>
      <c r="AE35" s="40">
        <f t="shared" si="27"/>
        <v>279</v>
      </c>
      <c r="AF35" s="40">
        <f t="shared" si="27"/>
        <v>663</v>
      </c>
    </row>
    <row r="36" spans="2:32" ht="23.1" customHeight="1" x14ac:dyDescent="0.25">
      <c r="B36" s="46" t="s">
        <v>63</v>
      </c>
      <c r="C36" s="50">
        <v>6</v>
      </c>
      <c r="D36" s="50">
        <v>2</v>
      </c>
      <c r="E36" s="50">
        <v>1</v>
      </c>
      <c r="F36" s="50">
        <v>25</v>
      </c>
      <c r="G36" s="50">
        <v>1</v>
      </c>
      <c r="H36" s="50">
        <v>2</v>
      </c>
      <c r="I36" s="50">
        <v>4</v>
      </c>
      <c r="J36" s="50">
        <v>0</v>
      </c>
      <c r="K36" s="50">
        <v>0</v>
      </c>
      <c r="L36" s="50">
        <v>0</v>
      </c>
      <c r="M36" s="50">
        <v>85</v>
      </c>
      <c r="N36" s="50">
        <v>0</v>
      </c>
      <c r="O36" s="15">
        <f t="shared" si="0"/>
        <v>41</v>
      </c>
      <c r="P36" s="15">
        <f t="shared" si="1"/>
        <v>126</v>
      </c>
      <c r="R36" s="38" t="s">
        <v>92</v>
      </c>
      <c r="S36" s="39">
        <f t="shared" ref="S36:AF36" si="28">MAX(S19:S21)</f>
        <v>103</v>
      </c>
      <c r="T36" s="39">
        <f t="shared" si="28"/>
        <v>23</v>
      </c>
      <c r="U36" s="39">
        <f t="shared" si="28"/>
        <v>11</v>
      </c>
      <c r="V36" s="39">
        <f t="shared" si="28"/>
        <v>99</v>
      </c>
      <c r="W36" s="39">
        <f t="shared" si="28"/>
        <v>5</v>
      </c>
      <c r="X36" s="39">
        <f t="shared" si="28"/>
        <v>8</v>
      </c>
      <c r="Y36" s="39">
        <f t="shared" si="28"/>
        <v>31</v>
      </c>
      <c r="Z36" s="39">
        <f t="shared" si="28"/>
        <v>16</v>
      </c>
      <c r="AA36" s="39">
        <f t="shared" si="28"/>
        <v>8</v>
      </c>
      <c r="AB36" s="39">
        <f t="shared" si="28"/>
        <v>2</v>
      </c>
      <c r="AC36" s="39">
        <f t="shared" si="28"/>
        <v>433</v>
      </c>
      <c r="AD36" s="39">
        <f t="shared" si="28"/>
        <v>0</v>
      </c>
      <c r="AE36" s="40">
        <f t="shared" si="28"/>
        <v>283</v>
      </c>
      <c r="AF36" s="40">
        <f t="shared" si="28"/>
        <v>716</v>
      </c>
    </row>
    <row r="37" spans="2:32" ht="23.1" customHeight="1" x14ac:dyDescent="0.25">
      <c r="B37" s="45" t="s">
        <v>64</v>
      </c>
      <c r="C37" s="50">
        <v>17</v>
      </c>
      <c r="D37" s="50">
        <v>4</v>
      </c>
      <c r="E37" s="50">
        <v>2</v>
      </c>
      <c r="F37" s="50">
        <v>25</v>
      </c>
      <c r="G37" s="50">
        <v>0</v>
      </c>
      <c r="H37" s="50">
        <v>1</v>
      </c>
      <c r="I37" s="50">
        <v>1</v>
      </c>
      <c r="J37" s="50">
        <v>0</v>
      </c>
      <c r="K37" s="50">
        <v>0</v>
      </c>
      <c r="L37" s="50">
        <v>0</v>
      </c>
      <c r="M37" s="50">
        <v>98</v>
      </c>
      <c r="N37" s="50">
        <v>0</v>
      </c>
      <c r="O37" s="15">
        <f t="shared" si="0"/>
        <v>50</v>
      </c>
      <c r="P37" s="15">
        <f t="shared" si="1"/>
        <v>148</v>
      </c>
      <c r="R37" s="37" t="s">
        <v>85</v>
      </c>
      <c r="S37" s="35">
        <f t="shared" ref="S37:AF37" si="29">SUM(S10:S12)</f>
        <v>128</v>
      </c>
      <c r="T37" s="16">
        <f t="shared" si="29"/>
        <v>34</v>
      </c>
      <c r="U37" s="16">
        <f t="shared" si="29"/>
        <v>4</v>
      </c>
      <c r="V37" s="16">
        <f t="shared" si="29"/>
        <v>155</v>
      </c>
      <c r="W37" s="16">
        <f t="shared" si="29"/>
        <v>5</v>
      </c>
      <c r="X37" s="16">
        <f t="shared" si="29"/>
        <v>4</v>
      </c>
      <c r="Y37" s="16">
        <f t="shared" si="29"/>
        <v>40</v>
      </c>
      <c r="Z37" s="16">
        <f t="shared" si="29"/>
        <v>14</v>
      </c>
      <c r="AA37" s="16">
        <f t="shared" si="29"/>
        <v>3</v>
      </c>
      <c r="AB37" s="16">
        <f t="shared" si="29"/>
        <v>1</v>
      </c>
      <c r="AC37" s="16">
        <f t="shared" si="29"/>
        <v>1007</v>
      </c>
      <c r="AD37" s="16">
        <f t="shared" si="29"/>
        <v>0</v>
      </c>
      <c r="AE37" s="32">
        <f t="shared" si="29"/>
        <v>388</v>
      </c>
      <c r="AF37" s="32">
        <f t="shared" si="29"/>
        <v>1395</v>
      </c>
    </row>
    <row r="38" spans="2:32" ht="23.1" customHeight="1" x14ac:dyDescent="0.25">
      <c r="B38" s="46" t="s">
        <v>65</v>
      </c>
      <c r="C38" s="50">
        <v>33</v>
      </c>
      <c r="D38" s="50">
        <v>5</v>
      </c>
      <c r="E38" s="50">
        <v>0</v>
      </c>
      <c r="F38" s="50">
        <v>39</v>
      </c>
      <c r="G38" s="50">
        <v>3</v>
      </c>
      <c r="H38" s="50">
        <v>1</v>
      </c>
      <c r="I38" s="50">
        <v>13</v>
      </c>
      <c r="J38" s="50">
        <v>5</v>
      </c>
      <c r="K38" s="50">
        <v>3</v>
      </c>
      <c r="L38" s="50">
        <v>1</v>
      </c>
      <c r="M38" s="50">
        <v>143</v>
      </c>
      <c r="N38" s="50">
        <v>0</v>
      </c>
      <c r="O38" s="15">
        <f t="shared" si="0"/>
        <v>103</v>
      </c>
      <c r="P38" s="15">
        <f t="shared" si="1"/>
        <v>246</v>
      </c>
      <c r="R38" s="28" t="s">
        <v>86</v>
      </c>
      <c r="S38" s="16">
        <f t="shared" ref="S38:AF38" si="30">SUM(S13:S18)</f>
        <v>414</v>
      </c>
      <c r="T38" s="16">
        <f t="shared" si="30"/>
        <v>78</v>
      </c>
      <c r="U38" s="16">
        <f t="shared" si="30"/>
        <v>38</v>
      </c>
      <c r="V38" s="16">
        <f t="shared" si="30"/>
        <v>363</v>
      </c>
      <c r="W38" s="16">
        <f t="shared" si="30"/>
        <v>17</v>
      </c>
      <c r="X38" s="16">
        <f t="shared" si="30"/>
        <v>26</v>
      </c>
      <c r="Y38" s="16">
        <f t="shared" si="30"/>
        <v>118</v>
      </c>
      <c r="Z38" s="16">
        <f t="shared" si="30"/>
        <v>30</v>
      </c>
      <c r="AA38" s="16">
        <f t="shared" si="30"/>
        <v>16</v>
      </c>
      <c r="AB38" s="16">
        <f t="shared" si="30"/>
        <v>13</v>
      </c>
      <c r="AC38" s="16">
        <f t="shared" si="30"/>
        <v>2149</v>
      </c>
      <c r="AD38" s="16">
        <f t="shared" si="30"/>
        <v>1</v>
      </c>
      <c r="AE38" s="32">
        <f t="shared" si="30"/>
        <v>1114</v>
      </c>
      <c r="AF38" s="32">
        <f t="shared" si="30"/>
        <v>3263</v>
      </c>
    </row>
    <row r="39" spans="2:32" ht="23.1" customHeight="1" x14ac:dyDescent="0.25">
      <c r="B39" s="46" t="s">
        <v>66</v>
      </c>
      <c r="C39" s="50">
        <v>28</v>
      </c>
      <c r="D39" s="50">
        <v>4</v>
      </c>
      <c r="E39" s="50">
        <v>1</v>
      </c>
      <c r="F39" s="50">
        <v>23</v>
      </c>
      <c r="G39" s="50">
        <v>0</v>
      </c>
      <c r="H39" s="50">
        <v>3</v>
      </c>
      <c r="I39" s="50">
        <v>10</v>
      </c>
      <c r="J39" s="50">
        <v>0</v>
      </c>
      <c r="K39" s="50">
        <v>2</v>
      </c>
      <c r="L39" s="50">
        <v>0</v>
      </c>
      <c r="M39" s="50">
        <v>84</v>
      </c>
      <c r="N39" s="50">
        <v>0</v>
      </c>
      <c r="O39" s="15">
        <f t="shared" si="0"/>
        <v>71</v>
      </c>
      <c r="P39" s="15">
        <f t="shared" si="1"/>
        <v>155</v>
      </c>
      <c r="R39" s="29" t="s">
        <v>87</v>
      </c>
      <c r="S39" s="16">
        <f t="shared" ref="S39:AF39" si="31">SUM(S19:S21)</f>
        <v>244</v>
      </c>
      <c r="T39" s="16">
        <f t="shared" si="31"/>
        <v>47</v>
      </c>
      <c r="U39" s="16">
        <f t="shared" si="31"/>
        <v>30</v>
      </c>
      <c r="V39" s="16">
        <f t="shared" si="31"/>
        <v>241</v>
      </c>
      <c r="W39" s="16">
        <f t="shared" si="31"/>
        <v>12</v>
      </c>
      <c r="X39" s="16">
        <f t="shared" si="31"/>
        <v>13</v>
      </c>
      <c r="Y39" s="16">
        <f t="shared" si="31"/>
        <v>76</v>
      </c>
      <c r="Z39" s="16">
        <f t="shared" si="31"/>
        <v>28</v>
      </c>
      <c r="AA39" s="16">
        <f t="shared" si="31"/>
        <v>14</v>
      </c>
      <c r="AB39" s="16">
        <f t="shared" si="31"/>
        <v>4</v>
      </c>
      <c r="AC39" s="16">
        <f t="shared" si="31"/>
        <v>1085</v>
      </c>
      <c r="AD39" s="16">
        <f t="shared" si="31"/>
        <v>0</v>
      </c>
      <c r="AE39" s="32">
        <f t="shared" si="31"/>
        <v>709</v>
      </c>
      <c r="AF39" s="32">
        <f t="shared" si="31"/>
        <v>1794</v>
      </c>
    </row>
    <row r="40" spans="2:32" ht="23.1" customHeight="1" x14ac:dyDescent="0.25">
      <c r="B40" s="46" t="s">
        <v>67</v>
      </c>
      <c r="C40" s="50">
        <v>22</v>
      </c>
      <c r="D40" s="50">
        <v>8</v>
      </c>
      <c r="E40" s="50">
        <v>0</v>
      </c>
      <c r="F40" s="50">
        <v>1</v>
      </c>
      <c r="G40" s="50">
        <v>1</v>
      </c>
      <c r="H40" s="50">
        <v>2</v>
      </c>
      <c r="I40" s="50">
        <v>4</v>
      </c>
      <c r="J40" s="50">
        <v>0</v>
      </c>
      <c r="K40" s="50">
        <v>1</v>
      </c>
      <c r="L40" s="50">
        <v>1</v>
      </c>
      <c r="M40" s="50">
        <v>84</v>
      </c>
      <c r="N40" s="50">
        <v>0</v>
      </c>
      <c r="O40" s="15">
        <f t="shared" si="0"/>
        <v>40</v>
      </c>
      <c r="P40" s="15">
        <f t="shared" si="1"/>
        <v>124</v>
      </c>
      <c r="R40" s="5" t="s">
        <v>17</v>
      </c>
      <c r="S40" s="16">
        <f t="shared" ref="S40:AF40" si="32">SUM(S10:S21)</f>
        <v>786</v>
      </c>
      <c r="T40" s="16">
        <f t="shared" si="32"/>
        <v>159</v>
      </c>
      <c r="U40" s="16">
        <f t="shared" si="32"/>
        <v>72</v>
      </c>
      <c r="V40" s="16">
        <f t="shared" si="32"/>
        <v>759</v>
      </c>
      <c r="W40" s="16">
        <f t="shared" si="32"/>
        <v>34</v>
      </c>
      <c r="X40" s="16">
        <f t="shared" si="32"/>
        <v>43</v>
      </c>
      <c r="Y40" s="16">
        <f t="shared" si="32"/>
        <v>234</v>
      </c>
      <c r="Z40" s="16">
        <f t="shared" si="32"/>
        <v>72</v>
      </c>
      <c r="AA40" s="16">
        <f t="shared" si="32"/>
        <v>33</v>
      </c>
      <c r="AB40" s="16">
        <f t="shared" si="32"/>
        <v>18</v>
      </c>
      <c r="AC40" s="16">
        <f t="shared" si="32"/>
        <v>4241</v>
      </c>
      <c r="AD40" s="16">
        <f t="shared" si="32"/>
        <v>1</v>
      </c>
      <c r="AE40" s="32">
        <f t="shared" si="32"/>
        <v>2211</v>
      </c>
      <c r="AF40" s="32">
        <f t="shared" si="32"/>
        <v>6452</v>
      </c>
    </row>
    <row r="41" spans="2:32" ht="23.1" customHeight="1" x14ac:dyDescent="0.25">
      <c r="B41" s="45" t="s">
        <v>68</v>
      </c>
      <c r="C41" s="50">
        <v>15</v>
      </c>
      <c r="D41" s="50">
        <v>4</v>
      </c>
      <c r="E41" s="50">
        <v>1</v>
      </c>
      <c r="F41" s="50">
        <v>40</v>
      </c>
      <c r="G41" s="50">
        <v>0</v>
      </c>
      <c r="H41" s="50">
        <v>1</v>
      </c>
      <c r="I41" s="50">
        <v>3</v>
      </c>
      <c r="J41" s="50">
        <v>0</v>
      </c>
      <c r="K41" s="50">
        <v>1</v>
      </c>
      <c r="L41" s="50">
        <v>0</v>
      </c>
      <c r="M41" s="50">
        <v>73</v>
      </c>
      <c r="N41" s="50">
        <v>0</v>
      </c>
      <c r="O41" s="15">
        <f t="shared" si="0"/>
        <v>65</v>
      </c>
      <c r="P41" s="15">
        <f t="shared" si="1"/>
        <v>138</v>
      </c>
      <c r="R41" s="5" t="s">
        <v>159</v>
      </c>
      <c r="S41" s="16">
        <f>SUM(S10:S33)</f>
        <v>1333</v>
      </c>
      <c r="T41" s="16">
        <f t="shared" ref="T41:AF41" si="33">SUM(T10:T33)</f>
        <v>671</v>
      </c>
      <c r="U41" s="16">
        <f t="shared" si="33"/>
        <v>189</v>
      </c>
      <c r="V41" s="16">
        <f t="shared" si="33"/>
        <v>1589</v>
      </c>
      <c r="W41" s="16">
        <f t="shared" si="33"/>
        <v>100</v>
      </c>
      <c r="X41" s="16">
        <f t="shared" si="33"/>
        <v>80</v>
      </c>
      <c r="Y41" s="16">
        <f t="shared" si="33"/>
        <v>382</v>
      </c>
      <c r="Z41" s="16">
        <f t="shared" si="33"/>
        <v>96</v>
      </c>
      <c r="AA41" s="16">
        <f t="shared" si="33"/>
        <v>57</v>
      </c>
      <c r="AB41" s="16">
        <f t="shared" si="33"/>
        <v>55</v>
      </c>
      <c r="AC41" s="16">
        <f t="shared" si="33"/>
        <v>8127</v>
      </c>
      <c r="AD41" s="16">
        <f t="shared" si="33"/>
        <v>3</v>
      </c>
      <c r="AE41" s="32">
        <f t="shared" si="33"/>
        <v>4555</v>
      </c>
      <c r="AF41" s="32">
        <f t="shared" si="33"/>
        <v>12682</v>
      </c>
    </row>
    <row r="42" spans="2:32" ht="23.1" customHeight="1" x14ac:dyDescent="0.25">
      <c r="B42" s="46" t="s">
        <v>69</v>
      </c>
      <c r="C42" s="50">
        <v>23</v>
      </c>
      <c r="D42" s="50">
        <v>6</v>
      </c>
      <c r="E42" s="50">
        <v>5</v>
      </c>
      <c r="F42" s="50">
        <v>13</v>
      </c>
      <c r="G42" s="50">
        <v>0</v>
      </c>
      <c r="H42" s="50">
        <v>1</v>
      </c>
      <c r="I42" s="50">
        <v>8</v>
      </c>
      <c r="J42" s="50">
        <v>5</v>
      </c>
      <c r="K42" s="50">
        <v>0</v>
      </c>
      <c r="L42" s="50">
        <v>1</v>
      </c>
      <c r="M42" s="50">
        <v>104</v>
      </c>
      <c r="N42" s="50">
        <v>0</v>
      </c>
      <c r="O42" s="15">
        <f t="shared" si="0"/>
        <v>62</v>
      </c>
      <c r="P42" s="15">
        <f t="shared" si="1"/>
        <v>166</v>
      </c>
      <c r="R42" s="5" t="s">
        <v>160</v>
      </c>
      <c r="S42" s="48">
        <f>S41/S40</f>
        <v>1.6959287531806615</v>
      </c>
      <c r="T42" s="48">
        <f t="shared" ref="T42:AF42" si="34">T41/T40</f>
        <v>4.2201257861635222</v>
      </c>
      <c r="U42" s="48">
        <f t="shared" si="34"/>
        <v>2.625</v>
      </c>
      <c r="V42" s="48">
        <f t="shared" si="34"/>
        <v>2.0935441370223979</v>
      </c>
      <c r="W42" s="48">
        <f t="shared" si="34"/>
        <v>2.9411764705882355</v>
      </c>
      <c r="X42" s="48">
        <f t="shared" si="34"/>
        <v>1.8604651162790697</v>
      </c>
      <c r="Y42" s="48">
        <f t="shared" si="34"/>
        <v>1.6324786324786325</v>
      </c>
      <c r="Z42" s="48">
        <f t="shared" si="34"/>
        <v>1.3333333333333333</v>
      </c>
      <c r="AA42" s="48">
        <f t="shared" si="34"/>
        <v>1.7272727272727273</v>
      </c>
      <c r="AB42" s="48">
        <f t="shared" si="34"/>
        <v>3.0555555555555554</v>
      </c>
      <c r="AC42" s="48">
        <f t="shared" si="34"/>
        <v>1.916293327045508</v>
      </c>
      <c r="AD42" s="48">
        <f t="shared" si="34"/>
        <v>3</v>
      </c>
      <c r="AE42" s="48">
        <f t="shared" si="34"/>
        <v>2.0601537765716871</v>
      </c>
      <c r="AF42" s="48">
        <f t="shared" si="34"/>
        <v>1.9655920644761313</v>
      </c>
    </row>
    <row r="43" spans="2:32" ht="23.1" customHeight="1" x14ac:dyDescent="0.25">
      <c r="B43" s="45" t="s">
        <v>70</v>
      </c>
      <c r="C43" s="50">
        <v>27</v>
      </c>
      <c r="D43" s="50">
        <v>6</v>
      </c>
      <c r="E43" s="50">
        <v>7</v>
      </c>
      <c r="F43" s="50">
        <v>27</v>
      </c>
      <c r="G43" s="50">
        <v>0</v>
      </c>
      <c r="H43" s="50">
        <v>1</v>
      </c>
      <c r="I43" s="50">
        <v>4</v>
      </c>
      <c r="J43" s="50">
        <v>2</v>
      </c>
      <c r="K43" s="50">
        <v>1</v>
      </c>
      <c r="L43" s="50">
        <v>2</v>
      </c>
      <c r="M43" s="50">
        <v>90</v>
      </c>
      <c r="N43" s="50">
        <v>0</v>
      </c>
      <c r="O43" s="15">
        <f t="shared" si="0"/>
        <v>77</v>
      </c>
      <c r="P43" s="15">
        <f t="shared" si="1"/>
        <v>167</v>
      </c>
    </row>
    <row r="44" spans="2:32" ht="23.1" customHeight="1" x14ac:dyDescent="0.25">
      <c r="B44" s="47" t="s">
        <v>71</v>
      </c>
      <c r="C44" s="50">
        <v>21</v>
      </c>
      <c r="D44" s="50">
        <v>1</v>
      </c>
      <c r="E44" s="50">
        <v>0</v>
      </c>
      <c r="F44" s="50">
        <v>15</v>
      </c>
      <c r="G44" s="50">
        <v>0</v>
      </c>
      <c r="H44" s="50">
        <v>4</v>
      </c>
      <c r="I44" s="50">
        <v>10</v>
      </c>
      <c r="J44" s="50">
        <v>5</v>
      </c>
      <c r="K44" s="50">
        <v>0</v>
      </c>
      <c r="L44" s="50">
        <v>0</v>
      </c>
      <c r="M44" s="50">
        <v>78</v>
      </c>
      <c r="N44" s="50">
        <v>0</v>
      </c>
      <c r="O44" s="15">
        <f t="shared" si="0"/>
        <v>56</v>
      </c>
      <c r="P44" s="15">
        <f t="shared" si="1"/>
        <v>134</v>
      </c>
    </row>
    <row r="45" spans="2:32" ht="23.1" customHeight="1" x14ac:dyDescent="0.25">
      <c r="B45" s="45" t="s">
        <v>72</v>
      </c>
      <c r="C45" s="50">
        <v>17</v>
      </c>
      <c r="D45" s="50">
        <v>1</v>
      </c>
      <c r="E45" s="50">
        <v>0</v>
      </c>
      <c r="F45" s="50">
        <v>8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1</v>
      </c>
      <c r="M45" s="50">
        <v>79</v>
      </c>
      <c r="N45" s="50">
        <v>0</v>
      </c>
      <c r="O45" s="15">
        <f t="shared" si="0"/>
        <v>31</v>
      </c>
      <c r="P45" s="15">
        <f t="shared" si="1"/>
        <v>110</v>
      </c>
    </row>
    <row r="46" spans="2:32" ht="23.1" customHeight="1" x14ac:dyDescent="0.25">
      <c r="B46" s="46" t="s">
        <v>73</v>
      </c>
      <c r="C46" s="50">
        <v>14</v>
      </c>
      <c r="D46" s="50">
        <v>8</v>
      </c>
      <c r="E46" s="50">
        <v>5</v>
      </c>
      <c r="F46" s="50">
        <v>14</v>
      </c>
      <c r="G46" s="50">
        <v>0</v>
      </c>
      <c r="H46" s="50">
        <v>1</v>
      </c>
      <c r="I46" s="50">
        <v>8</v>
      </c>
      <c r="J46" s="50">
        <v>2</v>
      </c>
      <c r="K46" s="50">
        <v>2</v>
      </c>
      <c r="L46" s="50">
        <v>1</v>
      </c>
      <c r="M46" s="50">
        <v>79</v>
      </c>
      <c r="N46" s="50">
        <v>0</v>
      </c>
      <c r="O46" s="15">
        <f t="shared" si="0"/>
        <v>55</v>
      </c>
      <c r="P46" s="15">
        <f t="shared" si="1"/>
        <v>134</v>
      </c>
      <c r="R46" s="8"/>
      <c r="T46"/>
    </row>
    <row r="47" spans="2:32" ht="23.1" customHeight="1" x14ac:dyDescent="0.25">
      <c r="B47" s="46" t="s">
        <v>74</v>
      </c>
      <c r="C47" s="50">
        <v>16</v>
      </c>
      <c r="D47" s="50">
        <v>1</v>
      </c>
      <c r="E47" s="50">
        <v>1</v>
      </c>
      <c r="F47" s="50">
        <v>9</v>
      </c>
      <c r="G47" s="50">
        <v>2</v>
      </c>
      <c r="H47" s="50">
        <v>0</v>
      </c>
      <c r="I47" s="50">
        <v>10</v>
      </c>
      <c r="J47" s="50">
        <v>7</v>
      </c>
      <c r="K47" s="50">
        <v>2</v>
      </c>
      <c r="L47" s="50">
        <v>1</v>
      </c>
      <c r="M47" s="50">
        <v>85</v>
      </c>
      <c r="N47" s="50">
        <v>0</v>
      </c>
      <c r="O47" s="15">
        <f t="shared" si="0"/>
        <v>49</v>
      </c>
      <c r="P47" s="15">
        <f t="shared" si="1"/>
        <v>134</v>
      </c>
      <c r="R47" s="8"/>
      <c r="T47"/>
    </row>
    <row r="48" spans="2:32" ht="23.1" customHeight="1" x14ac:dyDescent="0.25">
      <c r="B48" s="46" t="s">
        <v>75</v>
      </c>
      <c r="C48" s="50">
        <v>9</v>
      </c>
      <c r="D48" s="50">
        <v>1</v>
      </c>
      <c r="E48" s="50">
        <v>4</v>
      </c>
      <c r="F48" s="50">
        <v>17</v>
      </c>
      <c r="G48" s="50">
        <v>0</v>
      </c>
      <c r="H48" s="50">
        <v>1</v>
      </c>
      <c r="I48" s="50">
        <v>7</v>
      </c>
      <c r="J48" s="50">
        <v>5</v>
      </c>
      <c r="K48" s="50">
        <v>0</v>
      </c>
      <c r="L48" s="50">
        <v>0</v>
      </c>
      <c r="M48" s="50">
        <v>79</v>
      </c>
      <c r="N48" s="50">
        <v>0</v>
      </c>
      <c r="O48" s="15">
        <f t="shared" si="0"/>
        <v>44</v>
      </c>
      <c r="P48" s="15">
        <f t="shared" si="1"/>
        <v>123</v>
      </c>
      <c r="R48" s="8"/>
      <c r="T48"/>
    </row>
    <row r="49" spans="2:20" ht="23.1" customHeight="1" x14ac:dyDescent="0.25">
      <c r="B49" s="45" t="s">
        <v>76</v>
      </c>
      <c r="C49" s="50">
        <v>20</v>
      </c>
      <c r="D49" s="50">
        <v>8</v>
      </c>
      <c r="E49" s="50">
        <v>0</v>
      </c>
      <c r="F49" s="50">
        <v>17</v>
      </c>
      <c r="G49" s="50">
        <v>3</v>
      </c>
      <c r="H49" s="50">
        <v>1</v>
      </c>
      <c r="I49" s="50">
        <v>6</v>
      </c>
      <c r="J49" s="50">
        <v>2</v>
      </c>
      <c r="K49" s="50">
        <v>4</v>
      </c>
      <c r="L49" s="50">
        <v>0</v>
      </c>
      <c r="M49" s="50">
        <v>95</v>
      </c>
      <c r="N49" s="50">
        <v>0</v>
      </c>
      <c r="O49" s="15">
        <f t="shared" si="0"/>
        <v>61</v>
      </c>
      <c r="P49" s="15">
        <f t="shared" si="1"/>
        <v>156</v>
      </c>
      <c r="R49" s="8"/>
      <c r="T49"/>
    </row>
    <row r="50" spans="2:20" ht="23.1" customHeight="1" x14ac:dyDescent="0.25">
      <c r="B50" s="46" t="s">
        <v>77</v>
      </c>
      <c r="C50" s="50">
        <v>23</v>
      </c>
      <c r="D50" s="50">
        <v>5</v>
      </c>
      <c r="E50" s="50">
        <v>4</v>
      </c>
      <c r="F50" s="50">
        <v>24</v>
      </c>
      <c r="G50" s="50">
        <v>0</v>
      </c>
      <c r="H50" s="50">
        <v>0</v>
      </c>
      <c r="I50" s="50">
        <v>8</v>
      </c>
      <c r="J50" s="50">
        <v>1</v>
      </c>
      <c r="K50" s="50">
        <v>2</v>
      </c>
      <c r="L50" s="50">
        <v>1</v>
      </c>
      <c r="M50" s="50">
        <v>73</v>
      </c>
      <c r="N50" s="50">
        <v>0</v>
      </c>
      <c r="O50" s="15">
        <f t="shared" si="0"/>
        <v>68</v>
      </c>
      <c r="P50" s="15">
        <f t="shared" si="1"/>
        <v>141</v>
      </c>
      <c r="R50" s="8"/>
      <c r="T50"/>
    </row>
    <row r="51" spans="2:20" ht="23.1" customHeight="1" x14ac:dyDescent="0.25">
      <c r="B51" s="46" t="s">
        <v>78</v>
      </c>
      <c r="C51" s="50">
        <v>25</v>
      </c>
      <c r="D51" s="50">
        <v>4</v>
      </c>
      <c r="E51" s="50">
        <v>1</v>
      </c>
      <c r="F51" s="50">
        <v>16</v>
      </c>
      <c r="G51" s="50">
        <v>0</v>
      </c>
      <c r="H51" s="50">
        <v>1</v>
      </c>
      <c r="I51" s="50">
        <v>5</v>
      </c>
      <c r="J51" s="50">
        <v>1</v>
      </c>
      <c r="K51" s="50">
        <v>0</v>
      </c>
      <c r="L51" s="50">
        <v>0</v>
      </c>
      <c r="M51" s="50">
        <v>98</v>
      </c>
      <c r="N51" s="50">
        <v>0</v>
      </c>
      <c r="O51" s="15">
        <f t="shared" si="0"/>
        <v>53</v>
      </c>
      <c r="P51" s="15">
        <f t="shared" si="1"/>
        <v>151</v>
      </c>
      <c r="R51" s="8"/>
      <c r="T51"/>
    </row>
    <row r="52" spans="2:20" ht="23.1" customHeight="1" x14ac:dyDescent="0.25">
      <c r="B52" s="46" t="s">
        <v>79</v>
      </c>
      <c r="C52" s="50">
        <v>16</v>
      </c>
      <c r="D52" s="50">
        <v>4</v>
      </c>
      <c r="E52" s="50">
        <v>1</v>
      </c>
      <c r="F52" s="50">
        <v>12</v>
      </c>
      <c r="G52" s="50">
        <v>2</v>
      </c>
      <c r="H52" s="50">
        <v>0</v>
      </c>
      <c r="I52" s="50">
        <v>3</v>
      </c>
      <c r="J52" s="50">
        <v>1</v>
      </c>
      <c r="K52" s="50">
        <v>3</v>
      </c>
      <c r="L52" s="50">
        <v>0</v>
      </c>
      <c r="M52" s="50">
        <v>138</v>
      </c>
      <c r="N52" s="50">
        <v>0</v>
      </c>
      <c r="O52" s="15">
        <f t="shared" si="0"/>
        <v>42</v>
      </c>
      <c r="P52" s="15">
        <f t="shared" si="1"/>
        <v>180</v>
      </c>
      <c r="R52" s="8"/>
      <c r="T52"/>
    </row>
    <row r="53" spans="2:20" ht="23.1" customHeight="1" x14ac:dyDescent="0.25">
      <c r="B53" s="45" t="s">
        <v>80</v>
      </c>
      <c r="C53" s="50">
        <v>39</v>
      </c>
      <c r="D53" s="50">
        <v>10</v>
      </c>
      <c r="E53" s="50">
        <v>3</v>
      </c>
      <c r="F53" s="50">
        <v>47</v>
      </c>
      <c r="G53" s="50">
        <v>1</v>
      </c>
      <c r="H53" s="50">
        <v>7</v>
      </c>
      <c r="I53" s="50">
        <v>7</v>
      </c>
      <c r="J53" s="50">
        <v>5</v>
      </c>
      <c r="K53" s="50">
        <v>1</v>
      </c>
      <c r="L53" s="50">
        <v>0</v>
      </c>
      <c r="M53" s="50">
        <v>124</v>
      </c>
      <c r="N53" s="50">
        <v>0</v>
      </c>
      <c r="O53" s="15">
        <f t="shared" si="0"/>
        <v>120</v>
      </c>
      <c r="P53" s="15">
        <f t="shared" si="1"/>
        <v>244</v>
      </c>
      <c r="R53" s="8"/>
      <c r="T53"/>
    </row>
    <row r="54" spans="2:20" ht="23.1" customHeight="1" x14ac:dyDescent="0.25">
      <c r="B54" s="45" t="s">
        <v>81</v>
      </c>
      <c r="C54" s="50">
        <v>18</v>
      </c>
      <c r="D54" s="50">
        <v>0</v>
      </c>
      <c r="E54" s="50">
        <v>1</v>
      </c>
      <c r="F54" s="50">
        <v>14</v>
      </c>
      <c r="G54" s="50">
        <v>1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80</v>
      </c>
      <c r="N54" s="50">
        <v>0</v>
      </c>
      <c r="O54" s="15">
        <f t="shared" si="0"/>
        <v>35</v>
      </c>
      <c r="P54" s="15">
        <f t="shared" si="1"/>
        <v>115</v>
      </c>
      <c r="R54" s="8"/>
      <c r="T54"/>
    </row>
    <row r="55" spans="2:20" ht="23.1" customHeight="1" x14ac:dyDescent="0.25">
      <c r="B55" s="45" t="s">
        <v>82</v>
      </c>
      <c r="C55" s="50">
        <v>15</v>
      </c>
      <c r="D55" s="50">
        <v>2</v>
      </c>
      <c r="E55" s="50">
        <v>3</v>
      </c>
      <c r="F55" s="50">
        <v>15</v>
      </c>
      <c r="G55" s="50">
        <v>0</v>
      </c>
      <c r="H55" s="50">
        <v>1</v>
      </c>
      <c r="I55" s="50">
        <v>4</v>
      </c>
      <c r="J55" s="50">
        <v>1</v>
      </c>
      <c r="K55" s="50">
        <v>0</v>
      </c>
      <c r="L55" s="50">
        <v>0</v>
      </c>
      <c r="M55" s="50">
        <v>81</v>
      </c>
      <c r="N55" s="50">
        <v>0</v>
      </c>
      <c r="O55" s="15">
        <f t="shared" si="0"/>
        <v>41</v>
      </c>
      <c r="P55" s="15">
        <f t="shared" si="1"/>
        <v>122</v>
      </c>
      <c r="R55" s="8"/>
      <c r="T55"/>
    </row>
    <row r="56" spans="2:20" ht="23.1" customHeight="1" x14ac:dyDescent="0.25">
      <c r="B56" s="45" t="s">
        <v>83</v>
      </c>
      <c r="C56" s="50">
        <v>20</v>
      </c>
      <c r="D56" s="50">
        <v>1</v>
      </c>
      <c r="E56" s="50">
        <v>4</v>
      </c>
      <c r="F56" s="50">
        <v>23</v>
      </c>
      <c r="G56" s="50">
        <v>2</v>
      </c>
      <c r="H56" s="50">
        <v>0</v>
      </c>
      <c r="I56" s="50">
        <v>8</v>
      </c>
      <c r="J56" s="50">
        <v>3</v>
      </c>
      <c r="K56" s="50">
        <v>0</v>
      </c>
      <c r="L56" s="50">
        <v>1</v>
      </c>
      <c r="M56" s="50">
        <v>84</v>
      </c>
      <c r="N56" s="50">
        <v>0</v>
      </c>
      <c r="O56" s="15">
        <f t="shared" si="0"/>
        <v>62</v>
      </c>
      <c r="P56" s="15">
        <f t="shared" si="1"/>
        <v>146</v>
      </c>
      <c r="R56" s="8"/>
      <c r="T56"/>
    </row>
    <row r="57" spans="2:20" ht="23.1" customHeight="1" x14ac:dyDescent="0.25">
      <c r="B57" s="45" t="s">
        <v>84</v>
      </c>
      <c r="C57" s="50">
        <v>29</v>
      </c>
      <c r="D57" s="50">
        <v>3</v>
      </c>
      <c r="E57" s="50">
        <v>3</v>
      </c>
      <c r="F57" s="50">
        <v>33</v>
      </c>
      <c r="G57" s="50">
        <v>1</v>
      </c>
      <c r="H57" s="50">
        <v>1</v>
      </c>
      <c r="I57" s="50">
        <v>9</v>
      </c>
      <c r="J57" s="50">
        <v>0</v>
      </c>
      <c r="K57" s="50">
        <v>0</v>
      </c>
      <c r="L57" s="50">
        <v>0</v>
      </c>
      <c r="M57" s="50">
        <v>69</v>
      </c>
      <c r="N57" s="50">
        <v>0</v>
      </c>
      <c r="O57" s="15">
        <f t="shared" si="0"/>
        <v>79</v>
      </c>
      <c r="P57" s="15">
        <f t="shared" si="1"/>
        <v>148</v>
      </c>
      <c r="R57" s="8"/>
      <c r="T57"/>
    </row>
    <row r="58" spans="2:20" ht="23.1" customHeight="1" x14ac:dyDescent="0.25">
      <c r="B58" s="45" t="s">
        <v>99</v>
      </c>
      <c r="C58" s="50">
        <v>40</v>
      </c>
      <c r="D58" s="50">
        <v>30</v>
      </c>
      <c r="E58" s="50">
        <v>25</v>
      </c>
      <c r="F58" s="50">
        <v>65</v>
      </c>
      <c r="G58" s="50">
        <v>2</v>
      </c>
      <c r="H58" s="50">
        <v>0</v>
      </c>
      <c r="I58" s="50">
        <v>20</v>
      </c>
      <c r="J58" s="50">
        <v>0</v>
      </c>
      <c r="K58" s="50">
        <v>3</v>
      </c>
      <c r="L58" s="50">
        <v>0</v>
      </c>
      <c r="M58" s="50">
        <v>180</v>
      </c>
      <c r="N58" s="50">
        <v>0</v>
      </c>
      <c r="O58" s="15">
        <f t="shared" si="0"/>
        <v>185</v>
      </c>
      <c r="P58" s="15">
        <f t="shared" si="1"/>
        <v>365</v>
      </c>
      <c r="R58" s="8"/>
      <c r="T58"/>
    </row>
    <row r="59" spans="2:20" ht="23.1" customHeight="1" x14ac:dyDescent="0.25">
      <c r="B59" s="45" t="s">
        <v>100</v>
      </c>
      <c r="C59" s="50">
        <v>40</v>
      </c>
      <c r="D59" s="50">
        <v>23</v>
      </c>
      <c r="E59" s="50">
        <v>20</v>
      </c>
      <c r="F59" s="50">
        <v>77</v>
      </c>
      <c r="G59" s="50">
        <v>7</v>
      </c>
      <c r="H59" s="50">
        <v>5</v>
      </c>
      <c r="I59" s="50">
        <v>12</v>
      </c>
      <c r="J59" s="50">
        <v>1</v>
      </c>
      <c r="K59" s="50">
        <v>5</v>
      </c>
      <c r="L59" s="50">
        <v>2</v>
      </c>
      <c r="M59" s="50">
        <v>186</v>
      </c>
      <c r="N59" s="50">
        <v>0</v>
      </c>
      <c r="O59" s="15">
        <f t="shared" si="0"/>
        <v>192</v>
      </c>
      <c r="P59" s="15">
        <f t="shared" si="1"/>
        <v>378</v>
      </c>
      <c r="R59" s="8"/>
      <c r="T59"/>
    </row>
    <row r="60" spans="2:20" ht="23.1" customHeight="1" x14ac:dyDescent="0.25">
      <c r="B60" s="45" t="s">
        <v>101</v>
      </c>
      <c r="C60" s="50">
        <v>55</v>
      </c>
      <c r="D60" s="50">
        <v>45</v>
      </c>
      <c r="E60" s="50">
        <v>3</v>
      </c>
      <c r="F60" s="50">
        <v>115</v>
      </c>
      <c r="G60" s="50">
        <v>48</v>
      </c>
      <c r="H60" s="50">
        <v>3</v>
      </c>
      <c r="I60" s="50">
        <v>15</v>
      </c>
      <c r="J60" s="50">
        <v>12</v>
      </c>
      <c r="K60" s="50">
        <v>0</v>
      </c>
      <c r="L60" s="50">
        <v>0</v>
      </c>
      <c r="M60" s="50">
        <v>180</v>
      </c>
      <c r="N60" s="50">
        <v>2</v>
      </c>
      <c r="O60" s="15">
        <f t="shared" si="0"/>
        <v>298</v>
      </c>
      <c r="P60" s="15">
        <f t="shared" si="1"/>
        <v>478</v>
      </c>
      <c r="R60" s="8"/>
      <c r="T60"/>
    </row>
    <row r="61" spans="2:20" ht="23.1" customHeight="1" x14ac:dyDescent="0.25">
      <c r="B61" s="45" t="s">
        <v>102</v>
      </c>
      <c r="C61" s="50">
        <v>45</v>
      </c>
      <c r="D61" s="50">
        <v>13</v>
      </c>
      <c r="E61" s="50">
        <v>5</v>
      </c>
      <c r="F61" s="50">
        <v>32</v>
      </c>
      <c r="G61" s="50">
        <v>0</v>
      </c>
      <c r="H61" s="50">
        <v>0</v>
      </c>
      <c r="I61" s="50">
        <v>2</v>
      </c>
      <c r="J61" s="50">
        <v>0</v>
      </c>
      <c r="K61" s="50">
        <v>0</v>
      </c>
      <c r="L61" s="50">
        <v>1</v>
      </c>
      <c r="M61" s="50">
        <v>185</v>
      </c>
      <c r="N61" s="50">
        <v>0</v>
      </c>
      <c r="O61" s="15">
        <f t="shared" si="0"/>
        <v>98</v>
      </c>
      <c r="P61" s="15">
        <f t="shared" si="1"/>
        <v>283</v>
      </c>
      <c r="R61" s="8"/>
      <c r="T61"/>
    </row>
    <row r="62" spans="2:20" ht="23.1" customHeight="1" x14ac:dyDescent="0.25">
      <c r="B62" s="45" t="s">
        <v>107</v>
      </c>
      <c r="C62" s="50">
        <v>80</v>
      </c>
      <c r="D62" s="50">
        <v>8</v>
      </c>
      <c r="E62" s="50">
        <v>2</v>
      </c>
      <c r="F62" s="50">
        <v>25</v>
      </c>
      <c r="G62" s="50">
        <v>1</v>
      </c>
      <c r="H62" s="50">
        <v>0</v>
      </c>
      <c r="I62" s="50">
        <v>3</v>
      </c>
      <c r="J62" s="50">
        <v>0</v>
      </c>
      <c r="K62" s="50">
        <v>1</v>
      </c>
      <c r="L62" s="50">
        <v>0</v>
      </c>
      <c r="M62" s="50">
        <v>125</v>
      </c>
      <c r="N62" s="50">
        <v>0</v>
      </c>
      <c r="O62" s="15">
        <f t="shared" si="0"/>
        <v>120</v>
      </c>
      <c r="P62" s="15">
        <f t="shared" si="1"/>
        <v>245</v>
      </c>
      <c r="R62" s="8"/>
      <c r="T62"/>
    </row>
    <row r="63" spans="2:20" ht="23.1" customHeight="1" x14ac:dyDescent="0.25">
      <c r="B63" s="45" t="s">
        <v>108</v>
      </c>
      <c r="C63" s="50">
        <v>20</v>
      </c>
      <c r="D63" s="50">
        <v>5</v>
      </c>
      <c r="E63" s="50">
        <v>4</v>
      </c>
      <c r="F63" s="50">
        <v>30</v>
      </c>
      <c r="G63" s="50">
        <v>0</v>
      </c>
      <c r="H63" s="50">
        <v>1</v>
      </c>
      <c r="I63" s="50">
        <v>3</v>
      </c>
      <c r="J63" s="50">
        <v>2</v>
      </c>
      <c r="K63" s="50">
        <v>0</v>
      </c>
      <c r="L63" s="50">
        <v>0</v>
      </c>
      <c r="M63" s="50">
        <v>125</v>
      </c>
      <c r="N63" s="50">
        <v>0</v>
      </c>
      <c r="O63" s="15">
        <f t="shared" si="0"/>
        <v>65</v>
      </c>
      <c r="P63" s="15">
        <f t="shared" si="1"/>
        <v>190</v>
      </c>
      <c r="R63" s="8"/>
      <c r="T63"/>
    </row>
    <row r="64" spans="2:20" ht="23.1" customHeight="1" x14ac:dyDescent="0.25">
      <c r="B64" s="45" t="s">
        <v>109</v>
      </c>
      <c r="C64" s="50">
        <v>22</v>
      </c>
      <c r="D64" s="50">
        <v>3</v>
      </c>
      <c r="E64" s="50">
        <v>1</v>
      </c>
      <c r="F64" s="50">
        <v>16</v>
      </c>
      <c r="G64" s="50">
        <v>0</v>
      </c>
      <c r="H64" s="50">
        <v>2</v>
      </c>
      <c r="I64" s="50">
        <v>7</v>
      </c>
      <c r="J64" s="50">
        <v>0</v>
      </c>
      <c r="K64" s="50">
        <v>2</v>
      </c>
      <c r="L64" s="50">
        <v>0</v>
      </c>
      <c r="M64" s="50">
        <v>107</v>
      </c>
      <c r="N64" s="50">
        <v>0</v>
      </c>
      <c r="O64" s="15">
        <f t="shared" si="0"/>
        <v>53</v>
      </c>
      <c r="P64" s="15">
        <f t="shared" si="1"/>
        <v>160</v>
      </c>
      <c r="R64" s="8"/>
      <c r="T64"/>
    </row>
    <row r="65" spans="2:20" ht="23.1" customHeight="1" x14ac:dyDescent="0.25">
      <c r="B65" s="45" t="s">
        <v>158</v>
      </c>
      <c r="C65" s="50">
        <v>32</v>
      </c>
      <c r="D65" s="50">
        <v>19</v>
      </c>
      <c r="E65" s="50">
        <v>0</v>
      </c>
      <c r="F65" s="50">
        <v>34</v>
      </c>
      <c r="G65" s="50">
        <v>1</v>
      </c>
      <c r="H65" s="50">
        <v>1</v>
      </c>
      <c r="I65" s="50">
        <v>13</v>
      </c>
      <c r="J65" s="50">
        <v>0</v>
      </c>
      <c r="K65" s="50">
        <v>0</v>
      </c>
      <c r="L65" s="50">
        <v>0</v>
      </c>
      <c r="M65" s="50">
        <v>118</v>
      </c>
      <c r="N65" s="50">
        <v>0</v>
      </c>
      <c r="O65" s="15">
        <f t="shared" si="0"/>
        <v>100</v>
      </c>
      <c r="P65" s="15">
        <f t="shared" si="1"/>
        <v>218</v>
      </c>
      <c r="R65" s="8"/>
      <c r="T65"/>
    </row>
    <row r="66" spans="2:20" ht="23.1" customHeight="1" x14ac:dyDescent="0.25">
      <c r="B66" s="45" t="s">
        <v>103</v>
      </c>
      <c r="C66" s="50">
        <v>29</v>
      </c>
      <c r="D66" s="50">
        <v>18</v>
      </c>
      <c r="E66" s="50">
        <v>6</v>
      </c>
      <c r="F66" s="50">
        <v>60</v>
      </c>
      <c r="G66" s="50">
        <v>2</v>
      </c>
      <c r="H66" s="50">
        <v>1</v>
      </c>
      <c r="I66" s="50">
        <v>10</v>
      </c>
      <c r="J66" s="50">
        <v>0</v>
      </c>
      <c r="K66" s="50">
        <v>2</v>
      </c>
      <c r="L66" s="50">
        <v>11</v>
      </c>
      <c r="M66" s="50">
        <v>115</v>
      </c>
      <c r="N66" s="50">
        <v>0</v>
      </c>
      <c r="O66" s="15">
        <f t="shared" si="0"/>
        <v>139</v>
      </c>
      <c r="P66" s="15">
        <f t="shared" si="1"/>
        <v>254</v>
      </c>
      <c r="R66" s="8"/>
      <c r="T66"/>
    </row>
    <row r="67" spans="2:20" ht="23.1" customHeight="1" x14ac:dyDescent="0.25">
      <c r="B67" s="45" t="s">
        <v>104</v>
      </c>
      <c r="C67" s="50">
        <v>22</v>
      </c>
      <c r="D67" s="50">
        <v>11</v>
      </c>
      <c r="E67" s="50">
        <v>4</v>
      </c>
      <c r="F67" s="50">
        <v>44</v>
      </c>
      <c r="G67" s="50">
        <v>0</v>
      </c>
      <c r="H67" s="50">
        <v>1</v>
      </c>
      <c r="I67" s="50">
        <v>2</v>
      </c>
      <c r="J67" s="50">
        <v>0</v>
      </c>
      <c r="K67" s="50">
        <v>3</v>
      </c>
      <c r="L67" s="50">
        <v>2</v>
      </c>
      <c r="M67" s="50">
        <v>90</v>
      </c>
      <c r="N67" s="50">
        <v>0</v>
      </c>
      <c r="O67" s="15">
        <f t="shared" si="0"/>
        <v>89</v>
      </c>
      <c r="P67" s="15">
        <f t="shared" si="1"/>
        <v>179</v>
      </c>
      <c r="R67" s="8"/>
      <c r="T67"/>
    </row>
    <row r="68" spans="2:20" ht="23.1" customHeight="1" x14ac:dyDescent="0.25">
      <c r="B68" s="45" t="s">
        <v>105</v>
      </c>
      <c r="C68" s="50">
        <v>8</v>
      </c>
      <c r="D68" s="50">
        <v>17</v>
      </c>
      <c r="E68" s="50">
        <v>3</v>
      </c>
      <c r="F68" s="50">
        <v>47</v>
      </c>
      <c r="G68" s="50">
        <v>1</v>
      </c>
      <c r="H68" s="50">
        <v>5</v>
      </c>
      <c r="I68" s="50">
        <v>8</v>
      </c>
      <c r="J68" s="50">
        <v>0</v>
      </c>
      <c r="K68" s="50">
        <v>0</v>
      </c>
      <c r="L68" s="50">
        <v>0</v>
      </c>
      <c r="M68" s="50">
        <v>144</v>
      </c>
      <c r="N68" s="50">
        <v>0</v>
      </c>
      <c r="O68" s="15">
        <f t="shared" si="0"/>
        <v>89</v>
      </c>
      <c r="P68" s="15">
        <f t="shared" si="1"/>
        <v>233</v>
      </c>
      <c r="R68" s="8"/>
      <c r="T68"/>
    </row>
    <row r="69" spans="2:20" ht="23.1" customHeight="1" x14ac:dyDescent="0.25">
      <c r="B69" s="45" t="s">
        <v>106</v>
      </c>
      <c r="C69" s="50">
        <v>11</v>
      </c>
      <c r="D69" s="50">
        <v>38</v>
      </c>
      <c r="E69" s="50">
        <v>2</v>
      </c>
      <c r="F69" s="50">
        <v>38</v>
      </c>
      <c r="G69" s="50">
        <v>0</v>
      </c>
      <c r="H69" s="50">
        <v>3</v>
      </c>
      <c r="I69" s="50">
        <v>7</v>
      </c>
      <c r="J69" s="50">
        <v>0</v>
      </c>
      <c r="K69" s="50">
        <v>0</v>
      </c>
      <c r="L69" s="50">
        <v>2</v>
      </c>
      <c r="M69" s="50">
        <v>120</v>
      </c>
      <c r="N69" s="50">
        <v>0</v>
      </c>
      <c r="O69" s="15">
        <f t="shared" si="0"/>
        <v>101</v>
      </c>
      <c r="P69" s="15">
        <f t="shared" si="1"/>
        <v>221</v>
      </c>
      <c r="R69" s="8"/>
      <c r="T69"/>
    </row>
    <row r="70" spans="2:20" ht="23.1" customHeight="1" x14ac:dyDescent="0.25">
      <c r="B70" s="45" t="s">
        <v>110</v>
      </c>
      <c r="C70" s="50">
        <v>22</v>
      </c>
      <c r="D70" s="50">
        <v>28</v>
      </c>
      <c r="E70" s="50">
        <v>3</v>
      </c>
      <c r="F70" s="50">
        <v>26</v>
      </c>
      <c r="G70" s="50">
        <v>1</v>
      </c>
      <c r="H70" s="50">
        <v>0</v>
      </c>
      <c r="I70" s="50">
        <v>6</v>
      </c>
      <c r="J70" s="50">
        <v>0</v>
      </c>
      <c r="K70" s="50">
        <v>0</v>
      </c>
      <c r="L70" s="50">
        <v>0</v>
      </c>
      <c r="M70" s="50">
        <v>82</v>
      </c>
      <c r="N70" s="50">
        <v>0</v>
      </c>
      <c r="O70" s="15">
        <f t="shared" si="0"/>
        <v>86</v>
      </c>
      <c r="P70" s="15">
        <f t="shared" si="1"/>
        <v>168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27</v>
      </c>
      <c r="E71" s="50">
        <v>2</v>
      </c>
      <c r="F71" s="50">
        <v>34</v>
      </c>
      <c r="G71" s="50">
        <v>0</v>
      </c>
      <c r="H71" s="50">
        <v>2</v>
      </c>
      <c r="I71" s="50">
        <v>10</v>
      </c>
      <c r="J71" s="50">
        <v>0</v>
      </c>
      <c r="K71" s="50">
        <v>0</v>
      </c>
      <c r="L71" s="50">
        <v>3</v>
      </c>
      <c r="M71" s="50">
        <v>100</v>
      </c>
      <c r="N71" s="50">
        <v>0</v>
      </c>
      <c r="O71" s="15">
        <f t="shared" si="0"/>
        <v>85</v>
      </c>
      <c r="P71" s="15">
        <f t="shared" si="1"/>
        <v>185</v>
      </c>
      <c r="R71" s="8"/>
      <c r="T71"/>
    </row>
    <row r="72" spans="2:20" ht="23.1" customHeight="1" x14ac:dyDescent="0.25">
      <c r="B72" s="45" t="s">
        <v>112</v>
      </c>
      <c r="C72" s="50">
        <v>11</v>
      </c>
      <c r="D72" s="50">
        <v>18</v>
      </c>
      <c r="E72" s="50">
        <v>7</v>
      </c>
      <c r="F72" s="50">
        <v>31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1</v>
      </c>
      <c r="M72" s="50">
        <v>80</v>
      </c>
      <c r="N72" s="50">
        <v>0</v>
      </c>
      <c r="O72" s="15">
        <f t="shared" si="0"/>
        <v>70</v>
      </c>
      <c r="P72" s="15">
        <f t="shared" si="1"/>
        <v>150</v>
      </c>
      <c r="R72" s="8"/>
      <c r="T72"/>
    </row>
    <row r="73" spans="2:20" ht="23.1" customHeight="1" x14ac:dyDescent="0.25">
      <c r="B73" s="45" t="s">
        <v>113</v>
      </c>
      <c r="C73" s="50">
        <v>6</v>
      </c>
      <c r="D73" s="50">
        <v>29</v>
      </c>
      <c r="E73" s="50">
        <v>4</v>
      </c>
      <c r="F73" s="50">
        <v>26</v>
      </c>
      <c r="G73" s="50">
        <v>0</v>
      </c>
      <c r="H73" s="50">
        <v>2</v>
      </c>
      <c r="I73" s="50">
        <v>3</v>
      </c>
      <c r="J73" s="50">
        <v>0</v>
      </c>
      <c r="K73" s="50">
        <v>0</v>
      </c>
      <c r="L73" s="50">
        <v>1</v>
      </c>
      <c r="M73" s="50">
        <v>89</v>
      </c>
      <c r="N73" s="50">
        <v>0</v>
      </c>
      <c r="O73" s="15">
        <f t="shared" si="0"/>
        <v>71</v>
      </c>
      <c r="P73" s="15">
        <f t="shared" si="1"/>
        <v>160</v>
      </c>
      <c r="R73" s="8"/>
      <c r="T73"/>
    </row>
    <row r="74" spans="2:20" ht="23.1" customHeight="1" x14ac:dyDescent="0.25">
      <c r="B74" s="45" t="s">
        <v>114</v>
      </c>
      <c r="C74" s="50">
        <v>16</v>
      </c>
      <c r="D74" s="50">
        <v>25</v>
      </c>
      <c r="E74" s="50">
        <v>3</v>
      </c>
      <c r="F74" s="50">
        <v>14</v>
      </c>
      <c r="G74" s="50">
        <v>1</v>
      </c>
      <c r="H74" s="50">
        <v>1</v>
      </c>
      <c r="I74" s="50">
        <v>2</v>
      </c>
      <c r="J74" s="50">
        <v>0</v>
      </c>
      <c r="K74" s="50">
        <v>2</v>
      </c>
      <c r="L74" s="50">
        <v>5</v>
      </c>
      <c r="M74" s="50">
        <v>80</v>
      </c>
      <c r="N74" s="50">
        <v>0</v>
      </c>
      <c r="O74" s="15">
        <f t="shared" ref="O74:O105" si="35">SUM(C74:L74,N74)</f>
        <v>69</v>
      </c>
      <c r="P74" s="15">
        <f t="shared" ref="P74:P105" si="36">SUM(C74:N74)</f>
        <v>149</v>
      </c>
      <c r="R74" s="8"/>
      <c r="T74"/>
    </row>
    <row r="75" spans="2:20" ht="23.1" customHeight="1" x14ac:dyDescent="0.25">
      <c r="B75" s="45" t="s">
        <v>115</v>
      </c>
      <c r="C75" s="50">
        <v>7</v>
      </c>
      <c r="D75" s="50">
        <v>11</v>
      </c>
      <c r="E75" s="50">
        <v>1</v>
      </c>
      <c r="F75" s="50">
        <v>8</v>
      </c>
      <c r="G75" s="50">
        <v>1</v>
      </c>
      <c r="H75" s="50">
        <v>1</v>
      </c>
      <c r="I75" s="50">
        <v>1</v>
      </c>
      <c r="J75" s="50">
        <v>2</v>
      </c>
      <c r="K75" s="50">
        <v>0</v>
      </c>
      <c r="L75" s="50">
        <v>1</v>
      </c>
      <c r="M75" s="50">
        <v>77</v>
      </c>
      <c r="N75" s="50">
        <v>0</v>
      </c>
      <c r="O75" s="15">
        <f t="shared" si="35"/>
        <v>33</v>
      </c>
      <c r="P75" s="15">
        <f t="shared" si="36"/>
        <v>110</v>
      </c>
      <c r="R75" s="8"/>
      <c r="T75"/>
    </row>
    <row r="76" spans="2:20" ht="23.1" customHeight="1" x14ac:dyDescent="0.25">
      <c r="B76" s="45" t="s">
        <v>116</v>
      </c>
      <c r="C76" s="50">
        <v>6</v>
      </c>
      <c r="D76" s="50">
        <v>18</v>
      </c>
      <c r="E76" s="50">
        <v>4</v>
      </c>
      <c r="F76" s="50">
        <v>8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2</v>
      </c>
      <c r="M76" s="50">
        <v>57</v>
      </c>
      <c r="N76" s="50">
        <v>0</v>
      </c>
      <c r="O76" s="15">
        <f t="shared" si="35"/>
        <v>39</v>
      </c>
      <c r="P76" s="15">
        <f t="shared" si="36"/>
        <v>96</v>
      </c>
      <c r="R76" s="8"/>
      <c r="T76"/>
    </row>
    <row r="77" spans="2:20" ht="23.1" customHeight="1" x14ac:dyDescent="0.25">
      <c r="B77" s="45" t="s">
        <v>117</v>
      </c>
      <c r="C77" s="50">
        <v>5</v>
      </c>
      <c r="D77" s="50">
        <v>18</v>
      </c>
      <c r="E77" s="50">
        <v>2</v>
      </c>
      <c r="F77" s="50">
        <v>6</v>
      </c>
      <c r="G77" s="50">
        <v>0</v>
      </c>
      <c r="H77" s="50">
        <v>0</v>
      </c>
      <c r="I77" s="50">
        <v>1</v>
      </c>
      <c r="J77" s="50">
        <v>0</v>
      </c>
      <c r="K77" s="50">
        <v>1</v>
      </c>
      <c r="L77" s="50">
        <v>0</v>
      </c>
      <c r="M77" s="50">
        <v>60</v>
      </c>
      <c r="N77" s="50">
        <v>0</v>
      </c>
      <c r="O77" s="15">
        <f t="shared" si="35"/>
        <v>33</v>
      </c>
      <c r="P77" s="15">
        <f t="shared" si="36"/>
        <v>93</v>
      </c>
      <c r="R77" s="8"/>
      <c r="T77"/>
    </row>
    <row r="78" spans="2:20" ht="23.1" customHeight="1" x14ac:dyDescent="0.25">
      <c r="B78" s="46" t="s">
        <v>118</v>
      </c>
      <c r="C78" s="50">
        <v>7</v>
      </c>
      <c r="D78" s="50">
        <v>13</v>
      </c>
      <c r="E78" s="50">
        <v>0</v>
      </c>
      <c r="F78" s="50">
        <v>7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60</v>
      </c>
      <c r="N78" s="50">
        <v>0</v>
      </c>
      <c r="O78" s="15">
        <f t="shared" si="35"/>
        <v>28</v>
      </c>
      <c r="P78" s="15">
        <f t="shared" si="36"/>
        <v>88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6</v>
      </c>
      <c r="E79" s="50">
        <v>0</v>
      </c>
      <c r="F79" s="50">
        <v>3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50</v>
      </c>
      <c r="N79" s="50">
        <v>0</v>
      </c>
      <c r="O79" s="15">
        <f t="shared" si="35"/>
        <v>11</v>
      </c>
      <c r="P79" s="15">
        <f t="shared" si="36"/>
        <v>61</v>
      </c>
      <c r="R79" s="8"/>
      <c r="T79"/>
    </row>
    <row r="80" spans="2:20" ht="23.1" customHeight="1" x14ac:dyDescent="0.25">
      <c r="B80" s="47" t="s">
        <v>120</v>
      </c>
      <c r="C80" s="50">
        <v>3</v>
      </c>
      <c r="D80" s="50">
        <v>5</v>
      </c>
      <c r="E80" s="50">
        <v>0</v>
      </c>
      <c r="F80" s="50">
        <v>3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42</v>
      </c>
      <c r="N80" s="50">
        <v>0</v>
      </c>
      <c r="O80" s="15">
        <f t="shared" si="35"/>
        <v>12</v>
      </c>
      <c r="P80" s="15">
        <f t="shared" si="36"/>
        <v>54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3</v>
      </c>
      <c r="E81" s="50">
        <v>0</v>
      </c>
      <c r="F81" s="50">
        <v>1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25</v>
      </c>
      <c r="N81" s="50">
        <v>0</v>
      </c>
      <c r="O81" s="15">
        <f t="shared" si="35"/>
        <v>7</v>
      </c>
      <c r="P81" s="15">
        <f t="shared" si="36"/>
        <v>32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2</v>
      </c>
      <c r="E82" s="50">
        <v>0</v>
      </c>
      <c r="F82" s="50">
        <v>3</v>
      </c>
      <c r="G82" s="50">
        <v>0</v>
      </c>
      <c r="H82" s="50">
        <v>1</v>
      </c>
      <c r="I82" s="50">
        <v>0</v>
      </c>
      <c r="J82" s="50">
        <v>0</v>
      </c>
      <c r="K82" s="50">
        <v>0</v>
      </c>
      <c r="L82" s="50">
        <v>2</v>
      </c>
      <c r="M82" s="50">
        <v>39</v>
      </c>
      <c r="N82" s="50">
        <v>0</v>
      </c>
      <c r="O82" s="15">
        <f t="shared" si="35"/>
        <v>15</v>
      </c>
      <c r="P82" s="15">
        <f t="shared" si="36"/>
        <v>54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8</v>
      </c>
      <c r="E83" s="50">
        <v>0</v>
      </c>
      <c r="F83" s="50">
        <v>7</v>
      </c>
      <c r="G83" s="50">
        <v>0</v>
      </c>
      <c r="H83" s="50">
        <v>3</v>
      </c>
      <c r="I83" s="50">
        <v>0</v>
      </c>
      <c r="J83" s="50">
        <v>0</v>
      </c>
      <c r="K83" s="50">
        <v>0</v>
      </c>
      <c r="L83" s="50">
        <v>1</v>
      </c>
      <c r="M83" s="50">
        <v>47</v>
      </c>
      <c r="N83" s="50">
        <v>0</v>
      </c>
      <c r="O83" s="15">
        <f t="shared" si="35"/>
        <v>22</v>
      </c>
      <c r="P83" s="15">
        <f t="shared" si="36"/>
        <v>69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3</v>
      </c>
      <c r="E84" s="50">
        <v>1</v>
      </c>
      <c r="F84" s="50">
        <v>4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0</v>
      </c>
      <c r="M84" s="50">
        <v>55</v>
      </c>
      <c r="N84" s="50">
        <v>0</v>
      </c>
      <c r="O84" s="15">
        <f t="shared" si="35"/>
        <v>11</v>
      </c>
      <c r="P84" s="15">
        <f t="shared" si="36"/>
        <v>66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3</v>
      </c>
      <c r="G85" s="50">
        <v>0</v>
      </c>
      <c r="H85" s="50">
        <v>0</v>
      </c>
      <c r="I85" s="50">
        <v>3</v>
      </c>
      <c r="J85" s="50">
        <v>0</v>
      </c>
      <c r="K85" s="50">
        <v>1</v>
      </c>
      <c r="L85" s="50">
        <v>0</v>
      </c>
      <c r="M85" s="50">
        <v>54</v>
      </c>
      <c r="N85" s="50">
        <v>0</v>
      </c>
      <c r="O85" s="15">
        <f t="shared" si="35"/>
        <v>7</v>
      </c>
      <c r="P85" s="15">
        <f t="shared" si="36"/>
        <v>61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7</v>
      </c>
      <c r="E86" s="50">
        <v>1</v>
      </c>
      <c r="F86" s="50">
        <v>11</v>
      </c>
      <c r="G86" s="50">
        <v>0</v>
      </c>
      <c r="H86" s="50">
        <v>2</v>
      </c>
      <c r="I86" s="50">
        <v>3</v>
      </c>
      <c r="J86" s="50">
        <v>1</v>
      </c>
      <c r="K86" s="50">
        <v>0</v>
      </c>
      <c r="L86" s="50">
        <v>0</v>
      </c>
      <c r="M86" s="50">
        <v>60</v>
      </c>
      <c r="N86" s="50">
        <v>0</v>
      </c>
      <c r="O86" s="15">
        <f t="shared" si="35"/>
        <v>29</v>
      </c>
      <c r="P86" s="15">
        <f t="shared" si="36"/>
        <v>89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3</v>
      </c>
      <c r="E87" s="50">
        <v>0</v>
      </c>
      <c r="F87" s="50">
        <v>7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68</v>
      </c>
      <c r="N87" s="50">
        <v>0</v>
      </c>
      <c r="O87" s="15">
        <f t="shared" si="35"/>
        <v>11</v>
      </c>
      <c r="P87" s="15">
        <f t="shared" si="36"/>
        <v>79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1</v>
      </c>
      <c r="E88" s="50">
        <v>2</v>
      </c>
      <c r="F88" s="50">
        <v>18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60</v>
      </c>
      <c r="N88" s="50">
        <v>0</v>
      </c>
      <c r="O88" s="15">
        <f t="shared" si="35"/>
        <v>21</v>
      </c>
      <c r="P88" s="15">
        <f t="shared" si="36"/>
        <v>81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6</v>
      </c>
      <c r="E89" s="50">
        <v>0</v>
      </c>
      <c r="F89" s="50">
        <v>6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45</v>
      </c>
      <c r="N89" s="50">
        <v>0</v>
      </c>
      <c r="O89" s="15">
        <f t="shared" si="35"/>
        <v>14</v>
      </c>
      <c r="P89" s="15">
        <f t="shared" si="36"/>
        <v>59</v>
      </c>
      <c r="R89" s="8"/>
      <c r="T89"/>
    </row>
    <row r="90" spans="2:20" ht="23.1" customHeight="1" x14ac:dyDescent="0.25">
      <c r="B90" s="46" t="s">
        <v>130</v>
      </c>
      <c r="C90" s="50">
        <v>2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23</v>
      </c>
      <c r="N90" s="50">
        <v>0</v>
      </c>
      <c r="O90" s="15">
        <f t="shared" si="35"/>
        <v>3</v>
      </c>
      <c r="P90" s="15">
        <f t="shared" si="36"/>
        <v>26</v>
      </c>
      <c r="R90" s="8"/>
      <c r="T90"/>
    </row>
    <row r="91" spans="2:20" ht="23.1" customHeight="1" x14ac:dyDescent="0.25">
      <c r="B91" s="45" t="s">
        <v>131</v>
      </c>
      <c r="C91" s="50">
        <v>7</v>
      </c>
      <c r="D91" s="50">
        <v>0</v>
      </c>
      <c r="E91" s="50">
        <v>2</v>
      </c>
      <c r="F91" s="50">
        <v>0</v>
      </c>
      <c r="G91" s="50">
        <v>0</v>
      </c>
      <c r="H91" s="50">
        <v>0</v>
      </c>
      <c r="I91" s="50">
        <v>2</v>
      </c>
      <c r="J91" s="50">
        <v>0</v>
      </c>
      <c r="K91" s="50">
        <v>0</v>
      </c>
      <c r="L91" s="50">
        <v>1</v>
      </c>
      <c r="M91" s="50">
        <v>29</v>
      </c>
      <c r="N91" s="50">
        <v>0</v>
      </c>
      <c r="O91" s="15">
        <f t="shared" si="35"/>
        <v>12</v>
      </c>
      <c r="P91" s="15">
        <f t="shared" si="36"/>
        <v>41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2</v>
      </c>
      <c r="E92" s="50">
        <v>3</v>
      </c>
      <c r="F92" s="50">
        <v>2</v>
      </c>
      <c r="G92" s="50">
        <v>1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19</v>
      </c>
      <c r="N92" s="50">
        <v>0</v>
      </c>
      <c r="O92" s="15">
        <f t="shared" si="35"/>
        <v>8</v>
      </c>
      <c r="P92" s="15">
        <f t="shared" si="36"/>
        <v>27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1</v>
      </c>
      <c r="I93" s="50">
        <v>0</v>
      </c>
      <c r="J93" s="50">
        <v>0</v>
      </c>
      <c r="K93" s="50">
        <v>0</v>
      </c>
      <c r="L93" s="50">
        <v>0</v>
      </c>
      <c r="M93" s="50">
        <v>12</v>
      </c>
      <c r="N93" s="50">
        <v>0</v>
      </c>
      <c r="O93" s="15">
        <f t="shared" si="35"/>
        <v>1</v>
      </c>
      <c r="P93" s="15">
        <f t="shared" si="36"/>
        <v>13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2</v>
      </c>
      <c r="E94" s="50">
        <v>0</v>
      </c>
      <c r="F94" s="50">
        <v>2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1</v>
      </c>
      <c r="M94" s="50">
        <v>33</v>
      </c>
      <c r="N94" s="50">
        <v>0</v>
      </c>
      <c r="O94" s="15">
        <f t="shared" si="35"/>
        <v>6</v>
      </c>
      <c r="P94" s="15">
        <f t="shared" si="36"/>
        <v>39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36</v>
      </c>
      <c r="N95" s="50">
        <v>0</v>
      </c>
      <c r="O95" s="15">
        <f t="shared" si="35"/>
        <v>4</v>
      </c>
      <c r="P95" s="15">
        <f t="shared" si="36"/>
        <v>40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1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34</v>
      </c>
      <c r="N96" s="50">
        <v>0</v>
      </c>
      <c r="O96" s="15">
        <f t="shared" si="35"/>
        <v>1</v>
      </c>
      <c r="P96" s="15">
        <f t="shared" si="36"/>
        <v>35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4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23</v>
      </c>
      <c r="N97" s="50">
        <v>0</v>
      </c>
      <c r="O97" s="15">
        <f t="shared" si="35"/>
        <v>5</v>
      </c>
      <c r="P97" s="15">
        <f t="shared" si="36"/>
        <v>28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3</v>
      </c>
      <c r="E98" s="50">
        <v>0</v>
      </c>
      <c r="F98" s="50">
        <v>0</v>
      </c>
      <c r="G98" s="50">
        <v>0</v>
      </c>
      <c r="H98" s="50">
        <v>0</v>
      </c>
      <c r="I98" s="50">
        <v>2</v>
      </c>
      <c r="J98" s="50">
        <v>0</v>
      </c>
      <c r="K98" s="50">
        <v>1</v>
      </c>
      <c r="L98" s="50">
        <v>0</v>
      </c>
      <c r="M98" s="50">
        <v>35</v>
      </c>
      <c r="N98" s="50">
        <v>0</v>
      </c>
      <c r="O98" s="15">
        <f t="shared" si="35"/>
        <v>6</v>
      </c>
      <c r="P98" s="15">
        <f t="shared" si="36"/>
        <v>41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3</v>
      </c>
      <c r="E99" s="50">
        <v>1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1</v>
      </c>
      <c r="L99" s="50">
        <v>0</v>
      </c>
      <c r="M99" s="50">
        <v>47</v>
      </c>
      <c r="N99" s="50">
        <v>0</v>
      </c>
      <c r="O99" s="15">
        <f t="shared" si="35"/>
        <v>7</v>
      </c>
      <c r="P99" s="15">
        <f t="shared" si="36"/>
        <v>54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6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2</v>
      </c>
      <c r="K100" s="50">
        <v>0</v>
      </c>
      <c r="L100" s="50">
        <v>1</v>
      </c>
      <c r="M100" s="50">
        <v>75</v>
      </c>
      <c r="N100" s="50">
        <v>0</v>
      </c>
      <c r="O100" s="15">
        <f t="shared" si="35"/>
        <v>12</v>
      </c>
      <c r="P100" s="15">
        <f t="shared" si="36"/>
        <v>87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2</v>
      </c>
      <c r="E101" s="50">
        <v>0</v>
      </c>
      <c r="F101" s="50">
        <v>2</v>
      </c>
      <c r="G101" s="50">
        <v>0</v>
      </c>
      <c r="H101" s="50">
        <v>1</v>
      </c>
      <c r="I101" s="50">
        <v>0</v>
      </c>
      <c r="J101" s="50">
        <v>0</v>
      </c>
      <c r="K101" s="50">
        <v>0</v>
      </c>
      <c r="L101" s="50">
        <v>0</v>
      </c>
      <c r="M101" s="50">
        <v>122</v>
      </c>
      <c r="N101" s="50">
        <v>0</v>
      </c>
      <c r="O101" s="15">
        <f t="shared" si="35"/>
        <v>8</v>
      </c>
      <c r="P101" s="15">
        <f t="shared" si="36"/>
        <v>130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2</v>
      </c>
      <c r="E102" s="50">
        <v>4</v>
      </c>
      <c r="F102" s="50">
        <v>0</v>
      </c>
      <c r="G102" s="50">
        <v>0</v>
      </c>
      <c r="H102" s="50">
        <v>1</v>
      </c>
      <c r="I102" s="50">
        <v>1</v>
      </c>
      <c r="J102" s="50">
        <v>0</v>
      </c>
      <c r="K102" s="50">
        <v>2</v>
      </c>
      <c r="L102" s="50">
        <v>0</v>
      </c>
      <c r="M102" s="50">
        <v>120</v>
      </c>
      <c r="N102" s="50">
        <v>0</v>
      </c>
      <c r="O102" s="15">
        <f t="shared" si="35"/>
        <v>11</v>
      </c>
      <c r="P102" s="15">
        <f t="shared" si="36"/>
        <v>131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2</v>
      </c>
      <c r="E103" s="50">
        <v>1</v>
      </c>
      <c r="F103" s="50">
        <v>3</v>
      </c>
      <c r="G103" s="50">
        <v>0</v>
      </c>
      <c r="H103" s="50">
        <v>0</v>
      </c>
      <c r="I103" s="50">
        <v>0</v>
      </c>
      <c r="J103" s="50">
        <v>2</v>
      </c>
      <c r="K103" s="50">
        <v>0</v>
      </c>
      <c r="L103" s="50">
        <v>0</v>
      </c>
      <c r="M103" s="50">
        <v>118</v>
      </c>
      <c r="N103" s="50">
        <v>0</v>
      </c>
      <c r="O103" s="15">
        <f t="shared" si="35"/>
        <v>10</v>
      </c>
      <c r="P103" s="15">
        <f t="shared" si="36"/>
        <v>128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11</v>
      </c>
      <c r="E104" s="50">
        <v>1</v>
      </c>
      <c r="F104" s="50">
        <v>6</v>
      </c>
      <c r="G104" s="50">
        <v>0</v>
      </c>
      <c r="H104" s="50">
        <v>0</v>
      </c>
      <c r="I104" s="50">
        <v>2</v>
      </c>
      <c r="J104" s="50">
        <v>0</v>
      </c>
      <c r="K104" s="50">
        <v>0</v>
      </c>
      <c r="L104" s="50">
        <v>0</v>
      </c>
      <c r="M104" s="50">
        <v>130</v>
      </c>
      <c r="N104" s="50">
        <v>0</v>
      </c>
      <c r="O104" s="15">
        <f t="shared" si="35"/>
        <v>23</v>
      </c>
      <c r="P104" s="15">
        <f t="shared" si="36"/>
        <v>153</v>
      </c>
      <c r="R104" s="8"/>
      <c r="T104"/>
    </row>
    <row r="105" spans="2:20" ht="23.1" customHeight="1" x14ac:dyDescent="0.25">
      <c r="B105" s="45" t="s">
        <v>145</v>
      </c>
      <c r="C105" s="50">
        <v>7</v>
      </c>
      <c r="D105" s="50">
        <v>12</v>
      </c>
      <c r="E105" s="50">
        <v>0</v>
      </c>
      <c r="F105" s="50">
        <v>4</v>
      </c>
      <c r="G105" s="50">
        <v>0</v>
      </c>
      <c r="H105" s="50">
        <v>0</v>
      </c>
      <c r="I105" s="50">
        <v>0</v>
      </c>
      <c r="J105" s="50">
        <v>1</v>
      </c>
      <c r="K105" s="50">
        <v>0</v>
      </c>
      <c r="L105" s="50">
        <v>0</v>
      </c>
      <c r="M105" s="50">
        <v>125</v>
      </c>
      <c r="N105" s="50">
        <v>0</v>
      </c>
      <c r="O105" s="15">
        <f t="shared" si="35"/>
        <v>24</v>
      </c>
      <c r="P105" s="15">
        <f t="shared" si="36"/>
        <v>149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1333</v>
      </c>
      <c r="D106" s="16">
        <f t="shared" ref="D106:P106" si="37">SUM(D10:D105)</f>
        <v>671</v>
      </c>
      <c r="E106" s="16">
        <f t="shared" si="37"/>
        <v>189</v>
      </c>
      <c r="F106" s="16">
        <f t="shared" si="37"/>
        <v>1589</v>
      </c>
      <c r="G106" s="16">
        <f t="shared" si="37"/>
        <v>100</v>
      </c>
      <c r="H106" s="16">
        <f t="shared" si="37"/>
        <v>80</v>
      </c>
      <c r="I106" s="16">
        <f t="shared" si="37"/>
        <v>382</v>
      </c>
      <c r="J106" s="16">
        <f t="shared" si="37"/>
        <v>96</v>
      </c>
      <c r="K106" s="16">
        <f t="shared" si="37"/>
        <v>57</v>
      </c>
      <c r="L106" s="16">
        <f t="shared" si="37"/>
        <v>55</v>
      </c>
      <c r="M106" s="16">
        <f t="shared" si="37"/>
        <v>8127</v>
      </c>
      <c r="N106" s="16">
        <f t="shared" si="37"/>
        <v>3</v>
      </c>
      <c r="O106" s="16">
        <f t="shared" si="37"/>
        <v>4555</v>
      </c>
      <c r="P106" s="16">
        <f t="shared" si="37"/>
        <v>12682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0.10510960416338117</v>
      </c>
      <c r="D107" s="43">
        <f t="shared" si="38"/>
        <v>5.2909635704147612E-2</v>
      </c>
      <c r="E107" s="43">
        <f t="shared" si="38"/>
        <v>1.4903012143195079E-2</v>
      </c>
      <c r="F107" s="43">
        <f t="shared" si="38"/>
        <v>0.12529569468538085</v>
      </c>
      <c r="G107" s="43">
        <f t="shared" si="38"/>
        <v>7.8851916101561267E-3</v>
      </c>
      <c r="H107" s="43">
        <f t="shared" si="38"/>
        <v>6.308153288124901E-3</v>
      </c>
      <c r="I107" s="43">
        <f t="shared" si="38"/>
        <v>3.0121431950796404E-2</v>
      </c>
      <c r="J107" s="43">
        <f t="shared" si="38"/>
        <v>7.5697839457498821E-3</v>
      </c>
      <c r="K107" s="43">
        <f t="shared" si="38"/>
        <v>4.4945592177889921E-3</v>
      </c>
      <c r="L107" s="43">
        <f t="shared" si="38"/>
        <v>4.3368553855858694E-3</v>
      </c>
      <c r="M107" s="43">
        <f t="shared" si="38"/>
        <v>0.64082952215738842</v>
      </c>
      <c r="N107" s="43">
        <f t="shared" si="38"/>
        <v>2.3655574830468382E-4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0.29264544456641056</v>
      </c>
      <c r="D108" s="44">
        <f t="shared" ref="D108:N108" si="39">D106/$O$106</f>
        <v>0.1473106476399561</v>
      </c>
      <c r="E108" s="44">
        <f t="shared" si="39"/>
        <v>4.1492864983534578E-2</v>
      </c>
      <c r="F108" s="44">
        <f t="shared" si="39"/>
        <v>0.34884742041712402</v>
      </c>
      <c r="G108" s="44">
        <f t="shared" si="39"/>
        <v>2.1953896816684963E-2</v>
      </c>
      <c r="H108" s="44">
        <f t="shared" si="39"/>
        <v>1.756311745334797E-2</v>
      </c>
      <c r="I108" s="44">
        <f t="shared" si="39"/>
        <v>8.3863885839736557E-2</v>
      </c>
      <c r="J108" s="44">
        <f t="shared" si="39"/>
        <v>2.1075740944017565E-2</v>
      </c>
      <c r="K108" s="44">
        <f t="shared" si="39"/>
        <v>1.2513721185510428E-2</v>
      </c>
      <c r="L108" s="44">
        <f t="shared" si="39"/>
        <v>1.2074643249176729E-2</v>
      </c>
      <c r="M108" s="44"/>
      <c r="N108" s="44">
        <f t="shared" si="39"/>
        <v>6.5861690450054889E-4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30" zoomScaleSheetLayoutView="3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Nakawuka-Nateete'!C3:G3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3" t="str">
        <f>'27.07 Nateete-Nakawuka-24h'!G5:H5</f>
        <v>TAKUWA BEST FEEDS</v>
      </c>
      <c r="H5" s="64"/>
      <c r="I5" s="14"/>
      <c r="J5" s="2" t="s">
        <v>5</v>
      </c>
      <c r="K5" s="63" t="str">
        <f>'27.07 Nateete-Nakawuka-24h'!K5:L5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Nakawuka-Nateete'!D6:E6</f>
        <v>NAKAWUKA</v>
      </c>
      <c r="E6" s="64"/>
      <c r="F6" s="2" t="s">
        <v>2</v>
      </c>
      <c r="G6" s="63" t="str">
        <f>'22.07 Nakawuka-Nateete'!G6:H6</f>
        <v>NATEETE</v>
      </c>
      <c r="H6" s="64"/>
      <c r="J6" s="2" t="s">
        <v>21</v>
      </c>
      <c r="K6" s="63" t="str">
        <f>'27.07 Nateete-Nakawuka-24h'!K6:L6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3</v>
      </c>
      <c r="E10" s="50">
        <v>2</v>
      </c>
      <c r="F10" s="50">
        <v>10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110</v>
      </c>
      <c r="N10" s="50">
        <v>0</v>
      </c>
      <c r="O10" s="15">
        <f t="shared" ref="O10:O57" si="0">SUM(C10:L10,N10)</f>
        <v>23</v>
      </c>
      <c r="P10" s="15">
        <f t="shared" ref="P10:P57" si="1">SUM(C10:N10)</f>
        <v>133</v>
      </c>
      <c r="R10" s="1" t="s">
        <v>6</v>
      </c>
      <c r="S10" s="17">
        <f t="shared" ref="S10:AF10" si="2">SUM(C10:C13)</f>
        <v>31</v>
      </c>
      <c r="T10" s="17">
        <f t="shared" si="2"/>
        <v>15</v>
      </c>
      <c r="U10" s="17">
        <f t="shared" si="2"/>
        <v>12</v>
      </c>
      <c r="V10" s="17">
        <f t="shared" si="2"/>
        <v>53</v>
      </c>
      <c r="W10" s="17">
        <f t="shared" si="2"/>
        <v>0</v>
      </c>
      <c r="X10" s="17">
        <f t="shared" si="2"/>
        <v>0</v>
      </c>
      <c r="Y10" s="17">
        <f t="shared" si="2"/>
        <v>18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423</v>
      </c>
      <c r="AD10" s="17">
        <f t="shared" si="2"/>
        <v>0</v>
      </c>
      <c r="AE10" s="31">
        <f t="shared" si="2"/>
        <v>131</v>
      </c>
      <c r="AF10" s="31">
        <f t="shared" si="2"/>
        <v>554</v>
      </c>
    </row>
    <row r="11" spans="2:32" s="6" customFormat="1" ht="23.1" customHeight="1" x14ac:dyDescent="0.25">
      <c r="B11" s="23" t="s">
        <v>38</v>
      </c>
      <c r="C11" s="50">
        <v>8</v>
      </c>
      <c r="D11" s="50">
        <v>3</v>
      </c>
      <c r="E11" s="50">
        <v>3</v>
      </c>
      <c r="F11" s="50">
        <v>15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120</v>
      </c>
      <c r="N11" s="50">
        <v>0</v>
      </c>
      <c r="O11" s="15">
        <f t="shared" si="0"/>
        <v>33</v>
      </c>
      <c r="P11" s="15">
        <f t="shared" si="1"/>
        <v>153</v>
      </c>
      <c r="R11" s="1" t="s">
        <v>7</v>
      </c>
      <c r="S11" s="17">
        <f t="shared" ref="S11:AF11" si="3">SUM(C14:C17)</f>
        <v>61</v>
      </c>
      <c r="T11" s="17">
        <f t="shared" si="3"/>
        <v>39</v>
      </c>
      <c r="U11" s="17">
        <f t="shared" si="3"/>
        <v>22</v>
      </c>
      <c r="V11" s="17">
        <f t="shared" si="3"/>
        <v>67</v>
      </c>
      <c r="W11" s="17">
        <f t="shared" si="3"/>
        <v>1</v>
      </c>
      <c r="X11" s="17">
        <f t="shared" si="3"/>
        <v>3</v>
      </c>
      <c r="Y11" s="17">
        <f t="shared" si="3"/>
        <v>19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432</v>
      </c>
      <c r="AD11" s="17">
        <f t="shared" si="3"/>
        <v>0</v>
      </c>
      <c r="AE11" s="31">
        <f t="shared" si="3"/>
        <v>217</v>
      </c>
      <c r="AF11" s="31">
        <f t="shared" si="3"/>
        <v>649</v>
      </c>
    </row>
    <row r="12" spans="2:32" ht="23.1" customHeight="1" x14ac:dyDescent="0.25">
      <c r="B12" s="23" t="s">
        <v>39</v>
      </c>
      <c r="C12" s="50">
        <v>9</v>
      </c>
      <c r="D12" s="50">
        <v>2</v>
      </c>
      <c r="E12" s="50">
        <v>2</v>
      </c>
      <c r="F12" s="50">
        <v>13</v>
      </c>
      <c r="G12" s="50">
        <v>0</v>
      </c>
      <c r="H12" s="50">
        <v>0</v>
      </c>
      <c r="I12" s="50">
        <v>5</v>
      </c>
      <c r="J12" s="50">
        <v>0</v>
      </c>
      <c r="K12" s="50">
        <v>0</v>
      </c>
      <c r="L12" s="50">
        <v>0</v>
      </c>
      <c r="M12" s="50">
        <v>95</v>
      </c>
      <c r="N12" s="50">
        <v>0</v>
      </c>
      <c r="O12" s="15">
        <f t="shared" si="0"/>
        <v>31</v>
      </c>
      <c r="P12" s="15">
        <f t="shared" si="1"/>
        <v>126</v>
      </c>
      <c r="R12" s="1" t="s">
        <v>8</v>
      </c>
      <c r="S12" s="17">
        <f t="shared" ref="S12:AF12" si="4">SUM(C18:C21)</f>
        <v>79</v>
      </c>
      <c r="T12" s="17">
        <f t="shared" si="4"/>
        <v>39</v>
      </c>
      <c r="U12" s="17">
        <f t="shared" si="4"/>
        <v>16</v>
      </c>
      <c r="V12" s="17">
        <f t="shared" si="4"/>
        <v>73</v>
      </c>
      <c r="W12" s="17">
        <f t="shared" si="4"/>
        <v>3</v>
      </c>
      <c r="X12" s="17">
        <f t="shared" si="4"/>
        <v>2</v>
      </c>
      <c r="Y12" s="17">
        <f t="shared" si="4"/>
        <v>27</v>
      </c>
      <c r="Z12" s="17">
        <f t="shared" si="4"/>
        <v>12</v>
      </c>
      <c r="AA12" s="17">
        <f t="shared" si="4"/>
        <v>3</v>
      </c>
      <c r="AB12" s="17">
        <f t="shared" si="4"/>
        <v>0</v>
      </c>
      <c r="AC12" s="17">
        <f t="shared" si="4"/>
        <v>437</v>
      </c>
      <c r="AD12" s="17">
        <f t="shared" si="4"/>
        <v>0</v>
      </c>
      <c r="AE12" s="31">
        <f t="shared" si="4"/>
        <v>254</v>
      </c>
      <c r="AF12" s="31">
        <f t="shared" si="4"/>
        <v>691</v>
      </c>
    </row>
    <row r="13" spans="2:32" ht="23.1" customHeight="1" x14ac:dyDescent="0.25">
      <c r="B13" s="23" t="s">
        <v>40</v>
      </c>
      <c r="C13" s="50">
        <v>8</v>
      </c>
      <c r="D13" s="50">
        <v>7</v>
      </c>
      <c r="E13" s="50">
        <v>5</v>
      </c>
      <c r="F13" s="50">
        <v>15</v>
      </c>
      <c r="G13" s="50">
        <v>0</v>
      </c>
      <c r="H13" s="50">
        <v>0</v>
      </c>
      <c r="I13" s="50">
        <v>7</v>
      </c>
      <c r="J13" s="50">
        <v>2</v>
      </c>
      <c r="K13" s="50">
        <v>0</v>
      </c>
      <c r="L13" s="50">
        <v>0</v>
      </c>
      <c r="M13" s="50">
        <v>98</v>
      </c>
      <c r="N13" s="50">
        <v>0</v>
      </c>
      <c r="O13" s="15">
        <f t="shared" si="0"/>
        <v>44</v>
      </c>
      <c r="P13" s="15">
        <f t="shared" si="1"/>
        <v>142</v>
      </c>
      <c r="R13" s="1" t="s">
        <v>9</v>
      </c>
      <c r="S13" s="17">
        <f t="shared" ref="S13:AF13" si="5">SUM(C22:C25)</f>
        <v>67</v>
      </c>
      <c r="T13" s="17">
        <f t="shared" si="5"/>
        <v>31</v>
      </c>
      <c r="U13" s="17">
        <f t="shared" si="5"/>
        <v>14</v>
      </c>
      <c r="V13" s="17">
        <f t="shared" si="5"/>
        <v>65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461</v>
      </c>
      <c r="AD13" s="17">
        <f t="shared" si="5"/>
        <v>0</v>
      </c>
      <c r="AE13" s="31">
        <f t="shared" si="5"/>
        <v>200</v>
      </c>
      <c r="AF13" s="31">
        <f t="shared" si="5"/>
        <v>661</v>
      </c>
    </row>
    <row r="14" spans="2:32" ht="23.1" customHeight="1" x14ac:dyDescent="0.25">
      <c r="B14" s="23" t="s">
        <v>41</v>
      </c>
      <c r="C14" s="50">
        <v>9</v>
      </c>
      <c r="D14" s="50">
        <v>7</v>
      </c>
      <c r="E14" s="50">
        <v>4</v>
      </c>
      <c r="F14" s="50">
        <v>14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110</v>
      </c>
      <c r="N14" s="50">
        <v>0</v>
      </c>
      <c r="O14" s="15">
        <f t="shared" si="0"/>
        <v>37</v>
      </c>
      <c r="P14" s="15">
        <f t="shared" si="1"/>
        <v>147</v>
      </c>
      <c r="R14" s="1" t="s">
        <v>10</v>
      </c>
      <c r="S14" s="17">
        <f t="shared" ref="S14:AF14" si="6">SUM(C26:C29)</f>
        <v>74</v>
      </c>
      <c r="T14" s="17">
        <f t="shared" si="6"/>
        <v>54</v>
      </c>
      <c r="U14" s="17">
        <f t="shared" si="6"/>
        <v>13</v>
      </c>
      <c r="V14" s="17">
        <f t="shared" si="6"/>
        <v>74</v>
      </c>
      <c r="W14" s="17">
        <f t="shared" si="6"/>
        <v>3</v>
      </c>
      <c r="X14" s="17">
        <f t="shared" si="6"/>
        <v>2</v>
      </c>
      <c r="Y14" s="17">
        <f t="shared" si="6"/>
        <v>21</v>
      </c>
      <c r="Z14" s="17">
        <f t="shared" si="6"/>
        <v>12</v>
      </c>
      <c r="AA14" s="17">
        <f t="shared" si="6"/>
        <v>1</v>
      </c>
      <c r="AB14" s="17">
        <f t="shared" si="6"/>
        <v>0</v>
      </c>
      <c r="AC14" s="17">
        <f t="shared" si="6"/>
        <v>429</v>
      </c>
      <c r="AD14" s="17">
        <f t="shared" si="6"/>
        <v>0</v>
      </c>
      <c r="AE14" s="31">
        <f t="shared" si="6"/>
        <v>254</v>
      </c>
      <c r="AF14" s="31">
        <f t="shared" si="6"/>
        <v>683</v>
      </c>
    </row>
    <row r="15" spans="2:32" ht="23.1" customHeight="1" x14ac:dyDescent="0.25">
      <c r="B15" s="23" t="s">
        <v>42</v>
      </c>
      <c r="C15" s="50">
        <v>18</v>
      </c>
      <c r="D15" s="50">
        <v>12</v>
      </c>
      <c r="E15" s="50">
        <v>5</v>
      </c>
      <c r="F15" s="50">
        <v>18</v>
      </c>
      <c r="G15" s="50">
        <v>0</v>
      </c>
      <c r="H15" s="50">
        <v>0</v>
      </c>
      <c r="I15" s="50">
        <v>4</v>
      </c>
      <c r="J15" s="50">
        <v>2</v>
      </c>
      <c r="K15" s="50">
        <v>0</v>
      </c>
      <c r="L15" s="50">
        <v>0</v>
      </c>
      <c r="M15" s="50">
        <v>105</v>
      </c>
      <c r="N15" s="50">
        <v>0</v>
      </c>
      <c r="O15" s="15">
        <f t="shared" si="0"/>
        <v>59</v>
      </c>
      <c r="P15" s="15">
        <f t="shared" si="1"/>
        <v>164</v>
      </c>
      <c r="R15" s="1" t="s">
        <v>11</v>
      </c>
      <c r="S15" s="17">
        <f t="shared" ref="S15:AF15" si="7">SUM(C30:C33)</f>
        <v>83</v>
      </c>
      <c r="T15" s="17">
        <f t="shared" si="7"/>
        <v>35</v>
      </c>
      <c r="U15" s="17">
        <f t="shared" si="7"/>
        <v>18</v>
      </c>
      <c r="V15" s="17">
        <f t="shared" si="7"/>
        <v>83</v>
      </c>
      <c r="W15" s="17">
        <f t="shared" si="7"/>
        <v>18</v>
      </c>
      <c r="X15" s="17">
        <f t="shared" si="7"/>
        <v>1</v>
      </c>
      <c r="Y15" s="17">
        <f t="shared" si="7"/>
        <v>24</v>
      </c>
      <c r="Z15" s="17">
        <f t="shared" si="7"/>
        <v>17</v>
      </c>
      <c r="AA15" s="17">
        <f t="shared" si="7"/>
        <v>3</v>
      </c>
      <c r="AB15" s="17">
        <f t="shared" si="7"/>
        <v>1</v>
      </c>
      <c r="AC15" s="17">
        <f t="shared" si="7"/>
        <v>559</v>
      </c>
      <c r="AD15" s="17">
        <f t="shared" si="7"/>
        <v>0</v>
      </c>
      <c r="AE15" s="31">
        <f t="shared" si="7"/>
        <v>283</v>
      </c>
      <c r="AF15" s="31">
        <f t="shared" si="7"/>
        <v>842</v>
      </c>
    </row>
    <row r="16" spans="2:32" ht="23.1" customHeight="1" x14ac:dyDescent="0.25">
      <c r="B16" s="23" t="s">
        <v>43</v>
      </c>
      <c r="C16" s="50">
        <v>17</v>
      </c>
      <c r="D16" s="50">
        <v>15</v>
      </c>
      <c r="E16" s="50">
        <v>6</v>
      </c>
      <c r="F16" s="50">
        <v>23</v>
      </c>
      <c r="G16" s="50">
        <v>1</v>
      </c>
      <c r="H16" s="50">
        <v>2</v>
      </c>
      <c r="I16" s="50">
        <v>7</v>
      </c>
      <c r="J16" s="50">
        <v>1</v>
      </c>
      <c r="K16" s="50">
        <v>0</v>
      </c>
      <c r="L16" s="50">
        <v>0</v>
      </c>
      <c r="M16" s="50">
        <v>120</v>
      </c>
      <c r="N16" s="50">
        <v>0</v>
      </c>
      <c r="O16" s="15">
        <f t="shared" si="0"/>
        <v>72</v>
      </c>
      <c r="P16" s="15">
        <f t="shared" si="1"/>
        <v>192</v>
      </c>
      <c r="R16" s="1" t="s">
        <v>12</v>
      </c>
      <c r="S16" s="17">
        <f t="shared" ref="S16:AF16" si="8">SUM(C34:C37)</f>
        <v>65</v>
      </c>
      <c r="T16" s="17">
        <f t="shared" si="8"/>
        <v>39</v>
      </c>
      <c r="U16" s="17">
        <f t="shared" si="8"/>
        <v>17</v>
      </c>
      <c r="V16" s="17">
        <f t="shared" si="8"/>
        <v>54</v>
      </c>
      <c r="W16" s="17">
        <f t="shared" si="8"/>
        <v>0</v>
      </c>
      <c r="X16" s="17">
        <f t="shared" si="8"/>
        <v>1</v>
      </c>
      <c r="Y16" s="17">
        <f t="shared" si="8"/>
        <v>23</v>
      </c>
      <c r="Z16" s="17">
        <f t="shared" si="8"/>
        <v>9</v>
      </c>
      <c r="AA16" s="17">
        <f t="shared" si="8"/>
        <v>0</v>
      </c>
      <c r="AB16" s="17">
        <f t="shared" si="8"/>
        <v>2</v>
      </c>
      <c r="AC16" s="17">
        <f t="shared" si="8"/>
        <v>432</v>
      </c>
      <c r="AD16" s="17">
        <f t="shared" si="8"/>
        <v>0</v>
      </c>
      <c r="AE16" s="31">
        <f t="shared" si="8"/>
        <v>210</v>
      </c>
      <c r="AF16" s="31">
        <f t="shared" si="8"/>
        <v>642</v>
      </c>
    </row>
    <row r="17" spans="2:32" ht="23.1" customHeight="1" x14ac:dyDescent="0.25">
      <c r="B17" s="23" t="s">
        <v>44</v>
      </c>
      <c r="C17" s="50">
        <v>17</v>
      </c>
      <c r="D17" s="50">
        <v>5</v>
      </c>
      <c r="E17" s="50">
        <v>7</v>
      </c>
      <c r="F17" s="50">
        <v>12</v>
      </c>
      <c r="G17" s="50">
        <v>0</v>
      </c>
      <c r="H17" s="50">
        <v>1</v>
      </c>
      <c r="I17" s="50">
        <v>5</v>
      </c>
      <c r="J17" s="50">
        <v>2</v>
      </c>
      <c r="K17" s="50">
        <v>0</v>
      </c>
      <c r="L17" s="50">
        <v>0</v>
      </c>
      <c r="M17" s="50">
        <v>97</v>
      </c>
      <c r="N17" s="50">
        <v>0</v>
      </c>
      <c r="O17" s="15">
        <f t="shared" si="0"/>
        <v>49</v>
      </c>
      <c r="P17" s="15">
        <f t="shared" si="1"/>
        <v>146</v>
      </c>
      <c r="R17" s="1" t="s">
        <v>13</v>
      </c>
      <c r="S17" s="17">
        <f t="shared" ref="S17:AF17" si="9">SUM(C38:C41)</f>
        <v>72</v>
      </c>
      <c r="T17" s="17">
        <f t="shared" si="9"/>
        <v>28</v>
      </c>
      <c r="U17" s="17">
        <f t="shared" si="9"/>
        <v>14</v>
      </c>
      <c r="V17" s="17">
        <f t="shared" si="9"/>
        <v>58</v>
      </c>
      <c r="W17" s="17">
        <f t="shared" si="9"/>
        <v>1</v>
      </c>
      <c r="X17" s="17">
        <f t="shared" si="9"/>
        <v>3</v>
      </c>
      <c r="Y17" s="17">
        <f t="shared" si="9"/>
        <v>15</v>
      </c>
      <c r="Z17" s="17">
        <f t="shared" si="9"/>
        <v>16</v>
      </c>
      <c r="AA17" s="17">
        <f t="shared" si="9"/>
        <v>2</v>
      </c>
      <c r="AB17" s="17">
        <f t="shared" si="9"/>
        <v>1</v>
      </c>
      <c r="AC17" s="17">
        <f t="shared" si="9"/>
        <v>537</v>
      </c>
      <c r="AD17" s="17">
        <f t="shared" si="9"/>
        <v>0</v>
      </c>
      <c r="AE17" s="31">
        <f t="shared" si="9"/>
        <v>210</v>
      </c>
      <c r="AF17" s="31">
        <f t="shared" si="9"/>
        <v>747</v>
      </c>
    </row>
    <row r="18" spans="2:32" ht="23.1" customHeight="1" x14ac:dyDescent="0.25">
      <c r="B18" s="23" t="s">
        <v>45</v>
      </c>
      <c r="C18" s="50">
        <v>12</v>
      </c>
      <c r="D18" s="50">
        <v>9</v>
      </c>
      <c r="E18" s="50">
        <v>2</v>
      </c>
      <c r="F18" s="50">
        <v>14</v>
      </c>
      <c r="G18" s="50">
        <v>0</v>
      </c>
      <c r="H18" s="50">
        <v>1</v>
      </c>
      <c r="I18" s="50">
        <v>5</v>
      </c>
      <c r="J18" s="50">
        <v>2</v>
      </c>
      <c r="K18" s="50">
        <v>1</v>
      </c>
      <c r="L18" s="50">
        <v>0</v>
      </c>
      <c r="M18" s="50">
        <v>93</v>
      </c>
      <c r="N18" s="50">
        <v>0</v>
      </c>
      <c r="O18" s="15">
        <f t="shared" si="0"/>
        <v>46</v>
      </c>
      <c r="P18" s="15">
        <f t="shared" si="1"/>
        <v>139</v>
      </c>
      <c r="R18" s="1" t="s">
        <v>14</v>
      </c>
      <c r="S18" s="17">
        <f t="shared" ref="S18:AF18" si="10">SUM(C42:C45)</f>
        <v>121</v>
      </c>
      <c r="T18" s="17">
        <f t="shared" si="10"/>
        <v>23</v>
      </c>
      <c r="U18" s="17">
        <f t="shared" si="10"/>
        <v>20</v>
      </c>
      <c r="V18" s="17">
        <f t="shared" si="10"/>
        <v>75</v>
      </c>
      <c r="W18" s="17">
        <f t="shared" si="10"/>
        <v>5</v>
      </c>
      <c r="X18" s="17">
        <f t="shared" si="10"/>
        <v>0</v>
      </c>
      <c r="Y18" s="17">
        <f t="shared" si="10"/>
        <v>66</v>
      </c>
      <c r="Z18" s="17">
        <f t="shared" si="10"/>
        <v>9</v>
      </c>
      <c r="AA18" s="17">
        <f t="shared" si="10"/>
        <v>1</v>
      </c>
      <c r="AB18" s="17">
        <f t="shared" si="10"/>
        <v>1</v>
      </c>
      <c r="AC18" s="17">
        <f t="shared" si="10"/>
        <v>578</v>
      </c>
      <c r="AD18" s="17">
        <f t="shared" si="10"/>
        <v>0</v>
      </c>
      <c r="AE18" s="31">
        <f t="shared" si="10"/>
        <v>321</v>
      </c>
      <c r="AF18" s="31">
        <f t="shared" si="10"/>
        <v>899</v>
      </c>
    </row>
    <row r="19" spans="2:32" ht="23.1" customHeight="1" x14ac:dyDescent="0.25">
      <c r="B19" s="23" t="s">
        <v>46</v>
      </c>
      <c r="C19" s="50">
        <v>23</v>
      </c>
      <c r="D19" s="50">
        <v>8</v>
      </c>
      <c r="E19" s="50">
        <v>5</v>
      </c>
      <c r="F19" s="50">
        <v>22</v>
      </c>
      <c r="G19" s="50">
        <v>3</v>
      </c>
      <c r="H19" s="50">
        <v>1</v>
      </c>
      <c r="I19" s="50">
        <v>5</v>
      </c>
      <c r="J19" s="50">
        <v>3</v>
      </c>
      <c r="K19" s="50">
        <v>0</v>
      </c>
      <c r="L19" s="50">
        <v>0</v>
      </c>
      <c r="M19" s="50">
        <v>115</v>
      </c>
      <c r="N19" s="50">
        <v>0</v>
      </c>
      <c r="O19" s="15">
        <f t="shared" si="0"/>
        <v>70</v>
      </c>
      <c r="P19" s="15">
        <f t="shared" si="1"/>
        <v>185</v>
      </c>
      <c r="R19" s="1" t="s">
        <v>15</v>
      </c>
      <c r="S19" s="17">
        <f t="shared" ref="S19:AF19" si="11">SUM(C46:C49)</f>
        <v>116</v>
      </c>
      <c r="T19" s="17">
        <f t="shared" si="11"/>
        <v>36</v>
      </c>
      <c r="U19" s="17">
        <f t="shared" si="11"/>
        <v>24</v>
      </c>
      <c r="V19" s="17">
        <f t="shared" si="11"/>
        <v>73</v>
      </c>
      <c r="W19" s="17">
        <f t="shared" si="11"/>
        <v>2</v>
      </c>
      <c r="X19" s="17">
        <f t="shared" si="11"/>
        <v>0</v>
      </c>
      <c r="Y19" s="17">
        <f t="shared" si="11"/>
        <v>21</v>
      </c>
      <c r="Z19" s="17">
        <f t="shared" si="11"/>
        <v>13</v>
      </c>
      <c r="AA19" s="17">
        <f t="shared" si="11"/>
        <v>2</v>
      </c>
      <c r="AB19" s="17">
        <f t="shared" si="11"/>
        <v>0</v>
      </c>
      <c r="AC19" s="17">
        <f t="shared" si="11"/>
        <v>632</v>
      </c>
      <c r="AD19" s="17">
        <f t="shared" si="11"/>
        <v>0</v>
      </c>
      <c r="AE19" s="31">
        <f t="shared" si="11"/>
        <v>287</v>
      </c>
      <c r="AF19" s="31">
        <f t="shared" si="11"/>
        <v>919</v>
      </c>
    </row>
    <row r="20" spans="2:32" ht="23.1" customHeight="1" x14ac:dyDescent="0.25">
      <c r="B20" s="23" t="s">
        <v>47</v>
      </c>
      <c r="C20" s="50">
        <v>26</v>
      </c>
      <c r="D20" s="50">
        <v>12</v>
      </c>
      <c r="E20" s="50">
        <v>5</v>
      </c>
      <c r="F20" s="50">
        <v>19</v>
      </c>
      <c r="G20" s="50">
        <v>0</v>
      </c>
      <c r="H20" s="50">
        <v>0</v>
      </c>
      <c r="I20" s="50">
        <v>10</v>
      </c>
      <c r="J20" s="50">
        <v>6</v>
      </c>
      <c r="K20" s="50">
        <v>2</v>
      </c>
      <c r="L20" s="50">
        <v>0</v>
      </c>
      <c r="M20" s="50">
        <v>109</v>
      </c>
      <c r="N20" s="50">
        <v>0</v>
      </c>
      <c r="O20" s="15">
        <f t="shared" si="0"/>
        <v>80</v>
      </c>
      <c r="P20" s="15">
        <f t="shared" si="1"/>
        <v>189</v>
      </c>
      <c r="R20" s="1" t="s">
        <v>16</v>
      </c>
      <c r="S20" s="17">
        <f t="shared" ref="S20:AF20" si="12">SUM(C50:C53)</f>
        <v>151</v>
      </c>
      <c r="T20" s="17">
        <f t="shared" si="12"/>
        <v>55</v>
      </c>
      <c r="U20" s="17">
        <f t="shared" si="12"/>
        <v>18</v>
      </c>
      <c r="V20" s="17">
        <f t="shared" si="12"/>
        <v>62</v>
      </c>
      <c r="W20" s="17">
        <f t="shared" si="12"/>
        <v>0</v>
      </c>
      <c r="X20" s="17">
        <f t="shared" si="12"/>
        <v>0</v>
      </c>
      <c r="Y20" s="17">
        <f t="shared" si="12"/>
        <v>15</v>
      </c>
      <c r="Z20" s="17">
        <f t="shared" si="12"/>
        <v>12</v>
      </c>
      <c r="AA20" s="17">
        <f t="shared" si="12"/>
        <v>0</v>
      </c>
      <c r="AB20" s="17">
        <f t="shared" si="12"/>
        <v>0</v>
      </c>
      <c r="AC20" s="17">
        <f t="shared" si="12"/>
        <v>502</v>
      </c>
      <c r="AD20" s="17">
        <f t="shared" si="12"/>
        <v>0</v>
      </c>
      <c r="AE20" s="31">
        <f t="shared" si="12"/>
        <v>313</v>
      </c>
      <c r="AF20" s="31">
        <f t="shared" si="12"/>
        <v>815</v>
      </c>
    </row>
    <row r="21" spans="2:32" ht="23.1" customHeight="1" x14ac:dyDescent="0.25">
      <c r="B21" s="23" t="s">
        <v>48</v>
      </c>
      <c r="C21" s="50">
        <v>18</v>
      </c>
      <c r="D21" s="50">
        <v>10</v>
      </c>
      <c r="E21" s="50">
        <v>4</v>
      </c>
      <c r="F21" s="50">
        <v>18</v>
      </c>
      <c r="G21" s="50">
        <v>0</v>
      </c>
      <c r="H21" s="50">
        <v>0</v>
      </c>
      <c r="I21" s="50">
        <v>7</v>
      </c>
      <c r="J21" s="50">
        <v>1</v>
      </c>
      <c r="K21" s="50">
        <v>0</v>
      </c>
      <c r="L21" s="50">
        <v>0</v>
      </c>
      <c r="M21" s="50">
        <v>120</v>
      </c>
      <c r="N21" s="50">
        <v>0</v>
      </c>
      <c r="O21" s="15">
        <f t="shared" si="0"/>
        <v>58</v>
      </c>
      <c r="P21" s="15">
        <f t="shared" si="1"/>
        <v>178</v>
      </c>
      <c r="R21" s="36" t="s">
        <v>20</v>
      </c>
      <c r="S21" s="34">
        <f t="shared" ref="S21:AF21" si="13">SUM(C54:C57)</f>
        <v>81</v>
      </c>
      <c r="T21" s="17">
        <f t="shared" si="13"/>
        <v>40</v>
      </c>
      <c r="U21" s="17">
        <f t="shared" si="13"/>
        <v>21</v>
      </c>
      <c r="V21" s="17">
        <f t="shared" si="13"/>
        <v>57</v>
      </c>
      <c r="W21" s="17">
        <f t="shared" si="13"/>
        <v>5</v>
      </c>
      <c r="X21" s="17">
        <f t="shared" si="13"/>
        <v>0</v>
      </c>
      <c r="Y21" s="17">
        <f t="shared" si="13"/>
        <v>12</v>
      </c>
      <c r="Z21" s="17">
        <f t="shared" si="13"/>
        <v>4</v>
      </c>
      <c r="AA21" s="17">
        <f t="shared" si="13"/>
        <v>1</v>
      </c>
      <c r="AB21" s="17">
        <f t="shared" si="13"/>
        <v>3</v>
      </c>
      <c r="AC21" s="17">
        <f t="shared" si="13"/>
        <v>456</v>
      </c>
      <c r="AD21" s="17">
        <f t="shared" si="13"/>
        <v>0</v>
      </c>
      <c r="AE21" s="31">
        <f t="shared" si="13"/>
        <v>224</v>
      </c>
      <c r="AF21" s="31">
        <f t="shared" si="13"/>
        <v>680</v>
      </c>
    </row>
    <row r="22" spans="2:32" ht="23.1" customHeight="1" x14ac:dyDescent="0.25">
      <c r="B22" s="23" t="s">
        <v>49</v>
      </c>
      <c r="C22" s="50">
        <v>16</v>
      </c>
      <c r="D22" s="50">
        <v>8</v>
      </c>
      <c r="E22" s="50">
        <v>5</v>
      </c>
      <c r="F22" s="50">
        <v>18</v>
      </c>
      <c r="G22" s="50">
        <v>0</v>
      </c>
      <c r="H22" s="50">
        <v>0</v>
      </c>
      <c r="I22" s="50">
        <v>8</v>
      </c>
      <c r="J22" s="50">
        <v>0</v>
      </c>
      <c r="K22" s="50">
        <v>0</v>
      </c>
      <c r="L22" s="50">
        <v>0</v>
      </c>
      <c r="M22" s="50">
        <v>145</v>
      </c>
      <c r="N22" s="50">
        <v>0</v>
      </c>
      <c r="O22" s="15">
        <f t="shared" si="0"/>
        <v>55</v>
      </c>
      <c r="P22" s="15">
        <f t="shared" si="1"/>
        <v>200</v>
      </c>
      <c r="R22" s="38" t="s">
        <v>90</v>
      </c>
      <c r="S22" s="39">
        <f>MAX(S10:S12)</f>
        <v>79</v>
      </c>
      <c r="T22" s="39">
        <f t="shared" ref="T22:AF22" si="14">MAX(T10:T12)</f>
        <v>39</v>
      </c>
      <c r="U22" s="39">
        <f t="shared" si="14"/>
        <v>22</v>
      </c>
      <c r="V22" s="39">
        <f t="shared" si="14"/>
        <v>73</v>
      </c>
      <c r="W22" s="39">
        <f t="shared" si="14"/>
        <v>3</v>
      </c>
      <c r="X22" s="39">
        <f t="shared" si="14"/>
        <v>3</v>
      </c>
      <c r="Y22" s="39">
        <f t="shared" si="14"/>
        <v>27</v>
      </c>
      <c r="Z22" s="39">
        <f t="shared" si="14"/>
        <v>12</v>
      </c>
      <c r="AA22" s="39">
        <f t="shared" si="14"/>
        <v>3</v>
      </c>
      <c r="AB22" s="39">
        <f t="shared" si="14"/>
        <v>0</v>
      </c>
      <c r="AC22" s="39">
        <f t="shared" si="14"/>
        <v>437</v>
      </c>
      <c r="AD22" s="39">
        <f t="shared" si="14"/>
        <v>0</v>
      </c>
      <c r="AE22" s="40">
        <f t="shared" si="14"/>
        <v>254</v>
      </c>
      <c r="AF22" s="40">
        <f t="shared" si="14"/>
        <v>691</v>
      </c>
    </row>
    <row r="23" spans="2:32" ht="23.1" customHeight="1" x14ac:dyDescent="0.25">
      <c r="B23" s="23" t="s">
        <v>50</v>
      </c>
      <c r="C23" s="50">
        <v>19</v>
      </c>
      <c r="D23" s="50">
        <v>6</v>
      </c>
      <c r="E23" s="50">
        <v>4</v>
      </c>
      <c r="F23" s="50">
        <v>16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110</v>
      </c>
      <c r="N23" s="50">
        <v>0</v>
      </c>
      <c r="O23" s="15">
        <f t="shared" si="0"/>
        <v>45</v>
      </c>
      <c r="P23" s="15">
        <f t="shared" si="1"/>
        <v>155</v>
      </c>
      <c r="R23" s="38" t="s">
        <v>91</v>
      </c>
      <c r="S23" s="39">
        <f>MAX(S13:S18)</f>
        <v>121</v>
      </c>
      <c r="T23" s="39">
        <f t="shared" ref="T23:AF23" si="15">MAX(T13:T18)</f>
        <v>54</v>
      </c>
      <c r="U23" s="39">
        <f t="shared" si="15"/>
        <v>20</v>
      </c>
      <c r="V23" s="39">
        <f t="shared" si="15"/>
        <v>83</v>
      </c>
      <c r="W23" s="39">
        <f t="shared" si="15"/>
        <v>18</v>
      </c>
      <c r="X23" s="39">
        <f t="shared" si="15"/>
        <v>3</v>
      </c>
      <c r="Y23" s="39">
        <f t="shared" si="15"/>
        <v>66</v>
      </c>
      <c r="Z23" s="39">
        <f t="shared" si="15"/>
        <v>17</v>
      </c>
      <c r="AA23" s="39">
        <f t="shared" si="15"/>
        <v>3</v>
      </c>
      <c r="AB23" s="39">
        <f t="shared" si="15"/>
        <v>2</v>
      </c>
      <c r="AC23" s="39">
        <f t="shared" si="15"/>
        <v>578</v>
      </c>
      <c r="AD23" s="39">
        <f t="shared" si="15"/>
        <v>0</v>
      </c>
      <c r="AE23" s="40">
        <f t="shared" si="15"/>
        <v>321</v>
      </c>
      <c r="AF23" s="40">
        <f t="shared" si="15"/>
        <v>899</v>
      </c>
    </row>
    <row r="24" spans="2:32" ht="23.1" customHeight="1" x14ac:dyDescent="0.25">
      <c r="B24" s="23" t="s">
        <v>51</v>
      </c>
      <c r="C24" s="50">
        <v>11</v>
      </c>
      <c r="D24" s="50">
        <v>9</v>
      </c>
      <c r="E24" s="50">
        <v>2</v>
      </c>
      <c r="F24" s="50">
        <v>15</v>
      </c>
      <c r="G24" s="50">
        <v>0</v>
      </c>
      <c r="H24" s="50">
        <v>0</v>
      </c>
      <c r="I24" s="50">
        <v>3</v>
      </c>
      <c r="J24" s="50">
        <v>5</v>
      </c>
      <c r="K24" s="50">
        <v>0</v>
      </c>
      <c r="L24" s="50">
        <v>0</v>
      </c>
      <c r="M24" s="50">
        <v>101</v>
      </c>
      <c r="N24" s="50">
        <v>0</v>
      </c>
      <c r="O24" s="15">
        <f t="shared" si="0"/>
        <v>45</v>
      </c>
      <c r="P24" s="15">
        <f t="shared" si="1"/>
        <v>146</v>
      </c>
      <c r="R24" s="38" t="s">
        <v>92</v>
      </c>
      <c r="S24" s="39">
        <f>MAX(S19:S21)</f>
        <v>151</v>
      </c>
      <c r="T24" s="39">
        <f t="shared" ref="T24:AF24" si="16">MAX(T19:T21)</f>
        <v>55</v>
      </c>
      <c r="U24" s="39">
        <f t="shared" si="16"/>
        <v>24</v>
      </c>
      <c r="V24" s="39">
        <f t="shared" si="16"/>
        <v>73</v>
      </c>
      <c r="W24" s="39">
        <f t="shared" si="16"/>
        <v>5</v>
      </c>
      <c r="X24" s="39">
        <f t="shared" si="16"/>
        <v>0</v>
      </c>
      <c r="Y24" s="39">
        <f t="shared" si="16"/>
        <v>21</v>
      </c>
      <c r="Z24" s="39">
        <f t="shared" si="16"/>
        <v>13</v>
      </c>
      <c r="AA24" s="39">
        <f t="shared" si="16"/>
        <v>2</v>
      </c>
      <c r="AB24" s="39">
        <f t="shared" si="16"/>
        <v>3</v>
      </c>
      <c r="AC24" s="39">
        <f t="shared" si="16"/>
        <v>632</v>
      </c>
      <c r="AD24" s="39">
        <f t="shared" si="16"/>
        <v>0</v>
      </c>
      <c r="AE24" s="40">
        <f t="shared" si="16"/>
        <v>313</v>
      </c>
      <c r="AF24" s="40">
        <f t="shared" si="16"/>
        <v>919</v>
      </c>
    </row>
    <row r="25" spans="2:32" ht="23.1" customHeight="1" x14ac:dyDescent="0.25">
      <c r="B25" s="23" t="s">
        <v>52</v>
      </c>
      <c r="C25" s="50">
        <v>21</v>
      </c>
      <c r="D25" s="50">
        <v>8</v>
      </c>
      <c r="E25" s="50">
        <v>3</v>
      </c>
      <c r="F25" s="50">
        <v>16</v>
      </c>
      <c r="G25" s="50">
        <v>0</v>
      </c>
      <c r="H25" s="50">
        <v>0</v>
      </c>
      <c r="I25" s="50">
        <v>4</v>
      </c>
      <c r="J25" s="50">
        <v>3</v>
      </c>
      <c r="K25" s="50">
        <v>0</v>
      </c>
      <c r="L25" s="50">
        <v>0</v>
      </c>
      <c r="M25" s="50">
        <v>105</v>
      </c>
      <c r="N25" s="50">
        <v>0</v>
      </c>
      <c r="O25" s="15">
        <f t="shared" si="0"/>
        <v>55</v>
      </c>
      <c r="P25" s="15">
        <f t="shared" si="1"/>
        <v>160</v>
      </c>
      <c r="R25" s="37" t="s">
        <v>85</v>
      </c>
      <c r="S25" s="35">
        <f t="shared" ref="S25:AF25" si="17">SUM(S10:S12)</f>
        <v>171</v>
      </c>
      <c r="T25" s="16">
        <f t="shared" si="17"/>
        <v>93</v>
      </c>
      <c r="U25" s="16">
        <f t="shared" si="17"/>
        <v>50</v>
      </c>
      <c r="V25" s="16">
        <f t="shared" si="17"/>
        <v>193</v>
      </c>
      <c r="W25" s="16">
        <f t="shared" si="17"/>
        <v>4</v>
      </c>
      <c r="X25" s="16">
        <f t="shared" si="17"/>
        <v>5</v>
      </c>
      <c r="Y25" s="16">
        <f t="shared" si="17"/>
        <v>64</v>
      </c>
      <c r="Z25" s="16">
        <f t="shared" si="17"/>
        <v>19</v>
      </c>
      <c r="AA25" s="16">
        <f t="shared" si="17"/>
        <v>3</v>
      </c>
      <c r="AB25" s="16">
        <f t="shared" si="17"/>
        <v>0</v>
      </c>
      <c r="AC25" s="16">
        <f t="shared" si="17"/>
        <v>1292</v>
      </c>
      <c r="AD25" s="16">
        <f t="shared" si="17"/>
        <v>0</v>
      </c>
      <c r="AE25" s="32">
        <f t="shared" si="17"/>
        <v>602</v>
      </c>
      <c r="AF25" s="32">
        <f t="shared" si="17"/>
        <v>1894</v>
      </c>
    </row>
    <row r="26" spans="2:32" ht="23.1" customHeight="1" x14ac:dyDescent="0.25">
      <c r="B26" s="23" t="s">
        <v>53</v>
      </c>
      <c r="C26" s="50">
        <v>15</v>
      </c>
      <c r="D26" s="50">
        <v>18</v>
      </c>
      <c r="E26" s="50">
        <v>7</v>
      </c>
      <c r="F26" s="50">
        <v>17</v>
      </c>
      <c r="G26" s="50">
        <v>1</v>
      </c>
      <c r="H26" s="50">
        <v>1</v>
      </c>
      <c r="I26" s="50">
        <v>5</v>
      </c>
      <c r="J26" s="50">
        <v>3</v>
      </c>
      <c r="K26" s="50">
        <v>0</v>
      </c>
      <c r="L26" s="50">
        <v>0</v>
      </c>
      <c r="M26" s="50">
        <v>110</v>
      </c>
      <c r="N26" s="50">
        <v>0</v>
      </c>
      <c r="O26" s="15">
        <f t="shared" si="0"/>
        <v>67</v>
      </c>
      <c r="P26" s="15">
        <f t="shared" si="1"/>
        <v>177</v>
      </c>
      <c r="R26" s="28" t="s">
        <v>86</v>
      </c>
      <c r="S26" s="16">
        <f t="shared" ref="S26:AF26" si="18">SUM(S13:S18)</f>
        <v>482</v>
      </c>
      <c r="T26" s="16">
        <f t="shared" si="18"/>
        <v>210</v>
      </c>
      <c r="U26" s="16">
        <f t="shared" si="18"/>
        <v>96</v>
      </c>
      <c r="V26" s="16">
        <f t="shared" si="18"/>
        <v>409</v>
      </c>
      <c r="W26" s="16">
        <f t="shared" si="18"/>
        <v>27</v>
      </c>
      <c r="X26" s="16">
        <f t="shared" si="18"/>
        <v>7</v>
      </c>
      <c r="Y26" s="16">
        <f t="shared" si="18"/>
        <v>164</v>
      </c>
      <c r="Z26" s="16">
        <f t="shared" si="18"/>
        <v>71</v>
      </c>
      <c r="AA26" s="16">
        <f t="shared" si="18"/>
        <v>7</v>
      </c>
      <c r="AB26" s="16">
        <f t="shared" si="18"/>
        <v>5</v>
      </c>
      <c r="AC26" s="16">
        <f t="shared" si="18"/>
        <v>2996</v>
      </c>
      <c r="AD26" s="16">
        <f t="shared" si="18"/>
        <v>0</v>
      </c>
      <c r="AE26" s="32">
        <f t="shared" si="18"/>
        <v>1478</v>
      </c>
      <c r="AF26" s="32">
        <f t="shared" si="18"/>
        <v>4474</v>
      </c>
    </row>
    <row r="27" spans="2:32" ht="23.1" customHeight="1" x14ac:dyDescent="0.25">
      <c r="B27" s="23" t="s">
        <v>54</v>
      </c>
      <c r="C27" s="50">
        <v>22</v>
      </c>
      <c r="D27" s="50">
        <v>9</v>
      </c>
      <c r="E27" s="50">
        <v>0</v>
      </c>
      <c r="F27" s="50">
        <v>16</v>
      </c>
      <c r="G27" s="50">
        <v>2</v>
      </c>
      <c r="H27" s="50">
        <v>1</v>
      </c>
      <c r="I27" s="50">
        <v>3</v>
      </c>
      <c r="J27" s="50">
        <v>2</v>
      </c>
      <c r="K27" s="50">
        <v>0</v>
      </c>
      <c r="L27" s="50">
        <v>0</v>
      </c>
      <c r="M27" s="50">
        <v>115</v>
      </c>
      <c r="N27" s="50">
        <v>0</v>
      </c>
      <c r="O27" s="15">
        <f t="shared" si="0"/>
        <v>55</v>
      </c>
      <c r="P27" s="15">
        <f t="shared" si="1"/>
        <v>170</v>
      </c>
      <c r="R27" s="29" t="s">
        <v>87</v>
      </c>
      <c r="S27" s="16">
        <f t="shared" ref="S27:AF27" si="19">SUM(S19:S21)</f>
        <v>348</v>
      </c>
      <c r="T27" s="16">
        <f t="shared" si="19"/>
        <v>131</v>
      </c>
      <c r="U27" s="16">
        <f t="shared" si="19"/>
        <v>63</v>
      </c>
      <c r="V27" s="16">
        <f t="shared" si="19"/>
        <v>192</v>
      </c>
      <c r="W27" s="16">
        <f t="shared" si="19"/>
        <v>7</v>
      </c>
      <c r="X27" s="16">
        <f t="shared" si="19"/>
        <v>0</v>
      </c>
      <c r="Y27" s="16">
        <f t="shared" si="19"/>
        <v>48</v>
      </c>
      <c r="Z27" s="16">
        <f t="shared" si="19"/>
        <v>29</v>
      </c>
      <c r="AA27" s="16">
        <f t="shared" si="19"/>
        <v>3</v>
      </c>
      <c r="AB27" s="16">
        <f t="shared" si="19"/>
        <v>3</v>
      </c>
      <c r="AC27" s="16">
        <f t="shared" si="19"/>
        <v>1590</v>
      </c>
      <c r="AD27" s="16">
        <f t="shared" si="19"/>
        <v>0</v>
      </c>
      <c r="AE27" s="32">
        <f t="shared" si="19"/>
        <v>824</v>
      </c>
      <c r="AF27" s="32">
        <f t="shared" si="19"/>
        <v>2414</v>
      </c>
    </row>
    <row r="28" spans="2:32" ht="23.1" customHeight="1" x14ac:dyDescent="0.25">
      <c r="B28" s="23" t="s">
        <v>55</v>
      </c>
      <c r="C28" s="50">
        <v>17</v>
      </c>
      <c r="D28" s="50">
        <v>11</v>
      </c>
      <c r="E28" s="50">
        <v>1</v>
      </c>
      <c r="F28" s="50">
        <v>18</v>
      </c>
      <c r="G28" s="50">
        <v>0</v>
      </c>
      <c r="H28" s="50">
        <v>0</v>
      </c>
      <c r="I28" s="50">
        <v>6</v>
      </c>
      <c r="J28" s="50">
        <v>1</v>
      </c>
      <c r="K28" s="50">
        <v>0</v>
      </c>
      <c r="L28" s="50">
        <v>0</v>
      </c>
      <c r="M28" s="50">
        <v>99</v>
      </c>
      <c r="N28" s="50">
        <v>0</v>
      </c>
      <c r="O28" s="15">
        <f t="shared" si="0"/>
        <v>54</v>
      </c>
      <c r="P28" s="15">
        <f t="shared" si="1"/>
        <v>153</v>
      </c>
      <c r="R28" s="5" t="s">
        <v>17</v>
      </c>
      <c r="S28" s="16">
        <f t="shared" ref="S28:AF28" si="20">SUM(S10:S21)</f>
        <v>1001</v>
      </c>
      <c r="T28" s="16">
        <f t="shared" si="20"/>
        <v>434</v>
      </c>
      <c r="U28" s="16">
        <f t="shared" si="20"/>
        <v>209</v>
      </c>
      <c r="V28" s="16">
        <f t="shared" si="20"/>
        <v>794</v>
      </c>
      <c r="W28" s="16">
        <f t="shared" si="20"/>
        <v>38</v>
      </c>
      <c r="X28" s="16">
        <f t="shared" si="20"/>
        <v>12</v>
      </c>
      <c r="Y28" s="16">
        <f t="shared" si="20"/>
        <v>276</v>
      </c>
      <c r="Z28" s="16">
        <f t="shared" si="20"/>
        <v>119</v>
      </c>
      <c r="AA28" s="16">
        <f t="shared" si="20"/>
        <v>13</v>
      </c>
      <c r="AB28" s="16">
        <f t="shared" si="20"/>
        <v>8</v>
      </c>
      <c r="AC28" s="16">
        <f t="shared" si="20"/>
        <v>5878</v>
      </c>
      <c r="AD28" s="16">
        <f t="shared" si="20"/>
        <v>0</v>
      </c>
      <c r="AE28" s="32">
        <f t="shared" si="20"/>
        <v>2904</v>
      </c>
      <c r="AF28" s="32">
        <f t="shared" si="20"/>
        <v>8782</v>
      </c>
    </row>
    <row r="29" spans="2:32" ht="23.1" customHeight="1" x14ac:dyDescent="0.25">
      <c r="B29" s="23" t="s">
        <v>56</v>
      </c>
      <c r="C29" s="50">
        <v>20</v>
      </c>
      <c r="D29" s="50">
        <v>16</v>
      </c>
      <c r="E29" s="50">
        <v>5</v>
      </c>
      <c r="F29" s="50">
        <v>23</v>
      </c>
      <c r="G29" s="50">
        <v>0</v>
      </c>
      <c r="H29" s="50">
        <v>0</v>
      </c>
      <c r="I29" s="50">
        <v>7</v>
      </c>
      <c r="J29" s="50">
        <v>6</v>
      </c>
      <c r="K29" s="50">
        <v>1</v>
      </c>
      <c r="L29" s="50">
        <v>0</v>
      </c>
      <c r="M29" s="50">
        <v>105</v>
      </c>
      <c r="N29" s="50">
        <v>0</v>
      </c>
      <c r="O29" s="15">
        <f t="shared" si="0"/>
        <v>78</v>
      </c>
      <c r="P29" s="15">
        <f t="shared" si="1"/>
        <v>183</v>
      </c>
      <c r="R29"/>
      <c r="S29" s="20"/>
      <c r="T29" s="19"/>
    </row>
    <row r="30" spans="2:32" ht="23.1" customHeight="1" x14ac:dyDescent="0.25">
      <c r="B30" s="23" t="s">
        <v>57</v>
      </c>
      <c r="C30" s="50">
        <v>21</v>
      </c>
      <c r="D30" s="50">
        <v>12</v>
      </c>
      <c r="E30" s="50">
        <v>2</v>
      </c>
      <c r="F30" s="50">
        <v>21</v>
      </c>
      <c r="G30" s="50">
        <v>17</v>
      </c>
      <c r="H30" s="50">
        <v>0</v>
      </c>
      <c r="I30" s="50">
        <v>5</v>
      </c>
      <c r="J30" s="50">
        <v>3</v>
      </c>
      <c r="K30" s="50">
        <v>1</v>
      </c>
      <c r="L30" s="50">
        <v>0</v>
      </c>
      <c r="M30" s="50">
        <v>145</v>
      </c>
      <c r="N30" s="50">
        <v>0</v>
      </c>
      <c r="O30" s="15">
        <f t="shared" si="0"/>
        <v>82</v>
      </c>
      <c r="P30" s="15">
        <f t="shared" si="1"/>
        <v>227</v>
      </c>
    </row>
    <row r="31" spans="2:32" ht="23.1" customHeight="1" x14ac:dyDescent="0.25">
      <c r="B31" s="24" t="s">
        <v>58</v>
      </c>
      <c r="C31" s="50">
        <v>16</v>
      </c>
      <c r="D31" s="50">
        <v>8</v>
      </c>
      <c r="E31" s="50">
        <v>6</v>
      </c>
      <c r="F31" s="50">
        <v>17</v>
      </c>
      <c r="G31" s="50">
        <v>1</v>
      </c>
      <c r="H31" s="50">
        <v>0</v>
      </c>
      <c r="I31" s="50">
        <v>11</v>
      </c>
      <c r="J31" s="50">
        <v>7</v>
      </c>
      <c r="K31" s="50">
        <v>2</v>
      </c>
      <c r="L31" s="50">
        <v>0</v>
      </c>
      <c r="M31" s="50">
        <v>133</v>
      </c>
      <c r="N31" s="50">
        <v>0</v>
      </c>
      <c r="O31" s="15">
        <f t="shared" si="0"/>
        <v>68</v>
      </c>
      <c r="P31" s="15">
        <f t="shared" si="1"/>
        <v>201</v>
      </c>
    </row>
    <row r="32" spans="2:32" ht="23.1" customHeight="1" x14ac:dyDescent="0.25">
      <c r="B32" s="24" t="s">
        <v>59</v>
      </c>
      <c r="C32" s="50">
        <v>18</v>
      </c>
      <c r="D32" s="50">
        <v>7</v>
      </c>
      <c r="E32" s="50">
        <v>4</v>
      </c>
      <c r="F32" s="50">
        <v>25</v>
      </c>
      <c r="G32" s="50">
        <v>0</v>
      </c>
      <c r="H32" s="50">
        <v>1</v>
      </c>
      <c r="I32" s="50">
        <v>3</v>
      </c>
      <c r="J32" s="50">
        <v>2</v>
      </c>
      <c r="K32" s="50">
        <v>0</v>
      </c>
      <c r="L32" s="50">
        <v>0</v>
      </c>
      <c r="M32" s="50">
        <v>149</v>
      </c>
      <c r="N32" s="50">
        <v>0</v>
      </c>
      <c r="O32" s="15">
        <f t="shared" si="0"/>
        <v>60</v>
      </c>
      <c r="P32" s="15">
        <f t="shared" si="1"/>
        <v>209</v>
      </c>
    </row>
    <row r="33" spans="2:20" ht="23.1" customHeight="1" x14ac:dyDescent="0.25">
      <c r="B33" s="23" t="s">
        <v>60</v>
      </c>
      <c r="C33" s="50">
        <v>28</v>
      </c>
      <c r="D33" s="50">
        <v>8</v>
      </c>
      <c r="E33" s="50">
        <v>6</v>
      </c>
      <c r="F33" s="50">
        <v>20</v>
      </c>
      <c r="G33" s="50">
        <v>0</v>
      </c>
      <c r="H33" s="50">
        <v>0</v>
      </c>
      <c r="I33" s="50">
        <v>5</v>
      </c>
      <c r="J33" s="50">
        <v>5</v>
      </c>
      <c r="K33" s="50">
        <v>0</v>
      </c>
      <c r="L33" s="50">
        <v>1</v>
      </c>
      <c r="M33" s="50">
        <v>132</v>
      </c>
      <c r="N33" s="50">
        <v>0</v>
      </c>
      <c r="O33" s="15">
        <f t="shared" si="0"/>
        <v>73</v>
      </c>
      <c r="P33" s="15">
        <f t="shared" si="1"/>
        <v>205</v>
      </c>
    </row>
    <row r="34" spans="2:20" ht="23.1" customHeight="1" x14ac:dyDescent="0.25">
      <c r="B34" s="24" t="s">
        <v>61</v>
      </c>
      <c r="C34" s="50">
        <v>23</v>
      </c>
      <c r="D34" s="50">
        <v>12</v>
      </c>
      <c r="E34" s="50">
        <v>5</v>
      </c>
      <c r="F34" s="50">
        <v>14</v>
      </c>
      <c r="G34" s="50">
        <v>0</v>
      </c>
      <c r="H34" s="50">
        <v>0</v>
      </c>
      <c r="I34" s="50">
        <v>6</v>
      </c>
      <c r="J34" s="50">
        <v>1</v>
      </c>
      <c r="K34" s="50">
        <v>0</v>
      </c>
      <c r="L34" s="50">
        <v>2</v>
      </c>
      <c r="M34" s="50">
        <v>120</v>
      </c>
      <c r="N34" s="50">
        <v>0</v>
      </c>
      <c r="O34" s="15">
        <f t="shared" si="0"/>
        <v>63</v>
      </c>
      <c r="P34" s="15">
        <f t="shared" si="1"/>
        <v>183</v>
      </c>
    </row>
    <row r="35" spans="2:20" ht="23.1" customHeight="1" x14ac:dyDescent="0.25">
      <c r="B35" s="24" t="s">
        <v>62</v>
      </c>
      <c r="C35" s="50">
        <v>9</v>
      </c>
      <c r="D35" s="50">
        <v>9</v>
      </c>
      <c r="E35" s="50">
        <v>6</v>
      </c>
      <c r="F35" s="50">
        <v>9</v>
      </c>
      <c r="G35" s="50">
        <v>0</v>
      </c>
      <c r="H35" s="50">
        <v>0</v>
      </c>
      <c r="I35" s="50">
        <v>4</v>
      </c>
      <c r="J35" s="50">
        <v>3</v>
      </c>
      <c r="K35" s="50">
        <v>0</v>
      </c>
      <c r="L35" s="50">
        <v>0</v>
      </c>
      <c r="M35" s="50">
        <v>97</v>
      </c>
      <c r="N35" s="50">
        <v>0</v>
      </c>
      <c r="O35" s="15">
        <f t="shared" si="0"/>
        <v>40</v>
      </c>
      <c r="P35" s="15">
        <f t="shared" si="1"/>
        <v>137</v>
      </c>
    </row>
    <row r="36" spans="2:20" ht="23.1" customHeight="1" x14ac:dyDescent="0.25">
      <c r="B36" s="24" t="s">
        <v>63</v>
      </c>
      <c r="C36" s="50">
        <v>16</v>
      </c>
      <c r="D36" s="50">
        <v>10</v>
      </c>
      <c r="E36" s="50">
        <v>2</v>
      </c>
      <c r="F36" s="50">
        <v>13</v>
      </c>
      <c r="G36" s="50">
        <v>0</v>
      </c>
      <c r="H36" s="50">
        <v>0</v>
      </c>
      <c r="I36" s="50">
        <v>4</v>
      </c>
      <c r="J36" s="50">
        <v>1</v>
      </c>
      <c r="K36" s="50">
        <v>0</v>
      </c>
      <c r="L36" s="50">
        <v>0</v>
      </c>
      <c r="M36" s="50">
        <v>90</v>
      </c>
      <c r="N36" s="50">
        <v>0</v>
      </c>
      <c r="O36" s="15">
        <f t="shared" si="0"/>
        <v>46</v>
      </c>
      <c r="P36" s="15">
        <f t="shared" si="1"/>
        <v>136</v>
      </c>
    </row>
    <row r="37" spans="2:20" ht="23.1" customHeight="1" x14ac:dyDescent="0.25">
      <c r="B37" s="23" t="s">
        <v>64</v>
      </c>
      <c r="C37" s="50">
        <v>17</v>
      </c>
      <c r="D37" s="50">
        <v>8</v>
      </c>
      <c r="E37" s="50">
        <v>4</v>
      </c>
      <c r="F37" s="50">
        <v>18</v>
      </c>
      <c r="G37" s="50">
        <v>0</v>
      </c>
      <c r="H37" s="50">
        <v>1</v>
      </c>
      <c r="I37" s="50">
        <v>9</v>
      </c>
      <c r="J37" s="50">
        <v>4</v>
      </c>
      <c r="K37" s="50">
        <v>0</v>
      </c>
      <c r="L37" s="50">
        <v>0</v>
      </c>
      <c r="M37" s="50">
        <v>125</v>
      </c>
      <c r="N37" s="50">
        <v>0</v>
      </c>
      <c r="O37" s="15">
        <f t="shared" si="0"/>
        <v>61</v>
      </c>
      <c r="P37" s="15">
        <f t="shared" si="1"/>
        <v>186</v>
      </c>
    </row>
    <row r="38" spans="2:20" ht="23.1" customHeight="1" x14ac:dyDescent="0.25">
      <c r="B38" s="24" t="s">
        <v>65</v>
      </c>
      <c r="C38" s="50">
        <v>20</v>
      </c>
      <c r="D38" s="50">
        <v>8</v>
      </c>
      <c r="E38" s="50">
        <v>4</v>
      </c>
      <c r="F38" s="50">
        <v>16</v>
      </c>
      <c r="G38" s="50">
        <v>0</v>
      </c>
      <c r="H38" s="50">
        <v>3</v>
      </c>
      <c r="I38" s="50">
        <v>2</v>
      </c>
      <c r="J38" s="50">
        <v>7</v>
      </c>
      <c r="K38" s="50">
        <v>1</v>
      </c>
      <c r="L38" s="50">
        <v>0</v>
      </c>
      <c r="M38" s="50">
        <v>165</v>
      </c>
      <c r="N38" s="50">
        <v>0</v>
      </c>
      <c r="O38" s="15">
        <f t="shared" si="0"/>
        <v>61</v>
      </c>
      <c r="P38" s="15">
        <f t="shared" si="1"/>
        <v>226</v>
      </c>
    </row>
    <row r="39" spans="2:20" ht="23.1" customHeight="1" x14ac:dyDescent="0.25">
      <c r="B39" s="24" t="s">
        <v>66</v>
      </c>
      <c r="C39" s="50">
        <v>15</v>
      </c>
      <c r="D39" s="50">
        <v>10</v>
      </c>
      <c r="E39" s="50">
        <v>5</v>
      </c>
      <c r="F39" s="50">
        <v>14</v>
      </c>
      <c r="G39" s="50">
        <v>1</v>
      </c>
      <c r="H39" s="50">
        <v>0</v>
      </c>
      <c r="I39" s="50">
        <v>2</v>
      </c>
      <c r="J39" s="50">
        <v>0</v>
      </c>
      <c r="K39" s="50">
        <v>1</v>
      </c>
      <c r="L39" s="50">
        <v>1</v>
      </c>
      <c r="M39" s="50">
        <v>125</v>
      </c>
      <c r="N39" s="50">
        <v>0</v>
      </c>
      <c r="O39" s="15">
        <f t="shared" si="0"/>
        <v>49</v>
      </c>
      <c r="P39" s="15">
        <f t="shared" si="1"/>
        <v>174</v>
      </c>
    </row>
    <row r="40" spans="2:20" ht="23.1" customHeight="1" x14ac:dyDescent="0.25">
      <c r="B40" s="24" t="s">
        <v>67</v>
      </c>
      <c r="C40" s="50">
        <v>18</v>
      </c>
      <c r="D40" s="50">
        <v>6</v>
      </c>
      <c r="E40" s="50">
        <v>3</v>
      </c>
      <c r="F40" s="50">
        <v>11</v>
      </c>
      <c r="G40" s="50">
        <v>0</v>
      </c>
      <c r="H40" s="50">
        <v>0</v>
      </c>
      <c r="I40" s="50">
        <v>3</v>
      </c>
      <c r="J40" s="50">
        <v>5</v>
      </c>
      <c r="K40" s="50">
        <v>0</v>
      </c>
      <c r="L40" s="50">
        <v>0</v>
      </c>
      <c r="M40" s="50">
        <v>110</v>
      </c>
      <c r="N40" s="50">
        <v>0</v>
      </c>
      <c r="O40" s="15">
        <f t="shared" si="0"/>
        <v>46</v>
      </c>
      <c r="P40" s="15">
        <f t="shared" si="1"/>
        <v>156</v>
      </c>
    </row>
    <row r="41" spans="2:20" ht="23.1" customHeight="1" x14ac:dyDescent="0.25">
      <c r="B41" s="23" t="s">
        <v>68</v>
      </c>
      <c r="C41" s="50">
        <v>19</v>
      </c>
      <c r="D41" s="50">
        <v>4</v>
      </c>
      <c r="E41" s="50">
        <v>2</v>
      </c>
      <c r="F41" s="50">
        <v>17</v>
      </c>
      <c r="G41" s="50">
        <v>0</v>
      </c>
      <c r="H41" s="50">
        <v>0</v>
      </c>
      <c r="I41" s="50">
        <v>8</v>
      </c>
      <c r="J41" s="50">
        <v>4</v>
      </c>
      <c r="K41" s="50">
        <v>0</v>
      </c>
      <c r="L41" s="50">
        <v>0</v>
      </c>
      <c r="M41" s="50">
        <v>137</v>
      </c>
      <c r="N41" s="50">
        <v>0</v>
      </c>
      <c r="O41" s="15">
        <f t="shared" si="0"/>
        <v>54</v>
      </c>
      <c r="P41" s="15">
        <f t="shared" si="1"/>
        <v>191</v>
      </c>
    </row>
    <row r="42" spans="2:20" ht="23.1" customHeight="1" x14ac:dyDescent="0.25">
      <c r="B42" s="24" t="s">
        <v>69</v>
      </c>
      <c r="C42" s="50">
        <v>30</v>
      </c>
      <c r="D42" s="50">
        <v>3</v>
      </c>
      <c r="E42" s="50">
        <v>2</v>
      </c>
      <c r="F42" s="50">
        <v>18</v>
      </c>
      <c r="G42" s="50">
        <v>0</v>
      </c>
      <c r="H42" s="50">
        <v>0</v>
      </c>
      <c r="I42" s="50">
        <v>4</v>
      </c>
      <c r="J42" s="50">
        <v>4</v>
      </c>
      <c r="K42" s="50">
        <v>0</v>
      </c>
      <c r="L42" s="50">
        <v>0</v>
      </c>
      <c r="M42" s="50">
        <v>150</v>
      </c>
      <c r="N42" s="50">
        <v>0</v>
      </c>
      <c r="O42" s="15">
        <f t="shared" si="0"/>
        <v>61</v>
      </c>
      <c r="P42" s="15">
        <f t="shared" si="1"/>
        <v>211</v>
      </c>
    </row>
    <row r="43" spans="2:20" ht="23.1" customHeight="1" x14ac:dyDescent="0.25">
      <c r="B43" s="23" t="s">
        <v>70</v>
      </c>
      <c r="C43" s="50">
        <v>30</v>
      </c>
      <c r="D43" s="50">
        <v>7</v>
      </c>
      <c r="E43" s="50">
        <v>8</v>
      </c>
      <c r="F43" s="50">
        <v>17</v>
      </c>
      <c r="G43" s="50">
        <v>1</v>
      </c>
      <c r="H43" s="50">
        <v>0</v>
      </c>
      <c r="I43" s="50">
        <v>5</v>
      </c>
      <c r="J43" s="50">
        <v>2</v>
      </c>
      <c r="K43" s="50">
        <v>1</v>
      </c>
      <c r="L43" s="50">
        <v>0</v>
      </c>
      <c r="M43" s="50">
        <v>148</v>
      </c>
      <c r="N43" s="50">
        <v>0</v>
      </c>
      <c r="O43" s="15">
        <f t="shared" si="0"/>
        <v>71</v>
      </c>
      <c r="P43" s="15">
        <f t="shared" si="1"/>
        <v>219</v>
      </c>
    </row>
    <row r="44" spans="2:20" ht="23.1" customHeight="1" x14ac:dyDescent="0.25">
      <c r="B44" s="25" t="s">
        <v>71</v>
      </c>
      <c r="C44" s="50">
        <v>36</v>
      </c>
      <c r="D44" s="50">
        <v>6</v>
      </c>
      <c r="E44" s="50">
        <v>3</v>
      </c>
      <c r="F44" s="50">
        <v>14</v>
      </c>
      <c r="G44" s="50">
        <v>3</v>
      </c>
      <c r="H44" s="50">
        <v>0</v>
      </c>
      <c r="I44" s="50">
        <v>57</v>
      </c>
      <c r="J44" s="50">
        <v>2</v>
      </c>
      <c r="K44" s="50">
        <v>0</v>
      </c>
      <c r="L44" s="50">
        <v>0</v>
      </c>
      <c r="M44" s="50">
        <v>145</v>
      </c>
      <c r="N44" s="50">
        <v>0</v>
      </c>
      <c r="O44" s="15">
        <f t="shared" si="0"/>
        <v>121</v>
      </c>
      <c r="P44" s="15">
        <f t="shared" si="1"/>
        <v>266</v>
      </c>
    </row>
    <row r="45" spans="2:20" ht="23.1" customHeight="1" x14ac:dyDescent="0.25">
      <c r="B45" s="23" t="s">
        <v>72</v>
      </c>
      <c r="C45" s="50">
        <v>25</v>
      </c>
      <c r="D45" s="50">
        <v>7</v>
      </c>
      <c r="E45" s="50">
        <v>7</v>
      </c>
      <c r="F45" s="50">
        <v>26</v>
      </c>
      <c r="G45" s="50">
        <v>1</v>
      </c>
      <c r="H45" s="50">
        <v>0</v>
      </c>
      <c r="I45" s="50">
        <v>0</v>
      </c>
      <c r="J45" s="50">
        <v>1</v>
      </c>
      <c r="K45" s="50">
        <v>0</v>
      </c>
      <c r="L45" s="50">
        <v>1</v>
      </c>
      <c r="M45" s="50">
        <v>135</v>
      </c>
      <c r="N45" s="50">
        <v>0</v>
      </c>
      <c r="O45" s="15">
        <f t="shared" si="0"/>
        <v>68</v>
      </c>
      <c r="P45" s="15">
        <f t="shared" si="1"/>
        <v>203</v>
      </c>
    </row>
    <row r="46" spans="2:20" ht="23.1" customHeight="1" x14ac:dyDescent="0.25">
      <c r="B46" s="24" t="s">
        <v>73</v>
      </c>
      <c r="C46" s="50">
        <v>29</v>
      </c>
      <c r="D46" s="50">
        <v>10</v>
      </c>
      <c r="E46" s="50">
        <v>6</v>
      </c>
      <c r="F46" s="50">
        <v>20</v>
      </c>
      <c r="G46" s="50">
        <v>1</v>
      </c>
      <c r="H46" s="50">
        <v>0</v>
      </c>
      <c r="I46" s="50">
        <v>2</v>
      </c>
      <c r="J46" s="50">
        <v>5</v>
      </c>
      <c r="K46" s="50">
        <v>0</v>
      </c>
      <c r="L46" s="50">
        <v>0</v>
      </c>
      <c r="M46" s="50">
        <v>133</v>
      </c>
      <c r="N46" s="50">
        <v>0</v>
      </c>
      <c r="O46" s="15">
        <f t="shared" si="0"/>
        <v>73</v>
      </c>
      <c r="P46" s="15">
        <f t="shared" si="1"/>
        <v>206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7</v>
      </c>
      <c r="E47" s="50">
        <v>6</v>
      </c>
      <c r="F47" s="50">
        <v>16</v>
      </c>
      <c r="G47" s="50">
        <v>0</v>
      </c>
      <c r="H47" s="50">
        <v>0</v>
      </c>
      <c r="I47" s="50">
        <v>8</v>
      </c>
      <c r="J47" s="50">
        <v>6</v>
      </c>
      <c r="K47" s="50">
        <v>1</v>
      </c>
      <c r="L47" s="50">
        <v>0</v>
      </c>
      <c r="M47" s="50">
        <v>153</v>
      </c>
      <c r="N47" s="50">
        <v>0</v>
      </c>
      <c r="O47" s="15">
        <f t="shared" si="0"/>
        <v>64</v>
      </c>
      <c r="P47" s="15">
        <f t="shared" si="1"/>
        <v>217</v>
      </c>
      <c r="R47" s="8"/>
      <c r="T47"/>
    </row>
    <row r="48" spans="2:20" ht="23.1" customHeight="1" x14ac:dyDescent="0.25">
      <c r="B48" s="24" t="s">
        <v>75</v>
      </c>
      <c r="C48" s="50">
        <v>32</v>
      </c>
      <c r="D48" s="50">
        <v>8</v>
      </c>
      <c r="E48" s="50">
        <v>6</v>
      </c>
      <c r="F48" s="50">
        <v>16</v>
      </c>
      <c r="G48" s="50">
        <v>1</v>
      </c>
      <c r="H48" s="50">
        <v>0</v>
      </c>
      <c r="I48" s="50">
        <v>3</v>
      </c>
      <c r="J48" s="50">
        <v>1</v>
      </c>
      <c r="K48" s="50">
        <v>0</v>
      </c>
      <c r="L48" s="50">
        <v>0</v>
      </c>
      <c r="M48" s="50">
        <v>166</v>
      </c>
      <c r="N48" s="50">
        <v>0</v>
      </c>
      <c r="O48" s="15">
        <f t="shared" si="0"/>
        <v>67</v>
      </c>
      <c r="P48" s="15">
        <f t="shared" si="1"/>
        <v>233</v>
      </c>
      <c r="R48" s="8"/>
      <c r="T48"/>
    </row>
    <row r="49" spans="2:20" ht="23.1" customHeight="1" x14ac:dyDescent="0.25">
      <c r="B49" s="23" t="s">
        <v>76</v>
      </c>
      <c r="C49" s="50">
        <v>35</v>
      </c>
      <c r="D49" s="50">
        <v>11</v>
      </c>
      <c r="E49" s="50">
        <v>6</v>
      </c>
      <c r="F49" s="50">
        <v>21</v>
      </c>
      <c r="G49" s="50">
        <v>0</v>
      </c>
      <c r="H49" s="50">
        <v>0</v>
      </c>
      <c r="I49" s="50">
        <v>8</v>
      </c>
      <c r="J49" s="50">
        <v>1</v>
      </c>
      <c r="K49" s="50">
        <v>1</v>
      </c>
      <c r="L49" s="50">
        <v>0</v>
      </c>
      <c r="M49" s="50">
        <v>180</v>
      </c>
      <c r="N49" s="50">
        <v>0</v>
      </c>
      <c r="O49" s="15">
        <f t="shared" si="0"/>
        <v>83</v>
      </c>
      <c r="P49" s="15">
        <f t="shared" si="1"/>
        <v>263</v>
      </c>
      <c r="R49" s="8"/>
      <c r="T49"/>
    </row>
    <row r="50" spans="2:20" ht="23.1" customHeight="1" x14ac:dyDescent="0.25">
      <c r="B50" s="24" t="s">
        <v>77</v>
      </c>
      <c r="C50" s="50">
        <v>46</v>
      </c>
      <c r="D50" s="50">
        <v>10</v>
      </c>
      <c r="E50" s="50">
        <v>4</v>
      </c>
      <c r="F50" s="50">
        <v>18</v>
      </c>
      <c r="G50" s="50">
        <v>0</v>
      </c>
      <c r="H50" s="50">
        <v>0</v>
      </c>
      <c r="I50" s="50">
        <v>8</v>
      </c>
      <c r="J50" s="50">
        <v>1</v>
      </c>
      <c r="K50" s="50">
        <v>0</v>
      </c>
      <c r="L50" s="50">
        <v>0</v>
      </c>
      <c r="M50" s="50">
        <v>140</v>
      </c>
      <c r="N50" s="50">
        <v>0</v>
      </c>
      <c r="O50" s="15">
        <f t="shared" si="0"/>
        <v>87</v>
      </c>
      <c r="P50" s="15">
        <f t="shared" si="1"/>
        <v>227</v>
      </c>
      <c r="R50" s="8"/>
      <c r="T50"/>
    </row>
    <row r="51" spans="2:20" ht="23.1" customHeight="1" x14ac:dyDescent="0.25">
      <c r="B51" s="24" t="s">
        <v>78</v>
      </c>
      <c r="C51" s="50">
        <v>35</v>
      </c>
      <c r="D51" s="50">
        <v>13</v>
      </c>
      <c r="E51" s="50">
        <v>7</v>
      </c>
      <c r="F51" s="50">
        <v>15</v>
      </c>
      <c r="G51" s="50">
        <v>0</v>
      </c>
      <c r="H51" s="50">
        <v>0</v>
      </c>
      <c r="I51" s="50">
        <v>4</v>
      </c>
      <c r="J51" s="50">
        <v>3</v>
      </c>
      <c r="K51" s="50">
        <v>0</v>
      </c>
      <c r="L51" s="50">
        <v>0</v>
      </c>
      <c r="M51" s="50">
        <v>123</v>
      </c>
      <c r="N51" s="50">
        <v>0</v>
      </c>
      <c r="O51" s="15">
        <f t="shared" si="0"/>
        <v>77</v>
      </c>
      <c r="P51" s="15">
        <f t="shared" si="1"/>
        <v>200</v>
      </c>
      <c r="R51" s="8"/>
      <c r="T51"/>
    </row>
    <row r="52" spans="2:20" ht="23.1" customHeight="1" x14ac:dyDescent="0.25">
      <c r="B52" s="24" t="s">
        <v>79</v>
      </c>
      <c r="C52" s="50">
        <v>41</v>
      </c>
      <c r="D52" s="50">
        <v>18</v>
      </c>
      <c r="E52" s="50">
        <v>6</v>
      </c>
      <c r="F52" s="50">
        <v>16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140</v>
      </c>
      <c r="N52" s="50">
        <v>0</v>
      </c>
      <c r="O52" s="15">
        <f t="shared" si="0"/>
        <v>84</v>
      </c>
      <c r="P52" s="15">
        <f t="shared" si="1"/>
        <v>224</v>
      </c>
      <c r="R52" s="8"/>
      <c r="T52"/>
    </row>
    <row r="53" spans="2:20" ht="23.1" customHeight="1" x14ac:dyDescent="0.25">
      <c r="B53" s="23" t="s">
        <v>80</v>
      </c>
      <c r="C53" s="50">
        <v>29</v>
      </c>
      <c r="D53" s="50">
        <v>14</v>
      </c>
      <c r="E53" s="50">
        <v>1</v>
      </c>
      <c r="F53" s="50">
        <v>13</v>
      </c>
      <c r="G53" s="50">
        <v>0</v>
      </c>
      <c r="H53" s="50">
        <v>0</v>
      </c>
      <c r="I53" s="50">
        <v>0</v>
      </c>
      <c r="J53" s="50">
        <v>8</v>
      </c>
      <c r="K53" s="50">
        <v>0</v>
      </c>
      <c r="L53" s="50">
        <v>0</v>
      </c>
      <c r="M53" s="50">
        <v>99</v>
      </c>
      <c r="N53" s="50">
        <v>0</v>
      </c>
      <c r="O53" s="15">
        <f t="shared" si="0"/>
        <v>65</v>
      </c>
      <c r="P53" s="15">
        <f t="shared" si="1"/>
        <v>164</v>
      </c>
      <c r="R53" s="8"/>
      <c r="T53"/>
    </row>
    <row r="54" spans="2:20" ht="23.1" customHeight="1" x14ac:dyDescent="0.25">
      <c r="B54" s="23" t="s">
        <v>81</v>
      </c>
      <c r="C54" s="50">
        <v>21</v>
      </c>
      <c r="D54" s="50">
        <v>11</v>
      </c>
      <c r="E54" s="50">
        <v>6</v>
      </c>
      <c r="F54" s="50">
        <v>16</v>
      </c>
      <c r="G54" s="50">
        <v>1</v>
      </c>
      <c r="H54" s="50">
        <v>0</v>
      </c>
      <c r="I54" s="50">
        <v>2</v>
      </c>
      <c r="J54" s="50">
        <v>2</v>
      </c>
      <c r="K54" s="50">
        <v>0</v>
      </c>
      <c r="L54" s="50">
        <v>1</v>
      </c>
      <c r="M54" s="50">
        <v>120</v>
      </c>
      <c r="N54" s="50">
        <v>0</v>
      </c>
      <c r="O54" s="15">
        <f t="shared" si="0"/>
        <v>60</v>
      </c>
      <c r="P54" s="15">
        <f t="shared" si="1"/>
        <v>180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9</v>
      </c>
      <c r="E55" s="50">
        <v>5</v>
      </c>
      <c r="F55" s="50">
        <v>21</v>
      </c>
      <c r="G55" s="50">
        <v>0</v>
      </c>
      <c r="H55" s="50">
        <v>0</v>
      </c>
      <c r="I55" s="50">
        <v>4</v>
      </c>
      <c r="J55" s="50">
        <v>1</v>
      </c>
      <c r="K55" s="50">
        <v>0</v>
      </c>
      <c r="L55" s="50">
        <v>1</v>
      </c>
      <c r="M55" s="50">
        <v>121</v>
      </c>
      <c r="N55" s="50">
        <v>0</v>
      </c>
      <c r="O55" s="15">
        <f t="shared" si="0"/>
        <v>59</v>
      </c>
      <c r="P55" s="15">
        <f t="shared" si="1"/>
        <v>180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8</v>
      </c>
      <c r="E56" s="50">
        <v>7</v>
      </c>
      <c r="F56" s="50">
        <v>9</v>
      </c>
      <c r="G56" s="50">
        <v>1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98</v>
      </c>
      <c r="N56" s="50">
        <v>0</v>
      </c>
      <c r="O56" s="15">
        <f t="shared" si="0"/>
        <v>47</v>
      </c>
      <c r="P56" s="15">
        <f t="shared" si="1"/>
        <v>145</v>
      </c>
      <c r="R56" s="8"/>
      <c r="T56"/>
    </row>
    <row r="57" spans="2:20" ht="23.1" customHeight="1" x14ac:dyDescent="0.25">
      <c r="B57" s="23" t="s">
        <v>84</v>
      </c>
      <c r="C57" s="50">
        <v>23</v>
      </c>
      <c r="D57" s="50">
        <v>12</v>
      </c>
      <c r="E57" s="50">
        <v>3</v>
      </c>
      <c r="F57" s="50">
        <v>11</v>
      </c>
      <c r="G57" s="50">
        <v>3</v>
      </c>
      <c r="H57" s="50">
        <v>0</v>
      </c>
      <c r="I57" s="50">
        <v>3</v>
      </c>
      <c r="J57" s="50">
        <v>1</v>
      </c>
      <c r="K57" s="50">
        <v>1</v>
      </c>
      <c r="L57" s="50">
        <v>1</v>
      </c>
      <c r="M57" s="50">
        <v>117</v>
      </c>
      <c r="N57" s="50">
        <v>0</v>
      </c>
      <c r="O57" s="15">
        <f t="shared" si="0"/>
        <v>58</v>
      </c>
      <c r="P57" s="15">
        <f t="shared" si="1"/>
        <v>175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1001</v>
      </c>
      <c r="D58" s="16">
        <f t="shared" si="21"/>
        <v>434</v>
      </c>
      <c r="E58" s="16">
        <f t="shared" si="21"/>
        <v>209</v>
      </c>
      <c r="F58" s="16">
        <f t="shared" si="21"/>
        <v>794</v>
      </c>
      <c r="G58" s="16">
        <f t="shared" si="21"/>
        <v>38</v>
      </c>
      <c r="H58" s="16">
        <f t="shared" si="21"/>
        <v>12</v>
      </c>
      <c r="I58" s="16">
        <f t="shared" si="21"/>
        <v>276</v>
      </c>
      <c r="J58" s="16">
        <f t="shared" si="21"/>
        <v>119</v>
      </c>
      <c r="K58" s="16">
        <f t="shared" si="21"/>
        <v>13</v>
      </c>
      <c r="L58" s="16">
        <f t="shared" si="21"/>
        <v>8</v>
      </c>
      <c r="M58" s="16">
        <f t="shared" si="21"/>
        <v>5878</v>
      </c>
      <c r="N58" s="16">
        <f t="shared" si="21"/>
        <v>0</v>
      </c>
      <c r="O58" s="16">
        <f t="shared" si="21"/>
        <v>2904</v>
      </c>
      <c r="P58" s="16">
        <f t="shared" si="21"/>
        <v>8782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0.11398314734684582</v>
      </c>
      <c r="D59" s="43">
        <f t="shared" si="22"/>
        <v>4.941926668184924E-2</v>
      </c>
      <c r="E59" s="43">
        <f t="shared" si="22"/>
        <v>2.3798679116374403E-2</v>
      </c>
      <c r="F59" s="43">
        <f t="shared" si="22"/>
        <v>9.0412206786608967E-2</v>
      </c>
      <c r="G59" s="43">
        <f t="shared" si="22"/>
        <v>4.3270325666135276E-3</v>
      </c>
      <c r="H59" s="43">
        <f t="shared" si="22"/>
        <v>1.3664313368253246E-3</v>
      </c>
      <c r="I59" s="43">
        <f t="shared" si="22"/>
        <v>3.1427920746982467E-2</v>
      </c>
      <c r="J59" s="43">
        <f t="shared" si="22"/>
        <v>1.3550444090184468E-2</v>
      </c>
      <c r="K59" s="43">
        <f t="shared" si="22"/>
        <v>1.4803006148941015E-3</v>
      </c>
      <c r="L59" s="43">
        <f t="shared" si="22"/>
        <v>9.1095422455021637E-4</v>
      </c>
      <c r="M59" s="43">
        <f t="shared" si="22"/>
        <v>0.66932361648827143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0.34469696969696972</v>
      </c>
      <c r="D60" s="44">
        <f t="shared" ref="D60:N60" si="23">D58/$O$58</f>
        <v>0.14944903581267219</v>
      </c>
      <c r="E60" s="44">
        <f t="shared" si="23"/>
        <v>7.1969696969696975E-2</v>
      </c>
      <c r="F60" s="44">
        <f t="shared" si="23"/>
        <v>0.27341597796143252</v>
      </c>
      <c r="G60" s="44">
        <f t="shared" si="23"/>
        <v>1.3085399449035813E-2</v>
      </c>
      <c r="H60" s="44">
        <f t="shared" si="23"/>
        <v>4.1322314049586778E-3</v>
      </c>
      <c r="I60" s="44">
        <f t="shared" si="23"/>
        <v>9.5041322314049589E-2</v>
      </c>
      <c r="J60" s="44">
        <f t="shared" si="23"/>
        <v>4.0977961432506885E-2</v>
      </c>
      <c r="K60" s="44">
        <f t="shared" si="23"/>
        <v>4.4765840220385676E-3</v>
      </c>
      <c r="L60" s="44">
        <f t="shared" si="23"/>
        <v>2.7548209366391185E-3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30" zoomScaleSheetLayoutView="30" workbookViewId="0">
      <selection activeCell="M54" sqref="M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'22.07 Nateete-Nakawuka'!C3:G3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Nakawuka-Nateete'!D5</f>
        <v>28.07.19</v>
      </c>
      <c r="E5" s="3"/>
      <c r="F5" s="41" t="s">
        <v>1</v>
      </c>
      <c r="G5" s="63" t="str">
        <f>'28.07 Nakawuka-Nateete'!G5:H5</f>
        <v>TAKUWA BEST FEEDS</v>
      </c>
      <c r="H5" s="64"/>
      <c r="I5" s="14"/>
      <c r="J5" s="2" t="s">
        <v>5</v>
      </c>
      <c r="K5" s="63" t="str">
        <f>'28.07 Nakawuka-Nateete'!K5:L5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'22.07 Nateete-Nakawuka'!D6:E6</f>
        <v>NATEETE</v>
      </c>
      <c r="E6" s="64"/>
      <c r="F6" s="2" t="s">
        <v>2</v>
      </c>
      <c r="G6" s="63" t="str">
        <f>'22.07 Nateete-Nakawuka'!G6:H6</f>
        <v>NAKAWUKA</v>
      </c>
      <c r="H6" s="64"/>
      <c r="J6" s="2" t="s">
        <v>21</v>
      </c>
      <c r="K6" s="63" t="str">
        <f>'28.07 Nakawuka-Nateete'!K6:L6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1</v>
      </c>
      <c r="E10" s="50">
        <v>1</v>
      </c>
      <c r="F10" s="50">
        <v>4</v>
      </c>
      <c r="G10" s="50">
        <v>0</v>
      </c>
      <c r="H10" s="50">
        <v>0</v>
      </c>
      <c r="I10" s="50">
        <v>4</v>
      </c>
      <c r="J10" s="50">
        <v>1</v>
      </c>
      <c r="K10" s="50">
        <v>0</v>
      </c>
      <c r="L10" s="50">
        <v>0</v>
      </c>
      <c r="M10" s="50">
        <v>64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78</v>
      </c>
      <c r="R10" s="1" t="s">
        <v>6</v>
      </c>
      <c r="S10" s="17">
        <f t="shared" ref="S10:AF10" si="2">SUM(C10:C13)</f>
        <v>20</v>
      </c>
      <c r="T10" s="17">
        <f t="shared" si="2"/>
        <v>6</v>
      </c>
      <c r="U10" s="17">
        <f t="shared" si="2"/>
        <v>6</v>
      </c>
      <c r="V10" s="17">
        <f t="shared" si="2"/>
        <v>26</v>
      </c>
      <c r="W10" s="17">
        <f t="shared" si="2"/>
        <v>1</v>
      </c>
      <c r="X10" s="17">
        <f t="shared" si="2"/>
        <v>0</v>
      </c>
      <c r="Y10" s="17">
        <f t="shared" si="2"/>
        <v>12</v>
      </c>
      <c r="Z10" s="17">
        <f t="shared" si="2"/>
        <v>6</v>
      </c>
      <c r="AA10" s="17">
        <f t="shared" si="2"/>
        <v>2</v>
      </c>
      <c r="AB10" s="17">
        <f t="shared" si="2"/>
        <v>1</v>
      </c>
      <c r="AC10" s="17">
        <f t="shared" si="2"/>
        <v>297</v>
      </c>
      <c r="AD10" s="17">
        <f t="shared" si="2"/>
        <v>0</v>
      </c>
      <c r="AE10" s="31">
        <f t="shared" si="2"/>
        <v>80</v>
      </c>
      <c r="AF10" s="31">
        <f t="shared" si="2"/>
        <v>377</v>
      </c>
    </row>
    <row r="11" spans="2:32" s="6" customFormat="1" ht="23.1" customHeight="1" x14ac:dyDescent="0.25">
      <c r="B11" s="23" t="s">
        <v>38</v>
      </c>
      <c r="C11" s="50">
        <v>8</v>
      </c>
      <c r="D11" s="50">
        <v>3</v>
      </c>
      <c r="E11" s="50">
        <v>1</v>
      </c>
      <c r="F11" s="50">
        <v>6</v>
      </c>
      <c r="G11" s="50">
        <v>1</v>
      </c>
      <c r="H11" s="50">
        <v>0</v>
      </c>
      <c r="I11" s="50">
        <v>3</v>
      </c>
      <c r="J11" s="50">
        <v>3</v>
      </c>
      <c r="K11" s="50">
        <v>2</v>
      </c>
      <c r="L11" s="50">
        <v>0</v>
      </c>
      <c r="M11" s="50">
        <v>79</v>
      </c>
      <c r="N11" s="50">
        <v>0</v>
      </c>
      <c r="O11" s="15">
        <f t="shared" si="0"/>
        <v>27</v>
      </c>
      <c r="P11" s="15">
        <f t="shared" si="1"/>
        <v>106</v>
      </c>
      <c r="R11" s="1" t="s">
        <v>7</v>
      </c>
      <c r="S11" s="17">
        <f t="shared" ref="S11:AF11" si="3">SUM(C14:C17)</f>
        <v>15</v>
      </c>
      <c r="T11" s="17">
        <f t="shared" si="3"/>
        <v>6</v>
      </c>
      <c r="U11" s="17">
        <f t="shared" si="3"/>
        <v>2</v>
      </c>
      <c r="V11" s="17">
        <f t="shared" si="3"/>
        <v>17</v>
      </c>
      <c r="W11" s="17">
        <f t="shared" si="3"/>
        <v>2</v>
      </c>
      <c r="X11" s="17">
        <f t="shared" si="3"/>
        <v>0</v>
      </c>
      <c r="Y11" s="17">
        <f t="shared" si="3"/>
        <v>10</v>
      </c>
      <c r="Z11" s="17">
        <f t="shared" si="3"/>
        <v>4</v>
      </c>
      <c r="AA11" s="17">
        <f t="shared" si="3"/>
        <v>0</v>
      </c>
      <c r="AB11" s="17">
        <f t="shared" si="3"/>
        <v>1</v>
      </c>
      <c r="AC11" s="17">
        <f t="shared" si="3"/>
        <v>294</v>
      </c>
      <c r="AD11" s="17">
        <f t="shared" si="3"/>
        <v>0</v>
      </c>
      <c r="AE11" s="31">
        <f t="shared" si="3"/>
        <v>57</v>
      </c>
      <c r="AF11" s="31">
        <f t="shared" si="3"/>
        <v>351</v>
      </c>
    </row>
    <row r="12" spans="2:32" ht="23.1" customHeight="1" x14ac:dyDescent="0.25">
      <c r="B12" s="23" t="s">
        <v>39</v>
      </c>
      <c r="C12" s="50">
        <v>4</v>
      </c>
      <c r="D12" s="50">
        <v>0</v>
      </c>
      <c r="E12" s="50">
        <v>3</v>
      </c>
      <c r="F12" s="50">
        <v>8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71</v>
      </c>
      <c r="N12" s="50">
        <v>0</v>
      </c>
      <c r="O12" s="15">
        <f t="shared" si="0"/>
        <v>17</v>
      </c>
      <c r="P12" s="15">
        <f t="shared" si="1"/>
        <v>88</v>
      </c>
      <c r="R12" s="1" t="s">
        <v>8</v>
      </c>
      <c r="S12" s="17">
        <f t="shared" ref="S12:AF12" si="4">SUM(C18:C21)</f>
        <v>55</v>
      </c>
      <c r="T12" s="17">
        <f t="shared" si="4"/>
        <v>7</v>
      </c>
      <c r="U12" s="17">
        <f t="shared" si="4"/>
        <v>3</v>
      </c>
      <c r="V12" s="17">
        <f t="shared" si="4"/>
        <v>40</v>
      </c>
      <c r="W12" s="17">
        <f t="shared" si="4"/>
        <v>1</v>
      </c>
      <c r="X12" s="17">
        <f t="shared" si="4"/>
        <v>1</v>
      </c>
      <c r="Y12" s="17">
        <f t="shared" si="4"/>
        <v>16</v>
      </c>
      <c r="Z12" s="17">
        <f t="shared" si="4"/>
        <v>5</v>
      </c>
      <c r="AA12" s="17">
        <f t="shared" si="4"/>
        <v>0</v>
      </c>
      <c r="AB12" s="17">
        <f t="shared" si="4"/>
        <v>1</v>
      </c>
      <c r="AC12" s="17">
        <f t="shared" si="4"/>
        <v>425</v>
      </c>
      <c r="AD12" s="17">
        <f t="shared" si="4"/>
        <v>0</v>
      </c>
      <c r="AE12" s="31">
        <f t="shared" si="4"/>
        <v>129</v>
      </c>
      <c r="AF12" s="31">
        <f t="shared" si="4"/>
        <v>554</v>
      </c>
    </row>
    <row r="13" spans="2:32" ht="23.1" customHeight="1" x14ac:dyDescent="0.25">
      <c r="B13" s="23" t="s">
        <v>40</v>
      </c>
      <c r="C13" s="50">
        <v>5</v>
      </c>
      <c r="D13" s="50">
        <v>2</v>
      </c>
      <c r="E13" s="50">
        <v>1</v>
      </c>
      <c r="F13" s="50">
        <v>8</v>
      </c>
      <c r="G13" s="50">
        <v>0</v>
      </c>
      <c r="H13" s="50">
        <v>0</v>
      </c>
      <c r="I13" s="50">
        <v>3</v>
      </c>
      <c r="J13" s="50">
        <v>2</v>
      </c>
      <c r="K13" s="50">
        <v>0</v>
      </c>
      <c r="L13" s="50">
        <v>1</v>
      </c>
      <c r="M13" s="50">
        <v>83</v>
      </c>
      <c r="N13" s="50">
        <v>0</v>
      </c>
      <c r="O13" s="15">
        <f t="shared" si="0"/>
        <v>22</v>
      </c>
      <c r="P13" s="15">
        <f t="shared" si="1"/>
        <v>105</v>
      </c>
      <c r="R13" s="1" t="s">
        <v>9</v>
      </c>
      <c r="S13" s="17">
        <f t="shared" ref="S13:AF13" si="5">SUM(C22:C25)</f>
        <v>71</v>
      </c>
      <c r="T13" s="17">
        <f t="shared" si="5"/>
        <v>8</v>
      </c>
      <c r="U13" s="17">
        <f t="shared" si="5"/>
        <v>2</v>
      </c>
      <c r="V13" s="17">
        <f t="shared" si="5"/>
        <v>48</v>
      </c>
      <c r="W13" s="17">
        <f t="shared" si="5"/>
        <v>0</v>
      </c>
      <c r="X13" s="17">
        <f t="shared" si="5"/>
        <v>1</v>
      </c>
      <c r="Y13" s="17">
        <f t="shared" si="5"/>
        <v>12</v>
      </c>
      <c r="Z13" s="17">
        <f t="shared" si="5"/>
        <v>6</v>
      </c>
      <c r="AA13" s="17">
        <f t="shared" si="5"/>
        <v>2</v>
      </c>
      <c r="AB13" s="17">
        <f t="shared" si="5"/>
        <v>1</v>
      </c>
      <c r="AC13" s="17">
        <f t="shared" si="5"/>
        <v>468</v>
      </c>
      <c r="AD13" s="17">
        <f t="shared" si="5"/>
        <v>0</v>
      </c>
      <c r="AE13" s="31">
        <f t="shared" si="5"/>
        <v>151</v>
      </c>
      <c r="AF13" s="31">
        <f t="shared" si="5"/>
        <v>619</v>
      </c>
    </row>
    <row r="14" spans="2:32" ht="23.1" customHeight="1" x14ac:dyDescent="0.25">
      <c r="B14" s="23" t="s">
        <v>41</v>
      </c>
      <c r="C14" s="50">
        <v>3</v>
      </c>
      <c r="D14" s="50">
        <v>2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49</v>
      </c>
      <c r="N14" s="50">
        <v>0</v>
      </c>
      <c r="O14" s="15">
        <f t="shared" si="0"/>
        <v>7</v>
      </c>
      <c r="P14" s="15">
        <f t="shared" si="1"/>
        <v>56</v>
      </c>
      <c r="R14" s="1" t="s">
        <v>10</v>
      </c>
      <c r="S14" s="17">
        <f t="shared" ref="S14:AF14" si="6">SUM(C26:C29)</f>
        <v>69</v>
      </c>
      <c r="T14" s="17">
        <f t="shared" si="6"/>
        <v>8</v>
      </c>
      <c r="U14" s="17">
        <f t="shared" si="6"/>
        <v>7</v>
      </c>
      <c r="V14" s="17">
        <f t="shared" si="6"/>
        <v>67</v>
      </c>
      <c r="W14" s="17">
        <f t="shared" si="6"/>
        <v>3</v>
      </c>
      <c r="X14" s="17">
        <f t="shared" si="6"/>
        <v>4</v>
      </c>
      <c r="Y14" s="17">
        <f t="shared" si="6"/>
        <v>16</v>
      </c>
      <c r="Z14" s="17">
        <f t="shared" si="6"/>
        <v>8</v>
      </c>
      <c r="AA14" s="17">
        <f t="shared" si="6"/>
        <v>3</v>
      </c>
      <c r="AB14" s="17">
        <f t="shared" si="6"/>
        <v>0</v>
      </c>
      <c r="AC14" s="17">
        <f t="shared" si="6"/>
        <v>402</v>
      </c>
      <c r="AD14" s="17">
        <f t="shared" si="6"/>
        <v>0</v>
      </c>
      <c r="AE14" s="31">
        <f t="shared" si="6"/>
        <v>185</v>
      </c>
      <c r="AF14" s="31">
        <f t="shared" si="6"/>
        <v>587</v>
      </c>
    </row>
    <row r="15" spans="2:32" ht="23.1" customHeight="1" x14ac:dyDescent="0.25">
      <c r="B15" s="23" t="s">
        <v>42</v>
      </c>
      <c r="C15" s="50">
        <v>2</v>
      </c>
      <c r="D15" s="50">
        <v>2</v>
      </c>
      <c r="E15" s="50">
        <v>1</v>
      </c>
      <c r="F15" s="50">
        <v>3</v>
      </c>
      <c r="G15" s="50">
        <v>0</v>
      </c>
      <c r="H15" s="50">
        <v>0</v>
      </c>
      <c r="I15" s="50">
        <v>6</v>
      </c>
      <c r="J15" s="50">
        <v>1</v>
      </c>
      <c r="K15" s="50">
        <v>0</v>
      </c>
      <c r="L15" s="50">
        <v>1</v>
      </c>
      <c r="M15" s="50">
        <v>83</v>
      </c>
      <c r="N15" s="50">
        <v>0</v>
      </c>
      <c r="O15" s="15">
        <f t="shared" si="0"/>
        <v>16</v>
      </c>
      <c r="P15" s="15">
        <f t="shared" si="1"/>
        <v>99</v>
      </c>
      <c r="R15" s="1" t="s">
        <v>11</v>
      </c>
      <c r="S15" s="17">
        <f t="shared" ref="S15:AF15" si="7">SUM(C30:C33)</f>
        <v>90</v>
      </c>
      <c r="T15" s="17">
        <f t="shared" si="7"/>
        <v>8</v>
      </c>
      <c r="U15" s="17">
        <f t="shared" si="7"/>
        <v>7</v>
      </c>
      <c r="V15" s="17">
        <f t="shared" si="7"/>
        <v>60</v>
      </c>
      <c r="W15" s="17">
        <f t="shared" si="7"/>
        <v>0</v>
      </c>
      <c r="X15" s="17">
        <f t="shared" si="7"/>
        <v>2</v>
      </c>
      <c r="Y15" s="17">
        <f t="shared" si="7"/>
        <v>11</v>
      </c>
      <c r="Z15" s="17">
        <f t="shared" si="7"/>
        <v>7</v>
      </c>
      <c r="AA15" s="17">
        <f t="shared" si="7"/>
        <v>1</v>
      </c>
      <c r="AB15" s="17">
        <f t="shared" si="7"/>
        <v>4</v>
      </c>
      <c r="AC15" s="17">
        <f t="shared" si="7"/>
        <v>371</v>
      </c>
      <c r="AD15" s="17">
        <f t="shared" si="7"/>
        <v>0</v>
      </c>
      <c r="AE15" s="31">
        <f t="shared" si="7"/>
        <v>190</v>
      </c>
      <c r="AF15" s="31">
        <f t="shared" si="7"/>
        <v>561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1</v>
      </c>
      <c r="F16" s="50">
        <v>14</v>
      </c>
      <c r="G16" s="50">
        <v>1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83</v>
      </c>
      <c r="N16" s="50">
        <v>0</v>
      </c>
      <c r="O16" s="15">
        <f t="shared" si="0"/>
        <v>23</v>
      </c>
      <c r="P16" s="15">
        <f t="shared" si="1"/>
        <v>106</v>
      </c>
      <c r="R16" s="1" t="s">
        <v>12</v>
      </c>
      <c r="S16" s="17">
        <f t="shared" ref="S16:AF16" si="8">SUM(C34:C37)</f>
        <v>84</v>
      </c>
      <c r="T16" s="17">
        <f t="shared" si="8"/>
        <v>8</v>
      </c>
      <c r="U16" s="17">
        <f t="shared" si="8"/>
        <v>10</v>
      </c>
      <c r="V16" s="17">
        <f t="shared" si="8"/>
        <v>75</v>
      </c>
      <c r="W16" s="17">
        <f t="shared" si="8"/>
        <v>4</v>
      </c>
      <c r="X16" s="17">
        <f t="shared" si="8"/>
        <v>2</v>
      </c>
      <c r="Y16" s="17">
        <f t="shared" si="8"/>
        <v>21</v>
      </c>
      <c r="Z16" s="17">
        <f t="shared" si="8"/>
        <v>7</v>
      </c>
      <c r="AA16" s="17">
        <f t="shared" si="8"/>
        <v>3</v>
      </c>
      <c r="AB16" s="17">
        <f t="shared" si="8"/>
        <v>0</v>
      </c>
      <c r="AC16" s="17">
        <f t="shared" si="8"/>
        <v>382</v>
      </c>
      <c r="AD16" s="17">
        <f t="shared" si="8"/>
        <v>0</v>
      </c>
      <c r="AE16" s="31">
        <f t="shared" si="8"/>
        <v>214</v>
      </c>
      <c r="AF16" s="31">
        <f t="shared" si="8"/>
        <v>596</v>
      </c>
    </row>
    <row r="17" spans="2:32" ht="23.1" customHeight="1" x14ac:dyDescent="0.25">
      <c r="B17" s="23" t="s">
        <v>44</v>
      </c>
      <c r="C17" s="50">
        <v>6</v>
      </c>
      <c r="D17" s="50">
        <v>2</v>
      </c>
      <c r="E17" s="50">
        <v>0</v>
      </c>
      <c r="F17" s="50">
        <v>0</v>
      </c>
      <c r="G17" s="50">
        <v>1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79</v>
      </c>
      <c r="N17" s="50">
        <v>0</v>
      </c>
      <c r="O17" s="15">
        <f t="shared" si="0"/>
        <v>11</v>
      </c>
      <c r="P17" s="15">
        <f t="shared" si="1"/>
        <v>90</v>
      </c>
      <c r="R17" s="1" t="s">
        <v>13</v>
      </c>
      <c r="S17" s="17">
        <f t="shared" ref="S17:AF17" si="9">SUM(C38:C41)</f>
        <v>158</v>
      </c>
      <c r="T17" s="17">
        <f t="shared" si="9"/>
        <v>31</v>
      </c>
      <c r="U17" s="17">
        <f t="shared" si="9"/>
        <v>15</v>
      </c>
      <c r="V17" s="17">
        <f t="shared" si="9"/>
        <v>88</v>
      </c>
      <c r="W17" s="17">
        <f t="shared" si="9"/>
        <v>4</v>
      </c>
      <c r="X17" s="17">
        <f t="shared" si="9"/>
        <v>5</v>
      </c>
      <c r="Y17" s="17">
        <f t="shared" si="9"/>
        <v>12</v>
      </c>
      <c r="Z17" s="17">
        <f t="shared" si="9"/>
        <v>10</v>
      </c>
      <c r="AA17" s="17">
        <f t="shared" si="9"/>
        <v>2</v>
      </c>
      <c r="AB17" s="17">
        <f t="shared" si="9"/>
        <v>4</v>
      </c>
      <c r="AC17" s="17">
        <f t="shared" si="9"/>
        <v>380</v>
      </c>
      <c r="AD17" s="17">
        <f t="shared" si="9"/>
        <v>0</v>
      </c>
      <c r="AE17" s="31">
        <f t="shared" si="9"/>
        <v>329</v>
      </c>
      <c r="AF17" s="31">
        <f t="shared" si="9"/>
        <v>709</v>
      </c>
    </row>
    <row r="18" spans="2:32" ht="23.1" customHeight="1" x14ac:dyDescent="0.25">
      <c r="B18" s="23" t="s">
        <v>45</v>
      </c>
      <c r="C18" s="50">
        <v>14</v>
      </c>
      <c r="D18" s="50">
        <v>2</v>
      </c>
      <c r="E18" s="50">
        <v>0</v>
      </c>
      <c r="F18" s="50">
        <v>8</v>
      </c>
      <c r="G18" s="50">
        <v>0</v>
      </c>
      <c r="H18" s="50">
        <v>1</v>
      </c>
      <c r="I18" s="50">
        <v>5</v>
      </c>
      <c r="J18" s="50">
        <v>2</v>
      </c>
      <c r="K18" s="50">
        <v>0</v>
      </c>
      <c r="L18" s="50">
        <v>1</v>
      </c>
      <c r="M18" s="50">
        <v>68</v>
      </c>
      <c r="N18" s="50">
        <v>0</v>
      </c>
      <c r="O18" s="15">
        <f t="shared" si="0"/>
        <v>33</v>
      </c>
      <c r="P18" s="15">
        <f t="shared" si="1"/>
        <v>101</v>
      </c>
      <c r="R18" s="1" t="s">
        <v>14</v>
      </c>
      <c r="S18" s="17">
        <f t="shared" ref="S18:AF18" si="10">SUM(C42:C45)</f>
        <v>82</v>
      </c>
      <c r="T18" s="17">
        <f t="shared" si="10"/>
        <v>8</v>
      </c>
      <c r="U18" s="17">
        <f t="shared" si="10"/>
        <v>4</v>
      </c>
      <c r="V18" s="17">
        <f t="shared" si="10"/>
        <v>74</v>
      </c>
      <c r="W18" s="17">
        <f t="shared" si="10"/>
        <v>1</v>
      </c>
      <c r="X18" s="17">
        <f t="shared" si="10"/>
        <v>4</v>
      </c>
      <c r="Y18" s="17">
        <f t="shared" si="10"/>
        <v>31</v>
      </c>
      <c r="Z18" s="17">
        <f t="shared" si="10"/>
        <v>5</v>
      </c>
      <c r="AA18" s="17">
        <f t="shared" si="10"/>
        <v>2</v>
      </c>
      <c r="AB18" s="17">
        <f t="shared" si="10"/>
        <v>0</v>
      </c>
      <c r="AC18" s="17">
        <f t="shared" si="10"/>
        <v>322</v>
      </c>
      <c r="AD18" s="17">
        <f t="shared" si="10"/>
        <v>0</v>
      </c>
      <c r="AE18" s="31">
        <f t="shared" si="10"/>
        <v>211</v>
      </c>
      <c r="AF18" s="31">
        <f t="shared" si="10"/>
        <v>533</v>
      </c>
    </row>
    <row r="19" spans="2:32" ht="23.1" customHeight="1" x14ac:dyDescent="0.25">
      <c r="B19" s="23" t="s">
        <v>46</v>
      </c>
      <c r="C19" s="50">
        <v>10</v>
      </c>
      <c r="D19" s="50">
        <v>1</v>
      </c>
      <c r="E19" s="50">
        <v>1</v>
      </c>
      <c r="F19" s="50">
        <v>3</v>
      </c>
      <c r="G19" s="50">
        <v>0</v>
      </c>
      <c r="H19" s="50">
        <v>0</v>
      </c>
      <c r="I19" s="50">
        <v>4</v>
      </c>
      <c r="J19" s="50">
        <v>1</v>
      </c>
      <c r="K19" s="50">
        <v>0</v>
      </c>
      <c r="L19" s="50">
        <v>0</v>
      </c>
      <c r="M19" s="50">
        <v>103</v>
      </c>
      <c r="N19" s="50">
        <v>0</v>
      </c>
      <c r="O19" s="15">
        <f t="shared" si="0"/>
        <v>20</v>
      </c>
      <c r="P19" s="15">
        <f t="shared" si="1"/>
        <v>123</v>
      </c>
      <c r="R19" s="1" t="s">
        <v>15</v>
      </c>
      <c r="S19" s="17">
        <f t="shared" ref="S19:AF19" si="11">SUM(C46:C49)</f>
        <v>112</v>
      </c>
      <c r="T19" s="17">
        <f t="shared" si="11"/>
        <v>13</v>
      </c>
      <c r="U19" s="17">
        <f t="shared" si="11"/>
        <v>5</v>
      </c>
      <c r="V19" s="17">
        <f t="shared" si="11"/>
        <v>87</v>
      </c>
      <c r="W19" s="17">
        <f t="shared" si="11"/>
        <v>3</v>
      </c>
      <c r="X19" s="17">
        <f t="shared" si="11"/>
        <v>4</v>
      </c>
      <c r="Y19" s="17">
        <f t="shared" si="11"/>
        <v>19</v>
      </c>
      <c r="Z19" s="17">
        <f t="shared" si="11"/>
        <v>5</v>
      </c>
      <c r="AA19" s="17">
        <f t="shared" si="11"/>
        <v>2</v>
      </c>
      <c r="AB19" s="17">
        <f t="shared" si="11"/>
        <v>0</v>
      </c>
      <c r="AC19" s="17">
        <f t="shared" si="11"/>
        <v>254</v>
      </c>
      <c r="AD19" s="17">
        <f t="shared" si="11"/>
        <v>0</v>
      </c>
      <c r="AE19" s="31">
        <f t="shared" si="11"/>
        <v>250</v>
      </c>
      <c r="AF19" s="31">
        <f t="shared" si="11"/>
        <v>504</v>
      </c>
    </row>
    <row r="20" spans="2:32" ht="23.1" customHeight="1" x14ac:dyDescent="0.25">
      <c r="B20" s="23" t="s">
        <v>47</v>
      </c>
      <c r="C20" s="50">
        <v>13</v>
      </c>
      <c r="D20" s="50">
        <v>1</v>
      </c>
      <c r="E20" s="50">
        <v>2</v>
      </c>
      <c r="F20" s="50">
        <v>15</v>
      </c>
      <c r="G20" s="50">
        <v>1</v>
      </c>
      <c r="H20" s="50">
        <v>0</v>
      </c>
      <c r="I20" s="50">
        <v>3</v>
      </c>
      <c r="J20" s="50">
        <v>1</v>
      </c>
      <c r="K20" s="50">
        <v>0</v>
      </c>
      <c r="L20" s="50">
        <v>0</v>
      </c>
      <c r="M20" s="50">
        <v>117</v>
      </c>
      <c r="N20" s="50">
        <v>0</v>
      </c>
      <c r="O20" s="15">
        <f t="shared" si="0"/>
        <v>36</v>
      </c>
      <c r="P20" s="15">
        <f t="shared" si="1"/>
        <v>153</v>
      </c>
      <c r="R20" s="1" t="s">
        <v>16</v>
      </c>
      <c r="S20" s="17">
        <f t="shared" ref="S20:AF20" si="12">SUM(C50:C53)</f>
        <v>80</v>
      </c>
      <c r="T20" s="17">
        <f t="shared" si="12"/>
        <v>16</v>
      </c>
      <c r="U20" s="17">
        <f t="shared" si="12"/>
        <v>7</v>
      </c>
      <c r="V20" s="17">
        <f t="shared" si="12"/>
        <v>75</v>
      </c>
      <c r="W20" s="17">
        <f t="shared" si="12"/>
        <v>6</v>
      </c>
      <c r="X20" s="17">
        <f t="shared" si="12"/>
        <v>1</v>
      </c>
      <c r="Y20" s="17">
        <f t="shared" si="12"/>
        <v>28</v>
      </c>
      <c r="Z20" s="17">
        <f t="shared" si="12"/>
        <v>8</v>
      </c>
      <c r="AA20" s="17">
        <f t="shared" si="12"/>
        <v>1</v>
      </c>
      <c r="AB20" s="17">
        <f t="shared" si="12"/>
        <v>0</v>
      </c>
      <c r="AC20" s="17">
        <f t="shared" si="12"/>
        <v>317</v>
      </c>
      <c r="AD20" s="17">
        <f t="shared" si="12"/>
        <v>0</v>
      </c>
      <c r="AE20" s="31">
        <f t="shared" si="12"/>
        <v>222</v>
      </c>
      <c r="AF20" s="31">
        <f t="shared" si="12"/>
        <v>539</v>
      </c>
    </row>
    <row r="21" spans="2:32" ht="23.1" customHeight="1" x14ac:dyDescent="0.25">
      <c r="B21" s="23" t="s">
        <v>48</v>
      </c>
      <c r="C21" s="50">
        <v>18</v>
      </c>
      <c r="D21" s="50">
        <v>3</v>
      </c>
      <c r="E21" s="50">
        <v>0</v>
      </c>
      <c r="F21" s="50">
        <v>14</v>
      </c>
      <c r="G21" s="50">
        <v>0</v>
      </c>
      <c r="H21" s="50">
        <v>0</v>
      </c>
      <c r="I21" s="50">
        <v>4</v>
      </c>
      <c r="J21" s="50">
        <v>1</v>
      </c>
      <c r="K21" s="50">
        <v>0</v>
      </c>
      <c r="L21" s="50">
        <v>0</v>
      </c>
      <c r="M21" s="50">
        <v>137</v>
      </c>
      <c r="N21" s="50">
        <v>0</v>
      </c>
      <c r="O21" s="15">
        <f t="shared" si="0"/>
        <v>40</v>
      </c>
      <c r="P21" s="15">
        <f t="shared" si="1"/>
        <v>177</v>
      </c>
      <c r="R21" s="36" t="s">
        <v>20</v>
      </c>
      <c r="S21" s="34">
        <f t="shared" ref="S21:AF21" si="13">SUM(C54:C57)</f>
        <v>101</v>
      </c>
      <c r="T21" s="17">
        <f t="shared" si="13"/>
        <v>16</v>
      </c>
      <c r="U21" s="17">
        <f t="shared" si="13"/>
        <v>10</v>
      </c>
      <c r="V21" s="17">
        <f t="shared" si="13"/>
        <v>94</v>
      </c>
      <c r="W21" s="17">
        <f t="shared" si="13"/>
        <v>8</v>
      </c>
      <c r="X21" s="17">
        <f t="shared" si="13"/>
        <v>2</v>
      </c>
      <c r="Y21" s="17">
        <f t="shared" si="13"/>
        <v>20</v>
      </c>
      <c r="Z21" s="17">
        <f t="shared" si="13"/>
        <v>4</v>
      </c>
      <c r="AA21" s="17">
        <f t="shared" si="13"/>
        <v>0</v>
      </c>
      <c r="AB21" s="17">
        <f t="shared" si="13"/>
        <v>2</v>
      </c>
      <c r="AC21" s="17">
        <f t="shared" si="13"/>
        <v>413</v>
      </c>
      <c r="AD21" s="17">
        <f t="shared" si="13"/>
        <v>0</v>
      </c>
      <c r="AE21" s="31">
        <f t="shared" si="13"/>
        <v>257</v>
      </c>
      <c r="AF21" s="31">
        <f t="shared" si="13"/>
        <v>670</v>
      </c>
    </row>
    <row r="22" spans="2:32" ht="23.1" customHeight="1" x14ac:dyDescent="0.25">
      <c r="B22" s="23" t="s">
        <v>49</v>
      </c>
      <c r="C22" s="50">
        <v>14</v>
      </c>
      <c r="D22" s="50">
        <v>4</v>
      </c>
      <c r="E22" s="50">
        <v>2</v>
      </c>
      <c r="F22" s="50">
        <v>22</v>
      </c>
      <c r="G22" s="50">
        <v>0</v>
      </c>
      <c r="H22" s="50">
        <v>0</v>
      </c>
      <c r="I22" s="50">
        <v>4</v>
      </c>
      <c r="J22" s="50">
        <v>2</v>
      </c>
      <c r="K22" s="50">
        <v>0</v>
      </c>
      <c r="L22" s="50">
        <v>0</v>
      </c>
      <c r="M22" s="50">
        <v>117</v>
      </c>
      <c r="N22" s="50">
        <v>0</v>
      </c>
      <c r="O22" s="15">
        <f t="shared" si="0"/>
        <v>48</v>
      </c>
      <c r="P22" s="15">
        <f t="shared" si="1"/>
        <v>165</v>
      </c>
      <c r="R22" s="38" t="s">
        <v>90</v>
      </c>
      <c r="S22" s="39">
        <f>MAX(S10:S12)</f>
        <v>55</v>
      </c>
      <c r="T22" s="39">
        <f t="shared" ref="T22:AF22" si="14">MAX(T10:T12)</f>
        <v>7</v>
      </c>
      <c r="U22" s="39">
        <f t="shared" si="14"/>
        <v>6</v>
      </c>
      <c r="V22" s="39">
        <f t="shared" si="14"/>
        <v>40</v>
      </c>
      <c r="W22" s="39">
        <f t="shared" si="14"/>
        <v>2</v>
      </c>
      <c r="X22" s="39">
        <f t="shared" si="14"/>
        <v>1</v>
      </c>
      <c r="Y22" s="39">
        <f t="shared" si="14"/>
        <v>16</v>
      </c>
      <c r="Z22" s="39">
        <f t="shared" si="14"/>
        <v>6</v>
      </c>
      <c r="AA22" s="39">
        <f t="shared" si="14"/>
        <v>2</v>
      </c>
      <c r="AB22" s="39">
        <f t="shared" si="14"/>
        <v>1</v>
      </c>
      <c r="AC22" s="39">
        <f t="shared" si="14"/>
        <v>425</v>
      </c>
      <c r="AD22" s="39">
        <f t="shared" si="14"/>
        <v>0</v>
      </c>
      <c r="AE22" s="40">
        <f t="shared" si="14"/>
        <v>129</v>
      </c>
      <c r="AF22" s="40">
        <f t="shared" si="14"/>
        <v>554</v>
      </c>
    </row>
    <row r="23" spans="2:32" ht="23.1" customHeight="1" x14ac:dyDescent="0.25">
      <c r="B23" s="23" t="s">
        <v>50</v>
      </c>
      <c r="C23" s="50">
        <v>12</v>
      </c>
      <c r="D23" s="50">
        <v>4</v>
      </c>
      <c r="E23" s="50">
        <v>0</v>
      </c>
      <c r="F23" s="50">
        <v>12</v>
      </c>
      <c r="G23" s="50">
        <v>0</v>
      </c>
      <c r="H23" s="50">
        <v>0</v>
      </c>
      <c r="I23" s="50">
        <v>4</v>
      </c>
      <c r="J23" s="50">
        <v>3</v>
      </c>
      <c r="K23" s="50">
        <v>0</v>
      </c>
      <c r="L23" s="50">
        <v>0</v>
      </c>
      <c r="M23" s="50">
        <v>114</v>
      </c>
      <c r="N23" s="50">
        <v>0</v>
      </c>
      <c r="O23" s="15">
        <f t="shared" si="0"/>
        <v>35</v>
      </c>
      <c r="P23" s="15">
        <f t="shared" si="1"/>
        <v>149</v>
      </c>
      <c r="R23" s="38" t="s">
        <v>91</v>
      </c>
      <c r="S23" s="39">
        <f>MAX(S13:S18)</f>
        <v>158</v>
      </c>
      <c r="T23" s="39">
        <f t="shared" ref="T23:AF23" si="15">MAX(T13:T18)</f>
        <v>31</v>
      </c>
      <c r="U23" s="39">
        <f t="shared" si="15"/>
        <v>15</v>
      </c>
      <c r="V23" s="39">
        <f t="shared" si="15"/>
        <v>88</v>
      </c>
      <c r="W23" s="39">
        <f t="shared" si="15"/>
        <v>4</v>
      </c>
      <c r="X23" s="39">
        <f t="shared" si="15"/>
        <v>5</v>
      </c>
      <c r="Y23" s="39">
        <f t="shared" si="15"/>
        <v>31</v>
      </c>
      <c r="Z23" s="39">
        <f t="shared" si="15"/>
        <v>10</v>
      </c>
      <c r="AA23" s="39">
        <f t="shared" si="15"/>
        <v>3</v>
      </c>
      <c r="AB23" s="39">
        <f t="shared" si="15"/>
        <v>4</v>
      </c>
      <c r="AC23" s="39">
        <f t="shared" si="15"/>
        <v>468</v>
      </c>
      <c r="AD23" s="39">
        <f t="shared" si="15"/>
        <v>0</v>
      </c>
      <c r="AE23" s="40">
        <f t="shared" si="15"/>
        <v>329</v>
      </c>
      <c r="AF23" s="40">
        <f t="shared" si="15"/>
        <v>709</v>
      </c>
    </row>
    <row r="24" spans="2:32" ht="23.1" customHeight="1" x14ac:dyDescent="0.25">
      <c r="B24" s="23" t="s">
        <v>51</v>
      </c>
      <c r="C24" s="50">
        <v>30</v>
      </c>
      <c r="D24" s="50">
        <v>0</v>
      </c>
      <c r="E24" s="50">
        <v>0</v>
      </c>
      <c r="F24" s="50">
        <v>6</v>
      </c>
      <c r="G24" s="50">
        <v>0</v>
      </c>
      <c r="H24" s="50">
        <v>1</v>
      </c>
      <c r="I24" s="50">
        <v>4</v>
      </c>
      <c r="J24" s="50">
        <v>1</v>
      </c>
      <c r="K24" s="50">
        <v>2</v>
      </c>
      <c r="L24" s="50">
        <v>1</v>
      </c>
      <c r="M24" s="50">
        <v>110</v>
      </c>
      <c r="N24" s="50">
        <v>0</v>
      </c>
      <c r="O24" s="15">
        <f t="shared" si="0"/>
        <v>45</v>
      </c>
      <c r="P24" s="15">
        <f t="shared" si="1"/>
        <v>155</v>
      </c>
      <c r="R24" s="38" t="s">
        <v>92</v>
      </c>
      <c r="S24" s="39">
        <f>MAX(S19:S21)</f>
        <v>112</v>
      </c>
      <c r="T24" s="39">
        <f t="shared" ref="T24:AF24" si="16">MAX(T19:T21)</f>
        <v>16</v>
      </c>
      <c r="U24" s="39">
        <f t="shared" si="16"/>
        <v>10</v>
      </c>
      <c r="V24" s="39">
        <f t="shared" si="16"/>
        <v>94</v>
      </c>
      <c r="W24" s="39">
        <f t="shared" si="16"/>
        <v>8</v>
      </c>
      <c r="X24" s="39">
        <f t="shared" si="16"/>
        <v>4</v>
      </c>
      <c r="Y24" s="39">
        <f t="shared" si="16"/>
        <v>28</v>
      </c>
      <c r="Z24" s="39">
        <f t="shared" si="16"/>
        <v>8</v>
      </c>
      <c r="AA24" s="39">
        <f t="shared" si="16"/>
        <v>2</v>
      </c>
      <c r="AB24" s="39">
        <f t="shared" si="16"/>
        <v>2</v>
      </c>
      <c r="AC24" s="39">
        <f t="shared" si="16"/>
        <v>413</v>
      </c>
      <c r="AD24" s="39">
        <f t="shared" si="16"/>
        <v>0</v>
      </c>
      <c r="AE24" s="40">
        <f t="shared" si="16"/>
        <v>257</v>
      </c>
      <c r="AF24" s="40">
        <f t="shared" si="16"/>
        <v>670</v>
      </c>
    </row>
    <row r="25" spans="2:32" ht="23.1" customHeight="1" x14ac:dyDescent="0.25">
      <c r="B25" s="23" t="s">
        <v>52</v>
      </c>
      <c r="C25" s="50">
        <v>15</v>
      </c>
      <c r="D25" s="50">
        <v>0</v>
      </c>
      <c r="E25" s="50">
        <v>0</v>
      </c>
      <c r="F25" s="50">
        <v>8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127</v>
      </c>
      <c r="N25" s="50">
        <v>0</v>
      </c>
      <c r="O25" s="15">
        <f t="shared" si="0"/>
        <v>23</v>
      </c>
      <c r="P25" s="15">
        <f t="shared" si="1"/>
        <v>150</v>
      </c>
      <c r="R25" s="37" t="s">
        <v>85</v>
      </c>
      <c r="S25" s="35">
        <f t="shared" ref="S25:AF25" si="17">SUM(S10:S12)</f>
        <v>90</v>
      </c>
      <c r="T25" s="16">
        <f t="shared" si="17"/>
        <v>19</v>
      </c>
      <c r="U25" s="16">
        <f t="shared" si="17"/>
        <v>11</v>
      </c>
      <c r="V25" s="16">
        <f t="shared" si="17"/>
        <v>83</v>
      </c>
      <c r="W25" s="16">
        <f t="shared" si="17"/>
        <v>4</v>
      </c>
      <c r="X25" s="16">
        <f t="shared" si="17"/>
        <v>1</v>
      </c>
      <c r="Y25" s="16">
        <f t="shared" si="17"/>
        <v>38</v>
      </c>
      <c r="Z25" s="16">
        <f t="shared" si="17"/>
        <v>15</v>
      </c>
      <c r="AA25" s="16">
        <f t="shared" si="17"/>
        <v>2</v>
      </c>
      <c r="AB25" s="16">
        <f t="shared" si="17"/>
        <v>3</v>
      </c>
      <c r="AC25" s="16">
        <f t="shared" si="17"/>
        <v>1016</v>
      </c>
      <c r="AD25" s="16">
        <f t="shared" si="17"/>
        <v>0</v>
      </c>
      <c r="AE25" s="32">
        <f t="shared" si="17"/>
        <v>266</v>
      </c>
      <c r="AF25" s="32">
        <f t="shared" si="17"/>
        <v>1282</v>
      </c>
    </row>
    <row r="26" spans="2:32" ht="23.1" customHeight="1" x14ac:dyDescent="0.25">
      <c r="B26" s="23" t="s">
        <v>53</v>
      </c>
      <c r="C26" s="50">
        <v>16</v>
      </c>
      <c r="D26" s="50">
        <v>2</v>
      </c>
      <c r="E26" s="50">
        <v>1</v>
      </c>
      <c r="F26" s="50">
        <v>9</v>
      </c>
      <c r="G26" s="50">
        <v>0</v>
      </c>
      <c r="H26" s="50">
        <v>1</v>
      </c>
      <c r="I26" s="50">
        <v>3</v>
      </c>
      <c r="J26" s="50">
        <v>3</v>
      </c>
      <c r="K26" s="50">
        <v>1</v>
      </c>
      <c r="L26" s="50">
        <v>0</v>
      </c>
      <c r="M26" s="50">
        <v>106</v>
      </c>
      <c r="N26" s="50">
        <v>0</v>
      </c>
      <c r="O26" s="15">
        <f t="shared" si="0"/>
        <v>36</v>
      </c>
      <c r="P26" s="15">
        <f t="shared" si="1"/>
        <v>142</v>
      </c>
      <c r="R26" s="28" t="s">
        <v>86</v>
      </c>
      <c r="S26" s="16">
        <f t="shared" ref="S26:AF26" si="18">SUM(S13:S18)</f>
        <v>554</v>
      </c>
      <c r="T26" s="16">
        <f t="shared" si="18"/>
        <v>71</v>
      </c>
      <c r="U26" s="16">
        <f t="shared" si="18"/>
        <v>45</v>
      </c>
      <c r="V26" s="16">
        <f t="shared" si="18"/>
        <v>412</v>
      </c>
      <c r="W26" s="16">
        <f t="shared" si="18"/>
        <v>12</v>
      </c>
      <c r="X26" s="16">
        <f t="shared" si="18"/>
        <v>18</v>
      </c>
      <c r="Y26" s="16">
        <f t="shared" si="18"/>
        <v>103</v>
      </c>
      <c r="Z26" s="16">
        <f t="shared" si="18"/>
        <v>43</v>
      </c>
      <c r="AA26" s="16">
        <f t="shared" si="18"/>
        <v>13</v>
      </c>
      <c r="AB26" s="16">
        <f t="shared" si="18"/>
        <v>9</v>
      </c>
      <c r="AC26" s="16">
        <f t="shared" si="18"/>
        <v>2325</v>
      </c>
      <c r="AD26" s="16">
        <f t="shared" si="18"/>
        <v>0</v>
      </c>
      <c r="AE26" s="32">
        <f t="shared" si="18"/>
        <v>1280</v>
      </c>
      <c r="AF26" s="32">
        <f t="shared" si="18"/>
        <v>3605</v>
      </c>
    </row>
    <row r="27" spans="2:32" ht="23.1" customHeight="1" x14ac:dyDescent="0.25">
      <c r="B27" s="23" t="s">
        <v>54</v>
      </c>
      <c r="C27" s="50">
        <v>4</v>
      </c>
      <c r="D27" s="50">
        <v>3</v>
      </c>
      <c r="E27" s="50">
        <v>2</v>
      </c>
      <c r="F27" s="50">
        <v>23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104</v>
      </c>
      <c r="N27" s="50">
        <v>0</v>
      </c>
      <c r="O27" s="15">
        <f t="shared" si="0"/>
        <v>35</v>
      </c>
      <c r="P27" s="15">
        <f t="shared" si="1"/>
        <v>139</v>
      </c>
      <c r="R27" s="29" t="s">
        <v>87</v>
      </c>
      <c r="S27" s="16">
        <f t="shared" ref="S27:AF27" si="19">SUM(S19:S21)</f>
        <v>293</v>
      </c>
      <c r="T27" s="16">
        <f t="shared" si="19"/>
        <v>45</v>
      </c>
      <c r="U27" s="16">
        <f t="shared" si="19"/>
        <v>22</v>
      </c>
      <c r="V27" s="16">
        <f t="shared" si="19"/>
        <v>256</v>
      </c>
      <c r="W27" s="16">
        <f t="shared" si="19"/>
        <v>17</v>
      </c>
      <c r="X27" s="16">
        <f t="shared" si="19"/>
        <v>7</v>
      </c>
      <c r="Y27" s="16">
        <f t="shared" si="19"/>
        <v>67</v>
      </c>
      <c r="Z27" s="16">
        <f t="shared" si="19"/>
        <v>17</v>
      </c>
      <c r="AA27" s="16">
        <f t="shared" si="19"/>
        <v>3</v>
      </c>
      <c r="AB27" s="16">
        <f t="shared" si="19"/>
        <v>2</v>
      </c>
      <c r="AC27" s="16">
        <f t="shared" si="19"/>
        <v>984</v>
      </c>
      <c r="AD27" s="16">
        <f t="shared" si="19"/>
        <v>0</v>
      </c>
      <c r="AE27" s="32">
        <f t="shared" si="19"/>
        <v>729</v>
      </c>
      <c r="AF27" s="32">
        <f t="shared" si="19"/>
        <v>1713</v>
      </c>
    </row>
    <row r="28" spans="2:32" ht="23.1" customHeight="1" x14ac:dyDescent="0.25">
      <c r="B28" s="23" t="s">
        <v>55</v>
      </c>
      <c r="C28" s="50">
        <v>28</v>
      </c>
      <c r="D28" s="50">
        <v>1</v>
      </c>
      <c r="E28" s="50">
        <v>1</v>
      </c>
      <c r="F28" s="50">
        <v>18</v>
      </c>
      <c r="G28" s="50">
        <v>2</v>
      </c>
      <c r="H28" s="50">
        <v>3</v>
      </c>
      <c r="I28" s="50">
        <v>8</v>
      </c>
      <c r="J28" s="50">
        <v>3</v>
      </c>
      <c r="K28" s="50">
        <v>2</v>
      </c>
      <c r="L28" s="50">
        <v>0</v>
      </c>
      <c r="M28" s="50">
        <v>94</v>
      </c>
      <c r="N28" s="50">
        <v>0</v>
      </c>
      <c r="O28" s="15">
        <f t="shared" si="0"/>
        <v>66</v>
      </c>
      <c r="P28" s="15">
        <f t="shared" si="1"/>
        <v>160</v>
      </c>
      <c r="R28" s="5" t="s">
        <v>17</v>
      </c>
      <c r="S28" s="16">
        <f t="shared" ref="S28:AF28" si="20">SUM(S10:S21)</f>
        <v>937</v>
      </c>
      <c r="T28" s="16">
        <f t="shared" si="20"/>
        <v>135</v>
      </c>
      <c r="U28" s="16">
        <f t="shared" si="20"/>
        <v>78</v>
      </c>
      <c r="V28" s="16">
        <f t="shared" si="20"/>
        <v>751</v>
      </c>
      <c r="W28" s="16">
        <f t="shared" si="20"/>
        <v>33</v>
      </c>
      <c r="X28" s="16">
        <f t="shared" si="20"/>
        <v>26</v>
      </c>
      <c r="Y28" s="16">
        <f t="shared" si="20"/>
        <v>208</v>
      </c>
      <c r="Z28" s="16">
        <f t="shared" si="20"/>
        <v>75</v>
      </c>
      <c r="AA28" s="16">
        <f t="shared" si="20"/>
        <v>18</v>
      </c>
      <c r="AB28" s="16">
        <f t="shared" si="20"/>
        <v>14</v>
      </c>
      <c r="AC28" s="16">
        <f t="shared" si="20"/>
        <v>4325</v>
      </c>
      <c r="AD28" s="16">
        <f t="shared" si="20"/>
        <v>0</v>
      </c>
      <c r="AE28" s="32">
        <f t="shared" si="20"/>
        <v>2275</v>
      </c>
      <c r="AF28" s="32">
        <f t="shared" si="20"/>
        <v>6600</v>
      </c>
    </row>
    <row r="29" spans="2:32" ht="23.1" customHeight="1" x14ac:dyDescent="0.25">
      <c r="B29" s="23" t="s">
        <v>56</v>
      </c>
      <c r="C29" s="50">
        <v>21</v>
      </c>
      <c r="D29" s="50">
        <v>2</v>
      </c>
      <c r="E29" s="50">
        <v>3</v>
      </c>
      <c r="F29" s="50">
        <v>17</v>
      </c>
      <c r="G29" s="50">
        <v>1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98</v>
      </c>
      <c r="N29" s="50">
        <v>0</v>
      </c>
      <c r="O29" s="15">
        <f t="shared" si="0"/>
        <v>48</v>
      </c>
      <c r="P29" s="15">
        <f t="shared" si="1"/>
        <v>146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4</v>
      </c>
      <c r="E30" s="50">
        <v>0</v>
      </c>
      <c r="F30" s="50">
        <v>14</v>
      </c>
      <c r="G30" s="50">
        <v>0</v>
      </c>
      <c r="H30" s="50">
        <v>1</v>
      </c>
      <c r="I30" s="50">
        <v>0</v>
      </c>
      <c r="J30" s="50">
        <v>5</v>
      </c>
      <c r="K30" s="50">
        <v>0</v>
      </c>
      <c r="L30" s="50">
        <v>0</v>
      </c>
      <c r="M30" s="50">
        <v>93</v>
      </c>
      <c r="N30" s="50">
        <v>0</v>
      </c>
      <c r="O30" s="15">
        <f t="shared" si="0"/>
        <v>51</v>
      </c>
      <c r="P30" s="15">
        <f t="shared" si="1"/>
        <v>144</v>
      </c>
    </row>
    <row r="31" spans="2:32" ht="23.1" customHeight="1" x14ac:dyDescent="0.25">
      <c r="B31" s="24" t="s">
        <v>58</v>
      </c>
      <c r="C31" s="50">
        <v>23</v>
      </c>
      <c r="D31" s="50">
        <v>2</v>
      </c>
      <c r="E31" s="50">
        <v>3</v>
      </c>
      <c r="F31" s="50">
        <v>21</v>
      </c>
      <c r="G31" s="50">
        <v>0</v>
      </c>
      <c r="H31" s="50">
        <v>0</v>
      </c>
      <c r="I31" s="50">
        <v>5</v>
      </c>
      <c r="J31" s="50">
        <v>2</v>
      </c>
      <c r="K31" s="50">
        <v>0</v>
      </c>
      <c r="L31" s="50">
        <v>0</v>
      </c>
      <c r="M31" s="50">
        <v>100</v>
      </c>
      <c r="N31" s="50">
        <v>0</v>
      </c>
      <c r="O31" s="15">
        <f t="shared" si="0"/>
        <v>56</v>
      </c>
      <c r="P31" s="15">
        <f t="shared" si="1"/>
        <v>156</v>
      </c>
    </row>
    <row r="32" spans="2:32" ht="23.1" customHeight="1" x14ac:dyDescent="0.25">
      <c r="B32" s="24" t="s">
        <v>59</v>
      </c>
      <c r="C32" s="50">
        <v>25</v>
      </c>
      <c r="D32" s="50">
        <v>2</v>
      </c>
      <c r="E32" s="50">
        <v>3</v>
      </c>
      <c r="F32" s="50">
        <v>11</v>
      </c>
      <c r="G32" s="50">
        <v>0</v>
      </c>
      <c r="H32" s="50">
        <v>1</v>
      </c>
      <c r="I32" s="50">
        <v>6</v>
      </c>
      <c r="J32" s="50">
        <v>0</v>
      </c>
      <c r="K32" s="50">
        <v>1</v>
      </c>
      <c r="L32" s="50">
        <v>4</v>
      </c>
      <c r="M32" s="50">
        <v>85</v>
      </c>
      <c r="N32" s="50">
        <v>0</v>
      </c>
      <c r="O32" s="15">
        <f t="shared" si="0"/>
        <v>53</v>
      </c>
      <c r="P32" s="15">
        <f t="shared" si="1"/>
        <v>138</v>
      </c>
    </row>
    <row r="33" spans="2:20" ht="23.1" customHeight="1" x14ac:dyDescent="0.25">
      <c r="B33" s="23" t="s">
        <v>60</v>
      </c>
      <c r="C33" s="50">
        <v>15</v>
      </c>
      <c r="D33" s="50">
        <v>0</v>
      </c>
      <c r="E33" s="50">
        <v>1</v>
      </c>
      <c r="F33" s="50">
        <v>14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93</v>
      </c>
      <c r="N33" s="50">
        <v>0</v>
      </c>
      <c r="O33" s="15">
        <f t="shared" si="0"/>
        <v>30</v>
      </c>
      <c r="P33" s="15">
        <f t="shared" si="1"/>
        <v>123</v>
      </c>
    </row>
    <row r="34" spans="2:20" ht="23.1" customHeight="1" x14ac:dyDescent="0.25">
      <c r="B34" s="24" t="s">
        <v>61</v>
      </c>
      <c r="C34" s="50">
        <v>14</v>
      </c>
      <c r="D34" s="50">
        <v>0</v>
      </c>
      <c r="E34" s="50">
        <v>0</v>
      </c>
      <c r="F34" s="50">
        <v>15</v>
      </c>
      <c r="G34" s="50">
        <v>1</v>
      </c>
      <c r="H34" s="50">
        <v>1</v>
      </c>
      <c r="I34" s="50">
        <v>3</v>
      </c>
      <c r="J34" s="50">
        <v>1</v>
      </c>
      <c r="K34" s="50">
        <v>0</v>
      </c>
      <c r="L34" s="50">
        <v>0</v>
      </c>
      <c r="M34" s="50">
        <v>113</v>
      </c>
      <c r="N34" s="50">
        <v>0</v>
      </c>
      <c r="O34" s="15">
        <f t="shared" si="0"/>
        <v>35</v>
      </c>
      <c r="P34" s="15">
        <f t="shared" si="1"/>
        <v>148</v>
      </c>
    </row>
    <row r="35" spans="2:20" ht="23.1" customHeight="1" x14ac:dyDescent="0.25">
      <c r="B35" s="24" t="s">
        <v>62</v>
      </c>
      <c r="C35" s="50">
        <v>13</v>
      </c>
      <c r="D35" s="50">
        <v>3</v>
      </c>
      <c r="E35" s="50">
        <v>3</v>
      </c>
      <c r="F35" s="50">
        <v>13</v>
      </c>
      <c r="G35" s="50">
        <v>1</v>
      </c>
      <c r="H35" s="50">
        <v>0</v>
      </c>
      <c r="I35" s="50">
        <v>8</v>
      </c>
      <c r="J35" s="50">
        <v>0</v>
      </c>
      <c r="K35" s="50">
        <v>0</v>
      </c>
      <c r="L35" s="50">
        <v>0</v>
      </c>
      <c r="M35" s="50">
        <v>90</v>
      </c>
      <c r="N35" s="50">
        <v>0</v>
      </c>
      <c r="O35" s="15">
        <f t="shared" si="0"/>
        <v>41</v>
      </c>
      <c r="P35" s="15">
        <f t="shared" si="1"/>
        <v>131</v>
      </c>
    </row>
    <row r="36" spans="2:20" ht="23.1" customHeight="1" x14ac:dyDescent="0.25">
      <c r="B36" s="24" t="s">
        <v>63</v>
      </c>
      <c r="C36" s="50">
        <v>29</v>
      </c>
      <c r="D36" s="50">
        <v>3</v>
      </c>
      <c r="E36" s="50">
        <v>5</v>
      </c>
      <c r="F36" s="50">
        <v>24</v>
      </c>
      <c r="G36" s="50">
        <v>0</v>
      </c>
      <c r="H36" s="50">
        <v>0</v>
      </c>
      <c r="I36" s="50">
        <v>2</v>
      </c>
      <c r="J36" s="50">
        <v>2</v>
      </c>
      <c r="K36" s="50">
        <v>2</v>
      </c>
      <c r="L36" s="50">
        <v>0</v>
      </c>
      <c r="M36" s="50">
        <v>90</v>
      </c>
      <c r="N36" s="50">
        <v>0</v>
      </c>
      <c r="O36" s="15">
        <f t="shared" si="0"/>
        <v>67</v>
      </c>
      <c r="P36" s="15">
        <f t="shared" si="1"/>
        <v>157</v>
      </c>
    </row>
    <row r="37" spans="2:20" ht="23.1" customHeight="1" x14ac:dyDescent="0.25">
      <c r="B37" s="23" t="s">
        <v>64</v>
      </c>
      <c r="C37" s="50">
        <v>28</v>
      </c>
      <c r="D37" s="50">
        <v>2</v>
      </c>
      <c r="E37" s="50">
        <v>2</v>
      </c>
      <c r="F37" s="50">
        <v>23</v>
      </c>
      <c r="G37" s="50">
        <v>2</v>
      </c>
      <c r="H37" s="50">
        <v>1</v>
      </c>
      <c r="I37" s="50">
        <v>8</v>
      </c>
      <c r="J37" s="50">
        <v>4</v>
      </c>
      <c r="K37" s="50">
        <v>1</v>
      </c>
      <c r="L37" s="50">
        <v>0</v>
      </c>
      <c r="M37" s="50">
        <v>89</v>
      </c>
      <c r="N37" s="50">
        <v>0</v>
      </c>
      <c r="O37" s="15">
        <f t="shared" si="0"/>
        <v>71</v>
      </c>
      <c r="P37" s="15">
        <f t="shared" si="1"/>
        <v>160</v>
      </c>
    </row>
    <row r="38" spans="2:20" ht="23.1" customHeight="1" x14ac:dyDescent="0.25">
      <c r="B38" s="24" t="s">
        <v>65</v>
      </c>
      <c r="C38" s="50">
        <v>29</v>
      </c>
      <c r="D38" s="50">
        <v>9</v>
      </c>
      <c r="E38" s="50">
        <v>4</v>
      </c>
      <c r="F38" s="50">
        <v>28</v>
      </c>
      <c r="G38" s="50">
        <v>2</v>
      </c>
      <c r="H38" s="50">
        <v>1</v>
      </c>
      <c r="I38" s="50">
        <v>3</v>
      </c>
      <c r="J38" s="50">
        <v>1</v>
      </c>
      <c r="K38" s="50">
        <v>0</v>
      </c>
      <c r="L38" s="50">
        <v>1</v>
      </c>
      <c r="M38" s="50">
        <v>99</v>
      </c>
      <c r="N38" s="50">
        <v>0</v>
      </c>
      <c r="O38" s="15">
        <f t="shared" si="0"/>
        <v>78</v>
      </c>
      <c r="P38" s="15">
        <f t="shared" si="1"/>
        <v>177</v>
      </c>
    </row>
    <row r="39" spans="2:20" ht="23.1" customHeight="1" x14ac:dyDescent="0.25">
      <c r="B39" s="24" t="s">
        <v>66</v>
      </c>
      <c r="C39" s="50">
        <v>39</v>
      </c>
      <c r="D39" s="50">
        <v>5</v>
      </c>
      <c r="E39" s="50">
        <v>2</v>
      </c>
      <c r="F39" s="50">
        <v>28</v>
      </c>
      <c r="G39" s="50">
        <v>0</v>
      </c>
      <c r="H39" s="50">
        <v>1</v>
      </c>
      <c r="I39" s="50">
        <v>5</v>
      </c>
      <c r="J39" s="50">
        <v>2</v>
      </c>
      <c r="K39" s="50">
        <v>0</v>
      </c>
      <c r="L39" s="50">
        <v>2</v>
      </c>
      <c r="M39" s="50">
        <v>104</v>
      </c>
      <c r="N39" s="50">
        <v>0</v>
      </c>
      <c r="O39" s="15">
        <f t="shared" si="0"/>
        <v>84</v>
      </c>
      <c r="P39" s="15">
        <f t="shared" si="1"/>
        <v>188</v>
      </c>
    </row>
    <row r="40" spans="2:20" ht="23.1" customHeight="1" x14ac:dyDescent="0.25">
      <c r="B40" s="24" t="s">
        <v>67</v>
      </c>
      <c r="C40" s="50">
        <v>47</v>
      </c>
      <c r="D40" s="50">
        <v>14</v>
      </c>
      <c r="E40" s="50">
        <v>2</v>
      </c>
      <c r="F40" s="50">
        <v>23</v>
      </c>
      <c r="G40" s="50">
        <v>1</v>
      </c>
      <c r="H40" s="50">
        <v>1</v>
      </c>
      <c r="I40" s="50">
        <v>3</v>
      </c>
      <c r="J40" s="50">
        <v>4</v>
      </c>
      <c r="K40" s="50">
        <v>2</v>
      </c>
      <c r="L40" s="50">
        <v>0</v>
      </c>
      <c r="M40" s="50">
        <v>89</v>
      </c>
      <c r="N40" s="50">
        <v>0</v>
      </c>
      <c r="O40" s="15">
        <f t="shared" si="0"/>
        <v>97</v>
      </c>
      <c r="P40" s="15">
        <f t="shared" si="1"/>
        <v>186</v>
      </c>
    </row>
    <row r="41" spans="2:20" ht="23.1" customHeight="1" x14ac:dyDescent="0.25">
      <c r="B41" s="23" t="s">
        <v>68</v>
      </c>
      <c r="C41" s="50">
        <v>43</v>
      </c>
      <c r="D41" s="50">
        <v>3</v>
      </c>
      <c r="E41" s="50">
        <v>7</v>
      </c>
      <c r="F41" s="50">
        <v>9</v>
      </c>
      <c r="G41" s="50">
        <v>1</v>
      </c>
      <c r="H41" s="50">
        <v>2</v>
      </c>
      <c r="I41" s="50">
        <v>1</v>
      </c>
      <c r="J41" s="50">
        <v>3</v>
      </c>
      <c r="K41" s="50">
        <v>0</v>
      </c>
      <c r="L41" s="50">
        <v>1</v>
      </c>
      <c r="M41" s="50">
        <v>88</v>
      </c>
      <c r="N41" s="50">
        <v>0</v>
      </c>
      <c r="O41" s="15">
        <f t="shared" si="0"/>
        <v>70</v>
      </c>
      <c r="P41" s="15">
        <f t="shared" si="1"/>
        <v>158</v>
      </c>
    </row>
    <row r="42" spans="2:20" ht="23.1" customHeight="1" x14ac:dyDescent="0.25">
      <c r="B42" s="24" t="s">
        <v>69</v>
      </c>
      <c r="C42" s="50">
        <v>13</v>
      </c>
      <c r="D42" s="50">
        <v>0</v>
      </c>
      <c r="E42" s="50">
        <v>2</v>
      </c>
      <c r="F42" s="50">
        <v>5</v>
      </c>
      <c r="G42" s="50">
        <v>0</v>
      </c>
      <c r="H42" s="50">
        <v>2</v>
      </c>
      <c r="I42" s="50">
        <v>11</v>
      </c>
      <c r="J42" s="50">
        <v>1</v>
      </c>
      <c r="K42" s="50">
        <v>0</v>
      </c>
      <c r="L42" s="50">
        <v>0</v>
      </c>
      <c r="M42" s="50">
        <v>64</v>
      </c>
      <c r="N42" s="50">
        <v>0</v>
      </c>
      <c r="O42" s="15">
        <f t="shared" si="0"/>
        <v>34</v>
      </c>
      <c r="P42" s="15">
        <f t="shared" si="1"/>
        <v>98</v>
      </c>
    </row>
    <row r="43" spans="2:20" ht="23.1" customHeight="1" x14ac:dyDescent="0.25">
      <c r="B43" s="23" t="s">
        <v>70</v>
      </c>
      <c r="C43" s="50">
        <v>28</v>
      </c>
      <c r="D43" s="50">
        <v>2</v>
      </c>
      <c r="E43" s="50">
        <v>0</v>
      </c>
      <c r="F43" s="50">
        <v>28</v>
      </c>
      <c r="G43" s="50">
        <v>1</v>
      </c>
      <c r="H43" s="50">
        <v>2</v>
      </c>
      <c r="I43" s="50">
        <v>8</v>
      </c>
      <c r="J43" s="50">
        <v>1</v>
      </c>
      <c r="K43" s="50">
        <v>1</v>
      </c>
      <c r="L43" s="50">
        <v>0</v>
      </c>
      <c r="M43" s="50">
        <v>82</v>
      </c>
      <c r="N43" s="50">
        <v>0</v>
      </c>
      <c r="O43" s="15">
        <f t="shared" si="0"/>
        <v>71</v>
      </c>
      <c r="P43" s="15">
        <f t="shared" si="1"/>
        <v>153</v>
      </c>
    </row>
    <row r="44" spans="2:20" ht="23.1" customHeight="1" x14ac:dyDescent="0.25">
      <c r="B44" s="25" t="s">
        <v>71</v>
      </c>
      <c r="C44" s="50">
        <v>24</v>
      </c>
      <c r="D44" s="50">
        <v>3</v>
      </c>
      <c r="E44" s="50">
        <v>1</v>
      </c>
      <c r="F44" s="50">
        <v>18</v>
      </c>
      <c r="G44" s="50">
        <v>0</v>
      </c>
      <c r="H44" s="50">
        <v>0</v>
      </c>
      <c r="I44" s="50">
        <v>4</v>
      </c>
      <c r="J44" s="50">
        <v>2</v>
      </c>
      <c r="K44" s="50">
        <v>0</v>
      </c>
      <c r="L44" s="50">
        <v>0</v>
      </c>
      <c r="M44" s="50">
        <v>93</v>
      </c>
      <c r="N44" s="50">
        <v>0</v>
      </c>
      <c r="O44" s="15">
        <f t="shared" si="0"/>
        <v>52</v>
      </c>
      <c r="P44" s="15">
        <f t="shared" si="1"/>
        <v>145</v>
      </c>
    </row>
    <row r="45" spans="2:20" ht="23.1" customHeight="1" x14ac:dyDescent="0.25">
      <c r="B45" s="23" t="s">
        <v>72</v>
      </c>
      <c r="C45" s="50">
        <v>17</v>
      </c>
      <c r="D45" s="50">
        <v>3</v>
      </c>
      <c r="E45" s="50">
        <v>1</v>
      </c>
      <c r="F45" s="50">
        <v>23</v>
      </c>
      <c r="G45" s="50">
        <v>0</v>
      </c>
      <c r="H45" s="50">
        <v>0</v>
      </c>
      <c r="I45" s="50">
        <v>8</v>
      </c>
      <c r="J45" s="50">
        <v>1</v>
      </c>
      <c r="K45" s="50">
        <v>1</v>
      </c>
      <c r="L45" s="50">
        <v>0</v>
      </c>
      <c r="M45" s="50">
        <v>83</v>
      </c>
      <c r="N45" s="50">
        <v>0</v>
      </c>
      <c r="O45" s="15">
        <f t="shared" si="0"/>
        <v>54</v>
      </c>
      <c r="P45" s="15">
        <f t="shared" si="1"/>
        <v>137</v>
      </c>
    </row>
    <row r="46" spans="2:20" ht="23.1" customHeight="1" x14ac:dyDescent="0.25">
      <c r="B46" s="24" t="s">
        <v>73</v>
      </c>
      <c r="C46" s="50">
        <v>16</v>
      </c>
      <c r="D46" s="50">
        <v>2</v>
      </c>
      <c r="E46" s="50">
        <v>1</v>
      </c>
      <c r="F46" s="50">
        <v>14</v>
      </c>
      <c r="G46" s="50">
        <v>1</v>
      </c>
      <c r="H46" s="50">
        <v>1</v>
      </c>
      <c r="I46" s="50">
        <v>4</v>
      </c>
      <c r="J46" s="50">
        <v>1</v>
      </c>
      <c r="K46" s="50">
        <v>0</v>
      </c>
      <c r="L46" s="50">
        <v>0</v>
      </c>
      <c r="M46" s="50">
        <v>0</v>
      </c>
      <c r="N46" s="50">
        <v>0</v>
      </c>
      <c r="O46" s="15">
        <f t="shared" si="0"/>
        <v>40</v>
      </c>
      <c r="P46" s="15">
        <f t="shared" si="1"/>
        <v>40</v>
      </c>
      <c r="R46" s="8"/>
      <c r="T46"/>
    </row>
    <row r="47" spans="2:20" ht="23.1" customHeight="1" x14ac:dyDescent="0.25">
      <c r="B47" s="24" t="s">
        <v>74</v>
      </c>
      <c r="C47" s="50">
        <v>32</v>
      </c>
      <c r="D47" s="50">
        <v>6</v>
      </c>
      <c r="E47" s="50">
        <v>0</v>
      </c>
      <c r="F47" s="50">
        <v>18</v>
      </c>
      <c r="G47" s="50">
        <v>1</v>
      </c>
      <c r="H47" s="50">
        <v>0</v>
      </c>
      <c r="I47" s="50">
        <v>6</v>
      </c>
      <c r="J47" s="50">
        <v>0</v>
      </c>
      <c r="K47" s="50">
        <v>1</v>
      </c>
      <c r="L47" s="50">
        <v>0</v>
      </c>
      <c r="M47" s="50">
        <v>81</v>
      </c>
      <c r="N47" s="50">
        <v>0</v>
      </c>
      <c r="O47" s="15">
        <f t="shared" si="0"/>
        <v>64</v>
      </c>
      <c r="P47" s="15">
        <f t="shared" si="1"/>
        <v>145</v>
      </c>
      <c r="R47" s="8"/>
      <c r="T47"/>
    </row>
    <row r="48" spans="2:20" ht="23.1" customHeight="1" x14ac:dyDescent="0.25">
      <c r="B48" s="24" t="s">
        <v>75</v>
      </c>
      <c r="C48" s="50">
        <v>37</v>
      </c>
      <c r="D48" s="50">
        <v>1</v>
      </c>
      <c r="E48" s="50">
        <v>2</v>
      </c>
      <c r="F48" s="50">
        <v>29</v>
      </c>
      <c r="G48" s="50">
        <v>1</v>
      </c>
      <c r="H48" s="50">
        <v>2</v>
      </c>
      <c r="I48" s="50">
        <v>6</v>
      </c>
      <c r="J48" s="50">
        <v>4</v>
      </c>
      <c r="K48" s="50">
        <v>1</v>
      </c>
      <c r="L48" s="50">
        <v>0</v>
      </c>
      <c r="M48" s="50">
        <v>88</v>
      </c>
      <c r="N48" s="50">
        <v>0</v>
      </c>
      <c r="O48" s="15">
        <f t="shared" si="0"/>
        <v>83</v>
      </c>
      <c r="P48" s="15">
        <f t="shared" si="1"/>
        <v>171</v>
      </c>
      <c r="R48" s="8"/>
      <c r="T48"/>
    </row>
    <row r="49" spans="2:20" ht="23.1" customHeight="1" x14ac:dyDescent="0.25">
      <c r="B49" s="23" t="s">
        <v>76</v>
      </c>
      <c r="C49" s="50">
        <v>27</v>
      </c>
      <c r="D49" s="50">
        <v>4</v>
      </c>
      <c r="E49" s="50">
        <v>2</v>
      </c>
      <c r="F49" s="50">
        <v>26</v>
      </c>
      <c r="G49" s="50">
        <v>0</v>
      </c>
      <c r="H49" s="50">
        <v>1</v>
      </c>
      <c r="I49" s="50">
        <v>3</v>
      </c>
      <c r="J49" s="50">
        <v>0</v>
      </c>
      <c r="K49" s="50">
        <v>0</v>
      </c>
      <c r="L49" s="50">
        <v>0</v>
      </c>
      <c r="M49" s="50">
        <v>85</v>
      </c>
      <c r="N49" s="50">
        <v>0</v>
      </c>
      <c r="O49" s="15">
        <f t="shared" si="0"/>
        <v>63</v>
      </c>
      <c r="P49" s="15">
        <f t="shared" si="1"/>
        <v>148</v>
      </c>
      <c r="R49" s="8"/>
      <c r="T49"/>
    </row>
    <row r="50" spans="2:20" ht="23.1" customHeight="1" x14ac:dyDescent="0.25">
      <c r="B50" s="24" t="s">
        <v>77</v>
      </c>
      <c r="C50" s="50">
        <v>14</v>
      </c>
      <c r="D50" s="50">
        <v>3</v>
      </c>
      <c r="E50" s="50">
        <v>0</v>
      </c>
      <c r="F50" s="50">
        <v>10</v>
      </c>
      <c r="G50" s="50">
        <v>2</v>
      </c>
      <c r="H50" s="50">
        <v>1</v>
      </c>
      <c r="I50" s="50">
        <v>10</v>
      </c>
      <c r="J50" s="50">
        <v>1</v>
      </c>
      <c r="K50" s="50">
        <v>0</v>
      </c>
      <c r="L50" s="50">
        <v>0</v>
      </c>
      <c r="M50" s="50">
        <v>69</v>
      </c>
      <c r="N50" s="50">
        <v>0</v>
      </c>
      <c r="O50" s="15">
        <f t="shared" si="0"/>
        <v>41</v>
      </c>
      <c r="P50" s="15">
        <f t="shared" si="1"/>
        <v>110</v>
      </c>
      <c r="R50" s="8"/>
      <c r="T50"/>
    </row>
    <row r="51" spans="2:20" ht="23.1" customHeight="1" x14ac:dyDescent="0.25">
      <c r="B51" s="24" t="s">
        <v>78</v>
      </c>
      <c r="C51" s="50">
        <v>34</v>
      </c>
      <c r="D51" s="50">
        <v>10</v>
      </c>
      <c r="E51" s="50">
        <v>6</v>
      </c>
      <c r="F51" s="50">
        <v>27</v>
      </c>
      <c r="G51" s="50">
        <v>2</v>
      </c>
      <c r="H51" s="50">
        <v>0</v>
      </c>
      <c r="I51" s="50">
        <v>5</v>
      </c>
      <c r="J51" s="50">
        <v>3</v>
      </c>
      <c r="K51" s="50">
        <v>0</v>
      </c>
      <c r="L51" s="50">
        <v>0</v>
      </c>
      <c r="M51" s="50">
        <v>89</v>
      </c>
      <c r="N51" s="50">
        <v>0</v>
      </c>
      <c r="O51" s="15">
        <f t="shared" si="0"/>
        <v>87</v>
      </c>
      <c r="P51" s="15">
        <f t="shared" si="1"/>
        <v>176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3</v>
      </c>
      <c r="E52" s="50">
        <v>1</v>
      </c>
      <c r="F52" s="50">
        <v>19</v>
      </c>
      <c r="G52" s="50">
        <v>0</v>
      </c>
      <c r="H52" s="50">
        <v>0</v>
      </c>
      <c r="I52" s="50">
        <v>3</v>
      </c>
      <c r="J52" s="50">
        <v>2</v>
      </c>
      <c r="K52" s="50">
        <v>1</v>
      </c>
      <c r="L52" s="50">
        <v>0</v>
      </c>
      <c r="M52" s="50">
        <v>72</v>
      </c>
      <c r="N52" s="50">
        <v>0</v>
      </c>
      <c r="O52" s="15">
        <f t="shared" si="0"/>
        <v>44</v>
      </c>
      <c r="P52" s="15">
        <f t="shared" si="1"/>
        <v>116</v>
      </c>
      <c r="R52" s="8"/>
      <c r="T52"/>
    </row>
    <row r="53" spans="2:20" ht="23.1" customHeight="1" x14ac:dyDescent="0.25">
      <c r="B53" s="23" t="s">
        <v>80</v>
      </c>
      <c r="C53" s="50">
        <v>17</v>
      </c>
      <c r="D53" s="50">
        <v>0</v>
      </c>
      <c r="E53" s="50">
        <v>0</v>
      </c>
      <c r="F53" s="50">
        <v>19</v>
      </c>
      <c r="G53" s="50">
        <v>2</v>
      </c>
      <c r="H53" s="50">
        <v>0</v>
      </c>
      <c r="I53" s="50">
        <v>10</v>
      </c>
      <c r="J53" s="50">
        <v>2</v>
      </c>
      <c r="K53" s="50">
        <v>0</v>
      </c>
      <c r="L53" s="50">
        <v>0</v>
      </c>
      <c r="M53" s="50">
        <v>87</v>
      </c>
      <c r="N53" s="50">
        <v>0</v>
      </c>
      <c r="O53" s="15">
        <f t="shared" si="0"/>
        <v>50</v>
      </c>
      <c r="P53" s="15">
        <f t="shared" si="1"/>
        <v>137</v>
      </c>
      <c r="R53" s="8"/>
      <c r="T53"/>
    </row>
    <row r="54" spans="2:20" ht="23.1" customHeight="1" x14ac:dyDescent="0.25">
      <c r="B54" s="23" t="s">
        <v>81</v>
      </c>
      <c r="C54" s="50">
        <v>25</v>
      </c>
      <c r="D54" s="50">
        <v>3</v>
      </c>
      <c r="E54" s="50">
        <v>3</v>
      </c>
      <c r="F54" s="50">
        <v>23</v>
      </c>
      <c r="G54" s="50">
        <v>4</v>
      </c>
      <c r="H54" s="50">
        <v>0</v>
      </c>
      <c r="I54" s="50">
        <v>5</v>
      </c>
      <c r="J54" s="50">
        <v>1</v>
      </c>
      <c r="K54" s="50">
        <v>0</v>
      </c>
      <c r="L54" s="50">
        <v>1</v>
      </c>
      <c r="M54" s="50">
        <v>98</v>
      </c>
      <c r="N54" s="50">
        <v>0</v>
      </c>
      <c r="O54" s="15">
        <f t="shared" si="0"/>
        <v>65</v>
      </c>
      <c r="P54" s="15">
        <f t="shared" si="1"/>
        <v>163</v>
      </c>
      <c r="R54" s="8"/>
      <c r="T54"/>
    </row>
    <row r="55" spans="2:20" ht="23.1" customHeight="1" x14ac:dyDescent="0.25">
      <c r="B55" s="23" t="s">
        <v>82</v>
      </c>
      <c r="C55" s="50">
        <v>23</v>
      </c>
      <c r="D55" s="50">
        <v>2</v>
      </c>
      <c r="E55" s="50">
        <v>4</v>
      </c>
      <c r="F55" s="50">
        <v>27</v>
      </c>
      <c r="G55" s="50">
        <v>1</v>
      </c>
      <c r="H55" s="50">
        <v>1</v>
      </c>
      <c r="I55" s="50">
        <v>8</v>
      </c>
      <c r="J55" s="50">
        <v>0</v>
      </c>
      <c r="K55" s="50">
        <v>0</v>
      </c>
      <c r="L55" s="50">
        <v>0</v>
      </c>
      <c r="M55" s="50">
        <v>94</v>
      </c>
      <c r="N55" s="50">
        <v>0</v>
      </c>
      <c r="O55" s="15">
        <f t="shared" si="0"/>
        <v>66</v>
      </c>
      <c r="P55" s="15">
        <f t="shared" si="1"/>
        <v>160</v>
      </c>
      <c r="R55" s="8"/>
      <c r="T55"/>
    </row>
    <row r="56" spans="2:20" ht="23.1" customHeight="1" x14ac:dyDescent="0.25">
      <c r="B56" s="23" t="s">
        <v>83</v>
      </c>
      <c r="C56" s="50">
        <v>29</v>
      </c>
      <c r="D56" s="50">
        <v>3</v>
      </c>
      <c r="E56" s="50">
        <v>2</v>
      </c>
      <c r="F56" s="50">
        <v>26</v>
      </c>
      <c r="G56" s="50">
        <v>2</v>
      </c>
      <c r="H56" s="50">
        <v>0</v>
      </c>
      <c r="I56" s="50">
        <v>4</v>
      </c>
      <c r="J56" s="50">
        <v>3</v>
      </c>
      <c r="K56" s="50">
        <v>0</v>
      </c>
      <c r="L56" s="50">
        <v>1</v>
      </c>
      <c r="M56" s="50">
        <v>113</v>
      </c>
      <c r="N56" s="50">
        <v>0</v>
      </c>
      <c r="O56" s="15">
        <f t="shared" si="0"/>
        <v>70</v>
      </c>
      <c r="P56" s="15">
        <f t="shared" si="1"/>
        <v>183</v>
      </c>
      <c r="R56" s="8"/>
      <c r="T56"/>
    </row>
    <row r="57" spans="2:20" ht="23.1" customHeight="1" x14ac:dyDescent="0.25">
      <c r="B57" s="23" t="s">
        <v>84</v>
      </c>
      <c r="C57" s="50">
        <v>24</v>
      </c>
      <c r="D57" s="50">
        <v>8</v>
      </c>
      <c r="E57" s="50">
        <v>1</v>
      </c>
      <c r="F57" s="50">
        <v>18</v>
      </c>
      <c r="G57" s="50">
        <v>1</v>
      </c>
      <c r="H57" s="50">
        <v>1</v>
      </c>
      <c r="I57" s="50">
        <v>3</v>
      </c>
      <c r="J57" s="50">
        <v>0</v>
      </c>
      <c r="K57" s="50">
        <v>0</v>
      </c>
      <c r="L57" s="50">
        <v>0</v>
      </c>
      <c r="M57" s="50">
        <v>108</v>
      </c>
      <c r="N57" s="50">
        <v>0</v>
      </c>
      <c r="O57" s="15">
        <f t="shared" si="0"/>
        <v>56</v>
      </c>
      <c r="P57" s="15">
        <f t="shared" si="1"/>
        <v>164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937</v>
      </c>
      <c r="D58" s="16">
        <f t="shared" si="21"/>
        <v>135</v>
      </c>
      <c r="E58" s="16">
        <f t="shared" si="21"/>
        <v>78</v>
      </c>
      <c r="F58" s="16">
        <f t="shared" si="21"/>
        <v>751</v>
      </c>
      <c r="G58" s="16">
        <f t="shared" si="21"/>
        <v>33</v>
      </c>
      <c r="H58" s="16">
        <f t="shared" si="21"/>
        <v>26</v>
      </c>
      <c r="I58" s="16">
        <f t="shared" si="21"/>
        <v>208</v>
      </c>
      <c r="J58" s="16">
        <f t="shared" si="21"/>
        <v>75</v>
      </c>
      <c r="K58" s="16">
        <f t="shared" si="21"/>
        <v>18</v>
      </c>
      <c r="L58" s="16">
        <f t="shared" si="21"/>
        <v>14</v>
      </c>
      <c r="M58" s="16">
        <f t="shared" si="21"/>
        <v>4325</v>
      </c>
      <c r="N58" s="16">
        <f t="shared" si="21"/>
        <v>0</v>
      </c>
      <c r="O58" s="16">
        <f t="shared" si="21"/>
        <v>2275</v>
      </c>
      <c r="P58" s="16">
        <f t="shared" si="21"/>
        <v>6600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0.14196969696969697</v>
      </c>
      <c r="D59" s="43">
        <f t="shared" si="22"/>
        <v>2.0454545454545454E-2</v>
      </c>
      <c r="E59" s="43">
        <f t="shared" si="22"/>
        <v>1.1818181818181818E-2</v>
      </c>
      <c r="F59" s="43">
        <f t="shared" si="22"/>
        <v>0.11378787878787879</v>
      </c>
      <c r="G59" s="43">
        <f t="shared" si="22"/>
        <v>5.0000000000000001E-3</v>
      </c>
      <c r="H59" s="43">
        <f t="shared" si="22"/>
        <v>3.9393939393939396E-3</v>
      </c>
      <c r="I59" s="43">
        <f t="shared" si="22"/>
        <v>3.1515151515151517E-2</v>
      </c>
      <c r="J59" s="43">
        <f t="shared" si="22"/>
        <v>1.1363636363636364E-2</v>
      </c>
      <c r="K59" s="43">
        <f t="shared" si="22"/>
        <v>2.7272727272727275E-3</v>
      </c>
      <c r="L59" s="43">
        <f t="shared" si="22"/>
        <v>2.1212121212121214E-3</v>
      </c>
      <c r="M59" s="43">
        <f t="shared" si="22"/>
        <v>0.65530303030303028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0.41186813186813187</v>
      </c>
      <c r="D60" s="44">
        <f t="shared" ref="D60:N60" si="23">D58/$O$58</f>
        <v>5.9340659340659338E-2</v>
      </c>
      <c r="E60" s="44">
        <f t="shared" si="23"/>
        <v>3.4285714285714287E-2</v>
      </c>
      <c r="F60" s="44">
        <f t="shared" si="23"/>
        <v>0.33010989010989011</v>
      </c>
      <c r="G60" s="44">
        <f t="shared" si="23"/>
        <v>1.4505494505494506E-2</v>
      </c>
      <c r="H60" s="44">
        <f t="shared" si="23"/>
        <v>1.1428571428571429E-2</v>
      </c>
      <c r="I60" s="44">
        <f t="shared" si="23"/>
        <v>9.1428571428571428E-2</v>
      </c>
      <c r="J60" s="44">
        <f t="shared" si="23"/>
        <v>3.2967032967032968E-2</v>
      </c>
      <c r="K60" s="44">
        <f t="shared" si="23"/>
        <v>7.9120879120879121E-3</v>
      </c>
      <c r="L60" s="44">
        <f t="shared" si="23"/>
        <v>6.1538461538461538E-3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H52" zoomScale="71" zoomScaleSheetLayoutView="71" workbookViewId="0">
      <selection activeCell="AD56" sqref="AD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'28.07 Nateete-Nakawuka'!C3:G3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169</v>
      </c>
      <c r="E5" s="66"/>
      <c r="F5" s="41" t="s">
        <v>1</v>
      </c>
      <c r="G5" s="63" t="str">
        <f>'28.07 Nakawuka-Nateete'!G5:H5</f>
        <v>TAKUWA BEST FEEDS</v>
      </c>
      <c r="H5" s="64"/>
      <c r="I5" s="14"/>
      <c r="J5" s="2" t="s">
        <v>5</v>
      </c>
      <c r="K5" s="63" t="str">
        <f>'28.07 Nakawuka-Nateete'!K5:L5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'28.07 Nakawuka-Nateete'!D6:E6</f>
        <v>NAKAWUKA</v>
      </c>
      <c r="E6" s="64"/>
      <c r="F6" s="2" t="s">
        <v>2</v>
      </c>
      <c r="G6" s="63" t="str">
        <f>'28.07 Nakawuka-Nateete'!G6:H6</f>
        <v>NATEETE</v>
      </c>
      <c r="H6" s="64"/>
      <c r="J6" s="2" t="s">
        <v>21</v>
      </c>
      <c r="K6" s="63" t="str">
        <f>'28.07 Nakawuka-Nateete'!K6:L6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Nakawuka-Nateete'!C10,'23.07 Nakawuka-Nateete'!C10,'24.07 Nakawuka-Nateete'!C10,'25.07 Nakawuka-Nateete'!C10,'26.07 Nakawuka-Nateete-24h'!C10,'27.07 Nakawuka-Nateete-24h'!C10,'28.07 Nakawuka-Nateete'!C10)</f>
        <v>26.714285714285715</v>
      </c>
      <c r="D10" s="49">
        <f>AVERAGE('22.07 Nakawuka-Nateete'!D10,'23.07 Nakawuka-Nateete'!D10,'24.07 Nakawuka-Nateete'!D10,'25.07 Nakawuka-Nateete'!D10,'26.07 Nakawuka-Nateete-24h'!D10,'27.07 Nakawuka-Nateete-24h'!D10,'28.07 Nakawuka-Nateete'!D10)</f>
        <v>8.5714285714285712</v>
      </c>
      <c r="E10" s="49">
        <f>AVERAGE('22.07 Nakawuka-Nateete'!E10,'23.07 Nakawuka-Nateete'!E10,'24.07 Nakawuka-Nateete'!E10,'25.07 Nakawuka-Nateete'!E10,'26.07 Nakawuka-Nateete-24h'!E10,'27.07 Nakawuka-Nateete-24h'!E10,'28.07 Nakawuka-Nateete'!E10)</f>
        <v>7.2857142857142856</v>
      </c>
      <c r="F10" s="49">
        <f>AVERAGE('22.07 Nakawuka-Nateete'!F10,'23.07 Nakawuka-Nateete'!F10,'24.07 Nakawuka-Nateete'!F10,'25.07 Nakawuka-Nateete'!F10,'26.07 Nakawuka-Nateete-24h'!F10,'27.07 Nakawuka-Nateete-24h'!F10,'28.07 Nakawuka-Nateete'!F10)</f>
        <v>25.285714285714285</v>
      </c>
      <c r="G10" s="49">
        <f>AVERAGE('22.07 Nakawuka-Nateete'!G10,'23.07 Nakawuka-Nateete'!G10,'24.07 Nakawuka-Nateete'!G10,'25.07 Nakawuka-Nateete'!G10,'26.07 Nakawuka-Nateete-24h'!G10,'27.07 Nakawuka-Nateete-24h'!G10,'28.07 Nakawuka-Nateete'!G10)</f>
        <v>0.5714285714285714</v>
      </c>
      <c r="H10" s="49">
        <f>AVERAGE('22.07 Nakawuka-Nateete'!H10,'23.07 Nakawuka-Nateete'!H10,'24.07 Nakawuka-Nateete'!H10,'25.07 Nakawuka-Nateete'!H10,'26.07 Nakawuka-Nateete-24h'!H10,'27.07 Nakawuka-Nateete-24h'!H10,'28.07 Nakawuka-Nateete'!H10)</f>
        <v>0.42857142857142855</v>
      </c>
      <c r="I10" s="49">
        <f>AVERAGE('22.07 Nakawuka-Nateete'!I10,'23.07 Nakawuka-Nateete'!I10,'24.07 Nakawuka-Nateete'!I10,'25.07 Nakawuka-Nateete'!I10,'26.07 Nakawuka-Nateete-24h'!I10,'27.07 Nakawuka-Nateete-24h'!I10,'28.07 Nakawuka-Nateete'!I10)</f>
        <v>6.8571428571428568</v>
      </c>
      <c r="J10" s="49">
        <f>AVERAGE('22.07 Nakawuka-Nateete'!J10,'23.07 Nakawuka-Nateete'!J10,'24.07 Nakawuka-Nateete'!J10,'25.07 Nakawuka-Nateete'!J10,'26.07 Nakawuka-Nateete-24h'!J10,'27.07 Nakawuka-Nateete-24h'!J10,'28.07 Nakawuka-Nateete'!J10)</f>
        <v>1.4285714285714286</v>
      </c>
      <c r="K10" s="49">
        <f>AVERAGE('22.07 Nakawuka-Nateete'!K10,'23.07 Nakawuka-Nateete'!K10,'24.07 Nakawuka-Nateete'!K10,'25.07 Nakawuka-Nateete'!K10,'26.07 Nakawuka-Nateete-24h'!K10,'27.07 Nakawuka-Nateete-24h'!K10,'28.07 Nakawuka-Nateete'!K10)</f>
        <v>0.7142857142857143</v>
      </c>
      <c r="L10" s="49">
        <f>AVERAGE('22.07 Nakawuka-Nateete'!L10,'23.07 Nakawuka-Nateete'!L10,'24.07 Nakawuka-Nateete'!L10,'25.07 Nakawuka-Nateete'!L10,'26.07 Nakawuka-Nateete-24h'!L10,'27.07 Nakawuka-Nateete-24h'!L10,'28.07 Nakawuka-Nateete'!L10)</f>
        <v>0</v>
      </c>
      <c r="M10" s="49">
        <f>AVERAGE('22.07 Nakawuka-Nateete'!M10,'23.07 Nakawuka-Nateete'!M10,'24.07 Nakawuka-Nateete'!M10,'25.07 Nakawuka-Nateete'!M10,'26.07 Nakawuka-Nateete-24h'!M10,'27.07 Nakawuka-Nateete-24h'!M10,'28.07 Nakawuka-Nateete'!M10)</f>
        <v>105.57142857142857</v>
      </c>
      <c r="N10" s="49">
        <f>AVERAGE('22.07 Nakawuka-Nateete'!N10,'23.07 Nakawuka-Nateete'!N10,'24.07 Nakawuka-Nateete'!N10,'25.07 Nakawuka-Nateete'!N10,'26.07 Nakawuka-Nateete-24h'!N10,'27.07 Nakawuka-Nateete-24h'!N10,'28.07 Nakawuka-Nateete'!N10)</f>
        <v>0</v>
      </c>
      <c r="O10" s="31">
        <f t="shared" ref="O10:O73" si="0">SUM(C10:L10,N10)</f>
        <v>77.857142857142861</v>
      </c>
      <c r="P10" s="31">
        <f t="shared" ref="P10:P73" si="1">SUM(C10:N10)</f>
        <v>183.42857142857144</v>
      </c>
      <c r="R10" s="1" t="s">
        <v>6</v>
      </c>
      <c r="S10" s="17">
        <f t="shared" ref="S10:AF10" si="2">SUM(C10:C13)</f>
        <v>103.85714285714286</v>
      </c>
      <c r="T10" s="17">
        <f t="shared" si="2"/>
        <v>38.857142857142854</v>
      </c>
      <c r="U10" s="17">
        <f t="shared" si="2"/>
        <v>28.142857142857146</v>
      </c>
      <c r="V10" s="17">
        <f t="shared" si="2"/>
        <v>127.42857142857144</v>
      </c>
      <c r="W10" s="17">
        <f t="shared" si="2"/>
        <v>2.1428571428571428</v>
      </c>
      <c r="X10" s="17">
        <f t="shared" si="2"/>
        <v>1.1428571428571428</v>
      </c>
      <c r="Y10" s="17">
        <f t="shared" si="2"/>
        <v>27.571428571428569</v>
      </c>
      <c r="Z10" s="17">
        <f t="shared" si="2"/>
        <v>8.5714285714285712</v>
      </c>
      <c r="AA10" s="17">
        <f t="shared" si="2"/>
        <v>3</v>
      </c>
      <c r="AB10" s="17">
        <f t="shared" si="2"/>
        <v>0.42857142857142855</v>
      </c>
      <c r="AC10" s="17">
        <f t="shared" si="2"/>
        <v>464.57142857142861</v>
      </c>
      <c r="AD10" s="17">
        <f t="shared" si="2"/>
        <v>0</v>
      </c>
      <c r="AE10" s="31">
        <f t="shared" si="2"/>
        <v>341.14285714285711</v>
      </c>
      <c r="AF10" s="31">
        <f t="shared" si="2"/>
        <v>805.71428571428567</v>
      </c>
    </row>
    <row r="11" spans="2:32" s="6" customFormat="1" ht="23.1" customHeight="1" x14ac:dyDescent="0.25">
      <c r="B11" s="23" t="s">
        <v>38</v>
      </c>
      <c r="C11" s="49">
        <f>AVERAGE('22.07 Nakawuka-Nateete'!C11,'23.07 Nakawuka-Nateete'!C11,'24.07 Nakawuka-Nateete'!C11,'25.07 Nakawuka-Nateete'!C11,'26.07 Nakawuka-Nateete-24h'!C11,'27.07 Nakawuka-Nateete-24h'!C11,'28.07 Nakawuka-Nateete'!C11)</f>
        <v>26</v>
      </c>
      <c r="D11" s="49">
        <f>AVERAGE('22.07 Nakawuka-Nateete'!D11,'23.07 Nakawuka-Nateete'!D11,'24.07 Nakawuka-Nateete'!D11,'25.07 Nakawuka-Nateete'!D11,'26.07 Nakawuka-Nateete-24h'!D11,'27.07 Nakawuka-Nateete-24h'!D11,'28.07 Nakawuka-Nateete'!D11)</f>
        <v>9</v>
      </c>
      <c r="E11" s="49">
        <f>AVERAGE('22.07 Nakawuka-Nateete'!E11,'23.07 Nakawuka-Nateete'!E11,'24.07 Nakawuka-Nateete'!E11,'25.07 Nakawuka-Nateete'!E11,'26.07 Nakawuka-Nateete-24h'!E11,'27.07 Nakawuka-Nateete-24h'!E11,'28.07 Nakawuka-Nateete'!E11)</f>
        <v>5.8571428571428568</v>
      </c>
      <c r="F11" s="49">
        <f>AVERAGE('22.07 Nakawuka-Nateete'!F11,'23.07 Nakawuka-Nateete'!F11,'24.07 Nakawuka-Nateete'!F11,'25.07 Nakawuka-Nateete'!F11,'26.07 Nakawuka-Nateete-24h'!F11,'27.07 Nakawuka-Nateete-24h'!F11,'28.07 Nakawuka-Nateete'!F11)</f>
        <v>32.142857142857146</v>
      </c>
      <c r="G11" s="49">
        <f>AVERAGE('22.07 Nakawuka-Nateete'!G11,'23.07 Nakawuka-Nateete'!G11,'24.07 Nakawuka-Nateete'!G11,'25.07 Nakawuka-Nateete'!G11,'26.07 Nakawuka-Nateete-24h'!G11,'27.07 Nakawuka-Nateete-24h'!G11,'28.07 Nakawuka-Nateete'!G11)</f>
        <v>0.42857142857142855</v>
      </c>
      <c r="H11" s="49">
        <f>AVERAGE('22.07 Nakawuka-Nateete'!H11,'23.07 Nakawuka-Nateete'!H11,'24.07 Nakawuka-Nateete'!H11,'25.07 Nakawuka-Nateete'!H11,'26.07 Nakawuka-Nateete-24h'!H11,'27.07 Nakawuka-Nateete-24h'!H11,'28.07 Nakawuka-Nateete'!H11)</f>
        <v>0</v>
      </c>
      <c r="I11" s="49">
        <f>AVERAGE('22.07 Nakawuka-Nateete'!I11,'23.07 Nakawuka-Nateete'!I11,'24.07 Nakawuka-Nateete'!I11,'25.07 Nakawuka-Nateete'!I11,'26.07 Nakawuka-Nateete-24h'!I11,'27.07 Nakawuka-Nateete-24h'!I11,'28.07 Nakawuka-Nateete'!I11)</f>
        <v>6.4285714285714288</v>
      </c>
      <c r="J11" s="49">
        <f>AVERAGE('22.07 Nakawuka-Nateete'!J11,'23.07 Nakawuka-Nateete'!J11,'24.07 Nakawuka-Nateete'!J11,'25.07 Nakawuka-Nateete'!J11,'26.07 Nakawuka-Nateete-24h'!J11,'27.07 Nakawuka-Nateete-24h'!J11,'28.07 Nakawuka-Nateete'!J11)</f>
        <v>3.1428571428571428</v>
      </c>
      <c r="K11" s="49">
        <f>AVERAGE('22.07 Nakawuka-Nateete'!K11,'23.07 Nakawuka-Nateete'!K11,'24.07 Nakawuka-Nateete'!K11,'25.07 Nakawuka-Nateete'!K11,'26.07 Nakawuka-Nateete-24h'!K11,'27.07 Nakawuka-Nateete-24h'!K11,'28.07 Nakawuka-Nateete'!K11)</f>
        <v>0.7142857142857143</v>
      </c>
      <c r="L11" s="49">
        <f>AVERAGE('22.07 Nakawuka-Nateete'!L11,'23.07 Nakawuka-Nateete'!L11,'24.07 Nakawuka-Nateete'!L11,'25.07 Nakawuka-Nateete'!L11,'26.07 Nakawuka-Nateete-24h'!L11,'27.07 Nakawuka-Nateete-24h'!L11,'28.07 Nakawuka-Nateete'!L11)</f>
        <v>0.14285714285714285</v>
      </c>
      <c r="M11" s="49">
        <f>AVERAGE('22.07 Nakawuka-Nateete'!M11,'23.07 Nakawuka-Nateete'!M11,'24.07 Nakawuka-Nateete'!M11,'25.07 Nakawuka-Nateete'!M11,'26.07 Nakawuka-Nateete-24h'!M11,'27.07 Nakawuka-Nateete-24h'!M11,'28.07 Nakawuka-Nateete'!M11)</f>
        <v>121.28571428571429</v>
      </c>
      <c r="N11" s="49">
        <f>AVERAGE('22.07 Nakawuka-Nateete'!N11,'23.07 Nakawuka-Nateete'!N11,'24.07 Nakawuka-Nateete'!N11,'25.07 Nakawuka-Nateete'!N11,'26.07 Nakawuka-Nateete-24h'!N11,'27.07 Nakawuka-Nateete-24h'!N11,'28.07 Nakawuka-Nateete'!N11)</f>
        <v>0</v>
      </c>
      <c r="O11" s="31">
        <f t="shared" si="0"/>
        <v>83.857142857142847</v>
      </c>
      <c r="P11" s="31">
        <f t="shared" si="1"/>
        <v>205.14285714285714</v>
      </c>
      <c r="R11" s="1" t="s">
        <v>7</v>
      </c>
      <c r="S11" s="17">
        <f t="shared" ref="S11:AF11" si="3">SUM(C14:C17)</f>
        <v>127</v>
      </c>
      <c r="T11" s="17">
        <f t="shared" si="3"/>
        <v>47.142857142857139</v>
      </c>
      <c r="U11" s="17">
        <f t="shared" si="3"/>
        <v>29.142857142857146</v>
      </c>
      <c r="V11" s="17">
        <f t="shared" si="3"/>
        <v>130.42857142857142</v>
      </c>
      <c r="W11" s="17">
        <f t="shared" si="3"/>
        <v>2.5714285714285712</v>
      </c>
      <c r="X11" s="17">
        <f t="shared" si="3"/>
        <v>1.5714285714285714</v>
      </c>
      <c r="Y11" s="17">
        <f t="shared" si="3"/>
        <v>26.142857142857142</v>
      </c>
      <c r="Z11" s="17">
        <f t="shared" si="3"/>
        <v>11.857142857142858</v>
      </c>
      <c r="AA11" s="17">
        <f t="shared" si="3"/>
        <v>0.85714285714285698</v>
      </c>
      <c r="AB11" s="17">
        <f t="shared" si="3"/>
        <v>1.1428571428571428</v>
      </c>
      <c r="AC11" s="17">
        <f t="shared" si="3"/>
        <v>490.85714285714283</v>
      </c>
      <c r="AD11" s="17">
        <f t="shared" si="3"/>
        <v>0</v>
      </c>
      <c r="AE11" s="31">
        <f t="shared" si="3"/>
        <v>377.85714285714289</v>
      </c>
      <c r="AF11" s="31">
        <f t="shared" si="3"/>
        <v>868.71428571428578</v>
      </c>
    </row>
    <row r="12" spans="2:32" ht="23.1" customHeight="1" x14ac:dyDescent="0.25">
      <c r="B12" s="23" t="s">
        <v>39</v>
      </c>
      <c r="C12" s="49">
        <f>AVERAGE('22.07 Nakawuka-Nateete'!C12,'23.07 Nakawuka-Nateete'!C12,'24.07 Nakawuka-Nateete'!C12,'25.07 Nakawuka-Nateete'!C12,'26.07 Nakawuka-Nateete-24h'!C12,'27.07 Nakawuka-Nateete-24h'!C12,'28.07 Nakawuka-Nateete'!C12)</f>
        <v>24.571428571428573</v>
      </c>
      <c r="D12" s="49">
        <f>AVERAGE('22.07 Nakawuka-Nateete'!D12,'23.07 Nakawuka-Nateete'!D12,'24.07 Nakawuka-Nateete'!D12,'25.07 Nakawuka-Nateete'!D12,'26.07 Nakawuka-Nateete-24h'!D12,'27.07 Nakawuka-Nateete-24h'!D12,'28.07 Nakawuka-Nateete'!D12)</f>
        <v>11</v>
      </c>
      <c r="E12" s="49">
        <f>AVERAGE('22.07 Nakawuka-Nateete'!E12,'23.07 Nakawuka-Nateete'!E12,'24.07 Nakawuka-Nateete'!E12,'25.07 Nakawuka-Nateete'!E12,'26.07 Nakawuka-Nateete-24h'!E12,'27.07 Nakawuka-Nateete-24h'!E12,'28.07 Nakawuka-Nateete'!E12)</f>
        <v>7.5714285714285712</v>
      </c>
      <c r="F12" s="49">
        <f>AVERAGE('22.07 Nakawuka-Nateete'!F12,'23.07 Nakawuka-Nateete'!F12,'24.07 Nakawuka-Nateete'!F12,'25.07 Nakawuka-Nateete'!F12,'26.07 Nakawuka-Nateete-24h'!F12,'27.07 Nakawuka-Nateete-24h'!F12,'28.07 Nakawuka-Nateete'!F12)</f>
        <v>33.285714285714285</v>
      </c>
      <c r="G12" s="49">
        <f>AVERAGE('22.07 Nakawuka-Nateete'!G12,'23.07 Nakawuka-Nateete'!G12,'24.07 Nakawuka-Nateete'!G12,'25.07 Nakawuka-Nateete'!G12,'26.07 Nakawuka-Nateete-24h'!G12,'27.07 Nakawuka-Nateete-24h'!G12,'28.07 Nakawuka-Nateete'!G12)</f>
        <v>0.42857142857142855</v>
      </c>
      <c r="H12" s="49">
        <f>AVERAGE('22.07 Nakawuka-Nateete'!H12,'23.07 Nakawuka-Nateete'!H12,'24.07 Nakawuka-Nateete'!H12,'25.07 Nakawuka-Nateete'!H12,'26.07 Nakawuka-Nateete-24h'!H12,'27.07 Nakawuka-Nateete-24h'!H12,'28.07 Nakawuka-Nateete'!H12)</f>
        <v>0.42857142857142855</v>
      </c>
      <c r="I12" s="49">
        <f>AVERAGE('22.07 Nakawuka-Nateete'!I12,'23.07 Nakawuka-Nateete'!I12,'24.07 Nakawuka-Nateete'!I12,'25.07 Nakawuka-Nateete'!I12,'26.07 Nakawuka-Nateete-24h'!I12,'27.07 Nakawuka-Nateete-24h'!I12,'28.07 Nakawuka-Nateete'!I12)</f>
        <v>6.5714285714285712</v>
      </c>
      <c r="J12" s="49">
        <f>AVERAGE('22.07 Nakawuka-Nateete'!J12,'23.07 Nakawuka-Nateete'!J12,'24.07 Nakawuka-Nateete'!J12,'25.07 Nakawuka-Nateete'!J12,'26.07 Nakawuka-Nateete-24h'!J12,'27.07 Nakawuka-Nateete-24h'!J12,'28.07 Nakawuka-Nateete'!J12)</f>
        <v>1.7142857142857142</v>
      </c>
      <c r="K12" s="49">
        <f>AVERAGE('22.07 Nakawuka-Nateete'!K12,'23.07 Nakawuka-Nateete'!K12,'24.07 Nakawuka-Nateete'!K12,'25.07 Nakawuka-Nateete'!K12,'26.07 Nakawuka-Nateete-24h'!K12,'27.07 Nakawuka-Nateete-24h'!K12,'28.07 Nakawuka-Nateete'!K12)</f>
        <v>0.42857142857142855</v>
      </c>
      <c r="L12" s="49">
        <f>AVERAGE('22.07 Nakawuka-Nateete'!L12,'23.07 Nakawuka-Nateete'!L12,'24.07 Nakawuka-Nateete'!L12,'25.07 Nakawuka-Nateete'!L12,'26.07 Nakawuka-Nateete-24h'!L12,'27.07 Nakawuka-Nateete-24h'!L12,'28.07 Nakawuka-Nateete'!L12)</f>
        <v>0.14285714285714285</v>
      </c>
      <c r="M12" s="49">
        <f>AVERAGE('22.07 Nakawuka-Nateete'!M12,'23.07 Nakawuka-Nateete'!M12,'24.07 Nakawuka-Nateete'!M12,'25.07 Nakawuka-Nateete'!M12,'26.07 Nakawuka-Nateete-24h'!M12,'27.07 Nakawuka-Nateete-24h'!M12,'28.07 Nakawuka-Nateete'!M12)</f>
        <v>118</v>
      </c>
      <c r="N12" s="49">
        <f>AVERAGE('22.07 Nakawuka-Nateete'!N12,'23.07 Nakawuka-Nateete'!N12,'24.07 Nakawuka-Nateete'!N12,'25.07 Nakawuka-Nateete'!N12,'26.07 Nakawuka-Nateete-24h'!N12,'27.07 Nakawuka-Nateete-24h'!N12,'28.07 Nakawuka-Nateete'!N12)</f>
        <v>0</v>
      </c>
      <c r="O12" s="31">
        <f t="shared" si="0"/>
        <v>86.142857142857125</v>
      </c>
      <c r="P12" s="31">
        <f t="shared" si="1"/>
        <v>204.14285714285711</v>
      </c>
      <c r="R12" s="1" t="s">
        <v>8</v>
      </c>
      <c r="S12" s="17">
        <f t="shared" ref="S12:AF12" si="4">SUM(C18:C21)</f>
        <v>87.714285714285722</v>
      </c>
      <c r="T12" s="17">
        <f t="shared" si="4"/>
        <v>36.857142857142861</v>
      </c>
      <c r="U12" s="17">
        <f t="shared" si="4"/>
        <v>18.142857142857142</v>
      </c>
      <c r="V12" s="17">
        <f t="shared" si="4"/>
        <v>98.571428571428584</v>
      </c>
      <c r="W12" s="17">
        <f t="shared" si="4"/>
        <v>2.8571428571428572</v>
      </c>
      <c r="X12" s="17">
        <f t="shared" si="4"/>
        <v>1.5714285714285714</v>
      </c>
      <c r="Y12" s="17">
        <f t="shared" si="4"/>
        <v>29.857142857142854</v>
      </c>
      <c r="Z12" s="17">
        <f t="shared" si="4"/>
        <v>16.571428571428573</v>
      </c>
      <c r="AA12" s="17">
        <f t="shared" si="4"/>
        <v>2.7142857142857144</v>
      </c>
      <c r="AB12" s="17">
        <f t="shared" si="4"/>
        <v>1.857142857142857</v>
      </c>
      <c r="AC12" s="17">
        <f t="shared" si="4"/>
        <v>421.14285714285717</v>
      </c>
      <c r="AD12" s="17">
        <f t="shared" si="4"/>
        <v>0</v>
      </c>
      <c r="AE12" s="31">
        <f t="shared" si="4"/>
        <v>296.71428571428578</v>
      </c>
      <c r="AF12" s="31">
        <f t="shared" si="4"/>
        <v>717.85714285714289</v>
      </c>
    </row>
    <row r="13" spans="2:32" ht="23.1" customHeight="1" x14ac:dyDescent="0.25">
      <c r="B13" s="23" t="s">
        <v>40</v>
      </c>
      <c r="C13" s="49">
        <f>AVERAGE('22.07 Nakawuka-Nateete'!C13,'23.07 Nakawuka-Nateete'!C13,'24.07 Nakawuka-Nateete'!C13,'25.07 Nakawuka-Nateete'!C13,'26.07 Nakawuka-Nateete-24h'!C13,'27.07 Nakawuka-Nateete-24h'!C13,'28.07 Nakawuka-Nateete'!C13)</f>
        <v>26.571428571428573</v>
      </c>
      <c r="D13" s="49">
        <f>AVERAGE('22.07 Nakawuka-Nateete'!D13,'23.07 Nakawuka-Nateete'!D13,'24.07 Nakawuka-Nateete'!D13,'25.07 Nakawuka-Nateete'!D13,'26.07 Nakawuka-Nateete-24h'!D13,'27.07 Nakawuka-Nateete-24h'!D13,'28.07 Nakawuka-Nateete'!D13)</f>
        <v>10.285714285714286</v>
      </c>
      <c r="E13" s="49">
        <f>AVERAGE('22.07 Nakawuka-Nateete'!E13,'23.07 Nakawuka-Nateete'!E13,'24.07 Nakawuka-Nateete'!E13,'25.07 Nakawuka-Nateete'!E13,'26.07 Nakawuka-Nateete-24h'!E13,'27.07 Nakawuka-Nateete-24h'!E13,'28.07 Nakawuka-Nateete'!E13)</f>
        <v>7.4285714285714288</v>
      </c>
      <c r="F13" s="49">
        <f>AVERAGE('22.07 Nakawuka-Nateete'!F13,'23.07 Nakawuka-Nateete'!F13,'24.07 Nakawuka-Nateete'!F13,'25.07 Nakawuka-Nateete'!F13,'26.07 Nakawuka-Nateete-24h'!F13,'27.07 Nakawuka-Nateete-24h'!F13,'28.07 Nakawuka-Nateete'!F13)</f>
        <v>36.714285714285715</v>
      </c>
      <c r="G13" s="49">
        <f>AVERAGE('22.07 Nakawuka-Nateete'!G13,'23.07 Nakawuka-Nateete'!G13,'24.07 Nakawuka-Nateete'!G13,'25.07 Nakawuka-Nateete'!G13,'26.07 Nakawuka-Nateete-24h'!G13,'27.07 Nakawuka-Nateete-24h'!G13,'28.07 Nakawuka-Nateete'!G13)</f>
        <v>0.7142857142857143</v>
      </c>
      <c r="H13" s="49">
        <f>AVERAGE('22.07 Nakawuka-Nateete'!H13,'23.07 Nakawuka-Nateete'!H13,'24.07 Nakawuka-Nateete'!H13,'25.07 Nakawuka-Nateete'!H13,'26.07 Nakawuka-Nateete-24h'!H13,'27.07 Nakawuka-Nateete-24h'!H13,'28.07 Nakawuka-Nateete'!H13)</f>
        <v>0.2857142857142857</v>
      </c>
      <c r="I13" s="49">
        <f>AVERAGE('22.07 Nakawuka-Nateete'!I13,'23.07 Nakawuka-Nateete'!I13,'24.07 Nakawuka-Nateete'!I13,'25.07 Nakawuka-Nateete'!I13,'26.07 Nakawuka-Nateete-24h'!I13,'27.07 Nakawuka-Nateete-24h'!I13,'28.07 Nakawuka-Nateete'!I13)</f>
        <v>7.7142857142857144</v>
      </c>
      <c r="J13" s="49">
        <f>AVERAGE('22.07 Nakawuka-Nateete'!J13,'23.07 Nakawuka-Nateete'!J13,'24.07 Nakawuka-Nateete'!J13,'25.07 Nakawuka-Nateete'!J13,'26.07 Nakawuka-Nateete-24h'!J13,'27.07 Nakawuka-Nateete-24h'!J13,'28.07 Nakawuka-Nateete'!J13)</f>
        <v>2.2857142857142856</v>
      </c>
      <c r="K13" s="49">
        <f>AVERAGE('22.07 Nakawuka-Nateete'!K13,'23.07 Nakawuka-Nateete'!K13,'24.07 Nakawuka-Nateete'!K13,'25.07 Nakawuka-Nateete'!K13,'26.07 Nakawuka-Nateete-24h'!K13,'27.07 Nakawuka-Nateete-24h'!K13,'28.07 Nakawuka-Nateete'!K13)</f>
        <v>1.1428571428571428</v>
      </c>
      <c r="L13" s="49">
        <f>AVERAGE('22.07 Nakawuka-Nateete'!L13,'23.07 Nakawuka-Nateete'!L13,'24.07 Nakawuka-Nateete'!L13,'25.07 Nakawuka-Nateete'!L13,'26.07 Nakawuka-Nateete-24h'!L13,'27.07 Nakawuka-Nateete-24h'!L13,'28.07 Nakawuka-Nateete'!L13)</f>
        <v>0.14285714285714285</v>
      </c>
      <c r="M13" s="49">
        <f>AVERAGE('22.07 Nakawuka-Nateete'!M13,'23.07 Nakawuka-Nateete'!M13,'24.07 Nakawuka-Nateete'!M13,'25.07 Nakawuka-Nateete'!M13,'26.07 Nakawuka-Nateete-24h'!M13,'27.07 Nakawuka-Nateete-24h'!M13,'28.07 Nakawuka-Nateete'!M13)</f>
        <v>119.71428571428571</v>
      </c>
      <c r="N13" s="49">
        <f>AVERAGE('22.07 Nakawuka-Nateete'!N13,'23.07 Nakawuka-Nateete'!N13,'24.07 Nakawuka-Nateete'!N13,'25.07 Nakawuka-Nateete'!N13,'26.07 Nakawuka-Nateete-24h'!N13,'27.07 Nakawuka-Nateete-24h'!N13,'28.07 Nakawuka-Nateete'!N13)</f>
        <v>0</v>
      </c>
      <c r="O13" s="31">
        <f t="shared" si="0"/>
        <v>93.285714285714278</v>
      </c>
      <c r="P13" s="31">
        <f t="shared" si="1"/>
        <v>213</v>
      </c>
      <c r="R13" s="1" t="s">
        <v>9</v>
      </c>
      <c r="S13" s="17">
        <f t="shared" ref="S13:AF13" si="5">SUM(C22:C25)</f>
        <v>91.571428571428584</v>
      </c>
      <c r="T13" s="17">
        <f t="shared" si="5"/>
        <v>35.428571428571431</v>
      </c>
      <c r="U13" s="17">
        <f t="shared" si="5"/>
        <v>16.428571428571427</v>
      </c>
      <c r="V13" s="17">
        <f t="shared" si="5"/>
        <v>90.714285714285708</v>
      </c>
      <c r="W13" s="17">
        <f t="shared" si="5"/>
        <v>2.8571428571428572</v>
      </c>
      <c r="X13" s="17">
        <f t="shared" si="5"/>
        <v>0.2857142857142857</v>
      </c>
      <c r="Y13" s="17">
        <f t="shared" si="5"/>
        <v>25.142857142857146</v>
      </c>
      <c r="Z13" s="17">
        <f t="shared" si="5"/>
        <v>15.285714285714286</v>
      </c>
      <c r="AA13" s="17">
        <f t="shared" si="5"/>
        <v>2.2857142857142856</v>
      </c>
      <c r="AB13" s="17">
        <f t="shared" si="5"/>
        <v>1.9999999999999998</v>
      </c>
      <c r="AC13" s="17">
        <f t="shared" si="5"/>
        <v>441.42857142857144</v>
      </c>
      <c r="AD13" s="17">
        <f t="shared" si="5"/>
        <v>0.14285714285714285</v>
      </c>
      <c r="AE13" s="31">
        <f t="shared" si="5"/>
        <v>282.14285714285711</v>
      </c>
      <c r="AF13" s="31">
        <f t="shared" si="5"/>
        <v>723.57142857142856</v>
      </c>
    </row>
    <row r="14" spans="2:32" ht="23.1" customHeight="1" x14ac:dyDescent="0.25">
      <c r="B14" s="23" t="s">
        <v>41</v>
      </c>
      <c r="C14" s="49">
        <f>AVERAGE('22.07 Nakawuka-Nateete'!C14,'23.07 Nakawuka-Nateete'!C14,'24.07 Nakawuka-Nateete'!C14,'25.07 Nakawuka-Nateete'!C14,'26.07 Nakawuka-Nateete-24h'!C14,'27.07 Nakawuka-Nateete-24h'!C14,'28.07 Nakawuka-Nateete'!C14)</f>
        <v>31.714285714285715</v>
      </c>
      <c r="D14" s="49">
        <f>AVERAGE('22.07 Nakawuka-Nateete'!D14,'23.07 Nakawuka-Nateete'!D14,'24.07 Nakawuka-Nateete'!D14,'25.07 Nakawuka-Nateete'!D14,'26.07 Nakawuka-Nateete-24h'!D14,'27.07 Nakawuka-Nateete-24h'!D14,'28.07 Nakawuka-Nateete'!D14)</f>
        <v>13.285714285714286</v>
      </c>
      <c r="E14" s="49">
        <f>AVERAGE('22.07 Nakawuka-Nateete'!E14,'23.07 Nakawuka-Nateete'!E14,'24.07 Nakawuka-Nateete'!E14,'25.07 Nakawuka-Nateete'!E14,'26.07 Nakawuka-Nateete-24h'!E14,'27.07 Nakawuka-Nateete-24h'!E14,'28.07 Nakawuka-Nateete'!E14)</f>
        <v>9</v>
      </c>
      <c r="F14" s="49">
        <f>AVERAGE('22.07 Nakawuka-Nateete'!F14,'23.07 Nakawuka-Nateete'!F14,'24.07 Nakawuka-Nateete'!F14,'25.07 Nakawuka-Nateete'!F14,'26.07 Nakawuka-Nateete-24h'!F14,'27.07 Nakawuka-Nateete-24h'!F14,'28.07 Nakawuka-Nateete'!F14)</f>
        <v>31.428571428571427</v>
      </c>
      <c r="G14" s="49">
        <f>AVERAGE('22.07 Nakawuka-Nateete'!G14,'23.07 Nakawuka-Nateete'!G14,'24.07 Nakawuka-Nateete'!G14,'25.07 Nakawuka-Nateete'!G14,'26.07 Nakawuka-Nateete-24h'!G14,'27.07 Nakawuka-Nateete-24h'!G14,'28.07 Nakawuka-Nateete'!G14)</f>
        <v>0.2857142857142857</v>
      </c>
      <c r="H14" s="49">
        <f>AVERAGE('22.07 Nakawuka-Nateete'!H14,'23.07 Nakawuka-Nateete'!H14,'24.07 Nakawuka-Nateete'!H14,'25.07 Nakawuka-Nateete'!H14,'26.07 Nakawuka-Nateete-24h'!H14,'27.07 Nakawuka-Nateete-24h'!H14,'28.07 Nakawuka-Nateete'!H14)</f>
        <v>0.42857142857142855</v>
      </c>
      <c r="I14" s="49">
        <f>AVERAGE('22.07 Nakawuka-Nateete'!I14,'23.07 Nakawuka-Nateete'!I14,'24.07 Nakawuka-Nateete'!I14,'25.07 Nakawuka-Nateete'!I14,'26.07 Nakawuka-Nateete-24h'!I14,'27.07 Nakawuka-Nateete-24h'!I14,'28.07 Nakawuka-Nateete'!I14)</f>
        <v>5.2857142857142856</v>
      </c>
      <c r="J14" s="49">
        <f>AVERAGE('22.07 Nakawuka-Nateete'!J14,'23.07 Nakawuka-Nateete'!J14,'24.07 Nakawuka-Nateete'!J14,'25.07 Nakawuka-Nateete'!J14,'26.07 Nakawuka-Nateete-24h'!J14,'27.07 Nakawuka-Nateete-24h'!J14,'28.07 Nakawuka-Nateete'!J14)</f>
        <v>2</v>
      </c>
      <c r="K14" s="49">
        <f>AVERAGE('22.07 Nakawuka-Nateete'!K14,'23.07 Nakawuka-Nateete'!K14,'24.07 Nakawuka-Nateete'!K14,'25.07 Nakawuka-Nateete'!K14,'26.07 Nakawuka-Nateete-24h'!K14,'27.07 Nakawuka-Nateete-24h'!K14,'28.07 Nakawuka-Nateete'!K14)</f>
        <v>0.14285714285714285</v>
      </c>
      <c r="L14" s="49">
        <f>AVERAGE('22.07 Nakawuka-Nateete'!L14,'23.07 Nakawuka-Nateete'!L14,'24.07 Nakawuka-Nateete'!L14,'25.07 Nakawuka-Nateete'!L14,'26.07 Nakawuka-Nateete-24h'!L14,'27.07 Nakawuka-Nateete-24h'!L14,'28.07 Nakawuka-Nateete'!L14)</f>
        <v>0.2857142857142857</v>
      </c>
      <c r="M14" s="49">
        <f>AVERAGE('22.07 Nakawuka-Nateete'!M14,'23.07 Nakawuka-Nateete'!M14,'24.07 Nakawuka-Nateete'!M14,'25.07 Nakawuka-Nateete'!M14,'26.07 Nakawuka-Nateete-24h'!M14,'27.07 Nakawuka-Nateete-24h'!M14,'28.07 Nakawuka-Nateete'!M14)</f>
        <v>127.14285714285714</v>
      </c>
      <c r="N14" s="49">
        <f>AVERAGE('22.07 Nakawuka-Nateete'!N14,'23.07 Nakawuka-Nateete'!N14,'24.07 Nakawuka-Nateete'!N14,'25.07 Nakawuka-Nateete'!N14,'26.07 Nakawuka-Nateete-24h'!N14,'27.07 Nakawuka-Nateete-24h'!N14,'28.07 Nakawuka-Nateete'!N14)</f>
        <v>0</v>
      </c>
      <c r="O14" s="31">
        <f t="shared" si="0"/>
        <v>93.857142857142875</v>
      </c>
      <c r="P14" s="31">
        <f t="shared" si="1"/>
        <v>221</v>
      </c>
      <c r="R14" s="1" t="s">
        <v>10</v>
      </c>
      <c r="S14" s="17">
        <f t="shared" ref="S14:AF14" si="6">SUM(C26:C29)</f>
        <v>71.142857142857153</v>
      </c>
      <c r="T14" s="17">
        <f t="shared" si="6"/>
        <v>36.857142857142861</v>
      </c>
      <c r="U14" s="17">
        <f t="shared" si="6"/>
        <v>19.285714285714285</v>
      </c>
      <c r="V14" s="17">
        <f t="shared" si="6"/>
        <v>76.857142857142861</v>
      </c>
      <c r="W14" s="17">
        <f t="shared" si="6"/>
        <v>1.2857142857142856</v>
      </c>
      <c r="X14" s="17">
        <f t="shared" si="6"/>
        <v>0.2857142857142857</v>
      </c>
      <c r="Y14" s="17">
        <f t="shared" si="6"/>
        <v>23.142857142857146</v>
      </c>
      <c r="Z14" s="17">
        <f t="shared" si="6"/>
        <v>16.285714285714285</v>
      </c>
      <c r="AA14" s="17">
        <f t="shared" si="6"/>
        <v>2.4285714285714284</v>
      </c>
      <c r="AB14" s="17">
        <f t="shared" si="6"/>
        <v>3.7142857142857144</v>
      </c>
      <c r="AC14" s="17">
        <f t="shared" si="6"/>
        <v>392.42857142857139</v>
      </c>
      <c r="AD14" s="17">
        <f t="shared" si="6"/>
        <v>0</v>
      </c>
      <c r="AE14" s="31">
        <f t="shared" si="6"/>
        <v>251.28571428571428</v>
      </c>
      <c r="AF14" s="31">
        <f t="shared" si="6"/>
        <v>643.71428571428578</v>
      </c>
    </row>
    <row r="15" spans="2:32" ht="23.1" customHeight="1" x14ac:dyDescent="0.25">
      <c r="B15" s="23" t="s">
        <v>42</v>
      </c>
      <c r="C15" s="49">
        <f>AVERAGE('22.07 Nakawuka-Nateete'!C15,'23.07 Nakawuka-Nateete'!C15,'24.07 Nakawuka-Nateete'!C15,'25.07 Nakawuka-Nateete'!C15,'26.07 Nakawuka-Nateete-24h'!C15,'27.07 Nakawuka-Nateete-24h'!C15,'28.07 Nakawuka-Nateete'!C15)</f>
        <v>30.142857142857142</v>
      </c>
      <c r="D15" s="49">
        <f>AVERAGE('22.07 Nakawuka-Nateete'!D15,'23.07 Nakawuka-Nateete'!D15,'24.07 Nakawuka-Nateete'!D15,'25.07 Nakawuka-Nateete'!D15,'26.07 Nakawuka-Nateete-24h'!D15,'27.07 Nakawuka-Nateete-24h'!D15,'28.07 Nakawuka-Nateete'!D15)</f>
        <v>11.428571428571429</v>
      </c>
      <c r="E15" s="49">
        <f>AVERAGE('22.07 Nakawuka-Nateete'!E15,'23.07 Nakawuka-Nateete'!E15,'24.07 Nakawuka-Nateete'!E15,'25.07 Nakawuka-Nateete'!E15,'26.07 Nakawuka-Nateete-24h'!E15,'27.07 Nakawuka-Nateete-24h'!E15,'28.07 Nakawuka-Nateete'!E15)</f>
        <v>6.4285714285714288</v>
      </c>
      <c r="F15" s="49">
        <f>AVERAGE('22.07 Nakawuka-Nateete'!F15,'23.07 Nakawuka-Nateete'!F15,'24.07 Nakawuka-Nateete'!F15,'25.07 Nakawuka-Nateete'!F15,'26.07 Nakawuka-Nateete-24h'!F15,'27.07 Nakawuka-Nateete-24h'!F15,'28.07 Nakawuka-Nateete'!F15)</f>
        <v>33.714285714285715</v>
      </c>
      <c r="G15" s="49">
        <f>AVERAGE('22.07 Nakawuka-Nateete'!G15,'23.07 Nakawuka-Nateete'!G15,'24.07 Nakawuka-Nateete'!G15,'25.07 Nakawuka-Nateete'!G15,'26.07 Nakawuka-Nateete-24h'!G15,'27.07 Nakawuka-Nateete-24h'!G15,'28.07 Nakawuka-Nateete'!G15)</f>
        <v>0.7142857142857143</v>
      </c>
      <c r="H15" s="49">
        <f>AVERAGE('22.07 Nakawuka-Nateete'!H15,'23.07 Nakawuka-Nateete'!H15,'24.07 Nakawuka-Nateete'!H15,'25.07 Nakawuka-Nateete'!H15,'26.07 Nakawuka-Nateete-24h'!H15,'27.07 Nakawuka-Nateete-24h'!H15,'28.07 Nakawuka-Nateete'!H15)</f>
        <v>0.42857142857142855</v>
      </c>
      <c r="I15" s="49">
        <f>AVERAGE('22.07 Nakawuka-Nateete'!I15,'23.07 Nakawuka-Nateete'!I15,'24.07 Nakawuka-Nateete'!I15,'25.07 Nakawuka-Nateete'!I15,'26.07 Nakawuka-Nateete-24h'!I15,'27.07 Nakawuka-Nateete-24h'!I15,'28.07 Nakawuka-Nateete'!I15)</f>
        <v>7.8571428571428568</v>
      </c>
      <c r="J15" s="49">
        <f>AVERAGE('22.07 Nakawuka-Nateete'!J15,'23.07 Nakawuka-Nateete'!J15,'24.07 Nakawuka-Nateete'!J15,'25.07 Nakawuka-Nateete'!J15,'26.07 Nakawuka-Nateete-24h'!J15,'27.07 Nakawuka-Nateete-24h'!J15,'28.07 Nakawuka-Nateete'!J15)</f>
        <v>4</v>
      </c>
      <c r="K15" s="49">
        <f>AVERAGE('22.07 Nakawuka-Nateete'!K15,'23.07 Nakawuka-Nateete'!K15,'24.07 Nakawuka-Nateete'!K15,'25.07 Nakawuka-Nateete'!K15,'26.07 Nakawuka-Nateete-24h'!K15,'27.07 Nakawuka-Nateete-24h'!K15,'28.07 Nakawuka-Nateete'!K15)</f>
        <v>0.5714285714285714</v>
      </c>
      <c r="L15" s="49">
        <f>AVERAGE('22.07 Nakawuka-Nateete'!L15,'23.07 Nakawuka-Nateete'!L15,'24.07 Nakawuka-Nateete'!L15,'25.07 Nakawuka-Nateete'!L15,'26.07 Nakawuka-Nateete-24h'!L15,'27.07 Nakawuka-Nateete-24h'!L15,'28.07 Nakawuka-Nateete'!L15)</f>
        <v>0.14285714285714285</v>
      </c>
      <c r="M15" s="49">
        <f>AVERAGE('22.07 Nakawuka-Nateete'!M15,'23.07 Nakawuka-Nateete'!M15,'24.07 Nakawuka-Nateete'!M15,'25.07 Nakawuka-Nateete'!M15,'26.07 Nakawuka-Nateete-24h'!M15,'27.07 Nakawuka-Nateete-24h'!M15,'28.07 Nakawuka-Nateete'!M15)</f>
        <v>125.42857142857143</v>
      </c>
      <c r="N15" s="49">
        <f>AVERAGE('22.07 Nakawuka-Nateete'!N15,'23.07 Nakawuka-Nateete'!N15,'24.07 Nakawuka-Nateete'!N15,'25.07 Nakawuka-Nateete'!N15,'26.07 Nakawuka-Nateete-24h'!N15,'27.07 Nakawuka-Nateete-24h'!N15,'28.07 Nakawuka-Nateete'!N15)</f>
        <v>0</v>
      </c>
      <c r="O15" s="31">
        <f t="shared" si="0"/>
        <v>95.428571428571431</v>
      </c>
      <c r="P15" s="31">
        <f t="shared" si="1"/>
        <v>220.85714285714286</v>
      </c>
      <c r="R15" s="1" t="s">
        <v>11</v>
      </c>
      <c r="S15" s="17">
        <f t="shared" ref="S15:AF15" si="7">SUM(C30:C33)</f>
        <v>64</v>
      </c>
      <c r="T15" s="17">
        <f t="shared" si="7"/>
        <v>31.142857142857142</v>
      </c>
      <c r="U15" s="17">
        <f t="shared" si="7"/>
        <v>19.714285714285715</v>
      </c>
      <c r="V15" s="17">
        <f t="shared" si="7"/>
        <v>72.428571428571416</v>
      </c>
      <c r="W15" s="17">
        <f t="shared" si="7"/>
        <v>3.5714285714285712</v>
      </c>
      <c r="X15" s="17">
        <f t="shared" si="7"/>
        <v>0.14285714285714285</v>
      </c>
      <c r="Y15" s="17">
        <f t="shared" si="7"/>
        <v>21.285714285714288</v>
      </c>
      <c r="Z15" s="17">
        <f t="shared" si="7"/>
        <v>16.142857142857142</v>
      </c>
      <c r="AA15" s="17">
        <f t="shared" si="7"/>
        <v>3.4285714285714288</v>
      </c>
      <c r="AB15" s="17">
        <f t="shared" si="7"/>
        <v>2.5714285714285712</v>
      </c>
      <c r="AC15" s="17">
        <f t="shared" si="7"/>
        <v>414.42857142857139</v>
      </c>
      <c r="AD15" s="17">
        <f t="shared" si="7"/>
        <v>0</v>
      </c>
      <c r="AE15" s="31">
        <f t="shared" si="7"/>
        <v>234.42857142857147</v>
      </c>
      <c r="AF15" s="31">
        <f t="shared" si="7"/>
        <v>648.85714285714289</v>
      </c>
    </row>
    <row r="16" spans="2:32" ht="23.1" customHeight="1" x14ac:dyDescent="0.25">
      <c r="B16" s="23" t="s">
        <v>43</v>
      </c>
      <c r="C16" s="49">
        <f>AVERAGE('22.07 Nakawuka-Nateete'!C16,'23.07 Nakawuka-Nateete'!C16,'24.07 Nakawuka-Nateete'!C16,'25.07 Nakawuka-Nateete'!C16,'26.07 Nakawuka-Nateete-24h'!C16,'27.07 Nakawuka-Nateete-24h'!C16,'28.07 Nakawuka-Nateete'!C16)</f>
        <v>32.571428571428569</v>
      </c>
      <c r="D16" s="49">
        <f>AVERAGE('22.07 Nakawuka-Nateete'!D16,'23.07 Nakawuka-Nateete'!D16,'24.07 Nakawuka-Nateete'!D16,'25.07 Nakawuka-Nateete'!D16,'26.07 Nakawuka-Nateete-24h'!D16,'27.07 Nakawuka-Nateete-24h'!D16,'28.07 Nakawuka-Nateete'!D16)</f>
        <v>9.8571428571428577</v>
      </c>
      <c r="E16" s="49">
        <f>AVERAGE('22.07 Nakawuka-Nateete'!E16,'23.07 Nakawuka-Nateete'!E16,'24.07 Nakawuka-Nateete'!E16,'25.07 Nakawuka-Nateete'!E16,'26.07 Nakawuka-Nateete-24h'!E16,'27.07 Nakawuka-Nateete-24h'!E16,'28.07 Nakawuka-Nateete'!E16)</f>
        <v>7.1428571428571432</v>
      </c>
      <c r="F16" s="49">
        <f>AVERAGE('22.07 Nakawuka-Nateete'!F16,'23.07 Nakawuka-Nateete'!F16,'24.07 Nakawuka-Nateete'!F16,'25.07 Nakawuka-Nateete'!F16,'26.07 Nakawuka-Nateete-24h'!F16,'27.07 Nakawuka-Nateete-24h'!F16,'28.07 Nakawuka-Nateete'!F16)</f>
        <v>35.142857142857146</v>
      </c>
      <c r="G16" s="49">
        <f>AVERAGE('22.07 Nakawuka-Nateete'!G16,'23.07 Nakawuka-Nateete'!G16,'24.07 Nakawuka-Nateete'!G16,'25.07 Nakawuka-Nateete'!G16,'26.07 Nakawuka-Nateete-24h'!G16,'27.07 Nakawuka-Nateete-24h'!G16,'28.07 Nakawuka-Nateete'!G16)</f>
        <v>1</v>
      </c>
      <c r="H16" s="49">
        <f>AVERAGE('22.07 Nakawuka-Nateete'!H16,'23.07 Nakawuka-Nateete'!H16,'24.07 Nakawuka-Nateete'!H16,'25.07 Nakawuka-Nateete'!H16,'26.07 Nakawuka-Nateete-24h'!H16,'27.07 Nakawuka-Nateete-24h'!H16,'28.07 Nakawuka-Nateete'!H16)</f>
        <v>0.2857142857142857</v>
      </c>
      <c r="I16" s="49">
        <f>AVERAGE('22.07 Nakawuka-Nateete'!I16,'23.07 Nakawuka-Nateete'!I16,'24.07 Nakawuka-Nateete'!I16,'25.07 Nakawuka-Nateete'!I16,'26.07 Nakawuka-Nateete-24h'!I16,'27.07 Nakawuka-Nateete-24h'!I16,'28.07 Nakawuka-Nateete'!I16)</f>
        <v>6.8571428571428568</v>
      </c>
      <c r="J16" s="49">
        <f>AVERAGE('22.07 Nakawuka-Nateete'!J16,'23.07 Nakawuka-Nateete'!J16,'24.07 Nakawuka-Nateete'!J16,'25.07 Nakawuka-Nateete'!J16,'26.07 Nakawuka-Nateete-24h'!J16,'27.07 Nakawuka-Nateete-24h'!J16,'28.07 Nakawuka-Nateete'!J16)</f>
        <v>2.7142857142857144</v>
      </c>
      <c r="K16" s="49">
        <f>AVERAGE('22.07 Nakawuka-Nateete'!K16,'23.07 Nakawuka-Nateete'!K16,'24.07 Nakawuka-Nateete'!K16,'25.07 Nakawuka-Nateete'!K16,'26.07 Nakawuka-Nateete-24h'!K16,'27.07 Nakawuka-Nateete-24h'!K16,'28.07 Nakawuka-Nateete'!K16)</f>
        <v>0.14285714285714285</v>
      </c>
      <c r="L16" s="49">
        <f>AVERAGE('22.07 Nakawuka-Nateete'!L16,'23.07 Nakawuka-Nateete'!L16,'24.07 Nakawuka-Nateete'!L16,'25.07 Nakawuka-Nateete'!L16,'26.07 Nakawuka-Nateete-24h'!L16,'27.07 Nakawuka-Nateete-24h'!L16,'28.07 Nakawuka-Nateete'!L16)</f>
        <v>0.42857142857142855</v>
      </c>
      <c r="M16" s="49">
        <f>AVERAGE('22.07 Nakawuka-Nateete'!M16,'23.07 Nakawuka-Nateete'!M16,'24.07 Nakawuka-Nateete'!M16,'25.07 Nakawuka-Nateete'!M16,'26.07 Nakawuka-Nateete-24h'!M16,'27.07 Nakawuka-Nateete-24h'!M16,'28.07 Nakawuka-Nateete'!M16)</f>
        <v>123.57142857142857</v>
      </c>
      <c r="N16" s="49">
        <f>AVERAGE('22.07 Nakawuka-Nateete'!N16,'23.07 Nakawuka-Nateete'!N16,'24.07 Nakawuka-Nateete'!N16,'25.07 Nakawuka-Nateete'!N16,'26.07 Nakawuka-Nateete-24h'!N16,'27.07 Nakawuka-Nateete-24h'!N16,'28.07 Nakawuka-Nateete'!N16)</f>
        <v>0</v>
      </c>
      <c r="O16" s="31">
        <f t="shared" si="0"/>
        <v>96.142857142857153</v>
      </c>
      <c r="P16" s="31">
        <f t="shared" si="1"/>
        <v>219.71428571428572</v>
      </c>
      <c r="R16" s="1" t="s">
        <v>12</v>
      </c>
      <c r="S16" s="17">
        <f t="shared" ref="S16:AF16" si="8">SUM(C34:C37)</f>
        <v>64.571428571428569</v>
      </c>
      <c r="T16" s="17">
        <f t="shared" si="8"/>
        <v>23.571428571428573</v>
      </c>
      <c r="U16" s="17">
        <f t="shared" si="8"/>
        <v>18</v>
      </c>
      <c r="V16" s="17">
        <f t="shared" si="8"/>
        <v>65</v>
      </c>
      <c r="W16" s="17">
        <f t="shared" si="8"/>
        <v>0.85714285714285698</v>
      </c>
      <c r="X16" s="17">
        <f t="shared" si="8"/>
        <v>0.2857142857142857</v>
      </c>
      <c r="Y16" s="17">
        <f t="shared" si="8"/>
        <v>23</v>
      </c>
      <c r="Z16" s="17">
        <f t="shared" si="8"/>
        <v>12.428571428571427</v>
      </c>
      <c r="AA16" s="17">
        <f t="shared" si="8"/>
        <v>2.4285714285714284</v>
      </c>
      <c r="AB16" s="17">
        <f t="shared" si="8"/>
        <v>2</v>
      </c>
      <c r="AC16" s="17">
        <f t="shared" si="8"/>
        <v>421.28571428571433</v>
      </c>
      <c r="AD16" s="17">
        <f t="shared" si="8"/>
        <v>0</v>
      </c>
      <c r="AE16" s="31">
        <f t="shared" si="8"/>
        <v>212.14285714285717</v>
      </c>
      <c r="AF16" s="31">
        <f t="shared" si="8"/>
        <v>633.42857142857144</v>
      </c>
    </row>
    <row r="17" spans="2:32" ht="23.1" customHeight="1" x14ac:dyDescent="0.25">
      <c r="B17" s="23" t="s">
        <v>44</v>
      </c>
      <c r="C17" s="49">
        <f>AVERAGE('22.07 Nakawuka-Nateete'!C17,'23.07 Nakawuka-Nateete'!C17,'24.07 Nakawuka-Nateete'!C17,'25.07 Nakawuka-Nateete'!C17,'26.07 Nakawuka-Nateete-24h'!C17,'27.07 Nakawuka-Nateete-24h'!C17,'28.07 Nakawuka-Nateete'!C17)</f>
        <v>32.571428571428569</v>
      </c>
      <c r="D17" s="49">
        <f>AVERAGE('22.07 Nakawuka-Nateete'!D17,'23.07 Nakawuka-Nateete'!D17,'24.07 Nakawuka-Nateete'!D17,'25.07 Nakawuka-Nateete'!D17,'26.07 Nakawuka-Nateete-24h'!D17,'27.07 Nakawuka-Nateete-24h'!D17,'28.07 Nakawuka-Nateete'!D17)</f>
        <v>12.571428571428571</v>
      </c>
      <c r="E17" s="49">
        <f>AVERAGE('22.07 Nakawuka-Nateete'!E17,'23.07 Nakawuka-Nateete'!E17,'24.07 Nakawuka-Nateete'!E17,'25.07 Nakawuka-Nateete'!E17,'26.07 Nakawuka-Nateete-24h'!E17,'27.07 Nakawuka-Nateete-24h'!E17,'28.07 Nakawuka-Nateete'!E17)</f>
        <v>6.5714285714285712</v>
      </c>
      <c r="F17" s="49">
        <f>AVERAGE('22.07 Nakawuka-Nateete'!F17,'23.07 Nakawuka-Nateete'!F17,'24.07 Nakawuka-Nateete'!F17,'25.07 Nakawuka-Nateete'!F17,'26.07 Nakawuka-Nateete-24h'!F17,'27.07 Nakawuka-Nateete-24h'!F17,'28.07 Nakawuka-Nateete'!F17)</f>
        <v>30.142857142857142</v>
      </c>
      <c r="G17" s="49">
        <f>AVERAGE('22.07 Nakawuka-Nateete'!G17,'23.07 Nakawuka-Nateete'!G17,'24.07 Nakawuka-Nateete'!G17,'25.07 Nakawuka-Nateete'!G17,'26.07 Nakawuka-Nateete-24h'!G17,'27.07 Nakawuka-Nateete-24h'!G17,'28.07 Nakawuka-Nateete'!G17)</f>
        <v>0.5714285714285714</v>
      </c>
      <c r="H17" s="49">
        <f>AVERAGE('22.07 Nakawuka-Nateete'!H17,'23.07 Nakawuka-Nateete'!H17,'24.07 Nakawuka-Nateete'!H17,'25.07 Nakawuka-Nateete'!H17,'26.07 Nakawuka-Nateete-24h'!H17,'27.07 Nakawuka-Nateete-24h'!H17,'28.07 Nakawuka-Nateete'!H17)</f>
        <v>0.42857142857142855</v>
      </c>
      <c r="I17" s="49">
        <f>AVERAGE('22.07 Nakawuka-Nateete'!I17,'23.07 Nakawuka-Nateete'!I17,'24.07 Nakawuka-Nateete'!I17,'25.07 Nakawuka-Nateete'!I17,'26.07 Nakawuka-Nateete-24h'!I17,'27.07 Nakawuka-Nateete-24h'!I17,'28.07 Nakawuka-Nateete'!I17)</f>
        <v>6.1428571428571432</v>
      </c>
      <c r="J17" s="49">
        <f>AVERAGE('22.07 Nakawuka-Nateete'!J17,'23.07 Nakawuka-Nateete'!J17,'24.07 Nakawuka-Nateete'!J17,'25.07 Nakawuka-Nateete'!J17,'26.07 Nakawuka-Nateete-24h'!J17,'27.07 Nakawuka-Nateete-24h'!J17,'28.07 Nakawuka-Nateete'!J17)</f>
        <v>3.1428571428571428</v>
      </c>
      <c r="K17" s="49">
        <f>AVERAGE('22.07 Nakawuka-Nateete'!K17,'23.07 Nakawuka-Nateete'!K17,'24.07 Nakawuka-Nateete'!K17,'25.07 Nakawuka-Nateete'!K17,'26.07 Nakawuka-Nateete-24h'!K17,'27.07 Nakawuka-Nateete-24h'!K17,'28.07 Nakawuka-Nateete'!K17)</f>
        <v>0</v>
      </c>
      <c r="L17" s="49">
        <f>AVERAGE('22.07 Nakawuka-Nateete'!L17,'23.07 Nakawuka-Nateete'!L17,'24.07 Nakawuka-Nateete'!L17,'25.07 Nakawuka-Nateete'!L17,'26.07 Nakawuka-Nateete-24h'!L17,'27.07 Nakawuka-Nateete-24h'!L17,'28.07 Nakawuka-Nateete'!L17)</f>
        <v>0.2857142857142857</v>
      </c>
      <c r="M17" s="49">
        <f>AVERAGE('22.07 Nakawuka-Nateete'!M17,'23.07 Nakawuka-Nateete'!M17,'24.07 Nakawuka-Nateete'!M17,'25.07 Nakawuka-Nateete'!M17,'26.07 Nakawuka-Nateete-24h'!M17,'27.07 Nakawuka-Nateete-24h'!M17,'28.07 Nakawuka-Nateete'!M17)</f>
        <v>114.71428571428571</v>
      </c>
      <c r="N17" s="49">
        <f>AVERAGE('22.07 Nakawuka-Nateete'!N17,'23.07 Nakawuka-Nateete'!N17,'24.07 Nakawuka-Nateete'!N17,'25.07 Nakawuka-Nateete'!N17,'26.07 Nakawuka-Nateete-24h'!N17,'27.07 Nakawuka-Nateete-24h'!N17,'28.07 Nakawuka-Nateete'!N17)</f>
        <v>0</v>
      </c>
      <c r="O17" s="31">
        <f t="shared" si="0"/>
        <v>92.428571428571416</v>
      </c>
      <c r="P17" s="31">
        <f t="shared" si="1"/>
        <v>207.14285714285711</v>
      </c>
      <c r="R17" s="1" t="s">
        <v>13</v>
      </c>
      <c r="S17" s="17">
        <f t="shared" ref="S17:AF17" si="9">SUM(C38:C41)</f>
        <v>53.142857142857139</v>
      </c>
      <c r="T17" s="17">
        <f t="shared" si="9"/>
        <v>29</v>
      </c>
      <c r="U17" s="17">
        <f t="shared" si="9"/>
        <v>22</v>
      </c>
      <c r="V17" s="17">
        <f t="shared" si="9"/>
        <v>57</v>
      </c>
      <c r="W17" s="17">
        <f t="shared" si="9"/>
        <v>2.2857142857142856</v>
      </c>
      <c r="X17" s="17">
        <f t="shared" si="9"/>
        <v>0.5714285714285714</v>
      </c>
      <c r="Y17" s="17">
        <f t="shared" si="9"/>
        <v>19.857142857142858</v>
      </c>
      <c r="Z17" s="17">
        <f t="shared" si="9"/>
        <v>16</v>
      </c>
      <c r="AA17" s="17">
        <f t="shared" si="9"/>
        <v>3</v>
      </c>
      <c r="AB17" s="17">
        <f t="shared" si="9"/>
        <v>1.4285714285714284</v>
      </c>
      <c r="AC17" s="17">
        <f t="shared" si="9"/>
        <v>392.71428571428567</v>
      </c>
      <c r="AD17" s="17">
        <f t="shared" si="9"/>
        <v>0</v>
      </c>
      <c r="AE17" s="31">
        <f t="shared" si="9"/>
        <v>204.28571428571431</v>
      </c>
      <c r="AF17" s="31">
        <f t="shared" si="9"/>
        <v>597</v>
      </c>
    </row>
    <row r="18" spans="2:32" ht="23.1" customHeight="1" x14ac:dyDescent="0.25">
      <c r="B18" s="23" t="s">
        <v>45</v>
      </c>
      <c r="C18" s="49">
        <f>AVERAGE('22.07 Nakawuka-Nateete'!C18,'23.07 Nakawuka-Nateete'!C18,'24.07 Nakawuka-Nateete'!C18,'25.07 Nakawuka-Nateete'!C18,'26.07 Nakawuka-Nateete-24h'!C18,'27.07 Nakawuka-Nateete-24h'!C18,'28.07 Nakawuka-Nateete'!C18)</f>
        <v>23.285714285714285</v>
      </c>
      <c r="D18" s="49">
        <f>AVERAGE('22.07 Nakawuka-Nateete'!D18,'23.07 Nakawuka-Nateete'!D18,'24.07 Nakawuka-Nateete'!D18,'25.07 Nakawuka-Nateete'!D18,'26.07 Nakawuka-Nateete-24h'!D18,'27.07 Nakawuka-Nateete-24h'!D18,'28.07 Nakawuka-Nateete'!D18)</f>
        <v>10.142857142857142</v>
      </c>
      <c r="E18" s="49">
        <f>AVERAGE('22.07 Nakawuka-Nateete'!E18,'23.07 Nakawuka-Nateete'!E18,'24.07 Nakawuka-Nateete'!E18,'25.07 Nakawuka-Nateete'!E18,'26.07 Nakawuka-Nateete-24h'!E18,'27.07 Nakawuka-Nateete-24h'!E18,'28.07 Nakawuka-Nateete'!E18)</f>
        <v>4.5714285714285712</v>
      </c>
      <c r="F18" s="49">
        <f>AVERAGE('22.07 Nakawuka-Nateete'!F18,'23.07 Nakawuka-Nateete'!F18,'24.07 Nakawuka-Nateete'!F18,'25.07 Nakawuka-Nateete'!F18,'26.07 Nakawuka-Nateete-24h'!F18,'27.07 Nakawuka-Nateete-24h'!F18,'28.07 Nakawuka-Nateete'!F18)</f>
        <v>27.857142857142858</v>
      </c>
      <c r="G18" s="49">
        <f>AVERAGE('22.07 Nakawuka-Nateete'!G18,'23.07 Nakawuka-Nateete'!G18,'24.07 Nakawuka-Nateete'!G18,'25.07 Nakawuka-Nateete'!G18,'26.07 Nakawuka-Nateete-24h'!G18,'27.07 Nakawuka-Nateete-24h'!G18,'28.07 Nakawuka-Nateete'!G18)</f>
        <v>0.42857142857142855</v>
      </c>
      <c r="H18" s="49">
        <f>AVERAGE('22.07 Nakawuka-Nateete'!H18,'23.07 Nakawuka-Nateete'!H18,'24.07 Nakawuka-Nateete'!H18,'25.07 Nakawuka-Nateete'!H18,'26.07 Nakawuka-Nateete-24h'!H18,'27.07 Nakawuka-Nateete-24h'!H18,'28.07 Nakawuka-Nateete'!H18)</f>
        <v>0.42857142857142855</v>
      </c>
      <c r="I18" s="49">
        <f>AVERAGE('22.07 Nakawuka-Nateete'!I18,'23.07 Nakawuka-Nateete'!I18,'24.07 Nakawuka-Nateete'!I18,'25.07 Nakawuka-Nateete'!I18,'26.07 Nakawuka-Nateete-24h'!I18,'27.07 Nakawuka-Nateete-24h'!I18,'28.07 Nakawuka-Nateete'!I18)</f>
        <v>8.5714285714285712</v>
      </c>
      <c r="J18" s="49">
        <f>AVERAGE('22.07 Nakawuka-Nateete'!J18,'23.07 Nakawuka-Nateete'!J18,'24.07 Nakawuka-Nateete'!J18,'25.07 Nakawuka-Nateete'!J18,'26.07 Nakawuka-Nateete-24h'!J18,'27.07 Nakawuka-Nateete-24h'!J18,'28.07 Nakawuka-Nateete'!J18)</f>
        <v>5.4285714285714288</v>
      </c>
      <c r="K18" s="49">
        <f>AVERAGE('22.07 Nakawuka-Nateete'!K18,'23.07 Nakawuka-Nateete'!K18,'24.07 Nakawuka-Nateete'!K18,'25.07 Nakawuka-Nateete'!K18,'26.07 Nakawuka-Nateete-24h'!K18,'27.07 Nakawuka-Nateete-24h'!K18,'28.07 Nakawuka-Nateete'!K18)</f>
        <v>1.1428571428571428</v>
      </c>
      <c r="L18" s="49">
        <f>AVERAGE('22.07 Nakawuka-Nateete'!L18,'23.07 Nakawuka-Nateete'!L18,'24.07 Nakawuka-Nateete'!L18,'25.07 Nakawuka-Nateete'!L18,'26.07 Nakawuka-Nateete-24h'!L18,'27.07 Nakawuka-Nateete-24h'!L18,'28.07 Nakawuka-Nateete'!L18)</f>
        <v>0.42857142857142855</v>
      </c>
      <c r="M18" s="49">
        <f>AVERAGE('22.07 Nakawuka-Nateete'!M18,'23.07 Nakawuka-Nateete'!M18,'24.07 Nakawuka-Nateete'!M18,'25.07 Nakawuka-Nateete'!M18,'26.07 Nakawuka-Nateete-24h'!M18,'27.07 Nakawuka-Nateete-24h'!M18,'28.07 Nakawuka-Nateete'!M18)</f>
        <v>96.142857142857139</v>
      </c>
      <c r="N18" s="49">
        <f>AVERAGE('22.07 Nakawuka-Nateete'!N18,'23.07 Nakawuka-Nateete'!N18,'24.07 Nakawuka-Nateete'!N18,'25.07 Nakawuka-Nateete'!N18,'26.07 Nakawuka-Nateete-24h'!N18,'27.07 Nakawuka-Nateete-24h'!N18,'28.07 Nakawuka-Nateete'!N18)</f>
        <v>0</v>
      </c>
      <c r="O18" s="31">
        <f t="shared" si="0"/>
        <v>82.285714285714292</v>
      </c>
      <c r="P18" s="31">
        <f t="shared" si="1"/>
        <v>178.42857142857144</v>
      </c>
      <c r="R18" s="1" t="s">
        <v>14</v>
      </c>
      <c r="S18" s="17">
        <f t="shared" ref="S18:AF18" si="10">SUM(C42:C45)</f>
        <v>60.571428571428577</v>
      </c>
      <c r="T18" s="17">
        <f t="shared" si="10"/>
        <v>33</v>
      </c>
      <c r="U18" s="17">
        <f t="shared" si="10"/>
        <v>20.428571428571431</v>
      </c>
      <c r="V18" s="17">
        <f t="shared" si="10"/>
        <v>56.857142857142861</v>
      </c>
      <c r="W18" s="17">
        <f t="shared" si="10"/>
        <v>1.5714285714285712</v>
      </c>
      <c r="X18" s="17">
        <f t="shared" si="10"/>
        <v>0.14285714285714285</v>
      </c>
      <c r="Y18" s="17">
        <f t="shared" si="10"/>
        <v>24.714285714285715</v>
      </c>
      <c r="Z18" s="17">
        <f t="shared" si="10"/>
        <v>13.142857142857142</v>
      </c>
      <c r="AA18" s="17">
        <f t="shared" si="10"/>
        <v>3.2857142857142856</v>
      </c>
      <c r="AB18" s="17">
        <f t="shared" si="10"/>
        <v>1</v>
      </c>
      <c r="AC18" s="17">
        <f t="shared" si="10"/>
        <v>385.57142857142856</v>
      </c>
      <c r="AD18" s="17">
        <f t="shared" si="10"/>
        <v>0</v>
      </c>
      <c r="AE18" s="31">
        <f t="shared" si="10"/>
        <v>214.71428571428572</v>
      </c>
      <c r="AF18" s="31">
        <f t="shared" si="10"/>
        <v>600.28571428571422</v>
      </c>
    </row>
    <row r="19" spans="2:32" ht="23.1" customHeight="1" x14ac:dyDescent="0.25">
      <c r="B19" s="23" t="s">
        <v>46</v>
      </c>
      <c r="C19" s="49">
        <f>AVERAGE('22.07 Nakawuka-Nateete'!C19,'23.07 Nakawuka-Nateete'!C19,'24.07 Nakawuka-Nateete'!C19,'25.07 Nakawuka-Nateete'!C19,'26.07 Nakawuka-Nateete-24h'!C19,'27.07 Nakawuka-Nateete-24h'!C19,'28.07 Nakawuka-Nateete'!C19)</f>
        <v>21.857142857142858</v>
      </c>
      <c r="D19" s="49">
        <f>AVERAGE('22.07 Nakawuka-Nateete'!D19,'23.07 Nakawuka-Nateete'!D19,'24.07 Nakawuka-Nateete'!D19,'25.07 Nakawuka-Nateete'!D19,'26.07 Nakawuka-Nateete-24h'!D19,'27.07 Nakawuka-Nateete-24h'!D19,'28.07 Nakawuka-Nateete'!D19)</f>
        <v>7.8571428571428568</v>
      </c>
      <c r="E19" s="49">
        <f>AVERAGE('22.07 Nakawuka-Nateete'!E19,'23.07 Nakawuka-Nateete'!E19,'24.07 Nakawuka-Nateete'!E19,'25.07 Nakawuka-Nateete'!E19,'26.07 Nakawuka-Nateete-24h'!E19,'27.07 Nakawuka-Nateete-24h'!E19,'28.07 Nakawuka-Nateete'!E19)</f>
        <v>4</v>
      </c>
      <c r="F19" s="49">
        <f>AVERAGE('22.07 Nakawuka-Nateete'!F19,'23.07 Nakawuka-Nateete'!F19,'24.07 Nakawuka-Nateete'!F19,'25.07 Nakawuka-Nateete'!F19,'26.07 Nakawuka-Nateete-24h'!F19,'27.07 Nakawuka-Nateete-24h'!F19,'28.07 Nakawuka-Nateete'!F19)</f>
        <v>24</v>
      </c>
      <c r="G19" s="49">
        <f>AVERAGE('22.07 Nakawuka-Nateete'!G19,'23.07 Nakawuka-Nateete'!G19,'24.07 Nakawuka-Nateete'!G19,'25.07 Nakawuka-Nateete'!G19,'26.07 Nakawuka-Nateete-24h'!G19,'27.07 Nakawuka-Nateete-24h'!G19,'28.07 Nakawuka-Nateete'!G19)</f>
        <v>1.1428571428571428</v>
      </c>
      <c r="H19" s="49">
        <f>AVERAGE('22.07 Nakawuka-Nateete'!H19,'23.07 Nakawuka-Nateete'!H19,'24.07 Nakawuka-Nateete'!H19,'25.07 Nakawuka-Nateete'!H19,'26.07 Nakawuka-Nateete-24h'!H19,'27.07 Nakawuka-Nateete-24h'!H19,'28.07 Nakawuka-Nateete'!H19)</f>
        <v>0.42857142857142855</v>
      </c>
      <c r="I19" s="49">
        <f>AVERAGE('22.07 Nakawuka-Nateete'!I19,'23.07 Nakawuka-Nateete'!I19,'24.07 Nakawuka-Nateete'!I19,'25.07 Nakawuka-Nateete'!I19,'26.07 Nakawuka-Nateete-24h'!I19,'27.07 Nakawuka-Nateete-24h'!I19,'28.07 Nakawuka-Nateete'!I19)</f>
        <v>8</v>
      </c>
      <c r="J19" s="49">
        <f>AVERAGE('22.07 Nakawuka-Nateete'!J19,'23.07 Nakawuka-Nateete'!J19,'24.07 Nakawuka-Nateete'!J19,'25.07 Nakawuka-Nateete'!J19,'26.07 Nakawuka-Nateete-24h'!J19,'27.07 Nakawuka-Nateete-24h'!J19,'28.07 Nakawuka-Nateete'!J19)</f>
        <v>3.7142857142857144</v>
      </c>
      <c r="K19" s="49">
        <f>AVERAGE('22.07 Nakawuka-Nateete'!K19,'23.07 Nakawuka-Nateete'!K19,'24.07 Nakawuka-Nateete'!K19,'25.07 Nakawuka-Nateete'!K19,'26.07 Nakawuka-Nateete-24h'!K19,'27.07 Nakawuka-Nateete-24h'!K19,'28.07 Nakawuka-Nateete'!K19)</f>
        <v>0.7142857142857143</v>
      </c>
      <c r="L19" s="49">
        <f>AVERAGE('22.07 Nakawuka-Nateete'!L19,'23.07 Nakawuka-Nateete'!L19,'24.07 Nakawuka-Nateete'!L19,'25.07 Nakawuka-Nateete'!L19,'26.07 Nakawuka-Nateete-24h'!L19,'27.07 Nakawuka-Nateete-24h'!L19,'28.07 Nakawuka-Nateete'!L19)</f>
        <v>0.42857142857142855</v>
      </c>
      <c r="M19" s="49">
        <f>AVERAGE('22.07 Nakawuka-Nateete'!M19,'23.07 Nakawuka-Nateete'!M19,'24.07 Nakawuka-Nateete'!M19,'25.07 Nakawuka-Nateete'!M19,'26.07 Nakawuka-Nateete-24h'!M19,'27.07 Nakawuka-Nateete-24h'!M19,'28.07 Nakawuka-Nateete'!M19)</f>
        <v>102.57142857142857</v>
      </c>
      <c r="N19" s="49">
        <f>AVERAGE('22.07 Nakawuka-Nateete'!N19,'23.07 Nakawuka-Nateete'!N19,'24.07 Nakawuka-Nateete'!N19,'25.07 Nakawuka-Nateete'!N19,'26.07 Nakawuka-Nateete-24h'!N19,'27.07 Nakawuka-Nateete-24h'!N19,'28.07 Nakawuka-Nateete'!N19)</f>
        <v>0</v>
      </c>
      <c r="O19" s="31">
        <f t="shared" si="0"/>
        <v>72.142857142857139</v>
      </c>
      <c r="P19" s="31">
        <f t="shared" si="1"/>
        <v>174.71428571428572</v>
      </c>
      <c r="R19" s="1" t="s">
        <v>15</v>
      </c>
      <c r="S19" s="17">
        <f t="shared" ref="S19:AF19" si="11">SUM(C46:C49)</f>
        <v>72.857142857142861</v>
      </c>
      <c r="T19" s="17">
        <f t="shared" si="11"/>
        <v>25.571428571428569</v>
      </c>
      <c r="U19" s="17">
        <f t="shared" si="11"/>
        <v>19</v>
      </c>
      <c r="V19" s="17">
        <f t="shared" si="11"/>
        <v>54.142857142857146</v>
      </c>
      <c r="W19" s="17">
        <f t="shared" si="11"/>
        <v>1.5714285714285714</v>
      </c>
      <c r="X19" s="17">
        <f t="shared" si="11"/>
        <v>0</v>
      </c>
      <c r="Y19" s="17">
        <f t="shared" si="11"/>
        <v>22.571428571428573</v>
      </c>
      <c r="Z19" s="17">
        <f t="shared" si="11"/>
        <v>14.714285714285715</v>
      </c>
      <c r="AA19" s="17">
        <f t="shared" si="11"/>
        <v>3.4285714285714279</v>
      </c>
      <c r="AB19" s="17">
        <f t="shared" si="11"/>
        <v>0.5714285714285714</v>
      </c>
      <c r="AC19" s="17">
        <f t="shared" si="11"/>
        <v>399.42857142857144</v>
      </c>
      <c r="AD19" s="17">
        <f t="shared" si="11"/>
        <v>0</v>
      </c>
      <c r="AE19" s="31">
        <f t="shared" si="11"/>
        <v>214.42857142857142</v>
      </c>
      <c r="AF19" s="31">
        <f t="shared" si="11"/>
        <v>613.85714285714278</v>
      </c>
    </row>
    <row r="20" spans="2:32" ht="23.1" customHeight="1" x14ac:dyDescent="0.25">
      <c r="B20" s="23" t="s">
        <v>47</v>
      </c>
      <c r="C20" s="49">
        <f>AVERAGE('22.07 Nakawuka-Nateete'!C20,'23.07 Nakawuka-Nateete'!C20,'24.07 Nakawuka-Nateete'!C20,'25.07 Nakawuka-Nateete'!C20,'26.07 Nakawuka-Nateete-24h'!C20,'27.07 Nakawuka-Nateete-24h'!C20,'28.07 Nakawuka-Nateete'!C20)</f>
        <v>20.857142857142858</v>
      </c>
      <c r="D20" s="49">
        <f>AVERAGE('22.07 Nakawuka-Nateete'!D20,'23.07 Nakawuka-Nateete'!D20,'24.07 Nakawuka-Nateete'!D20,'25.07 Nakawuka-Nateete'!D20,'26.07 Nakawuka-Nateete-24h'!D20,'27.07 Nakawuka-Nateete-24h'!D20,'28.07 Nakawuka-Nateete'!D20)</f>
        <v>8.7142857142857135</v>
      </c>
      <c r="E20" s="49">
        <f>AVERAGE('22.07 Nakawuka-Nateete'!E20,'23.07 Nakawuka-Nateete'!E20,'24.07 Nakawuka-Nateete'!E20,'25.07 Nakawuka-Nateete'!E20,'26.07 Nakawuka-Nateete-24h'!E20,'27.07 Nakawuka-Nateete-24h'!E20,'28.07 Nakawuka-Nateete'!E20)</f>
        <v>5.4285714285714288</v>
      </c>
      <c r="F20" s="49">
        <f>AVERAGE('22.07 Nakawuka-Nateete'!F20,'23.07 Nakawuka-Nateete'!F20,'24.07 Nakawuka-Nateete'!F20,'25.07 Nakawuka-Nateete'!F20,'26.07 Nakawuka-Nateete-24h'!F20,'27.07 Nakawuka-Nateete-24h'!F20,'28.07 Nakawuka-Nateete'!F20)</f>
        <v>23</v>
      </c>
      <c r="G20" s="49">
        <f>AVERAGE('22.07 Nakawuka-Nateete'!G20,'23.07 Nakawuka-Nateete'!G20,'24.07 Nakawuka-Nateete'!G20,'25.07 Nakawuka-Nateete'!G20,'26.07 Nakawuka-Nateete-24h'!G20,'27.07 Nakawuka-Nateete-24h'!G20,'28.07 Nakawuka-Nateete'!G20)</f>
        <v>0.5714285714285714</v>
      </c>
      <c r="H20" s="49">
        <f>AVERAGE('22.07 Nakawuka-Nateete'!H20,'23.07 Nakawuka-Nateete'!H20,'24.07 Nakawuka-Nateete'!H20,'25.07 Nakawuka-Nateete'!H20,'26.07 Nakawuka-Nateete-24h'!H20,'27.07 Nakawuka-Nateete-24h'!H20,'28.07 Nakawuka-Nateete'!H20)</f>
        <v>0.14285714285714285</v>
      </c>
      <c r="I20" s="49">
        <f>AVERAGE('22.07 Nakawuka-Nateete'!I20,'23.07 Nakawuka-Nateete'!I20,'24.07 Nakawuka-Nateete'!I20,'25.07 Nakawuka-Nateete'!I20,'26.07 Nakawuka-Nateete-24h'!I20,'27.07 Nakawuka-Nateete-24h'!I20,'28.07 Nakawuka-Nateete'!I20)</f>
        <v>7.7142857142857144</v>
      </c>
      <c r="J20" s="49">
        <f>AVERAGE('22.07 Nakawuka-Nateete'!J20,'23.07 Nakawuka-Nateete'!J20,'24.07 Nakawuka-Nateete'!J20,'25.07 Nakawuka-Nateete'!J20,'26.07 Nakawuka-Nateete-24h'!J20,'27.07 Nakawuka-Nateete-24h'!J20,'28.07 Nakawuka-Nateete'!J20)</f>
        <v>4.8571428571428568</v>
      </c>
      <c r="K20" s="49">
        <f>AVERAGE('22.07 Nakawuka-Nateete'!K20,'23.07 Nakawuka-Nateete'!K20,'24.07 Nakawuka-Nateete'!K20,'25.07 Nakawuka-Nateete'!K20,'26.07 Nakawuka-Nateete-24h'!K20,'27.07 Nakawuka-Nateete-24h'!K20,'28.07 Nakawuka-Nateete'!K20)</f>
        <v>0.5714285714285714</v>
      </c>
      <c r="L20" s="49">
        <f>AVERAGE('22.07 Nakawuka-Nateete'!L20,'23.07 Nakawuka-Nateete'!L20,'24.07 Nakawuka-Nateete'!L20,'25.07 Nakawuka-Nateete'!L20,'26.07 Nakawuka-Nateete-24h'!L20,'27.07 Nakawuka-Nateete-24h'!L20,'28.07 Nakawuka-Nateete'!L20)</f>
        <v>0.5714285714285714</v>
      </c>
      <c r="M20" s="49">
        <f>AVERAGE('22.07 Nakawuka-Nateete'!M20,'23.07 Nakawuka-Nateete'!M20,'24.07 Nakawuka-Nateete'!M20,'25.07 Nakawuka-Nateete'!M20,'26.07 Nakawuka-Nateete-24h'!M20,'27.07 Nakawuka-Nateete-24h'!M20,'28.07 Nakawuka-Nateete'!M20)</f>
        <v>107.14285714285714</v>
      </c>
      <c r="N20" s="49">
        <f>AVERAGE('22.07 Nakawuka-Nateete'!N20,'23.07 Nakawuka-Nateete'!N20,'24.07 Nakawuka-Nateete'!N20,'25.07 Nakawuka-Nateete'!N20,'26.07 Nakawuka-Nateete-24h'!N20,'27.07 Nakawuka-Nateete-24h'!N20,'28.07 Nakawuka-Nateete'!N20)</f>
        <v>0</v>
      </c>
      <c r="O20" s="31">
        <f t="shared" si="0"/>
        <v>72.428571428571431</v>
      </c>
      <c r="P20" s="31">
        <f t="shared" si="1"/>
        <v>179.57142857142856</v>
      </c>
      <c r="R20" s="1" t="s">
        <v>16</v>
      </c>
      <c r="S20" s="17">
        <f t="shared" ref="S20:AF20" si="12">SUM(C50:C53)</f>
        <v>79</v>
      </c>
      <c r="T20" s="17">
        <f t="shared" si="12"/>
        <v>37.285714285714285</v>
      </c>
      <c r="U20" s="17">
        <f t="shared" si="12"/>
        <v>22.714285714285715</v>
      </c>
      <c r="V20" s="17">
        <f t="shared" si="12"/>
        <v>58.714285714285715</v>
      </c>
      <c r="W20" s="17">
        <f t="shared" si="12"/>
        <v>1.857142857142857</v>
      </c>
      <c r="X20" s="17">
        <f t="shared" si="12"/>
        <v>0.5714285714285714</v>
      </c>
      <c r="Y20" s="17">
        <f t="shared" si="12"/>
        <v>25</v>
      </c>
      <c r="Z20" s="17">
        <f t="shared" si="12"/>
        <v>14.571428571428573</v>
      </c>
      <c r="AA20" s="17">
        <f t="shared" si="12"/>
        <v>2.4285714285714284</v>
      </c>
      <c r="AB20" s="17">
        <f t="shared" si="12"/>
        <v>1.4285714285714284</v>
      </c>
      <c r="AC20" s="17">
        <f t="shared" si="12"/>
        <v>441.71428571428567</v>
      </c>
      <c r="AD20" s="17">
        <f t="shared" si="12"/>
        <v>0</v>
      </c>
      <c r="AE20" s="31">
        <f t="shared" si="12"/>
        <v>243.57142857142858</v>
      </c>
      <c r="AF20" s="31">
        <f t="shared" si="12"/>
        <v>685.28571428571445</v>
      </c>
    </row>
    <row r="21" spans="2:32" ht="23.1" customHeight="1" x14ac:dyDescent="0.25">
      <c r="B21" s="23" t="s">
        <v>48</v>
      </c>
      <c r="C21" s="49">
        <f>AVERAGE('22.07 Nakawuka-Nateete'!C21,'23.07 Nakawuka-Nateete'!C21,'24.07 Nakawuka-Nateete'!C21,'25.07 Nakawuka-Nateete'!C21,'26.07 Nakawuka-Nateete-24h'!C21,'27.07 Nakawuka-Nateete-24h'!C21,'28.07 Nakawuka-Nateete'!C21)</f>
        <v>21.714285714285715</v>
      </c>
      <c r="D21" s="49">
        <f>AVERAGE('22.07 Nakawuka-Nateete'!D21,'23.07 Nakawuka-Nateete'!D21,'24.07 Nakawuka-Nateete'!D21,'25.07 Nakawuka-Nateete'!D21,'26.07 Nakawuka-Nateete-24h'!D21,'27.07 Nakawuka-Nateete-24h'!D21,'28.07 Nakawuka-Nateete'!D21)</f>
        <v>10.142857142857142</v>
      </c>
      <c r="E21" s="49">
        <f>AVERAGE('22.07 Nakawuka-Nateete'!E21,'23.07 Nakawuka-Nateete'!E21,'24.07 Nakawuka-Nateete'!E21,'25.07 Nakawuka-Nateete'!E21,'26.07 Nakawuka-Nateete-24h'!E21,'27.07 Nakawuka-Nateete-24h'!E21,'28.07 Nakawuka-Nateete'!E21)</f>
        <v>4.1428571428571432</v>
      </c>
      <c r="F21" s="49">
        <f>AVERAGE('22.07 Nakawuka-Nateete'!F21,'23.07 Nakawuka-Nateete'!F21,'24.07 Nakawuka-Nateete'!F21,'25.07 Nakawuka-Nateete'!F21,'26.07 Nakawuka-Nateete-24h'!F21,'27.07 Nakawuka-Nateete-24h'!F21,'28.07 Nakawuka-Nateete'!F21)</f>
        <v>23.714285714285715</v>
      </c>
      <c r="G21" s="49">
        <f>AVERAGE('22.07 Nakawuka-Nateete'!G21,'23.07 Nakawuka-Nateete'!G21,'24.07 Nakawuka-Nateete'!G21,'25.07 Nakawuka-Nateete'!G21,'26.07 Nakawuka-Nateete-24h'!G21,'27.07 Nakawuka-Nateete-24h'!G21,'28.07 Nakawuka-Nateete'!G21)</f>
        <v>0.7142857142857143</v>
      </c>
      <c r="H21" s="49">
        <f>AVERAGE('22.07 Nakawuka-Nateete'!H21,'23.07 Nakawuka-Nateete'!H21,'24.07 Nakawuka-Nateete'!H21,'25.07 Nakawuka-Nateete'!H21,'26.07 Nakawuka-Nateete-24h'!H21,'27.07 Nakawuka-Nateete-24h'!H21,'28.07 Nakawuka-Nateete'!H21)</f>
        <v>0.5714285714285714</v>
      </c>
      <c r="I21" s="49">
        <f>AVERAGE('22.07 Nakawuka-Nateete'!I21,'23.07 Nakawuka-Nateete'!I21,'24.07 Nakawuka-Nateete'!I21,'25.07 Nakawuka-Nateete'!I21,'26.07 Nakawuka-Nateete-24h'!I21,'27.07 Nakawuka-Nateete-24h'!I21,'28.07 Nakawuka-Nateete'!I21)</f>
        <v>5.5714285714285712</v>
      </c>
      <c r="J21" s="49">
        <f>AVERAGE('22.07 Nakawuka-Nateete'!J21,'23.07 Nakawuka-Nateete'!J21,'24.07 Nakawuka-Nateete'!J21,'25.07 Nakawuka-Nateete'!J21,'26.07 Nakawuka-Nateete-24h'!J21,'27.07 Nakawuka-Nateete-24h'!J21,'28.07 Nakawuka-Nateete'!J21)</f>
        <v>2.5714285714285716</v>
      </c>
      <c r="K21" s="49">
        <f>AVERAGE('22.07 Nakawuka-Nateete'!K21,'23.07 Nakawuka-Nateete'!K21,'24.07 Nakawuka-Nateete'!K21,'25.07 Nakawuka-Nateete'!K21,'26.07 Nakawuka-Nateete-24h'!K21,'27.07 Nakawuka-Nateete-24h'!K21,'28.07 Nakawuka-Nateete'!K21)</f>
        <v>0.2857142857142857</v>
      </c>
      <c r="L21" s="49">
        <f>AVERAGE('22.07 Nakawuka-Nateete'!L21,'23.07 Nakawuka-Nateete'!L21,'24.07 Nakawuka-Nateete'!L21,'25.07 Nakawuka-Nateete'!L21,'26.07 Nakawuka-Nateete-24h'!L21,'27.07 Nakawuka-Nateete-24h'!L21,'28.07 Nakawuka-Nateete'!L21)</f>
        <v>0.42857142857142855</v>
      </c>
      <c r="M21" s="49">
        <f>AVERAGE('22.07 Nakawuka-Nateete'!M21,'23.07 Nakawuka-Nateete'!M21,'24.07 Nakawuka-Nateete'!M21,'25.07 Nakawuka-Nateete'!M21,'26.07 Nakawuka-Nateete-24h'!M21,'27.07 Nakawuka-Nateete-24h'!M21,'28.07 Nakawuka-Nateete'!M21)</f>
        <v>115.28571428571429</v>
      </c>
      <c r="N21" s="49">
        <f>AVERAGE('22.07 Nakawuka-Nateete'!N21,'23.07 Nakawuka-Nateete'!N21,'24.07 Nakawuka-Nateete'!N21,'25.07 Nakawuka-Nateete'!N21,'26.07 Nakawuka-Nateete-24h'!N21,'27.07 Nakawuka-Nateete-24h'!N21,'28.07 Nakawuka-Nateete'!N21)</f>
        <v>0</v>
      </c>
      <c r="O21" s="31">
        <f t="shared" si="0"/>
        <v>69.857142857142861</v>
      </c>
      <c r="P21" s="31">
        <f t="shared" si="1"/>
        <v>185.14285714285717</v>
      </c>
      <c r="R21" s="36" t="s">
        <v>20</v>
      </c>
      <c r="S21" s="34">
        <f t="shared" ref="S21:AF33" si="13">SUM(C54:C57)</f>
        <v>53.285714285714285</v>
      </c>
      <c r="T21" s="17">
        <f t="shared" si="13"/>
        <v>27.714285714285715</v>
      </c>
      <c r="U21" s="17">
        <f t="shared" si="13"/>
        <v>17.285714285714285</v>
      </c>
      <c r="V21" s="17">
        <f t="shared" si="13"/>
        <v>65.142857142857139</v>
      </c>
      <c r="W21" s="17">
        <f t="shared" si="13"/>
        <v>3.4285714285714288</v>
      </c>
      <c r="X21" s="17">
        <f t="shared" si="13"/>
        <v>0.14285714285714285</v>
      </c>
      <c r="Y21" s="17">
        <f t="shared" si="13"/>
        <v>13.857142857142858</v>
      </c>
      <c r="Z21" s="17">
        <f t="shared" si="13"/>
        <v>12.571428571428571</v>
      </c>
      <c r="AA21" s="17">
        <f t="shared" si="13"/>
        <v>1.7142857142857142</v>
      </c>
      <c r="AB21" s="17">
        <f t="shared" si="13"/>
        <v>1.4285714285714284</v>
      </c>
      <c r="AC21" s="17">
        <f t="shared" si="13"/>
        <v>474.57142857142856</v>
      </c>
      <c r="AD21" s="17">
        <f t="shared" si="13"/>
        <v>0</v>
      </c>
      <c r="AE21" s="31">
        <f t="shared" si="13"/>
        <v>196.57142857142858</v>
      </c>
      <c r="AF21" s="31">
        <f t="shared" si="13"/>
        <v>671.14285714285711</v>
      </c>
    </row>
    <row r="22" spans="2:32" ht="23.1" customHeight="1" x14ac:dyDescent="0.25">
      <c r="B22" s="23" t="s">
        <v>49</v>
      </c>
      <c r="C22" s="49">
        <f>AVERAGE('22.07 Nakawuka-Nateete'!C22,'23.07 Nakawuka-Nateete'!C22,'24.07 Nakawuka-Nateete'!C22,'25.07 Nakawuka-Nateete'!C22,'26.07 Nakawuka-Nateete-24h'!C22,'27.07 Nakawuka-Nateete-24h'!C22,'28.07 Nakawuka-Nateete'!C22)</f>
        <v>23.714285714285715</v>
      </c>
      <c r="D22" s="49">
        <f>AVERAGE('22.07 Nakawuka-Nateete'!D22,'23.07 Nakawuka-Nateete'!D22,'24.07 Nakawuka-Nateete'!D22,'25.07 Nakawuka-Nateete'!D22,'26.07 Nakawuka-Nateete-24h'!D22,'27.07 Nakawuka-Nateete-24h'!D22,'28.07 Nakawuka-Nateete'!D22)</f>
        <v>9.4285714285714288</v>
      </c>
      <c r="E22" s="49">
        <f>AVERAGE('22.07 Nakawuka-Nateete'!E22,'23.07 Nakawuka-Nateete'!E22,'24.07 Nakawuka-Nateete'!E22,'25.07 Nakawuka-Nateete'!E22,'26.07 Nakawuka-Nateete-24h'!E22,'27.07 Nakawuka-Nateete-24h'!E22,'28.07 Nakawuka-Nateete'!E22)</f>
        <v>5</v>
      </c>
      <c r="F22" s="49">
        <f>AVERAGE('22.07 Nakawuka-Nateete'!F22,'23.07 Nakawuka-Nateete'!F22,'24.07 Nakawuka-Nateete'!F22,'25.07 Nakawuka-Nateete'!F22,'26.07 Nakawuka-Nateete-24h'!F22,'27.07 Nakawuka-Nateete-24h'!F22,'28.07 Nakawuka-Nateete'!F22)</f>
        <v>23.857142857142858</v>
      </c>
      <c r="G22" s="49">
        <f>AVERAGE('22.07 Nakawuka-Nateete'!G22,'23.07 Nakawuka-Nateete'!G22,'24.07 Nakawuka-Nateete'!G22,'25.07 Nakawuka-Nateete'!G22,'26.07 Nakawuka-Nateete-24h'!G22,'27.07 Nakawuka-Nateete-24h'!G22,'28.07 Nakawuka-Nateete'!G22)</f>
        <v>0.8571428571428571</v>
      </c>
      <c r="H22" s="49">
        <f>AVERAGE('22.07 Nakawuka-Nateete'!H22,'23.07 Nakawuka-Nateete'!H22,'24.07 Nakawuka-Nateete'!H22,'25.07 Nakawuka-Nateete'!H22,'26.07 Nakawuka-Nateete-24h'!H22,'27.07 Nakawuka-Nateete-24h'!H22,'28.07 Nakawuka-Nateete'!H22)</f>
        <v>0.14285714285714285</v>
      </c>
      <c r="I22" s="49">
        <f>AVERAGE('22.07 Nakawuka-Nateete'!I22,'23.07 Nakawuka-Nateete'!I22,'24.07 Nakawuka-Nateete'!I22,'25.07 Nakawuka-Nateete'!I22,'26.07 Nakawuka-Nateete-24h'!I22,'27.07 Nakawuka-Nateete-24h'!I22,'28.07 Nakawuka-Nateete'!I22)</f>
        <v>6.1428571428571432</v>
      </c>
      <c r="J22" s="49">
        <f>AVERAGE('22.07 Nakawuka-Nateete'!J22,'23.07 Nakawuka-Nateete'!J22,'24.07 Nakawuka-Nateete'!J22,'25.07 Nakawuka-Nateete'!J22,'26.07 Nakawuka-Nateete-24h'!J22,'27.07 Nakawuka-Nateete-24h'!J22,'28.07 Nakawuka-Nateete'!J22)</f>
        <v>2.5714285714285716</v>
      </c>
      <c r="K22" s="49">
        <f>AVERAGE('22.07 Nakawuka-Nateete'!K22,'23.07 Nakawuka-Nateete'!K22,'24.07 Nakawuka-Nateete'!K22,'25.07 Nakawuka-Nateete'!K22,'26.07 Nakawuka-Nateete-24h'!K22,'27.07 Nakawuka-Nateete-24h'!K22,'28.07 Nakawuka-Nateete'!K22)</f>
        <v>0.5714285714285714</v>
      </c>
      <c r="L22" s="49">
        <f>AVERAGE('22.07 Nakawuka-Nateete'!L22,'23.07 Nakawuka-Nateete'!L22,'24.07 Nakawuka-Nateete'!L22,'25.07 Nakawuka-Nateete'!L22,'26.07 Nakawuka-Nateete-24h'!L22,'27.07 Nakawuka-Nateete-24h'!L22,'28.07 Nakawuka-Nateete'!L22)</f>
        <v>0.2857142857142857</v>
      </c>
      <c r="M22" s="49">
        <f>AVERAGE('22.07 Nakawuka-Nateete'!M22,'23.07 Nakawuka-Nateete'!M22,'24.07 Nakawuka-Nateete'!M22,'25.07 Nakawuka-Nateete'!M22,'26.07 Nakawuka-Nateete-24h'!M22,'27.07 Nakawuka-Nateete-24h'!M22,'28.07 Nakawuka-Nateete'!M22)</f>
        <v>117.28571428571429</v>
      </c>
      <c r="N22" s="49">
        <f>AVERAGE('22.07 Nakawuka-Nateete'!N22,'23.07 Nakawuka-Nateete'!N22,'24.07 Nakawuka-Nateete'!N22,'25.07 Nakawuka-Nateete'!N22,'26.07 Nakawuka-Nateete-24h'!N22,'27.07 Nakawuka-Nateete-24h'!N22,'28.07 Nakawuka-Nateete'!N22)</f>
        <v>0</v>
      </c>
      <c r="O22" s="31">
        <f t="shared" si="0"/>
        <v>72.571428571428569</v>
      </c>
      <c r="P22" s="31">
        <f t="shared" si="1"/>
        <v>189.85714285714286</v>
      </c>
      <c r="R22" s="1" t="s">
        <v>146</v>
      </c>
      <c r="S22" s="34">
        <f>SUM(C58:C61)</f>
        <v>58.5</v>
      </c>
      <c r="T22" s="34">
        <f t="shared" ref="T22:AD22" si="14">SUM(D58:D61)</f>
        <v>30</v>
      </c>
      <c r="U22" s="34">
        <f t="shared" si="14"/>
        <v>18.5</v>
      </c>
      <c r="V22" s="34">
        <f t="shared" si="14"/>
        <v>49.5</v>
      </c>
      <c r="W22" s="34">
        <f t="shared" si="14"/>
        <v>4</v>
      </c>
      <c r="X22" s="34">
        <f t="shared" si="14"/>
        <v>0</v>
      </c>
      <c r="Y22" s="34">
        <f t="shared" si="14"/>
        <v>12</v>
      </c>
      <c r="Z22" s="34">
        <f t="shared" si="14"/>
        <v>3.5</v>
      </c>
      <c r="AA22" s="34">
        <f t="shared" si="14"/>
        <v>0.5</v>
      </c>
      <c r="AB22" s="34">
        <f t="shared" si="14"/>
        <v>1</v>
      </c>
      <c r="AC22" s="34">
        <f t="shared" si="14"/>
        <v>531.5</v>
      </c>
      <c r="AD22" s="34">
        <f t="shared" si="14"/>
        <v>0</v>
      </c>
      <c r="AE22" s="31">
        <f t="shared" si="13"/>
        <v>200.42857142857142</v>
      </c>
      <c r="AF22" s="31">
        <f t="shared" si="13"/>
        <v>683.42857142857144</v>
      </c>
    </row>
    <row r="23" spans="2:32" ht="23.1" customHeight="1" x14ac:dyDescent="0.25">
      <c r="B23" s="23" t="s">
        <v>50</v>
      </c>
      <c r="C23" s="49">
        <f>AVERAGE('22.07 Nakawuka-Nateete'!C23,'23.07 Nakawuka-Nateete'!C23,'24.07 Nakawuka-Nateete'!C23,'25.07 Nakawuka-Nateete'!C23,'26.07 Nakawuka-Nateete-24h'!C23,'27.07 Nakawuka-Nateete-24h'!C23,'28.07 Nakawuka-Nateete'!C23)</f>
        <v>23.428571428571427</v>
      </c>
      <c r="D23" s="49">
        <f>AVERAGE('22.07 Nakawuka-Nateete'!D23,'23.07 Nakawuka-Nateete'!D23,'24.07 Nakawuka-Nateete'!D23,'25.07 Nakawuka-Nateete'!D23,'26.07 Nakawuka-Nateete-24h'!D23,'27.07 Nakawuka-Nateete-24h'!D23,'28.07 Nakawuka-Nateete'!D23)</f>
        <v>8.8571428571428577</v>
      </c>
      <c r="E23" s="49">
        <f>AVERAGE('22.07 Nakawuka-Nateete'!E23,'23.07 Nakawuka-Nateete'!E23,'24.07 Nakawuka-Nateete'!E23,'25.07 Nakawuka-Nateete'!E23,'26.07 Nakawuka-Nateete-24h'!E23,'27.07 Nakawuka-Nateete-24h'!E23,'28.07 Nakawuka-Nateete'!E23)</f>
        <v>4.2857142857142856</v>
      </c>
      <c r="F23" s="49">
        <f>AVERAGE('22.07 Nakawuka-Nateete'!F23,'23.07 Nakawuka-Nateete'!F23,'24.07 Nakawuka-Nateete'!F23,'25.07 Nakawuka-Nateete'!F23,'26.07 Nakawuka-Nateete-24h'!F23,'27.07 Nakawuka-Nateete-24h'!F23,'28.07 Nakawuka-Nateete'!F23)</f>
        <v>24.428571428571427</v>
      </c>
      <c r="G23" s="49">
        <f>AVERAGE('22.07 Nakawuka-Nateete'!G23,'23.07 Nakawuka-Nateete'!G23,'24.07 Nakawuka-Nateete'!G23,'25.07 Nakawuka-Nateete'!G23,'26.07 Nakawuka-Nateete-24h'!G23,'27.07 Nakawuka-Nateete-24h'!G23,'28.07 Nakawuka-Nateete'!G23)</f>
        <v>1</v>
      </c>
      <c r="H23" s="49">
        <f>AVERAGE('22.07 Nakawuka-Nateete'!H23,'23.07 Nakawuka-Nateete'!H23,'24.07 Nakawuka-Nateete'!H23,'25.07 Nakawuka-Nateete'!H23,'26.07 Nakawuka-Nateete-24h'!H23,'27.07 Nakawuka-Nateete-24h'!H23,'28.07 Nakawuka-Nateete'!H23)</f>
        <v>0</v>
      </c>
      <c r="I23" s="49">
        <f>AVERAGE('22.07 Nakawuka-Nateete'!I23,'23.07 Nakawuka-Nateete'!I23,'24.07 Nakawuka-Nateete'!I23,'25.07 Nakawuka-Nateete'!I23,'26.07 Nakawuka-Nateete-24h'!I23,'27.07 Nakawuka-Nateete-24h'!I23,'28.07 Nakawuka-Nateete'!I23)</f>
        <v>5.1428571428571432</v>
      </c>
      <c r="J23" s="49">
        <f>AVERAGE('22.07 Nakawuka-Nateete'!J23,'23.07 Nakawuka-Nateete'!J23,'24.07 Nakawuka-Nateete'!J23,'25.07 Nakawuka-Nateete'!J23,'26.07 Nakawuka-Nateete-24h'!J23,'27.07 Nakawuka-Nateete-24h'!J23,'28.07 Nakawuka-Nateete'!J23)</f>
        <v>4.2857142857142856</v>
      </c>
      <c r="K23" s="49">
        <f>AVERAGE('22.07 Nakawuka-Nateete'!K23,'23.07 Nakawuka-Nateete'!K23,'24.07 Nakawuka-Nateete'!K23,'25.07 Nakawuka-Nateete'!K23,'26.07 Nakawuka-Nateete-24h'!K23,'27.07 Nakawuka-Nateete-24h'!K23,'28.07 Nakawuka-Nateete'!K23)</f>
        <v>0.5714285714285714</v>
      </c>
      <c r="L23" s="49">
        <f>AVERAGE('22.07 Nakawuka-Nateete'!L23,'23.07 Nakawuka-Nateete'!L23,'24.07 Nakawuka-Nateete'!L23,'25.07 Nakawuka-Nateete'!L23,'26.07 Nakawuka-Nateete-24h'!L23,'27.07 Nakawuka-Nateete-24h'!L23,'28.07 Nakawuka-Nateete'!L23)</f>
        <v>0.42857142857142855</v>
      </c>
      <c r="M23" s="49">
        <f>AVERAGE('22.07 Nakawuka-Nateete'!M23,'23.07 Nakawuka-Nateete'!M23,'24.07 Nakawuka-Nateete'!M23,'25.07 Nakawuka-Nateete'!M23,'26.07 Nakawuka-Nateete-24h'!M23,'27.07 Nakawuka-Nateete-24h'!M23,'28.07 Nakawuka-Nateete'!M23)</f>
        <v>114.85714285714286</v>
      </c>
      <c r="N23" s="49">
        <f>AVERAGE('22.07 Nakawuka-Nateete'!N23,'23.07 Nakawuka-Nateete'!N23,'24.07 Nakawuka-Nateete'!N23,'25.07 Nakawuka-Nateete'!N23,'26.07 Nakawuka-Nateete-24h'!N23,'27.07 Nakawuka-Nateete-24h'!N23,'28.07 Nakawuka-Nateete'!N23)</f>
        <v>0</v>
      </c>
      <c r="O23" s="31">
        <f t="shared" si="0"/>
        <v>72.428571428571431</v>
      </c>
      <c r="P23" s="31">
        <f t="shared" si="1"/>
        <v>187.28571428571428</v>
      </c>
      <c r="R23" s="1" t="s">
        <v>147</v>
      </c>
      <c r="S23" s="34">
        <f>SUM(C62:C65)</f>
        <v>64</v>
      </c>
      <c r="T23" s="34">
        <f t="shared" ref="T23:AD23" si="15">SUM(D62:D65)</f>
        <v>71.5</v>
      </c>
      <c r="U23" s="34">
        <f t="shared" si="15"/>
        <v>23</v>
      </c>
      <c r="V23" s="34">
        <f t="shared" si="15"/>
        <v>114</v>
      </c>
      <c r="W23" s="34">
        <f t="shared" si="15"/>
        <v>3.5</v>
      </c>
      <c r="X23" s="34">
        <f t="shared" si="15"/>
        <v>2</v>
      </c>
      <c r="Y23" s="34">
        <f t="shared" si="15"/>
        <v>11.5</v>
      </c>
      <c r="Z23" s="34">
        <f t="shared" si="15"/>
        <v>6.5</v>
      </c>
      <c r="AA23" s="34">
        <f t="shared" si="15"/>
        <v>7</v>
      </c>
      <c r="AB23" s="34">
        <f t="shared" si="15"/>
        <v>1.5</v>
      </c>
      <c r="AC23" s="34">
        <f t="shared" si="15"/>
        <v>695</v>
      </c>
      <c r="AD23" s="34">
        <f t="shared" si="15"/>
        <v>0</v>
      </c>
      <c r="AE23" s="31">
        <f t="shared" si="13"/>
        <v>183.35714285714286</v>
      </c>
      <c r="AF23" s="31">
        <f t="shared" si="13"/>
        <v>681.35714285714289</v>
      </c>
    </row>
    <row r="24" spans="2:32" ht="23.1" customHeight="1" x14ac:dyDescent="0.25">
      <c r="B24" s="23" t="s">
        <v>51</v>
      </c>
      <c r="C24" s="49">
        <f>AVERAGE('22.07 Nakawuka-Nateete'!C24,'23.07 Nakawuka-Nateete'!C24,'24.07 Nakawuka-Nateete'!C24,'25.07 Nakawuka-Nateete'!C24,'26.07 Nakawuka-Nateete-24h'!C24,'27.07 Nakawuka-Nateete-24h'!C24,'28.07 Nakawuka-Nateete'!C24)</f>
        <v>20.714285714285715</v>
      </c>
      <c r="D24" s="49">
        <f>AVERAGE('22.07 Nakawuka-Nateete'!D24,'23.07 Nakawuka-Nateete'!D24,'24.07 Nakawuka-Nateete'!D24,'25.07 Nakawuka-Nateete'!D24,'26.07 Nakawuka-Nateete-24h'!D24,'27.07 Nakawuka-Nateete-24h'!D24,'28.07 Nakawuka-Nateete'!D24)</f>
        <v>8.8571428571428577</v>
      </c>
      <c r="E24" s="49">
        <f>AVERAGE('22.07 Nakawuka-Nateete'!E24,'23.07 Nakawuka-Nateete'!E24,'24.07 Nakawuka-Nateete'!E24,'25.07 Nakawuka-Nateete'!E24,'26.07 Nakawuka-Nateete-24h'!E24,'27.07 Nakawuka-Nateete-24h'!E24,'28.07 Nakawuka-Nateete'!E24)</f>
        <v>3.7142857142857144</v>
      </c>
      <c r="F24" s="49">
        <f>AVERAGE('22.07 Nakawuka-Nateete'!F24,'23.07 Nakawuka-Nateete'!F24,'24.07 Nakawuka-Nateete'!F24,'25.07 Nakawuka-Nateete'!F24,'26.07 Nakawuka-Nateete-24h'!F24,'27.07 Nakawuka-Nateete-24h'!F24,'28.07 Nakawuka-Nateete'!F24)</f>
        <v>21</v>
      </c>
      <c r="G24" s="49">
        <f>AVERAGE('22.07 Nakawuka-Nateete'!G24,'23.07 Nakawuka-Nateete'!G24,'24.07 Nakawuka-Nateete'!G24,'25.07 Nakawuka-Nateete'!G24,'26.07 Nakawuka-Nateete-24h'!G24,'27.07 Nakawuka-Nateete-24h'!G24,'28.07 Nakawuka-Nateete'!G24)</f>
        <v>0.7142857142857143</v>
      </c>
      <c r="H24" s="49">
        <f>AVERAGE('22.07 Nakawuka-Nateete'!H24,'23.07 Nakawuka-Nateete'!H24,'24.07 Nakawuka-Nateete'!H24,'25.07 Nakawuka-Nateete'!H24,'26.07 Nakawuka-Nateete-24h'!H24,'27.07 Nakawuka-Nateete-24h'!H24,'28.07 Nakawuka-Nateete'!H24)</f>
        <v>0.14285714285714285</v>
      </c>
      <c r="I24" s="49">
        <f>AVERAGE('22.07 Nakawuka-Nateete'!I24,'23.07 Nakawuka-Nateete'!I24,'24.07 Nakawuka-Nateete'!I24,'25.07 Nakawuka-Nateete'!I24,'26.07 Nakawuka-Nateete-24h'!I24,'27.07 Nakawuka-Nateete-24h'!I24,'28.07 Nakawuka-Nateete'!I24)</f>
        <v>8.2857142857142865</v>
      </c>
      <c r="J24" s="49">
        <f>AVERAGE('22.07 Nakawuka-Nateete'!J24,'23.07 Nakawuka-Nateete'!J24,'24.07 Nakawuka-Nateete'!J24,'25.07 Nakawuka-Nateete'!J24,'26.07 Nakawuka-Nateete-24h'!J24,'27.07 Nakawuka-Nateete-24h'!J24,'28.07 Nakawuka-Nateete'!J24)</f>
        <v>4</v>
      </c>
      <c r="K24" s="49">
        <f>AVERAGE('22.07 Nakawuka-Nateete'!K24,'23.07 Nakawuka-Nateete'!K24,'24.07 Nakawuka-Nateete'!K24,'25.07 Nakawuka-Nateete'!K24,'26.07 Nakawuka-Nateete-24h'!K24,'27.07 Nakawuka-Nateete-24h'!K24,'28.07 Nakawuka-Nateete'!K24)</f>
        <v>0.7142857142857143</v>
      </c>
      <c r="L24" s="49">
        <f>AVERAGE('22.07 Nakawuka-Nateete'!L24,'23.07 Nakawuka-Nateete'!L24,'24.07 Nakawuka-Nateete'!L24,'25.07 Nakawuka-Nateete'!L24,'26.07 Nakawuka-Nateete-24h'!L24,'27.07 Nakawuka-Nateete-24h'!L24,'28.07 Nakawuka-Nateete'!L24)</f>
        <v>0.8571428571428571</v>
      </c>
      <c r="M24" s="49">
        <f>AVERAGE('22.07 Nakawuka-Nateete'!M24,'23.07 Nakawuka-Nateete'!M24,'24.07 Nakawuka-Nateete'!M24,'25.07 Nakawuka-Nateete'!M24,'26.07 Nakawuka-Nateete-24h'!M24,'27.07 Nakawuka-Nateete-24h'!M24,'28.07 Nakawuka-Nateete'!M24)</f>
        <v>101.71428571428571</v>
      </c>
      <c r="N24" s="49">
        <f>AVERAGE('22.07 Nakawuka-Nateete'!N24,'23.07 Nakawuka-Nateete'!N24,'24.07 Nakawuka-Nateete'!N24,'25.07 Nakawuka-Nateete'!N24,'26.07 Nakawuka-Nateete-24h'!N24,'27.07 Nakawuka-Nateete-24h'!N24,'28.07 Nakawuka-Nateete'!N24)</f>
        <v>0.14285714285714285</v>
      </c>
      <c r="O24" s="31">
        <f t="shared" si="0"/>
        <v>69.142857142857139</v>
      </c>
      <c r="P24" s="31">
        <f t="shared" si="1"/>
        <v>170.85714285714286</v>
      </c>
      <c r="R24" s="1" t="s">
        <v>148</v>
      </c>
      <c r="S24" s="34">
        <f>SUM(C66:C69)</f>
        <v>33.5</v>
      </c>
      <c r="T24" s="34">
        <f t="shared" ref="T24:AD24" si="16">SUM(D66:D69)</f>
        <v>50.5</v>
      </c>
      <c r="U24" s="34">
        <f t="shared" si="16"/>
        <v>16.5</v>
      </c>
      <c r="V24" s="34">
        <f t="shared" si="16"/>
        <v>80.5</v>
      </c>
      <c r="W24" s="34">
        <f t="shared" si="16"/>
        <v>1.5</v>
      </c>
      <c r="X24" s="34">
        <f t="shared" si="16"/>
        <v>1</v>
      </c>
      <c r="Y24" s="34">
        <f t="shared" si="16"/>
        <v>10.5</v>
      </c>
      <c r="Z24" s="34">
        <f t="shared" si="16"/>
        <v>9</v>
      </c>
      <c r="AA24" s="34">
        <f t="shared" si="16"/>
        <v>1</v>
      </c>
      <c r="AB24" s="34">
        <f t="shared" si="16"/>
        <v>1.5</v>
      </c>
      <c r="AC24" s="34">
        <f t="shared" si="16"/>
        <v>515</v>
      </c>
      <c r="AD24" s="34">
        <f t="shared" si="16"/>
        <v>0</v>
      </c>
      <c r="AE24" s="31">
        <f t="shared" si="13"/>
        <v>184.14285714285714</v>
      </c>
      <c r="AF24" s="31">
        <f t="shared" si="13"/>
        <v>696</v>
      </c>
    </row>
    <row r="25" spans="2:32" ht="23.1" customHeight="1" x14ac:dyDescent="0.25">
      <c r="B25" s="23" t="s">
        <v>52</v>
      </c>
      <c r="C25" s="49">
        <f>AVERAGE('22.07 Nakawuka-Nateete'!C25,'23.07 Nakawuka-Nateete'!C25,'24.07 Nakawuka-Nateete'!C25,'25.07 Nakawuka-Nateete'!C25,'26.07 Nakawuka-Nateete-24h'!C25,'27.07 Nakawuka-Nateete-24h'!C25,'28.07 Nakawuka-Nateete'!C25)</f>
        <v>23.714285714285715</v>
      </c>
      <c r="D25" s="49">
        <f>AVERAGE('22.07 Nakawuka-Nateete'!D25,'23.07 Nakawuka-Nateete'!D25,'24.07 Nakawuka-Nateete'!D25,'25.07 Nakawuka-Nateete'!D25,'26.07 Nakawuka-Nateete-24h'!D25,'27.07 Nakawuka-Nateete-24h'!D25,'28.07 Nakawuka-Nateete'!D25)</f>
        <v>8.2857142857142865</v>
      </c>
      <c r="E25" s="49">
        <f>AVERAGE('22.07 Nakawuka-Nateete'!E25,'23.07 Nakawuka-Nateete'!E25,'24.07 Nakawuka-Nateete'!E25,'25.07 Nakawuka-Nateete'!E25,'26.07 Nakawuka-Nateete-24h'!E25,'27.07 Nakawuka-Nateete-24h'!E25,'28.07 Nakawuka-Nateete'!E25)</f>
        <v>3.4285714285714284</v>
      </c>
      <c r="F25" s="49">
        <f>AVERAGE('22.07 Nakawuka-Nateete'!F25,'23.07 Nakawuka-Nateete'!F25,'24.07 Nakawuka-Nateete'!F25,'25.07 Nakawuka-Nateete'!F25,'26.07 Nakawuka-Nateete-24h'!F25,'27.07 Nakawuka-Nateete-24h'!F25,'28.07 Nakawuka-Nateete'!F25)</f>
        <v>21.428571428571427</v>
      </c>
      <c r="G25" s="49">
        <f>AVERAGE('22.07 Nakawuka-Nateete'!G25,'23.07 Nakawuka-Nateete'!G25,'24.07 Nakawuka-Nateete'!G25,'25.07 Nakawuka-Nateete'!G25,'26.07 Nakawuka-Nateete-24h'!G25,'27.07 Nakawuka-Nateete-24h'!G25,'28.07 Nakawuka-Nateete'!G25)</f>
        <v>0.2857142857142857</v>
      </c>
      <c r="H25" s="49">
        <f>AVERAGE('22.07 Nakawuka-Nateete'!H25,'23.07 Nakawuka-Nateete'!H25,'24.07 Nakawuka-Nateete'!H25,'25.07 Nakawuka-Nateete'!H25,'26.07 Nakawuka-Nateete-24h'!H25,'27.07 Nakawuka-Nateete-24h'!H25,'28.07 Nakawuka-Nateete'!H25)</f>
        <v>0</v>
      </c>
      <c r="I25" s="49">
        <f>AVERAGE('22.07 Nakawuka-Nateete'!I25,'23.07 Nakawuka-Nateete'!I25,'24.07 Nakawuka-Nateete'!I25,'25.07 Nakawuka-Nateete'!I25,'26.07 Nakawuka-Nateete-24h'!I25,'27.07 Nakawuka-Nateete-24h'!I25,'28.07 Nakawuka-Nateete'!I25)</f>
        <v>5.5714285714285712</v>
      </c>
      <c r="J25" s="49">
        <f>AVERAGE('22.07 Nakawuka-Nateete'!J25,'23.07 Nakawuka-Nateete'!J25,'24.07 Nakawuka-Nateete'!J25,'25.07 Nakawuka-Nateete'!J25,'26.07 Nakawuka-Nateete-24h'!J25,'27.07 Nakawuka-Nateete-24h'!J25,'28.07 Nakawuka-Nateete'!J25)</f>
        <v>4.4285714285714288</v>
      </c>
      <c r="K25" s="49">
        <f>AVERAGE('22.07 Nakawuka-Nateete'!K25,'23.07 Nakawuka-Nateete'!K25,'24.07 Nakawuka-Nateete'!K25,'25.07 Nakawuka-Nateete'!K25,'26.07 Nakawuka-Nateete-24h'!K25,'27.07 Nakawuka-Nateete-24h'!K25,'28.07 Nakawuka-Nateete'!K25)</f>
        <v>0.42857142857142855</v>
      </c>
      <c r="L25" s="49">
        <f>AVERAGE('22.07 Nakawuka-Nateete'!L25,'23.07 Nakawuka-Nateete'!L25,'24.07 Nakawuka-Nateete'!L25,'25.07 Nakawuka-Nateete'!L25,'26.07 Nakawuka-Nateete-24h'!L25,'27.07 Nakawuka-Nateete-24h'!L25,'28.07 Nakawuka-Nateete'!L25)</f>
        <v>0.42857142857142855</v>
      </c>
      <c r="M25" s="49">
        <f>AVERAGE('22.07 Nakawuka-Nateete'!M25,'23.07 Nakawuka-Nateete'!M25,'24.07 Nakawuka-Nateete'!M25,'25.07 Nakawuka-Nateete'!M25,'26.07 Nakawuka-Nateete-24h'!M25,'27.07 Nakawuka-Nateete-24h'!M25,'28.07 Nakawuka-Nateete'!M25)</f>
        <v>107.57142857142857</v>
      </c>
      <c r="N25" s="49">
        <f>AVERAGE('22.07 Nakawuka-Nateete'!N25,'23.07 Nakawuka-Nateete'!N25,'24.07 Nakawuka-Nateete'!N25,'25.07 Nakawuka-Nateete'!N25,'26.07 Nakawuka-Nateete-24h'!N25,'27.07 Nakawuka-Nateete-24h'!N25,'28.07 Nakawuka-Nateete'!N25)</f>
        <v>0</v>
      </c>
      <c r="O25" s="31">
        <f t="shared" si="0"/>
        <v>68</v>
      </c>
      <c r="P25" s="31">
        <f t="shared" si="1"/>
        <v>175.57142857142856</v>
      </c>
      <c r="R25" s="1" t="s">
        <v>149</v>
      </c>
      <c r="S25" s="34">
        <f>SUM(C70:C73)</f>
        <v>22.5</v>
      </c>
      <c r="T25" s="34">
        <f t="shared" ref="T25:AD25" si="17">SUM(D70:D73)</f>
        <v>13</v>
      </c>
      <c r="U25" s="34">
        <f t="shared" si="17"/>
        <v>5.5</v>
      </c>
      <c r="V25" s="34">
        <f t="shared" si="17"/>
        <v>24</v>
      </c>
      <c r="W25" s="34">
        <f t="shared" si="17"/>
        <v>0</v>
      </c>
      <c r="X25" s="34">
        <f t="shared" si="17"/>
        <v>0</v>
      </c>
      <c r="Y25" s="34">
        <f t="shared" si="17"/>
        <v>7</v>
      </c>
      <c r="Z25" s="34">
        <f t="shared" si="17"/>
        <v>2</v>
      </c>
      <c r="AA25" s="34">
        <f t="shared" si="17"/>
        <v>1</v>
      </c>
      <c r="AB25" s="34">
        <f t="shared" si="17"/>
        <v>0</v>
      </c>
      <c r="AC25" s="34">
        <f t="shared" si="17"/>
        <v>335</v>
      </c>
      <c r="AD25" s="34">
        <f t="shared" si="17"/>
        <v>0</v>
      </c>
      <c r="AE25" s="31">
        <f t="shared" si="13"/>
        <v>177.5</v>
      </c>
      <c r="AF25" s="31">
        <f t="shared" si="13"/>
        <v>709</v>
      </c>
    </row>
    <row r="26" spans="2:32" ht="23.1" customHeight="1" x14ac:dyDescent="0.25">
      <c r="B26" s="23" t="s">
        <v>53</v>
      </c>
      <c r="C26" s="49">
        <f>AVERAGE('22.07 Nakawuka-Nateete'!C26,'23.07 Nakawuka-Nateete'!C26,'24.07 Nakawuka-Nateete'!C26,'25.07 Nakawuka-Nateete'!C26,'26.07 Nakawuka-Nateete-24h'!C26,'27.07 Nakawuka-Nateete-24h'!C26,'28.07 Nakawuka-Nateete'!C26)</f>
        <v>19.857142857142858</v>
      </c>
      <c r="D26" s="49">
        <f>AVERAGE('22.07 Nakawuka-Nateete'!D26,'23.07 Nakawuka-Nateete'!D26,'24.07 Nakawuka-Nateete'!D26,'25.07 Nakawuka-Nateete'!D26,'26.07 Nakawuka-Nateete-24h'!D26,'27.07 Nakawuka-Nateete-24h'!D26,'28.07 Nakawuka-Nateete'!D26)</f>
        <v>9.7142857142857135</v>
      </c>
      <c r="E26" s="49">
        <f>AVERAGE('22.07 Nakawuka-Nateete'!E26,'23.07 Nakawuka-Nateete'!E26,'24.07 Nakawuka-Nateete'!E26,'25.07 Nakawuka-Nateete'!E26,'26.07 Nakawuka-Nateete-24h'!E26,'27.07 Nakawuka-Nateete-24h'!E26,'28.07 Nakawuka-Nateete'!E26)</f>
        <v>6.4285714285714288</v>
      </c>
      <c r="F26" s="49">
        <f>AVERAGE('22.07 Nakawuka-Nateete'!F26,'23.07 Nakawuka-Nateete'!F26,'24.07 Nakawuka-Nateete'!F26,'25.07 Nakawuka-Nateete'!F26,'26.07 Nakawuka-Nateete-24h'!F26,'27.07 Nakawuka-Nateete-24h'!F26,'28.07 Nakawuka-Nateete'!F26)</f>
        <v>22.285714285714285</v>
      </c>
      <c r="G26" s="49">
        <f>AVERAGE('22.07 Nakawuka-Nateete'!G26,'23.07 Nakawuka-Nateete'!G26,'24.07 Nakawuka-Nateete'!G26,'25.07 Nakawuka-Nateete'!G26,'26.07 Nakawuka-Nateete-24h'!G26,'27.07 Nakawuka-Nateete-24h'!G26,'28.07 Nakawuka-Nateete'!G26)</f>
        <v>0.14285714285714285</v>
      </c>
      <c r="H26" s="49">
        <f>AVERAGE('22.07 Nakawuka-Nateete'!H26,'23.07 Nakawuka-Nateete'!H26,'24.07 Nakawuka-Nateete'!H26,'25.07 Nakawuka-Nateete'!H26,'26.07 Nakawuka-Nateete-24h'!H26,'27.07 Nakawuka-Nateete-24h'!H26,'28.07 Nakawuka-Nateete'!H26)</f>
        <v>0.14285714285714285</v>
      </c>
      <c r="I26" s="49">
        <f>AVERAGE('22.07 Nakawuka-Nateete'!I26,'23.07 Nakawuka-Nateete'!I26,'24.07 Nakawuka-Nateete'!I26,'25.07 Nakawuka-Nateete'!I26,'26.07 Nakawuka-Nateete-24h'!I26,'27.07 Nakawuka-Nateete-24h'!I26,'28.07 Nakawuka-Nateete'!I26)</f>
        <v>5.4285714285714288</v>
      </c>
      <c r="J26" s="49">
        <f>AVERAGE('22.07 Nakawuka-Nateete'!J26,'23.07 Nakawuka-Nateete'!J26,'24.07 Nakawuka-Nateete'!J26,'25.07 Nakawuka-Nateete'!J26,'26.07 Nakawuka-Nateete-24h'!J26,'27.07 Nakawuka-Nateete-24h'!J26,'28.07 Nakawuka-Nateete'!J26)</f>
        <v>4.4285714285714288</v>
      </c>
      <c r="K26" s="49">
        <f>AVERAGE('22.07 Nakawuka-Nateete'!K26,'23.07 Nakawuka-Nateete'!K26,'24.07 Nakawuka-Nateete'!K26,'25.07 Nakawuka-Nateete'!K26,'26.07 Nakawuka-Nateete-24h'!K26,'27.07 Nakawuka-Nateete-24h'!K26,'28.07 Nakawuka-Nateete'!K26)</f>
        <v>0.42857142857142855</v>
      </c>
      <c r="L26" s="49">
        <f>AVERAGE('22.07 Nakawuka-Nateete'!L26,'23.07 Nakawuka-Nateete'!L26,'24.07 Nakawuka-Nateete'!L26,'25.07 Nakawuka-Nateete'!L26,'26.07 Nakawuka-Nateete-24h'!L26,'27.07 Nakawuka-Nateete-24h'!L26,'28.07 Nakawuka-Nateete'!L26)</f>
        <v>2.1428571428571428</v>
      </c>
      <c r="M26" s="49">
        <f>AVERAGE('22.07 Nakawuka-Nateete'!M26,'23.07 Nakawuka-Nateete'!M26,'24.07 Nakawuka-Nateete'!M26,'25.07 Nakawuka-Nateete'!M26,'26.07 Nakawuka-Nateete-24h'!M26,'27.07 Nakawuka-Nateete-24h'!M26,'28.07 Nakawuka-Nateete'!M26)</f>
        <v>92.285714285714292</v>
      </c>
      <c r="N26" s="49">
        <f>AVERAGE('22.07 Nakawuka-Nateete'!N26,'23.07 Nakawuka-Nateete'!N26,'24.07 Nakawuka-Nateete'!N26,'25.07 Nakawuka-Nateete'!N26,'26.07 Nakawuka-Nateete-24h'!N26,'27.07 Nakawuka-Nateete-24h'!N26,'28.07 Nakawuka-Nateete'!N26)</f>
        <v>0</v>
      </c>
      <c r="O26" s="31">
        <f t="shared" si="0"/>
        <v>71</v>
      </c>
      <c r="P26" s="31">
        <f t="shared" si="1"/>
        <v>163.28571428571428</v>
      </c>
      <c r="R26" s="1" t="s">
        <v>150</v>
      </c>
      <c r="S26" s="34">
        <f>SUM(C74:C77)</f>
        <v>14</v>
      </c>
      <c r="T26" s="34">
        <f t="shared" ref="T26:AD26" si="18">SUM(D74:D77)</f>
        <v>17.5</v>
      </c>
      <c r="U26" s="34">
        <f t="shared" si="18"/>
        <v>3.5</v>
      </c>
      <c r="V26" s="34">
        <f t="shared" si="18"/>
        <v>15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0</v>
      </c>
      <c r="AA26" s="34">
        <f t="shared" si="18"/>
        <v>0</v>
      </c>
      <c r="AB26" s="34">
        <f t="shared" si="18"/>
        <v>1</v>
      </c>
      <c r="AC26" s="34">
        <f t="shared" si="18"/>
        <v>226</v>
      </c>
      <c r="AD26" s="34">
        <f t="shared" si="18"/>
        <v>0</v>
      </c>
      <c r="AE26" s="31">
        <f t="shared" si="13"/>
        <v>185.5</v>
      </c>
      <c r="AF26" s="31">
        <f t="shared" si="13"/>
        <v>753</v>
      </c>
    </row>
    <row r="27" spans="2:32" ht="23.1" customHeight="1" x14ac:dyDescent="0.25">
      <c r="B27" s="23" t="s">
        <v>54</v>
      </c>
      <c r="C27" s="49">
        <f>AVERAGE('22.07 Nakawuka-Nateete'!C27,'23.07 Nakawuka-Nateete'!C27,'24.07 Nakawuka-Nateete'!C27,'25.07 Nakawuka-Nateete'!C27,'26.07 Nakawuka-Nateete-24h'!C27,'27.07 Nakawuka-Nateete-24h'!C27,'28.07 Nakawuka-Nateete'!C27)</f>
        <v>17</v>
      </c>
      <c r="D27" s="49">
        <f>AVERAGE('22.07 Nakawuka-Nateete'!D27,'23.07 Nakawuka-Nateete'!D27,'24.07 Nakawuka-Nateete'!D27,'25.07 Nakawuka-Nateete'!D27,'26.07 Nakawuka-Nateete-24h'!D27,'27.07 Nakawuka-Nateete-24h'!D27,'28.07 Nakawuka-Nateete'!D27)</f>
        <v>8</v>
      </c>
      <c r="E27" s="49">
        <f>AVERAGE('22.07 Nakawuka-Nateete'!E27,'23.07 Nakawuka-Nateete'!E27,'24.07 Nakawuka-Nateete'!E27,'25.07 Nakawuka-Nateete'!E27,'26.07 Nakawuka-Nateete-24h'!E27,'27.07 Nakawuka-Nateete-24h'!E27,'28.07 Nakawuka-Nateete'!E27)</f>
        <v>3.7142857142857144</v>
      </c>
      <c r="F27" s="49">
        <f>AVERAGE('22.07 Nakawuka-Nateete'!F27,'23.07 Nakawuka-Nateete'!F27,'24.07 Nakawuka-Nateete'!F27,'25.07 Nakawuka-Nateete'!F27,'26.07 Nakawuka-Nateete-24h'!F27,'27.07 Nakawuka-Nateete-24h'!F27,'28.07 Nakawuka-Nateete'!F27)</f>
        <v>15.428571428571429</v>
      </c>
      <c r="G27" s="49">
        <f>AVERAGE('22.07 Nakawuka-Nateete'!G27,'23.07 Nakawuka-Nateete'!G27,'24.07 Nakawuka-Nateete'!G27,'25.07 Nakawuka-Nateete'!G27,'26.07 Nakawuka-Nateete-24h'!G27,'27.07 Nakawuka-Nateete-24h'!G27,'28.07 Nakawuka-Nateete'!G27)</f>
        <v>1</v>
      </c>
      <c r="H27" s="49">
        <f>AVERAGE('22.07 Nakawuka-Nateete'!H27,'23.07 Nakawuka-Nateete'!H27,'24.07 Nakawuka-Nateete'!H27,'25.07 Nakawuka-Nateete'!H27,'26.07 Nakawuka-Nateete-24h'!H27,'27.07 Nakawuka-Nateete-24h'!H27,'28.07 Nakawuka-Nateete'!H27)</f>
        <v>0.14285714285714285</v>
      </c>
      <c r="I27" s="49">
        <f>AVERAGE('22.07 Nakawuka-Nateete'!I27,'23.07 Nakawuka-Nateete'!I27,'24.07 Nakawuka-Nateete'!I27,'25.07 Nakawuka-Nateete'!I27,'26.07 Nakawuka-Nateete-24h'!I27,'27.07 Nakawuka-Nateete-24h'!I27,'28.07 Nakawuka-Nateete'!I27)</f>
        <v>4.4285714285714288</v>
      </c>
      <c r="J27" s="49">
        <f>AVERAGE('22.07 Nakawuka-Nateete'!J27,'23.07 Nakawuka-Nateete'!J27,'24.07 Nakawuka-Nateete'!J27,'25.07 Nakawuka-Nateete'!J27,'26.07 Nakawuka-Nateete-24h'!J27,'27.07 Nakawuka-Nateete-24h'!J27,'28.07 Nakawuka-Nateete'!J27)</f>
        <v>3.7142857142857144</v>
      </c>
      <c r="K27" s="49">
        <f>AVERAGE('22.07 Nakawuka-Nateete'!K27,'23.07 Nakawuka-Nateete'!K27,'24.07 Nakawuka-Nateete'!K27,'25.07 Nakawuka-Nateete'!K27,'26.07 Nakawuka-Nateete-24h'!K27,'27.07 Nakawuka-Nateete-24h'!K27,'28.07 Nakawuka-Nateete'!K27)</f>
        <v>0.8571428571428571</v>
      </c>
      <c r="L27" s="49">
        <f>AVERAGE('22.07 Nakawuka-Nateete'!L27,'23.07 Nakawuka-Nateete'!L27,'24.07 Nakawuka-Nateete'!L27,'25.07 Nakawuka-Nateete'!L27,'26.07 Nakawuka-Nateete-24h'!L27,'27.07 Nakawuka-Nateete-24h'!L27,'28.07 Nakawuka-Nateete'!L27)</f>
        <v>0.2857142857142857</v>
      </c>
      <c r="M27" s="49">
        <f>AVERAGE('22.07 Nakawuka-Nateete'!M27,'23.07 Nakawuka-Nateete'!M27,'24.07 Nakawuka-Nateete'!M27,'25.07 Nakawuka-Nateete'!M27,'26.07 Nakawuka-Nateete-24h'!M27,'27.07 Nakawuka-Nateete-24h'!M27,'28.07 Nakawuka-Nateete'!M27)</f>
        <v>103</v>
      </c>
      <c r="N27" s="49">
        <f>AVERAGE('22.07 Nakawuka-Nateete'!N27,'23.07 Nakawuka-Nateete'!N27,'24.07 Nakawuka-Nateete'!N27,'25.07 Nakawuka-Nateete'!N27,'26.07 Nakawuka-Nateete-24h'!N27,'27.07 Nakawuka-Nateete-24h'!N27,'28.07 Nakawuka-Nateete'!N27)</f>
        <v>0</v>
      </c>
      <c r="O27" s="31">
        <f t="shared" si="0"/>
        <v>54.571428571428577</v>
      </c>
      <c r="P27" s="31">
        <f t="shared" si="1"/>
        <v>157.57142857142858</v>
      </c>
      <c r="R27" s="1" t="s">
        <v>151</v>
      </c>
      <c r="S27" s="34">
        <f>SUM(C78:C81)</f>
        <v>7.5</v>
      </c>
      <c r="T27" s="34">
        <f t="shared" ref="T27:AD27" si="19">SUM(D78:D81)</f>
        <v>14</v>
      </c>
      <c r="U27" s="34">
        <f t="shared" si="19"/>
        <v>3</v>
      </c>
      <c r="V27" s="34">
        <f t="shared" si="19"/>
        <v>13.5</v>
      </c>
      <c r="W27" s="34">
        <f t="shared" si="19"/>
        <v>0</v>
      </c>
      <c r="X27" s="34">
        <f t="shared" si="19"/>
        <v>0</v>
      </c>
      <c r="Y27" s="34">
        <f t="shared" si="19"/>
        <v>1.5</v>
      </c>
      <c r="Z27" s="34">
        <f t="shared" si="19"/>
        <v>1</v>
      </c>
      <c r="AA27" s="34">
        <f t="shared" si="19"/>
        <v>0.5</v>
      </c>
      <c r="AB27" s="34">
        <f t="shared" si="19"/>
        <v>0</v>
      </c>
      <c r="AC27" s="34">
        <f t="shared" si="19"/>
        <v>88.5</v>
      </c>
      <c r="AD27" s="34">
        <f t="shared" si="19"/>
        <v>0</v>
      </c>
      <c r="AE27" s="31">
        <f t="shared" si="13"/>
        <v>199.5</v>
      </c>
      <c r="AF27" s="31">
        <f t="shared" si="13"/>
        <v>779.5</v>
      </c>
    </row>
    <row r="28" spans="2:32" ht="23.1" customHeight="1" x14ac:dyDescent="0.25">
      <c r="B28" s="23" t="s">
        <v>55</v>
      </c>
      <c r="C28" s="49">
        <f>AVERAGE('22.07 Nakawuka-Nateete'!C28,'23.07 Nakawuka-Nateete'!C28,'24.07 Nakawuka-Nateete'!C28,'25.07 Nakawuka-Nateete'!C28,'26.07 Nakawuka-Nateete-24h'!C28,'27.07 Nakawuka-Nateete-24h'!C28,'28.07 Nakawuka-Nateete'!C28)</f>
        <v>18.714285714285715</v>
      </c>
      <c r="D28" s="49">
        <f>AVERAGE('22.07 Nakawuka-Nateete'!D28,'23.07 Nakawuka-Nateete'!D28,'24.07 Nakawuka-Nateete'!D28,'25.07 Nakawuka-Nateete'!D28,'26.07 Nakawuka-Nateete-24h'!D28,'27.07 Nakawuka-Nateete-24h'!D28,'28.07 Nakawuka-Nateete'!D28)</f>
        <v>9.4285714285714288</v>
      </c>
      <c r="E28" s="49">
        <f>AVERAGE('22.07 Nakawuka-Nateete'!E28,'23.07 Nakawuka-Nateete'!E28,'24.07 Nakawuka-Nateete'!E28,'25.07 Nakawuka-Nateete'!E28,'26.07 Nakawuka-Nateete-24h'!E28,'27.07 Nakawuka-Nateete-24h'!E28,'28.07 Nakawuka-Nateete'!E28)</f>
        <v>3.1428571428571428</v>
      </c>
      <c r="F28" s="49">
        <f>AVERAGE('22.07 Nakawuka-Nateete'!F28,'23.07 Nakawuka-Nateete'!F28,'24.07 Nakawuka-Nateete'!F28,'25.07 Nakawuka-Nateete'!F28,'26.07 Nakawuka-Nateete-24h'!F28,'27.07 Nakawuka-Nateete-24h'!F28,'28.07 Nakawuka-Nateete'!F28)</f>
        <v>19.571428571428573</v>
      </c>
      <c r="G28" s="49">
        <f>AVERAGE('22.07 Nakawuka-Nateete'!G28,'23.07 Nakawuka-Nateete'!G28,'24.07 Nakawuka-Nateete'!G28,'25.07 Nakawuka-Nateete'!G28,'26.07 Nakawuka-Nateete-24h'!G28,'27.07 Nakawuka-Nateete-24h'!G28,'28.07 Nakawuka-Nateete'!G28)</f>
        <v>0.14285714285714285</v>
      </c>
      <c r="H28" s="49">
        <f>AVERAGE('22.07 Nakawuka-Nateete'!H28,'23.07 Nakawuka-Nateete'!H28,'24.07 Nakawuka-Nateete'!H28,'25.07 Nakawuka-Nateete'!H28,'26.07 Nakawuka-Nateete-24h'!H28,'27.07 Nakawuka-Nateete-24h'!H28,'28.07 Nakawuka-Nateete'!H28)</f>
        <v>0</v>
      </c>
      <c r="I28" s="49">
        <f>AVERAGE('22.07 Nakawuka-Nateete'!I28,'23.07 Nakawuka-Nateete'!I28,'24.07 Nakawuka-Nateete'!I28,'25.07 Nakawuka-Nateete'!I28,'26.07 Nakawuka-Nateete-24h'!I28,'27.07 Nakawuka-Nateete-24h'!I28,'28.07 Nakawuka-Nateete'!I28)</f>
        <v>5.7142857142857144</v>
      </c>
      <c r="J28" s="49">
        <f>AVERAGE('22.07 Nakawuka-Nateete'!J28,'23.07 Nakawuka-Nateete'!J28,'24.07 Nakawuka-Nateete'!J28,'25.07 Nakawuka-Nateete'!J28,'26.07 Nakawuka-Nateete-24h'!J28,'27.07 Nakawuka-Nateete-24h'!J28,'28.07 Nakawuka-Nateete'!J28)</f>
        <v>4.2857142857142856</v>
      </c>
      <c r="K28" s="49">
        <f>AVERAGE('22.07 Nakawuka-Nateete'!K28,'23.07 Nakawuka-Nateete'!K28,'24.07 Nakawuka-Nateete'!K28,'25.07 Nakawuka-Nateete'!K28,'26.07 Nakawuka-Nateete-24h'!K28,'27.07 Nakawuka-Nateete-24h'!K28,'28.07 Nakawuka-Nateete'!K28)</f>
        <v>0.42857142857142855</v>
      </c>
      <c r="L28" s="49">
        <f>AVERAGE('22.07 Nakawuka-Nateete'!L28,'23.07 Nakawuka-Nateete'!L28,'24.07 Nakawuka-Nateete'!L28,'25.07 Nakawuka-Nateete'!L28,'26.07 Nakawuka-Nateete-24h'!L28,'27.07 Nakawuka-Nateete-24h'!L28,'28.07 Nakawuka-Nateete'!L28)</f>
        <v>0.7142857142857143</v>
      </c>
      <c r="M28" s="49">
        <f>AVERAGE('22.07 Nakawuka-Nateete'!M28,'23.07 Nakawuka-Nateete'!M28,'24.07 Nakawuka-Nateete'!M28,'25.07 Nakawuka-Nateete'!M28,'26.07 Nakawuka-Nateete-24h'!M28,'27.07 Nakawuka-Nateete-24h'!M28,'28.07 Nakawuka-Nateete'!M28)</f>
        <v>101.85714285714286</v>
      </c>
      <c r="N28" s="49">
        <f>AVERAGE('22.07 Nakawuka-Nateete'!N28,'23.07 Nakawuka-Nateete'!N28,'24.07 Nakawuka-Nateete'!N28,'25.07 Nakawuka-Nateete'!N28,'26.07 Nakawuka-Nateete-24h'!N28,'27.07 Nakawuka-Nateete-24h'!N28,'28.07 Nakawuka-Nateete'!N28)</f>
        <v>0</v>
      </c>
      <c r="O28" s="31">
        <f t="shared" si="0"/>
        <v>62.142857142857153</v>
      </c>
      <c r="P28" s="31">
        <f t="shared" si="1"/>
        <v>164</v>
      </c>
      <c r="R28" s="1" t="s">
        <v>152</v>
      </c>
      <c r="S28" s="34">
        <f>SUM(C82:C85)</f>
        <v>20</v>
      </c>
      <c r="T28" s="34">
        <f t="shared" ref="T28:AD28" si="20">SUM(D82:D85)</f>
        <v>8</v>
      </c>
      <c r="U28" s="34">
        <f t="shared" si="20"/>
        <v>2</v>
      </c>
      <c r="V28" s="34">
        <f t="shared" si="20"/>
        <v>9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2.5</v>
      </c>
      <c r="AA28" s="34">
        <f t="shared" si="20"/>
        <v>0.5</v>
      </c>
      <c r="AB28" s="34">
        <f t="shared" si="20"/>
        <v>0</v>
      </c>
      <c r="AC28" s="34">
        <f t="shared" si="20"/>
        <v>106</v>
      </c>
      <c r="AD28" s="34">
        <f t="shared" si="20"/>
        <v>0</v>
      </c>
      <c r="AE28" s="31">
        <f t="shared" si="13"/>
        <v>227</v>
      </c>
      <c r="AF28" s="31">
        <f t="shared" si="13"/>
        <v>832</v>
      </c>
    </row>
    <row r="29" spans="2:32" ht="23.1" customHeight="1" x14ac:dyDescent="0.25">
      <c r="B29" s="23" t="s">
        <v>56</v>
      </c>
      <c r="C29" s="49">
        <f>AVERAGE('22.07 Nakawuka-Nateete'!C29,'23.07 Nakawuka-Nateete'!C29,'24.07 Nakawuka-Nateete'!C29,'25.07 Nakawuka-Nateete'!C29,'26.07 Nakawuka-Nateete-24h'!C29,'27.07 Nakawuka-Nateete-24h'!C29,'28.07 Nakawuka-Nateete'!C29)</f>
        <v>15.571428571428571</v>
      </c>
      <c r="D29" s="49">
        <f>AVERAGE('22.07 Nakawuka-Nateete'!D29,'23.07 Nakawuka-Nateete'!D29,'24.07 Nakawuka-Nateete'!D29,'25.07 Nakawuka-Nateete'!D29,'26.07 Nakawuka-Nateete-24h'!D29,'27.07 Nakawuka-Nateete-24h'!D29,'28.07 Nakawuka-Nateete'!D29)</f>
        <v>9.7142857142857135</v>
      </c>
      <c r="E29" s="49">
        <f>AVERAGE('22.07 Nakawuka-Nateete'!E29,'23.07 Nakawuka-Nateete'!E29,'24.07 Nakawuka-Nateete'!E29,'25.07 Nakawuka-Nateete'!E29,'26.07 Nakawuka-Nateete-24h'!E29,'27.07 Nakawuka-Nateete-24h'!E29,'28.07 Nakawuka-Nateete'!E29)</f>
        <v>6</v>
      </c>
      <c r="F29" s="49">
        <f>AVERAGE('22.07 Nakawuka-Nateete'!F29,'23.07 Nakawuka-Nateete'!F29,'24.07 Nakawuka-Nateete'!F29,'25.07 Nakawuka-Nateete'!F29,'26.07 Nakawuka-Nateete-24h'!F29,'27.07 Nakawuka-Nateete-24h'!F29,'28.07 Nakawuka-Nateete'!F29)</f>
        <v>19.571428571428573</v>
      </c>
      <c r="G29" s="49">
        <f>AVERAGE('22.07 Nakawuka-Nateete'!G29,'23.07 Nakawuka-Nateete'!G29,'24.07 Nakawuka-Nateete'!G29,'25.07 Nakawuka-Nateete'!G29,'26.07 Nakawuka-Nateete-24h'!G29,'27.07 Nakawuka-Nateete-24h'!G29,'28.07 Nakawuka-Nateete'!G29)</f>
        <v>0</v>
      </c>
      <c r="H29" s="49">
        <f>AVERAGE('22.07 Nakawuka-Nateete'!H29,'23.07 Nakawuka-Nateete'!H29,'24.07 Nakawuka-Nateete'!H29,'25.07 Nakawuka-Nateete'!H29,'26.07 Nakawuka-Nateete-24h'!H29,'27.07 Nakawuka-Nateete-24h'!H29,'28.07 Nakawuka-Nateete'!H29)</f>
        <v>0</v>
      </c>
      <c r="I29" s="49">
        <f>AVERAGE('22.07 Nakawuka-Nateete'!I29,'23.07 Nakawuka-Nateete'!I29,'24.07 Nakawuka-Nateete'!I29,'25.07 Nakawuka-Nateete'!I29,'26.07 Nakawuka-Nateete-24h'!I29,'27.07 Nakawuka-Nateete-24h'!I29,'28.07 Nakawuka-Nateete'!I29)</f>
        <v>7.5714285714285712</v>
      </c>
      <c r="J29" s="49">
        <f>AVERAGE('22.07 Nakawuka-Nateete'!J29,'23.07 Nakawuka-Nateete'!J29,'24.07 Nakawuka-Nateete'!J29,'25.07 Nakawuka-Nateete'!J29,'26.07 Nakawuka-Nateete-24h'!J29,'27.07 Nakawuka-Nateete-24h'!J29,'28.07 Nakawuka-Nateete'!J29)</f>
        <v>3.8571428571428572</v>
      </c>
      <c r="K29" s="49">
        <f>AVERAGE('22.07 Nakawuka-Nateete'!K29,'23.07 Nakawuka-Nateete'!K29,'24.07 Nakawuka-Nateete'!K29,'25.07 Nakawuka-Nateete'!K29,'26.07 Nakawuka-Nateete-24h'!K29,'27.07 Nakawuka-Nateete-24h'!K29,'28.07 Nakawuka-Nateete'!K29)</f>
        <v>0.7142857142857143</v>
      </c>
      <c r="L29" s="49">
        <f>AVERAGE('22.07 Nakawuka-Nateete'!L29,'23.07 Nakawuka-Nateete'!L29,'24.07 Nakawuka-Nateete'!L29,'25.07 Nakawuka-Nateete'!L29,'26.07 Nakawuka-Nateete-24h'!L29,'27.07 Nakawuka-Nateete-24h'!L29,'28.07 Nakawuka-Nateete'!L29)</f>
        <v>0.5714285714285714</v>
      </c>
      <c r="M29" s="49">
        <f>AVERAGE('22.07 Nakawuka-Nateete'!M29,'23.07 Nakawuka-Nateete'!M29,'24.07 Nakawuka-Nateete'!M29,'25.07 Nakawuka-Nateete'!M29,'26.07 Nakawuka-Nateete-24h'!M29,'27.07 Nakawuka-Nateete-24h'!M29,'28.07 Nakawuka-Nateete'!M29)</f>
        <v>95.285714285714292</v>
      </c>
      <c r="N29" s="49">
        <f>AVERAGE('22.07 Nakawuka-Nateete'!N29,'23.07 Nakawuka-Nateete'!N29,'24.07 Nakawuka-Nateete'!N29,'25.07 Nakawuka-Nateete'!N29,'26.07 Nakawuka-Nateete-24h'!N29,'27.07 Nakawuka-Nateete-24h'!N29,'28.07 Nakawuka-Nateete'!N29)</f>
        <v>0</v>
      </c>
      <c r="O29" s="31">
        <f t="shared" si="0"/>
        <v>63.571428571428569</v>
      </c>
      <c r="P29" s="31">
        <f t="shared" si="1"/>
        <v>158.85714285714286</v>
      </c>
      <c r="R29" s="1" t="s">
        <v>153</v>
      </c>
      <c r="S29" s="34">
        <f>SUM(C86:C89)</f>
        <v>6</v>
      </c>
      <c r="T29" s="34">
        <f t="shared" ref="T29:AD29" si="21">SUM(D86:D89)</f>
        <v>6</v>
      </c>
      <c r="U29" s="34">
        <f t="shared" si="21"/>
        <v>0.5</v>
      </c>
      <c r="V29" s="34">
        <f t="shared" si="21"/>
        <v>3.5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1</v>
      </c>
      <c r="AA29" s="34">
        <f t="shared" si="21"/>
        <v>0.5</v>
      </c>
      <c r="AB29" s="34">
        <f t="shared" si="21"/>
        <v>0</v>
      </c>
      <c r="AC29" s="34">
        <f t="shared" si="21"/>
        <v>108</v>
      </c>
      <c r="AD29" s="34">
        <f t="shared" si="21"/>
        <v>0</v>
      </c>
      <c r="AE29" s="31">
        <f t="shared" si="13"/>
        <v>304.5</v>
      </c>
      <c r="AF29" s="31">
        <f t="shared" si="13"/>
        <v>999.5</v>
      </c>
    </row>
    <row r="30" spans="2:32" ht="23.1" customHeight="1" x14ac:dyDescent="0.25">
      <c r="B30" s="23" t="s">
        <v>57</v>
      </c>
      <c r="C30" s="49">
        <f>AVERAGE('22.07 Nakawuka-Nateete'!C30,'23.07 Nakawuka-Nateete'!C30,'24.07 Nakawuka-Nateete'!C30,'25.07 Nakawuka-Nateete'!C30,'26.07 Nakawuka-Nateete-24h'!C30,'27.07 Nakawuka-Nateete-24h'!C30,'28.07 Nakawuka-Nateete'!C30)</f>
        <v>18.571428571428573</v>
      </c>
      <c r="D30" s="49">
        <f>AVERAGE('22.07 Nakawuka-Nateete'!D30,'23.07 Nakawuka-Nateete'!D30,'24.07 Nakawuka-Nateete'!D30,'25.07 Nakawuka-Nateete'!D30,'26.07 Nakawuka-Nateete-24h'!D30,'27.07 Nakawuka-Nateete-24h'!D30,'28.07 Nakawuka-Nateete'!D30)</f>
        <v>9</v>
      </c>
      <c r="E30" s="49">
        <f>AVERAGE('22.07 Nakawuka-Nateete'!E30,'23.07 Nakawuka-Nateete'!E30,'24.07 Nakawuka-Nateete'!E30,'25.07 Nakawuka-Nateete'!E30,'26.07 Nakawuka-Nateete-24h'!E30,'27.07 Nakawuka-Nateete-24h'!E30,'28.07 Nakawuka-Nateete'!E30)</f>
        <v>5.2857142857142856</v>
      </c>
      <c r="F30" s="49">
        <f>AVERAGE('22.07 Nakawuka-Nateete'!F30,'23.07 Nakawuka-Nateete'!F30,'24.07 Nakawuka-Nateete'!F30,'25.07 Nakawuka-Nateete'!F30,'26.07 Nakawuka-Nateete-24h'!F30,'27.07 Nakawuka-Nateete-24h'!F30,'28.07 Nakawuka-Nateete'!F30)</f>
        <v>19</v>
      </c>
      <c r="G30" s="49">
        <f>AVERAGE('22.07 Nakawuka-Nateete'!G30,'23.07 Nakawuka-Nateete'!G30,'24.07 Nakawuka-Nateete'!G30,'25.07 Nakawuka-Nateete'!G30,'26.07 Nakawuka-Nateete-24h'!G30,'27.07 Nakawuka-Nateete-24h'!G30,'28.07 Nakawuka-Nateete'!G30)</f>
        <v>2.4285714285714284</v>
      </c>
      <c r="H30" s="49">
        <f>AVERAGE('22.07 Nakawuka-Nateete'!H30,'23.07 Nakawuka-Nateete'!H30,'24.07 Nakawuka-Nateete'!H30,'25.07 Nakawuka-Nateete'!H30,'26.07 Nakawuka-Nateete-24h'!H30,'27.07 Nakawuka-Nateete-24h'!H30,'28.07 Nakawuka-Nateete'!H30)</f>
        <v>0</v>
      </c>
      <c r="I30" s="49">
        <f>AVERAGE('22.07 Nakawuka-Nateete'!I30,'23.07 Nakawuka-Nateete'!I30,'24.07 Nakawuka-Nateete'!I30,'25.07 Nakawuka-Nateete'!I30,'26.07 Nakawuka-Nateete-24h'!I30,'27.07 Nakawuka-Nateete-24h'!I30,'28.07 Nakawuka-Nateete'!I30)</f>
        <v>5.2857142857142856</v>
      </c>
      <c r="J30" s="49">
        <f>AVERAGE('22.07 Nakawuka-Nateete'!J30,'23.07 Nakawuka-Nateete'!J30,'24.07 Nakawuka-Nateete'!J30,'25.07 Nakawuka-Nateete'!J30,'26.07 Nakawuka-Nateete-24h'!J30,'27.07 Nakawuka-Nateete-24h'!J30,'28.07 Nakawuka-Nateete'!J30)</f>
        <v>3.8571428571428572</v>
      </c>
      <c r="K30" s="49">
        <f>AVERAGE('22.07 Nakawuka-Nateete'!K30,'23.07 Nakawuka-Nateete'!K30,'24.07 Nakawuka-Nateete'!K30,'25.07 Nakawuka-Nateete'!K30,'26.07 Nakawuka-Nateete-24h'!K30,'27.07 Nakawuka-Nateete-24h'!K30,'28.07 Nakawuka-Nateete'!K30)</f>
        <v>1.2857142857142858</v>
      </c>
      <c r="L30" s="49">
        <f>AVERAGE('22.07 Nakawuka-Nateete'!L30,'23.07 Nakawuka-Nateete'!L30,'24.07 Nakawuka-Nateete'!L30,'25.07 Nakawuka-Nateete'!L30,'26.07 Nakawuka-Nateete-24h'!L30,'27.07 Nakawuka-Nateete-24h'!L30,'28.07 Nakawuka-Nateete'!L30)</f>
        <v>1.1428571428571428</v>
      </c>
      <c r="M30" s="49">
        <f>AVERAGE('22.07 Nakawuka-Nateete'!M30,'23.07 Nakawuka-Nateete'!M30,'24.07 Nakawuka-Nateete'!M30,'25.07 Nakawuka-Nateete'!M30,'26.07 Nakawuka-Nateete-24h'!M30,'27.07 Nakawuka-Nateete-24h'!M30,'28.07 Nakawuka-Nateete'!M30)</f>
        <v>106.85714285714286</v>
      </c>
      <c r="N30" s="49">
        <f>AVERAGE('22.07 Nakawuka-Nateete'!N30,'23.07 Nakawuka-Nateete'!N30,'24.07 Nakawuka-Nateete'!N30,'25.07 Nakawuka-Nateete'!N30,'26.07 Nakawuka-Nateete-24h'!N30,'27.07 Nakawuka-Nateete-24h'!N30,'28.07 Nakawuka-Nateete'!N30)</f>
        <v>0</v>
      </c>
      <c r="O30" s="31">
        <f t="shared" si="0"/>
        <v>65.857142857142861</v>
      </c>
      <c r="P30" s="31">
        <f t="shared" si="1"/>
        <v>172.71428571428572</v>
      </c>
      <c r="R30" s="1" t="s">
        <v>154</v>
      </c>
      <c r="S30" s="34">
        <f>SUM(C90:C93)</f>
        <v>6</v>
      </c>
      <c r="T30" s="34">
        <f t="shared" ref="T30:AD30" si="22">SUM(D90:D93)</f>
        <v>2</v>
      </c>
      <c r="U30" s="34">
        <f t="shared" si="22"/>
        <v>3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</v>
      </c>
      <c r="AA30" s="34">
        <f t="shared" si="22"/>
        <v>1</v>
      </c>
      <c r="AB30" s="34">
        <f t="shared" si="22"/>
        <v>15.5</v>
      </c>
      <c r="AC30" s="34">
        <f t="shared" si="22"/>
        <v>83</v>
      </c>
      <c r="AD30" s="34">
        <f t="shared" si="22"/>
        <v>0</v>
      </c>
      <c r="AE30" s="31">
        <f t="shared" si="13"/>
        <v>269</v>
      </c>
      <c r="AF30" s="31">
        <f t="shared" si="13"/>
        <v>921.5</v>
      </c>
    </row>
    <row r="31" spans="2:32" ht="23.1" customHeight="1" x14ac:dyDescent="0.25">
      <c r="B31" s="24" t="s">
        <v>58</v>
      </c>
      <c r="C31" s="49">
        <f>AVERAGE('22.07 Nakawuka-Nateete'!C31,'23.07 Nakawuka-Nateete'!C31,'24.07 Nakawuka-Nateete'!C31,'25.07 Nakawuka-Nateete'!C31,'26.07 Nakawuka-Nateete-24h'!C31,'27.07 Nakawuka-Nateete-24h'!C31,'28.07 Nakawuka-Nateete'!C31)</f>
        <v>16</v>
      </c>
      <c r="D31" s="49">
        <f>AVERAGE('22.07 Nakawuka-Nateete'!D31,'23.07 Nakawuka-Nateete'!D31,'24.07 Nakawuka-Nateete'!D31,'25.07 Nakawuka-Nateete'!D31,'26.07 Nakawuka-Nateete-24h'!D31,'27.07 Nakawuka-Nateete-24h'!D31,'28.07 Nakawuka-Nateete'!D31)</f>
        <v>8.7142857142857135</v>
      </c>
      <c r="E31" s="49">
        <f>AVERAGE('22.07 Nakawuka-Nateete'!E31,'23.07 Nakawuka-Nateete'!E31,'24.07 Nakawuka-Nateete'!E31,'25.07 Nakawuka-Nateete'!E31,'26.07 Nakawuka-Nateete-24h'!E31,'27.07 Nakawuka-Nateete-24h'!E31,'28.07 Nakawuka-Nateete'!E31)</f>
        <v>5.4285714285714288</v>
      </c>
      <c r="F31" s="49">
        <f>AVERAGE('22.07 Nakawuka-Nateete'!F31,'23.07 Nakawuka-Nateete'!F31,'24.07 Nakawuka-Nateete'!F31,'25.07 Nakawuka-Nateete'!F31,'26.07 Nakawuka-Nateete-24h'!F31,'27.07 Nakawuka-Nateete-24h'!F31,'28.07 Nakawuka-Nateete'!F31)</f>
        <v>17.285714285714285</v>
      </c>
      <c r="G31" s="49">
        <f>AVERAGE('22.07 Nakawuka-Nateete'!G31,'23.07 Nakawuka-Nateete'!G31,'24.07 Nakawuka-Nateete'!G31,'25.07 Nakawuka-Nateete'!G31,'26.07 Nakawuka-Nateete-24h'!G31,'27.07 Nakawuka-Nateete-24h'!G31,'28.07 Nakawuka-Nateete'!G31)</f>
        <v>0.7142857142857143</v>
      </c>
      <c r="H31" s="49">
        <f>AVERAGE('22.07 Nakawuka-Nateete'!H31,'23.07 Nakawuka-Nateete'!H31,'24.07 Nakawuka-Nateete'!H31,'25.07 Nakawuka-Nateete'!H31,'26.07 Nakawuka-Nateete-24h'!H31,'27.07 Nakawuka-Nateete-24h'!H31,'28.07 Nakawuka-Nateete'!H31)</f>
        <v>0</v>
      </c>
      <c r="I31" s="49">
        <f>AVERAGE('22.07 Nakawuka-Nateete'!I31,'23.07 Nakawuka-Nateete'!I31,'24.07 Nakawuka-Nateete'!I31,'25.07 Nakawuka-Nateete'!I31,'26.07 Nakawuka-Nateete-24h'!I31,'27.07 Nakawuka-Nateete-24h'!I31,'28.07 Nakawuka-Nateete'!I31)</f>
        <v>6.1428571428571432</v>
      </c>
      <c r="J31" s="49">
        <f>AVERAGE('22.07 Nakawuka-Nateete'!J31,'23.07 Nakawuka-Nateete'!J31,'24.07 Nakawuka-Nateete'!J31,'25.07 Nakawuka-Nateete'!J31,'26.07 Nakawuka-Nateete-24h'!J31,'27.07 Nakawuka-Nateete-24h'!J31,'28.07 Nakawuka-Nateete'!J31)</f>
        <v>4.2857142857142856</v>
      </c>
      <c r="K31" s="49">
        <f>AVERAGE('22.07 Nakawuka-Nateete'!K31,'23.07 Nakawuka-Nateete'!K31,'24.07 Nakawuka-Nateete'!K31,'25.07 Nakawuka-Nateete'!K31,'26.07 Nakawuka-Nateete-24h'!K31,'27.07 Nakawuka-Nateete-24h'!K31,'28.07 Nakawuka-Nateete'!K31)</f>
        <v>0.5714285714285714</v>
      </c>
      <c r="L31" s="49">
        <f>AVERAGE('22.07 Nakawuka-Nateete'!L31,'23.07 Nakawuka-Nateete'!L31,'24.07 Nakawuka-Nateete'!L31,'25.07 Nakawuka-Nateete'!L31,'26.07 Nakawuka-Nateete-24h'!L31,'27.07 Nakawuka-Nateete-24h'!L31,'28.07 Nakawuka-Nateete'!L31)</f>
        <v>0.42857142857142855</v>
      </c>
      <c r="M31" s="49">
        <f>AVERAGE('22.07 Nakawuka-Nateete'!M31,'23.07 Nakawuka-Nateete'!M31,'24.07 Nakawuka-Nateete'!M31,'25.07 Nakawuka-Nateete'!M31,'26.07 Nakawuka-Nateete-24h'!M31,'27.07 Nakawuka-Nateete-24h'!M31,'28.07 Nakawuka-Nateete'!M31)</f>
        <v>96.428571428571431</v>
      </c>
      <c r="N31" s="49">
        <f>AVERAGE('22.07 Nakawuka-Nateete'!N31,'23.07 Nakawuka-Nateete'!N31,'24.07 Nakawuka-Nateete'!N31,'25.07 Nakawuka-Nateete'!N31,'26.07 Nakawuka-Nateete-24h'!N31,'27.07 Nakawuka-Nateete-24h'!N31,'28.07 Nakawuka-Nateete'!N31)</f>
        <v>0</v>
      </c>
      <c r="O31" s="31">
        <f t="shared" si="0"/>
        <v>59.571428571428577</v>
      </c>
      <c r="P31" s="31">
        <f t="shared" si="1"/>
        <v>156</v>
      </c>
      <c r="R31" s="1" t="s">
        <v>155</v>
      </c>
      <c r="S31" s="34">
        <f>SUM(C94:C97)</f>
        <v>10.5</v>
      </c>
      <c r="T31" s="34">
        <f t="shared" ref="T31:AD31" si="23">SUM(D94:D97)</f>
        <v>6</v>
      </c>
      <c r="U31" s="34">
        <f t="shared" si="23"/>
        <v>1</v>
      </c>
      <c r="V31" s="34">
        <f t="shared" si="23"/>
        <v>8</v>
      </c>
      <c r="W31" s="34">
        <f t="shared" si="23"/>
        <v>0.5</v>
      </c>
      <c r="X31" s="34">
        <f t="shared" si="23"/>
        <v>0</v>
      </c>
      <c r="Y31" s="34">
        <f t="shared" si="23"/>
        <v>2</v>
      </c>
      <c r="Z31" s="34">
        <f t="shared" si="23"/>
        <v>1.5</v>
      </c>
      <c r="AA31" s="34">
        <f t="shared" si="23"/>
        <v>0</v>
      </c>
      <c r="AB31" s="34">
        <f t="shared" si="23"/>
        <v>0</v>
      </c>
      <c r="AC31" s="34">
        <f t="shared" si="23"/>
        <v>119.5</v>
      </c>
      <c r="AD31" s="34">
        <f t="shared" si="23"/>
        <v>0</v>
      </c>
      <c r="AE31" s="31">
        <f t="shared" si="13"/>
        <v>318.5</v>
      </c>
      <c r="AF31" s="31">
        <f t="shared" si="13"/>
        <v>993.5</v>
      </c>
    </row>
    <row r="32" spans="2:32" ht="23.1" customHeight="1" x14ac:dyDescent="0.25">
      <c r="B32" s="24" t="s">
        <v>59</v>
      </c>
      <c r="C32" s="49">
        <f>AVERAGE('22.07 Nakawuka-Nateete'!C32,'23.07 Nakawuka-Nateete'!C32,'24.07 Nakawuka-Nateete'!C32,'25.07 Nakawuka-Nateete'!C32,'26.07 Nakawuka-Nateete-24h'!C32,'27.07 Nakawuka-Nateete-24h'!C32,'28.07 Nakawuka-Nateete'!C32)</f>
        <v>14</v>
      </c>
      <c r="D32" s="49">
        <f>AVERAGE('22.07 Nakawuka-Nateete'!D32,'23.07 Nakawuka-Nateete'!D32,'24.07 Nakawuka-Nateete'!D32,'25.07 Nakawuka-Nateete'!D32,'26.07 Nakawuka-Nateete-24h'!D32,'27.07 Nakawuka-Nateete-24h'!D32,'28.07 Nakawuka-Nateete'!D32)</f>
        <v>5.5714285714285712</v>
      </c>
      <c r="E32" s="49">
        <f>AVERAGE('22.07 Nakawuka-Nateete'!E32,'23.07 Nakawuka-Nateete'!E32,'24.07 Nakawuka-Nateete'!E32,'25.07 Nakawuka-Nateete'!E32,'26.07 Nakawuka-Nateete-24h'!E32,'27.07 Nakawuka-Nateete-24h'!E32,'28.07 Nakawuka-Nateete'!E32)</f>
        <v>5</v>
      </c>
      <c r="F32" s="49">
        <f>AVERAGE('22.07 Nakawuka-Nateete'!F32,'23.07 Nakawuka-Nateete'!F32,'24.07 Nakawuka-Nateete'!F32,'25.07 Nakawuka-Nateete'!F32,'26.07 Nakawuka-Nateete-24h'!F32,'27.07 Nakawuka-Nateete-24h'!F32,'28.07 Nakawuka-Nateete'!F32)</f>
        <v>17.428571428571427</v>
      </c>
      <c r="G32" s="49">
        <f>AVERAGE('22.07 Nakawuka-Nateete'!G32,'23.07 Nakawuka-Nateete'!G32,'24.07 Nakawuka-Nateete'!G32,'25.07 Nakawuka-Nateete'!G32,'26.07 Nakawuka-Nateete-24h'!G32,'27.07 Nakawuka-Nateete-24h'!G32,'28.07 Nakawuka-Nateete'!G32)</f>
        <v>0.2857142857142857</v>
      </c>
      <c r="H32" s="49">
        <f>AVERAGE('22.07 Nakawuka-Nateete'!H32,'23.07 Nakawuka-Nateete'!H32,'24.07 Nakawuka-Nateete'!H32,'25.07 Nakawuka-Nateete'!H32,'26.07 Nakawuka-Nateete-24h'!H32,'27.07 Nakawuka-Nateete-24h'!H32,'28.07 Nakawuka-Nateete'!H32)</f>
        <v>0.14285714285714285</v>
      </c>
      <c r="I32" s="49">
        <f>AVERAGE('22.07 Nakawuka-Nateete'!I32,'23.07 Nakawuka-Nateete'!I32,'24.07 Nakawuka-Nateete'!I32,'25.07 Nakawuka-Nateete'!I32,'26.07 Nakawuka-Nateete-24h'!I32,'27.07 Nakawuka-Nateete-24h'!I32,'28.07 Nakawuka-Nateete'!I32)</f>
        <v>4.1428571428571432</v>
      </c>
      <c r="J32" s="49">
        <f>AVERAGE('22.07 Nakawuka-Nateete'!J32,'23.07 Nakawuka-Nateete'!J32,'24.07 Nakawuka-Nateete'!J32,'25.07 Nakawuka-Nateete'!J32,'26.07 Nakawuka-Nateete-24h'!J32,'27.07 Nakawuka-Nateete-24h'!J32,'28.07 Nakawuka-Nateete'!J32)</f>
        <v>4.4285714285714288</v>
      </c>
      <c r="K32" s="49">
        <f>AVERAGE('22.07 Nakawuka-Nateete'!K32,'23.07 Nakawuka-Nateete'!K32,'24.07 Nakawuka-Nateete'!K32,'25.07 Nakawuka-Nateete'!K32,'26.07 Nakawuka-Nateete-24h'!K32,'27.07 Nakawuka-Nateete-24h'!K32,'28.07 Nakawuka-Nateete'!K32)</f>
        <v>0.5714285714285714</v>
      </c>
      <c r="L32" s="49">
        <f>AVERAGE('22.07 Nakawuka-Nateete'!L32,'23.07 Nakawuka-Nateete'!L32,'24.07 Nakawuka-Nateete'!L32,'25.07 Nakawuka-Nateete'!L32,'26.07 Nakawuka-Nateete-24h'!L32,'27.07 Nakawuka-Nateete-24h'!L32,'28.07 Nakawuka-Nateete'!L32)</f>
        <v>0.8571428571428571</v>
      </c>
      <c r="M32" s="49">
        <f>AVERAGE('22.07 Nakawuka-Nateete'!M32,'23.07 Nakawuka-Nateete'!M32,'24.07 Nakawuka-Nateete'!M32,'25.07 Nakawuka-Nateete'!M32,'26.07 Nakawuka-Nateete-24h'!M32,'27.07 Nakawuka-Nateete-24h'!M32,'28.07 Nakawuka-Nateete'!M32)</f>
        <v>109.57142857142857</v>
      </c>
      <c r="N32" s="49">
        <f>AVERAGE('22.07 Nakawuka-Nateete'!N32,'23.07 Nakawuka-Nateete'!N32,'24.07 Nakawuka-Nateete'!N32,'25.07 Nakawuka-Nateete'!N32,'26.07 Nakawuka-Nateete-24h'!N32,'27.07 Nakawuka-Nateete-24h'!N32,'28.07 Nakawuka-Nateete'!N32)</f>
        <v>0</v>
      </c>
      <c r="O32" s="31">
        <f t="shared" si="0"/>
        <v>52.428571428571431</v>
      </c>
      <c r="P32" s="31">
        <f t="shared" si="1"/>
        <v>162</v>
      </c>
      <c r="R32" s="1" t="s">
        <v>156</v>
      </c>
      <c r="S32" s="34">
        <f>SUM(C98:C101)</f>
        <v>9.5</v>
      </c>
      <c r="T32" s="34">
        <f t="shared" ref="T32:AD32" si="24">SUM(D98:D101)</f>
        <v>9</v>
      </c>
      <c r="U32" s="34">
        <f t="shared" si="24"/>
        <v>4</v>
      </c>
      <c r="V32" s="34">
        <f t="shared" si="24"/>
        <v>28</v>
      </c>
      <c r="W32" s="34">
        <f t="shared" si="24"/>
        <v>0</v>
      </c>
      <c r="X32" s="34">
        <f t="shared" si="24"/>
        <v>0.5</v>
      </c>
      <c r="Y32" s="34">
        <f t="shared" si="24"/>
        <v>6</v>
      </c>
      <c r="Z32" s="34">
        <f t="shared" si="24"/>
        <v>5</v>
      </c>
      <c r="AA32" s="34">
        <f t="shared" si="24"/>
        <v>0.5</v>
      </c>
      <c r="AB32" s="34">
        <f t="shared" si="24"/>
        <v>0</v>
      </c>
      <c r="AC32" s="34">
        <f t="shared" si="24"/>
        <v>204</v>
      </c>
      <c r="AD32" s="34">
        <f t="shared" si="24"/>
        <v>0</v>
      </c>
      <c r="AE32" s="31">
        <f t="shared" si="13"/>
        <v>283</v>
      </c>
      <c r="AF32" s="31">
        <f t="shared" si="13"/>
        <v>908</v>
      </c>
    </row>
    <row r="33" spans="2:32" ht="23.1" customHeight="1" x14ac:dyDescent="0.25">
      <c r="B33" s="23" t="s">
        <v>60</v>
      </c>
      <c r="C33" s="49">
        <f>AVERAGE('22.07 Nakawuka-Nateete'!C33,'23.07 Nakawuka-Nateete'!C33,'24.07 Nakawuka-Nateete'!C33,'25.07 Nakawuka-Nateete'!C33,'26.07 Nakawuka-Nateete-24h'!C33,'27.07 Nakawuka-Nateete-24h'!C33,'28.07 Nakawuka-Nateete'!C33)</f>
        <v>15.428571428571429</v>
      </c>
      <c r="D33" s="49">
        <f>AVERAGE('22.07 Nakawuka-Nateete'!D33,'23.07 Nakawuka-Nateete'!D33,'24.07 Nakawuka-Nateete'!D33,'25.07 Nakawuka-Nateete'!D33,'26.07 Nakawuka-Nateete-24h'!D33,'27.07 Nakawuka-Nateete-24h'!D33,'28.07 Nakawuka-Nateete'!D33)</f>
        <v>7.8571428571428568</v>
      </c>
      <c r="E33" s="49">
        <f>AVERAGE('22.07 Nakawuka-Nateete'!E33,'23.07 Nakawuka-Nateete'!E33,'24.07 Nakawuka-Nateete'!E33,'25.07 Nakawuka-Nateete'!E33,'26.07 Nakawuka-Nateete-24h'!E33,'27.07 Nakawuka-Nateete-24h'!E33,'28.07 Nakawuka-Nateete'!E33)</f>
        <v>4</v>
      </c>
      <c r="F33" s="49">
        <f>AVERAGE('22.07 Nakawuka-Nateete'!F33,'23.07 Nakawuka-Nateete'!F33,'24.07 Nakawuka-Nateete'!F33,'25.07 Nakawuka-Nateete'!F33,'26.07 Nakawuka-Nateete-24h'!F33,'27.07 Nakawuka-Nateete-24h'!F33,'28.07 Nakawuka-Nateete'!F33)</f>
        <v>18.714285714285715</v>
      </c>
      <c r="G33" s="49">
        <f>AVERAGE('22.07 Nakawuka-Nateete'!G33,'23.07 Nakawuka-Nateete'!G33,'24.07 Nakawuka-Nateete'!G33,'25.07 Nakawuka-Nateete'!G33,'26.07 Nakawuka-Nateete-24h'!G33,'27.07 Nakawuka-Nateete-24h'!G33,'28.07 Nakawuka-Nateete'!G33)</f>
        <v>0.14285714285714285</v>
      </c>
      <c r="H33" s="49">
        <f>AVERAGE('22.07 Nakawuka-Nateete'!H33,'23.07 Nakawuka-Nateete'!H33,'24.07 Nakawuka-Nateete'!H33,'25.07 Nakawuka-Nateete'!H33,'26.07 Nakawuka-Nateete-24h'!H33,'27.07 Nakawuka-Nateete-24h'!H33,'28.07 Nakawuka-Nateete'!H33)</f>
        <v>0</v>
      </c>
      <c r="I33" s="49">
        <f>AVERAGE('22.07 Nakawuka-Nateete'!I33,'23.07 Nakawuka-Nateete'!I33,'24.07 Nakawuka-Nateete'!I33,'25.07 Nakawuka-Nateete'!I33,'26.07 Nakawuka-Nateete-24h'!I33,'27.07 Nakawuka-Nateete-24h'!I33,'28.07 Nakawuka-Nateete'!I33)</f>
        <v>5.7142857142857144</v>
      </c>
      <c r="J33" s="49">
        <f>AVERAGE('22.07 Nakawuka-Nateete'!J33,'23.07 Nakawuka-Nateete'!J33,'24.07 Nakawuka-Nateete'!J33,'25.07 Nakawuka-Nateete'!J33,'26.07 Nakawuka-Nateete-24h'!J33,'27.07 Nakawuka-Nateete-24h'!J33,'28.07 Nakawuka-Nateete'!J33)</f>
        <v>3.5714285714285716</v>
      </c>
      <c r="K33" s="49">
        <f>AVERAGE('22.07 Nakawuka-Nateete'!K33,'23.07 Nakawuka-Nateete'!K33,'24.07 Nakawuka-Nateete'!K33,'25.07 Nakawuka-Nateete'!K33,'26.07 Nakawuka-Nateete-24h'!K33,'27.07 Nakawuka-Nateete-24h'!K33,'28.07 Nakawuka-Nateete'!K33)</f>
        <v>1</v>
      </c>
      <c r="L33" s="49">
        <f>AVERAGE('22.07 Nakawuka-Nateete'!L33,'23.07 Nakawuka-Nateete'!L33,'24.07 Nakawuka-Nateete'!L33,'25.07 Nakawuka-Nateete'!L33,'26.07 Nakawuka-Nateete-24h'!L33,'27.07 Nakawuka-Nateete-24h'!L33,'28.07 Nakawuka-Nateete'!L33)</f>
        <v>0.14285714285714285</v>
      </c>
      <c r="M33" s="49">
        <f>AVERAGE('22.07 Nakawuka-Nateete'!M33,'23.07 Nakawuka-Nateete'!M33,'24.07 Nakawuka-Nateete'!M33,'25.07 Nakawuka-Nateete'!M33,'26.07 Nakawuka-Nateete-24h'!M33,'27.07 Nakawuka-Nateete-24h'!M33,'28.07 Nakawuka-Nateete'!M33)</f>
        <v>101.57142857142857</v>
      </c>
      <c r="N33" s="49">
        <f>AVERAGE('22.07 Nakawuka-Nateete'!N33,'23.07 Nakawuka-Nateete'!N33,'24.07 Nakawuka-Nateete'!N33,'25.07 Nakawuka-Nateete'!N33,'26.07 Nakawuka-Nateete-24h'!N33,'27.07 Nakawuka-Nateete-24h'!N33,'28.07 Nakawuka-Nateete'!N33)</f>
        <v>0</v>
      </c>
      <c r="O33" s="31">
        <f t="shared" si="0"/>
        <v>56.571428571428577</v>
      </c>
      <c r="P33" s="31">
        <f t="shared" si="1"/>
        <v>158.14285714285714</v>
      </c>
      <c r="R33" s="1" t="s">
        <v>157</v>
      </c>
      <c r="S33" s="34">
        <f>SUM(C102:C105)</f>
        <v>29.5</v>
      </c>
      <c r="T33" s="34">
        <f t="shared" ref="T33:AD33" si="25">SUM(D102:D105)</f>
        <v>21</v>
      </c>
      <c r="U33" s="34">
        <f t="shared" si="25"/>
        <v>6.5</v>
      </c>
      <c r="V33" s="34">
        <f t="shared" si="25"/>
        <v>65</v>
      </c>
      <c r="W33" s="34">
        <f t="shared" si="25"/>
        <v>0.5</v>
      </c>
      <c r="X33" s="34">
        <f t="shared" si="25"/>
        <v>0.5</v>
      </c>
      <c r="Y33" s="34">
        <f t="shared" si="25"/>
        <v>14</v>
      </c>
      <c r="Z33" s="34">
        <f t="shared" si="25"/>
        <v>12</v>
      </c>
      <c r="AA33" s="34">
        <f t="shared" si="25"/>
        <v>0.5</v>
      </c>
      <c r="AB33" s="34">
        <f t="shared" si="25"/>
        <v>0.5</v>
      </c>
      <c r="AC33" s="34">
        <f t="shared" si="25"/>
        <v>339</v>
      </c>
      <c r="AD33" s="34">
        <f t="shared" si="25"/>
        <v>0</v>
      </c>
      <c r="AE33" s="31">
        <f t="shared" si="13"/>
        <v>205.5</v>
      </c>
      <c r="AF33" s="31">
        <f t="shared" si="13"/>
        <v>720.5</v>
      </c>
    </row>
    <row r="34" spans="2:32" ht="23.1" customHeight="1" x14ac:dyDescent="0.25">
      <c r="B34" s="24" t="s">
        <v>61</v>
      </c>
      <c r="C34" s="49">
        <f>AVERAGE('22.07 Nakawuka-Nateete'!C34,'23.07 Nakawuka-Nateete'!C34,'24.07 Nakawuka-Nateete'!C34,'25.07 Nakawuka-Nateete'!C34,'26.07 Nakawuka-Nateete-24h'!C34,'27.07 Nakawuka-Nateete-24h'!C34,'28.07 Nakawuka-Nateete'!C34)</f>
        <v>15.571428571428571</v>
      </c>
      <c r="D34" s="49">
        <f>AVERAGE('22.07 Nakawuka-Nateete'!D34,'23.07 Nakawuka-Nateete'!D34,'24.07 Nakawuka-Nateete'!D34,'25.07 Nakawuka-Nateete'!D34,'26.07 Nakawuka-Nateete-24h'!D34,'27.07 Nakawuka-Nateete-24h'!D34,'28.07 Nakawuka-Nateete'!D34)</f>
        <v>6.4285714285714288</v>
      </c>
      <c r="E34" s="49">
        <f>AVERAGE('22.07 Nakawuka-Nateete'!E34,'23.07 Nakawuka-Nateete'!E34,'24.07 Nakawuka-Nateete'!E34,'25.07 Nakawuka-Nateete'!E34,'26.07 Nakawuka-Nateete-24h'!E34,'27.07 Nakawuka-Nateete-24h'!E34,'28.07 Nakawuka-Nateete'!E34)</f>
        <v>3.2857142857142856</v>
      </c>
      <c r="F34" s="49">
        <f>AVERAGE('22.07 Nakawuka-Nateete'!F34,'23.07 Nakawuka-Nateete'!F34,'24.07 Nakawuka-Nateete'!F34,'25.07 Nakawuka-Nateete'!F34,'26.07 Nakawuka-Nateete-24h'!F34,'27.07 Nakawuka-Nateete-24h'!F34,'28.07 Nakawuka-Nateete'!F34)</f>
        <v>16.714285714285715</v>
      </c>
      <c r="G34" s="49">
        <f>AVERAGE('22.07 Nakawuka-Nateete'!G34,'23.07 Nakawuka-Nateete'!G34,'24.07 Nakawuka-Nateete'!G34,'25.07 Nakawuka-Nateete'!G34,'26.07 Nakawuka-Nateete-24h'!G34,'27.07 Nakawuka-Nateete-24h'!G34,'28.07 Nakawuka-Nateete'!G34)</f>
        <v>0.42857142857142855</v>
      </c>
      <c r="H34" s="49">
        <f>AVERAGE('22.07 Nakawuka-Nateete'!H34,'23.07 Nakawuka-Nateete'!H34,'24.07 Nakawuka-Nateete'!H34,'25.07 Nakawuka-Nateete'!H34,'26.07 Nakawuka-Nateete-24h'!H34,'27.07 Nakawuka-Nateete-24h'!H34,'28.07 Nakawuka-Nateete'!H34)</f>
        <v>0</v>
      </c>
      <c r="I34" s="49">
        <f>AVERAGE('22.07 Nakawuka-Nateete'!I34,'23.07 Nakawuka-Nateete'!I34,'24.07 Nakawuka-Nateete'!I34,'25.07 Nakawuka-Nateete'!I34,'26.07 Nakawuka-Nateete-24h'!I34,'27.07 Nakawuka-Nateete-24h'!I34,'28.07 Nakawuka-Nateete'!I34)</f>
        <v>5.5714285714285712</v>
      </c>
      <c r="J34" s="49">
        <f>AVERAGE('22.07 Nakawuka-Nateete'!J34,'23.07 Nakawuka-Nateete'!J34,'24.07 Nakawuka-Nateete'!J34,'25.07 Nakawuka-Nateete'!J34,'26.07 Nakawuka-Nateete-24h'!J34,'27.07 Nakawuka-Nateete-24h'!J34,'28.07 Nakawuka-Nateete'!J34)</f>
        <v>3</v>
      </c>
      <c r="K34" s="49">
        <f>AVERAGE('22.07 Nakawuka-Nateete'!K34,'23.07 Nakawuka-Nateete'!K34,'24.07 Nakawuka-Nateete'!K34,'25.07 Nakawuka-Nateete'!K34,'26.07 Nakawuka-Nateete-24h'!K34,'27.07 Nakawuka-Nateete-24h'!K34,'28.07 Nakawuka-Nateete'!K34)</f>
        <v>0.5714285714285714</v>
      </c>
      <c r="L34" s="49">
        <f>AVERAGE('22.07 Nakawuka-Nateete'!L34,'23.07 Nakawuka-Nateete'!L34,'24.07 Nakawuka-Nateete'!L34,'25.07 Nakawuka-Nateete'!L34,'26.07 Nakawuka-Nateete-24h'!L34,'27.07 Nakawuka-Nateete-24h'!L34,'28.07 Nakawuka-Nateete'!L34)</f>
        <v>0.42857142857142855</v>
      </c>
      <c r="M34" s="49">
        <f>AVERAGE('22.07 Nakawuka-Nateete'!M34,'23.07 Nakawuka-Nateete'!M34,'24.07 Nakawuka-Nateete'!M34,'25.07 Nakawuka-Nateete'!M34,'26.07 Nakawuka-Nateete-24h'!M34,'27.07 Nakawuka-Nateete-24h'!M34,'28.07 Nakawuka-Nateete'!M34)</f>
        <v>105.57142857142857</v>
      </c>
      <c r="N34" s="49">
        <f>AVERAGE('22.07 Nakawuka-Nateete'!N34,'23.07 Nakawuka-Nateete'!N34,'24.07 Nakawuka-Nateete'!N34,'25.07 Nakawuka-Nateete'!N34,'26.07 Nakawuka-Nateete-24h'!N34,'27.07 Nakawuka-Nateete-24h'!N34,'28.07 Nakawuka-Nateete'!N34)</f>
        <v>0</v>
      </c>
      <c r="O34" s="31">
        <f t="shared" si="0"/>
        <v>52</v>
      </c>
      <c r="P34" s="31">
        <f t="shared" si="1"/>
        <v>157.57142857142856</v>
      </c>
      <c r="R34" s="38" t="s">
        <v>90</v>
      </c>
      <c r="S34" s="39">
        <f t="shared" ref="S34:AF34" si="26">MAX(S10:S12)</f>
        <v>127</v>
      </c>
      <c r="T34" s="39">
        <f t="shared" si="26"/>
        <v>47.142857142857139</v>
      </c>
      <c r="U34" s="39">
        <f t="shared" si="26"/>
        <v>29.142857142857146</v>
      </c>
      <c r="V34" s="39">
        <f t="shared" si="26"/>
        <v>130.42857142857142</v>
      </c>
      <c r="W34" s="39">
        <f t="shared" si="26"/>
        <v>2.8571428571428572</v>
      </c>
      <c r="X34" s="39">
        <f t="shared" si="26"/>
        <v>1.5714285714285714</v>
      </c>
      <c r="Y34" s="39">
        <f t="shared" si="26"/>
        <v>29.857142857142854</v>
      </c>
      <c r="Z34" s="39">
        <f t="shared" si="26"/>
        <v>16.571428571428573</v>
      </c>
      <c r="AA34" s="39">
        <f t="shared" si="26"/>
        <v>3</v>
      </c>
      <c r="AB34" s="39">
        <f t="shared" si="26"/>
        <v>1.857142857142857</v>
      </c>
      <c r="AC34" s="39">
        <f t="shared" si="26"/>
        <v>490.85714285714283</v>
      </c>
      <c r="AD34" s="39">
        <f t="shared" si="26"/>
        <v>0</v>
      </c>
      <c r="AE34" s="40">
        <f t="shared" si="26"/>
        <v>377.85714285714289</v>
      </c>
      <c r="AF34" s="40">
        <f t="shared" si="26"/>
        <v>868.71428571428578</v>
      </c>
    </row>
    <row r="35" spans="2:32" ht="23.1" customHeight="1" x14ac:dyDescent="0.25">
      <c r="B35" s="24" t="s">
        <v>62</v>
      </c>
      <c r="C35" s="49">
        <f>AVERAGE('22.07 Nakawuka-Nateete'!C35,'23.07 Nakawuka-Nateete'!C35,'24.07 Nakawuka-Nateete'!C35,'25.07 Nakawuka-Nateete'!C35,'26.07 Nakawuka-Nateete-24h'!C35,'27.07 Nakawuka-Nateete-24h'!C35,'28.07 Nakawuka-Nateete'!C35)</f>
        <v>11.714285714285714</v>
      </c>
      <c r="D35" s="49">
        <f>AVERAGE('22.07 Nakawuka-Nateete'!D35,'23.07 Nakawuka-Nateete'!D35,'24.07 Nakawuka-Nateete'!D35,'25.07 Nakawuka-Nateete'!D35,'26.07 Nakawuka-Nateete-24h'!D35,'27.07 Nakawuka-Nateete-24h'!D35,'28.07 Nakawuka-Nateete'!D35)</f>
        <v>4.1428571428571432</v>
      </c>
      <c r="E35" s="49">
        <f>AVERAGE('22.07 Nakawuka-Nateete'!E35,'23.07 Nakawuka-Nateete'!E35,'24.07 Nakawuka-Nateete'!E35,'25.07 Nakawuka-Nateete'!E35,'26.07 Nakawuka-Nateete-24h'!E35,'27.07 Nakawuka-Nateete-24h'!E35,'28.07 Nakawuka-Nateete'!E35)</f>
        <v>4.4285714285714288</v>
      </c>
      <c r="F35" s="49">
        <f>AVERAGE('22.07 Nakawuka-Nateete'!F35,'23.07 Nakawuka-Nateete'!F35,'24.07 Nakawuka-Nateete'!F35,'25.07 Nakawuka-Nateete'!F35,'26.07 Nakawuka-Nateete-24h'!F35,'27.07 Nakawuka-Nateete-24h'!F35,'28.07 Nakawuka-Nateete'!F35)</f>
        <v>13</v>
      </c>
      <c r="G35" s="49">
        <f>AVERAGE('22.07 Nakawuka-Nateete'!G35,'23.07 Nakawuka-Nateete'!G35,'24.07 Nakawuka-Nateete'!G35,'25.07 Nakawuka-Nateete'!G35,'26.07 Nakawuka-Nateete-24h'!G35,'27.07 Nakawuka-Nateete-24h'!G35,'28.07 Nakawuka-Nateete'!G35)</f>
        <v>0.14285714285714285</v>
      </c>
      <c r="H35" s="49">
        <f>AVERAGE('22.07 Nakawuka-Nateete'!H35,'23.07 Nakawuka-Nateete'!H35,'24.07 Nakawuka-Nateete'!H35,'25.07 Nakawuka-Nateete'!H35,'26.07 Nakawuka-Nateete-24h'!H35,'27.07 Nakawuka-Nateete-24h'!H35,'28.07 Nakawuka-Nateete'!H35)</f>
        <v>0.14285714285714285</v>
      </c>
      <c r="I35" s="49">
        <f>AVERAGE('22.07 Nakawuka-Nateete'!I35,'23.07 Nakawuka-Nateete'!I35,'24.07 Nakawuka-Nateete'!I35,'25.07 Nakawuka-Nateete'!I35,'26.07 Nakawuka-Nateete-24h'!I35,'27.07 Nakawuka-Nateete-24h'!I35,'28.07 Nakawuka-Nateete'!I35)</f>
        <v>5</v>
      </c>
      <c r="J35" s="49">
        <f>AVERAGE('22.07 Nakawuka-Nateete'!J35,'23.07 Nakawuka-Nateete'!J35,'24.07 Nakawuka-Nateete'!J35,'25.07 Nakawuka-Nateete'!J35,'26.07 Nakawuka-Nateete-24h'!J35,'27.07 Nakawuka-Nateete-24h'!J35,'28.07 Nakawuka-Nateete'!J35)</f>
        <v>3.1428571428571428</v>
      </c>
      <c r="K35" s="49">
        <f>AVERAGE('22.07 Nakawuka-Nateete'!K35,'23.07 Nakawuka-Nateete'!K35,'24.07 Nakawuka-Nateete'!K35,'25.07 Nakawuka-Nateete'!K35,'26.07 Nakawuka-Nateete-24h'!K35,'27.07 Nakawuka-Nateete-24h'!K35,'28.07 Nakawuka-Nateete'!K35)</f>
        <v>0.7142857142857143</v>
      </c>
      <c r="L35" s="49">
        <f>AVERAGE('22.07 Nakawuka-Nateete'!L35,'23.07 Nakawuka-Nateete'!L35,'24.07 Nakawuka-Nateete'!L35,'25.07 Nakawuka-Nateete'!L35,'26.07 Nakawuka-Nateete-24h'!L35,'27.07 Nakawuka-Nateete-24h'!L35,'28.07 Nakawuka-Nateete'!L35)</f>
        <v>0.14285714285714285</v>
      </c>
      <c r="M35" s="49">
        <f>AVERAGE('22.07 Nakawuka-Nateete'!M35,'23.07 Nakawuka-Nateete'!M35,'24.07 Nakawuka-Nateete'!M35,'25.07 Nakawuka-Nateete'!M35,'26.07 Nakawuka-Nateete-24h'!M35,'27.07 Nakawuka-Nateete-24h'!M35,'28.07 Nakawuka-Nateete'!M35)</f>
        <v>95.857142857142861</v>
      </c>
      <c r="N35" s="49">
        <f>AVERAGE('22.07 Nakawuka-Nateete'!N35,'23.07 Nakawuka-Nateete'!N35,'24.07 Nakawuka-Nateete'!N35,'25.07 Nakawuka-Nateete'!N35,'26.07 Nakawuka-Nateete-24h'!N35,'27.07 Nakawuka-Nateete-24h'!N35,'28.07 Nakawuka-Nateete'!N35)</f>
        <v>0</v>
      </c>
      <c r="O35" s="31">
        <f t="shared" si="0"/>
        <v>42.571428571428584</v>
      </c>
      <c r="P35" s="31">
        <f t="shared" si="1"/>
        <v>138.42857142857144</v>
      </c>
      <c r="R35" s="38" t="s">
        <v>91</v>
      </c>
      <c r="S35" s="39">
        <f t="shared" ref="S35:AF35" si="27">MAX(S13:S18)</f>
        <v>91.571428571428584</v>
      </c>
      <c r="T35" s="39">
        <f t="shared" si="27"/>
        <v>36.857142857142861</v>
      </c>
      <c r="U35" s="39">
        <f t="shared" si="27"/>
        <v>22</v>
      </c>
      <c r="V35" s="39">
        <f t="shared" si="27"/>
        <v>90.714285714285708</v>
      </c>
      <c r="W35" s="39">
        <f t="shared" si="27"/>
        <v>3.5714285714285712</v>
      </c>
      <c r="X35" s="39">
        <f t="shared" si="27"/>
        <v>0.5714285714285714</v>
      </c>
      <c r="Y35" s="39">
        <f t="shared" si="27"/>
        <v>25.142857142857146</v>
      </c>
      <c r="Z35" s="39">
        <f t="shared" si="27"/>
        <v>16.285714285714285</v>
      </c>
      <c r="AA35" s="39">
        <f t="shared" si="27"/>
        <v>3.4285714285714288</v>
      </c>
      <c r="AB35" s="39">
        <f t="shared" si="27"/>
        <v>3.7142857142857144</v>
      </c>
      <c r="AC35" s="39">
        <f t="shared" si="27"/>
        <v>441.42857142857144</v>
      </c>
      <c r="AD35" s="39">
        <f t="shared" si="27"/>
        <v>0.14285714285714285</v>
      </c>
      <c r="AE35" s="40">
        <f t="shared" si="27"/>
        <v>282.14285714285711</v>
      </c>
      <c r="AF35" s="40">
        <f t="shared" si="27"/>
        <v>723.57142857142856</v>
      </c>
    </row>
    <row r="36" spans="2:32" ht="23.1" customHeight="1" x14ac:dyDescent="0.25">
      <c r="B36" s="24" t="s">
        <v>63</v>
      </c>
      <c r="C36" s="49">
        <f>AVERAGE('22.07 Nakawuka-Nateete'!C36,'23.07 Nakawuka-Nateete'!C36,'24.07 Nakawuka-Nateete'!C36,'25.07 Nakawuka-Nateete'!C36,'26.07 Nakawuka-Nateete-24h'!C36,'27.07 Nakawuka-Nateete-24h'!C36,'28.07 Nakawuka-Nateete'!C36)</f>
        <v>19.857142857142858</v>
      </c>
      <c r="D36" s="49">
        <f>AVERAGE('22.07 Nakawuka-Nateete'!D36,'23.07 Nakawuka-Nateete'!D36,'24.07 Nakawuka-Nateete'!D36,'25.07 Nakawuka-Nateete'!D36,'26.07 Nakawuka-Nateete-24h'!D36,'27.07 Nakawuka-Nateete-24h'!D36,'28.07 Nakawuka-Nateete'!D36)</f>
        <v>6</v>
      </c>
      <c r="E36" s="49">
        <f>AVERAGE('22.07 Nakawuka-Nateete'!E36,'23.07 Nakawuka-Nateete'!E36,'24.07 Nakawuka-Nateete'!E36,'25.07 Nakawuka-Nateete'!E36,'26.07 Nakawuka-Nateete-24h'!E36,'27.07 Nakawuka-Nateete-24h'!E36,'28.07 Nakawuka-Nateete'!E36)</f>
        <v>5.4285714285714288</v>
      </c>
      <c r="F36" s="49">
        <f>AVERAGE('22.07 Nakawuka-Nateete'!F36,'23.07 Nakawuka-Nateete'!F36,'24.07 Nakawuka-Nateete'!F36,'25.07 Nakawuka-Nateete'!F36,'26.07 Nakawuka-Nateete-24h'!F36,'27.07 Nakawuka-Nateete-24h'!F36,'28.07 Nakawuka-Nateete'!F36)</f>
        <v>18.142857142857142</v>
      </c>
      <c r="G36" s="49">
        <f>AVERAGE('22.07 Nakawuka-Nateete'!G36,'23.07 Nakawuka-Nateete'!G36,'24.07 Nakawuka-Nateete'!G36,'25.07 Nakawuka-Nateete'!G36,'26.07 Nakawuka-Nateete-24h'!G36,'27.07 Nakawuka-Nateete-24h'!G36,'28.07 Nakawuka-Nateete'!G36)</f>
        <v>0.14285714285714285</v>
      </c>
      <c r="H36" s="49">
        <f>AVERAGE('22.07 Nakawuka-Nateete'!H36,'23.07 Nakawuka-Nateete'!H36,'24.07 Nakawuka-Nateete'!H36,'25.07 Nakawuka-Nateete'!H36,'26.07 Nakawuka-Nateete-24h'!H36,'27.07 Nakawuka-Nateete-24h'!H36,'28.07 Nakawuka-Nateete'!H36)</f>
        <v>0</v>
      </c>
      <c r="I36" s="49">
        <f>AVERAGE('22.07 Nakawuka-Nateete'!I36,'23.07 Nakawuka-Nateete'!I36,'24.07 Nakawuka-Nateete'!I36,'25.07 Nakawuka-Nateete'!I36,'26.07 Nakawuka-Nateete-24h'!I36,'27.07 Nakawuka-Nateete-24h'!I36,'28.07 Nakawuka-Nateete'!I36)</f>
        <v>7</v>
      </c>
      <c r="J36" s="49">
        <f>AVERAGE('22.07 Nakawuka-Nateete'!J36,'23.07 Nakawuka-Nateete'!J36,'24.07 Nakawuka-Nateete'!J36,'25.07 Nakawuka-Nateete'!J36,'26.07 Nakawuka-Nateete-24h'!J36,'27.07 Nakawuka-Nateete-24h'!J36,'28.07 Nakawuka-Nateete'!J36)</f>
        <v>3.1428571428571428</v>
      </c>
      <c r="K36" s="49">
        <f>AVERAGE('22.07 Nakawuka-Nateete'!K36,'23.07 Nakawuka-Nateete'!K36,'24.07 Nakawuka-Nateete'!K36,'25.07 Nakawuka-Nateete'!K36,'26.07 Nakawuka-Nateete-24h'!K36,'27.07 Nakawuka-Nateete-24h'!K36,'28.07 Nakawuka-Nateete'!K36)</f>
        <v>0.7142857142857143</v>
      </c>
      <c r="L36" s="49">
        <f>AVERAGE('22.07 Nakawuka-Nateete'!L36,'23.07 Nakawuka-Nateete'!L36,'24.07 Nakawuka-Nateete'!L36,'25.07 Nakawuka-Nateete'!L36,'26.07 Nakawuka-Nateete-24h'!L36,'27.07 Nakawuka-Nateete-24h'!L36,'28.07 Nakawuka-Nateete'!L36)</f>
        <v>0.42857142857142855</v>
      </c>
      <c r="M36" s="49">
        <f>AVERAGE('22.07 Nakawuka-Nateete'!M36,'23.07 Nakawuka-Nateete'!M36,'24.07 Nakawuka-Nateete'!M36,'25.07 Nakawuka-Nateete'!M36,'26.07 Nakawuka-Nateete-24h'!M36,'27.07 Nakawuka-Nateete-24h'!M36,'28.07 Nakawuka-Nateete'!M36)</f>
        <v>114.85714285714286</v>
      </c>
      <c r="N36" s="49">
        <f>AVERAGE('22.07 Nakawuka-Nateete'!N36,'23.07 Nakawuka-Nateete'!N36,'24.07 Nakawuka-Nateete'!N36,'25.07 Nakawuka-Nateete'!N36,'26.07 Nakawuka-Nateete-24h'!N36,'27.07 Nakawuka-Nateete-24h'!N36,'28.07 Nakawuka-Nateete'!N36)</f>
        <v>0</v>
      </c>
      <c r="O36" s="31">
        <f t="shared" si="0"/>
        <v>60.857142857142868</v>
      </c>
      <c r="P36" s="31">
        <f t="shared" si="1"/>
        <v>175.71428571428572</v>
      </c>
      <c r="R36" s="38" t="s">
        <v>92</v>
      </c>
      <c r="S36" s="39">
        <f t="shared" ref="S36:AF36" si="28">MAX(S19:S21)</f>
        <v>79</v>
      </c>
      <c r="T36" s="39">
        <f t="shared" si="28"/>
        <v>37.285714285714285</v>
      </c>
      <c r="U36" s="39">
        <f t="shared" si="28"/>
        <v>22.714285714285715</v>
      </c>
      <c r="V36" s="39">
        <f t="shared" si="28"/>
        <v>65.142857142857139</v>
      </c>
      <c r="W36" s="39">
        <f t="shared" si="28"/>
        <v>3.4285714285714288</v>
      </c>
      <c r="X36" s="39">
        <f t="shared" si="28"/>
        <v>0.5714285714285714</v>
      </c>
      <c r="Y36" s="39">
        <f t="shared" si="28"/>
        <v>25</v>
      </c>
      <c r="Z36" s="39">
        <f t="shared" si="28"/>
        <v>14.714285714285715</v>
      </c>
      <c r="AA36" s="39">
        <f t="shared" si="28"/>
        <v>3.4285714285714279</v>
      </c>
      <c r="AB36" s="39">
        <f t="shared" si="28"/>
        <v>1.4285714285714284</v>
      </c>
      <c r="AC36" s="39">
        <f t="shared" si="28"/>
        <v>474.57142857142856</v>
      </c>
      <c r="AD36" s="39">
        <f t="shared" si="28"/>
        <v>0</v>
      </c>
      <c r="AE36" s="40">
        <f t="shared" si="28"/>
        <v>243.57142857142858</v>
      </c>
      <c r="AF36" s="40">
        <f t="shared" si="28"/>
        <v>685.28571428571445</v>
      </c>
    </row>
    <row r="37" spans="2:32" ht="23.1" customHeight="1" x14ac:dyDescent="0.25">
      <c r="B37" s="23" t="s">
        <v>64</v>
      </c>
      <c r="C37" s="49">
        <f>AVERAGE('22.07 Nakawuka-Nateete'!C37,'23.07 Nakawuka-Nateete'!C37,'24.07 Nakawuka-Nateete'!C37,'25.07 Nakawuka-Nateete'!C37,'26.07 Nakawuka-Nateete-24h'!C37,'27.07 Nakawuka-Nateete-24h'!C37,'28.07 Nakawuka-Nateete'!C37)</f>
        <v>17.428571428571427</v>
      </c>
      <c r="D37" s="49">
        <f>AVERAGE('22.07 Nakawuka-Nateete'!D37,'23.07 Nakawuka-Nateete'!D37,'24.07 Nakawuka-Nateete'!D37,'25.07 Nakawuka-Nateete'!D37,'26.07 Nakawuka-Nateete-24h'!D37,'27.07 Nakawuka-Nateete-24h'!D37,'28.07 Nakawuka-Nateete'!D37)</f>
        <v>7</v>
      </c>
      <c r="E37" s="49">
        <f>AVERAGE('22.07 Nakawuka-Nateete'!E37,'23.07 Nakawuka-Nateete'!E37,'24.07 Nakawuka-Nateete'!E37,'25.07 Nakawuka-Nateete'!E37,'26.07 Nakawuka-Nateete-24h'!E37,'27.07 Nakawuka-Nateete-24h'!E37,'28.07 Nakawuka-Nateete'!E37)</f>
        <v>4.8571428571428568</v>
      </c>
      <c r="F37" s="49">
        <f>AVERAGE('22.07 Nakawuka-Nateete'!F37,'23.07 Nakawuka-Nateete'!F37,'24.07 Nakawuka-Nateete'!F37,'25.07 Nakawuka-Nateete'!F37,'26.07 Nakawuka-Nateete-24h'!F37,'27.07 Nakawuka-Nateete-24h'!F37,'28.07 Nakawuka-Nateete'!F37)</f>
        <v>17.142857142857142</v>
      </c>
      <c r="G37" s="49">
        <f>AVERAGE('22.07 Nakawuka-Nateete'!G37,'23.07 Nakawuka-Nateete'!G37,'24.07 Nakawuka-Nateete'!G37,'25.07 Nakawuka-Nateete'!G37,'26.07 Nakawuka-Nateete-24h'!G37,'27.07 Nakawuka-Nateete-24h'!G37,'28.07 Nakawuka-Nateete'!G37)</f>
        <v>0.14285714285714285</v>
      </c>
      <c r="H37" s="49">
        <f>AVERAGE('22.07 Nakawuka-Nateete'!H37,'23.07 Nakawuka-Nateete'!H37,'24.07 Nakawuka-Nateete'!H37,'25.07 Nakawuka-Nateete'!H37,'26.07 Nakawuka-Nateete-24h'!H37,'27.07 Nakawuka-Nateete-24h'!H37,'28.07 Nakawuka-Nateete'!H37)</f>
        <v>0.14285714285714285</v>
      </c>
      <c r="I37" s="49">
        <f>AVERAGE('22.07 Nakawuka-Nateete'!I37,'23.07 Nakawuka-Nateete'!I37,'24.07 Nakawuka-Nateete'!I37,'25.07 Nakawuka-Nateete'!I37,'26.07 Nakawuka-Nateete-24h'!I37,'27.07 Nakawuka-Nateete-24h'!I37,'28.07 Nakawuka-Nateete'!I37)</f>
        <v>5.4285714285714288</v>
      </c>
      <c r="J37" s="49">
        <f>AVERAGE('22.07 Nakawuka-Nateete'!J37,'23.07 Nakawuka-Nateete'!J37,'24.07 Nakawuka-Nateete'!J37,'25.07 Nakawuka-Nateete'!J37,'26.07 Nakawuka-Nateete-24h'!J37,'27.07 Nakawuka-Nateete-24h'!J37,'28.07 Nakawuka-Nateete'!J37)</f>
        <v>3.1428571428571428</v>
      </c>
      <c r="K37" s="49">
        <f>AVERAGE('22.07 Nakawuka-Nateete'!K37,'23.07 Nakawuka-Nateete'!K37,'24.07 Nakawuka-Nateete'!K37,'25.07 Nakawuka-Nateete'!K37,'26.07 Nakawuka-Nateete-24h'!K37,'27.07 Nakawuka-Nateete-24h'!K37,'28.07 Nakawuka-Nateete'!K37)</f>
        <v>0.42857142857142855</v>
      </c>
      <c r="L37" s="49">
        <f>AVERAGE('22.07 Nakawuka-Nateete'!L37,'23.07 Nakawuka-Nateete'!L37,'24.07 Nakawuka-Nateete'!L37,'25.07 Nakawuka-Nateete'!L37,'26.07 Nakawuka-Nateete-24h'!L37,'27.07 Nakawuka-Nateete-24h'!L37,'28.07 Nakawuka-Nateete'!L37)</f>
        <v>1</v>
      </c>
      <c r="M37" s="49">
        <f>AVERAGE('22.07 Nakawuka-Nateete'!M37,'23.07 Nakawuka-Nateete'!M37,'24.07 Nakawuka-Nateete'!M37,'25.07 Nakawuka-Nateete'!M37,'26.07 Nakawuka-Nateete-24h'!M37,'27.07 Nakawuka-Nateete-24h'!M37,'28.07 Nakawuka-Nateete'!M37)</f>
        <v>105</v>
      </c>
      <c r="N37" s="49">
        <f>AVERAGE('22.07 Nakawuka-Nateete'!N37,'23.07 Nakawuka-Nateete'!N37,'24.07 Nakawuka-Nateete'!N37,'25.07 Nakawuka-Nateete'!N37,'26.07 Nakawuka-Nateete-24h'!N37,'27.07 Nakawuka-Nateete-24h'!N37,'28.07 Nakawuka-Nateete'!N37)</f>
        <v>0</v>
      </c>
      <c r="O37" s="31">
        <f t="shared" si="0"/>
        <v>56.71428571428573</v>
      </c>
      <c r="P37" s="31">
        <f t="shared" si="1"/>
        <v>161.71428571428572</v>
      </c>
      <c r="R37" s="37" t="s">
        <v>85</v>
      </c>
      <c r="S37" s="35">
        <f t="shared" ref="S37:AF37" si="29">SUM(S10:S12)</f>
        <v>318.57142857142856</v>
      </c>
      <c r="T37" s="16">
        <f t="shared" si="29"/>
        <v>122.85714285714286</v>
      </c>
      <c r="U37" s="16">
        <f t="shared" si="29"/>
        <v>75.428571428571431</v>
      </c>
      <c r="V37" s="16">
        <f t="shared" si="29"/>
        <v>356.42857142857144</v>
      </c>
      <c r="W37" s="16">
        <f t="shared" si="29"/>
        <v>7.5714285714285712</v>
      </c>
      <c r="X37" s="16">
        <f t="shared" si="29"/>
        <v>4.2857142857142856</v>
      </c>
      <c r="Y37" s="16">
        <f t="shared" si="29"/>
        <v>83.571428571428555</v>
      </c>
      <c r="Z37" s="16">
        <f t="shared" si="29"/>
        <v>37</v>
      </c>
      <c r="AA37" s="16">
        <f t="shared" si="29"/>
        <v>6.5714285714285712</v>
      </c>
      <c r="AB37" s="16">
        <f t="shared" si="29"/>
        <v>3.4285714285714284</v>
      </c>
      <c r="AC37" s="16">
        <f t="shared" si="29"/>
        <v>1376.5714285714287</v>
      </c>
      <c r="AD37" s="16">
        <f t="shared" si="29"/>
        <v>0</v>
      </c>
      <c r="AE37" s="32">
        <f t="shared" si="29"/>
        <v>1015.7142857142858</v>
      </c>
      <c r="AF37" s="32">
        <f t="shared" si="29"/>
        <v>2392.2857142857147</v>
      </c>
    </row>
    <row r="38" spans="2:32" ht="23.1" customHeight="1" x14ac:dyDescent="0.25">
      <c r="B38" s="24" t="s">
        <v>65</v>
      </c>
      <c r="C38" s="49">
        <f>AVERAGE('22.07 Nakawuka-Nateete'!C38,'23.07 Nakawuka-Nateete'!C38,'24.07 Nakawuka-Nateete'!C38,'25.07 Nakawuka-Nateete'!C38,'26.07 Nakawuka-Nateete-24h'!C38,'27.07 Nakawuka-Nateete-24h'!C38,'28.07 Nakawuka-Nateete'!C38)</f>
        <v>14.142857142857142</v>
      </c>
      <c r="D38" s="49">
        <f>AVERAGE('22.07 Nakawuka-Nateete'!D38,'23.07 Nakawuka-Nateete'!D38,'24.07 Nakawuka-Nateete'!D38,'25.07 Nakawuka-Nateete'!D38,'26.07 Nakawuka-Nateete-24h'!D38,'27.07 Nakawuka-Nateete-24h'!D38,'28.07 Nakawuka-Nateete'!D38)</f>
        <v>6.7142857142857144</v>
      </c>
      <c r="E38" s="49">
        <f>AVERAGE('22.07 Nakawuka-Nateete'!E38,'23.07 Nakawuka-Nateete'!E38,'24.07 Nakawuka-Nateete'!E38,'25.07 Nakawuka-Nateete'!E38,'26.07 Nakawuka-Nateete-24h'!E38,'27.07 Nakawuka-Nateete-24h'!E38,'28.07 Nakawuka-Nateete'!E38)</f>
        <v>4.2857142857142856</v>
      </c>
      <c r="F38" s="49">
        <f>AVERAGE('22.07 Nakawuka-Nateete'!F38,'23.07 Nakawuka-Nateete'!F38,'24.07 Nakawuka-Nateete'!F38,'25.07 Nakawuka-Nateete'!F38,'26.07 Nakawuka-Nateete-24h'!F38,'27.07 Nakawuka-Nateete-24h'!F38,'28.07 Nakawuka-Nateete'!F38)</f>
        <v>15.428571428571429</v>
      </c>
      <c r="G38" s="49">
        <f>AVERAGE('22.07 Nakawuka-Nateete'!G38,'23.07 Nakawuka-Nateete'!G38,'24.07 Nakawuka-Nateete'!G38,'25.07 Nakawuka-Nateete'!G38,'26.07 Nakawuka-Nateete-24h'!G38,'27.07 Nakawuka-Nateete-24h'!G38,'28.07 Nakawuka-Nateete'!G38)</f>
        <v>0.2857142857142857</v>
      </c>
      <c r="H38" s="49">
        <f>AVERAGE('22.07 Nakawuka-Nateete'!H38,'23.07 Nakawuka-Nateete'!H38,'24.07 Nakawuka-Nateete'!H38,'25.07 Nakawuka-Nateete'!H38,'26.07 Nakawuka-Nateete-24h'!H38,'27.07 Nakawuka-Nateete-24h'!H38,'28.07 Nakawuka-Nateete'!H38)</f>
        <v>0.42857142857142855</v>
      </c>
      <c r="I38" s="49">
        <f>AVERAGE('22.07 Nakawuka-Nateete'!I38,'23.07 Nakawuka-Nateete'!I38,'24.07 Nakawuka-Nateete'!I38,'25.07 Nakawuka-Nateete'!I38,'26.07 Nakawuka-Nateete-24h'!I38,'27.07 Nakawuka-Nateete-24h'!I38,'28.07 Nakawuka-Nateete'!I38)</f>
        <v>4.2857142857142856</v>
      </c>
      <c r="J38" s="49">
        <f>AVERAGE('22.07 Nakawuka-Nateete'!J38,'23.07 Nakawuka-Nateete'!J38,'24.07 Nakawuka-Nateete'!J38,'25.07 Nakawuka-Nateete'!J38,'26.07 Nakawuka-Nateete-24h'!J38,'27.07 Nakawuka-Nateete-24h'!J38,'28.07 Nakawuka-Nateete'!J38)</f>
        <v>5.4285714285714288</v>
      </c>
      <c r="K38" s="49">
        <f>AVERAGE('22.07 Nakawuka-Nateete'!K38,'23.07 Nakawuka-Nateete'!K38,'24.07 Nakawuka-Nateete'!K38,'25.07 Nakawuka-Nateete'!K38,'26.07 Nakawuka-Nateete-24h'!K38,'27.07 Nakawuka-Nateete-24h'!K38,'28.07 Nakawuka-Nateete'!K38)</f>
        <v>0.7142857142857143</v>
      </c>
      <c r="L38" s="49">
        <f>AVERAGE('22.07 Nakawuka-Nateete'!L38,'23.07 Nakawuka-Nateete'!L38,'24.07 Nakawuka-Nateete'!L38,'25.07 Nakawuka-Nateete'!L38,'26.07 Nakawuka-Nateete-24h'!L38,'27.07 Nakawuka-Nateete-24h'!L38,'28.07 Nakawuka-Nateete'!L38)</f>
        <v>0.42857142857142855</v>
      </c>
      <c r="M38" s="49">
        <f>AVERAGE('22.07 Nakawuka-Nateete'!M38,'23.07 Nakawuka-Nateete'!M38,'24.07 Nakawuka-Nateete'!M38,'25.07 Nakawuka-Nateete'!M38,'26.07 Nakawuka-Nateete-24h'!M38,'27.07 Nakawuka-Nateete-24h'!M38,'28.07 Nakawuka-Nateete'!M38)</f>
        <v>103.71428571428571</v>
      </c>
      <c r="N38" s="49">
        <f>AVERAGE('22.07 Nakawuka-Nateete'!N38,'23.07 Nakawuka-Nateete'!N38,'24.07 Nakawuka-Nateete'!N38,'25.07 Nakawuka-Nateete'!N38,'26.07 Nakawuka-Nateete-24h'!N38,'27.07 Nakawuka-Nateete-24h'!N38,'28.07 Nakawuka-Nateete'!N38)</f>
        <v>0</v>
      </c>
      <c r="O38" s="31">
        <f t="shared" si="0"/>
        <v>52.142857142857146</v>
      </c>
      <c r="P38" s="31">
        <f t="shared" si="1"/>
        <v>155.85714285714286</v>
      </c>
      <c r="R38" s="28" t="s">
        <v>86</v>
      </c>
      <c r="S38" s="16">
        <f t="shared" ref="S38:AF38" si="30">SUM(S13:S18)</f>
        <v>405</v>
      </c>
      <c r="T38" s="16">
        <f t="shared" si="30"/>
        <v>189</v>
      </c>
      <c r="U38" s="16">
        <f t="shared" si="30"/>
        <v>115.85714285714285</v>
      </c>
      <c r="V38" s="16">
        <f t="shared" si="30"/>
        <v>418.85714285714289</v>
      </c>
      <c r="W38" s="16">
        <f t="shared" si="30"/>
        <v>12.428571428571429</v>
      </c>
      <c r="X38" s="16">
        <f t="shared" si="30"/>
        <v>1.714285714285714</v>
      </c>
      <c r="Y38" s="16">
        <f t="shared" si="30"/>
        <v>137.14285714285717</v>
      </c>
      <c r="Z38" s="16">
        <f t="shared" si="30"/>
        <v>89.285714285714278</v>
      </c>
      <c r="AA38" s="16">
        <f t="shared" si="30"/>
        <v>16.857142857142858</v>
      </c>
      <c r="AB38" s="16">
        <f t="shared" si="30"/>
        <v>12.714285714285714</v>
      </c>
      <c r="AC38" s="16">
        <f t="shared" si="30"/>
        <v>2447.8571428571427</v>
      </c>
      <c r="AD38" s="16">
        <f t="shared" si="30"/>
        <v>0.14285714285714285</v>
      </c>
      <c r="AE38" s="32">
        <f t="shared" si="30"/>
        <v>1399</v>
      </c>
      <c r="AF38" s="32">
        <f t="shared" si="30"/>
        <v>3846.8571428571427</v>
      </c>
    </row>
    <row r="39" spans="2:32" ht="23.1" customHeight="1" x14ac:dyDescent="0.25">
      <c r="B39" s="24" t="s">
        <v>66</v>
      </c>
      <c r="C39" s="49">
        <f>AVERAGE('22.07 Nakawuka-Nateete'!C39,'23.07 Nakawuka-Nateete'!C39,'24.07 Nakawuka-Nateete'!C39,'25.07 Nakawuka-Nateete'!C39,'26.07 Nakawuka-Nateete-24h'!C39,'27.07 Nakawuka-Nateete-24h'!C39,'28.07 Nakawuka-Nateete'!C39)</f>
        <v>15.428571428571429</v>
      </c>
      <c r="D39" s="49">
        <f>AVERAGE('22.07 Nakawuka-Nateete'!D39,'23.07 Nakawuka-Nateete'!D39,'24.07 Nakawuka-Nateete'!D39,'25.07 Nakawuka-Nateete'!D39,'26.07 Nakawuka-Nateete-24h'!D39,'27.07 Nakawuka-Nateete-24h'!D39,'28.07 Nakawuka-Nateete'!D39)</f>
        <v>9.4285714285714288</v>
      </c>
      <c r="E39" s="49">
        <f>AVERAGE('22.07 Nakawuka-Nateete'!E39,'23.07 Nakawuka-Nateete'!E39,'24.07 Nakawuka-Nateete'!E39,'25.07 Nakawuka-Nateete'!E39,'26.07 Nakawuka-Nateete-24h'!E39,'27.07 Nakawuka-Nateete-24h'!E39,'28.07 Nakawuka-Nateete'!E39)</f>
        <v>6.2857142857142856</v>
      </c>
      <c r="F39" s="49">
        <f>AVERAGE('22.07 Nakawuka-Nateete'!F39,'23.07 Nakawuka-Nateete'!F39,'24.07 Nakawuka-Nateete'!F39,'25.07 Nakawuka-Nateete'!F39,'26.07 Nakawuka-Nateete-24h'!F39,'27.07 Nakawuka-Nateete-24h'!F39,'28.07 Nakawuka-Nateete'!F39)</f>
        <v>14.571428571428571</v>
      </c>
      <c r="G39" s="49">
        <f>AVERAGE('22.07 Nakawuka-Nateete'!G39,'23.07 Nakawuka-Nateete'!G39,'24.07 Nakawuka-Nateete'!G39,'25.07 Nakawuka-Nateete'!G39,'26.07 Nakawuka-Nateete-24h'!G39,'27.07 Nakawuka-Nateete-24h'!G39,'28.07 Nakawuka-Nateete'!G39)</f>
        <v>0.7142857142857143</v>
      </c>
      <c r="H39" s="49">
        <f>AVERAGE('22.07 Nakawuka-Nateete'!H39,'23.07 Nakawuka-Nateete'!H39,'24.07 Nakawuka-Nateete'!H39,'25.07 Nakawuka-Nateete'!H39,'26.07 Nakawuka-Nateete-24h'!H39,'27.07 Nakawuka-Nateete-24h'!H39,'28.07 Nakawuka-Nateete'!H39)</f>
        <v>0.14285714285714285</v>
      </c>
      <c r="I39" s="49">
        <f>AVERAGE('22.07 Nakawuka-Nateete'!I39,'23.07 Nakawuka-Nateete'!I39,'24.07 Nakawuka-Nateete'!I39,'25.07 Nakawuka-Nateete'!I39,'26.07 Nakawuka-Nateete-24h'!I39,'27.07 Nakawuka-Nateete-24h'!I39,'28.07 Nakawuka-Nateete'!I39)</f>
        <v>5.4285714285714288</v>
      </c>
      <c r="J39" s="49">
        <f>AVERAGE('22.07 Nakawuka-Nateete'!J39,'23.07 Nakawuka-Nateete'!J39,'24.07 Nakawuka-Nateete'!J39,'25.07 Nakawuka-Nateete'!J39,'26.07 Nakawuka-Nateete-24h'!J39,'27.07 Nakawuka-Nateete-24h'!J39,'28.07 Nakawuka-Nateete'!J39)</f>
        <v>4.2857142857142856</v>
      </c>
      <c r="K39" s="49">
        <f>AVERAGE('22.07 Nakawuka-Nateete'!K39,'23.07 Nakawuka-Nateete'!K39,'24.07 Nakawuka-Nateete'!K39,'25.07 Nakawuka-Nateete'!K39,'26.07 Nakawuka-Nateete-24h'!K39,'27.07 Nakawuka-Nateete-24h'!K39,'28.07 Nakawuka-Nateete'!K39)</f>
        <v>1.2857142857142858</v>
      </c>
      <c r="L39" s="49">
        <f>AVERAGE('22.07 Nakawuka-Nateete'!L39,'23.07 Nakawuka-Nateete'!L39,'24.07 Nakawuka-Nateete'!L39,'25.07 Nakawuka-Nateete'!L39,'26.07 Nakawuka-Nateete-24h'!L39,'27.07 Nakawuka-Nateete-24h'!L39,'28.07 Nakawuka-Nateete'!L39)</f>
        <v>0.42857142857142855</v>
      </c>
      <c r="M39" s="49">
        <f>AVERAGE('22.07 Nakawuka-Nateete'!M39,'23.07 Nakawuka-Nateete'!M39,'24.07 Nakawuka-Nateete'!M39,'25.07 Nakawuka-Nateete'!M39,'26.07 Nakawuka-Nateete-24h'!M39,'27.07 Nakawuka-Nateete-24h'!M39,'28.07 Nakawuka-Nateete'!M39)</f>
        <v>102.28571428571429</v>
      </c>
      <c r="N39" s="49">
        <f>AVERAGE('22.07 Nakawuka-Nateete'!N39,'23.07 Nakawuka-Nateete'!N39,'24.07 Nakawuka-Nateete'!N39,'25.07 Nakawuka-Nateete'!N39,'26.07 Nakawuka-Nateete-24h'!N39,'27.07 Nakawuka-Nateete-24h'!N39,'28.07 Nakawuka-Nateete'!N39)</f>
        <v>0</v>
      </c>
      <c r="O39" s="31">
        <f t="shared" si="0"/>
        <v>58.000000000000007</v>
      </c>
      <c r="P39" s="31">
        <f t="shared" si="1"/>
        <v>160.28571428571431</v>
      </c>
      <c r="R39" s="29" t="s">
        <v>87</v>
      </c>
      <c r="S39" s="16">
        <f t="shared" ref="S39:AF39" si="31">SUM(S19:S21)</f>
        <v>205.14285714285714</v>
      </c>
      <c r="T39" s="16">
        <f t="shared" si="31"/>
        <v>90.571428571428569</v>
      </c>
      <c r="U39" s="16">
        <f t="shared" si="31"/>
        <v>59</v>
      </c>
      <c r="V39" s="16">
        <f t="shared" si="31"/>
        <v>178</v>
      </c>
      <c r="W39" s="16">
        <f t="shared" si="31"/>
        <v>6.8571428571428577</v>
      </c>
      <c r="X39" s="16">
        <f t="shared" si="31"/>
        <v>0.71428571428571419</v>
      </c>
      <c r="Y39" s="16">
        <f t="shared" si="31"/>
        <v>61.428571428571431</v>
      </c>
      <c r="Z39" s="16">
        <f t="shared" si="31"/>
        <v>41.857142857142861</v>
      </c>
      <c r="AA39" s="16">
        <f t="shared" si="31"/>
        <v>7.5714285714285703</v>
      </c>
      <c r="AB39" s="16">
        <f t="shared" si="31"/>
        <v>3.4285714285714279</v>
      </c>
      <c r="AC39" s="16">
        <f t="shared" si="31"/>
        <v>1315.7142857142858</v>
      </c>
      <c r="AD39" s="16">
        <f t="shared" si="31"/>
        <v>0</v>
      </c>
      <c r="AE39" s="32">
        <f t="shared" si="31"/>
        <v>654.57142857142856</v>
      </c>
      <c r="AF39" s="32">
        <f t="shared" si="31"/>
        <v>1970.2857142857144</v>
      </c>
    </row>
    <row r="40" spans="2:32" ht="23.1" customHeight="1" x14ac:dyDescent="0.25">
      <c r="B40" s="24" t="s">
        <v>67</v>
      </c>
      <c r="C40" s="49">
        <f>AVERAGE('22.07 Nakawuka-Nateete'!C40,'23.07 Nakawuka-Nateete'!C40,'24.07 Nakawuka-Nateete'!C40,'25.07 Nakawuka-Nateete'!C40,'26.07 Nakawuka-Nateete-24h'!C40,'27.07 Nakawuka-Nateete-24h'!C40,'28.07 Nakawuka-Nateete'!C40)</f>
        <v>12.142857142857142</v>
      </c>
      <c r="D40" s="49">
        <f>AVERAGE('22.07 Nakawuka-Nateete'!D40,'23.07 Nakawuka-Nateete'!D40,'24.07 Nakawuka-Nateete'!D40,'25.07 Nakawuka-Nateete'!D40,'26.07 Nakawuka-Nateete-24h'!D40,'27.07 Nakawuka-Nateete-24h'!D40,'28.07 Nakawuka-Nateete'!D40)</f>
        <v>5.7142857142857144</v>
      </c>
      <c r="E40" s="49">
        <f>AVERAGE('22.07 Nakawuka-Nateete'!E40,'23.07 Nakawuka-Nateete'!E40,'24.07 Nakawuka-Nateete'!E40,'25.07 Nakawuka-Nateete'!E40,'26.07 Nakawuka-Nateete-24h'!E40,'27.07 Nakawuka-Nateete-24h'!E40,'28.07 Nakawuka-Nateete'!E40)</f>
        <v>6.5714285714285712</v>
      </c>
      <c r="F40" s="49">
        <f>AVERAGE('22.07 Nakawuka-Nateete'!F40,'23.07 Nakawuka-Nateete'!F40,'24.07 Nakawuka-Nateete'!F40,'25.07 Nakawuka-Nateete'!F40,'26.07 Nakawuka-Nateete-24h'!F40,'27.07 Nakawuka-Nateete-24h'!F40,'28.07 Nakawuka-Nateete'!F40)</f>
        <v>14.571428571428571</v>
      </c>
      <c r="G40" s="49">
        <f>AVERAGE('22.07 Nakawuka-Nateete'!G40,'23.07 Nakawuka-Nateete'!G40,'24.07 Nakawuka-Nateete'!G40,'25.07 Nakawuka-Nateete'!G40,'26.07 Nakawuka-Nateete-24h'!G40,'27.07 Nakawuka-Nateete-24h'!G40,'28.07 Nakawuka-Nateete'!G40)</f>
        <v>0.7142857142857143</v>
      </c>
      <c r="H40" s="49">
        <f>AVERAGE('22.07 Nakawuka-Nateete'!H40,'23.07 Nakawuka-Nateete'!H40,'24.07 Nakawuka-Nateete'!H40,'25.07 Nakawuka-Nateete'!H40,'26.07 Nakawuka-Nateete-24h'!H40,'27.07 Nakawuka-Nateete-24h'!H40,'28.07 Nakawuka-Nateete'!H40)</f>
        <v>0</v>
      </c>
      <c r="I40" s="49">
        <f>AVERAGE('22.07 Nakawuka-Nateete'!I40,'23.07 Nakawuka-Nateete'!I40,'24.07 Nakawuka-Nateete'!I40,'25.07 Nakawuka-Nateete'!I40,'26.07 Nakawuka-Nateete-24h'!I40,'27.07 Nakawuka-Nateete-24h'!I40,'28.07 Nakawuka-Nateete'!I40)</f>
        <v>5</v>
      </c>
      <c r="J40" s="49">
        <f>AVERAGE('22.07 Nakawuka-Nateete'!J40,'23.07 Nakawuka-Nateete'!J40,'24.07 Nakawuka-Nateete'!J40,'25.07 Nakawuka-Nateete'!J40,'26.07 Nakawuka-Nateete-24h'!J40,'27.07 Nakawuka-Nateete-24h'!J40,'28.07 Nakawuka-Nateete'!J40)</f>
        <v>2.8571428571428572</v>
      </c>
      <c r="K40" s="49">
        <f>AVERAGE('22.07 Nakawuka-Nateete'!K40,'23.07 Nakawuka-Nateete'!K40,'24.07 Nakawuka-Nateete'!K40,'25.07 Nakawuka-Nateete'!K40,'26.07 Nakawuka-Nateete-24h'!K40,'27.07 Nakawuka-Nateete-24h'!K40,'28.07 Nakawuka-Nateete'!K40)</f>
        <v>0.14285714285714285</v>
      </c>
      <c r="L40" s="49">
        <f>AVERAGE('22.07 Nakawuka-Nateete'!L40,'23.07 Nakawuka-Nateete'!L40,'24.07 Nakawuka-Nateete'!L40,'25.07 Nakawuka-Nateete'!L40,'26.07 Nakawuka-Nateete-24h'!L40,'27.07 Nakawuka-Nateete-24h'!L40,'28.07 Nakawuka-Nateete'!L40)</f>
        <v>0.2857142857142857</v>
      </c>
      <c r="M40" s="49">
        <f>AVERAGE('22.07 Nakawuka-Nateete'!M40,'23.07 Nakawuka-Nateete'!M40,'24.07 Nakawuka-Nateete'!M40,'25.07 Nakawuka-Nateete'!M40,'26.07 Nakawuka-Nateete-24h'!M40,'27.07 Nakawuka-Nateete-24h'!M40,'28.07 Nakawuka-Nateete'!M40)</f>
        <v>90.571428571428569</v>
      </c>
      <c r="N40" s="49">
        <f>AVERAGE('22.07 Nakawuka-Nateete'!N40,'23.07 Nakawuka-Nateete'!N40,'24.07 Nakawuka-Nateete'!N40,'25.07 Nakawuka-Nateete'!N40,'26.07 Nakawuka-Nateete-24h'!N40,'27.07 Nakawuka-Nateete-24h'!N40,'28.07 Nakawuka-Nateete'!N40)</f>
        <v>0</v>
      </c>
      <c r="O40" s="31">
        <f t="shared" si="0"/>
        <v>48</v>
      </c>
      <c r="P40" s="31">
        <f t="shared" si="1"/>
        <v>138.57142857142856</v>
      </c>
      <c r="R40" s="5" t="s">
        <v>17</v>
      </c>
      <c r="S40" s="16">
        <f t="shared" ref="S40:AF40" si="32">SUM(S10:S21)</f>
        <v>928.71428571428567</v>
      </c>
      <c r="T40" s="16">
        <f t="shared" si="32"/>
        <v>402.42857142857144</v>
      </c>
      <c r="U40" s="16">
        <f t="shared" si="32"/>
        <v>250.28571428571428</v>
      </c>
      <c r="V40" s="16">
        <f t="shared" si="32"/>
        <v>953.28571428571422</v>
      </c>
      <c r="W40" s="16">
        <f t="shared" si="32"/>
        <v>26.857142857142861</v>
      </c>
      <c r="X40" s="16">
        <f t="shared" si="32"/>
        <v>6.7142857142857144</v>
      </c>
      <c r="Y40" s="16">
        <f t="shared" si="32"/>
        <v>282.14285714285711</v>
      </c>
      <c r="Z40" s="16">
        <f t="shared" si="32"/>
        <v>168.14285714285717</v>
      </c>
      <c r="AA40" s="16">
        <f t="shared" si="32"/>
        <v>30.999999999999996</v>
      </c>
      <c r="AB40" s="16">
        <f t="shared" si="32"/>
        <v>19.571428571428569</v>
      </c>
      <c r="AC40" s="16">
        <f t="shared" si="32"/>
        <v>5140.1428571428569</v>
      </c>
      <c r="AD40" s="16">
        <f t="shared" si="32"/>
        <v>0.14285714285714285</v>
      </c>
      <c r="AE40" s="32">
        <f t="shared" si="32"/>
        <v>3069.2857142857142</v>
      </c>
      <c r="AF40" s="32">
        <f t="shared" si="32"/>
        <v>8209.4285714285725</v>
      </c>
    </row>
    <row r="41" spans="2:32" ht="23.1" customHeight="1" x14ac:dyDescent="0.25">
      <c r="B41" s="23" t="s">
        <v>68</v>
      </c>
      <c r="C41" s="49">
        <f>AVERAGE('22.07 Nakawuka-Nateete'!C41,'23.07 Nakawuka-Nateete'!C41,'24.07 Nakawuka-Nateete'!C41,'25.07 Nakawuka-Nateete'!C41,'26.07 Nakawuka-Nateete-24h'!C41,'27.07 Nakawuka-Nateete-24h'!C41,'28.07 Nakawuka-Nateete'!C41)</f>
        <v>11.428571428571429</v>
      </c>
      <c r="D41" s="49">
        <f>AVERAGE('22.07 Nakawuka-Nateete'!D41,'23.07 Nakawuka-Nateete'!D41,'24.07 Nakawuka-Nateete'!D41,'25.07 Nakawuka-Nateete'!D41,'26.07 Nakawuka-Nateete-24h'!D41,'27.07 Nakawuka-Nateete-24h'!D41,'28.07 Nakawuka-Nateete'!D41)</f>
        <v>7.1428571428571432</v>
      </c>
      <c r="E41" s="49">
        <f>AVERAGE('22.07 Nakawuka-Nateete'!E41,'23.07 Nakawuka-Nateete'!E41,'24.07 Nakawuka-Nateete'!E41,'25.07 Nakawuka-Nateete'!E41,'26.07 Nakawuka-Nateete-24h'!E41,'27.07 Nakawuka-Nateete-24h'!E41,'28.07 Nakawuka-Nateete'!E41)</f>
        <v>4.8571428571428568</v>
      </c>
      <c r="F41" s="49">
        <f>AVERAGE('22.07 Nakawuka-Nateete'!F41,'23.07 Nakawuka-Nateete'!F41,'24.07 Nakawuka-Nateete'!F41,'25.07 Nakawuka-Nateete'!F41,'26.07 Nakawuka-Nateete-24h'!F41,'27.07 Nakawuka-Nateete-24h'!F41,'28.07 Nakawuka-Nateete'!F41)</f>
        <v>12.428571428571429</v>
      </c>
      <c r="G41" s="49">
        <f>AVERAGE('22.07 Nakawuka-Nateete'!G41,'23.07 Nakawuka-Nateete'!G41,'24.07 Nakawuka-Nateete'!G41,'25.07 Nakawuka-Nateete'!G41,'26.07 Nakawuka-Nateete-24h'!G41,'27.07 Nakawuka-Nateete-24h'!G41,'28.07 Nakawuka-Nateete'!G41)</f>
        <v>0.5714285714285714</v>
      </c>
      <c r="H41" s="49">
        <f>AVERAGE('22.07 Nakawuka-Nateete'!H41,'23.07 Nakawuka-Nateete'!H41,'24.07 Nakawuka-Nateete'!H41,'25.07 Nakawuka-Nateete'!H41,'26.07 Nakawuka-Nateete-24h'!H41,'27.07 Nakawuka-Nateete-24h'!H41,'28.07 Nakawuka-Nateete'!H41)</f>
        <v>0</v>
      </c>
      <c r="I41" s="49">
        <f>AVERAGE('22.07 Nakawuka-Nateete'!I41,'23.07 Nakawuka-Nateete'!I41,'24.07 Nakawuka-Nateete'!I41,'25.07 Nakawuka-Nateete'!I41,'26.07 Nakawuka-Nateete-24h'!I41,'27.07 Nakawuka-Nateete-24h'!I41,'28.07 Nakawuka-Nateete'!I41)</f>
        <v>5.1428571428571432</v>
      </c>
      <c r="J41" s="49">
        <f>AVERAGE('22.07 Nakawuka-Nateete'!J41,'23.07 Nakawuka-Nateete'!J41,'24.07 Nakawuka-Nateete'!J41,'25.07 Nakawuka-Nateete'!J41,'26.07 Nakawuka-Nateete-24h'!J41,'27.07 Nakawuka-Nateete-24h'!J41,'28.07 Nakawuka-Nateete'!J41)</f>
        <v>3.4285714285714284</v>
      </c>
      <c r="K41" s="49">
        <f>AVERAGE('22.07 Nakawuka-Nateete'!K41,'23.07 Nakawuka-Nateete'!K41,'24.07 Nakawuka-Nateete'!K41,'25.07 Nakawuka-Nateete'!K41,'26.07 Nakawuka-Nateete-24h'!K41,'27.07 Nakawuka-Nateete-24h'!K41,'28.07 Nakawuka-Nateete'!K41)</f>
        <v>0.8571428571428571</v>
      </c>
      <c r="L41" s="49">
        <f>AVERAGE('22.07 Nakawuka-Nateete'!L41,'23.07 Nakawuka-Nateete'!L41,'24.07 Nakawuka-Nateete'!L41,'25.07 Nakawuka-Nateete'!L41,'26.07 Nakawuka-Nateete-24h'!L41,'27.07 Nakawuka-Nateete-24h'!L41,'28.07 Nakawuka-Nateete'!L41)</f>
        <v>0.2857142857142857</v>
      </c>
      <c r="M41" s="49">
        <f>AVERAGE('22.07 Nakawuka-Nateete'!M41,'23.07 Nakawuka-Nateete'!M41,'24.07 Nakawuka-Nateete'!M41,'25.07 Nakawuka-Nateete'!M41,'26.07 Nakawuka-Nateete-24h'!M41,'27.07 Nakawuka-Nateete-24h'!M41,'28.07 Nakawuka-Nateete'!M41)</f>
        <v>96.142857142857139</v>
      </c>
      <c r="N41" s="49">
        <f>AVERAGE('22.07 Nakawuka-Nateete'!N41,'23.07 Nakawuka-Nateete'!N41,'24.07 Nakawuka-Nateete'!N41,'25.07 Nakawuka-Nateete'!N41,'26.07 Nakawuka-Nateete-24h'!N41,'27.07 Nakawuka-Nateete-24h'!N41,'28.07 Nakawuka-Nateete'!N41)</f>
        <v>0</v>
      </c>
      <c r="O41" s="31">
        <f t="shared" si="0"/>
        <v>46.142857142857146</v>
      </c>
      <c r="P41" s="31">
        <f t="shared" si="1"/>
        <v>142.28571428571428</v>
      </c>
      <c r="R41" s="5" t="s">
        <v>176</v>
      </c>
      <c r="S41" s="51">
        <f>SUM(S10:S33)</f>
        <v>1210.2142857142858</v>
      </c>
      <c r="T41" s="51">
        <f t="shared" ref="T41:AD41" si="33">SUM(T10:T33)</f>
        <v>650.92857142857144</v>
      </c>
      <c r="U41" s="51">
        <f t="shared" si="33"/>
        <v>337.28571428571428</v>
      </c>
      <c r="V41" s="51">
        <f t="shared" si="33"/>
        <v>1365.7857142857142</v>
      </c>
      <c r="W41" s="51">
        <f t="shared" si="33"/>
        <v>36.857142857142861</v>
      </c>
      <c r="X41" s="51">
        <f t="shared" si="33"/>
        <v>10.714285714285715</v>
      </c>
      <c r="Y41" s="51">
        <f t="shared" si="33"/>
        <v>355.64285714285711</v>
      </c>
      <c r="Z41" s="51">
        <f t="shared" si="33"/>
        <v>214.14285714285717</v>
      </c>
      <c r="AA41" s="51">
        <f t="shared" si="33"/>
        <v>44</v>
      </c>
      <c r="AB41" s="51">
        <f t="shared" si="33"/>
        <v>40.571428571428569</v>
      </c>
      <c r="AC41" s="51">
        <f t="shared" si="33"/>
        <v>8490.6428571428569</v>
      </c>
      <c r="AD41" s="51">
        <f t="shared" si="33"/>
        <v>0.14285714285714285</v>
      </c>
      <c r="AE41" s="52">
        <f>SUM(AE10:AE33)</f>
        <v>5807.2142857142862</v>
      </c>
      <c r="AF41" s="52">
        <f>SUM(AF10:AF33)</f>
        <v>17886.714285714286</v>
      </c>
    </row>
    <row r="42" spans="2:32" ht="23.1" customHeight="1" x14ac:dyDescent="0.25">
      <c r="B42" s="24" t="s">
        <v>69</v>
      </c>
      <c r="C42" s="49">
        <f>AVERAGE('22.07 Nakawuka-Nateete'!C42,'23.07 Nakawuka-Nateete'!C42,'24.07 Nakawuka-Nateete'!C42,'25.07 Nakawuka-Nateete'!C42,'26.07 Nakawuka-Nateete-24h'!C42,'27.07 Nakawuka-Nateete-24h'!C42,'28.07 Nakawuka-Nateete'!C42)</f>
        <v>15.857142857142858</v>
      </c>
      <c r="D42" s="49">
        <f>AVERAGE('22.07 Nakawuka-Nateete'!D42,'23.07 Nakawuka-Nateete'!D42,'24.07 Nakawuka-Nateete'!D42,'25.07 Nakawuka-Nateete'!D42,'26.07 Nakawuka-Nateete-24h'!D42,'27.07 Nakawuka-Nateete-24h'!D42,'28.07 Nakawuka-Nateete'!D42)</f>
        <v>9.2857142857142865</v>
      </c>
      <c r="E42" s="49">
        <f>AVERAGE('22.07 Nakawuka-Nateete'!E42,'23.07 Nakawuka-Nateete'!E42,'24.07 Nakawuka-Nateete'!E42,'25.07 Nakawuka-Nateete'!E42,'26.07 Nakawuka-Nateete-24h'!E42,'27.07 Nakawuka-Nateete-24h'!E42,'28.07 Nakawuka-Nateete'!E42)</f>
        <v>4.7142857142857144</v>
      </c>
      <c r="F42" s="49">
        <f>AVERAGE('22.07 Nakawuka-Nateete'!F42,'23.07 Nakawuka-Nateete'!F42,'24.07 Nakawuka-Nateete'!F42,'25.07 Nakawuka-Nateete'!F42,'26.07 Nakawuka-Nateete-24h'!F42,'27.07 Nakawuka-Nateete-24h'!F42,'28.07 Nakawuka-Nateete'!F42)</f>
        <v>14.857142857142858</v>
      </c>
      <c r="G42" s="49">
        <f>AVERAGE('22.07 Nakawuka-Nateete'!G42,'23.07 Nakawuka-Nateete'!G42,'24.07 Nakawuka-Nateete'!G42,'25.07 Nakawuka-Nateete'!G42,'26.07 Nakawuka-Nateete-24h'!G42,'27.07 Nakawuka-Nateete-24h'!G42,'28.07 Nakawuka-Nateete'!G42)</f>
        <v>0.42857142857142855</v>
      </c>
      <c r="H42" s="49">
        <f>AVERAGE('22.07 Nakawuka-Nateete'!H42,'23.07 Nakawuka-Nateete'!H42,'24.07 Nakawuka-Nateete'!H42,'25.07 Nakawuka-Nateete'!H42,'26.07 Nakawuka-Nateete-24h'!H42,'27.07 Nakawuka-Nateete-24h'!H42,'28.07 Nakawuka-Nateete'!H42)</f>
        <v>0</v>
      </c>
      <c r="I42" s="49">
        <f>AVERAGE('22.07 Nakawuka-Nateete'!I42,'23.07 Nakawuka-Nateete'!I42,'24.07 Nakawuka-Nateete'!I42,'25.07 Nakawuka-Nateete'!I42,'26.07 Nakawuka-Nateete-24h'!I42,'27.07 Nakawuka-Nateete-24h'!I42,'28.07 Nakawuka-Nateete'!I42)</f>
        <v>3.7142857142857144</v>
      </c>
      <c r="J42" s="49">
        <f>AVERAGE('22.07 Nakawuka-Nateete'!J42,'23.07 Nakawuka-Nateete'!J42,'24.07 Nakawuka-Nateete'!J42,'25.07 Nakawuka-Nateete'!J42,'26.07 Nakawuka-Nateete-24h'!J42,'27.07 Nakawuka-Nateete-24h'!J42,'28.07 Nakawuka-Nateete'!J42)</f>
        <v>3.8571428571428572</v>
      </c>
      <c r="K42" s="49">
        <f>AVERAGE('22.07 Nakawuka-Nateete'!K42,'23.07 Nakawuka-Nateete'!K42,'24.07 Nakawuka-Nateete'!K42,'25.07 Nakawuka-Nateete'!K42,'26.07 Nakawuka-Nateete-24h'!K42,'27.07 Nakawuka-Nateete-24h'!K42,'28.07 Nakawuka-Nateete'!K42)</f>
        <v>0.7142857142857143</v>
      </c>
      <c r="L42" s="49">
        <f>AVERAGE('22.07 Nakawuka-Nateete'!L42,'23.07 Nakawuka-Nateete'!L42,'24.07 Nakawuka-Nateete'!L42,'25.07 Nakawuka-Nateete'!L42,'26.07 Nakawuka-Nateete-24h'!L42,'27.07 Nakawuka-Nateete-24h'!L42,'28.07 Nakawuka-Nateete'!L42)</f>
        <v>0.2857142857142857</v>
      </c>
      <c r="M42" s="49">
        <f>AVERAGE('22.07 Nakawuka-Nateete'!M42,'23.07 Nakawuka-Nateete'!M42,'24.07 Nakawuka-Nateete'!M42,'25.07 Nakawuka-Nateete'!M42,'26.07 Nakawuka-Nateete-24h'!M42,'27.07 Nakawuka-Nateete-24h'!M42,'28.07 Nakawuka-Nateete'!M42)</f>
        <v>85.857142857142861</v>
      </c>
      <c r="N42" s="49">
        <f>AVERAGE('22.07 Nakawuka-Nateete'!N42,'23.07 Nakawuka-Nateete'!N42,'24.07 Nakawuka-Nateete'!N42,'25.07 Nakawuka-Nateete'!N42,'26.07 Nakawuka-Nateete-24h'!N42,'27.07 Nakawuka-Nateete-24h'!N42,'28.07 Nakawuka-Nateete'!N42)</f>
        <v>0</v>
      </c>
      <c r="O42" s="31">
        <f t="shared" si="0"/>
        <v>53.714285714285722</v>
      </c>
      <c r="P42" s="31">
        <f t="shared" si="1"/>
        <v>139.57142857142858</v>
      </c>
      <c r="R42" s="5" t="s">
        <v>160</v>
      </c>
      <c r="S42" s="48">
        <f>S41/S40</f>
        <v>1.3031072142747271</v>
      </c>
      <c r="T42" s="48">
        <f t="shared" ref="T42:AF42" si="34">T41/T40</f>
        <v>1.6175008874689385</v>
      </c>
      <c r="U42" s="48">
        <f t="shared" si="34"/>
        <v>1.3476027397260275</v>
      </c>
      <c r="V42" s="48">
        <f t="shared" si="34"/>
        <v>1.4327139217743143</v>
      </c>
      <c r="W42" s="48">
        <f t="shared" si="34"/>
        <v>1.3723404255319149</v>
      </c>
      <c r="X42" s="48">
        <f t="shared" si="34"/>
        <v>1.595744680851064</v>
      </c>
      <c r="Y42" s="48">
        <f t="shared" si="34"/>
        <v>1.260506329113924</v>
      </c>
      <c r="Z42" s="48">
        <f t="shared" si="34"/>
        <v>1.2735768903993203</v>
      </c>
      <c r="AA42" s="48">
        <f t="shared" si="34"/>
        <v>1.4193548387096775</v>
      </c>
      <c r="AB42" s="48">
        <f t="shared" si="34"/>
        <v>2.0729927007299271</v>
      </c>
      <c r="AC42" s="48">
        <f t="shared" si="34"/>
        <v>1.6518301325699676</v>
      </c>
      <c r="AD42" s="48">
        <f t="shared" si="34"/>
        <v>1</v>
      </c>
      <c r="AE42" s="53">
        <f t="shared" si="34"/>
        <v>1.8920409588084712</v>
      </c>
      <c r="AF42" s="53">
        <f t="shared" si="34"/>
        <v>2.1788013782062436</v>
      </c>
    </row>
    <row r="43" spans="2:32" ht="23.1" customHeight="1" x14ac:dyDescent="0.25">
      <c r="B43" s="23" t="s">
        <v>70</v>
      </c>
      <c r="C43" s="49">
        <f>AVERAGE('22.07 Nakawuka-Nateete'!C43,'23.07 Nakawuka-Nateete'!C43,'24.07 Nakawuka-Nateete'!C43,'25.07 Nakawuka-Nateete'!C43,'26.07 Nakawuka-Nateete-24h'!C43,'27.07 Nakawuka-Nateete-24h'!C43,'28.07 Nakawuka-Nateete'!C43)</f>
        <v>14</v>
      </c>
      <c r="D43" s="49">
        <f>AVERAGE('22.07 Nakawuka-Nateete'!D43,'23.07 Nakawuka-Nateete'!D43,'24.07 Nakawuka-Nateete'!D43,'25.07 Nakawuka-Nateete'!D43,'26.07 Nakawuka-Nateete-24h'!D43,'27.07 Nakawuka-Nateete-24h'!D43,'28.07 Nakawuka-Nateete'!D43)</f>
        <v>8.5714285714285712</v>
      </c>
      <c r="E43" s="49">
        <f>AVERAGE('22.07 Nakawuka-Nateete'!E43,'23.07 Nakawuka-Nateete'!E43,'24.07 Nakawuka-Nateete'!E43,'25.07 Nakawuka-Nateete'!E43,'26.07 Nakawuka-Nateete-24h'!E43,'27.07 Nakawuka-Nateete-24h'!E43,'28.07 Nakawuka-Nateete'!E43)</f>
        <v>5</v>
      </c>
      <c r="F43" s="49">
        <f>AVERAGE('22.07 Nakawuka-Nateete'!F43,'23.07 Nakawuka-Nateete'!F43,'24.07 Nakawuka-Nateete'!F43,'25.07 Nakawuka-Nateete'!F43,'26.07 Nakawuka-Nateete-24h'!F43,'27.07 Nakawuka-Nateete-24h'!F43,'28.07 Nakawuka-Nateete'!F43)</f>
        <v>14.571428571428571</v>
      </c>
      <c r="G43" s="49">
        <f>AVERAGE('22.07 Nakawuka-Nateete'!G43,'23.07 Nakawuka-Nateete'!G43,'24.07 Nakawuka-Nateete'!G43,'25.07 Nakawuka-Nateete'!G43,'26.07 Nakawuka-Nateete-24h'!G43,'27.07 Nakawuka-Nateete-24h'!G43,'28.07 Nakawuka-Nateete'!G43)</f>
        <v>0.42857142857142855</v>
      </c>
      <c r="H43" s="49">
        <f>AVERAGE('22.07 Nakawuka-Nateete'!H43,'23.07 Nakawuka-Nateete'!H43,'24.07 Nakawuka-Nateete'!H43,'25.07 Nakawuka-Nateete'!H43,'26.07 Nakawuka-Nateete-24h'!H43,'27.07 Nakawuka-Nateete-24h'!H43,'28.07 Nakawuka-Nateete'!H43)</f>
        <v>0</v>
      </c>
      <c r="I43" s="49">
        <f>AVERAGE('22.07 Nakawuka-Nateete'!I43,'23.07 Nakawuka-Nateete'!I43,'24.07 Nakawuka-Nateete'!I43,'25.07 Nakawuka-Nateete'!I43,'26.07 Nakawuka-Nateete-24h'!I43,'27.07 Nakawuka-Nateete-24h'!I43,'28.07 Nakawuka-Nateete'!I43)</f>
        <v>4.8571428571428568</v>
      </c>
      <c r="J43" s="49">
        <f>AVERAGE('22.07 Nakawuka-Nateete'!J43,'23.07 Nakawuka-Nateete'!J43,'24.07 Nakawuka-Nateete'!J43,'25.07 Nakawuka-Nateete'!J43,'26.07 Nakawuka-Nateete-24h'!J43,'27.07 Nakawuka-Nateete-24h'!J43,'28.07 Nakawuka-Nateete'!J43)</f>
        <v>3.1428571428571428</v>
      </c>
      <c r="K43" s="49">
        <f>AVERAGE('22.07 Nakawuka-Nateete'!K43,'23.07 Nakawuka-Nateete'!K43,'24.07 Nakawuka-Nateete'!K43,'25.07 Nakawuka-Nateete'!K43,'26.07 Nakawuka-Nateete-24h'!K43,'27.07 Nakawuka-Nateete-24h'!K43,'28.07 Nakawuka-Nateete'!K43)</f>
        <v>1.5714285714285714</v>
      </c>
      <c r="L43" s="49">
        <f>AVERAGE('22.07 Nakawuka-Nateete'!L43,'23.07 Nakawuka-Nateete'!L43,'24.07 Nakawuka-Nateete'!L43,'25.07 Nakawuka-Nateete'!L43,'26.07 Nakawuka-Nateete-24h'!L43,'27.07 Nakawuka-Nateete-24h'!L43,'28.07 Nakawuka-Nateete'!L43)</f>
        <v>0</v>
      </c>
      <c r="M43" s="49">
        <f>AVERAGE('22.07 Nakawuka-Nateete'!M43,'23.07 Nakawuka-Nateete'!M43,'24.07 Nakawuka-Nateete'!M43,'25.07 Nakawuka-Nateete'!M43,'26.07 Nakawuka-Nateete-24h'!M43,'27.07 Nakawuka-Nateete-24h'!M43,'28.07 Nakawuka-Nateete'!M43)</f>
        <v>97.428571428571431</v>
      </c>
      <c r="N43" s="49">
        <f>AVERAGE('22.07 Nakawuka-Nateete'!N43,'23.07 Nakawuka-Nateete'!N43,'24.07 Nakawuka-Nateete'!N43,'25.07 Nakawuka-Nateete'!N43,'26.07 Nakawuka-Nateete-24h'!N43,'27.07 Nakawuka-Nateete-24h'!N43,'28.07 Nakawuka-Nateete'!N43)</f>
        <v>0</v>
      </c>
      <c r="O43" s="31">
        <f t="shared" si="0"/>
        <v>52.142857142857139</v>
      </c>
      <c r="P43" s="31">
        <f t="shared" si="1"/>
        <v>149.57142857142856</v>
      </c>
    </row>
    <row r="44" spans="2:32" ht="23.1" customHeight="1" x14ac:dyDescent="0.25">
      <c r="B44" s="25" t="s">
        <v>71</v>
      </c>
      <c r="C44" s="49">
        <f>AVERAGE('22.07 Nakawuka-Nateete'!C44,'23.07 Nakawuka-Nateete'!C44,'24.07 Nakawuka-Nateete'!C44,'25.07 Nakawuka-Nateete'!C44,'26.07 Nakawuka-Nateete-24h'!C44,'27.07 Nakawuka-Nateete-24h'!C44,'28.07 Nakawuka-Nateete'!C44)</f>
        <v>15</v>
      </c>
      <c r="D44" s="49">
        <f>AVERAGE('22.07 Nakawuka-Nateete'!D44,'23.07 Nakawuka-Nateete'!D44,'24.07 Nakawuka-Nateete'!D44,'25.07 Nakawuka-Nateete'!D44,'26.07 Nakawuka-Nateete-24h'!D44,'27.07 Nakawuka-Nateete-24h'!D44,'28.07 Nakawuka-Nateete'!D44)</f>
        <v>7.7142857142857144</v>
      </c>
      <c r="E44" s="49">
        <f>AVERAGE('22.07 Nakawuka-Nateete'!E44,'23.07 Nakawuka-Nateete'!E44,'24.07 Nakawuka-Nateete'!E44,'25.07 Nakawuka-Nateete'!E44,'26.07 Nakawuka-Nateete-24h'!E44,'27.07 Nakawuka-Nateete-24h'!E44,'28.07 Nakawuka-Nateete'!E44)</f>
        <v>4.7142857142857144</v>
      </c>
      <c r="F44" s="49">
        <f>AVERAGE('22.07 Nakawuka-Nateete'!F44,'23.07 Nakawuka-Nateete'!F44,'24.07 Nakawuka-Nateete'!F44,'25.07 Nakawuka-Nateete'!F44,'26.07 Nakawuka-Nateete-24h'!F44,'27.07 Nakawuka-Nateete-24h'!F44,'28.07 Nakawuka-Nateete'!F44)</f>
        <v>12.857142857142858</v>
      </c>
      <c r="G44" s="49">
        <f>AVERAGE('22.07 Nakawuka-Nateete'!G44,'23.07 Nakawuka-Nateete'!G44,'24.07 Nakawuka-Nateete'!G44,'25.07 Nakawuka-Nateete'!G44,'26.07 Nakawuka-Nateete-24h'!G44,'27.07 Nakawuka-Nateete-24h'!G44,'28.07 Nakawuka-Nateete'!G44)</f>
        <v>0.42857142857142855</v>
      </c>
      <c r="H44" s="49">
        <f>AVERAGE('22.07 Nakawuka-Nateete'!H44,'23.07 Nakawuka-Nateete'!H44,'24.07 Nakawuka-Nateete'!H44,'25.07 Nakawuka-Nateete'!H44,'26.07 Nakawuka-Nateete-24h'!H44,'27.07 Nakawuka-Nateete-24h'!H44,'28.07 Nakawuka-Nateete'!H44)</f>
        <v>0.14285714285714285</v>
      </c>
      <c r="I44" s="49">
        <f>AVERAGE('22.07 Nakawuka-Nateete'!I44,'23.07 Nakawuka-Nateete'!I44,'24.07 Nakawuka-Nateete'!I44,'25.07 Nakawuka-Nateete'!I44,'26.07 Nakawuka-Nateete-24h'!I44,'27.07 Nakawuka-Nateete-24h'!I44,'28.07 Nakawuka-Nateete'!I44)</f>
        <v>11.285714285714286</v>
      </c>
      <c r="J44" s="49">
        <f>AVERAGE('22.07 Nakawuka-Nateete'!J44,'23.07 Nakawuka-Nateete'!J44,'24.07 Nakawuka-Nateete'!J44,'25.07 Nakawuka-Nateete'!J44,'26.07 Nakawuka-Nateete-24h'!J44,'27.07 Nakawuka-Nateete-24h'!J44,'28.07 Nakawuka-Nateete'!J44)</f>
        <v>2.4285714285714284</v>
      </c>
      <c r="K44" s="49">
        <f>AVERAGE('22.07 Nakawuka-Nateete'!K44,'23.07 Nakawuka-Nateete'!K44,'24.07 Nakawuka-Nateete'!K44,'25.07 Nakawuka-Nateete'!K44,'26.07 Nakawuka-Nateete-24h'!K44,'27.07 Nakawuka-Nateete-24h'!K44,'28.07 Nakawuka-Nateete'!K44)</f>
        <v>0.2857142857142857</v>
      </c>
      <c r="L44" s="49">
        <f>AVERAGE('22.07 Nakawuka-Nateete'!L44,'23.07 Nakawuka-Nateete'!L44,'24.07 Nakawuka-Nateete'!L44,'25.07 Nakawuka-Nateete'!L44,'26.07 Nakawuka-Nateete-24h'!L44,'27.07 Nakawuka-Nateete-24h'!L44,'28.07 Nakawuka-Nateete'!L44)</f>
        <v>0.2857142857142857</v>
      </c>
      <c r="M44" s="49">
        <f>AVERAGE('22.07 Nakawuka-Nateete'!M44,'23.07 Nakawuka-Nateete'!M44,'24.07 Nakawuka-Nateete'!M44,'25.07 Nakawuka-Nateete'!M44,'26.07 Nakawuka-Nateete-24h'!M44,'27.07 Nakawuka-Nateete-24h'!M44,'28.07 Nakawuka-Nateete'!M44)</f>
        <v>108.28571428571429</v>
      </c>
      <c r="N44" s="49">
        <f>AVERAGE('22.07 Nakawuka-Nateete'!N44,'23.07 Nakawuka-Nateete'!N44,'24.07 Nakawuka-Nateete'!N44,'25.07 Nakawuka-Nateete'!N44,'26.07 Nakawuka-Nateete-24h'!N44,'27.07 Nakawuka-Nateete-24h'!N44,'28.07 Nakawuka-Nateete'!N44)</f>
        <v>0</v>
      </c>
      <c r="O44" s="31">
        <f t="shared" si="0"/>
        <v>55.142857142857153</v>
      </c>
      <c r="P44" s="31">
        <f t="shared" si="1"/>
        <v>163.42857142857144</v>
      </c>
    </row>
    <row r="45" spans="2:32" ht="23.1" customHeight="1" x14ac:dyDescent="0.25">
      <c r="B45" s="23" t="s">
        <v>72</v>
      </c>
      <c r="C45" s="49">
        <f>AVERAGE('22.07 Nakawuka-Nateete'!C45,'23.07 Nakawuka-Nateete'!C45,'24.07 Nakawuka-Nateete'!C45,'25.07 Nakawuka-Nateete'!C45,'26.07 Nakawuka-Nateete-24h'!C45,'27.07 Nakawuka-Nateete-24h'!C45,'28.07 Nakawuka-Nateete'!C45)</f>
        <v>15.714285714285714</v>
      </c>
      <c r="D45" s="49">
        <f>AVERAGE('22.07 Nakawuka-Nateete'!D45,'23.07 Nakawuka-Nateete'!D45,'24.07 Nakawuka-Nateete'!D45,'25.07 Nakawuka-Nateete'!D45,'26.07 Nakawuka-Nateete-24h'!D45,'27.07 Nakawuka-Nateete-24h'!D45,'28.07 Nakawuka-Nateete'!D45)</f>
        <v>7.4285714285714288</v>
      </c>
      <c r="E45" s="49">
        <f>AVERAGE('22.07 Nakawuka-Nateete'!E45,'23.07 Nakawuka-Nateete'!E45,'24.07 Nakawuka-Nateete'!E45,'25.07 Nakawuka-Nateete'!E45,'26.07 Nakawuka-Nateete-24h'!E45,'27.07 Nakawuka-Nateete-24h'!E45,'28.07 Nakawuka-Nateete'!E45)</f>
        <v>6</v>
      </c>
      <c r="F45" s="49">
        <f>AVERAGE('22.07 Nakawuka-Nateete'!F45,'23.07 Nakawuka-Nateete'!F45,'24.07 Nakawuka-Nateete'!F45,'25.07 Nakawuka-Nateete'!F45,'26.07 Nakawuka-Nateete-24h'!F45,'27.07 Nakawuka-Nateete-24h'!F45,'28.07 Nakawuka-Nateete'!F45)</f>
        <v>14.571428571428571</v>
      </c>
      <c r="G45" s="49">
        <f>AVERAGE('22.07 Nakawuka-Nateete'!G45,'23.07 Nakawuka-Nateete'!G45,'24.07 Nakawuka-Nateete'!G45,'25.07 Nakawuka-Nateete'!G45,'26.07 Nakawuka-Nateete-24h'!G45,'27.07 Nakawuka-Nateete-24h'!G45,'28.07 Nakawuka-Nateete'!G45)</f>
        <v>0.2857142857142857</v>
      </c>
      <c r="H45" s="49">
        <f>AVERAGE('22.07 Nakawuka-Nateete'!H45,'23.07 Nakawuka-Nateete'!H45,'24.07 Nakawuka-Nateete'!H45,'25.07 Nakawuka-Nateete'!H45,'26.07 Nakawuka-Nateete-24h'!H45,'27.07 Nakawuka-Nateete-24h'!H45,'28.07 Nakawuka-Nateete'!H45)</f>
        <v>0</v>
      </c>
      <c r="I45" s="49">
        <f>AVERAGE('22.07 Nakawuka-Nateete'!I45,'23.07 Nakawuka-Nateete'!I45,'24.07 Nakawuka-Nateete'!I45,'25.07 Nakawuka-Nateete'!I45,'26.07 Nakawuka-Nateete-24h'!I45,'27.07 Nakawuka-Nateete-24h'!I45,'28.07 Nakawuka-Nateete'!I45)</f>
        <v>4.8571428571428568</v>
      </c>
      <c r="J45" s="49">
        <f>AVERAGE('22.07 Nakawuka-Nateete'!J45,'23.07 Nakawuka-Nateete'!J45,'24.07 Nakawuka-Nateete'!J45,'25.07 Nakawuka-Nateete'!J45,'26.07 Nakawuka-Nateete-24h'!J45,'27.07 Nakawuka-Nateete-24h'!J45,'28.07 Nakawuka-Nateete'!J45)</f>
        <v>3.7142857142857144</v>
      </c>
      <c r="K45" s="49">
        <f>AVERAGE('22.07 Nakawuka-Nateete'!K45,'23.07 Nakawuka-Nateete'!K45,'24.07 Nakawuka-Nateete'!K45,'25.07 Nakawuka-Nateete'!K45,'26.07 Nakawuka-Nateete-24h'!K45,'27.07 Nakawuka-Nateete-24h'!K45,'28.07 Nakawuka-Nateete'!K45)</f>
        <v>0.7142857142857143</v>
      </c>
      <c r="L45" s="49">
        <f>AVERAGE('22.07 Nakawuka-Nateete'!L45,'23.07 Nakawuka-Nateete'!L45,'24.07 Nakawuka-Nateete'!L45,'25.07 Nakawuka-Nateete'!L45,'26.07 Nakawuka-Nateete-24h'!L45,'27.07 Nakawuka-Nateete-24h'!L45,'28.07 Nakawuka-Nateete'!L45)</f>
        <v>0.42857142857142855</v>
      </c>
      <c r="M45" s="49">
        <f>AVERAGE('22.07 Nakawuka-Nateete'!M45,'23.07 Nakawuka-Nateete'!M45,'24.07 Nakawuka-Nateete'!M45,'25.07 Nakawuka-Nateete'!M45,'26.07 Nakawuka-Nateete-24h'!M45,'27.07 Nakawuka-Nateete-24h'!M45,'28.07 Nakawuka-Nateete'!M45)</f>
        <v>94</v>
      </c>
      <c r="N45" s="49">
        <f>AVERAGE('22.07 Nakawuka-Nateete'!N45,'23.07 Nakawuka-Nateete'!N45,'24.07 Nakawuka-Nateete'!N45,'25.07 Nakawuka-Nateete'!N45,'26.07 Nakawuka-Nateete-24h'!N45,'27.07 Nakawuka-Nateete-24h'!N45,'28.07 Nakawuka-Nateete'!N45)</f>
        <v>0</v>
      </c>
      <c r="O45" s="31">
        <f t="shared" si="0"/>
        <v>53.714285714285715</v>
      </c>
      <c r="P45" s="31">
        <f t="shared" si="1"/>
        <v>147.71428571428572</v>
      </c>
    </row>
    <row r="46" spans="2:32" ht="23.1" customHeight="1" x14ac:dyDescent="0.25">
      <c r="B46" s="24" t="s">
        <v>73</v>
      </c>
      <c r="C46" s="49">
        <f>AVERAGE('22.07 Nakawuka-Nateete'!C46,'23.07 Nakawuka-Nateete'!C46,'24.07 Nakawuka-Nateete'!C46,'25.07 Nakawuka-Nateete'!C46,'26.07 Nakawuka-Nateete-24h'!C46,'27.07 Nakawuka-Nateete-24h'!C46,'28.07 Nakawuka-Nateete'!C46)</f>
        <v>16</v>
      </c>
      <c r="D46" s="49">
        <f>AVERAGE('22.07 Nakawuka-Nateete'!D46,'23.07 Nakawuka-Nateete'!D46,'24.07 Nakawuka-Nateete'!D46,'25.07 Nakawuka-Nateete'!D46,'26.07 Nakawuka-Nateete-24h'!D46,'27.07 Nakawuka-Nateete-24h'!D46,'28.07 Nakawuka-Nateete'!D46)</f>
        <v>6</v>
      </c>
      <c r="E46" s="49">
        <f>AVERAGE('22.07 Nakawuka-Nateete'!E46,'23.07 Nakawuka-Nateete'!E46,'24.07 Nakawuka-Nateete'!E46,'25.07 Nakawuka-Nateete'!E46,'26.07 Nakawuka-Nateete-24h'!E46,'27.07 Nakawuka-Nateete-24h'!E46,'28.07 Nakawuka-Nateete'!E46)</f>
        <v>3.8571428571428572</v>
      </c>
      <c r="F46" s="49">
        <f>AVERAGE('22.07 Nakawuka-Nateete'!F46,'23.07 Nakawuka-Nateete'!F46,'24.07 Nakawuka-Nateete'!F46,'25.07 Nakawuka-Nateete'!F46,'26.07 Nakawuka-Nateete-24h'!F46,'27.07 Nakawuka-Nateete-24h'!F46,'28.07 Nakawuka-Nateete'!F46)</f>
        <v>13.428571428571429</v>
      </c>
      <c r="G46" s="49">
        <f>AVERAGE('22.07 Nakawuka-Nateete'!G46,'23.07 Nakawuka-Nateete'!G46,'24.07 Nakawuka-Nateete'!G46,'25.07 Nakawuka-Nateete'!G46,'26.07 Nakawuka-Nateete-24h'!G46,'27.07 Nakawuka-Nateete-24h'!G46,'28.07 Nakawuka-Nateete'!G46)</f>
        <v>0.42857142857142855</v>
      </c>
      <c r="H46" s="49">
        <f>AVERAGE('22.07 Nakawuka-Nateete'!H46,'23.07 Nakawuka-Nateete'!H46,'24.07 Nakawuka-Nateete'!H46,'25.07 Nakawuka-Nateete'!H46,'26.07 Nakawuka-Nateete-24h'!H46,'27.07 Nakawuka-Nateete-24h'!H46,'28.07 Nakawuka-Nateete'!H46)</f>
        <v>0</v>
      </c>
      <c r="I46" s="49">
        <f>AVERAGE('22.07 Nakawuka-Nateete'!I46,'23.07 Nakawuka-Nateete'!I46,'24.07 Nakawuka-Nateete'!I46,'25.07 Nakawuka-Nateete'!I46,'26.07 Nakawuka-Nateete-24h'!I46,'27.07 Nakawuka-Nateete-24h'!I46,'28.07 Nakawuka-Nateete'!I46)</f>
        <v>4.2857142857142856</v>
      </c>
      <c r="J46" s="49">
        <f>AVERAGE('22.07 Nakawuka-Nateete'!J46,'23.07 Nakawuka-Nateete'!J46,'24.07 Nakawuka-Nateete'!J46,'25.07 Nakawuka-Nateete'!J46,'26.07 Nakawuka-Nateete-24h'!J46,'27.07 Nakawuka-Nateete-24h'!J46,'28.07 Nakawuka-Nateete'!J46)</f>
        <v>4.1428571428571432</v>
      </c>
      <c r="K46" s="49">
        <f>AVERAGE('22.07 Nakawuka-Nateete'!K46,'23.07 Nakawuka-Nateete'!K46,'24.07 Nakawuka-Nateete'!K46,'25.07 Nakawuka-Nateete'!K46,'26.07 Nakawuka-Nateete-24h'!K46,'27.07 Nakawuka-Nateete-24h'!K46,'28.07 Nakawuka-Nateete'!K46)</f>
        <v>0.2857142857142857</v>
      </c>
      <c r="L46" s="49">
        <f>AVERAGE('22.07 Nakawuka-Nateete'!L46,'23.07 Nakawuka-Nateete'!L46,'24.07 Nakawuka-Nateete'!L46,'25.07 Nakawuka-Nateete'!L46,'26.07 Nakawuka-Nateete-24h'!L46,'27.07 Nakawuka-Nateete-24h'!L46,'28.07 Nakawuka-Nateete'!L46)</f>
        <v>0.2857142857142857</v>
      </c>
      <c r="M46" s="49">
        <f>AVERAGE('22.07 Nakawuka-Nateete'!M46,'23.07 Nakawuka-Nateete'!M46,'24.07 Nakawuka-Nateete'!M46,'25.07 Nakawuka-Nateete'!M46,'26.07 Nakawuka-Nateete-24h'!M46,'27.07 Nakawuka-Nateete-24h'!M46,'28.07 Nakawuka-Nateete'!M46)</f>
        <v>77.714285714285708</v>
      </c>
      <c r="N46" s="49">
        <f>AVERAGE('22.07 Nakawuka-Nateete'!N46,'23.07 Nakawuka-Nateete'!N46,'24.07 Nakawuka-Nateete'!N46,'25.07 Nakawuka-Nateete'!N46,'26.07 Nakawuka-Nateete-24h'!N46,'27.07 Nakawuka-Nateete-24h'!N46,'28.07 Nakawuka-Nateete'!N46)</f>
        <v>0</v>
      </c>
      <c r="O46" s="31">
        <f t="shared" si="0"/>
        <v>48.714285714285715</v>
      </c>
      <c r="P46" s="31">
        <f t="shared" si="1"/>
        <v>126.42857142857142</v>
      </c>
      <c r="R46" s="8"/>
      <c r="T46"/>
    </row>
    <row r="47" spans="2:32" ht="23.1" customHeight="1" x14ac:dyDescent="0.25">
      <c r="B47" s="24" t="s">
        <v>74</v>
      </c>
      <c r="C47" s="49">
        <f>AVERAGE('22.07 Nakawuka-Nateete'!C47,'23.07 Nakawuka-Nateete'!C47,'24.07 Nakawuka-Nateete'!C47,'25.07 Nakawuka-Nateete'!C47,'26.07 Nakawuka-Nateete-24h'!C47,'27.07 Nakawuka-Nateete-24h'!C47,'28.07 Nakawuka-Nateete'!C47)</f>
        <v>17.285714285714285</v>
      </c>
      <c r="D47" s="49">
        <f>AVERAGE('22.07 Nakawuka-Nateete'!D47,'23.07 Nakawuka-Nateete'!D47,'24.07 Nakawuka-Nateete'!D47,'25.07 Nakawuka-Nateete'!D47,'26.07 Nakawuka-Nateete-24h'!D47,'27.07 Nakawuka-Nateete-24h'!D47,'28.07 Nakawuka-Nateete'!D47)</f>
        <v>6.4285714285714288</v>
      </c>
      <c r="E47" s="49">
        <f>AVERAGE('22.07 Nakawuka-Nateete'!E47,'23.07 Nakawuka-Nateete'!E47,'24.07 Nakawuka-Nateete'!E47,'25.07 Nakawuka-Nateete'!E47,'26.07 Nakawuka-Nateete-24h'!E47,'27.07 Nakawuka-Nateete-24h'!E47,'28.07 Nakawuka-Nateete'!E47)</f>
        <v>4.7142857142857144</v>
      </c>
      <c r="F47" s="49">
        <f>AVERAGE('22.07 Nakawuka-Nateete'!F47,'23.07 Nakawuka-Nateete'!F47,'24.07 Nakawuka-Nateete'!F47,'25.07 Nakawuka-Nateete'!F47,'26.07 Nakawuka-Nateete-24h'!F47,'27.07 Nakawuka-Nateete-24h'!F47,'28.07 Nakawuka-Nateete'!F47)</f>
        <v>14.428571428571429</v>
      </c>
      <c r="G47" s="49">
        <f>AVERAGE('22.07 Nakawuka-Nateete'!G47,'23.07 Nakawuka-Nateete'!G47,'24.07 Nakawuka-Nateete'!G47,'25.07 Nakawuka-Nateete'!G47,'26.07 Nakawuka-Nateete-24h'!G47,'27.07 Nakawuka-Nateete-24h'!G47,'28.07 Nakawuka-Nateete'!G47)</f>
        <v>0.5714285714285714</v>
      </c>
      <c r="H47" s="49">
        <f>AVERAGE('22.07 Nakawuka-Nateete'!H47,'23.07 Nakawuka-Nateete'!H47,'24.07 Nakawuka-Nateete'!H47,'25.07 Nakawuka-Nateete'!H47,'26.07 Nakawuka-Nateete-24h'!H47,'27.07 Nakawuka-Nateete-24h'!H47,'28.07 Nakawuka-Nateete'!H47)</f>
        <v>0</v>
      </c>
      <c r="I47" s="49">
        <f>AVERAGE('22.07 Nakawuka-Nateete'!I47,'23.07 Nakawuka-Nateete'!I47,'24.07 Nakawuka-Nateete'!I47,'25.07 Nakawuka-Nateete'!I47,'26.07 Nakawuka-Nateete-24h'!I47,'27.07 Nakawuka-Nateete-24h'!I47,'28.07 Nakawuka-Nateete'!I47)</f>
        <v>6.5714285714285712</v>
      </c>
      <c r="J47" s="49">
        <f>AVERAGE('22.07 Nakawuka-Nateete'!J47,'23.07 Nakawuka-Nateete'!J47,'24.07 Nakawuka-Nateete'!J47,'25.07 Nakawuka-Nateete'!J47,'26.07 Nakawuka-Nateete-24h'!J47,'27.07 Nakawuka-Nateete-24h'!J47,'28.07 Nakawuka-Nateete'!J47)</f>
        <v>4.5714285714285712</v>
      </c>
      <c r="K47" s="49">
        <f>AVERAGE('22.07 Nakawuka-Nateete'!K47,'23.07 Nakawuka-Nateete'!K47,'24.07 Nakawuka-Nateete'!K47,'25.07 Nakawuka-Nateete'!K47,'26.07 Nakawuka-Nateete-24h'!K47,'27.07 Nakawuka-Nateete-24h'!K47,'28.07 Nakawuka-Nateete'!K47)</f>
        <v>1</v>
      </c>
      <c r="L47" s="49">
        <f>AVERAGE('22.07 Nakawuka-Nateete'!L47,'23.07 Nakawuka-Nateete'!L47,'24.07 Nakawuka-Nateete'!L47,'25.07 Nakawuka-Nateete'!L47,'26.07 Nakawuka-Nateete-24h'!L47,'27.07 Nakawuka-Nateete-24h'!L47,'28.07 Nakawuka-Nateete'!L47)</f>
        <v>0.2857142857142857</v>
      </c>
      <c r="M47" s="49">
        <f>AVERAGE('22.07 Nakawuka-Nateete'!M47,'23.07 Nakawuka-Nateete'!M47,'24.07 Nakawuka-Nateete'!M47,'25.07 Nakawuka-Nateete'!M47,'26.07 Nakawuka-Nateete-24h'!M47,'27.07 Nakawuka-Nateete-24h'!M47,'28.07 Nakawuka-Nateete'!M47)</f>
        <v>98</v>
      </c>
      <c r="N47" s="49">
        <f>AVERAGE('22.07 Nakawuka-Nateete'!N47,'23.07 Nakawuka-Nateete'!N47,'24.07 Nakawuka-Nateete'!N47,'25.07 Nakawuka-Nateete'!N47,'26.07 Nakawuka-Nateete-24h'!N47,'27.07 Nakawuka-Nateete-24h'!N47,'28.07 Nakawuka-Nateete'!N47)</f>
        <v>0</v>
      </c>
      <c r="O47" s="31">
        <f t="shared" si="0"/>
        <v>55.857142857142854</v>
      </c>
      <c r="P47" s="31">
        <f t="shared" si="1"/>
        <v>153.85714285714286</v>
      </c>
      <c r="R47" s="8"/>
      <c r="T47"/>
    </row>
    <row r="48" spans="2:32" ht="23.1" customHeight="1" x14ac:dyDescent="0.25">
      <c r="B48" s="24" t="s">
        <v>75</v>
      </c>
      <c r="C48" s="49">
        <f>AVERAGE('22.07 Nakawuka-Nateete'!C48,'23.07 Nakawuka-Nateete'!C48,'24.07 Nakawuka-Nateete'!C48,'25.07 Nakawuka-Nateete'!C48,'26.07 Nakawuka-Nateete-24h'!C48,'27.07 Nakawuka-Nateete-24h'!C48,'28.07 Nakawuka-Nateete'!C48)</f>
        <v>22.142857142857142</v>
      </c>
      <c r="D48" s="49">
        <f>AVERAGE('22.07 Nakawuka-Nateete'!D48,'23.07 Nakawuka-Nateete'!D48,'24.07 Nakawuka-Nateete'!D48,'25.07 Nakawuka-Nateete'!D48,'26.07 Nakawuka-Nateete-24h'!D48,'27.07 Nakawuka-Nateete-24h'!D48,'28.07 Nakawuka-Nateete'!D48)</f>
        <v>6.5714285714285712</v>
      </c>
      <c r="E48" s="49">
        <f>AVERAGE('22.07 Nakawuka-Nateete'!E48,'23.07 Nakawuka-Nateete'!E48,'24.07 Nakawuka-Nateete'!E48,'25.07 Nakawuka-Nateete'!E48,'26.07 Nakawuka-Nateete-24h'!E48,'27.07 Nakawuka-Nateete-24h'!E48,'28.07 Nakawuka-Nateete'!E48)</f>
        <v>6.2857142857142856</v>
      </c>
      <c r="F48" s="49">
        <f>AVERAGE('22.07 Nakawuka-Nateete'!F48,'23.07 Nakawuka-Nateete'!F48,'24.07 Nakawuka-Nateete'!F48,'25.07 Nakawuka-Nateete'!F48,'26.07 Nakawuka-Nateete-24h'!F48,'27.07 Nakawuka-Nateete-24h'!F48,'28.07 Nakawuka-Nateete'!F48)</f>
        <v>12.857142857142858</v>
      </c>
      <c r="G48" s="49">
        <f>AVERAGE('22.07 Nakawuka-Nateete'!G48,'23.07 Nakawuka-Nateete'!G48,'24.07 Nakawuka-Nateete'!G48,'25.07 Nakawuka-Nateete'!G48,'26.07 Nakawuka-Nateete-24h'!G48,'27.07 Nakawuka-Nateete-24h'!G48,'28.07 Nakawuka-Nateete'!G48)</f>
        <v>0.5714285714285714</v>
      </c>
      <c r="H48" s="49">
        <f>AVERAGE('22.07 Nakawuka-Nateete'!H48,'23.07 Nakawuka-Nateete'!H48,'24.07 Nakawuka-Nateete'!H48,'25.07 Nakawuka-Nateete'!H48,'26.07 Nakawuka-Nateete-24h'!H48,'27.07 Nakawuka-Nateete-24h'!H48,'28.07 Nakawuka-Nateete'!H48)</f>
        <v>0</v>
      </c>
      <c r="I48" s="49">
        <f>AVERAGE('22.07 Nakawuka-Nateete'!I48,'23.07 Nakawuka-Nateete'!I48,'24.07 Nakawuka-Nateete'!I48,'25.07 Nakawuka-Nateete'!I48,'26.07 Nakawuka-Nateete-24h'!I48,'27.07 Nakawuka-Nateete-24h'!I48,'28.07 Nakawuka-Nateete'!I48)</f>
        <v>5.7142857142857144</v>
      </c>
      <c r="J48" s="49">
        <f>AVERAGE('22.07 Nakawuka-Nateete'!J48,'23.07 Nakawuka-Nateete'!J48,'24.07 Nakawuka-Nateete'!J48,'25.07 Nakawuka-Nateete'!J48,'26.07 Nakawuka-Nateete-24h'!J48,'27.07 Nakawuka-Nateete-24h'!J48,'28.07 Nakawuka-Nateete'!J48)</f>
        <v>3</v>
      </c>
      <c r="K48" s="49">
        <f>AVERAGE('22.07 Nakawuka-Nateete'!K48,'23.07 Nakawuka-Nateete'!K48,'24.07 Nakawuka-Nateete'!K48,'25.07 Nakawuka-Nateete'!K48,'26.07 Nakawuka-Nateete-24h'!K48,'27.07 Nakawuka-Nateete-24h'!K48,'28.07 Nakawuka-Nateete'!K48)</f>
        <v>1.5714285714285714</v>
      </c>
      <c r="L48" s="49">
        <f>AVERAGE('22.07 Nakawuka-Nateete'!L48,'23.07 Nakawuka-Nateete'!L48,'24.07 Nakawuka-Nateete'!L48,'25.07 Nakawuka-Nateete'!L48,'26.07 Nakawuka-Nateete-24h'!L48,'27.07 Nakawuka-Nateete-24h'!L48,'28.07 Nakawuka-Nateete'!L48)</f>
        <v>0</v>
      </c>
      <c r="M48" s="49">
        <f>AVERAGE('22.07 Nakawuka-Nateete'!M48,'23.07 Nakawuka-Nateete'!M48,'24.07 Nakawuka-Nateete'!M48,'25.07 Nakawuka-Nateete'!M48,'26.07 Nakawuka-Nateete-24h'!M48,'27.07 Nakawuka-Nateete-24h'!M48,'28.07 Nakawuka-Nateete'!M48)</f>
        <v>111.71428571428571</v>
      </c>
      <c r="N48" s="49">
        <f>AVERAGE('22.07 Nakawuka-Nateete'!N48,'23.07 Nakawuka-Nateete'!N48,'24.07 Nakawuka-Nateete'!N48,'25.07 Nakawuka-Nateete'!N48,'26.07 Nakawuka-Nateete-24h'!N48,'27.07 Nakawuka-Nateete-24h'!N48,'28.07 Nakawuka-Nateete'!N48)</f>
        <v>0</v>
      </c>
      <c r="O48" s="31">
        <f t="shared" si="0"/>
        <v>58.714285714285715</v>
      </c>
      <c r="P48" s="31">
        <f t="shared" si="1"/>
        <v>170.42857142857142</v>
      </c>
      <c r="R48" s="8"/>
      <c r="T48"/>
    </row>
    <row r="49" spans="2:20" ht="23.1" customHeight="1" x14ac:dyDescent="0.25">
      <c r="B49" s="23" t="s">
        <v>76</v>
      </c>
      <c r="C49" s="49">
        <f>AVERAGE('22.07 Nakawuka-Nateete'!C49,'23.07 Nakawuka-Nateete'!C49,'24.07 Nakawuka-Nateete'!C49,'25.07 Nakawuka-Nateete'!C49,'26.07 Nakawuka-Nateete-24h'!C49,'27.07 Nakawuka-Nateete-24h'!C49,'28.07 Nakawuka-Nateete'!C49)</f>
        <v>17.428571428571427</v>
      </c>
      <c r="D49" s="49">
        <f>AVERAGE('22.07 Nakawuka-Nateete'!D49,'23.07 Nakawuka-Nateete'!D49,'24.07 Nakawuka-Nateete'!D49,'25.07 Nakawuka-Nateete'!D49,'26.07 Nakawuka-Nateete-24h'!D49,'27.07 Nakawuka-Nateete-24h'!D49,'28.07 Nakawuka-Nateete'!D49)</f>
        <v>6.5714285714285712</v>
      </c>
      <c r="E49" s="49">
        <f>AVERAGE('22.07 Nakawuka-Nateete'!E49,'23.07 Nakawuka-Nateete'!E49,'24.07 Nakawuka-Nateete'!E49,'25.07 Nakawuka-Nateete'!E49,'26.07 Nakawuka-Nateete-24h'!E49,'27.07 Nakawuka-Nateete-24h'!E49,'28.07 Nakawuka-Nateete'!E49)</f>
        <v>4.1428571428571432</v>
      </c>
      <c r="F49" s="49">
        <f>AVERAGE('22.07 Nakawuka-Nateete'!F49,'23.07 Nakawuka-Nateete'!F49,'24.07 Nakawuka-Nateete'!F49,'25.07 Nakawuka-Nateete'!F49,'26.07 Nakawuka-Nateete-24h'!F49,'27.07 Nakawuka-Nateete-24h'!F49,'28.07 Nakawuka-Nateete'!F49)</f>
        <v>13.428571428571429</v>
      </c>
      <c r="G49" s="49">
        <f>AVERAGE('22.07 Nakawuka-Nateete'!G49,'23.07 Nakawuka-Nateete'!G49,'24.07 Nakawuka-Nateete'!G49,'25.07 Nakawuka-Nateete'!G49,'26.07 Nakawuka-Nateete-24h'!G49,'27.07 Nakawuka-Nateete-24h'!G49,'28.07 Nakawuka-Nateete'!G49)</f>
        <v>0</v>
      </c>
      <c r="H49" s="49">
        <f>AVERAGE('22.07 Nakawuka-Nateete'!H49,'23.07 Nakawuka-Nateete'!H49,'24.07 Nakawuka-Nateete'!H49,'25.07 Nakawuka-Nateete'!H49,'26.07 Nakawuka-Nateete-24h'!H49,'27.07 Nakawuka-Nateete-24h'!H49,'28.07 Nakawuka-Nateete'!H49)</f>
        <v>0</v>
      </c>
      <c r="I49" s="49">
        <f>AVERAGE('22.07 Nakawuka-Nateete'!I49,'23.07 Nakawuka-Nateete'!I49,'24.07 Nakawuka-Nateete'!I49,'25.07 Nakawuka-Nateete'!I49,'26.07 Nakawuka-Nateete-24h'!I49,'27.07 Nakawuka-Nateete-24h'!I49,'28.07 Nakawuka-Nateete'!I49)</f>
        <v>6</v>
      </c>
      <c r="J49" s="49">
        <f>AVERAGE('22.07 Nakawuka-Nateete'!J49,'23.07 Nakawuka-Nateete'!J49,'24.07 Nakawuka-Nateete'!J49,'25.07 Nakawuka-Nateete'!J49,'26.07 Nakawuka-Nateete-24h'!J49,'27.07 Nakawuka-Nateete-24h'!J49,'28.07 Nakawuka-Nateete'!J49)</f>
        <v>3</v>
      </c>
      <c r="K49" s="49">
        <f>AVERAGE('22.07 Nakawuka-Nateete'!K49,'23.07 Nakawuka-Nateete'!K49,'24.07 Nakawuka-Nateete'!K49,'25.07 Nakawuka-Nateete'!K49,'26.07 Nakawuka-Nateete-24h'!K49,'27.07 Nakawuka-Nateete-24h'!K49,'28.07 Nakawuka-Nateete'!K49)</f>
        <v>0.5714285714285714</v>
      </c>
      <c r="L49" s="49">
        <f>AVERAGE('22.07 Nakawuka-Nateete'!L49,'23.07 Nakawuka-Nateete'!L49,'24.07 Nakawuka-Nateete'!L49,'25.07 Nakawuka-Nateete'!L49,'26.07 Nakawuka-Nateete-24h'!L49,'27.07 Nakawuka-Nateete-24h'!L49,'28.07 Nakawuka-Nateete'!L49)</f>
        <v>0</v>
      </c>
      <c r="M49" s="49">
        <f>AVERAGE('22.07 Nakawuka-Nateete'!M49,'23.07 Nakawuka-Nateete'!M49,'24.07 Nakawuka-Nateete'!M49,'25.07 Nakawuka-Nateete'!M49,'26.07 Nakawuka-Nateete-24h'!M49,'27.07 Nakawuka-Nateete-24h'!M49,'28.07 Nakawuka-Nateete'!M49)</f>
        <v>112</v>
      </c>
      <c r="N49" s="49">
        <f>AVERAGE('22.07 Nakawuka-Nateete'!N49,'23.07 Nakawuka-Nateete'!N49,'24.07 Nakawuka-Nateete'!N49,'25.07 Nakawuka-Nateete'!N49,'26.07 Nakawuka-Nateete-24h'!N49,'27.07 Nakawuka-Nateete-24h'!N49,'28.07 Nakawuka-Nateete'!N49)</f>
        <v>0</v>
      </c>
      <c r="O49" s="31">
        <f t="shared" si="0"/>
        <v>51.142857142857139</v>
      </c>
      <c r="P49" s="31">
        <f t="shared" si="1"/>
        <v>163.14285714285714</v>
      </c>
      <c r="R49" s="8"/>
      <c r="T49"/>
    </row>
    <row r="50" spans="2:20" ht="23.1" customHeight="1" x14ac:dyDescent="0.25">
      <c r="B50" s="24" t="s">
        <v>77</v>
      </c>
      <c r="C50" s="49">
        <f>AVERAGE('22.07 Nakawuka-Nateete'!C50,'23.07 Nakawuka-Nateete'!C50,'24.07 Nakawuka-Nateete'!C50,'25.07 Nakawuka-Nateete'!C50,'26.07 Nakawuka-Nateete-24h'!C50,'27.07 Nakawuka-Nateete-24h'!C50,'28.07 Nakawuka-Nateete'!C50)</f>
        <v>25</v>
      </c>
      <c r="D50" s="49">
        <f>AVERAGE('22.07 Nakawuka-Nateete'!D50,'23.07 Nakawuka-Nateete'!D50,'24.07 Nakawuka-Nateete'!D50,'25.07 Nakawuka-Nateete'!D50,'26.07 Nakawuka-Nateete-24h'!D50,'27.07 Nakawuka-Nateete-24h'!D50,'28.07 Nakawuka-Nateete'!D50)</f>
        <v>7.5714285714285712</v>
      </c>
      <c r="E50" s="49">
        <f>AVERAGE('22.07 Nakawuka-Nateete'!E50,'23.07 Nakawuka-Nateete'!E50,'24.07 Nakawuka-Nateete'!E50,'25.07 Nakawuka-Nateete'!E50,'26.07 Nakawuka-Nateete-24h'!E50,'27.07 Nakawuka-Nateete-24h'!E50,'28.07 Nakawuka-Nateete'!E50)</f>
        <v>5.8571428571428568</v>
      </c>
      <c r="F50" s="49">
        <f>AVERAGE('22.07 Nakawuka-Nateete'!F50,'23.07 Nakawuka-Nateete'!F50,'24.07 Nakawuka-Nateete'!F50,'25.07 Nakawuka-Nateete'!F50,'26.07 Nakawuka-Nateete-24h'!F50,'27.07 Nakawuka-Nateete-24h'!F50,'28.07 Nakawuka-Nateete'!F50)</f>
        <v>18.571428571428573</v>
      </c>
      <c r="G50" s="49">
        <f>AVERAGE('22.07 Nakawuka-Nateete'!G50,'23.07 Nakawuka-Nateete'!G50,'24.07 Nakawuka-Nateete'!G50,'25.07 Nakawuka-Nateete'!G50,'26.07 Nakawuka-Nateete-24h'!G50,'27.07 Nakawuka-Nateete-24h'!G50,'28.07 Nakawuka-Nateete'!G50)</f>
        <v>0.14285714285714285</v>
      </c>
      <c r="H50" s="49">
        <f>AVERAGE('22.07 Nakawuka-Nateete'!H50,'23.07 Nakawuka-Nateete'!H50,'24.07 Nakawuka-Nateete'!H50,'25.07 Nakawuka-Nateete'!H50,'26.07 Nakawuka-Nateete-24h'!H50,'27.07 Nakawuka-Nateete-24h'!H50,'28.07 Nakawuka-Nateete'!H50)</f>
        <v>0.42857142857142855</v>
      </c>
      <c r="I50" s="49">
        <f>AVERAGE('22.07 Nakawuka-Nateete'!I50,'23.07 Nakawuka-Nateete'!I50,'24.07 Nakawuka-Nateete'!I50,'25.07 Nakawuka-Nateete'!I50,'26.07 Nakawuka-Nateete-24h'!I50,'27.07 Nakawuka-Nateete-24h'!I50,'28.07 Nakawuka-Nateete'!I50)</f>
        <v>6.7142857142857144</v>
      </c>
      <c r="J50" s="49">
        <f>AVERAGE('22.07 Nakawuka-Nateete'!J50,'23.07 Nakawuka-Nateete'!J50,'24.07 Nakawuka-Nateete'!J50,'25.07 Nakawuka-Nateete'!J50,'26.07 Nakawuka-Nateete-24h'!J50,'27.07 Nakawuka-Nateete-24h'!J50,'28.07 Nakawuka-Nateete'!J50)</f>
        <v>3.4285714285714284</v>
      </c>
      <c r="K50" s="49">
        <f>AVERAGE('22.07 Nakawuka-Nateete'!K50,'23.07 Nakawuka-Nateete'!K50,'24.07 Nakawuka-Nateete'!K50,'25.07 Nakawuka-Nateete'!K50,'26.07 Nakawuka-Nateete-24h'!K50,'27.07 Nakawuka-Nateete-24h'!K50,'28.07 Nakawuka-Nateete'!K50)</f>
        <v>1.2857142857142858</v>
      </c>
      <c r="L50" s="49">
        <f>AVERAGE('22.07 Nakawuka-Nateete'!L50,'23.07 Nakawuka-Nateete'!L50,'24.07 Nakawuka-Nateete'!L50,'25.07 Nakawuka-Nateete'!L50,'26.07 Nakawuka-Nateete-24h'!L50,'27.07 Nakawuka-Nateete-24h'!L50,'28.07 Nakawuka-Nateete'!L50)</f>
        <v>0.14285714285714285</v>
      </c>
      <c r="M50" s="49">
        <f>AVERAGE('22.07 Nakawuka-Nateete'!M50,'23.07 Nakawuka-Nateete'!M50,'24.07 Nakawuka-Nateete'!M50,'25.07 Nakawuka-Nateete'!M50,'26.07 Nakawuka-Nateete-24h'!M50,'27.07 Nakawuka-Nateete-24h'!M50,'28.07 Nakawuka-Nateete'!M50)</f>
        <v>125</v>
      </c>
      <c r="N50" s="49">
        <f>AVERAGE('22.07 Nakawuka-Nateete'!N50,'23.07 Nakawuka-Nateete'!N50,'24.07 Nakawuka-Nateete'!N50,'25.07 Nakawuka-Nateete'!N50,'26.07 Nakawuka-Nateete-24h'!N50,'27.07 Nakawuka-Nateete-24h'!N50,'28.07 Nakawuka-Nateete'!N50)</f>
        <v>0</v>
      </c>
      <c r="O50" s="31">
        <f t="shared" si="0"/>
        <v>69.142857142857153</v>
      </c>
      <c r="P50" s="31">
        <f t="shared" si="1"/>
        <v>194.14285714285717</v>
      </c>
      <c r="R50" s="8"/>
      <c r="T50"/>
    </row>
    <row r="51" spans="2:20" ht="23.1" customHeight="1" x14ac:dyDescent="0.25">
      <c r="B51" s="24" t="s">
        <v>78</v>
      </c>
      <c r="C51" s="49">
        <f>AVERAGE('22.07 Nakawuka-Nateete'!C51,'23.07 Nakawuka-Nateete'!C51,'24.07 Nakawuka-Nateete'!C51,'25.07 Nakawuka-Nateete'!C51,'26.07 Nakawuka-Nateete-24h'!C51,'27.07 Nakawuka-Nateete-24h'!C51,'28.07 Nakawuka-Nateete'!C51)</f>
        <v>17.428571428571427</v>
      </c>
      <c r="D51" s="49">
        <f>AVERAGE('22.07 Nakawuka-Nateete'!D51,'23.07 Nakawuka-Nateete'!D51,'24.07 Nakawuka-Nateete'!D51,'25.07 Nakawuka-Nateete'!D51,'26.07 Nakawuka-Nateete-24h'!D51,'27.07 Nakawuka-Nateete-24h'!D51,'28.07 Nakawuka-Nateete'!D51)</f>
        <v>10.142857142857142</v>
      </c>
      <c r="E51" s="49">
        <f>AVERAGE('22.07 Nakawuka-Nateete'!E51,'23.07 Nakawuka-Nateete'!E51,'24.07 Nakawuka-Nateete'!E51,'25.07 Nakawuka-Nateete'!E51,'26.07 Nakawuka-Nateete-24h'!E51,'27.07 Nakawuka-Nateete-24h'!E51,'28.07 Nakawuka-Nateete'!E51)</f>
        <v>5.1428571428571432</v>
      </c>
      <c r="F51" s="49">
        <f>AVERAGE('22.07 Nakawuka-Nateete'!F51,'23.07 Nakawuka-Nateete'!F51,'24.07 Nakawuka-Nateete'!F51,'25.07 Nakawuka-Nateete'!F51,'26.07 Nakawuka-Nateete-24h'!F51,'27.07 Nakawuka-Nateete-24h'!F51,'28.07 Nakawuka-Nateete'!F51)</f>
        <v>11.571428571428571</v>
      </c>
      <c r="G51" s="49">
        <f>AVERAGE('22.07 Nakawuka-Nateete'!G51,'23.07 Nakawuka-Nateete'!G51,'24.07 Nakawuka-Nateete'!G51,'25.07 Nakawuka-Nateete'!G51,'26.07 Nakawuka-Nateete-24h'!G51,'27.07 Nakawuka-Nateete-24h'!G51,'28.07 Nakawuka-Nateete'!G51)</f>
        <v>1</v>
      </c>
      <c r="H51" s="49">
        <f>AVERAGE('22.07 Nakawuka-Nateete'!H51,'23.07 Nakawuka-Nateete'!H51,'24.07 Nakawuka-Nateete'!H51,'25.07 Nakawuka-Nateete'!H51,'26.07 Nakawuka-Nateete-24h'!H51,'27.07 Nakawuka-Nateete-24h'!H51,'28.07 Nakawuka-Nateete'!H51)</f>
        <v>0</v>
      </c>
      <c r="I51" s="49">
        <f>AVERAGE('22.07 Nakawuka-Nateete'!I51,'23.07 Nakawuka-Nateete'!I51,'24.07 Nakawuka-Nateete'!I51,'25.07 Nakawuka-Nateete'!I51,'26.07 Nakawuka-Nateete-24h'!I51,'27.07 Nakawuka-Nateete-24h'!I51,'28.07 Nakawuka-Nateete'!I51)</f>
        <v>6.1428571428571432</v>
      </c>
      <c r="J51" s="49">
        <f>AVERAGE('22.07 Nakawuka-Nateete'!J51,'23.07 Nakawuka-Nateete'!J51,'24.07 Nakawuka-Nateete'!J51,'25.07 Nakawuka-Nateete'!J51,'26.07 Nakawuka-Nateete-24h'!J51,'27.07 Nakawuka-Nateete-24h'!J51,'28.07 Nakawuka-Nateete'!J51)</f>
        <v>3</v>
      </c>
      <c r="K51" s="49">
        <f>AVERAGE('22.07 Nakawuka-Nateete'!K51,'23.07 Nakawuka-Nateete'!K51,'24.07 Nakawuka-Nateete'!K51,'25.07 Nakawuka-Nateete'!K51,'26.07 Nakawuka-Nateete-24h'!K51,'27.07 Nakawuka-Nateete-24h'!K51,'28.07 Nakawuka-Nateete'!K51)</f>
        <v>0.5714285714285714</v>
      </c>
      <c r="L51" s="49">
        <f>AVERAGE('22.07 Nakawuka-Nateete'!L51,'23.07 Nakawuka-Nateete'!L51,'24.07 Nakawuka-Nateete'!L51,'25.07 Nakawuka-Nateete'!L51,'26.07 Nakawuka-Nateete-24h'!L51,'27.07 Nakawuka-Nateete-24h'!L51,'28.07 Nakawuka-Nateete'!L51)</f>
        <v>0.2857142857142857</v>
      </c>
      <c r="M51" s="49">
        <f>AVERAGE('22.07 Nakawuka-Nateete'!M51,'23.07 Nakawuka-Nateete'!M51,'24.07 Nakawuka-Nateete'!M51,'25.07 Nakawuka-Nateete'!M51,'26.07 Nakawuka-Nateete-24h'!M51,'27.07 Nakawuka-Nateete-24h'!M51,'28.07 Nakawuka-Nateete'!M51)</f>
        <v>100.28571428571429</v>
      </c>
      <c r="N51" s="49">
        <f>AVERAGE('22.07 Nakawuka-Nateete'!N51,'23.07 Nakawuka-Nateete'!N51,'24.07 Nakawuka-Nateete'!N51,'25.07 Nakawuka-Nateete'!N51,'26.07 Nakawuka-Nateete-24h'!N51,'27.07 Nakawuka-Nateete-24h'!N51,'28.07 Nakawuka-Nateete'!N51)</f>
        <v>0</v>
      </c>
      <c r="O51" s="31">
        <f t="shared" si="0"/>
        <v>55.285714285714285</v>
      </c>
      <c r="P51" s="31">
        <f t="shared" si="1"/>
        <v>155.57142857142858</v>
      </c>
      <c r="R51" s="8"/>
      <c r="T51"/>
    </row>
    <row r="52" spans="2:20" ht="23.1" customHeight="1" x14ac:dyDescent="0.25">
      <c r="B52" s="24" t="s">
        <v>79</v>
      </c>
      <c r="C52" s="49">
        <f>AVERAGE('22.07 Nakawuka-Nateete'!C52,'23.07 Nakawuka-Nateete'!C52,'24.07 Nakawuka-Nateete'!C52,'25.07 Nakawuka-Nateete'!C52,'26.07 Nakawuka-Nateete-24h'!C52,'27.07 Nakawuka-Nateete-24h'!C52,'28.07 Nakawuka-Nateete'!C52)</f>
        <v>19</v>
      </c>
      <c r="D52" s="49">
        <f>AVERAGE('22.07 Nakawuka-Nateete'!D52,'23.07 Nakawuka-Nateete'!D52,'24.07 Nakawuka-Nateete'!D52,'25.07 Nakawuka-Nateete'!D52,'26.07 Nakawuka-Nateete-24h'!D52,'27.07 Nakawuka-Nateete-24h'!D52,'28.07 Nakawuka-Nateete'!D52)</f>
        <v>9.8571428571428577</v>
      </c>
      <c r="E52" s="49">
        <f>AVERAGE('22.07 Nakawuka-Nateete'!E52,'23.07 Nakawuka-Nateete'!E52,'24.07 Nakawuka-Nateete'!E52,'25.07 Nakawuka-Nateete'!E52,'26.07 Nakawuka-Nateete-24h'!E52,'27.07 Nakawuka-Nateete-24h'!E52,'28.07 Nakawuka-Nateete'!E52)</f>
        <v>5.8571428571428568</v>
      </c>
      <c r="F52" s="49">
        <f>AVERAGE('22.07 Nakawuka-Nateete'!F52,'23.07 Nakawuka-Nateete'!F52,'24.07 Nakawuka-Nateete'!F52,'25.07 Nakawuka-Nateete'!F52,'26.07 Nakawuka-Nateete-24h'!F52,'27.07 Nakawuka-Nateete-24h'!F52,'28.07 Nakawuka-Nateete'!F52)</f>
        <v>15.285714285714286</v>
      </c>
      <c r="G52" s="49">
        <f>AVERAGE('22.07 Nakawuka-Nateete'!G52,'23.07 Nakawuka-Nateete'!G52,'24.07 Nakawuka-Nateete'!G52,'25.07 Nakawuka-Nateete'!G52,'26.07 Nakawuka-Nateete-24h'!G52,'27.07 Nakawuka-Nateete-24h'!G52,'28.07 Nakawuka-Nateete'!G52)</f>
        <v>0.2857142857142857</v>
      </c>
      <c r="H52" s="49">
        <f>AVERAGE('22.07 Nakawuka-Nateete'!H52,'23.07 Nakawuka-Nateete'!H52,'24.07 Nakawuka-Nateete'!H52,'25.07 Nakawuka-Nateete'!H52,'26.07 Nakawuka-Nateete-24h'!H52,'27.07 Nakawuka-Nateete-24h'!H52,'28.07 Nakawuka-Nateete'!H52)</f>
        <v>0</v>
      </c>
      <c r="I52" s="49">
        <f>AVERAGE('22.07 Nakawuka-Nateete'!I52,'23.07 Nakawuka-Nateete'!I52,'24.07 Nakawuka-Nateete'!I52,'25.07 Nakawuka-Nateete'!I52,'26.07 Nakawuka-Nateete-24h'!I52,'27.07 Nakawuka-Nateete-24h'!I52,'28.07 Nakawuka-Nateete'!I52)</f>
        <v>6.8571428571428568</v>
      </c>
      <c r="J52" s="49">
        <f>AVERAGE('22.07 Nakawuka-Nateete'!J52,'23.07 Nakawuka-Nateete'!J52,'24.07 Nakawuka-Nateete'!J52,'25.07 Nakawuka-Nateete'!J52,'26.07 Nakawuka-Nateete-24h'!J52,'27.07 Nakawuka-Nateete-24h'!J52,'28.07 Nakawuka-Nateete'!J52)</f>
        <v>2.4285714285714284</v>
      </c>
      <c r="K52" s="49">
        <f>AVERAGE('22.07 Nakawuka-Nateete'!K52,'23.07 Nakawuka-Nateete'!K52,'24.07 Nakawuka-Nateete'!K52,'25.07 Nakawuka-Nateete'!K52,'26.07 Nakawuka-Nateete-24h'!K52,'27.07 Nakawuka-Nateete-24h'!K52,'28.07 Nakawuka-Nateete'!K52)</f>
        <v>0.14285714285714285</v>
      </c>
      <c r="L52" s="49">
        <f>AVERAGE('22.07 Nakawuka-Nateete'!L52,'23.07 Nakawuka-Nateete'!L52,'24.07 Nakawuka-Nateete'!L52,'25.07 Nakawuka-Nateete'!L52,'26.07 Nakawuka-Nateete-24h'!L52,'27.07 Nakawuka-Nateete-24h'!L52,'28.07 Nakawuka-Nateete'!L52)</f>
        <v>0.2857142857142857</v>
      </c>
      <c r="M52" s="49">
        <f>AVERAGE('22.07 Nakawuka-Nateete'!M52,'23.07 Nakawuka-Nateete'!M52,'24.07 Nakawuka-Nateete'!M52,'25.07 Nakawuka-Nateete'!M52,'26.07 Nakawuka-Nateete-24h'!M52,'27.07 Nakawuka-Nateete-24h'!M52,'28.07 Nakawuka-Nateete'!M52)</f>
        <v>97.857142857142861</v>
      </c>
      <c r="N52" s="49">
        <f>AVERAGE('22.07 Nakawuka-Nateete'!N52,'23.07 Nakawuka-Nateete'!N52,'24.07 Nakawuka-Nateete'!N52,'25.07 Nakawuka-Nateete'!N52,'26.07 Nakawuka-Nateete-24h'!N52,'27.07 Nakawuka-Nateete-24h'!N52,'28.07 Nakawuka-Nateete'!N52)</f>
        <v>0</v>
      </c>
      <c r="O52" s="31">
        <f t="shared" si="0"/>
        <v>60</v>
      </c>
      <c r="P52" s="31">
        <f t="shared" si="1"/>
        <v>157.85714285714286</v>
      </c>
      <c r="R52" s="8"/>
      <c r="T52"/>
    </row>
    <row r="53" spans="2:20" ht="23.1" customHeight="1" x14ac:dyDescent="0.25">
      <c r="B53" s="23" t="s">
        <v>80</v>
      </c>
      <c r="C53" s="49">
        <f>AVERAGE('22.07 Nakawuka-Nateete'!C53,'23.07 Nakawuka-Nateete'!C53,'24.07 Nakawuka-Nateete'!C53,'25.07 Nakawuka-Nateete'!C53,'26.07 Nakawuka-Nateete-24h'!C53,'27.07 Nakawuka-Nateete-24h'!C53,'28.07 Nakawuka-Nateete'!C53)</f>
        <v>17.571428571428573</v>
      </c>
      <c r="D53" s="49">
        <f>AVERAGE('22.07 Nakawuka-Nateete'!D53,'23.07 Nakawuka-Nateete'!D53,'24.07 Nakawuka-Nateete'!D53,'25.07 Nakawuka-Nateete'!D53,'26.07 Nakawuka-Nateete-24h'!D53,'27.07 Nakawuka-Nateete-24h'!D53,'28.07 Nakawuka-Nateete'!D53)</f>
        <v>9.7142857142857135</v>
      </c>
      <c r="E53" s="49">
        <f>AVERAGE('22.07 Nakawuka-Nateete'!E53,'23.07 Nakawuka-Nateete'!E53,'24.07 Nakawuka-Nateete'!E53,'25.07 Nakawuka-Nateete'!E53,'26.07 Nakawuka-Nateete-24h'!E53,'27.07 Nakawuka-Nateete-24h'!E53,'28.07 Nakawuka-Nateete'!E53)</f>
        <v>5.8571428571428568</v>
      </c>
      <c r="F53" s="49">
        <f>AVERAGE('22.07 Nakawuka-Nateete'!F53,'23.07 Nakawuka-Nateete'!F53,'24.07 Nakawuka-Nateete'!F53,'25.07 Nakawuka-Nateete'!F53,'26.07 Nakawuka-Nateete-24h'!F53,'27.07 Nakawuka-Nateete-24h'!F53,'28.07 Nakawuka-Nateete'!F53)</f>
        <v>13.285714285714286</v>
      </c>
      <c r="G53" s="49">
        <f>AVERAGE('22.07 Nakawuka-Nateete'!G53,'23.07 Nakawuka-Nateete'!G53,'24.07 Nakawuka-Nateete'!G53,'25.07 Nakawuka-Nateete'!G53,'26.07 Nakawuka-Nateete-24h'!G53,'27.07 Nakawuka-Nateete-24h'!G53,'28.07 Nakawuka-Nateete'!G53)</f>
        <v>0.42857142857142855</v>
      </c>
      <c r="H53" s="49">
        <f>AVERAGE('22.07 Nakawuka-Nateete'!H53,'23.07 Nakawuka-Nateete'!H53,'24.07 Nakawuka-Nateete'!H53,'25.07 Nakawuka-Nateete'!H53,'26.07 Nakawuka-Nateete-24h'!H53,'27.07 Nakawuka-Nateete-24h'!H53,'28.07 Nakawuka-Nateete'!H53)</f>
        <v>0.14285714285714285</v>
      </c>
      <c r="I53" s="49">
        <f>AVERAGE('22.07 Nakawuka-Nateete'!I53,'23.07 Nakawuka-Nateete'!I53,'24.07 Nakawuka-Nateete'!I53,'25.07 Nakawuka-Nateete'!I53,'26.07 Nakawuka-Nateete-24h'!I53,'27.07 Nakawuka-Nateete-24h'!I53,'28.07 Nakawuka-Nateete'!I53)</f>
        <v>5.2857142857142856</v>
      </c>
      <c r="J53" s="49">
        <f>AVERAGE('22.07 Nakawuka-Nateete'!J53,'23.07 Nakawuka-Nateete'!J53,'24.07 Nakawuka-Nateete'!J53,'25.07 Nakawuka-Nateete'!J53,'26.07 Nakawuka-Nateete-24h'!J53,'27.07 Nakawuka-Nateete-24h'!J53,'28.07 Nakawuka-Nateete'!J53)</f>
        <v>5.7142857142857144</v>
      </c>
      <c r="K53" s="49">
        <f>AVERAGE('22.07 Nakawuka-Nateete'!K53,'23.07 Nakawuka-Nateete'!K53,'24.07 Nakawuka-Nateete'!K53,'25.07 Nakawuka-Nateete'!K53,'26.07 Nakawuka-Nateete-24h'!K53,'27.07 Nakawuka-Nateete-24h'!K53,'28.07 Nakawuka-Nateete'!K53)</f>
        <v>0.42857142857142855</v>
      </c>
      <c r="L53" s="49">
        <f>AVERAGE('22.07 Nakawuka-Nateete'!L53,'23.07 Nakawuka-Nateete'!L53,'24.07 Nakawuka-Nateete'!L53,'25.07 Nakawuka-Nateete'!L53,'26.07 Nakawuka-Nateete-24h'!L53,'27.07 Nakawuka-Nateete-24h'!L53,'28.07 Nakawuka-Nateete'!L53)</f>
        <v>0.7142857142857143</v>
      </c>
      <c r="M53" s="49">
        <f>AVERAGE('22.07 Nakawuka-Nateete'!M53,'23.07 Nakawuka-Nateete'!M53,'24.07 Nakawuka-Nateete'!M53,'25.07 Nakawuka-Nateete'!M53,'26.07 Nakawuka-Nateete-24h'!M53,'27.07 Nakawuka-Nateete-24h'!M53,'28.07 Nakawuka-Nateete'!M53)</f>
        <v>118.57142857142857</v>
      </c>
      <c r="N53" s="49">
        <f>AVERAGE('22.07 Nakawuka-Nateete'!N53,'23.07 Nakawuka-Nateete'!N53,'24.07 Nakawuka-Nateete'!N53,'25.07 Nakawuka-Nateete'!N53,'26.07 Nakawuka-Nateete-24h'!N53,'27.07 Nakawuka-Nateete-24h'!N53,'28.07 Nakawuka-Nateete'!N53)</f>
        <v>0</v>
      </c>
      <c r="O53" s="31">
        <f t="shared" si="0"/>
        <v>59.142857142857146</v>
      </c>
      <c r="P53" s="31">
        <f t="shared" si="1"/>
        <v>177.71428571428572</v>
      </c>
      <c r="R53" s="8"/>
      <c r="T53"/>
    </row>
    <row r="54" spans="2:20" ht="23.1" customHeight="1" x14ac:dyDescent="0.25">
      <c r="B54" s="23" t="s">
        <v>81</v>
      </c>
      <c r="C54" s="49">
        <f>AVERAGE('22.07 Nakawuka-Nateete'!C54,'23.07 Nakawuka-Nateete'!C54,'24.07 Nakawuka-Nateete'!C54,'25.07 Nakawuka-Nateete'!C54,'26.07 Nakawuka-Nateete-24h'!C54,'27.07 Nakawuka-Nateete-24h'!C54,'28.07 Nakawuka-Nateete'!C54)</f>
        <v>14.714285714285714</v>
      </c>
      <c r="D54" s="49">
        <f>AVERAGE('22.07 Nakawuka-Nateete'!D54,'23.07 Nakawuka-Nateete'!D54,'24.07 Nakawuka-Nateete'!D54,'25.07 Nakawuka-Nateete'!D54,'26.07 Nakawuka-Nateete-24h'!D54,'27.07 Nakawuka-Nateete-24h'!D54,'28.07 Nakawuka-Nateete'!D54)</f>
        <v>6.8571428571428568</v>
      </c>
      <c r="E54" s="49">
        <f>AVERAGE('22.07 Nakawuka-Nateete'!E54,'23.07 Nakawuka-Nateete'!E54,'24.07 Nakawuka-Nateete'!E54,'25.07 Nakawuka-Nateete'!E54,'26.07 Nakawuka-Nateete-24h'!E54,'27.07 Nakawuka-Nateete-24h'!E54,'28.07 Nakawuka-Nateete'!E54)</f>
        <v>4.4285714285714288</v>
      </c>
      <c r="F54" s="49">
        <f>AVERAGE('22.07 Nakawuka-Nateete'!F54,'23.07 Nakawuka-Nateete'!F54,'24.07 Nakawuka-Nateete'!F54,'25.07 Nakawuka-Nateete'!F54,'26.07 Nakawuka-Nateete-24h'!F54,'27.07 Nakawuka-Nateete-24h'!F54,'28.07 Nakawuka-Nateete'!F54)</f>
        <v>17.428571428571427</v>
      </c>
      <c r="G54" s="49">
        <f>AVERAGE('22.07 Nakawuka-Nateete'!G54,'23.07 Nakawuka-Nateete'!G54,'24.07 Nakawuka-Nateete'!G54,'25.07 Nakawuka-Nateete'!G54,'26.07 Nakawuka-Nateete-24h'!G54,'27.07 Nakawuka-Nateete-24h'!G54,'28.07 Nakawuka-Nateete'!G54)</f>
        <v>0.5714285714285714</v>
      </c>
      <c r="H54" s="49">
        <f>AVERAGE('22.07 Nakawuka-Nateete'!H54,'23.07 Nakawuka-Nateete'!H54,'24.07 Nakawuka-Nateete'!H54,'25.07 Nakawuka-Nateete'!H54,'26.07 Nakawuka-Nateete-24h'!H54,'27.07 Nakawuka-Nateete-24h'!H54,'28.07 Nakawuka-Nateete'!H54)</f>
        <v>0.14285714285714285</v>
      </c>
      <c r="I54" s="49">
        <f>AVERAGE('22.07 Nakawuka-Nateete'!I54,'23.07 Nakawuka-Nateete'!I54,'24.07 Nakawuka-Nateete'!I54,'25.07 Nakawuka-Nateete'!I54,'26.07 Nakawuka-Nateete-24h'!I54,'27.07 Nakawuka-Nateete-24h'!I54,'28.07 Nakawuka-Nateete'!I54)</f>
        <v>4.5714285714285712</v>
      </c>
      <c r="J54" s="49">
        <f>AVERAGE('22.07 Nakawuka-Nateete'!J54,'23.07 Nakawuka-Nateete'!J54,'24.07 Nakawuka-Nateete'!J54,'25.07 Nakawuka-Nateete'!J54,'26.07 Nakawuka-Nateete-24h'!J54,'27.07 Nakawuka-Nateete-24h'!J54,'28.07 Nakawuka-Nateete'!J54)</f>
        <v>4.5714285714285712</v>
      </c>
      <c r="K54" s="49">
        <f>AVERAGE('22.07 Nakawuka-Nateete'!K54,'23.07 Nakawuka-Nateete'!K54,'24.07 Nakawuka-Nateete'!K54,'25.07 Nakawuka-Nateete'!K54,'26.07 Nakawuka-Nateete-24h'!K54,'27.07 Nakawuka-Nateete-24h'!K54,'28.07 Nakawuka-Nateete'!K54)</f>
        <v>0.42857142857142855</v>
      </c>
      <c r="L54" s="49">
        <f>AVERAGE('22.07 Nakawuka-Nateete'!L54,'23.07 Nakawuka-Nateete'!L54,'24.07 Nakawuka-Nateete'!L54,'25.07 Nakawuka-Nateete'!L54,'26.07 Nakawuka-Nateete-24h'!L54,'27.07 Nakawuka-Nateete-24h'!L54,'28.07 Nakawuka-Nateete'!L54)</f>
        <v>0.42857142857142855</v>
      </c>
      <c r="M54" s="49">
        <f>AVERAGE('22.07 Nakawuka-Nateete'!M54,'23.07 Nakawuka-Nateete'!M54,'24.07 Nakawuka-Nateete'!M54,'25.07 Nakawuka-Nateete'!M54,'26.07 Nakawuka-Nateete-24h'!M54,'27.07 Nakawuka-Nateete-24h'!M54,'28.07 Nakawuka-Nateete'!M54)</f>
        <v>115.57142857142857</v>
      </c>
      <c r="N54" s="49">
        <f>AVERAGE('22.07 Nakawuka-Nateete'!N54,'23.07 Nakawuka-Nateete'!N54,'24.07 Nakawuka-Nateete'!N54,'25.07 Nakawuka-Nateete'!N54,'26.07 Nakawuka-Nateete-24h'!N54,'27.07 Nakawuka-Nateete-24h'!N54,'28.07 Nakawuka-Nateete'!N54)</f>
        <v>0</v>
      </c>
      <c r="O54" s="31">
        <f t="shared" si="0"/>
        <v>54.142857142857146</v>
      </c>
      <c r="P54" s="31">
        <f t="shared" si="1"/>
        <v>169.71428571428572</v>
      </c>
      <c r="R54" s="8"/>
      <c r="T54"/>
    </row>
    <row r="55" spans="2:20" ht="23.1" customHeight="1" x14ac:dyDescent="0.25">
      <c r="B55" s="23" t="s">
        <v>82</v>
      </c>
      <c r="C55" s="49">
        <f>AVERAGE('22.07 Nakawuka-Nateete'!C55,'23.07 Nakawuka-Nateete'!C55,'24.07 Nakawuka-Nateete'!C55,'25.07 Nakawuka-Nateete'!C55,'26.07 Nakawuka-Nateete-24h'!C55,'27.07 Nakawuka-Nateete-24h'!C55,'28.07 Nakawuka-Nateete'!C55)</f>
        <v>10.571428571428571</v>
      </c>
      <c r="D55" s="49">
        <f>AVERAGE('22.07 Nakawuka-Nateete'!D55,'23.07 Nakawuka-Nateete'!D55,'24.07 Nakawuka-Nateete'!D55,'25.07 Nakawuka-Nateete'!D55,'26.07 Nakawuka-Nateete-24h'!D55,'27.07 Nakawuka-Nateete-24h'!D55,'28.07 Nakawuka-Nateete'!D55)</f>
        <v>7</v>
      </c>
      <c r="E55" s="49">
        <f>AVERAGE('22.07 Nakawuka-Nateete'!E55,'23.07 Nakawuka-Nateete'!E55,'24.07 Nakawuka-Nateete'!E55,'25.07 Nakawuka-Nateete'!E55,'26.07 Nakawuka-Nateete-24h'!E55,'27.07 Nakawuka-Nateete-24h'!E55,'28.07 Nakawuka-Nateete'!E55)</f>
        <v>4.8571428571428568</v>
      </c>
      <c r="F55" s="49">
        <f>AVERAGE('22.07 Nakawuka-Nateete'!F55,'23.07 Nakawuka-Nateete'!F55,'24.07 Nakawuka-Nateete'!F55,'25.07 Nakawuka-Nateete'!F55,'26.07 Nakawuka-Nateete-24h'!F55,'27.07 Nakawuka-Nateete-24h'!F55,'28.07 Nakawuka-Nateete'!F55)</f>
        <v>15.571428571428571</v>
      </c>
      <c r="G55" s="49">
        <f>AVERAGE('22.07 Nakawuka-Nateete'!G55,'23.07 Nakawuka-Nateete'!G55,'24.07 Nakawuka-Nateete'!G55,'25.07 Nakawuka-Nateete'!G55,'26.07 Nakawuka-Nateete-24h'!G55,'27.07 Nakawuka-Nateete-24h'!G55,'28.07 Nakawuka-Nateete'!G55)</f>
        <v>1.2857142857142858</v>
      </c>
      <c r="H55" s="49">
        <f>AVERAGE('22.07 Nakawuka-Nateete'!H55,'23.07 Nakawuka-Nateete'!H55,'24.07 Nakawuka-Nateete'!H55,'25.07 Nakawuka-Nateete'!H55,'26.07 Nakawuka-Nateete-24h'!H55,'27.07 Nakawuka-Nateete-24h'!H55,'28.07 Nakawuka-Nateete'!H55)</f>
        <v>0</v>
      </c>
      <c r="I55" s="49">
        <f>AVERAGE('22.07 Nakawuka-Nateete'!I55,'23.07 Nakawuka-Nateete'!I55,'24.07 Nakawuka-Nateete'!I55,'25.07 Nakawuka-Nateete'!I55,'26.07 Nakawuka-Nateete-24h'!I55,'27.07 Nakawuka-Nateete-24h'!I55,'28.07 Nakawuka-Nateete'!I55)</f>
        <v>3.8571428571428572</v>
      </c>
      <c r="J55" s="49">
        <f>AVERAGE('22.07 Nakawuka-Nateete'!J55,'23.07 Nakawuka-Nateete'!J55,'24.07 Nakawuka-Nateete'!J55,'25.07 Nakawuka-Nateete'!J55,'26.07 Nakawuka-Nateete-24h'!J55,'27.07 Nakawuka-Nateete-24h'!J55,'28.07 Nakawuka-Nateete'!J55)</f>
        <v>2.7142857142857144</v>
      </c>
      <c r="K55" s="49">
        <f>AVERAGE('22.07 Nakawuka-Nateete'!K55,'23.07 Nakawuka-Nateete'!K55,'24.07 Nakawuka-Nateete'!K55,'25.07 Nakawuka-Nateete'!K55,'26.07 Nakawuka-Nateete-24h'!K55,'27.07 Nakawuka-Nateete-24h'!K55,'28.07 Nakawuka-Nateete'!K55)</f>
        <v>0.42857142857142855</v>
      </c>
      <c r="L55" s="49">
        <f>AVERAGE('22.07 Nakawuka-Nateete'!L55,'23.07 Nakawuka-Nateete'!L55,'24.07 Nakawuka-Nateete'!L55,'25.07 Nakawuka-Nateete'!L55,'26.07 Nakawuka-Nateete-24h'!L55,'27.07 Nakawuka-Nateete-24h'!L55,'28.07 Nakawuka-Nateete'!L55)</f>
        <v>0.2857142857142857</v>
      </c>
      <c r="M55" s="49">
        <f>AVERAGE('22.07 Nakawuka-Nateete'!M55,'23.07 Nakawuka-Nateete'!M55,'24.07 Nakawuka-Nateete'!M55,'25.07 Nakawuka-Nateete'!M55,'26.07 Nakawuka-Nateete-24h'!M55,'27.07 Nakawuka-Nateete-24h'!M55,'28.07 Nakawuka-Nateete'!M55)</f>
        <v>115</v>
      </c>
      <c r="N55" s="49">
        <f>AVERAGE('22.07 Nakawuka-Nateete'!N55,'23.07 Nakawuka-Nateete'!N55,'24.07 Nakawuka-Nateete'!N55,'25.07 Nakawuka-Nateete'!N55,'26.07 Nakawuka-Nateete-24h'!N55,'27.07 Nakawuka-Nateete-24h'!N55,'28.07 Nakawuka-Nateete'!N55)</f>
        <v>0</v>
      </c>
      <c r="O55" s="31">
        <f t="shared" si="0"/>
        <v>46.571428571428569</v>
      </c>
      <c r="P55" s="31">
        <f t="shared" si="1"/>
        <v>161.57142857142856</v>
      </c>
      <c r="R55" s="8"/>
      <c r="T55"/>
    </row>
    <row r="56" spans="2:20" ht="23.1" customHeight="1" x14ac:dyDescent="0.25">
      <c r="B56" s="23" t="s">
        <v>83</v>
      </c>
      <c r="C56" s="49">
        <f>AVERAGE('22.07 Nakawuka-Nateete'!C56,'23.07 Nakawuka-Nateete'!C56,'24.07 Nakawuka-Nateete'!C56,'25.07 Nakawuka-Nateete'!C56,'26.07 Nakawuka-Nateete-24h'!C56,'27.07 Nakawuka-Nateete-24h'!C56,'28.07 Nakawuka-Nateete'!C56)</f>
        <v>14</v>
      </c>
      <c r="D56" s="49">
        <f>AVERAGE('22.07 Nakawuka-Nateete'!D56,'23.07 Nakawuka-Nateete'!D56,'24.07 Nakawuka-Nateete'!D56,'25.07 Nakawuka-Nateete'!D56,'26.07 Nakawuka-Nateete-24h'!D56,'27.07 Nakawuka-Nateete-24h'!D56,'28.07 Nakawuka-Nateete'!D56)</f>
        <v>6.1428571428571432</v>
      </c>
      <c r="E56" s="49">
        <f>AVERAGE('22.07 Nakawuka-Nateete'!E56,'23.07 Nakawuka-Nateete'!E56,'24.07 Nakawuka-Nateete'!E56,'25.07 Nakawuka-Nateete'!E56,'26.07 Nakawuka-Nateete-24h'!E56,'27.07 Nakawuka-Nateete-24h'!E56,'28.07 Nakawuka-Nateete'!E56)</f>
        <v>4.8571428571428568</v>
      </c>
      <c r="F56" s="49">
        <f>AVERAGE('22.07 Nakawuka-Nateete'!F56,'23.07 Nakawuka-Nateete'!F56,'24.07 Nakawuka-Nateete'!F56,'25.07 Nakawuka-Nateete'!F56,'26.07 Nakawuka-Nateete-24h'!F56,'27.07 Nakawuka-Nateete-24h'!F56,'28.07 Nakawuka-Nateete'!F56)</f>
        <v>14.285714285714286</v>
      </c>
      <c r="G56" s="49">
        <f>AVERAGE('22.07 Nakawuka-Nateete'!G56,'23.07 Nakawuka-Nateete'!G56,'24.07 Nakawuka-Nateete'!G56,'25.07 Nakawuka-Nateete'!G56,'26.07 Nakawuka-Nateete-24h'!G56,'27.07 Nakawuka-Nateete-24h'!G56,'28.07 Nakawuka-Nateete'!G56)</f>
        <v>0.8571428571428571</v>
      </c>
      <c r="H56" s="49">
        <f>AVERAGE('22.07 Nakawuka-Nateete'!H56,'23.07 Nakawuka-Nateete'!H56,'24.07 Nakawuka-Nateete'!H56,'25.07 Nakawuka-Nateete'!H56,'26.07 Nakawuka-Nateete-24h'!H56,'27.07 Nakawuka-Nateete-24h'!H56,'28.07 Nakawuka-Nateete'!H56)</f>
        <v>0</v>
      </c>
      <c r="I56" s="49">
        <f>AVERAGE('22.07 Nakawuka-Nateete'!I56,'23.07 Nakawuka-Nateete'!I56,'24.07 Nakawuka-Nateete'!I56,'25.07 Nakawuka-Nateete'!I56,'26.07 Nakawuka-Nateete-24h'!I56,'27.07 Nakawuka-Nateete-24h'!I56,'28.07 Nakawuka-Nateete'!I56)</f>
        <v>3</v>
      </c>
      <c r="J56" s="49">
        <f>AVERAGE('22.07 Nakawuka-Nateete'!J56,'23.07 Nakawuka-Nateete'!J56,'24.07 Nakawuka-Nateete'!J56,'25.07 Nakawuka-Nateete'!J56,'26.07 Nakawuka-Nateete-24h'!J56,'27.07 Nakawuka-Nateete-24h'!J56,'28.07 Nakawuka-Nateete'!J56)</f>
        <v>1.7142857142857142</v>
      </c>
      <c r="K56" s="49">
        <f>AVERAGE('22.07 Nakawuka-Nateete'!K56,'23.07 Nakawuka-Nateete'!K56,'24.07 Nakawuka-Nateete'!K56,'25.07 Nakawuka-Nateete'!K56,'26.07 Nakawuka-Nateete-24h'!K56,'27.07 Nakawuka-Nateete-24h'!K56,'28.07 Nakawuka-Nateete'!K56)</f>
        <v>0.42857142857142855</v>
      </c>
      <c r="L56" s="49">
        <f>AVERAGE('22.07 Nakawuka-Nateete'!L56,'23.07 Nakawuka-Nateete'!L56,'24.07 Nakawuka-Nateete'!L56,'25.07 Nakawuka-Nateete'!L56,'26.07 Nakawuka-Nateete-24h'!L56,'27.07 Nakawuka-Nateete-24h'!L56,'28.07 Nakawuka-Nateete'!L56)</f>
        <v>0.42857142857142855</v>
      </c>
      <c r="M56" s="49">
        <f>AVERAGE('22.07 Nakawuka-Nateete'!M56,'23.07 Nakawuka-Nateete'!M56,'24.07 Nakawuka-Nateete'!M56,'25.07 Nakawuka-Nateete'!M56,'26.07 Nakawuka-Nateete-24h'!M56,'27.07 Nakawuka-Nateete-24h'!M56,'28.07 Nakawuka-Nateete'!M56)</f>
        <v>121.14285714285714</v>
      </c>
      <c r="N56" s="49">
        <f>AVERAGE('22.07 Nakawuka-Nateete'!N56,'23.07 Nakawuka-Nateete'!N56,'24.07 Nakawuka-Nateete'!N56,'25.07 Nakawuka-Nateete'!N56,'26.07 Nakawuka-Nateete-24h'!N56,'27.07 Nakawuka-Nateete-24h'!N56,'28.07 Nakawuka-Nateete'!N56)</f>
        <v>0</v>
      </c>
      <c r="O56" s="31">
        <f t="shared" si="0"/>
        <v>45.714285714285715</v>
      </c>
      <c r="P56" s="31">
        <f t="shared" si="1"/>
        <v>166.85714285714286</v>
      </c>
      <c r="R56" s="8"/>
      <c r="T56"/>
    </row>
    <row r="57" spans="2:20" ht="23.1" customHeight="1" x14ac:dyDescent="0.25">
      <c r="B57" s="23" t="s">
        <v>84</v>
      </c>
      <c r="C57" s="49">
        <f>AVERAGE('22.07 Nakawuka-Nateete'!C57,'23.07 Nakawuka-Nateete'!C57,'24.07 Nakawuka-Nateete'!C57,'25.07 Nakawuka-Nateete'!C57,'26.07 Nakawuka-Nateete-24h'!C57,'27.07 Nakawuka-Nateete-24h'!C57,'28.07 Nakawuka-Nateete'!C57)</f>
        <v>14</v>
      </c>
      <c r="D57" s="49">
        <f>AVERAGE('22.07 Nakawuka-Nateete'!D57,'23.07 Nakawuka-Nateete'!D57,'24.07 Nakawuka-Nateete'!D57,'25.07 Nakawuka-Nateete'!D57,'26.07 Nakawuka-Nateete-24h'!D57,'27.07 Nakawuka-Nateete-24h'!D57,'28.07 Nakawuka-Nateete'!D57)</f>
        <v>7.7142857142857144</v>
      </c>
      <c r="E57" s="49">
        <f>AVERAGE('22.07 Nakawuka-Nateete'!E57,'23.07 Nakawuka-Nateete'!E57,'24.07 Nakawuka-Nateete'!E57,'25.07 Nakawuka-Nateete'!E57,'26.07 Nakawuka-Nateete-24h'!E57,'27.07 Nakawuka-Nateete-24h'!E57,'28.07 Nakawuka-Nateete'!E57)</f>
        <v>3.1428571428571428</v>
      </c>
      <c r="F57" s="49">
        <f>AVERAGE('22.07 Nakawuka-Nateete'!F57,'23.07 Nakawuka-Nateete'!F57,'24.07 Nakawuka-Nateete'!F57,'25.07 Nakawuka-Nateete'!F57,'26.07 Nakawuka-Nateete-24h'!F57,'27.07 Nakawuka-Nateete-24h'!F57,'28.07 Nakawuka-Nateete'!F57)</f>
        <v>17.857142857142858</v>
      </c>
      <c r="G57" s="49">
        <f>AVERAGE('22.07 Nakawuka-Nateete'!G57,'23.07 Nakawuka-Nateete'!G57,'24.07 Nakawuka-Nateete'!G57,'25.07 Nakawuka-Nateete'!G57,'26.07 Nakawuka-Nateete-24h'!G57,'27.07 Nakawuka-Nateete-24h'!G57,'28.07 Nakawuka-Nateete'!G57)</f>
        <v>0.7142857142857143</v>
      </c>
      <c r="H57" s="49">
        <f>AVERAGE('22.07 Nakawuka-Nateete'!H57,'23.07 Nakawuka-Nateete'!H57,'24.07 Nakawuka-Nateete'!H57,'25.07 Nakawuka-Nateete'!H57,'26.07 Nakawuka-Nateete-24h'!H57,'27.07 Nakawuka-Nateete-24h'!H57,'28.07 Nakawuka-Nateete'!H57)</f>
        <v>0</v>
      </c>
      <c r="I57" s="49">
        <f>AVERAGE('22.07 Nakawuka-Nateete'!I57,'23.07 Nakawuka-Nateete'!I57,'24.07 Nakawuka-Nateete'!I57,'25.07 Nakawuka-Nateete'!I57,'26.07 Nakawuka-Nateete-24h'!I57,'27.07 Nakawuka-Nateete-24h'!I57,'28.07 Nakawuka-Nateete'!I57)</f>
        <v>2.4285714285714284</v>
      </c>
      <c r="J57" s="49">
        <f>AVERAGE('22.07 Nakawuka-Nateete'!J57,'23.07 Nakawuka-Nateete'!J57,'24.07 Nakawuka-Nateete'!J57,'25.07 Nakawuka-Nateete'!J57,'26.07 Nakawuka-Nateete-24h'!J57,'27.07 Nakawuka-Nateete-24h'!J57,'28.07 Nakawuka-Nateete'!J57)</f>
        <v>3.5714285714285716</v>
      </c>
      <c r="K57" s="49">
        <f>AVERAGE('22.07 Nakawuka-Nateete'!K57,'23.07 Nakawuka-Nateete'!K57,'24.07 Nakawuka-Nateete'!K57,'25.07 Nakawuka-Nateete'!K57,'26.07 Nakawuka-Nateete-24h'!K57,'27.07 Nakawuka-Nateete-24h'!K57,'28.07 Nakawuka-Nateete'!K57)</f>
        <v>0.42857142857142855</v>
      </c>
      <c r="L57" s="49">
        <f>AVERAGE('22.07 Nakawuka-Nateete'!L57,'23.07 Nakawuka-Nateete'!L57,'24.07 Nakawuka-Nateete'!L57,'25.07 Nakawuka-Nateete'!L57,'26.07 Nakawuka-Nateete-24h'!L57,'27.07 Nakawuka-Nateete-24h'!L57,'28.07 Nakawuka-Nateete'!L57)</f>
        <v>0.2857142857142857</v>
      </c>
      <c r="M57" s="49">
        <f>AVERAGE('22.07 Nakawuka-Nateete'!M57,'23.07 Nakawuka-Nateete'!M57,'24.07 Nakawuka-Nateete'!M57,'25.07 Nakawuka-Nateete'!M57,'26.07 Nakawuka-Nateete-24h'!M57,'27.07 Nakawuka-Nateete-24h'!M57,'28.07 Nakawuka-Nateete'!M57)</f>
        <v>122.85714285714286</v>
      </c>
      <c r="N57" s="49">
        <f>AVERAGE('22.07 Nakawuka-Nateete'!N57,'23.07 Nakawuka-Nateete'!N57,'24.07 Nakawuka-Nateete'!N57,'25.07 Nakawuka-Nateete'!N57,'26.07 Nakawuka-Nateete-24h'!N57,'27.07 Nakawuka-Nateete-24h'!N57,'28.07 Nakawuka-Nateete'!N57)</f>
        <v>0</v>
      </c>
      <c r="O57" s="31">
        <f t="shared" si="0"/>
        <v>50.142857142857146</v>
      </c>
      <c r="P57" s="31">
        <f t="shared" si="1"/>
        <v>173</v>
      </c>
      <c r="R57" s="8"/>
      <c r="T57"/>
    </row>
    <row r="58" spans="2:20" ht="23.1" customHeight="1" x14ac:dyDescent="0.25">
      <c r="B58" s="23" t="s">
        <v>99</v>
      </c>
      <c r="C58" s="49">
        <f>AVERAGE('26.07 Nakawuka-Nateete-24h'!C58,'27.07 Nakawuka-Nateete-24h'!C58)</f>
        <v>17</v>
      </c>
      <c r="D58" s="49">
        <f>AVERAGE('26.07 Nakawuka-Nateete-24h'!D58,'27.07 Nakawuka-Nateete-24h'!D58)</f>
        <v>8.5</v>
      </c>
      <c r="E58" s="49">
        <f>AVERAGE('26.07 Nakawuka-Nateete-24h'!E58,'27.07 Nakawuka-Nateete-24h'!E58)</f>
        <v>6.5</v>
      </c>
      <c r="F58" s="49">
        <f>AVERAGE('26.07 Nakawuka-Nateete-24h'!F58,'27.07 Nakawuka-Nateete-24h'!F58)</f>
        <v>18.5</v>
      </c>
      <c r="G58" s="49">
        <f>AVERAGE('26.07 Nakawuka-Nateete-24h'!G58,'27.07 Nakawuka-Nateete-24h'!G58)</f>
        <v>2</v>
      </c>
      <c r="H58" s="49">
        <f>AVERAGE('26.07 Nakawuka-Nateete-24h'!H58,'27.07 Nakawuka-Nateete-24h'!H58)</f>
        <v>0</v>
      </c>
      <c r="I58" s="49">
        <f>AVERAGE('26.07 Nakawuka-Nateete-24h'!I58,'27.07 Nakawuka-Nateete-24h'!I58)</f>
        <v>4</v>
      </c>
      <c r="J58" s="49">
        <f>AVERAGE('26.07 Nakawuka-Nateete-24h'!J58,'27.07 Nakawuka-Nateete-24h'!J58)</f>
        <v>1.5</v>
      </c>
      <c r="K58" s="49">
        <f>AVERAGE('26.07 Nakawuka-Nateete-24h'!K58,'27.07 Nakawuka-Nateete-24h'!K58)</f>
        <v>0</v>
      </c>
      <c r="L58" s="49">
        <f>AVERAGE('26.07 Nakawuka-Nateete-24h'!L58,'27.07 Nakawuka-Nateete-24h'!L58)</f>
        <v>0</v>
      </c>
      <c r="M58" s="49">
        <f>AVERAGE('26.07 Nakawuka-Nateete-24h'!M58,'27.07 Nakawuka-Nateete-24h'!M58)</f>
        <v>124</v>
      </c>
      <c r="N58" s="49">
        <f>AVERAGE('26.07 Nakawuka-Nateete-24h'!N58,'27.07 Nakawuka-Nateete-24h'!N58)</f>
        <v>0</v>
      </c>
      <c r="O58" s="31">
        <f t="shared" si="0"/>
        <v>58</v>
      </c>
      <c r="P58" s="31">
        <f t="shared" si="1"/>
        <v>182</v>
      </c>
      <c r="R58" s="8"/>
      <c r="T58"/>
    </row>
    <row r="59" spans="2:20" ht="23.1" customHeight="1" x14ac:dyDescent="0.25">
      <c r="B59" s="23" t="s">
        <v>100</v>
      </c>
      <c r="C59" s="49">
        <f>AVERAGE('26.07 Nakawuka-Nateete-24h'!C59,'27.07 Nakawuka-Nateete-24h'!C59)</f>
        <v>10</v>
      </c>
      <c r="D59" s="49">
        <f>AVERAGE('26.07 Nakawuka-Nateete-24h'!D59,'27.07 Nakawuka-Nateete-24h'!D59)</f>
        <v>6</v>
      </c>
      <c r="E59" s="49">
        <f>AVERAGE('26.07 Nakawuka-Nateete-24h'!E59,'27.07 Nakawuka-Nateete-24h'!E59)</f>
        <v>5</v>
      </c>
      <c r="F59" s="49">
        <f>AVERAGE('26.07 Nakawuka-Nateete-24h'!F59,'27.07 Nakawuka-Nateete-24h'!F59)</f>
        <v>7</v>
      </c>
      <c r="G59" s="49">
        <f>AVERAGE('26.07 Nakawuka-Nateete-24h'!G59,'27.07 Nakawuka-Nateete-24h'!G59)</f>
        <v>0</v>
      </c>
      <c r="H59" s="49">
        <f>AVERAGE('26.07 Nakawuka-Nateete-24h'!H59,'27.07 Nakawuka-Nateete-24h'!H59)</f>
        <v>0</v>
      </c>
      <c r="I59" s="49">
        <f>AVERAGE('26.07 Nakawuka-Nateete-24h'!I59,'27.07 Nakawuka-Nateete-24h'!I59)</f>
        <v>1.5</v>
      </c>
      <c r="J59" s="49">
        <f>AVERAGE('26.07 Nakawuka-Nateete-24h'!J59,'27.07 Nakawuka-Nateete-24h'!J59)</f>
        <v>0</v>
      </c>
      <c r="K59" s="49">
        <f>AVERAGE('26.07 Nakawuka-Nateete-24h'!K59,'27.07 Nakawuka-Nateete-24h'!K59)</f>
        <v>0</v>
      </c>
      <c r="L59" s="49">
        <f>AVERAGE('26.07 Nakawuka-Nateete-24h'!L59,'27.07 Nakawuka-Nateete-24h'!L59)</f>
        <v>0</v>
      </c>
      <c r="M59" s="49">
        <f>AVERAGE('26.07 Nakawuka-Nateete-24h'!M59,'27.07 Nakawuka-Nateete-24h'!M59)</f>
        <v>130</v>
      </c>
      <c r="N59" s="49">
        <f>AVERAGE('26.07 Nakawuka-Nateete-24h'!N59,'27.07 Nakawuka-Nateete-24h'!N59)</f>
        <v>0</v>
      </c>
      <c r="O59" s="31">
        <f t="shared" si="0"/>
        <v>29.5</v>
      </c>
      <c r="P59" s="31">
        <f t="shared" si="1"/>
        <v>159.5</v>
      </c>
      <c r="R59" s="8"/>
      <c r="T59"/>
    </row>
    <row r="60" spans="2:20" ht="23.1" customHeight="1" x14ac:dyDescent="0.25">
      <c r="B60" s="23" t="s">
        <v>101</v>
      </c>
      <c r="C60" s="49">
        <f>AVERAGE('26.07 Nakawuka-Nateete-24h'!C60,'27.07 Nakawuka-Nateete-24h'!C60)</f>
        <v>18.5</v>
      </c>
      <c r="D60" s="49">
        <f>AVERAGE('26.07 Nakawuka-Nateete-24h'!D60,'27.07 Nakawuka-Nateete-24h'!D60)</f>
        <v>8.5</v>
      </c>
      <c r="E60" s="49">
        <f>AVERAGE('26.07 Nakawuka-Nateete-24h'!E60,'27.07 Nakawuka-Nateete-24h'!E60)</f>
        <v>2</v>
      </c>
      <c r="F60" s="49">
        <f>AVERAGE('26.07 Nakawuka-Nateete-24h'!F60,'27.07 Nakawuka-Nateete-24h'!F60)</f>
        <v>12</v>
      </c>
      <c r="G60" s="49">
        <f>AVERAGE('26.07 Nakawuka-Nateete-24h'!G60,'27.07 Nakawuka-Nateete-24h'!G60)</f>
        <v>0.5</v>
      </c>
      <c r="H60" s="49">
        <f>AVERAGE('26.07 Nakawuka-Nateete-24h'!H60,'27.07 Nakawuka-Nateete-24h'!H60)</f>
        <v>0</v>
      </c>
      <c r="I60" s="49">
        <f>AVERAGE('26.07 Nakawuka-Nateete-24h'!I60,'27.07 Nakawuka-Nateete-24h'!I60)</f>
        <v>3.5</v>
      </c>
      <c r="J60" s="49">
        <f>AVERAGE('26.07 Nakawuka-Nateete-24h'!J60,'27.07 Nakawuka-Nateete-24h'!J60)</f>
        <v>0.5</v>
      </c>
      <c r="K60" s="49">
        <f>AVERAGE('26.07 Nakawuka-Nateete-24h'!K60,'27.07 Nakawuka-Nateete-24h'!K60)</f>
        <v>0.5</v>
      </c>
      <c r="L60" s="49">
        <f>AVERAGE('26.07 Nakawuka-Nateete-24h'!L60,'27.07 Nakawuka-Nateete-24h'!L60)</f>
        <v>0.5</v>
      </c>
      <c r="M60" s="49">
        <f>AVERAGE('26.07 Nakawuka-Nateete-24h'!M60,'27.07 Nakawuka-Nateete-24h'!M60)</f>
        <v>135</v>
      </c>
      <c r="N60" s="49">
        <f>AVERAGE('26.07 Nakawuka-Nateete-24h'!N60,'27.07 Nakawuka-Nateete-24h'!N60)</f>
        <v>0</v>
      </c>
      <c r="O60" s="31">
        <f t="shared" si="0"/>
        <v>46.5</v>
      </c>
      <c r="P60" s="31">
        <f t="shared" si="1"/>
        <v>181.5</v>
      </c>
      <c r="R60" s="8"/>
      <c r="T60"/>
    </row>
    <row r="61" spans="2:20" ht="23.1" customHeight="1" x14ac:dyDescent="0.25">
      <c r="B61" s="23" t="s">
        <v>102</v>
      </c>
      <c r="C61" s="49">
        <f>AVERAGE('26.07 Nakawuka-Nateete-24h'!C61,'27.07 Nakawuka-Nateete-24h'!C61)</f>
        <v>13</v>
      </c>
      <c r="D61" s="49">
        <f>AVERAGE('26.07 Nakawuka-Nateete-24h'!D61,'27.07 Nakawuka-Nateete-24h'!D61)</f>
        <v>7</v>
      </c>
      <c r="E61" s="49">
        <f>AVERAGE('26.07 Nakawuka-Nateete-24h'!E61,'27.07 Nakawuka-Nateete-24h'!E61)</f>
        <v>5</v>
      </c>
      <c r="F61" s="49">
        <f>AVERAGE('26.07 Nakawuka-Nateete-24h'!F61,'27.07 Nakawuka-Nateete-24h'!F61)</f>
        <v>12</v>
      </c>
      <c r="G61" s="49">
        <f>AVERAGE('26.07 Nakawuka-Nateete-24h'!G61,'27.07 Nakawuka-Nateete-24h'!G61)</f>
        <v>1.5</v>
      </c>
      <c r="H61" s="49">
        <f>AVERAGE('26.07 Nakawuka-Nateete-24h'!H61,'27.07 Nakawuka-Nateete-24h'!H61)</f>
        <v>0</v>
      </c>
      <c r="I61" s="49">
        <f>AVERAGE('26.07 Nakawuka-Nateete-24h'!I61,'27.07 Nakawuka-Nateete-24h'!I61)</f>
        <v>3</v>
      </c>
      <c r="J61" s="49">
        <f>AVERAGE('26.07 Nakawuka-Nateete-24h'!J61,'27.07 Nakawuka-Nateete-24h'!J61)</f>
        <v>1.5</v>
      </c>
      <c r="K61" s="49">
        <f>AVERAGE('26.07 Nakawuka-Nateete-24h'!K61,'27.07 Nakawuka-Nateete-24h'!K61)</f>
        <v>0</v>
      </c>
      <c r="L61" s="49">
        <f>AVERAGE('26.07 Nakawuka-Nateete-24h'!L61,'27.07 Nakawuka-Nateete-24h'!L61)</f>
        <v>0.5</v>
      </c>
      <c r="M61" s="49">
        <f>AVERAGE('26.07 Nakawuka-Nateete-24h'!M61,'27.07 Nakawuka-Nateete-24h'!M61)</f>
        <v>142.5</v>
      </c>
      <c r="N61" s="49">
        <f>AVERAGE('26.07 Nakawuka-Nateete-24h'!N61,'27.07 Nakawuka-Nateete-24h'!N61)</f>
        <v>0</v>
      </c>
      <c r="O61" s="31">
        <f t="shared" si="0"/>
        <v>43.5</v>
      </c>
      <c r="P61" s="31">
        <f t="shared" si="1"/>
        <v>186</v>
      </c>
      <c r="R61" s="8"/>
      <c r="T61"/>
    </row>
    <row r="62" spans="2:20" ht="23.1" customHeight="1" x14ac:dyDescent="0.25">
      <c r="B62" s="23" t="s">
        <v>107</v>
      </c>
      <c r="C62" s="49">
        <f>AVERAGE('26.07 Nakawuka-Nateete-24h'!C62,'27.07 Nakawuka-Nateete-24h'!C62)</f>
        <v>17</v>
      </c>
      <c r="D62" s="49">
        <f>AVERAGE('26.07 Nakawuka-Nateete-24h'!D62,'27.07 Nakawuka-Nateete-24h'!D62)</f>
        <v>12.5</v>
      </c>
      <c r="E62" s="49">
        <f>AVERAGE('26.07 Nakawuka-Nateete-24h'!E62,'27.07 Nakawuka-Nateete-24h'!E62)</f>
        <v>4.5</v>
      </c>
      <c r="F62" s="49">
        <f>AVERAGE('26.07 Nakawuka-Nateete-24h'!F62,'27.07 Nakawuka-Nateete-24h'!F62)</f>
        <v>24</v>
      </c>
      <c r="G62" s="49">
        <f>AVERAGE('26.07 Nakawuka-Nateete-24h'!G62,'27.07 Nakawuka-Nateete-24h'!G62)</f>
        <v>0</v>
      </c>
      <c r="H62" s="49">
        <f>AVERAGE('26.07 Nakawuka-Nateete-24h'!H62,'27.07 Nakawuka-Nateete-24h'!H62)</f>
        <v>1</v>
      </c>
      <c r="I62" s="49">
        <f>AVERAGE('26.07 Nakawuka-Nateete-24h'!I62,'27.07 Nakawuka-Nateete-24h'!I62)</f>
        <v>4</v>
      </c>
      <c r="J62" s="49">
        <f>AVERAGE('26.07 Nakawuka-Nateete-24h'!J62,'27.07 Nakawuka-Nateete-24h'!J62)</f>
        <v>1</v>
      </c>
      <c r="K62" s="49">
        <f>AVERAGE('26.07 Nakawuka-Nateete-24h'!K62,'27.07 Nakawuka-Nateete-24h'!K62)</f>
        <v>2</v>
      </c>
      <c r="L62" s="49">
        <f>AVERAGE('26.07 Nakawuka-Nateete-24h'!L62,'27.07 Nakawuka-Nateete-24h'!L62)</f>
        <v>0</v>
      </c>
      <c r="M62" s="49">
        <f>AVERAGE('26.07 Nakawuka-Nateete-24h'!M62,'27.07 Nakawuka-Nateete-24h'!M62)</f>
        <v>160</v>
      </c>
      <c r="N62" s="49">
        <f>AVERAGE('26.07 Nakawuka-Nateete-24h'!N62,'27.07 Nakawuka-Nateete-24h'!N62)</f>
        <v>0</v>
      </c>
      <c r="O62" s="31">
        <f t="shared" si="0"/>
        <v>66</v>
      </c>
      <c r="P62" s="31">
        <f t="shared" si="1"/>
        <v>226</v>
      </c>
      <c r="R62" s="8"/>
      <c r="T62"/>
    </row>
    <row r="63" spans="2:20" ht="23.1" customHeight="1" x14ac:dyDescent="0.25">
      <c r="B63" s="23" t="s">
        <v>108</v>
      </c>
      <c r="C63" s="49">
        <f>AVERAGE('26.07 Nakawuka-Nateete-24h'!C63,'27.07 Nakawuka-Nateete-24h'!C63)</f>
        <v>7</v>
      </c>
      <c r="D63" s="49">
        <f>AVERAGE('26.07 Nakawuka-Nateete-24h'!D63,'27.07 Nakawuka-Nateete-24h'!D63)</f>
        <v>15</v>
      </c>
      <c r="E63" s="49">
        <f>AVERAGE('26.07 Nakawuka-Nateete-24h'!E63,'27.07 Nakawuka-Nateete-24h'!E63)</f>
        <v>1.5</v>
      </c>
      <c r="F63" s="49">
        <f>AVERAGE('26.07 Nakawuka-Nateete-24h'!F63,'27.07 Nakawuka-Nateete-24h'!F63)</f>
        <v>18</v>
      </c>
      <c r="G63" s="49">
        <f>AVERAGE('26.07 Nakawuka-Nateete-24h'!G63,'27.07 Nakawuka-Nateete-24h'!G63)</f>
        <v>0.5</v>
      </c>
      <c r="H63" s="49">
        <f>AVERAGE('26.07 Nakawuka-Nateete-24h'!H63,'27.07 Nakawuka-Nateete-24h'!H63)</f>
        <v>0</v>
      </c>
      <c r="I63" s="49">
        <f>AVERAGE('26.07 Nakawuka-Nateete-24h'!I63,'27.07 Nakawuka-Nateete-24h'!I63)</f>
        <v>0.5</v>
      </c>
      <c r="J63" s="49">
        <f>AVERAGE('26.07 Nakawuka-Nateete-24h'!J63,'27.07 Nakawuka-Nateete-24h'!J63)</f>
        <v>1</v>
      </c>
      <c r="K63" s="49">
        <f>AVERAGE('26.07 Nakawuka-Nateete-24h'!K63,'27.07 Nakawuka-Nateete-24h'!K63)</f>
        <v>0</v>
      </c>
      <c r="L63" s="49">
        <f>AVERAGE('26.07 Nakawuka-Nateete-24h'!L63,'27.07 Nakawuka-Nateete-24h'!L63)</f>
        <v>0</v>
      </c>
      <c r="M63" s="49">
        <f>AVERAGE('26.07 Nakawuka-Nateete-24h'!M63,'27.07 Nakawuka-Nateete-24h'!M63)</f>
        <v>142.5</v>
      </c>
      <c r="N63" s="49">
        <f>AVERAGE('26.07 Nakawuka-Nateete-24h'!N63,'27.07 Nakawuka-Nateete-24h'!N63)</f>
        <v>0</v>
      </c>
      <c r="O63" s="31">
        <f t="shared" si="0"/>
        <v>43.5</v>
      </c>
      <c r="P63" s="31">
        <f t="shared" si="1"/>
        <v>186</v>
      </c>
      <c r="R63" s="8"/>
      <c r="T63"/>
    </row>
    <row r="64" spans="2:20" ht="23.1" customHeight="1" x14ac:dyDescent="0.25">
      <c r="B64" s="23" t="s">
        <v>109</v>
      </c>
      <c r="C64" s="49">
        <f>AVERAGE('26.07 Nakawuka-Nateete-24h'!C64,'27.07 Nakawuka-Nateete-24h'!C64)</f>
        <v>12.5</v>
      </c>
      <c r="D64" s="49">
        <f>AVERAGE('26.07 Nakawuka-Nateete-24h'!D64,'27.07 Nakawuka-Nateete-24h'!D64)</f>
        <v>15</v>
      </c>
      <c r="E64" s="49">
        <f>AVERAGE('26.07 Nakawuka-Nateete-24h'!E64,'27.07 Nakawuka-Nateete-24h'!E64)</f>
        <v>9</v>
      </c>
      <c r="F64" s="49">
        <f>AVERAGE('26.07 Nakawuka-Nateete-24h'!F64,'27.07 Nakawuka-Nateete-24h'!F64)</f>
        <v>27</v>
      </c>
      <c r="G64" s="49">
        <f>AVERAGE('26.07 Nakawuka-Nateete-24h'!G64,'27.07 Nakawuka-Nateete-24h'!G64)</f>
        <v>1</v>
      </c>
      <c r="H64" s="49">
        <f>AVERAGE('26.07 Nakawuka-Nateete-24h'!H64,'27.07 Nakawuka-Nateete-24h'!H64)</f>
        <v>0.5</v>
      </c>
      <c r="I64" s="49">
        <f>AVERAGE('26.07 Nakawuka-Nateete-24h'!I64,'27.07 Nakawuka-Nateete-24h'!I64)</f>
        <v>4</v>
      </c>
      <c r="J64" s="49">
        <f>AVERAGE('26.07 Nakawuka-Nateete-24h'!J64,'27.07 Nakawuka-Nateete-24h'!J64)</f>
        <v>1</v>
      </c>
      <c r="K64" s="49">
        <f>AVERAGE('26.07 Nakawuka-Nateete-24h'!K64,'27.07 Nakawuka-Nateete-24h'!K64)</f>
        <v>3</v>
      </c>
      <c r="L64" s="49">
        <f>AVERAGE('26.07 Nakawuka-Nateete-24h'!L64,'27.07 Nakawuka-Nateete-24h'!L64)</f>
        <v>1</v>
      </c>
      <c r="M64" s="49">
        <f>AVERAGE('26.07 Nakawuka-Nateete-24h'!M64,'27.07 Nakawuka-Nateete-24h'!M64)</f>
        <v>160</v>
      </c>
      <c r="N64" s="49">
        <f>AVERAGE('26.07 Nakawuka-Nateete-24h'!N64,'27.07 Nakawuka-Nateete-24h'!N64)</f>
        <v>0</v>
      </c>
      <c r="O64" s="31">
        <f t="shared" si="0"/>
        <v>74</v>
      </c>
      <c r="P64" s="31">
        <f t="shared" si="1"/>
        <v>234</v>
      </c>
      <c r="R64" s="8"/>
      <c r="T64"/>
    </row>
    <row r="65" spans="2:20" ht="23.1" customHeight="1" x14ac:dyDescent="0.25">
      <c r="B65" s="23" t="s">
        <v>158</v>
      </c>
      <c r="C65" s="49">
        <f>AVERAGE('26.07 Nakawuka-Nateete-24h'!C65,'27.07 Nakawuka-Nateete-24h'!C65)</f>
        <v>27.5</v>
      </c>
      <c r="D65" s="49">
        <f>AVERAGE('26.07 Nakawuka-Nateete-24h'!D65,'27.07 Nakawuka-Nateete-24h'!D65)</f>
        <v>29</v>
      </c>
      <c r="E65" s="49">
        <f>AVERAGE('26.07 Nakawuka-Nateete-24h'!E65,'27.07 Nakawuka-Nateete-24h'!E65)</f>
        <v>8</v>
      </c>
      <c r="F65" s="49">
        <f>AVERAGE('26.07 Nakawuka-Nateete-24h'!F65,'27.07 Nakawuka-Nateete-24h'!F65)</f>
        <v>45</v>
      </c>
      <c r="G65" s="49">
        <f>AVERAGE('26.07 Nakawuka-Nateete-24h'!G65,'27.07 Nakawuka-Nateete-24h'!G65)</f>
        <v>2</v>
      </c>
      <c r="H65" s="49">
        <f>AVERAGE('26.07 Nakawuka-Nateete-24h'!H65,'27.07 Nakawuka-Nateete-24h'!H65)</f>
        <v>0.5</v>
      </c>
      <c r="I65" s="49">
        <f>AVERAGE('26.07 Nakawuka-Nateete-24h'!I65,'27.07 Nakawuka-Nateete-24h'!I65)</f>
        <v>3</v>
      </c>
      <c r="J65" s="49">
        <f>AVERAGE('26.07 Nakawuka-Nateete-24h'!J65,'27.07 Nakawuka-Nateete-24h'!J65)</f>
        <v>3.5</v>
      </c>
      <c r="K65" s="49">
        <f>AVERAGE('26.07 Nakawuka-Nateete-24h'!K65,'27.07 Nakawuka-Nateete-24h'!K65)</f>
        <v>2</v>
      </c>
      <c r="L65" s="49">
        <f>AVERAGE('26.07 Nakawuka-Nateete-24h'!L65,'27.07 Nakawuka-Nateete-24h'!L65)</f>
        <v>0.5</v>
      </c>
      <c r="M65" s="49">
        <f>AVERAGE('26.07 Nakawuka-Nateete-24h'!M65,'27.07 Nakawuka-Nateete-24h'!M65)</f>
        <v>232.5</v>
      </c>
      <c r="N65" s="49">
        <f>AVERAGE('26.07 Nakawuka-Nateete-24h'!N65,'27.07 Nakawuka-Nateete-24h'!N65)</f>
        <v>0</v>
      </c>
      <c r="O65" s="31">
        <f t="shared" si="0"/>
        <v>121</v>
      </c>
      <c r="P65" s="31">
        <f t="shared" si="1"/>
        <v>353.5</v>
      </c>
      <c r="R65" s="8"/>
      <c r="T65"/>
    </row>
    <row r="66" spans="2:20" ht="23.1" customHeight="1" x14ac:dyDescent="0.25">
      <c r="B66" s="23" t="s">
        <v>103</v>
      </c>
      <c r="C66" s="49">
        <f>AVERAGE('26.07 Nakawuka-Nateete-24h'!C66,'27.07 Nakawuka-Nateete-24h'!C66)</f>
        <v>4</v>
      </c>
      <c r="D66" s="49">
        <f>AVERAGE('26.07 Nakawuka-Nateete-24h'!D66,'27.07 Nakawuka-Nateete-24h'!D66)</f>
        <v>4.5</v>
      </c>
      <c r="E66" s="49">
        <f>AVERAGE('26.07 Nakawuka-Nateete-24h'!E66,'27.07 Nakawuka-Nateete-24h'!E66)</f>
        <v>2.5</v>
      </c>
      <c r="F66" s="49">
        <f>AVERAGE('26.07 Nakawuka-Nateete-24h'!F66,'27.07 Nakawuka-Nateete-24h'!F66)</f>
        <v>15.5</v>
      </c>
      <c r="G66" s="49">
        <f>AVERAGE('26.07 Nakawuka-Nateete-24h'!G66,'27.07 Nakawuka-Nateete-24h'!G66)</f>
        <v>0.5</v>
      </c>
      <c r="H66" s="49">
        <f>AVERAGE('26.07 Nakawuka-Nateete-24h'!H66,'27.07 Nakawuka-Nateete-24h'!H66)</f>
        <v>0.5</v>
      </c>
      <c r="I66" s="49">
        <f>AVERAGE('26.07 Nakawuka-Nateete-24h'!I66,'27.07 Nakawuka-Nateete-24h'!I66)</f>
        <v>0.5</v>
      </c>
      <c r="J66" s="49">
        <f>AVERAGE('26.07 Nakawuka-Nateete-24h'!J66,'27.07 Nakawuka-Nateete-24h'!J66)</f>
        <v>1</v>
      </c>
      <c r="K66" s="49">
        <f>AVERAGE('26.07 Nakawuka-Nateete-24h'!K66,'27.07 Nakawuka-Nateete-24h'!K66)</f>
        <v>0.5</v>
      </c>
      <c r="L66" s="49">
        <f>AVERAGE('26.07 Nakawuka-Nateete-24h'!L66,'27.07 Nakawuka-Nateete-24h'!L66)</f>
        <v>1</v>
      </c>
      <c r="M66" s="49">
        <f>AVERAGE('26.07 Nakawuka-Nateete-24h'!M66,'27.07 Nakawuka-Nateete-24h'!M66)</f>
        <v>117.5</v>
      </c>
      <c r="N66" s="49">
        <f>AVERAGE('26.07 Nakawuka-Nateete-24h'!N66,'27.07 Nakawuka-Nateete-24h'!N66)</f>
        <v>0</v>
      </c>
      <c r="O66" s="31">
        <f t="shared" si="0"/>
        <v>30.5</v>
      </c>
      <c r="P66" s="31">
        <f t="shared" si="1"/>
        <v>148</v>
      </c>
      <c r="R66" s="8"/>
      <c r="T66"/>
    </row>
    <row r="67" spans="2:20" ht="23.1" customHeight="1" x14ac:dyDescent="0.25">
      <c r="B67" s="23" t="s">
        <v>104</v>
      </c>
      <c r="C67" s="49">
        <f>AVERAGE('26.07 Nakawuka-Nateete-24h'!C67,'27.07 Nakawuka-Nateete-24h'!C67)</f>
        <v>13</v>
      </c>
      <c r="D67" s="49">
        <f>AVERAGE('26.07 Nakawuka-Nateete-24h'!D67,'27.07 Nakawuka-Nateete-24h'!D67)</f>
        <v>26</v>
      </c>
      <c r="E67" s="49">
        <f>AVERAGE('26.07 Nakawuka-Nateete-24h'!E67,'27.07 Nakawuka-Nateete-24h'!E67)</f>
        <v>8</v>
      </c>
      <c r="F67" s="49">
        <f>AVERAGE('26.07 Nakawuka-Nateete-24h'!F67,'27.07 Nakawuka-Nateete-24h'!F67)</f>
        <v>33.5</v>
      </c>
      <c r="G67" s="49">
        <f>AVERAGE('26.07 Nakawuka-Nateete-24h'!G67,'27.07 Nakawuka-Nateete-24h'!G67)</f>
        <v>0.5</v>
      </c>
      <c r="H67" s="49">
        <f>AVERAGE('26.07 Nakawuka-Nateete-24h'!H67,'27.07 Nakawuka-Nateete-24h'!H67)</f>
        <v>0.5</v>
      </c>
      <c r="I67" s="49">
        <f>AVERAGE('26.07 Nakawuka-Nateete-24h'!I67,'27.07 Nakawuka-Nateete-24h'!I67)</f>
        <v>6.5</v>
      </c>
      <c r="J67" s="49">
        <f>AVERAGE('26.07 Nakawuka-Nateete-24h'!J67,'27.07 Nakawuka-Nateete-24h'!J67)</f>
        <v>4</v>
      </c>
      <c r="K67" s="49">
        <f>AVERAGE('26.07 Nakawuka-Nateete-24h'!K67,'27.07 Nakawuka-Nateete-24h'!K67)</f>
        <v>0.5</v>
      </c>
      <c r="L67" s="49">
        <f>AVERAGE('26.07 Nakawuka-Nateete-24h'!L67,'27.07 Nakawuka-Nateete-24h'!L67)</f>
        <v>0.5</v>
      </c>
      <c r="M67" s="49">
        <f>AVERAGE('26.07 Nakawuka-Nateete-24h'!M67,'27.07 Nakawuka-Nateete-24h'!M67)</f>
        <v>165</v>
      </c>
      <c r="N67" s="49">
        <f>AVERAGE('26.07 Nakawuka-Nateete-24h'!N67,'27.07 Nakawuka-Nateete-24h'!N67)</f>
        <v>0</v>
      </c>
      <c r="O67" s="31">
        <f t="shared" si="0"/>
        <v>93</v>
      </c>
      <c r="P67" s="31">
        <f t="shared" si="1"/>
        <v>258</v>
      </c>
      <c r="R67" s="8"/>
      <c r="T67"/>
    </row>
    <row r="68" spans="2:20" ht="23.1" customHeight="1" x14ac:dyDescent="0.25">
      <c r="B68" s="23" t="s">
        <v>105</v>
      </c>
      <c r="C68" s="49">
        <f>AVERAGE('26.07 Nakawuka-Nateete-24h'!C68,'27.07 Nakawuka-Nateete-24h'!C68)</f>
        <v>6.5</v>
      </c>
      <c r="D68" s="49">
        <f>AVERAGE('26.07 Nakawuka-Nateete-24h'!D68,'27.07 Nakawuka-Nateete-24h'!D68)</f>
        <v>6.5</v>
      </c>
      <c r="E68" s="49">
        <f>AVERAGE('26.07 Nakawuka-Nateete-24h'!E68,'27.07 Nakawuka-Nateete-24h'!E68)</f>
        <v>4</v>
      </c>
      <c r="F68" s="49">
        <f>AVERAGE('26.07 Nakawuka-Nateete-24h'!F68,'27.07 Nakawuka-Nateete-24h'!F68)</f>
        <v>16.5</v>
      </c>
      <c r="G68" s="49">
        <f>AVERAGE('26.07 Nakawuka-Nateete-24h'!G68,'27.07 Nakawuka-Nateete-24h'!G68)</f>
        <v>0.5</v>
      </c>
      <c r="H68" s="49">
        <f>AVERAGE('26.07 Nakawuka-Nateete-24h'!H68,'27.07 Nakawuka-Nateete-24h'!H68)</f>
        <v>0</v>
      </c>
      <c r="I68" s="49">
        <f>AVERAGE('26.07 Nakawuka-Nateete-24h'!I68,'27.07 Nakawuka-Nateete-24h'!I68)</f>
        <v>1</v>
      </c>
      <c r="J68" s="49">
        <f>AVERAGE('26.07 Nakawuka-Nateete-24h'!J68,'27.07 Nakawuka-Nateete-24h'!J68)</f>
        <v>3.5</v>
      </c>
      <c r="K68" s="49">
        <f>AVERAGE('26.07 Nakawuka-Nateete-24h'!K68,'27.07 Nakawuka-Nateete-24h'!K68)</f>
        <v>0</v>
      </c>
      <c r="L68" s="49">
        <f>AVERAGE('26.07 Nakawuka-Nateete-24h'!L68,'27.07 Nakawuka-Nateete-24h'!L68)</f>
        <v>0</v>
      </c>
      <c r="M68" s="49">
        <f>AVERAGE('26.07 Nakawuka-Nateete-24h'!M68,'27.07 Nakawuka-Nateete-24h'!M68)</f>
        <v>110</v>
      </c>
      <c r="N68" s="49">
        <f>AVERAGE('26.07 Nakawuka-Nateete-24h'!N68,'27.07 Nakawuka-Nateete-24h'!N68)</f>
        <v>0</v>
      </c>
      <c r="O68" s="31">
        <f t="shared" si="0"/>
        <v>38.5</v>
      </c>
      <c r="P68" s="31">
        <f t="shared" si="1"/>
        <v>148.5</v>
      </c>
      <c r="R68" s="8"/>
      <c r="T68"/>
    </row>
    <row r="69" spans="2:20" ht="23.1" customHeight="1" x14ac:dyDescent="0.25">
      <c r="B69" s="23" t="s">
        <v>106</v>
      </c>
      <c r="C69" s="49">
        <f>AVERAGE('26.07 Nakawuka-Nateete-24h'!C69,'27.07 Nakawuka-Nateete-24h'!C69)</f>
        <v>10</v>
      </c>
      <c r="D69" s="49">
        <f>AVERAGE('26.07 Nakawuka-Nateete-24h'!D69,'27.07 Nakawuka-Nateete-24h'!D69)</f>
        <v>13.5</v>
      </c>
      <c r="E69" s="49">
        <f>AVERAGE('26.07 Nakawuka-Nateete-24h'!E69,'27.07 Nakawuka-Nateete-24h'!E69)</f>
        <v>2</v>
      </c>
      <c r="F69" s="49">
        <f>AVERAGE('26.07 Nakawuka-Nateete-24h'!F69,'27.07 Nakawuka-Nateete-24h'!F69)</f>
        <v>15</v>
      </c>
      <c r="G69" s="49">
        <f>AVERAGE('26.07 Nakawuka-Nateete-24h'!G69,'27.07 Nakawuka-Nateete-24h'!G69)</f>
        <v>0</v>
      </c>
      <c r="H69" s="49">
        <f>AVERAGE('26.07 Nakawuka-Nateete-24h'!H69,'27.07 Nakawuka-Nateete-24h'!H69)</f>
        <v>0</v>
      </c>
      <c r="I69" s="49">
        <f>AVERAGE('26.07 Nakawuka-Nateete-24h'!I69,'27.07 Nakawuka-Nateete-24h'!I69)</f>
        <v>2.5</v>
      </c>
      <c r="J69" s="49">
        <f>AVERAGE('26.07 Nakawuka-Nateete-24h'!J69,'27.07 Nakawuka-Nateete-24h'!J69)</f>
        <v>0.5</v>
      </c>
      <c r="K69" s="49">
        <f>AVERAGE('26.07 Nakawuka-Nateete-24h'!K69,'27.07 Nakawuka-Nateete-24h'!K69)</f>
        <v>0</v>
      </c>
      <c r="L69" s="49">
        <f>AVERAGE('26.07 Nakawuka-Nateete-24h'!L69,'27.07 Nakawuka-Nateete-24h'!L69)</f>
        <v>0</v>
      </c>
      <c r="M69" s="49">
        <f>AVERAGE('26.07 Nakawuka-Nateete-24h'!M69,'27.07 Nakawuka-Nateete-24h'!M69)</f>
        <v>122.5</v>
      </c>
      <c r="N69" s="49">
        <f>AVERAGE('26.07 Nakawuka-Nateete-24h'!N69,'27.07 Nakawuka-Nateete-24h'!N69)</f>
        <v>0</v>
      </c>
      <c r="O69" s="31">
        <f t="shared" si="0"/>
        <v>43.5</v>
      </c>
      <c r="P69" s="31">
        <f t="shared" si="1"/>
        <v>166</v>
      </c>
      <c r="R69" s="8"/>
      <c r="T69"/>
    </row>
    <row r="70" spans="2:20" ht="23.1" customHeight="1" x14ac:dyDescent="0.25">
      <c r="B70" s="23" t="s">
        <v>110</v>
      </c>
      <c r="C70" s="49">
        <f>AVERAGE('26.07 Nakawuka-Nateete-24h'!C70,'27.07 Nakawuka-Nateete-24h'!C70)</f>
        <v>8</v>
      </c>
      <c r="D70" s="49">
        <f>AVERAGE('26.07 Nakawuka-Nateete-24h'!D70,'27.07 Nakawuka-Nateete-24h'!D70)</f>
        <v>3</v>
      </c>
      <c r="E70" s="49">
        <f>AVERAGE('26.07 Nakawuka-Nateete-24h'!E70,'27.07 Nakawuka-Nateete-24h'!E70)</f>
        <v>2</v>
      </c>
      <c r="F70" s="49">
        <f>AVERAGE('26.07 Nakawuka-Nateete-24h'!F70,'27.07 Nakawuka-Nateete-24h'!F70)</f>
        <v>10.5</v>
      </c>
      <c r="G70" s="49">
        <f>AVERAGE('26.07 Nakawuka-Nateete-24h'!G70,'27.07 Nakawuka-Nateete-24h'!G70)</f>
        <v>0</v>
      </c>
      <c r="H70" s="49">
        <f>AVERAGE('26.07 Nakawuka-Nateete-24h'!H70,'27.07 Nakawuka-Nateete-24h'!H70)</f>
        <v>0</v>
      </c>
      <c r="I70" s="49">
        <f>AVERAGE('26.07 Nakawuka-Nateete-24h'!I70,'27.07 Nakawuka-Nateete-24h'!I70)</f>
        <v>2.5</v>
      </c>
      <c r="J70" s="49">
        <f>AVERAGE('26.07 Nakawuka-Nateete-24h'!J70,'27.07 Nakawuka-Nateete-24h'!J70)</f>
        <v>0.5</v>
      </c>
      <c r="K70" s="49">
        <f>AVERAGE('26.07 Nakawuka-Nateete-24h'!K70,'27.07 Nakawuka-Nateete-24h'!K70)</f>
        <v>0.5</v>
      </c>
      <c r="L70" s="49">
        <f>AVERAGE('26.07 Nakawuka-Nateete-24h'!L70,'27.07 Nakawuka-Nateete-24h'!L70)</f>
        <v>0</v>
      </c>
      <c r="M70" s="49">
        <f>AVERAGE('26.07 Nakawuka-Nateete-24h'!M70,'27.07 Nakawuka-Nateete-24h'!M70)</f>
        <v>90</v>
      </c>
      <c r="N70" s="49">
        <f>AVERAGE('26.07 Nakawuka-Nateete-24h'!N70,'27.07 Nakawuka-Nateete-24h'!N70)</f>
        <v>0</v>
      </c>
      <c r="O70" s="31">
        <f t="shared" si="0"/>
        <v>27</v>
      </c>
      <c r="P70" s="31">
        <f t="shared" si="1"/>
        <v>117</v>
      </c>
      <c r="R70" s="8"/>
      <c r="T70"/>
    </row>
    <row r="71" spans="2:20" ht="23.1" customHeight="1" x14ac:dyDescent="0.25">
      <c r="B71" s="23" t="s">
        <v>111</v>
      </c>
      <c r="C71" s="49">
        <f>AVERAGE('26.07 Nakawuka-Nateete-24h'!C71,'27.07 Nakawuka-Nateete-24h'!C71)</f>
        <v>9</v>
      </c>
      <c r="D71" s="49">
        <f>AVERAGE('26.07 Nakawuka-Nateete-24h'!D71,'27.07 Nakawuka-Nateete-24h'!D71)</f>
        <v>4</v>
      </c>
      <c r="E71" s="49">
        <f>AVERAGE('26.07 Nakawuka-Nateete-24h'!E71,'27.07 Nakawuka-Nateete-24h'!E71)</f>
        <v>1</v>
      </c>
      <c r="F71" s="49">
        <f>AVERAGE('26.07 Nakawuka-Nateete-24h'!F71,'27.07 Nakawuka-Nateete-24h'!F71)</f>
        <v>3.5</v>
      </c>
      <c r="G71" s="49">
        <f>AVERAGE('26.07 Nakawuka-Nateete-24h'!G71,'27.07 Nakawuka-Nateete-24h'!G71)</f>
        <v>0</v>
      </c>
      <c r="H71" s="49">
        <f>AVERAGE('26.07 Nakawuka-Nateete-24h'!H71,'27.07 Nakawuka-Nateete-24h'!H71)</f>
        <v>0</v>
      </c>
      <c r="I71" s="49">
        <f>AVERAGE('26.07 Nakawuka-Nateete-24h'!I71,'27.07 Nakawuka-Nateete-24h'!I71)</f>
        <v>2.5</v>
      </c>
      <c r="J71" s="49">
        <f>AVERAGE('26.07 Nakawuka-Nateete-24h'!J71,'27.07 Nakawuka-Nateete-24h'!J71)</f>
        <v>1</v>
      </c>
      <c r="K71" s="49">
        <f>AVERAGE('26.07 Nakawuka-Nateete-24h'!K71,'27.07 Nakawuka-Nateete-24h'!K71)</f>
        <v>0</v>
      </c>
      <c r="L71" s="49">
        <f>AVERAGE('26.07 Nakawuka-Nateete-24h'!L71,'27.07 Nakawuka-Nateete-24h'!L71)</f>
        <v>0</v>
      </c>
      <c r="M71" s="49">
        <f>AVERAGE('26.07 Nakawuka-Nateete-24h'!M71,'27.07 Nakawuka-Nateete-24h'!M71)</f>
        <v>87.5</v>
      </c>
      <c r="N71" s="49">
        <f>AVERAGE('26.07 Nakawuka-Nateete-24h'!N71,'27.07 Nakawuka-Nateete-24h'!N71)</f>
        <v>0</v>
      </c>
      <c r="O71" s="31">
        <f t="shared" si="0"/>
        <v>21</v>
      </c>
      <c r="P71" s="31">
        <f t="shared" si="1"/>
        <v>108.5</v>
      </c>
      <c r="R71" s="8"/>
      <c r="T71"/>
    </row>
    <row r="72" spans="2:20" ht="23.1" customHeight="1" x14ac:dyDescent="0.25">
      <c r="B72" s="23" t="s">
        <v>112</v>
      </c>
      <c r="C72" s="49">
        <f>AVERAGE('26.07 Nakawuka-Nateete-24h'!C72,'27.07 Nakawuka-Nateete-24h'!C72)</f>
        <v>4.5</v>
      </c>
      <c r="D72" s="49">
        <f>AVERAGE('26.07 Nakawuka-Nateete-24h'!D72,'27.07 Nakawuka-Nateete-24h'!D72)</f>
        <v>3.5</v>
      </c>
      <c r="E72" s="49">
        <f>AVERAGE('26.07 Nakawuka-Nateete-24h'!E72,'27.07 Nakawuka-Nateete-24h'!E72)</f>
        <v>2</v>
      </c>
      <c r="F72" s="49">
        <f>AVERAGE('26.07 Nakawuka-Nateete-24h'!F72,'27.07 Nakawuka-Nateete-24h'!F72)</f>
        <v>5</v>
      </c>
      <c r="G72" s="49">
        <f>AVERAGE('26.07 Nakawuka-Nateete-24h'!G72,'27.07 Nakawuka-Nateete-24h'!G72)</f>
        <v>0</v>
      </c>
      <c r="H72" s="49">
        <f>AVERAGE('26.07 Nakawuka-Nateete-24h'!H72,'27.07 Nakawuka-Nateete-24h'!H72)</f>
        <v>0</v>
      </c>
      <c r="I72" s="49">
        <f>AVERAGE('26.07 Nakawuka-Nateete-24h'!I72,'27.07 Nakawuka-Nateete-24h'!I72)</f>
        <v>1</v>
      </c>
      <c r="J72" s="49">
        <f>AVERAGE('26.07 Nakawuka-Nateete-24h'!J72,'27.07 Nakawuka-Nateete-24h'!J72)</f>
        <v>0.5</v>
      </c>
      <c r="K72" s="49">
        <f>AVERAGE('26.07 Nakawuka-Nateete-24h'!K72,'27.07 Nakawuka-Nateete-24h'!K72)</f>
        <v>0.5</v>
      </c>
      <c r="L72" s="49">
        <f>AVERAGE('26.07 Nakawuka-Nateete-24h'!L72,'27.07 Nakawuka-Nateete-24h'!L72)</f>
        <v>0</v>
      </c>
      <c r="M72" s="49">
        <f>AVERAGE('26.07 Nakawuka-Nateete-24h'!M72,'27.07 Nakawuka-Nateete-24h'!M72)</f>
        <v>82.5</v>
      </c>
      <c r="N72" s="49">
        <f>AVERAGE('26.07 Nakawuka-Nateete-24h'!N72,'27.07 Nakawuka-Nateete-24h'!N72)</f>
        <v>0</v>
      </c>
      <c r="O72" s="31">
        <f t="shared" si="0"/>
        <v>17</v>
      </c>
      <c r="P72" s="31">
        <f t="shared" si="1"/>
        <v>99.5</v>
      </c>
      <c r="R72" s="8"/>
      <c r="T72"/>
    </row>
    <row r="73" spans="2:20" ht="23.1" customHeight="1" x14ac:dyDescent="0.25">
      <c r="B73" s="23" t="s">
        <v>113</v>
      </c>
      <c r="C73" s="49">
        <f>AVERAGE('26.07 Nakawuka-Nateete-24h'!C73,'27.07 Nakawuka-Nateete-24h'!C73)</f>
        <v>1</v>
      </c>
      <c r="D73" s="49">
        <f>AVERAGE('26.07 Nakawuka-Nateete-24h'!D73,'27.07 Nakawuka-Nateete-24h'!D73)</f>
        <v>2.5</v>
      </c>
      <c r="E73" s="49">
        <f>AVERAGE('26.07 Nakawuka-Nateete-24h'!E73,'27.07 Nakawuka-Nateete-24h'!E73)</f>
        <v>0.5</v>
      </c>
      <c r="F73" s="49">
        <f>AVERAGE('26.07 Nakawuka-Nateete-24h'!F73,'27.07 Nakawuka-Nateete-24h'!F73)</f>
        <v>5</v>
      </c>
      <c r="G73" s="49">
        <f>AVERAGE('26.07 Nakawuka-Nateete-24h'!G73,'27.07 Nakawuka-Nateete-24h'!G73)</f>
        <v>0</v>
      </c>
      <c r="H73" s="49">
        <f>AVERAGE('26.07 Nakawuka-Nateete-24h'!H73,'27.07 Nakawuka-Nateete-24h'!H73)</f>
        <v>0</v>
      </c>
      <c r="I73" s="49">
        <f>AVERAGE('26.07 Nakawuka-Nateete-24h'!I73,'27.07 Nakawuka-Nateete-24h'!I73)</f>
        <v>1</v>
      </c>
      <c r="J73" s="49">
        <f>AVERAGE('26.07 Nakawuka-Nateete-24h'!J73,'27.07 Nakawuka-Nateete-24h'!J73)</f>
        <v>0</v>
      </c>
      <c r="K73" s="49">
        <f>AVERAGE('26.07 Nakawuka-Nateete-24h'!K73,'27.07 Nakawuka-Nateete-24h'!K73)</f>
        <v>0</v>
      </c>
      <c r="L73" s="49">
        <f>AVERAGE('26.07 Nakawuka-Nateete-24h'!L73,'27.07 Nakawuka-Nateete-24h'!L73)</f>
        <v>0</v>
      </c>
      <c r="M73" s="49">
        <f>AVERAGE('26.07 Nakawuka-Nateete-24h'!M73,'27.07 Nakawuka-Nateete-24h'!M73)</f>
        <v>75</v>
      </c>
      <c r="N73" s="49">
        <f>AVERAGE('26.07 Nakawuka-Nateete-24h'!N73,'27.07 Nakawuka-Nateete-24h'!N73)</f>
        <v>0</v>
      </c>
      <c r="O73" s="31">
        <f t="shared" si="0"/>
        <v>10</v>
      </c>
      <c r="P73" s="31">
        <f t="shared" si="1"/>
        <v>85</v>
      </c>
      <c r="R73" s="8"/>
      <c r="T73"/>
    </row>
    <row r="74" spans="2:20" ht="23.1" customHeight="1" x14ac:dyDescent="0.25">
      <c r="B74" s="23" t="s">
        <v>114</v>
      </c>
      <c r="C74" s="49">
        <f>AVERAGE('26.07 Nakawuka-Nateete-24h'!C74,'27.07 Nakawuka-Nateete-24h'!C74)</f>
        <v>3.5</v>
      </c>
      <c r="D74" s="49">
        <f>AVERAGE('26.07 Nakawuka-Nateete-24h'!D74,'27.07 Nakawuka-Nateete-24h'!D74)</f>
        <v>5</v>
      </c>
      <c r="E74" s="49">
        <f>AVERAGE('26.07 Nakawuka-Nateete-24h'!E74,'27.07 Nakawuka-Nateete-24h'!E74)</f>
        <v>1</v>
      </c>
      <c r="F74" s="49">
        <f>AVERAGE('26.07 Nakawuka-Nateete-24h'!F74,'27.07 Nakawuka-Nateete-24h'!F74)</f>
        <v>1.5</v>
      </c>
      <c r="G74" s="49">
        <f>AVERAGE('26.07 Nakawuka-Nateete-24h'!G74,'27.07 Nakawuka-Nateete-24h'!G74)</f>
        <v>0</v>
      </c>
      <c r="H74" s="49">
        <f>AVERAGE('26.07 Nakawuka-Nateete-24h'!H74,'27.07 Nakawuka-Nateete-24h'!H74)</f>
        <v>0</v>
      </c>
      <c r="I74" s="49">
        <f>AVERAGE('26.07 Nakawuka-Nateete-24h'!I74,'27.07 Nakawuka-Nateete-24h'!I74)</f>
        <v>1.5</v>
      </c>
      <c r="J74" s="49">
        <f>AVERAGE('26.07 Nakawuka-Nateete-24h'!J74,'27.07 Nakawuka-Nateete-24h'!J74)</f>
        <v>0</v>
      </c>
      <c r="K74" s="49">
        <f>AVERAGE('26.07 Nakawuka-Nateete-24h'!K74,'27.07 Nakawuka-Nateete-24h'!K74)</f>
        <v>0</v>
      </c>
      <c r="L74" s="49">
        <f>AVERAGE('26.07 Nakawuka-Nateete-24h'!L74,'27.07 Nakawuka-Nateete-24h'!L74)</f>
        <v>0</v>
      </c>
      <c r="M74" s="49">
        <f>AVERAGE('26.07 Nakawuka-Nateete-24h'!M74,'27.07 Nakawuka-Nateete-24h'!M74)</f>
        <v>59</v>
      </c>
      <c r="N74" s="49">
        <f>AVERAGE('26.07 Nakawuka-Nateete-24h'!N74,'27.07 Nakawuka-Nateete-24h'!N74)</f>
        <v>0</v>
      </c>
      <c r="O74" s="31">
        <f t="shared" ref="O74:O105" si="35">SUM(C74:L74,N74)</f>
        <v>12.5</v>
      </c>
      <c r="P74" s="31">
        <f t="shared" ref="P74:P105" si="36">SUM(C74:N74)</f>
        <v>71.5</v>
      </c>
      <c r="R74" s="8"/>
      <c r="T74"/>
    </row>
    <row r="75" spans="2:20" ht="23.1" customHeight="1" x14ac:dyDescent="0.25">
      <c r="B75" s="23" t="s">
        <v>115</v>
      </c>
      <c r="C75" s="49">
        <f>AVERAGE('26.07 Nakawuka-Nateete-24h'!C75,'27.07 Nakawuka-Nateete-24h'!C75)</f>
        <v>5</v>
      </c>
      <c r="D75" s="49">
        <f>AVERAGE('26.07 Nakawuka-Nateete-24h'!D75,'27.07 Nakawuka-Nateete-24h'!D75)</f>
        <v>5.5</v>
      </c>
      <c r="E75" s="49">
        <f>AVERAGE('26.07 Nakawuka-Nateete-24h'!E75,'27.07 Nakawuka-Nateete-24h'!E75)</f>
        <v>1</v>
      </c>
      <c r="F75" s="49">
        <f>AVERAGE('26.07 Nakawuka-Nateete-24h'!F75,'27.07 Nakawuka-Nateete-24h'!F75)</f>
        <v>5</v>
      </c>
      <c r="G75" s="49">
        <f>AVERAGE('26.07 Nakawuka-Nateete-24h'!G75,'27.07 Nakawuka-Nateete-24h'!G75)</f>
        <v>0</v>
      </c>
      <c r="H75" s="49">
        <f>AVERAGE('26.07 Nakawuka-Nateete-24h'!H75,'27.07 Nakawuka-Nateete-24h'!H75)</f>
        <v>0</v>
      </c>
      <c r="I75" s="49">
        <f>AVERAGE('26.07 Nakawuka-Nateete-24h'!I75,'27.07 Nakawuka-Nateete-24h'!I75)</f>
        <v>1.5</v>
      </c>
      <c r="J75" s="49">
        <f>AVERAGE('26.07 Nakawuka-Nateete-24h'!J75,'27.07 Nakawuka-Nateete-24h'!J75)</f>
        <v>0</v>
      </c>
      <c r="K75" s="49">
        <f>AVERAGE('26.07 Nakawuka-Nateete-24h'!K75,'27.07 Nakawuka-Nateete-24h'!K75)</f>
        <v>0</v>
      </c>
      <c r="L75" s="49">
        <f>AVERAGE('26.07 Nakawuka-Nateete-24h'!L75,'27.07 Nakawuka-Nateete-24h'!L75)</f>
        <v>0</v>
      </c>
      <c r="M75" s="49">
        <f>AVERAGE('26.07 Nakawuka-Nateete-24h'!M75,'27.07 Nakawuka-Nateete-24h'!M75)</f>
        <v>62</v>
      </c>
      <c r="N75" s="49">
        <f>AVERAGE('26.07 Nakawuka-Nateete-24h'!N75,'27.07 Nakawuka-Nateete-24h'!N75)</f>
        <v>0</v>
      </c>
      <c r="O75" s="31">
        <f t="shared" si="35"/>
        <v>18</v>
      </c>
      <c r="P75" s="31">
        <f t="shared" si="36"/>
        <v>80</v>
      </c>
      <c r="R75" s="8"/>
      <c r="T75"/>
    </row>
    <row r="76" spans="2:20" ht="23.1" customHeight="1" x14ac:dyDescent="0.25">
      <c r="B76" s="23" t="s">
        <v>116</v>
      </c>
      <c r="C76" s="49">
        <f>AVERAGE('26.07 Nakawuka-Nateete-24h'!C76,'27.07 Nakawuka-Nateete-24h'!C76)</f>
        <v>3</v>
      </c>
      <c r="D76" s="49">
        <f>AVERAGE('26.07 Nakawuka-Nateete-24h'!D76,'27.07 Nakawuka-Nateete-24h'!D76)</f>
        <v>3</v>
      </c>
      <c r="E76" s="49">
        <f>AVERAGE('26.07 Nakawuka-Nateete-24h'!E76,'27.07 Nakawuka-Nateete-24h'!E76)</f>
        <v>1</v>
      </c>
      <c r="F76" s="49">
        <f>AVERAGE('26.07 Nakawuka-Nateete-24h'!F76,'27.07 Nakawuka-Nateete-24h'!F76)</f>
        <v>3.5</v>
      </c>
      <c r="G76" s="49">
        <f>AVERAGE('26.07 Nakawuka-Nateete-24h'!G76,'27.07 Nakawuka-Nateete-24h'!G76)</f>
        <v>0</v>
      </c>
      <c r="H76" s="49">
        <f>AVERAGE('26.07 Nakawuka-Nateete-24h'!H76,'27.07 Nakawuka-Nateete-24h'!H76)</f>
        <v>0</v>
      </c>
      <c r="I76" s="49">
        <f>AVERAGE('26.07 Nakawuka-Nateete-24h'!I76,'27.07 Nakawuka-Nateete-24h'!I76)</f>
        <v>0.5</v>
      </c>
      <c r="J76" s="49">
        <f>AVERAGE('26.07 Nakawuka-Nateete-24h'!J76,'27.07 Nakawuka-Nateete-24h'!J76)</f>
        <v>0</v>
      </c>
      <c r="K76" s="49">
        <f>AVERAGE('26.07 Nakawuka-Nateete-24h'!K76,'27.07 Nakawuka-Nateete-24h'!K76)</f>
        <v>0</v>
      </c>
      <c r="L76" s="49">
        <f>AVERAGE('26.07 Nakawuka-Nateete-24h'!L76,'27.07 Nakawuka-Nateete-24h'!L76)</f>
        <v>0.5</v>
      </c>
      <c r="M76" s="49">
        <f>AVERAGE('26.07 Nakawuka-Nateete-24h'!M76,'27.07 Nakawuka-Nateete-24h'!M76)</f>
        <v>50</v>
      </c>
      <c r="N76" s="49">
        <f>AVERAGE('26.07 Nakawuka-Nateete-24h'!N76,'27.07 Nakawuka-Nateete-24h'!N76)</f>
        <v>0</v>
      </c>
      <c r="O76" s="31">
        <f t="shared" si="35"/>
        <v>11.5</v>
      </c>
      <c r="P76" s="31">
        <f t="shared" si="36"/>
        <v>61.5</v>
      </c>
      <c r="R76" s="8"/>
      <c r="T76"/>
    </row>
    <row r="77" spans="2:20" ht="23.1" customHeight="1" x14ac:dyDescent="0.25">
      <c r="B77" s="23" t="s">
        <v>117</v>
      </c>
      <c r="C77" s="49">
        <f>AVERAGE('26.07 Nakawuka-Nateete-24h'!C77,'27.07 Nakawuka-Nateete-24h'!C77)</f>
        <v>2.5</v>
      </c>
      <c r="D77" s="49">
        <f>AVERAGE('26.07 Nakawuka-Nateete-24h'!D77,'27.07 Nakawuka-Nateete-24h'!D77)</f>
        <v>4</v>
      </c>
      <c r="E77" s="49">
        <f>AVERAGE('26.07 Nakawuka-Nateete-24h'!E77,'27.07 Nakawuka-Nateete-24h'!E77)</f>
        <v>0.5</v>
      </c>
      <c r="F77" s="49">
        <f>AVERAGE('26.07 Nakawuka-Nateete-24h'!F77,'27.07 Nakawuka-Nateete-24h'!F77)</f>
        <v>5</v>
      </c>
      <c r="G77" s="49">
        <f>AVERAGE('26.07 Nakawuka-Nateete-24h'!G77,'27.07 Nakawuka-Nateete-24h'!G77)</f>
        <v>0</v>
      </c>
      <c r="H77" s="49">
        <f>AVERAGE('26.07 Nakawuka-Nateete-24h'!H77,'27.07 Nakawuka-Nateete-24h'!H77)</f>
        <v>0</v>
      </c>
      <c r="I77" s="49">
        <f>AVERAGE('26.07 Nakawuka-Nateete-24h'!I77,'27.07 Nakawuka-Nateete-24h'!I77)</f>
        <v>0.5</v>
      </c>
      <c r="J77" s="49">
        <f>AVERAGE('26.07 Nakawuka-Nateete-24h'!J77,'27.07 Nakawuka-Nateete-24h'!J77)</f>
        <v>0</v>
      </c>
      <c r="K77" s="49">
        <f>AVERAGE('26.07 Nakawuka-Nateete-24h'!K77,'27.07 Nakawuka-Nateete-24h'!K77)</f>
        <v>0</v>
      </c>
      <c r="L77" s="49">
        <f>AVERAGE('26.07 Nakawuka-Nateete-24h'!L77,'27.07 Nakawuka-Nateete-24h'!L77)</f>
        <v>0.5</v>
      </c>
      <c r="M77" s="49">
        <f>AVERAGE('26.07 Nakawuka-Nateete-24h'!M77,'27.07 Nakawuka-Nateete-24h'!M77)</f>
        <v>55</v>
      </c>
      <c r="N77" s="49">
        <f>AVERAGE('26.07 Nakawuka-Nateete-24h'!N77,'27.07 Nakawuka-Nateete-24h'!N77)</f>
        <v>0</v>
      </c>
      <c r="O77" s="31">
        <f t="shared" si="35"/>
        <v>13</v>
      </c>
      <c r="P77" s="31">
        <f t="shared" si="36"/>
        <v>68</v>
      </c>
      <c r="R77" s="8"/>
      <c r="T77"/>
    </row>
    <row r="78" spans="2:20" ht="23.1" customHeight="1" x14ac:dyDescent="0.25">
      <c r="B78" s="24" t="s">
        <v>118</v>
      </c>
      <c r="C78" s="49">
        <f>AVERAGE('26.07 Nakawuka-Nateete-24h'!C78,'27.07 Nakawuka-Nateete-24h'!C78)</f>
        <v>3.5</v>
      </c>
      <c r="D78" s="49">
        <f>AVERAGE('26.07 Nakawuka-Nateete-24h'!D78,'27.07 Nakawuka-Nateete-24h'!D78)</f>
        <v>5</v>
      </c>
      <c r="E78" s="49">
        <f>AVERAGE('26.07 Nakawuka-Nateete-24h'!E78,'27.07 Nakawuka-Nateete-24h'!E78)</f>
        <v>1</v>
      </c>
      <c r="F78" s="49">
        <f>AVERAGE('26.07 Nakawuka-Nateete-24h'!F78,'27.07 Nakawuka-Nateete-24h'!F78)</f>
        <v>5.5</v>
      </c>
      <c r="G78" s="49">
        <f>AVERAGE('26.07 Nakawuka-Nateete-24h'!G78,'27.07 Nakawuka-Nateete-24h'!G78)</f>
        <v>0</v>
      </c>
      <c r="H78" s="49">
        <f>AVERAGE('26.07 Nakawuka-Nateete-24h'!H78,'27.07 Nakawuka-Nateete-24h'!H78)</f>
        <v>0</v>
      </c>
      <c r="I78" s="49">
        <f>AVERAGE('26.07 Nakawuka-Nateete-24h'!I78,'27.07 Nakawuka-Nateete-24h'!I78)</f>
        <v>1.5</v>
      </c>
      <c r="J78" s="49">
        <f>AVERAGE('26.07 Nakawuka-Nateete-24h'!J78,'27.07 Nakawuka-Nateete-24h'!J78)</f>
        <v>0.5</v>
      </c>
      <c r="K78" s="49">
        <f>AVERAGE('26.07 Nakawuka-Nateete-24h'!K78,'27.07 Nakawuka-Nateete-24h'!K78)</f>
        <v>0</v>
      </c>
      <c r="L78" s="49">
        <f>AVERAGE('26.07 Nakawuka-Nateete-24h'!L78,'27.07 Nakawuka-Nateete-24h'!L78)</f>
        <v>0</v>
      </c>
      <c r="M78" s="49">
        <f>AVERAGE('26.07 Nakawuka-Nateete-24h'!M78,'27.07 Nakawuka-Nateete-24h'!M78)</f>
        <v>33</v>
      </c>
      <c r="N78" s="49">
        <f>AVERAGE('26.07 Nakawuka-Nateete-24h'!N78,'27.07 Nakawuka-Nateete-24h'!N78)</f>
        <v>0</v>
      </c>
      <c r="O78" s="31">
        <f t="shared" si="35"/>
        <v>17</v>
      </c>
      <c r="P78" s="31">
        <f t="shared" si="36"/>
        <v>50</v>
      </c>
      <c r="R78" s="8"/>
      <c r="T78"/>
    </row>
    <row r="79" spans="2:20" ht="23.1" customHeight="1" x14ac:dyDescent="0.25">
      <c r="B79" s="23" t="s">
        <v>119</v>
      </c>
      <c r="C79" s="49">
        <f>AVERAGE('26.07 Nakawuka-Nateete-24h'!C79,'27.07 Nakawuka-Nateete-24h'!C79)</f>
        <v>2.5</v>
      </c>
      <c r="D79" s="49">
        <f>AVERAGE('26.07 Nakawuka-Nateete-24h'!D79,'27.07 Nakawuka-Nateete-24h'!D79)</f>
        <v>4</v>
      </c>
      <c r="E79" s="49">
        <f>AVERAGE('26.07 Nakawuka-Nateete-24h'!E79,'27.07 Nakawuka-Nateete-24h'!E79)</f>
        <v>1</v>
      </c>
      <c r="F79" s="49">
        <f>AVERAGE('26.07 Nakawuka-Nateete-24h'!F79,'27.07 Nakawuka-Nateete-24h'!F79)</f>
        <v>2.5</v>
      </c>
      <c r="G79" s="49">
        <f>AVERAGE('26.07 Nakawuka-Nateete-24h'!G79,'27.07 Nakawuka-Nateete-24h'!G79)</f>
        <v>0</v>
      </c>
      <c r="H79" s="49">
        <f>AVERAGE('26.07 Nakawuka-Nateete-24h'!H79,'27.07 Nakawuka-Nateete-24h'!H79)</f>
        <v>0</v>
      </c>
      <c r="I79" s="49">
        <f>AVERAGE('26.07 Nakawuka-Nateete-24h'!I79,'27.07 Nakawuka-Nateete-24h'!I79)</f>
        <v>0</v>
      </c>
      <c r="J79" s="49">
        <f>AVERAGE('26.07 Nakawuka-Nateete-24h'!J79,'27.07 Nakawuka-Nateete-24h'!J79)</f>
        <v>0.5</v>
      </c>
      <c r="K79" s="49">
        <f>AVERAGE('26.07 Nakawuka-Nateete-24h'!K79,'27.07 Nakawuka-Nateete-24h'!K79)</f>
        <v>0</v>
      </c>
      <c r="L79" s="49">
        <f>AVERAGE('26.07 Nakawuka-Nateete-24h'!L79,'27.07 Nakawuka-Nateete-24h'!L79)</f>
        <v>0</v>
      </c>
      <c r="M79" s="49">
        <f>AVERAGE('26.07 Nakawuka-Nateete-24h'!M79,'27.07 Nakawuka-Nateete-24h'!M79)</f>
        <v>27</v>
      </c>
      <c r="N79" s="49">
        <f>AVERAGE('26.07 Nakawuka-Nateete-24h'!N79,'27.07 Nakawuka-Nateete-24h'!N79)</f>
        <v>0</v>
      </c>
      <c r="O79" s="31">
        <f t="shared" si="35"/>
        <v>10.5</v>
      </c>
      <c r="P79" s="31">
        <f t="shared" si="36"/>
        <v>37.5</v>
      </c>
      <c r="R79" s="8"/>
      <c r="T79"/>
    </row>
    <row r="80" spans="2:20" ht="23.1" customHeight="1" x14ac:dyDescent="0.25">
      <c r="B80" s="25" t="s">
        <v>120</v>
      </c>
      <c r="C80" s="49">
        <f>AVERAGE('26.07 Nakawuka-Nateete-24h'!C80,'27.07 Nakawuka-Nateete-24h'!C80)</f>
        <v>1</v>
      </c>
      <c r="D80" s="49">
        <f>AVERAGE('26.07 Nakawuka-Nateete-24h'!D80,'27.07 Nakawuka-Nateete-24h'!D80)</f>
        <v>3</v>
      </c>
      <c r="E80" s="49">
        <f>AVERAGE('26.07 Nakawuka-Nateete-24h'!E80,'27.07 Nakawuka-Nateete-24h'!E80)</f>
        <v>0</v>
      </c>
      <c r="F80" s="49">
        <f>AVERAGE('26.07 Nakawuka-Nateete-24h'!F80,'27.07 Nakawuka-Nateete-24h'!F80)</f>
        <v>3</v>
      </c>
      <c r="G80" s="49">
        <f>AVERAGE('26.07 Nakawuka-Nateete-24h'!G80,'27.07 Nakawuka-Nateete-24h'!G80)</f>
        <v>0</v>
      </c>
      <c r="H80" s="49">
        <f>AVERAGE('26.07 Nakawuka-Nateete-24h'!H80,'27.07 Nakawuka-Nateete-24h'!H80)</f>
        <v>0</v>
      </c>
      <c r="I80" s="49">
        <f>AVERAGE('26.07 Nakawuka-Nateete-24h'!I80,'27.07 Nakawuka-Nateete-24h'!I80)</f>
        <v>0</v>
      </c>
      <c r="J80" s="49">
        <f>AVERAGE('26.07 Nakawuka-Nateete-24h'!J80,'27.07 Nakawuka-Nateete-24h'!J80)</f>
        <v>0</v>
      </c>
      <c r="K80" s="49">
        <f>AVERAGE('26.07 Nakawuka-Nateete-24h'!K80,'27.07 Nakawuka-Nateete-24h'!K80)</f>
        <v>0.5</v>
      </c>
      <c r="L80" s="49">
        <f>AVERAGE('26.07 Nakawuka-Nateete-24h'!L80,'27.07 Nakawuka-Nateete-24h'!L80)</f>
        <v>0</v>
      </c>
      <c r="M80" s="49">
        <f>AVERAGE('26.07 Nakawuka-Nateete-24h'!M80,'27.07 Nakawuka-Nateete-24h'!M80)</f>
        <v>13</v>
      </c>
      <c r="N80" s="49">
        <f>AVERAGE('26.07 Nakawuka-Nateete-24h'!N80,'27.07 Nakawuka-Nateete-24h'!N80)</f>
        <v>0</v>
      </c>
      <c r="O80" s="31">
        <f t="shared" si="35"/>
        <v>7.5</v>
      </c>
      <c r="P80" s="31">
        <f t="shared" si="36"/>
        <v>20.5</v>
      </c>
      <c r="R80" s="8"/>
      <c r="T80"/>
    </row>
    <row r="81" spans="2:20" ht="23.1" customHeight="1" x14ac:dyDescent="0.25">
      <c r="B81" s="23" t="s">
        <v>121</v>
      </c>
      <c r="C81" s="49">
        <f>AVERAGE('26.07 Nakawuka-Nateete-24h'!C81,'27.07 Nakawuka-Nateete-24h'!C81)</f>
        <v>0.5</v>
      </c>
      <c r="D81" s="49">
        <f>AVERAGE('26.07 Nakawuka-Nateete-24h'!D81,'27.07 Nakawuka-Nateete-24h'!D81)</f>
        <v>2</v>
      </c>
      <c r="E81" s="49">
        <f>AVERAGE('26.07 Nakawuka-Nateete-24h'!E81,'27.07 Nakawuka-Nateete-24h'!E81)</f>
        <v>1</v>
      </c>
      <c r="F81" s="49">
        <f>AVERAGE('26.07 Nakawuka-Nateete-24h'!F81,'27.07 Nakawuka-Nateete-24h'!F81)</f>
        <v>2.5</v>
      </c>
      <c r="G81" s="49">
        <f>AVERAGE('26.07 Nakawuka-Nateete-24h'!G81,'27.07 Nakawuka-Nateete-24h'!G81)</f>
        <v>0</v>
      </c>
      <c r="H81" s="49">
        <f>AVERAGE('26.07 Nakawuka-Nateete-24h'!H81,'27.07 Nakawuka-Nateete-24h'!H81)</f>
        <v>0</v>
      </c>
      <c r="I81" s="49">
        <f>AVERAGE('26.07 Nakawuka-Nateete-24h'!I81,'27.07 Nakawuka-Nateete-24h'!I81)</f>
        <v>0</v>
      </c>
      <c r="J81" s="49">
        <f>AVERAGE('26.07 Nakawuka-Nateete-24h'!J81,'27.07 Nakawuka-Nateete-24h'!J81)</f>
        <v>0</v>
      </c>
      <c r="K81" s="49">
        <f>AVERAGE('26.07 Nakawuka-Nateete-24h'!K81,'27.07 Nakawuka-Nateete-24h'!K81)</f>
        <v>0</v>
      </c>
      <c r="L81" s="49">
        <f>AVERAGE('26.07 Nakawuka-Nateete-24h'!L81,'27.07 Nakawuka-Nateete-24h'!L81)</f>
        <v>0</v>
      </c>
      <c r="M81" s="49">
        <f>AVERAGE('26.07 Nakawuka-Nateete-24h'!M81,'27.07 Nakawuka-Nateete-24h'!M81)</f>
        <v>15.5</v>
      </c>
      <c r="N81" s="49">
        <f>AVERAGE('26.07 Nakawuka-Nateete-24h'!N81,'27.07 Nakawuka-Nateete-24h'!N81)</f>
        <v>0</v>
      </c>
      <c r="O81" s="31">
        <f t="shared" si="35"/>
        <v>6</v>
      </c>
      <c r="P81" s="31">
        <f t="shared" si="36"/>
        <v>21.5</v>
      </c>
      <c r="R81" s="8"/>
      <c r="T81"/>
    </row>
    <row r="82" spans="2:20" ht="23.1" customHeight="1" x14ac:dyDescent="0.25">
      <c r="B82" s="24" t="s">
        <v>122</v>
      </c>
      <c r="C82" s="49">
        <f>AVERAGE('26.07 Nakawuka-Nateete-24h'!C82,'27.07 Nakawuka-Nateete-24h'!C82)</f>
        <v>16</v>
      </c>
      <c r="D82" s="49">
        <f>AVERAGE('26.07 Nakawuka-Nateete-24h'!D82,'27.07 Nakawuka-Nateete-24h'!D82)</f>
        <v>2</v>
      </c>
      <c r="E82" s="49">
        <f>AVERAGE('26.07 Nakawuka-Nateete-24h'!E82,'27.07 Nakawuka-Nateete-24h'!E82)</f>
        <v>0.5</v>
      </c>
      <c r="F82" s="49">
        <f>AVERAGE('26.07 Nakawuka-Nateete-24h'!F82,'27.07 Nakawuka-Nateete-24h'!F82)</f>
        <v>3.5</v>
      </c>
      <c r="G82" s="49">
        <f>AVERAGE('26.07 Nakawuka-Nateete-24h'!G82,'27.07 Nakawuka-Nateete-24h'!G82)</f>
        <v>0</v>
      </c>
      <c r="H82" s="49">
        <f>AVERAGE('26.07 Nakawuka-Nateete-24h'!H82,'27.07 Nakawuka-Nateete-24h'!H82)</f>
        <v>0</v>
      </c>
      <c r="I82" s="49">
        <f>AVERAGE('26.07 Nakawuka-Nateete-24h'!I82,'27.07 Nakawuka-Nateete-24h'!I82)</f>
        <v>0</v>
      </c>
      <c r="J82" s="49">
        <f>AVERAGE('26.07 Nakawuka-Nateete-24h'!J82,'27.07 Nakawuka-Nateete-24h'!J82)</f>
        <v>0</v>
      </c>
      <c r="K82" s="49">
        <f>AVERAGE('26.07 Nakawuka-Nateete-24h'!K82,'27.07 Nakawuka-Nateete-24h'!K82)</f>
        <v>0</v>
      </c>
      <c r="L82" s="49">
        <f>AVERAGE('26.07 Nakawuka-Nateete-24h'!L82,'27.07 Nakawuka-Nateete-24h'!L82)</f>
        <v>0</v>
      </c>
      <c r="M82" s="49">
        <f>AVERAGE('26.07 Nakawuka-Nateete-24h'!M82,'27.07 Nakawuka-Nateete-24h'!M82)</f>
        <v>32</v>
      </c>
      <c r="N82" s="49">
        <f>AVERAGE('26.07 Nakawuka-Nateete-24h'!N82,'27.07 Nakawuka-Nateete-24h'!N82)</f>
        <v>0</v>
      </c>
      <c r="O82" s="31">
        <f t="shared" si="35"/>
        <v>22</v>
      </c>
      <c r="P82" s="31">
        <f t="shared" si="36"/>
        <v>54</v>
      </c>
      <c r="R82" s="8"/>
      <c r="T82"/>
    </row>
    <row r="83" spans="2:20" ht="23.1" customHeight="1" x14ac:dyDescent="0.25">
      <c r="B83" s="23" t="s">
        <v>123</v>
      </c>
      <c r="C83" s="49">
        <f>AVERAGE('26.07 Nakawuka-Nateete-24h'!C83,'27.07 Nakawuka-Nateete-24h'!C83)</f>
        <v>1.5</v>
      </c>
      <c r="D83" s="49">
        <f>AVERAGE('26.07 Nakawuka-Nateete-24h'!D83,'27.07 Nakawuka-Nateete-24h'!D83)</f>
        <v>1</v>
      </c>
      <c r="E83" s="49">
        <f>AVERAGE('26.07 Nakawuka-Nateete-24h'!E83,'27.07 Nakawuka-Nateete-24h'!E83)</f>
        <v>0</v>
      </c>
      <c r="F83" s="49">
        <f>AVERAGE('26.07 Nakawuka-Nateete-24h'!F83,'27.07 Nakawuka-Nateete-24h'!F83)</f>
        <v>1.5</v>
      </c>
      <c r="G83" s="49">
        <f>AVERAGE('26.07 Nakawuka-Nateete-24h'!G83,'27.07 Nakawuka-Nateete-24h'!G83)</f>
        <v>0</v>
      </c>
      <c r="H83" s="49">
        <f>AVERAGE('26.07 Nakawuka-Nateete-24h'!H83,'27.07 Nakawuka-Nateete-24h'!H83)</f>
        <v>0</v>
      </c>
      <c r="I83" s="49">
        <f>AVERAGE('26.07 Nakawuka-Nateete-24h'!I83,'27.07 Nakawuka-Nateete-24h'!I83)</f>
        <v>0.5</v>
      </c>
      <c r="J83" s="49">
        <f>AVERAGE('26.07 Nakawuka-Nateete-24h'!J83,'27.07 Nakawuka-Nateete-24h'!J83)</f>
        <v>0.5</v>
      </c>
      <c r="K83" s="49">
        <f>AVERAGE('26.07 Nakawuka-Nateete-24h'!K83,'27.07 Nakawuka-Nateete-24h'!K83)</f>
        <v>0.5</v>
      </c>
      <c r="L83" s="49">
        <f>AVERAGE('26.07 Nakawuka-Nateete-24h'!L83,'27.07 Nakawuka-Nateete-24h'!L83)</f>
        <v>0</v>
      </c>
      <c r="M83" s="49">
        <f>AVERAGE('26.07 Nakawuka-Nateete-24h'!M83,'27.07 Nakawuka-Nateete-24h'!M83)</f>
        <v>26.5</v>
      </c>
      <c r="N83" s="49">
        <f>AVERAGE('26.07 Nakawuka-Nateete-24h'!N83,'27.07 Nakawuka-Nateete-24h'!N83)</f>
        <v>0</v>
      </c>
      <c r="O83" s="31">
        <f t="shared" si="35"/>
        <v>5.5</v>
      </c>
      <c r="P83" s="31">
        <f t="shared" si="36"/>
        <v>32</v>
      </c>
      <c r="R83" s="8"/>
      <c r="T83"/>
    </row>
    <row r="84" spans="2:20" ht="23.1" customHeight="1" x14ac:dyDescent="0.25">
      <c r="B84" s="25" t="s">
        <v>124</v>
      </c>
      <c r="C84" s="49">
        <f>AVERAGE('26.07 Nakawuka-Nateete-24h'!C84,'27.07 Nakawuka-Nateete-24h'!C84)</f>
        <v>1.5</v>
      </c>
      <c r="D84" s="49">
        <f>AVERAGE('26.07 Nakawuka-Nateete-24h'!D84,'27.07 Nakawuka-Nateete-24h'!D84)</f>
        <v>1.5</v>
      </c>
      <c r="E84" s="49">
        <f>AVERAGE('26.07 Nakawuka-Nateete-24h'!E84,'27.07 Nakawuka-Nateete-24h'!E84)</f>
        <v>1.5</v>
      </c>
      <c r="F84" s="49">
        <f>AVERAGE('26.07 Nakawuka-Nateete-24h'!F84,'27.07 Nakawuka-Nateete-24h'!F84)</f>
        <v>2.5</v>
      </c>
      <c r="G84" s="49">
        <f>AVERAGE('26.07 Nakawuka-Nateete-24h'!G84,'27.07 Nakawuka-Nateete-24h'!G84)</f>
        <v>0</v>
      </c>
      <c r="H84" s="49">
        <f>AVERAGE('26.07 Nakawuka-Nateete-24h'!H84,'27.07 Nakawuka-Nateete-24h'!H84)</f>
        <v>0</v>
      </c>
      <c r="I84" s="49">
        <f>AVERAGE('26.07 Nakawuka-Nateete-24h'!I84,'27.07 Nakawuka-Nateete-24h'!I84)</f>
        <v>0</v>
      </c>
      <c r="J84" s="49">
        <f>AVERAGE('26.07 Nakawuka-Nateete-24h'!J84,'27.07 Nakawuka-Nateete-24h'!J84)</f>
        <v>1.5</v>
      </c>
      <c r="K84" s="49">
        <f>AVERAGE('26.07 Nakawuka-Nateete-24h'!K84,'27.07 Nakawuka-Nateete-24h'!K84)</f>
        <v>0</v>
      </c>
      <c r="L84" s="49">
        <f>AVERAGE('26.07 Nakawuka-Nateete-24h'!L84,'27.07 Nakawuka-Nateete-24h'!L84)</f>
        <v>0</v>
      </c>
      <c r="M84" s="49">
        <f>AVERAGE('26.07 Nakawuka-Nateete-24h'!M84,'27.07 Nakawuka-Nateete-24h'!M84)</f>
        <v>33</v>
      </c>
      <c r="N84" s="49">
        <f>AVERAGE('26.07 Nakawuka-Nateete-24h'!N84,'27.07 Nakawuka-Nateete-24h'!N84)</f>
        <v>0</v>
      </c>
      <c r="O84" s="31">
        <f t="shared" si="35"/>
        <v>8.5</v>
      </c>
      <c r="P84" s="31">
        <f t="shared" si="36"/>
        <v>41.5</v>
      </c>
      <c r="R84" s="8"/>
      <c r="T84"/>
    </row>
    <row r="85" spans="2:20" ht="23.1" customHeight="1" x14ac:dyDescent="0.25">
      <c r="B85" s="23" t="s">
        <v>125</v>
      </c>
      <c r="C85" s="49">
        <f>AVERAGE('26.07 Nakawuka-Nateete-24h'!C85,'27.07 Nakawuka-Nateete-24h'!C85)</f>
        <v>1</v>
      </c>
      <c r="D85" s="49">
        <f>AVERAGE('26.07 Nakawuka-Nateete-24h'!D85,'27.07 Nakawuka-Nateete-24h'!D85)</f>
        <v>3.5</v>
      </c>
      <c r="E85" s="49">
        <f>AVERAGE('26.07 Nakawuka-Nateete-24h'!E85,'27.07 Nakawuka-Nateete-24h'!E85)</f>
        <v>0</v>
      </c>
      <c r="F85" s="49">
        <f>AVERAGE('26.07 Nakawuka-Nateete-24h'!F85,'27.07 Nakawuka-Nateete-24h'!F85)</f>
        <v>1.5</v>
      </c>
      <c r="G85" s="49">
        <f>AVERAGE('26.07 Nakawuka-Nateete-24h'!G85,'27.07 Nakawuka-Nateete-24h'!G85)</f>
        <v>0</v>
      </c>
      <c r="H85" s="49">
        <f>AVERAGE('26.07 Nakawuka-Nateete-24h'!H85,'27.07 Nakawuka-Nateete-24h'!H85)</f>
        <v>0</v>
      </c>
      <c r="I85" s="49">
        <f>AVERAGE('26.07 Nakawuka-Nateete-24h'!I85,'27.07 Nakawuka-Nateete-24h'!I85)</f>
        <v>0.5</v>
      </c>
      <c r="J85" s="49">
        <f>AVERAGE('26.07 Nakawuka-Nateete-24h'!J85,'27.07 Nakawuka-Nateete-24h'!J85)</f>
        <v>0.5</v>
      </c>
      <c r="K85" s="49">
        <f>AVERAGE('26.07 Nakawuka-Nateete-24h'!K85,'27.07 Nakawuka-Nateete-24h'!K85)</f>
        <v>0</v>
      </c>
      <c r="L85" s="49">
        <f>AVERAGE('26.07 Nakawuka-Nateete-24h'!L85,'27.07 Nakawuka-Nateete-24h'!L85)</f>
        <v>0</v>
      </c>
      <c r="M85" s="49">
        <f>AVERAGE('26.07 Nakawuka-Nateete-24h'!M85,'27.07 Nakawuka-Nateete-24h'!M85)</f>
        <v>14.5</v>
      </c>
      <c r="N85" s="49">
        <f>AVERAGE('26.07 Nakawuka-Nateete-24h'!N85,'27.07 Nakawuka-Nateete-24h'!N85)</f>
        <v>0</v>
      </c>
      <c r="O85" s="31">
        <f t="shared" si="35"/>
        <v>7</v>
      </c>
      <c r="P85" s="31">
        <f t="shared" si="36"/>
        <v>21.5</v>
      </c>
      <c r="R85" s="8"/>
      <c r="T85"/>
    </row>
    <row r="86" spans="2:20" ht="23.1" customHeight="1" x14ac:dyDescent="0.25">
      <c r="B86" s="24" t="s">
        <v>126</v>
      </c>
      <c r="C86" s="49">
        <f>AVERAGE('26.07 Nakawuka-Nateete-24h'!C86,'27.07 Nakawuka-Nateete-24h'!C86)</f>
        <v>1.5</v>
      </c>
      <c r="D86" s="49">
        <f>AVERAGE('26.07 Nakawuka-Nateete-24h'!D86,'27.07 Nakawuka-Nateete-24h'!D86)</f>
        <v>2.5</v>
      </c>
      <c r="E86" s="49">
        <f>AVERAGE('26.07 Nakawuka-Nateete-24h'!E86,'27.07 Nakawuka-Nateete-24h'!E86)</f>
        <v>0</v>
      </c>
      <c r="F86" s="49">
        <f>AVERAGE('26.07 Nakawuka-Nateete-24h'!F86,'27.07 Nakawuka-Nateete-24h'!F86)</f>
        <v>1.5</v>
      </c>
      <c r="G86" s="49">
        <f>AVERAGE('26.07 Nakawuka-Nateete-24h'!G86,'27.07 Nakawuka-Nateete-24h'!G86)</f>
        <v>0</v>
      </c>
      <c r="H86" s="49">
        <f>AVERAGE('26.07 Nakawuka-Nateete-24h'!H86,'27.07 Nakawuka-Nateete-24h'!H86)</f>
        <v>0</v>
      </c>
      <c r="I86" s="49">
        <f>AVERAGE('26.07 Nakawuka-Nateete-24h'!I86,'27.07 Nakawuka-Nateete-24h'!I86)</f>
        <v>2</v>
      </c>
      <c r="J86" s="49">
        <f>AVERAGE('26.07 Nakawuka-Nateete-24h'!J86,'27.07 Nakawuka-Nateete-24h'!J86)</f>
        <v>0</v>
      </c>
      <c r="K86" s="49">
        <f>AVERAGE('26.07 Nakawuka-Nateete-24h'!K86,'27.07 Nakawuka-Nateete-24h'!K86)</f>
        <v>0</v>
      </c>
      <c r="L86" s="49">
        <f>AVERAGE('26.07 Nakawuka-Nateete-24h'!L86,'27.07 Nakawuka-Nateete-24h'!L86)</f>
        <v>0</v>
      </c>
      <c r="M86" s="49">
        <f>AVERAGE('26.07 Nakawuka-Nateete-24h'!M86,'27.07 Nakawuka-Nateete-24h'!M86)</f>
        <v>19</v>
      </c>
      <c r="N86" s="49">
        <f>AVERAGE('26.07 Nakawuka-Nateete-24h'!N86,'27.07 Nakawuka-Nateete-24h'!N86)</f>
        <v>0</v>
      </c>
      <c r="O86" s="31">
        <f t="shared" si="35"/>
        <v>7.5</v>
      </c>
      <c r="P86" s="31">
        <f t="shared" si="36"/>
        <v>26.5</v>
      </c>
      <c r="R86" s="8"/>
      <c r="T86"/>
    </row>
    <row r="87" spans="2:20" ht="23.1" customHeight="1" x14ac:dyDescent="0.25">
      <c r="B87" s="23" t="s">
        <v>127</v>
      </c>
      <c r="C87" s="49">
        <f>AVERAGE('26.07 Nakawuka-Nateete-24h'!C87,'27.07 Nakawuka-Nateete-24h'!C87)</f>
        <v>2</v>
      </c>
      <c r="D87" s="49">
        <f>AVERAGE('26.07 Nakawuka-Nateete-24h'!D87,'27.07 Nakawuka-Nateete-24h'!D87)</f>
        <v>1.5</v>
      </c>
      <c r="E87" s="49">
        <f>AVERAGE('26.07 Nakawuka-Nateete-24h'!E87,'27.07 Nakawuka-Nateete-24h'!E87)</f>
        <v>0</v>
      </c>
      <c r="F87" s="49">
        <f>AVERAGE('26.07 Nakawuka-Nateete-24h'!F87,'27.07 Nakawuka-Nateete-24h'!F87)</f>
        <v>2</v>
      </c>
      <c r="G87" s="49">
        <f>AVERAGE('26.07 Nakawuka-Nateete-24h'!G87,'27.07 Nakawuka-Nateete-24h'!G87)</f>
        <v>0</v>
      </c>
      <c r="H87" s="49">
        <f>AVERAGE('26.07 Nakawuka-Nateete-24h'!H87,'27.07 Nakawuka-Nateete-24h'!H87)</f>
        <v>0</v>
      </c>
      <c r="I87" s="49">
        <f>AVERAGE('26.07 Nakawuka-Nateete-24h'!I87,'27.07 Nakawuka-Nateete-24h'!I87)</f>
        <v>0.5</v>
      </c>
      <c r="J87" s="49">
        <f>AVERAGE('26.07 Nakawuka-Nateete-24h'!J87,'27.07 Nakawuka-Nateete-24h'!J87)</f>
        <v>0</v>
      </c>
      <c r="K87" s="49">
        <f>AVERAGE('26.07 Nakawuka-Nateete-24h'!K87,'27.07 Nakawuka-Nateete-24h'!K87)</f>
        <v>0</v>
      </c>
      <c r="L87" s="49">
        <f>AVERAGE('26.07 Nakawuka-Nateete-24h'!L87,'27.07 Nakawuka-Nateete-24h'!L87)</f>
        <v>0</v>
      </c>
      <c r="M87" s="49">
        <f>AVERAGE('26.07 Nakawuka-Nateete-24h'!M87,'27.07 Nakawuka-Nateete-24h'!M87)</f>
        <v>38</v>
      </c>
      <c r="N87" s="49">
        <f>AVERAGE('26.07 Nakawuka-Nateete-24h'!N87,'27.07 Nakawuka-Nateete-24h'!N87)</f>
        <v>0</v>
      </c>
      <c r="O87" s="31">
        <f t="shared" si="35"/>
        <v>6</v>
      </c>
      <c r="P87" s="31">
        <f t="shared" si="36"/>
        <v>44</v>
      </c>
      <c r="R87" s="8"/>
      <c r="T87"/>
    </row>
    <row r="88" spans="2:20" ht="23.1" customHeight="1" x14ac:dyDescent="0.25">
      <c r="B88" s="25" t="s">
        <v>128</v>
      </c>
      <c r="C88" s="49">
        <f>AVERAGE('26.07 Nakawuka-Nateete-24h'!C88,'27.07 Nakawuka-Nateete-24h'!C88)</f>
        <v>1</v>
      </c>
      <c r="D88" s="49">
        <f>AVERAGE('26.07 Nakawuka-Nateete-24h'!D88,'27.07 Nakawuka-Nateete-24h'!D88)</f>
        <v>1.5</v>
      </c>
      <c r="E88" s="49">
        <f>AVERAGE('26.07 Nakawuka-Nateete-24h'!E88,'27.07 Nakawuka-Nateete-24h'!E88)</f>
        <v>0.5</v>
      </c>
      <c r="F88" s="49">
        <f>AVERAGE('26.07 Nakawuka-Nateete-24h'!F88,'27.07 Nakawuka-Nateete-24h'!F88)</f>
        <v>0</v>
      </c>
      <c r="G88" s="49">
        <f>AVERAGE('26.07 Nakawuka-Nateete-24h'!G88,'27.07 Nakawuka-Nateete-24h'!G88)</f>
        <v>0</v>
      </c>
      <c r="H88" s="49">
        <f>AVERAGE('26.07 Nakawuka-Nateete-24h'!H88,'27.07 Nakawuka-Nateete-24h'!H88)</f>
        <v>0</v>
      </c>
      <c r="I88" s="49">
        <f>AVERAGE('26.07 Nakawuka-Nateete-24h'!I88,'27.07 Nakawuka-Nateete-24h'!I88)</f>
        <v>0</v>
      </c>
      <c r="J88" s="49">
        <f>AVERAGE('26.07 Nakawuka-Nateete-24h'!J88,'27.07 Nakawuka-Nateete-24h'!J88)</f>
        <v>0</v>
      </c>
      <c r="K88" s="49">
        <f>AVERAGE('26.07 Nakawuka-Nateete-24h'!K88,'27.07 Nakawuka-Nateete-24h'!K88)</f>
        <v>0.5</v>
      </c>
      <c r="L88" s="49">
        <f>AVERAGE('26.07 Nakawuka-Nateete-24h'!L88,'27.07 Nakawuka-Nateete-24h'!L88)</f>
        <v>0</v>
      </c>
      <c r="M88" s="49">
        <f>AVERAGE('26.07 Nakawuka-Nateete-24h'!M88,'27.07 Nakawuka-Nateete-24h'!M88)</f>
        <v>20.5</v>
      </c>
      <c r="N88" s="49">
        <f>AVERAGE('26.07 Nakawuka-Nateete-24h'!N88,'27.07 Nakawuka-Nateete-24h'!N88)</f>
        <v>0</v>
      </c>
      <c r="O88" s="31">
        <f t="shared" si="35"/>
        <v>3.5</v>
      </c>
      <c r="P88" s="31">
        <f t="shared" si="36"/>
        <v>24</v>
      </c>
      <c r="R88" s="8"/>
      <c r="T88"/>
    </row>
    <row r="89" spans="2:20" ht="23.1" customHeight="1" x14ac:dyDescent="0.25">
      <c r="B89" s="23" t="s">
        <v>129</v>
      </c>
      <c r="C89" s="49">
        <f>AVERAGE('26.07 Nakawuka-Nateete-24h'!C89,'27.07 Nakawuka-Nateete-24h'!C89)</f>
        <v>1.5</v>
      </c>
      <c r="D89" s="49">
        <f>AVERAGE('26.07 Nakawuka-Nateete-24h'!D89,'27.07 Nakawuka-Nateete-24h'!D89)</f>
        <v>0.5</v>
      </c>
      <c r="E89" s="49">
        <f>AVERAGE('26.07 Nakawuka-Nateete-24h'!E89,'27.07 Nakawuka-Nateete-24h'!E89)</f>
        <v>0</v>
      </c>
      <c r="F89" s="49">
        <f>AVERAGE('26.07 Nakawuka-Nateete-24h'!F89,'27.07 Nakawuka-Nateete-24h'!F89)</f>
        <v>0</v>
      </c>
      <c r="G89" s="49">
        <f>AVERAGE('26.07 Nakawuka-Nateete-24h'!G89,'27.07 Nakawuka-Nateete-24h'!G89)</f>
        <v>0</v>
      </c>
      <c r="H89" s="49">
        <f>AVERAGE('26.07 Nakawuka-Nateete-24h'!H89,'27.07 Nakawuka-Nateete-24h'!H89)</f>
        <v>0</v>
      </c>
      <c r="I89" s="49">
        <f>AVERAGE('26.07 Nakawuka-Nateete-24h'!I89,'27.07 Nakawuka-Nateete-24h'!I89)</f>
        <v>0.5</v>
      </c>
      <c r="J89" s="49">
        <f>AVERAGE('26.07 Nakawuka-Nateete-24h'!J89,'27.07 Nakawuka-Nateete-24h'!J89)</f>
        <v>1</v>
      </c>
      <c r="K89" s="49">
        <f>AVERAGE('26.07 Nakawuka-Nateete-24h'!K89,'27.07 Nakawuka-Nateete-24h'!K89)</f>
        <v>0</v>
      </c>
      <c r="L89" s="49">
        <f>AVERAGE('26.07 Nakawuka-Nateete-24h'!L89,'27.07 Nakawuka-Nateete-24h'!L89)</f>
        <v>0</v>
      </c>
      <c r="M89" s="49">
        <f>AVERAGE('26.07 Nakawuka-Nateete-24h'!M89,'27.07 Nakawuka-Nateete-24h'!M89)</f>
        <v>30.5</v>
      </c>
      <c r="N89" s="49">
        <f>AVERAGE('26.07 Nakawuka-Nateete-24h'!N89,'27.07 Nakawuka-Nateete-24h'!N89)</f>
        <v>0</v>
      </c>
      <c r="O89" s="31">
        <f t="shared" si="35"/>
        <v>3.5</v>
      </c>
      <c r="P89" s="31">
        <f t="shared" si="36"/>
        <v>34</v>
      </c>
      <c r="R89" s="8"/>
      <c r="T89"/>
    </row>
    <row r="90" spans="2:20" ht="23.1" customHeight="1" x14ac:dyDescent="0.25">
      <c r="B90" s="24" t="s">
        <v>130</v>
      </c>
      <c r="C90" s="49">
        <f>AVERAGE('26.07 Nakawuka-Nateete-24h'!C90,'27.07 Nakawuka-Nateete-24h'!C90)</f>
        <v>1</v>
      </c>
      <c r="D90" s="49">
        <f>AVERAGE('26.07 Nakawuka-Nateete-24h'!D90,'27.07 Nakawuka-Nateete-24h'!D90)</f>
        <v>1.5</v>
      </c>
      <c r="E90" s="49">
        <f>AVERAGE('26.07 Nakawuka-Nateete-24h'!E90,'27.07 Nakawuka-Nateete-24h'!E90)</f>
        <v>1.5</v>
      </c>
      <c r="F90" s="49">
        <f>AVERAGE('26.07 Nakawuka-Nateete-24h'!F90,'27.07 Nakawuka-Nateete-24h'!F90)</f>
        <v>0.5</v>
      </c>
      <c r="G90" s="49">
        <f>AVERAGE('26.07 Nakawuka-Nateete-24h'!G90,'27.07 Nakawuka-Nateete-24h'!G90)</f>
        <v>0</v>
      </c>
      <c r="H90" s="49">
        <f>AVERAGE('26.07 Nakawuka-Nateete-24h'!H90,'27.07 Nakawuka-Nateete-24h'!H90)</f>
        <v>0</v>
      </c>
      <c r="I90" s="49">
        <f>AVERAGE('26.07 Nakawuka-Nateete-24h'!I90,'27.07 Nakawuka-Nateete-24h'!I90)</f>
        <v>0</v>
      </c>
      <c r="J90" s="49">
        <f>AVERAGE('26.07 Nakawuka-Nateete-24h'!J90,'27.07 Nakawuka-Nateete-24h'!J90)</f>
        <v>1</v>
      </c>
      <c r="K90" s="49">
        <f>AVERAGE('26.07 Nakawuka-Nateete-24h'!K90,'27.07 Nakawuka-Nateete-24h'!K90)</f>
        <v>0</v>
      </c>
      <c r="L90" s="49">
        <f>AVERAGE('26.07 Nakawuka-Nateete-24h'!L90,'27.07 Nakawuka-Nateete-24h'!L90)</f>
        <v>0</v>
      </c>
      <c r="M90" s="49">
        <f>AVERAGE('26.07 Nakawuka-Nateete-24h'!M90,'27.07 Nakawuka-Nateete-24h'!M90)</f>
        <v>29</v>
      </c>
      <c r="N90" s="49">
        <f>AVERAGE('26.07 Nakawuka-Nateete-24h'!N90,'27.07 Nakawuka-Nateete-24h'!N90)</f>
        <v>0</v>
      </c>
      <c r="O90" s="31">
        <f t="shared" si="35"/>
        <v>5.5</v>
      </c>
      <c r="P90" s="31">
        <f t="shared" si="36"/>
        <v>34.5</v>
      </c>
      <c r="R90" s="8"/>
      <c r="T90"/>
    </row>
    <row r="91" spans="2:20" ht="23.1" customHeight="1" x14ac:dyDescent="0.25">
      <c r="B91" s="23" t="s">
        <v>131</v>
      </c>
      <c r="C91" s="49">
        <f>AVERAGE('26.07 Nakawuka-Nateete-24h'!C91,'27.07 Nakawuka-Nateete-24h'!C91)</f>
        <v>1</v>
      </c>
      <c r="D91" s="49">
        <f>AVERAGE('26.07 Nakawuka-Nateete-24h'!D91,'27.07 Nakawuka-Nateete-24h'!D91)</f>
        <v>0</v>
      </c>
      <c r="E91" s="49">
        <f>AVERAGE('26.07 Nakawuka-Nateete-24h'!E91,'27.07 Nakawuka-Nateete-24h'!E91)</f>
        <v>0.5</v>
      </c>
      <c r="F91" s="49">
        <f>AVERAGE('26.07 Nakawuka-Nateete-24h'!F91,'27.07 Nakawuka-Nateete-24h'!F91)</f>
        <v>0.5</v>
      </c>
      <c r="G91" s="49">
        <f>AVERAGE('26.07 Nakawuka-Nateete-24h'!G91,'27.07 Nakawuka-Nateete-24h'!G91)</f>
        <v>0</v>
      </c>
      <c r="H91" s="49">
        <f>AVERAGE('26.07 Nakawuka-Nateete-24h'!H91,'27.07 Nakawuka-Nateete-24h'!H91)</f>
        <v>0</v>
      </c>
      <c r="I91" s="49">
        <f>AVERAGE('26.07 Nakawuka-Nateete-24h'!I91,'27.07 Nakawuka-Nateete-24h'!I91)</f>
        <v>0.5</v>
      </c>
      <c r="J91" s="49">
        <f>AVERAGE('26.07 Nakawuka-Nateete-24h'!J91,'27.07 Nakawuka-Nateete-24h'!J91)</f>
        <v>0</v>
      </c>
      <c r="K91" s="49">
        <f>AVERAGE('26.07 Nakawuka-Nateete-24h'!K91,'27.07 Nakawuka-Nateete-24h'!K91)</f>
        <v>0.5</v>
      </c>
      <c r="L91" s="49">
        <f>AVERAGE('26.07 Nakawuka-Nateete-24h'!L91,'27.07 Nakawuka-Nateete-24h'!L91)</f>
        <v>8</v>
      </c>
      <c r="M91" s="49">
        <f>AVERAGE('26.07 Nakawuka-Nateete-24h'!M91,'27.07 Nakawuka-Nateete-24h'!M91)</f>
        <v>18</v>
      </c>
      <c r="N91" s="49">
        <f>AVERAGE('26.07 Nakawuka-Nateete-24h'!N91,'27.07 Nakawuka-Nateete-24h'!N91)</f>
        <v>0</v>
      </c>
      <c r="O91" s="31">
        <f t="shared" si="35"/>
        <v>11</v>
      </c>
      <c r="P91" s="31">
        <f t="shared" si="36"/>
        <v>29</v>
      </c>
      <c r="R91" s="8"/>
      <c r="T91"/>
    </row>
    <row r="92" spans="2:20" ht="23.1" customHeight="1" x14ac:dyDescent="0.25">
      <c r="B92" s="25" t="s">
        <v>132</v>
      </c>
      <c r="C92" s="49">
        <f>AVERAGE('26.07 Nakawuka-Nateete-24h'!C92,'27.07 Nakawuka-Nateete-24h'!C92)</f>
        <v>2.5</v>
      </c>
      <c r="D92" s="49">
        <f>AVERAGE('26.07 Nakawuka-Nateete-24h'!D92,'27.07 Nakawuka-Nateete-24h'!D92)</f>
        <v>0.5</v>
      </c>
      <c r="E92" s="49">
        <f>AVERAGE('26.07 Nakawuka-Nateete-24h'!E92,'27.07 Nakawuka-Nateete-24h'!E92)</f>
        <v>0</v>
      </c>
      <c r="F92" s="49">
        <f>AVERAGE('26.07 Nakawuka-Nateete-24h'!F92,'27.07 Nakawuka-Nateete-24h'!F92)</f>
        <v>1</v>
      </c>
      <c r="G92" s="49">
        <f>AVERAGE('26.07 Nakawuka-Nateete-24h'!G92,'27.07 Nakawuka-Nateete-24h'!G92)</f>
        <v>0</v>
      </c>
      <c r="H92" s="49">
        <f>AVERAGE('26.07 Nakawuka-Nateete-24h'!H92,'27.07 Nakawuka-Nateete-24h'!H92)</f>
        <v>0</v>
      </c>
      <c r="I92" s="49">
        <f>AVERAGE('26.07 Nakawuka-Nateete-24h'!I92,'27.07 Nakawuka-Nateete-24h'!I92)</f>
        <v>0</v>
      </c>
      <c r="J92" s="49">
        <f>AVERAGE('26.07 Nakawuka-Nateete-24h'!J92,'27.07 Nakawuka-Nateete-24h'!J92)</f>
        <v>0.5</v>
      </c>
      <c r="K92" s="49">
        <f>AVERAGE('26.07 Nakawuka-Nateete-24h'!K92,'27.07 Nakawuka-Nateete-24h'!K92)</f>
        <v>0.5</v>
      </c>
      <c r="L92" s="49">
        <f>AVERAGE('26.07 Nakawuka-Nateete-24h'!L92,'27.07 Nakawuka-Nateete-24h'!L92)</f>
        <v>7.5</v>
      </c>
      <c r="M92" s="49">
        <f>AVERAGE('26.07 Nakawuka-Nateete-24h'!M92,'27.07 Nakawuka-Nateete-24h'!M92)</f>
        <v>20</v>
      </c>
      <c r="N92" s="49">
        <f>AVERAGE('26.07 Nakawuka-Nateete-24h'!N92,'27.07 Nakawuka-Nateete-24h'!N92)</f>
        <v>0</v>
      </c>
      <c r="O92" s="31">
        <f t="shared" si="35"/>
        <v>12.5</v>
      </c>
      <c r="P92" s="31">
        <f t="shared" si="36"/>
        <v>32.5</v>
      </c>
      <c r="R92" s="8"/>
      <c r="T92"/>
    </row>
    <row r="93" spans="2:20" ht="23.1" customHeight="1" x14ac:dyDescent="0.25">
      <c r="B93" s="23" t="s">
        <v>133</v>
      </c>
      <c r="C93" s="49">
        <f>AVERAGE('26.07 Nakawuka-Nateete-24h'!C93,'27.07 Nakawuka-Nateete-24h'!C93)</f>
        <v>1.5</v>
      </c>
      <c r="D93" s="49">
        <f>AVERAGE('26.07 Nakawuka-Nateete-24h'!D93,'27.07 Nakawuka-Nateete-24h'!D93)</f>
        <v>0</v>
      </c>
      <c r="E93" s="49">
        <f>AVERAGE('26.07 Nakawuka-Nateete-24h'!E93,'27.07 Nakawuka-Nateete-24h'!E93)</f>
        <v>1</v>
      </c>
      <c r="F93" s="49">
        <f>AVERAGE('26.07 Nakawuka-Nateete-24h'!F93,'27.07 Nakawuka-Nateete-24h'!F93)</f>
        <v>0.5</v>
      </c>
      <c r="G93" s="49">
        <f>AVERAGE('26.07 Nakawuka-Nateete-24h'!G93,'27.07 Nakawuka-Nateete-24h'!G93)</f>
        <v>0</v>
      </c>
      <c r="H93" s="49">
        <f>AVERAGE('26.07 Nakawuka-Nateete-24h'!H93,'27.07 Nakawuka-Nateete-24h'!H93)</f>
        <v>0</v>
      </c>
      <c r="I93" s="49">
        <f>AVERAGE('26.07 Nakawuka-Nateete-24h'!I93,'27.07 Nakawuka-Nateete-24h'!I93)</f>
        <v>0.5</v>
      </c>
      <c r="J93" s="49">
        <f>AVERAGE('26.07 Nakawuka-Nateete-24h'!J93,'27.07 Nakawuka-Nateete-24h'!J93)</f>
        <v>0.5</v>
      </c>
      <c r="K93" s="49">
        <f>AVERAGE('26.07 Nakawuka-Nateete-24h'!K93,'27.07 Nakawuka-Nateete-24h'!K93)</f>
        <v>0</v>
      </c>
      <c r="L93" s="49">
        <f>AVERAGE('26.07 Nakawuka-Nateete-24h'!L93,'27.07 Nakawuka-Nateete-24h'!L93)</f>
        <v>0</v>
      </c>
      <c r="M93" s="49">
        <f>AVERAGE('26.07 Nakawuka-Nateete-24h'!M93,'27.07 Nakawuka-Nateete-24h'!M93)</f>
        <v>16</v>
      </c>
      <c r="N93" s="49">
        <f>AVERAGE('26.07 Nakawuka-Nateete-24h'!N93,'27.07 Nakawuka-Nateete-24h'!N93)</f>
        <v>0</v>
      </c>
      <c r="O93" s="31">
        <f t="shared" si="35"/>
        <v>4</v>
      </c>
      <c r="P93" s="31">
        <f t="shared" si="36"/>
        <v>20</v>
      </c>
      <c r="R93" s="8"/>
      <c r="T93"/>
    </row>
    <row r="94" spans="2:20" ht="23.1" customHeight="1" x14ac:dyDescent="0.25">
      <c r="B94" s="24" t="s">
        <v>134</v>
      </c>
      <c r="C94" s="49">
        <f>AVERAGE('26.07 Nakawuka-Nateete-24h'!C94,'27.07 Nakawuka-Nateete-24h'!C94)</f>
        <v>4.5</v>
      </c>
      <c r="D94" s="49">
        <f>AVERAGE('26.07 Nakawuka-Nateete-24h'!D94,'27.07 Nakawuka-Nateete-24h'!D94)</f>
        <v>1.5</v>
      </c>
      <c r="E94" s="49">
        <f>AVERAGE('26.07 Nakawuka-Nateete-24h'!E94,'27.07 Nakawuka-Nateete-24h'!E94)</f>
        <v>0.5</v>
      </c>
      <c r="F94" s="49">
        <f>AVERAGE('26.07 Nakawuka-Nateete-24h'!F94,'27.07 Nakawuka-Nateete-24h'!F94)</f>
        <v>0.5</v>
      </c>
      <c r="G94" s="49">
        <f>AVERAGE('26.07 Nakawuka-Nateete-24h'!G94,'27.07 Nakawuka-Nateete-24h'!G94)</f>
        <v>0</v>
      </c>
      <c r="H94" s="49">
        <f>AVERAGE('26.07 Nakawuka-Nateete-24h'!H94,'27.07 Nakawuka-Nateete-24h'!H94)</f>
        <v>0</v>
      </c>
      <c r="I94" s="49">
        <f>AVERAGE('26.07 Nakawuka-Nateete-24h'!I94,'27.07 Nakawuka-Nateete-24h'!I94)</f>
        <v>1</v>
      </c>
      <c r="J94" s="49">
        <f>AVERAGE('26.07 Nakawuka-Nateete-24h'!J94,'27.07 Nakawuka-Nateete-24h'!J94)</f>
        <v>0</v>
      </c>
      <c r="K94" s="49">
        <f>AVERAGE('26.07 Nakawuka-Nateete-24h'!K94,'27.07 Nakawuka-Nateete-24h'!K94)</f>
        <v>0</v>
      </c>
      <c r="L94" s="49">
        <f>AVERAGE('26.07 Nakawuka-Nateete-24h'!L94,'27.07 Nakawuka-Nateete-24h'!L94)</f>
        <v>0</v>
      </c>
      <c r="M94" s="49">
        <f>AVERAGE('26.07 Nakawuka-Nateete-24h'!M94,'27.07 Nakawuka-Nateete-24h'!M94)</f>
        <v>21</v>
      </c>
      <c r="N94" s="49">
        <f>AVERAGE('26.07 Nakawuka-Nateete-24h'!N94,'27.07 Nakawuka-Nateete-24h'!N94)</f>
        <v>0</v>
      </c>
      <c r="O94" s="31">
        <f t="shared" si="35"/>
        <v>8</v>
      </c>
      <c r="P94" s="31">
        <f t="shared" si="36"/>
        <v>29</v>
      </c>
      <c r="R94" s="8"/>
      <c r="T94"/>
    </row>
    <row r="95" spans="2:20" ht="23.1" customHeight="1" x14ac:dyDescent="0.25">
      <c r="B95" s="23" t="s">
        <v>135</v>
      </c>
      <c r="C95" s="49">
        <f>AVERAGE('26.07 Nakawuka-Nateete-24h'!C95,'27.07 Nakawuka-Nateete-24h'!C95)</f>
        <v>0.5</v>
      </c>
      <c r="D95" s="49">
        <f>AVERAGE('26.07 Nakawuka-Nateete-24h'!D95,'27.07 Nakawuka-Nateete-24h'!D95)</f>
        <v>0</v>
      </c>
      <c r="E95" s="49">
        <f>AVERAGE('26.07 Nakawuka-Nateete-24h'!E95,'27.07 Nakawuka-Nateete-24h'!E95)</f>
        <v>0.5</v>
      </c>
      <c r="F95" s="49">
        <f>AVERAGE('26.07 Nakawuka-Nateete-24h'!F95,'27.07 Nakawuka-Nateete-24h'!F95)</f>
        <v>1</v>
      </c>
      <c r="G95" s="49">
        <f>AVERAGE('26.07 Nakawuka-Nateete-24h'!G95,'27.07 Nakawuka-Nateete-24h'!G95)</f>
        <v>0</v>
      </c>
      <c r="H95" s="49">
        <f>AVERAGE('26.07 Nakawuka-Nateete-24h'!H95,'27.07 Nakawuka-Nateete-24h'!H95)</f>
        <v>0</v>
      </c>
      <c r="I95" s="49">
        <f>AVERAGE('26.07 Nakawuka-Nateete-24h'!I95,'27.07 Nakawuka-Nateete-24h'!I95)</f>
        <v>0.5</v>
      </c>
      <c r="J95" s="49">
        <f>AVERAGE('26.07 Nakawuka-Nateete-24h'!J95,'27.07 Nakawuka-Nateete-24h'!J95)</f>
        <v>1</v>
      </c>
      <c r="K95" s="49">
        <f>AVERAGE('26.07 Nakawuka-Nateete-24h'!K95,'27.07 Nakawuka-Nateete-24h'!K95)</f>
        <v>0</v>
      </c>
      <c r="L95" s="49">
        <f>AVERAGE('26.07 Nakawuka-Nateete-24h'!L95,'27.07 Nakawuka-Nateete-24h'!L95)</f>
        <v>0</v>
      </c>
      <c r="M95" s="49">
        <f>AVERAGE('26.07 Nakawuka-Nateete-24h'!M95,'27.07 Nakawuka-Nateete-24h'!M95)</f>
        <v>25.5</v>
      </c>
      <c r="N95" s="49">
        <f>AVERAGE('26.07 Nakawuka-Nateete-24h'!N95,'27.07 Nakawuka-Nateete-24h'!N95)</f>
        <v>0</v>
      </c>
      <c r="O95" s="31">
        <f t="shared" si="35"/>
        <v>3.5</v>
      </c>
      <c r="P95" s="31">
        <f t="shared" si="36"/>
        <v>29</v>
      </c>
      <c r="R95" s="8"/>
      <c r="T95"/>
    </row>
    <row r="96" spans="2:20" ht="23.1" customHeight="1" x14ac:dyDescent="0.25">
      <c r="B96" s="25" t="s">
        <v>136</v>
      </c>
      <c r="C96" s="49">
        <f>AVERAGE('26.07 Nakawuka-Nateete-24h'!C96,'27.07 Nakawuka-Nateete-24h'!C96)</f>
        <v>3</v>
      </c>
      <c r="D96" s="49">
        <f>AVERAGE('26.07 Nakawuka-Nateete-24h'!D96,'27.07 Nakawuka-Nateete-24h'!D96)</f>
        <v>2</v>
      </c>
      <c r="E96" s="49">
        <f>AVERAGE('26.07 Nakawuka-Nateete-24h'!E96,'27.07 Nakawuka-Nateete-24h'!E96)</f>
        <v>0</v>
      </c>
      <c r="F96" s="49">
        <f>AVERAGE('26.07 Nakawuka-Nateete-24h'!F96,'27.07 Nakawuka-Nateete-24h'!F96)</f>
        <v>4</v>
      </c>
      <c r="G96" s="49">
        <f>AVERAGE('26.07 Nakawuka-Nateete-24h'!G96,'27.07 Nakawuka-Nateete-24h'!G96)</f>
        <v>0.5</v>
      </c>
      <c r="H96" s="49">
        <f>AVERAGE('26.07 Nakawuka-Nateete-24h'!H96,'27.07 Nakawuka-Nateete-24h'!H96)</f>
        <v>0</v>
      </c>
      <c r="I96" s="49">
        <f>AVERAGE('26.07 Nakawuka-Nateete-24h'!I96,'27.07 Nakawuka-Nateete-24h'!I96)</f>
        <v>0.5</v>
      </c>
      <c r="J96" s="49">
        <f>AVERAGE('26.07 Nakawuka-Nateete-24h'!J96,'27.07 Nakawuka-Nateete-24h'!J96)</f>
        <v>0.5</v>
      </c>
      <c r="K96" s="49">
        <f>AVERAGE('26.07 Nakawuka-Nateete-24h'!K96,'27.07 Nakawuka-Nateete-24h'!K96)</f>
        <v>0</v>
      </c>
      <c r="L96" s="49">
        <f>AVERAGE('26.07 Nakawuka-Nateete-24h'!L96,'27.07 Nakawuka-Nateete-24h'!L96)</f>
        <v>0</v>
      </c>
      <c r="M96" s="49">
        <f>AVERAGE('26.07 Nakawuka-Nateete-24h'!M96,'27.07 Nakawuka-Nateete-24h'!M96)</f>
        <v>32</v>
      </c>
      <c r="N96" s="49">
        <f>AVERAGE('26.07 Nakawuka-Nateete-24h'!N96,'27.07 Nakawuka-Nateete-24h'!N96)</f>
        <v>0</v>
      </c>
      <c r="O96" s="31">
        <f t="shared" si="35"/>
        <v>10.5</v>
      </c>
      <c r="P96" s="31">
        <f t="shared" si="36"/>
        <v>42.5</v>
      </c>
      <c r="R96" s="8"/>
      <c r="T96"/>
    </row>
    <row r="97" spans="2:20" ht="23.1" customHeight="1" x14ac:dyDescent="0.25">
      <c r="B97" s="23" t="s">
        <v>137</v>
      </c>
      <c r="C97" s="49">
        <f>AVERAGE('26.07 Nakawuka-Nateete-24h'!C97,'27.07 Nakawuka-Nateete-24h'!C97)</f>
        <v>2.5</v>
      </c>
      <c r="D97" s="49">
        <f>AVERAGE('26.07 Nakawuka-Nateete-24h'!D97,'27.07 Nakawuka-Nateete-24h'!D97)</f>
        <v>2.5</v>
      </c>
      <c r="E97" s="49">
        <f>AVERAGE('26.07 Nakawuka-Nateete-24h'!E97,'27.07 Nakawuka-Nateete-24h'!E97)</f>
        <v>0</v>
      </c>
      <c r="F97" s="49">
        <f>AVERAGE('26.07 Nakawuka-Nateete-24h'!F97,'27.07 Nakawuka-Nateete-24h'!F97)</f>
        <v>2.5</v>
      </c>
      <c r="G97" s="49">
        <f>AVERAGE('26.07 Nakawuka-Nateete-24h'!G97,'27.07 Nakawuka-Nateete-24h'!G97)</f>
        <v>0</v>
      </c>
      <c r="H97" s="49">
        <f>AVERAGE('26.07 Nakawuka-Nateete-24h'!H97,'27.07 Nakawuka-Nateete-24h'!H97)</f>
        <v>0</v>
      </c>
      <c r="I97" s="49">
        <f>AVERAGE('26.07 Nakawuka-Nateete-24h'!I97,'27.07 Nakawuka-Nateete-24h'!I97)</f>
        <v>0</v>
      </c>
      <c r="J97" s="49">
        <f>AVERAGE('26.07 Nakawuka-Nateete-24h'!J97,'27.07 Nakawuka-Nateete-24h'!J97)</f>
        <v>0</v>
      </c>
      <c r="K97" s="49">
        <f>AVERAGE('26.07 Nakawuka-Nateete-24h'!K97,'27.07 Nakawuka-Nateete-24h'!K97)</f>
        <v>0</v>
      </c>
      <c r="L97" s="49">
        <f>AVERAGE('26.07 Nakawuka-Nateete-24h'!L97,'27.07 Nakawuka-Nateete-24h'!L97)</f>
        <v>0</v>
      </c>
      <c r="M97" s="49">
        <f>AVERAGE('26.07 Nakawuka-Nateete-24h'!M97,'27.07 Nakawuka-Nateete-24h'!M97)</f>
        <v>41</v>
      </c>
      <c r="N97" s="49">
        <f>AVERAGE('26.07 Nakawuka-Nateete-24h'!N97,'27.07 Nakawuka-Nateete-24h'!N97)</f>
        <v>0</v>
      </c>
      <c r="O97" s="31">
        <f t="shared" si="35"/>
        <v>7.5</v>
      </c>
      <c r="P97" s="31">
        <f t="shared" si="36"/>
        <v>48.5</v>
      </c>
      <c r="R97" s="8"/>
      <c r="T97"/>
    </row>
    <row r="98" spans="2:20" ht="23.1" customHeight="1" x14ac:dyDescent="0.25">
      <c r="B98" s="24" t="s">
        <v>138</v>
      </c>
      <c r="C98" s="49">
        <f>AVERAGE('26.07 Nakawuka-Nateete-24h'!C98,'27.07 Nakawuka-Nateete-24h'!C98)</f>
        <v>2</v>
      </c>
      <c r="D98" s="49">
        <f>AVERAGE('26.07 Nakawuka-Nateete-24h'!D98,'27.07 Nakawuka-Nateete-24h'!D98)</f>
        <v>0.5</v>
      </c>
      <c r="E98" s="49">
        <f>AVERAGE('26.07 Nakawuka-Nateete-24h'!E98,'27.07 Nakawuka-Nateete-24h'!E98)</f>
        <v>0.5</v>
      </c>
      <c r="F98" s="49">
        <f>AVERAGE('26.07 Nakawuka-Nateete-24h'!F98,'27.07 Nakawuka-Nateete-24h'!F98)</f>
        <v>5</v>
      </c>
      <c r="G98" s="49">
        <f>AVERAGE('26.07 Nakawuka-Nateete-24h'!G98,'27.07 Nakawuka-Nateete-24h'!G98)</f>
        <v>0</v>
      </c>
      <c r="H98" s="49">
        <f>AVERAGE('26.07 Nakawuka-Nateete-24h'!H98,'27.07 Nakawuka-Nateete-24h'!H98)</f>
        <v>0</v>
      </c>
      <c r="I98" s="49">
        <f>AVERAGE('26.07 Nakawuka-Nateete-24h'!I98,'27.07 Nakawuka-Nateete-24h'!I98)</f>
        <v>2</v>
      </c>
      <c r="J98" s="49">
        <f>AVERAGE('26.07 Nakawuka-Nateete-24h'!J98,'27.07 Nakawuka-Nateete-24h'!J98)</f>
        <v>0.5</v>
      </c>
      <c r="K98" s="49">
        <f>AVERAGE('26.07 Nakawuka-Nateete-24h'!K98,'27.07 Nakawuka-Nateete-24h'!K98)</f>
        <v>0</v>
      </c>
      <c r="L98" s="49">
        <f>AVERAGE('26.07 Nakawuka-Nateete-24h'!L98,'27.07 Nakawuka-Nateete-24h'!L98)</f>
        <v>0</v>
      </c>
      <c r="M98" s="49">
        <f>AVERAGE('26.07 Nakawuka-Nateete-24h'!M98,'27.07 Nakawuka-Nateete-24h'!M98)</f>
        <v>43</v>
      </c>
      <c r="N98" s="49">
        <f>AVERAGE('26.07 Nakawuka-Nateete-24h'!N98,'27.07 Nakawuka-Nateete-24h'!N98)</f>
        <v>0</v>
      </c>
      <c r="O98" s="31">
        <f t="shared" si="35"/>
        <v>10.5</v>
      </c>
      <c r="P98" s="31">
        <f t="shared" si="36"/>
        <v>53.5</v>
      </c>
      <c r="R98" s="8"/>
      <c r="T98"/>
    </row>
    <row r="99" spans="2:20" ht="23.1" customHeight="1" x14ac:dyDescent="0.25">
      <c r="B99" s="23" t="s">
        <v>139</v>
      </c>
      <c r="C99" s="49">
        <f>AVERAGE('26.07 Nakawuka-Nateete-24h'!C99,'27.07 Nakawuka-Nateete-24h'!C99)</f>
        <v>1.5</v>
      </c>
      <c r="D99" s="49">
        <f>AVERAGE('26.07 Nakawuka-Nateete-24h'!D99,'27.07 Nakawuka-Nateete-24h'!D99)</f>
        <v>2.5</v>
      </c>
      <c r="E99" s="49">
        <f>AVERAGE('26.07 Nakawuka-Nateete-24h'!E99,'27.07 Nakawuka-Nateete-24h'!E99)</f>
        <v>0.5</v>
      </c>
      <c r="F99" s="49">
        <f>AVERAGE('26.07 Nakawuka-Nateete-24h'!F99,'27.07 Nakawuka-Nateete-24h'!F99)</f>
        <v>7.5</v>
      </c>
      <c r="G99" s="49">
        <f>AVERAGE('26.07 Nakawuka-Nateete-24h'!G99,'27.07 Nakawuka-Nateete-24h'!G99)</f>
        <v>0</v>
      </c>
      <c r="H99" s="49">
        <f>AVERAGE('26.07 Nakawuka-Nateete-24h'!H99,'27.07 Nakawuka-Nateete-24h'!H99)</f>
        <v>0</v>
      </c>
      <c r="I99" s="49">
        <f>AVERAGE('26.07 Nakawuka-Nateete-24h'!I99,'27.07 Nakawuka-Nateete-24h'!I99)</f>
        <v>1</v>
      </c>
      <c r="J99" s="49">
        <f>AVERAGE('26.07 Nakawuka-Nateete-24h'!J99,'27.07 Nakawuka-Nateete-24h'!J99)</f>
        <v>0</v>
      </c>
      <c r="K99" s="49">
        <f>AVERAGE('26.07 Nakawuka-Nateete-24h'!K99,'27.07 Nakawuka-Nateete-24h'!K99)</f>
        <v>0</v>
      </c>
      <c r="L99" s="49">
        <f>AVERAGE('26.07 Nakawuka-Nateete-24h'!L99,'27.07 Nakawuka-Nateete-24h'!L99)</f>
        <v>0</v>
      </c>
      <c r="M99" s="49">
        <f>AVERAGE('26.07 Nakawuka-Nateete-24h'!M99,'27.07 Nakawuka-Nateete-24h'!M99)</f>
        <v>34.5</v>
      </c>
      <c r="N99" s="49">
        <f>AVERAGE('26.07 Nakawuka-Nateete-24h'!N99,'27.07 Nakawuka-Nateete-24h'!N99)</f>
        <v>0</v>
      </c>
      <c r="O99" s="31">
        <f t="shared" si="35"/>
        <v>13</v>
      </c>
      <c r="P99" s="31">
        <f t="shared" si="36"/>
        <v>47.5</v>
      </c>
      <c r="R99" s="8"/>
      <c r="T99"/>
    </row>
    <row r="100" spans="2:20" ht="23.1" customHeight="1" x14ac:dyDescent="0.25">
      <c r="B100" s="25" t="s">
        <v>140</v>
      </c>
      <c r="C100" s="49">
        <f>AVERAGE('26.07 Nakawuka-Nateete-24h'!C100,'27.07 Nakawuka-Nateete-24h'!C100)</f>
        <v>3.5</v>
      </c>
      <c r="D100" s="49">
        <f>AVERAGE('26.07 Nakawuka-Nateete-24h'!D100,'27.07 Nakawuka-Nateete-24h'!D100)</f>
        <v>3</v>
      </c>
      <c r="E100" s="49">
        <f>AVERAGE('26.07 Nakawuka-Nateete-24h'!E100,'27.07 Nakawuka-Nateete-24h'!E100)</f>
        <v>1</v>
      </c>
      <c r="F100" s="49">
        <f>AVERAGE('26.07 Nakawuka-Nateete-24h'!F100,'27.07 Nakawuka-Nateete-24h'!F100)</f>
        <v>6.5</v>
      </c>
      <c r="G100" s="49">
        <f>AVERAGE('26.07 Nakawuka-Nateete-24h'!G100,'27.07 Nakawuka-Nateete-24h'!G100)</f>
        <v>0</v>
      </c>
      <c r="H100" s="49">
        <f>AVERAGE('26.07 Nakawuka-Nateete-24h'!H100,'27.07 Nakawuka-Nateete-24h'!H100)</f>
        <v>0</v>
      </c>
      <c r="I100" s="49">
        <f>AVERAGE('26.07 Nakawuka-Nateete-24h'!I100,'27.07 Nakawuka-Nateete-24h'!I100)</f>
        <v>0</v>
      </c>
      <c r="J100" s="49">
        <f>AVERAGE('26.07 Nakawuka-Nateete-24h'!J100,'27.07 Nakawuka-Nateete-24h'!J100)</f>
        <v>0.5</v>
      </c>
      <c r="K100" s="49">
        <f>AVERAGE('26.07 Nakawuka-Nateete-24h'!K100,'27.07 Nakawuka-Nateete-24h'!K100)</f>
        <v>0</v>
      </c>
      <c r="L100" s="49">
        <f>AVERAGE('26.07 Nakawuka-Nateete-24h'!L100,'27.07 Nakawuka-Nateete-24h'!L100)</f>
        <v>0</v>
      </c>
      <c r="M100" s="49">
        <f>AVERAGE('26.07 Nakawuka-Nateete-24h'!M100,'27.07 Nakawuka-Nateete-24h'!M100)</f>
        <v>50</v>
      </c>
      <c r="N100" s="49">
        <f>AVERAGE('26.07 Nakawuka-Nateete-24h'!N100,'27.07 Nakawuka-Nateete-24h'!N100)</f>
        <v>0</v>
      </c>
      <c r="O100" s="31">
        <f t="shared" si="35"/>
        <v>14.5</v>
      </c>
      <c r="P100" s="31">
        <f t="shared" si="36"/>
        <v>64.5</v>
      </c>
      <c r="R100" s="8"/>
      <c r="T100"/>
    </row>
    <row r="101" spans="2:20" ht="23.1" customHeight="1" x14ac:dyDescent="0.25">
      <c r="B101" s="23" t="s">
        <v>141</v>
      </c>
      <c r="C101" s="49">
        <f>AVERAGE('26.07 Nakawuka-Nateete-24h'!C101,'27.07 Nakawuka-Nateete-24h'!C101)</f>
        <v>2.5</v>
      </c>
      <c r="D101" s="49">
        <f>AVERAGE('26.07 Nakawuka-Nateete-24h'!D101,'27.07 Nakawuka-Nateete-24h'!D101)</f>
        <v>3</v>
      </c>
      <c r="E101" s="49">
        <f>AVERAGE('26.07 Nakawuka-Nateete-24h'!E101,'27.07 Nakawuka-Nateete-24h'!E101)</f>
        <v>2</v>
      </c>
      <c r="F101" s="49">
        <f>AVERAGE('26.07 Nakawuka-Nateete-24h'!F101,'27.07 Nakawuka-Nateete-24h'!F101)</f>
        <v>9</v>
      </c>
      <c r="G101" s="49">
        <f>AVERAGE('26.07 Nakawuka-Nateete-24h'!G101,'27.07 Nakawuka-Nateete-24h'!G101)</f>
        <v>0</v>
      </c>
      <c r="H101" s="49">
        <f>AVERAGE('26.07 Nakawuka-Nateete-24h'!H101,'27.07 Nakawuka-Nateete-24h'!H101)</f>
        <v>0.5</v>
      </c>
      <c r="I101" s="49">
        <f>AVERAGE('26.07 Nakawuka-Nateete-24h'!I101,'27.07 Nakawuka-Nateete-24h'!I101)</f>
        <v>3</v>
      </c>
      <c r="J101" s="49">
        <f>AVERAGE('26.07 Nakawuka-Nateete-24h'!J101,'27.07 Nakawuka-Nateete-24h'!J101)</f>
        <v>4</v>
      </c>
      <c r="K101" s="49">
        <f>AVERAGE('26.07 Nakawuka-Nateete-24h'!K101,'27.07 Nakawuka-Nateete-24h'!K101)</f>
        <v>0.5</v>
      </c>
      <c r="L101" s="49">
        <f>AVERAGE('26.07 Nakawuka-Nateete-24h'!L101,'27.07 Nakawuka-Nateete-24h'!L101)</f>
        <v>0</v>
      </c>
      <c r="M101" s="49">
        <f>AVERAGE('26.07 Nakawuka-Nateete-24h'!M101,'27.07 Nakawuka-Nateete-24h'!M101)</f>
        <v>76.5</v>
      </c>
      <c r="N101" s="49">
        <f>AVERAGE('26.07 Nakawuka-Nateete-24h'!N101,'27.07 Nakawuka-Nateete-24h'!N101)</f>
        <v>0</v>
      </c>
      <c r="O101" s="31">
        <f t="shared" si="35"/>
        <v>24.5</v>
      </c>
      <c r="P101" s="31">
        <f t="shared" si="36"/>
        <v>101</v>
      </c>
      <c r="R101" s="8"/>
      <c r="T101"/>
    </row>
    <row r="102" spans="2:20" ht="23.1" customHeight="1" x14ac:dyDescent="0.25">
      <c r="B102" s="24" t="s">
        <v>142</v>
      </c>
      <c r="C102" s="49">
        <f>AVERAGE('26.07 Nakawuka-Nateete-24h'!C102,'27.07 Nakawuka-Nateete-24h'!C102)</f>
        <v>1</v>
      </c>
      <c r="D102" s="49">
        <f>AVERAGE('26.07 Nakawuka-Nateete-24h'!D102,'27.07 Nakawuka-Nateete-24h'!D102)</f>
        <v>1.5</v>
      </c>
      <c r="E102" s="49">
        <f>AVERAGE('26.07 Nakawuka-Nateete-24h'!E102,'27.07 Nakawuka-Nateete-24h'!E102)</f>
        <v>1.5</v>
      </c>
      <c r="F102" s="49">
        <f>AVERAGE('26.07 Nakawuka-Nateete-24h'!F102,'27.07 Nakawuka-Nateete-24h'!F102)</f>
        <v>8.5</v>
      </c>
      <c r="G102" s="49">
        <f>AVERAGE('26.07 Nakawuka-Nateete-24h'!G102,'27.07 Nakawuka-Nateete-24h'!G102)</f>
        <v>0</v>
      </c>
      <c r="H102" s="49">
        <f>AVERAGE('26.07 Nakawuka-Nateete-24h'!H102,'27.07 Nakawuka-Nateete-24h'!H102)</f>
        <v>0</v>
      </c>
      <c r="I102" s="49">
        <f>AVERAGE('26.07 Nakawuka-Nateete-24h'!I102,'27.07 Nakawuka-Nateete-24h'!I102)</f>
        <v>3.5</v>
      </c>
      <c r="J102" s="49">
        <f>AVERAGE('26.07 Nakawuka-Nateete-24h'!J102,'27.07 Nakawuka-Nateete-24h'!J102)</f>
        <v>2</v>
      </c>
      <c r="K102" s="49">
        <f>AVERAGE('26.07 Nakawuka-Nateete-24h'!K102,'27.07 Nakawuka-Nateete-24h'!K102)</f>
        <v>0</v>
      </c>
      <c r="L102" s="49">
        <f>AVERAGE('26.07 Nakawuka-Nateete-24h'!L102,'27.07 Nakawuka-Nateete-24h'!L102)</f>
        <v>0</v>
      </c>
      <c r="M102" s="49">
        <f>AVERAGE('26.07 Nakawuka-Nateete-24h'!M102,'27.07 Nakawuka-Nateete-24h'!M102)</f>
        <v>44</v>
      </c>
      <c r="N102" s="49">
        <f>AVERAGE('26.07 Nakawuka-Nateete-24h'!N102,'27.07 Nakawuka-Nateete-24h'!N102)</f>
        <v>0</v>
      </c>
      <c r="O102" s="31">
        <f t="shared" si="35"/>
        <v>18</v>
      </c>
      <c r="P102" s="31">
        <f t="shared" si="36"/>
        <v>62</v>
      </c>
      <c r="R102" s="8"/>
      <c r="T102"/>
    </row>
    <row r="103" spans="2:20" ht="23.1" customHeight="1" x14ac:dyDescent="0.25">
      <c r="B103" s="23" t="s">
        <v>143</v>
      </c>
      <c r="C103" s="49">
        <f>AVERAGE('26.07 Nakawuka-Nateete-24h'!C103,'27.07 Nakawuka-Nateete-24h'!C103)</f>
        <v>6.5</v>
      </c>
      <c r="D103" s="49">
        <f>AVERAGE('26.07 Nakawuka-Nateete-24h'!D103,'27.07 Nakawuka-Nateete-24h'!D103)</f>
        <v>5</v>
      </c>
      <c r="E103" s="49">
        <f>AVERAGE('26.07 Nakawuka-Nateete-24h'!E103,'27.07 Nakawuka-Nateete-24h'!E103)</f>
        <v>1.5</v>
      </c>
      <c r="F103" s="49">
        <f>AVERAGE('26.07 Nakawuka-Nateete-24h'!F103,'27.07 Nakawuka-Nateete-24h'!F103)</f>
        <v>15.5</v>
      </c>
      <c r="G103" s="49">
        <f>AVERAGE('26.07 Nakawuka-Nateete-24h'!G103,'27.07 Nakawuka-Nateete-24h'!G103)</f>
        <v>0</v>
      </c>
      <c r="H103" s="49">
        <f>AVERAGE('26.07 Nakawuka-Nateete-24h'!H103,'27.07 Nakawuka-Nateete-24h'!H103)</f>
        <v>0</v>
      </c>
      <c r="I103" s="49">
        <f>AVERAGE('26.07 Nakawuka-Nateete-24h'!I103,'27.07 Nakawuka-Nateete-24h'!I103)</f>
        <v>4.5</v>
      </c>
      <c r="J103" s="49">
        <f>AVERAGE('26.07 Nakawuka-Nateete-24h'!J103,'27.07 Nakawuka-Nateete-24h'!J103)</f>
        <v>3.5</v>
      </c>
      <c r="K103" s="49">
        <f>AVERAGE('26.07 Nakawuka-Nateete-24h'!K103,'27.07 Nakawuka-Nateete-24h'!K103)</f>
        <v>0</v>
      </c>
      <c r="L103" s="49">
        <f>AVERAGE('26.07 Nakawuka-Nateete-24h'!L103,'27.07 Nakawuka-Nateete-24h'!L103)</f>
        <v>0</v>
      </c>
      <c r="M103" s="49">
        <f>AVERAGE('26.07 Nakawuka-Nateete-24h'!M103,'27.07 Nakawuka-Nateete-24h'!M103)</f>
        <v>85</v>
      </c>
      <c r="N103" s="49">
        <f>AVERAGE('26.07 Nakawuka-Nateete-24h'!N103,'27.07 Nakawuka-Nateete-24h'!N103)</f>
        <v>0</v>
      </c>
      <c r="O103" s="31">
        <f t="shared" si="35"/>
        <v>36.5</v>
      </c>
      <c r="P103" s="31">
        <f t="shared" si="36"/>
        <v>121.5</v>
      </c>
      <c r="R103" s="8"/>
      <c r="T103"/>
    </row>
    <row r="104" spans="2:20" ht="23.1" customHeight="1" x14ac:dyDescent="0.25">
      <c r="B104" s="25" t="s">
        <v>144</v>
      </c>
      <c r="C104" s="49">
        <f>AVERAGE('26.07 Nakawuka-Nateete-24h'!C104,'27.07 Nakawuka-Nateete-24h'!C104)</f>
        <v>10</v>
      </c>
      <c r="D104" s="49">
        <f>AVERAGE('26.07 Nakawuka-Nateete-24h'!D104,'27.07 Nakawuka-Nateete-24h'!D104)</f>
        <v>7</v>
      </c>
      <c r="E104" s="49">
        <f>AVERAGE('26.07 Nakawuka-Nateete-24h'!E104,'27.07 Nakawuka-Nateete-24h'!E104)</f>
        <v>2</v>
      </c>
      <c r="F104" s="49">
        <f>AVERAGE('26.07 Nakawuka-Nateete-24h'!F104,'27.07 Nakawuka-Nateete-24h'!F104)</f>
        <v>18</v>
      </c>
      <c r="G104" s="49">
        <f>AVERAGE('26.07 Nakawuka-Nateete-24h'!G104,'27.07 Nakawuka-Nateete-24h'!G104)</f>
        <v>0</v>
      </c>
      <c r="H104" s="49">
        <f>AVERAGE('26.07 Nakawuka-Nateete-24h'!H104,'27.07 Nakawuka-Nateete-24h'!H104)</f>
        <v>0.5</v>
      </c>
      <c r="I104" s="49">
        <f>AVERAGE('26.07 Nakawuka-Nateete-24h'!I104,'27.07 Nakawuka-Nateete-24h'!I104)</f>
        <v>3.5</v>
      </c>
      <c r="J104" s="49">
        <f>AVERAGE('26.07 Nakawuka-Nateete-24h'!J104,'27.07 Nakawuka-Nateete-24h'!J104)</f>
        <v>3.5</v>
      </c>
      <c r="K104" s="49">
        <f>AVERAGE('26.07 Nakawuka-Nateete-24h'!K104,'27.07 Nakawuka-Nateete-24h'!K104)</f>
        <v>0.5</v>
      </c>
      <c r="L104" s="49">
        <f>AVERAGE('26.07 Nakawuka-Nateete-24h'!L104,'27.07 Nakawuka-Nateete-24h'!L104)</f>
        <v>0.5</v>
      </c>
      <c r="M104" s="49">
        <f>AVERAGE('26.07 Nakawuka-Nateete-24h'!M104,'27.07 Nakawuka-Nateete-24h'!M104)</f>
        <v>102.5</v>
      </c>
      <c r="N104" s="49">
        <f>AVERAGE('26.07 Nakawuka-Nateete-24h'!N104,'27.07 Nakawuka-Nateete-24h'!N104)</f>
        <v>0</v>
      </c>
      <c r="O104" s="31">
        <f t="shared" si="35"/>
        <v>45.5</v>
      </c>
      <c r="P104" s="31">
        <f t="shared" si="36"/>
        <v>148</v>
      </c>
      <c r="R104" s="8"/>
      <c r="T104"/>
    </row>
    <row r="105" spans="2:20" ht="23.1" customHeight="1" x14ac:dyDescent="0.25">
      <c r="B105" s="23" t="s">
        <v>145</v>
      </c>
      <c r="C105" s="49">
        <f>AVERAGE('26.07 Nakawuka-Nateete-24h'!C105,'27.07 Nakawuka-Nateete-24h'!C105)</f>
        <v>12</v>
      </c>
      <c r="D105" s="49">
        <f>AVERAGE('26.07 Nakawuka-Nateete-24h'!D105,'27.07 Nakawuka-Nateete-24h'!D105)</f>
        <v>7.5</v>
      </c>
      <c r="E105" s="49">
        <f>AVERAGE('26.07 Nakawuka-Nateete-24h'!E105,'27.07 Nakawuka-Nateete-24h'!E105)</f>
        <v>1.5</v>
      </c>
      <c r="F105" s="49">
        <f>AVERAGE('26.07 Nakawuka-Nateete-24h'!F105,'27.07 Nakawuka-Nateete-24h'!F105)</f>
        <v>23</v>
      </c>
      <c r="G105" s="49">
        <f>AVERAGE('26.07 Nakawuka-Nateete-24h'!G105,'27.07 Nakawuka-Nateete-24h'!G105)</f>
        <v>0.5</v>
      </c>
      <c r="H105" s="49">
        <f>AVERAGE('26.07 Nakawuka-Nateete-24h'!H105,'27.07 Nakawuka-Nateete-24h'!H105)</f>
        <v>0</v>
      </c>
      <c r="I105" s="49">
        <f>AVERAGE('26.07 Nakawuka-Nateete-24h'!I105,'27.07 Nakawuka-Nateete-24h'!I105)</f>
        <v>2.5</v>
      </c>
      <c r="J105" s="49">
        <f>AVERAGE('26.07 Nakawuka-Nateete-24h'!J105,'27.07 Nakawuka-Nateete-24h'!J105)</f>
        <v>3</v>
      </c>
      <c r="K105" s="49">
        <f>AVERAGE('26.07 Nakawuka-Nateete-24h'!K105,'27.07 Nakawuka-Nateete-24h'!K105)</f>
        <v>0</v>
      </c>
      <c r="L105" s="49">
        <f>AVERAGE('26.07 Nakawuka-Nateete-24h'!L105,'27.07 Nakawuka-Nateete-24h'!L105)</f>
        <v>0</v>
      </c>
      <c r="M105" s="49">
        <f>AVERAGE('26.07 Nakawuka-Nateete-24h'!M105,'27.07 Nakawuka-Nateete-24h'!M105)</f>
        <v>107.5</v>
      </c>
      <c r="N105" s="49">
        <f>AVERAGE('26.07 Nakawuka-Nateete-24h'!N105,'27.07 Nakawuka-Nateete-24h'!N105)</f>
        <v>0</v>
      </c>
      <c r="O105" s="31">
        <f t="shared" si="35"/>
        <v>50</v>
      </c>
      <c r="P105" s="31">
        <f t="shared" si="36"/>
        <v>157.5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1210.2142857142856</v>
      </c>
      <c r="D106" s="16">
        <f t="shared" ref="D106:P106" si="37">SUM(D10:D105)</f>
        <v>650.92857142857144</v>
      </c>
      <c r="E106" s="16">
        <f t="shared" si="37"/>
        <v>337.28571428571428</v>
      </c>
      <c r="F106" s="16">
        <f t="shared" si="37"/>
        <v>1365.7857142857144</v>
      </c>
      <c r="G106" s="16">
        <f t="shared" si="37"/>
        <v>36.857142857142847</v>
      </c>
      <c r="H106" s="16">
        <f t="shared" si="37"/>
        <v>10.714285714285719</v>
      </c>
      <c r="I106" s="16">
        <f t="shared" si="37"/>
        <v>355.64285714285705</v>
      </c>
      <c r="J106" s="16">
        <f t="shared" si="37"/>
        <v>214.1428571428572</v>
      </c>
      <c r="K106" s="16">
        <f t="shared" si="37"/>
        <v>43.999999999999993</v>
      </c>
      <c r="L106" s="16">
        <f t="shared" si="37"/>
        <v>40.571428571428569</v>
      </c>
      <c r="M106" s="16">
        <f t="shared" si="37"/>
        <v>8490.6428571428569</v>
      </c>
      <c r="N106" s="16">
        <f t="shared" si="37"/>
        <v>0.14285714285714285</v>
      </c>
      <c r="O106" s="16">
        <f t="shared" si="37"/>
        <v>4266.2857142857165</v>
      </c>
      <c r="P106" s="16">
        <f t="shared" si="37"/>
        <v>12756.928571428569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9.486721501480988E-2</v>
      </c>
      <c r="D107" s="43">
        <f t="shared" si="38"/>
        <v>5.102549314938102E-2</v>
      </c>
      <c r="E107" s="43">
        <f t="shared" si="38"/>
        <v>2.643941387593297E-2</v>
      </c>
      <c r="F107" s="43">
        <f t="shared" si="38"/>
        <v>0.10706226868312461</v>
      </c>
      <c r="G107" s="43">
        <f t="shared" si="38"/>
        <v>2.8891862685263467E-3</v>
      </c>
      <c r="H107" s="43">
        <f t="shared" si="38"/>
        <v>8.3987972922277578E-4</v>
      </c>
      <c r="I107" s="43">
        <f t="shared" si="38"/>
        <v>2.7878407812001321E-2</v>
      </c>
      <c r="J107" s="43">
        <f t="shared" si="38"/>
        <v>1.6786396188065877E-2</v>
      </c>
      <c r="K107" s="43">
        <f t="shared" si="38"/>
        <v>3.4491060880081975E-3</v>
      </c>
      <c r="L107" s="43">
        <f t="shared" si="38"/>
        <v>3.1803445746569096E-3</v>
      </c>
      <c r="M107" s="43">
        <f t="shared" si="38"/>
        <v>0.66557109021988059</v>
      </c>
      <c r="N107" s="43">
        <f t="shared" si="38"/>
        <v>1.1198396389637006E-5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0.28366930083043113</v>
      </c>
      <c r="D108" s="44">
        <f t="shared" ref="D108:N108" si="39">D106/$O$106</f>
        <v>0.15257500669702645</v>
      </c>
      <c r="E108" s="44">
        <f t="shared" si="39"/>
        <v>7.9058398071256322E-2</v>
      </c>
      <c r="F108" s="44">
        <f t="shared" si="39"/>
        <v>0.32013461023305639</v>
      </c>
      <c r="G108" s="44">
        <f t="shared" si="39"/>
        <v>8.6391642110902698E-3</v>
      </c>
      <c r="H108" s="44">
        <f t="shared" si="39"/>
        <v>2.5113849450843825E-3</v>
      </c>
      <c r="I108" s="44">
        <f t="shared" si="39"/>
        <v>8.3361237610500877E-2</v>
      </c>
      <c r="J108" s="44">
        <f t="shared" si="39"/>
        <v>5.0194213769086511E-2</v>
      </c>
      <c r="K108" s="44">
        <f t="shared" si="39"/>
        <v>1.0313420841146524E-2</v>
      </c>
      <c r="L108" s="44">
        <f t="shared" si="39"/>
        <v>9.5097776587195239E-3</v>
      </c>
      <c r="M108" s="44"/>
      <c r="N108" s="44">
        <f t="shared" si="39"/>
        <v>3.3485132601125083E-5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J52" zoomScale="75" zoomScaleSheetLayoutView="75" workbookViewId="0">
      <selection activeCell="Z75" sqref="Z7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'28.07 Nateete-Nakawuka'!C3:G3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169</v>
      </c>
      <c r="E5" s="66"/>
      <c r="F5" s="41" t="s">
        <v>1</v>
      </c>
      <c r="G5" s="63" t="str">
        <f>'28.07 Nateete-Nakawuka'!G5:H5</f>
        <v>TAKUWA BEST FEEDS</v>
      </c>
      <c r="H5" s="64"/>
      <c r="I5" s="14"/>
      <c r="J5" s="2" t="s">
        <v>5</v>
      </c>
      <c r="K5" s="63" t="str">
        <f>'28.07 Nateete-Nakawuka'!K5:L5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'28.07 Nateete-Nakawuka'!D6:E6</f>
        <v>NATEETE</v>
      </c>
      <c r="E6" s="64"/>
      <c r="F6" s="2" t="s">
        <v>2</v>
      </c>
      <c r="G6" s="63" t="str">
        <f>'28.07 Nateete-Nakawuka'!G6:H6</f>
        <v>NAKAWUKA</v>
      </c>
      <c r="H6" s="64"/>
      <c r="J6" s="2" t="s">
        <v>21</v>
      </c>
      <c r="K6" s="63" t="str">
        <f>'28.07 Nateete-Nakawuka'!K6:L6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Nateete-Nakawuka'!C10,'23.07 Nateete-Nakawuka'!C10,'24.07 Nateete-Nakawuka'!C10,'25.07 Nateete-Nakawuka'!C10,'26.07 Nateete-Nakawuka-24h'!C10,'27.07 Nateete-Nakawuka-24h'!C10,'28.07 Nateete-Nakawuka'!C10)</f>
        <v>8</v>
      </c>
      <c r="D10" s="49">
        <f>AVERAGE('22.07 Nateete-Nakawuka'!D10,'23.07 Nateete-Nakawuka'!D10,'24.07 Nateete-Nakawuka'!D10,'25.07 Nateete-Nakawuka'!D10,'26.07 Nateete-Nakawuka-24h'!D10,'27.07 Nateete-Nakawuka-24h'!D10,'28.07 Nateete-Nakawuka'!D10)</f>
        <v>1.1428571428571428</v>
      </c>
      <c r="E10" s="49">
        <f>AVERAGE('22.07 Nateete-Nakawuka'!E10,'23.07 Nateete-Nakawuka'!E10,'24.07 Nateete-Nakawuka'!E10,'25.07 Nateete-Nakawuka'!E10,'26.07 Nateete-Nakawuka-24h'!E10,'27.07 Nateete-Nakawuka-24h'!E10,'28.07 Nateete-Nakawuka'!E10)</f>
        <v>2.2857142857142856</v>
      </c>
      <c r="F10" s="49">
        <f>AVERAGE('22.07 Nateete-Nakawuka'!F10,'23.07 Nateete-Nakawuka'!F10,'24.07 Nateete-Nakawuka'!F10,'25.07 Nateete-Nakawuka'!F10,'26.07 Nateete-Nakawuka-24h'!F10,'27.07 Nateete-Nakawuka-24h'!F10,'28.07 Nateete-Nakawuka'!F10)</f>
        <v>7.7142857142857144</v>
      </c>
      <c r="G10" s="49">
        <f>AVERAGE('22.07 Nateete-Nakawuka'!G10,'23.07 Nateete-Nakawuka'!G10,'24.07 Nateete-Nakawuka'!G10,'25.07 Nateete-Nakawuka'!G10,'26.07 Nateete-Nakawuka-24h'!G10,'27.07 Nateete-Nakawuka-24h'!G10,'28.07 Nateete-Nakawuka'!G10)</f>
        <v>0.2857142857142857</v>
      </c>
      <c r="H10" s="49">
        <f>AVERAGE('22.07 Nateete-Nakawuka'!H10,'23.07 Nateete-Nakawuka'!H10,'24.07 Nateete-Nakawuka'!H10,'25.07 Nateete-Nakawuka'!H10,'26.07 Nateete-Nakawuka-24h'!H10,'27.07 Nateete-Nakawuka-24h'!H10,'28.07 Nateete-Nakawuka'!H10)</f>
        <v>0.2857142857142857</v>
      </c>
      <c r="I10" s="49">
        <f>AVERAGE('22.07 Nateete-Nakawuka'!I10,'23.07 Nateete-Nakawuka'!I10,'24.07 Nateete-Nakawuka'!I10,'25.07 Nateete-Nakawuka'!I10,'26.07 Nateete-Nakawuka-24h'!I10,'27.07 Nateete-Nakawuka-24h'!I10,'28.07 Nateete-Nakawuka'!I10)</f>
        <v>3.1428571428571428</v>
      </c>
      <c r="J10" s="49">
        <f>AVERAGE('22.07 Nateete-Nakawuka'!J10,'23.07 Nateete-Nakawuka'!J10,'24.07 Nateete-Nakawuka'!J10,'25.07 Nateete-Nakawuka'!J10,'26.07 Nateete-Nakawuka-24h'!J10,'27.07 Nateete-Nakawuka-24h'!J10,'28.07 Nateete-Nakawuka'!J10)</f>
        <v>1.8571428571428572</v>
      </c>
      <c r="K10" s="49">
        <f>AVERAGE('22.07 Nateete-Nakawuka'!K10,'23.07 Nateete-Nakawuka'!K10,'24.07 Nateete-Nakawuka'!K10,'25.07 Nateete-Nakawuka'!K10,'26.07 Nateete-Nakawuka-24h'!K10,'27.07 Nateete-Nakawuka-24h'!K10,'28.07 Nateete-Nakawuka'!K10)</f>
        <v>0</v>
      </c>
      <c r="L10" s="49">
        <f>AVERAGE('22.07 Nateete-Nakawuka'!L10,'23.07 Nateete-Nakawuka'!L10,'24.07 Nateete-Nakawuka'!L10,'25.07 Nateete-Nakawuka'!L10,'26.07 Nateete-Nakawuka-24h'!L10,'27.07 Nateete-Nakawuka-24h'!L10,'28.07 Nateete-Nakawuka'!L10)</f>
        <v>0</v>
      </c>
      <c r="M10" s="49">
        <f>AVERAGE('22.07 Nateete-Nakawuka'!M10,'23.07 Nateete-Nakawuka'!M10,'24.07 Nateete-Nakawuka'!M10,'25.07 Nateete-Nakawuka'!M10,'26.07 Nateete-Nakawuka-24h'!M10,'27.07 Nateete-Nakawuka-24h'!M10,'28.07 Nateete-Nakawuka'!M10)</f>
        <v>86.571428571428569</v>
      </c>
      <c r="N10" s="49">
        <f>AVERAGE('22.07 Nateete-Nakawuka'!N10,'23.07 Nateete-Nakawuka'!N10,'24.07 Nateete-Nakawuka'!N10,'25.07 Nateete-Nakawuka'!N10,'26.07 Nateete-Nakawuka-24h'!N10,'27.07 Nateete-Nakawuka-24h'!N10,'28.07 Nateete-Nakawuka'!N10)</f>
        <v>0</v>
      </c>
      <c r="O10" s="31">
        <f t="shared" ref="O10:O73" si="0">SUM(C10:L10,N10)</f>
        <v>24.714285714285712</v>
      </c>
      <c r="P10" s="31">
        <f t="shared" ref="P10:P73" si="1">SUM(C10:N10)</f>
        <v>111.28571428571428</v>
      </c>
      <c r="R10" s="1" t="s">
        <v>6</v>
      </c>
      <c r="S10" s="17">
        <f t="shared" ref="S10:AF10" si="2">SUM(C10:C13)</f>
        <v>35</v>
      </c>
      <c r="T10" s="17">
        <f t="shared" si="2"/>
        <v>6.4285714285714288</v>
      </c>
      <c r="U10" s="17">
        <f t="shared" si="2"/>
        <v>7.5714285714285712</v>
      </c>
      <c r="V10" s="17">
        <f t="shared" si="2"/>
        <v>50.714285714285715</v>
      </c>
      <c r="W10" s="17">
        <f t="shared" si="2"/>
        <v>1.1428571428571428</v>
      </c>
      <c r="X10" s="17">
        <f t="shared" si="2"/>
        <v>0.5714285714285714</v>
      </c>
      <c r="Y10" s="17">
        <f t="shared" si="2"/>
        <v>11</v>
      </c>
      <c r="Z10" s="17">
        <f t="shared" si="2"/>
        <v>8.1428571428571423</v>
      </c>
      <c r="AA10" s="17">
        <f t="shared" si="2"/>
        <v>0.99999999999999989</v>
      </c>
      <c r="AB10" s="17">
        <f t="shared" si="2"/>
        <v>0.2857142857142857</v>
      </c>
      <c r="AC10" s="17">
        <f t="shared" si="2"/>
        <v>362.28571428571428</v>
      </c>
      <c r="AD10" s="17">
        <f t="shared" si="2"/>
        <v>0</v>
      </c>
      <c r="AE10" s="31">
        <f t="shared" si="2"/>
        <v>121.85714285714285</v>
      </c>
      <c r="AF10" s="31">
        <f t="shared" si="2"/>
        <v>484.14285714285711</v>
      </c>
    </row>
    <row r="11" spans="2:32" s="6" customFormat="1" ht="23.1" customHeight="1" x14ac:dyDescent="0.25">
      <c r="B11" s="23" t="s">
        <v>38</v>
      </c>
      <c r="C11" s="49">
        <f>AVERAGE('22.07 Nateete-Nakawuka'!C11,'23.07 Nateete-Nakawuka'!C11,'24.07 Nateete-Nakawuka'!C11,'25.07 Nateete-Nakawuka'!C11,'26.07 Nateete-Nakawuka-24h'!C11,'27.07 Nateete-Nakawuka-24h'!C11,'28.07 Nateete-Nakawuka'!C11)</f>
        <v>7.7142857142857144</v>
      </c>
      <c r="D11" s="49">
        <f>AVERAGE('22.07 Nateete-Nakawuka'!D11,'23.07 Nateete-Nakawuka'!D11,'24.07 Nateete-Nakawuka'!D11,'25.07 Nateete-Nakawuka'!D11,'26.07 Nateete-Nakawuka-24h'!D11,'27.07 Nateete-Nakawuka-24h'!D11,'28.07 Nateete-Nakawuka'!D11)</f>
        <v>2</v>
      </c>
      <c r="E11" s="49">
        <f>AVERAGE('22.07 Nateete-Nakawuka'!E11,'23.07 Nateete-Nakawuka'!E11,'24.07 Nateete-Nakawuka'!E11,'25.07 Nateete-Nakawuka'!E11,'26.07 Nateete-Nakawuka-24h'!E11,'27.07 Nateete-Nakawuka-24h'!E11,'28.07 Nateete-Nakawuka'!E11)</f>
        <v>1.8571428571428572</v>
      </c>
      <c r="F11" s="49">
        <f>AVERAGE('22.07 Nateete-Nakawuka'!F11,'23.07 Nateete-Nakawuka'!F11,'24.07 Nateete-Nakawuka'!F11,'25.07 Nateete-Nakawuka'!F11,'26.07 Nateete-Nakawuka-24h'!F11,'27.07 Nateete-Nakawuka-24h'!F11,'28.07 Nateete-Nakawuka'!F11)</f>
        <v>9.5714285714285712</v>
      </c>
      <c r="G11" s="49">
        <f>AVERAGE('22.07 Nateete-Nakawuka'!G11,'23.07 Nateete-Nakawuka'!G11,'24.07 Nateete-Nakawuka'!G11,'25.07 Nateete-Nakawuka'!G11,'26.07 Nateete-Nakawuka-24h'!G11,'27.07 Nateete-Nakawuka-24h'!G11,'28.07 Nateete-Nakawuka'!G11)</f>
        <v>0.42857142857142855</v>
      </c>
      <c r="H11" s="49">
        <f>AVERAGE('22.07 Nateete-Nakawuka'!H11,'23.07 Nateete-Nakawuka'!H11,'24.07 Nateete-Nakawuka'!H11,'25.07 Nateete-Nakawuka'!H11,'26.07 Nateete-Nakawuka-24h'!H11,'27.07 Nateete-Nakawuka-24h'!H11,'28.07 Nateete-Nakawuka'!H11)</f>
        <v>0</v>
      </c>
      <c r="I11" s="49">
        <f>AVERAGE('22.07 Nateete-Nakawuka'!I11,'23.07 Nateete-Nakawuka'!I11,'24.07 Nateete-Nakawuka'!I11,'25.07 Nateete-Nakawuka'!I11,'26.07 Nateete-Nakawuka-24h'!I11,'27.07 Nateete-Nakawuka-24h'!I11,'28.07 Nateete-Nakawuka'!I11)</f>
        <v>2.8571428571428572</v>
      </c>
      <c r="J11" s="49">
        <f>AVERAGE('22.07 Nateete-Nakawuka'!J11,'23.07 Nateete-Nakawuka'!J11,'24.07 Nateete-Nakawuka'!J11,'25.07 Nateete-Nakawuka'!J11,'26.07 Nateete-Nakawuka-24h'!J11,'27.07 Nateete-Nakawuka-24h'!J11,'28.07 Nateete-Nakawuka'!J11)</f>
        <v>2.5714285714285716</v>
      </c>
      <c r="K11" s="49">
        <f>AVERAGE('22.07 Nateete-Nakawuka'!K11,'23.07 Nateete-Nakawuka'!K11,'24.07 Nateete-Nakawuka'!K11,'25.07 Nateete-Nakawuka'!K11,'26.07 Nateete-Nakawuka-24h'!K11,'27.07 Nateete-Nakawuka-24h'!K11,'28.07 Nateete-Nakawuka'!K11)</f>
        <v>0.2857142857142857</v>
      </c>
      <c r="L11" s="49">
        <f>AVERAGE('22.07 Nateete-Nakawuka'!L11,'23.07 Nateete-Nakawuka'!L11,'24.07 Nateete-Nakawuka'!L11,'25.07 Nateete-Nakawuka'!L11,'26.07 Nateete-Nakawuka-24h'!L11,'27.07 Nateete-Nakawuka-24h'!L11,'28.07 Nateete-Nakawuka'!L11)</f>
        <v>0</v>
      </c>
      <c r="M11" s="49">
        <f>AVERAGE('22.07 Nateete-Nakawuka'!M11,'23.07 Nateete-Nakawuka'!M11,'24.07 Nateete-Nakawuka'!M11,'25.07 Nateete-Nakawuka'!M11,'26.07 Nateete-Nakawuka-24h'!M11,'27.07 Nateete-Nakawuka-24h'!M11,'28.07 Nateete-Nakawuka'!M11)</f>
        <v>92</v>
      </c>
      <c r="N11" s="49">
        <f>AVERAGE('22.07 Nateete-Nakawuka'!N11,'23.07 Nateete-Nakawuka'!N11,'24.07 Nateete-Nakawuka'!N11,'25.07 Nateete-Nakawuka'!N11,'26.07 Nateete-Nakawuka-24h'!N11,'27.07 Nateete-Nakawuka-24h'!N11,'28.07 Nateete-Nakawuka'!N11)</f>
        <v>0</v>
      </c>
      <c r="O11" s="31">
        <f t="shared" si="0"/>
        <v>27.285714285714288</v>
      </c>
      <c r="P11" s="31">
        <f t="shared" si="1"/>
        <v>119.28571428571429</v>
      </c>
      <c r="R11" s="1" t="s">
        <v>7</v>
      </c>
      <c r="S11" s="17">
        <f t="shared" ref="S11:AF11" si="3">SUM(C14:C17)</f>
        <v>27.571428571428569</v>
      </c>
      <c r="T11" s="17">
        <f t="shared" si="3"/>
        <v>8</v>
      </c>
      <c r="U11" s="17">
        <f t="shared" si="3"/>
        <v>4.7142857142857144</v>
      </c>
      <c r="V11" s="17">
        <f t="shared" si="3"/>
        <v>58.714285714285715</v>
      </c>
      <c r="W11" s="17">
        <f t="shared" si="3"/>
        <v>0.8571428571428571</v>
      </c>
      <c r="X11" s="17">
        <f t="shared" si="3"/>
        <v>0.8571428571428571</v>
      </c>
      <c r="Y11" s="17">
        <f t="shared" si="3"/>
        <v>12.571428571428571</v>
      </c>
      <c r="Z11" s="17">
        <f t="shared" si="3"/>
        <v>6</v>
      </c>
      <c r="AA11" s="17">
        <f t="shared" si="3"/>
        <v>0.8571428571428571</v>
      </c>
      <c r="AB11" s="17">
        <f t="shared" si="3"/>
        <v>0.5714285714285714</v>
      </c>
      <c r="AC11" s="17">
        <f t="shared" si="3"/>
        <v>353.42857142857144</v>
      </c>
      <c r="AD11" s="17">
        <f t="shared" si="3"/>
        <v>0</v>
      </c>
      <c r="AE11" s="31">
        <f t="shared" si="3"/>
        <v>120.71428571428571</v>
      </c>
      <c r="AF11" s="31">
        <f t="shared" si="3"/>
        <v>474.14285714285711</v>
      </c>
    </row>
    <row r="12" spans="2:32" ht="23.1" customHeight="1" x14ac:dyDescent="0.25">
      <c r="B12" s="23" t="s">
        <v>39</v>
      </c>
      <c r="C12" s="49">
        <f>AVERAGE('22.07 Nateete-Nakawuka'!C12,'23.07 Nateete-Nakawuka'!C12,'24.07 Nateete-Nakawuka'!C12,'25.07 Nateete-Nakawuka'!C12,'26.07 Nateete-Nakawuka-24h'!C12,'27.07 Nateete-Nakawuka-24h'!C12,'28.07 Nateete-Nakawuka'!C12)</f>
        <v>11.285714285714286</v>
      </c>
      <c r="D12" s="49">
        <f>AVERAGE('22.07 Nateete-Nakawuka'!D12,'23.07 Nateete-Nakawuka'!D12,'24.07 Nateete-Nakawuka'!D12,'25.07 Nateete-Nakawuka'!D12,'26.07 Nateete-Nakawuka-24h'!D12,'27.07 Nateete-Nakawuka-24h'!D12,'28.07 Nateete-Nakawuka'!D12)</f>
        <v>1.1428571428571428</v>
      </c>
      <c r="E12" s="49">
        <f>AVERAGE('22.07 Nateete-Nakawuka'!E12,'23.07 Nateete-Nakawuka'!E12,'24.07 Nateete-Nakawuka'!E12,'25.07 Nateete-Nakawuka'!E12,'26.07 Nateete-Nakawuka-24h'!E12,'27.07 Nateete-Nakawuka-24h'!E12,'28.07 Nateete-Nakawuka'!E12)</f>
        <v>2</v>
      </c>
      <c r="F12" s="49">
        <f>AVERAGE('22.07 Nateete-Nakawuka'!F12,'23.07 Nateete-Nakawuka'!F12,'24.07 Nateete-Nakawuka'!F12,'25.07 Nateete-Nakawuka'!F12,'26.07 Nateete-Nakawuka-24h'!F12,'27.07 Nateete-Nakawuka-24h'!F12,'28.07 Nateete-Nakawuka'!F12)</f>
        <v>15.142857142857142</v>
      </c>
      <c r="G12" s="49">
        <f>AVERAGE('22.07 Nateete-Nakawuka'!G12,'23.07 Nateete-Nakawuka'!G12,'24.07 Nateete-Nakawuka'!G12,'25.07 Nateete-Nakawuka'!G12,'26.07 Nateete-Nakawuka-24h'!G12,'27.07 Nateete-Nakawuka-24h'!G12,'28.07 Nateete-Nakawuka'!G12)</f>
        <v>0.42857142857142855</v>
      </c>
      <c r="H12" s="49">
        <f>AVERAGE('22.07 Nateete-Nakawuka'!H12,'23.07 Nateete-Nakawuka'!H12,'24.07 Nateete-Nakawuka'!H12,'25.07 Nateete-Nakawuka'!H12,'26.07 Nateete-Nakawuka-24h'!H12,'27.07 Nateete-Nakawuka-24h'!H12,'28.07 Nateete-Nakawuka'!H12)</f>
        <v>0.2857142857142857</v>
      </c>
      <c r="I12" s="49">
        <f>AVERAGE('22.07 Nateete-Nakawuka'!I12,'23.07 Nateete-Nakawuka'!I12,'24.07 Nateete-Nakawuka'!I12,'25.07 Nateete-Nakawuka'!I12,'26.07 Nateete-Nakawuka-24h'!I12,'27.07 Nateete-Nakawuka-24h'!I12,'28.07 Nateete-Nakawuka'!I12)</f>
        <v>1.7142857142857142</v>
      </c>
      <c r="J12" s="49">
        <f>AVERAGE('22.07 Nateete-Nakawuka'!J12,'23.07 Nateete-Nakawuka'!J12,'24.07 Nateete-Nakawuka'!J12,'25.07 Nateete-Nakawuka'!J12,'26.07 Nateete-Nakawuka-24h'!J12,'27.07 Nateete-Nakawuka-24h'!J12,'28.07 Nateete-Nakawuka'!J12)</f>
        <v>2.1428571428571428</v>
      </c>
      <c r="K12" s="49">
        <f>AVERAGE('22.07 Nateete-Nakawuka'!K12,'23.07 Nateete-Nakawuka'!K12,'24.07 Nateete-Nakawuka'!K12,'25.07 Nateete-Nakawuka'!K12,'26.07 Nateete-Nakawuka-24h'!K12,'27.07 Nateete-Nakawuka-24h'!K12,'28.07 Nateete-Nakawuka'!K12)</f>
        <v>0.42857142857142855</v>
      </c>
      <c r="L12" s="49">
        <f>AVERAGE('22.07 Nateete-Nakawuka'!L12,'23.07 Nateete-Nakawuka'!L12,'24.07 Nateete-Nakawuka'!L12,'25.07 Nateete-Nakawuka'!L12,'26.07 Nateete-Nakawuka-24h'!L12,'27.07 Nateete-Nakawuka-24h'!L12,'28.07 Nateete-Nakawuka'!L12)</f>
        <v>0</v>
      </c>
      <c r="M12" s="49">
        <f>AVERAGE('22.07 Nateete-Nakawuka'!M12,'23.07 Nateete-Nakawuka'!M12,'24.07 Nateete-Nakawuka'!M12,'25.07 Nateete-Nakawuka'!M12,'26.07 Nateete-Nakawuka-24h'!M12,'27.07 Nateete-Nakawuka-24h'!M12,'28.07 Nateete-Nakawuka'!M12)</f>
        <v>95</v>
      </c>
      <c r="N12" s="49">
        <f>AVERAGE('22.07 Nateete-Nakawuka'!N12,'23.07 Nateete-Nakawuka'!N12,'24.07 Nateete-Nakawuka'!N12,'25.07 Nateete-Nakawuka'!N12,'26.07 Nateete-Nakawuka-24h'!N12,'27.07 Nateete-Nakawuka-24h'!N12,'28.07 Nateete-Nakawuka'!N12)</f>
        <v>0</v>
      </c>
      <c r="O12" s="31">
        <f t="shared" si="0"/>
        <v>34.571428571428569</v>
      </c>
      <c r="P12" s="31">
        <f t="shared" si="1"/>
        <v>129.57142857142856</v>
      </c>
      <c r="R12" s="1" t="s">
        <v>8</v>
      </c>
      <c r="S12" s="17">
        <f t="shared" ref="S12:AF12" si="4">SUM(C18:C21)</f>
        <v>44.571428571428569</v>
      </c>
      <c r="T12" s="17">
        <f t="shared" si="4"/>
        <v>6.7142857142857144</v>
      </c>
      <c r="U12" s="17">
        <f t="shared" si="4"/>
        <v>6.2857142857142856</v>
      </c>
      <c r="V12" s="17">
        <f t="shared" si="4"/>
        <v>64.714285714285708</v>
      </c>
      <c r="W12" s="17">
        <f t="shared" si="4"/>
        <v>1</v>
      </c>
      <c r="X12" s="17">
        <f t="shared" si="4"/>
        <v>1.857142857142857</v>
      </c>
      <c r="Y12" s="17">
        <f t="shared" si="4"/>
        <v>20.428571428571427</v>
      </c>
      <c r="Z12" s="17">
        <f t="shared" si="4"/>
        <v>6.7142857142857144</v>
      </c>
      <c r="AA12" s="17">
        <f t="shared" si="4"/>
        <v>3.2857142857142856</v>
      </c>
      <c r="AB12" s="17">
        <f t="shared" si="4"/>
        <v>1</v>
      </c>
      <c r="AC12" s="17">
        <f t="shared" si="4"/>
        <v>403.85714285714289</v>
      </c>
      <c r="AD12" s="17">
        <f t="shared" si="4"/>
        <v>0</v>
      </c>
      <c r="AE12" s="31">
        <f t="shared" si="4"/>
        <v>156.57142857142856</v>
      </c>
      <c r="AF12" s="31">
        <f t="shared" si="4"/>
        <v>560.42857142857156</v>
      </c>
    </row>
    <row r="13" spans="2:32" ht="23.1" customHeight="1" x14ac:dyDescent="0.25">
      <c r="B13" s="23" t="s">
        <v>40</v>
      </c>
      <c r="C13" s="49">
        <f>AVERAGE('22.07 Nateete-Nakawuka'!C13,'23.07 Nateete-Nakawuka'!C13,'24.07 Nateete-Nakawuka'!C13,'25.07 Nateete-Nakawuka'!C13,'26.07 Nateete-Nakawuka-24h'!C13,'27.07 Nateete-Nakawuka-24h'!C13,'28.07 Nateete-Nakawuka'!C13)</f>
        <v>8</v>
      </c>
      <c r="D13" s="49">
        <f>AVERAGE('22.07 Nateete-Nakawuka'!D13,'23.07 Nateete-Nakawuka'!D13,'24.07 Nateete-Nakawuka'!D13,'25.07 Nateete-Nakawuka'!D13,'26.07 Nateete-Nakawuka-24h'!D13,'27.07 Nateete-Nakawuka-24h'!D13,'28.07 Nateete-Nakawuka'!D13)</f>
        <v>2.1428571428571428</v>
      </c>
      <c r="E13" s="49">
        <f>AVERAGE('22.07 Nateete-Nakawuka'!E13,'23.07 Nateete-Nakawuka'!E13,'24.07 Nateete-Nakawuka'!E13,'25.07 Nateete-Nakawuka'!E13,'26.07 Nateete-Nakawuka-24h'!E13,'27.07 Nateete-Nakawuka-24h'!E13,'28.07 Nateete-Nakawuka'!E13)</f>
        <v>1.4285714285714286</v>
      </c>
      <c r="F13" s="49">
        <f>AVERAGE('22.07 Nateete-Nakawuka'!F13,'23.07 Nateete-Nakawuka'!F13,'24.07 Nateete-Nakawuka'!F13,'25.07 Nateete-Nakawuka'!F13,'26.07 Nateete-Nakawuka-24h'!F13,'27.07 Nateete-Nakawuka-24h'!F13,'28.07 Nateete-Nakawuka'!F13)</f>
        <v>18.285714285714285</v>
      </c>
      <c r="G13" s="49">
        <f>AVERAGE('22.07 Nateete-Nakawuka'!G13,'23.07 Nateete-Nakawuka'!G13,'24.07 Nateete-Nakawuka'!G13,'25.07 Nateete-Nakawuka'!G13,'26.07 Nateete-Nakawuka-24h'!G13,'27.07 Nateete-Nakawuka-24h'!G13,'28.07 Nateete-Nakawuka'!G13)</f>
        <v>0</v>
      </c>
      <c r="H13" s="49">
        <f>AVERAGE('22.07 Nateete-Nakawuka'!H13,'23.07 Nateete-Nakawuka'!H13,'24.07 Nateete-Nakawuka'!H13,'25.07 Nateete-Nakawuka'!H13,'26.07 Nateete-Nakawuka-24h'!H13,'27.07 Nateete-Nakawuka-24h'!H13,'28.07 Nateete-Nakawuka'!H13)</f>
        <v>0</v>
      </c>
      <c r="I13" s="49">
        <f>AVERAGE('22.07 Nateete-Nakawuka'!I13,'23.07 Nateete-Nakawuka'!I13,'24.07 Nateete-Nakawuka'!I13,'25.07 Nateete-Nakawuka'!I13,'26.07 Nateete-Nakawuka-24h'!I13,'27.07 Nateete-Nakawuka-24h'!I13,'28.07 Nateete-Nakawuka'!I13)</f>
        <v>3.2857142857142856</v>
      </c>
      <c r="J13" s="49">
        <f>AVERAGE('22.07 Nateete-Nakawuka'!J13,'23.07 Nateete-Nakawuka'!J13,'24.07 Nateete-Nakawuka'!J13,'25.07 Nateete-Nakawuka'!J13,'26.07 Nateete-Nakawuka-24h'!J13,'27.07 Nateete-Nakawuka-24h'!J13,'28.07 Nateete-Nakawuka'!J13)</f>
        <v>1.5714285714285714</v>
      </c>
      <c r="K13" s="49">
        <f>AVERAGE('22.07 Nateete-Nakawuka'!K13,'23.07 Nateete-Nakawuka'!K13,'24.07 Nateete-Nakawuka'!K13,'25.07 Nateete-Nakawuka'!K13,'26.07 Nateete-Nakawuka-24h'!K13,'27.07 Nateete-Nakawuka-24h'!K13,'28.07 Nateete-Nakawuka'!K13)</f>
        <v>0.2857142857142857</v>
      </c>
      <c r="L13" s="49">
        <f>AVERAGE('22.07 Nateete-Nakawuka'!L13,'23.07 Nateete-Nakawuka'!L13,'24.07 Nateete-Nakawuka'!L13,'25.07 Nateete-Nakawuka'!L13,'26.07 Nateete-Nakawuka-24h'!L13,'27.07 Nateete-Nakawuka-24h'!L13,'28.07 Nateete-Nakawuka'!L13)</f>
        <v>0.2857142857142857</v>
      </c>
      <c r="M13" s="49">
        <f>AVERAGE('22.07 Nateete-Nakawuka'!M13,'23.07 Nateete-Nakawuka'!M13,'24.07 Nateete-Nakawuka'!M13,'25.07 Nateete-Nakawuka'!M13,'26.07 Nateete-Nakawuka-24h'!M13,'27.07 Nateete-Nakawuka-24h'!M13,'28.07 Nateete-Nakawuka'!M13)</f>
        <v>88.714285714285708</v>
      </c>
      <c r="N13" s="49">
        <f>AVERAGE('22.07 Nateete-Nakawuka'!N13,'23.07 Nateete-Nakawuka'!N13,'24.07 Nateete-Nakawuka'!N13,'25.07 Nateete-Nakawuka'!N13,'26.07 Nateete-Nakawuka-24h'!N13,'27.07 Nateete-Nakawuka-24h'!N13,'28.07 Nateete-Nakawuka'!N13)</f>
        <v>0</v>
      </c>
      <c r="O13" s="31">
        <f t="shared" si="0"/>
        <v>35.285714285714278</v>
      </c>
      <c r="P13" s="31">
        <f t="shared" si="1"/>
        <v>123.99999999999999</v>
      </c>
      <c r="R13" s="1" t="s">
        <v>9</v>
      </c>
      <c r="S13" s="17">
        <f t="shared" ref="S13:AF13" si="5">SUM(C22:C25)</f>
        <v>48.142857142857146</v>
      </c>
      <c r="T13" s="17">
        <f t="shared" si="5"/>
        <v>5.4285714285714279</v>
      </c>
      <c r="U13" s="17">
        <f t="shared" si="5"/>
        <v>7.8571428571428577</v>
      </c>
      <c r="V13" s="17">
        <f t="shared" si="5"/>
        <v>48.571428571428577</v>
      </c>
      <c r="W13" s="17">
        <f t="shared" si="5"/>
        <v>2.4285714285714284</v>
      </c>
      <c r="X13" s="17">
        <f t="shared" si="5"/>
        <v>1.8571428571428572</v>
      </c>
      <c r="Y13" s="17">
        <f t="shared" si="5"/>
        <v>18.285714285714285</v>
      </c>
      <c r="Z13" s="17">
        <f t="shared" si="5"/>
        <v>8.1428571428571423</v>
      </c>
      <c r="AA13" s="17">
        <f t="shared" si="5"/>
        <v>2.4285714285714284</v>
      </c>
      <c r="AB13" s="17">
        <f t="shared" si="5"/>
        <v>1</v>
      </c>
      <c r="AC13" s="17">
        <f t="shared" si="5"/>
        <v>358.85714285714283</v>
      </c>
      <c r="AD13" s="17">
        <f t="shared" si="5"/>
        <v>0</v>
      </c>
      <c r="AE13" s="31">
        <f t="shared" si="5"/>
        <v>144.14285714285714</v>
      </c>
      <c r="AF13" s="31">
        <f t="shared" si="5"/>
        <v>503</v>
      </c>
    </row>
    <row r="14" spans="2:32" ht="23.1" customHeight="1" x14ac:dyDescent="0.25">
      <c r="B14" s="23" t="s">
        <v>41</v>
      </c>
      <c r="C14" s="49">
        <f>AVERAGE('22.07 Nateete-Nakawuka'!C14,'23.07 Nateete-Nakawuka'!C14,'24.07 Nateete-Nakawuka'!C14,'25.07 Nateete-Nakawuka'!C14,'26.07 Nateete-Nakawuka-24h'!C14,'27.07 Nateete-Nakawuka-24h'!C14,'28.07 Nateete-Nakawuka'!C14)</f>
        <v>8.4285714285714288</v>
      </c>
      <c r="D14" s="49">
        <f>AVERAGE('22.07 Nateete-Nakawuka'!D14,'23.07 Nateete-Nakawuka'!D14,'24.07 Nateete-Nakawuka'!D14,'25.07 Nateete-Nakawuka'!D14,'26.07 Nateete-Nakawuka-24h'!D14,'27.07 Nateete-Nakawuka-24h'!D14,'28.07 Nateete-Nakawuka'!D14)</f>
        <v>2.4285714285714284</v>
      </c>
      <c r="E14" s="49">
        <f>AVERAGE('22.07 Nateete-Nakawuka'!E14,'23.07 Nateete-Nakawuka'!E14,'24.07 Nateete-Nakawuka'!E14,'25.07 Nateete-Nakawuka'!E14,'26.07 Nateete-Nakawuka-24h'!E14,'27.07 Nateete-Nakawuka-24h'!E14,'28.07 Nateete-Nakawuka'!E14)</f>
        <v>1.2857142857142858</v>
      </c>
      <c r="F14" s="49">
        <f>AVERAGE('22.07 Nateete-Nakawuka'!F14,'23.07 Nateete-Nakawuka'!F14,'24.07 Nateete-Nakawuka'!F14,'25.07 Nateete-Nakawuka'!F14,'26.07 Nateete-Nakawuka-24h'!F14,'27.07 Nateete-Nakawuka-24h'!F14,'28.07 Nateete-Nakawuka'!F14)</f>
        <v>12.714285714285714</v>
      </c>
      <c r="G14" s="49">
        <f>AVERAGE('22.07 Nateete-Nakawuka'!G14,'23.07 Nateete-Nakawuka'!G14,'24.07 Nateete-Nakawuka'!G14,'25.07 Nateete-Nakawuka'!G14,'26.07 Nateete-Nakawuka-24h'!G14,'27.07 Nateete-Nakawuka-24h'!G14,'28.07 Nateete-Nakawuka'!G14)</f>
        <v>0</v>
      </c>
      <c r="H14" s="49">
        <f>AVERAGE('22.07 Nateete-Nakawuka'!H14,'23.07 Nateete-Nakawuka'!H14,'24.07 Nateete-Nakawuka'!H14,'25.07 Nateete-Nakawuka'!H14,'26.07 Nateete-Nakawuka-24h'!H14,'27.07 Nateete-Nakawuka-24h'!H14,'28.07 Nateete-Nakawuka'!H14)</f>
        <v>0</v>
      </c>
      <c r="I14" s="49">
        <f>AVERAGE('22.07 Nateete-Nakawuka'!I14,'23.07 Nateete-Nakawuka'!I14,'24.07 Nateete-Nakawuka'!I14,'25.07 Nateete-Nakawuka'!I14,'26.07 Nateete-Nakawuka-24h'!I14,'27.07 Nateete-Nakawuka-24h'!I14,'28.07 Nateete-Nakawuka'!I14)</f>
        <v>2.2857142857142856</v>
      </c>
      <c r="J14" s="49">
        <f>AVERAGE('22.07 Nateete-Nakawuka'!J14,'23.07 Nateete-Nakawuka'!J14,'24.07 Nateete-Nakawuka'!J14,'25.07 Nateete-Nakawuka'!J14,'26.07 Nateete-Nakawuka-24h'!J14,'27.07 Nateete-Nakawuka-24h'!J14,'28.07 Nateete-Nakawuka'!J14)</f>
        <v>2</v>
      </c>
      <c r="K14" s="49">
        <f>AVERAGE('22.07 Nateete-Nakawuka'!K14,'23.07 Nateete-Nakawuka'!K14,'24.07 Nateete-Nakawuka'!K14,'25.07 Nateete-Nakawuka'!K14,'26.07 Nateete-Nakawuka-24h'!K14,'27.07 Nateete-Nakawuka-24h'!K14,'28.07 Nateete-Nakawuka'!K14)</f>
        <v>0.2857142857142857</v>
      </c>
      <c r="L14" s="49">
        <f>AVERAGE('22.07 Nateete-Nakawuka'!L14,'23.07 Nateete-Nakawuka'!L14,'24.07 Nateete-Nakawuka'!L14,'25.07 Nateete-Nakawuka'!L14,'26.07 Nateete-Nakawuka-24h'!L14,'27.07 Nateete-Nakawuka-24h'!L14,'28.07 Nateete-Nakawuka'!L14)</f>
        <v>0.2857142857142857</v>
      </c>
      <c r="M14" s="49">
        <f>AVERAGE('22.07 Nateete-Nakawuka'!M14,'23.07 Nateete-Nakawuka'!M14,'24.07 Nateete-Nakawuka'!M14,'25.07 Nateete-Nakawuka'!M14,'26.07 Nateete-Nakawuka-24h'!M14,'27.07 Nateete-Nakawuka-24h'!M14,'28.07 Nateete-Nakawuka'!M14)</f>
        <v>87.571428571428569</v>
      </c>
      <c r="N14" s="49">
        <f>AVERAGE('22.07 Nateete-Nakawuka'!N14,'23.07 Nateete-Nakawuka'!N14,'24.07 Nateete-Nakawuka'!N14,'25.07 Nateete-Nakawuka'!N14,'26.07 Nateete-Nakawuka-24h'!N14,'27.07 Nateete-Nakawuka-24h'!N14,'28.07 Nateete-Nakawuka'!N14)</f>
        <v>0</v>
      </c>
      <c r="O14" s="31">
        <f t="shared" si="0"/>
        <v>29.714285714285712</v>
      </c>
      <c r="P14" s="31">
        <f t="shared" si="1"/>
        <v>117.28571428571428</v>
      </c>
      <c r="R14" s="1" t="s">
        <v>10</v>
      </c>
      <c r="S14" s="17">
        <f t="shared" ref="S14:AF14" si="6">SUM(C26:C29)</f>
        <v>54.285714285714278</v>
      </c>
      <c r="T14" s="17">
        <f t="shared" si="6"/>
        <v>8.5714285714285712</v>
      </c>
      <c r="U14" s="17">
        <f t="shared" si="6"/>
        <v>9.7142857142857135</v>
      </c>
      <c r="V14" s="17">
        <f t="shared" si="6"/>
        <v>47.857142857142854</v>
      </c>
      <c r="W14" s="17">
        <f t="shared" si="6"/>
        <v>6.8571428571428568</v>
      </c>
      <c r="X14" s="17">
        <f t="shared" si="6"/>
        <v>4.2857142857142856</v>
      </c>
      <c r="Y14" s="17">
        <f t="shared" si="6"/>
        <v>24.571428571428569</v>
      </c>
      <c r="Z14" s="17">
        <f t="shared" si="6"/>
        <v>5.1428571428571432</v>
      </c>
      <c r="AA14" s="17">
        <f t="shared" si="6"/>
        <v>3.1428571428571428</v>
      </c>
      <c r="AB14" s="17">
        <f t="shared" si="6"/>
        <v>1.1428571428571428</v>
      </c>
      <c r="AC14" s="17">
        <f t="shared" si="6"/>
        <v>331.28571428571428</v>
      </c>
      <c r="AD14" s="17">
        <f t="shared" si="6"/>
        <v>0</v>
      </c>
      <c r="AE14" s="31">
        <f t="shared" si="6"/>
        <v>165.57142857142858</v>
      </c>
      <c r="AF14" s="31">
        <f t="shared" si="6"/>
        <v>496.85714285714289</v>
      </c>
    </row>
    <row r="15" spans="2:32" ht="23.1" customHeight="1" x14ac:dyDescent="0.25">
      <c r="B15" s="23" t="s">
        <v>42</v>
      </c>
      <c r="C15" s="49">
        <f>AVERAGE('22.07 Nateete-Nakawuka'!C15,'23.07 Nateete-Nakawuka'!C15,'24.07 Nateete-Nakawuka'!C15,'25.07 Nateete-Nakawuka'!C15,'26.07 Nateete-Nakawuka-24h'!C15,'27.07 Nateete-Nakawuka-24h'!C15,'28.07 Nateete-Nakawuka'!C15)</f>
        <v>4</v>
      </c>
      <c r="D15" s="49">
        <f>AVERAGE('22.07 Nateete-Nakawuka'!D15,'23.07 Nateete-Nakawuka'!D15,'24.07 Nateete-Nakawuka'!D15,'25.07 Nateete-Nakawuka'!D15,'26.07 Nateete-Nakawuka-24h'!D15,'27.07 Nateete-Nakawuka-24h'!D15,'28.07 Nateete-Nakawuka'!D15)</f>
        <v>2</v>
      </c>
      <c r="E15" s="49">
        <f>AVERAGE('22.07 Nateete-Nakawuka'!E15,'23.07 Nateete-Nakawuka'!E15,'24.07 Nateete-Nakawuka'!E15,'25.07 Nateete-Nakawuka'!E15,'26.07 Nateete-Nakawuka-24h'!E15,'27.07 Nateete-Nakawuka-24h'!E15,'28.07 Nateete-Nakawuka'!E15)</f>
        <v>1</v>
      </c>
      <c r="F15" s="49">
        <f>AVERAGE('22.07 Nateete-Nakawuka'!F15,'23.07 Nateete-Nakawuka'!F15,'24.07 Nateete-Nakawuka'!F15,'25.07 Nateete-Nakawuka'!F15,'26.07 Nateete-Nakawuka-24h'!F15,'27.07 Nateete-Nakawuka-24h'!F15,'28.07 Nateete-Nakawuka'!F15)</f>
        <v>14.428571428571429</v>
      </c>
      <c r="G15" s="49">
        <f>AVERAGE('22.07 Nateete-Nakawuka'!G15,'23.07 Nateete-Nakawuka'!G15,'24.07 Nateete-Nakawuka'!G15,'25.07 Nateete-Nakawuka'!G15,'26.07 Nateete-Nakawuka-24h'!G15,'27.07 Nateete-Nakawuka-24h'!G15,'28.07 Nateete-Nakawuka'!G15)</f>
        <v>0.42857142857142855</v>
      </c>
      <c r="H15" s="49">
        <f>AVERAGE('22.07 Nateete-Nakawuka'!H15,'23.07 Nateete-Nakawuka'!H15,'24.07 Nateete-Nakawuka'!H15,'25.07 Nateete-Nakawuka'!H15,'26.07 Nateete-Nakawuka-24h'!H15,'27.07 Nateete-Nakawuka-24h'!H15,'28.07 Nateete-Nakawuka'!H15)</f>
        <v>0.2857142857142857</v>
      </c>
      <c r="I15" s="49">
        <f>AVERAGE('22.07 Nateete-Nakawuka'!I15,'23.07 Nateete-Nakawuka'!I15,'24.07 Nateete-Nakawuka'!I15,'25.07 Nateete-Nakawuka'!I15,'26.07 Nateete-Nakawuka-24h'!I15,'27.07 Nateete-Nakawuka-24h'!I15,'28.07 Nateete-Nakawuka'!I15)</f>
        <v>3</v>
      </c>
      <c r="J15" s="49">
        <f>AVERAGE('22.07 Nateete-Nakawuka'!J15,'23.07 Nateete-Nakawuka'!J15,'24.07 Nateete-Nakawuka'!J15,'25.07 Nateete-Nakawuka'!J15,'26.07 Nateete-Nakawuka-24h'!J15,'27.07 Nateete-Nakawuka-24h'!J15,'28.07 Nateete-Nakawuka'!J15)</f>
        <v>0.5714285714285714</v>
      </c>
      <c r="K15" s="49">
        <f>AVERAGE('22.07 Nateete-Nakawuka'!K15,'23.07 Nateete-Nakawuka'!K15,'24.07 Nateete-Nakawuka'!K15,'25.07 Nateete-Nakawuka'!K15,'26.07 Nateete-Nakawuka-24h'!K15,'27.07 Nateete-Nakawuka-24h'!K15,'28.07 Nateete-Nakawuka'!K15)</f>
        <v>0.14285714285714285</v>
      </c>
      <c r="L15" s="49">
        <f>AVERAGE('22.07 Nateete-Nakawuka'!L15,'23.07 Nateete-Nakawuka'!L15,'24.07 Nateete-Nakawuka'!L15,'25.07 Nateete-Nakawuka'!L15,'26.07 Nateete-Nakawuka-24h'!L15,'27.07 Nateete-Nakawuka-24h'!L15,'28.07 Nateete-Nakawuka'!L15)</f>
        <v>0.14285714285714285</v>
      </c>
      <c r="M15" s="49">
        <f>AVERAGE('22.07 Nateete-Nakawuka'!M15,'23.07 Nateete-Nakawuka'!M15,'24.07 Nateete-Nakawuka'!M15,'25.07 Nateete-Nakawuka'!M15,'26.07 Nateete-Nakawuka-24h'!M15,'27.07 Nateete-Nakawuka-24h'!M15,'28.07 Nateete-Nakawuka'!M15)</f>
        <v>81.142857142857139</v>
      </c>
      <c r="N15" s="49">
        <f>AVERAGE('22.07 Nateete-Nakawuka'!N15,'23.07 Nateete-Nakawuka'!N15,'24.07 Nateete-Nakawuka'!N15,'25.07 Nateete-Nakawuka'!N15,'26.07 Nateete-Nakawuka-24h'!N15,'27.07 Nateete-Nakawuka-24h'!N15,'28.07 Nateete-Nakawuka'!N15)</f>
        <v>0</v>
      </c>
      <c r="O15" s="31">
        <f t="shared" si="0"/>
        <v>26</v>
      </c>
      <c r="P15" s="31">
        <f t="shared" si="1"/>
        <v>107.14285714285714</v>
      </c>
      <c r="R15" s="1" t="s">
        <v>11</v>
      </c>
      <c r="S15" s="17">
        <f t="shared" ref="S15:AF15" si="7">SUM(C30:C33)</f>
        <v>55.857142857142861</v>
      </c>
      <c r="T15" s="17">
        <f t="shared" si="7"/>
        <v>10</v>
      </c>
      <c r="U15" s="17">
        <f t="shared" si="7"/>
        <v>9.8571428571428577</v>
      </c>
      <c r="V15" s="17">
        <f t="shared" si="7"/>
        <v>49.857142857142861</v>
      </c>
      <c r="W15" s="17">
        <f t="shared" si="7"/>
        <v>3.285714285714286</v>
      </c>
      <c r="X15" s="17">
        <f t="shared" si="7"/>
        <v>1.714285714285714</v>
      </c>
      <c r="Y15" s="17">
        <f t="shared" si="7"/>
        <v>20.714285714285715</v>
      </c>
      <c r="Z15" s="17">
        <f t="shared" si="7"/>
        <v>5.2857142857142856</v>
      </c>
      <c r="AA15" s="17">
        <f t="shared" si="7"/>
        <v>2.2857142857142856</v>
      </c>
      <c r="AB15" s="17">
        <f t="shared" si="7"/>
        <v>1.857142857142857</v>
      </c>
      <c r="AC15" s="17">
        <f t="shared" si="7"/>
        <v>298.57142857142856</v>
      </c>
      <c r="AD15" s="17">
        <f t="shared" si="7"/>
        <v>0</v>
      </c>
      <c r="AE15" s="31">
        <f t="shared" si="7"/>
        <v>160.71428571428572</v>
      </c>
      <c r="AF15" s="31">
        <f t="shared" si="7"/>
        <v>459.28571428571433</v>
      </c>
    </row>
    <row r="16" spans="2:32" ht="23.1" customHeight="1" x14ac:dyDescent="0.25">
      <c r="B16" s="23" t="s">
        <v>43</v>
      </c>
      <c r="C16" s="49">
        <f>AVERAGE('22.07 Nateete-Nakawuka'!C16,'23.07 Nateete-Nakawuka'!C16,'24.07 Nateete-Nakawuka'!C16,'25.07 Nateete-Nakawuka'!C16,'26.07 Nateete-Nakawuka-24h'!C16,'27.07 Nateete-Nakawuka-24h'!C16,'28.07 Nateete-Nakawuka'!C16)</f>
        <v>4.8571428571428568</v>
      </c>
      <c r="D16" s="49">
        <f>AVERAGE('22.07 Nateete-Nakawuka'!D16,'23.07 Nateete-Nakawuka'!D16,'24.07 Nateete-Nakawuka'!D16,'25.07 Nateete-Nakawuka'!D16,'26.07 Nateete-Nakawuka-24h'!D16,'27.07 Nateete-Nakawuka-24h'!D16,'28.07 Nateete-Nakawuka'!D16)</f>
        <v>2.2857142857142856</v>
      </c>
      <c r="E16" s="49">
        <f>AVERAGE('22.07 Nateete-Nakawuka'!E16,'23.07 Nateete-Nakawuka'!E16,'24.07 Nateete-Nakawuka'!E16,'25.07 Nateete-Nakawuka'!E16,'26.07 Nateete-Nakawuka-24h'!E16,'27.07 Nateete-Nakawuka-24h'!E16,'28.07 Nateete-Nakawuka'!E16)</f>
        <v>1.7142857142857142</v>
      </c>
      <c r="F16" s="49">
        <f>AVERAGE('22.07 Nateete-Nakawuka'!F16,'23.07 Nateete-Nakawuka'!F16,'24.07 Nateete-Nakawuka'!F16,'25.07 Nateete-Nakawuka'!F16,'26.07 Nateete-Nakawuka-24h'!F16,'27.07 Nateete-Nakawuka-24h'!F16,'28.07 Nateete-Nakawuka'!F16)</f>
        <v>20.571428571428573</v>
      </c>
      <c r="G16" s="49">
        <f>AVERAGE('22.07 Nateete-Nakawuka'!G16,'23.07 Nateete-Nakawuka'!G16,'24.07 Nateete-Nakawuka'!G16,'25.07 Nateete-Nakawuka'!G16,'26.07 Nateete-Nakawuka-24h'!G16,'27.07 Nateete-Nakawuka-24h'!G16,'28.07 Nateete-Nakawuka'!G16)</f>
        <v>0.14285714285714285</v>
      </c>
      <c r="H16" s="49">
        <f>AVERAGE('22.07 Nateete-Nakawuka'!H16,'23.07 Nateete-Nakawuka'!H16,'24.07 Nateete-Nakawuka'!H16,'25.07 Nateete-Nakawuka'!H16,'26.07 Nateete-Nakawuka-24h'!H16,'27.07 Nateete-Nakawuka-24h'!H16,'28.07 Nateete-Nakawuka'!H16)</f>
        <v>0.2857142857142857</v>
      </c>
      <c r="I16" s="49">
        <f>AVERAGE('22.07 Nateete-Nakawuka'!I16,'23.07 Nateete-Nakawuka'!I16,'24.07 Nateete-Nakawuka'!I16,'25.07 Nateete-Nakawuka'!I16,'26.07 Nateete-Nakawuka-24h'!I16,'27.07 Nateete-Nakawuka-24h'!I16,'28.07 Nateete-Nakawuka'!I16)</f>
        <v>4.7142857142857144</v>
      </c>
      <c r="J16" s="49">
        <f>AVERAGE('22.07 Nateete-Nakawuka'!J16,'23.07 Nateete-Nakawuka'!J16,'24.07 Nateete-Nakawuka'!J16,'25.07 Nateete-Nakawuka'!J16,'26.07 Nateete-Nakawuka-24h'!J16,'27.07 Nateete-Nakawuka-24h'!J16,'28.07 Nateete-Nakawuka'!J16)</f>
        <v>1.5714285714285714</v>
      </c>
      <c r="K16" s="49">
        <f>AVERAGE('22.07 Nateete-Nakawuka'!K16,'23.07 Nateete-Nakawuka'!K16,'24.07 Nateete-Nakawuka'!K16,'25.07 Nateete-Nakawuka'!K16,'26.07 Nateete-Nakawuka-24h'!K16,'27.07 Nateete-Nakawuka-24h'!K16,'28.07 Nateete-Nakawuka'!K16)</f>
        <v>0</v>
      </c>
      <c r="L16" s="49">
        <f>AVERAGE('22.07 Nateete-Nakawuka'!L16,'23.07 Nateete-Nakawuka'!L16,'24.07 Nateete-Nakawuka'!L16,'25.07 Nateete-Nakawuka'!L16,'26.07 Nateete-Nakawuka-24h'!L16,'27.07 Nateete-Nakawuka-24h'!L16,'28.07 Nateete-Nakawuka'!L16)</f>
        <v>0.14285714285714285</v>
      </c>
      <c r="M16" s="49">
        <f>AVERAGE('22.07 Nateete-Nakawuka'!M16,'23.07 Nateete-Nakawuka'!M16,'24.07 Nateete-Nakawuka'!M16,'25.07 Nateete-Nakawuka'!M16,'26.07 Nateete-Nakawuka-24h'!M16,'27.07 Nateete-Nakawuka-24h'!M16,'28.07 Nateete-Nakawuka'!M16)</f>
        <v>92.857142857142861</v>
      </c>
      <c r="N16" s="49">
        <f>AVERAGE('22.07 Nateete-Nakawuka'!N16,'23.07 Nateete-Nakawuka'!N16,'24.07 Nateete-Nakawuka'!N16,'25.07 Nateete-Nakawuka'!N16,'26.07 Nateete-Nakawuka-24h'!N16,'27.07 Nateete-Nakawuka-24h'!N16,'28.07 Nateete-Nakawuka'!N16)</f>
        <v>0</v>
      </c>
      <c r="O16" s="31">
        <f t="shared" si="0"/>
        <v>36.285714285714285</v>
      </c>
      <c r="P16" s="31">
        <f t="shared" si="1"/>
        <v>129.14285714285714</v>
      </c>
      <c r="R16" s="1" t="s">
        <v>12</v>
      </c>
      <c r="S16" s="17">
        <f t="shared" ref="S16:AF16" si="8">SUM(C34:C37)</f>
        <v>48</v>
      </c>
      <c r="T16" s="17">
        <f t="shared" si="8"/>
        <v>10.571428571428571</v>
      </c>
      <c r="U16" s="17">
        <f t="shared" si="8"/>
        <v>8</v>
      </c>
      <c r="V16" s="17">
        <f t="shared" si="8"/>
        <v>47.142857142857146</v>
      </c>
      <c r="W16" s="17">
        <f t="shared" si="8"/>
        <v>2.714285714285714</v>
      </c>
      <c r="X16" s="17">
        <f t="shared" si="8"/>
        <v>2.7142857142857144</v>
      </c>
      <c r="Y16" s="17">
        <f t="shared" si="8"/>
        <v>18.142857142857146</v>
      </c>
      <c r="Z16" s="17">
        <f t="shared" si="8"/>
        <v>6.2857142857142856</v>
      </c>
      <c r="AA16" s="17">
        <f t="shared" si="8"/>
        <v>3.7142857142857144</v>
      </c>
      <c r="AB16" s="17">
        <f t="shared" si="8"/>
        <v>0.99999999999999989</v>
      </c>
      <c r="AC16" s="17">
        <f t="shared" si="8"/>
        <v>311.85714285714289</v>
      </c>
      <c r="AD16" s="17">
        <f t="shared" si="8"/>
        <v>0.14285714285714285</v>
      </c>
      <c r="AE16" s="31">
        <f t="shared" si="8"/>
        <v>148.42857142857144</v>
      </c>
      <c r="AF16" s="31">
        <f t="shared" si="8"/>
        <v>460.28571428571428</v>
      </c>
    </row>
    <row r="17" spans="2:32" ht="23.1" customHeight="1" x14ac:dyDescent="0.25">
      <c r="B17" s="23" t="s">
        <v>44</v>
      </c>
      <c r="C17" s="49">
        <f>AVERAGE('22.07 Nateete-Nakawuka'!C17,'23.07 Nateete-Nakawuka'!C17,'24.07 Nateete-Nakawuka'!C17,'25.07 Nateete-Nakawuka'!C17,'26.07 Nateete-Nakawuka-24h'!C17,'27.07 Nateete-Nakawuka-24h'!C17,'28.07 Nateete-Nakawuka'!C17)</f>
        <v>10.285714285714286</v>
      </c>
      <c r="D17" s="49">
        <f>AVERAGE('22.07 Nateete-Nakawuka'!D17,'23.07 Nateete-Nakawuka'!D17,'24.07 Nateete-Nakawuka'!D17,'25.07 Nateete-Nakawuka'!D17,'26.07 Nateete-Nakawuka-24h'!D17,'27.07 Nateete-Nakawuka-24h'!D17,'28.07 Nateete-Nakawuka'!D17)</f>
        <v>1.2857142857142858</v>
      </c>
      <c r="E17" s="49">
        <f>AVERAGE('22.07 Nateete-Nakawuka'!E17,'23.07 Nateete-Nakawuka'!E17,'24.07 Nateete-Nakawuka'!E17,'25.07 Nateete-Nakawuka'!E17,'26.07 Nateete-Nakawuka-24h'!E17,'27.07 Nateete-Nakawuka-24h'!E17,'28.07 Nateete-Nakawuka'!E17)</f>
        <v>0.7142857142857143</v>
      </c>
      <c r="F17" s="49">
        <f>AVERAGE('22.07 Nateete-Nakawuka'!F17,'23.07 Nateete-Nakawuka'!F17,'24.07 Nateete-Nakawuka'!F17,'25.07 Nateete-Nakawuka'!F17,'26.07 Nateete-Nakawuka-24h'!F17,'27.07 Nateete-Nakawuka-24h'!F17,'28.07 Nateete-Nakawuka'!F17)</f>
        <v>11</v>
      </c>
      <c r="G17" s="49">
        <f>AVERAGE('22.07 Nateete-Nakawuka'!G17,'23.07 Nateete-Nakawuka'!G17,'24.07 Nateete-Nakawuka'!G17,'25.07 Nateete-Nakawuka'!G17,'26.07 Nateete-Nakawuka-24h'!G17,'27.07 Nateete-Nakawuka-24h'!G17,'28.07 Nateete-Nakawuka'!G17)</f>
        <v>0.2857142857142857</v>
      </c>
      <c r="H17" s="49">
        <f>AVERAGE('22.07 Nateete-Nakawuka'!H17,'23.07 Nateete-Nakawuka'!H17,'24.07 Nateete-Nakawuka'!H17,'25.07 Nateete-Nakawuka'!H17,'26.07 Nateete-Nakawuka-24h'!H17,'27.07 Nateete-Nakawuka-24h'!H17,'28.07 Nateete-Nakawuka'!H17)</f>
        <v>0.2857142857142857</v>
      </c>
      <c r="I17" s="49">
        <f>AVERAGE('22.07 Nateete-Nakawuka'!I17,'23.07 Nateete-Nakawuka'!I17,'24.07 Nateete-Nakawuka'!I17,'25.07 Nateete-Nakawuka'!I17,'26.07 Nateete-Nakawuka-24h'!I17,'27.07 Nateete-Nakawuka-24h'!I17,'28.07 Nateete-Nakawuka'!I17)</f>
        <v>2.5714285714285716</v>
      </c>
      <c r="J17" s="49">
        <f>AVERAGE('22.07 Nateete-Nakawuka'!J17,'23.07 Nateete-Nakawuka'!J17,'24.07 Nateete-Nakawuka'!J17,'25.07 Nateete-Nakawuka'!J17,'26.07 Nateete-Nakawuka-24h'!J17,'27.07 Nateete-Nakawuka-24h'!J17,'28.07 Nateete-Nakawuka'!J17)</f>
        <v>1.8571428571428572</v>
      </c>
      <c r="K17" s="49">
        <f>AVERAGE('22.07 Nateete-Nakawuka'!K17,'23.07 Nateete-Nakawuka'!K17,'24.07 Nateete-Nakawuka'!K17,'25.07 Nateete-Nakawuka'!K17,'26.07 Nateete-Nakawuka-24h'!K17,'27.07 Nateete-Nakawuka-24h'!K17,'28.07 Nateete-Nakawuka'!K17)</f>
        <v>0.42857142857142855</v>
      </c>
      <c r="L17" s="49">
        <f>AVERAGE('22.07 Nateete-Nakawuka'!L17,'23.07 Nateete-Nakawuka'!L17,'24.07 Nateete-Nakawuka'!L17,'25.07 Nateete-Nakawuka'!L17,'26.07 Nateete-Nakawuka-24h'!L17,'27.07 Nateete-Nakawuka-24h'!L17,'28.07 Nateete-Nakawuka'!L17)</f>
        <v>0</v>
      </c>
      <c r="M17" s="49">
        <f>AVERAGE('22.07 Nateete-Nakawuka'!M17,'23.07 Nateete-Nakawuka'!M17,'24.07 Nateete-Nakawuka'!M17,'25.07 Nateete-Nakawuka'!M17,'26.07 Nateete-Nakawuka-24h'!M17,'27.07 Nateete-Nakawuka-24h'!M17,'28.07 Nateete-Nakawuka'!M17)</f>
        <v>91.857142857142861</v>
      </c>
      <c r="N17" s="49">
        <f>AVERAGE('22.07 Nateete-Nakawuka'!N17,'23.07 Nateete-Nakawuka'!N17,'24.07 Nateete-Nakawuka'!N17,'25.07 Nateete-Nakawuka'!N17,'26.07 Nateete-Nakawuka-24h'!N17,'27.07 Nateete-Nakawuka-24h'!N17,'28.07 Nateete-Nakawuka'!N17)</f>
        <v>0</v>
      </c>
      <c r="O17" s="31">
        <f t="shared" si="0"/>
        <v>28.714285714285712</v>
      </c>
      <c r="P17" s="31">
        <f t="shared" si="1"/>
        <v>120.57142857142857</v>
      </c>
      <c r="R17" s="1" t="s">
        <v>13</v>
      </c>
      <c r="S17" s="17">
        <f t="shared" ref="S17:AF17" si="9">SUM(C38:C41)</f>
        <v>77.571428571428569</v>
      </c>
      <c r="T17" s="17">
        <f t="shared" si="9"/>
        <v>14.428571428571427</v>
      </c>
      <c r="U17" s="17">
        <f t="shared" si="9"/>
        <v>13</v>
      </c>
      <c r="V17" s="17">
        <f t="shared" si="9"/>
        <v>56.285714285714285</v>
      </c>
      <c r="W17" s="17">
        <f t="shared" si="9"/>
        <v>2.5714285714285712</v>
      </c>
      <c r="X17" s="17">
        <f t="shared" si="9"/>
        <v>2.7142857142857144</v>
      </c>
      <c r="Y17" s="17">
        <f t="shared" si="9"/>
        <v>27.428571428571431</v>
      </c>
      <c r="Z17" s="17">
        <f t="shared" si="9"/>
        <v>9.4285714285714288</v>
      </c>
      <c r="AA17" s="17">
        <f t="shared" si="9"/>
        <v>2.4285714285714284</v>
      </c>
      <c r="AB17" s="17">
        <f t="shared" si="9"/>
        <v>1.714285714285714</v>
      </c>
      <c r="AC17" s="17">
        <f t="shared" si="9"/>
        <v>335.28571428571428</v>
      </c>
      <c r="AD17" s="17">
        <f t="shared" si="9"/>
        <v>0</v>
      </c>
      <c r="AE17" s="31">
        <f t="shared" si="9"/>
        <v>207.57142857142858</v>
      </c>
      <c r="AF17" s="31">
        <f t="shared" si="9"/>
        <v>542.85714285714289</v>
      </c>
    </row>
    <row r="18" spans="2:32" ht="23.1" customHeight="1" x14ac:dyDescent="0.25">
      <c r="B18" s="23" t="s">
        <v>45</v>
      </c>
      <c r="C18" s="49">
        <f>AVERAGE('22.07 Nateete-Nakawuka'!C18,'23.07 Nateete-Nakawuka'!C18,'24.07 Nateete-Nakawuka'!C18,'25.07 Nateete-Nakawuka'!C18,'26.07 Nateete-Nakawuka-24h'!C18,'27.07 Nateete-Nakawuka-24h'!C18,'28.07 Nateete-Nakawuka'!C18)</f>
        <v>11.571428571428571</v>
      </c>
      <c r="D18" s="49">
        <f>AVERAGE('22.07 Nateete-Nakawuka'!D18,'23.07 Nateete-Nakawuka'!D18,'24.07 Nateete-Nakawuka'!D18,'25.07 Nateete-Nakawuka'!D18,'26.07 Nateete-Nakawuka-24h'!D18,'27.07 Nateete-Nakawuka-24h'!D18,'28.07 Nateete-Nakawuka'!D18)</f>
        <v>1.5714285714285714</v>
      </c>
      <c r="E18" s="49">
        <f>AVERAGE('22.07 Nateete-Nakawuka'!E18,'23.07 Nateete-Nakawuka'!E18,'24.07 Nateete-Nakawuka'!E18,'25.07 Nateete-Nakawuka'!E18,'26.07 Nateete-Nakawuka-24h'!E18,'27.07 Nateete-Nakawuka-24h'!E18,'28.07 Nateete-Nakawuka'!E18)</f>
        <v>1.8571428571428572</v>
      </c>
      <c r="F18" s="49">
        <f>AVERAGE('22.07 Nateete-Nakawuka'!F18,'23.07 Nateete-Nakawuka'!F18,'24.07 Nateete-Nakawuka'!F18,'25.07 Nateete-Nakawuka'!F18,'26.07 Nateete-Nakawuka-24h'!F18,'27.07 Nateete-Nakawuka-24h'!F18,'28.07 Nateete-Nakawuka'!F18)</f>
        <v>20</v>
      </c>
      <c r="G18" s="49">
        <f>AVERAGE('22.07 Nateete-Nakawuka'!G18,'23.07 Nateete-Nakawuka'!G18,'24.07 Nateete-Nakawuka'!G18,'25.07 Nateete-Nakawuka'!G18,'26.07 Nateete-Nakawuka-24h'!G18,'27.07 Nateete-Nakawuka-24h'!G18,'28.07 Nateete-Nakawuka'!G18)</f>
        <v>0</v>
      </c>
      <c r="H18" s="49">
        <f>AVERAGE('22.07 Nateete-Nakawuka'!H18,'23.07 Nateete-Nakawuka'!H18,'24.07 Nateete-Nakawuka'!H18,'25.07 Nateete-Nakawuka'!H18,'26.07 Nateete-Nakawuka-24h'!H18,'27.07 Nateete-Nakawuka-24h'!H18,'28.07 Nateete-Nakawuka'!H18)</f>
        <v>0.5714285714285714</v>
      </c>
      <c r="I18" s="49">
        <f>AVERAGE('22.07 Nateete-Nakawuka'!I18,'23.07 Nateete-Nakawuka'!I18,'24.07 Nateete-Nakawuka'!I18,'25.07 Nateete-Nakawuka'!I18,'26.07 Nateete-Nakawuka-24h'!I18,'27.07 Nateete-Nakawuka-24h'!I18,'28.07 Nateete-Nakawuka'!I18)</f>
        <v>4</v>
      </c>
      <c r="J18" s="49">
        <f>AVERAGE('22.07 Nateete-Nakawuka'!J18,'23.07 Nateete-Nakawuka'!J18,'24.07 Nateete-Nakawuka'!J18,'25.07 Nateete-Nakawuka'!J18,'26.07 Nateete-Nakawuka-24h'!J18,'27.07 Nateete-Nakawuka-24h'!J18,'28.07 Nateete-Nakawuka'!J18)</f>
        <v>1.7142857142857142</v>
      </c>
      <c r="K18" s="49">
        <f>AVERAGE('22.07 Nateete-Nakawuka'!K18,'23.07 Nateete-Nakawuka'!K18,'24.07 Nateete-Nakawuka'!K18,'25.07 Nateete-Nakawuka'!K18,'26.07 Nateete-Nakawuka-24h'!K18,'27.07 Nateete-Nakawuka-24h'!K18,'28.07 Nateete-Nakawuka'!K18)</f>
        <v>1</v>
      </c>
      <c r="L18" s="49">
        <f>AVERAGE('22.07 Nateete-Nakawuka'!L18,'23.07 Nateete-Nakawuka'!L18,'24.07 Nateete-Nakawuka'!L18,'25.07 Nateete-Nakawuka'!L18,'26.07 Nateete-Nakawuka-24h'!L18,'27.07 Nateete-Nakawuka-24h'!L18,'28.07 Nateete-Nakawuka'!L18)</f>
        <v>0.2857142857142857</v>
      </c>
      <c r="M18" s="49">
        <f>AVERAGE('22.07 Nateete-Nakawuka'!M18,'23.07 Nateete-Nakawuka'!M18,'24.07 Nateete-Nakawuka'!M18,'25.07 Nateete-Nakawuka'!M18,'26.07 Nateete-Nakawuka-24h'!M18,'27.07 Nateete-Nakawuka-24h'!M18,'28.07 Nateete-Nakawuka'!M18)</f>
        <v>97.857142857142861</v>
      </c>
      <c r="N18" s="49">
        <f>AVERAGE('22.07 Nateete-Nakawuka'!N18,'23.07 Nateete-Nakawuka'!N18,'24.07 Nateete-Nakawuka'!N18,'25.07 Nateete-Nakawuka'!N18,'26.07 Nateete-Nakawuka-24h'!N18,'27.07 Nateete-Nakawuka-24h'!N18,'28.07 Nateete-Nakawuka'!N18)</f>
        <v>0</v>
      </c>
      <c r="O18" s="31">
        <f t="shared" si="0"/>
        <v>42.571428571428569</v>
      </c>
      <c r="P18" s="31">
        <f t="shared" si="1"/>
        <v>140.42857142857144</v>
      </c>
      <c r="R18" s="1" t="s">
        <v>14</v>
      </c>
      <c r="S18" s="17">
        <f t="shared" ref="S18:AF18" si="10">SUM(C42:C45)</f>
        <v>58.142857142857146</v>
      </c>
      <c r="T18" s="17">
        <f t="shared" si="10"/>
        <v>12</v>
      </c>
      <c r="U18" s="17">
        <f t="shared" si="10"/>
        <v>9.2857142857142865</v>
      </c>
      <c r="V18" s="17">
        <f t="shared" si="10"/>
        <v>41.857142857142861</v>
      </c>
      <c r="W18" s="17">
        <f t="shared" si="10"/>
        <v>1.4285714285714284</v>
      </c>
      <c r="X18" s="17">
        <f t="shared" si="10"/>
        <v>2.8571428571428572</v>
      </c>
      <c r="Y18" s="17">
        <f t="shared" si="10"/>
        <v>20</v>
      </c>
      <c r="Z18" s="17">
        <f t="shared" si="10"/>
        <v>7.4285714285714288</v>
      </c>
      <c r="AA18" s="17">
        <f t="shared" si="10"/>
        <v>2.2857142857142856</v>
      </c>
      <c r="AB18" s="17">
        <f t="shared" si="10"/>
        <v>0.99999999999999989</v>
      </c>
      <c r="AC18" s="17">
        <f t="shared" si="10"/>
        <v>288.28571428571428</v>
      </c>
      <c r="AD18" s="17">
        <f t="shared" si="10"/>
        <v>0</v>
      </c>
      <c r="AE18" s="31">
        <f t="shared" si="10"/>
        <v>156.28571428571428</v>
      </c>
      <c r="AF18" s="31">
        <f t="shared" si="10"/>
        <v>444.57142857142856</v>
      </c>
    </row>
    <row r="19" spans="2:32" ht="23.1" customHeight="1" x14ac:dyDescent="0.25">
      <c r="B19" s="23" t="s">
        <v>46</v>
      </c>
      <c r="C19" s="49">
        <f>AVERAGE('22.07 Nateete-Nakawuka'!C19,'23.07 Nateete-Nakawuka'!C19,'24.07 Nateete-Nakawuka'!C19,'25.07 Nateete-Nakawuka'!C19,'26.07 Nateete-Nakawuka-24h'!C19,'27.07 Nateete-Nakawuka-24h'!C19,'28.07 Nateete-Nakawuka'!C19)</f>
        <v>8.1428571428571423</v>
      </c>
      <c r="D19" s="49">
        <f>AVERAGE('22.07 Nateete-Nakawuka'!D19,'23.07 Nateete-Nakawuka'!D19,'24.07 Nateete-Nakawuka'!D19,'25.07 Nateete-Nakawuka'!D19,'26.07 Nateete-Nakawuka-24h'!D19,'27.07 Nateete-Nakawuka-24h'!D19,'28.07 Nateete-Nakawuka'!D19)</f>
        <v>1.1428571428571428</v>
      </c>
      <c r="E19" s="49">
        <f>AVERAGE('22.07 Nateete-Nakawuka'!E19,'23.07 Nateete-Nakawuka'!E19,'24.07 Nateete-Nakawuka'!E19,'25.07 Nateete-Nakawuka'!E19,'26.07 Nateete-Nakawuka-24h'!E19,'27.07 Nateete-Nakawuka-24h'!E19,'28.07 Nateete-Nakawuka'!E19)</f>
        <v>0.8571428571428571</v>
      </c>
      <c r="F19" s="49">
        <f>AVERAGE('22.07 Nateete-Nakawuka'!F19,'23.07 Nateete-Nakawuka'!F19,'24.07 Nateete-Nakawuka'!F19,'25.07 Nateete-Nakawuka'!F19,'26.07 Nateete-Nakawuka-24h'!F19,'27.07 Nateete-Nakawuka-24h'!F19,'28.07 Nateete-Nakawuka'!F19)</f>
        <v>13</v>
      </c>
      <c r="G19" s="49">
        <f>AVERAGE('22.07 Nateete-Nakawuka'!G19,'23.07 Nateete-Nakawuka'!G19,'24.07 Nateete-Nakawuka'!G19,'25.07 Nateete-Nakawuka'!G19,'26.07 Nateete-Nakawuka-24h'!G19,'27.07 Nateete-Nakawuka-24h'!G19,'28.07 Nateete-Nakawuka'!G19)</f>
        <v>0</v>
      </c>
      <c r="H19" s="49">
        <f>AVERAGE('22.07 Nateete-Nakawuka'!H19,'23.07 Nateete-Nakawuka'!H19,'24.07 Nateete-Nakawuka'!H19,'25.07 Nateete-Nakawuka'!H19,'26.07 Nateete-Nakawuka-24h'!H19,'27.07 Nateete-Nakawuka-24h'!H19,'28.07 Nateete-Nakawuka'!H19)</f>
        <v>0</v>
      </c>
      <c r="I19" s="49">
        <f>AVERAGE('22.07 Nateete-Nakawuka'!I19,'23.07 Nateete-Nakawuka'!I19,'24.07 Nateete-Nakawuka'!I19,'25.07 Nateete-Nakawuka'!I19,'26.07 Nateete-Nakawuka-24h'!I19,'27.07 Nateete-Nakawuka-24h'!I19,'28.07 Nateete-Nakawuka'!I19)</f>
        <v>4.2857142857142856</v>
      </c>
      <c r="J19" s="49">
        <f>AVERAGE('22.07 Nateete-Nakawuka'!J19,'23.07 Nateete-Nakawuka'!J19,'24.07 Nateete-Nakawuka'!J19,'25.07 Nateete-Nakawuka'!J19,'26.07 Nateete-Nakawuka-24h'!J19,'27.07 Nateete-Nakawuka-24h'!J19,'28.07 Nateete-Nakawuka'!J19)</f>
        <v>1.8571428571428572</v>
      </c>
      <c r="K19" s="49">
        <f>AVERAGE('22.07 Nateete-Nakawuka'!K19,'23.07 Nateete-Nakawuka'!K19,'24.07 Nateete-Nakawuka'!K19,'25.07 Nateete-Nakawuka'!K19,'26.07 Nateete-Nakawuka-24h'!K19,'27.07 Nateete-Nakawuka-24h'!K19,'28.07 Nateete-Nakawuka'!K19)</f>
        <v>0.5714285714285714</v>
      </c>
      <c r="L19" s="49">
        <f>AVERAGE('22.07 Nateete-Nakawuka'!L19,'23.07 Nateete-Nakawuka'!L19,'24.07 Nateete-Nakawuka'!L19,'25.07 Nateete-Nakawuka'!L19,'26.07 Nateete-Nakawuka-24h'!L19,'27.07 Nateete-Nakawuka-24h'!L19,'28.07 Nateete-Nakawuka'!L19)</f>
        <v>0.2857142857142857</v>
      </c>
      <c r="M19" s="49">
        <f>AVERAGE('22.07 Nateete-Nakawuka'!M19,'23.07 Nateete-Nakawuka'!M19,'24.07 Nateete-Nakawuka'!M19,'25.07 Nateete-Nakawuka'!M19,'26.07 Nateete-Nakawuka-24h'!M19,'27.07 Nateete-Nakawuka-24h'!M19,'28.07 Nateete-Nakawuka'!M19)</f>
        <v>96.285714285714292</v>
      </c>
      <c r="N19" s="49">
        <f>AVERAGE('22.07 Nateete-Nakawuka'!N19,'23.07 Nateete-Nakawuka'!N19,'24.07 Nateete-Nakawuka'!N19,'25.07 Nateete-Nakawuka'!N19,'26.07 Nateete-Nakawuka-24h'!N19,'27.07 Nateete-Nakawuka-24h'!N19,'28.07 Nateete-Nakawuka'!N19)</f>
        <v>0</v>
      </c>
      <c r="O19" s="31">
        <f t="shared" si="0"/>
        <v>30.142857142857142</v>
      </c>
      <c r="P19" s="31">
        <f t="shared" si="1"/>
        <v>126.42857142857143</v>
      </c>
      <c r="R19" s="1" t="s">
        <v>15</v>
      </c>
      <c r="S19" s="17">
        <f t="shared" ref="S19:AF19" si="11">SUM(C46:C49)</f>
        <v>57.571428571428569</v>
      </c>
      <c r="T19" s="17">
        <f t="shared" si="11"/>
        <v>13.142857142857142</v>
      </c>
      <c r="U19" s="17">
        <f t="shared" si="11"/>
        <v>10.142857142857142</v>
      </c>
      <c r="V19" s="17">
        <f t="shared" si="11"/>
        <v>46.714285714285715</v>
      </c>
      <c r="W19" s="17">
        <f t="shared" si="11"/>
        <v>3.1428571428571432</v>
      </c>
      <c r="X19" s="17">
        <f t="shared" si="11"/>
        <v>2.4285714285714284</v>
      </c>
      <c r="Y19" s="17">
        <f t="shared" si="11"/>
        <v>20</v>
      </c>
      <c r="Z19" s="17">
        <f t="shared" si="11"/>
        <v>9.2857142857142847</v>
      </c>
      <c r="AA19" s="17">
        <f t="shared" si="11"/>
        <v>2.7142857142857144</v>
      </c>
      <c r="AB19" s="17">
        <f t="shared" si="11"/>
        <v>1.1428571428571428</v>
      </c>
      <c r="AC19" s="17">
        <f t="shared" si="11"/>
        <v>300.14285714285711</v>
      </c>
      <c r="AD19" s="17">
        <f t="shared" si="11"/>
        <v>0</v>
      </c>
      <c r="AE19" s="31">
        <f t="shared" si="11"/>
        <v>166.28571428571428</v>
      </c>
      <c r="AF19" s="31">
        <f t="shared" si="11"/>
        <v>466.42857142857144</v>
      </c>
    </row>
    <row r="20" spans="2:32" ht="23.1" customHeight="1" x14ac:dyDescent="0.25">
      <c r="B20" s="23" t="s">
        <v>47</v>
      </c>
      <c r="C20" s="49">
        <f>AVERAGE('22.07 Nateete-Nakawuka'!C20,'23.07 Nateete-Nakawuka'!C20,'24.07 Nateete-Nakawuka'!C20,'25.07 Nateete-Nakawuka'!C20,'26.07 Nateete-Nakawuka-24h'!C20,'27.07 Nateete-Nakawuka-24h'!C20,'28.07 Nateete-Nakawuka'!C20)</f>
        <v>12.714285714285714</v>
      </c>
      <c r="D20" s="49">
        <f>AVERAGE('22.07 Nateete-Nakawuka'!D20,'23.07 Nateete-Nakawuka'!D20,'24.07 Nateete-Nakawuka'!D20,'25.07 Nateete-Nakawuka'!D20,'26.07 Nateete-Nakawuka-24h'!D20,'27.07 Nateete-Nakawuka-24h'!D20,'28.07 Nateete-Nakawuka'!D20)</f>
        <v>1</v>
      </c>
      <c r="E20" s="49">
        <f>AVERAGE('22.07 Nateete-Nakawuka'!E20,'23.07 Nateete-Nakawuka'!E20,'24.07 Nateete-Nakawuka'!E20,'25.07 Nateete-Nakawuka'!E20,'26.07 Nateete-Nakawuka-24h'!E20,'27.07 Nateete-Nakawuka-24h'!E20,'28.07 Nateete-Nakawuka'!E20)</f>
        <v>2</v>
      </c>
      <c r="F20" s="49">
        <f>AVERAGE('22.07 Nateete-Nakawuka'!F20,'23.07 Nateete-Nakawuka'!F20,'24.07 Nateete-Nakawuka'!F20,'25.07 Nateete-Nakawuka'!F20,'26.07 Nateete-Nakawuka-24h'!F20,'27.07 Nateete-Nakawuka-24h'!F20,'28.07 Nateete-Nakawuka'!F20)</f>
        <v>16.571428571428573</v>
      </c>
      <c r="G20" s="49">
        <f>AVERAGE('22.07 Nateete-Nakawuka'!G20,'23.07 Nateete-Nakawuka'!G20,'24.07 Nateete-Nakawuka'!G20,'25.07 Nateete-Nakawuka'!G20,'26.07 Nateete-Nakawuka-24h'!G20,'27.07 Nateete-Nakawuka-24h'!G20,'28.07 Nateete-Nakawuka'!G20)</f>
        <v>0.42857142857142855</v>
      </c>
      <c r="H20" s="49">
        <f>AVERAGE('22.07 Nateete-Nakawuka'!H20,'23.07 Nateete-Nakawuka'!H20,'24.07 Nateete-Nakawuka'!H20,'25.07 Nateete-Nakawuka'!H20,'26.07 Nateete-Nakawuka-24h'!H20,'27.07 Nateete-Nakawuka-24h'!H20,'28.07 Nateete-Nakawuka'!H20)</f>
        <v>0.8571428571428571</v>
      </c>
      <c r="I20" s="49">
        <f>AVERAGE('22.07 Nateete-Nakawuka'!I20,'23.07 Nateete-Nakawuka'!I20,'24.07 Nateete-Nakawuka'!I20,'25.07 Nateete-Nakawuka'!I20,'26.07 Nateete-Nakawuka-24h'!I20,'27.07 Nateete-Nakawuka-24h'!I20,'28.07 Nateete-Nakawuka'!I20)</f>
        <v>5</v>
      </c>
      <c r="J20" s="49">
        <f>AVERAGE('22.07 Nateete-Nakawuka'!J20,'23.07 Nateete-Nakawuka'!J20,'24.07 Nateete-Nakawuka'!J20,'25.07 Nateete-Nakawuka'!J20,'26.07 Nateete-Nakawuka-24h'!J20,'27.07 Nateete-Nakawuka-24h'!J20,'28.07 Nateete-Nakawuka'!J20)</f>
        <v>1.4285714285714286</v>
      </c>
      <c r="K20" s="49">
        <f>AVERAGE('22.07 Nateete-Nakawuka'!K20,'23.07 Nateete-Nakawuka'!K20,'24.07 Nateete-Nakawuka'!K20,'25.07 Nateete-Nakawuka'!K20,'26.07 Nateete-Nakawuka-24h'!K20,'27.07 Nateete-Nakawuka-24h'!K20,'28.07 Nateete-Nakawuka'!K20)</f>
        <v>0.42857142857142855</v>
      </c>
      <c r="L20" s="49">
        <f>AVERAGE('22.07 Nateete-Nakawuka'!L20,'23.07 Nateete-Nakawuka'!L20,'24.07 Nateete-Nakawuka'!L20,'25.07 Nateete-Nakawuka'!L20,'26.07 Nateete-Nakawuka-24h'!L20,'27.07 Nateete-Nakawuka-24h'!L20,'28.07 Nateete-Nakawuka'!L20)</f>
        <v>0.2857142857142857</v>
      </c>
      <c r="M20" s="49">
        <f>AVERAGE('22.07 Nateete-Nakawuka'!M20,'23.07 Nateete-Nakawuka'!M20,'24.07 Nateete-Nakawuka'!M20,'25.07 Nateete-Nakawuka'!M20,'26.07 Nateete-Nakawuka-24h'!M20,'27.07 Nateete-Nakawuka-24h'!M20,'28.07 Nateete-Nakawuka'!M20)</f>
        <v>99.142857142857139</v>
      </c>
      <c r="N20" s="49">
        <f>AVERAGE('22.07 Nateete-Nakawuka'!N20,'23.07 Nateete-Nakawuka'!N20,'24.07 Nateete-Nakawuka'!N20,'25.07 Nateete-Nakawuka'!N20,'26.07 Nateete-Nakawuka-24h'!N20,'27.07 Nateete-Nakawuka-24h'!N20,'28.07 Nateete-Nakawuka'!N20)</f>
        <v>0</v>
      </c>
      <c r="O20" s="31">
        <f t="shared" si="0"/>
        <v>40.714285714285715</v>
      </c>
      <c r="P20" s="31">
        <f t="shared" si="1"/>
        <v>139.85714285714286</v>
      </c>
      <c r="R20" s="1" t="s">
        <v>16</v>
      </c>
      <c r="S20" s="17">
        <f t="shared" ref="S20:AF20" si="12">SUM(C50:C53)</f>
        <v>93.428571428571431</v>
      </c>
      <c r="T20" s="17">
        <f t="shared" si="12"/>
        <v>22.714285714285712</v>
      </c>
      <c r="U20" s="17">
        <f t="shared" si="12"/>
        <v>11.857142857142858</v>
      </c>
      <c r="V20" s="17">
        <f t="shared" si="12"/>
        <v>74.142857142857139</v>
      </c>
      <c r="W20" s="17">
        <f t="shared" si="12"/>
        <v>3.5714285714285712</v>
      </c>
      <c r="X20" s="17">
        <f t="shared" si="12"/>
        <v>4.1428571428571423</v>
      </c>
      <c r="Y20" s="17">
        <f t="shared" si="12"/>
        <v>25.285714285714288</v>
      </c>
      <c r="Z20" s="17">
        <f t="shared" si="12"/>
        <v>8</v>
      </c>
      <c r="AA20" s="17">
        <f t="shared" si="12"/>
        <v>2.7142857142857144</v>
      </c>
      <c r="AB20" s="17">
        <f t="shared" si="12"/>
        <v>1.5714285714285712</v>
      </c>
      <c r="AC20" s="17">
        <f t="shared" si="12"/>
        <v>352.14285714285717</v>
      </c>
      <c r="AD20" s="17">
        <f t="shared" si="12"/>
        <v>0</v>
      </c>
      <c r="AE20" s="31">
        <f t="shared" si="12"/>
        <v>247.42857142857144</v>
      </c>
      <c r="AF20" s="31">
        <f t="shared" si="12"/>
        <v>599.57142857142856</v>
      </c>
    </row>
    <row r="21" spans="2:32" ht="23.1" customHeight="1" x14ac:dyDescent="0.25">
      <c r="B21" s="23" t="s">
        <v>48</v>
      </c>
      <c r="C21" s="49">
        <f>AVERAGE('22.07 Nateete-Nakawuka'!C21,'23.07 Nateete-Nakawuka'!C21,'24.07 Nateete-Nakawuka'!C21,'25.07 Nateete-Nakawuka'!C21,'26.07 Nateete-Nakawuka-24h'!C21,'27.07 Nateete-Nakawuka-24h'!C21,'28.07 Nateete-Nakawuka'!C21)</f>
        <v>12.142857142857142</v>
      </c>
      <c r="D21" s="49">
        <f>AVERAGE('22.07 Nateete-Nakawuka'!D21,'23.07 Nateete-Nakawuka'!D21,'24.07 Nateete-Nakawuka'!D21,'25.07 Nateete-Nakawuka'!D21,'26.07 Nateete-Nakawuka-24h'!D21,'27.07 Nateete-Nakawuka-24h'!D21,'28.07 Nateete-Nakawuka'!D21)</f>
        <v>3</v>
      </c>
      <c r="E21" s="49">
        <f>AVERAGE('22.07 Nateete-Nakawuka'!E21,'23.07 Nateete-Nakawuka'!E21,'24.07 Nateete-Nakawuka'!E21,'25.07 Nateete-Nakawuka'!E21,'26.07 Nateete-Nakawuka-24h'!E21,'27.07 Nateete-Nakawuka-24h'!E21,'28.07 Nateete-Nakawuka'!E21)</f>
        <v>1.5714285714285714</v>
      </c>
      <c r="F21" s="49">
        <f>AVERAGE('22.07 Nateete-Nakawuka'!F21,'23.07 Nateete-Nakawuka'!F21,'24.07 Nateete-Nakawuka'!F21,'25.07 Nateete-Nakawuka'!F21,'26.07 Nateete-Nakawuka-24h'!F21,'27.07 Nateete-Nakawuka-24h'!F21,'28.07 Nateete-Nakawuka'!F21)</f>
        <v>15.142857142857142</v>
      </c>
      <c r="G21" s="49">
        <f>AVERAGE('22.07 Nateete-Nakawuka'!G21,'23.07 Nateete-Nakawuka'!G21,'24.07 Nateete-Nakawuka'!G21,'25.07 Nateete-Nakawuka'!G21,'26.07 Nateete-Nakawuka-24h'!G21,'27.07 Nateete-Nakawuka-24h'!G21,'28.07 Nateete-Nakawuka'!G21)</f>
        <v>0.5714285714285714</v>
      </c>
      <c r="H21" s="49">
        <f>AVERAGE('22.07 Nateete-Nakawuka'!H21,'23.07 Nateete-Nakawuka'!H21,'24.07 Nateete-Nakawuka'!H21,'25.07 Nateete-Nakawuka'!H21,'26.07 Nateete-Nakawuka-24h'!H21,'27.07 Nateete-Nakawuka-24h'!H21,'28.07 Nateete-Nakawuka'!H21)</f>
        <v>0.42857142857142855</v>
      </c>
      <c r="I21" s="49">
        <f>AVERAGE('22.07 Nateete-Nakawuka'!I21,'23.07 Nateete-Nakawuka'!I21,'24.07 Nateete-Nakawuka'!I21,'25.07 Nateete-Nakawuka'!I21,'26.07 Nateete-Nakawuka-24h'!I21,'27.07 Nateete-Nakawuka-24h'!I21,'28.07 Nateete-Nakawuka'!I21)</f>
        <v>7.1428571428571432</v>
      </c>
      <c r="J21" s="49">
        <f>AVERAGE('22.07 Nateete-Nakawuka'!J21,'23.07 Nateete-Nakawuka'!J21,'24.07 Nateete-Nakawuka'!J21,'25.07 Nateete-Nakawuka'!J21,'26.07 Nateete-Nakawuka-24h'!J21,'27.07 Nateete-Nakawuka-24h'!J21,'28.07 Nateete-Nakawuka'!J21)</f>
        <v>1.7142857142857142</v>
      </c>
      <c r="K21" s="49">
        <f>AVERAGE('22.07 Nateete-Nakawuka'!K21,'23.07 Nateete-Nakawuka'!K21,'24.07 Nateete-Nakawuka'!K21,'25.07 Nateete-Nakawuka'!K21,'26.07 Nateete-Nakawuka-24h'!K21,'27.07 Nateete-Nakawuka-24h'!K21,'28.07 Nateete-Nakawuka'!K21)</f>
        <v>1.2857142857142858</v>
      </c>
      <c r="L21" s="49">
        <f>AVERAGE('22.07 Nateete-Nakawuka'!L21,'23.07 Nateete-Nakawuka'!L21,'24.07 Nateete-Nakawuka'!L21,'25.07 Nateete-Nakawuka'!L21,'26.07 Nateete-Nakawuka-24h'!L21,'27.07 Nateete-Nakawuka-24h'!L21,'28.07 Nateete-Nakawuka'!L21)</f>
        <v>0.14285714285714285</v>
      </c>
      <c r="M21" s="49">
        <f>AVERAGE('22.07 Nateete-Nakawuka'!M21,'23.07 Nateete-Nakawuka'!M21,'24.07 Nateete-Nakawuka'!M21,'25.07 Nateete-Nakawuka'!M21,'26.07 Nateete-Nakawuka-24h'!M21,'27.07 Nateete-Nakawuka-24h'!M21,'28.07 Nateete-Nakawuka'!M21)</f>
        <v>110.57142857142857</v>
      </c>
      <c r="N21" s="49">
        <f>AVERAGE('22.07 Nateete-Nakawuka'!N21,'23.07 Nateete-Nakawuka'!N21,'24.07 Nateete-Nakawuka'!N21,'25.07 Nateete-Nakawuka'!N21,'26.07 Nateete-Nakawuka-24h'!N21,'27.07 Nateete-Nakawuka-24h'!N21,'28.07 Nateete-Nakawuka'!N21)</f>
        <v>0</v>
      </c>
      <c r="O21" s="31">
        <f t="shared" si="0"/>
        <v>43.142857142857153</v>
      </c>
      <c r="P21" s="31">
        <f t="shared" si="1"/>
        <v>153.71428571428572</v>
      </c>
      <c r="R21" s="36" t="s">
        <v>20</v>
      </c>
      <c r="S21" s="34">
        <f t="shared" ref="S21:AF33" si="13">SUM(C54:C57)</f>
        <v>88</v>
      </c>
      <c r="T21" s="17">
        <f t="shared" si="13"/>
        <v>24</v>
      </c>
      <c r="U21" s="17">
        <f t="shared" si="13"/>
        <v>14.142857142857142</v>
      </c>
      <c r="V21" s="17">
        <f t="shared" si="13"/>
        <v>105.57142857142857</v>
      </c>
      <c r="W21" s="17">
        <f t="shared" si="13"/>
        <v>3.5714285714285716</v>
      </c>
      <c r="X21" s="17">
        <f t="shared" si="13"/>
        <v>2.4285714285714284</v>
      </c>
      <c r="Y21" s="17">
        <f t="shared" si="13"/>
        <v>24.428571428571427</v>
      </c>
      <c r="Z21" s="17">
        <f t="shared" si="13"/>
        <v>6.2857142857142847</v>
      </c>
      <c r="AA21" s="17">
        <f t="shared" si="13"/>
        <v>3.4285714285714279</v>
      </c>
      <c r="AB21" s="17">
        <f t="shared" si="13"/>
        <v>1.8571428571428568</v>
      </c>
      <c r="AC21" s="17">
        <f t="shared" si="13"/>
        <v>354.57142857142856</v>
      </c>
      <c r="AD21" s="17">
        <f t="shared" si="13"/>
        <v>0</v>
      </c>
      <c r="AE21" s="31">
        <f t="shared" si="13"/>
        <v>273.71428571428572</v>
      </c>
      <c r="AF21" s="31">
        <f t="shared" si="13"/>
        <v>628.28571428571433</v>
      </c>
    </row>
    <row r="22" spans="2:32" ht="23.1" customHeight="1" x14ac:dyDescent="0.25">
      <c r="B22" s="23" t="s">
        <v>49</v>
      </c>
      <c r="C22" s="49">
        <f>AVERAGE('22.07 Nateete-Nakawuka'!C22,'23.07 Nateete-Nakawuka'!C22,'24.07 Nateete-Nakawuka'!C22,'25.07 Nateete-Nakawuka'!C22,'26.07 Nateete-Nakawuka-24h'!C22,'27.07 Nateete-Nakawuka-24h'!C22,'28.07 Nateete-Nakawuka'!C22)</f>
        <v>8.8571428571428577</v>
      </c>
      <c r="D22" s="49">
        <f>AVERAGE('22.07 Nateete-Nakawuka'!D22,'23.07 Nateete-Nakawuka'!D22,'24.07 Nateete-Nakawuka'!D22,'25.07 Nateete-Nakawuka'!D22,'26.07 Nateete-Nakawuka-24h'!D22,'27.07 Nateete-Nakawuka-24h'!D22,'28.07 Nateete-Nakawuka'!D22)</f>
        <v>1.5714285714285714</v>
      </c>
      <c r="E22" s="49">
        <f>AVERAGE('22.07 Nateete-Nakawuka'!E22,'23.07 Nateete-Nakawuka'!E22,'24.07 Nateete-Nakawuka'!E22,'25.07 Nateete-Nakawuka'!E22,'26.07 Nateete-Nakawuka-24h'!E22,'27.07 Nateete-Nakawuka-24h'!E22,'28.07 Nateete-Nakawuka'!E22)</f>
        <v>1.5714285714285714</v>
      </c>
      <c r="F22" s="49">
        <f>AVERAGE('22.07 Nateete-Nakawuka'!F22,'23.07 Nateete-Nakawuka'!F22,'24.07 Nateete-Nakawuka'!F22,'25.07 Nateete-Nakawuka'!F22,'26.07 Nateete-Nakawuka-24h'!F22,'27.07 Nateete-Nakawuka-24h'!F22,'28.07 Nateete-Nakawuka'!F22)</f>
        <v>14.857142857142858</v>
      </c>
      <c r="G22" s="49">
        <f>AVERAGE('22.07 Nateete-Nakawuka'!G22,'23.07 Nateete-Nakawuka'!G22,'24.07 Nateete-Nakawuka'!G22,'25.07 Nateete-Nakawuka'!G22,'26.07 Nateete-Nakawuka-24h'!G22,'27.07 Nateete-Nakawuka-24h'!G22,'28.07 Nateete-Nakawuka'!G22)</f>
        <v>0</v>
      </c>
      <c r="H22" s="49">
        <f>AVERAGE('22.07 Nateete-Nakawuka'!H22,'23.07 Nateete-Nakawuka'!H22,'24.07 Nateete-Nakawuka'!H22,'25.07 Nateete-Nakawuka'!H22,'26.07 Nateete-Nakawuka-24h'!H22,'27.07 Nateete-Nakawuka-24h'!H22,'28.07 Nateete-Nakawuka'!H22)</f>
        <v>0.14285714285714285</v>
      </c>
      <c r="I22" s="49">
        <f>AVERAGE('22.07 Nateete-Nakawuka'!I22,'23.07 Nateete-Nakawuka'!I22,'24.07 Nateete-Nakawuka'!I22,'25.07 Nateete-Nakawuka'!I22,'26.07 Nateete-Nakawuka-24h'!I22,'27.07 Nateete-Nakawuka-24h'!I22,'28.07 Nateete-Nakawuka'!I22)</f>
        <v>5.5714285714285712</v>
      </c>
      <c r="J22" s="49">
        <f>AVERAGE('22.07 Nateete-Nakawuka'!J22,'23.07 Nateete-Nakawuka'!J22,'24.07 Nateete-Nakawuka'!J22,'25.07 Nateete-Nakawuka'!J22,'26.07 Nateete-Nakawuka-24h'!J22,'27.07 Nateete-Nakawuka-24h'!J22,'28.07 Nateete-Nakawuka'!J22)</f>
        <v>2.4285714285714284</v>
      </c>
      <c r="K22" s="49">
        <f>AVERAGE('22.07 Nateete-Nakawuka'!K22,'23.07 Nateete-Nakawuka'!K22,'24.07 Nateete-Nakawuka'!K22,'25.07 Nateete-Nakawuka'!K22,'26.07 Nateete-Nakawuka-24h'!K22,'27.07 Nateete-Nakawuka-24h'!K22,'28.07 Nateete-Nakawuka'!K22)</f>
        <v>0.5714285714285714</v>
      </c>
      <c r="L22" s="49">
        <f>AVERAGE('22.07 Nateete-Nakawuka'!L22,'23.07 Nateete-Nakawuka'!L22,'24.07 Nateete-Nakawuka'!L22,'25.07 Nateete-Nakawuka'!L22,'26.07 Nateete-Nakawuka-24h'!L22,'27.07 Nateete-Nakawuka-24h'!L22,'28.07 Nateete-Nakawuka'!L22)</f>
        <v>0</v>
      </c>
      <c r="M22" s="49">
        <f>AVERAGE('22.07 Nateete-Nakawuka'!M22,'23.07 Nateete-Nakawuka'!M22,'24.07 Nateete-Nakawuka'!M22,'25.07 Nateete-Nakawuka'!M22,'26.07 Nateete-Nakawuka-24h'!M22,'27.07 Nateete-Nakawuka-24h'!M22,'28.07 Nateete-Nakawuka'!M22)</f>
        <v>92.142857142857139</v>
      </c>
      <c r="N22" s="49">
        <f>AVERAGE('22.07 Nateete-Nakawuka'!N22,'23.07 Nateete-Nakawuka'!N22,'24.07 Nateete-Nakawuka'!N22,'25.07 Nateete-Nakawuka'!N22,'26.07 Nateete-Nakawuka-24h'!N22,'27.07 Nateete-Nakawuka-24h'!N22,'28.07 Nateete-Nakawuka'!N22)</f>
        <v>0</v>
      </c>
      <c r="O22" s="31">
        <f t="shared" si="0"/>
        <v>35.571428571428569</v>
      </c>
      <c r="P22" s="31">
        <f t="shared" si="1"/>
        <v>127.71428571428571</v>
      </c>
      <c r="R22" s="1" t="s">
        <v>146</v>
      </c>
      <c r="S22" s="34">
        <f>SUM(C58:C61)</f>
        <v>144.5</v>
      </c>
      <c r="T22" s="34">
        <f t="shared" ref="T22:AD22" si="14">SUM(D58:D61)</f>
        <v>67.5</v>
      </c>
      <c r="U22" s="34">
        <f t="shared" si="14"/>
        <v>31</v>
      </c>
      <c r="V22" s="34">
        <f t="shared" si="14"/>
        <v>246</v>
      </c>
      <c r="W22" s="34">
        <f t="shared" si="14"/>
        <v>30</v>
      </c>
      <c r="X22" s="34">
        <f t="shared" si="14"/>
        <v>5</v>
      </c>
      <c r="Y22" s="34">
        <f t="shared" si="14"/>
        <v>34</v>
      </c>
      <c r="Z22" s="34">
        <f t="shared" si="14"/>
        <v>10.5</v>
      </c>
      <c r="AA22" s="34">
        <f t="shared" si="14"/>
        <v>6</v>
      </c>
      <c r="AB22" s="34">
        <f t="shared" si="14"/>
        <v>1.5</v>
      </c>
      <c r="AC22" s="34">
        <f t="shared" si="14"/>
        <v>625</v>
      </c>
      <c r="AD22" s="34">
        <f t="shared" si="14"/>
        <v>1</v>
      </c>
      <c r="AE22" s="31">
        <f t="shared" si="13"/>
        <v>353.57142857142856</v>
      </c>
      <c r="AF22" s="31">
        <f t="shared" si="13"/>
        <v>756.64285714285711</v>
      </c>
    </row>
    <row r="23" spans="2:32" ht="23.1" customHeight="1" x14ac:dyDescent="0.25">
      <c r="B23" s="23" t="s">
        <v>50</v>
      </c>
      <c r="C23" s="49">
        <f>AVERAGE('22.07 Nateete-Nakawuka'!C23,'23.07 Nateete-Nakawuka'!C23,'24.07 Nateete-Nakawuka'!C23,'25.07 Nateete-Nakawuka'!C23,'26.07 Nateete-Nakawuka-24h'!C23,'27.07 Nateete-Nakawuka-24h'!C23,'28.07 Nateete-Nakawuka'!C23)</f>
        <v>11</v>
      </c>
      <c r="D23" s="49">
        <f>AVERAGE('22.07 Nateete-Nakawuka'!D23,'23.07 Nateete-Nakawuka'!D23,'24.07 Nateete-Nakawuka'!D23,'25.07 Nateete-Nakawuka'!D23,'26.07 Nateete-Nakawuka-24h'!D23,'27.07 Nateete-Nakawuka-24h'!D23,'28.07 Nateete-Nakawuka'!D23)</f>
        <v>1.8571428571428572</v>
      </c>
      <c r="E23" s="49">
        <f>AVERAGE('22.07 Nateete-Nakawuka'!E23,'23.07 Nateete-Nakawuka'!E23,'24.07 Nateete-Nakawuka'!E23,'25.07 Nateete-Nakawuka'!E23,'26.07 Nateete-Nakawuka-24h'!E23,'27.07 Nateete-Nakawuka-24h'!E23,'28.07 Nateete-Nakawuka'!E23)</f>
        <v>1.5714285714285714</v>
      </c>
      <c r="F23" s="49">
        <f>AVERAGE('22.07 Nateete-Nakawuka'!F23,'23.07 Nateete-Nakawuka'!F23,'24.07 Nateete-Nakawuka'!F23,'25.07 Nateete-Nakawuka'!F23,'26.07 Nateete-Nakawuka-24h'!F23,'27.07 Nateete-Nakawuka-24h'!F23,'28.07 Nateete-Nakawuka'!F23)</f>
        <v>9</v>
      </c>
      <c r="G23" s="49">
        <f>AVERAGE('22.07 Nateete-Nakawuka'!G23,'23.07 Nateete-Nakawuka'!G23,'24.07 Nateete-Nakawuka'!G23,'25.07 Nateete-Nakawuka'!G23,'26.07 Nateete-Nakawuka-24h'!G23,'27.07 Nateete-Nakawuka-24h'!G23,'28.07 Nateete-Nakawuka'!G23)</f>
        <v>0.5714285714285714</v>
      </c>
      <c r="H23" s="49">
        <f>AVERAGE('22.07 Nateete-Nakawuka'!H23,'23.07 Nateete-Nakawuka'!H23,'24.07 Nateete-Nakawuka'!H23,'25.07 Nateete-Nakawuka'!H23,'26.07 Nateete-Nakawuka-24h'!H23,'27.07 Nateete-Nakawuka-24h'!H23,'28.07 Nateete-Nakawuka'!H23)</f>
        <v>0.7142857142857143</v>
      </c>
      <c r="I23" s="49">
        <f>AVERAGE('22.07 Nateete-Nakawuka'!I23,'23.07 Nateete-Nakawuka'!I23,'24.07 Nateete-Nakawuka'!I23,'25.07 Nateete-Nakawuka'!I23,'26.07 Nateete-Nakawuka-24h'!I23,'27.07 Nateete-Nakawuka-24h'!I23,'28.07 Nateete-Nakawuka'!I23)</f>
        <v>5.1428571428571432</v>
      </c>
      <c r="J23" s="49">
        <f>AVERAGE('22.07 Nateete-Nakawuka'!J23,'23.07 Nateete-Nakawuka'!J23,'24.07 Nateete-Nakawuka'!J23,'25.07 Nateete-Nakawuka'!J23,'26.07 Nateete-Nakawuka-24h'!J23,'27.07 Nateete-Nakawuka-24h'!J23,'28.07 Nateete-Nakawuka'!J23)</f>
        <v>2.1428571428571428</v>
      </c>
      <c r="K23" s="49">
        <f>AVERAGE('22.07 Nateete-Nakawuka'!K23,'23.07 Nateete-Nakawuka'!K23,'24.07 Nateete-Nakawuka'!K23,'25.07 Nateete-Nakawuka'!K23,'26.07 Nateete-Nakawuka-24h'!K23,'27.07 Nateete-Nakawuka-24h'!K23,'28.07 Nateete-Nakawuka'!K23)</f>
        <v>0.14285714285714285</v>
      </c>
      <c r="L23" s="49">
        <f>AVERAGE('22.07 Nateete-Nakawuka'!L23,'23.07 Nateete-Nakawuka'!L23,'24.07 Nateete-Nakawuka'!L23,'25.07 Nateete-Nakawuka'!L23,'26.07 Nateete-Nakawuka-24h'!L23,'27.07 Nateete-Nakawuka-24h'!L23,'28.07 Nateete-Nakawuka'!L23)</f>
        <v>0.14285714285714285</v>
      </c>
      <c r="M23" s="49">
        <f>AVERAGE('22.07 Nateete-Nakawuka'!M23,'23.07 Nateete-Nakawuka'!M23,'24.07 Nateete-Nakawuka'!M23,'25.07 Nateete-Nakawuka'!M23,'26.07 Nateete-Nakawuka-24h'!M23,'27.07 Nateete-Nakawuka-24h'!M23,'28.07 Nateete-Nakawuka'!M23)</f>
        <v>85.428571428571431</v>
      </c>
      <c r="N23" s="49">
        <f>AVERAGE('22.07 Nateete-Nakawuka'!N23,'23.07 Nateete-Nakawuka'!N23,'24.07 Nateete-Nakawuka'!N23,'25.07 Nateete-Nakawuka'!N23,'26.07 Nateete-Nakawuka-24h'!N23,'27.07 Nateete-Nakawuka-24h'!N23,'28.07 Nateete-Nakawuka'!N23)</f>
        <v>0</v>
      </c>
      <c r="O23" s="31">
        <f t="shared" si="0"/>
        <v>32.285714285714299</v>
      </c>
      <c r="P23" s="31">
        <f t="shared" si="1"/>
        <v>117.71428571428572</v>
      </c>
      <c r="R23" s="1" t="s">
        <v>147</v>
      </c>
      <c r="S23" s="34">
        <f>SUM(C62:C65)</f>
        <v>121</v>
      </c>
      <c r="T23" s="34">
        <f t="shared" ref="T23:AD23" si="15">SUM(D62:D65)</f>
        <v>21.5</v>
      </c>
      <c r="U23" s="34">
        <f t="shared" si="15"/>
        <v>4</v>
      </c>
      <c r="V23" s="34">
        <f t="shared" si="15"/>
        <v>124.5</v>
      </c>
      <c r="W23" s="34">
        <f t="shared" si="15"/>
        <v>1</v>
      </c>
      <c r="X23" s="34">
        <f t="shared" si="15"/>
        <v>6</v>
      </c>
      <c r="Y23" s="34">
        <f t="shared" si="15"/>
        <v>16.5</v>
      </c>
      <c r="Z23" s="34">
        <f t="shared" si="15"/>
        <v>1</v>
      </c>
      <c r="AA23" s="34">
        <f t="shared" si="15"/>
        <v>1.5</v>
      </c>
      <c r="AB23" s="34">
        <f t="shared" si="15"/>
        <v>0</v>
      </c>
      <c r="AC23" s="34">
        <f t="shared" si="15"/>
        <v>481.5</v>
      </c>
      <c r="AD23" s="34">
        <f t="shared" si="15"/>
        <v>0</v>
      </c>
      <c r="AE23" s="31">
        <f t="shared" si="13"/>
        <v>435.35714285714289</v>
      </c>
      <c r="AF23" s="31">
        <f t="shared" si="13"/>
        <v>884.85714285714289</v>
      </c>
    </row>
    <row r="24" spans="2:32" ht="23.1" customHeight="1" x14ac:dyDescent="0.25">
      <c r="B24" s="23" t="s">
        <v>51</v>
      </c>
      <c r="C24" s="49">
        <f>AVERAGE('22.07 Nateete-Nakawuka'!C24,'23.07 Nateete-Nakawuka'!C24,'24.07 Nateete-Nakawuka'!C24,'25.07 Nateete-Nakawuka'!C24,'26.07 Nateete-Nakawuka-24h'!C24,'27.07 Nateete-Nakawuka-24h'!C24,'28.07 Nateete-Nakawuka'!C24)</f>
        <v>17</v>
      </c>
      <c r="D24" s="49">
        <f>AVERAGE('22.07 Nateete-Nakawuka'!D24,'23.07 Nateete-Nakawuka'!D24,'24.07 Nateete-Nakawuka'!D24,'25.07 Nateete-Nakawuka'!D24,'26.07 Nateete-Nakawuka-24h'!D24,'27.07 Nateete-Nakawuka-24h'!D24,'28.07 Nateete-Nakawuka'!D24)</f>
        <v>1.1428571428571428</v>
      </c>
      <c r="E24" s="49">
        <f>AVERAGE('22.07 Nateete-Nakawuka'!E24,'23.07 Nateete-Nakawuka'!E24,'24.07 Nateete-Nakawuka'!E24,'25.07 Nateete-Nakawuka'!E24,'26.07 Nateete-Nakawuka-24h'!E24,'27.07 Nateete-Nakawuka-24h'!E24,'28.07 Nateete-Nakawuka'!E24)</f>
        <v>1.8571428571428572</v>
      </c>
      <c r="F24" s="49">
        <f>AVERAGE('22.07 Nateete-Nakawuka'!F24,'23.07 Nateete-Nakawuka'!F24,'24.07 Nateete-Nakawuka'!F24,'25.07 Nateete-Nakawuka'!F24,'26.07 Nateete-Nakawuka-24h'!F24,'27.07 Nateete-Nakawuka-24h'!F24,'28.07 Nateete-Nakawuka'!F24)</f>
        <v>13.285714285714286</v>
      </c>
      <c r="G24" s="49">
        <f>AVERAGE('22.07 Nateete-Nakawuka'!G24,'23.07 Nateete-Nakawuka'!G24,'24.07 Nateete-Nakawuka'!G24,'25.07 Nateete-Nakawuka'!G24,'26.07 Nateete-Nakawuka-24h'!G24,'27.07 Nateete-Nakawuka-24h'!G24,'28.07 Nateete-Nakawuka'!G24)</f>
        <v>1</v>
      </c>
      <c r="H24" s="49">
        <f>AVERAGE('22.07 Nateete-Nakawuka'!H24,'23.07 Nateete-Nakawuka'!H24,'24.07 Nateete-Nakawuka'!H24,'25.07 Nateete-Nakawuka'!H24,'26.07 Nateete-Nakawuka-24h'!H24,'27.07 Nateete-Nakawuka-24h'!H24,'28.07 Nateete-Nakawuka'!H24)</f>
        <v>0.7142857142857143</v>
      </c>
      <c r="I24" s="49">
        <f>AVERAGE('22.07 Nateete-Nakawuka'!I24,'23.07 Nateete-Nakawuka'!I24,'24.07 Nateete-Nakawuka'!I24,'25.07 Nateete-Nakawuka'!I24,'26.07 Nateete-Nakawuka-24h'!I24,'27.07 Nateete-Nakawuka-24h'!I24,'28.07 Nateete-Nakawuka'!I24)</f>
        <v>3.5714285714285716</v>
      </c>
      <c r="J24" s="49">
        <f>AVERAGE('22.07 Nateete-Nakawuka'!J24,'23.07 Nateete-Nakawuka'!J24,'24.07 Nateete-Nakawuka'!J24,'25.07 Nateete-Nakawuka'!J24,'26.07 Nateete-Nakawuka-24h'!J24,'27.07 Nateete-Nakawuka-24h'!J24,'28.07 Nateete-Nakawuka'!J24)</f>
        <v>2.1428571428571428</v>
      </c>
      <c r="K24" s="49">
        <f>AVERAGE('22.07 Nateete-Nakawuka'!K24,'23.07 Nateete-Nakawuka'!K24,'24.07 Nateete-Nakawuka'!K24,'25.07 Nateete-Nakawuka'!K24,'26.07 Nateete-Nakawuka-24h'!K24,'27.07 Nateete-Nakawuka-24h'!K24,'28.07 Nateete-Nakawuka'!K24)</f>
        <v>0.8571428571428571</v>
      </c>
      <c r="L24" s="49">
        <f>AVERAGE('22.07 Nateete-Nakawuka'!L24,'23.07 Nateete-Nakawuka'!L24,'24.07 Nateete-Nakawuka'!L24,'25.07 Nateete-Nakawuka'!L24,'26.07 Nateete-Nakawuka-24h'!L24,'27.07 Nateete-Nakawuka-24h'!L24,'28.07 Nateete-Nakawuka'!L24)</f>
        <v>0.7142857142857143</v>
      </c>
      <c r="M24" s="49">
        <f>AVERAGE('22.07 Nateete-Nakawuka'!M24,'23.07 Nateete-Nakawuka'!M24,'24.07 Nateete-Nakawuka'!M24,'25.07 Nateete-Nakawuka'!M24,'26.07 Nateete-Nakawuka-24h'!M24,'27.07 Nateete-Nakawuka-24h'!M24,'28.07 Nateete-Nakawuka'!M24)</f>
        <v>90.714285714285708</v>
      </c>
      <c r="N24" s="49">
        <f>AVERAGE('22.07 Nateete-Nakawuka'!N24,'23.07 Nateete-Nakawuka'!N24,'24.07 Nateete-Nakawuka'!N24,'25.07 Nateete-Nakawuka'!N24,'26.07 Nateete-Nakawuka-24h'!N24,'27.07 Nateete-Nakawuka-24h'!N24,'28.07 Nateete-Nakawuka'!N24)</f>
        <v>0</v>
      </c>
      <c r="O24" s="31">
        <f t="shared" si="0"/>
        <v>42.285714285714285</v>
      </c>
      <c r="P24" s="31">
        <f t="shared" si="1"/>
        <v>133</v>
      </c>
      <c r="R24" s="1" t="s">
        <v>148</v>
      </c>
      <c r="S24" s="34">
        <f>SUM(C66:C69)</f>
        <v>90</v>
      </c>
      <c r="T24" s="34">
        <f t="shared" ref="T24:AD24" si="16">SUM(D66:D69)</f>
        <v>44.5</v>
      </c>
      <c r="U24" s="34">
        <f t="shared" si="16"/>
        <v>8</v>
      </c>
      <c r="V24" s="34">
        <f t="shared" si="16"/>
        <v>186</v>
      </c>
      <c r="W24" s="34">
        <f t="shared" si="16"/>
        <v>1.5</v>
      </c>
      <c r="X24" s="34">
        <f t="shared" si="16"/>
        <v>8.5</v>
      </c>
      <c r="Y24" s="34">
        <f t="shared" si="16"/>
        <v>19</v>
      </c>
      <c r="Z24" s="34">
        <f t="shared" si="16"/>
        <v>2</v>
      </c>
      <c r="AA24" s="34">
        <f t="shared" si="16"/>
        <v>5</v>
      </c>
      <c r="AB24" s="34">
        <f t="shared" si="16"/>
        <v>7.5</v>
      </c>
      <c r="AC24" s="34">
        <f t="shared" si="16"/>
        <v>362</v>
      </c>
      <c r="AD24" s="34">
        <f t="shared" si="16"/>
        <v>0</v>
      </c>
      <c r="AE24" s="31">
        <f t="shared" si="13"/>
        <v>556.21428571428578</v>
      </c>
      <c r="AF24" s="31">
        <f t="shared" si="13"/>
        <v>1082.9285714285716</v>
      </c>
    </row>
    <row r="25" spans="2:32" ht="23.1" customHeight="1" x14ac:dyDescent="0.25">
      <c r="B25" s="23" t="s">
        <v>52</v>
      </c>
      <c r="C25" s="49">
        <f>AVERAGE('22.07 Nateete-Nakawuka'!C25,'23.07 Nateete-Nakawuka'!C25,'24.07 Nateete-Nakawuka'!C25,'25.07 Nateete-Nakawuka'!C25,'26.07 Nateete-Nakawuka-24h'!C25,'27.07 Nateete-Nakawuka-24h'!C25,'28.07 Nateete-Nakawuka'!C25)</f>
        <v>11.285714285714286</v>
      </c>
      <c r="D25" s="49">
        <f>AVERAGE('22.07 Nateete-Nakawuka'!D25,'23.07 Nateete-Nakawuka'!D25,'24.07 Nateete-Nakawuka'!D25,'25.07 Nateete-Nakawuka'!D25,'26.07 Nateete-Nakawuka-24h'!D25,'27.07 Nateete-Nakawuka-24h'!D25,'28.07 Nateete-Nakawuka'!D25)</f>
        <v>0.8571428571428571</v>
      </c>
      <c r="E25" s="49">
        <f>AVERAGE('22.07 Nateete-Nakawuka'!E25,'23.07 Nateete-Nakawuka'!E25,'24.07 Nateete-Nakawuka'!E25,'25.07 Nateete-Nakawuka'!E25,'26.07 Nateete-Nakawuka-24h'!E25,'27.07 Nateete-Nakawuka-24h'!E25,'28.07 Nateete-Nakawuka'!E25)</f>
        <v>2.8571428571428572</v>
      </c>
      <c r="F25" s="49">
        <f>AVERAGE('22.07 Nateete-Nakawuka'!F25,'23.07 Nateete-Nakawuka'!F25,'24.07 Nateete-Nakawuka'!F25,'25.07 Nateete-Nakawuka'!F25,'26.07 Nateete-Nakawuka-24h'!F25,'27.07 Nateete-Nakawuka-24h'!F25,'28.07 Nateete-Nakawuka'!F25)</f>
        <v>11.428571428571429</v>
      </c>
      <c r="G25" s="49">
        <f>AVERAGE('22.07 Nateete-Nakawuka'!G25,'23.07 Nateete-Nakawuka'!G25,'24.07 Nateete-Nakawuka'!G25,'25.07 Nateete-Nakawuka'!G25,'26.07 Nateete-Nakawuka-24h'!G25,'27.07 Nateete-Nakawuka-24h'!G25,'28.07 Nateete-Nakawuka'!G25)</f>
        <v>0.8571428571428571</v>
      </c>
      <c r="H25" s="49">
        <f>AVERAGE('22.07 Nateete-Nakawuka'!H25,'23.07 Nateete-Nakawuka'!H25,'24.07 Nateete-Nakawuka'!H25,'25.07 Nateete-Nakawuka'!H25,'26.07 Nateete-Nakawuka-24h'!H25,'27.07 Nateete-Nakawuka-24h'!H25,'28.07 Nateete-Nakawuka'!H25)</f>
        <v>0.2857142857142857</v>
      </c>
      <c r="I25" s="49">
        <f>AVERAGE('22.07 Nateete-Nakawuka'!I25,'23.07 Nateete-Nakawuka'!I25,'24.07 Nateete-Nakawuka'!I25,'25.07 Nateete-Nakawuka'!I25,'26.07 Nateete-Nakawuka-24h'!I25,'27.07 Nateete-Nakawuka-24h'!I25,'28.07 Nateete-Nakawuka'!I25)</f>
        <v>4</v>
      </c>
      <c r="J25" s="49">
        <f>AVERAGE('22.07 Nateete-Nakawuka'!J25,'23.07 Nateete-Nakawuka'!J25,'24.07 Nateete-Nakawuka'!J25,'25.07 Nateete-Nakawuka'!J25,'26.07 Nateete-Nakawuka-24h'!J25,'27.07 Nateete-Nakawuka-24h'!J25,'28.07 Nateete-Nakawuka'!J25)</f>
        <v>1.4285714285714286</v>
      </c>
      <c r="K25" s="49">
        <f>AVERAGE('22.07 Nateete-Nakawuka'!K25,'23.07 Nateete-Nakawuka'!K25,'24.07 Nateete-Nakawuka'!K25,'25.07 Nateete-Nakawuka'!K25,'26.07 Nateete-Nakawuka-24h'!K25,'27.07 Nateete-Nakawuka-24h'!K25,'28.07 Nateete-Nakawuka'!K25)</f>
        <v>0.8571428571428571</v>
      </c>
      <c r="L25" s="49">
        <f>AVERAGE('22.07 Nateete-Nakawuka'!L25,'23.07 Nateete-Nakawuka'!L25,'24.07 Nateete-Nakawuka'!L25,'25.07 Nateete-Nakawuka'!L25,'26.07 Nateete-Nakawuka-24h'!L25,'27.07 Nateete-Nakawuka-24h'!L25,'28.07 Nateete-Nakawuka'!L25)</f>
        <v>0.14285714285714285</v>
      </c>
      <c r="M25" s="49">
        <f>AVERAGE('22.07 Nateete-Nakawuka'!M25,'23.07 Nateete-Nakawuka'!M25,'24.07 Nateete-Nakawuka'!M25,'25.07 Nateete-Nakawuka'!M25,'26.07 Nateete-Nakawuka-24h'!M25,'27.07 Nateete-Nakawuka-24h'!M25,'28.07 Nateete-Nakawuka'!M25)</f>
        <v>90.571428571428569</v>
      </c>
      <c r="N25" s="49">
        <f>AVERAGE('22.07 Nateete-Nakawuka'!N25,'23.07 Nateete-Nakawuka'!N25,'24.07 Nateete-Nakawuka'!N25,'25.07 Nateete-Nakawuka'!N25,'26.07 Nateete-Nakawuka-24h'!N25,'27.07 Nateete-Nakawuka-24h'!N25,'28.07 Nateete-Nakawuka'!N25)</f>
        <v>0</v>
      </c>
      <c r="O25" s="31">
        <f t="shared" si="0"/>
        <v>34</v>
      </c>
      <c r="P25" s="31">
        <f t="shared" si="1"/>
        <v>124.57142857142857</v>
      </c>
      <c r="R25" s="1" t="s">
        <v>149</v>
      </c>
      <c r="S25" s="34">
        <f>SUM(C70:C73)</f>
        <v>58.5</v>
      </c>
      <c r="T25" s="34">
        <f t="shared" ref="T25:AD25" si="17">SUM(D70:D73)</f>
        <v>54</v>
      </c>
      <c r="U25" s="34">
        <f t="shared" si="17"/>
        <v>12.5</v>
      </c>
      <c r="V25" s="34">
        <f t="shared" si="17"/>
        <v>112</v>
      </c>
      <c r="W25" s="34">
        <f t="shared" si="17"/>
        <v>1.5</v>
      </c>
      <c r="X25" s="34">
        <f t="shared" si="17"/>
        <v>4</v>
      </c>
      <c r="Y25" s="34">
        <f t="shared" si="17"/>
        <v>13</v>
      </c>
      <c r="Z25" s="34">
        <f t="shared" si="17"/>
        <v>1</v>
      </c>
      <c r="AA25" s="34">
        <f t="shared" si="17"/>
        <v>0</v>
      </c>
      <c r="AB25" s="34">
        <f t="shared" si="17"/>
        <v>2.5</v>
      </c>
      <c r="AC25" s="34">
        <f t="shared" si="17"/>
        <v>326.5</v>
      </c>
      <c r="AD25" s="34">
        <f t="shared" si="17"/>
        <v>0</v>
      </c>
      <c r="AE25" s="31">
        <f t="shared" si="13"/>
        <v>577</v>
      </c>
      <c r="AF25" s="31">
        <f t="shared" si="13"/>
        <v>1202</v>
      </c>
    </row>
    <row r="26" spans="2:32" ht="23.1" customHeight="1" x14ac:dyDescent="0.25">
      <c r="B26" s="23" t="s">
        <v>53</v>
      </c>
      <c r="C26" s="49">
        <f>AVERAGE('22.07 Nateete-Nakawuka'!C26,'23.07 Nateete-Nakawuka'!C26,'24.07 Nateete-Nakawuka'!C26,'25.07 Nateete-Nakawuka'!C26,'26.07 Nateete-Nakawuka-24h'!C26,'27.07 Nateete-Nakawuka-24h'!C26,'28.07 Nateete-Nakawuka'!C26)</f>
        <v>11.714285714285714</v>
      </c>
      <c r="D26" s="49">
        <f>AVERAGE('22.07 Nateete-Nakawuka'!D26,'23.07 Nateete-Nakawuka'!D26,'24.07 Nateete-Nakawuka'!D26,'25.07 Nateete-Nakawuka'!D26,'26.07 Nateete-Nakawuka-24h'!D26,'27.07 Nateete-Nakawuka-24h'!D26,'28.07 Nateete-Nakawuka'!D26)</f>
        <v>2.4285714285714284</v>
      </c>
      <c r="E26" s="49">
        <f>AVERAGE('22.07 Nateete-Nakawuka'!E26,'23.07 Nateete-Nakawuka'!E26,'24.07 Nateete-Nakawuka'!E26,'25.07 Nateete-Nakawuka'!E26,'26.07 Nateete-Nakawuka-24h'!E26,'27.07 Nateete-Nakawuka-24h'!E26,'28.07 Nateete-Nakawuka'!E26)</f>
        <v>3</v>
      </c>
      <c r="F26" s="49">
        <f>AVERAGE('22.07 Nateete-Nakawuka'!F26,'23.07 Nateete-Nakawuka'!F26,'24.07 Nateete-Nakawuka'!F26,'25.07 Nateete-Nakawuka'!F26,'26.07 Nateete-Nakawuka-24h'!F26,'27.07 Nateete-Nakawuka-24h'!F26,'28.07 Nateete-Nakawuka'!F26)</f>
        <v>13.571428571428571</v>
      </c>
      <c r="G26" s="49">
        <f>AVERAGE('22.07 Nateete-Nakawuka'!G26,'23.07 Nateete-Nakawuka'!G26,'24.07 Nateete-Nakawuka'!G26,'25.07 Nateete-Nakawuka'!G26,'26.07 Nateete-Nakawuka-24h'!G26,'27.07 Nateete-Nakawuka-24h'!G26,'28.07 Nateete-Nakawuka'!G26)</f>
        <v>0.42857142857142855</v>
      </c>
      <c r="H26" s="49">
        <f>AVERAGE('22.07 Nateete-Nakawuka'!H26,'23.07 Nateete-Nakawuka'!H26,'24.07 Nateete-Nakawuka'!H26,'25.07 Nateete-Nakawuka'!H26,'26.07 Nateete-Nakawuka-24h'!H26,'27.07 Nateete-Nakawuka-24h'!H26,'28.07 Nateete-Nakawuka'!H26)</f>
        <v>1.2857142857142858</v>
      </c>
      <c r="I26" s="49">
        <f>AVERAGE('22.07 Nateete-Nakawuka'!I26,'23.07 Nateete-Nakawuka'!I26,'24.07 Nateete-Nakawuka'!I26,'25.07 Nateete-Nakawuka'!I26,'26.07 Nateete-Nakawuka-24h'!I26,'27.07 Nateete-Nakawuka-24h'!I26,'28.07 Nateete-Nakawuka'!I26)</f>
        <v>6.8571428571428568</v>
      </c>
      <c r="J26" s="49">
        <f>AVERAGE('22.07 Nateete-Nakawuka'!J26,'23.07 Nateete-Nakawuka'!J26,'24.07 Nateete-Nakawuka'!J26,'25.07 Nateete-Nakawuka'!J26,'26.07 Nateete-Nakawuka-24h'!J26,'27.07 Nateete-Nakawuka-24h'!J26,'28.07 Nateete-Nakawuka'!J26)</f>
        <v>1.4285714285714286</v>
      </c>
      <c r="K26" s="49">
        <f>AVERAGE('22.07 Nateete-Nakawuka'!K26,'23.07 Nateete-Nakawuka'!K26,'24.07 Nateete-Nakawuka'!K26,'25.07 Nateete-Nakawuka'!K26,'26.07 Nateete-Nakawuka-24h'!K26,'27.07 Nateete-Nakawuka-24h'!K26,'28.07 Nateete-Nakawuka'!K26)</f>
        <v>0.2857142857142857</v>
      </c>
      <c r="L26" s="49">
        <f>AVERAGE('22.07 Nateete-Nakawuka'!L26,'23.07 Nateete-Nakawuka'!L26,'24.07 Nateete-Nakawuka'!L26,'25.07 Nateete-Nakawuka'!L26,'26.07 Nateete-Nakawuka-24h'!L26,'27.07 Nateete-Nakawuka-24h'!L26,'28.07 Nateete-Nakawuka'!L26)</f>
        <v>0.7142857142857143</v>
      </c>
      <c r="M26" s="49">
        <f>AVERAGE('22.07 Nateete-Nakawuka'!M26,'23.07 Nateete-Nakawuka'!M26,'24.07 Nateete-Nakawuka'!M26,'25.07 Nateete-Nakawuka'!M26,'26.07 Nateete-Nakawuka-24h'!M26,'27.07 Nateete-Nakawuka-24h'!M26,'28.07 Nateete-Nakawuka'!M26)</f>
        <v>96.285714285714292</v>
      </c>
      <c r="N26" s="49">
        <f>AVERAGE('22.07 Nateete-Nakawuka'!N26,'23.07 Nateete-Nakawuka'!N26,'24.07 Nateete-Nakawuka'!N26,'25.07 Nateete-Nakawuka'!N26,'26.07 Nateete-Nakawuka-24h'!N26,'27.07 Nateete-Nakawuka-24h'!N26,'28.07 Nateete-Nakawuka'!N26)</f>
        <v>0</v>
      </c>
      <c r="O26" s="31">
        <f t="shared" si="0"/>
        <v>41.714285714285715</v>
      </c>
      <c r="P26" s="31">
        <f t="shared" si="1"/>
        <v>138</v>
      </c>
      <c r="R26" s="1" t="s">
        <v>150</v>
      </c>
      <c r="S26" s="34">
        <f>SUM(C74:C77)</f>
        <v>64</v>
      </c>
      <c r="T26" s="34">
        <f t="shared" ref="T26:AD26" si="18">SUM(D74:D77)</f>
        <v>42</v>
      </c>
      <c r="U26" s="34">
        <f t="shared" si="18"/>
        <v>7</v>
      </c>
      <c r="V26" s="34">
        <f t="shared" si="18"/>
        <v>37</v>
      </c>
      <c r="W26" s="34">
        <f t="shared" si="18"/>
        <v>1</v>
      </c>
      <c r="X26" s="34">
        <f t="shared" si="18"/>
        <v>1</v>
      </c>
      <c r="Y26" s="34">
        <f t="shared" si="18"/>
        <v>4</v>
      </c>
      <c r="Z26" s="34">
        <f t="shared" si="18"/>
        <v>1.5</v>
      </c>
      <c r="AA26" s="34">
        <f t="shared" si="18"/>
        <v>1.5</v>
      </c>
      <c r="AB26" s="34">
        <f t="shared" si="18"/>
        <v>4.5</v>
      </c>
      <c r="AC26" s="34">
        <f t="shared" si="18"/>
        <v>281</v>
      </c>
      <c r="AD26" s="34">
        <f t="shared" si="18"/>
        <v>0</v>
      </c>
      <c r="AE26" s="31">
        <f t="shared" si="13"/>
        <v>528.5</v>
      </c>
      <c r="AF26" s="31">
        <f t="shared" si="13"/>
        <v>1148</v>
      </c>
    </row>
    <row r="27" spans="2:32" ht="23.1" customHeight="1" x14ac:dyDescent="0.25">
      <c r="B27" s="23" t="s">
        <v>54</v>
      </c>
      <c r="C27" s="49">
        <f>AVERAGE('22.07 Nateete-Nakawuka'!C27,'23.07 Nateete-Nakawuka'!C27,'24.07 Nateete-Nakawuka'!C27,'25.07 Nateete-Nakawuka'!C27,'26.07 Nateete-Nakawuka-24h'!C27,'27.07 Nateete-Nakawuka-24h'!C27,'28.07 Nateete-Nakawuka'!C27)</f>
        <v>8.8571428571428577</v>
      </c>
      <c r="D27" s="49">
        <f>AVERAGE('22.07 Nateete-Nakawuka'!D27,'23.07 Nateete-Nakawuka'!D27,'24.07 Nateete-Nakawuka'!D27,'25.07 Nateete-Nakawuka'!D27,'26.07 Nateete-Nakawuka-24h'!D27,'27.07 Nateete-Nakawuka-24h'!D27,'28.07 Nateete-Nakawuka'!D27)</f>
        <v>2.7142857142857144</v>
      </c>
      <c r="E27" s="49">
        <f>AVERAGE('22.07 Nateete-Nakawuka'!E27,'23.07 Nateete-Nakawuka'!E27,'24.07 Nateete-Nakawuka'!E27,'25.07 Nateete-Nakawuka'!E27,'26.07 Nateete-Nakawuka-24h'!E27,'27.07 Nateete-Nakawuka-24h'!E27,'28.07 Nateete-Nakawuka'!E27)</f>
        <v>2.1428571428571428</v>
      </c>
      <c r="F27" s="49">
        <f>AVERAGE('22.07 Nateete-Nakawuka'!F27,'23.07 Nateete-Nakawuka'!F27,'24.07 Nateete-Nakawuka'!F27,'25.07 Nateete-Nakawuka'!F27,'26.07 Nateete-Nakawuka-24h'!F27,'27.07 Nateete-Nakawuka-24h'!F27,'28.07 Nateete-Nakawuka'!F27)</f>
        <v>13.285714285714286</v>
      </c>
      <c r="G27" s="49">
        <f>AVERAGE('22.07 Nateete-Nakawuka'!G27,'23.07 Nateete-Nakawuka'!G27,'24.07 Nateete-Nakawuka'!G27,'25.07 Nateete-Nakawuka'!G27,'26.07 Nateete-Nakawuka-24h'!G27,'27.07 Nateete-Nakawuka-24h'!G27,'28.07 Nateete-Nakawuka'!G27)</f>
        <v>2.5714285714285716</v>
      </c>
      <c r="H27" s="49">
        <f>AVERAGE('22.07 Nateete-Nakawuka'!H27,'23.07 Nateete-Nakawuka'!H27,'24.07 Nateete-Nakawuka'!H27,'25.07 Nateete-Nakawuka'!H27,'26.07 Nateete-Nakawuka-24h'!H27,'27.07 Nateete-Nakawuka-24h'!H27,'28.07 Nateete-Nakawuka'!H27)</f>
        <v>0.2857142857142857</v>
      </c>
      <c r="I27" s="49">
        <f>AVERAGE('22.07 Nateete-Nakawuka'!I27,'23.07 Nateete-Nakawuka'!I27,'24.07 Nateete-Nakawuka'!I27,'25.07 Nateete-Nakawuka'!I27,'26.07 Nateete-Nakawuka-24h'!I27,'27.07 Nateete-Nakawuka-24h'!I27,'28.07 Nateete-Nakawuka'!I27)</f>
        <v>4.4285714285714288</v>
      </c>
      <c r="J27" s="49">
        <f>AVERAGE('22.07 Nateete-Nakawuka'!J27,'23.07 Nateete-Nakawuka'!J27,'24.07 Nateete-Nakawuka'!J27,'25.07 Nateete-Nakawuka'!J27,'26.07 Nateete-Nakawuka-24h'!J27,'27.07 Nateete-Nakawuka-24h'!J27,'28.07 Nateete-Nakawuka'!J27)</f>
        <v>1</v>
      </c>
      <c r="K27" s="49">
        <f>AVERAGE('22.07 Nateete-Nakawuka'!K27,'23.07 Nateete-Nakawuka'!K27,'24.07 Nateete-Nakawuka'!K27,'25.07 Nateete-Nakawuka'!K27,'26.07 Nateete-Nakawuka-24h'!K27,'27.07 Nateete-Nakawuka-24h'!K27,'28.07 Nateete-Nakawuka'!K27)</f>
        <v>0.5714285714285714</v>
      </c>
      <c r="L27" s="49">
        <f>AVERAGE('22.07 Nateete-Nakawuka'!L27,'23.07 Nateete-Nakawuka'!L27,'24.07 Nateete-Nakawuka'!L27,'25.07 Nateete-Nakawuka'!L27,'26.07 Nateete-Nakawuka-24h'!L27,'27.07 Nateete-Nakawuka-24h'!L27,'28.07 Nateete-Nakawuka'!L27)</f>
        <v>0.14285714285714285</v>
      </c>
      <c r="M27" s="49">
        <f>AVERAGE('22.07 Nateete-Nakawuka'!M27,'23.07 Nateete-Nakawuka'!M27,'24.07 Nateete-Nakawuka'!M27,'25.07 Nateete-Nakawuka'!M27,'26.07 Nateete-Nakawuka-24h'!M27,'27.07 Nateete-Nakawuka-24h'!M27,'28.07 Nateete-Nakawuka'!M27)</f>
        <v>80</v>
      </c>
      <c r="N27" s="49">
        <f>AVERAGE('22.07 Nateete-Nakawuka'!N27,'23.07 Nateete-Nakawuka'!N27,'24.07 Nateete-Nakawuka'!N27,'25.07 Nateete-Nakawuka'!N27,'26.07 Nateete-Nakawuka-24h'!N27,'27.07 Nateete-Nakawuka-24h'!N27,'28.07 Nateete-Nakawuka'!N27)</f>
        <v>0</v>
      </c>
      <c r="O27" s="31">
        <f t="shared" si="0"/>
        <v>36</v>
      </c>
      <c r="P27" s="31">
        <f t="shared" si="1"/>
        <v>116</v>
      </c>
      <c r="R27" s="1" t="s">
        <v>151</v>
      </c>
      <c r="S27" s="34">
        <f>SUM(C78:C81)</f>
        <v>16</v>
      </c>
      <c r="T27" s="34">
        <f t="shared" ref="T27:AD27" si="19">SUM(D78:D81)</f>
        <v>14.5</v>
      </c>
      <c r="U27" s="34">
        <f t="shared" si="19"/>
        <v>0.5</v>
      </c>
      <c r="V27" s="34">
        <f t="shared" si="19"/>
        <v>13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2.5</v>
      </c>
      <c r="AA27" s="34">
        <f t="shared" si="19"/>
        <v>1.5</v>
      </c>
      <c r="AB27" s="34">
        <f t="shared" si="19"/>
        <v>0</v>
      </c>
      <c r="AC27" s="34">
        <f t="shared" si="19"/>
        <v>206</v>
      </c>
      <c r="AD27" s="34">
        <f t="shared" si="19"/>
        <v>0</v>
      </c>
      <c r="AE27" s="31">
        <f t="shared" si="13"/>
        <v>444.5</v>
      </c>
      <c r="AF27" s="31">
        <f t="shared" si="13"/>
        <v>1043.5</v>
      </c>
    </row>
    <row r="28" spans="2:32" ht="23.1" customHeight="1" x14ac:dyDescent="0.25">
      <c r="B28" s="23" t="s">
        <v>55</v>
      </c>
      <c r="C28" s="49">
        <f>AVERAGE('22.07 Nateete-Nakawuka'!C28,'23.07 Nateete-Nakawuka'!C28,'24.07 Nateete-Nakawuka'!C28,'25.07 Nateete-Nakawuka'!C28,'26.07 Nateete-Nakawuka-24h'!C28,'27.07 Nateete-Nakawuka-24h'!C28,'28.07 Nateete-Nakawuka'!C28)</f>
        <v>17.142857142857142</v>
      </c>
      <c r="D28" s="49">
        <f>AVERAGE('22.07 Nateete-Nakawuka'!D28,'23.07 Nateete-Nakawuka'!D28,'24.07 Nateete-Nakawuka'!D28,'25.07 Nateete-Nakawuka'!D28,'26.07 Nateete-Nakawuka-24h'!D28,'27.07 Nateete-Nakawuka-24h'!D28,'28.07 Nateete-Nakawuka'!D28)</f>
        <v>1.5714285714285714</v>
      </c>
      <c r="E28" s="49">
        <f>AVERAGE('22.07 Nateete-Nakawuka'!E28,'23.07 Nateete-Nakawuka'!E28,'24.07 Nateete-Nakawuka'!E28,'25.07 Nateete-Nakawuka'!E28,'26.07 Nateete-Nakawuka-24h'!E28,'27.07 Nateete-Nakawuka-24h'!E28,'28.07 Nateete-Nakawuka'!E28)</f>
        <v>3.1428571428571428</v>
      </c>
      <c r="F28" s="49">
        <f>AVERAGE('22.07 Nateete-Nakawuka'!F28,'23.07 Nateete-Nakawuka'!F28,'24.07 Nateete-Nakawuka'!F28,'25.07 Nateete-Nakawuka'!F28,'26.07 Nateete-Nakawuka-24h'!F28,'27.07 Nateete-Nakawuka-24h'!F28,'28.07 Nateete-Nakawuka'!F28)</f>
        <v>11.428571428571429</v>
      </c>
      <c r="G28" s="49">
        <f>AVERAGE('22.07 Nateete-Nakawuka'!G28,'23.07 Nateete-Nakawuka'!G28,'24.07 Nateete-Nakawuka'!G28,'25.07 Nateete-Nakawuka'!G28,'26.07 Nateete-Nakawuka-24h'!G28,'27.07 Nateete-Nakawuka-24h'!G28,'28.07 Nateete-Nakawuka'!G28)</f>
        <v>2.5714285714285716</v>
      </c>
      <c r="H28" s="49">
        <f>AVERAGE('22.07 Nateete-Nakawuka'!H28,'23.07 Nateete-Nakawuka'!H28,'24.07 Nateete-Nakawuka'!H28,'25.07 Nateete-Nakawuka'!H28,'26.07 Nateete-Nakawuka-24h'!H28,'27.07 Nateete-Nakawuka-24h'!H28,'28.07 Nateete-Nakawuka'!H28)</f>
        <v>1.7142857142857142</v>
      </c>
      <c r="I28" s="49">
        <f>AVERAGE('22.07 Nateete-Nakawuka'!I28,'23.07 Nateete-Nakawuka'!I28,'24.07 Nateete-Nakawuka'!I28,'25.07 Nateete-Nakawuka'!I28,'26.07 Nateete-Nakawuka-24h'!I28,'27.07 Nateete-Nakawuka-24h'!I28,'28.07 Nateete-Nakawuka'!I28)</f>
        <v>7.1428571428571432</v>
      </c>
      <c r="J28" s="49">
        <f>AVERAGE('22.07 Nateete-Nakawuka'!J28,'23.07 Nateete-Nakawuka'!J28,'24.07 Nateete-Nakawuka'!J28,'25.07 Nateete-Nakawuka'!J28,'26.07 Nateete-Nakawuka-24h'!J28,'27.07 Nateete-Nakawuka-24h'!J28,'28.07 Nateete-Nakawuka'!J28)</f>
        <v>1.7142857142857142</v>
      </c>
      <c r="K28" s="49">
        <f>AVERAGE('22.07 Nateete-Nakawuka'!K28,'23.07 Nateete-Nakawuka'!K28,'24.07 Nateete-Nakawuka'!K28,'25.07 Nateete-Nakawuka'!K28,'26.07 Nateete-Nakawuka-24h'!K28,'27.07 Nateete-Nakawuka-24h'!K28,'28.07 Nateete-Nakawuka'!K28)</f>
        <v>1.1428571428571428</v>
      </c>
      <c r="L28" s="49">
        <f>AVERAGE('22.07 Nateete-Nakawuka'!L28,'23.07 Nateete-Nakawuka'!L28,'24.07 Nateete-Nakawuka'!L28,'25.07 Nateete-Nakawuka'!L28,'26.07 Nateete-Nakawuka-24h'!L28,'27.07 Nateete-Nakawuka-24h'!L28,'28.07 Nateete-Nakawuka'!L28)</f>
        <v>0.2857142857142857</v>
      </c>
      <c r="M28" s="49">
        <f>AVERAGE('22.07 Nateete-Nakawuka'!M28,'23.07 Nateete-Nakawuka'!M28,'24.07 Nateete-Nakawuka'!M28,'25.07 Nateete-Nakawuka'!M28,'26.07 Nateete-Nakawuka-24h'!M28,'27.07 Nateete-Nakawuka-24h'!M28,'28.07 Nateete-Nakawuka'!M28)</f>
        <v>77.714285714285708</v>
      </c>
      <c r="N28" s="49">
        <f>AVERAGE('22.07 Nateete-Nakawuka'!N28,'23.07 Nateete-Nakawuka'!N28,'24.07 Nateete-Nakawuka'!N28,'25.07 Nateete-Nakawuka'!N28,'26.07 Nateete-Nakawuka-24h'!N28,'27.07 Nateete-Nakawuka-24h'!N28,'28.07 Nateete-Nakawuka'!N28)</f>
        <v>0</v>
      </c>
      <c r="O28" s="31">
        <f t="shared" si="0"/>
        <v>47.857142857142861</v>
      </c>
      <c r="P28" s="31">
        <f t="shared" si="1"/>
        <v>125.57142857142857</v>
      </c>
      <c r="R28" s="1" t="s">
        <v>152</v>
      </c>
      <c r="S28" s="34">
        <f>SUM(C82:C85)</f>
        <v>9.5</v>
      </c>
      <c r="T28" s="34">
        <f t="shared" ref="T28:AD28" si="20">SUM(D82:D85)</f>
        <v>6.5</v>
      </c>
      <c r="U28" s="34">
        <f t="shared" si="20"/>
        <v>0.5</v>
      </c>
      <c r="V28" s="34">
        <f t="shared" si="20"/>
        <v>8.5</v>
      </c>
      <c r="W28" s="34">
        <f t="shared" si="20"/>
        <v>0</v>
      </c>
      <c r="X28" s="34">
        <f t="shared" si="20"/>
        <v>2</v>
      </c>
      <c r="Y28" s="34">
        <f t="shared" si="20"/>
        <v>2.5</v>
      </c>
      <c r="Z28" s="34">
        <f t="shared" si="20"/>
        <v>0</v>
      </c>
      <c r="AA28" s="34">
        <f t="shared" si="20"/>
        <v>0.5</v>
      </c>
      <c r="AB28" s="34">
        <f t="shared" si="20"/>
        <v>1.5</v>
      </c>
      <c r="AC28" s="34">
        <f t="shared" si="20"/>
        <v>117</v>
      </c>
      <c r="AD28" s="34">
        <f t="shared" si="20"/>
        <v>0</v>
      </c>
      <c r="AE28" s="31">
        <f t="shared" si="13"/>
        <v>310</v>
      </c>
      <c r="AF28" s="31">
        <f t="shared" si="13"/>
        <v>854</v>
      </c>
    </row>
    <row r="29" spans="2:32" ht="23.1" customHeight="1" x14ac:dyDescent="0.25">
      <c r="B29" s="23" t="s">
        <v>56</v>
      </c>
      <c r="C29" s="49">
        <f>AVERAGE('22.07 Nateete-Nakawuka'!C29,'23.07 Nateete-Nakawuka'!C29,'24.07 Nateete-Nakawuka'!C29,'25.07 Nateete-Nakawuka'!C29,'26.07 Nateete-Nakawuka-24h'!C29,'27.07 Nateete-Nakawuka-24h'!C29,'28.07 Nateete-Nakawuka'!C29)</f>
        <v>16.571428571428573</v>
      </c>
      <c r="D29" s="49">
        <f>AVERAGE('22.07 Nateete-Nakawuka'!D29,'23.07 Nateete-Nakawuka'!D29,'24.07 Nateete-Nakawuka'!D29,'25.07 Nateete-Nakawuka'!D29,'26.07 Nateete-Nakawuka-24h'!D29,'27.07 Nateete-Nakawuka-24h'!D29,'28.07 Nateete-Nakawuka'!D29)</f>
        <v>1.8571428571428572</v>
      </c>
      <c r="E29" s="49">
        <f>AVERAGE('22.07 Nateete-Nakawuka'!E29,'23.07 Nateete-Nakawuka'!E29,'24.07 Nateete-Nakawuka'!E29,'25.07 Nateete-Nakawuka'!E29,'26.07 Nateete-Nakawuka-24h'!E29,'27.07 Nateete-Nakawuka-24h'!E29,'28.07 Nateete-Nakawuka'!E29)</f>
        <v>1.4285714285714286</v>
      </c>
      <c r="F29" s="49">
        <f>AVERAGE('22.07 Nateete-Nakawuka'!F29,'23.07 Nateete-Nakawuka'!F29,'24.07 Nateete-Nakawuka'!F29,'25.07 Nateete-Nakawuka'!F29,'26.07 Nateete-Nakawuka-24h'!F29,'27.07 Nateete-Nakawuka-24h'!F29,'28.07 Nateete-Nakawuka'!F29)</f>
        <v>9.5714285714285712</v>
      </c>
      <c r="G29" s="49">
        <f>AVERAGE('22.07 Nateete-Nakawuka'!G29,'23.07 Nateete-Nakawuka'!G29,'24.07 Nateete-Nakawuka'!G29,'25.07 Nateete-Nakawuka'!G29,'26.07 Nateete-Nakawuka-24h'!G29,'27.07 Nateete-Nakawuka-24h'!G29,'28.07 Nateete-Nakawuka'!G29)</f>
        <v>1.2857142857142858</v>
      </c>
      <c r="H29" s="49">
        <f>AVERAGE('22.07 Nateete-Nakawuka'!H29,'23.07 Nateete-Nakawuka'!H29,'24.07 Nateete-Nakawuka'!H29,'25.07 Nateete-Nakawuka'!H29,'26.07 Nateete-Nakawuka-24h'!H29,'27.07 Nateete-Nakawuka-24h'!H29,'28.07 Nateete-Nakawuka'!H29)</f>
        <v>1</v>
      </c>
      <c r="I29" s="49">
        <f>AVERAGE('22.07 Nateete-Nakawuka'!I29,'23.07 Nateete-Nakawuka'!I29,'24.07 Nateete-Nakawuka'!I29,'25.07 Nateete-Nakawuka'!I29,'26.07 Nateete-Nakawuka-24h'!I29,'27.07 Nateete-Nakawuka-24h'!I29,'28.07 Nateete-Nakawuka'!I29)</f>
        <v>6.1428571428571432</v>
      </c>
      <c r="J29" s="49">
        <f>AVERAGE('22.07 Nateete-Nakawuka'!J29,'23.07 Nateete-Nakawuka'!J29,'24.07 Nateete-Nakawuka'!J29,'25.07 Nateete-Nakawuka'!J29,'26.07 Nateete-Nakawuka-24h'!J29,'27.07 Nateete-Nakawuka-24h'!J29,'28.07 Nateete-Nakawuka'!J29)</f>
        <v>1</v>
      </c>
      <c r="K29" s="49">
        <f>AVERAGE('22.07 Nateete-Nakawuka'!K29,'23.07 Nateete-Nakawuka'!K29,'24.07 Nateete-Nakawuka'!K29,'25.07 Nateete-Nakawuka'!K29,'26.07 Nateete-Nakawuka-24h'!K29,'27.07 Nateete-Nakawuka-24h'!K29,'28.07 Nateete-Nakawuka'!K29)</f>
        <v>1.1428571428571428</v>
      </c>
      <c r="L29" s="49">
        <f>AVERAGE('22.07 Nateete-Nakawuka'!L29,'23.07 Nateete-Nakawuka'!L29,'24.07 Nateete-Nakawuka'!L29,'25.07 Nateete-Nakawuka'!L29,'26.07 Nateete-Nakawuka-24h'!L29,'27.07 Nateete-Nakawuka-24h'!L29,'28.07 Nateete-Nakawuka'!L29)</f>
        <v>0</v>
      </c>
      <c r="M29" s="49">
        <f>AVERAGE('22.07 Nateete-Nakawuka'!M29,'23.07 Nateete-Nakawuka'!M29,'24.07 Nateete-Nakawuka'!M29,'25.07 Nateete-Nakawuka'!M29,'26.07 Nateete-Nakawuka-24h'!M29,'27.07 Nateete-Nakawuka-24h'!M29,'28.07 Nateete-Nakawuka'!M29)</f>
        <v>77.285714285714292</v>
      </c>
      <c r="N29" s="49">
        <f>AVERAGE('22.07 Nateete-Nakawuka'!N29,'23.07 Nateete-Nakawuka'!N29,'24.07 Nateete-Nakawuka'!N29,'25.07 Nateete-Nakawuka'!N29,'26.07 Nateete-Nakawuka-24h'!N29,'27.07 Nateete-Nakawuka-24h'!N29,'28.07 Nateete-Nakawuka'!N29)</f>
        <v>0</v>
      </c>
      <c r="O29" s="31">
        <f t="shared" si="0"/>
        <v>40.000000000000007</v>
      </c>
      <c r="P29" s="31">
        <f t="shared" si="1"/>
        <v>117.28571428571431</v>
      </c>
      <c r="R29" s="1" t="s">
        <v>153</v>
      </c>
      <c r="S29" s="34">
        <f>SUM(C86:C89)</f>
        <v>7.5</v>
      </c>
      <c r="T29" s="34">
        <f t="shared" ref="T29:AD29" si="21">SUM(D86:D89)</f>
        <v>8.5</v>
      </c>
      <c r="U29" s="34">
        <f t="shared" si="21"/>
        <v>1.5</v>
      </c>
      <c r="V29" s="34">
        <f t="shared" si="21"/>
        <v>22.5</v>
      </c>
      <c r="W29" s="34">
        <f t="shared" si="21"/>
        <v>0</v>
      </c>
      <c r="X29" s="34">
        <f t="shared" si="21"/>
        <v>1</v>
      </c>
      <c r="Y29" s="34">
        <f t="shared" si="21"/>
        <v>4.5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129.5</v>
      </c>
      <c r="AD29" s="34">
        <f t="shared" si="21"/>
        <v>0</v>
      </c>
      <c r="AE29" s="31">
        <f t="shared" si="13"/>
        <v>297</v>
      </c>
      <c r="AF29" s="31">
        <f t="shared" si="13"/>
        <v>778.5</v>
      </c>
    </row>
    <row r="30" spans="2:32" ht="23.1" customHeight="1" x14ac:dyDescent="0.25">
      <c r="B30" s="23" t="s">
        <v>57</v>
      </c>
      <c r="C30" s="49">
        <f>AVERAGE('22.07 Nateete-Nakawuka'!C30,'23.07 Nateete-Nakawuka'!C30,'24.07 Nateete-Nakawuka'!C30,'25.07 Nateete-Nakawuka'!C30,'26.07 Nateete-Nakawuka-24h'!C30,'27.07 Nateete-Nakawuka-24h'!C30,'28.07 Nateete-Nakawuka'!C30)</f>
        <v>14.714285714285714</v>
      </c>
      <c r="D30" s="49">
        <f>AVERAGE('22.07 Nateete-Nakawuka'!D30,'23.07 Nateete-Nakawuka'!D30,'24.07 Nateete-Nakawuka'!D30,'25.07 Nateete-Nakawuka'!D30,'26.07 Nateete-Nakawuka-24h'!D30,'27.07 Nateete-Nakawuka-24h'!D30,'28.07 Nateete-Nakawuka'!D30)</f>
        <v>3.2857142857142856</v>
      </c>
      <c r="E30" s="49">
        <f>AVERAGE('22.07 Nateete-Nakawuka'!E30,'23.07 Nateete-Nakawuka'!E30,'24.07 Nateete-Nakawuka'!E30,'25.07 Nateete-Nakawuka'!E30,'26.07 Nateete-Nakawuka-24h'!E30,'27.07 Nateete-Nakawuka-24h'!E30,'28.07 Nateete-Nakawuka'!E30)</f>
        <v>3.1428571428571428</v>
      </c>
      <c r="F30" s="49">
        <f>AVERAGE('22.07 Nateete-Nakawuka'!F30,'23.07 Nateete-Nakawuka'!F30,'24.07 Nateete-Nakawuka'!F30,'25.07 Nateete-Nakawuka'!F30,'26.07 Nateete-Nakawuka-24h'!F30,'27.07 Nateete-Nakawuka-24h'!F30,'28.07 Nateete-Nakawuka'!F30)</f>
        <v>11.428571428571429</v>
      </c>
      <c r="G30" s="49">
        <f>AVERAGE('22.07 Nateete-Nakawuka'!G30,'23.07 Nateete-Nakawuka'!G30,'24.07 Nateete-Nakawuka'!G30,'25.07 Nateete-Nakawuka'!G30,'26.07 Nateete-Nakawuka-24h'!G30,'27.07 Nateete-Nakawuka-24h'!G30,'28.07 Nateete-Nakawuka'!G30)</f>
        <v>0.2857142857142857</v>
      </c>
      <c r="H30" s="49">
        <f>AVERAGE('22.07 Nateete-Nakawuka'!H30,'23.07 Nateete-Nakawuka'!H30,'24.07 Nateete-Nakawuka'!H30,'25.07 Nateete-Nakawuka'!H30,'26.07 Nateete-Nakawuka-24h'!H30,'27.07 Nateete-Nakawuka-24h'!H30,'28.07 Nateete-Nakawuka'!H30)</f>
        <v>0.42857142857142855</v>
      </c>
      <c r="I30" s="49">
        <f>AVERAGE('22.07 Nateete-Nakawuka'!I30,'23.07 Nateete-Nakawuka'!I30,'24.07 Nateete-Nakawuka'!I30,'25.07 Nateete-Nakawuka'!I30,'26.07 Nateete-Nakawuka-24h'!I30,'27.07 Nateete-Nakawuka-24h'!I30,'28.07 Nateete-Nakawuka'!I30)</f>
        <v>6.7142857142857144</v>
      </c>
      <c r="J30" s="49">
        <f>AVERAGE('22.07 Nateete-Nakawuka'!J30,'23.07 Nateete-Nakawuka'!J30,'24.07 Nateete-Nakawuka'!J30,'25.07 Nateete-Nakawuka'!J30,'26.07 Nateete-Nakawuka-24h'!J30,'27.07 Nateete-Nakawuka-24h'!J30,'28.07 Nateete-Nakawuka'!J30)</f>
        <v>2</v>
      </c>
      <c r="K30" s="49">
        <f>AVERAGE('22.07 Nateete-Nakawuka'!K30,'23.07 Nateete-Nakawuka'!K30,'24.07 Nateete-Nakawuka'!K30,'25.07 Nateete-Nakawuka'!K30,'26.07 Nateete-Nakawuka-24h'!K30,'27.07 Nateete-Nakawuka-24h'!K30,'28.07 Nateete-Nakawuka'!K30)</f>
        <v>0.5714285714285714</v>
      </c>
      <c r="L30" s="49">
        <f>AVERAGE('22.07 Nateete-Nakawuka'!L30,'23.07 Nateete-Nakawuka'!L30,'24.07 Nateete-Nakawuka'!L30,'25.07 Nateete-Nakawuka'!L30,'26.07 Nateete-Nakawuka-24h'!L30,'27.07 Nateete-Nakawuka-24h'!L30,'28.07 Nateete-Nakawuka'!L30)</f>
        <v>0.8571428571428571</v>
      </c>
      <c r="M30" s="49">
        <f>AVERAGE('22.07 Nateete-Nakawuka'!M30,'23.07 Nateete-Nakawuka'!M30,'24.07 Nateete-Nakawuka'!M30,'25.07 Nateete-Nakawuka'!M30,'26.07 Nateete-Nakawuka-24h'!M30,'27.07 Nateete-Nakawuka-24h'!M30,'28.07 Nateete-Nakawuka'!M30)</f>
        <v>77.571428571428569</v>
      </c>
      <c r="N30" s="49">
        <f>AVERAGE('22.07 Nateete-Nakawuka'!N30,'23.07 Nateete-Nakawuka'!N30,'24.07 Nateete-Nakawuka'!N30,'25.07 Nateete-Nakawuka'!N30,'26.07 Nateete-Nakawuka-24h'!N30,'27.07 Nateete-Nakawuka-24h'!N30,'28.07 Nateete-Nakawuka'!N30)</f>
        <v>0</v>
      </c>
      <c r="O30" s="31">
        <f t="shared" si="0"/>
        <v>43.428571428571423</v>
      </c>
      <c r="P30" s="31">
        <f t="shared" si="1"/>
        <v>121</v>
      </c>
      <c r="R30" s="1" t="s">
        <v>154</v>
      </c>
      <c r="S30" s="34">
        <f>SUM(C90:C93)</f>
        <v>10.5</v>
      </c>
      <c r="T30" s="34">
        <f t="shared" ref="T30:AD30" si="22">SUM(D90:D93)</f>
        <v>1</v>
      </c>
      <c r="U30" s="34">
        <f t="shared" si="22"/>
        <v>2.5</v>
      </c>
      <c r="V30" s="34">
        <f t="shared" si="22"/>
        <v>1.5</v>
      </c>
      <c r="W30" s="34">
        <f t="shared" si="22"/>
        <v>0.5</v>
      </c>
      <c r="X30" s="34">
        <f t="shared" si="22"/>
        <v>0.5</v>
      </c>
      <c r="Y30" s="34">
        <f t="shared" si="22"/>
        <v>1.5</v>
      </c>
      <c r="Z30" s="34">
        <f t="shared" si="22"/>
        <v>1</v>
      </c>
      <c r="AA30" s="34">
        <f t="shared" si="22"/>
        <v>1</v>
      </c>
      <c r="AB30" s="34">
        <f t="shared" si="22"/>
        <v>0.5</v>
      </c>
      <c r="AC30" s="34">
        <f t="shared" si="22"/>
        <v>68.5</v>
      </c>
      <c r="AD30" s="34">
        <f t="shared" si="22"/>
        <v>0</v>
      </c>
      <c r="AE30" s="31">
        <f t="shared" si="13"/>
        <v>294</v>
      </c>
      <c r="AF30" s="31">
        <f t="shared" si="13"/>
        <v>740</v>
      </c>
    </row>
    <row r="31" spans="2:32" ht="23.1" customHeight="1" x14ac:dyDescent="0.25">
      <c r="B31" s="24" t="s">
        <v>58</v>
      </c>
      <c r="C31" s="49">
        <f>AVERAGE('22.07 Nateete-Nakawuka'!C31,'23.07 Nateete-Nakawuka'!C31,'24.07 Nateete-Nakawuka'!C31,'25.07 Nateete-Nakawuka'!C31,'26.07 Nateete-Nakawuka-24h'!C31,'27.07 Nateete-Nakawuka-24h'!C31,'28.07 Nateete-Nakawuka'!C31)</f>
        <v>15.428571428571429</v>
      </c>
      <c r="D31" s="49">
        <f>AVERAGE('22.07 Nateete-Nakawuka'!D31,'23.07 Nateete-Nakawuka'!D31,'24.07 Nateete-Nakawuka'!D31,'25.07 Nateete-Nakawuka'!D31,'26.07 Nateete-Nakawuka-24h'!D31,'27.07 Nateete-Nakawuka-24h'!D31,'28.07 Nateete-Nakawuka'!D31)</f>
        <v>3.7142857142857144</v>
      </c>
      <c r="E31" s="49">
        <f>AVERAGE('22.07 Nateete-Nakawuka'!E31,'23.07 Nateete-Nakawuka'!E31,'24.07 Nateete-Nakawuka'!E31,'25.07 Nateete-Nakawuka'!E31,'26.07 Nateete-Nakawuka-24h'!E31,'27.07 Nateete-Nakawuka-24h'!E31,'28.07 Nateete-Nakawuka'!E31)</f>
        <v>2.7142857142857144</v>
      </c>
      <c r="F31" s="49">
        <f>AVERAGE('22.07 Nateete-Nakawuka'!F31,'23.07 Nateete-Nakawuka'!F31,'24.07 Nateete-Nakawuka'!F31,'25.07 Nateete-Nakawuka'!F31,'26.07 Nateete-Nakawuka-24h'!F31,'27.07 Nateete-Nakawuka-24h'!F31,'28.07 Nateete-Nakawuka'!F31)</f>
        <v>15.571428571428571</v>
      </c>
      <c r="G31" s="49">
        <f>AVERAGE('22.07 Nateete-Nakawuka'!G31,'23.07 Nateete-Nakawuka'!G31,'24.07 Nateete-Nakawuka'!G31,'25.07 Nateete-Nakawuka'!G31,'26.07 Nateete-Nakawuka-24h'!G31,'27.07 Nateete-Nakawuka-24h'!G31,'28.07 Nateete-Nakawuka'!G31)</f>
        <v>1.5714285714285714</v>
      </c>
      <c r="H31" s="49">
        <f>AVERAGE('22.07 Nateete-Nakawuka'!H31,'23.07 Nateete-Nakawuka'!H31,'24.07 Nateete-Nakawuka'!H31,'25.07 Nateete-Nakawuka'!H31,'26.07 Nateete-Nakawuka-24h'!H31,'27.07 Nateete-Nakawuka-24h'!H31,'28.07 Nateete-Nakawuka'!H31)</f>
        <v>0.7142857142857143</v>
      </c>
      <c r="I31" s="49">
        <f>AVERAGE('22.07 Nateete-Nakawuka'!I31,'23.07 Nateete-Nakawuka'!I31,'24.07 Nateete-Nakawuka'!I31,'25.07 Nateete-Nakawuka'!I31,'26.07 Nateete-Nakawuka-24h'!I31,'27.07 Nateete-Nakawuka-24h'!I31,'28.07 Nateete-Nakawuka'!I31)</f>
        <v>6.7142857142857144</v>
      </c>
      <c r="J31" s="49">
        <f>AVERAGE('22.07 Nateete-Nakawuka'!J31,'23.07 Nateete-Nakawuka'!J31,'24.07 Nateete-Nakawuka'!J31,'25.07 Nateete-Nakawuka'!J31,'26.07 Nateete-Nakawuka-24h'!J31,'27.07 Nateete-Nakawuka-24h'!J31,'28.07 Nateete-Nakawuka'!J31)</f>
        <v>1.2857142857142858</v>
      </c>
      <c r="K31" s="49">
        <f>AVERAGE('22.07 Nateete-Nakawuka'!K31,'23.07 Nateete-Nakawuka'!K31,'24.07 Nateete-Nakawuka'!K31,'25.07 Nateete-Nakawuka'!K31,'26.07 Nateete-Nakawuka-24h'!K31,'27.07 Nateete-Nakawuka-24h'!K31,'28.07 Nateete-Nakawuka'!K31)</f>
        <v>0.14285714285714285</v>
      </c>
      <c r="L31" s="49">
        <f>AVERAGE('22.07 Nateete-Nakawuka'!L31,'23.07 Nateete-Nakawuka'!L31,'24.07 Nateete-Nakawuka'!L31,'25.07 Nateete-Nakawuka'!L31,'26.07 Nateete-Nakawuka-24h'!L31,'27.07 Nateete-Nakawuka-24h'!L31,'28.07 Nateete-Nakawuka'!L31)</f>
        <v>0</v>
      </c>
      <c r="M31" s="49">
        <f>AVERAGE('22.07 Nateete-Nakawuka'!M31,'23.07 Nateete-Nakawuka'!M31,'24.07 Nateete-Nakawuka'!M31,'25.07 Nateete-Nakawuka'!M31,'26.07 Nateete-Nakawuka-24h'!M31,'27.07 Nateete-Nakawuka-24h'!M31,'28.07 Nateete-Nakawuka'!M31)</f>
        <v>75.857142857142861</v>
      </c>
      <c r="N31" s="49">
        <f>AVERAGE('22.07 Nateete-Nakawuka'!N31,'23.07 Nateete-Nakawuka'!N31,'24.07 Nateete-Nakawuka'!N31,'25.07 Nateete-Nakawuka'!N31,'26.07 Nateete-Nakawuka-24h'!N31,'27.07 Nateete-Nakawuka-24h'!N31,'28.07 Nateete-Nakawuka'!N31)</f>
        <v>0</v>
      </c>
      <c r="O31" s="31">
        <f t="shared" si="0"/>
        <v>47.857142857142861</v>
      </c>
      <c r="P31" s="31">
        <f t="shared" si="1"/>
        <v>123.71428571428572</v>
      </c>
      <c r="R31" s="1" t="s">
        <v>155</v>
      </c>
      <c r="S31" s="34">
        <f>SUM(C94:C97)</f>
        <v>7.5</v>
      </c>
      <c r="T31" s="34">
        <f t="shared" ref="T31:AD31" si="23">SUM(D94:D97)</f>
        <v>5</v>
      </c>
      <c r="U31" s="34">
        <f t="shared" si="23"/>
        <v>0.5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0.5</v>
      </c>
      <c r="AC31" s="34">
        <f t="shared" si="23"/>
        <v>108</v>
      </c>
      <c r="AD31" s="34">
        <f t="shared" si="23"/>
        <v>0</v>
      </c>
      <c r="AE31" s="31">
        <f t="shared" si="13"/>
        <v>321</v>
      </c>
      <c r="AF31" s="31">
        <f t="shared" si="13"/>
        <v>721.5</v>
      </c>
    </row>
    <row r="32" spans="2:32" ht="23.1" customHeight="1" x14ac:dyDescent="0.25">
      <c r="B32" s="24" t="s">
        <v>59</v>
      </c>
      <c r="C32" s="49">
        <f>AVERAGE('22.07 Nateete-Nakawuka'!C32,'23.07 Nateete-Nakawuka'!C32,'24.07 Nateete-Nakawuka'!C32,'25.07 Nateete-Nakawuka'!C32,'26.07 Nateete-Nakawuka-24h'!C32,'27.07 Nateete-Nakawuka-24h'!C32,'28.07 Nateete-Nakawuka'!C32)</f>
        <v>13.571428571428571</v>
      </c>
      <c r="D32" s="49">
        <f>AVERAGE('22.07 Nateete-Nakawuka'!D32,'23.07 Nateete-Nakawuka'!D32,'24.07 Nateete-Nakawuka'!D32,'25.07 Nateete-Nakawuka'!D32,'26.07 Nateete-Nakawuka-24h'!D32,'27.07 Nateete-Nakawuka-24h'!D32,'28.07 Nateete-Nakawuka'!D32)</f>
        <v>1.5714285714285714</v>
      </c>
      <c r="E32" s="49">
        <f>AVERAGE('22.07 Nateete-Nakawuka'!E32,'23.07 Nateete-Nakawuka'!E32,'24.07 Nateete-Nakawuka'!E32,'25.07 Nateete-Nakawuka'!E32,'26.07 Nateete-Nakawuka-24h'!E32,'27.07 Nateete-Nakawuka-24h'!E32,'28.07 Nateete-Nakawuka'!E32)</f>
        <v>2.5714285714285716</v>
      </c>
      <c r="F32" s="49">
        <f>AVERAGE('22.07 Nateete-Nakawuka'!F32,'23.07 Nateete-Nakawuka'!F32,'24.07 Nateete-Nakawuka'!F32,'25.07 Nateete-Nakawuka'!F32,'26.07 Nateete-Nakawuka-24h'!F32,'27.07 Nateete-Nakawuka-24h'!F32,'28.07 Nateete-Nakawuka'!F32)</f>
        <v>11</v>
      </c>
      <c r="G32" s="49">
        <f>AVERAGE('22.07 Nateete-Nakawuka'!G32,'23.07 Nateete-Nakawuka'!G32,'24.07 Nateete-Nakawuka'!G32,'25.07 Nateete-Nakawuka'!G32,'26.07 Nateete-Nakawuka-24h'!G32,'27.07 Nateete-Nakawuka-24h'!G32,'28.07 Nateete-Nakawuka'!G32)</f>
        <v>1.2857142857142858</v>
      </c>
      <c r="H32" s="49">
        <f>AVERAGE('22.07 Nateete-Nakawuka'!H32,'23.07 Nateete-Nakawuka'!H32,'24.07 Nateete-Nakawuka'!H32,'25.07 Nateete-Nakawuka'!H32,'26.07 Nateete-Nakawuka-24h'!H32,'27.07 Nateete-Nakawuka-24h'!H32,'28.07 Nateete-Nakawuka'!H32)</f>
        <v>0.2857142857142857</v>
      </c>
      <c r="I32" s="49">
        <f>AVERAGE('22.07 Nateete-Nakawuka'!I32,'23.07 Nateete-Nakawuka'!I32,'24.07 Nateete-Nakawuka'!I32,'25.07 Nateete-Nakawuka'!I32,'26.07 Nateete-Nakawuka-24h'!I32,'27.07 Nateete-Nakawuka-24h'!I32,'28.07 Nateete-Nakawuka'!I32)</f>
        <v>4.1428571428571432</v>
      </c>
      <c r="J32" s="49">
        <f>AVERAGE('22.07 Nateete-Nakawuka'!J32,'23.07 Nateete-Nakawuka'!J32,'24.07 Nateete-Nakawuka'!J32,'25.07 Nateete-Nakawuka'!J32,'26.07 Nateete-Nakawuka-24h'!J32,'27.07 Nateete-Nakawuka-24h'!J32,'28.07 Nateete-Nakawuka'!J32)</f>
        <v>0.7142857142857143</v>
      </c>
      <c r="K32" s="49">
        <f>AVERAGE('22.07 Nateete-Nakawuka'!K32,'23.07 Nateete-Nakawuka'!K32,'24.07 Nateete-Nakawuka'!K32,'25.07 Nateete-Nakawuka'!K32,'26.07 Nateete-Nakawuka-24h'!K32,'27.07 Nateete-Nakawuka-24h'!K32,'28.07 Nateete-Nakawuka'!K32)</f>
        <v>0.7142857142857143</v>
      </c>
      <c r="L32" s="49">
        <f>AVERAGE('22.07 Nateete-Nakawuka'!L32,'23.07 Nateete-Nakawuka'!L32,'24.07 Nateete-Nakawuka'!L32,'25.07 Nateete-Nakawuka'!L32,'26.07 Nateete-Nakawuka-24h'!L32,'27.07 Nateete-Nakawuka-24h'!L32,'28.07 Nateete-Nakawuka'!L32)</f>
        <v>0.5714285714285714</v>
      </c>
      <c r="M32" s="49">
        <f>AVERAGE('22.07 Nateete-Nakawuka'!M32,'23.07 Nateete-Nakawuka'!M32,'24.07 Nateete-Nakawuka'!M32,'25.07 Nateete-Nakawuka'!M32,'26.07 Nateete-Nakawuka-24h'!M32,'27.07 Nateete-Nakawuka-24h'!M32,'28.07 Nateete-Nakawuka'!M32)</f>
        <v>76</v>
      </c>
      <c r="N32" s="49">
        <f>AVERAGE('22.07 Nateete-Nakawuka'!N32,'23.07 Nateete-Nakawuka'!N32,'24.07 Nateete-Nakawuka'!N32,'25.07 Nateete-Nakawuka'!N32,'26.07 Nateete-Nakawuka-24h'!N32,'27.07 Nateete-Nakawuka-24h'!N32,'28.07 Nateete-Nakawuka'!N32)</f>
        <v>0</v>
      </c>
      <c r="O32" s="31">
        <f t="shared" si="0"/>
        <v>36.428571428571431</v>
      </c>
      <c r="P32" s="31">
        <f t="shared" si="1"/>
        <v>112.42857142857143</v>
      </c>
      <c r="R32" s="1" t="s">
        <v>156</v>
      </c>
      <c r="S32" s="34">
        <f>SUM(C98:C101)</f>
        <v>9</v>
      </c>
      <c r="T32" s="34">
        <f t="shared" ref="T32:AD32" si="24">SUM(D98:D101)</f>
        <v>9.5</v>
      </c>
      <c r="U32" s="34">
        <f t="shared" si="24"/>
        <v>0.5</v>
      </c>
      <c r="V32" s="34">
        <f t="shared" si="24"/>
        <v>4</v>
      </c>
      <c r="W32" s="34">
        <f t="shared" si="24"/>
        <v>0</v>
      </c>
      <c r="X32" s="34">
        <f t="shared" si="24"/>
        <v>0.5</v>
      </c>
      <c r="Y32" s="34">
        <f t="shared" si="24"/>
        <v>1.5</v>
      </c>
      <c r="Z32" s="34">
        <f t="shared" si="24"/>
        <v>3</v>
      </c>
      <c r="AA32" s="34">
        <f t="shared" si="24"/>
        <v>1.5</v>
      </c>
      <c r="AB32" s="34">
        <f t="shared" si="24"/>
        <v>1</v>
      </c>
      <c r="AC32" s="34">
        <f t="shared" si="24"/>
        <v>195</v>
      </c>
      <c r="AD32" s="34">
        <f t="shared" si="24"/>
        <v>0</v>
      </c>
      <c r="AE32" s="31">
        <f t="shared" si="13"/>
        <v>356</v>
      </c>
      <c r="AF32" s="31">
        <f t="shared" si="13"/>
        <v>743</v>
      </c>
    </row>
    <row r="33" spans="2:32" ht="23.1" customHeight="1" x14ac:dyDescent="0.25">
      <c r="B33" s="23" t="s">
        <v>60</v>
      </c>
      <c r="C33" s="49">
        <f>AVERAGE('22.07 Nateete-Nakawuka'!C33,'23.07 Nateete-Nakawuka'!C33,'24.07 Nateete-Nakawuka'!C33,'25.07 Nateete-Nakawuka'!C33,'26.07 Nateete-Nakawuka-24h'!C33,'27.07 Nateete-Nakawuka-24h'!C33,'28.07 Nateete-Nakawuka'!C33)</f>
        <v>12.142857142857142</v>
      </c>
      <c r="D33" s="49">
        <f>AVERAGE('22.07 Nateete-Nakawuka'!D33,'23.07 Nateete-Nakawuka'!D33,'24.07 Nateete-Nakawuka'!D33,'25.07 Nateete-Nakawuka'!D33,'26.07 Nateete-Nakawuka-24h'!D33,'27.07 Nateete-Nakawuka-24h'!D33,'28.07 Nateete-Nakawuka'!D33)</f>
        <v>1.4285714285714286</v>
      </c>
      <c r="E33" s="49">
        <f>AVERAGE('22.07 Nateete-Nakawuka'!E33,'23.07 Nateete-Nakawuka'!E33,'24.07 Nateete-Nakawuka'!E33,'25.07 Nateete-Nakawuka'!E33,'26.07 Nateete-Nakawuka-24h'!E33,'27.07 Nateete-Nakawuka-24h'!E33,'28.07 Nateete-Nakawuka'!E33)</f>
        <v>1.4285714285714286</v>
      </c>
      <c r="F33" s="49">
        <f>AVERAGE('22.07 Nateete-Nakawuka'!F33,'23.07 Nateete-Nakawuka'!F33,'24.07 Nateete-Nakawuka'!F33,'25.07 Nateete-Nakawuka'!F33,'26.07 Nateete-Nakawuka-24h'!F33,'27.07 Nateete-Nakawuka-24h'!F33,'28.07 Nateete-Nakawuka'!F33)</f>
        <v>11.857142857142858</v>
      </c>
      <c r="G33" s="49">
        <f>AVERAGE('22.07 Nateete-Nakawuka'!G33,'23.07 Nateete-Nakawuka'!G33,'24.07 Nateete-Nakawuka'!G33,'25.07 Nateete-Nakawuka'!G33,'26.07 Nateete-Nakawuka-24h'!G33,'27.07 Nateete-Nakawuka-24h'!G33,'28.07 Nateete-Nakawuka'!G33)</f>
        <v>0.14285714285714285</v>
      </c>
      <c r="H33" s="49">
        <f>AVERAGE('22.07 Nateete-Nakawuka'!H33,'23.07 Nateete-Nakawuka'!H33,'24.07 Nateete-Nakawuka'!H33,'25.07 Nateete-Nakawuka'!H33,'26.07 Nateete-Nakawuka-24h'!H33,'27.07 Nateete-Nakawuka-24h'!H33,'28.07 Nateete-Nakawuka'!H33)</f>
        <v>0.2857142857142857</v>
      </c>
      <c r="I33" s="49">
        <f>AVERAGE('22.07 Nateete-Nakawuka'!I33,'23.07 Nateete-Nakawuka'!I33,'24.07 Nateete-Nakawuka'!I33,'25.07 Nateete-Nakawuka'!I33,'26.07 Nateete-Nakawuka-24h'!I33,'27.07 Nateete-Nakawuka-24h'!I33,'28.07 Nateete-Nakawuka'!I33)</f>
        <v>3.1428571428571428</v>
      </c>
      <c r="J33" s="49">
        <f>AVERAGE('22.07 Nateete-Nakawuka'!J33,'23.07 Nateete-Nakawuka'!J33,'24.07 Nateete-Nakawuka'!J33,'25.07 Nateete-Nakawuka'!J33,'26.07 Nateete-Nakawuka-24h'!J33,'27.07 Nateete-Nakawuka-24h'!J33,'28.07 Nateete-Nakawuka'!J33)</f>
        <v>1.2857142857142858</v>
      </c>
      <c r="K33" s="49">
        <f>AVERAGE('22.07 Nateete-Nakawuka'!K33,'23.07 Nateete-Nakawuka'!K33,'24.07 Nateete-Nakawuka'!K33,'25.07 Nateete-Nakawuka'!K33,'26.07 Nateete-Nakawuka-24h'!K33,'27.07 Nateete-Nakawuka-24h'!K33,'28.07 Nateete-Nakawuka'!K33)</f>
        <v>0.8571428571428571</v>
      </c>
      <c r="L33" s="49">
        <f>AVERAGE('22.07 Nateete-Nakawuka'!L33,'23.07 Nateete-Nakawuka'!L33,'24.07 Nateete-Nakawuka'!L33,'25.07 Nateete-Nakawuka'!L33,'26.07 Nateete-Nakawuka-24h'!L33,'27.07 Nateete-Nakawuka-24h'!L33,'28.07 Nateete-Nakawuka'!L33)</f>
        <v>0.42857142857142855</v>
      </c>
      <c r="M33" s="49">
        <f>AVERAGE('22.07 Nateete-Nakawuka'!M33,'23.07 Nateete-Nakawuka'!M33,'24.07 Nateete-Nakawuka'!M33,'25.07 Nateete-Nakawuka'!M33,'26.07 Nateete-Nakawuka-24h'!M33,'27.07 Nateete-Nakawuka-24h'!M33,'28.07 Nateete-Nakawuka'!M33)</f>
        <v>69.142857142857139</v>
      </c>
      <c r="N33" s="49">
        <f>AVERAGE('22.07 Nateete-Nakawuka'!N33,'23.07 Nateete-Nakawuka'!N33,'24.07 Nateete-Nakawuka'!N33,'25.07 Nateete-Nakawuka'!N33,'26.07 Nateete-Nakawuka-24h'!N33,'27.07 Nateete-Nakawuka-24h'!N33,'28.07 Nateete-Nakawuka'!N33)</f>
        <v>0</v>
      </c>
      <c r="O33" s="31">
        <f t="shared" si="0"/>
        <v>33</v>
      </c>
      <c r="P33" s="31">
        <f t="shared" si="1"/>
        <v>102.14285714285714</v>
      </c>
      <c r="R33" s="1" t="s">
        <v>157</v>
      </c>
      <c r="S33" s="34">
        <f>SUM(C102:C105)</f>
        <v>23.5</v>
      </c>
      <c r="T33" s="34">
        <f t="shared" ref="T33:AD33" si="25">SUM(D102:D105)</f>
        <v>14.5</v>
      </c>
      <c r="U33" s="34">
        <f t="shared" si="25"/>
        <v>4</v>
      </c>
      <c r="V33" s="34">
        <f t="shared" si="25"/>
        <v>18.5</v>
      </c>
      <c r="W33" s="34">
        <f t="shared" si="25"/>
        <v>0.5</v>
      </c>
      <c r="X33" s="34">
        <f t="shared" si="25"/>
        <v>0.5</v>
      </c>
      <c r="Y33" s="34">
        <f t="shared" si="25"/>
        <v>5.5</v>
      </c>
      <c r="Z33" s="34">
        <f t="shared" si="25"/>
        <v>6.5</v>
      </c>
      <c r="AA33" s="34">
        <f t="shared" si="25"/>
        <v>1.5</v>
      </c>
      <c r="AB33" s="34">
        <f t="shared" si="25"/>
        <v>0</v>
      </c>
      <c r="AC33" s="34">
        <f t="shared" si="25"/>
        <v>398.5</v>
      </c>
      <c r="AD33" s="34">
        <f t="shared" si="25"/>
        <v>0</v>
      </c>
      <c r="AE33" s="31">
        <f t="shared" si="13"/>
        <v>372</v>
      </c>
      <c r="AF33" s="31">
        <f t="shared" si="13"/>
        <v>734</v>
      </c>
    </row>
    <row r="34" spans="2:32" ht="23.1" customHeight="1" x14ac:dyDescent="0.25">
      <c r="B34" s="24" t="s">
        <v>61</v>
      </c>
      <c r="C34" s="49">
        <f>AVERAGE('22.07 Nateete-Nakawuka'!C34,'23.07 Nateete-Nakawuka'!C34,'24.07 Nateete-Nakawuka'!C34,'25.07 Nateete-Nakawuka'!C34,'26.07 Nateete-Nakawuka-24h'!C34,'27.07 Nateete-Nakawuka-24h'!C34,'28.07 Nateete-Nakawuka'!C34)</f>
        <v>12.571428571428571</v>
      </c>
      <c r="D34" s="49">
        <f>AVERAGE('22.07 Nateete-Nakawuka'!D34,'23.07 Nateete-Nakawuka'!D34,'24.07 Nateete-Nakawuka'!D34,'25.07 Nateete-Nakawuka'!D34,'26.07 Nateete-Nakawuka-24h'!D34,'27.07 Nateete-Nakawuka-24h'!D34,'28.07 Nateete-Nakawuka'!D34)</f>
        <v>2.8571428571428572</v>
      </c>
      <c r="E34" s="49">
        <f>AVERAGE('22.07 Nateete-Nakawuka'!E34,'23.07 Nateete-Nakawuka'!E34,'24.07 Nateete-Nakawuka'!E34,'25.07 Nateete-Nakawuka'!E34,'26.07 Nateete-Nakawuka-24h'!E34,'27.07 Nateete-Nakawuka-24h'!E34,'28.07 Nateete-Nakawuka'!E34)</f>
        <v>1.2857142857142858</v>
      </c>
      <c r="F34" s="49">
        <f>AVERAGE('22.07 Nateete-Nakawuka'!F34,'23.07 Nateete-Nakawuka'!F34,'24.07 Nateete-Nakawuka'!F34,'25.07 Nateete-Nakawuka'!F34,'26.07 Nateete-Nakawuka-24h'!F34,'27.07 Nateete-Nakawuka-24h'!F34,'28.07 Nateete-Nakawuka'!F34)</f>
        <v>13.714285714285714</v>
      </c>
      <c r="G34" s="49">
        <f>AVERAGE('22.07 Nateete-Nakawuka'!G34,'23.07 Nateete-Nakawuka'!G34,'24.07 Nateete-Nakawuka'!G34,'25.07 Nateete-Nakawuka'!G34,'26.07 Nateete-Nakawuka-24h'!G34,'27.07 Nateete-Nakawuka-24h'!G34,'28.07 Nateete-Nakawuka'!G34)</f>
        <v>1</v>
      </c>
      <c r="H34" s="49">
        <f>AVERAGE('22.07 Nateete-Nakawuka'!H34,'23.07 Nateete-Nakawuka'!H34,'24.07 Nateete-Nakawuka'!H34,'25.07 Nateete-Nakawuka'!H34,'26.07 Nateete-Nakawuka-24h'!H34,'27.07 Nateete-Nakawuka-24h'!H34,'28.07 Nateete-Nakawuka'!H34)</f>
        <v>0.8571428571428571</v>
      </c>
      <c r="I34" s="49">
        <f>AVERAGE('22.07 Nateete-Nakawuka'!I34,'23.07 Nateete-Nakawuka'!I34,'24.07 Nateete-Nakawuka'!I34,'25.07 Nateete-Nakawuka'!I34,'26.07 Nateete-Nakawuka-24h'!I34,'27.07 Nateete-Nakawuka-24h'!I34,'28.07 Nateete-Nakawuka'!I34)</f>
        <v>4</v>
      </c>
      <c r="J34" s="49">
        <f>AVERAGE('22.07 Nateete-Nakawuka'!J34,'23.07 Nateete-Nakawuka'!J34,'24.07 Nateete-Nakawuka'!J34,'25.07 Nateete-Nakawuka'!J34,'26.07 Nateete-Nakawuka-24h'!J34,'27.07 Nateete-Nakawuka-24h'!J34,'28.07 Nateete-Nakawuka'!J34)</f>
        <v>2.1428571428571428</v>
      </c>
      <c r="K34" s="49">
        <f>AVERAGE('22.07 Nateete-Nakawuka'!K34,'23.07 Nateete-Nakawuka'!K34,'24.07 Nateete-Nakawuka'!K34,'25.07 Nateete-Nakawuka'!K34,'26.07 Nateete-Nakawuka-24h'!K34,'27.07 Nateete-Nakawuka-24h'!K34,'28.07 Nateete-Nakawuka'!K34)</f>
        <v>0.7142857142857143</v>
      </c>
      <c r="L34" s="49">
        <f>AVERAGE('22.07 Nateete-Nakawuka'!L34,'23.07 Nateete-Nakawuka'!L34,'24.07 Nateete-Nakawuka'!L34,'25.07 Nateete-Nakawuka'!L34,'26.07 Nateete-Nakawuka-24h'!L34,'27.07 Nateete-Nakawuka-24h'!L34,'28.07 Nateete-Nakawuka'!L34)</f>
        <v>0.42857142857142855</v>
      </c>
      <c r="M34" s="49">
        <f>AVERAGE('22.07 Nateete-Nakawuka'!M34,'23.07 Nateete-Nakawuka'!M34,'24.07 Nateete-Nakawuka'!M34,'25.07 Nateete-Nakawuka'!M34,'26.07 Nateete-Nakawuka-24h'!M34,'27.07 Nateete-Nakawuka-24h'!M34,'28.07 Nateete-Nakawuka'!M34)</f>
        <v>83.428571428571431</v>
      </c>
      <c r="N34" s="49">
        <f>AVERAGE('22.07 Nateete-Nakawuka'!N34,'23.07 Nateete-Nakawuka'!N34,'24.07 Nateete-Nakawuka'!N34,'25.07 Nateete-Nakawuka'!N34,'26.07 Nateete-Nakawuka-24h'!N34,'27.07 Nateete-Nakawuka-24h'!N34,'28.07 Nateete-Nakawuka'!N34)</f>
        <v>0.14285714285714285</v>
      </c>
      <c r="O34" s="31">
        <f t="shared" si="0"/>
        <v>39.714285714285722</v>
      </c>
      <c r="P34" s="31">
        <f t="shared" si="1"/>
        <v>123.14285714285714</v>
      </c>
      <c r="R34" s="38" t="s">
        <v>90</v>
      </c>
      <c r="S34" s="39">
        <f t="shared" ref="S34:AF34" si="26">MAX(S10:S12)</f>
        <v>44.571428571428569</v>
      </c>
      <c r="T34" s="39">
        <f t="shared" si="26"/>
        <v>8</v>
      </c>
      <c r="U34" s="39">
        <f t="shared" si="26"/>
        <v>7.5714285714285712</v>
      </c>
      <c r="V34" s="39">
        <f t="shared" si="26"/>
        <v>64.714285714285708</v>
      </c>
      <c r="W34" s="39">
        <f t="shared" si="26"/>
        <v>1.1428571428571428</v>
      </c>
      <c r="X34" s="39">
        <f t="shared" si="26"/>
        <v>1.857142857142857</v>
      </c>
      <c r="Y34" s="39">
        <f t="shared" si="26"/>
        <v>20.428571428571427</v>
      </c>
      <c r="Z34" s="39">
        <f t="shared" si="26"/>
        <v>8.1428571428571423</v>
      </c>
      <c r="AA34" s="39">
        <f t="shared" si="26"/>
        <v>3.2857142857142856</v>
      </c>
      <c r="AB34" s="39">
        <f t="shared" si="26"/>
        <v>1</v>
      </c>
      <c r="AC34" s="39">
        <f t="shared" si="26"/>
        <v>403.85714285714289</v>
      </c>
      <c r="AD34" s="39">
        <f t="shared" si="26"/>
        <v>0</v>
      </c>
      <c r="AE34" s="40">
        <f t="shared" si="26"/>
        <v>156.57142857142856</v>
      </c>
      <c r="AF34" s="40">
        <f t="shared" si="26"/>
        <v>560.42857142857156</v>
      </c>
    </row>
    <row r="35" spans="2:32" ht="23.1" customHeight="1" x14ac:dyDescent="0.25">
      <c r="B35" s="24" t="s">
        <v>62</v>
      </c>
      <c r="C35" s="49">
        <f>AVERAGE('22.07 Nateete-Nakawuka'!C35,'23.07 Nateete-Nakawuka'!C35,'24.07 Nateete-Nakawuka'!C35,'25.07 Nateete-Nakawuka'!C35,'26.07 Nateete-Nakawuka-24h'!C35,'27.07 Nateete-Nakawuka-24h'!C35,'28.07 Nateete-Nakawuka'!C35)</f>
        <v>11.285714285714286</v>
      </c>
      <c r="D35" s="49">
        <f>AVERAGE('22.07 Nateete-Nakawuka'!D35,'23.07 Nateete-Nakawuka'!D35,'24.07 Nateete-Nakawuka'!D35,'25.07 Nateete-Nakawuka'!D35,'26.07 Nateete-Nakawuka-24h'!D35,'27.07 Nateete-Nakawuka-24h'!D35,'28.07 Nateete-Nakawuka'!D35)</f>
        <v>2.5714285714285716</v>
      </c>
      <c r="E35" s="49">
        <f>AVERAGE('22.07 Nateete-Nakawuka'!E35,'23.07 Nateete-Nakawuka'!E35,'24.07 Nateete-Nakawuka'!E35,'25.07 Nateete-Nakawuka'!E35,'26.07 Nateete-Nakawuka-24h'!E35,'27.07 Nateete-Nakawuka-24h'!E35,'28.07 Nateete-Nakawuka'!E35)</f>
        <v>2</v>
      </c>
      <c r="F35" s="49">
        <f>AVERAGE('22.07 Nateete-Nakawuka'!F35,'23.07 Nateete-Nakawuka'!F35,'24.07 Nateete-Nakawuka'!F35,'25.07 Nateete-Nakawuka'!F35,'26.07 Nateete-Nakawuka-24h'!F35,'27.07 Nateete-Nakawuka-24h'!F35,'28.07 Nateete-Nakawuka'!F35)</f>
        <v>10</v>
      </c>
      <c r="G35" s="49">
        <f>AVERAGE('22.07 Nateete-Nakawuka'!G35,'23.07 Nateete-Nakawuka'!G35,'24.07 Nateete-Nakawuka'!G35,'25.07 Nateete-Nakawuka'!G35,'26.07 Nateete-Nakawuka-24h'!G35,'27.07 Nateete-Nakawuka-24h'!G35,'28.07 Nateete-Nakawuka'!G35)</f>
        <v>0.5714285714285714</v>
      </c>
      <c r="H35" s="49">
        <f>AVERAGE('22.07 Nateete-Nakawuka'!H35,'23.07 Nateete-Nakawuka'!H35,'24.07 Nateete-Nakawuka'!H35,'25.07 Nateete-Nakawuka'!H35,'26.07 Nateete-Nakawuka-24h'!H35,'27.07 Nateete-Nakawuka-24h'!H35,'28.07 Nateete-Nakawuka'!H35)</f>
        <v>0.2857142857142857</v>
      </c>
      <c r="I35" s="49">
        <f>AVERAGE('22.07 Nateete-Nakawuka'!I35,'23.07 Nateete-Nakawuka'!I35,'24.07 Nateete-Nakawuka'!I35,'25.07 Nateete-Nakawuka'!I35,'26.07 Nateete-Nakawuka-24h'!I35,'27.07 Nateete-Nakawuka-24h'!I35,'28.07 Nateete-Nakawuka'!I35)</f>
        <v>4.8571428571428568</v>
      </c>
      <c r="J35" s="49">
        <f>AVERAGE('22.07 Nateete-Nakawuka'!J35,'23.07 Nateete-Nakawuka'!J35,'24.07 Nateete-Nakawuka'!J35,'25.07 Nateete-Nakawuka'!J35,'26.07 Nateete-Nakawuka-24h'!J35,'27.07 Nateete-Nakawuka-24h'!J35,'28.07 Nateete-Nakawuka'!J35)</f>
        <v>1</v>
      </c>
      <c r="K35" s="49">
        <f>AVERAGE('22.07 Nateete-Nakawuka'!K35,'23.07 Nateete-Nakawuka'!K35,'24.07 Nateete-Nakawuka'!K35,'25.07 Nateete-Nakawuka'!K35,'26.07 Nateete-Nakawuka-24h'!K35,'27.07 Nateete-Nakawuka-24h'!K35,'28.07 Nateete-Nakawuka'!K35)</f>
        <v>1</v>
      </c>
      <c r="L35" s="49">
        <f>AVERAGE('22.07 Nateete-Nakawuka'!L35,'23.07 Nateete-Nakawuka'!L35,'24.07 Nateete-Nakawuka'!L35,'25.07 Nateete-Nakawuka'!L35,'26.07 Nateete-Nakawuka-24h'!L35,'27.07 Nateete-Nakawuka-24h'!L35,'28.07 Nateete-Nakawuka'!L35)</f>
        <v>0.14285714285714285</v>
      </c>
      <c r="M35" s="49">
        <f>AVERAGE('22.07 Nateete-Nakawuka'!M35,'23.07 Nateete-Nakawuka'!M35,'24.07 Nateete-Nakawuka'!M35,'25.07 Nateete-Nakawuka'!M35,'26.07 Nateete-Nakawuka-24h'!M35,'27.07 Nateete-Nakawuka-24h'!M35,'28.07 Nateete-Nakawuka'!M35)</f>
        <v>81.142857142857139</v>
      </c>
      <c r="N35" s="49">
        <f>AVERAGE('22.07 Nateete-Nakawuka'!N35,'23.07 Nateete-Nakawuka'!N35,'24.07 Nateete-Nakawuka'!N35,'25.07 Nateete-Nakawuka'!N35,'26.07 Nateete-Nakawuka-24h'!N35,'27.07 Nateete-Nakawuka-24h'!N35,'28.07 Nateete-Nakawuka'!N35)</f>
        <v>0</v>
      </c>
      <c r="O35" s="31">
        <f t="shared" si="0"/>
        <v>33.714285714285715</v>
      </c>
      <c r="P35" s="31">
        <f t="shared" si="1"/>
        <v>114.85714285714286</v>
      </c>
      <c r="R35" s="38" t="s">
        <v>91</v>
      </c>
      <c r="S35" s="39">
        <f t="shared" ref="S35:AF35" si="27">MAX(S13:S18)</f>
        <v>77.571428571428569</v>
      </c>
      <c r="T35" s="39">
        <f t="shared" si="27"/>
        <v>14.428571428571427</v>
      </c>
      <c r="U35" s="39">
        <f t="shared" si="27"/>
        <v>13</v>
      </c>
      <c r="V35" s="39">
        <f t="shared" si="27"/>
        <v>56.285714285714285</v>
      </c>
      <c r="W35" s="39">
        <f t="shared" si="27"/>
        <v>6.8571428571428568</v>
      </c>
      <c r="X35" s="39">
        <f t="shared" si="27"/>
        <v>4.2857142857142856</v>
      </c>
      <c r="Y35" s="39">
        <f t="shared" si="27"/>
        <v>27.428571428571431</v>
      </c>
      <c r="Z35" s="39">
        <f t="shared" si="27"/>
        <v>9.4285714285714288</v>
      </c>
      <c r="AA35" s="39">
        <f t="shared" si="27"/>
        <v>3.7142857142857144</v>
      </c>
      <c r="AB35" s="39">
        <f t="shared" si="27"/>
        <v>1.857142857142857</v>
      </c>
      <c r="AC35" s="39">
        <f t="shared" si="27"/>
        <v>358.85714285714283</v>
      </c>
      <c r="AD35" s="39">
        <f t="shared" si="27"/>
        <v>0.14285714285714285</v>
      </c>
      <c r="AE35" s="40">
        <f t="shared" si="27"/>
        <v>207.57142857142858</v>
      </c>
      <c r="AF35" s="40">
        <f t="shared" si="27"/>
        <v>542.85714285714289</v>
      </c>
    </row>
    <row r="36" spans="2:32" ht="23.1" customHeight="1" x14ac:dyDescent="0.25">
      <c r="B36" s="24" t="s">
        <v>63</v>
      </c>
      <c r="C36" s="49">
        <f>AVERAGE('22.07 Nateete-Nakawuka'!C36,'23.07 Nateete-Nakawuka'!C36,'24.07 Nateete-Nakawuka'!C36,'25.07 Nateete-Nakawuka'!C36,'26.07 Nateete-Nakawuka-24h'!C36,'27.07 Nateete-Nakawuka-24h'!C36,'28.07 Nateete-Nakawuka'!C36)</f>
        <v>10.142857142857142</v>
      </c>
      <c r="D36" s="49">
        <f>AVERAGE('22.07 Nateete-Nakawuka'!D36,'23.07 Nateete-Nakawuka'!D36,'24.07 Nateete-Nakawuka'!D36,'25.07 Nateete-Nakawuka'!D36,'26.07 Nateete-Nakawuka-24h'!D36,'27.07 Nateete-Nakawuka-24h'!D36,'28.07 Nateete-Nakawuka'!D36)</f>
        <v>2.5714285714285716</v>
      </c>
      <c r="E36" s="49">
        <f>AVERAGE('22.07 Nateete-Nakawuka'!E36,'23.07 Nateete-Nakawuka'!E36,'24.07 Nateete-Nakawuka'!E36,'25.07 Nateete-Nakawuka'!E36,'26.07 Nateete-Nakawuka-24h'!E36,'27.07 Nateete-Nakawuka-24h'!E36,'28.07 Nateete-Nakawuka'!E36)</f>
        <v>1.8571428571428572</v>
      </c>
      <c r="F36" s="49">
        <f>AVERAGE('22.07 Nateete-Nakawuka'!F36,'23.07 Nateete-Nakawuka'!F36,'24.07 Nateete-Nakawuka'!F36,'25.07 Nateete-Nakawuka'!F36,'26.07 Nateete-Nakawuka-24h'!F36,'27.07 Nateete-Nakawuka-24h'!F36,'28.07 Nateete-Nakawuka'!F36)</f>
        <v>12.428571428571429</v>
      </c>
      <c r="G36" s="49">
        <f>AVERAGE('22.07 Nateete-Nakawuka'!G36,'23.07 Nateete-Nakawuka'!G36,'24.07 Nateete-Nakawuka'!G36,'25.07 Nateete-Nakawuka'!G36,'26.07 Nateete-Nakawuka-24h'!G36,'27.07 Nateete-Nakawuka-24h'!G36,'28.07 Nateete-Nakawuka'!G36)</f>
        <v>0.7142857142857143</v>
      </c>
      <c r="H36" s="49">
        <f>AVERAGE('22.07 Nateete-Nakawuka'!H36,'23.07 Nateete-Nakawuka'!H36,'24.07 Nateete-Nakawuka'!H36,'25.07 Nateete-Nakawuka'!H36,'26.07 Nateete-Nakawuka-24h'!H36,'27.07 Nateete-Nakawuka-24h'!H36,'28.07 Nateete-Nakawuka'!H36)</f>
        <v>0.8571428571428571</v>
      </c>
      <c r="I36" s="49">
        <f>AVERAGE('22.07 Nateete-Nakawuka'!I36,'23.07 Nateete-Nakawuka'!I36,'24.07 Nateete-Nakawuka'!I36,'25.07 Nateete-Nakawuka'!I36,'26.07 Nateete-Nakawuka-24h'!I36,'27.07 Nateete-Nakawuka-24h'!I36,'28.07 Nateete-Nakawuka'!I36)</f>
        <v>4.8571428571428568</v>
      </c>
      <c r="J36" s="49">
        <f>AVERAGE('22.07 Nateete-Nakawuka'!J36,'23.07 Nateete-Nakawuka'!J36,'24.07 Nateete-Nakawuka'!J36,'25.07 Nateete-Nakawuka'!J36,'26.07 Nateete-Nakawuka-24h'!J36,'27.07 Nateete-Nakawuka-24h'!J36,'28.07 Nateete-Nakawuka'!J36)</f>
        <v>1.5714285714285714</v>
      </c>
      <c r="K36" s="49">
        <f>AVERAGE('22.07 Nateete-Nakawuka'!K36,'23.07 Nateete-Nakawuka'!K36,'24.07 Nateete-Nakawuka'!K36,'25.07 Nateete-Nakawuka'!K36,'26.07 Nateete-Nakawuka-24h'!K36,'27.07 Nateete-Nakawuka-24h'!K36,'28.07 Nateete-Nakawuka'!K36)</f>
        <v>1.4285714285714286</v>
      </c>
      <c r="L36" s="49">
        <f>AVERAGE('22.07 Nateete-Nakawuka'!L36,'23.07 Nateete-Nakawuka'!L36,'24.07 Nateete-Nakawuka'!L36,'25.07 Nateete-Nakawuka'!L36,'26.07 Nateete-Nakawuka-24h'!L36,'27.07 Nateete-Nakawuka-24h'!L36,'28.07 Nateete-Nakawuka'!L36)</f>
        <v>0.14285714285714285</v>
      </c>
      <c r="M36" s="49">
        <f>AVERAGE('22.07 Nateete-Nakawuka'!M36,'23.07 Nateete-Nakawuka'!M36,'24.07 Nateete-Nakawuka'!M36,'25.07 Nateete-Nakawuka'!M36,'26.07 Nateete-Nakawuka-24h'!M36,'27.07 Nateete-Nakawuka-24h'!M36,'28.07 Nateete-Nakawuka'!M36)</f>
        <v>73.428571428571431</v>
      </c>
      <c r="N36" s="49">
        <f>AVERAGE('22.07 Nateete-Nakawuka'!N36,'23.07 Nateete-Nakawuka'!N36,'24.07 Nateete-Nakawuka'!N36,'25.07 Nateete-Nakawuka'!N36,'26.07 Nateete-Nakawuka-24h'!N36,'27.07 Nateete-Nakawuka-24h'!N36,'28.07 Nateete-Nakawuka'!N36)</f>
        <v>0</v>
      </c>
      <c r="O36" s="31">
        <f t="shared" si="0"/>
        <v>36.571428571428577</v>
      </c>
      <c r="P36" s="31">
        <f t="shared" si="1"/>
        <v>110</v>
      </c>
      <c r="R36" s="38" t="s">
        <v>92</v>
      </c>
      <c r="S36" s="39">
        <f t="shared" ref="S36:AF36" si="28">MAX(S19:S21)</f>
        <v>93.428571428571431</v>
      </c>
      <c r="T36" s="39">
        <f t="shared" si="28"/>
        <v>24</v>
      </c>
      <c r="U36" s="39">
        <f t="shared" si="28"/>
        <v>14.142857142857142</v>
      </c>
      <c r="V36" s="39">
        <f t="shared" si="28"/>
        <v>105.57142857142857</v>
      </c>
      <c r="W36" s="39">
        <f t="shared" si="28"/>
        <v>3.5714285714285716</v>
      </c>
      <c r="X36" s="39">
        <f t="shared" si="28"/>
        <v>4.1428571428571423</v>
      </c>
      <c r="Y36" s="39">
        <f t="shared" si="28"/>
        <v>25.285714285714288</v>
      </c>
      <c r="Z36" s="39">
        <f t="shared" si="28"/>
        <v>9.2857142857142847</v>
      </c>
      <c r="AA36" s="39">
        <f t="shared" si="28"/>
        <v>3.4285714285714279</v>
      </c>
      <c r="AB36" s="39">
        <f t="shared" si="28"/>
        <v>1.8571428571428568</v>
      </c>
      <c r="AC36" s="39">
        <f t="shared" si="28"/>
        <v>354.57142857142856</v>
      </c>
      <c r="AD36" s="39">
        <f t="shared" si="28"/>
        <v>0</v>
      </c>
      <c r="AE36" s="40">
        <f t="shared" si="28"/>
        <v>273.71428571428572</v>
      </c>
      <c r="AF36" s="40">
        <f t="shared" si="28"/>
        <v>628.28571428571433</v>
      </c>
    </row>
    <row r="37" spans="2:32" ht="23.1" customHeight="1" x14ac:dyDescent="0.25">
      <c r="B37" s="23" t="s">
        <v>64</v>
      </c>
      <c r="C37" s="49">
        <f>AVERAGE('22.07 Nateete-Nakawuka'!C37,'23.07 Nateete-Nakawuka'!C37,'24.07 Nateete-Nakawuka'!C37,'25.07 Nateete-Nakawuka'!C37,'26.07 Nateete-Nakawuka-24h'!C37,'27.07 Nateete-Nakawuka-24h'!C37,'28.07 Nateete-Nakawuka'!C37)</f>
        <v>14</v>
      </c>
      <c r="D37" s="49">
        <f>AVERAGE('22.07 Nateete-Nakawuka'!D37,'23.07 Nateete-Nakawuka'!D37,'24.07 Nateete-Nakawuka'!D37,'25.07 Nateete-Nakawuka'!D37,'26.07 Nateete-Nakawuka-24h'!D37,'27.07 Nateete-Nakawuka-24h'!D37,'28.07 Nateete-Nakawuka'!D37)</f>
        <v>2.5714285714285716</v>
      </c>
      <c r="E37" s="49">
        <f>AVERAGE('22.07 Nateete-Nakawuka'!E37,'23.07 Nateete-Nakawuka'!E37,'24.07 Nateete-Nakawuka'!E37,'25.07 Nateete-Nakawuka'!E37,'26.07 Nateete-Nakawuka-24h'!E37,'27.07 Nateete-Nakawuka-24h'!E37,'28.07 Nateete-Nakawuka'!E37)</f>
        <v>2.8571428571428572</v>
      </c>
      <c r="F37" s="49">
        <f>AVERAGE('22.07 Nateete-Nakawuka'!F37,'23.07 Nateete-Nakawuka'!F37,'24.07 Nateete-Nakawuka'!F37,'25.07 Nateete-Nakawuka'!F37,'26.07 Nateete-Nakawuka-24h'!F37,'27.07 Nateete-Nakawuka-24h'!F37,'28.07 Nateete-Nakawuka'!F37)</f>
        <v>11</v>
      </c>
      <c r="G37" s="49">
        <f>AVERAGE('22.07 Nateete-Nakawuka'!G37,'23.07 Nateete-Nakawuka'!G37,'24.07 Nateete-Nakawuka'!G37,'25.07 Nateete-Nakawuka'!G37,'26.07 Nateete-Nakawuka-24h'!G37,'27.07 Nateete-Nakawuka-24h'!G37,'28.07 Nateete-Nakawuka'!G37)</f>
        <v>0.42857142857142855</v>
      </c>
      <c r="H37" s="49">
        <f>AVERAGE('22.07 Nateete-Nakawuka'!H37,'23.07 Nateete-Nakawuka'!H37,'24.07 Nateete-Nakawuka'!H37,'25.07 Nateete-Nakawuka'!H37,'26.07 Nateete-Nakawuka-24h'!H37,'27.07 Nateete-Nakawuka-24h'!H37,'28.07 Nateete-Nakawuka'!H37)</f>
        <v>0.7142857142857143</v>
      </c>
      <c r="I37" s="49">
        <f>AVERAGE('22.07 Nateete-Nakawuka'!I37,'23.07 Nateete-Nakawuka'!I37,'24.07 Nateete-Nakawuka'!I37,'25.07 Nateete-Nakawuka'!I37,'26.07 Nateete-Nakawuka-24h'!I37,'27.07 Nateete-Nakawuka-24h'!I37,'28.07 Nateete-Nakawuka'!I37)</f>
        <v>4.4285714285714288</v>
      </c>
      <c r="J37" s="49">
        <f>AVERAGE('22.07 Nateete-Nakawuka'!J37,'23.07 Nateete-Nakawuka'!J37,'24.07 Nateete-Nakawuka'!J37,'25.07 Nateete-Nakawuka'!J37,'26.07 Nateete-Nakawuka-24h'!J37,'27.07 Nateete-Nakawuka-24h'!J37,'28.07 Nateete-Nakawuka'!J37)</f>
        <v>1.5714285714285714</v>
      </c>
      <c r="K37" s="49">
        <f>AVERAGE('22.07 Nateete-Nakawuka'!K37,'23.07 Nateete-Nakawuka'!K37,'24.07 Nateete-Nakawuka'!K37,'25.07 Nateete-Nakawuka'!K37,'26.07 Nateete-Nakawuka-24h'!K37,'27.07 Nateete-Nakawuka-24h'!K37,'28.07 Nateete-Nakawuka'!K37)</f>
        <v>0.5714285714285714</v>
      </c>
      <c r="L37" s="49">
        <f>AVERAGE('22.07 Nateete-Nakawuka'!L37,'23.07 Nateete-Nakawuka'!L37,'24.07 Nateete-Nakawuka'!L37,'25.07 Nateete-Nakawuka'!L37,'26.07 Nateete-Nakawuka-24h'!L37,'27.07 Nateete-Nakawuka-24h'!L37,'28.07 Nateete-Nakawuka'!L37)</f>
        <v>0.2857142857142857</v>
      </c>
      <c r="M37" s="49">
        <f>AVERAGE('22.07 Nateete-Nakawuka'!M37,'23.07 Nateete-Nakawuka'!M37,'24.07 Nateete-Nakawuka'!M37,'25.07 Nateete-Nakawuka'!M37,'26.07 Nateete-Nakawuka-24h'!M37,'27.07 Nateete-Nakawuka-24h'!M37,'28.07 Nateete-Nakawuka'!M37)</f>
        <v>73.857142857142861</v>
      </c>
      <c r="N37" s="49">
        <f>AVERAGE('22.07 Nateete-Nakawuka'!N37,'23.07 Nateete-Nakawuka'!N37,'24.07 Nateete-Nakawuka'!N37,'25.07 Nateete-Nakawuka'!N37,'26.07 Nateete-Nakawuka-24h'!N37,'27.07 Nateete-Nakawuka-24h'!N37,'28.07 Nateete-Nakawuka'!N37)</f>
        <v>0</v>
      </c>
      <c r="O37" s="31">
        <f t="shared" si="0"/>
        <v>38.428571428571423</v>
      </c>
      <c r="P37" s="31">
        <f t="shared" si="1"/>
        <v>112.28571428571428</v>
      </c>
      <c r="R37" s="37" t="s">
        <v>85</v>
      </c>
      <c r="S37" s="35">
        <f t="shared" ref="S37:AF37" si="29">SUM(S10:S12)</f>
        <v>107.14285714285714</v>
      </c>
      <c r="T37" s="16">
        <f t="shared" si="29"/>
        <v>21.142857142857142</v>
      </c>
      <c r="U37" s="16">
        <f t="shared" si="29"/>
        <v>18.571428571428569</v>
      </c>
      <c r="V37" s="16">
        <f t="shared" si="29"/>
        <v>174.14285714285714</v>
      </c>
      <c r="W37" s="16">
        <f t="shared" si="29"/>
        <v>3</v>
      </c>
      <c r="X37" s="16">
        <f t="shared" si="29"/>
        <v>3.2857142857142856</v>
      </c>
      <c r="Y37" s="16">
        <f t="shared" si="29"/>
        <v>44</v>
      </c>
      <c r="Z37" s="16">
        <f t="shared" si="29"/>
        <v>20.857142857142858</v>
      </c>
      <c r="AA37" s="16">
        <f t="shared" si="29"/>
        <v>5.1428571428571423</v>
      </c>
      <c r="AB37" s="16">
        <f t="shared" si="29"/>
        <v>1.8571428571428572</v>
      </c>
      <c r="AC37" s="16">
        <f t="shared" si="29"/>
        <v>1119.5714285714287</v>
      </c>
      <c r="AD37" s="16">
        <f t="shared" si="29"/>
        <v>0</v>
      </c>
      <c r="AE37" s="32">
        <f t="shared" si="29"/>
        <v>399.14285714285711</v>
      </c>
      <c r="AF37" s="32">
        <f t="shared" si="29"/>
        <v>1518.7142857142858</v>
      </c>
    </row>
    <row r="38" spans="2:32" ht="23.1" customHeight="1" x14ac:dyDescent="0.25">
      <c r="B38" s="24" t="s">
        <v>65</v>
      </c>
      <c r="C38" s="49">
        <f>AVERAGE('22.07 Nateete-Nakawuka'!C38,'23.07 Nateete-Nakawuka'!C38,'24.07 Nateete-Nakawuka'!C38,'25.07 Nateete-Nakawuka'!C38,'26.07 Nateete-Nakawuka-24h'!C38,'27.07 Nateete-Nakawuka-24h'!C38,'28.07 Nateete-Nakawuka'!C38)</f>
        <v>17.285714285714285</v>
      </c>
      <c r="D38" s="49">
        <f>AVERAGE('22.07 Nateete-Nakawuka'!D38,'23.07 Nateete-Nakawuka'!D38,'24.07 Nateete-Nakawuka'!D38,'25.07 Nateete-Nakawuka'!D38,'26.07 Nateete-Nakawuka-24h'!D38,'27.07 Nateete-Nakawuka-24h'!D38,'28.07 Nateete-Nakawuka'!D38)</f>
        <v>3.8571428571428572</v>
      </c>
      <c r="E38" s="49">
        <f>AVERAGE('22.07 Nateete-Nakawuka'!E38,'23.07 Nateete-Nakawuka'!E38,'24.07 Nateete-Nakawuka'!E38,'25.07 Nateete-Nakawuka'!E38,'26.07 Nateete-Nakawuka-24h'!E38,'27.07 Nateete-Nakawuka-24h'!E38,'28.07 Nateete-Nakawuka'!E38)</f>
        <v>3.4285714285714284</v>
      </c>
      <c r="F38" s="49">
        <f>AVERAGE('22.07 Nateete-Nakawuka'!F38,'23.07 Nateete-Nakawuka'!F38,'24.07 Nateete-Nakawuka'!F38,'25.07 Nateete-Nakawuka'!F38,'26.07 Nateete-Nakawuka-24h'!F38,'27.07 Nateete-Nakawuka-24h'!F38,'28.07 Nateete-Nakawuka'!F38)</f>
        <v>17</v>
      </c>
      <c r="G38" s="49">
        <f>AVERAGE('22.07 Nateete-Nakawuka'!G38,'23.07 Nateete-Nakawuka'!G38,'24.07 Nateete-Nakawuka'!G38,'25.07 Nateete-Nakawuka'!G38,'26.07 Nateete-Nakawuka-24h'!G38,'27.07 Nateete-Nakawuka-24h'!G38,'28.07 Nateete-Nakawuka'!G38)</f>
        <v>1</v>
      </c>
      <c r="H38" s="49">
        <f>AVERAGE('22.07 Nateete-Nakawuka'!H38,'23.07 Nateete-Nakawuka'!H38,'24.07 Nateete-Nakawuka'!H38,'25.07 Nateete-Nakawuka'!H38,'26.07 Nateete-Nakawuka-24h'!H38,'27.07 Nateete-Nakawuka-24h'!H38,'28.07 Nateete-Nakawuka'!H38)</f>
        <v>0.5714285714285714</v>
      </c>
      <c r="I38" s="49">
        <f>AVERAGE('22.07 Nateete-Nakawuka'!I38,'23.07 Nateete-Nakawuka'!I38,'24.07 Nateete-Nakawuka'!I38,'25.07 Nateete-Nakawuka'!I38,'26.07 Nateete-Nakawuka-24h'!I38,'27.07 Nateete-Nakawuka-24h'!I38,'28.07 Nateete-Nakawuka'!I38)</f>
        <v>7.7142857142857144</v>
      </c>
      <c r="J38" s="49">
        <f>AVERAGE('22.07 Nateete-Nakawuka'!J38,'23.07 Nateete-Nakawuka'!J38,'24.07 Nateete-Nakawuka'!J38,'25.07 Nateete-Nakawuka'!J38,'26.07 Nateete-Nakawuka-24h'!J38,'27.07 Nateete-Nakawuka-24h'!J38,'28.07 Nateete-Nakawuka'!J38)</f>
        <v>2.4285714285714284</v>
      </c>
      <c r="K38" s="49">
        <f>AVERAGE('22.07 Nateete-Nakawuka'!K38,'23.07 Nateete-Nakawuka'!K38,'24.07 Nateete-Nakawuka'!K38,'25.07 Nateete-Nakawuka'!K38,'26.07 Nateete-Nakawuka-24h'!K38,'27.07 Nateete-Nakawuka-24h'!K38,'28.07 Nateete-Nakawuka'!K38)</f>
        <v>0.5714285714285714</v>
      </c>
      <c r="L38" s="49">
        <f>AVERAGE('22.07 Nateete-Nakawuka'!L38,'23.07 Nateete-Nakawuka'!L38,'24.07 Nateete-Nakawuka'!L38,'25.07 Nateete-Nakawuka'!L38,'26.07 Nateete-Nakawuka-24h'!L38,'27.07 Nateete-Nakawuka-24h'!L38,'28.07 Nateete-Nakawuka'!L38)</f>
        <v>0.42857142857142855</v>
      </c>
      <c r="M38" s="49">
        <f>AVERAGE('22.07 Nateete-Nakawuka'!M38,'23.07 Nateete-Nakawuka'!M38,'24.07 Nateete-Nakawuka'!M38,'25.07 Nateete-Nakawuka'!M38,'26.07 Nateete-Nakawuka-24h'!M38,'27.07 Nateete-Nakawuka-24h'!M38,'28.07 Nateete-Nakawuka'!M38)</f>
        <v>91.428571428571431</v>
      </c>
      <c r="N38" s="49">
        <f>AVERAGE('22.07 Nateete-Nakawuka'!N38,'23.07 Nateete-Nakawuka'!N38,'24.07 Nateete-Nakawuka'!N38,'25.07 Nateete-Nakawuka'!N38,'26.07 Nateete-Nakawuka-24h'!N38,'27.07 Nateete-Nakawuka-24h'!N38,'28.07 Nateete-Nakawuka'!N38)</f>
        <v>0</v>
      </c>
      <c r="O38" s="31">
        <f t="shared" si="0"/>
        <v>54.285714285714285</v>
      </c>
      <c r="P38" s="31">
        <f t="shared" si="1"/>
        <v>145.71428571428572</v>
      </c>
      <c r="R38" s="28" t="s">
        <v>86</v>
      </c>
      <c r="S38" s="16">
        <f t="shared" ref="S38:AF38" si="30">SUM(S13:S18)</f>
        <v>342</v>
      </c>
      <c r="T38" s="16">
        <f t="shared" si="30"/>
        <v>61</v>
      </c>
      <c r="U38" s="16">
        <f t="shared" si="30"/>
        <v>57.714285714285715</v>
      </c>
      <c r="V38" s="16">
        <f t="shared" si="30"/>
        <v>291.57142857142856</v>
      </c>
      <c r="W38" s="16">
        <f t="shared" si="30"/>
        <v>19.285714285714281</v>
      </c>
      <c r="X38" s="16">
        <f t="shared" si="30"/>
        <v>16.142857142857142</v>
      </c>
      <c r="Y38" s="16">
        <f t="shared" si="30"/>
        <v>129.14285714285717</v>
      </c>
      <c r="Z38" s="16">
        <f t="shared" si="30"/>
        <v>41.714285714285715</v>
      </c>
      <c r="AA38" s="16">
        <f t="shared" si="30"/>
        <v>16.285714285714285</v>
      </c>
      <c r="AB38" s="16">
        <f t="shared" si="30"/>
        <v>7.7142857142857135</v>
      </c>
      <c r="AC38" s="16">
        <f t="shared" si="30"/>
        <v>1924.1428571428569</v>
      </c>
      <c r="AD38" s="16">
        <f t="shared" si="30"/>
        <v>0.14285714285714285</v>
      </c>
      <c r="AE38" s="32">
        <f t="shared" si="30"/>
        <v>982.71428571428578</v>
      </c>
      <c r="AF38" s="32">
        <f t="shared" si="30"/>
        <v>2906.8571428571431</v>
      </c>
    </row>
    <row r="39" spans="2:32" ht="23.1" customHeight="1" x14ac:dyDescent="0.25">
      <c r="B39" s="24" t="s">
        <v>66</v>
      </c>
      <c r="C39" s="49">
        <f>AVERAGE('22.07 Nateete-Nakawuka'!C39,'23.07 Nateete-Nakawuka'!C39,'24.07 Nateete-Nakawuka'!C39,'25.07 Nateete-Nakawuka'!C39,'26.07 Nateete-Nakawuka-24h'!C39,'27.07 Nateete-Nakawuka-24h'!C39,'28.07 Nateete-Nakawuka'!C39)</f>
        <v>21</v>
      </c>
      <c r="D39" s="49">
        <f>AVERAGE('22.07 Nateete-Nakawuka'!D39,'23.07 Nateete-Nakawuka'!D39,'24.07 Nateete-Nakawuka'!D39,'25.07 Nateete-Nakawuka'!D39,'26.07 Nateete-Nakawuka-24h'!D39,'27.07 Nateete-Nakawuka-24h'!D39,'28.07 Nateete-Nakawuka'!D39)</f>
        <v>3.8571428571428572</v>
      </c>
      <c r="E39" s="49">
        <f>AVERAGE('22.07 Nateete-Nakawuka'!E39,'23.07 Nateete-Nakawuka'!E39,'24.07 Nateete-Nakawuka'!E39,'25.07 Nateete-Nakawuka'!E39,'26.07 Nateete-Nakawuka-24h'!E39,'27.07 Nateete-Nakawuka-24h'!E39,'28.07 Nateete-Nakawuka'!E39)</f>
        <v>3.5714285714285716</v>
      </c>
      <c r="F39" s="49">
        <f>AVERAGE('22.07 Nateete-Nakawuka'!F39,'23.07 Nateete-Nakawuka'!F39,'24.07 Nateete-Nakawuka'!F39,'25.07 Nateete-Nakawuka'!F39,'26.07 Nateete-Nakawuka-24h'!F39,'27.07 Nateete-Nakawuka-24h'!F39,'28.07 Nateete-Nakawuka'!F39)</f>
        <v>13.428571428571429</v>
      </c>
      <c r="G39" s="49">
        <f>AVERAGE('22.07 Nateete-Nakawuka'!G39,'23.07 Nateete-Nakawuka'!G39,'24.07 Nateete-Nakawuka'!G39,'25.07 Nateete-Nakawuka'!G39,'26.07 Nateete-Nakawuka-24h'!G39,'27.07 Nateete-Nakawuka-24h'!G39,'28.07 Nateete-Nakawuka'!G39)</f>
        <v>0.14285714285714285</v>
      </c>
      <c r="H39" s="49">
        <f>AVERAGE('22.07 Nateete-Nakawuka'!H39,'23.07 Nateete-Nakawuka'!H39,'24.07 Nateete-Nakawuka'!H39,'25.07 Nateete-Nakawuka'!H39,'26.07 Nateete-Nakawuka-24h'!H39,'27.07 Nateete-Nakawuka-24h'!H39,'28.07 Nateete-Nakawuka'!H39)</f>
        <v>0.7142857142857143</v>
      </c>
      <c r="I39" s="49">
        <f>AVERAGE('22.07 Nateete-Nakawuka'!I39,'23.07 Nateete-Nakawuka'!I39,'24.07 Nateete-Nakawuka'!I39,'25.07 Nateete-Nakawuka'!I39,'26.07 Nateete-Nakawuka-24h'!I39,'27.07 Nateete-Nakawuka-24h'!I39,'28.07 Nateete-Nakawuka'!I39)</f>
        <v>7</v>
      </c>
      <c r="J39" s="49">
        <f>AVERAGE('22.07 Nateete-Nakawuka'!J39,'23.07 Nateete-Nakawuka'!J39,'24.07 Nateete-Nakawuka'!J39,'25.07 Nateete-Nakawuka'!J39,'26.07 Nateete-Nakawuka-24h'!J39,'27.07 Nateete-Nakawuka-24h'!J39,'28.07 Nateete-Nakawuka'!J39)</f>
        <v>1.7142857142857142</v>
      </c>
      <c r="K39" s="49">
        <f>AVERAGE('22.07 Nateete-Nakawuka'!K39,'23.07 Nateete-Nakawuka'!K39,'24.07 Nateete-Nakawuka'!K39,'25.07 Nateete-Nakawuka'!K39,'26.07 Nateete-Nakawuka-24h'!K39,'27.07 Nateete-Nakawuka-24h'!K39,'28.07 Nateete-Nakawuka'!K39)</f>
        <v>0.7142857142857143</v>
      </c>
      <c r="L39" s="49">
        <f>AVERAGE('22.07 Nateete-Nakawuka'!L39,'23.07 Nateete-Nakawuka'!L39,'24.07 Nateete-Nakawuka'!L39,'25.07 Nateete-Nakawuka'!L39,'26.07 Nateete-Nakawuka-24h'!L39,'27.07 Nateete-Nakawuka-24h'!L39,'28.07 Nateete-Nakawuka'!L39)</f>
        <v>0.42857142857142855</v>
      </c>
      <c r="M39" s="49">
        <f>AVERAGE('22.07 Nateete-Nakawuka'!M39,'23.07 Nateete-Nakawuka'!M39,'24.07 Nateete-Nakawuka'!M39,'25.07 Nateete-Nakawuka'!M39,'26.07 Nateete-Nakawuka-24h'!M39,'27.07 Nateete-Nakawuka-24h'!M39,'28.07 Nateete-Nakawuka'!M39)</f>
        <v>82.857142857142861</v>
      </c>
      <c r="N39" s="49">
        <f>AVERAGE('22.07 Nateete-Nakawuka'!N39,'23.07 Nateete-Nakawuka'!N39,'24.07 Nateete-Nakawuka'!N39,'25.07 Nateete-Nakawuka'!N39,'26.07 Nateete-Nakawuka-24h'!N39,'27.07 Nateete-Nakawuka-24h'!N39,'28.07 Nateete-Nakawuka'!N39)</f>
        <v>0</v>
      </c>
      <c r="O39" s="31">
        <f t="shared" si="0"/>
        <v>52.571428571428584</v>
      </c>
      <c r="P39" s="31">
        <f t="shared" si="1"/>
        <v>135.42857142857144</v>
      </c>
      <c r="R39" s="29" t="s">
        <v>87</v>
      </c>
      <c r="S39" s="16">
        <f t="shared" ref="S39:AF39" si="31">SUM(S19:S21)</f>
        <v>239</v>
      </c>
      <c r="T39" s="16">
        <f t="shared" si="31"/>
        <v>59.857142857142854</v>
      </c>
      <c r="U39" s="16">
        <f t="shared" si="31"/>
        <v>36.142857142857139</v>
      </c>
      <c r="V39" s="16">
        <f t="shared" si="31"/>
        <v>226.42857142857144</v>
      </c>
      <c r="W39" s="16">
        <f t="shared" si="31"/>
        <v>10.285714285714286</v>
      </c>
      <c r="X39" s="16">
        <f t="shared" si="31"/>
        <v>9</v>
      </c>
      <c r="Y39" s="16">
        <f t="shared" si="31"/>
        <v>69.714285714285722</v>
      </c>
      <c r="Z39" s="16">
        <f t="shared" si="31"/>
        <v>23.571428571428569</v>
      </c>
      <c r="AA39" s="16">
        <f t="shared" si="31"/>
        <v>8.8571428571428577</v>
      </c>
      <c r="AB39" s="16">
        <f t="shared" si="31"/>
        <v>4.5714285714285712</v>
      </c>
      <c r="AC39" s="16">
        <f t="shared" si="31"/>
        <v>1006.8571428571428</v>
      </c>
      <c r="AD39" s="16">
        <f t="shared" si="31"/>
        <v>0</v>
      </c>
      <c r="AE39" s="32">
        <f t="shared" si="31"/>
        <v>687.42857142857144</v>
      </c>
      <c r="AF39" s="32">
        <f t="shared" si="31"/>
        <v>1694.2857142857142</v>
      </c>
    </row>
    <row r="40" spans="2:32" ht="23.1" customHeight="1" x14ac:dyDescent="0.25">
      <c r="B40" s="24" t="s">
        <v>67</v>
      </c>
      <c r="C40" s="49">
        <f>AVERAGE('22.07 Nateete-Nakawuka'!C40,'23.07 Nateete-Nakawuka'!C40,'24.07 Nateete-Nakawuka'!C40,'25.07 Nateete-Nakawuka'!C40,'26.07 Nateete-Nakawuka-24h'!C40,'27.07 Nateete-Nakawuka-24h'!C40,'28.07 Nateete-Nakawuka'!C40)</f>
        <v>19.857142857142858</v>
      </c>
      <c r="D40" s="49">
        <f>AVERAGE('22.07 Nateete-Nakawuka'!D40,'23.07 Nateete-Nakawuka'!D40,'24.07 Nateete-Nakawuka'!D40,'25.07 Nateete-Nakawuka'!D40,'26.07 Nateete-Nakawuka-24h'!D40,'27.07 Nateete-Nakawuka-24h'!D40,'28.07 Nateete-Nakawuka'!D40)</f>
        <v>4.5714285714285712</v>
      </c>
      <c r="E40" s="49">
        <f>AVERAGE('22.07 Nateete-Nakawuka'!E40,'23.07 Nateete-Nakawuka'!E40,'24.07 Nateete-Nakawuka'!E40,'25.07 Nateete-Nakawuka'!E40,'26.07 Nateete-Nakawuka-24h'!E40,'27.07 Nateete-Nakawuka-24h'!E40,'28.07 Nateete-Nakawuka'!E40)</f>
        <v>2.4285714285714284</v>
      </c>
      <c r="F40" s="49">
        <f>AVERAGE('22.07 Nateete-Nakawuka'!F40,'23.07 Nateete-Nakawuka'!F40,'24.07 Nateete-Nakawuka'!F40,'25.07 Nateete-Nakawuka'!F40,'26.07 Nateete-Nakawuka-24h'!F40,'27.07 Nateete-Nakawuka-24h'!F40,'28.07 Nateete-Nakawuka'!F40)</f>
        <v>10.285714285714286</v>
      </c>
      <c r="G40" s="49">
        <f>AVERAGE('22.07 Nateete-Nakawuka'!G40,'23.07 Nateete-Nakawuka'!G40,'24.07 Nateete-Nakawuka'!G40,'25.07 Nateete-Nakawuka'!G40,'26.07 Nateete-Nakawuka-24h'!G40,'27.07 Nateete-Nakawuka-24h'!G40,'28.07 Nateete-Nakawuka'!G40)</f>
        <v>0.42857142857142855</v>
      </c>
      <c r="H40" s="49">
        <f>AVERAGE('22.07 Nateete-Nakawuka'!H40,'23.07 Nateete-Nakawuka'!H40,'24.07 Nateete-Nakawuka'!H40,'25.07 Nateete-Nakawuka'!H40,'26.07 Nateete-Nakawuka-24h'!H40,'27.07 Nateete-Nakawuka-24h'!H40,'28.07 Nateete-Nakawuka'!H40)</f>
        <v>0.7142857142857143</v>
      </c>
      <c r="I40" s="49">
        <f>AVERAGE('22.07 Nateete-Nakawuka'!I40,'23.07 Nateete-Nakawuka'!I40,'24.07 Nateete-Nakawuka'!I40,'25.07 Nateete-Nakawuka'!I40,'26.07 Nateete-Nakawuka-24h'!I40,'27.07 Nateete-Nakawuka-24h'!I40,'28.07 Nateete-Nakawuka'!I40)</f>
        <v>6.7142857142857144</v>
      </c>
      <c r="J40" s="49">
        <f>AVERAGE('22.07 Nateete-Nakawuka'!J40,'23.07 Nateete-Nakawuka'!J40,'24.07 Nateete-Nakawuka'!J40,'25.07 Nateete-Nakawuka'!J40,'26.07 Nateete-Nakawuka-24h'!J40,'27.07 Nateete-Nakawuka-24h'!J40,'28.07 Nateete-Nakawuka'!J40)</f>
        <v>2.4285714285714284</v>
      </c>
      <c r="K40" s="49">
        <f>AVERAGE('22.07 Nateete-Nakawuka'!K40,'23.07 Nateete-Nakawuka'!K40,'24.07 Nateete-Nakawuka'!K40,'25.07 Nateete-Nakawuka'!K40,'26.07 Nateete-Nakawuka-24h'!K40,'27.07 Nateete-Nakawuka-24h'!K40,'28.07 Nateete-Nakawuka'!K40)</f>
        <v>0.8571428571428571</v>
      </c>
      <c r="L40" s="49">
        <f>AVERAGE('22.07 Nateete-Nakawuka'!L40,'23.07 Nateete-Nakawuka'!L40,'24.07 Nateete-Nakawuka'!L40,'25.07 Nateete-Nakawuka'!L40,'26.07 Nateete-Nakawuka-24h'!L40,'27.07 Nateete-Nakawuka-24h'!L40,'28.07 Nateete-Nakawuka'!L40)</f>
        <v>0.5714285714285714</v>
      </c>
      <c r="M40" s="49">
        <f>AVERAGE('22.07 Nateete-Nakawuka'!M40,'23.07 Nateete-Nakawuka'!M40,'24.07 Nateete-Nakawuka'!M40,'25.07 Nateete-Nakawuka'!M40,'26.07 Nateete-Nakawuka-24h'!M40,'27.07 Nateete-Nakawuka-24h'!M40,'28.07 Nateete-Nakawuka'!M40)</f>
        <v>82.714285714285708</v>
      </c>
      <c r="N40" s="49">
        <f>AVERAGE('22.07 Nateete-Nakawuka'!N40,'23.07 Nateete-Nakawuka'!N40,'24.07 Nateete-Nakawuka'!N40,'25.07 Nateete-Nakawuka'!N40,'26.07 Nateete-Nakawuka-24h'!N40,'27.07 Nateete-Nakawuka-24h'!N40,'28.07 Nateete-Nakawuka'!N40)</f>
        <v>0</v>
      </c>
      <c r="O40" s="31">
        <f t="shared" si="0"/>
        <v>48.857142857142861</v>
      </c>
      <c r="P40" s="31">
        <f t="shared" si="1"/>
        <v>131.57142857142856</v>
      </c>
      <c r="R40" s="5" t="s">
        <v>17</v>
      </c>
      <c r="S40" s="16">
        <f t="shared" ref="S40:AF40" si="32">SUM(S10:S21)</f>
        <v>688.14285714285711</v>
      </c>
      <c r="T40" s="16">
        <f t="shared" si="32"/>
        <v>142</v>
      </c>
      <c r="U40" s="16">
        <f t="shared" si="32"/>
        <v>112.42857142857143</v>
      </c>
      <c r="V40" s="16">
        <f t="shared" si="32"/>
        <v>692.14285714285711</v>
      </c>
      <c r="W40" s="16">
        <f t="shared" si="32"/>
        <v>32.571428571428562</v>
      </c>
      <c r="X40" s="16">
        <f t="shared" si="32"/>
        <v>28.428571428571423</v>
      </c>
      <c r="Y40" s="16">
        <f t="shared" si="32"/>
        <v>242.85714285714286</v>
      </c>
      <c r="Z40" s="16">
        <f t="shared" si="32"/>
        <v>86.142857142857139</v>
      </c>
      <c r="AA40" s="16">
        <f t="shared" si="32"/>
        <v>30.285714285714285</v>
      </c>
      <c r="AB40" s="16">
        <f t="shared" si="32"/>
        <v>14.142857142857142</v>
      </c>
      <c r="AC40" s="16">
        <f t="shared" si="32"/>
        <v>4050.571428571428</v>
      </c>
      <c r="AD40" s="16">
        <f t="shared" si="32"/>
        <v>0.14285714285714285</v>
      </c>
      <c r="AE40" s="32">
        <f t="shared" si="32"/>
        <v>2069.2857142857142</v>
      </c>
      <c r="AF40" s="32">
        <f t="shared" si="32"/>
        <v>6119.8571428571431</v>
      </c>
    </row>
    <row r="41" spans="2:32" ht="23.1" customHeight="1" x14ac:dyDescent="0.25">
      <c r="B41" s="23" t="s">
        <v>68</v>
      </c>
      <c r="C41" s="49">
        <f>AVERAGE('22.07 Nateete-Nakawuka'!C41,'23.07 Nateete-Nakawuka'!C41,'24.07 Nateete-Nakawuka'!C41,'25.07 Nateete-Nakawuka'!C41,'26.07 Nateete-Nakawuka-24h'!C41,'27.07 Nateete-Nakawuka-24h'!C41,'28.07 Nateete-Nakawuka'!C41)</f>
        <v>19.428571428571427</v>
      </c>
      <c r="D41" s="49">
        <f>AVERAGE('22.07 Nateete-Nakawuka'!D41,'23.07 Nateete-Nakawuka'!D41,'24.07 Nateete-Nakawuka'!D41,'25.07 Nateete-Nakawuka'!D41,'26.07 Nateete-Nakawuka-24h'!D41,'27.07 Nateete-Nakawuka-24h'!D41,'28.07 Nateete-Nakawuka'!D41)</f>
        <v>2.1428571428571428</v>
      </c>
      <c r="E41" s="49">
        <f>AVERAGE('22.07 Nateete-Nakawuka'!E41,'23.07 Nateete-Nakawuka'!E41,'24.07 Nateete-Nakawuka'!E41,'25.07 Nateete-Nakawuka'!E41,'26.07 Nateete-Nakawuka-24h'!E41,'27.07 Nateete-Nakawuka-24h'!E41,'28.07 Nateete-Nakawuka'!E41)</f>
        <v>3.5714285714285716</v>
      </c>
      <c r="F41" s="49">
        <f>AVERAGE('22.07 Nateete-Nakawuka'!F41,'23.07 Nateete-Nakawuka'!F41,'24.07 Nateete-Nakawuka'!F41,'25.07 Nateete-Nakawuka'!F41,'26.07 Nateete-Nakawuka-24h'!F41,'27.07 Nateete-Nakawuka-24h'!F41,'28.07 Nateete-Nakawuka'!F41)</f>
        <v>15.571428571428571</v>
      </c>
      <c r="G41" s="49">
        <f>AVERAGE('22.07 Nateete-Nakawuka'!G41,'23.07 Nateete-Nakawuka'!G41,'24.07 Nateete-Nakawuka'!G41,'25.07 Nateete-Nakawuka'!G41,'26.07 Nateete-Nakawuka-24h'!G41,'27.07 Nateete-Nakawuka-24h'!G41,'28.07 Nateete-Nakawuka'!G41)</f>
        <v>1</v>
      </c>
      <c r="H41" s="49">
        <f>AVERAGE('22.07 Nateete-Nakawuka'!H41,'23.07 Nateete-Nakawuka'!H41,'24.07 Nateete-Nakawuka'!H41,'25.07 Nateete-Nakawuka'!H41,'26.07 Nateete-Nakawuka-24h'!H41,'27.07 Nateete-Nakawuka-24h'!H41,'28.07 Nateete-Nakawuka'!H41)</f>
        <v>0.7142857142857143</v>
      </c>
      <c r="I41" s="49">
        <f>AVERAGE('22.07 Nateete-Nakawuka'!I41,'23.07 Nateete-Nakawuka'!I41,'24.07 Nateete-Nakawuka'!I41,'25.07 Nateete-Nakawuka'!I41,'26.07 Nateete-Nakawuka-24h'!I41,'27.07 Nateete-Nakawuka-24h'!I41,'28.07 Nateete-Nakawuka'!I41)</f>
        <v>6</v>
      </c>
      <c r="J41" s="49">
        <f>AVERAGE('22.07 Nateete-Nakawuka'!J41,'23.07 Nateete-Nakawuka'!J41,'24.07 Nateete-Nakawuka'!J41,'25.07 Nateete-Nakawuka'!J41,'26.07 Nateete-Nakawuka-24h'!J41,'27.07 Nateete-Nakawuka-24h'!J41,'28.07 Nateete-Nakawuka'!J41)</f>
        <v>2.8571428571428572</v>
      </c>
      <c r="K41" s="49">
        <f>AVERAGE('22.07 Nateete-Nakawuka'!K41,'23.07 Nateete-Nakawuka'!K41,'24.07 Nateete-Nakawuka'!K41,'25.07 Nateete-Nakawuka'!K41,'26.07 Nateete-Nakawuka-24h'!K41,'27.07 Nateete-Nakawuka-24h'!K41,'28.07 Nateete-Nakawuka'!K41)</f>
        <v>0.2857142857142857</v>
      </c>
      <c r="L41" s="49">
        <f>AVERAGE('22.07 Nateete-Nakawuka'!L41,'23.07 Nateete-Nakawuka'!L41,'24.07 Nateete-Nakawuka'!L41,'25.07 Nateete-Nakawuka'!L41,'26.07 Nateete-Nakawuka-24h'!L41,'27.07 Nateete-Nakawuka-24h'!L41,'28.07 Nateete-Nakawuka'!L41)</f>
        <v>0.2857142857142857</v>
      </c>
      <c r="M41" s="49">
        <f>AVERAGE('22.07 Nateete-Nakawuka'!M41,'23.07 Nateete-Nakawuka'!M41,'24.07 Nateete-Nakawuka'!M41,'25.07 Nateete-Nakawuka'!M41,'26.07 Nateete-Nakawuka-24h'!M41,'27.07 Nateete-Nakawuka-24h'!M41,'28.07 Nateete-Nakawuka'!M41)</f>
        <v>78.285714285714292</v>
      </c>
      <c r="N41" s="49">
        <f>AVERAGE('22.07 Nateete-Nakawuka'!N41,'23.07 Nateete-Nakawuka'!N41,'24.07 Nateete-Nakawuka'!N41,'25.07 Nateete-Nakawuka'!N41,'26.07 Nateete-Nakawuka-24h'!N41,'27.07 Nateete-Nakawuka-24h'!N41,'28.07 Nateete-Nakawuka'!N41)</f>
        <v>0</v>
      </c>
      <c r="O41" s="31">
        <f t="shared" si="0"/>
        <v>51.857142857142854</v>
      </c>
      <c r="P41" s="31">
        <f t="shared" si="1"/>
        <v>130.14285714285714</v>
      </c>
      <c r="R41" s="5" t="s">
        <v>176</v>
      </c>
      <c r="S41" s="51">
        <f>SUM(S10:S33)</f>
        <v>1249.6428571428571</v>
      </c>
      <c r="T41" s="51">
        <f t="shared" ref="T41:AD41" si="33">SUM(T10:T33)</f>
        <v>431</v>
      </c>
      <c r="U41" s="51">
        <f t="shared" si="33"/>
        <v>184.92857142857144</v>
      </c>
      <c r="V41" s="51">
        <f t="shared" si="33"/>
        <v>1467.1428571428571</v>
      </c>
      <c r="W41" s="51">
        <f t="shared" si="33"/>
        <v>68.571428571428555</v>
      </c>
      <c r="X41" s="51">
        <f t="shared" si="33"/>
        <v>57.428571428571423</v>
      </c>
      <c r="Y41" s="51">
        <f t="shared" si="33"/>
        <v>348.85714285714289</v>
      </c>
      <c r="Z41" s="51">
        <f t="shared" si="33"/>
        <v>116.64285714285714</v>
      </c>
      <c r="AA41" s="51">
        <f t="shared" si="33"/>
        <v>50.285714285714285</v>
      </c>
      <c r="AB41" s="51">
        <f t="shared" si="33"/>
        <v>33.642857142857139</v>
      </c>
      <c r="AC41" s="51">
        <f t="shared" si="33"/>
        <v>7349.0714285714275</v>
      </c>
      <c r="AD41" s="51">
        <f t="shared" si="33"/>
        <v>1.1428571428571428</v>
      </c>
      <c r="AE41" s="52">
        <f>SUM(AE10:AE33)</f>
        <v>6914.4285714285706</v>
      </c>
      <c r="AF41" s="52">
        <f>SUM(AF10:AF33)</f>
        <v>16808.785714285714</v>
      </c>
    </row>
    <row r="42" spans="2:32" ht="23.1" customHeight="1" x14ac:dyDescent="0.25">
      <c r="B42" s="24" t="s">
        <v>69</v>
      </c>
      <c r="C42" s="49">
        <f>AVERAGE('22.07 Nateete-Nakawuka'!C42,'23.07 Nateete-Nakawuka'!C42,'24.07 Nateete-Nakawuka'!C42,'25.07 Nateete-Nakawuka'!C42,'26.07 Nateete-Nakawuka-24h'!C42,'27.07 Nateete-Nakawuka-24h'!C42,'28.07 Nateete-Nakawuka'!C42)</f>
        <v>10.714285714285714</v>
      </c>
      <c r="D42" s="49">
        <f>AVERAGE('22.07 Nateete-Nakawuka'!D42,'23.07 Nateete-Nakawuka'!D42,'24.07 Nateete-Nakawuka'!D42,'25.07 Nateete-Nakawuka'!D42,'26.07 Nateete-Nakawuka-24h'!D42,'27.07 Nateete-Nakawuka-24h'!D42,'28.07 Nateete-Nakawuka'!D42)</f>
        <v>2.5714285714285716</v>
      </c>
      <c r="E42" s="49">
        <f>AVERAGE('22.07 Nateete-Nakawuka'!E42,'23.07 Nateete-Nakawuka'!E42,'24.07 Nateete-Nakawuka'!E42,'25.07 Nateete-Nakawuka'!E42,'26.07 Nateete-Nakawuka-24h'!E42,'27.07 Nateete-Nakawuka-24h'!E42,'28.07 Nateete-Nakawuka'!E42)</f>
        <v>3.5714285714285716</v>
      </c>
      <c r="F42" s="49">
        <f>AVERAGE('22.07 Nateete-Nakawuka'!F42,'23.07 Nateete-Nakawuka'!F42,'24.07 Nateete-Nakawuka'!F42,'25.07 Nateete-Nakawuka'!F42,'26.07 Nateete-Nakawuka-24h'!F42,'27.07 Nateete-Nakawuka-24h'!F42,'28.07 Nateete-Nakawuka'!F42)</f>
        <v>8</v>
      </c>
      <c r="G42" s="49">
        <f>AVERAGE('22.07 Nateete-Nakawuka'!G42,'23.07 Nateete-Nakawuka'!G42,'24.07 Nateete-Nakawuka'!G42,'25.07 Nateete-Nakawuka'!G42,'26.07 Nateete-Nakawuka-24h'!G42,'27.07 Nateete-Nakawuka-24h'!G42,'28.07 Nateete-Nakawuka'!G42)</f>
        <v>0.14285714285714285</v>
      </c>
      <c r="H42" s="49">
        <f>AVERAGE('22.07 Nateete-Nakawuka'!H42,'23.07 Nateete-Nakawuka'!H42,'24.07 Nateete-Nakawuka'!H42,'25.07 Nateete-Nakawuka'!H42,'26.07 Nateete-Nakawuka-24h'!H42,'27.07 Nateete-Nakawuka-24h'!H42,'28.07 Nateete-Nakawuka'!H42)</f>
        <v>0.7142857142857143</v>
      </c>
      <c r="I42" s="49">
        <f>AVERAGE('22.07 Nateete-Nakawuka'!I42,'23.07 Nateete-Nakawuka'!I42,'24.07 Nateete-Nakawuka'!I42,'25.07 Nateete-Nakawuka'!I42,'26.07 Nateete-Nakawuka-24h'!I42,'27.07 Nateete-Nakawuka-24h'!I42,'28.07 Nateete-Nakawuka'!I42)</f>
        <v>6</v>
      </c>
      <c r="J42" s="49">
        <f>AVERAGE('22.07 Nateete-Nakawuka'!J42,'23.07 Nateete-Nakawuka'!J42,'24.07 Nateete-Nakawuka'!J42,'25.07 Nateete-Nakawuka'!J42,'26.07 Nateete-Nakawuka-24h'!J42,'27.07 Nateete-Nakawuka-24h'!J42,'28.07 Nateete-Nakawuka'!J42)</f>
        <v>2</v>
      </c>
      <c r="K42" s="49">
        <f>AVERAGE('22.07 Nateete-Nakawuka'!K42,'23.07 Nateete-Nakawuka'!K42,'24.07 Nateete-Nakawuka'!K42,'25.07 Nateete-Nakawuka'!K42,'26.07 Nateete-Nakawuka-24h'!K42,'27.07 Nateete-Nakawuka-24h'!K42,'28.07 Nateete-Nakawuka'!K42)</f>
        <v>0.5714285714285714</v>
      </c>
      <c r="L42" s="49">
        <f>AVERAGE('22.07 Nateete-Nakawuka'!L42,'23.07 Nateete-Nakawuka'!L42,'24.07 Nateete-Nakawuka'!L42,'25.07 Nateete-Nakawuka'!L42,'26.07 Nateete-Nakawuka-24h'!L42,'27.07 Nateete-Nakawuka-24h'!L42,'28.07 Nateete-Nakawuka'!L42)</f>
        <v>0.14285714285714285</v>
      </c>
      <c r="M42" s="49">
        <f>AVERAGE('22.07 Nateete-Nakawuka'!M42,'23.07 Nateete-Nakawuka'!M42,'24.07 Nateete-Nakawuka'!M42,'25.07 Nateete-Nakawuka'!M42,'26.07 Nateete-Nakawuka-24h'!M42,'27.07 Nateete-Nakawuka-24h'!M42,'28.07 Nateete-Nakawuka'!M42)</f>
        <v>74.285714285714292</v>
      </c>
      <c r="N42" s="49">
        <f>AVERAGE('22.07 Nateete-Nakawuka'!N42,'23.07 Nateete-Nakawuka'!N42,'24.07 Nateete-Nakawuka'!N42,'25.07 Nateete-Nakawuka'!N42,'26.07 Nateete-Nakawuka-24h'!N42,'27.07 Nateete-Nakawuka-24h'!N42,'28.07 Nateete-Nakawuka'!N42)</f>
        <v>0</v>
      </c>
      <c r="O42" s="31">
        <f t="shared" si="0"/>
        <v>34.428571428571431</v>
      </c>
      <c r="P42" s="31">
        <f t="shared" si="1"/>
        <v>108.71428571428572</v>
      </c>
      <c r="R42" s="5" t="s">
        <v>160</v>
      </c>
      <c r="S42" s="48">
        <f>S41/S40</f>
        <v>1.8159642931285032</v>
      </c>
      <c r="T42" s="48">
        <f t="shared" ref="T42:AF42" si="34">T41/T40</f>
        <v>3.035211267605634</v>
      </c>
      <c r="U42" s="48">
        <f t="shared" si="34"/>
        <v>1.6448538754764932</v>
      </c>
      <c r="V42" s="48">
        <f t="shared" si="34"/>
        <v>2.1197110423116614</v>
      </c>
      <c r="W42" s="48">
        <f t="shared" si="34"/>
        <v>2.1052631578947367</v>
      </c>
      <c r="X42" s="48">
        <f t="shared" si="34"/>
        <v>2.0201005025125629</v>
      </c>
      <c r="Y42" s="48">
        <f t="shared" si="34"/>
        <v>1.4364705882352942</v>
      </c>
      <c r="Z42" s="48">
        <f t="shared" si="34"/>
        <v>1.3540630182421227</v>
      </c>
      <c r="AA42" s="48">
        <f t="shared" si="34"/>
        <v>1.6603773584905661</v>
      </c>
      <c r="AB42" s="48">
        <f t="shared" si="34"/>
        <v>2.3787878787878785</v>
      </c>
      <c r="AC42" s="48">
        <f t="shared" si="34"/>
        <v>1.8143295478592085</v>
      </c>
      <c r="AD42" s="48">
        <f t="shared" si="34"/>
        <v>8</v>
      </c>
      <c r="AE42" s="53">
        <f t="shared" si="34"/>
        <v>3.3414566793234379</v>
      </c>
      <c r="AF42" s="53">
        <f t="shared" si="34"/>
        <v>2.7465977263708301</v>
      </c>
    </row>
    <row r="43" spans="2:32" ht="23.1" customHeight="1" x14ac:dyDescent="0.25">
      <c r="B43" s="23" t="s">
        <v>70</v>
      </c>
      <c r="C43" s="49">
        <f>AVERAGE('22.07 Nateete-Nakawuka'!C43,'23.07 Nateete-Nakawuka'!C43,'24.07 Nateete-Nakawuka'!C43,'25.07 Nateete-Nakawuka'!C43,'26.07 Nateete-Nakawuka-24h'!C43,'27.07 Nateete-Nakawuka-24h'!C43,'28.07 Nateete-Nakawuka'!C43)</f>
        <v>16.142857142857142</v>
      </c>
      <c r="D43" s="49">
        <f>AVERAGE('22.07 Nateete-Nakawuka'!D43,'23.07 Nateete-Nakawuka'!D43,'24.07 Nateete-Nakawuka'!D43,'25.07 Nateete-Nakawuka'!D43,'26.07 Nateete-Nakawuka-24h'!D43,'27.07 Nateete-Nakawuka-24h'!D43,'28.07 Nateete-Nakawuka'!D43)</f>
        <v>3.2857142857142856</v>
      </c>
      <c r="E43" s="49">
        <f>AVERAGE('22.07 Nateete-Nakawuka'!E43,'23.07 Nateete-Nakawuka'!E43,'24.07 Nateete-Nakawuka'!E43,'25.07 Nateete-Nakawuka'!E43,'26.07 Nateete-Nakawuka-24h'!E43,'27.07 Nateete-Nakawuka-24h'!E43,'28.07 Nateete-Nakawuka'!E43)</f>
        <v>1.8571428571428572</v>
      </c>
      <c r="F43" s="49">
        <f>AVERAGE('22.07 Nateete-Nakawuka'!F43,'23.07 Nateete-Nakawuka'!F43,'24.07 Nateete-Nakawuka'!F43,'25.07 Nateete-Nakawuka'!F43,'26.07 Nateete-Nakawuka-24h'!F43,'27.07 Nateete-Nakawuka-24h'!F43,'28.07 Nateete-Nakawuka'!F43)</f>
        <v>12</v>
      </c>
      <c r="G43" s="49">
        <f>AVERAGE('22.07 Nateete-Nakawuka'!G43,'23.07 Nateete-Nakawuka'!G43,'24.07 Nateete-Nakawuka'!G43,'25.07 Nateete-Nakawuka'!G43,'26.07 Nateete-Nakawuka-24h'!G43,'27.07 Nateete-Nakawuka-24h'!G43,'28.07 Nateete-Nakawuka'!G43)</f>
        <v>0.2857142857142857</v>
      </c>
      <c r="H43" s="49">
        <f>AVERAGE('22.07 Nateete-Nakawuka'!H43,'23.07 Nateete-Nakawuka'!H43,'24.07 Nateete-Nakawuka'!H43,'25.07 Nateete-Nakawuka'!H43,'26.07 Nateete-Nakawuka-24h'!H43,'27.07 Nateete-Nakawuka-24h'!H43,'28.07 Nateete-Nakawuka'!H43)</f>
        <v>1</v>
      </c>
      <c r="I43" s="49">
        <f>AVERAGE('22.07 Nateete-Nakawuka'!I43,'23.07 Nateete-Nakawuka'!I43,'24.07 Nateete-Nakawuka'!I43,'25.07 Nateete-Nakawuka'!I43,'26.07 Nateete-Nakawuka-24h'!I43,'27.07 Nateete-Nakawuka-24h'!I43,'28.07 Nateete-Nakawuka'!I43)</f>
        <v>3.7142857142857144</v>
      </c>
      <c r="J43" s="49">
        <f>AVERAGE('22.07 Nateete-Nakawuka'!J43,'23.07 Nateete-Nakawuka'!J43,'24.07 Nateete-Nakawuka'!J43,'25.07 Nateete-Nakawuka'!J43,'26.07 Nateete-Nakawuka-24h'!J43,'27.07 Nateete-Nakawuka-24h'!J43,'28.07 Nateete-Nakawuka'!J43)</f>
        <v>1.8571428571428572</v>
      </c>
      <c r="K43" s="49">
        <f>AVERAGE('22.07 Nateete-Nakawuka'!K43,'23.07 Nateete-Nakawuka'!K43,'24.07 Nateete-Nakawuka'!K43,'25.07 Nateete-Nakawuka'!K43,'26.07 Nateete-Nakawuka-24h'!K43,'27.07 Nateete-Nakawuka-24h'!K43,'28.07 Nateete-Nakawuka'!K43)</f>
        <v>1</v>
      </c>
      <c r="L43" s="49">
        <f>AVERAGE('22.07 Nateete-Nakawuka'!L43,'23.07 Nateete-Nakawuka'!L43,'24.07 Nateete-Nakawuka'!L43,'25.07 Nateete-Nakawuka'!L43,'26.07 Nateete-Nakawuka-24h'!L43,'27.07 Nateete-Nakawuka-24h'!L43,'28.07 Nateete-Nakawuka'!L43)</f>
        <v>0.5714285714285714</v>
      </c>
      <c r="M43" s="49">
        <f>AVERAGE('22.07 Nateete-Nakawuka'!M43,'23.07 Nateete-Nakawuka'!M43,'24.07 Nateete-Nakawuka'!M43,'25.07 Nateete-Nakawuka'!M43,'26.07 Nateete-Nakawuka-24h'!M43,'27.07 Nateete-Nakawuka-24h'!M43,'28.07 Nateete-Nakawuka'!M43)</f>
        <v>68.142857142857139</v>
      </c>
      <c r="N43" s="49">
        <f>AVERAGE('22.07 Nateete-Nakawuka'!N43,'23.07 Nateete-Nakawuka'!N43,'24.07 Nateete-Nakawuka'!N43,'25.07 Nateete-Nakawuka'!N43,'26.07 Nateete-Nakawuka-24h'!N43,'27.07 Nateete-Nakawuka-24h'!N43,'28.07 Nateete-Nakawuka'!N43)</f>
        <v>0</v>
      </c>
      <c r="O43" s="31">
        <f t="shared" si="0"/>
        <v>41.714285714285708</v>
      </c>
      <c r="P43" s="31">
        <f t="shared" si="1"/>
        <v>109.85714285714285</v>
      </c>
    </row>
    <row r="44" spans="2:32" ht="23.1" customHeight="1" x14ac:dyDescent="0.25">
      <c r="B44" s="25" t="s">
        <v>71</v>
      </c>
      <c r="C44" s="49">
        <f>AVERAGE('22.07 Nateete-Nakawuka'!C44,'23.07 Nateete-Nakawuka'!C44,'24.07 Nateete-Nakawuka'!C44,'25.07 Nateete-Nakawuka'!C44,'26.07 Nateete-Nakawuka-24h'!C44,'27.07 Nateete-Nakawuka-24h'!C44,'28.07 Nateete-Nakawuka'!C44)</f>
        <v>18.571428571428573</v>
      </c>
      <c r="D44" s="49">
        <f>AVERAGE('22.07 Nateete-Nakawuka'!D44,'23.07 Nateete-Nakawuka'!D44,'24.07 Nateete-Nakawuka'!D44,'25.07 Nateete-Nakawuka'!D44,'26.07 Nateete-Nakawuka-24h'!D44,'27.07 Nateete-Nakawuka-24h'!D44,'28.07 Nateete-Nakawuka'!D44)</f>
        <v>3.4285714285714284</v>
      </c>
      <c r="E44" s="49">
        <f>AVERAGE('22.07 Nateete-Nakawuka'!E44,'23.07 Nateete-Nakawuka'!E44,'24.07 Nateete-Nakawuka'!E44,'25.07 Nateete-Nakawuka'!E44,'26.07 Nateete-Nakawuka-24h'!E44,'27.07 Nateete-Nakawuka-24h'!E44,'28.07 Nateete-Nakawuka'!E44)</f>
        <v>2.5714285714285716</v>
      </c>
      <c r="F44" s="49">
        <f>AVERAGE('22.07 Nateete-Nakawuka'!F44,'23.07 Nateete-Nakawuka'!F44,'24.07 Nateete-Nakawuka'!F44,'25.07 Nateete-Nakawuka'!F44,'26.07 Nateete-Nakawuka-24h'!F44,'27.07 Nateete-Nakawuka-24h'!F44,'28.07 Nateete-Nakawuka'!F44)</f>
        <v>13</v>
      </c>
      <c r="G44" s="49">
        <f>AVERAGE('22.07 Nateete-Nakawuka'!G44,'23.07 Nateete-Nakawuka'!G44,'24.07 Nateete-Nakawuka'!G44,'25.07 Nateete-Nakawuka'!G44,'26.07 Nateete-Nakawuka-24h'!G44,'27.07 Nateete-Nakawuka-24h'!G44,'28.07 Nateete-Nakawuka'!G44)</f>
        <v>0.2857142857142857</v>
      </c>
      <c r="H44" s="49">
        <f>AVERAGE('22.07 Nateete-Nakawuka'!H44,'23.07 Nateete-Nakawuka'!H44,'24.07 Nateete-Nakawuka'!H44,'25.07 Nateete-Nakawuka'!H44,'26.07 Nateete-Nakawuka-24h'!H44,'27.07 Nateete-Nakawuka-24h'!H44,'28.07 Nateete-Nakawuka'!H44)</f>
        <v>0.8571428571428571</v>
      </c>
      <c r="I44" s="49">
        <f>AVERAGE('22.07 Nateete-Nakawuka'!I44,'23.07 Nateete-Nakawuka'!I44,'24.07 Nateete-Nakawuka'!I44,'25.07 Nateete-Nakawuka'!I44,'26.07 Nateete-Nakawuka-24h'!I44,'27.07 Nateete-Nakawuka-24h'!I44,'28.07 Nateete-Nakawuka'!I44)</f>
        <v>4.4285714285714288</v>
      </c>
      <c r="J44" s="49">
        <f>AVERAGE('22.07 Nateete-Nakawuka'!J44,'23.07 Nateete-Nakawuka'!J44,'24.07 Nateete-Nakawuka'!J44,'25.07 Nateete-Nakawuka'!J44,'26.07 Nateete-Nakawuka-24h'!J44,'27.07 Nateete-Nakawuka-24h'!J44,'28.07 Nateete-Nakawuka'!J44)</f>
        <v>1.7142857142857142</v>
      </c>
      <c r="K44" s="49">
        <f>AVERAGE('22.07 Nateete-Nakawuka'!K44,'23.07 Nateete-Nakawuka'!K44,'24.07 Nateete-Nakawuka'!K44,'25.07 Nateete-Nakawuka'!K44,'26.07 Nateete-Nakawuka-24h'!K44,'27.07 Nateete-Nakawuka-24h'!K44,'28.07 Nateete-Nakawuka'!K44)</f>
        <v>0.14285714285714285</v>
      </c>
      <c r="L44" s="49">
        <f>AVERAGE('22.07 Nateete-Nakawuka'!L44,'23.07 Nateete-Nakawuka'!L44,'24.07 Nateete-Nakawuka'!L44,'25.07 Nateete-Nakawuka'!L44,'26.07 Nateete-Nakawuka-24h'!L44,'27.07 Nateete-Nakawuka-24h'!L44,'28.07 Nateete-Nakawuka'!L44)</f>
        <v>0</v>
      </c>
      <c r="M44" s="49">
        <f>AVERAGE('22.07 Nateete-Nakawuka'!M44,'23.07 Nateete-Nakawuka'!M44,'24.07 Nateete-Nakawuka'!M44,'25.07 Nateete-Nakawuka'!M44,'26.07 Nateete-Nakawuka-24h'!M44,'27.07 Nateete-Nakawuka-24h'!M44,'28.07 Nateete-Nakawuka'!M44)</f>
        <v>75.285714285714292</v>
      </c>
      <c r="N44" s="49">
        <f>AVERAGE('22.07 Nateete-Nakawuka'!N44,'23.07 Nateete-Nakawuka'!N44,'24.07 Nateete-Nakawuka'!N44,'25.07 Nateete-Nakawuka'!N44,'26.07 Nateete-Nakawuka-24h'!N44,'27.07 Nateete-Nakawuka-24h'!N44,'28.07 Nateete-Nakawuka'!N44)</f>
        <v>0</v>
      </c>
      <c r="O44" s="31">
        <f t="shared" si="0"/>
        <v>45</v>
      </c>
      <c r="P44" s="31">
        <f t="shared" si="1"/>
        <v>120.28571428571429</v>
      </c>
    </row>
    <row r="45" spans="2:32" ht="23.1" customHeight="1" x14ac:dyDescent="0.25">
      <c r="B45" s="23" t="s">
        <v>72</v>
      </c>
      <c r="C45" s="49">
        <f>AVERAGE('22.07 Nateete-Nakawuka'!C45,'23.07 Nateete-Nakawuka'!C45,'24.07 Nateete-Nakawuka'!C45,'25.07 Nateete-Nakawuka'!C45,'26.07 Nateete-Nakawuka-24h'!C45,'27.07 Nateete-Nakawuka-24h'!C45,'28.07 Nateete-Nakawuka'!C45)</f>
        <v>12.714285714285714</v>
      </c>
      <c r="D45" s="49">
        <f>AVERAGE('22.07 Nateete-Nakawuka'!D45,'23.07 Nateete-Nakawuka'!D45,'24.07 Nateete-Nakawuka'!D45,'25.07 Nateete-Nakawuka'!D45,'26.07 Nateete-Nakawuka-24h'!D45,'27.07 Nateete-Nakawuka-24h'!D45,'28.07 Nateete-Nakawuka'!D45)</f>
        <v>2.7142857142857144</v>
      </c>
      <c r="E45" s="49">
        <f>AVERAGE('22.07 Nateete-Nakawuka'!E45,'23.07 Nateete-Nakawuka'!E45,'24.07 Nateete-Nakawuka'!E45,'25.07 Nateete-Nakawuka'!E45,'26.07 Nateete-Nakawuka-24h'!E45,'27.07 Nateete-Nakawuka-24h'!E45,'28.07 Nateete-Nakawuka'!E45)</f>
        <v>1.2857142857142858</v>
      </c>
      <c r="F45" s="49">
        <f>AVERAGE('22.07 Nateete-Nakawuka'!F45,'23.07 Nateete-Nakawuka'!F45,'24.07 Nateete-Nakawuka'!F45,'25.07 Nateete-Nakawuka'!F45,'26.07 Nateete-Nakawuka-24h'!F45,'27.07 Nateete-Nakawuka-24h'!F45,'28.07 Nateete-Nakawuka'!F45)</f>
        <v>8.8571428571428577</v>
      </c>
      <c r="G45" s="49">
        <f>AVERAGE('22.07 Nateete-Nakawuka'!G45,'23.07 Nateete-Nakawuka'!G45,'24.07 Nateete-Nakawuka'!G45,'25.07 Nateete-Nakawuka'!G45,'26.07 Nateete-Nakawuka-24h'!G45,'27.07 Nateete-Nakawuka-24h'!G45,'28.07 Nateete-Nakawuka'!G45)</f>
        <v>0.7142857142857143</v>
      </c>
      <c r="H45" s="49">
        <f>AVERAGE('22.07 Nateete-Nakawuka'!H45,'23.07 Nateete-Nakawuka'!H45,'24.07 Nateete-Nakawuka'!H45,'25.07 Nateete-Nakawuka'!H45,'26.07 Nateete-Nakawuka-24h'!H45,'27.07 Nateete-Nakawuka-24h'!H45,'28.07 Nateete-Nakawuka'!H45)</f>
        <v>0.2857142857142857</v>
      </c>
      <c r="I45" s="49">
        <f>AVERAGE('22.07 Nateete-Nakawuka'!I45,'23.07 Nateete-Nakawuka'!I45,'24.07 Nateete-Nakawuka'!I45,'25.07 Nateete-Nakawuka'!I45,'26.07 Nateete-Nakawuka-24h'!I45,'27.07 Nateete-Nakawuka-24h'!I45,'28.07 Nateete-Nakawuka'!I45)</f>
        <v>5.8571428571428568</v>
      </c>
      <c r="J45" s="49">
        <f>AVERAGE('22.07 Nateete-Nakawuka'!J45,'23.07 Nateete-Nakawuka'!J45,'24.07 Nateete-Nakawuka'!J45,'25.07 Nateete-Nakawuka'!J45,'26.07 Nateete-Nakawuka-24h'!J45,'27.07 Nateete-Nakawuka-24h'!J45,'28.07 Nateete-Nakawuka'!J45)</f>
        <v>1.8571428571428572</v>
      </c>
      <c r="K45" s="49">
        <f>AVERAGE('22.07 Nateete-Nakawuka'!K45,'23.07 Nateete-Nakawuka'!K45,'24.07 Nateete-Nakawuka'!K45,'25.07 Nateete-Nakawuka'!K45,'26.07 Nateete-Nakawuka-24h'!K45,'27.07 Nateete-Nakawuka-24h'!K45,'28.07 Nateete-Nakawuka'!K45)</f>
        <v>0.5714285714285714</v>
      </c>
      <c r="L45" s="49">
        <f>AVERAGE('22.07 Nateete-Nakawuka'!L45,'23.07 Nateete-Nakawuka'!L45,'24.07 Nateete-Nakawuka'!L45,'25.07 Nateete-Nakawuka'!L45,'26.07 Nateete-Nakawuka-24h'!L45,'27.07 Nateete-Nakawuka-24h'!L45,'28.07 Nateete-Nakawuka'!L45)</f>
        <v>0.2857142857142857</v>
      </c>
      <c r="M45" s="49">
        <f>AVERAGE('22.07 Nateete-Nakawuka'!M45,'23.07 Nateete-Nakawuka'!M45,'24.07 Nateete-Nakawuka'!M45,'25.07 Nateete-Nakawuka'!M45,'26.07 Nateete-Nakawuka-24h'!M45,'27.07 Nateete-Nakawuka-24h'!M45,'28.07 Nateete-Nakawuka'!M45)</f>
        <v>70.571428571428569</v>
      </c>
      <c r="N45" s="49">
        <f>AVERAGE('22.07 Nateete-Nakawuka'!N45,'23.07 Nateete-Nakawuka'!N45,'24.07 Nateete-Nakawuka'!N45,'25.07 Nateete-Nakawuka'!N45,'26.07 Nateete-Nakawuka-24h'!N45,'27.07 Nateete-Nakawuka-24h'!N45,'28.07 Nateete-Nakawuka'!N45)</f>
        <v>0</v>
      </c>
      <c r="O45" s="31">
        <f t="shared" si="0"/>
        <v>35.142857142857132</v>
      </c>
      <c r="P45" s="31">
        <f t="shared" si="1"/>
        <v>105.71428571428569</v>
      </c>
    </row>
    <row r="46" spans="2:32" ht="23.1" customHeight="1" x14ac:dyDescent="0.25">
      <c r="B46" s="24" t="s">
        <v>73</v>
      </c>
      <c r="C46" s="49">
        <f>AVERAGE('22.07 Nateete-Nakawuka'!C46,'23.07 Nateete-Nakawuka'!C46,'24.07 Nateete-Nakawuka'!C46,'25.07 Nateete-Nakawuka'!C46,'26.07 Nateete-Nakawuka-24h'!C46,'27.07 Nateete-Nakawuka-24h'!C46,'28.07 Nateete-Nakawuka'!C46)</f>
        <v>9.7142857142857135</v>
      </c>
      <c r="D46" s="49">
        <f>AVERAGE('22.07 Nateete-Nakawuka'!D46,'23.07 Nateete-Nakawuka'!D46,'24.07 Nateete-Nakawuka'!D46,'25.07 Nateete-Nakawuka'!D46,'26.07 Nateete-Nakawuka-24h'!D46,'27.07 Nateete-Nakawuka-24h'!D46,'28.07 Nateete-Nakawuka'!D46)</f>
        <v>2.1428571428571428</v>
      </c>
      <c r="E46" s="49">
        <f>AVERAGE('22.07 Nateete-Nakawuka'!E46,'23.07 Nateete-Nakawuka'!E46,'24.07 Nateete-Nakawuka'!E46,'25.07 Nateete-Nakawuka'!E46,'26.07 Nateete-Nakawuka-24h'!E46,'27.07 Nateete-Nakawuka-24h'!E46,'28.07 Nateete-Nakawuka'!E46)</f>
        <v>2.1428571428571428</v>
      </c>
      <c r="F46" s="49">
        <f>AVERAGE('22.07 Nateete-Nakawuka'!F46,'23.07 Nateete-Nakawuka'!F46,'24.07 Nateete-Nakawuka'!F46,'25.07 Nateete-Nakawuka'!F46,'26.07 Nateete-Nakawuka-24h'!F46,'27.07 Nateete-Nakawuka-24h'!F46,'28.07 Nateete-Nakawuka'!F46)</f>
        <v>9.4285714285714288</v>
      </c>
      <c r="G46" s="49">
        <f>AVERAGE('22.07 Nateete-Nakawuka'!G46,'23.07 Nateete-Nakawuka'!G46,'24.07 Nateete-Nakawuka'!G46,'25.07 Nateete-Nakawuka'!G46,'26.07 Nateete-Nakawuka-24h'!G46,'27.07 Nateete-Nakawuka-24h'!G46,'28.07 Nateete-Nakawuka'!G46)</f>
        <v>0.2857142857142857</v>
      </c>
      <c r="H46" s="49">
        <f>AVERAGE('22.07 Nateete-Nakawuka'!H46,'23.07 Nateete-Nakawuka'!H46,'24.07 Nateete-Nakawuka'!H46,'25.07 Nateete-Nakawuka'!H46,'26.07 Nateete-Nakawuka-24h'!H46,'27.07 Nateete-Nakawuka-24h'!H46,'28.07 Nateete-Nakawuka'!H46)</f>
        <v>0.5714285714285714</v>
      </c>
      <c r="I46" s="49">
        <f>AVERAGE('22.07 Nateete-Nakawuka'!I46,'23.07 Nateete-Nakawuka'!I46,'24.07 Nateete-Nakawuka'!I46,'25.07 Nateete-Nakawuka'!I46,'26.07 Nateete-Nakawuka-24h'!I46,'27.07 Nateete-Nakawuka-24h'!I46,'28.07 Nateete-Nakawuka'!I46)</f>
        <v>5.4285714285714288</v>
      </c>
      <c r="J46" s="49">
        <f>AVERAGE('22.07 Nateete-Nakawuka'!J46,'23.07 Nateete-Nakawuka'!J46,'24.07 Nateete-Nakawuka'!J46,'25.07 Nateete-Nakawuka'!J46,'26.07 Nateete-Nakawuka-24h'!J46,'27.07 Nateete-Nakawuka-24h'!J46,'28.07 Nateete-Nakawuka'!J46)</f>
        <v>2.4285714285714284</v>
      </c>
      <c r="K46" s="49">
        <f>AVERAGE('22.07 Nateete-Nakawuka'!K46,'23.07 Nateete-Nakawuka'!K46,'24.07 Nateete-Nakawuka'!K46,'25.07 Nateete-Nakawuka'!K46,'26.07 Nateete-Nakawuka-24h'!K46,'27.07 Nateete-Nakawuka-24h'!K46,'28.07 Nateete-Nakawuka'!K46)</f>
        <v>0.7142857142857143</v>
      </c>
      <c r="L46" s="49">
        <f>AVERAGE('22.07 Nateete-Nakawuka'!L46,'23.07 Nateete-Nakawuka'!L46,'24.07 Nateete-Nakawuka'!L46,'25.07 Nateete-Nakawuka'!L46,'26.07 Nateete-Nakawuka-24h'!L46,'27.07 Nateete-Nakawuka-24h'!L46,'28.07 Nateete-Nakawuka'!L46)</f>
        <v>0.2857142857142857</v>
      </c>
      <c r="M46" s="49">
        <f>AVERAGE('22.07 Nateete-Nakawuka'!M46,'23.07 Nateete-Nakawuka'!M46,'24.07 Nateete-Nakawuka'!M46,'25.07 Nateete-Nakawuka'!M46,'26.07 Nateete-Nakawuka-24h'!M46,'27.07 Nateete-Nakawuka-24h'!M46,'28.07 Nateete-Nakawuka'!M46)</f>
        <v>58.857142857142854</v>
      </c>
      <c r="N46" s="49">
        <f>AVERAGE('22.07 Nateete-Nakawuka'!N46,'23.07 Nateete-Nakawuka'!N46,'24.07 Nateete-Nakawuka'!N46,'25.07 Nateete-Nakawuka'!N46,'26.07 Nateete-Nakawuka-24h'!N46,'27.07 Nateete-Nakawuka-24h'!N46,'28.07 Nateete-Nakawuka'!N46)</f>
        <v>0</v>
      </c>
      <c r="O46" s="31">
        <f t="shared" si="0"/>
        <v>33.142857142857146</v>
      </c>
      <c r="P46" s="31">
        <f t="shared" si="1"/>
        <v>92</v>
      </c>
      <c r="R46" s="8"/>
      <c r="T46"/>
    </row>
    <row r="47" spans="2:32" ht="23.1" customHeight="1" x14ac:dyDescent="0.25">
      <c r="B47" s="24" t="s">
        <v>74</v>
      </c>
      <c r="C47" s="49">
        <f>AVERAGE('22.07 Nateete-Nakawuka'!C47,'23.07 Nateete-Nakawuka'!C47,'24.07 Nateete-Nakawuka'!C47,'25.07 Nateete-Nakawuka'!C47,'26.07 Nateete-Nakawuka-24h'!C47,'27.07 Nateete-Nakawuka-24h'!C47,'28.07 Nateete-Nakawuka'!C47)</f>
        <v>14</v>
      </c>
      <c r="D47" s="49">
        <f>AVERAGE('22.07 Nateete-Nakawuka'!D47,'23.07 Nateete-Nakawuka'!D47,'24.07 Nateete-Nakawuka'!D47,'25.07 Nateete-Nakawuka'!D47,'26.07 Nateete-Nakawuka-24h'!D47,'27.07 Nateete-Nakawuka-24h'!D47,'28.07 Nateete-Nakawuka'!D47)</f>
        <v>2.2857142857142856</v>
      </c>
      <c r="E47" s="49">
        <f>AVERAGE('22.07 Nateete-Nakawuka'!E47,'23.07 Nateete-Nakawuka'!E47,'24.07 Nateete-Nakawuka'!E47,'25.07 Nateete-Nakawuka'!E47,'26.07 Nateete-Nakawuka-24h'!E47,'27.07 Nateete-Nakawuka-24h'!E47,'28.07 Nateete-Nakawuka'!E47)</f>
        <v>2.2857142857142856</v>
      </c>
      <c r="F47" s="49">
        <f>AVERAGE('22.07 Nateete-Nakawuka'!F47,'23.07 Nateete-Nakawuka'!F47,'24.07 Nateete-Nakawuka'!F47,'25.07 Nateete-Nakawuka'!F47,'26.07 Nateete-Nakawuka-24h'!F47,'27.07 Nateete-Nakawuka-24h'!F47,'28.07 Nateete-Nakawuka'!F47)</f>
        <v>8.8571428571428577</v>
      </c>
      <c r="G47" s="49">
        <f>AVERAGE('22.07 Nateete-Nakawuka'!G47,'23.07 Nateete-Nakawuka'!G47,'24.07 Nateete-Nakawuka'!G47,'25.07 Nateete-Nakawuka'!G47,'26.07 Nateete-Nakawuka-24h'!G47,'27.07 Nateete-Nakawuka-24h'!G47,'28.07 Nateete-Nakawuka'!G47)</f>
        <v>0.8571428571428571</v>
      </c>
      <c r="H47" s="49">
        <f>AVERAGE('22.07 Nateete-Nakawuka'!H47,'23.07 Nateete-Nakawuka'!H47,'24.07 Nateete-Nakawuka'!H47,'25.07 Nateete-Nakawuka'!H47,'26.07 Nateete-Nakawuka-24h'!H47,'27.07 Nateete-Nakawuka-24h'!H47,'28.07 Nateete-Nakawuka'!H47)</f>
        <v>0.14285714285714285</v>
      </c>
      <c r="I47" s="49">
        <f>AVERAGE('22.07 Nateete-Nakawuka'!I47,'23.07 Nateete-Nakawuka'!I47,'24.07 Nateete-Nakawuka'!I47,'25.07 Nateete-Nakawuka'!I47,'26.07 Nateete-Nakawuka-24h'!I47,'27.07 Nateete-Nakawuka-24h'!I47,'28.07 Nateete-Nakawuka'!I47)</f>
        <v>5.2857142857142856</v>
      </c>
      <c r="J47" s="49">
        <f>AVERAGE('22.07 Nateete-Nakawuka'!J47,'23.07 Nateete-Nakawuka'!J47,'24.07 Nateete-Nakawuka'!J47,'25.07 Nateete-Nakawuka'!J47,'26.07 Nateete-Nakawuka-24h'!J47,'27.07 Nateete-Nakawuka-24h'!J47,'28.07 Nateete-Nakawuka'!J47)</f>
        <v>1.7142857142857142</v>
      </c>
      <c r="K47" s="49">
        <f>AVERAGE('22.07 Nateete-Nakawuka'!K47,'23.07 Nateete-Nakawuka'!K47,'24.07 Nateete-Nakawuka'!K47,'25.07 Nateete-Nakawuka'!K47,'26.07 Nateete-Nakawuka-24h'!K47,'27.07 Nateete-Nakawuka-24h'!K47,'28.07 Nateete-Nakawuka'!K47)</f>
        <v>0.8571428571428571</v>
      </c>
      <c r="L47" s="49">
        <f>AVERAGE('22.07 Nateete-Nakawuka'!L47,'23.07 Nateete-Nakawuka'!L47,'24.07 Nateete-Nakawuka'!L47,'25.07 Nateete-Nakawuka'!L47,'26.07 Nateete-Nakawuka-24h'!L47,'27.07 Nateete-Nakawuka-24h'!L47,'28.07 Nateete-Nakawuka'!L47)</f>
        <v>0.5714285714285714</v>
      </c>
      <c r="M47" s="49">
        <f>AVERAGE('22.07 Nateete-Nakawuka'!M47,'23.07 Nateete-Nakawuka'!M47,'24.07 Nateete-Nakawuka'!M47,'25.07 Nateete-Nakawuka'!M47,'26.07 Nateete-Nakawuka-24h'!M47,'27.07 Nateete-Nakawuka-24h'!M47,'28.07 Nateete-Nakawuka'!M47)</f>
        <v>78.285714285714292</v>
      </c>
      <c r="N47" s="49">
        <f>AVERAGE('22.07 Nateete-Nakawuka'!N47,'23.07 Nateete-Nakawuka'!N47,'24.07 Nateete-Nakawuka'!N47,'25.07 Nateete-Nakawuka'!N47,'26.07 Nateete-Nakawuka-24h'!N47,'27.07 Nateete-Nakawuka-24h'!N47,'28.07 Nateete-Nakawuka'!N47)</f>
        <v>0</v>
      </c>
      <c r="O47" s="31">
        <f t="shared" si="0"/>
        <v>36.857142857142854</v>
      </c>
      <c r="P47" s="31">
        <f t="shared" si="1"/>
        <v>115.14285714285714</v>
      </c>
      <c r="R47" s="8"/>
      <c r="T47"/>
    </row>
    <row r="48" spans="2:32" ht="23.1" customHeight="1" x14ac:dyDescent="0.25">
      <c r="B48" s="24" t="s">
        <v>75</v>
      </c>
      <c r="C48" s="49">
        <f>AVERAGE('22.07 Nateete-Nakawuka'!C48,'23.07 Nateete-Nakawuka'!C48,'24.07 Nateete-Nakawuka'!C48,'25.07 Nateete-Nakawuka'!C48,'26.07 Nateete-Nakawuka-24h'!C48,'27.07 Nateete-Nakawuka-24h'!C48,'28.07 Nateete-Nakawuka'!C48)</f>
        <v>15.714285714285714</v>
      </c>
      <c r="D48" s="49">
        <f>AVERAGE('22.07 Nateete-Nakawuka'!D48,'23.07 Nateete-Nakawuka'!D48,'24.07 Nateete-Nakawuka'!D48,'25.07 Nateete-Nakawuka'!D48,'26.07 Nateete-Nakawuka-24h'!D48,'27.07 Nateete-Nakawuka-24h'!D48,'28.07 Nateete-Nakawuka'!D48)</f>
        <v>4.4285714285714288</v>
      </c>
      <c r="E48" s="49">
        <f>AVERAGE('22.07 Nateete-Nakawuka'!E48,'23.07 Nateete-Nakawuka'!E48,'24.07 Nateete-Nakawuka'!E48,'25.07 Nateete-Nakawuka'!E48,'26.07 Nateete-Nakawuka-24h'!E48,'27.07 Nateete-Nakawuka-24h'!E48,'28.07 Nateete-Nakawuka'!E48)</f>
        <v>3.7142857142857144</v>
      </c>
      <c r="F48" s="49">
        <f>AVERAGE('22.07 Nateete-Nakawuka'!F48,'23.07 Nateete-Nakawuka'!F48,'24.07 Nateete-Nakawuka'!F48,'25.07 Nateete-Nakawuka'!F48,'26.07 Nateete-Nakawuka-24h'!F48,'27.07 Nateete-Nakawuka-24h'!F48,'28.07 Nateete-Nakawuka'!F48)</f>
        <v>13.714285714285714</v>
      </c>
      <c r="G48" s="49">
        <f>AVERAGE('22.07 Nateete-Nakawuka'!G48,'23.07 Nateete-Nakawuka'!G48,'24.07 Nateete-Nakawuka'!G48,'25.07 Nateete-Nakawuka'!G48,'26.07 Nateete-Nakawuka-24h'!G48,'27.07 Nateete-Nakawuka-24h'!G48,'28.07 Nateete-Nakawuka'!G48)</f>
        <v>0.7142857142857143</v>
      </c>
      <c r="H48" s="49">
        <f>AVERAGE('22.07 Nateete-Nakawuka'!H48,'23.07 Nateete-Nakawuka'!H48,'24.07 Nateete-Nakawuka'!H48,'25.07 Nateete-Nakawuka'!H48,'26.07 Nateete-Nakawuka-24h'!H48,'27.07 Nateete-Nakawuka-24h'!H48,'28.07 Nateete-Nakawuka'!H48)</f>
        <v>1.1428571428571428</v>
      </c>
      <c r="I48" s="49">
        <f>AVERAGE('22.07 Nateete-Nakawuka'!I48,'23.07 Nateete-Nakawuka'!I48,'24.07 Nateete-Nakawuka'!I48,'25.07 Nateete-Nakawuka'!I48,'26.07 Nateete-Nakawuka-24h'!I48,'27.07 Nateete-Nakawuka-24h'!I48,'28.07 Nateete-Nakawuka'!I48)</f>
        <v>4.8571428571428568</v>
      </c>
      <c r="J48" s="49">
        <f>AVERAGE('22.07 Nateete-Nakawuka'!J48,'23.07 Nateete-Nakawuka'!J48,'24.07 Nateete-Nakawuka'!J48,'25.07 Nateete-Nakawuka'!J48,'26.07 Nateete-Nakawuka-24h'!J48,'27.07 Nateete-Nakawuka-24h'!J48,'28.07 Nateete-Nakawuka'!J48)</f>
        <v>2</v>
      </c>
      <c r="K48" s="49">
        <f>AVERAGE('22.07 Nateete-Nakawuka'!K48,'23.07 Nateete-Nakawuka'!K48,'24.07 Nateete-Nakawuka'!K48,'25.07 Nateete-Nakawuka'!K48,'26.07 Nateete-Nakawuka-24h'!K48,'27.07 Nateete-Nakawuka-24h'!K48,'28.07 Nateete-Nakawuka'!K48)</f>
        <v>0.5714285714285714</v>
      </c>
      <c r="L48" s="49">
        <f>AVERAGE('22.07 Nateete-Nakawuka'!L48,'23.07 Nateete-Nakawuka'!L48,'24.07 Nateete-Nakawuka'!L48,'25.07 Nateete-Nakawuka'!L48,'26.07 Nateete-Nakawuka-24h'!L48,'27.07 Nateete-Nakawuka-24h'!L48,'28.07 Nateete-Nakawuka'!L48)</f>
        <v>0.14285714285714285</v>
      </c>
      <c r="M48" s="49">
        <f>AVERAGE('22.07 Nateete-Nakawuka'!M48,'23.07 Nateete-Nakawuka'!M48,'24.07 Nateete-Nakawuka'!M48,'25.07 Nateete-Nakawuka'!M48,'26.07 Nateete-Nakawuka-24h'!M48,'27.07 Nateete-Nakawuka-24h'!M48,'28.07 Nateete-Nakawuka'!M48)</f>
        <v>80.857142857142861</v>
      </c>
      <c r="N48" s="49">
        <f>AVERAGE('22.07 Nateete-Nakawuka'!N48,'23.07 Nateete-Nakawuka'!N48,'24.07 Nateete-Nakawuka'!N48,'25.07 Nateete-Nakawuka'!N48,'26.07 Nateete-Nakawuka-24h'!N48,'27.07 Nateete-Nakawuka-24h'!N48,'28.07 Nateete-Nakawuka'!N48)</f>
        <v>0</v>
      </c>
      <c r="O48" s="31">
        <f t="shared" si="0"/>
        <v>47</v>
      </c>
      <c r="P48" s="31">
        <f t="shared" si="1"/>
        <v>127.85714285714286</v>
      </c>
      <c r="R48" s="8"/>
      <c r="T48"/>
    </row>
    <row r="49" spans="2:20" ht="23.1" customHeight="1" x14ac:dyDescent="0.25">
      <c r="B49" s="23" t="s">
        <v>76</v>
      </c>
      <c r="C49" s="49">
        <f>AVERAGE('22.07 Nateete-Nakawuka'!C49,'23.07 Nateete-Nakawuka'!C49,'24.07 Nateete-Nakawuka'!C49,'25.07 Nateete-Nakawuka'!C49,'26.07 Nateete-Nakawuka-24h'!C49,'27.07 Nateete-Nakawuka-24h'!C49,'28.07 Nateete-Nakawuka'!C49)</f>
        <v>18.142857142857142</v>
      </c>
      <c r="D49" s="49">
        <f>AVERAGE('22.07 Nateete-Nakawuka'!D49,'23.07 Nateete-Nakawuka'!D49,'24.07 Nateete-Nakawuka'!D49,'25.07 Nateete-Nakawuka'!D49,'26.07 Nateete-Nakawuka-24h'!D49,'27.07 Nateete-Nakawuka-24h'!D49,'28.07 Nateete-Nakawuka'!D49)</f>
        <v>4.2857142857142856</v>
      </c>
      <c r="E49" s="49">
        <f>AVERAGE('22.07 Nateete-Nakawuka'!E49,'23.07 Nateete-Nakawuka'!E49,'24.07 Nateete-Nakawuka'!E49,'25.07 Nateete-Nakawuka'!E49,'26.07 Nateete-Nakawuka-24h'!E49,'27.07 Nateete-Nakawuka-24h'!E49,'28.07 Nateete-Nakawuka'!E49)</f>
        <v>2</v>
      </c>
      <c r="F49" s="49">
        <f>AVERAGE('22.07 Nateete-Nakawuka'!F49,'23.07 Nateete-Nakawuka'!F49,'24.07 Nateete-Nakawuka'!F49,'25.07 Nateete-Nakawuka'!F49,'26.07 Nateete-Nakawuka-24h'!F49,'27.07 Nateete-Nakawuka-24h'!F49,'28.07 Nateete-Nakawuka'!F49)</f>
        <v>14.714285714285714</v>
      </c>
      <c r="G49" s="49">
        <f>AVERAGE('22.07 Nateete-Nakawuka'!G49,'23.07 Nateete-Nakawuka'!G49,'24.07 Nateete-Nakawuka'!G49,'25.07 Nateete-Nakawuka'!G49,'26.07 Nateete-Nakawuka-24h'!G49,'27.07 Nateete-Nakawuka-24h'!G49,'28.07 Nateete-Nakawuka'!G49)</f>
        <v>1.2857142857142858</v>
      </c>
      <c r="H49" s="49">
        <f>AVERAGE('22.07 Nateete-Nakawuka'!H49,'23.07 Nateete-Nakawuka'!H49,'24.07 Nateete-Nakawuka'!H49,'25.07 Nateete-Nakawuka'!H49,'26.07 Nateete-Nakawuka-24h'!H49,'27.07 Nateete-Nakawuka-24h'!H49,'28.07 Nateete-Nakawuka'!H49)</f>
        <v>0.5714285714285714</v>
      </c>
      <c r="I49" s="49">
        <f>AVERAGE('22.07 Nateete-Nakawuka'!I49,'23.07 Nateete-Nakawuka'!I49,'24.07 Nateete-Nakawuka'!I49,'25.07 Nateete-Nakawuka'!I49,'26.07 Nateete-Nakawuka-24h'!I49,'27.07 Nateete-Nakawuka-24h'!I49,'28.07 Nateete-Nakawuka'!I49)</f>
        <v>4.4285714285714288</v>
      </c>
      <c r="J49" s="49">
        <f>AVERAGE('22.07 Nateete-Nakawuka'!J49,'23.07 Nateete-Nakawuka'!J49,'24.07 Nateete-Nakawuka'!J49,'25.07 Nateete-Nakawuka'!J49,'26.07 Nateete-Nakawuka-24h'!J49,'27.07 Nateete-Nakawuka-24h'!J49,'28.07 Nateete-Nakawuka'!J49)</f>
        <v>3.1428571428571428</v>
      </c>
      <c r="K49" s="49">
        <f>AVERAGE('22.07 Nateete-Nakawuka'!K49,'23.07 Nateete-Nakawuka'!K49,'24.07 Nateete-Nakawuka'!K49,'25.07 Nateete-Nakawuka'!K49,'26.07 Nateete-Nakawuka-24h'!K49,'27.07 Nateete-Nakawuka-24h'!K49,'28.07 Nateete-Nakawuka'!K49)</f>
        <v>0.5714285714285714</v>
      </c>
      <c r="L49" s="49">
        <f>AVERAGE('22.07 Nateete-Nakawuka'!L49,'23.07 Nateete-Nakawuka'!L49,'24.07 Nateete-Nakawuka'!L49,'25.07 Nateete-Nakawuka'!L49,'26.07 Nateete-Nakawuka-24h'!L49,'27.07 Nateete-Nakawuka-24h'!L49,'28.07 Nateete-Nakawuka'!L49)</f>
        <v>0.14285714285714285</v>
      </c>
      <c r="M49" s="49">
        <f>AVERAGE('22.07 Nateete-Nakawuka'!M49,'23.07 Nateete-Nakawuka'!M49,'24.07 Nateete-Nakawuka'!M49,'25.07 Nateete-Nakawuka'!M49,'26.07 Nateete-Nakawuka-24h'!M49,'27.07 Nateete-Nakawuka-24h'!M49,'28.07 Nateete-Nakawuka'!M49)</f>
        <v>82.142857142857139</v>
      </c>
      <c r="N49" s="49">
        <f>AVERAGE('22.07 Nateete-Nakawuka'!N49,'23.07 Nateete-Nakawuka'!N49,'24.07 Nateete-Nakawuka'!N49,'25.07 Nateete-Nakawuka'!N49,'26.07 Nateete-Nakawuka-24h'!N49,'27.07 Nateete-Nakawuka-24h'!N49,'28.07 Nateete-Nakawuka'!N49)</f>
        <v>0</v>
      </c>
      <c r="O49" s="31">
        <f t="shared" si="0"/>
        <v>49.285714285714285</v>
      </c>
      <c r="P49" s="31">
        <f t="shared" si="1"/>
        <v>131.42857142857142</v>
      </c>
      <c r="R49" s="8"/>
      <c r="T49"/>
    </row>
    <row r="50" spans="2:20" ht="23.1" customHeight="1" x14ac:dyDescent="0.25">
      <c r="B50" s="24" t="s">
        <v>77</v>
      </c>
      <c r="C50" s="49">
        <f>AVERAGE('22.07 Nateete-Nakawuka'!C50,'23.07 Nateete-Nakawuka'!C50,'24.07 Nateete-Nakawuka'!C50,'25.07 Nateete-Nakawuka'!C50,'26.07 Nateete-Nakawuka-24h'!C50,'27.07 Nateete-Nakawuka-24h'!C50,'28.07 Nateete-Nakawuka'!C50)</f>
        <v>20.714285714285715</v>
      </c>
      <c r="D50" s="49">
        <f>AVERAGE('22.07 Nateete-Nakawuka'!D50,'23.07 Nateete-Nakawuka'!D50,'24.07 Nateete-Nakawuka'!D50,'25.07 Nateete-Nakawuka'!D50,'26.07 Nateete-Nakawuka-24h'!D50,'27.07 Nateete-Nakawuka-24h'!D50,'28.07 Nateete-Nakawuka'!D50)</f>
        <v>5.7142857142857144</v>
      </c>
      <c r="E50" s="49">
        <f>AVERAGE('22.07 Nateete-Nakawuka'!E50,'23.07 Nateete-Nakawuka'!E50,'24.07 Nateete-Nakawuka'!E50,'25.07 Nateete-Nakawuka'!E50,'26.07 Nateete-Nakawuka-24h'!E50,'27.07 Nateete-Nakawuka-24h'!E50,'28.07 Nateete-Nakawuka'!E50)</f>
        <v>3.2857142857142856</v>
      </c>
      <c r="F50" s="49">
        <f>AVERAGE('22.07 Nateete-Nakawuka'!F50,'23.07 Nateete-Nakawuka'!F50,'24.07 Nateete-Nakawuka'!F50,'25.07 Nateete-Nakawuka'!F50,'26.07 Nateete-Nakawuka-24h'!F50,'27.07 Nateete-Nakawuka-24h'!F50,'28.07 Nateete-Nakawuka'!F50)</f>
        <v>18.428571428571427</v>
      </c>
      <c r="G50" s="49">
        <f>AVERAGE('22.07 Nateete-Nakawuka'!G50,'23.07 Nateete-Nakawuka'!G50,'24.07 Nateete-Nakawuka'!G50,'25.07 Nateete-Nakawuka'!G50,'26.07 Nateete-Nakawuka-24h'!G50,'27.07 Nateete-Nakawuka-24h'!G50,'28.07 Nateete-Nakawuka'!G50)</f>
        <v>0.8571428571428571</v>
      </c>
      <c r="H50" s="49">
        <f>AVERAGE('22.07 Nateete-Nakawuka'!H50,'23.07 Nateete-Nakawuka'!H50,'24.07 Nateete-Nakawuka'!H50,'25.07 Nateete-Nakawuka'!H50,'26.07 Nateete-Nakawuka-24h'!H50,'27.07 Nateete-Nakawuka-24h'!H50,'28.07 Nateete-Nakawuka'!H50)</f>
        <v>0.8571428571428571</v>
      </c>
      <c r="I50" s="49">
        <f>AVERAGE('22.07 Nateete-Nakawuka'!I50,'23.07 Nateete-Nakawuka'!I50,'24.07 Nateete-Nakawuka'!I50,'25.07 Nateete-Nakawuka'!I50,'26.07 Nateete-Nakawuka-24h'!I50,'27.07 Nateete-Nakawuka-24h'!I50,'28.07 Nateete-Nakawuka'!I50)</f>
        <v>5.7142857142857144</v>
      </c>
      <c r="J50" s="49">
        <f>AVERAGE('22.07 Nateete-Nakawuka'!J50,'23.07 Nateete-Nakawuka'!J50,'24.07 Nateete-Nakawuka'!J50,'25.07 Nateete-Nakawuka'!J50,'26.07 Nateete-Nakawuka-24h'!J50,'27.07 Nateete-Nakawuka-24h'!J50,'28.07 Nateete-Nakawuka'!J50)</f>
        <v>2</v>
      </c>
      <c r="K50" s="49">
        <f>AVERAGE('22.07 Nateete-Nakawuka'!K50,'23.07 Nateete-Nakawuka'!K50,'24.07 Nateete-Nakawuka'!K50,'25.07 Nateete-Nakawuka'!K50,'26.07 Nateete-Nakawuka-24h'!K50,'27.07 Nateete-Nakawuka-24h'!K50,'28.07 Nateete-Nakawuka'!K50)</f>
        <v>0.7142857142857143</v>
      </c>
      <c r="L50" s="49">
        <f>AVERAGE('22.07 Nateete-Nakawuka'!L50,'23.07 Nateete-Nakawuka'!L50,'24.07 Nateete-Nakawuka'!L50,'25.07 Nateete-Nakawuka'!L50,'26.07 Nateete-Nakawuka-24h'!L50,'27.07 Nateete-Nakawuka-24h'!L50,'28.07 Nateete-Nakawuka'!L50)</f>
        <v>0.42857142857142855</v>
      </c>
      <c r="M50" s="49">
        <f>AVERAGE('22.07 Nateete-Nakawuka'!M50,'23.07 Nateete-Nakawuka'!M50,'24.07 Nateete-Nakawuka'!M50,'25.07 Nateete-Nakawuka'!M50,'26.07 Nateete-Nakawuka-24h'!M50,'27.07 Nateete-Nakawuka-24h'!M50,'28.07 Nateete-Nakawuka'!M50)</f>
        <v>81.571428571428569</v>
      </c>
      <c r="N50" s="49">
        <f>AVERAGE('22.07 Nateete-Nakawuka'!N50,'23.07 Nateete-Nakawuka'!N50,'24.07 Nateete-Nakawuka'!N50,'25.07 Nateete-Nakawuka'!N50,'26.07 Nateete-Nakawuka-24h'!N50,'27.07 Nateete-Nakawuka-24h'!N50,'28.07 Nateete-Nakawuka'!N50)</f>
        <v>0</v>
      </c>
      <c r="O50" s="31">
        <f t="shared" si="0"/>
        <v>58.714285714285708</v>
      </c>
      <c r="P50" s="31">
        <f t="shared" si="1"/>
        <v>140.28571428571428</v>
      </c>
      <c r="R50" s="8"/>
      <c r="T50"/>
    </row>
    <row r="51" spans="2:20" ht="23.1" customHeight="1" x14ac:dyDescent="0.25">
      <c r="B51" s="24" t="s">
        <v>78</v>
      </c>
      <c r="C51" s="49">
        <f>AVERAGE('22.07 Nateete-Nakawuka'!C51,'23.07 Nateete-Nakawuka'!C51,'24.07 Nateete-Nakawuka'!C51,'25.07 Nateete-Nakawuka'!C51,'26.07 Nateete-Nakawuka-24h'!C51,'27.07 Nateete-Nakawuka-24h'!C51,'28.07 Nateete-Nakawuka'!C51)</f>
        <v>28.142857142857142</v>
      </c>
      <c r="D51" s="49">
        <f>AVERAGE('22.07 Nateete-Nakawuka'!D51,'23.07 Nateete-Nakawuka'!D51,'24.07 Nateete-Nakawuka'!D51,'25.07 Nateete-Nakawuka'!D51,'26.07 Nateete-Nakawuka-24h'!D51,'27.07 Nateete-Nakawuka-24h'!D51,'28.07 Nateete-Nakawuka'!D51)</f>
        <v>7.5714285714285712</v>
      </c>
      <c r="E51" s="49">
        <f>AVERAGE('22.07 Nateete-Nakawuka'!E51,'23.07 Nateete-Nakawuka'!E51,'24.07 Nateete-Nakawuka'!E51,'25.07 Nateete-Nakawuka'!E51,'26.07 Nateete-Nakawuka-24h'!E51,'27.07 Nateete-Nakawuka-24h'!E51,'28.07 Nateete-Nakawuka'!E51)</f>
        <v>3.1428571428571428</v>
      </c>
      <c r="F51" s="49">
        <f>AVERAGE('22.07 Nateete-Nakawuka'!F51,'23.07 Nateete-Nakawuka'!F51,'24.07 Nateete-Nakawuka'!F51,'25.07 Nateete-Nakawuka'!F51,'26.07 Nateete-Nakawuka-24h'!F51,'27.07 Nateete-Nakawuka-24h'!F51,'28.07 Nateete-Nakawuka'!F51)</f>
        <v>15.428571428571429</v>
      </c>
      <c r="G51" s="49">
        <f>AVERAGE('22.07 Nateete-Nakawuka'!G51,'23.07 Nateete-Nakawuka'!G51,'24.07 Nateete-Nakawuka'!G51,'25.07 Nateete-Nakawuka'!G51,'26.07 Nateete-Nakawuka-24h'!G51,'27.07 Nateete-Nakawuka-24h'!G51,'28.07 Nateete-Nakawuka'!G51)</f>
        <v>0.5714285714285714</v>
      </c>
      <c r="H51" s="49">
        <f>AVERAGE('22.07 Nateete-Nakawuka'!H51,'23.07 Nateete-Nakawuka'!H51,'24.07 Nateete-Nakawuka'!H51,'25.07 Nateete-Nakawuka'!H51,'26.07 Nateete-Nakawuka-24h'!H51,'27.07 Nateete-Nakawuka-24h'!H51,'28.07 Nateete-Nakawuka'!H51)</f>
        <v>0.8571428571428571</v>
      </c>
      <c r="I51" s="49">
        <f>AVERAGE('22.07 Nateete-Nakawuka'!I51,'23.07 Nateete-Nakawuka'!I51,'24.07 Nateete-Nakawuka'!I51,'25.07 Nateete-Nakawuka'!I51,'26.07 Nateete-Nakawuka-24h'!I51,'27.07 Nateete-Nakawuka-24h'!I51,'28.07 Nateete-Nakawuka'!I51)</f>
        <v>7</v>
      </c>
      <c r="J51" s="49">
        <f>AVERAGE('22.07 Nateete-Nakawuka'!J51,'23.07 Nateete-Nakawuka'!J51,'24.07 Nateete-Nakawuka'!J51,'25.07 Nateete-Nakawuka'!J51,'26.07 Nateete-Nakawuka-24h'!J51,'27.07 Nateete-Nakawuka-24h'!J51,'28.07 Nateete-Nakawuka'!J51)</f>
        <v>2.1428571428571428</v>
      </c>
      <c r="K51" s="49">
        <f>AVERAGE('22.07 Nateete-Nakawuka'!K51,'23.07 Nateete-Nakawuka'!K51,'24.07 Nateete-Nakawuka'!K51,'25.07 Nateete-Nakawuka'!K51,'26.07 Nateete-Nakawuka-24h'!K51,'27.07 Nateete-Nakawuka-24h'!K51,'28.07 Nateete-Nakawuka'!K51)</f>
        <v>1.1428571428571428</v>
      </c>
      <c r="L51" s="49">
        <f>AVERAGE('22.07 Nateete-Nakawuka'!L51,'23.07 Nateete-Nakawuka'!L51,'24.07 Nateete-Nakawuka'!L51,'25.07 Nateete-Nakawuka'!L51,'26.07 Nateete-Nakawuka-24h'!L51,'27.07 Nateete-Nakawuka-24h'!L51,'28.07 Nateete-Nakawuka'!L51)</f>
        <v>0.42857142857142855</v>
      </c>
      <c r="M51" s="49">
        <f>AVERAGE('22.07 Nateete-Nakawuka'!M51,'23.07 Nateete-Nakawuka'!M51,'24.07 Nateete-Nakawuka'!M51,'25.07 Nateete-Nakawuka'!M51,'26.07 Nateete-Nakawuka-24h'!M51,'27.07 Nateete-Nakawuka-24h'!M51,'28.07 Nateete-Nakawuka'!M51)</f>
        <v>91.428571428571431</v>
      </c>
      <c r="N51" s="49">
        <f>AVERAGE('22.07 Nateete-Nakawuka'!N51,'23.07 Nateete-Nakawuka'!N51,'24.07 Nateete-Nakawuka'!N51,'25.07 Nateete-Nakawuka'!N51,'26.07 Nateete-Nakawuka-24h'!N51,'27.07 Nateete-Nakawuka-24h'!N51,'28.07 Nateete-Nakawuka'!N51)</f>
        <v>0</v>
      </c>
      <c r="O51" s="31">
        <f t="shared" si="0"/>
        <v>66.428571428571431</v>
      </c>
      <c r="P51" s="31">
        <f t="shared" si="1"/>
        <v>157.85714285714286</v>
      </c>
      <c r="R51" s="8"/>
      <c r="T51"/>
    </row>
    <row r="52" spans="2:20" ht="23.1" customHeight="1" x14ac:dyDescent="0.25">
      <c r="B52" s="24" t="s">
        <v>79</v>
      </c>
      <c r="C52" s="49">
        <f>AVERAGE('22.07 Nateete-Nakawuka'!C52,'23.07 Nateete-Nakawuka'!C52,'24.07 Nateete-Nakawuka'!C52,'25.07 Nateete-Nakawuka'!C52,'26.07 Nateete-Nakawuka-24h'!C52,'27.07 Nateete-Nakawuka-24h'!C52,'28.07 Nateete-Nakawuka'!C52)</f>
        <v>20.428571428571427</v>
      </c>
      <c r="D52" s="49">
        <f>AVERAGE('22.07 Nateete-Nakawuka'!D52,'23.07 Nateete-Nakawuka'!D52,'24.07 Nateete-Nakawuka'!D52,'25.07 Nateete-Nakawuka'!D52,'26.07 Nateete-Nakawuka-24h'!D52,'27.07 Nateete-Nakawuka-24h'!D52,'28.07 Nateete-Nakawuka'!D52)</f>
        <v>6</v>
      </c>
      <c r="E52" s="49">
        <f>AVERAGE('22.07 Nateete-Nakawuka'!E52,'23.07 Nateete-Nakawuka'!E52,'24.07 Nateete-Nakawuka'!E52,'25.07 Nateete-Nakawuka'!E52,'26.07 Nateete-Nakawuka-24h'!E52,'27.07 Nateete-Nakawuka-24h'!E52,'28.07 Nateete-Nakawuka'!E52)</f>
        <v>3</v>
      </c>
      <c r="F52" s="49">
        <f>AVERAGE('22.07 Nateete-Nakawuka'!F52,'23.07 Nateete-Nakawuka'!F52,'24.07 Nateete-Nakawuka'!F52,'25.07 Nateete-Nakawuka'!F52,'26.07 Nateete-Nakawuka-24h'!F52,'27.07 Nateete-Nakawuka-24h'!F52,'28.07 Nateete-Nakawuka'!F52)</f>
        <v>18.857142857142858</v>
      </c>
      <c r="G52" s="49">
        <f>AVERAGE('22.07 Nateete-Nakawuka'!G52,'23.07 Nateete-Nakawuka'!G52,'24.07 Nateete-Nakawuka'!G52,'25.07 Nateete-Nakawuka'!G52,'26.07 Nateete-Nakawuka-24h'!G52,'27.07 Nateete-Nakawuka-24h'!G52,'28.07 Nateete-Nakawuka'!G52)</f>
        <v>0.7142857142857143</v>
      </c>
      <c r="H52" s="49">
        <f>AVERAGE('22.07 Nateete-Nakawuka'!H52,'23.07 Nateete-Nakawuka'!H52,'24.07 Nateete-Nakawuka'!H52,'25.07 Nateete-Nakawuka'!H52,'26.07 Nateete-Nakawuka-24h'!H52,'27.07 Nateete-Nakawuka-24h'!H52,'28.07 Nateete-Nakawuka'!H52)</f>
        <v>1.2857142857142858</v>
      </c>
      <c r="I52" s="49">
        <f>AVERAGE('22.07 Nateete-Nakawuka'!I52,'23.07 Nateete-Nakawuka'!I52,'24.07 Nateete-Nakawuka'!I52,'25.07 Nateete-Nakawuka'!I52,'26.07 Nateete-Nakawuka-24h'!I52,'27.07 Nateete-Nakawuka-24h'!I52,'28.07 Nateete-Nakawuka'!I52)</f>
        <v>5.7142857142857144</v>
      </c>
      <c r="J52" s="49">
        <f>AVERAGE('22.07 Nateete-Nakawuka'!J52,'23.07 Nateete-Nakawuka'!J52,'24.07 Nateete-Nakawuka'!J52,'25.07 Nateete-Nakawuka'!J52,'26.07 Nateete-Nakawuka-24h'!J52,'27.07 Nateete-Nakawuka-24h'!J52,'28.07 Nateete-Nakawuka'!J52)</f>
        <v>1.7142857142857142</v>
      </c>
      <c r="K52" s="49">
        <f>AVERAGE('22.07 Nateete-Nakawuka'!K52,'23.07 Nateete-Nakawuka'!K52,'24.07 Nateete-Nakawuka'!K52,'25.07 Nateete-Nakawuka'!K52,'26.07 Nateete-Nakawuka-24h'!K52,'27.07 Nateete-Nakawuka-24h'!K52,'28.07 Nateete-Nakawuka'!K52)</f>
        <v>0.7142857142857143</v>
      </c>
      <c r="L52" s="49">
        <f>AVERAGE('22.07 Nateete-Nakawuka'!L52,'23.07 Nateete-Nakawuka'!L52,'24.07 Nateete-Nakawuka'!L52,'25.07 Nateete-Nakawuka'!L52,'26.07 Nateete-Nakawuka-24h'!L52,'27.07 Nateete-Nakawuka-24h'!L52,'28.07 Nateete-Nakawuka'!L52)</f>
        <v>0.5714285714285714</v>
      </c>
      <c r="M52" s="49">
        <f>AVERAGE('22.07 Nateete-Nakawuka'!M52,'23.07 Nateete-Nakawuka'!M52,'24.07 Nateete-Nakawuka'!M52,'25.07 Nateete-Nakawuka'!M52,'26.07 Nateete-Nakawuka-24h'!M52,'27.07 Nateete-Nakawuka-24h'!M52,'28.07 Nateete-Nakawuka'!M52)</f>
        <v>88.714285714285708</v>
      </c>
      <c r="N52" s="49">
        <f>AVERAGE('22.07 Nateete-Nakawuka'!N52,'23.07 Nateete-Nakawuka'!N52,'24.07 Nateete-Nakawuka'!N52,'25.07 Nateete-Nakawuka'!N52,'26.07 Nateete-Nakawuka-24h'!N52,'27.07 Nateete-Nakawuka-24h'!N52,'28.07 Nateete-Nakawuka'!N52)</f>
        <v>0</v>
      </c>
      <c r="O52" s="31">
        <f t="shared" si="0"/>
        <v>59</v>
      </c>
      <c r="P52" s="31">
        <f t="shared" si="1"/>
        <v>147.71428571428572</v>
      </c>
      <c r="R52" s="8"/>
      <c r="T52"/>
    </row>
    <row r="53" spans="2:20" ht="23.1" customHeight="1" x14ac:dyDescent="0.25">
      <c r="B53" s="23" t="s">
        <v>80</v>
      </c>
      <c r="C53" s="49">
        <f>AVERAGE('22.07 Nateete-Nakawuka'!C53,'23.07 Nateete-Nakawuka'!C53,'24.07 Nateete-Nakawuka'!C53,'25.07 Nateete-Nakawuka'!C53,'26.07 Nateete-Nakawuka-24h'!C53,'27.07 Nateete-Nakawuka-24h'!C53,'28.07 Nateete-Nakawuka'!C53)</f>
        <v>24.142857142857142</v>
      </c>
      <c r="D53" s="49">
        <f>AVERAGE('22.07 Nateete-Nakawuka'!D53,'23.07 Nateete-Nakawuka'!D53,'24.07 Nateete-Nakawuka'!D53,'25.07 Nateete-Nakawuka'!D53,'26.07 Nateete-Nakawuka-24h'!D53,'27.07 Nateete-Nakawuka-24h'!D53,'28.07 Nateete-Nakawuka'!D53)</f>
        <v>3.4285714285714284</v>
      </c>
      <c r="E53" s="49">
        <f>AVERAGE('22.07 Nateete-Nakawuka'!E53,'23.07 Nateete-Nakawuka'!E53,'24.07 Nateete-Nakawuka'!E53,'25.07 Nateete-Nakawuka'!E53,'26.07 Nateete-Nakawuka-24h'!E53,'27.07 Nateete-Nakawuka-24h'!E53,'28.07 Nateete-Nakawuka'!E53)</f>
        <v>2.4285714285714284</v>
      </c>
      <c r="F53" s="49">
        <f>AVERAGE('22.07 Nateete-Nakawuka'!F53,'23.07 Nateete-Nakawuka'!F53,'24.07 Nateete-Nakawuka'!F53,'25.07 Nateete-Nakawuka'!F53,'26.07 Nateete-Nakawuka-24h'!F53,'27.07 Nateete-Nakawuka-24h'!F53,'28.07 Nateete-Nakawuka'!F53)</f>
        <v>21.428571428571427</v>
      </c>
      <c r="G53" s="49">
        <f>AVERAGE('22.07 Nateete-Nakawuka'!G53,'23.07 Nateete-Nakawuka'!G53,'24.07 Nateete-Nakawuka'!G53,'25.07 Nateete-Nakawuka'!G53,'26.07 Nateete-Nakawuka-24h'!G53,'27.07 Nateete-Nakawuka-24h'!G53,'28.07 Nateete-Nakawuka'!G53)</f>
        <v>1.4285714285714286</v>
      </c>
      <c r="H53" s="49">
        <f>AVERAGE('22.07 Nateete-Nakawuka'!H53,'23.07 Nateete-Nakawuka'!H53,'24.07 Nateete-Nakawuka'!H53,'25.07 Nateete-Nakawuka'!H53,'26.07 Nateete-Nakawuka-24h'!H53,'27.07 Nateete-Nakawuka-24h'!H53,'28.07 Nateete-Nakawuka'!H53)</f>
        <v>1.1428571428571428</v>
      </c>
      <c r="I53" s="49">
        <f>AVERAGE('22.07 Nateete-Nakawuka'!I53,'23.07 Nateete-Nakawuka'!I53,'24.07 Nateete-Nakawuka'!I53,'25.07 Nateete-Nakawuka'!I53,'26.07 Nateete-Nakawuka-24h'!I53,'27.07 Nateete-Nakawuka-24h'!I53,'28.07 Nateete-Nakawuka'!I53)</f>
        <v>6.8571428571428568</v>
      </c>
      <c r="J53" s="49">
        <f>AVERAGE('22.07 Nateete-Nakawuka'!J53,'23.07 Nateete-Nakawuka'!J53,'24.07 Nateete-Nakawuka'!J53,'25.07 Nateete-Nakawuka'!J53,'26.07 Nateete-Nakawuka-24h'!J53,'27.07 Nateete-Nakawuka-24h'!J53,'28.07 Nateete-Nakawuka'!J53)</f>
        <v>2.1428571428571428</v>
      </c>
      <c r="K53" s="49">
        <f>AVERAGE('22.07 Nateete-Nakawuka'!K53,'23.07 Nateete-Nakawuka'!K53,'24.07 Nateete-Nakawuka'!K53,'25.07 Nateete-Nakawuka'!K53,'26.07 Nateete-Nakawuka-24h'!K53,'27.07 Nateete-Nakawuka-24h'!K53,'28.07 Nateete-Nakawuka'!K53)</f>
        <v>0.14285714285714285</v>
      </c>
      <c r="L53" s="49">
        <f>AVERAGE('22.07 Nateete-Nakawuka'!L53,'23.07 Nateete-Nakawuka'!L53,'24.07 Nateete-Nakawuka'!L53,'25.07 Nateete-Nakawuka'!L53,'26.07 Nateete-Nakawuka-24h'!L53,'27.07 Nateete-Nakawuka-24h'!L53,'28.07 Nateete-Nakawuka'!L53)</f>
        <v>0.14285714285714285</v>
      </c>
      <c r="M53" s="49">
        <f>AVERAGE('22.07 Nateete-Nakawuka'!M53,'23.07 Nateete-Nakawuka'!M53,'24.07 Nateete-Nakawuka'!M53,'25.07 Nateete-Nakawuka'!M53,'26.07 Nateete-Nakawuka-24h'!M53,'27.07 Nateete-Nakawuka-24h'!M53,'28.07 Nateete-Nakawuka'!M53)</f>
        <v>90.428571428571431</v>
      </c>
      <c r="N53" s="49">
        <f>AVERAGE('22.07 Nateete-Nakawuka'!N53,'23.07 Nateete-Nakawuka'!N53,'24.07 Nateete-Nakawuka'!N53,'25.07 Nateete-Nakawuka'!N53,'26.07 Nateete-Nakawuka-24h'!N53,'27.07 Nateete-Nakawuka-24h'!N53,'28.07 Nateete-Nakawuka'!N53)</f>
        <v>0</v>
      </c>
      <c r="O53" s="31">
        <f t="shared" si="0"/>
        <v>63.285714285714292</v>
      </c>
      <c r="P53" s="31">
        <f t="shared" si="1"/>
        <v>153.71428571428572</v>
      </c>
      <c r="R53" s="8"/>
      <c r="T53"/>
    </row>
    <row r="54" spans="2:20" ht="23.1" customHeight="1" x14ac:dyDescent="0.25">
      <c r="B54" s="23" t="s">
        <v>81</v>
      </c>
      <c r="C54" s="49">
        <f>AVERAGE('22.07 Nateete-Nakawuka'!C54,'23.07 Nateete-Nakawuka'!C54,'24.07 Nateete-Nakawuka'!C54,'25.07 Nateete-Nakawuka'!C54,'26.07 Nateete-Nakawuka-24h'!C54,'27.07 Nateete-Nakawuka-24h'!C54,'28.07 Nateete-Nakawuka'!C54)</f>
        <v>19</v>
      </c>
      <c r="D54" s="49">
        <f>AVERAGE('22.07 Nateete-Nakawuka'!D54,'23.07 Nateete-Nakawuka'!D54,'24.07 Nateete-Nakawuka'!D54,'25.07 Nateete-Nakawuka'!D54,'26.07 Nateete-Nakawuka-24h'!D54,'27.07 Nateete-Nakawuka-24h'!D54,'28.07 Nateete-Nakawuka'!D54)</f>
        <v>4.4285714285714288</v>
      </c>
      <c r="E54" s="49">
        <f>AVERAGE('22.07 Nateete-Nakawuka'!E54,'23.07 Nateete-Nakawuka'!E54,'24.07 Nateete-Nakawuka'!E54,'25.07 Nateete-Nakawuka'!E54,'26.07 Nateete-Nakawuka-24h'!E54,'27.07 Nateete-Nakawuka-24h'!E54,'28.07 Nateete-Nakawuka'!E54)</f>
        <v>3.5714285714285716</v>
      </c>
      <c r="F54" s="49">
        <f>AVERAGE('22.07 Nateete-Nakawuka'!F54,'23.07 Nateete-Nakawuka'!F54,'24.07 Nateete-Nakawuka'!F54,'25.07 Nateete-Nakawuka'!F54,'26.07 Nateete-Nakawuka-24h'!F54,'27.07 Nateete-Nakawuka-24h'!F54,'28.07 Nateete-Nakawuka'!F54)</f>
        <v>24.714285714285715</v>
      </c>
      <c r="G54" s="49">
        <f>AVERAGE('22.07 Nateete-Nakawuka'!G54,'23.07 Nateete-Nakawuka'!G54,'24.07 Nateete-Nakawuka'!G54,'25.07 Nateete-Nakawuka'!G54,'26.07 Nateete-Nakawuka-24h'!G54,'27.07 Nateete-Nakawuka-24h'!G54,'28.07 Nateete-Nakawuka'!G54)</f>
        <v>1</v>
      </c>
      <c r="H54" s="49">
        <f>AVERAGE('22.07 Nateete-Nakawuka'!H54,'23.07 Nateete-Nakawuka'!H54,'24.07 Nateete-Nakawuka'!H54,'25.07 Nateete-Nakawuka'!H54,'26.07 Nateete-Nakawuka-24h'!H54,'27.07 Nateete-Nakawuka-24h'!H54,'28.07 Nateete-Nakawuka'!H54)</f>
        <v>0.14285714285714285</v>
      </c>
      <c r="I54" s="49">
        <f>AVERAGE('22.07 Nateete-Nakawuka'!I54,'23.07 Nateete-Nakawuka'!I54,'24.07 Nateete-Nakawuka'!I54,'25.07 Nateete-Nakawuka'!I54,'26.07 Nateete-Nakawuka-24h'!I54,'27.07 Nateete-Nakawuka-24h'!I54,'28.07 Nateete-Nakawuka'!I54)</f>
        <v>5.8571428571428568</v>
      </c>
      <c r="J54" s="49">
        <f>AVERAGE('22.07 Nateete-Nakawuka'!J54,'23.07 Nateete-Nakawuka'!J54,'24.07 Nateete-Nakawuka'!J54,'25.07 Nateete-Nakawuka'!J54,'26.07 Nateete-Nakawuka-24h'!J54,'27.07 Nateete-Nakawuka-24h'!J54,'28.07 Nateete-Nakawuka'!J54)</f>
        <v>2</v>
      </c>
      <c r="K54" s="49">
        <f>AVERAGE('22.07 Nateete-Nakawuka'!K54,'23.07 Nateete-Nakawuka'!K54,'24.07 Nateete-Nakawuka'!K54,'25.07 Nateete-Nakawuka'!K54,'26.07 Nateete-Nakawuka-24h'!K54,'27.07 Nateete-Nakawuka-24h'!K54,'28.07 Nateete-Nakawuka'!K54)</f>
        <v>1</v>
      </c>
      <c r="L54" s="49">
        <f>AVERAGE('22.07 Nateete-Nakawuka'!L54,'23.07 Nateete-Nakawuka'!L54,'24.07 Nateete-Nakawuka'!L54,'25.07 Nateete-Nakawuka'!L54,'26.07 Nateete-Nakawuka-24h'!L54,'27.07 Nateete-Nakawuka-24h'!L54,'28.07 Nateete-Nakawuka'!L54)</f>
        <v>0.42857142857142855</v>
      </c>
      <c r="M54" s="49">
        <f>AVERAGE('22.07 Nateete-Nakawuka'!M54,'23.07 Nateete-Nakawuka'!M54,'24.07 Nateete-Nakawuka'!M54,'25.07 Nateete-Nakawuka'!M54,'26.07 Nateete-Nakawuka-24h'!M54,'27.07 Nateete-Nakawuka-24h'!M54,'28.07 Nateete-Nakawuka'!M54)</f>
        <v>91</v>
      </c>
      <c r="N54" s="49">
        <f>AVERAGE('22.07 Nateete-Nakawuka'!N54,'23.07 Nateete-Nakawuka'!N54,'24.07 Nateete-Nakawuka'!N54,'25.07 Nateete-Nakawuka'!N54,'26.07 Nateete-Nakawuka-24h'!N54,'27.07 Nateete-Nakawuka-24h'!N54,'28.07 Nateete-Nakawuka'!N54)</f>
        <v>0</v>
      </c>
      <c r="O54" s="31">
        <f t="shared" si="0"/>
        <v>62.142857142857153</v>
      </c>
      <c r="P54" s="31">
        <f t="shared" si="1"/>
        <v>153.14285714285717</v>
      </c>
      <c r="R54" s="8"/>
      <c r="T54"/>
    </row>
    <row r="55" spans="2:20" ht="23.1" customHeight="1" x14ac:dyDescent="0.25">
      <c r="B55" s="23" t="s">
        <v>82</v>
      </c>
      <c r="C55" s="49">
        <f>AVERAGE('22.07 Nateete-Nakawuka'!C55,'23.07 Nateete-Nakawuka'!C55,'24.07 Nateete-Nakawuka'!C55,'25.07 Nateete-Nakawuka'!C55,'26.07 Nateete-Nakawuka-24h'!C55,'27.07 Nateete-Nakawuka-24h'!C55,'28.07 Nateete-Nakawuka'!C55)</f>
        <v>20.857142857142858</v>
      </c>
      <c r="D55" s="49">
        <f>AVERAGE('22.07 Nateete-Nakawuka'!D55,'23.07 Nateete-Nakawuka'!D55,'24.07 Nateete-Nakawuka'!D55,'25.07 Nateete-Nakawuka'!D55,'26.07 Nateete-Nakawuka-24h'!D55,'27.07 Nateete-Nakawuka-24h'!D55,'28.07 Nateete-Nakawuka'!D55)</f>
        <v>5.2857142857142856</v>
      </c>
      <c r="E55" s="49">
        <f>AVERAGE('22.07 Nateete-Nakawuka'!E55,'23.07 Nateete-Nakawuka'!E55,'24.07 Nateete-Nakawuka'!E55,'25.07 Nateete-Nakawuka'!E55,'26.07 Nateete-Nakawuka-24h'!E55,'27.07 Nateete-Nakawuka-24h'!E55,'28.07 Nateete-Nakawuka'!E55)</f>
        <v>3.5714285714285716</v>
      </c>
      <c r="F55" s="49">
        <f>AVERAGE('22.07 Nateete-Nakawuka'!F55,'23.07 Nateete-Nakawuka'!F55,'24.07 Nateete-Nakawuka'!F55,'25.07 Nateete-Nakawuka'!F55,'26.07 Nateete-Nakawuka-24h'!F55,'27.07 Nateete-Nakawuka-24h'!F55,'28.07 Nateete-Nakawuka'!F55)</f>
        <v>22.857142857142858</v>
      </c>
      <c r="G55" s="49">
        <f>AVERAGE('22.07 Nateete-Nakawuka'!G55,'23.07 Nateete-Nakawuka'!G55,'24.07 Nateete-Nakawuka'!G55,'25.07 Nateete-Nakawuka'!G55,'26.07 Nateete-Nakawuka-24h'!G55,'27.07 Nateete-Nakawuka-24h'!G55,'28.07 Nateete-Nakawuka'!G55)</f>
        <v>0.42857142857142855</v>
      </c>
      <c r="H55" s="49">
        <f>AVERAGE('22.07 Nateete-Nakawuka'!H55,'23.07 Nateete-Nakawuka'!H55,'24.07 Nateete-Nakawuka'!H55,'25.07 Nateete-Nakawuka'!H55,'26.07 Nateete-Nakawuka-24h'!H55,'27.07 Nateete-Nakawuka-24h'!H55,'28.07 Nateete-Nakawuka'!H55)</f>
        <v>0.8571428571428571</v>
      </c>
      <c r="I55" s="49">
        <f>AVERAGE('22.07 Nateete-Nakawuka'!I55,'23.07 Nateete-Nakawuka'!I55,'24.07 Nateete-Nakawuka'!I55,'25.07 Nateete-Nakawuka'!I55,'26.07 Nateete-Nakawuka-24h'!I55,'27.07 Nateete-Nakawuka-24h'!I55,'28.07 Nateete-Nakawuka'!I55)</f>
        <v>5.8571428571428568</v>
      </c>
      <c r="J55" s="49">
        <f>AVERAGE('22.07 Nateete-Nakawuka'!J55,'23.07 Nateete-Nakawuka'!J55,'24.07 Nateete-Nakawuka'!J55,'25.07 Nateete-Nakawuka'!J55,'26.07 Nateete-Nakawuka-24h'!J55,'27.07 Nateete-Nakawuka-24h'!J55,'28.07 Nateete-Nakawuka'!J55)</f>
        <v>1.1428571428571428</v>
      </c>
      <c r="K55" s="49">
        <f>AVERAGE('22.07 Nateete-Nakawuka'!K55,'23.07 Nateete-Nakawuka'!K55,'24.07 Nateete-Nakawuka'!K55,'25.07 Nateete-Nakawuka'!K55,'26.07 Nateete-Nakawuka-24h'!K55,'27.07 Nateete-Nakawuka-24h'!K55,'28.07 Nateete-Nakawuka'!K55)</f>
        <v>1.5714285714285714</v>
      </c>
      <c r="L55" s="49">
        <f>AVERAGE('22.07 Nateete-Nakawuka'!L55,'23.07 Nateete-Nakawuka'!L55,'24.07 Nateete-Nakawuka'!L55,'25.07 Nateete-Nakawuka'!L55,'26.07 Nateete-Nakawuka-24h'!L55,'27.07 Nateete-Nakawuka-24h'!L55,'28.07 Nateete-Nakawuka'!L55)</f>
        <v>0.2857142857142857</v>
      </c>
      <c r="M55" s="49">
        <f>AVERAGE('22.07 Nateete-Nakawuka'!M55,'23.07 Nateete-Nakawuka'!M55,'24.07 Nateete-Nakawuka'!M55,'25.07 Nateete-Nakawuka'!M55,'26.07 Nateete-Nakawuka-24h'!M55,'27.07 Nateete-Nakawuka-24h'!M55,'28.07 Nateete-Nakawuka'!M55)</f>
        <v>88.571428571428569</v>
      </c>
      <c r="N55" s="49">
        <f>AVERAGE('22.07 Nateete-Nakawuka'!N55,'23.07 Nateete-Nakawuka'!N55,'24.07 Nateete-Nakawuka'!N55,'25.07 Nateete-Nakawuka'!N55,'26.07 Nateete-Nakawuka-24h'!N55,'27.07 Nateete-Nakawuka-24h'!N55,'28.07 Nateete-Nakawuka'!N55)</f>
        <v>0</v>
      </c>
      <c r="O55" s="31">
        <f t="shared" si="0"/>
        <v>62.714285714285708</v>
      </c>
      <c r="P55" s="31">
        <f t="shared" si="1"/>
        <v>151.28571428571428</v>
      </c>
      <c r="R55" s="8"/>
      <c r="T55"/>
    </row>
    <row r="56" spans="2:20" ht="23.1" customHeight="1" x14ac:dyDescent="0.25">
      <c r="B56" s="23" t="s">
        <v>83</v>
      </c>
      <c r="C56" s="49">
        <f>AVERAGE('22.07 Nateete-Nakawuka'!C56,'23.07 Nateete-Nakawuka'!C56,'24.07 Nateete-Nakawuka'!C56,'25.07 Nateete-Nakawuka'!C56,'26.07 Nateete-Nakawuka-24h'!C56,'27.07 Nateete-Nakawuka-24h'!C56,'28.07 Nateete-Nakawuka'!C56)</f>
        <v>25.428571428571427</v>
      </c>
      <c r="D56" s="49">
        <f>AVERAGE('22.07 Nateete-Nakawuka'!D56,'23.07 Nateete-Nakawuka'!D56,'24.07 Nateete-Nakawuka'!D56,'25.07 Nateete-Nakawuka'!D56,'26.07 Nateete-Nakawuka-24h'!D56,'27.07 Nateete-Nakawuka-24h'!D56,'28.07 Nateete-Nakawuka'!D56)</f>
        <v>6.2857142857142856</v>
      </c>
      <c r="E56" s="49">
        <f>AVERAGE('22.07 Nateete-Nakawuka'!E56,'23.07 Nateete-Nakawuka'!E56,'24.07 Nateete-Nakawuka'!E56,'25.07 Nateete-Nakawuka'!E56,'26.07 Nateete-Nakawuka-24h'!E56,'27.07 Nateete-Nakawuka-24h'!E56,'28.07 Nateete-Nakawuka'!E56)</f>
        <v>4.2857142857142856</v>
      </c>
      <c r="F56" s="49">
        <f>AVERAGE('22.07 Nateete-Nakawuka'!F56,'23.07 Nateete-Nakawuka'!F56,'24.07 Nateete-Nakawuka'!F56,'25.07 Nateete-Nakawuka'!F56,'26.07 Nateete-Nakawuka-24h'!F56,'27.07 Nateete-Nakawuka-24h'!F56,'28.07 Nateete-Nakawuka'!F56)</f>
        <v>30.428571428571427</v>
      </c>
      <c r="G56" s="49">
        <f>AVERAGE('22.07 Nateete-Nakawuka'!G56,'23.07 Nateete-Nakawuka'!G56,'24.07 Nateete-Nakawuka'!G56,'25.07 Nateete-Nakawuka'!G56,'26.07 Nateete-Nakawuka-24h'!G56,'27.07 Nateete-Nakawuka-24h'!G56,'28.07 Nateete-Nakawuka'!G56)</f>
        <v>1.2857142857142858</v>
      </c>
      <c r="H56" s="49">
        <f>AVERAGE('22.07 Nateete-Nakawuka'!H56,'23.07 Nateete-Nakawuka'!H56,'24.07 Nateete-Nakawuka'!H56,'25.07 Nateete-Nakawuka'!H56,'26.07 Nateete-Nakawuka-24h'!H56,'27.07 Nateete-Nakawuka-24h'!H56,'28.07 Nateete-Nakawuka'!H56)</f>
        <v>0.5714285714285714</v>
      </c>
      <c r="I56" s="49">
        <f>AVERAGE('22.07 Nateete-Nakawuka'!I56,'23.07 Nateete-Nakawuka'!I56,'24.07 Nateete-Nakawuka'!I56,'25.07 Nateete-Nakawuka'!I56,'26.07 Nateete-Nakawuka-24h'!I56,'27.07 Nateete-Nakawuka-24h'!I56,'28.07 Nateete-Nakawuka'!I56)</f>
        <v>6.4285714285714288</v>
      </c>
      <c r="J56" s="49">
        <f>AVERAGE('22.07 Nateete-Nakawuka'!J56,'23.07 Nateete-Nakawuka'!J56,'24.07 Nateete-Nakawuka'!J56,'25.07 Nateete-Nakawuka'!J56,'26.07 Nateete-Nakawuka-24h'!J56,'27.07 Nateete-Nakawuka-24h'!J56,'28.07 Nateete-Nakawuka'!J56)</f>
        <v>2</v>
      </c>
      <c r="K56" s="49">
        <f>AVERAGE('22.07 Nateete-Nakawuka'!K56,'23.07 Nateete-Nakawuka'!K56,'24.07 Nateete-Nakawuka'!K56,'25.07 Nateete-Nakawuka'!K56,'26.07 Nateete-Nakawuka-24h'!K56,'27.07 Nateete-Nakawuka-24h'!K56,'28.07 Nateete-Nakawuka'!K56)</f>
        <v>0.5714285714285714</v>
      </c>
      <c r="L56" s="49">
        <f>AVERAGE('22.07 Nateete-Nakawuka'!L56,'23.07 Nateete-Nakawuka'!L56,'24.07 Nateete-Nakawuka'!L56,'25.07 Nateete-Nakawuka'!L56,'26.07 Nateete-Nakawuka-24h'!L56,'27.07 Nateete-Nakawuka-24h'!L56,'28.07 Nateete-Nakawuka'!L56)</f>
        <v>0.8571428571428571</v>
      </c>
      <c r="M56" s="49">
        <f>AVERAGE('22.07 Nateete-Nakawuka'!M56,'23.07 Nateete-Nakawuka'!M56,'24.07 Nateete-Nakawuka'!M56,'25.07 Nateete-Nakawuka'!M56,'26.07 Nateete-Nakawuka-24h'!M56,'27.07 Nateete-Nakawuka-24h'!M56,'28.07 Nateete-Nakawuka'!M56)</f>
        <v>90.285714285714292</v>
      </c>
      <c r="N56" s="49">
        <f>AVERAGE('22.07 Nateete-Nakawuka'!N56,'23.07 Nateete-Nakawuka'!N56,'24.07 Nateete-Nakawuka'!N56,'25.07 Nateete-Nakawuka'!N56,'26.07 Nateete-Nakawuka-24h'!N56,'27.07 Nateete-Nakawuka-24h'!N56,'28.07 Nateete-Nakawuka'!N56)</f>
        <v>0</v>
      </c>
      <c r="O56" s="31">
        <f t="shared" si="0"/>
        <v>78.142857142857153</v>
      </c>
      <c r="P56" s="31">
        <f t="shared" si="1"/>
        <v>168.42857142857144</v>
      </c>
      <c r="R56" s="8"/>
      <c r="T56"/>
    </row>
    <row r="57" spans="2:20" ht="23.1" customHeight="1" x14ac:dyDescent="0.25">
      <c r="B57" s="23" t="s">
        <v>84</v>
      </c>
      <c r="C57" s="49">
        <f>AVERAGE('22.07 Nateete-Nakawuka'!C57,'23.07 Nateete-Nakawuka'!C57,'24.07 Nateete-Nakawuka'!C57,'25.07 Nateete-Nakawuka'!C57,'26.07 Nateete-Nakawuka-24h'!C57,'27.07 Nateete-Nakawuka-24h'!C57,'28.07 Nateete-Nakawuka'!C57)</f>
        <v>22.714285714285715</v>
      </c>
      <c r="D57" s="49">
        <f>AVERAGE('22.07 Nateete-Nakawuka'!D57,'23.07 Nateete-Nakawuka'!D57,'24.07 Nateete-Nakawuka'!D57,'25.07 Nateete-Nakawuka'!D57,'26.07 Nateete-Nakawuka-24h'!D57,'27.07 Nateete-Nakawuka-24h'!D57,'28.07 Nateete-Nakawuka'!D57)</f>
        <v>8</v>
      </c>
      <c r="E57" s="49">
        <f>AVERAGE('22.07 Nateete-Nakawuka'!E57,'23.07 Nateete-Nakawuka'!E57,'24.07 Nateete-Nakawuka'!E57,'25.07 Nateete-Nakawuka'!E57,'26.07 Nateete-Nakawuka-24h'!E57,'27.07 Nateete-Nakawuka-24h'!E57,'28.07 Nateete-Nakawuka'!E57)</f>
        <v>2.7142857142857144</v>
      </c>
      <c r="F57" s="49">
        <f>AVERAGE('22.07 Nateete-Nakawuka'!F57,'23.07 Nateete-Nakawuka'!F57,'24.07 Nateete-Nakawuka'!F57,'25.07 Nateete-Nakawuka'!F57,'26.07 Nateete-Nakawuka-24h'!F57,'27.07 Nateete-Nakawuka-24h'!F57,'28.07 Nateete-Nakawuka'!F57)</f>
        <v>27.571428571428573</v>
      </c>
      <c r="G57" s="49">
        <f>AVERAGE('22.07 Nateete-Nakawuka'!G57,'23.07 Nateete-Nakawuka'!G57,'24.07 Nateete-Nakawuka'!G57,'25.07 Nateete-Nakawuka'!G57,'26.07 Nateete-Nakawuka-24h'!G57,'27.07 Nateete-Nakawuka-24h'!G57,'28.07 Nateete-Nakawuka'!G57)</f>
        <v>0.8571428571428571</v>
      </c>
      <c r="H57" s="49">
        <f>AVERAGE('22.07 Nateete-Nakawuka'!H57,'23.07 Nateete-Nakawuka'!H57,'24.07 Nateete-Nakawuka'!H57,'25.07 Nateete-Nakawuka'!H57,'26.07 Nateete-Nakawuka-24h'!H57,'27.07 Nateete-Nakawuka-24h'!H57,'28.07 Nateete-Nakawuka'!H57)</f>
        <v>0.8571428571428571</v>
      </c>
      <c r="I57" s="49">
        <f>AVERAGE('22.07 Nateete-Nakawuka'!I57,'23.07 Nateete-Nakawuka'!I57,'24.07 Nateete-Nakawuka'!I57,'25.07 Nateete-Nakawuka'!I57,'26.07 Nateete-Nakawuka-24h'!I57,'27.07 Nateete-Nakawuka-24h'!I57,'28.07 Nateete-Nakawuka'!I57)</f>
        <v>6.2857142857142856</v>
      </c>
      <c r="J57" s="49">
        <f>AVERAGE('22.07 Nateete-Nakawuka'!J57,'23.07 Nateete-Nakawuka'!J57,'24.07 Nateete-Nakawuka'!J57,'25.07 Nateete-Nakawuka'!J57,'26.07 Nateete-Nakawuka-24h'!J57,'27.07 Nateete-Nakawuka-24h'!J57,'28.07 Nateete-Nakawuka'!J57)</f>
        <v>1.1428571428571428</v>
      </c>
      <c r="K57" s="49">
        <f>AVERAGE('22.07 Nateete-Nakawuka'!K57,'23.07 Nateete-Nakawuka'!K57,'24.07 Nateete-Nakawuka'!K57,'25.07 Nateete-Nakawuka'!K57,'26.07 Nateete-Nakawuka-24h'!K57,'27.07 Nateete-Nakawuka-24h'!K57,'28.07 Nateete-Nakawuka'!K57)</f>
        <v>0.2857142857142857</v>
      </c>
      <c r="L57" s="49">
        <f>AVERAGE('22.07 Nateete-Nakawuka'!L57,'23.07 Nateete-Nakawuka'!L57,'24.07 Nateete-Nakawuka'!L57,'25.07 Nateete-Nakawuka'!L57,'26.07 Nateete-Nakawuka-24h'!L57,'27.07 Nateete-Nakawuka-24h'!L57,'28.07 Nateete-Nakawuka'!L57)</f>
        <v>0.2857142857142857</v>
      </c>
      <c r="M57" s="49">
        <f>AVERAGE('22.07 Nateete-Nakawuka'!M57,'23.07 Nateete-Nakawuka'!M57,'24.07 Nateete-Nakawuka'!M57,'25.07 Nateete-Nakawuka'!M57,'26.07 Nateete-Nakawuka-24h'!M57,'27.07 Nateete-Nakawuka-24h'!M57,'28.07 Nateete-Nakawuka'!M57)</f>
        <v>84.714285714285708</v>
      </c>
      <c r="N57" s="49">
        <f>AVERAGE('22.07 Nateete-Nakawuka'!N57,'23.07 Nateete-Nakawuka'!N57,'24.07 Nateete-Nakawuka'!N57,'25.07 Nateete-Nakawuka'!N57,'26.07 Nateete-Nakawuka-24h'!N57,'27.07 Nateete-Nakawuka-24h'!N57,'28.07 Nateete-Nakawuka'!N57)</f>
        <v>0</v>
      </c>
      <c r="O57" s="31">
        <f t="shared" si="0"/>
        <v>70.714285714285722</v>
      </c>
      <c r="P57" s="31">
        <f t="shared" si="1"/>
        <v>155.42857142857144</v>
      </c>
      <c r="R57" s="8"/>
      <c r="T57"/>
    </row>
    <row r="58" spans="2:20" ht="23.1" customHeight="1" x14ac:dyDescent="0.25">
      <c r="B58" s="23" t="s">
        <v>99</v>
      </c>
      <c r="C58" s="49">
        <f>AVERAGE('26.07 Nateete-Nakawuka-24h'!C58,'27.07 Nateete-Nakawuka-24h'!C58)</f>
        <v>36.5</v>
      </c>
      <c r="D58" s="49">
        <f>AVERAGE('26.07 Nateete-Nakawuka-24h'!D58,'27.07 Nateete-Nakawuka-24h'!D58)</f>
        <v>16.5</v>
      </c>
      <c r="E58" s="49">
        <f>AVERAGE('26.07 Nateete-Nakawuka-24h'!E58,'27.07 Nateete-Nakawuka-24h'!E58)</f>
        <v>13.5</v>
      </c>
      <c r="F58" s="49">
        <f>AVERAGE('26.07 Nateete-Nakawuka-24h'!F58,'27.07 Nateete-Nakawuka-24h'!F58)</f>
        <v>57</v>
      </c>
      <c r="G58" s="49">
        <f>AVERAGE('26.07 Nateete-Nakawuka-24h'!G58,'27.07 Nateete-Nakawuka-24h'!G58)</f>
        <v>2</v>
      </c>
      <c r="H58" s="49">
        <f>AVERAGE('26.07 Nateete-Nakawuka-24h'!H58,'27.07 Nateete-Nakawuka-24h'!H58)</f>
        <v>0</v>
      </c>
      <c r="I58" s="49">
        <f>AVERAGE('26.07 Nateete-Nakawuka-24h'!I58,'27.07 Nateete-Nakawuka-24h'!I58)</f>
        <v>13</v>
      </c>
      <c r="J58" s="49">
        <f>AVERAGE('26.07 Nateete-Nakawuka-24h'!J58,'27.07 Nateete-Nakawuka-24h'!J58)</f>
        <v>2</v>
      </c>
      <c r="K58" s="49">
        <f>AVERAGE('26.07 Nateete-Nakawuka-24h'!K58,'27.07 Nateete-Nakawuka-24h'!K58)</f>
        <v>1.5</v>
      </c>
      <c r="L58" s="49">
        <f>AVERAGE('26.07 Nateete-Nakawuka-24h'!L58,'27.07 Nateete-Nakawuka-24h'!L58)</f>
        <v>0</v>
      </c>
      <c r="M58" s="49">
        <f>AVERAGE('26.07 Nateete-Nakawuka-24h'!M58,'27.07 Nateete-Nakawuka-24h'!M58)</f>
        <v>139.5</v>
      </c>
      <c r="N58" s="49">
        <f>AVERAGE('26.07 Nateete-Nakawuka-24h'!N58,'27.07 Nateete-Nakawuka-24h'!N58)</f>
        <v>0</v>
      </c>
      <c r="O58" s="31">
        <f t="shared" si="0"/>
        <v>142</v>
      </c>
      <c r="P58" s="31">
        <f t="shared" si="1"/>
        <v>281.5</v>
      </c>
      <c r="R58" s="8"/>
      <c r="T58"/>
    </row>
    <row r="59" spans="2:20" ht="23.1" customHeight="1" x14ac:dyDescent="0.25">
      <c r="B59" s="23" t="s">
        <v>100</v>
      </c>
      <c r="C59" s="49">
        <f>AVERAGE('26.07 Nateete-Nakawuka-24h'!C59,'27.07 Nateete-Nakawuka-24h'!C59)</f>
        <v>36.5</v>
      </c>
      <c r="D59" s="49">
        <f>AVERAGE('26.07 Nateete-Nakawuka-24h'!D59,'27.07 Nateete-Nakawuka-24h'!D59)</f>
        <v>15.5</v>
      </c>
      <c r="E59" s="49">
        <f>AVERAGE('26.07 Nateete-Nakawuka-24h'!E59,'27.07 Nateete-Nakawuka-24h'!E59)</f>
        <v>11.5</v>
      </c>
      <c r="F59" s="49">
        <f>AVERAGE('26.07 Nateete-Nakawuka-24h'!F59,'27.07 Nateete-Nakawuka-24h'!F59)</f>
        <v>60</v>
      </c>
      <c r="G59" s="49">
        <f>AVERAGE('26.07 Nateete-Nakawuka-24h'!G59,'27.07 Nateete-Nakawuka-24h'!G59)</f>
        <v>4</v>
      </c>
      <c r="H59" s="49">
        <f>AVERAGE('26.07 Nateete-Nakawuka-24h'!H59,'27.07 Nateete-Nakawuka-24h'!H59)</f>
        <v>2.5</v>
      </c>
      <c r="I59" s="49">
        <f>AVERAGE('26.07 Nateete-Nakawuka-24h'!I59,'27.07 Nateete-Nakawuka-24h'!I59)</f>
        <v>10</v>
      </c>
      <c r="J59" s="49">
        <f>AVERAGE('26.07 Nateete-Nakawuka-24h'!J59,'27.07 Nateete-Nakawuka-24h'!J59)</f>
        <v>1</v>
      </c>
      <c r="K59" s="49">
        <f>AVERAGE('26.07 Nateete-Nakawuka-24h'!K59,'27.07 Nateete-Nakawuka-24h'!K59)</f>
        <v>2.5</v>
      </c>
      <c r="L59" s="49">
        <f>AVERAGE('26.07 Nateete-Nakawuka-24h'!L59,'27.07 Nateete-Nakawuka-24h'!L59)</f>
        <v>1</v>
      </c>
      <c r="M59" s="49">
        <f>AVERAGE('26.07 Nateete-Nakawuka-24h'!M59,'27.07 Nateete-Nakawuka-24h'!M59)</f>
        <v>135</v>
      </c>
      <c r="N59" s="49">
        <f>AVERAGE('26.07 Nateete-Nakawuka-24h'!N59,'27.07 Nateete-Nakawuka-24h'!N59)</f>
        <v>0</v>
      </c>
      <c r="O59" s="31">
        <f t="shared" si="0"/>
        <v>144.5</v>
      </c>
      <c r="P59" s="31">
        <f t="shared" si="1"/>
        <v>279.5</v>
      </c>
      <c r="R59" s="8"/>
      <c r="T59"/>
    </row>
    <row r="60" spans="2:20" ht="23.1" customHeight="1" x14ac:dyDescent="0.25">
      <c r="B60" s="23" t="s">
        <v>101</v>
      </c>
      <c r="C60" s="49">
        <f>AVERAGE('26.07 Nateete-Nakawuka-24h'!C60,'27.07 Nateete-Nakawuka-24h'!C60)</f>
        <v>39.5</v>
      </c>
      <c r="D60" s="49">
        <f>AVERAGE('26.07 Nateete-Nakawuka-24h'!D60,'27.07 Nateete-Nakawuka-24h'!D60)</f>
        <v>27</v>
      </c>
      <c r="E60" s="49">
        <f>AVERAGE('26.07 Nateete-Nakawuka-24h'!E60,'27.07 Nateete-Nakawuka-24h'!E60)</f>
        <v>2</v>
      </c>
      <c r="F60" s="49">
        <f>AVERAGE('26.07 Nateete-Nakawuka-24h'!F60,'27.07 Nateete-Nakawuka-24h'!F60)</f>
        <v>86</v>
      </c>
      <c r="G60" s="49">
        <f>AVERAGE('26.07 Nateete-Nakawuka-24h'!G60,'27.07 Nateete-Nakawuka-24h'!G60)</f>
        <v>24</v>
      </c>
      <c r="H60" s="49">
        <f>AVERAGE('26.07 Nateete-Nakawuka-24h'!H60,'27.07 Nateete-Nakawuka-24h'!H60)</f>
        <v>2.5</v>
      </c>
      <c r="I60" s="49">
        <f>AVERAGE('26.07 Nateete-Nakawuka-24h'!I60,'27.07 Nateete-Nakawuka-24h'!I60)</f>
        <v>9</v>
      </c>
      <c r="J60" s="49">
        <f>AVERAGE('26.07 Nateete-Nakawuka-24h'!J60,'27.07 Nateete-Nakawuka-24h'!J60)</f>
        <v>7</v>
      </c>
      <c r="K60" s="49">
        <f>AVERAGE('26.07 Nateete-Nakawuka-24h'!K60,'27.07 Nateete-Nakawuka-24h'!K60)</f>
        <v>1</v>
      </c>
      <c r="L60" s="49">
        <f>AVERAGE('26.07 Nateete-Nakawuka-24h'!L60,'27.07 Nateete-Nakawuka-24h'!L60)</f>
        <v>0</v>
      </c>
      <c r="M60" s="49">
        <f>AVERAGE('26.07 Nateete-Nakawuka-24h'!M60,'27.07 Nateete-Nakawuka-24h'!M60)</f>
        <v>167.5</v>
      </c>
      <c r="N60" s="49">
        <f>AVERAGE('26.07 Nateete-Nakawuka-24h'!N60,'27.07 Nateete-Nakawuka-24h'!N60)</f>
        <v>1</v>
      </c>
      <c r="O60" s="31">
        <f t="shared" si="0"/>
        <v>199</v>
      </c>
      <c r="P60" s="31">
        <f t="shared" si="1"/>
        <v>366.5</v>
      </c>
      <c r="R60" s="8"/>
      <c r="T60"/>
    </row>
    <row r="61" spans="2:20" ht="23.1" customHeight="1" x14ac:dyDescent="0.25">
      <c r="B61" s="23" t="s">
        <v>102</v>
      </c>
      <c r="C61" s="49">
        <f>AVERAGE('26.07 Nateete-Nakawuka-24h'!C61,'27.07 Nateete-Nakawuka-24h'!C61)</f>
        <v>32</v>
      </c>
      <c r="D61" s="49">
        <f>AVERAGE('26.07 Nateete-Nakawuka-24h'!D61,'27.07 Nateete-Nakawuka-24h'!D61)</f>
        <v>8.5</v>
      </c>
      <c r="E61" s="49">
        <f>AVERAGE('26.07 Nateete-Nakawuka-24h'!E61,'27.07 Nateete-Nakawuka-24h'!E61)</f>
        <v>4</v>
      </c>
      <c r="F61" s="49">
        <f>AVERAGE('26.07 Nateete-Nakawuka-24h'!F61,'27.07 Nateete-Nakawuka-24h'!F61)</f>
        <v>43</v>
      </c>
      <c r="G61" s="49">
        <f>AVERAGE('26.07 Nateete-Nakawuka-24h'!G61,'27.07 Nateete-Nakawuka-24h'!G61)</f>
        <v>0</v>
      </c>
      <c r="H61" s="49">
        <f>AVERAGE('26.07 Nateete-Nakawuka-24h'!H61,'27.07 Nateete-Nakawuka-24h'!H61)</f>
        <v>0</v>
      </c>
      <c r="I61" s="49">
        <f>AVERAGE('26.07 Nateete-Nakawuka-24h'!I61,'27.07 Nateete-Nakawuka-24h'!I61)</f>
        <v>2</v>
      </c>
      <c r="J61" s="49">
        <f>AVERAGE('26.07 Nateete-Nakawuka-24h'!J61,'27.07 Nateete-Nakawuka-24h'!J61)</f>
        <v>0.5</v>
      </c>
      <c r="K61" s="49">
        <f>AVERAGE('26.07 Nateete-Nakawuka-24h'!K61,'27.07 Nateete-Nakawuka-24h'!K61)</f>
        <v>1</v>
      </c>
      <c r="L61" s="49">
        <f>AVERAGE('26.07 Nateete-Nakawuka-24h'!L61,'27.07 Nateete-Nakawuka-24h'!L61)</f>
        <v>0.5</v>
      </c>
      <c r="M61" s="49">
        <f>AVERAGE('26.07 Nateete-Nakawuka-24h'!M61,'27.07 Nateete-Nakawuka-24h'!M61)</f>
        <v>183</v>
      </c>
      <c r="N61" s="49">
        <f>AVERAGE('26.07 Nateete-Nakawuka-24h'!N61,'27.07 Nateete-Nakawuka-24h'!N61)</f>
        <v>0</v>
      </c>
      <c r="O61" s="31">
        <f t="shared" si="0"/>
        <v>91.5</v>
      </c>
      <c r="P61" s="31">
        <f t="shared" si="1"/>
        <v>274.5</v>
      </c>
      <c r="R61" s="8"/>
      <c r="T61"/>
    </row>
    <row r="62" spans="2:20" ht="23.1" customHeight="1" x14ac:dyDescent="0.25">
      <c r="B62" s="23" t="s">
        <v>107</v>
      </c>
      <c r="C62" s="49">
        <f>AVERAGE('26.07 Nateete-Nakawuka-24h'!C62,'27.07 Nateete-Nakawuka-24h'!C62)</f>
        <v>50</v>
      </c>
      <c r="D62" s="49">
        <f>AVERAGE('26.07 Nateete-Nakawuka-24h'!D62,'27.07 Nateete-Nakawuka-24h'!D62)</f>
        <v>5</v>
      </c>
      <c r="E62" s="49">
        <f>AVERAGE('26.07 Nateete-Nakawuka-24h'!E62,'27.07 Nateete-Nakawuka-24h'!E62)</f>
        <v>1.5</v>
      </c>
      <c r="F62" s="49">
        <f>AVERAGE('26.07 Nateete-Nakawuka-24h'!F62,'27.07 Nateete-Nakawuka-24h'!F62)</f>
        <v>32</v>
      </c>
      <c r="G62" s="49">
        <f>AVERAGE('26.07 Nateete-Nakawuka-24h'!G62,'27.07 Nateete-Nakawuka-24h'!G62)</f>
        <v>0.5</v>
      </c>
      <c r="H62" s="49">
        <f>AVERAGE('26.07 Nateete-Nakawuka-24h'!H62,'27.07 Nateete-Nakawuka-24h'!H62)</f>
        <v>1</v>
      </c>
      <c r="I62" s="49">
        <f>AVERAGE('26.07 Nateete-Nakawuka-24h'!I62,'27.07 Nateete-Nakawuka-24h'!I62)</f>
        <v>3</v>
      </c>
      <c r="J62" s="49">
        <f>AVERAGE('26.07 Nateete-Nakawuka-24h'!J62,'27.07 Nateete-Nakawuka-24h'!J62)</f>
        <v>0</v>
      </c>
      <c r="K62" s="49">
        <f>AVERAGE('26.07 Nateete-Nakawuka-24h'!K62,'27.07 Nateete-Nakawuka-24h'!K62)</f>
        <v>0.5</v>
      </c>
      <c r="L62" s="49">
        <f>AVERAGE('26.07 Nateete-Nakawuka-24h'!L62,'27.07 Nateete-Nakawuka-24h'!L62)</f>
        <v>0</v>
      </c>
      <c r="M62" s="49">
        <f>AVERAGE('26.07 Nateete-Nakawuka-24h'!M62,'27.07 Nateete-Nakawuka-24h'!M62)</f>
        <v>134</v>
      </c>
      <c r="N62" s="49">
        <f>AVERAGE('26.07 Nateete-Nakawuka-24h'!N62,'27.07 Nateete-Nakawuka-24h'!N62)</f>
        <v>0</v>
      </c>
      <c r="O62" s="31">
        <f t="shared" si="0"/>
        <v>93.5</v>
      </c>
      <c r="P62" s="31">
        <f t="shared" si="1"/>
        <v>227.5</v>
      </c>
      <c r="R62" s="8"/>
      <c r="T62"/>
    </row>
    <row r="63" spans="2:20" ht="23.1" customHeight="1" x14ac:dyDescent="0.25">
      <c r="B63" s="23" t="s">
        <v>108</v>
      </c>
      <c r="C63" s="49">
        <f>AVERAGE('26.07 Nateete-Nakawuka-24h'!C63,'27.07 Nateete-Nakawuka-24h'!C63)</f>
        <v>18</v>
      </c>
      <c r="D63" s="49">
        <f>AVERAGE('26.07 Nateete-Nakawuka-24h'!D63,'27.07 Nateete-Nakawuka-24h'!D63)</f>
        <v>4.5</v>
      </c>
      <c r="E63" s="49">
        <f>AVERAGE('26.07 Nateete-Nakawuka-24h'!E63,'27.07 Nateete-Nakawuka-24h'!E63)</f>
        <v>2</v>
      </c>
      <c r="F63" s="49">
        <f>AVERAGE('26.07 Nateete-Nakawuka-24h'!F63,'27.07 Nateete-Nakawuka-24h'!F63)</f>
        <v>32</v>
      </c>
      <c r="G63" s="49">
        <f>AVERAGE('26.07 Nateete-Nakawuka-24h'!G63,'27.07 Nateete-Nakawuka-24h'!G63)</f>
        <v>0</v>
      </c>
      <c r="H63" s="49">
        <f>AVERAGE('26.07 Nateete-Nakawuka-24h'!H63,'27.07 Nateete-Nakawuka-24h'!H63)</f>
        <v>1</v>
      </c>
      <c r="I63" s="49">
        <f>AVERAGE('26.07 Nateete-Nakawuka-24h'!I63,'27.07 Nateete-Nakawuka-24h'!I63)</f>
        <v>2</v>
      </c>
      <c r="J63" s="49">
        <f>AVERAGE('26.07 Nateete-Nakawuka-24h'!J63,'27.07 Nateete-Nakawuka-24h'!J63)</f>
        <v>1</v>
      </c>
      <c r="K63" s="49">
        <f>AVERAGE('26.07 Nateete-Nakawuka-24h'!K63,'27.07 Nateete-Nakawuka-24h'!K63)</f>
        <v>0</v>
      </c>
      <c r="L63" s="49">
        <f>AVERAGE('26.07 Nateete-Nakawuka-24h'!L63,'27.07 Nateete-Nakawuka-24h'!L63)</f>
        <v>0</v>
      </c>
      <c r="M63" s="49">
        <f>AVERAGE('26.07 Nateete-Nakawuka-24h'!M63,'27.07 Nateete-Nakawuka-24h'!M63)</f>
        <v>114.5</v>
      </c>
      <c r="N63" s="49">
        <f>AVERAGE('26.07 Nateete-Nakawuka-24h'!N63,'27.07 Nateete-Nakawuka-24h'!N63)</f>
        <v>0</v>
      </c>
      <c r="O63" s="31">
        <f t="shared" si="0"/>
        <v>60.5</v>
      </c>
      <c r="P63" s="31">
        <f t="shared" si="1"/>
        <v>175</v>
      </c>
      <c r="R63" s="8"/>
      <c r="T63"/>
    </row>
    <row r="64" spans="2:20" ht="23.1" customHeight="1" x14ac:dyDescent="0.25">
      <c r="B64" s="23" t="s">
        <v>109</v>
      </c>
      <c r="C64" s="49">
        <f>AVERAGE('26.07 Nateete-Nakawuka-24h'!C64,'27.07 Nateete-Nakawuka-24h'!C64)</f>
        <v>22.5</v>
      </c>
      <c r="D64" s="49">
        <f>AVERAGE('26.07 Nateete-Nakawuka-24h'!D64,'27.07 Nateete-Nakawuka-24h'!D64)</f>
        <v>1.5</v>
      </c>
      <c r="E64" s="49">
        <f>AVERAGE('26.07 Nateete-Nakawuka-24h'!E64,'27.07 Nateete-Nakawuka-24h'!E64)</f>
        <v>0.5</v>
      </c>
      <c r="F64" s="49">
        <f>AVERAGE('26.07 Nateete-Nakawuka-24h'!F64,'27.07 Nateete-Nakawuka-24h'!F64)</f>
        <v>32</v>
      </c>
      <c r="G64" s="49">
        <f>AVERAGE('26.07 Nateete-Nakawuka-24h'!G64,'27.07 Nateete-Nakawuka-24h'!G64)</f>
        <v>0</v>
      </c>
      <c r="H64" s="49">
        <f>AVERAGE('26.07 Nateete-Nakawuka-24h'!H64,'27.07 Nateete-Nakawuka-24h'!H64)</f>
        <v>2</v>
      </c>
      <c r="I64" s="49">
        <f>AVERAGE('26.07 Nateete-Nakawuka-24h'!I64,'27.07 Nateete-Nakawuka-24h'!I64)</f>
        <v>5</v>
      </c>
      <c r="J64" s="49">
        <f>AVERAGE('26.07 Nateete-Nakawuka-24h'!J64,'27.07 Nateete-Nakawuka-24h'!J64)</f>
        <v>0</v>
      </c>
      <c r="K64" s="49">
        <f>AVERAGE('26.07 Nateete-Nakawuka-24h'!K64,'27.07 Nateete-Nakawuka-24h'!K64)</f>
        <v>1</v>
      </c>
      <c r="L64" s="49">
        <f>AVERAGE('26.07 Nateete-Nakawuka-24h'!L64,'27.07 Nateete-Nakawuka-24h'!L64)</f>
        <v>0</v>
      </c>
      <c r="M64" s="49">
        <f>AVERAGE('26.07 Nateete-Nakawuka-24h'!M64,'27.07 Nateete-Nakawuka-24h'!M64)</f>
        <v>112.5</v>
      </c>
      <c r="N64" s="49">
        <f>AVERAGE('26.07 Nateete-Nakawuka-24h'!N64,'27.07 Nateete-Nakawuka-24h'!N64)</f>
        <v>0</v>
      </c>
      <c r="O64" s="31">
        <f t="shared" si="0"/>
        <v>64.5</v>
      </c>
      <c r="P64" s="31">
        <f t="shared" si="1"/>
        <v>177</v>
      </c>
      <c r="R64" s="8"/>
      <c r="T64"/>
    </row>
    <row r="65" spans="2:20" ht="23.1" customHeight="1" x14ac:dyDescent="0.25">
      <c r="B65" s="23" t="s">
        <v>158</v>
      </c>
      <c r="C65" s="49">
        <f>AVERAGE('26.07 Nateete-Nakawuka-24h'!C65,'27.07 Nateete-Nakawuka-24h'!C65)</f>
        <v>30.5</v>
      </c>
      <c r="D65" s="49">
        <f>AVERAGE('26.07 Nateete-Nakawuka-24h'!D65,'27.07 Nateete-Nakawuka-24h'!D65)</f>
        <v>10.5</v>
      </c>
      <c r="E65" s="49">
        <f>AVERAGE('26.07 Nateete-Nakawuka-24h'!E65,'27.07 Nateete-Nakawuka-24h'!E65)</f>
        <v>0</v>
      </c>
      <c r="F65" s="49">
        <f>AVERAGE('26.07 Nateete-Nakawuka-24h'!F65,'27.07 Nateete-Nakawuka-24h'!F65)</f>
        <v>28.5</v>
      </c>
      <c r="G65" s="49">
        <f>AVERAGE('26.07 Nateete-Nakawuka-24h'!G65,'27.07 Nateete-Nakawuka-24h'!G65)</f>
        <v>0.5</v>
      </c>
      <c r="H65" s="49">
        <f>AVERAGE('26.07 Nateete-Nakawuka-24h'!H65,'27.07 Nateete-Nakawuka-24h'!H65)</f>
        <v>2</v>
      </c>
      <c r="I65" s="49">
        <f>AVERAGE('26.07 Nateete-Nakawuka-24h'!I65,'27.07 Nateete-Nakawuka-24h'!I65)</f>
        <v>6.5</v>
      </c>
      <c r="J65" s="49">
        <f>AVERAGE('26.07 Nateete-Nakawuka-24h'!J65,'27.07 Nateete-Nakawuka-24h'!J65)</f>
        <v>0</v>
      </c>
      <c r="K65" s="49">
        <f>AVERAGE('26.07 Nateete-Nakawuka-24h'!K65,'27.07 Nateete-Nakawuka-24h'!K65)</f>
        <v>0</v>
      </c>
      <c r="L65" s="49">
        <f>AVERAGE('26.07 Nateete-Nakawuka-24h'!L65,'27.07 Nateete-Nakawuka-24h'!L65)</f>
        <v>0</v>
      </c>
      <c r="M65" s="49">
        <f>AVERAGE('26.07 Nateete-Nakawuka-24h'!M65,'27.07 Nateete-Nakawuka-24h'!M65)</f>
        <v>120.5</v>
      </c>
      <c r="N65" s="49">
        <f>AVERAGE('26.07 Nateete-Nakawuka-24h'!N65,'27.07 Nateete-Nakawuka-24h'!N65)</f>
        <v>0</v>
      </c>
      <c r="O65" s="31">
        <f t="shared" si="0"/>
        <v>78.5</v>
      </c>
      <c r="P65" s="31">
        <f t="shared" si="1"/>
        <v>199</v>
      </c>
      <c r="R65" s="8"/>
      <c r="T65"/>
    </row>
    <row r="66" spans="2:20" ht="23.1" customHeight="1" x14ac:dyDescent="0.25">
      <c r="B66" s="23" t="s">
        <v>103</v>
      </c>
      <c r="C66" s="49">
        <f>AVERAGE('26.07 Nateete-Nakawuka-24h'!C66,'27.07 Nateete-Nakawuka-24h'!C66)</f>
        <v>16</v>
      </c>
      <c r="D66" s="49">
        <f>AVERAGE('26.07 Nateete-Nakawuka-24h'!D66,'27.07 Nateete-Nakawuka-24h'!D66)</f>
        <v>9</v>
      </c>
      <c r="E66" s="49">
        <f>AVERAGE('26.07 Nateete-Nakawuka-24h'!E66,'27.07 Nateete-Nakawuka-24h'!E66)</f>
        <v>3</v>
      </c>
      <c r="F66" s="49">
        <f>AVERAGE('26.07 Nateete-Nakawuka-24h'!F66,'27.07 Nateete-Nakawuka-24h'!F66)</f>
        <v>47</v>
      </c>
      <c r="G66" s="49">
        <f>AVERAGE('26.07 Nateete-Nakawuka-24h'!G66,'27.07 Nateete-Nakawuka-24h'!G66)</f>
        <v>1</v>
      </c>
      <c r="H66" s="49">
        <f>AVERAGE('26.07 Nateete-Nakawuka-24h'!H66,'27.07 Nateete-Nakawuka-24h'!H66)</f>
        <v>1</v>
      </c>
      <c r="I66" s="49">
        <f>AVERAGE('26.07 Nateete-Nakawuka-24h'!I66,'27.07 Nateete-Nakawuka-24h'!I66)</f>
        <v>6.5</v>
      </c>
      <c r="J66" s="49">
        <f>AVERAGE('26.07 Nateete-Nakawuka-24h'!J66,'27.07 Nateete-Nakawuka-24h'!J66)</f>
        <v>0.5</v>
      </c>
      <c r="K66" s="49">
        <f>AVERAGE('26.07 Nateete-Nakawuka-24h'!K66,'27.07 Nateete-Nakawuka-24h'!K66)</f>
        <v>1</v>
      </c>
      <c r="L66" s="49">
        <f>AVERAGE('26.07 Nateete-Nakawuka-24h'!L66,'27.07 Nateete-Nakawuka-24h'!L66)</f>
        <v>5.5</v>
      </c>
      <c r="M66" s="49">
        <f>AVERAGE('26.07 Nateete-Nakawuka-24h'!M66,'27.07 Nateete-Nakawuka-24h'!M66)</f>
        <v>98.5</v>
      </c>
      <c r="N66" s="49">
        <f>AVERAGE('26.07 Nateete-Nakawuka-24h'!N66,'27.07 Nateete-Nakawuka-24h'!N66)</f>
        <v>0</v>
      </c>
      <c r="O66" s="31">
        <f t="shared" si="0"/>
        <v>90.5</v>
      </c>
      <c r="P66" s="31">
        <f t="shared" si="1"/>
        <v>189</v>
      </c>
      <c r="R66" s="8"/>
      <c r="T66"/>
    </row>
    <row r="67" spans="2:20" ht="23.1" customHeight="1" x14ac:dyDescent="0.25">
      <c r="B67" s="23" t="s">
        <v>104</v>
      </c>
      <c r="C67" s="49">
        <f>AVERAGE('26.07 Nateete-Nakawuka-24h'!C67,'27.07 Nateete-Nakawuka-24h'!C67)</f>
        <v>26</v>
      </c>
      <c r="D67" s="49">
        <f>AVERAGE('26.07 Nateete-Nakawuka-24h'!D67,'27.07 Nateete-Nakawuka-24h'!D67)</f>
        <v>6</v>
      </c>
      <c r="E67" s="49">
        <f>AVERAGE('26.07 Nateete-Nakawuka-24h'!E67,'27.07 Nateete-Nakawuka-24h'!E67)</f>
        <v>2</v>
      </c>
      <c r="F67" s="49">
        <f>AVERAGE('26.07 Nateete-Nakawuka-24h'!F67,'27.07 Nateete-Nakawuka-24h'!F67)</f>
        <v>46.5</v>
      </c>
      <c r="G67" s="49">
        <f>AVERAGE('26.07 Nateete-Nakawuka-24h'!G67,'27.07 Nateete-Nakawuka-24h'!G67)</f>
        <v>0</v>
      </c>
      <c r="H67" s="49">
        <f>AVERAGE('26.07 Nateete-Nakawuka-24h'!H67,'27.07 Nateete-Nakawuka-24h'!H67)</f>
        <v>1.5</v>
      </c>
      <c r="I67" s="49">
        <f>AVERAGE('26.07 Nateete-Nakawuka-24h'!I67,'27.07 Nateete-Nakawuka-24h'!I67)</f>
        <v>2</v>
      </c>
      <c r="J67" s="49">
        <f>AVERAGE('26.07 Nateete-Nakawuka-24h'!J67,'27.07 Nateete-Nakawuka-24h'!J67)</f>
        <v>0.5</v>
      </c>
      <c r="K67" s="49">
        <f>AVERAGE('26.07 Nateete-Nakawuka-24h'!K67,'27.07 Nateete-Nakawuka-24h'!K67)</f>
        <v>2</v>
      </c>
      <c r="L67" s="49">
        <f>AVERAGE('26.07 Nateete-Nakawuka-24h'!L67,'27.07 Nateete-Nakawuka-24h'!L67)</f>
        <v>1</v>
      </c>
      <c r="M67" s="49">
        <f>AVERAGE('26.07 Nateete-Nakawuka-24h'!M67,'27.07 Nateete-Nakawuka-24h'!M67)</f>
        <v>69</v>
      </c>
      <c r="N67" s="49">
        <f>AVERAGE('26.07 Nateete-Nakawuka-24h'!N67,'27.07 Nateete-Nakawuka-24h'!N67)</f>
        <v>0</v>
      </c>
      <c r="O67" s="31">
        <f t="shared" si="0"/>
        <v>87.5</v>
      </c>
      <c r="P67" s="31">
        <f t="shared" si="1"/>
        <v>156.5</v>
      </c>
      <c r="R67" s="8"/>
      <c r="T67"/>
    </row>
    <row r="68" spans="2:20" ht="23.1" customHeight="1" x14ac:dyDescent="0.25">
      <c r="B68" s="23" t="s">
        <v>105</v>
      </c>
      <c r="C68" s="49">
        <f>AVERAGE('26.07 Nateete-Nakawuka-24h'!C68,'27.07 Nateete-Nakawuka-24h'!C68)</f>
        <v>23.5</v>
      </c>
      <c r="D68" s="49">
        <f>AVERAGE('26.07 Nateete-Nakawuka-24h'!D68,'27.07 Nateete-Nakawuka-24h'!D68)</f>
        <v>10</v>
      </c>
      <c r="E68" s="49">
        <f>AVERAGE('26.07 Nateete-Nakawuka-24h'!E68,'27.07 Nateete-Nakawuka-24h'!E68)</f>
        <v>2</v>
      </c>
      <c r="F68" s="49">
        <f>AVERAGE('26.07 Nateete-Nakawuka-24h'!F68,'27.07 Nateete-Nakawuka-24h'!F68)</f>
        <v>53</v>
      </c>
      <c r="G68" s="49">
        <f>AVERAGE('26.07 Nateete-Nakawuka-24h'!G68,'27.07 Nateete-Nakawuka-24h'!G68)</f>
        <v>0.5</v>
      </c>
      <c r="H68" s="49">
        <f>AVERAGE('26.07 Nateete-Nakawuka-24h'!H68,'27.07 Nateete-Nakawuka-24h'!H68)</f>
        <v>4.5</v>
      </c>
      <c r="I68" s="49">
        <f>AVERAGE('26.07 Nateete-Nakawuka-24h'!I68,'27.07 Nateete-Nakawuka-24h'!I68)</f>
        <v>5</v>
      </c>
      <c r="J68" s="49">
        <f>AVERAGE('26.07 Nateete-Nakawuka-24h'!J68,'27.07 Nateete-Nakawuka-24h'!J68)</f>
        <v>0.5</v>
      </c>
      <c r="K68" s="49">
        <f>AVERAGE('26.07 Nateete-Nakawuka-24h'!K68,'27.07 Nateete-Nakawuka-24h'!K68)</f>
        <v>0.5</v>
      </c>
      <c r="L68" s="49">
        <f>AVERAGE('26.07 Nateete-Nakawuka-24h'!L68,'27.07 Nateete-Nakawuka-24h'!L68)</f>
        <v>0</v>
      </c>
      <c r="M68" s="49">
        <f>AVERAGE('26.07 Nateete-Nakawuka-24h'!M68,'27.07 Nateete-Nakawuka-24h'!M68)</f>
        <v>99</v>
      </c>
      <c r="N68" s="49">
        <f>AVERAGE('26.07 Nateete-Nakawuka-24h'!N68,'27.07 Nateete-Nakawuka-24h'!N68)</f>
        <v>0</v>
      </c>
      <c r="O68" s="31">
        <f t="shared" si="0"/>
        <v>99.5</v>
      </c>
      <c r="P68" s="31">
        <f t="shared" si="1"/>
        <v>198.5</v>
      </c>
      <c r="R68" s="8"/>
      <c r="T68"/>
    </row>
    <row r="69" spans="2:20" ht="23.1" customHeight="1" x14ac:dyDescent="0.25">
      <c r="B69" s="23" t="s">
        <v>106</v>
      </c>
      <c r="C69" s="49">
        <f>AVERAGE('26.07 Nateete-Nakawuka-24h'!C69,'27.07 Nateete-Nakawuka-24h'!C69)</f>
        <v>24.5</v>
      </c>
      <c r="D69" s="49">
        <f>AVERAGE('26.07 Nateete-Nakawuka-24h'!D69,'27.07 Nateete-Nakawuka-24h'!D69)</f>
        <v>19.5</v>
      </c>
      <c r="E69" s="49">
        <f>AVERAGE('26.07 Nateete-Nakawuka-24h'!E69,'27.07 Nateete-Nakawuka-24h'!E69)</f>
        <v>1</v>
      </c>
      <c r="F69" s="49">
        <f>AVERAGE('26.07 Nateete-Nakawuka-24h'!F69,'27.07 Nateete-Nakawuka-24h'!F69)</f>
        <v>39.5</v>
      </c>
      <c r="G69" s="49">
        <f>AVERAGE('26.07 Nateete-Nakawuka-24h'!G69,'27.07 Nateete-Nakawuka-24h'!G69)</f>
        <v>0</v>
      </c>
      <c r="H69" s="49">
        <f>AVERAGE('26.07 Nateete-Nakawuka-24h'!H69,'27.07 Nateete-Nakawuka-24h'!H69)</f>
        <v>1.5</v>
      </c>
      <c r="I69" s="49">
        <f>AVERAGE('26.07 Nateete-Nakawuka-24h'!I69,'27.07 Nateete-Nakawuka-24h'!I69)</f>
        <v>5.5</v>
      </c>
      <c r="J69" s="49">
        <f>AVERAGE('26.07 Nateete-Nakawuka-24h'!J69,'27.07 Nateete-Nakawuka-24h'!J69)</f>
        <v>0.5</v>
      </c>
      <c r="K69" s="49">
        <f>AVERAGE('26.07 Nateete-Nakawuka-24h'!K69,'27.07 Nateete-Nakawuka-24h'!K69)</f>
        <v>1.5</v>
      </c>
      <c r="L69" s="49">
        <f>AVERAGE('26.07 Nateete-Nakawuka-24h'!L69,'27.07 Nateete-Nakawuka-24h'!L69)</f>
        <v>1</v>
      </c>
      <c r="M69" s="49">
        <f>AVERAGE('26.07 Nateete-Nakawuka-24h'!M69,'27.07 Nateete-Nakawuka-24h'!M69)</f>
        <v>95.5</v>
      </c>
      <c r="N69" s="49">
        <f>AVERAGE('26.07 Nateete-Nakawuka-24h'!N69,'27.07 Nateete-Nakawuka-24h'!N69)</f>
        <v>0</v>
      </c>
      <c r="O69" s="31">
        <f t="shared" si="0"/>
        <v>94.5</v>
      </c>
      <c r="P69" s="31">
        <f t="shared" si="1"/>
        <v>190</v>
      </c>
      <c r="R69" s="8"/>
      <c r="T69"/>
    </row>
    <row r="70" spans="2:20" ht="23.1" customHeight="1" x14ac:dyDescent="0.25">
      <c r="B70" s="23" t="s">
        <v>110</v>
      </c>
      <c r="C70" s="49">
        <f>AVERAGE('26.07 Nateete-Nakawuka-24h'!C70,'27.07 Nateete-Nakawuka-24h'!C70)</f>
        <v>20</v>
      </c>
      <c r="D70" s="49">
        <f>AVERAGE('26.07 Nateete-Nakawuka-24h'!D70,'27.07 Nateete-Nakawuka-24h'!D70)</f>
        <v>16</v>
      </c>
      <c r="E70" s="49">
        <f>AVERAGE('26.07 Nateete-Nakawuka-24h'!E70,'27.07 Nateete-Nakawuka-24h'!E70)</f>
        <v>5</v>
      </c>
      <c r="F70" s="49">
        <f>AVERAGE('26.07 Nateete-Nakawuka-24h'!F70,'27.07 Nateete-Nakawuka-24h'!F70)</f>
        <v>25</v>
      </c>
      <c r="G70" s="49">
        <f>AVERAGE('26.07 Nateete-Nakawuka-24h'!G70,'27.07 Nateete-Nakawuka-24h'!G70)</f>
        <v>1.5</v>
      </c>
      <c r="H70" s="49">
        <f>AVERAGE('26.07 Nateete-Nakawuka-24h'!H70,'27.07 Nateete-Nakawuka-24h'!H70)</f>
        <v>0</v>
      </c>
      <c r="I70" s="49">
        <f>AVERAGE('26.07 Nateete-Nakawuka-24h'!I70,'27.07 Nateete-Nakawuka-24h'!I70)</f>
        <v>3</v>
      </c>
      <c r="J70" s="49">
        <f>AVERAGE('26.07 Nateete-Nakawuka-24h'!J70,'27.07 Nateete-Nakawuka-24h'!J70)</f>
        <v>0</v>
      </c>
      <c r="K70" s="49">
        <f>AVERAGE('26.07 Nateete-Nakawuka-24h'!K70,'27.07 Nateete-Nakawuka-24h'!K70)</f>
        <v>0</v>
      </c>
      <c r="L70" s="49">
        <f>AVERAGE('26.07 Nateete-Nakawuka-24h'!L70,'27.07 Nateete-Nakawuka-24h'!L70)</f>
        <v>0</v>
      </c>
      <c r="M70" s="49">
        <f>AVERAGE('26.07 Nateete-Nakawuka-24h'!M70,'27.07 Nateete-Nakawuka-24h'!M70)</f>
        <v>75</v>
      </c>
      <c r="N70" s="49">
        <f>AVERAGE('26.07 Nateete-Nakawuka-24h'!N70,'27.07 Nateete-Nakawuka-24h'!N70)</f>
        <v>0</v>
      </c>
      <c r="O70" s="31">
        <f t="shared" si="0"/>
        <v>70.5</v>
      </c>
      <c r="P70" s="31">
        <f t="shared" si="1"/>
        <v>145.5</v>
      </c>
      <c r="R70" s="8"/>
      <c r="T70"/>
    </row>
    <row r="71" spans="2:20" ht="23.1" customHeight="1" x14ac:dyDescent="0.25">
      <c r="B71" s="23" t="s">
        <v>111</v>
      </c>
      <c r="C71" s="49">
        <f>AVERAGE('26.07 Nateete-Nakawuka-24h'!C71,'27.07 Nateete-Nakawuka-24h'!C71)</f>
        <v>19</v>
      </c>
      <c r="D71" s="49">
        <f>AVERAGE('26.07 Nateete-Nakawuka-24h'!D71,'27.07 Nateete-Nakawuka-24h'!D71)</f>
        <v>14</v>
      </c>
      <c r="E71" s="49">
        <f>AVERAGE('26.07 Nateete-Nakawuka-24h'!E71,'27.07 Nateete-Nakawuka-24h'!E71)</f>
        <v>2</v>
      </c>
      <c r="F71" s="49">
        <f>AVERAGE('26.07 Nateete-Nakawuka-24h'!F71,'27.07 Nateete-Nakawuka-24h'!F71)</f>
        <v>36.5</v>
      </c>
      <c r="G71" s="49">
        <f>AVERAGE('26.07 Nateete-Nakawuka-24h'!G71,'27.07 Nateete-Nakawuka-24h'!G71)</f>
        <v>0</v>
      </c>
      <c r="H71" s="49">
        <f>AVERAGE('26.07 Nateete-Nakawuka-24h'!H71,'27.07 Nateete-Nakawuka-24h'!H71)</f>
        <v>1.5</v>
      </c>
      <c r="I71" s="49">
        <f>AVERAGE('26.07 Nateete-Nakawuka-24h'!I71,'27.07 Nateete-Nakawuka-24h'!I71)</f>
        <v>5.5</v>
      </c>
      <c r="J71" s="49">
        <f>AVERAGE('26.07 Nateete-Nakawuka-24h'!J71,'27.07 Nateete-Nakawuka-24h'!J71)</f>
        <v>0</v>
      </c>
      <c r="K71" s="49">
        <f>AVERAGE('26.07 Nateete-Nakawuka-24h'!K71,'27.07 Nateete-Nakawuka-24h'!K71)</f>
        <v>0</v>
      </c>
      <c r="L71" s="49">
        <f>AVERAGE('26.07 Nateete-Nakawuka-24h'!L71,'27.07 Nateete-Nakawuka-24h'!L71)</f>
        <v>1.5</v>
      </c>
      <c r="M71" s="49">
        <f>AVERAGE('26.07 Nateete-Nakawuka-24h'!M71,'27.07 Nateete-Nakawuka-24h'!M71)</f>
        <v>87</v>
      </c>
      <c r="N71" s="49">
        <f>AVERAGE('26.07 Nateete-Nakawuka-24h'!N71,'27.07 Nateete-Nakawuka-24h'!N71)</f>
        <v>0</v>
      </c>
      <c r="O71" s="31">
        <f t="shared" si="0"/>
        <v>80</v>
      </c>
      <c r="P71" s="31">
        <f t="shared" si="1"/>
        <v>167</v>
      </c>
      <c r="R71" s="8"/>
      <c r="T71"/>
    </row>
    <row r="72" spans="2:20" ht="23.1" customHeight="1" x14ac:dyDescent="0.25">
      <c r="B72" s="23" t="s">
        <v>112</v>
      </c>
      <c r="C72" s="49">
        <f>AVERAGE('26.07 Nateete-Nakawuka-24h'!C72,'27.07 Nateete-Nakawuka-24h'!C72)</f>
        <v>12.5</v>
      </c>
      <c r="D72" s="49">
        <f>AVERAGE('26.07 Nateete-Nakawuka-24h'!D72,'27.07 Nateete-Nakawuka-24h'!D72)</f>
        <v>9</v>
      </c>
      <c r="E72" s="49">
        <f>AVERAGE('26.07 Nateete-Nakawuka-24h'!E72,'27.07 Nateete-Nakawuka-24h'!E72)</f>
        <v>3.5</v>
      </c>
      <c r="F72" s="49">
        <f>AVERAGE('26.07 Nateete-Nakawuka-24h'!F72,'27.07 Nateete-Nakawuka-24h'!F72)</f>
        <v>25.5</v>
      </c>
      <c r="G72" s="49">
        <f>AVERAGE('26.07 Nateete-Nakawuka-24h'!G72,'27.07 Nateete-Nakawuka-24h'!G72)</f>
        <v>0</v>
      </c>
      <c r="H72" s="49">
        <f>AVERAGE('26.07 Nateete-Nakawuka-24h'!H72,'27.07 Nateete-Nakawuka-24h'!H72)</f>
        <v>1.5</v>
      </c>
      <c r="I72" s="49">
        <f>AVERAGE('26.07 Nateete-Nakawuka-24h'!I72,'27.07 Nateete-Nakawuka-24h'!I72)</f>
        <v>2.5</v>
      </c>
      <c r="J72" s="49">
        <f>AVERAGE('26.07 Nateete-Nakawuka-24h'!J72,'27.07 Nateete-Nakawuka-24h'!J72)</f>
        <v>1</v>
      </c>
      <c r="K72" s="49">
        <f>AVERAGE('26.07 Nateete-Nakawuka-24h'!K72,'27.07 Nateete-Nakawuka-24h'!K72)</f>
        <v>0</v>
      </c>
      <c r="L72" s="49">
        <f>AVERAGE('26.07 Nateete-Nakawuka-24h'!L72,'27.07 Nateete-Nakawuka-24h'!L72)</f>
        <v>0.5</v>
      </c>
      <c r="M72" s="49">
        <f>AVERAGE('26.07 Nateete-Nakawuka-24h'!M72,'27.07 Nateete-Nakawuka-24h'!M72)</f>
        <v>79</v>
      </c>
      <c r="N72" s="49">
        <f>AVERAGE('26.07 Nateete-Nakawuka-24h'!N72,'27.07 Nateete-Nakawuka-24h'!N72)</f>
        <v>0</v>
      </c>
      <c r="O72" s="31">
        <f t="shared" si="0"/>
        <v>56</v>
      </c>
      <c r="P72" s="31">
        <f t="shared" si="1"/>
        <v>135</v>
      </c>
      <c r="R72" s="8"/>
      <c r="T72"/>
    </row>
    <row r="73" spans="2:20" ht="23.1" customHeight="1" x14ac:dyDescent="0.25">
      <c r="B73" s="23" t="s">
        <v>113</v>
      </c>
      <c r="C73" s="49">
        <f>AVERAGE('26.07 Nateete-Nakawuka-24h'!C73,'27.07 Nateete-Nakawuka-24h'!C73)</f>
        <v>7</v>
      </c>
      <c r="D73" s="49">
        <f>AVERAGE('26.07 Nateete-Nakawuka-24h'!D73,'27.07 Nateete-Nakawuka-24h'!D73)</f>
        <v>15</v>
      </c>
      <c r="E73" s="49">
        <f>AVERAGE('26.07 Nateete-Nakawuka-24h'!E73,'27.07 Nateete-Nakawuka-24h'!E73)</f>
        <v>2</v>
      </c>
      <c r="F73" s="49">
        <f>AVERAGE('26.07 Nateete-Nakawuka-24h'!F73,'27.07 Nateete-Nakawuka-24h'!F73)</f>
        <v>25</v>
      </c>
      <c r="G73" s="49">
        <f>AVERAGE('26.07 Nateete-Nakawuka-24h'!G73,'27.07 Nateete-Nakawuka-24h'!G73)</f>
        <v>0</v>
      </c>
      <c r="H73" s="49">
        <f>AVERAGE('26.07 Nateete-Nakawuka-24h'!H73,'27.07 Nateete-Nakawuka-24h'!H73)</f>
        <v>1</v>
      </c>
      <c r="I73" s="49">
        <f>AVERAGE('26.07 Nateete-Nakawuka-24h'!I73,'27.07 Nateete-Nakawuka-24h'!I73)</f>
        <v>2</v>
      </c>
      <c r="J73" s="49">
        <f>AVERAGE('26.07 Nateete-Nakawuka-24h'!J73,'27.07 Nateete-Nakawuka-24h'!J73)</f>
        <v>0</v>
      </c>
      <c r="K73" s="49">
        <f>AVERAGE('26.07 Nateete-Nakawuka-24h'!K73,'27.07 Nateete-Nakawuka-24h'!K73)</f>
        <v>0</v>
      </c>
      <c r="L73" s="49">
        <f>AVERAGE('26.07 Nateete-Nakawuka-24h'!L73,'27.07 Nateete-Nakawuka-24h'!L73)</f>
        <v>0.5</v>
      </c>
      <c r="M73" s="49">
        <f>AVERAGE('26.07 Nateete-Nakawuka-24h'!M73,'27.07 Nateete-Nakawuka-24h'!M73)</f>
        <v>85.5</v>
      </c>
      <c r="N73" s="49">
        <f>AVERAGE('26.07 Nateete-Nakawuka-24h'!N73,'27.07 Nateete-Nakawuka-24h'!N73)</f>
        <v>0</v>
      </c>
      <c r="O73" s="31">
        <f t="shared" si="0"/>
        <v>52.5</v>
      </c>
      <c r="P73" s="31">
        <f t="shared" si="1"/>
        <v>138</v>
      </c>
      <c r="R73" s="8"/>
      <c r="T73"/>
    </row>
    <row r="74" spans="2:20" ht="23.1" customHeight="1" x14ac:dyDescent="0.25">
      <c r="B74" s="23" t="s">
        <v>114</v>
      </c>
      <c r="C74" s="49">
        <f>AVERAGE('26.07 Nateete-Nakawuka-24h'!C74,'27.07 Nateete-Nakawuka-24h'!C74)</f>
        <v>21.5</v>
      </c>
      <c r="D74" s="49">
        <f>AVERAGE('26.07 Nateete-Nakawuka-24h'!D74,'27.07 Nateete-Nakawuka-24h'!D74)</f>
        <v>15.5</v>
      </c>
      <c r="E74" s="49">
        <f>AVERAGE('26.07 Nateete-Nakawuka-24h'!E74,'27.07 Nateete-Nakawuka-24h'!E74)</f>
        <v>1.5</v>
      </c>
      <c r="F74" s="49">
        <f>AVERAGE('26.07 Nateete-Nakawuka-24h'!F74,'27.07 Nateete-Nakawuka-24h'!F74)</f>
        <v>14</v>
      </c>
      <c r="G74" s="49">
        <f>AVERAGE('26.07 Nateete-Nakawuka-24h'!G74,'27.07 Nateete-Nakawuka-24h'!G74)</f>
        <v>0.5</v>
      </c>
      <c r="H74" s="49">
        <f>AVERAGE('26.07 Nateete-Nakawuka-24h'!H74,'27.07 Nateete-Nakawuka-24h'!H74)</f>
        <v>0.5</v>
      </c>
      <c r="I74" s="49">
        <f>AVERAGE('26.07 Nateete-Nakawuka-24h'!I74,'27.07 Nateete-Nakawuka-24h'!I74)</f>
        <v>2.5</v>
      </c>
      <c r="J74" s="49">
        <f>AVERAGE('26.07 Nateete-Nakawuka-24h'!J74,'27.07 Nateete-Nakawuka-24h'!J74)</f>
        <v>0</v>
      </c>
      <c r="K74" s="49">
        <f>AVERAGE('26.07 Nateete-Nakawuka-24h'!K74,'27.07 Nateete-Nakawuka-24h'!K74)</f>
        <v>1</v>
      </c>
      <c r="L74" s="49">
        <f>AVERAGE('26.07 Nateete-Nakawuka-24h'!L74,'27.07 Nateete-Nakawuka-24h'!L74)</f>
        <v>2.5</v>
      </c>
      <c r="M74" s="49">
        <f>AVERAGE('26.07 Nateete-Nakawuka-24h'!M74,'27.07 Nateete-Nakawuka-24h'!M74)</f>
        <v>77</v>
      </c>
      <c r="N74" s="49">
        <f>AVERAGE('26.07 Nateete-Nakawuka-24h'!N74,'27.07 Nateete-Nakawuka-24h'!N74)</f>
        <v>0</v>
      </c>
      <c r="O74" s="31">
        <f t="shared" ref="O74:O105" si="35">SUM(C74:L74,N74)</f>
        <v>59.5</v>
      </c>
      <c r="P74" s="31">
        <f t="shared" ref="P74:P105" si="36">SUM(C74:N74)</f>
        <v>136.5</v>
      </c>
      <c r="R74" s="8"/>
      <c r="T74"/>
    </row>
    <row r="75" spans="2:20" ht="23.1" customHeight="1" x14ac:dyDescent="0.25">
      <c r="B75" s="23" t="s">
        <v>115</v>
      </c>
      <c r="C75" s="49">
        <f>AVERAGE('26.07 Nateete-Nakawuka-24h'!C75,'27.07 Nateete-Nakawuka-24h'!C75)</f>
        <v>18.5</v>
      </c>
      <c r="D75" s="49">
        <f>AVERAGE('26.07 Nateete-Nakawuka-24h'!D75,'27.07 Nateete-Nakawuka-24h'!D75)</f>
        <v>7</v>
      </c>
      <c r="E75" s="49">
        <f>AVERAGE('26.07 Nateete-Nakawuka-24h'!E75,'27.07 Nateete-Nakawuka-24h'!E75)</f>
        <v>0.5</v>
      </c>
      <c r="F75" s="49">
        <f>AVERAGE('26.07 Nateete-Nakawuka-24h'!F75,'27.07 Nateete-Nakawuka-24h'!F75)</f>
        <v>8.5</v>
      </c>
      <c r="G75" s="49">
        <f>AVERAGE('26.07 Nateete-Nakawuka-24h'!G75,'27.07 Nateete-Nakawuka-24h'!G75)</f>
        <v>0.5</v>
      </c>
      <c r="H75" s="49">
        <f>AVERAGE('26.07 Nateete-Nakawuka-24h'!H75,'27.07 Nateete-Nakawuka-24h'!H75)</f>
        <v>0.5</v>
      </c>
      <c r="I75" s="49">
        <f>AVERAGE('26.07 Nateete-Nakawuka-24h'!I75,'27.07 Nateete-Nakawuka-24h'!I75)</f>
        <v>0.5</v>
      </c>
      <c r="J75" s="49">
        <f>AVERAGE('26.07 Nateete-Nakawuka-24h'!J75,'27.07 Nateete-Nakawuka-24h'!J75)</f>
        <v>1</v>
      </c>
      <c r="K75" s="49">
        <f>AVERAGE('26.07 Nateete-Nakawuka-24h'!K75,'27.07 Nateete-Nakawuka-24h'!K75)</f>
        <v>0</v>
      </c>
      <c r="L75" s="49">
        <f>AVERAGE('26.07 Nateete-Nakawuka-24h'!L75,'27.07 Nateete-Nakawuka-24h'!L75)</f>
        <v>0.5</v>
      </c>
      <c r="M75" s="49">
        <f>AVERAGE('26.07 Nateete-Nakawuka-24h'!M75,'27.07 Nateete-Nakawuka-24h'!M75)</f>
        <v>65</v>
      </c>
      <c r="N75" s="49">
        <f>AVERAGE('26.07 Nateete-Nakawuka-24h'!N75,'27.07 Nateete-Nakawuka-24h'!N75)</f>
        <v>0</v>
      </c>
      <c r="O75" s="31">
        <f t="shared" si="35"/>
        <v>37.5</v>
      </c>
      <c r="P75" s="31">
        <f t="shared" si="36"/>
        <v>102.5</v>
      </c>
      <c r="R75" s="8"/>
      <c r="T75"/>
    </row>
    <row r="76" spans="2:20" ht="23.1" customHeight="1" x14ac:dyDescent="0.25">
      <c r="B76" s="23" t="s">
        <v>116</v>
      </c>
      <c r="C76" s="49">
        <f>AVERAGE('26.07 Nateete-Nakawuka-24h'!C76,'27.07 Nateete-Nakawuka-24h'!C76)</f>
        <v>14.5</v>
      </c>
      <c r="D76" s="49">
        <f>AVERAGE('26.07 Nateete-Nakawuka-24h'!D76,'27.07 Nateete-Nakawuka-24h'!D76)</f>
        <v>9.5</v>
      </c>
      <c r="E76" s="49">
        <f>AVERAGE('26.07 Nateete-Nakawuka-24h'!E76,'27.07 Nateete-Nakawuka-24h'!E76)</f>
        <v>2.5</v>
      </c>
      <c r="F76" s="49">
        <f>AVERAGE('26.07 Nateete-Nakawuka-24h'!F76,'27.07 Nateete-Nakawuka-24h'!F76)</f>
        <v>7.5</v>
      </c>
      <c r="G76" s="49">
        <f>AVERAGE('26.07 Nateete-Nakawuka-24h'!G76,'27.07 Nateete-Nakawuka-24h'!G76)</f>
        <v>0</v>
      </c>
      <c r="H76" s="49">
        <f>AVERAGE('26.07 Nateete-Nakawuka-24h'!H76,'27.07 Nateete-Nakawuka-24h'!H76)</f>
        <v>0</v>
      </c>
      <c r="I76" s="49">
        <f>AVERAGE('26.07 Nateete-Nakawuka-24h'!I76,'27.07 Nateete-Nakawuka-24h'!I76)</f>
        <v>0</v>
      </c>
      <c r="J76" s="49">
        <f>AVERAGE('26.07 Nateete-Nakawuka-24h'!J76,'27.07 Nateete-Nakawuka-24h'!J76)</f>
        <v>0.5</v>
      </c>
      <c r="K76" s="49">
        <f>AVERAGE('26.07 Nateete-Nakawuka-24h'!K76,'27.07 Nateete-Nakawuka-24h'!K76)</f>
        <v>0</v>
      </c>
      <c r="L76" s="49">
        <f>AVERAGE('26.07 Nateete-Nakawuka-24h'!L76,'27.07 Nateete-Nakawuka-24h'!L76)</f>
        <v>1.5</v>
      </c>
      <c r="M76" s="49">
        <f>AVERAGE('26.07 Nateete-Nakawuka-24h'!M76,'27.07 Nateete-Nakawuka-24h'!M76)</f>
        <v>67.5</v>
      </c>
      <c r="N76" s="49">
        <f>AVERAGE('26.07 Nateete-Nakawuka-24h'!N76,'27.07 Nateete-Nakawuka-24h'!N76)</f>
        <v>0</v>
      </c>
      <c r="O76" s="31">
        <f t="shared" si="35"/>
        <v>36</v>
      </c>
      <c r="P76" s="31">
        <f t="shared" si="36"/>
        <v>103.5</v>
      </c>
      <c r="R76" s="8"/>
      <c r="T76"/>
    </row>
    <row r="77" spans="2:20" ht="23.1" customHeight="1" x14ac:dyDescent="0.25">
      <c r="B77" s="23" t="s">
        <v>117</v>
      </c>
      <c r="C77" s="49">
        <f>AVERAGE('26.07 Nateete-Nakawuka-24h'!C77,'27.07 Nateete-Nakawuka-24h'!C77)</f>
        <v>9.5</v>
      </c>
      <c r="D77" s="49">
        <f>AVERAGE('26.07 Nateete-Nakawuka-24h'!D77,'27.07 Nateete-Nakawuka-24h'!D77)</f>
        <v>10</v>
      </c>
      <c r="E77" s="49">
        <f>AVERAGE('26.07 Nateete-Nakawuka-24h'!E77,'27.07 Nateete-Nakawuka-24h'!E77)</f>
        <v>2.5</v>
      </c>
      <c r="F77" s="49">
        <f>AVERAGE('26.07 Nateete-Nakawuka-24h'!F77,'27.07 Nateete-Nakawuka-24h'!F77)</f>
        <v>7</v>
      </c>
      <c r="G77" s="49">
        <f>AVERAGE('26.07 Nateete-Nakawuka-24h'!G77,'27.07 Nateete-Nakawuka-24h'!G77)</f>
        <v>0</v>
      </c>
      <c r="H77" s="49">
        <f>AVERAGE('26.07 Nateete-Nakawuka-24h'!H77,'27.07 Nateete-Nakawuka-24h'!H77)</f>
        <v>0</v>
      </c>
      <c r="I77" s="49">
        <f>AVERAGE('26.07 Nateete-Nakawuka-24h'!I77,'27.07 Nateete-Nakawuka-24h'!I77)</f>
        <v>1</v>
      </c>
      <c r="J77" s="49">
        <f>AVERAGE('26.07 Nateete-Nakawuka-24h'!J77,'27.07 Nateete-Nakawuka-24h'!J77)</f>
        <v>0</v>
      </c>
      <c r="K77" s="49">
        <f>AVERAGE('26.07 Nateete-Nakawuka-24h'!K77,'27.07 Nateete-Nakawuka-24h'!K77)</f>
        <v>0.5</v>
      </c>
      <c r="L77" s="49">
        <f>AVERAGE('26.07 Nateete-Nakawuka-24h'!L77,'27.07 Nateete-Nakawuka-24h'!L77)</f>
        <v>0</v>
      </c>
      <c r="M77" s="49">
        <f>AVERAGE('26.07 Nateete-Nakawuka-24h'!M77,'27.07 Nateete-Nakawuka-24h'!M77)</f>
        <v>71.5</v>
      </c>
      <c r="N77" s="49">
        <f>AVERAGE('26.07 Nateete-Nakawuka-24h'!N77,'27.07 Nateete-Nakawuka-24h'!N77)</f>
        <v>0</v>
      </c>
      <c r="O77" s="31">
        <f t="shared" si="35"/>
        <v>30.5</v>
      </c>
      <c r="P77" s="31">
        <f t="shared" si="36"/>
        <v>102</v>
      </c>
      <c r="R77" s="8"/>
      <c r="T77"/>
    </row>
    <row r="78" spans="2:20" ht="23.1" customHeight="1" x14ac:dyDescent="0.25">
      <c r="B78" s="24" t="s">
        <v>118</v>
      </c>
      <c r="C78" s="49">
        <f>AVERAGE('26.07 Nateete-Nakawuka-24h'!C78,'27.07 Nateete-Nakawuka-24h'!C78)</f>
        <v>6.5</v>
      </c>
      <c r="D78" s="49">
        <f>AVERAGE('26.07 Nateete-Nakawuka-24h'!D78,'27.07 Nateete-Nakawuka-24h'!D78)</f>
        <v>6.5</v>
      </c>
      <c r="E78" s="49">
        <f>AVERAGE('26.07 Nateete-Nakawuka-24h'!E78,'27.07 Nateete-Nakawuka-24h'!E78)</f>
        <v>0.5</v>
      </c>
      <c r="F78" s="49">
        <f>AVERAGE('26.07 Nateete-Nakawuka-24h'!F78,'27.07 Nateete-Nakawuka-24h'!F78)</f>
        <v>4</v>
      </c>
      <c r="G78" s="49">
        <f>AVERAGE('26.07 Nateete-Nakawuka-24h'!G78,'27.07 Nateete-Nakawuka-24h'!G78)</f>
        <v>0</v>
      </c>
      <c r="H78" s="49">
        <f>AVERAGE('26.07 Nateete-Nakawuka-24h'!H78,'27.07 Nateete-Nakawuka-24h'!H78)</f>
        <v>0</v>
      </c>
      <c r="I78" s="49">
        <f>AVERAGE('26.07 Nateete-Nakawuka-24h'!I78,'27.07 Nateete-Nakawuka-24h'!I78)</f>
        <v>1</v>
      </c>
      <c r="J78" s="49">
        <f>AVERAGE('26.07 Nateete-Nakawuka-24h'!J78,'27.07 Nateete-Nakawuka-24h'!J78)</f>
        <v>1</v>
      </c>
      <c r="K78" s="49">
        <f>AVERAGE('26.07 Nateete-Nakawuka-24h'!K78,'27.07 Nateete-Nakawuka-24h'!K78)</f>
        <v>0.5</v>
      </c>
      <c r="L78" s="49">
        <f>AVERAGE('26.07 Nateete-Nakawuka-24h'!L78,'27.07 Nateete-Nakawuka-24h'!L78)</f>
        <v>0</v>
      </c>
      <c r="M78" s="49">
        <f>AVERAGE('26.07 Nateete-Nakawuka-24h'!M78,'27.07 Nateete-Nakawuka-24h'!M78)</f>
        <v>101.5</v>
      </c>
      <c r="N78" s="49">
        <f>AVERAGE('26.07 Nateete-Nakawuka-24h'!N78,'27.07 Nateete-Nakawuka-24h'!N78)</f>
        <v>0</v>
      </c>
      <c r="O78" s="31">
        <f t="shared" si="35"/>
        <v>20</v>
      </c>
      <c r="P78" s="31">
        <f t="shared" si="36"/>
        <v>121.5</v>
      </c>
      <c r="R78" s="8"/>
      <c r="T78"/>
    </row>
    <row r="79" spans="2:20" ht="23.1" customHeight="1" x14ac:dyDescent="0.25">
      <c r="B79" s="23" t="s">
        <v>119</v>
      </c>
      <c r="C79" s="49">
        <f>AVERAGE('26.07 Nateete-Nakawuka-24h'!C79,'27.07 Nateete-Nakawuka-24h'!C79)</f>
        <v>5</v>
      </c>
      <c r="D79" s="49">
        <f>AVERAGE('26.07 Nateete-Nakawuka-24h'!D79,'27.07 Nateete-Nakawuka-24h'!D79)</f>
        <v>4</v>
      </c>
      <c r="E79" s="49">
        <f>AVERAGE('26.07 Nateete-Nakawuka-24h'!E79,'27.07 Nateete-Nakawuka-24h'!E79)</f>
        <v>0</v>
      </c>
      <c r="F79" s="49">
        <f>AVERAGE('26.07 Nateete-Nakawuka-24h'!F79,'27.07 Nateete-Nakawuka-24h'!F79)</f>
        <v>3</v>
      </c>
      <c r="G79" s="49">
        <f>AVERAGE('26.07 Nateete-Nakawuka-24h'!G79,'27.07 Nateete-Nakawuka-24h'!G79)</f>
        <v>0</v>
      </c>
      <c r="H79" s="49">
        <f>AVERAGE('26.07 Nateete-Nakawuka-24h'!H79,'27.07 Nateete-Nakawuka-24h'!H79)</f>
        <v>0</v>
      </c>
      <c r="I79" s="49">
        <f>AVERAGE('26.07 Nateete-Nakawuka-24h'!I79,'27.07 Nateete-Nakawuka-24h'!I79)</f>
        <v>1.5</v>
      </c>
      <c r="J79" s="49">
        <f>AVERAGE('26.07 Nateete-Nakawuka-24h'!J79,'27.07 Nateete-Nakawuka-24h'!J79)</f>
        <v>1</v>
      </c>
      <c r="K79" s="49">
        <f>AVERAGE('26.07 Nateete-Nakawuka-24h'!K79,'27.07 Nateete-Nakawuka-24h'!K79)</f>
        <v>0</v>
      </c>
      <c r="L79" s="49">
        <f>AVERAGE('26.07 Nateete-Nakawuka-24h'!L79,'27.07 Nateete-Nakawuka-24h'!L79)</f>
        <v>0</v>
      </c>
      <c r="M79" s="49">
        <f>AVERAGE('26.07 Nateete-Nakawuka-24h'!M79,'27.07 Nateete-Nakawuka-24h'!M79)</f>
        <v>46</v>
      </c>
      <c r="N79" s="49">
        <f>AVERAGE('26.07 Nateete-Nakawuka-24h'!N79,'27.07 Nateete-Nakawuka-24h'!N79)</f>
        <v>0</v>
      </c>
      <c r="O79" s="31">
        <f t="shared" si="35"/>
        <v>14.5</v>
      </c>
      <c r="P79" s="31">
        <f t="shared" si="36"/>
        <v>60.5</v>
      </c>
      <c r="R79" s="8"/>
      <c r="T79"/>
    </row>
    <row r="80" spans="2:20" ht="23.1" customHeight="1" x14ac:dyDescent="0.25">
      <c r="B80" s="25" t="s">
        <v>120</v>
      </c>
      <c r="C80" s="49">
        <f>AVERAGE('26.07 Nateete-Nakawuka-24h'!C80,'27.07 Nateete-Nakawuka-24h'!C80)</f>
        <v>3</v>
      </c>
      <c r="D80" s="49">
        <f>AVERAGE('26.07 Nateete-Nakawuka-24h'!D80,'27.07 Nateete-Nakawuka-24h'!D80)</f>
        <v>2.5</v>
      </c>
      <c r="E80" s="49">
        <f>AVERAGE('26.07 Nateete-Nakawuka-24h'!E80,'27.07 Nateete-Nakawuka-24h'!E80)</f>
        <v>0</v>
      </c>
      <c r="F80" s="49">
        <f>AVERAGE('26.07 Nateete-Nakawuka-24h'!F80,'27.07 Nateete-Nakawuka-24h'!F80)</f>
        <v>4</v>
      </c>
      <c r="G80" s="49">
        <f>AVERAGE('26.07 Nateete-Nakawuka-24h'!G80,'27.07 Nateete-Nakawuka-24h'!G80)</f>
        <v>0</v>
      </c>
      <c r="H80" s="49">
        <f>AVERAGE('26.07 Nateete-Nakawuka-24h'!H80,'27.07 Nateete-Nakawuka-24h'!H80)</f>
        <v>0</v>
      </c>
      <c r="I80" s="49">
        <f>AVERAGE('26.07 Nateete-Nakawuka-24h'!I80,'27.07 Nateete-Nakawuka-24h'!I80)</f>
        <v>0.5</v>
      </c>
      <c r="J80" s="49">
        <f>AVERAGE('26.07 Nateete-Nakawuka-24h'!J80,'27.07 Nateete-Nakawuka-24h'!J80)</f>
        <v>0</v>
      </c>
      <c r="K80" s="49">
        <f>AVERAGE('26.07 Nateete-Nakawuka-24h'!K80,'27.07 Nateete-Nakawuka-24h'!K80)</f>
        <v>0.5</v>
      </c>
      <c r="L80" s="49">
        <f>AVERAGE('26.07 Nateete-Nakawuka-24h'!L80,'27.07 Nateete-Nakawuka-24h'!L80)</f>
        <v>0</v>
      </c>
      <c r="M80" s="49">
        <f>AVERAGE('26.07 Nateete-Nakawuka-24h'!M80,'27.07 Nateete-Nakawuka-24h'!M80)</f>
        <v>37.5</v>
      </c>
      <c r="N80" s="49">
        <f>AVERAGE('26.07 Nateete-Nakawuka-24h'!N80,'27.07 Nateete-Nakawuka-24h'!N80)</f>
        <v>0</v>
      </c>
      <c r="O80" s="31">
        <f t="shared" si="35"/>
        <v>10.5</v>
      </c>
      <c r="P80" s="31">
        <f t="shared" si="36"/>
        <v>48</v>
      </c>
      <c r="R80" s="8"/>
      <c r="T80"/>
    </row>
    <row r="81" spans="2:20" ht="23.1" customHeight="1" x14ac:dyDescent="0.25">
      <c r="B81" s="23" t="s">
        <v>121</v>
      </c>
      <c r="C81" s="49">
        <f>AVERAGE('26.07 Nateete-Nakawuka-24h'!C81,'27.07 Nateete-Nakawuka-24h'!C81)</f>
        <v>1.5</v>
      </c>
      <c r="D81" s="49">
        <f>AVERAGE('26.07 Nateete-Nakawuka-24h'!D81,'27.07 Nateete-Nakawuka-24h'!D81)</f>
        <v>1.5</v>
      </c>
      <c r="E81" s="49">
        <f>AVERAGE('26.07 Nateete-Nakawuka-24h'!E81,'27.07 Nateete-Nakawuka-24h'!E81)</f>
        <v>0</v>
      </c>
      <c r="F81" s="49">
        <f>AVERAGE('26.07 Nateete-Nakawuka-24h'!F81,'27.07 Nateete-Nakawuka-24h'!F81)</f>
        <v>2</v>
      </c>
      <c r="G81" s="49">
        <f>AVERAGE('26.07 Nateete-Nakawuka-24h'!G81,'27.07 Nateete-Nakawuka-24h'!G81)</f>
        <v>0</v>
      </c>
      <c r="H81" s="49">
        <f>AVERAGE('26.07 Nateete-Nakawuka-24h'!H81,'27.07 Nateete-Nakawuka-24h'!H81)</f>
        <v>0</v>
      </c>
      <c r="I81" s="49">
        <f>AVERAGE('26.07 Nateete-Nakawuka-24h'!I81,'27.07 Nateete-Nakawuka-24h'!I81)</f>
        <v>1</v>
      </c>
      <c r="J81" s="49">
        <f>AVERAGE('26.07 Nateete-Nakawuka-24h'!J81,'27.07 Nateete-Nakawuka-24h'!J81)</f>
        <v>0.5</v>
      </c>
      <c r="K81" s="49">
        <f>AVERAGE('26.07 Nateete-Nakawuka-24h'!K81,'27.07 Nateete-Nakawuka-24h'!K81)</f>
        <v>0.5</v>
      </c>
      <c r="L81" s="49">
        <f>AVERAGE('26.07 Nateete-Nakawuka-24h'!L81,'27.07 Nateete-Nakawuka-24h'!L81)</f>
        <v>0</v>
      </c>
      <c r="M81" s="49">
        <f>AVERAGE('26.07 Nateete-Nakawuka-24h'!M81,'27.07 Nateete-Nakawuka-24h'!M81)</f>
        <v>21</v>
      </c>
      <c r="N81" s="49">
        <f>AVERAGE('26.07 Nateete-Nakawuka-24h'!N81,'27.07 Nateete-Nakawuka-24h'!N81)</f>
        <v>0</v>
      </c>
      <c r="O81" s="31">
        <f t="shared" si="35"/>
        <v>7</v>
      </c>
      <c r="P81" s="31">
        <f t="shared" si="36"/>
        <v>28</v>
      </c>
      <c r="R81" s="8"/>
      <c r="T81"/>
    </row>
    <row r="82" spans="2:20" ht="23.1" customHeight="1" x14ac:dyDescent="0.25">
      <c r="B82" s="24" t="s">
        <v>122</v>
      </c>
      <c r="C82" s="49">
        <f>AVERAGE('26.07 Nateete-Nakawuka-24h'!C82,'27.07 Nateete-Nakawuka-24h'!C82)</f>
        <v>5</v>
      </c>
      <c r="D82" s="49">
        <f>AVERAGE('26.07 Nateete-Nakawuka-24h'!D82,'27.07 Nateete-Nakawuka-24h'!D82)</f>
        <v>1</v>
      </c>
      <c r="E82" s="49">
        <f>AVERAGE('26.07 Nateete-Nakawuka-24h'!E82,'27.07 Nateete-Nakawuka-24h'!E82)</f>
        <v>0</v>
      </c>
      <c r="F82" s="49">
        <f>AVERAGE('26.07 Nateete-Nakawuka-24h'!F82,'27.07 Nateete-Nakawuka-24h'!F82)</f>
        <v>1.5</v>
      </c>
      <c r="G82" s="49">
        <f>AVERAGE('26.07 Nateete-Nakawuka-24h'!G82,'27.07 Nateete-Nakawuka-24h'!G82)</f>
        <v>0</v>
      </c>
      <c r="H82" s="49">
        <f>AVERAGE('26.07 Nateete-Nakawuka-24h'!H82,'27.07 Nateete-Nakawuka-24h'!H82)</f>
        <v>0.5</v>
      </c>
      <c r="I82" s="49">
        <f>AVERAGE('26.07 Nateete-Nakawuka-24h'!I82,'27.07 Nateete-Nakawuka-24h'!I82)</f>
        <v>0</v>
      </c>
      <c r="J82" s="49">
        <f>AVERAGE('26.07 Nateete-Nakawuka-24h'!J82,'27.07 Nateete-Nakawuka-24h'!J82)</f>
        <v>0</v>
      </c>
      <c r="K82" s="49">
        <f>AVERAGE('26.07 Nateete-Nakawuka-24h'!K82,'27.07 Nateete-Nakawuka-24h'!K82)</f>
        <v>0</v>
      </c>
      <c r="L82" s="49">
        <f>AVERAGE('26.07 Nateete-Nakawuka-24h'!L82,'27.07 Nateete-Nakawuka-24h'!L82)</f>
        <v>1</v>
      </c>
      <c r="M82" s="49">
        <f>AVERAGE('26.07 Nateete-Nakawuka-24h'!M82,'27.07 Nateete-Nakawuka-24h'!M82)</f>
        <v>26</v>
      </c>
      <c r="N82" s="49">
        <f>AVERAGE('26.07 Nateete-Nakawuka-24h'!N82,'27.07 Nateete-Nakawuka-24h'!N82)</f>
        <v>0</v>
      </c>
      <c r="O82" s="31">
        <f t="shared" si="35"/>
        <v>9</v>
      </c>
      <c r="P82" s="31">
        <f t="shared" si="36"/>
        <v>35</v>
      </c>
      <c r="R82" s="8"/>
      <c r="T82"/>
    </row>
    <row r="83" spans="2:20" ht="23.1" customHeight="1" x14ac:dyDescent="0.25">
      <c r="B83" s="23" t="s">
        <v>123</v>
      </c>
      <c r="C83" s="49">
        <f>AVERAGE('26.07 Nateete-Nakawuka-24h'!C83,'27.07 Nateete-Nakawuka-24h'!C83)</f>
        <v>2.5</v>
      </c>
      <c r="D83" s="49">
        <f>AVERAGE('26.07 Nateete-Nakawuka-24h'!D83,'27.07 Nateete-Nakawuka-24h'!D83)</f>
        <v>4</v>
      </c>
      <c r="E83" s="49">
        <f>AVERAGE('26.07 Nateete-Nakawuka-24h'!E83,'27.07 Nateete-Nakawuka-24h'!E83)</f>
        <v>0</v>
      </c>
      <c r="F83" s="49">
        <f>AVERAGE('26.07 Nateete-Nakawuka-24h'!F83,'27.07 Nateete-Nakawuka-24h'!F83)</f>
        <v>3.5</v>
      </c>
      <c r="G83" s="49">
        <f>AVERAGE('26.07 Nateete-Nakawuka-24h'!G83,'27.07 Nateete-Nakawuka-24h'!G83)</f>
        <v>0</v>
      </c>
      <c r="H83" s="49">
        <f>AVERAGE('26.07 Nateete-Nakawuka-24h'!H83,'27.07 Nateete-Nakawuka-24h'!H83)</f>
        <v>1.5</v>
      </c>
      <c r="I83" s="49">
        <f>AVERAGE('26.07 Nateete-Nakawuka-24h'!I83,'27.07 Nateete-Nakawuka-24h'!I83)</f>
        <v>0</v>
      </c>
      <c r="J83" s="49">
        <f>AVERAGE('26.07 Nateete-Nakawuka-24h'!J83,'27.07 Nateete-Nakawuka-24h'!J83)</f>
        <v>0</v>
      </c>
      <c r="K83" s="49">
        <f>AVERAGE('26.07 Nateete-Nakawuka-24h'!K83,'27.07 Nateete-Nakawuka-24h'!K83)</f>
        <v>0</v>
      </c>
      <c r="L83" s="49">
        <f>AVERAGE('26.07 Nateete-Nakawuka-24h'!L83,'27.07 Nateete-Nakawuka-24h'!L83)</f>
        <v>0.5</v>
      </c>
      <c r="M83" s="49">
        <f>AVERAGE('26.07 Nateete-Nakawuka-24h'!M83,'27.07 Nateete-Nakawuka-24h'!M83)</f>
        <v>30</v>
      </c>
      <c r="N83" s="49">
        <f>AVERAGE('26.07 Nateete-Nakawuka-24h'!N83,'27.07 Nateete-Nakawuka-24h'!N83)</f>
        <v>0</v>
      </c>
      <c r="O83" s="31">
        <f t="shared" si="35"/>
        <v>12</v>
      </c>
      <c r="P83" s="31">
        <f t="shared" si="36"/>
        <v>42</v>
      </c>
      <c r="R83" s="8"/>
      <c r="T83"/>
    </row>
    <row r="84" spans="2:20" ht="23.1" customHeight="1" x14ac:dyDescent="0.25">
      <c r="B84" s="25" t="s">
        <v>124</v>
      </c>
      <c r="C84" s="49">
        <f>AVERAGE('26.07 Nateete-Nakawuka-24h'!C84,'27.07 Nateete-Nakawuka-24h'!C84)</f>
        <v>1</v>
      </c>
      <c r="D84" s="49">
        <f>AVERAGE('26.07 Nateete-Nakawuka-24h'!D84,'27.07 Nateete-Nakawuka-24h'!D84)</f>
        <v>1.5</v>
      </c>
      <c r="E84" s="49">
        <f>AVERAGE('26.07 Nateete-Nakawuka-24h'!E84,'27.07 Nateete-Nakawuka-24h'!E84)</f>
        <v>0.5</v>
      </c>
      <c r="F84" s="49">
        <f>AVERAGE('26.07 Nateete-Nakawuka-24h'!F84,'27.07 Nateete-Nakawuka-24h'!F84)</f>
        <v>2</v>
      </c>
      <c r="G84" s="49">
        <f>AVERAGE('26.07 Nateete-Nakawuka-24h'!G84,'27.07 Nateete-Nakawuka-24h'!G84)</f>
        <v>0</v>
      </c>
      <c r="H84" s="49">
        <f>AVERAGE('26.07 Nateete-Nakawuka-24h'!H84,'27.07 Nateete-Nakawuka-24h'!H84)</f>
        <v>0</v>
      </c>
      <c r="I84" s="49">
        <f>AVERAGE('26.07 Nateete-Nakawuka-24h'!I84,'27.07 Nateete-Nakawuka-24h'!I84)</f>
        <v>1</v>
      </c>
      <c r="J84" s="49">
        <f>AVERAGE('26.07 Nateete-Nakawuka-24h'!J84,'27.07 Nateete-Nakawuka-24h'!J84)</f>
        <v>0</v>
      </c>
      <c r="K84" s="49">
        <f>AVERAGE('26.07 Nateete-Nakawuka-24h'!K84,'27.07 Nateete-Nakawuka-24h'!K84)</f>
        <v>0</v>
      </c>
      <c r="L84" s="49">
        <f>AVERAGE('26.07 Nateete-Nakawuka-24h'!L84,'27.07 Nateete-Nakawuka-24h'!L84)</f>
        <v>0</v>
      </c>
      <c r="M84" s="49">
        <f>AVERAGE('26.07 Nateete-Nakawuka-24h'!M84,'27.07 Nateete-Nakawuka-24h'!M84)</f>
        <v>32</v>
      </c>
      <c r="N84" s="49">
        <f>AVERAGE('26.07 Nateete-Nakawuka-24h'!N84,'27.07 Nateete-Nakawuka-24h'!N84)</f>
        <v>0</v>
      </c>
      <c r="O84" s="31">
        <f t="shared" si="35"/>
        <v>6</v>
      </c>
      <c r="P84" s="31">
        <f t="shared" si="36"/>
        <v>38</v>
      </c>
      <c r="R84" s="8"/>
      <c r="T84"/>
    </row>
    <row r="85" spans="2:20" ht="23.1" customHeight="1" x14ac:dyDescent="0.25">
      <c r="B85" s="23" t="s">
        <v>125</v>
      </c>
      <c r="C85" s="49">
        <f>AVERAGE('26.07 Nateete-Nakawuka-24h'!C85,'27.07 Nateete-Nakawuka-24h'!C85)</f>
        <v>1</v>
      </c>
      <c r="D85" s="49">
        <f>AVERAGE('26.07 Nateete-Nakawuka-24h'!D85,'27.07 Nateete-Nakawuka-24h'!D85)</f>
        <v>0</v>
      </c>
      <c r="E85" s="49">
        <f>AVERAGE('26.07 Nateete-Nakawuka-24h'!E85,'27.07 Nateete-Nakawuka-24h'!E85)</f>
        <v>0</v>
      </c>
      <c r="F85" s="49">
        <f>AVERAGE('26.07 Nateete-Nakawuka-24h'!F85,'27.07 Nateete-Nakawuka-24h'!F85)</f>
        <v>1.5</v>
      </c>
      <c r="G85" s="49">
        <f>AVERAGE('26.07 Nateete-Nakawuka-24h'!G85,'27.07 Nateete-Nakawuka-24h'!G85)</f>
        <v>0</v>
      </c>
      <c r="H85" s="49">
        <f>AVERAGE('26.07 Nateete-Nakawuka-24h'!H85,'27.07 Nateete-Nakawuka-24h'!H85)</f>
        <v>0</v>
      </c>
      <c r="I85" s="49">
        <f>AVERAGE('26.07 Nateete-Nakawuka-24h'!I85,'27.07 Nateete-Nakawuka-24h'!I85)</f>
        <v>1.5</v>
      </c>
      <c r="J85" s="49">
        <f>AVERAGE('26.07 Nateete-Nakawuka-24h'!J85,'27.07 Nateete-Nakawuka-24h'!J85)</f>
        <v>0</v>
      </c>
      <c r="K85" s="49">
        <f>AVERAGE('26.07 Nateete-Nakawuka-24h'!K85,'27.07 Nateete-Nakawuka-24h'!K85)</f>
        <v>0.5</v>
      </c>
      <c r="L85" s="49">
        <f>AVERAGE('26.07 Nateete-Nakawuka-24h'!L85,'27.07 Nateete-Nakawuka-24h'!L85)</f>
        <v>0</v>
      </c>
      <c r="M85" s="49">
        <f>AVERAGE('26.07 Nateete-Nakawuka-24h'!M85,'27.07 Nateete-Nakawuka-24h'!M85)</f>
        <v>29</v>
      </c>
      <c r="N85" s="49">
        <f>AVERAGE('26.07 Nateete-Nakawuka-24h'!N85,'27.07 Nateete-Nakawuka-24h'!N85)</f>
        <v>0</v>
      </c>
      <c r="O85" s="31">
        <f t="shared" si="35"/>
        <v>4.5</v>
      </c>
      <c r="P85" s="31">
        <f t="shared" si="36"/>
        <v>33.5</v>
      </c>
      <c r="R85" s="8"/>
      <c r="T85"/>
    </row>
    <row r="86" spans="2:20" ht="23.1" customHeight="1" x14ac:dyDescent="0.25">
      <c r="B86" s="24" t="s">
        <v>126</v>
      </c>
      <c r="C86" s="49">
        <f>AVERAGE('26.07 Nateete-Nakawuka-24h'!C86,'27.07 Nateete-Nakawuka-24h'!C86)</f>
        <v>3</v>
      </c>
      <c r="D86" s="49">
        <f>AVERAGE('26.07 Nateete-Nakawuka-24h'!D86,'27.07 Nateete-Nakawuka-24h'!D86)</f>
        <v>3.5</v>
      </c>
      <c r="E86" s="49">
        <f>AVERAGE('26.07 Nateete-Nakawuka-24h'!E86,'27.07 Nateete-Nakawuka-24h'!E86)</f>
        <v>0.5</v>
      </c>
      <c r="F86" s="49">
        <f>AVERAGE('26.07 Nateete-Nakawuka-24h'!F86,'27.07 Nateete-Nakawuka-24h'!F86)</f>
        <v>5.5</v>
      </c>
      <c r="G86" s="49">
        <f>AVERAGE('26.07 Nateete-Nakawuka-24h'!G86,'27.07 Nateete-Nakawuka-24h'!G86)</f>
        <v>0</v>
      </c>
      <c r="H86" s="49">
        <f>AVERAGE('26.07 Nateete-Nakawuka-24h'!H86,'27.07 Nateete-Nakawuka-24h'!H86)</f>
        <v>1</v>
      </c>
      <c r="I86" s="49">
        <f>AVERAGE('26.07 Nateete-Nakawuka-24h'!I86,'27.07 Nateete-Nakawuka-24h'!I86)</f>
        <v>2.5</v>
      </c>
      <c r="J86" s="49">
        <f>AVERAGE('26.07 Nateete-Nakawuka-24h'!J86,'27.07 Nateete-Nakawuka-24h'!J86)</f>
        <v>0.5</v>
      </c>
      <c r="K86" s="49">
        <f>AVERAGE('26.07 Nateete-Nakawuka-24h'!K86,'27.07 Nateete-Nakawuka-24h'!K86)</f>
        <v>0</v>
      </c>
      <c r="L86" s="49">
        <f>AVERAGE('26.07 Nateete-Nakawuka-24h'!L86,'27.07 Nateete-Nakawuka-24h'!L86)</f>
        <v>0</v>
      </c>
      <c r="M86" s="49">
        <f>AVERAGE('26.07 Nateete-Nakawuka-24h'!M86,'27.07 Nateete-Nakawuka-24h'!M86)</f>
        <v>33.5</v>
      </c>
      <c r="N86" s="49">
        <f>AVERAGE('26.07 Nateete-Nakawuka-24h'!N86,'27.07 Nateete-Nakawuka-24h'!N86)</f>
        <v>0</v>
      </c>
      <c r="O86" s="31">
        <f t="shared" si="35"/>
        <v>16.5</v>
      </c>
      <c r="P86" s="31">
        <f t="shared" si="36"/>
        <v>50</v>
      </c>
      <c r="R86" s="8"/>
      <c r="T86"/>
    </row>
    <row r="87" spans="2:20" ht="23.1" customHeight="1" x14ac:dyDescent="0.25">
      <c r="B87" s="23" t="s">
        <v>127</v>
      </c>
      <c r="C87" s="49">
        <f>AVERAGE('26.07 Nateete-Nakawuka-24h'!C87,'27.07 Nateete-Nakawuka-24h'!C87)</f>
        <v>1.5</v>
      </c>
      <c r="D87" s="49">
        <f>AVERAGE('26.07 Nateete-Nakawuka-24h'!D87,'27.07 Nateete-Nakawuka-24h'!D87)</f>
        <v>1.5</v>
      </c>
      <c r="E87" s="49">
        <f>AVERAGE('26.07 Nateete-Nakawuka-24h'!E87,'27.07 Nateete-Nakawuka-24h'!E87)</f>
        <v>0</v>
      </c>
      <c r="F87" s="49">
        <f>AVERAGE('26.07 Nateete-Nakawuka-24h'!F87,'27.07 Nateete-Nakawuka-24h'!F87)</f>
        <v>3.5</v>
      </c>
      <c r="G87" s="49">
        <f>AVERAGE('26.07 Nateete-Nakawuka-24h'!G87,'27.07 Nateete-Nakawuka-24h'!G87)</f>
        <v>0</v>
      </c>
      <c r="H87" s="49">
        <f>AVERAGE('26.07 Nateete-Nakawuka-24h'!H87,'27.07 Nateete-Nakawuka-24h'!H87)</f>
        <v>0</v>
      </c>
      <c r="I87" s="49">
        <f>AVERAGE('26.07 Nateete-Nakawuka-24h'!I87,'27.07 Nateete-Nakawuka-24h'!I87)</f>
        <v>2</v>
      </c>
      <c r="J87" s="49">
        <f>AVERAGE('26.07 Nateete-Nakawuka-24h'!J87,'27.07 Nateete-Nakawuka-24h'!J87)</f>
        <v>0</v>
      </c>
      <c r="K87" s="49">
        <f>AVERAGE('26.07 Nateete-Nakawuka-24h'!K87,'27.07 Nateete-Nakawuka-24h'!K87)</f>
        <v>0</v>
      </c>
      <c r="L87" s="49">
        <f>AVERAGE('26.07 Nateete-Nakawuka-24h'!L87,'27.07 Nateete-Nakawuka-24h'!L87)</f>
        <v>0</v>
      </c>
      <c r="M87" s="49">
        <f>AVERAGE('26.07 Nateete-Nakawuka-24h'!M87,'27.07 Nateete-Nakawuka-24h'!M87)</f>
        <v>38</v>
      </c>
      <c r="N87" s="49">
        <f>AVERAGE('26.07 Nateete-Nakawuka-24h'!N87,'27.07 Nateete-Nakawuka-24h'!N87)</f>
        <v>0</v>
      </c>
      <c r="O87" s="31">
        <f t="shared" si="35"/>
        <v>8.5</v>
      </c>
      <c r="P87" s="31">
        <f t="shared" si="36"/>
        <v>46.5</v>
      </c>
      <c r="R87" s="8"/>
      <c r="T87"/>
    </row>
    <row r="88" spans="2:20" ht="23.1" customHeight="1" x14ac:dyDescent="0.25">
      <c r="B88" s="25" t="s">
        <v>128</v>
      </c>
      <c r="C88" s="49">
        <f>AVERAGE('26.07 Nateete-Nakawuka-24h'!C88,'27.07 Nateete-Nakawuka-24h'!C88)</f>
        <v>0.5</v>
      </c>
      <c r="D88" s="49">
        <f>AVERAGE('26.07 Nateete-Nakawuka-24h'!D88,'27.07 Nateete-Nakawuka-24h'!D88)</f>
        <v>0.5</v>
      </c>
      <c r="E88" s="49">
        <f>AVERAGE('26.07 Nateete-Nakawuka-24h'!E88,'27.07 Nateete-Nakawuka-24h'!E88)</f>
        <v>1</v>
      </c>
      <c r="F88" s="49">
        <f>AVERAGE('26.07 Nateete-Nakawuka-24h'!F88,'27.07 Nateete-Nakawuka-24h'!F88)</f>
        <v>10</v>
      </c>
      <c r="G88" s="49">
        <f>AVERAGE('26.07 Nateete-Nakawuka-24h'!G88,'27.07 Nateete-Nakawuka-24h'!G88)</f>
        <v>0</v>
      </c>
      <c r="H88" s="49">
        <f>AVERAGE('26.07 Nateete-Nakawuka-24h'!H88,'27.07 Nateete-Nakawuka-24h'!H88)</f>
        <v>0</v>
      </c>
      <c r="I88" s="49">
        <f>AVERAGE('26.07 Nateete-Nakawuka-24h'!I88,'27.07 Nateete-Nakawuka-24h'!I88)</f>
        <v>0</v>
      </c>
      <c r="J88" s="49">
        <f>AVERAGE('26.07 Nateete-Nakawuka-24h'!J88,'27.07 Nateete-Nakawuka-24h'!J88)</f>
        <v>0</v>
      </c>
      <c r="K88" s="49">
        <f>AVERAGE('26.07 Nateete-Nakawuka-24h'!K88,'27.07 Nateete-Nakawuka-24h'!K88)</f>
        <v>0</v>
      </c>
      <c r="L88" s="49">
        <f>AVERAGE('26.07 Nateete-Nakawuka-24h'!L88,'27.07 Nateete-Nakawuka-24h'!L88)</f>
        <v>0</v>
      </c>
      <c r="M88" s="49">
        <f>AVERAGE('26.07 Nateete-Nakawuka-24h'!M88,'27.07 Nateete-Nakawuka-24h'!M88)</f>
        <v>34</v>
      </c>
      <c r="N88" s="49">
        <f>AVERAGE('26.07 Nateete-Nakawuka-24h'!N88,'27.07 Nateete-Nakawuka-24h'!N88)</f>
        <v>0</v>
      </c>
      <c r="O88" s="31">
        <f t="shared" si="35"/>
        <v>12</v>
      </c>
      <c r="P88" s="31">
        <f t="shared" si="36"/>
        <v>46</v>
      </c>
      <c r="R88" s="8"/>
      <c r="T88"/>
    </row>
    <row r="89" spans="2:20" ht="23.1" customHeight="1" x14ac:dyDescent="0.25">
      <c r="B89" s="23" t="s">
        <v>129</v>
      </c>
      <c r="C89" s="49">
        <f>AVERAGE('26.07 Nateete-Nakawuka-24h'!C89,'27.07 Nateete-Nakawuka-24h'!C89)</f>
        <v>2.5</v>
      </c>
      <c r="D89" s="49">
        <f>AVERAGE('26.07 Nateete-Nakawuka-24h'!D89,'27.07 Nateete-Nakawuka-24h'!D89)</f>
        <v>3</v>
      </c>
      <c r="E89" s="49">
        <f>AVERAGE('26.07 Nateete-Nakawuka-24h'!E89,'27.07 Nateete-Nakawuka-24h'!E89)</f>
        <v>0</v>
      </c>
      <c r="F89" s="49">
        <f>AVERAGE('26.07 Nateete-Nakawuka-24h'!F89,'27.07 Nateete-Nakawuka-24h'!F89)</f>
        <v>3.5</v>
      </c>
      <c r="G89" s="49">
        <f>AVERAGE('26.07 Nateete-Nakawuka-24h'!G89,'27.07 Nateete-Nakawuka-24h'!G89)</f>
        <v>0</v>
      </c>
      <c r="H89" s="49">
        <f>AVERAGE('26.07 Nateete-Nakawuka-24h'!H89,'27.07 Nateete-Nakawuka-24h'!H89)</f>
        <v>0</v>
      </c>
      <c r="I89" s="49">
        <f>AVERAGE('26.07 Nateete-Nakawuka-24h'!I89,'27.07 Nateete-Nakawuka-24h'!I89)</f>
        <v>0</v>
      </c>
      <c r="J89" s="49">
        <f>AVERAGE('26.07 Nateete-Nakawuka-24h'!J89,'27.07 Nateete-Nakawuka-24h'!J89)</f>
        <v>0</v>
      </c>
      <c r="K89" s="49">
        <f>AVERAGE('26.07 Nateete-Nakawuka-24h'!K89,'27.07 Nateete-Nakawuka-24h'!K89)</f>
        <v>0</v>
      </c>
      <c r="L89" s="49">
        <f>AVERAGE('26.07 Nateete-Nakawuka-24h'!L89,'27.07 Nateete-Nakawuka-24h'!L89)</f>
        <v>0</v>
      </c>
      <c r="M89" s="49">
        <f>AVERAGE('26.07 Nateete-Nakawuka-24h'!M89,'27.07 Nateete-Nakawuka-24h'!M89)</f>
        <v>24</v>
      </c>
      <c r="N89" s="49">
        <f>AVERAGE('26.07 Nateete-Nakawuka-24h'!N89,'27.07 Nateete-Nakawuka-24h'!N89)</f>
        <v>0</v>
      </c>
      <c r="O89" s="31">
        <f t="shared" si="35"/>
        <v>9</v>
      </c>
      <c r="P89" s="31">
        <f t="shared" si="36"/>
        <v>33</v>
      </c>
      <c r="R89" s="8"/>
      <c r="T89"/>
    </row>
    <row r="90" spans="2:20" ht="23.1" customHeight="1" x14ac:dyDescent="0.25">
      <c r="B90" s="24" t="s">
        <v>130</v>
      </c>
      <c r="C90" s="49">
        <f>AVERAGE('26.07 Nateete-Nakawuka-24h'!C90,'27.07 Nateete-Nakawuka-24h'!C90)</f>
        <v>2.5</v>
      </c>
      <c r="D90" s="49">
        <f>AVERAGE('26.07 Nateete-Nakawuka-24h'!D90,'27.07 Nateete-Nakawuka-24h'!D90)</f>
        <v>0</v>
      </c>
      <c r="E90" s="49">
        <f>AVERAGE('26.07 Nateete-Nakawuka-24h'!E90,'27.07 Nateete-Nakawuka-24h'!E90)</f>
        <v>0</v>
      </c>
      <c r="F90" s="49">
        <f>AVERAGE('26.07 Nateete-Nakawuka-24h'!F90,'27.07 Nateete-Nakawuka-24h'!F90)</f>
        <v>0.5</v>
      </c>
      <c r="G90" s="49">
        <f>AVERAGE('26.07 Nateete-Nakawuka-24h'!G90,'27.07 Nateete-Nakawuka-24h'!G90)</f>
        <v>0</v>
      </c>
      <c r="H90" s="49">
        <f>AVERAGE('26.07 Nateete-Nakawuka-24h'!H90,'27.07 Nateete-Nakawuka-24h'!H90)</f>
        <v>0</v>
      </c>
      <c r="I90" s="49">
        <f>AVERAGE('26.07 Nateete-Nakawuka-24h'!I90,'27.07 Nateete-Nakawuka-24h'!I90)</f>
        <v>0</v>
      </c>
      <c r="J90" s="49">
        <f>AVERAGE('26.07 Nateete-Nakawuka-24h'!J90,'27.07 Nateete-Nakawuka-24h'!J90)</f>
        <v>0</v>
      </c>
      <c r="K90" s="49">
        <f>AVERAGE('26.07 Nateete-Nakawuka-24h'!K90,'27.07 Nateete-Nakawuka-24h'!K90)</f>
        <v>0.5</v>
      </c>
      <c r="L90" s="49">
        <f>AVERAGE('26.07 Nateete-Nakawuka-24h'!L90,'27.07 Nateete-Nakawuka-24h'!L90)</f>
        <v>0</v>
      </c>
      <c r="M90" s="49">
        <f>AVERAGE('26.07 Nateete-Nakawuka-24h'!M90,'27.07 Nateete-Nakawuka-24h'!M90)</f>
        <v>15.5</v>
      </c>
      <c r="N90" s="49">
        <f>AVERAGE('26.07 Nateete-Nakawuka-24h'!N90,'27.07 Nateete-Nakawuka-24h'!N90)</f>
        <v>0</v>
      </c>
      <c r="O90" s="31">
        <f t="shared" si="35"/>
        <v>3.5</v>
      </c>
      <c r="P90" s="31">
        <f t="shared" si="36"/>
        <v>19</v>
      </c>
      <c r="R90" s="8"/>
      <c r="T90"/>
    </row>
    <row r="91" spans="2:20" ht="23.1" customHeight="1" x14ac:dyDescent="0.25">
      <c r="B91" s="23" t="s">
        <v>131</v>
      </c>
      <c r="C91" s="49">
        <f>AVERAGE('26.07 Nateete-Nakawuka-24h'!C91,'27.07 Nateete-Nakawuka-24h'!C91)</f>
        <v>5</v>
      </c>
      <c r="D91" s="49">
        <f>AVERAGE('26.07 Nateete-Nakawuka-24h'!D91,'27.07 Nateete-Nakawuka-24h'!D91)</f>
        <v>0</v>
      </c>
      <c r="E91" s="49">
        <f>AVERAGE('26.07 Nateete-Nakawuka-24h'!E91,'27.07 Nateete-Nakawuka-24h'!E91)</f>
        <v>1</v>
      </c>
      <c r="F91" s="49">
        <f>AVERAGE('26.07 Nateete-Nakawuka-24h'!F91,'27.07 Nateete-Nakawuka-24h'!F91)</f>
        <v>0</v>
      </c>
      <c r="G91" s="49">
        <f>AVERAGE('26.07 Nateete-Nakawuka-24h'!G91,'27.07 Nateete-Nakawuka-24h'!G91)</f>
        <v>0</v>
      </c>
      <c r="H91" s="49">
        <f>AVERAGE('26.07 Nateete-Nakawuka-24h'!H91,'27.07 Nateete-Nakawuka-24h'!H91)</f>
        <v>0</v>
      </c>
      <c r="I91" s="49">
        <f>AVERAGE('26.07 Nateete-Nakawuka-24h'!I91,'27.07 Nateete-Nakawuka-24h'!I91)</f>
        <v>1</v>
      </c>
      <c r="J91" s="49">
        <f>AVERAGE('26.07 Nateete-Nakawuka-24h'!J91,'27.07 Nateete-Nakawuka-24h'!J91)</f>
        <v>0</v>
      </c>
      <c r="K91" s="49">
        <f>AVERAGE('26.07 Nateete-Nakawuka-24h'!K91,'27.07 Nateete-Nakawuka-24h'!K91)</f>
        <v>0</v>
      </c>
      <c r="L91" s="49">
        <f>AVERAGE('26.07 Nateete-Nakawuka-24h'!L91,'27.07 Nateete-Nakawuka-24h'!L91)</f>
        <v>0.5</v>
      </c>
      <c r="M91" s="49">
        <f>AVERAGE('26.07 Nateete-Nakawuka-24h'!M91,'27.07 Nateete-Nakawuka-24h'!M91)</f>
        <v>19.5</v>
      </c>
      <c r="N91" s="49">
        <f>AVERAGE('26.07 Nateete-Nakawuka-24h'!N91,'27.07 Nateete-Nakawuka-24h'!N91)</f>
        <v>0</v>
      </c>
      <c r="O91" s="31">
        <f t="shared" si="35"/>
        <v>7.5</v>
      </c>
      <c r="P91" s="31">
        <f t="shared" si="36"/>
        <v>27</v>
      </c>
      <c r="R91" s="8"/>
      <c r="T91"/>
    </row>
    <row r="92" spans="2:20" ht="23.1" customHeight="1" x14ac:dyDescent="0.25">
      <c r="B92" s="25" t="s">
        <v>132</v>
      </c>
      <c r="C92" s="49">
        <f>AVERAGE('26.07 Nateete-Nakawuka-24h'!C92,'27.07 Nateete-Nakawuka-24h'!C92)</f>
        <v>1</v>
      </c>
      <c r="D92" s="49">
        <f>AVERAGE('26.07 Nateete-Nakawuka-24h'!D92,'27.07 Nateete-Nakawuka-24h'!D92)</f>
        <v>1</v>
      </c>
      <c r="E92" s="49">
        <f>AVERAGE('26.07 Nateete-Nakawuka-24h'!E92,'27.07 Nateete-Nakawuka-24h'!E92)</f>
        <v>1.5</v>
      </c>
      <c r="F92" s="49">
        <f>AVERAGE('26.07 Nateete-Nakawuka-24h'!F92,'27.07 Nateete-Nakawuka-24h'!F92)</f>
        <v>1</v>
      </c>
      <c r="G92" s="49">
        <f>AVERAGE('26.07 Nateete-Nakawuka-24h'!G92,'27.07 Nateete-Nakawuka-24h'!G92)</f>
        <v>0.5</v>
      </c>
      <c r="H92" s="49">
        <f>AVERAGE('26.07 Nateete-Nakawuka-24h'!H92,'27.07 Nateete-Nakawuka-24h'!H92)</f>
        <v>0</v>
      </c>
      <c r="I92" s="49">
        <f>AVERAGE('26.07 Nateete-Nakawuka-24h'!I92,'27.07 Nateete-Nakawuka-24h'!I92)</f>
        <v>0</v>
      </c>
      <c r="J92" s="49">
        <f>AVERAGE('26.07 Nateete-Nakawuka-24h'!J92,'27.07 Nateete-Nakawuka-24h'!J92)</f>
        <v>0</v>
      </c>
      <c r="K92" s="49">
        <f>AVERAGE('26.07 Nateete-Nakawuka-24h'!K92,'27.07 Nateete-Nakawuka-24h'!K92)</f>
        <v>0</v>
      </c>
      <c r="L92" s="49">
        <f>AVERAGE('26.07 Nateete-Nakawuka-24h'!L92,'27.07 Nateete-Nakawuka-24h'!L92)</f>
        <v>0</v>
      </c>
      <c r="M92" s="49">
        <f>AVERAGE('26.07 Nateete-Nakawuka-24h'!M92,'27.07 Nateete-Nakawuka-24h'!M92)</f>
        <v>20.5</v>
      </c>
      <c r="N92" s="49">
        <f>AVERAGE('26.07 Nateete-Nakawuka-24h'!N92,'27.07 Nateete-Nakawuka-24h'!N92)</f>
        <v>0</v>
      </c>
      <c r="O92" s="31">
        <f t="shared" si="35"/>
        <v>5</v>
      </c>
      <c r="P92" s="31">
        <f t="shared" si="36"/>
        <v>25.5</v>
      </c>
      <c r="R92" s="8"/>
      <c r="T92"/>
    </row>
    <row r="93" spans="2:20" ht="23.1" customHeight="1" x14ac:dyDescent="0.25">
      <c r="B93" s="23" t="s">
        <v>133</v>
      </c>
      <c r="C93" s="49">
        <f>AVERAGE('26.07 Nateete-Nakawuka-24h'!C93,'27.07 Nateete-Nakawuka-24h'!C93)</f>
        <v>2</v>
      </c>
      <c r="D93" s="49">
        <f>AVERAGE('26.07 Nateete-Nakawuka-24h'!D93,'27.07 Nateete-Nakawuka-24h'!D93)</f>
        <v>0</v>
      </c>
      <c r="E93" s="49">
        <f>AVERAGE('26.07 Nateete-Nakawuka-24h'!E93,'27.07 Nateete-Nakawuka-24h'!E93)</f>
        <v>0</v>
      </c>
      <c r="F93" s="49">
        <f>AVERAGE('26.07 Nateete-Nakawuka-24h'!F93,'27.07 Nateete-Nakawuka-24h'!F93)</f>
        <v>0</v>
      </c>
      <c r="G93" s="49">
        <f>AVERAGE('26.07 Nateete-Nakawuka-24h'!G93,'27.07 Nateete-Nakawuka-24h'!G93)</f>
        <v>0</v>
      </c>
      <c r="H93" s="49">
        <f>AVERAGE('26.07 Nateete-Nakawuka-24h'!H93,'27.07 Nateete-Nakawuka-24h'!H93)</f>
        <v>0.5</v>
      </c>
      <c r="I93" s="49">
        <f>AVERAGE('26.07 Nateete-Nakawuka-24h'!I93,'27.07 Nateete-Nakawuka-24h'!I93)</f>
        <v>0.5</v>
      </c>
      <c r="J93" s="49">
        <f>AVERAGE('26.07 Nateete-Nakawuka-24h'!J93,'27.07 Nateete-Nakawuka-24h'!J93)</f>
        <v>1</v>
      </c>
      <c r="K93" s="49">
        <f>AVERAGE('26.07 Nateete-Nakawuka-24h'!K93,'27.07 Nateete-Nakawuka-24h'!K93)</f>
        <v>0.5</v>
      </c>
      <c r="L93" s="49">
        <f>AVERAGE('26.07 Nateete-Nakawuka-24h'!L93,'27.07 Nateete-Nakawuka-24h'!L93)</f>
        <v>0</v>
      </c>
      <c r="M93" s="49">
        <f>AVERAGE('26.07 Nateete-Nakawuka-24h'!M93,'27.07 Nateete-Nakawuka-24h'!M93)</f>
        <v>13</v>
      </c>
      <c r="N93" s="49">
        <f>AVERAGE('26.07 Nateete-Nakawuka-24h'!N93,'27.07 Nateete-Nakawuka-24h'!N93)</f>
        <v>0</v>
      </c>
      <c r="O93" s="31">
        <f t="shared" si="35"/>
        <v>4.5</v>
      </c>
      <c r="P93" s="31">
        <f t="shared" si="36"/>
        <v>17.5</v>
      </c>
      <c r="R93" s="8"/>
      <c r="T93"/>
    </row>
    <row r="94" spans="2:20" ht="23.1" customHeight="1" x14ac:dyDescent="0.25">
      <c r="B94" s="24" t="s">
        <v>134</v>
      </c>
      <c r="C94" s="49">
        <f>AVERAGE('26.07 Nateete-Nakawuka-24h'!C94,'27.07 Nateete-Nakawuka-24h'!C94)</f>
        <v>2</v>
      </c>
      <c r="D94" s="49">
        <f>AVERAGE('26.07 Nateete-Nakawuka-24h'!D94,'27.07 Nateete-Nakawuka-24h'!D94)</f>
        <v>1</v>
      </c>
      <c r="E94" s="49">
        <f>AVERAGE('26.07 Nateete-Nakawuka-24h'!E94,'27.07 Nateete-Nakawuka-24h'!E94)</f>
        <v>0</v>
      </c>
      <c r="F94" s="49">
        <f>AVERAGE('26.07 Nateete-Nakawuka-24h'!F94,'27.07 Nateete-Nakawuka-24h'!F94)</f>
        <v>1</v>
      </c>
      <c r="G94" s="49">
        <f>AVERAGE('26.07 Nateete-Nakawuka-24h'!G94,'27.07 Nateete-Nakawuka-24h'!G94)</f>
        <v>0</v>
      </c>
      <c r="H94" s="49">
        <f>AVERAGE('26.07 Nateete-Nakawuka-24h'!H94,'27.07 Nateete-Nakawuka-24h'!H94)</f>
        <v>0</v>
      </c>
      <c r="I94" s="49">
        <f>AVERAGE('26.07 Nateete-Nakawuka-24h'!I94,'27.07 Nateete-Nakawuka-24h'!I94)</f>
        <v>0</v>
      </c>
      <c r="J94" s="49">
        <f>AVERAGE('26.07 Nateete-Nakawuka-24h'!J94,'27.07 Nateete-Nakawuka-24h'!J94)</f>
        <v>0</v>
      </c>
      <c r="K94" s="49">
        <f>AVERAGE('26.07 Nateete-Nakawuka-24h'!K94,'27.07 Nateete-Nakawuka-24h'!K94)</f>
        <v>0</v>
      </c>
      <c r="L94" s="49">
        <f>AVERAGE('26.07 Nateete-Nakawuka-24h'!L94,'27.07 Nateete-Nakawuka-24h'!L94)</f>
        <v>0.5</v>
      </c>
      <c r="M94" s="49">
        <f>AVERAGE('26.07 Nateete-Nakawuka-24h'!M94,'27.07 Nateete-Nakawuka-24h'!M94)</f>
        <v>29.5</v>
      </c>
      <c r="N94" s="49">
        <f>AVERAGE('26.07 Nateete-Nakawuka-24h'!N94,'27.07 Nateete-Nakawuka-24h'!N94)</f>
        <v>0</v>
      </c>
      <c r="O94" s="31">
        <f t="shared" si="35"/>
        <v>4.5</v>
      </c>
      <c r="P94" s="31">
        <f t="shared" si="36"/>
        <v>34</v>
      </c>
      <c r="R94" s="8"/>
      <c r="T94"/>
    </row>
    <row r="95" spans="2:20" ht="23.1" customHeight="1" x14ac:dyDescent="0.25">
      <c r="B95" s="23" t="s">
        <v>135</v>
      </c>
      <c r="C95" s="49">
        <f>AVERAGE('26.07 Nateete-Nakawuka-24h'!C95,'27.07 Nateete-Nakawuka-24h'!C95)</f>
        <v>2.5</v>
      </c>
      <c r="D95" s="49">
        <f>AVERAGE('26.07 Nateete-Nakawuka-24h'!D95,'27.07 Nateete-Nakawuka-24h'!D95)</f>
        <v>1</v>
      </c>
      <c r="E95" s="49">
        <f>AVERAGE('26.07 Nateete-Nakawuka-24h'!E95,'27.07 Nateete-Nakawuka-24h'!E95)</f>
        <v>0</v>
      </c>
      <c r="F95" s="49">
        <f>AVERAGE('26.07 Nateete-Nakawuka-24h'!F95,'27.07 Nateete-Nakawuka-24h'!F95)</f>
        <v>0</v>
      </c>
      <c r="G95" s="49">
        <f>AVERAGE('26.07 Nateete-Nakawuka-24h'!G95,'27.07 Nateete-Nakawuka-24h'!G95)</f>
        <v>0</v>
      </c>
      <c r="H95" s="49">
        <f>AVERAGE('26.07 Nateete-Nakawuka-24h'!H95,'27.07 Nateete-Nakawuka-24h'!H95)</f>
        <v>0</v>
      </c>
      <c r="I95" s="49">
        <f>AVERAGE('26.07 Nateete-Nakawuka-24h'!I95,'27.07 Nateete-Nakawuka-24h'!I95)</f>
        <v>0</v>
      </c>
      <c r="J95" s="49">
        <f>AVERAGE('26.07 Nateete-Nakawuka-24h'!J95,'27.07 Nateete-Nakawuka-24h'!J95)</f>
        <v>0.5</v>
      </c>
      <c r="K95" s="49">
        <f>AVERAGE('26.07 Nateete-Nakawuka-24h'!K95,'27.07 Nateete-Nakawuka-24h'!K95)</f>
        <v>0</v>
      </c>
      <c r="L95" s="49">
        <f>AVERAGE('26.07 Nateete-Nakawuka-24h'!L95,'27.07 Nateete-Nakawuka-24h'!L95)</f>
        <v>0</v>
      </c>
      <c r="M95" s="49">
        <f>AVERAGE('26.07 Nateete-Nakawuka-24h'!M95,'27.07 Nateete-Nakawuka-24h'!M95)</f>
        <v>30</v>
      </c>
      <c r="N95" s="49">
        <f>AVERAGE('26.07 Nateete-Nakawuka-24h'!N95,'27.07 Nateete-Nakawuka-24h'!N95)</f>
        <v>0</v>
      </c>
      <c r="O95" s="31">
        <f t="shared" si="35"/>
        <v>4</v>
      </c>
      <c r="P95" s="31">
        <f t="shared" si="36"/>
        <v>34</v>
      </c>
      <c r="R95" s="8"/>
      <c r="T95"/>
    </row>
    <row r="96" spans="2:20" ht="23.1" customHeight="1" x14ac:dyDescent="0.25">
      <c r="B96" s="25" t="s">
        <v>136</v>
      </c>
      <c r="C96" s="49">
        <f>AVERAGE('26.07 Nateete-Nakawuka-24h'!C96,'27.07 Nateete-Nakawuka-24h'!C96)</f>
        <v>2</v>
      </c>
      <c r="D96" s="49">
        <f>AVERAGE('26.07 Nateete-Nakawuka-24h'!D96,'27.07 Nateete-Nakawuka-24h'!D96)</f>
        <v>0.5</v>
      </c>
      <c r="E96" s="49">
        <f>AVERAGE('26.07 Nateete-Nakawuka-24h'!E96,'27.07 Nateete-Nakawuka-24h'!E96)</f>
        <v>0</v>
      </c>
      <c r="F96" s="49">
        <f>AVERAGE('26.07 Nateete-Nakawuka-24h'!F96,'27.07 Nateete-Nakawuka-24h'!F96)</f>
        <v>0</v>
      </c>
      <c r="G96" s="49">
        <f>AVERAGE('26.07 Nateete-Nakawuka-24h'!G96,'27.07 Nateete-Nakawuka-24h'!G96)</f>
        <v>0</v>
      </c>
      <c r="H96" s="49">
        <f>AVERAGE('26.07 Nateete-Nakawuka-24h'!H96,'27.07 Nateete-Nakawuka-24h'!H96)</f>
        <v>0</v>
      </c>
      <c r="I96" s="49">
        <f>AVERAGE('26.07 Nateete-Nakawuka-24h'!I96,'27.07 Nateete-Nakawuka-24h'!I96)</f>
        <v>0</v>
      </c>
      <c r="J96" s="49">
        <f>AVERAGE('26.07 Nateete-Nakawuka-24h'!J96,'27.07 Nateete-Nakawuka-24h'!J96)</f>
        <v>0.5</v>
      </c>
      <c r="K96" s="49">
        <f>AVERAGE('26.07 Nateete-Nakawuka-24h'!K96,'27.07 Nateete-Nakawuka-24h'!K96)</f>
        <v>0</v>
      </c>
      <c r="L96" s="49">
        <f>AVERAGE('26.07 Nateete-Nakawuka-24h'!L96,'27.07 Nateete-Nakawuka-24h'!L96)</f>
        <v>0</v>
      </c>
      <c r="M96" s="49">
        <f>AVERAGE('26.07 Nateete-Nakawuka-24h'!M96,'27.07 Nateete-Nakawuka-24h'!M96)</f>
        <v>25.5</v>
      </c>
      <c r="N96" s="49">
        <f>AVERAGE('26.07 Nateete-Nakawuka-24h'!N96,'27.07 Nateete-Nakawuka-24h'!N96)</f>
        <v>0</v>
      </c>
      <c r="O96" s="31">
        <f t="shared" si="35"/>
        <v>3</v>
      </c>
      <c r="P96" s="31">
        <f t="shared" si="36"/>
        <v>28.5</v>
      </c>
      <c r="R96" s="8"/>
      <c r="T96"/>
    </row>
    <row r="97" spans="2:20" ht="23.1" customHeight="1" x14ac:dyDescent="0.25">
      <c r="B97" s="23" t="s">
        <v>137</v>
      </c>
      <c r="C97" s="49">
        <f>AVERAGE('26.07 Nateete-Nakawuka-24h'!C97,'27.07 Nateete-Nakawuka-24h'!C97)</f>
        <v>1</v>
      </c>
      <c r="D97" s="49">
        <f>AVERAGE('26.07 Nateete-Nakawuka-24h'!D97,'27.07 Nateete-Nakawuka-24h'!D97)</f>
        <v>2.5</v>
      </c>
      <c r="E97" s="49">
        <f>AVERAGE('26.07 Nateete-Nakawuka-24h'!E97,'27.07 Nateete-Nakawuka-24h'!E97)</f>
        <v>0.5</v>
      </c>
      <c r="F97" s="49">
        <f>AVERAGE('26.07 Nateete-Nakawuka-24h'!F97,'27.07 Nateete-Nakawuka-24h'!F97)</f>
        <v>0.5</v>
      </c>
      <c r="G97" s="49">
        <f>AVERAGE('26.07 Nateete-Nakawuka-24h'!G97,'27.07 Nateete-Nakawuka-24h'!G97)</f>
        <v>0</v>
      </c>
      <c r="H97" s="49">
        <f>AVERAGE('26.07 Nateete-Nakawuka-24h'!H97,'27.07 Nateete-Nakawuka-24h'!H97)</f>
        <v>0</v>
      </c>
      <c r="I97" s="49">
        <f>AVERAGE('26.07 Nateete-Nakawuka-24h'!I97,'27.07 Nateete-Nakawuka-24h'!I97)</f>
        <v>0</v>
      </c>
      <c r="J97" s="49">
        <f>AVERAGE('26.07 Nateete-Nakawuka-24h'!J97,'27.07 Nateete-Nakawuka-24h'!J97)</f>
        <v>0</v>
      </c>
      <c r="K97" s="49">
        <f>AVERAGE('26.07 Nateete-Nakawuka-24h'!K97,'27.07 Nateete-Nakawuka-24h'!K97)</f>
        <v>0</v>
      </c>
      <c r="L97" s="49">
        <f>AVERAGE('26.07 Nateete-Nakawuka-24h'!L97,'27.07 Nateete-Nakawuka-24h'!L97)</f>
        <v>0</v>
      </c>
      <c r="M97" s="49">
        <f>AVERAGE('26.07 Nateete-Nakawuka-24h'!M97,'27.07 Nateete-Nakawuka-24h'!M97)</f>
        <v>23</v>
      </c>
      <c r="N97" s="49">
        <f>AVERAGE('26.07 Nateete-Nakawuka-24h'!N97,'27.07 Nateete-Nakawuka-24h'!N97)</f>
        <v>0</v>
      </c>
      <c r="O97" s="31">
        <f t="shared" si="35"/>
        <v>4.5</v>
      </c>
      <c r="P97" s="31">
        <f t="shared" si="36"/>
        <v>27.5</v>
      </c>
      <c r="R97" s="8"/>
      <c r="T97"/>
    </row>
    <row r="98" spans="2:20" ht="23.1" customHeight="1" x14ac:dyDescent="0.25">
      <c r="B98" s="24" t="s">
        <v>138</v>
      </c>
      <c r="C98" s="49">
        <f>AVERAGE('26.07 Nateete-Nakawuka-24h'!C98,'27.07 Nateete-Nakawuka-24h'!C98)</f>
        <v>0.5</v>
      </c>
      <c r="D98" s="49">
        <f>AVERAGE('26.07 Nateete-Nakawuka-24h'!D98,'27.07 Nateete-Nakawuka-24h'!D98)</f>
        <v>3</v>
      </c>
      <c r="E98" s="49">
        <f>AVERAGE('26.07 Nateete-Nakawuka-24h'!E98,'27.07 Nateete-Nakawuka-24h'!E98)</f>
        <v>0</v>
      </c>
      <c r="F98" s="49">
        <f>AVERAGE('26.07 Nateete-Nakawuka-24h'!F98,'27.07 Nateete-Nakawuka-24h'!F98)</f>
        <v>0</v>
      </c>
      <c r="G98" s="49">
        <f>AVERAGE('26.07 Nateete-Nakawuka-24h'!G98,'27.07 Nateete-Nakawuka-24h'!G98)</f>
        <v>0</v>
      </c>
      <c r="H98" s="49">
        <f>AVERAGE('26.07 Nateete-Nakawuka-24h'!H98,'27.07 Nateete-Nakawuka-24h'!H98)</f>
        <v>0</v>
      </c>
      <c r="I98" s="49">
        <f>AVERAGE('26.07 Nateete-Nakawuka-24h'!I98,'27.07 Nateete-Nakawuka-24h'!I98)</f>
        <v>1</v>
      </c>
      <c r="J98" s="49">
        <f>AVERAGE('26.07 Nateete-Nakawuka-24h'!J98,'27.07 Nateete-Nakawuka-24h'!J98)</f>
        <v>0</v>
      </c>
      <c r="K98" s="49">
        <f>AVERAGE('26.07 Nateete-Nakawuka-24h'!K98,'27.07 Nateete-Nakawuka-24h'!K98)</f>
        <v>0.5</v>
      </c>
      <c r="L98" s="49">
        <f>AVERAGE('26.07 Nateete-Nakawuka-24h'!L98,'27.07 Nateete-Nakawuka-24h'!L98)</f>
        <v>0.5</v>
      </c>
      <c r="M98" s="49">
        <f>AVERAGE('26.07 Nateete-Nakawuka-24h'!M98,'27.07 Nateete-Nakawuka-24h'!M98)</f>
        <v>26.5</v>
      </c>
      <c r="N98" s="49">
        <f>AVERAGE('26.07 Nateete-Nakawuka-24h'!N98,'27.07 Nateete-Nakawuka-24h'!N98)</f>
        <v>0</v>
      </c>
      <c r="O98" s="31">
        <f t="shared" si="35"/>
        <v>5.5</v>
      </c>
      <c r="P98" s="31">
        <f t="shared" si="36"/>
        <v>32</v>
      </c>
      <c r="R98" s="8"/>
      <c r="T98"/>
    </row>
    <row r="99" spans="2:20" ht="23.1" customHeight="1" x14ac:dyDescent="0.25">
      <c r="B99" s="23" t="s">
        <v>139</v>
      </c>
      <c r="C99" s="49">
        <f>AVERAGE('26.07 Nateete-Nakawuka-24h'!C99,'27.07 Nateete-Nakawuka-24h'!C99)</f>
        <v>3.5</v>
      </c>
      <c r="D99" s="49">
        <f>AVERAGE('26.07 Nateete-Nakawuka-24h'!D99,'27.07 Nateete-Nakawuka-24h'!D99)</f>
        <v>1.5</v>
      </c>
      <c r="E99" s="49">
        <f>AVERAGE('26.07 Nateete-Nakawuka-24h'!E99,'27.07 Nateete-Nakawuka-24h'!E99)</f>
        <v>0.5</v>
      </c>
      <c r="F99" s="49">
        <f>AVERAGE('26.07 Nateete-Nakawuka-24h'!F99,'27.07 Nateete-Nakawuka-24h'!F99)</f>
        <v>0</v>
      </c>
      <c r="G99" s="49">
        <f>AVERAGE('26.07 Nateete-Nakawuka-24h'!G99,'27.07 Nateete-Nakawuka-24h'!G99)</f>
        <v>0</v>
      </c>
      <c r="H99" s="49">
        <f>AVERAGE('26.07 Nateete-Nakawuka-24h'!H99,'27.07 Nateete-Nakawuka-24h'!H99)</f>
        <v>0</v>
      </c>
      <c r="I99" s="49">
        <f>AVERAGE('26.07 Nateete-Nakawuka-24h'!I99,'27.07 Nateete-Nakawuka-24h'!I99)</f>
        <v>0.5</v>
      </c>
      <c r="J99" s="49">
        <f>AVERAGE('26.07 Nateete-Nakawuka-24h'!J99,'27.07 Nateete-Nakawuka-24h'!J99)</f>
        <v>1</v>
      </c>
      <c r="K99" s="49">
        <f>AVERAGE('26.07 Nateete-Nakawuka-24h'!K99,'27.07 Nateete-Nakawuka-24h'!K99)</f>
        <v>0.5</v>
      </c>
      <c r="L99" s="49">
        <f>AVERAGE('26.07 Nateete-Nakawuka-24h'!L99,'27.07 Nateete-Nakawuka-24h'!L99)</f>
        <v>0</v>
      </c>
      <c r="M99" s="49">
        <f>AVERAGE('26.07 Nateete-Nakawuka-24h'!M99,'27.07 Nateete-Nakawuka-24h'!M99)</f>
        <v>33</v>
      </c>
      <c r="N99" s="49">
        <f>AVERAGE('26.07 Nateete-Nakawuka-24h'!N99,'27.07 Nateete-Nakawuka-24h'!N99)</f>
        <v>0</v>
      </c>
      <c r="O99" s="31">
        <f t="shared" si="35"/>
        <v>7.5</v>
      </c>
      <c r="P99" s="31">
        <f t="shared" si="36"/>
        <v>40.5</v>
      </c>
      <c r="R99" s="8"/>
      <c r="T99"/>
    </row>
    <row r="100" spans="2:20" ht="23.1" customHeight="1" x14ac:dyDescent="0.25">
      <c r="B100" s="25" t="s">
        <v>140</v>
      </c>
      <c r="C100" s="49">
        <f>AVERAGE('26.07 Nateete-Nakawuka-24h'!C100,'27.07 Nateete-Nakawuka-24h'!C100)</f>
        <v>1.5</v>
      </c>
      <c r="D100" s="49">
        <f>AVERAGE('26.07 Nateete-Nakawuka-24h'!D100,'27.07 Nateete-Nakawuka-24h'!D100)</f>
        <v>4</v>
      </c>
      <c r="E100" s="49">
        <f>AVERAGE('26.07 Nateete-Nakawuka-24h'!E100,'27.07 Nateete-Nakawuka-24h'!E100)</f>
        <v>0</v>
      </c>
      <c r="F100" s="49">
        <f>AVERAGE('26.07 Nateete-Nakawuka-24h'!F100,'27.07 Nateete-Nakawuka-24h'!F100)</f>
        <v>1.5</v>
      </c>
      <c r="G100" s="49">
        <f>AVERAGE('26.07 Nateete-Nakawuka-24h'!G100,'27.07 Nateete-Nakawuka-24h'!G100)</f>
        <v>0</v>
      </c>
      <c r="H100" s="49">
        <f>AVERAGE('26.07 Nateete-Nakawuka-24h'!H100,'27.07 Nateete-Nakawuka-24h'!H100)</f>
        <v>0</v>
      </c>
      <c r="I100" s="49">
        <f>AVERAGE('26.07 Nateete-Nakawuka-24h'!I100,'27.07 Nateete-Nakawuka-24h'!I100)</f>
        <v>0</v>
      </c>
      <c r="J100" s="49">
        <f>AVERAGE('26.07 Nateete-Nakawuka-24h'!J100,'27.07 Nateete-Nakawuka-24h'!J100)</f>
        <v>1</v>
      </c>
      <c r="K100" s="49">
        <f>AVERAGE('26.07 Nateete-Nakawuka-24h'!K100,'27.07 Nateete-Nakawuka-24h'!K100)</f>
        <v>0</v>
      </c>
      <c r="L100" s="49">
        <f>AVERAGE('26.07 Nateete-Nakawuka-24h'!L100,'27.07 Nateete-Nakawuka-24h'!L100)</f>
        <v>0.5</v>
      </c>
      <c r="M100" s="49">
        <f>AVERAGE('26.07 Nateete-Nakawuka-24h'!M100,'27.07 Nateete-Nakawuka-24h'!M100)</f>
        <v>53</v>
      </c>
      <c r="N100" s="49">
        <f>AVERAGE('26.07 Nateete-Nakawuka-24h'!N100,'27.07 Nateete-Nakawuka-24h'!N100)</f>
        <v>0</v>
      </c>
      <c r="O100" s="31">
        <f t="shared" si="35"/>
        <v>8.5</v>
      </c>
      <c r="P100" s="31">
        <f t="shared" si="36"/>
        <v>61.5</v>
      </c>
      <c r="R100" s="8"/>
      <c r="T100"/>
    </row>
    <row r="101" spans="2:20" ht="23.1" customHeight="1" x14ac:dyDescent="0.25">
      <c r="B101" s="23" t="s">
        <v>141</v>
      </c>
      <c r="C101" s="49">
        <f>AVERAGE('26.07 Nateete-Nakawuka-24h'!C101,'27.07 Nateete-Nakawuka-24h'!C101)</f>
        <v>3.5</v>
      </c>
      <c r="D101" s="49">
        <f>AVERAGE('26.07 Nateete-Nakawuka-24h'!D101,'27.07 Nateete-Nakawuka-24h'!D101)</f>
        <v>1</v>
      </c>
      <c r="E101" s="49">
        <f>AVERAGE('26.07 Nateete-Nakawuka-24h'!E101,'27.07 Nateete-Nakawuka-24h'!E101)</f>
        <v>0</v>
      </c>
      <c r="F101" s="49">
        <f>AVERAGE('26.07 Nateete-Nakawuka-24h'!F101,'27.07 Nateete-Nakawuka-24h'!F101)</f>
        <v>2.5</v>
      </c>
      <c r="G101" s="49">
        <f>AVERAGE('26.07 Nateete-Nakawuka-24h'!G101,'27.07 Nateete-Nakawuka-24h'!G101)</f>
        <v>0</v>
      </c>
      <c r="H101" s="49">
        <f>AVERAGE('26.07 Nateete-Nakawuka-24h'!H101,'27.07 Nateete-Nakawuka-24h'!H101)</f>
        <v>0.5</v>
      </c>
      <c r="I101" s="49">
        <f>AVERAGE('26.07 Nateete-Nakawuka-24h'!I101,'27.07 Nateete-Nakawuka-24h'!I101)</f>
        <v>0</v>
      </c>
      <c r="J101" s="49">
        <f>AVERAGE('26.07 Nateete-Nakawuka-24h'!J101,'27.07 Nateete-Nakawuka-24h'!J101)</f>
        <v>1</v>
      </c>
      <c r="K101" s="49">
        <f>AVERAGE('26.07 Nateete-Nakawuka-24h'!K101,'27.07 Nateete-Nakawuka-24h'!K101)</f>
        <v>0.5</v>
      </c>
      <c r="L101" s="49">
        <f>AVERAGE('26.07 Nateete-Nakawuka-24h'!L101,'27.07 Nateete-Nakawuka-24h'!L101)</f>
        <v>0</v>
      </c>
      <c r="M101" s="49">
        <f>AVERAGE('26.07 Nateete-Nakawuka-24h'!M101,'27.07 Nateete-Nakawuka-24h'!M101)</f>
        <v>82.5</v>
      </c>
      <c r="N101" s="49">
        <f>AVERAGE('26.07 Nateete-Nakawuka-24h'!N101,'27.07 Nateete-Nakawuka-24h'!N101)</f>
        <v>0</v>
      </c>
      <c r="O101" s="31">
        <f t="shared" si="35"/>
        <v>9</v>
      </c>
      <c r="P101" s="31">
        <f t="shared" si="36"/>
        <v>91.5</v>
      </c>
      <c r="R101" s="8"/>
      <c r="T101"/>
    </row>
    <row r="102" spans="2:20" ht="23.1" customHeight="1" x14ac:dyDescent="0.25">
      <c r="B102" s="24" t="s">
        <v>142</v>
      </c>
      <c r="C102" s="49">
        <f>AVERAGE('26.07 Nateete-Nakawuka-24h'!C102,'27.07 Nateete-Nakawuka-24h'!C102)</f>
        <v>2</v>
      </c>
      <c r="D102" s="49">
        <f>AVERAGE('26.07 Nateete-Nakawuka-24h'!D102,'27.07 Nateete-Nakawuka-24h'!D102)</f>
        <v>1</v>
      </c>
      <c r="E102" s="49">
        <f>AVERAGE('26.07 Nateete-Nakawuka-24h'!E102,'27.07 Nateete-Nakawuka-24h'!E102)</f>
        <v>2</v>
      </c>
      <c r="F102" s="49">
        <f>AVERAGE('26.07 Nateete-Nakawuka-24h'!F102,'27.07 Nateete-Nakawuka-24h'!F102)</f>
        <v>1</v>
      </c>
      <c r="G102" s="49">
        <f>AVERAGE('26.07 Nateete-Nakawuka-24h'!G102,'27.07 Nateete-Nakawuka-24h'!G102)</f>
        <v>0</v>
      </c>
      <c r="H102" s="49">
        <f>AVERAGE('26.07 Nateete-Nakawuka-24h'!H102,'27.07 Nateete-Nakawuka-24h'!H102)</f>
        <v>0.5</v>
      </c>
      <c r="I102" s="49">
        <f>AVERAGE('26.07 Nateete-Nakawuka-24h'!I102,'27.07 Nateete-Nakawuka-24h'!I102)</f>
        <v>0.5</v>
      </c>
      <c r="J102" s="49">
        <f>AVERAGE('26.07 Nateete-Nakawuka-24h'!J102,'27.07 Nateete-Nakawuka-24h'!J102)</f>
        <v>0</v>
      </c>
      <c r="K102" s="49">
        <f>AVERAGE('26.07 Nateete-Nakawuka-24h'!K102,'27.07 Nateete-Nakawuka-24h'!K102)</f>
        <v>1</v>
      </c>
      <c r="L102" s="49">
        <f>AVERAGE('26.07 Nateete-Nakawuka-24h'!L102,'27.07 Nateete-Nakawuka-24h'!L102)</f>
        <v>0</v>
      </c>
      <c r="M102" s="49">
        <f>AVERAGE('26.07 Nateete-Nakawuka-24h'!M102,'27.07 Nateete-Nakawuka-24h'!M102)</f>
        <v>81.5</v>
      </c>
      <c r="N102" s="49">
        <f>AVERAGE('26.07 Nateete-Nakawuka-24h'!N102,'27.07 Nateete-Nakawuka-24h'!N102)</f>
        <v>0</v>
      </c>
      <c r="O102" s="31">
        <f t="shared" si="35"/>
        <v>8</v>
      </c>
      <c r="P102" s="31">
        <f t="shared" si="36"/>
        <v>89.5</v>
      </c>
      <c r="R102" s="8"/>
      <c r="T102"/>
    </row>
    <row r="103" spans="2:20" ht="23.1" customHeight="1" x14ac:dyDescent="0.25">
      <c r="B103" s="23" t="s">
        <v>143</v>
      </c>
      <c r="C103" s="49">
        <f>AVERAGE('26.07 Nateete-Nakawuka-24h'!C103,'27.07 Nateete-Nakawuka-24h'!C103)</f>
        <v>4</v>
      </c>
      <c r="D103" s="49">
        <f>AVERAGE('26.07 Nateete-Nakawuka-24h'!D103,'27.07 Nateete-Nakawuka-24h'!D103)</f>
        <v>1.5</v>
      </c>
      <c r="E103" s="49">
        <f>AVERAGE('26.07 Nateete-Nakawuka-24h'!E103,'27.07 Nateete-Nakawuka-24h'!E103)</f>
        <v>0.5</v>
      </c>
      <c r="F103" s="49">
        <f>AVERAGE('26.07 Nateete-Nakawuka-24h'!F103,'27.07 Nateete-Nakawuka-24h'!F103)</f>
        <v>3</v>
      </c>
      <c r="G103" s="49">
        <f>AVERAGE('26.07 Nateete-Nakawuka-24h'!G103,'27.07 Nateete-Nakawuka-24h'!G103)</f>
        <v>0</v>
      </c>
      <c r="H103" s="49">
        <f>AVERAGE('26.07 Nateete-Nakawuka-24h'!H103,'27.07 Nateete-Nakawuka-24h'!H103)</f>
        <v>0</v>
      </c>
      <c r="I103" s="49">
        <f>AVERAGE('26.07 Nateete-Nakawuka-24h'!I103,'27.07 Nateete-Nakawuka-24h'!I103)</f>
        <v>1</v>
      </c>
      <c r="J103" s="49">
        <f>AVERAGE('26.07 Nateete-Nakawuka-24h'!J103,'27.07 Nateete-Nakawuka-24h'!J103)</f>
        <v>1.5</v>
      </c>
      <c r="K103" s="49">
        <f>AVERAGE('26.07 Nateete-Nakawuka-24h'!K103,'27.07 Nateete-Nakawuka-24h'!K103)</f>
        <v>0</v>
      </c>
      <c r="L103" s="49">
        <f>AVERAGE('26.07 Nateete-Nakawuka-24h'!L103,'27.07 Nateete-Nakawuka-24h'!L103)</f>
        <v>0</v>
      </c>
      <c r="M103" s="49">
        <f>AVERAGE('26.07 Nateete-Nakawuka-24h'!M103,'27.07 Nateete-Nakawuka-24h'!M103)</f>
        <v>86</v>
      </c>
      <c r="N103" s="49">
        <f>AVERAGE('26.07 Nateete-Nakawuka-24h'!N103,'27.07 Nateete-Nakawuka-24h'!N103)</f>
        <v>0</v>
      </c>
      <c r="O103" s="31">
        <f t="shared" si="35"/>
        <v>11.5</v>
      </c>
      <c r="P103" s="31">
        <f t="shared" si="36"/>
        <v>97.5</v>
      </c>
      <c r="R103" s="8"/>
      <c r="T103"/>
    </row>
    <row r="104" spans="2:20" ht="23.1" customHeight="1" x14ac:dyDescent="0.25">
      <c r="B104" s="25" t="s">
        <v>144</v>
      </c>
      <c r="C104" s="49">
        <f>AVERAGE('26.07 Nateete-Nakawuka-24h'!C104,'27.07 Nateete-Nakawuka-24h'!C104)</f>
        <v>7</v>
      </c>
      <c r="D104" s="49">
        <f>AVERAGE('26.07 Nateete-Nakawuka-24h'!D104,'27.07 Nateete-Nakawuka-24h'!D104)</f>
        <v>6</v>
      </c>
      <c r="E104" s="49">
        <f>AVERAGE('26.07 Nateete-Nakawuka-24h'!E104,'27.07 Nateete-Nakawuka-24h'!E104)</f>
        <v>1</v>
      </c>
      <c r="F104" s="49">
        <f>AVERAGE('26.07 Nateete-Nakawuka-24h'!F104,'27.07 Nateete-Nakawuka-24h'!F104)</f>
        <v>5.5</v>
      </c>
      <c r="G104" s="49">
        <f>AVERAGE('26.07 Nateete-Nakawuka-24h'!G104,'27.07 Nateete-Nakawuka-24h'!G104)</f>
        <v>0.5</v>
      </c>
      <c r="H104" s="49">
        <f>AVERAGE('26.07 Nateete-Nakawuka-24h'!H104,'27.07 Nateete-Nakawuka-24h'!H104)</f>
        <v>0</v>
      </c>
      <c r="I104" s="49">
        <f>AVERAGE('26.07 Nateete-Nakawuka-24h'!I104,'27.07 Nateete-Nakawuka-24h'!I104)</f>
        <v>3.5</v>
      </c>
      <c r="J104" s="49">
        <f>AVERAGE('26.07 Nateete-Nakawuka-24h'!J104,'27.07 Nateete-Nakawuka-24h'!J104)</f>
        <v>2</v>
      </c>
      <c r="K104" s="49">
        <f>AVERAGE('26.07 Nateete-Nakawuka-24h'!K104,'27.07 Nateete-Nakawuka-24h'!K104)</f>
        <v>0.5</v>
      </c>
      <c r="L104" s="49">
        <f>AVERAGE('26.07 Nateete-Nakawuka-24h'!L104,'27.07 Nateete-Nakawuka-24h'!L104)</f>
        <v>0</v>
      </c>
      <c r="M104" s="49">
        <f>AVERAGE('26.07 Nateete-Nakawuka-24h'!M104,'27.07 Nateete-Nakawuka-24h'!M104)</f>
        <v>116.5</v>
      </c>
      <c r="N104" s="49">
        <f>AVERAGE('26.07 Nateete-Nakawuka-24h'!N104,'27.07 Nateete-Nakawuka-24h'!N104)</f>
        <v>0</v>
      </c>
      <c r="O104" s="31">
        <f t="shared" si="35"/>
        <v>26</v>
      </c>
      <c r="P104" s="31">
        <f t="shared" si="36"/>
        <v>142.5</v>
      </c>
      <c r="R104" s="8"/>
      <c r="T104"/>
    </row>
    <row r="105" spans="2:20" ht="23.1" customHeight="1" x14ac:dyDescent="0.25">
      <c r="B105" s="23" t="s">
        <v>145</v>
      </c>
      <c r="C105" s="49">
        <f>AVERAGE('26.07 Nateete-Nakawuka-24h'!C105,'27.07 Nateete-Nakawuka-24h'!C105)</f>
        <v>10.5</v>
      </c>
      <c r="D105" s="49">
        <f>AVERAGE('26.07 Nateete-Nakawuka-24h'!D105,'27.07 Nateete-Nakawuka-24h'!D105)</f>
        <v>6</v>
      </c>
      <c r="E105" s="49">
        <f>AVERAGE('26.07 Nateete-Nakawuka-24h'!E105,'27.07 Nateete-Nakawuka-24h'!E105)</f>
        <v>0.5</v>
      </c>
      <c r="F105" s="49">
        <f>AVERAGE('26.07 Nateete-Nakawuka-24h'!F105,'27.07 Nateete-Nakawuka-24h'!F105)</f>
        <v>9</v>
      </c>
      <c r="G105" s="49">
        <f>AVERAGE('26.07 Nateete-Nakawuka-24h'!G105,'27.07 Nateete-Nakawuka-24h'!G105)</f>
        <v>0</v>
      </c>
      <c r="H105" s="49">
        <f>AVERAGE('26.07 Nateete-Nakawuka-24h'!H105,'27.07 Nateete-Nakawuka-24h'!H105)</f>
        <v>0</v>
      </c>
      <c r="I105" s="49">
        <f>AVERAGE('26.07 Nateete-Nakawuka-24h'!I105,'27.07 Nateete-Nakawuka-24h'!I105)</f>
        <v>0.5</v>
      </c>
      <c r="J105" s="49">
        <f>AVERAGE('26.07 Nateete-Nakawuka-24h'!J105,'27.07 Nateete-Nakawuka-24h'!J105)</f>
        <v>3</v>
      </c>
      <c r="K105" s="49">
        <f>AVERAGE('26.07 Nateete-Nakawuka-24h'!K105,'27.07 Nateete-Nakawuka-24h'!K105)</f>
        <v>0</v>
      </c>
      <c r="L105" s="49">
        <f>AVERAGE('26.07 Nateete-Nakawuka-24h'!L105,'27.07 Nateete-Nakawuka-24h'!L105)</f>
        <v>0</v>
      </c>
      <c r="M105" s="49">
        <f>AVERAGE('26.07 Nateete-Nakawuka-24h'!M105,'27.07 Nateete-Nakawuka-24h'!M105)</f>
        <v>114.5</v>
      </c>
      <c r="N105" s="49">
        <f>AVERAGE('26.07 Nateete-Nakawuka-24h'!N105,'27.07 Nateete-Nakawuka-24h'!N105)</f>
        <v>0</v>
      </c>
      <c r="O105" s="31">
        <f t="shared" si="35"/>
        <v>29.5</v>
      </c>
      <c r="P105" s="31">
        <f t="shared" si="36"/>
        <v>144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1249.6428571428571</v>
      </c>
      <c r="D106" s="16">
        <f t="shared" ref="D106:P106" si="37">SUM(D10:D105)</f>
        <v>431</v>
      </c>
      <c r="E106" s="16">
        <f t="shared" si="37"/>
        <v>184.92857142857144</v>
      </c>
      <c r="F106" s="16">
        <f t="shared" si="37"/>
        <v>1467.1428571428571</v>
      </c>
      <c r="G106" s="16">
        <f t="shared" si="37"/>
        <v>68.571428571428569</v>
      </c>
      <c r="H106" s="16">
        <f t="shared" si="37"/>
        <v>57.428571428571431</v>
      </c>
      <c r="I106" s="16">
        <f t="shared" si="37"/>
        <v>348.85714285714283</v>
      </c>
      <c r="J106" s="16">
        <f t="shared" si="37"/>
        <v>116.6428571428571</v>
      </c>
      <c r="K106" s="16">
        <f t="shared" si="37"/>
        <v>50.285714285714292</v>
      </c>
      <c r="L106" s="16">
        <f t="shared" si="37"/>
        <v>33.642857142857146</v>
      </c>
      <c r="M106" s="16">
        <f t="shared" si="37"/>
        <v>7349.0714285714294</v>
      </c>
      <c r="N106" s="16">
        <f t="shared" si="37"/>
        <v>1.1428571428571428</v>
      </c>
      <c r="O106" s="32">
        <f t="shared" si="37"/>
        <v>4009.2857142857142</v>
      </c>
      <c r="P106" s="32">
        <f t="shared" si="37"/>
        <v>11358.357142857145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0.1100196834300735</v>
      </c>
      <c r="D107" s="43">
        <f t="shared" si="38"/>
        <v>3.7945628454819288E-2</v>
      </c>
      <c r="E107" s="43">
        <f t="shared" si="38"/>
        <v>1.6281278102341257E-2</v>
      </c>
      <c r="F107" s="43">
        <f t="shared" si="38"/>
        <v>0.12916857946005769</v>
      </c>
      <c r="G107" s="43">
        <f t="shared" si="38"/>
        <v>6.0370903739851703E-3</v>
      </c>
      <c r="H107" s="43">
        <f t="shared" si="38"/>
        <v>5.0560631882125805E-3</v>
      </c>
      <c r="I107" s="43">
        <f t="shared" si="38"/>
        <v>3.0713697277649551E-2</v>
      </c>
      <c r="J107" s="43">
        <f t="shared" si="38"/>
        <v>1.0269342271581021E-2</v>
      </c>
      <c r="K107" s="43">
        <f t="shared" si="38"/>
        <v>4.4271996075891254E-3</v>
      </c>
      <c r="L107" s="43">
        <f t="shared" si="38"/>
        <v>2.9619474647364745E-3</v>
      </c>
      <c r="M107" s="43">
        <f t="shared" si="38"/>
        <v>0.64701887219605447</v>
      </c>
      <c r="N107" s="43">
        <f t="shared" si="38"/>
        <v>1.0061817289975283E-4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0.31168715481916975</v>
      </c>
      <c r="D108" s="44">
        <f t="shared" ref="D108:N108" si="39">D106/$O$106</f>
        <v>0.10750044539461963</v>
      </c>
      <c r="E108" s="44">
        <f t="shared" si="39"/>
        <v>4.6125066809192948E-2</v>
      </c>
      <c r="F108" s="44">
        <f t="shared" si="39"/>
        <v>0.36593621949046856</v>
      </c>
      <c r="G108" s="44">
        <f t="shared" si="39"/>
        <v>1.7103153393907E-2</v>
      </c>
      <c r="H108" s="44">
        <f t="shared" si="39"/>
        <v>1.4323890967397114E-2</v>
      </c>
      <c r="I108" s="44">
        <f t="shared" si="39"/>
        <v>8.7012292891501863E-2</v>
      </c>
      <c r="J108" s="44">
        <f t="shared" si="39"/>
        <v>2.9093176554427211E-2</v>
      </c>
      <c r="K108" s="44">
        <f t="shared" si="39"/>
        <v>1.2542312488865136E-2</v>
      </c>
      <c r="L108" s="44">
        <f t="shared" si="39"/>
        <v>8.3912346338856237E-3</v>
      </c>
      <c r="M108" s="44"/>
      <c r="N108" s="44">
        <f t="shared" si="39"/>
        <v>2.8505255656511669E-4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G61" zoomScale="60" workbookViewId="0">
      <selection activeCell="V94" sqref="V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2.42578125" customWidth="1"/>
    <col min="33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'28.07 Nateete-Nakawuka'!C3:G3</f>
        <v>MCC - C1 - STN09 - WAKALIGA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169</v>
      </c>
      <c r="E5" s="66"/>
      <c r="F5" s="41" t="s">
        <v>1</v>
      </c>
      <c r="G5" s="63" t="str">
        <f>'Avg Week Nateete-Nakawuka'!G5:H5</f>
        <v>TAKUWA BEST FEEDS</v>
      </c>
      <c r="H5" s="64"/>
      <c r="I5" s="14"/>
      <c r="J5" s="2" t="s">
        <v>5</v>
      </c>
      <c r="K5" s="63" t="str">
        <f>'Avg Week Nateete-Nakawuka'!K5:L5</f>
        <v>WACHOMI RONALD/KENNETH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Nateete-Nakawuka'!K6:L6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Nakawuka-Nateete'!C10+'Avg Week Nateete-Nakawuka'!C10</f>
        <v>34.714285714285715</v>
      </c>
      <c r="D10" s="49">
        <f>'Avg Week Nakawuka-Nateete'!D10+'Avg Week Nateete-Nakawuka'!D10</f>
        <v>9.7142857142857135</v>
      </c>
      <c r="E10" s="49">
        <f>'Avg Week Nakawuka-Nateete'!E10+'Avg Week Nateete-Nakawuka'!E10</f>
        <v>9.5714285714285712</v>
      </c>
      <c r="F10" s="49">
        <f>'Avg Week Nakawuka-Nateete'!F10+'Avg Week Nateete-Nakawuka'!F10</f>
        <v>33</v>
      </c>
      <c r="G10" s="49">
        <f>'Avg Week Nakawuka-Nateete'!G10+'Avg Week Nateete-Nakawuka'!G10</f>
        <v>0.8571428571428571</v>
      </c>
      <c r="H10" s="49">
        <f>'Avg Week Nakawuka-Nateete'!H10+'Avg Week Nateete-Nakawuka'!H10</f>
        <v>0.71428571428571419</v>
      </c>
      <c r="I10" s="49">
        <f>'Avg Week Nakawuka-Nateete'!I10+'Avg Week Nateete-Nakawuka'!I10</f>
        <v>10</v>
      </c>
      <c r="J10" s="49">
        <f>'Avg Week Nakawuka-Nateete'!J10+'Avg Week Nateete-Nakawuka'!J10</f>
        <v>3.2857142857142856</v>
      </c>
      <c r="K10" s="49">
        <f>'Avg Week Nakawuka-Nateete'!K10+'Avg Week Nateete-Nakawuka'!K10</f>
        <v>0.7142857142857143</v>
      </c>
      <c r="L10" s="49">
        <f>'Avg Week Nakawuka-Nateete'!L10+'Avg Week Nateete-Nakawuka'!L10</f>
        <v>0</v>
      </c>
      <c r="M10" s="49">
        <f>'Avg Week Nakawuka-Nateete'!M10+'Avg Week Nateete-Nakawuka'!M10</f>
        <v>192.14285714285714</v>
      </c>
      <c r="N10" s="49">
        <f>'Avg Week Nakawuka-Nateete'!N10+'Avg Week Nateete-Nakawuka'!N10</f>
        <v>0</v>
      </c>
      <c r="O10" s="15">
        <f t="shared" ref="O10:O73" si="0">SUM(C10:L10,N10)</f>
        <v>102.57142857142857</v>
      </c>
      <c r="P10" s="15">
        <f t="shared" ref="P10:P56" si="1">SUM(C10:N10)</f>
        <v>294.71428571428572</v>
      </c>
      <c r="R10" s="1" t="s">
        <v>6</v>
      </c>
      <c r="S10" s="17">
        <f t="shared" ref="S10:AF10" si="2">SUM(C10:C13)</f>
        <v>138.85714285714286</v>
      </c>
      <c r="T10" s="17">
        <f t="shared" si="2"/>
        <v>45.285714285714292</v>
      </c>
      <c r="U10" s="17">
        <f t="shared" si="2"/>
        <v>35.714285714285708</v>
      </c>
      <c r="V10" s="17">
        <f t="shared" si="2"/>
        <v>178.14285714285717</v>
      </c>
      <c r="W10" s="17">
        <f t="shared" si="2"/>
        <v>3.2857142857142856</v>
      </c>
      <c r="X10" s="17">
        <f t="shared" si="2"/>
        <v>1.714285714285714</v>
      </c>
      <c r="Y10" s="17">
        <f t="shared" si="2"/>
        <v>38.571428571428569</v>
      </c>
      <c r="Z10" s="17">
        <f t="shared" si="2"/>
        <v>16.714285714285715</v>
      </c>
      <c r="AA10" s="17">
        <f t="shared" si="2"/>
        <v>4</v>
      </c>
      <c r="AB10" s="17">
        <f t="shared" si="2"/>
        <v>0.71428571428571419</v>
      </c>
      <c r="AC10" s="17">
        <f t="shared" si="2"/>
        <v>826.85714285714289</v>
      </c>
      <c r="AD10" s="17">
        <f t="shared" si="2"/>
        <v>0</v>
      </c>
      <c r="AE10" s="31">
        <f t="shared" si="2"/>
        <v>463</v>
      </c>
      <c r="AF10" s="31">
        <f t="shared" si="2"/>
        <v>1289.8571428571429</v>
      </c>
    </row>
    <row r="11" spans="2:32" s="6" customFormat="1" ht="23.1" customHeight="1" x14ac:dyDescent="0.25">
      <c r="B11" s="23" t="s">
        <v>38</v>
      </c>
      <c r="C11" s="49">
        <f>'Avg Week Nakawuka-Nateete'!C11+'Avg Week Nateete-Nakawuka'!C11</f>
        <v>33.714285714285715</v>
      </c>
      <c r="D11" s="49">
        <f>'Avg Week Nakawuka-Nateete'!D11+'Avg Week Nateete-Nakawuka'!D11</f>
        <v>11</v>
      </c>
      <c r="E11" s="49">
        <f>'Avg Week Nakawuka-Nateete'!E11+'Avg Week Nateete-Nakawuka'!E11</f>
        <v>7.7142857142857135</v>
      </c>
      <c r="F11" s="49">
        <f>'Avg Week Nakawuka-Nateete'!F11+'Avg Week Nateete-Nakawuka'!F11</f>
        <v>41.714285714285715</v>
      </c>
      <c r="G11" s="49">
        <f>'Avg Week Nakawuka-Nateete'!G11+'Avg Week Nateete-Nakawuka'!G11</f>
        <v>0.8571428571428571</v>
      </c>
      <c r="H11" s="49">
        <f>'Avg Week Nakawuka-Nateete'!H11+'Avg Week Nateete-Nakawuka'!H11</f>
        <v>0</v>
      </c>
      <c r="I11" s="49">
        <f>'Avg Week Nakawuka-Nateete'!I11+'Avg Week Nateete-Nakawuka'!I11</f>
        <v>9.2857142857142865</v>
      </c>
      <c r="J11" s="49">
        <f>'Avg Week Nakawuka-Nateete'!J11+'Avg Week Nateete-Nakawuka'!J11</f>
        <v>5.7142857142857144</v>
      </c>
      <c r="K11" s="49">
        <f>'Avg Week Nakawuka-Nateete'!K11+'Avg Week Nateete-Nakawuka'!K11</f>
        <v>1</v>
      </c>
      <c r="L11" s="49">
        <f>'Avg Week Nakawuka-Nateete'!L11+'Avg Week Nateete-Nakawuka'!L11</f>
        <v>0.14285714285714285</v>
      </c>
      <c r="M11" s="49">
        <f>'Avg Week Nakawuka-Nateete'!M11+'Avg Week Nateete-Nakawuka'!M11</f>
        <v>213.28571428571428</v>
      </c>
      <c r="N11" s="49">
        <f>'Avg Week Nakawuka-Nateete'!N11+'Avg Week Nateete-Nakawuka'!N11</f>
        <v>0</v>
      </c>
      <c r="O11" s="15">
        <f t="shared" si="0"/>
        <v>111.14285714285714</v>
      </c>
      <c r="P11" s="15">
        <f t="shared" si="1"/>
        <v>324.42857142857144</v>
      </c>
      <c r="R11" s="1" t="s">
        <v>7</v>
      </c>
      <c r="S11" s="17">
        <f t="shared" ref="S11:AF11" si="3">SUM(C14:C17)</f>
        <v>154.57142857142856</v>
      </c>
      <c r="T11" s="17">
        <f t="shared" si="3"/>
        <v>55.142857142857153</v>
      </c>
      <c r="U11" s="17">
        <f t="shared" si="3"/>
        <v>33.857142857142861</v>
      </c>
      <c r="V11" s="17">
        <f t="shared" si="3"/>
        <v>189.14285714285714</v>
      </c>
      <c r="W11" s="17">
        <f t="shared" si="3"/>
        <v>3.4285714285714284</v>
      </c>
      <c r="X11" s="17">
        <f t="shared" si="3"/>
        <v>2.4285714285714284</v>
      </c>
      <c r="Y11" s="17">
        <f t="shared" si="3"/>
        <v>38.714285714285715</v>
      </c>
      <c r="Z11" s="17">
        <f t="shared" si="3"/>
        <v>17.857142857142858</v>
      </c>
      <c r="AA11" s="17">
        <f t="shared" si="3"/>
        <v>1.7142857142857142</v>
      </c>
      <c r="AB11" s="17">
        <f t="shared" si="3"/>
        <v>1.714285714285714</v>
      </c>
      <c r="AC11" s="17">
        <f t="shared" si="3"/>
        <v>844.28571428571433</v>
      </c>
      <c r="AD11" s="17">
        <f t="shared" si="3"/>
        <v>0</v>
      </c>
      <c r="AE11" s="31">
        <f t="shared" si="3"/>
        <v>498.57142857142856</v>
      </c>
      <c r="AF11" s="31">
        <f t="shared" si="3"/>
        <v>1342.8571428571429</v>
      </c>
    </row>
    <row r="12" spans="2:32" ht="23.1" customHeight="1" x14ac:dyDescent="0.25">
      <c r="B12" s="23" t="s">
        <v>39</v>
      </c>
      <c r="C12" s="49">
        <f>'Avg Week Nakawuka-Nateete'!C12+'Avg Week Nateete-Nakawuka'!C12</f>
        <v>35.857142857142861</v>
      </c>
      <c r="D12" s="49">
        <f>'Avg Week Nakawuka-Nateete'!D12+'Avg Week Nateete-Nakawuka'!D12</f>
        <v>12.142857142857142</v>
      </c>
      <c r="E12" s="49">
        <f>'Avg Week Nakawuka-Nateete'!E12+'Avg Week Nateete-Nakawuka'!E12</f>
        <v>9.5714285714285712</v>
      </c>
      <c r="F12" s="49">
        <f>'Avg Week Nakawuka-Nateete'!F12+'Avg Week Nateete-Nakawuka'!F12</f>
        <v>48.428571428571431</v>
      </c>
      <c r="G12" s="49">
        <f>'Avg Week Nakawuka-Nateete'!G12+'Avg Week Nateete-Nakawuka'!G12</f>
        <v>0.8571428571428571</v>
      </c>
      <c r="H12" s="49">
        <f>'Avg Week Nakawuka-Nateete'!H12+'Avg Week Nateete-Nakawuka'!H12</f>
        <v>0.71428571428571419</v>
      </c>
      <c r="I12" s="49">
        <f>'Avg Week Nakawuka-Nateete'!I12+'Avg Week Nateete-Nakawuka'!I12</f>
        <v>8.2857142857142847</v>
      </c>
      <c r="J12" s="49">
        <f>'Avg Week Nakawuka-Nateete'!J12+'Avg Week Nateete-Nakawuka'!J12</f>
        <v>3.8571428571428568</v>
      </c>
      <c r="K12" s="49">
        <f>'Avg Week Nakawuka-Nateete'!K12+'Avg Week Nateete-Nakawuka'!K12</f>
        <v>0.8571428571428571</v>
      </c>
      <c r="L12" s="49">
        <f>'Avg Week Nakawuka-Nateete'!L12+'Avg Week Nateete-Nakawuka'!L12</f>
        <v>0.14285714285714285</v>
      </c>
      <c r="M12" s="49">
        <f>'Avg Week Nakawuka-Nateete'!M12+'Avg Week Nateete-Nakawuka'!M12</f>
        <v>213</v>
      </c>
      <c r="N12" s="49">
        <f>'Avg Week Nakawuka-Nateete'!N12+'Avg Week Nateete-Nakawuka'!N12</f>
        <v>0</v>
      </c>
      <c r="O12" s="15">
        <f t="shared" si="0"/>
        <v>120.71428571428572</v>
      </c>
      <c r="P12" s="15">
        <f t="shared" si="1"/>
        <v>333.71428571428572</v>
      </c>
      <c r="R12" s="1" t="s">
        <v>8</v>
      </c>
      <c r="S12" s="17">
        <f t="shared" ref="S12:AF12" si="4">SUM(C18:C21)</f>
        <v>132.28571428571428</v>
      </c>
      <c r="T12" s="17">
        <f t="shared" si="4"/>
        <v>43.571428571428569</v>
      </c>
      <c r="U12" s="17">
        <f t="shared" si="4"/>
        <v>24.428571428571431</v>
      </c>
      <c r="V12" s="17">
        <f t="shared" si="4"/>
        <v>163.28571428571428</v>
      </c>
      <c r="W12" s="17">
        <f t="shared" si="4"/>
        <v>3.8571428571428568</v>
      </c>
      <c r="X12" s="17">
        <f t="shared" si="4"/>
        <v>3.4285714285714288</v>
      </c>
      <c r="Y12" s="17">
        <f t="shared" si="4"/>
        <v>50.285714285714285</v>
      </c>
      <c r="Z12" s="17">
        <f t="shared" si="4"/>
        <v>23.285714285714285</v>
      </c>
      <c r="AA12" s="17">
        <f t="shared" si="4"/>
        <v>6</v>
      </c>
      <c r="AB12" s="17">
        <f t="shared" si="4"/>
        <v>2.8571428571428568</v>
      </c>
      <c r="AC12" s="17">
        <f t="shared" si="4"/>
        <v>825</v>
      </c>
      <c r="AD12" s="17">
        <f t="shared" si="4"/>
        <v>0</v>
      </c>
      <c r="AE12" s="31">
        <f t="shared" si="4"/>
        <v>453.28571428571428</v>
      </c>
      <c r="AF12" s="31">
        <f t="shared" si="4"/>
        <v>1278.2857142857142</v>
      </c>
    </row>
    <row r="13" spans="2:32" ht="23.1" customHeight="1" x14ac:dyDescent="0.25">
      <c r="B13" s="23" t="s">
        <v>40</v>
      </c>
      <c r="C13" s="49">
        <f>'Avg Week Nakawuka-Nateete'!C13+'Avg Week Nateete-Nakawuka'!C13</f>
        <v>34.571428571428569</v>
      </c>
      <c r="D13" s="49">
        <f>'Avg Week Nakawuka-Nateete'!D13+'Avg Week Nateete-Nakawuka'!D13</f>
        <v>12.428571428571429</v>
      </c>
      <c r="E13" s="49">
        <f>'Avg Week Nakawuka-Nateete'!E13+'Avg Week Nateete-Nakawuka'!E13</f>
        <v>8.8571428571428577</v>
      </c>
      <c r="F13" s="49">
        <f>'Avg Week Nakawuka-Nateete'!F13+'Avg Week Nateete-Nakawuka'!F13</f>
        <v>55</v>
      </c>
      <c r="G13" s="49">
        <f>'Avg Week Nakawuka-Nateete'!G13+'Avg Week Nateete-Nakawuka'!G13</f>
        <v>0.7142857142857143</v>
      </c>
      <c r="H13" s="49">
        <f>'Avg Week Nakawuka-Nateete'!H13+'Avg Week Nateete-Nakawuka'!H13</f>
        <v>0.2857142857142857</v>
      </c>
      <c r="I13" s="49">
        <f>'Avg Week Nakawuka-Nateete'!I13+'Avg Week Nateete-Nakawuka'!I13</f>
        <v>11</v>
      </c>
      <c r="J13" s="49">
        <f>'Avg Week Nakawuka-Nateete'!J13+'Avg Week Nateete-Nakawuka'!J13</f>
        <v>3.8571428571428568</v>
      </c>
      <c r="K13" s="49">
        <f>'Avg Week Nakawuka-Nateete'!K13+'Avg Week Nateete-Nakawuka'!K13</f>
        <v>1.4285714285714284</v>
      </c>
      <c r="L13" s="49">
        <f>'Avg Week Nakawuka-Nateete'!L13+'Avg Week Nateete-Nakawuka'!L13</f>
        <v>0.42857142857142855</v>
      </c>
      <c r="M13" s="49">
        <f>'Avg Week Nakawuka-Nateete'!M13+'Avg Week Nateete-Nakawuka'!M13</f>
        <v>208.42857142857142</v>
      </c>
      <c r="N13" s="49">
        <f>'Avg Week Nakawuka-Nateete'!N13+'Avg Week Nateete-Nakawuka'!N13</f>
        <v>0</v>
      </c>
      <c r="O13" s="15">
        <f t="shared" si="0"/>
        <v>128.57142857142856</v>
      </c>
      <c r="P13" s="15">
        <f t="shared" si="1"/>
        <v>337</v>
      </c>
      <c r="R13" s="1" t="s">
        <v>9</v>
      </c>
      <c r="S13" s="17">
        <f t="shared" ref="S13:AF13" si="5">SUM(C22:C25)</f>
        <v>139.71428571428572</v>
      </c>
      <c r="T13" s="17">
        <f t="shared" si="5"/>
        <v>40.857142857142861</v>
      </c>
      <c r="U13" s="17">
        <f t="shared" si="5"/>
        <v>24.285714285714285</v>
      </c>
      <c r="V13" s="17">
        <f t="shared" si="5"/>
        <v>139.28571428571428</v>
      </c>
      <c r="W13" s="17">
        <f t="shared" si="5"/>
        <v>5.2857142857142847</v>
      </c>
      <c r="X13" s="17">
        <f t="shared" si="5"/>
        <v>2.1428571428571428</v>
      </c>
      <c r="Y13" s="17">
        <f t="shared" si="5"/>
        <v>43.428571428571431</v>
      </c>
      <c r="Z13" s="17">
        <f t="shared" si="5"/>
        <v>23.428571428571427</v>
      </c>
      <c r="AA13" s="17">
        <f t="shared" si="5"/>
        <v>4.7142857142857135</v>
      </c>
      <c r="AB13" s="17">
        <f t="shared" si="5"/>
        <v>3</v>
      </c>
      <c r="AC13" s="17">
        <f t="shared" si="5"/>
        <v>800.28571428571422</v>
      </c>
      <c r="AD13" s="17">
        <f t="shared" si="5"/>
        <v>0.14285714285714285</v>
      </c>
      <c r="AE13" s="31">
        <f t="shared" si="5"/>
        <v>426.28571428571428</v>
      </c>
      <c r="AF13" s="31">
        <f t="shared" si="5"/>
        <v>1226.5714285714287</v>
      </c>
    </row>
    <row r="14" spans="2:32" ht="23.1" customHeight="1" x14ac:dyDescent="0.25">
      <c r="B14" s="23" t="s">
        <v>41</v>
      </c>
      <c r="C14" s="49">
        <f>'Avg Week Nakawuka-Nateete'!C14+'Avg Week Nateete-Nakawuka'!C14</f>
        <v>40.142857142857146</v>
      </c>
      <c r="D14" s="49">
        <f>'Avg Week Nakawuka-Nateete'!D14+'Avg Week Nateete-Nakawuka'!D14</f>
        <v>15.714285714285715</v>
      </c>
      <c r="E14" s="49">
        <f>'Avg Week Nakawuka-Nateete'!E14+'Avg Week Nateete-Nakawuka'!E14</f>
        <v>10.285714285714286</v>
      </c>
      <c r="F14" s="49">
        <f>'Avg Week Nakawuka-Nateete'!F14+'Avg Week Nateete-Nakawuka'!F14</f>
        <v>44.142857142857139</v>
      </c>
      <c r="G14" s="49">
        <f>'Avg Week Nakawuka-Nateete'!G14+'Avg Week Nateete-Nakawuka'!G14</f>
        <v>0.2857142857142857</v>
      </c>
      <c r="H14" s="49">
        <f>'Avg Week Nakawuka-Nateete'!H14+'Avg Week Nateete-Nakawuka'!H14</f>
        <v>0.42857142857142855</v>
      </c>
      <c r="I14" s="49">
        <f>'Avg Week Nakawuka-Nateete'!I14+'Avg Week Nateete-Nakawuka'!I14</f>
        <v>7.5714285714285712</v>
      </c>
      <c r="J14" s="49">
        <f>'Avg Week Nakawuka-Nateete'!J14+'Avg Week Nateete-Nakawuka'!J14</f>
        <v>4</v>
      </c>
      <c r="K14" s="49">
        <f>'Avg Week Nakawuka-Nateete'!K14+'Avg Week Nateete-Nakawuka'!K14</f>
        <v>0.42857142857142855</v>
      </c>
      <c r="L14" s="49">
        <f>'Avg Week Nakawuka-Nateete'!L14+'Avg Week Nateete-Nakawuka'!L14</f>
        <v>0.5714285714285714</v>
      </c>
      <c r="M14" s="49">
        <f>'Avg Week Nakawuka-Nateete'!M14+'Avg Week Nateete-Nakawuka'!M14</f>
        <v>214.71428571428572</v>
      </c>
      <c r="N14" s="49">
        <f>'Avg Week Nakawuka-Nateete'!N14+'Avg Week Nateete-Nakawuka'!N14</f>
        <v>0</v>
      </c>
      <c r="O14" s="15">
        <f t="shared" si="0"/>
        <v>123.57142857142858</v>
      </c>
      <c r="P14" s="15">
        <f t="shared" si="1"/>
        <v>338.28571428571433</v>
      </c>
      <c r="R14" s="1" t="s">
        <v>10</v>
      </c>
      <c r="S14" s="17">
        <f t="shared" ref="S14:AF14" si="6">SUM(C26:C29)</f>
        <v>125.42857142857144</v>
      </c>
      <c r="T14" s="17">
        <f t="shared" si="6"/>
        <v>45.428571428571431</v>
      </c>
      <c r="U14" s="17">
        <f t="shared" si="6"/>
        <v>29</v>
      </c>
      <c r="V14" s="17">
        <f t="shared" si="6"/>
        <v>124.71428571428572</v>
      </c>
      <c r="W14" s="17">
        <f t="shared" si="6"/>
        <v>8.1428571428571441</v>
      </c>
      <c r="X14" s="17">
        <f t="shared" si="6"/>
        <v>4.5714285714285712</v>
      </c>
      <c r="Y14" s="17">
        <f t="shared" si="6"/>
        <v>47.714285714285715</v>
      </c>
      <c r="Z14" s="17">
        <f t="shared" si="6"/>
        <v>21.428571428571431</v>
      </c>
      <c r="AA14" s="17">
        <f t="shared" si="6"/>
        <v>5.5714285714285712</v>
      </c>
      <c r="AB14" s="17">
        <f t="shared" si="6"/>
        <v>4.8571428571428568</v>
      </c>
      <c r="AC14" s="17">
        <f t="shared" si="6"/>
        <v>723.71428571428567</v>
      </c>
      <c r="AD14" s="17">
        <f t="shared" si="6"/>
        <v>0</v>
      </c>
      <c r="AE14" s="31">
        <f t="shared" si="6"/>
        <v>416.85714285714289</v>
      </c>
      <c r="AF14" s="31">
        <f t="shared" si="6"/>
        <v>1140.5714285714287</v>
      </c>
    </row>
    <row r="15" spans="2:32" ht="23.1" customHeight="1" x14ac:dyDescent="0.25">
      <c r="B15" s="23" t="s">
        <v>42</v>
      </c>
      <c r="C15" s="49">
        <f>'Avg Week Nakawuka-Nateete'!C15+'Avg Week Nateete-Nakawuka'!C15</f>
        <v>34.142857142857139</v>
      </c>
      <c r="D15" s="49">
        <f>'Avg Week Nakawuka-Nateete'!D15+'Avg Week Nateete-Nakawuka'!D15</f>
        <v>13.428571428571429</v>
      </c>
      <c r="E15" s="49">
        <f>'Avg Week Nakawuka-Nateete'!E15+'Avg Week Nateete-Nakawuka'!E15</f>
        <v>7.4285714285714288</v>
      </c>
      <c r="F15" s="49">
        <f>'Avg Week Nakawuka-Nateete'!F15+'Avg Week Nateete-Nakawuka'!F15</f>
        <v>48.142857142857146</v>
      </c>
      <c r="G15" s="49">
        <f>'Avg Week Nakawuka-Nateete'!G15+'Avg Week Nateete-Nakawuka'!G15</f>
        <v>1.1428571428571428</v>
      </c>
      <c r="H15" s="49">
        <f>'Avg Week Nakawuka-Nateete'!H15+'Avg Week Nateete-Nakawuka'!H15</f>
        <v>0.71428571428571419</v>
      </c>
      <c r="I15" s="49">
        <f>'Avg Week Nakawuka-Nateete'!I15+'Avg Week Nateete-Nakawuka'!I15</f>
        <v>10.857142857142858</v>
      </c>
      <c r="J15" s="49">
        <f>'Avg Week Nakawuka-Nateete'!J15+'Avg Week Nateete-Nakawuka'!J15</f>
        <v>4.5714285714285712</v>
      </c>
      <c r="K15" s="49">
        <f>'Avg Week Nakawuka-Nateete'!K15+'Avg Week Nateete-Nakawuka'!K15</f>
        <v>0.71428571428571419</v>
      </c>
      <c r="L15" s="49">
        <f>'Avg Week Nakawuka-Nateete'!L15+'Avg Week Nateete-Nakawuka'!L15</f>
        <v>0.2857142857142857</v>
      </c>
      <c r="M15" s="49">
        <f>'Avg Week Nakawuka-Nateete'!M15+'Avg Week Nateete-Nakawuka'!M15</f>
        <v>206.57142857142856</v>
      </c>
      <c r="N15" s="49">
        <f>'Avg Week Nakawuka-Nateete'!N15+'Avg Week Nateete-Nakawuka'!N15</f>
        <v>0</v>
      </c>
      <c r="O15" s="15">
        <f t="shared" si="0"/>
        <v>121.42857142857142</v>
      </c>
      <c r="P15" s="15">
        <f t="shared" si="1"/>
        <v>328</v>
      </c>
      <c r="R15" s="1" t="s">
        <v>11</v>
      </c>
      <c r="S15" s="17">
        <f t="shared" ref="S15:AF15" si="7">SUM(C30:C33)</f>
        <v>119.85714285714286</v>
      </c>
      <c r="T15" s="17">
        <f t="shared" si="7"/>
        <v>41.142857142857139</v>
      </c>
      <c r="U15" s="17">
        <f t="shared" si="7"/>
        <v>29.571428571428569</v>
      </c>
      <c r="V15" s="17">
        <f t="shared" si="7"/>
        <v>122.28571428571428</v>
      </c>
      <c r="W15" s="17">
        <f t="shared" si="7"/>
        <v>6.8571428571428568</v>
      </c>
      <c r="X15" s="17">
        <f t="shared" si="7"/>
        <v>1.8571428571428572</v>
      </c>
      <c r="Y15" s="17">
        <f t="shared" si="7"/>
        <v>42</v>
      </c>
      <c r="Z15" s="17">
        <f t="shared" si="7"/>
        <v>21.428571428571431</v>
      </c>
      <c r="AA15" s="17">
        <f t="shared" si="7"/>
        <v>5.7142857142857135</v>
      </c>
      <c r="AB15" s="17">
        <f t="shared" si="7"/>
        <v>4.4285714285714279</v>
      </c>
      <c r="AC15" s="17">
        <f t="shared" si="7"/>
        <v>713</v>
      </c>
      <c r="AD15" s="17">
        <f t="shared" si="7"/>
        <v>0</v>
      </c>
      <c r="AE15" s="31">
        <f t="shared" si="7"/>
        <v>395.14285714285717</v>
      </c>
      <c r="AF15" s="31">
        <f t="shared" si="7"/>
        <v>1108.1428571428573</v>
      </c>
    </row>
    <row r="16" spans="2:32" ht="23.1" customHeight="1" x14ac:dyDescent="0.25">
      <c r="B16" s="23" t="s">
        <v>43</v>
      </c>
      <c r="C16" s="49">
        <f>'Avg Week Nakawuka-Nateete'!C16+'Avg Week Nateete-Nakawuka'!C16</f>
        <v>37.428571428571423</v>
      </c>
      <c r="D16" s="49">
        <f>'Avg Week Nakawuka-Nateete'!D16+'Avg Week Nateete-Nakawuka'!D16</f>
        <v>12.142857142857142</v>
      </c>
      <c r="E16" s="49">
        <f>'Avg Week Nakawuka-Nateete'!E16+'Avg Week Nateete-Nakawuka'!E16</f>
        <v>8.8571428571428577</v>
      </c>
      <c r="F16" s="49">
        <f>'Avg Week Nakawuka-Nateete'!F16+'Avg Week Nateete-Nakawuka'!F16</f>
        <v>55.714285714285722</v>
      </c>
      <c r="G16" s="49">
        <f>'Avg Week Nakawuka-Nateete'!G16+'Avg Week Nateete-Nakawuka'!G16</f>
        <v>1.1428571428571428</v>
      </c>
      <c r="H16" s="49">
        <f>'Avg Week Nakawuka-Nateete'!H16+'Avg Week Nateete-Nakawuka'!H16</f>
        <v>0.5714285714285714</v>
      </c>
      <c r="I16" s="49">
        <f>'Avg Week Nakawuka-Nateete'!I16+'Avg Week Nateete-Nakawuka'!I16</f>
        <v>11.571428571428571</v>
      </c>
      <c r="J16" s="49">
        <f>'Avg Week Nakawuka-Nateete'!J16+'Avg Week Nateete-Nakawuka'!J16</f>
        <v>4.2857142857142856</v>
      </c>
      <c r="K16" s="49">
        <f>'Avg Week Nakawuka-Nateete'!K16+'Avg Week Nateete-Nakawuka'!K16</f>
        <v>0.14285714285714285</v>
      </c>
      <c r="L16" s="49">
        <f>'Avg Week Nakawuka-Nateete'!L16+'Avg Week Nateete-Nakawuka'!L16</f>
        <v>0.5714285714285714</v>
      </c>
      <c r="M16" s="49">
        <f>'Avg Week Nakawuka-Nateete'!M16+'Avg Week Nateete-Nakawuka'!M16</f>
        <v>216.42857142857144</v>
      </c>
      <c r="N16" s="49">
        <f>'Avg Week Nakawuka-Nateete'!N16+'Avg Week Nateete-Nakawuka'!N16</f>
        <v>0</v>
      </c>
      <c r="O16" s="15">
        <f t="shared" si="0"/>
        <v>132.42857142857144</v>
      </c>
      <c r="P16" s="15">
        <f t="shared" si="1"/>
        <v>348.85714285714289</v>
      </c>
      <c r="R16" s="1" t="s">
        <v>12</v>
      </c>
      <c r="S16" s="17">
        <f t="shared" ref="S16:AF16" si="8">SUM(C34:C37)</f>
        <v>112.57142857142857</v>
      </c>
      <c r="T16" s="17">
        <f t="shared" si="8"/>
        <v>34.142857142857139</v>
      </c>
      <c r="U16" s="17">
        <f t="shared" si="8"/>
        <v>26</v>
      </c>
      <c r="V16" s="17">
        <f t="shared" si="8"/>
        <v>112.14285714285714</v>
      </c>
      <c r="W16" s="17">
        <f t="shared" si="8"/>
        <v>3.5714285714285712</v>
      </c>
      <c r="X16" s="17">
        <f t="shared" si="8"/>
        <v>3</v>
      </c>
      <c r="Y16" s="17">
        <f t="shared" si="8"/>
        <v>41.142857142857146</v>
      </c>
      <c r="Z16" s="17">
        <f t="shared" si="8"/>
        <v>18.714285714285715</v>
      </c>
      <c r="AA16" s="17">
        <f t="shared" si="8"/>
        <v>6.1428571428571423</v>
      </c>
      <c r="AB16" s="17">
        <f t="shared" si="8"/>
        <v>3</v>
      </c>
      <c r="AC16" s="17">
        <f t="shared" si="8"/>
        <v>733.14285714285711</v>
      </c>
      <c r="AD16" s="17">
        <f t="shared" si="8"/>
        <v>0.14285714285714285</v>
      </c>
      <c r="AE16" s="31">
        <f t="shared" si="8"/>
        <v>360.57142857142861</v>
      </c>
      <c r="AF16" s="31">
        <f t="shared" si="8"/>
        <v>1093.7142857142858</v>
      </c>
    </row>
    <row r="17" spans="2:32" ht="23.1" customHeight="1" x14ac:dyDescent="0.25">
      <c r="B17" s="23" t="s">
        <v>44</v>
      </c>
      <c r="C17" s="49">
        <f>'Avg Week Nakawuka-Nateete'!C17+'Avg Week Nateete-Nakawuka'!C17</f>
        <v>42.857142857142854</v>
      </c>
      <c r="D17" s="49">
        <f>'Avg Week Nakawuka-Nateete'!D17+'Avg Week Nateete-Nakawuka'!D17</f>
        <v>13.857142857142858</v>
      </c>
      <c r="E17" s="49">
        <f>'Avg Week Nakawuka-Nateete'!E17+'Avg Week Nateete-Nakawuka'!E17</f>
        <v>7.2857142857142856</v>
      </c>
      <c r="F17" s="49">
        <f>'Avg Week Nakawuka-Nateete'!F17+'Avg Week Nateete-Nakawuka'!F17</f>
        <v>41.142857142857139</v>
      </c>
      <c r="G17" s="49">
        <f>'Avg Week Nakawuka-Nateete'!G17+'Avg Week Nateete-Nakawuka'!G17</f>
        <v>0.8571428571428571</v>
      </c>
      <c r="H17" s="49">
        <f>'Avg Week Nakawuka-Nateete'!H17+'Avg Week Nateete-Nakawuka'!H17</f>
        <v>0.71428571428571419</v>
      </c>
      <c r="I17" s="49">
        <f>'Avg Week Nakawuka-Nateete'!I17+'Avg Week Nateete-Nakawuka'!I17</f>
        <v>8.7142857142857153</v>
      </c>
      <c r="J17" s="49">
        <f>'Avg Week Nakawuka-Nateete'!J17+'Avg Week Nateete-Nakawuka'!J17</f>
        <v>5</v>
      </c>
      <c r="K17" s="49">
        <f>'Avg Week Nakawuka-Nateete'!K17+'Avg Week Nateete-Nakawuka'!K17</f>
        <v>0.42857142857142855</v>
      </c>
      <c r="L17" s="49">
        <f>'Avg Week Nakawuka-Nateete'!L17+'Avg Week Nateete-Nakawuka'!L17</f>
        <v>0.2857142857142857</v>
      </c>
      <c r="M17" s="49">
        <f>'Avg Week Nakawuka-Nateete'!M17+'Avg Week Nateete-Nakawuka'!M17</f>
        <v>206.57142857142856</v>
      </c>
      <c r="N17" s="49">
        <f>'Avg Week Nakawuka-Nateete'!N17+'Avg Week Nateete-Nakawuka'!N17</f>
        <v>0</v>
      </c>
      <c r="O17" s="15">
        <f t="shared" si="0"/>
        <v>121.14285714285714</v>
      </c>
      <c r="P17" s="15">
        <f t="shared" si="1"/>
        <v>327.71428571428567</v>
      </c>
      <c r="R17" s="1" t="s">
        <v>13</v>
      </c>
      <c r="S17" s="17">
        <f t="shared" ref="S17:AF17" si="9">SUM(C38:C41)</f>
        <v>130.71428571428572</v>
      </c>
      <c r="T17" s="17">
        <f t="shared" si="9"/>
        <v>43.428571428571423</v>
      </c>
      <c r="U17" s="17">
        <f t="shared" si="9"/>
        <v>35</v>
      </c>
      <c r="V17" s="17">
        <f t="shared" si="9"/>
        <v>113.28571428571429</v>
      </c>
      <c r="W17" s="17">
        <f t="shared" si="9"/>
        <v>4.8571428571428568</v>
      </c>
      <c r="X17" s="17">
        <f t="shared" si="9"/>
        <v>3.285714285714286</v>
      </c>
      <c r="Y17" s="17">
        <f t="shared" si="9"/>
        <v>47.285714285714292</v>
      </c>
      <c r="Z17" s="17">
        <f t="shared" si="9"/>
        <v>25.428571428571427</v>
      </c>
      <c r="AA17" s="17">
        <f t="shared" si="9"/>
        <v>5.4285714285714288</v>
      </c>
      <c r="AB17" s="17">
        <f t="shared" si="9"/>
        <v>3.1428571428571423</v>
      </c>
      <c r="AC17" s="17">
        <f t="shared" si="9"/>
        <v>728.00000000000011</v>
      </c>
      <c r="AD17" s="17">
        <f t="shared" si="9"/>
        <v>0</v>
      </c>
      <c r="AE17" s="31">
        <f t="shared" si="9"/>
        <v>411.85714285714289</v>
      </c>
      <c r="AF17" s="31">
        <f t="shared" si="9"/>
        <v>1139.8571428571429</v>
      </c>
    </row>
    <row r="18" spans="2:32" ht="23.1" customHeight="1" x14ac:dyDescent="0.25">
      <c r="B18" s="23" t="s">
        <v>45</v>
      </c>
      <c r="C18" s="49">
        <f>'Avg Week Nakawuka-Nateete'!C18+'Avg Week Nateete-Nakawuka'!C18</f>
        <v>34.857142857142854</v>
      </c>
      <c r="D18" s="49">
        <f>'Avg Week Nakawuka-Nateete'!D18+'Avg Week Nateete-Nakawuka'!D18</f>
        <v>11.714285714285714</v>
      </c>
      <c r="E18" s="49">
        <f>'Avg Week Nakawuka-Nateete'!E18+'Avg Week Nateete-Nakawuka'!E18</f>
        <v>6.4285714285714288</v>
      </c>
      <c r="F18" s="49">
        <f>'Avg Week Nakawuka-Nateete'!F18+'Avg Week Nateete-Nakawuka'!F18</f>
        <v>47.857142857142861</v>
      </c>
      <c r="G18" s="49">
        <f>'Avg Week Nakawuka-Nateete'!G18+'Avg Week Nateete-Nakawuka'!G18</f>
        <v>0.42857142857142855</v>
      </c>
      <c r="H18" s="49">
        <f>'Avg Week Nakawuka-Nateete'!H18+'Avg Week Nateete-Nakawuka'!H18</f>
        <v>1</v>
      </c>
      <c r="I18" s="49">
        <f>'Avg Week Nakawuka-Nateete'!I18+'Avg Week Nateete-Nakawuka'!I18</f>
        <v>12.571428571428571</v>
      </c>
      <c r="J18" s="49">
        <f>'Avg Week Nakawuka-Nateete'!J18+'Avg Week Nateete-Nakawuka'!J18</f>
        <v>7.1428571428571432</v>
      </c>
      <c r="K18" s="49">
        <f>'Avg Week Nakawuka-Nateete'!K18+'Avg Week Nateete-Nakawuka'!K18</f>
        <v>2.1428571428571428</v>
      </c>
      <c r="L18" s="49">
        <f>'Avg Week Nakawuka-Nateete'!L18+'Avg Week Nateete-Nakawuka'!L18</f>
        <v>0.71428571428571419</v>
      </c>
      <c r="M18" s="49">
        <f>'Avg Week Nakawuka-Nateete'!M18+'Avg Week Nateete-Nakawuka'!M18</f>
        <v>194</v>
      </c>
      <c r="N18" s="49">
        <f>'Avg Week Nakawuka-Nateete'!N18+'Avg Week Nateete-Nakawuka'!N18</f>
        <v>0</v>
      </c>
      <c r="O18" s="15">
        <f t="shared" si="0"/>
        <v>124.85714285714285</v>
      </c>
      <c r="P18" s="15">
        <f t="shared" si="1"/>
        <v>318.85714285714283</v>
      </c>
      <c r="R18" s="1" t="s">
        <v>14</v>
      </c>
      <c r="S18" s="17">
        <f t="shared" ref="S18:AF18" si="10">SUM(C42:C45)</f>
        <v>118.71428571428571</v>
      </c>
      <c r="T18" s="17">
        <f t="shared" si="10"/>
        <v>45</v>
      </c>
      <c r="U18" s="17">
        <f t="shared" si="10"/>
        <v>29.714285714285715</v>
      </c>
      <c r="V18" s="17">
        <f t="shared" si="10"/>
        <v>98.714285714285722</v>
      </c>
      <c r="W18" s="17">
        <f t="shared" si="10"/>
        <v>3</v>
      </c>
      <c r="X18" s="17">
        <f t="shared" si="10"/>
        <v>3</v>
      </c>
      <c r="Y18" s="17">
        <f t="shared" si="10"/>
        <v>44.714285714285715</v>
      </c>
      <c r="Z18" s="17">
        <f t="shared" si="10"/>
        <v>20.571428571428569</v>
      </c>
      <c r="AA18" s="17">
        <f t="shared" si="10"/>
        <v>5.5714285714285712</v>
      </c>
      <c r="AB18" s="17">
        <f t="shared" si="10"/>
        <v>1.9999999999999998</v>
      </c>
      <c r="AC18" s="17">
        <f t="shared" si="10"/>
        <v>673.85714285714289</v>
      </c>
      <c r="AD18" s="17">
        <f t="shared" si="10"/>
        <v>0</v>
      </c>
      <c r="AE18" s="31">
        <f t="shared" si="10"/>
        <v>370.99999999999994</v>
      </c>
      <c r="AF18" s="31">
        <f t="shared" si="10"/>
        <v>1044.8571428571427</v>
      </c>
    </row>
    <row r="19" spans="2:32" ht="23.1" customHeight="1" x14ac:dyDescent="0.25">
      <c r="B19" s="23" t="s">
        <v>46</v>
      </c>
      <c r="C19" s="49">
        <f>'Avg Week Nakawuka-Nateete'!C19+'Avg Week Nateete-Nakawuka'!C19</f>
        <v>30</v>
      </c>
      <c r="D19" s="49">
        <f>'Avg Week Nakawuka-Nateete'!D19+'Avg Week Nateete-Nakawuka'!D19</f>
        <v>9</v>
      </c>
      <c r="E19" s="49">
        <f>'Avg Week Nakawuka-Nateete'!E19+'Avg Week Nateete-Nakawuka'!E19</f>
        <v>4.8571428571428568</v>
      </c>
      <c r="F19" s="49">
        <f>'Avg Week Nakawuka-Nateete'!F19+'Avg Week Nateete-Nakawuka'!F19</f>
        <v>37</v>
      </c>
      <c r="G19" s="49">
        <f>'Avg Week Nakawuka-Nateete'!G19+'Avg Week Nateete-Nakawuka'!G19</f>
        <v>1.1428571428571428</v>
      </c>
      <c r="H19" s="49">
        <f>'Avg Week Nakawuka-Nateete'!H19+'Avg Week Nateete-Nakawuka'!H19</f>
        <v>0.42857142857142855</v>
      </c>
      <c r="I19" s="49">
        <f>'Avg Week Nakawuka-Nateete'!I19+'Avg Week Nateete-Nakawuka'!I19</f>
        <v>12.285714285714285</v>
      </c>
      <c r="J19" s="49">
        <f>'Avg Week Nakawuka-Nateete'!J19+'Avg Week Nateete-Nakawuka'!J19</f>
        <v>5.5714285714285712</v>
      </c>
      <c r="K19" s="49">
        <f>'Avg Week Nakawuka-Nateete'!K19+'Avg Week Nateete-Nakawuka'!K19</f>
        <v>1.2857142857142856</v>
      </c>
      <c r="L19" s="49">
        <f>'Avg Week Nakawuka-Nateete'!L19+'Avg Week Nateete-Nakawuka'!L19</f>
        <v>0.71428571428571419</v>
      </c>
      <c r="M19" s="49">
        <f>'Avg Week Nakawuka-Nateete'!M19+'Avg Week Nateete-Nakawuka'!M19</f>
        <v>198.85714285714286</v>
      </c>
      <c r="N19" s="49">
        <f>'Avg Week Nakawuka-Nateete'!N19+'Avg Week Nateete-Nakawuka'!N19</f>
        <v>0</v>
      </c>
      <c r="O19" s="15">
        <f t="shared" si="0"/>
        <v>102.28571428571429</v>
      </c>
      <c r="P19" s="15">
        <f t="shared" si="1"/>
        <v>301.14285714285717</v>
      </c>
      <c r="R19" s="1" t="s">
        <v>15</v>
      </c>
      <c r="S19" s="17">
        <f t="shared" ref="S19:AF19" si="11">SUM(C46:C49)</f>
        <v>130.42857142857144</v>
      </c>
      <c r="T19" s="17">
        <f t="shared" si="11"/>
        <v>38.714285714285715</v>
      </c>
      <c r="U19" s="17">
        <f t="shared" si="11"/>
        <v>29.142857142857142</v>
      </c>
      <c r="V19" s="17">
        <f t="shared" si="11"/>
        <v>100.85714285714285</v>
      </c>
      <c r="W19" s="17">
        <f t="shared" si="11"/>
        <v>4.7142857142857135</v>
      </c>
      <c r="X19" s="17">
        <f t="shared" si="11"/>
        <v>2.4285714285714284</v>
      </c>
      <c r="Y19" s="17">
        <f t="shared" si="11"/>
        <v>42.571428571428577</v>
      </c>
      <c r="Z19" s="17">
        <f t="shared" si="11"/>
        <v>24</v>
      </c>
      <c r="AA19" s="17">
        <f t="shared" si="11"/>
        <v>6.1428571428571423</v>
      </c>
      <c r="AB19" s="17">
        <f t="shared" si="11"/>
        <v>1.714285714285714</v>
      </c>
      <c r="AC19" s="17">
        <f t="shared" si="11"/>
        <v>699.57142857142856</v>
      </c>
      <c r="AD19" s="17">
        <f t="shared" si="11"/>
        <v>0</v>
      </c>
      <c r="AE19" s="31">
        <f t="shared" si="11"/>
        <v>380.71428571428572</v>
      </c>
      <c r="AF19" s="31">
        <f t="shared" si="11"/>
        <v>1080.2857142857142</v>
      </c>
    </row>
    <row r="20" spans="2:32" ht="23.1" customHeight="1" x14ac:dyDescent="0.25">
      <c r="B20" s="23" t="s">
        <v>47</v>
      </c>
      <c r="C20" s="49">
        <f>'Avg Week Nakawuka-Nateete'!C20+'Avg Week Nateete-Nakawuka'!C20</f>
        <v>33.571428571428569</v>
      </c>
      <c r="D20" s="49">
        <f>'Avg Week Nakawuka-Nateete'!D20+'Avg Week Nateete-Nakawuka'!D20</f>
        <v>9.7142857142857135</v>
      </c>
      <c r="E20" s="49">
        <f>'Avg Week Nakawuka-Nateete'!E20+'Avg Week Nateete-Nakawuka'!E20</f>
        <v>7.4285714285714288</v>
      </c>
      <c r="F20" s="49">
        <f>'Avg Week Nakawuka-Nateete'!F20+'Avg Week Nateete-Nakawuka'!F20</f>
        <v>39.571428571428569</v>
      </c>
      <c r="G20" s="49">
        <f>'Avg Week Nakawuka-Nateete'!G20+'Avg Week Nateete-Nakawuka'!G20</f>
        <v>1</v>
      </c>
      <c r="H20" s="49">
        <f>'Avg Week Nakawuka-Nateete'!H20+'Avg Week Nateete-Nakawuka'!H20</f>
        <v>1</v>
      </c>
      <c r="I20" s="49">
        <f>'Avg Week Nakawuka-Nateete'!I20+'Avg Week Nateete-Nakawuka'!I20</f>
        <v>12.714285714285715</v>
      </c>
      <c r="J20" s="49">
        <f>'Avg Week Nakawuka-Nateete'!J20+'Avg Week Nateete-Nakawuka'!J20</f>
        <v>6.2857142857142856</v>
      </c>
      <c r="K20" s="49">
        <f>'Avg Week Nakawuka-Nateete'!K20+'Avg Week Nateete-Nakawuka'!K20</f>
        <v>1</v>
      </c>
      <c r="L20" s="49">
        <f>'Avg Week Nakawuka-Nateete'!L20+'Avg Week Nateete-Nakawuka'!L20</f>
        <v>0.8571428571428571</v>
      </c>
      <c r="M20" s="49">
        <f>'Avg Week Nakawuka-Nateete'!M20+'Avg Week Nateete-Nakawuka'!M20</f>
        <v>206.28571428571428</v>
      </c>
      <c r="N20" s="49">
        <f>'Avg Week Nakawuka-Nateete'!N20+'Avg Week Nateete-Nakawuka'!N20</f>
        <v>0</v>
      </c>
      <c r="O20" s="15">
        <f t="shared" si="0"/>
        <v>113.14285714285715</v>
      </c>
      <c r="P20" s="15">
        <f t="shared" si="1"/>
        <v>319.42857142857144</v>
      </c>
      <c r="R20" s="1" t="s">
        <v>16</v>
      </c>
      <c r="S20" s="17">
        <f t="shared" ref="S20:AF20" si="12">SUM(C50:C53)</f>
        <v>172.42857142857144</v>
      </c>
      <c r="T20" s="17">
        <f t="shared" si="12"/>
        <v>60</v>
      </c>
      <c r="U20" s="17">
        <f t="shared" si="12"/>
        <v>34.571428571428569</v>
      </c>
      <c r="V20" s="17">
        <f t="shared" si="12"/>
        <v>132.85714285714286</v>
      </c>
      <c r="W20" s="17">
        <f t="shared" si="12"/>
        <v>5.4285714285714288</v>
      </c>
      <c r="X20" s="17">
        <f t="shared" si="12"/>
        <v>4.7142857142857144</v>
      </c>
      <c r="Y20" s="17">
        <f t="shared" si="12"/>
        <v>50.285714285714278</v>
      </c>
      <c r="Z20" s="17">
        <f t="shared" si="12"/>
        <v>22.571428571428569</v>
      </c>
      <c r="AA20" s="17">
        <f t="shared" si="12"/>
        <v>5.1428571428571423</v>
      </c>
      <c r="AB20" s="17">
        <f t="shared" si="12"/>
        <v>3</v>
      </c>
      <c r="AC20" s="17">
        <f t="shared" si="12"/>
        <v>793.85714285714289</v>
      </c>
      <c r="AD20" s="17">
        <f t="shared" si="12"/>
        <v>0</v>
      </c>
      <c r="AE20" s="31">
        <f t="shared" si="12"/>
        <v>491</v>
      </c>
      <c r="AF20" s="31">
        <f t="shared" si="12"/>
        <v>1284.8571428571429</v>
      </c>
    </row>
    <row r="21" spans="2:32" ht="23.1" customHeight="1" x14ac:dyDescent="0.25">
      <c r="B21" s="23" t="s">
        <v>48</v>
      </c>
      <c r="C21" s="49">
        <f>'Avg Week Nakawuka-Nateete'!C21+'Avg Week Nateete-Nakawuka'!C21</f>
        <v>33.857142857142861</v>
      </c>
      <c r="D21" s="49">
        <f>'Avg Week Nakawuka-Nateete'!D21+'Avg Week Nateete-Nakawuka'!D21</f>
        <v>13.142857142857142</v>
      </c>
      <c r="E21" s="49">
        <f>'Avg Week Nakawuka-Nateete'!E21+'Avg Week Nateete-Nakawuka'!E21</f>
        <v>5.7142857142857144</v>
      </c>
      <c r="F21" s="49">
        <f>'Avg Week Nakawuka-Nateete'!F21+'Avg Week Nateete-Nakawuka'!F21</f>
        <v>38.857142857142861</v>
      </c>
      <c r="G21" s="49">
        <f>'Avg Week Nakawuka-Nateete'!G21+'Avg Week Nateete-Nakawuka'!G21</f>
        <v>1.2857142857142856</v>
      </c>
      <c r="H21" s="49">
        <f>'Avg Week Nakawuka-Nateete'!H21+'Avg Week Nateete-Nakawuka'!H21</f>
        <v>1</v>
      </c>
      <c r="I21" s="49">
        <f>'Avg Week Nakawuka-Nateete'!I21+'Avg Week Nateete-Nakawuka'!I21</f>
        <v>12.714285714285715</v>
      </c>
      <c r="J21" s="49">
        <f>'Avg Week Nakawuka-Nateete'!J21+'Avg Week Nateete-Nakawuka'!J21</f>
        <v>4.2857142857142856</v>
      </c>
      <c r="K21" s="49">
        <f>'Avg Week Nakawuka-Nateete'!K21+'Avg Week Nateete-Nakawuka'!K21</f>
        <v>1.5714285714285716</v>
      </c>
      <c r="L21" s="49">
        <f>'Avg Week Nakawuka-Nateete'!L21+'Avg Week Nateete-Nakawuka'!L21</f>
        <v>0.5714285714285714</v>
      </c>
      <c r="M21" s="49">
        <f>'Avg Week Nakawuka-Nateete'!M21+'Avg Week Nateete-Nakawuka'!M21</f>
        <v>225.85714285714286</v>
      </c>
      <c r="N21" s="49">
        <f>'Avg Week Nakawuka-Nateete'!N21+'Avg Week Nateete-Nakawuka'!N21</f>
        <v>0</v>
      </c>
      <c r="O21" s="15">
        <f t="shared" si="0"/>
        <v>113.00000000000001</v>
      </c>
      <c r="P21" s="15">
        <f t="shared" si="1"/>
        <v>338.85714285714289</v>
      </c>
      <c r="R21" s="36" t="s">
        <v>20</v>
      </c>
      <c r="S21" s="34">
        <f t="shared" ref="S21:AF33" si="13">SUM(C54:C57)</f>
        <v>141.28571428571428</v>
      </c>
      <c r="T21" s="17">
        <f t="shared" si="13"/>
        <v>51.714285714285715</v>
      </c>
      <c r="U21" s="17">
        <f t="shared" si="13"/>
        <v>31.428571428571431</v>
      </c>
      <c r="V21" s="17">
        <f t="shared" si="13"/>
        <v>170.71428571428572</v>
      </c>
      <c r="W21" s="17">
        <f t="shared" si="13"/>
        <v>7</v>
      </c>
      <c r="X21" s="17">
        <f t="shared" si="13"/>
        <v>2.5714285714285712</v>
      </c>
      <c r="Y21" s="17">
        <f t="shared" si="13"/>
        <v>38.285714285714285</v>
      </c>
      <c r="Z21" s="17">
        <f t="shared" si="13"/>
        <v>18.857142857142858</v>
      </c>
      <c r="AA21" s="17">
        <f t="shared" si="13"/>
        <v>5.1428571428571432</v>
      </c>
      <c r="AB21" s="17">
        <f t="shared" si="13"/>
        <v>3.2857142857142856</v>
      </c>
      <c r="AC21" s="17">
        <f t="shared" si="13"/>
        <v>829.14285714285711</v>
      </c>
      <c r="AD21" s="17">
        <f t="shared" si="13"/>
        <v>0</v>
      </c>
      <c r="AE21" s="31">
        <f t="shared" si="13"/>
        <v>470.28571428571428</v>
      </c>
      <c r="AF21" s="31">
        <f t="shared" si="13"/>
        <v>1299.4285714285713</v>
      </c>
    </row>
    <row r="22" spans="2:32" ht="23.1" customHeight="1" x14ac:dyDescent="0.25">
      <c r="B22" s="23" t="s">
        <v>49</v>
      </c>
      <c r="C22" s="49">
        <f>'Avg Week Nakawuka-Nateete'!C22+'Avg Week Nateete-Nakawuka'!C22</f>
        <v>32.571428571428569</v>
      </c>
      <c r="D22" s="49">
        <f>'Avg Week Nakawuka-Nateete'!D22+'Avg Week Nateete-Nakawuka'!D22</f>
        <v>11</v>
      </c>
      <c r="E22" s="49">
        <f>'Avg Week Nakawuka-Nateete'!E22+'Avg Week Nateete-Nakawuka'!E22</f>
        <v>6.5714285714285712</v>
      </c>
      <c r="F22" s="49">
        <f>'Avg Week Nakawuka-Nateete'!F22+'Avg Week Nateete-Nakawuka'!F22</f>
        <v>38.714285714285715</v>
      </c>
      <c r="G22" s="49">
        <f>'Avg Week Nakawuka-Nateete'!G22+'Avg Week Nateete-Nakawuka'!G22</f>
        <v>0.8571428571428571</v>
      </c>
      <c r="H22" s="49">
        <f>'Avg Week Nakawuka-Nateete'!H22+'Avg Week Nateete-Nakawuka'!H22</f>
        <v>0.2857142857142857</v>
      </c>
      <c r="I22" s="49">
        <f>'Avg Week Nakawuka-Nateete'!I22+'Avg Week Nateete-Nakawuka'!I22</f>
        <v>11.714285714285715</v>
      </c>
      <c r="J22" s="49">
        <f>'Avg Week Nakawuka-Nateete'!J22+'Avg Week Nateete-Nakawuka'!J22</f>
        <v>5</v>
      </c>
      <c r="K22" s="49">
        <f>'Avg Week Nakawuka-Nateete'!K22+'Avg Week Nateete-Nakawuka'!K22</f>
        <v>1.1428571428571428</v>
      </c>
      <c r="L22" s="49">
        <f>'Avg Week Nakawuka-Nateete'!L22+'Avg Week Nateete-Nakawuka'!L22</f>
        <v>0.2857142857142857</v>
      </c>
      <c r="M22" s="49">
        <f>'Avg Week Nakawuka-Nateete'!M22+'Avg Week Nateete-Nakawuka'!M22</f>
        <v>209.42857142857144</v>
      </c>
      <c r="N22" s="49">
        <f>'Avg Week Nakawuka-Nateete'!N22+'Avg Week Nateete-Nakawuka'!N22</f>
        <v>0</v>
      </c>
      <c r="O22" s="15">
        <f t="shared" si="0"/>
        <v>108.14285714285715</v>
      </c>
      <c r="P22" s="15">
        <f t="shared" si="1"/>
        <v>317.57142857142861</v>
      </c>
      <c r="R22" s="1" t="s">
        <v>146</v>
      </c>
      <c r="S22" s="34">
        <f>SUM(C58:C61)</f>
        <v>203</v>
      </c>
      <c r="T22" s="34">
        <f t="shared" ref="T22:AD22" si="14">SUM(D58:D61)</f>
        <v>97.5</v>
      </c>
      <c r="U22" s="34">
        <f t="shared" si="14"/>
        <v>49.5</v>
      </c>
      <c r="V22" s="34">
        <f t="shared" si="14"/>
        <v>295.5</v>
      </c>
      <c r="W22" s="34">
        <f t="shared" si="14"/>
        <v>34</v>
      </c>
      <c r="X22" s="34">
        <f t="shared" si="14"/>
        <v>5</v>
      </c>
      <c r="Y22" s="34">
        <f t="shared" si="14"/>
        <v>46</v>
      </c>
      <c r="Z22" s="34">
        <f t="shared" si="14"/>
        <v>14</v>
      </c>
      <c r="AA22" s="34">
        <f t="shared" si="14"/>
        <v>6.5</v>
      </c>
      <c r="AB22" s="34">
        <f t="shared" si="14"/>
        <v>2.5</v>
      </c>
      <c r="AC22" s="34">
        <f t="shared" si="14"/>
        <v>1156.5</v>
      </c>
      <c r="AD22" s="34">
        <f t="shared" si="14"/>
        <v>1</v>
      </c>
      <c r="AE22" s="31">
        <f t="shared" si="13"/>
        <v>554</v>
      </c>
      <c r="AF22" s="31">
        <f t="shared" si="13"/>
        <v>1440.0714285714284</v>
      </c>
    </row>
    <row r="23" spans="2:32" ht="23.1" customHeight="1" x14ac:dyDescent="0.25">
      <c r="B23" s="23" t="s">
        <v>50</v>
      </c>
      <c r="C23" s="49">
        <f>'Avg Week Nakawuka-Nateete'!C23+'Avg Week Nateete-Nakawuka'!C23</f>
        <v>34.428571428571431</v>
      </c>
      <c r="D23" s="49">
        <f>'Avg Week Nakawuka-Nateete'!D23+'Avg Week Nateete-Nakawuka'!D23</f>
        <v>10.714285714285715</v>
      </c>
      <c r="E23" s="49">
        <f>'Avg Week Nakawuka-Nateete'!E23+'Avg Week Nateete-Nakawuka'!E23</f>
        <v>5.8571428571428568</v>
      </c>
      <c r="F23" s="49">
        <f>'Avg Week Nakawuka-Nateete'!F23+'Avg Week Nateete-Nakawuka'!F23</f>
        <v>33.428571428571431</v>
      </c>
      <c r="G23" s="49">
        <f>'Avg Week Nakawuka-Nateete'!G23+'Avg Week Nateete-Nakawuka'!G23</f>
        <v>1.5714285714285714</v>
      </c>
      <c r="H23" s="49">
        <f>'Avg Week Nakawuka-Nateete'!H23+'Avg Week Nateete-Nakawuka'!H23</f>
        <v>0.7142857142857143</v>
      </c>
      <c r="I23" s="49">
        <f>'Avg Week Nakawuka-Nateete'!I23+'Avg Week Nateete-Nakawuka'!I23</f>
        <v>10.285714285714286</v>
      </c>
      <c r="J23" s="49">
        <f>'Avg Week Nakawuka-Nateete'!J23+'Avg Week Nateete-Nakawuka'!J23</f>
        <v>6.4285714285714288</v>
      </c>
      <c r="K23" s="49">
        <f>'Avg Week Nakawuka-Nateete'!K23+'Avg Week Nateete-Nakawuka'!K23</f>
        <v>0.71428571428571419</v>
      </c>
      <c r="L23" s="49">
        <f>'Avg Week Nakawuka-Nateete'!L23+'Avg Week Nateete-Nakawuka'!L23</f>
        <v>0.5714285714285714</v>
      </c>
      <c r="M23" s="49">
        <f>'Avg Week Nakawuka-Nateete'!M23+'Avg Week Nateete-Nakawuka'!M23</f>
        <v>200.28571428571428</v>
      </c>
      <c r="N23" s="49">
        <f>'Avg Week Nakawuka-Nateete'!N23+'Avg Week Nateete-Nakawuka'!N23</f>
        <v>0</v>
      </c>
      <c r="O23" s="15">
        <f t="shared" si="0"/>
        <v>104.71428571428571</v>
      </c>
      <c r="P23" s="15">
        <f t="shared" si="1"/>
        <v>305</v>
      </c>
      <c r="R23" s="1" t="s">
        <v>147</v>
      </c>
      <c r="S23" s="34">
        <f>SUM(C62:C65)</f>
        <v>185</v>
      </c>
      <c r="T23" s="34">
        <f t="shared" ref="T23:AD23" si="15">SUM(D62:D65)</f>
        <v>93</v>
      </c>
      <c r="U23" s="34">
        <f t="shared" si="15"/>
        <v>27</v>
      </c>
      <c r="V23" s="34">
        <f t="shared" si="15"/>
        <v>238.5</v>
      </c>
      <c r="W23" s="34">
        <f t="shared" si="15"/>
        <v>4.5</v>
      </c>
      <c r="X23" s="34">
        <f t="shared" si="15"/>
        <v>8</v>
      </c>
      <c r="Y23" s="34">
        <f t="shared" si="15"/>
        <v>28</v>
      </c>
      <c r="Z23" s="34">
        <f t="shared" si="15"/>
        <v>7.5</v>
      </c>
      <c r="AA23" s="34">
        <f t="shared" si="15"/>
        <v>8.5</v>
      </c>
      <c r="AB23" s="34">
        <f t="shared" si="15"/>
        <v>1.5</v>
      </c>
      <c r="AC23" s="34">
        <f t="shared" si="15"/>
        <v>1176.5</v>
      </c>
      <c r="AD23" s="34">
        <f t="shared" si="15"/>
        <v>0</v>
      </c>
      <c r="AE23" s="31">
        <f t="shared" si="13"/>
        <v>618.71428571428578</v>
      </c>
      <c r="AF23" s="31">
        <f t="shared" si="13"/>
        <v>1566.2142857142858</v>
      </c>
    </row>
    <row r="24" spans="2:32" ht="23.1" customHeight="1" x14ac:dyDescent="0.25">
      <c r="B24" s="23" t="s">
        <v>51</v>
      </c>
      <c r="C24" s="49">
        <f>'Avg Week Nakawuka-Nateete'!C24+'Avg Week Nateete-Nakawuka'!C24</f>
        <v>37.714285714285715</v>
      </c>
      <c r="D24" s="49">
        <f>'Avg Week Nakawuka-Nateete'!D24+'Avg Week Nateete-Nakawuka'!D24</f>
        <v>10</v>
      </c>
      <c r="E24" s="49">
        <f>'Avg Week Nakawuka-Nateete'!E24+'Avg Week Nateete-Nakawuka'!E24</f>
        <v>5.5714285714285712</v>
      </c>
      <c r="F24" s="49">
        <f>'Avg Week Nakawuka-Nateete'!F24+'Avg Week Nateete-Nakawuka'!F24</f>
        <v>34.285714285714285</v>
      </c>
      <c r="G24" s="49">
        <f>'Avg Week Nakawuka-Nateete'!G24+'Avg Week Nateete-Nakawuka'!G24</f>
        <v>1.7142857142857144</v>
      </c>
      <c r="H24" s="49">
        <f>'Avg Week Nakawuka-Nateete'!H24+'Avg Week Nateete-Nakawuka'!H24</f>
        <v>0.85714285714285721</v>
      </c>
      <c r="I24" s="49">
        <f>'Avg Week Nakawuka-Nateete'!I24+'Avg Week Nateete-Nakawuka'!I24</f>
        <v>11.857142857142858</v>
      </c>
      <c r="J24" s="49">
        <f>'Avg Week Nakawuka-Nateete'!J24+'Avg Week Nateete-Nakawuka'!J24</f>
        <v>6.1428571428571423</v>
      </c>
      <c r="K24" s="49">
        <f>'Avg Week Nakawuka-Nateete'!K24+'Avg Week Nateete-Nakawuka'!K24</f>
        <v>1.5714285714285714</v>
      </c>
      <c r="L24" s="49">
        <f>'Avg Week Nakawuka-Nateete'!L24+'Avg Week Nateete-Nakawuka'!L24</f>
        <v>1.5714285714285714</v>
      </c>
      <c r="M24" s="49">
        <f>'Avg Week Nakawuka-Nateete'!M24+'Avg Week Nateete-Nakawuka'!M24</f>
        <v>192.42857142857142</v>
      </c>
      <c r="N24" s="49">
        <f>'Avg Week Nakawuka-Nateete'!N24+'Avg Week Nateete-Nakawuka'!N24</f>
        <v>0.14285714285714285</v>
      </c>
      <c r="O24" s="15">
        <f t="shared" si="0"/>
        <v>111.42857142857142</v>
      </c>
      <c r="P24" s="15">
        <f t="shared" si="1"/>
        <v>303.85714285714283</v>
      </c>
      <c r="R24" s="1" t="s">
        <v>148</v>
      </c>
      <c r="S24" s="34">
        <f>SUM(C66:C69)</f>
        <v>123.5</v>
      </c>
      <c r="T24" s="34">
        <f t="shared" ref="T24:AD24" si="16">SUM(D66:D69)</f>
        <v>95</v>
      </c>
      <c r="U24" s="34">
        <f t="shared" si="16"/>
        <v>24.5</v>
      </c>
      <c r="V24" s="34">
        <f t="shared" si="16"/>
        <v>266.5</v>
      </c>
      <c r="W24" s="34">
        <f t="shared" si="16"/>
        <v>3</v>
      </c>
      <c r="X24" s="34">
        <f t="shared" si="16"/>
        <v>9.5</v>
      </c>
      <c r="Y24" s="34">
        <f t="shared" si="16"/>
        <v>29.5</v>
      </c>
      <c r="Z24" s="34">
        <f t="shared" si="16"/>
        <v>11</v>
      </c>
      <c r="AA24" s="34">
        <f t="shared" si="16"/>
        <v>6</v>
      </c>
      <c r="AB24" s="34">
        <f t="shared" si="16"/>
        <v>9</v>
      </c>
      <c r="AC24" s="34">
        <f t="shared" si="16"/>
        <v>877</v>
      </c>
      <c r="AD24" s="34">
        <f t="shared" si="16"/>
        <v>0</v>
      </c>
      <c r="AE24" s="31">
        <f t="shared" si="13"/>
        <v>740.35714285714289</v>
      </c>
      <c r="AF24" s="31">
        <f t="shared" si="13"/>
        <v>1778.9285714285713</v>
      </c>
    </row>
    <row r="25" spans="2:32" ht="23.1" customHeight="1" x14ac:dyDescent="0.25">
      <c r="B25" s="23" t="s">
        <v>52</v>
      </c>
      <c r="C25" s="49">
        <f>'Avg Week Nakawuka-Nateete'!C25+'Avg Week Nateete-Nakawuka'!C25</f>
        <v>35</v>
      </c>
      <c r="D25" s="49">
        <f>'Avg Week Nakawuka-Nateete'!D25+'Avg Week Nateete-Nakawuka'!D25</f>
        <v>9.1428571428571441</v>
      </c>
      <c r="E25" s="49">
        <f>'Avg Week Nakawuka-Nateete'!E25+'Avg Week Nateete-Nakawuka'!E25</f>
        <v>6.2857142857142856</v>
      </c>
      <c r="F25" s="49">
        <f>'Avg Week Nakawuka-Nateete'!F25+'Avg Week Nateete-Nakawuka'!F25</f>
        <v>32.857142857142854</v>
      </c>
      <c r="G25" s="49">
        <f>'Avg Week Nakawuka-Nateete'!G25+'Avg Week Nateete-Nakawuka'!G25</f>
        <v>1.1428571428571428</v>
      </c>
      <c r="H25" s="49">
        <f>'Avg Week Nakawuka-Nateete'!H25+'Avg Week Nateete-Nakawuka'!H25</f>
        <v>0.2857142857142857</v>
      </c>
      <c r="I25" s="49">
        <f>'Avg Week Nakawuka-Nateete'!I25+'Avg Week Nateete-Nakawuka'!I25</f>
        <v>9.5714285714285712</v>
      </c>
      <c r="J25" s="49">
        <f>'Avg Week Nakawuka-Nateete'!J25+'Avg Week Nateete-Nakawuka'!J25</f>
        <v>5.8571428571428577</v>
      </c>
      <c r="K25" s="49">
        <f>'Avg Week Nakawuka-Nateete'!K25+'Avg Week Nateete-Nakawuka'!K25</f>
        <v>1.2857142857142856</v>
      </c>
      <c r="L25" s="49">
        <f>'Avg Week Nakawuka-Nateete'!L25+'Avg Week Nateete-Nakawuka'!L25</f>
        <v>0.5714285714285714</v>
      </c>
      <c r="M25" s="49">
        <f>'Avg Week Nakawuka-Nateete'!M25+'Avg Week Nateete-Nakawuka'!M25</f>
        <v>198.14285714285714</v>
      </c>
      <c r="N25" s="49">
        <f>'Avg Week Nakawuka-Nateete'!N25+'Avg Week Nateete-Nakawuka'!N25</f>
        <v>0</v>
      </c>
      <c r="O25" s="15">
        <f t="shared" si="0"/>
        <v>102</v>
      </c>
      <c r="P25" s="15">
        <f t="shared" si="1"/>
        <v>300.14285714285711</v>
      </c>
      <c r="R25" s="1" t="s">
        <v>149</v>
      </c>
      <c r="S25" s="34">
        <f>SUM(C70:C73)</f>
        <v>81</v>
      </c>
      <c r="T25" s="34">
        <f t="shared" ref="T25:AD25" si="17">SUM(D70:D73)</f>
        <v>67</v>
      </c>
      <c r="U25" s="34">
        <f t="shared" si="17"/>
        <v>18</v>
      </c>
      <c r="V25" s="34">
        <f t="shared" si="17"/>
        <v>136</v>
      </c>
      <c r="W25" s="34">
        <f t="shared" si="17"/>
        <v>1.5</v>
      </c>
      <c r="X25" s="34">
        <f t="shared" si="17"/>
        <v>4</v>
      </c>
      <c r="Y25" s="34">
        <f t="shared" si="17"/>
        <v>20</v>
      </c>
      <c r="Z25" s="34">
        <f t="shared" si="17"/>
        <v>3</v>
      </c>
      <c r="AA25" s="34">
        <f t="shared" si="17"/>
        <v>1</v>
      </c>
      <c r="AB25" s="34">
        <f t="shared" si="17"/>
        <v>2.5</v>
      </c>
      <c r="AC25" s="34">
        <f t="shared" si="17"/>
        <v>661.5</v>
      </c>
      <c r="AD25" s="34">
        <f t="shared" si="17"/>
        <v>0</v>
      </c>
      <c r="AE25" s="31">
        <f t="shared" si="13"/>
        <v>754.5</v>
      </c>
      <c r="AF25" s="31">
        <f t="shared" si="13"/>
        <v>1911</v>
      </c>
    </row>
    <row r="26" spans="2:32" ht="23.1" customHeight="1" x14ac:dyDescent="0.25">
      <c r="B26" s="23" t="s">
        <v>53</v>
      </c>
      <c r="C26" s="49">
        <f>'Avg Week Nakawuka-Nateete'!C26+'Avg Week Nateete-Nakawuka'!C26</f>
        <v>31.571428571428569</v>
      </c>
      <c r="D26" s="49">
        <f>'Avg Week Nakawuka-Nateete'!D26+'Avg Week Nateete-Nakawuka'!D26</f>
        <v>12.142857142857142</v>
      </c>
      <c r="E26" s="49">
        <f>'Avg Week Nakawuka-Nateete'!E26+'Avg Week Nateete-Nakawuka'!E26</f>
        <v>9.4285714285714288</v>
      </c>
      <c r="F26" s="49">
        <f>'Avg Week Nakawuka-Nateete'!F26+'Avg Week Nateete-Nakawuka'!F26</f>
        <v>35.857142857142854</v>
      </c>
      <c r="G26" s="49">
        <f>'Avg Week Nakawuka-Nateete'!G26+'Avg Week Nateete-Nakawuka'!G26</f>
        <v>0.5714285714285714</v>
      </c>
      <c r="H26" s="49">
        <f>'Avg Week Nakawuka-Nateete'!H26+'Avg Week Nateete-Nakawuka'!H26</f>
        <v>1.4285714285714286</v>
      </c>
      <c r="I26" s="49">
        <f>'Avg Week Nakawuka-Nateete'!I26+'Avg Week Nateete-Nakawuka'!I26</f>
        <v>12.285714285714285</v>
      </c>
      <c r="J26" s="49">
        <f>'Avg Week Nakawuka-Nateete'!J26+'Avg Week Nateete-Nakawuka'!J26</f>
        <v>5.8571428571428577</v>
      </c>
      <c r="K26" s="49">
        <f>'Avg Week Nakawuka-Nateete'!K26+'Avg Week Nateete-Nakawuka'!K26</f>
        <v>0.71428571428571419</v>
      </c>
      <c r="L26" s="49">
        <f>'Avg Week Nakawuka-Nateete'!L26+'Avg Week Nateete-Nakawuka'!L26</f>
        <v>2.8571428571428572</v>
      </c>
      <c r="M26" s="49">
        <f>'Avg Week Nakawuka-Nateete'!M26+'Avg Week Nateete-Nakawuka'!M26</f>
        <v>188.57142857142858</v>
      </c>
      <c r="N26" s="49">
        <f>'Avg Week Nakawuka-Nateete'!N26+'Avg Week Nateete-Nakawuka'!N26</f>
        <v>0</v>
      </c>
      <c r="O26" s="15">
        <f t="shared" si="0"/>
        <v>112.71428571428571</v>
      </c>
      <c r="P26" s="15">
        <f t="shared" si="1"/>
        <v>301.28571428571428</v>
      </c>
      <c r="R26" s="1" t="s">
        <v>150</v>
      </c>
      <c r="S26" s="34">
        <f>SUM(C74:C77)</f>
        <v>78</v>
      </c>
      <c r="T26" s="34">
        <f t="shared" ref="T26:AD26" si="18">SUM(D74:D77)</f>
        <v>59.5</v>
      </c>
      <c r="U26" s="34">
        <f t="shared" si="18"/>
        <v>10.5</v>
      </c>
      <c r="V26" s="34">
        <f t="shared" si="18"/>
        <v>52</v>
      </c>
      <c r="W26" s="34">
        <f t="shared" si="18"/>
        <v>1</v>
      </c>
      <c r="X26" s="34">
        <f t="shared" si="18"/>
        <v>1</v>
      </c>
      <c r="Y26" s="34">
        <f t="shared" si="18"/>
        <v>8</v>
      </c>
      <c r="Z26" s="34">
        <f t="shared" si="18"/>
        <v>1.5</v>
      </c>
      <c r="AA26" s="34">
        <f t="shared" si="18"/>
        <v>1.5</v>
      </c>
      <c r="AB26" s="34">
        <f t="shared" si="18"/>
        <v>5.5</v>
      </c>
      <c r="AC26" s="34">
        <f t="shared" si="18"/>
        <v>507</v>
      </c>
      <c r="AD26" s="34">
        <f t="shared" si="18"/>
        <v>0</v>
      </c>
      <c r="AE26" s="31">
        <f t="shared" si="13"/>
        <v>714</v>
      </c>
      <c r="AF26" s="31">
        <f t="shared" si="13"/>
        <v>1901</v>
      </c>
    </row>
    <row r="27" spans="2:32" ht="23.1" customHeight="1" x14ac:dyDescent="0.25">
      <c r="B27" s="23" t="s">
        <v>54</v>
      </c>
      <c r="C27" s="49">
        <f>'Avg Week Nakawuka-Nateete'!C27+'Avg Week Nateete-Nakawuka'!C27</f>
        <v>25.857142857142858</v>
      </c>
      <c r="D27" s="49">
        <f>'Avg Week Nakawuka-Nateete'!D27+'Avg Week Nateete-Nakawuka'!D27</f>
        <v>10.714285714285715</v>
      </c>
      <c r="E27" s="49">
        <f>'Avg Week Nakawuka-Nateete'!E27+'Avg Week Nateete-Nakawuka'!E27</f>
        <v>5.8571428571428577</v>
      </c>
      <c r="F27" s="49">
        <f>'Avg Week Nakawuka-Nateete'!F27+'Avg Week Nateete-Nakawuka'!F27</f>
        <v>28.714285714285715</v>
      </c>
      <c r="G27" s="49">
        <f>'Avg Week Nakawuka-Nateete'!G27+'Avg Week Nateete-Nakawuka'!G27</f>
        <v>3.5714285714285716</v>
      </c>
      <c r="H27" s="49">
        <f>'Avg Week Nakawuka-Nateete'!H27+'Avg Week Nateete-Nakawuka'!H27</f>
        <v>0.42857142857142855</v>
      </c>
      <c r="I27" s="49">
        <f>'Avg Week Nakawuka-Nateete'!I27+'Avg Week Nateete-Nakawuka'!I27</f>
        <v>8.8571428571428577</v>
      </c>
      <c r="J27" s="49">
        <f>'Avg Week Nakawuka-Nateete'!J27+'Avg Week Nateete-Nakawuka'!J27</f>
        <v>4.7142857142857144</v>
      </c>
      <c r="K27" s="49">
        <f>'Avg Week Nakawuka-Nateete'!K27+'Avg Week Nateete-Nakawuka'!K27</f>
        <v>1.4285714285714284</v>
      </c>
      <c r="L27" s="49">
        <f>'Avg Week Nakawuka-Nateete'!L27+'Avg Week Nateete-Nakawuka'!L27</f>
        <v>0.42857142857142855</v>
      </c>
      <c r="M27" s="49">
        <f>'Avg Week Nakawuka-Nateete'!M27+'Avg Week Nateete-Nakawuka'!M27</f>
        <v>183</v>
      </c>
      <c r="N27" s="49">
        <f>'Avg Week Nakawuka-Nateete'!N27+'Avg Week Nateete-Nakawuka'!N27</f>
        <v>0</v>
      </c>
      <c r="O27" s="15">
        <f t="shared" si="0"/>
        <v>90.571428571428569</v>
      </c>
      <c r="P27" s="15">
        <f t="shared" si="1"/>
        <v>273.57142857142856</v>
      </c>
      <c r="R27" s="1" t="s">
        <v>151</v>
      </c>
      <c r="S27" s="34">
        <f>SUM(C78:C81)</f>
        <v>23.5</v>
      </c>
      <c r="T27" s="34">
        <f t="shared" ref="T27:AD27" si="19">SUM(D78:D81)</f>
        <v>28.5</v>
      </c>
      <c r="U27" s="34">
        <f t="shared" si="19"/>
        <v>3.5</v>
      </c>
      <c r="V27" s="34">
        <f t="shared" si="19"/>
        <v>26.5</v>
      </c>
      <c r="W27" s="34">
        <f t="shared" si="19"/>
        <v>0</v>
      </c>
      <c r="X27" s="34">
        <f t="shared" si="19"/>
        <v>0</v>
      </c>
      <c r="Y27" s="34">
        <f t="shared" si="19"/>
        <v>5.5</v>
      </c>
      <c r="Z27" s="34">
        <f t="shared" si="19"/>
        <v>3.5</v>
      </c>
      <c r="AA27" s="34">
        <f t="shared" si="19"/>
        <v>2</v>
      </c>
      <c r="AB27" s="34">
        <f t="shared" si="19"/>
        <v>0</v>
      </c>
      <c r="AC27" s="34">
        <f t="shared" si="19"/>
        <v>294.5</v>
      </c>
      <c r="AD27" s="34">
        <f t="shared" si="19"/>
        <v>0</v>
      </c>
      <c r="AE27" s="31">
        <f t="shared" si="13"/>
        <v>644</v>
      </c>
      <c r="AF27" s="31">
        <f t="shared" si="13"/>
        <v>1823</v>
      </c>
    </row>
    <row r="28" spans="2:32" ht="23.1" customHeight="1" x14ac:dyDescent="0.25">
      <c r="B28" s="23" t="s">
        <v>55</v>
      </c>
      <c r="C28" s="49">
        <f>'Avg Week Nakawuka-Nateete'!C28+'Avg Week Nateete-Nakawuka'!C28</f>
        <v>35.857142857142861</v>
      </c>
      <c r="D28" s="49">
        <f>'Avg Week Nakawuka-Nateete'!D28+'Avg Week Nateete-Nakawuka'!D28</f>
        <v>11</v>
      </c>
      <c r="E28" s="49">
        <f>'Avg Week Nakawuka-Nateete'!E28+'Avg Week Nateete-Nakawuka'!E28</f>
        <v>6.2857142857142856</v>
      </c>
      <c r="F28" s="49">
        <f>'Avg Week Nakawuka-Nateete'!F28+'Avg Week Nateete-Nakawuka'!F28</f>
        <v>31</v>
      </c>
      <c r="G28" s="49">
        <f>'Avg Week Nakawuka-Nateete'!G28+'Avg Week Nateete-Nakawuka'!G28</f>
        <v>2.7142857142857144</v>
      </c>
      <c r="H28" s="49">
        <f>'Avg Week Nakawuka-Nateete'!H28+'Avg Week Nateete-Nakawuka'!H28</f>
        <v>1.7142857142857142</v>
      </c>
      <c r="I28" s="49">
        <f>'Avg Week Nakawuka-Nateete'!I28+'Avg Week Nateete-Nakawuka'!I28</f>
        <v>12.857142857142858</v>
      </c>
      <c r="J28" s="49">
        <f>'Avg Week Nakawuka-Nateete'!J28+'Avg Week Nateete-Nakawuka'!J28</f>
        <v>6</v>
      </c>
      <c r="K28" s="49">
        <f>'Avg Week Nakawuka-Nateete'!K28+'Avg Week Nateete-Nakawuka'!K28</f>
        <v>1.5714285714285714</v>
      </c>
      <c r="L28" s="49">
        <f>'Avg Week Nakawuka-Nateete'!L28+'Avg Week Nateete-Nakawuka'!L28</f>
        <v>1</v>
      </c>
      <c r="M28" s="49">
        <f>'Avg Week Nakawuka-Nateete'!M28+'Avg Week Nateete-Nakawuka'!M28</f>
        <v>179.57142857142856</v>
      </c>
      <c r="N28" s="49">
        <f>'Avg Week Nakawuka-Nateete'!N28+'Avg Week Nateete-Nakawuka'!N28</f>
        <v>0</v>
      </c>
      <c r="O28" s="15">
        <f t="shared" si="0"/>
        <v>109.99999999999999</v>
      </c>
      <c r="P28" s="15">
        <f t="shared" si="1"/>
        <v>289.57142857142856</v>
      </c>
      <c r="R28" s="1" t="s">
        <v>152</v>
      </c>
      <c r="S28" s="34">
        <f>SUM(C82:C85)</f>
        <v>29.5</v>
      </c>
      <c r="T28" s="34">
        <f t="shared" ref="T28:AD28" si="20">SUM(D82:D85)</f>
        <v>14.5</v>
      </c>
      <c r="U28" s="34">
        <f t="shared" si="20"/>
        <v>2.5</v>
      </c>
      <c r="V28" s="34">
        <f t="shared" si="20"/>
        <v>17.5</v>
      </c>
      <c r="W28" s="34">
        <f t="shared" si="20"/>
        <v>0</v>
      </c>
      <c r="X28" s="34">
        <f t="shared" si="20"/>
        <v>2</v>
      </c>
      <c r="Y28" s="34">
        <f t="shared" si="20"/>
        <v>3.5</v>
      </c>
      <c r="Z28" s="34">
        <f t="shared" si="20"/>
        <v>2.5</v>
      </c>
      <c r="AA28" s="34">
        <f t="shared" si="20"/>
        <v>1</v>
      </c>
      <c r="AB28" s="34">
        <f t="shared" si="20"/>
        <v>1.5</v>
      </c>
      <c r="AC28" s="34">
        <f t="shared" si="20"/>
        <v>223</v>
      </c>
      <c r="AD28" s="34">
        <f t="shared" si="20"/>
        <v>0</v>
      </c>
      <c r="AE28" s="31">
        <f t="shared" si="13"/>
        <v>537</v>
      </c>
      <c r="AF28" s="31">
        <f t="shared" si="13"/>
        <v>1686</v>
      </c>
    </row>
    <row r="29" spans="2:32" ht="23.1" customHeight="1" x14ac:dyDescent="0.25">
      <c r="B29" s="23" t="s">
        <v>56</v>
      </c>
      <c r="C29" s="49">
        <f>'Avg Week Nakawuka-Nateete'!C29+'Avg Week Nateete-Nakawuka'!C29</f>
        <v>32.142857142857146</v>
      </c>
      <c r="D29" s="49">
        <f>'Avg Week Nakawuka-Nateete'!D29+'Avg Week Nateete-Nakawuka'!D29</f>
        <v>11.571428571428571</v>
      </c>
      <c r="E29" s="49">
        <f>'Avg Week Nakawuka-Nateete'!E29+'Avg Week Nateete-Nakawuka'!E29</f>
        <v>7.4285714285714288</v>
      </c>
      <c r="F29" s="49">
        <f>'Avg Week Nakawuka-Nateete'!F29+'Avg Week Nateete-Nakawuka'!F29</f>
        <v>29.142857142857146</v>
      </c>
      <c r="G29" s="49">
        <f>'Avg Week Nakawuka-Nateete'!G29+'Avg Week Nateete-Nakawuka'!G29</f>
        <v>1.2857142857142858</v>
      </c>
      <c r="H29" s="49">
        <f>'Avg Week Nakawuka-Nateete'!H29+'Avg Week Nateete-Nakawuka'!H29</f>
        <v>1</v>
      </c>
      <c r="I29" s="49">
        <f>'Avg Week Nakawuka-Nateete'!I29+'Avg Week Nateete-Nakawuka'!I29</f>
        <v>13.714285714285715</v>
      </c>
      <c r="J29" s="49">
        <f>'Avg Week Nakawuka-Nateete'!J29+'Avg Week Nateete-Nakawuka'!J29</f>
        <v>4.8571428571428577</v>
      </c>
      <c r="K29" s="49">
        <f>'Avg Week Nakawuka-Nateete'!K29+'Avg Week Nateete-Nakawuka'!K29</f>
        <v>1.8571428571428572</v>
      </c>
      <c r="L29" s="49">
        <f>'Avg Week Nakawuka-Nateete'!L29+'Avg Week Nateete-Nakawuka'!L29</f>
        <v>0.5714285714285714</v>
      </c>
      <c r="M29" s="49">
        <f>'Avg Week Nakawuka-Nateete'!M29+'Avg Week Nateete-Nakawuka'!M29</f>
        <v>172.57142857142858</v>
      </c>
      <c r="N29" s="49">
        <f>'Avg Week Nakawuka-Nateete'!N29+'Avg Week Nateete-Nakawuka'!N29</f>
        <v>0</v>
      </c>
      <c r="O29" s="15">
        <f t="shared" si="0"/>
        <v>103.5714285714286</v>
      </c>
      <c r="P29" s="15">
        <f t="shared" si="1"/>
        <v>276.14285714285717</v>
      </c>
      <c r="R29" s="1" t="s">
        <v>153</v>
      </c>
      <c r="S29" s="34">
        <f>SUM(C86:C89)</f>
        <v>13.5</v>
      </c>
      <c r="T29" s="34">
        <f t="shared" ref="T29:AD29" si="21">SUM(D86:D89)</f>
        <v>14.5</v>
      </c>
      <c r="U29" s="34">
        <f t="shared" si="21"/>
        <v>2</v>
      </c>
      <c r="V29" s="34">
        <f t="shared" si="21"/>
        <v>26</v>
      </c>
      <c r="W29" s="34">
        <f t="shared" si="21"/>
        <v>0</v>
      </c>
      <c r="X29" s="34">
        <f t="shared" si="21"/>
        <v>1</v>
      </c>
      <c r="Y29" s="34">
        <f t="shared" si="21"/>
        <v>7.5</v>
      </c>
      <c r="Z29" s="34">
        <f t="shared" si="21"/>
        <v>1.5</v>
      </c>
      <c r="AA29" s="34">
        <f t="shared" si="21"/>
        <v>0.5</v>
      </c>
      <c r="AB29" s="34">
        <f t="shared" si="21"/>
        <v>0</v>
      </c>
      <c r="AC29" s="34">
        <f t="shared" si="21"/>
        <v>237.5</v>
      </c>
      <c r="AD29" s="34">
        <f t="shared" si="21"/>
        <v>0</v>
      </c>
      <c r="AE29" s="31">
        <f t="shared" si="13"/>
        <v>601.5</v>
      </c>
      <c r="AF29" s="31">
        <f t="shared" si="13"/>
        <v>1778</v>
      </c>
    </row>
    <row r="30" spans="2:32" ht="23.1" customHeight="1" x14ac:dyDescent="0.25">
      <c r="B30" s="23" t="s">
        <v>57</v>
      </c>
      <c r="C30" s="49">
        <f>'Avg Week Nakawuka-Nateete'!C30+'Avg Week Nateete-Nakawuka'!C30</f>
        <v>33.285714285714285</v>
      </c>
      <c r="D30" s="49">
        <f>'Avg Week Nakawuka-Nateete'!D30+'Avg Week Nateete-Nakawuka'!D30</f>
        <v>12.285714285714285</v>
      </c>
      <c r="E30" s="49">
        <f>'Avg Week Nakawuka-Nateete'!E30+'Avg Week Nateete-Nakawuka'!E30</f>
        <v>8.4285714285714288</v>
      </c>
      <c r="F30" s="49">
        <f>'Avg Week Nakawuka-Nateete'!F30+'Avg Week Nateete-Nakawuka'!F30</f>
        <v>30.428571428571431</v>
      </c>
      <c r="G30" s="49">
        <f>'Avg Week Nakawuka-Nateete'!G30+'Avg Week Nateete-Nakawuka'!G30</f>
        <v>2.714285714285714</v>
      </c>
      <c r="H30" s="49">
        <f>'Avg Week Nakawuka-Nateete'!H30+'Avg Week Nateete-Nakawuka'!H30</f>
        <v>0.42857142857142855</v>
      </c>
      <c r="I30" s="49">
        <f>'Avg Week Nakawuka-Nateete'!I30+'Avg Week Nateete-Nakawuka'!I30</f>
        <v>12</v>
      </c>
      <c r="J30" s="49">
        <f>'Avg Week Nakawuka-Nateete'!J30+'Avg Week Nateete-Nakawuka'!J30</f>
        <v>5.8571428571428577</v>
      </c>
      <c r="K30" s="49">
        <f>'Avg Week Nakawuka-Nateete'!K30+'Avg Week Nateete-Nakawuka'!K30</f>
        <v>1.8571428571428572</v>
      </c>
      <c r="L30" s="49">
        <f>'Avg Week Nakawuka-Nateete'!L30+'Avg Week Nateete-Nakawuka'!L30</f>
        <v>2</v>
      </c>
      <c r="M30" s="49">
        <f>'Avg Week Nakawuka-Nateete'!M30+'Avg Week Nateete-Nakawuka'!M30</f>
        <v>184.42857142857144</v>
      </c>
      <c r="N30" s="49">
        <f>'Avg Week Nakawuka-Nateete'!N30+'Avg Week Nateete-Nakawuka'!N30</f>
        <v>0</v>
      </c>
      <c r="O30" s="15">
        <f t="shared" si="0"/>
        <v>109.28571428571429</v>
      </c>
      <c r="P30" s="15">
        <f t="shared" si="1"/>
        <v>293.71428571428572</v>
      </c>
      <c r="R30" s="1" t="s">
        <v>154</v>
      </c>
      <c r="S30" s="34">
        <f>SUM(C90:C93)</f>
        <v>16.5</v>
      </c>
      <c r="T30" s="34">
        <f t="shared" ref="T30:AD30" si="22">SUM(D90:D93)</f>
        <v>3</v>
      </c>
      <c r="U30" s="34">
        <f t="shared" si="22"/>
        <v>5.5</v>
      </c>
      <c r="V30" s="34">
        <f t="shared" si="22"/>
        <v>4</v>
      </c>
      <c r="W30" s="34">
        <f t="shared" si="22"/>
        <v>0.5</v>
      </c>
      <c r="X30" s="34">
        <f t="shared" si="22"/>
        <v>0.5</v>
      </c>
      <c r="Y30" s="34">
        <f t="shared" si="22"/>
        <v>2.5</v>
      </c>
      <c r="Z30" s="34">
        <f t="shared" si="22"/>
        <v>3</v>
      </c>
      <c r="AA30" s="34">
        <f t="shared" si="22"/>
        <v>2</v>
      </c>
      <c r="AB30" s="34">
        <f t="shared" si="22"/>
        <v>16</v>
      </c>
      <c r="AC30" s="34">
        <f t="shared" si="22"/>
        <v>151.5</v>
      </c>
      <c r="AD30" s="34">
        <f t="shared" si="22"/>
        <v>0</v>
      </c>
      <c r="AE30" s="31">
        <f t="shared" si="13"/>
        <v>563</v>
      </c>
      <c r="AF30" s="31">
        <f>SUM(P63:P66)</f>
        <v>1661.5</v>
      </c>
    </row>
    <row r="31" spans="2:32" ht="23.1" customHeight="1" x14ac:dyDescent="0.25">
      <c r="B31" s="24" t="s">
        <v>58</v>
      </c>
      <c r="C31" s="49">
        <f>'Avg Week Nakawuka-Nateete'!C31+'Avg Week Nateete-Nakawuka'!C31</f>
        <v>31.428571428571431</v>
      </c>
      <c r="D31" s="49">
        <f>'Avg Week Nakawuka-Nateete'!D31+'Avg Week Nateete-Nakawuka'!D31</f>
        <v>12.428571428571427</v>
      </c>
      <c r="E31" s="49">
        <f>'Avg Week Nakawuka-Nateete'!E31+'Avg Week Nateete-Nakawuka'!E31</f>
        <v>8.1428571428571423</v>
      </c>
      <c r="F31" s="49">
        <f>'Avg Week Nakawuka-Nateete'!F31+'Avg Week Nateete-Nakawuka'!F31</f>
        <v>32.857142857142854</v>
      </c>
      <c r="G31" s="49">
        <f>'Avg Week Nakawuka-Nateete'!G31+'Avg Week Nateete-Nakawuka'!G31</f>
        <v>2.2857142857142856</v>
      </c>
      <c r="H31" s="49">
        <f>'Avg Week Nakawuka-Nateete'!H31+'Avg Week Nateete-Nakawuka'!H31</f>
        <v>0.7142857142857143</v>
      </c>
      <c r="I31" s="49">
        <f>'Avg Week Nakawuka-Nateete'!I31+'Avg Week Nateete-Nakawuka'!I31</f>
        <v>12.857142857142858</v>
      </c>
      <c r="J31" s="49">
        <f>'Avg Week Nakawuka-Nateete'!J31+'Avg Week Nateete-Nakawuka'!J31</f>
        <v>5.5714285714285712</v>
      </c>
      <c r="K31" s="49">
        <f>'Avg Week Nakawuka-Nateete'!K31+'Avg Week Nateete-Nakawuka'!K31</f>
        <v>0.71428571428571419</v>
      </c>
      <c r="L31" s="49">
        <f>'Avg Week Nakawuka-Nateete'!L31+'Avg Week Nateete-Nakawuka'!L31</f>
        <v>0.42857142857142855</v>
      </c>
      <c r="M31" s="49">
        <f>'Avg Week Nakawuka-Nateete'!M31+'Avg Week Nateete-Nakawuka'!M31</f>
        <v>172.28571428571428</v>
      </c>
      <c r="N31" s="49">
        <f>'Avg Week Nakawuka-Nateete'!N31+'Avg Week Nateete-Nakawuka'!N31</f>
        <v>0</v>
      </c>
      <c r="O31" s="15">
        <f t="shared" si="0"/>
        <v>107.42857142857143</v>
      </c>
      <c r="P31" s="15">
        <f t="shared" si="1"/>
        <v>279.71428571428572</v>
      </c>
      <c r="R31" s="1" t="s">
        <v>155</v>
      </c>
      <c r="S31" s="34">
        <f>SUM(C94:C97)</f>
        <v>18</v>
      </c>
      <c r="T31" s="34">
        <f t="shared" ref="T31:AD31" si="23">SUM(D94:D97)</f>
        <v>11</v>
      </c>
      <c r="U31" s="34">
        <f t="shared" si="23"/>
        <v>1.5</v>
      </c>
      <c r="V31" s="34">
        <f t="shared" si="23"/>
        <v>9.5</v>
      </c>
      <c r="W31" s="34">
        <f t="shared" si="23"/>
        <v>0.5</v>
      </c>
      <c r="X31" s="34">
        <f t="shared" si="23"/>
        <v>0</v>
      </c>
      <c r="Y31" s="34">
        <f t="shared" si="23"/>
        <v>2</v>
      </c>
      <c r="Z31" s="34">
        <f t="shared" si="23"/>
        <v>2.5</v>
      </c>
      <c r="AA31" s="34">
        <f t="shared" si="23"/>
        <v>0</v>
      </c>
      <c r="AB31" s="34">
        <f t="shared" si="23"/>
        <v>0.5</v>
      </c>
      <c r="AC31" s="34">
        <f t="shared" si="23"/>
        <v>227.5</v>
      </c>
      <c r="AD31" s="34">
        <f t="shared" si="23"/>
        <v>0</v>
      </c>
      <c r="AE31" s="31">
        <f t="shared" si="13"/>
        <v>639.5</v>
      </c>
      <c r="AF31" s="31">
        <f t="shared" si="13"/>
        <v>1715</v>
      </c>
    </row>
    <row r="32" spans="2:32" ht="23.1" customHeight="1" x14ac:dyDescent="0.25">
      <c r="B32" s="24" t="s">
        <v>59</v>
      </c>
      <c r="C32" s="49">
        <f>'Avg Week Nakawuka-Nateete'!C32+'Avg Week Nateete-Nakawuka'!C32</f>
        <v>27.571428571428569</v>
      </c>
      <c r="D32" s="49">
        <f>'Avg Week Nakawuka-Nateete'!D32+'Avg Week Nateete-Nakawuka'!D32</f>
        <v>7.1428571428571423</v>
      </c>
      <c r="E32" s="49">
        <f>'Avg Week Nakawuka-Nateete'!E32+'Avg Week Nateete-Nakawuka'!E32</f>
        <v>7.5714285714285712</v>
      </c>
      <c r="F32" s="49">
        <f>'Avg Week Nakawuka-Nateete'!F32+'Avg Week Nateete-Nakawuka'!F32</f>
        <v>28.428571428571427</v>
      </c>
      <c r="G32" s="49">
        <f>'Avg Week Nakawuka-Nateete'!G32+'Avg Week Nateete-Nakawuka'!G32</f>
        <v>1.5714285714285716</v>
      </c>
      <c r="H32" s="49">
        <f>'Avg Week Nakawuka-Nateete'!H32+'Avg Week Nateete-Nakawuka'!H32</f>
        <v>0.42857142857142855</v>
      </c>
      <c r="I32" s="49">
        <f>'Avg Week Nakawuka-Nateete'!I32+'Avg Week Nateete-Nakawuka'!I32</f>
        <v>8.2857142857142865</v>
      </c>
      <c r="J32" s="49">
        <f>'Avg Week Nakawuka-Nateete'!J32+'Avg Week Nateete-Nakawuka'!J32</f>
        <v>5.1428571428571432</v>
      </c>
      <c r="K32" s="49">
        <f>'Avg Week Nakawuka-Nateete'!K32+'Avg Week Nateete-Nakawuka'!K32</f>
        <v>1.2857142857142856</v>
      </c>
      <c r="L32" s="49">
        <f>'Avg Week Nakawuka-Nateete'!L32+'Avg Week Nateete-Nakawuka'!L32</f>
        <v>1.4285714285714284</v>
      </c>
      <c r="M32" s="49">
        <f>'Avg Week Nakawuka-Nateete'!M32+'Avg Week Nateete-Nakawuka'!M32</f>
        <v>185.57142857142856</v>
      </c>
      <c r="N32" s="49">
        <f>'Avg Week Nakawuka-Nateete'!N32+'Avg Week Nateete-Nakawuka'!N32</f>
        <v>0</v>
      </c>
      <c r="O32" s="15">
        <f t="shared" si="0"/>
        <v>88.857142857142861</v>
      </c>
      <c r="P32" s="15">
        <f t="shared" si="1"/>
        <v>274.42857142857144</v>
      </c>
      <c r="R32" s="1" t="s">
        <v>156</v>
      </c>
      <c r="S32" s="34">
        <f>SUM(C98:C101)</f>
        <v>18.5</v>
      </c>
      <c r="T32" s="34">
        <f t="shared" ref="T32:AD32" si="24">SUM(D98:D101)</f>
        <v>18.5</v>
      </c>
      <c r="U32" s="34">
        <f t="shared" si="24"/>
        <v>4.5</v>
      </c>
      <c r="V32" s="34">
        <f t="shared" si="24"/>
        <v>32</v>
      </c>
      <c r="W32" s="34">
        <f t="shared" si="24"/>
        <v>0</v>
      </c>
      <c r="X32" s="34">
        <f t="shared" si="24"/>
        <v>1</v>
      </c>
      <c r="Y32" s="34">
        <f t="shared" si="24"/>
        <v>7.5</v>
      </c>
      <c r="Z32" s="34">
        <f t="shared" si="24"/>
        <v>8</v>
      </c>
      <c r="AA32" s="34">
        <f t="shared" si="24"/>
        <v>2</v>
      </c>
      <c r="AB32" s="34">
        <f t="shared" si="24"/>
        <v>1</v>
      </c>
      <c r="AC32" s="34">
        <f t="shared" si="24"/>
        <v>399</v>
      </c>
      <c r="AD32" s="34">
        <f t="shared" si="24"/>
        <v>0</v>
      </c>
      <c r="AE32" s="31">
        <f t="shared" si="13"/>
        <v>639</v>
      </c>
      <c r="AF32" s="31">
        <f t="shared" si="13"/>
        <v>1651</v>
      </c>
    </row>
    <row r="33" spans="2:32" ht="23.1" customHeight="1" x14ac:dyDescent="0.25">
      <c r="B33" s="23" t="s">
        <v>60</v>
      </c>
      <c r="C33" s="49">
        <f>'Avg Week Nakawuka-Nateete'!C33+'Avg Week Nateete-Nakawuka'!C33</f>
        <v>27.571428571428569</v>
      </c>
      <c r="D33" s="49">
        <f>'Avg Week Nakawuka-Nateete'!D33+'Avg Week Nateete-Nakawuka'!D33</f>
        <v>9.2857142857142847</v>
      </c>
      <c r="E33" s="49">
        <f>'Avg Week Nakawuka-Nateete'!E33+'Avg Week Nateete-Nakawuka'!E33</f>
        <v>5.4285714285714288</v>
      </c>
      <c r="F33" s="49">
        <f>'Avg Week Nakawuka-Nateete'!F33+'Avg Week Nateete-Nakawuka'!F33</f>
        <v>30.571428571428573</v>
      </c>
      <c r="G33" s="49">
        <f>'Avg Week Nakawuka-Nateete'!G33+'Avg Week Nateete-Nakawuka'!G33</f>
        <v>0.2857142857142857</v>
      </c>
      <c r="H33" s="49">
        <f>'Avg Week Nakawuka-Nateete'!H33+'Avg Week Nateete-Nakawuka'!H33</f>
        <v>0.2857142857142857</v>
      </c>
      <c r="I33" s="49">
        <f>'Avg Week Nakawuka-Nateete'!I33+'Avg Week Nateete-Nakawuka'!I33</f>
        <v>8.8571428571428577</v>
      </c>
      <c r="J33" s="49">
        <f>'Avg Week Nakawuka-Nateete'!J33+'Avg Week Nateete-Nakawuka'!J33</f>
        <v>4.8571428571428577</v>
      </c>
      <c r="K33" s="49">
        <f>'Avg Week Nakawuka-Nateete'!K33+'Avg Week Nateete-Nakawuka'!K33</f>
        <v>1.8571428571428572</v>
      </c>
      <c r="L33" s="49">
        <f>'Avg Week Nakawuka-Nateete'!L33+'Avg Week Nateete-Nakawuka'!L33</f>
        <v>0.5714285714285714</v>
      </c>
      <c r="M33" s="49">
        <f>'Avg Week Nakawuka-Nateete'!M33+'Avg Week Nateete-Nakawuka'!M33</f>
        <v>170.71428571428572</v>
      </c>
      <c r="N33" s="49">
        <f>'Avg Week Nakawuka-Nateete'!N33+'Avg Week Nateete-Nakawuka'!N33</f>
        <v>0</v>
      </c>
      <c r="O33" s="15">
        <f t="shared" si="0"/>
        <v>89.571428571428598</v>
      </c>
      <c r="P33" s="15">
        <f t="shared" si="1"/>
        <v>260.28571428571433</v>
      </c>
      <c r="R33" s="1" t="s">
        <v>157</v>
      </c>
      <c r="S33" s="34">
        <f>SUM(C102:C105)</f>
        <v>53</v>
      </c>
      <c r="T33" s="34">
        <f t="shared" ref="T33:AD33" si="25">SUM(D102:D105)</f>
        <v>35.5</v>
      </c>
      <c r="U33" s="34">
        <f t="shared" si="25"/>
        <v>10.5</v>
      </c>
      <c r="V33" s="34">
        <f t="shared" si="25"/>
        <v>83.5</v>
      </c>
      <c r="W33" s="34">
        <f t="shared" si="25"/>
        <v>1</v>
      </c>
      <c r="X33" s="34">
        <f t="shared" si="25"/>
        <v>1</v>
      </c>
      <c r="Y33" s="34">
        <f t="shared" si="25"/>
        <v>19.5</v>
      </c>
      <c r="Z33" s="34">
        <f t="shared" si="25"/>
        <v>18.5</v>
      </c>
      <c r="AA33" s="34">
        <f t="shared" si="25"/>
        <v>2</v>
      </c>
      <c r="AB33" s="34">
        <f t="shared" si="25"/>
        <v>0.5</v>
      </c>
      <c r="AC33" s="34">
        <f t="shared" si="25"/>
        <v>737.5</v>
      </c>
      <c r="AD33" s="34">
        <f t="shared" si="25"/>
        <v>0</v>
      </c>
      <c r="AE33" s="31">
        <f t="shared" si="13"/>
        <v>577.5</v>
      </c>
      <c r="AF33" s="31">
        <f t="shared" si="13"/>
        <v>1454.5</v>
      </c>
    </row>
    <row r="34" spans="2:32" ht="23.1" customHeight="1" x14ac:dyDescent="0.25">
      <c r="B34" s="24" t="s">
        <v>61</v>
      </c>
      <c r="C34" s="49">
        <f>'Avg Week Nakawuka-Nateete'!C34+'Avg Week Nateete-Nakawuka'!C34</f>
        <v>28.142857142857142</v>
      </c>
      <c r="D34" s="49">
        <f>'Avg Week Nakawuka-Nateete'!D34+'Avg Week Nateete-Nakawuka'!D34</f>
        <v>9.2857142857142865</v>
      </c>
      <c r="E34" s="49">
        <f>'Avg Week Nakawuka-Nateete'!E34+'Avg Week Nateete-Nakawuka'!E34</f>
        <v>4.5714285714285712</v>
      </c>
      <c r="F34" s="49">
        <f>'Avg Week Nakawuka-Nateete'!F34+'Avg Week Nateete-Nakawuka'!F34</f>
        <v>30.428571428571431</v>
      </c>
      <c r="G34" s="49">
        <f>'Avg Week Nakawuka-Nateete'!G34+'Avg Week Nateete-Nakawuka'!G34</f>
        <v>1.4285714285714286</v>
      </c>
      <c r="H34" s="49">
        <f>'Avg Week Nakawuka-Nateete'!H34+'Avg Week Nateete-Nakawuka'!H34</f>
        <v>0.8571428571428571</v>
      </c>
      <c r="I34" s="49">
        <f>'Avg Week Nakawuka-Nateete'!I34+'Avg Week Nateete-Nakawuka'!I34</f>
        <v>9.5714285714285712</v>
      </c>
      <c r="J34" s="49">
        <f>'Avg Week Nakawuka-Nateete'!J34+'Avg Week Nateete-Nakawuka'!J34</f>
        <v>5.1428571428571423</v>
      </c>
      <c r="K34" s="49">
        <f>'Avg Week Nakawuka-Nateete'!K34+'Avg Week Nateete-Nakawuka'!K34</f>
        <v>1.2857142857142856</v>
      </c>
      <c r="L34" s="49">
        <f>'Avg Week Nakawuka-Nateete'!L34+'Avg Week Nateete-Nakawuka'!L34</f>
        <v>0.8571428571428571</v>
      </c>
      <c r="M34" s="49">
        <f>'Avg Week Nakawuka-Nateete'!M34+'Avg Week Nateete-Nakawuka'!M34</f>
        <v>189</v>
      </c>
      <c r="N34" s="49">
        <f>'Avg Week Nakawuka-Nateete'!N34+'Avg Week Nateete-Nakawuka'!N34</f>
        <v>0.14285714285714285</v>
      </c>
      <c r="O34" s="15">
        <f t="shared" si="0"/>
        <v>91.714285714285722</v>
      </c>
      <c r="P34" s="15">
        <f t="shared" si="1"/>
        <v>280.71428571428572</v>
      </c>
      <c r="R34" s="38" t="s">
        <v>90</v>
      </c>
      <c r="S34" s="39">
        <f t="shared" ref="S34:AF34" si="26">MAX(S10:S12)</f>
        <v>154.57142857142856</v>
      </c>
      <c r="T34" s="39">
        <f t="shared" si="26"/>
        <v>55.142857142857153</v>
      </c>
      <c r="U34" s="39">
        <f t="shared" si="26"/>
        <v>35.714285714285708</v>
      </c>
      <c r="V34" s="39">
        <f t="shared" si="26"/>
        <v>189.14285714285714</v>
      </c>
      <c r="W34" s="39">
        <f t="shared" si="26"/>
        <v>3.8571428571428568</v>
      </c>
      <c r="X34" s="39">
        <f t="shared" si="26"/>
        <v>3.4285714285714288</v>
      </c>
      <c r="Y34" s="39">
        <f t="shared" si="26"/>
        <v>50.285714285714285</v>
      </c>
      <c r="Z34" s="39">
        <f t="shared" si="26"/>
        <v>23.285714285714285</v>
      </c>
      <c r="AA34" s="39">
        <f t="shared" si="26"/>
        <v>6</v>
      </c>
      <c r="AB34" s="39">
        <f t="shared" si="26"/>
        <v>2.8571428571428568</v>
      </c>
      <c r="AC34" s="39">
        <f t="shared" si="26"/>
        <v>844.28571428571433</v>
      </c>
      <c r="AD34" s="39">
        <f t="shared" si="26"/>
        <v>0</v>
      </c>
      <c r="AE34" s="40">
        <f t="shared" si="26"/>
        <v>498.57142857142856</v>
      </c>
      <c r="AF34" s="40">
        <f t="shared" si="26"/>
        <v>1342.8571428571429</v>
      </c>
    </row>
    <row r="35" spans="2:32" ht="23.1" customHeight="1" x14ac:dyDescent="0.25">
      <c r="B35" s="24" t="s">
        <v>62</v>
      </c>
      <c r="C35" s="49">
        <f>'Avg Week Nakawuka-Nateete'!C35+'Avg Week Nateete-Nakawuka'!C35</f>
        <v>23</v>
      </c>
      <c r="D35" s="49">
        <f>'Avg Week Nakawuka-Nateete'!D35+'Avg Week Nateete-Nakawuka'!D35</f>
        <v>6.7142857142857153</v>
      </c>
      <c r="E35" s="49">
        <f>'Avg Week Nakawuka-Nateete'!E35+'Avg Week Nateete-Nakawuka'!E35</f>
        <v>6.4285714285714288</v>
      </c>
      <c r="F35" s="49">
        <f>'Avg Week Nakawuka-Nateete'!F35+'Avg Week Nateete-Nakawuka'!F35</f>
        <v>23</v>
      </c>
      <c r="G35" s="49">
        <f>'Avg Week Nakawuka-Nateete'!G35+'Avg Week Nateete-Nakawuka'!G35</f>
        <v>0.71428571428571419</v>
      </c>
      <c r="H35" s="49">
        <f>'Avg Week Nakawuka-Nateete'!H35+'Avg Week Nateete-Nakawuka'!H35</f>
        <v>0.42857142857142855</v>
      </c>
      <c r="I35" s="49">
        <f>'Avg Week Nakawuka-Nateete'!I35+'Avg Week Nateete-Nakawuka'!I35</f>
        <v>9.8571428571428577</v>
      </c>
      <c r="J35" s="49">
        <f>'Avg Week Nakawuka-Nateete'!J35+'Avg Week Nateete-Nakawuka'!J35</f>
        <v>4.1428571428571423</v>
      </c>
      <c r="K35" s="49">
        <f>'Avg Week Nakawuka-Nateete'!K35+'Avg Week Nateete-Nakawuka'!K35</f>
        <v>1.7142857142857144</v>
      </c>
      <c r="L35" s="49">
        <f>'Avg Week Nakawuka-Nateete'!L35+'Avg Week Nateete-Nakawuka'!L35</f>
        <v>0.2857142857142857</v>
      </c>
      <c r="M35" s="49">
        <f>'Avg Week Nakawuka-Nateete'!M35+'Avg Week Nateete-Nakawuka'!M35</f>
        <v>177</v>
      </c>
      <c r="N35" s="49">
        <f>'Avg Week Nakawuka-Nateete'!N35+'Avg Week Nateete-Nakawuka'!N35</f>
        <v>0</v>
      </c>
      <c r="O35" s="15">
        <f t="shared" si="0"/>
        <v>76.285714285714292</v>
      </c>
      <c r="P35" s="15">
        <f t="shared" si="1"/>
        <v>253.28571428571428</v>
      </c>
      <c r="R35" s="38" t="s">
        <v>91</v>
      </c>
      <c r="S35" s="39">
        <f t="shared" ref="S35:AF35" si="27">MAX(S13:S18)</f>
        <v>139.71428571428572</v>
      </c>
      <c r="T35" s="39">
        <f t="shared" si="27"/>
        <v>45.428571428571431</v>
      </c>
      <c r="U35" s="39">
        <f t="shared" si="27"/>
        <v>35</v>
      </c>
      <c r="V35" s="39">
        <f t="shared" si="27"/>
        <v>139.28571428571428</v>
      </c>
      <c r="W35" s="39">
        <f t="shared" si="27"/>
        <v>8.1428571428571441</v>
      </c>
      <c r="X35" s="39">
        <f t="shared" si="27"/>
        <v>4.5714285714285712</v>
      </c>
      <c r="Y35" s="39">
        <f t="shared" si="27"/>
        <v>47.714285714285715</v>
      </c>
      <c r="Z35" s="39">
        <f t="shared" si="27"/>
        <v>25.428571428571427</v>
      </c>
      <c r="AA35" s="39">
        <f t="shared" si="27"/>
        <v>6.1428571428571423</v>
      </c>
      <c r="AB35" s="39">
        <f t="shared" si="27"/>
        <v>4.8571428571428568</v>
      </c>
      <c r="AC35" s="39">
        <f t="shared" si="27"/>
        <v>800.28571428571422</v>
      </c>
      <c r="AD35" s="39">
        <f t="shared" si="27"/>
        <v>0.14285714285714285</v>
      </c>
      <c r="AE35" s="40">
        <f t="shared" si="27"/>
        <v>426.28571428571428</v>
      </c>
      <c r="AF35" s="40">
        <f t="shared" si="27"/>
        <v>1226.5714285714287</v>
      </c>
    </row>
    <row r="36" spans="2:32" ht="23.1" customHeight="1" x14ac:dyDescent="0.25">
      <c r="B36" s="24" t="s">
        <v>63</v>
      </c>
      <c r="C36" s="49">
        <f>'Avg Week Nakawuka-Nateete'!C36+'Avg Week Nateete-Nakawuka'!C36</f>
        <v>30</v>
      </c>
      <c r="D36" s="49">
        <f>'Avg Week Nakawuka-Nateete'!D36+'Avg Week Nateete-Nakawuka'!D36</f>
        <v>8.5714285714285712</v>
      </c>
      <c r="E36" s="49">
        <f>'Avg Week Nakawuka-Nateete'!E36+'Avg Week Nateete-Nakawuka'!E36</f>
        <v>7.2857142857142865</v>
      </c>
      <c r="F36" s="49">
        <f>'Avg Week Nakawuka-Nateete'!F36+'Avg Week Nateete-Nakawuka'!F36</f>
        <v>30.571428571428569</v>
      </c>
      <c r="G36" s="49">
        <f>'Avg Week Nakawuka-Nateete'!G36+'Avg Week Nateete-Nakawuka'!G36</f>
        <v>0.85714285714285721</v>
      </c>
      <c r="H36" s="49">
        <f>'Avg Week Nakawuka-Nateete'!H36+'Avg Week Nateete-Nakawuka'!H36</f>
        <v>0.8571428571428571</v>
      </c>
      <c r="I36" s="49">
        <f>'Avg Week Nakawuka-Nateete'!I36+'Avg Week Nateete-Nakawuka'!I36</f>
        <v>11.857142857142858</v>
      </c>
      <c r="J36" s="49">
        <f>'Avg Week Nakawuka-Nateete'!J36+'Avg Week Nateete-Nakawuka'!J36</f>
        <v>4.7142857142857144</v>
      </c>
      <c r="K36" s="49">
        <f>'Avg Week Nakawuka-Nateete'!K36+'Avg Week Nateete-Nakawuka'!K36</f>
        <v>2.1428571428571428</v>
      </c>
      <c r="L36" s="49">
        <f>'Avg Week Nakawuka-Nateete'!L36+'Avg Week Nateete-Nakawuka'!L36</f>
        <v>0.5714285714285714</v>
      </c>
      <c r="M36" s="49">
        <f>'Avg Week Nakawuka-Nateete'!M36+'Avg Week Nateete-Nakawuka'!M36</f>
        <v>188.28571428571428</v>
      </c>
      <c r="N36" s="49">
        <f>'Avg Week Nakawuka-Nateete'!N36+'Avg Week Nateete-Nakawuka'!N36</f>
        <v>0</v>
      </c>
      <c r="O36" s="15">
        <f t="shared" si="0"/>
        <v>97.428571428571416</v>
      </c>
      <c r="P36" s="15">
        <f t="shared" si="1"/>
        <v>285.71428571428567</v>
      </c>
      <c r="R36" s="38" t="s">
        <v>92</v>
      </c>
      <c r="S36" s="39">
        <f t="shared" ref="S36:AF36" si="28">MAX(S19:S21)</f>
        <v>172.42857142857144</v>
      </c>
      <c r="T36" s="39">
        <f t="shared" si="28"/>
        <v>60</v>
      </c>
      <c r="U36" s="39">
        <f t="shared" si="28"/>
        <v>34.571428571428569</v>
      </c>
      <c r="V36" s="39">
        <f t="shared" si="28"/>
        <v>170.71428571428572</v>
      </c>
      <c r="W36" s="39">
        <f t="shared" si="28"/>
        <v>7</v>
      </c>
      <c r="X36" s="39">
        <f t="shared" si="28"/>
        <v>4.7142857142857144</v>
      </c>
      <c r="Y36" s="39">
        <f t="shared" si="28"/>
        <v>50.285714285714278</v>
      </c>
      <c r="Z36" s="39">
        <f t="shared" si="28"/>
        <v>24</v>
      </c>
      <c r="AA36" s="39">
        <f t="shared" si="28"/>
        <v>6.1428571428571423</v>
      </c>
      <c r="AB36" s="39">
        <f t="shared" si="28"/>
        <v>3.2857142857142856</v>
      </c>
      <c r="AC36" s="39">
        <f t="shared" si="28"/>
        <v>829.14285714285711</v>
      </c>
      <c r="AD36" s="39">
        <f t="shared" si="28"/>
        <v>0</v>
      </c>
      <c r="AE36" s="40">
        <f t="shared" si="28"/>
        <v>491</v>
      </c>
      <c r="AF36" s="40">
        <f t="shared" si="28"/>
        <v>1299.4285714285713</v>
      </c>
    </row>
    <row r="37" spans="2:32" ht="23.1" customHeight="1" x14ac:dyDescent="0.25">
      <c r="B37" s="23" t="s">
        <v>64</v>
      </c>
      <c r="C37" s="49">
        <f>'Avg Week Nakawuka-Nateete'!C37+'Avg Week Nateete-Nakawuka'!C37</f>
        <v>31.428571428571427</v>
      </c>
      <c r="D37" s="49">
        <f>'Avg Week Nakawuka-Nateete'!D37+'Avg Week Nateete-Nakawuka'!D37</f>
        <v>9.5714285714285712</v>
      </c>
      <c r="E37" s="49">
        <f>'Avg Week Nakawuka-Nateete'!E37+'Avg Week Nateete-Nakawuka'!E37</f>
        <v>7.7142857142857135</v>
      </c>
      <c r="F37" s="49">
        <f>'Avg Week Nakawuka-Nateete'!F37+'Avg Week Nateete-Nakawuka'!F37</f>
        <v>28.142857142857142</v>
      </c>
      <c r="G37" s="49">
        <f>'Avg Week Nakawuka-Nateete'!G37+'Avg Week Nateete-Nakawuka'!G37</f>
        <v>0.5714285714285714</v>
      </c>
      <c r="H37" s="49">
        <f>'Avg Week Nakawuka-Nateete'!H37+'Avg Week Nateete-Nakawuka'!H37</f>
        <v>0.85714285714285721</v>
      </c>
      <c r="I37" s="49">
        <f>'Avg Week Nakawuka-Nateete'!I37+'Avg Week Nateete-Nakawuka'!I37</f>
        <v>9.8571428571428577</v>
      </c>
      <c r="J37" s="49">
        <f>'Avg Week Nakawuka-Nateete'!J37+'Avg Week Nateete-Nakawuka'!J37</f>
        <v>4.7142857142857144</v>
      </c>
      <c r="K37" s="49">
        <f>'Avg Week Nakawuka-Nateete'!K37+'Avg Week Nateete-Nakawuka'!K37</f>
        <v>1</v>
      </c>
      <c r="L37" s="49">
        <f>'Avg Week Nakawuka-Nateete'!L37+'Avg Week Nateete-Nakawuka'!L37</f>
        <v>1.2857142857142856</v>
      </c>
      <c r="M37" s="49">
        <f>'Avg Week Nakawuka-Nateete'!M37+'Avg Week Nateete-Nakawuka'!M37</f>
        <v>178.85714285714286</v>
      </c>
      <c r="N37" s="49">
        <f>'Avg Week Nakawuka-Nateete'!N37+'Avg Week Nateete-Nakawuka'!N37</f>
        <v>0</v>
      </c>
      <c r="O37" s="15">
        <f t="shared" si="0"/>
        <v>95.142857142857153</v>
      </c>
      <c r="P37" s="15">
        <f t="shared" si="1"/>
        <v>274</v>
      </c>
      <c r="R37" s="37" t="s">
        <v>85</v>
      </c>
      <c r="S37" s="35">
        <f t="shared" ref="S37:AF37" si="29">SUM(S10:S12)</f>
        <v>425.71428571428572</v>
      </c>
      <c r="T37" s="16">
        <f t="shared" si="29"/>
        <v>144</v>
      </c>
      <c r="U37" s="16">
        <f t="shared" si="29"/>
        <v>94</v>
      </c>
      <c r="V37" s="16">
        <f t="shared" si="29"/>
        <v>530.57142857142867</v>
      </c>
      <c r="W37" s="16">
        <f t="shared" si="29"/>
        <v>10.571428571428569</v>
      </c>
      <c r="X37" s="16">
        <f t="shared" si="29"/>
        <v>7.5714285714285712</v>
      </c>
      <c r="Y37" s="16">
        <f t="shared" si="29"/>
        <v>127.57142857142856</v>
      </c>
      <c r="Z37" s="16">
        <f t="shared" si="29"/>
        <v>57.857142857142854</v>
      </c>
      <c r="AA37" s="16">
        <f t="shared" si="29"/>
        <v>11.714285714285715</v>
      </c>
      <c r="AB37" s="16">
        <f t="shared" si="29"/>
        <v>5.2857142857142847</v>
      </c>
      <c r="AC37" s="16">
        <f t="shared" si="29"/>
        <v>2496.1428571428573</v>
      </c>
      <c r="AD37" s="16">
        <f t="shared" si="29"/>
        <v>0</v>
      </c>
      <c r="AE37" s="32">
        <f t="shared" si="29"/>
        <v>1414.8571428571429</v>
      </c>
      <c r="AF37" s="32">
        <f t="shared" si="29"/>
        <v>3911</v>
      </c>
    </row>
    <row r="38" spans="2:32" ht="23.1" customHeight="1" x14ac:dyDescent="0.25">
      <c r="B38" s="24" t="s">
        <v>65</v>
      </c>
      <c r="C38" s="49">
        <f>'Avg Week Nakawuka-Nateete'!C38+'Avg Week Nateete-Nakawuka'!C38</f>
        <v>31.428571428571427</v>
      </c>
      <c r="D38" s="49">
        <f>'Avg Week Nakawuka-Nateete'!D38+'Avg Week Nateete-Nakawuka'!D38</f>
        <v>10.571428571428571</v>
      </c>
      <c r="E38" s="49">
        <f>'Avg Week Nakawuka-Nateete'!E38+'Avg Week Nateete-Nakawuka'!E38</f>
        <v>7.7142857142857135</v>
      </c>
      <c r="F38" s="49">
        <f>'Avg Week Nakawuka-Nateete'!F38+'Avg Week Nateete-Nakawuka'!F38</f>
        <v>32.428571428571431</v>
      </c>
      <c r="G38" s="49">
        <f>'Avg Week Nakawuka-Nateete'!G38+'Avg Week Nateete-Nakawuka'!G38</f>
        <v>1.2857142857142856</v>
      </c>
      <c r="H38" s="49">
        <f>'Avg Week Nakawuka-Nateete'!H38+'Avg Week Nateete-Nakawuka'!H38</f>
        <v>1</v>
      </c>
      <c r="I38" s="49">
        <f>'Avg Week Nakawuka-Nateete'!I38+'Avg Week Nateete-Nakawuka'!I38</f>
        <v>12</v>
      </c>
      <c r="J38" s="49">
        <f>'Avg Week Nakawuka-Nateete'!J38+'Avg Week Nateete-Nakawuka'!J38</f>
        <v>7.8571428571428577</v>
      </c>
      <c r="K38" s="49">
        <f>'Avg Week Nakawuka-Nateete'!K38+'Avg Week Nateete-Nakawuka'!K38</f>
        <v>1.2857142857142856</v>
      </c>
      <c r="L38" s="49">
        <f>'Avg Week Nakawuka-Nateete'!L38+'Avg Week Nateete-Nakawuka'!L38</f>
        <v>0.8571428571428571</v>
      </c>
      <c r="M38" s="49">
        <f>'Avg Week Nakawuka-Nateete'!M38+'Avg Week Nateete-Nakawuka'!M38</f>
        <v>195.14285714285714</v>
      </c>
      <c r="N38" s="49">
        <f>'Avg Week Nakawuka-Nateete'!N38+'Avg Week Nateete-Nakawuka'!N38</f>
        <v>0</v>
      </c>
      <c r="O38" s="15">
        <f t="shared" si="0"/>
        <v>106.42857142857144</v>
      </c>
      <c r="P38" s="15">
        <f t="shared" si="1"/>
        <v>301.57142857142856</v>
      </c>
      <c r="R38" s="28" t="s">
        <v>86</v>
      </c>
      <c r="S38" s="16">
        <f t="shared" ref="S38:AF38" si="30">SUM(S13:S18)</f>
        <v>746.99999999999989</v>
      </c>
      <c r="T38" s="16">
        <f t="shared" si="30"/>
        <v>249.99999999999997</v>
      </c>
      <c r="U38" s="16">
        <f t="shared" si="30"/>
        <v>173.57142857142858</v>
      </c>
      <c r="V38" s="16">
        <f t="shared" si="30"/>
        <v>710.42857142857156</v>
      </c>
      <c r="W38" s="16">
        <f t="shared" si="30"/>
        <v>31.714285714285712</v>
      </c>
      <c r="X38" s="16">
        <f t="shared" si="30"/>
        <v>17.857142857142858</v>
      </c>
      <c r="Y38" s="16">
        <f t="shared" si="30"/>
        <v>266.28571428571428</v>
      </c>
      <c r="Z38" s="16">
        <f t="shared" si="30"/>
        <v>131</v>
      </c>
      <c r="AA38" s="16">
        <f t="shared" si="30"/>
        <v>33.142857142857139</v>
      </c>
      <c r="AB38" s="16">
        <f t="shared" si="30"/>
        <v>20.428571428571427</v>
      </c>
      <c r="AC38" s="16">
        <f t="shared" si="30"/>
        <v>4372</v>
      </c>
      <c r="AD38" s="16">
        <f t="shared" si="30"/>
        <v>0.2857142857142857</v>
      </c>
      <c r="AE38" s="32">
        <f t="shared" si="30"/>
        <v>2381.7142857142858</v>
      </c>
      <c r="AF38" s="32">
        <f t="shared" si="30"/>
        <v>6753.7142857142862</v>
      </c>
    </row>
    <row r="39" spans="2:32" ht="23.1" customHeight="1" x14ac:dyDescent="0.25">
      <c r="B39" s="24" t="s">
        <v>66</v>
      </c>
      <c r="C39" s="49">
        <f>'Avg Week Nakawuka-Nateete'!C39+'Avg Week Nateete-Nakawuka'!C39</f>
        <v>36.428571428571431</v>
      </c>
      <c r="D39" s="49">
        <f>'Avg Week Nakawuka-Nateete'!D39+'Avg Week Nateete-Nakawuka'!D39</f>
        <v>13.285714285714286</v>
      </c>
      <c r="E39" s="49">
        <f>'Avg Week Nakawuka-Nateete'!E39+'Avg Week Nateete-Nakawuka'!E39</f>
        <v>9.8571428571428577</v>
      </c>
      <c r="F39" s="49">
        <f>'Avg Week Nakawuka-Nateete'!F39+'Avg Week Nateete-Nakawuka'!F39</f>
        <v>28</v>
      </c>
      <c r="G39" s="49">
        <f>'Avg Week Nakawuka-Nateete'!G39+'Avg Week Nateete-Nakawuka'!G39</f>
        <v>0.85714285714285721</v>
      </c>
      <c r="H39" s="49">
        <f>'Avg Week Nakawuka-Nateete'!H39+'Avg Week Nateete-Nakawuka'!H39</f>
        <v>0.85714285714285721</v>
      </c>
      <c r="I39" s="49">
        <f>'Avg Week Nakawuka-Nateete'!I39+'Avg Week Nateete-Nakawuka'!I39</f>
        <v>12.428571428571429</v>
      </c>
      <c r="J39" s="49">
        <f>'Avg Week Nakawuka-Nateete'!J39+'Avg Week Nateete-Nakawuka'!J39</f>
        <v>6</v>
      </c>
      <c r="K39" s="49">
        <f>'Avg Week Nakawuka-Nateete'!K39+'Avg Week Nateete-Nakawuka'!K39</f>
        <v>2</v>
      </c>
      <c r="L39" s="49">
        <f>'Avg Week Nakawuka-Nateete'!L39+'Avg Week Nateete-Nakawuka'!L39</f>
        <v>0.8571428571428571</v>
      </c>
      <c r="M39" s="49">
        <f>'Avg Week Nakawuka-Nateete'!M39+'Avg Week Nateete-Nakawuka'!M39</f>
        <v>185.14285714285717</v>
      </c>
      <c r="N39" s="49">
        <f>'Avg Week Nakawuka-Nateete'!N39+'Avg Week Nateete-Nakawuka'!N39</f>
        <v>0</v>
      </c>
      <c r="O39" s="15">
        <f t="shared" si="0"/>
        <v>110.57142857142858</v>
      </c>
      <c r="P39" s="15">
        <f t="shared" si="1"/>
        <v>295.71428571428578</v>
      </c>
      <c r="R39" s="29" t="s">
        <v>87</v>
      </c>
      <c r="S39" s="16">
        <f t="shared" ref="S39:AF39" si="31">SUM(S19:S21)</f>
        <v>444.14285714285717</v>
      </c>
      <c r="T39" s="16">
        <f t="shared" si="31"/>
        <v>150.42857142857144</v>
      </c>
      <c r="U39" s="16">
        <f t="shared" si="31"/>
        <v>95.142857142857139</v>
      </c>
      <c r="V39" s="16">
        <f t="shared" si="31"/>
        <v>404.42857142857144</v>
      </c>
      <c r="W39" s="16">
        <f t="shared" si="31"/>
        <v>17.142857142857142</v>
      </c>
      <c r="X39" s="16">
        <f t="shared" si="31"/>
        <v>9.7142857142857135</v>
      </c>
      <c r="Y39" s="16">
        <f t="shared" si="31"/>
        <v>131.14285714285714</v>
      </c>
      <c r="Z39" s="16">
        <f t="shared" si="31"/>
        <v>65.428571428571431</v>
      </c>
      <c r="AA39" s="16">
        <f t="shared" si="31"/>
        <v>16.428571428571427</v>
      </c>
      <c r="AB39" s="16">
        <f t="shared" si="31"/>
        <v>7.9999999999999991</v>
      </c>
      <c r="AC39" s="16">
        <f t="shared" si="31"/>
        <v>2322.5714285714284</v>
      </c>
      <c r="AD39" s="16">
        <f t="shared" si="31"/>
        <v>0</v>
      </c>
      <c r="AE39" s="32">
        <f t="shared" si="31"/>
        <v>1342</v>
      </c>
      <c r="AF39" s="32">
        <f t="shared" si="31"/>
        <v>3664.5714285714284</v>
      </c>
    </row>
    <row r="40" spans="2:32" ht="23.1" customHeight="1" x14ac:dyDescent="0.25">
      <c r="B40" s="24" t="s">
        <v>67</v>
      </c>
      <c r="C40" s="49">
        <f>'Avg Week Nakawuka-Nateete'!C40+'Avg Week Nateete-Nakawuka'!C40</f>
        <v>32</v>
      </c>
      <c r="D40" s="49">
        <f>'Avg Week Nakawuka-Nateete'!D40+'Avg Week Nateete-Nakawuka'!D40</f>
        <v>10.285714285714285</v>
      </c>
      <c r="E40" s="49">
        <f>'Avg Week Nakawuka-Nateete'!E40+'Avg Week Nateete-Nakawuka'!E40</f>
        <v>9</v>
      </c>
      <c r="F40" s="49">
        <f>'Avg Week Nakawuka-Nateete'!F40+'Avg Week Nateete-Nakawuka'!F40</f>
        <v>24.857142857142858</v>
      </c>
      <c r="G40" s="49">
        <f>'Avg Week Nakawuka-Nateete'!G40+'Avg Week Nateete-Nakawuka'!G40</f>
        <v>1.1428571428571428</v>
      </c>
      <c r="H40" s="49">
        <f>'Avg Week Nakawuka-Nateete'!H40+'Avg Week Nateete-Nakawuka'!H40</f>
        <v>0.7142857142857143</v>
      </c>
      <c r="I40" s="49">
        <f>'Avg Week Nakawuka-Nateete'!I40+'Avg Week Nateete-Nakawuka'!I40</f>
        <v>11.714285714285715</v>
      </c>
      <c r="J40" s="49">
        <f>'Avg Week Nakawuka-Nateete'!J40+'Avg Week Nateete-Nakawuka'!J40</f>
        <v>5.2857142857142856</v>
      </c>
      <c r="K40" s="49">
        <f>'Avg Week Nakawuka-Nateete'!K40+'Avg Week Nateete-Nakawuka'!K40</f>
        <v>1</v>
      </c>
      <c r="L40" s="49">
        <f>'Avg Week Nakawuka-Nateete'!L40+'Avg Week Nateete-Nakawuka'!L40</f>
        <v>0.8571428571428571</v>
      </c>
      <c r="M40" s="49">
        <f>'Avg Week Nakawuka-Nateete'!M40+'Avg Week Nateete-Nakawuka'!M40</f>
        <v>173.28571428571428</v>
      </c>
      <c r="N40" s="49">
        <f>'Avg Week Nakawuka-Nateete'!N40+'Avg Week Nateete-Nakawuka'!N40</f>
        <v>0</v>
      </c>
      <c r="O40" s="15">
        <f t="shared" si="0"/>
        <v>96.857142857142847</v>
      </c>
      <c r="P40" s="15">
        <f t="shared" si="1"/>
        <v>270.14285714285711</v>
      </c>
      <c r="R40" s="5" t="s">
        <v>17</v>
      </c>
      <c r="S40" s="16">
        <f t="shared" ref="S40:AF40" si="32">SUM(S10:S21)</f>
        <v>1616.8571428571431</v>
      </c>
      <c r="T40" s="16">
        <f t="shared" si="32"/>
        <v>544.42857142857144</v>
      </c>
      <c r="U40" s="16">
        <f t="shared" si="32"/>
        <v>362.71428571428572</v>
      </c>
      <c r="V40" s="16">
        <f t="shared" si="32"/>
        <v>1645.4285714285716</v>
      </c>
      <c r="W40" s="16">
        <f t="shared" si="32"/>
        <v>59.428571428571431</v>
      </c>
      <c r="X40" s="16">
        <f t="shared" si="32"/>
        <v>35.142857142857139</v>
      </c>
      <c r="Y40" s="16">
        <f t="shared" si="32"/>
        <v>525</v>
      </c>
      <c r="Z40" s="16">
        <f t="shared" si="32"/>
        <v>254.28571428571425</v>
      </c>
      <c r="AA40" s="16">
        <f t="shared" si="32"/>
        <v>61.285714285714285</v>
      </c>
      <c r="AB40" s="16">
        <f t="shared" si="32"/>
        <v>33.714285714285715</v>
      </c>
      <c r="AC40" s="16">
        <f t="shared" si="32"/>
        <v>9190.7142857142844</v>
      </c>
      <c r="AD40" s="16">
        <f t="shared" si="32"/>
        <v>0.2857142857142857</v>
      </c>
      <c r="AE40" s="32">
        <f t="shared" si="32"/>
        <v>5138.5714285714284</v>
      </c>
      <c r="AF40" s="32">
        <f t="shared" si="32"/>
        <v>14329.285714285714</v>
      </c>
    </row>
    <row r="41" spans="2:32" ht="23.1" customHeight="1" x14ac:dyDescent="0.25">
      <c r="B41" s="23" t="s">
        <v>68</v>
      </c>
      <c r="C41" s="49">
        <f>'Avg Week Nakawuka-Nateete'!C41+'Avg Week Nateete-Nakawuka'!C41</f>
        <v>30.857142857142854</v>
      </c>
      <c r="D41" s="49">
        <f>'Avg Week Nakawuka-Nateete'!D41+'Avg Week Nateete-Nakawuka'!D41</f>
        <v>9.2857142857142865</v>
      </c>
      <c r="E41" s="49">
        <f>'Avg Week Nakawuka-Nateete'!E41+'Avg Week Nateete-Nakawuka'!E41</f>
        <v>8.4285714285714288</v>
      </c>
      <c r="F41" s="49">
        <f>'Avg Week Nakawuka-Nateete'!F41+'Avg Week Nateete-Nakawuka'!F41</f>
        <v>28</v>
      </c>
      <c r="G41" s="49">
        <f>'Avg Week Nakawuka-Nateete'!G41+'Avg Week Nateete-Nakawuka'!G41</f>
        <v>1.5714285714285714</v>
      </c>
      <c r="H41" s="49">
        <f>'Avg Week Nakawuka-Nateete'!H41+'Avg Week Nateete-Nakawuka'!H41</f>
        <v>0.7142857142857143</v>
      </c>
      <c r="I41" s="49">
        <f>'Avg Week Nakawuka-Nateete'!I41+'Avg Week Nateete-Nakawuka'!I41</f>
        <v>11.142857142857142</v>
      </c>
      <c r="J41" s="49">
        <f>'Avg Week Nakawuka-Nateete'!J41+'Avg Week Nateete-Nakawuka'!J41</f>
        <v>6.2857142857142856</v>
      </c>
      <c r="K41" s="49">
        <f>'Avg Week Nakawuka-Nateete'!K41+'Avg Week Nateete-Nakawuka'!K41</f>
        <v>1.1428571428571428</v>
      </c>
      <c r="L41" s="49">
        <f>'Avg Week Nakawuka-Nateete'!L41+'Avg Week Nateete-Nakawuka'!L41</f>
        <v>0.5714285714285714</v>
      </c>
      <c r="M41" s="49">
        <f>'Avg Week Nakawuka-Nateete'!M41+'Avg Week Nateete-Nakawuka'!M41</f>
        <v>174.42857142857144</v>
      </c>
      <c r="N41" s="49">
        <f>'Avg Week Nakawuka-Nateete'!N41+'Avg Week Nateete-Nakawuka'!N41</f>
        <v>0</v>
      </c>
      <c r="O41" s="15">
        <f t="shared" si="0"/>
        <v>97.999999999999986</v>
      </c>
      <c r="P41" s="15">
        <f t="shared" si="1"/>
        <v>272.42857142857144</v>
      </c>
      <c r="R41" s="5" t="s">
        <v>176</v>
      </c>
      <c r="S41" s="51">
        <f>SUM(S10:S33)</f>
        <v>2459.8571428571431</v>
      </c>
      <c r="T41" s="51">
        <f t="shared" ref="T41:AD41" si="33">SUM(T10:T33)</f>
        <v>1081.9285714285716</v>
      </c>
      <c r="U41" s="51">
        <f t="shared" si="33"/>
        <v>522.21428571428578</v>
      </c>
      <c r="V41" s="51">
        <f t="shared" si="33"/>
        <v>2832.9285714285716</v>
      </c>
      <c r="W41" s="51">
        <f t="shared" si="33"/>
        <v>105.42857142857143</v>
      </c>
      <c r="X41" s="51">
        <f t="shared" si="33"/>
        <v>68.142857142857139</v>
      </c>
      <c r="Y41" s="51">
        <f t="shared" si="33"/>
        <v>704.5</v>
      </c>
      <c r="Z41" s="51">
        <f t="shared" si="33"/>
        <v>330.78571428571422</v>
      </c>
      <c r="AA41" s="51">
        <f t="shared" si="33"/>
        <v>94.285714285714278</v>
      </c>
      <c r="AB41" s="51">
        <f t="shared" si="33"/>
        <v>74.214285714285722</v>
      </c>
      <c r="AC41" s="51">
        <f t="shared" si="33"/>
        <v>15839.714285714284</v>
      </c>
      <c r="AD41" s="51">
        <f t="shared" si="33"/>
        <v>1.2857142857142856</v>
      </c>
      <c r="AE41" s="52">
        <f>SUM(AE10:AE33)</f>
        <v>12721.642857142857</v>
      </c>
      <c r="AF41" s="52">
        <f>SUM(AF10:AF33)</f>
        <v>34695.5</v>
      </c>
    </row>
    <row r="42" spans="2:32" ht="23.1" customHeight="1" x14ac:dyDescent="0.25">
      <c r="B42" s="24" t="s">
        <v>69</v>
      </c>
      <c r="C42" s="49">
        <f>'Avg Week Nakawuka-Nateete'!C42+'Avg Week Nateete-Nakawuka'!C42</f>
        <v>26.571428571428569</v>
      </c>
      <c r="D42" s="49">
        <f>'Avg Week Nakawuka-Nateete'!D42+'Avg Week Nateete-Nakawuka'!D42</f>
        <v>11.857142857142858</v>
      </c>
      <c r="E42" s="49">
        <f>'Avg Week Nakawuka-Nateete'!E42+'Avg Week Nateete-Nakawuka'!E42</f>
        <v>8.2857142857142865</v>
      </c>
      <c r="F42" s="49">
        <f>'Avg Week Nakawuka-Nateete'!F42+'Avg Week Nateete-Nakawuka'!F42</f>
        <v>22.857142857142858</v>
      </c>
      <c r="G42" s="49">
        <f>'Avg Week Nakawuka-Nateete'!G42+'Avg Week Nateete-Nakawuka'!G42</f>
        <v>0.5714285714285714</v>
      </c>
      <c r="H42" s="49">
        <f>'Avg Week Nakawuka-Nateete'!H42+'Avg Week Nateete-Nakawuka'!H42</f>
        <v>0.7142857142857143</v>
      </c>
      <c r="I42" s="49">
        <f>'Avg Week Nakawuka-Nateete'!I42+'Avg Week Nateete-Nakawuka'!I42</f>
        <v>9.7142857142857153</v>
      </c>
      <c r="J42" s="49">
        <f>'Avg Week Nakawuka-Nateete'!J42+'Avg Week Nateete-Nakawuka'!J42</f>
        <v>5.8571428571428577</v>
      </c>
      <c r="K42" s="49">
        <f>'Avg Week Nakawuka-Nateete'!K42+'Avg Week Nateete-Nakawuka'!K42</f>
        <v>1.2857142857142856</v>
      </c>
      <c r="L42" s="49">
        <f>'Avg Week Nakawuka-Nateete'!L42+'Avg Week Nateete-Nakawuka'!L42</f>
        <v>0.42857142857142855</v>
      </c>
      <c r="M42" s="49">
        <f>'Avg Week Nakawuka-Nateete'!M42+'Avg Week Nateete-Nakawuka'!M42</f>
        <v>160.14285714285717</v>
      </c>
      <c r="N42" s="49">
        <f>'Avg Week Nakawuka-Nateete'!N42+'Avg Week Nateete-Nakawuka'!N42</f>
        <v>0</v>
      </c>
      <c r="O42" s="15">
        <f t="shared" si="0"/>
        <v>88.142857142857139</v>
      </c>
      <c r="P42" s="15">
        <f t="shared" si="1"/>
        <v>248.28571428571431</v>
      </c>
      <c r="R42" s="5" t="s">
        <v>160</v>
      </c>
      <c r="S42" s="48">
        <f>S41/S40</f>
        <v>1.5213818695882664</v>
      </c>
      <c r="T42" s="48">
        <f t="shared" ref="T42:AF42" si="34">T41/T40</f>
        <v>1.9872736814484389</v>
      </c>
      <c r="U42" s="48">
        <f t="shared" si="34"/>
        <v>1.439740055139819</v>
      </c>
      <c r="V42" s="48">
        <f t="shared" si="34"/>
        <v>1.7216964750824795</v>
      </c>
      <c r="W42" s="48">
        <f t="shared" si="34"/>
        <v>1.7740384615384615</v>
      </c>
      <c r="X42" s="48">
        <f t="shared" si="34"/>
        <v>1.9390243902439026</v>
      </c>
      <c r="Y42" s="48">
        <f t="shared" si="34"/>
        <v>1.3419047619047619</v>
      </c>
      <c r="Z42" s="48">
        <f t="shared" si="34"/>
        <v>1.3008426966292135</v>
      </c>
      <c r="AA42" s="48">
        <f t="shared" si="34"/>
        <v>1.5384615384615383</v>
      </c>
      <c r="AB42" s="48">
        <f t="shared" si="34"/>
        <v>2.2012711864406782</v>
      </c>
      <c r="AC42" s="48">
        <f t="shared" si="34"/>
        <v>1.7234475790782624</v>
      </c>
      <c r="AD42" s="48">
        <f t="shared" si="34"/>
        <v>4.5</v>
      </c>
      <c r="AE42" s="53">
        <f t="shared" si="34"/>
        <v>2.4757158743397274</v>
      </c>
      <c r="AF42" s="53">
        <f t="shared" si="34"/>
        <v>2.4213000348935747</v>
      </c>
    </row>
    <row r="43" spans="2:32" ht="23.1" customHeight="1" x14ac:dyDescent="0.25">
      <c r="B43" s="23" t="s">
        <v>70</v>
      </c>
      <c r="C43" s="49">
        <f>'Avg Week Nakawuka-Nateete'!C43+'Avg Week Nateete-Nakawuka'!C43</f>
        <v>30.142857142857142</v>
      </c>
      <c r="D43" s="49">
        <f>'Avg Week Nakawuka-Nateete'!D43+'Avg Week Nateete-Nakawuka'!D43</f>
        <v>11.857142857142858</v>
      </c>
      <c r="E43" s="49">
        <f>'Avg Week Nakawuka-Nateete'!E43+'Avg Week Nateete-Nakawuka'!E43</f>
        <v>6.8571428571428577</v>
      </c>
      <c r="F43" s="49">
        <f>'Avg Week Nakawuka-Nateete'!F43+'Avg Week Nateete-Nakawuka'!F43</f>
        <v>26.571428571428569</v>
      </c>
      <c r="G43" s="49">
        <f>'Avg Week Nakawuka-Nateete'!G43+'Avg Week Nateete-Nakawuka'!G43</f>
        <v>0.71428571428571419</v>
      </c>
      <c r="H43" s="49">
        <f>'Avg Week Nakawuka-Nateete'!H43+'Avg Week Nateete-Nakawuka'!H43</f>
        <v>1</v>
      </c>
      <c r="I43" s="49">
        <f>'Avg Week Nakawuka-Nateete'!I43+'Avg Week Nateete-Nakawuka'!I43</f>
        <v>8.5714285714285712</v>
      </c>
      <c r="J43" s="49">
        <f>'Avg Week Nakawuka-Nateete'!J43+'Avg Week Nateete-Nakawuka'!J43</f>
        <v>5</v>
      </c>
      <c r="K43" s="49">
        <f>'Avg Week Nakawuka-Nateete'!K43+'Avg Week Nateete-Nakawuka'!K43</f>
        <v>2.5714285714285712</v>
      </c>
      <c r="L43" s="49">
        <f>'Avg Week Nakawuka-Nateete'!L43+'Avg Week Nateete-Nakawuka'!L43</f>
        <v>0.5714285714285714</v>
      </c>
      <c r="M43" s="49">
        <f>'Avg Week Nakawuka-Nateete'!M43+'Avg Week Nateete-Nakawuka'!M43</f>
        <v>165.57142857142856</v>
      </c>
      <c r="N43" s="49">
        <f>'Avg Week Nakawuka-Nateete'!N43+'Avg Week Nateete-Nakawuka'!N43</f>
        <v>0</v>
      </c>
      <c r="O43" s="15">
        <f t="shared" si="0"/>
        <v>93.857142857142847</v>
      </c>
      <c r="P43" s="15">
        <f t="shared" si="1"/>
        <v>259.42857142857139</v>
      </c>
    </row>
    <row r="44" spans="2:32" ht="23.1" customHeight="1" x14ac:dyDescent="0.25">
      <c r="B44" s="25" t="s">
        <v>71</v>
      </c>
      <c r="C44" s="49">
        <f>'Avg Week Nakawuka-Nateete'!C44+'Avg Week Nateete-Nakawuka'!C44</f>
        <v>33.571428571428569</v>
      </c>
      <c r="D44" s="49">
        <f>'Avg Week Nakawuka-Nateete'!D44+'Avg Week Nateete-Nakawuka'!D44</f>
        <v>11.142857142857142</v>
      </c>
      <c r="E44" s="49">
        <f>'Avg Week Nakawuka-Nateete'!E44+'Avg Week Nateete-Nakawuka'!E44</f>
        <v>7.2857142857142865</v>
      </c>
      <c r="F44" s="49">
        <f>'Avg Week Nakawuka-Nateete'!F44+'Avg Week Nateete-Nakawuka'!F44</f>
        <v>25.857142857142858</v>
      </c>
      <c r="G44" s="49">
        <f>'Avg Week Nakawuka-Nateete'!G44+'Avg Week Nateete-Nakawuka'!G44</f>
        <v>0.71428571428571419</v>
      </c>
      <c r="H44" s="49">
        <f>'Avg Week Nakawuka-Nateete'!H44+'Avg Week Nateete-Nakawuka'!H44</f>
        <v>1</v>
      </c>
      <c r="I44" s="49">
        <f>'Avg Week Nakawuka-Nateete'!I44+'Avg Week Nateete-Nakawuka'!I44</f>
        <v>15.714285714285715</v>
      </c>
      <c r="J44" s="49">
        <f>'Avg Week Nakawuka-Nateete'!J44+'Avg Week Nateete-Nakawuka'!J44</f>
        <v>4.1428571428571423</v>
      </c>
      <c r="K44" s="49">
        <f>'Avg Week Nakawuka-Nateete'!K44+'Avg Week Nateete-Nakawuka'!K44</f>
        <v>0.42857142857142855</v>
      </c>
      <c r="L44" s="49">
        <f>'Avg Week Nakawuka-Nateete'!L44+'Avg Week Nateete-Nakawuka'!L44</f>
        <v>0.2857142857142857</v>
      </c>
      <c r="M44" s="49">
        <f>'Avg Week Nakawuka-Nateete'!M44+'Avg Week Nateete-Nakawuka'!M44</f>
        <v>183.57142857142858</v>
      </c>
      <c r="N44" s="49">
        <f>'Avg Week Nakawuka-Nateete'!N44+'Avg Week Nateete-Nakawuka'!N44</f>
        <v>0</v>
      </c>
      <c r="O44" s="15">
        <f t="shared" si="0"/>
        <v>100.14285714285714</v>
      </c>
      <c r="P44" s="15">
        <f t="shared" si="1"/>
        <v>283.71428571428572</v>
      </c>
    </row>
    <row r="45" spans="2:32" ht="23.1" customHeight="1" x14ac:dyDescent="0.25">
      <c r="B45" s="23" t="s">
        <v>72</v>
      </c>
      <c r="C45" s="49">
        <f>'Avg Week Nakawuka-Nateete'!C45+'Avg Week Nateete-Nakawuka'!C45</f>
        <v>28.428571428571427</v>
      </c>
      <c r="D45" s="49">
        <f>'Avg Week Nakawuka-Nateete'!D45+'Avg Week Nateete-Nakawuka'!D45</f>
        <v>10.142857142857142</v>
      </c>
      <c r="E45" s="49">
        <f>'Avg Week Nakawuka-Nateete'!E45+'Avg Week Nateete-Nakawuka'!E45</f>
        <v>7.2857142857142856</v>
      </c>
      <c r="F45" s="49">
        <f>'Avg Week Nakawuka-Nateete'!F45+'Avg Week Nateete-Nakawuka'!F45</f>
        <v>23.428571428571431</v>
      </c>
      <c r="G45" s="49">
        <f>'Avg Week Nakawuka-Nateete'!G45+'Avg Week Nateete-Nakawuka'!G45</f>
        <v>1</v>
      </c>
      <c r="H45" s="49">
        <f>'Avg Week Nakawuka-Nateete'!H45+'Avg Week Nateete-Nakawuka'!H45</f>
        <v>0.2857142857142857</v>
      </c>
      <c r="I45" s="49">
        <f>'Avg Week Nakawuka-Nateete'!I45+'Avg Week Nateete-Nakawuka'!I45</f>
        <v>10.714285714285714</v>
      </c>
      <c r="J45" s="49">
        <f>'Avg Week Nakawuka-Nateete'!J45+'Avg Week Nateete-Nakawuka'!J45</f>
        <v>5.5714285714285712</v>
      </c>
      <c r="K45" s="49">
        <f>'Avg Week Nakawuka-Nateete'!K45+'Avg Week Nateete-Nakawuka'!K45</f>
        <v>1.2857142857142856</v>
      </c>
      <c r="L45" s="49">
        <f>'Avg Week Nakawuka-Nateete'!L45+'Avg Week Nateete-Nakawuka'!L45</f>
        <v>0.71428571428571419</v>
      </c>
      <c r="M45" s="49">
        <f>'Avg Week Nakawuka-Nateete'!M45+'Avg Week Nateete-Nakawuka'!M45</f>
        <v>164.57142857142856</v>
      </c>
      <c r="N45" s="49">
        <f>'Avg Week Nakawuka-Nateete'!N45+'Avg Week Nateete-Nakawuka'!N45</f>
        <v>0</v>
      </c>
      <c r="O45" s="15">
        <f t="shared" si="0"/>
        <v>88.857142857142847</v>
      </c>
      <c r="P45" s="15">
        <f t="shared" si="1"/>
        <v>253.42857142857139</v>
      </c>
    </row>
    <row r="46" spans="2:32" ht="23.1" customHeight="1" x14ac:dyDescent="0.25">
      <c r="B46" s="24" t="s">
        <v>73</v>
      </c>
      <c r="C46" s="49">
        <f>'Avg Week Nakawuka-Nateete'!C46+'Avg Week Nateete-Nakawuka'!C46</f>
        <v>25.714285714285715</v>
      </c>
      <c r="D46" s="49">
        <f>'Avg Week Nakawuka-Nateete'!D46+'Avg Week Nateete-Nakawuka'!D46</f>
        <v>8.1428571428571423</v>
      </c>
      <c r="E46" s="49">
        <f>'Avg Week Nakawuka-Nateete'!E46+'Avg Week Nateete-Nakawuka'!E46</f>
        <v>6</v>
      </c>
      <c r="F46" s="49">
        <f>'Avg Week Nakawuka-Nateete'!F46+'Avg Week Nateete-Nakawuka'!F46</f>
        <v>22.857142857142858</v>
      </c>
      <c r="G46" s="49">
        <f>'Avg Week Nakawuka-Nateete'!G46+'Avg Week Nateete-Nakawuka'!G46</f>
        <v>0.71428571428571419</v>
      </c>
      <c r="H46" s="49">
        <f>'Avg Week Nakawuka-Nateete'!H46+'Avg Week Nateete-Nakawuka'!H46</f>
        <v>0.5714285714285714</v>
      </c>
      <c r="I46" s="49">
        <f>'Avg Week Nakawuka-Nateete'!I46+'Avg Week Nateete-Nakawuka'!I46</f>
        <v>9.7142857142857153</v>
      </c>
      <c r="J46" s="49">
        <f>'Avg Week Nakawuka-Nateete'!J46+'Avg Week Nateete-Nakawuka'!J46</f>
        <v>6.5714285714285712</v>
      </c>
      <c r="K46" s="49">
        <f>'Avg Week Nakawuka-Nateete'!K46+'Avg Week Nateete-Nakawuka'!K46</f>
        <v>1</v>
      </c>
      <c r="L46" s="49">
        <f>'Avg Week Nakawuka-Nateete'!L46+'Avg Week Nateete-Nakawuka'!L46</f>
        <v>0.5714285714285714</v>
      </c>
      <c r="M46" s="49">
        <f>'Avg Week Nakawuka-Nateete'!M46+'Avg Week Nateete-Nakawuka'!M46</f>
        <v>136.57142857142856</v>
      </c>
      <c r="N46" s="49">
        <f>'Avg Week Nakawuka-Nateete'!N46+'Avg Week Nateete-Nakawuka'!N46</f>
        <v>0</v>
      </c>
      <c r="O46" s="15">
        <f t="shared" si="0"/>
        <v>81.857142857142861</v>
      </c>
      <c r="P46" s="15">
        <f t="shared" si="1"/>
        <v>218.42857142857142</v>
      </c>
      <c r="R46" s="8"/>
      <c r="T46"/>
    </row>
    <row r="47" spans="2:32" ht="23.1" customHeight="1" x14ac:dyDescent="0.25">
      <c r="B47" s="24" t="s">
        <v>74</v>
      </c>
      <c r="C47" s="49">
        <f>'Avg Week Nakawuka-Nateete'!C47+'Avg Week Nateete-Nakawuka'!C47</f>
        <v>31.285714285714285</v>
      </c>
      <c r="D47" s="49">
        <f>'Avg Week Nakawuka-Nateete'!D47+'Avg Week Nateete-Nakawuka'!D47</f>
        <v>8.7142857142857153</v>
      </c>
      <c r="E47" s="49">
        <f>'Avg Week Nakawuka-Nateete'!E47+'Avg Week Nateete-Nakawuka'!E47</f>
        <v>7</v>
      </c>
      <c r="F47" s="49">
        <f>'Avg Week Nakawuka-Nateete'!F47+'Avg Week Nateete-Nakawuka'!F47</f>
        <v>23.285714285714285</v>
      </c>
      <c r="G47" s="49">
        <f>'Avg Week Nakawuka-Nateete'!G47+'Avg Week Nateete-Nakawuka'!G47</f>
        <v>1.4285714285714284</v>
      </c>
      <c r="H47" s="49">
        <f>'Avg Week Nakawuka-Nateete'!H47+'Avg Week Nateete-Nakawuka'!H47</f>
        <v>0.14285714285714285</v>
      </c>
      <c r="I47" s="49">
        <f>'Avg Week Nakawuka-Nateete'!I47+'Avg Week Nateete-Nakawuka'!I47</f>
        <v>11.857142857142858</v>
      </c>
      <c r="J47" s="49">
        <f>'Avg Week Nakawuka-Nateete'!J47+'Avg Week Nateete-Nakawuka'!J47</f>
        <v>6.2857142857142856</v>
      </c>
      <c r="K47" s="49">
        <f>'Avg Week Nakawuka-Nateete'!K47+'Avg Week Nateete-Nakawuka'!K47</f>
        <v>1.8571428571428572</v>
      </c>
      <c r="L47" s="49">
        <f>'Avg Week Nakawuka-Nateete'!L47+'Avg Week Nateete-Nakawuka'!L47</f>
        <v>0.8571428571428571</v>
      </c>
      <c r="M47" s="49">
        <f>'Avg Week Nakawuka-Nateete'!M47+'Avg Week Nateete-Nakawuka'!M47</f>
        <v>176.28571428571428</v>
      </c>
      <c r="N47" s="49">
        <f>'Avg Week Nakawuka-Nateete'!N47+'Avg Week Nateete-Nakawuka'!N47</f>
        <v>0</v>
      </c>
      <c r="O47" s="15">
        <f t="shared" si="0"/>
        <v>92.714285714285722</v>
      </c>
      <c r="P47" s="15">
        <f t="shared" si="1"/>
        <v>269</v>
      </c>
      <c r="R47" s="8"/>
      <c r="T47"/>
    </row>
    <row r="48" spans="2:32" ht="23.1" customHeight="1" x14ac:dyDescent="0.25">
      <c r="B48" s="24" t="s">
        <v>75</v>
      </c>
      <c r="C48" s="49">
        <f>'Avg Week Nakawuka-Nateete'!C48+'Avg Week Nateete-Nakawuka'!C48</f>
        <v>37.857142857142854</v>
      </c>
      <c r="D48" s="49">
        <f>'Avg Week Nakawuka-Nateete'!D48+'Avg Week Nateete-Nakawuka'!D48</f>
        <v>11</v>
      </c>
      <c r="E48" s="49">
        <f>'Avg Week Nakawuka-Nateete'!E48+'Avg Week Nateete-Nakawuka'!E48</f>
        <v>10</v>
      </c>
      <c r="F48" s="49">
        <f>'Avg Week Nakawuka-Nateete'!F48+'Avg Week Nateete-Nakawuka'!F48</f>
        <v>26.571428571428569</v>
      </c>
      <c r="G48" s="49">
        <f>'Avg Week Nakawuka-Nateete'!G48+'Avg Week Nateete-Nakawuka'!G48</f>
        <v>1.2857142857142856</v>
      </c>
      <c r="H48" s="49">
        <f>'Avg Week Nakawuka-Nateete'!H48+'Avg Week Nateete-Nakawuka'!H48</f>
        <v>1.1428571428571428</v>
      </c>
      <c r="I48" s="49">
        <f>'Avg Week Nakawuka-Nateete'!I48+'Avg Week Nateete-Nakawuka'!I48</f>
        <v>10.571428571428571</v>
      </c>
      <c r="J48" s="49">
        <f>'Avg Week Nakawuka-Nateete'!J48+'Avg Week Nateete-Nakawuka'!J48</f>
        <v>5</v>
      </c>
      <c r="K48" s="49">
        <f>'Avg Week Nakawuka-Nateete'!K48+'Avg Week Nateete-Nakawuka'!K48</f>
        <v>2.1428571428571428</v>
      </c>
      <c r="L48" s="49">
        <f>'Avg Week Nakawuka-Nateete'!L48+'Avg Week Nateete-Nakawuka'!L48</f>
        <v>0.14285714285714285</v>
      </c>
      <c r="M48" s="49">
        <f>'Avg Week Nakawuka-Nateete'!M48+'Avg Week Nateete-Nakawuka'!M48</f>
        <v>192.57142857142856</v>
      </c>
      <c r="N48" s="49">
        <f>'Avg Week Nakawuka-Nateete'!N48+'Avg Week Nateete-Nakawuka'!N48</f>
        <v>0</v>
      </c>
      <c r="O48" s="15">
        <f t="shared" si="0"/>
        <v>105.71428571428569</v>
      </c>
      <c r="P48" s="15">
        <f t="shared" si="1"/>
        <v>298.28571428571422</v>
      </c>
      <c r="R48" s="8"/>
      <c r="T48"/>
    </row>
    <row r="49" spans="2:20" ht="23.1" customHeight="1" x14ac:dyDescent="0.25">
      <c r="B49" s="23" t="s">
        <v>76</v>
      </c>
      <c r="C49" s="49">
        <f>'Avg Week Nakawuka-Nateete'!C49+'Avg Week Nateete-Nakawuka'!C49</f>
        <v>35.571428571428569</v>
      </c>
      <c r="D49" s="49">
        <f>'Avg Week Nakawuka-Nateete'!D49+'Avg Week Nateete-Nakawuka'!D49</f>
        <v>10.857142857142858</v>
      </c>
      <c r="E49" s="49">
        <f>'Avg Week Nakawuka-Nateete'!E49+'Avg Week Nateete-Nakawuka'!E49</f>
        <v>6.1428571428571432</v>
      </c>
      <c r="F49" s="49">
        <f>'Avg Week Nakawuka-Nateete'!F49+'Avg Week Nateete-Nakawuka'!F49</f>
        <v>28.142857142857142</v>
      </c>
      <c r="G49" s="49">
        <f>'Avg Week Nakawuka-Nateete'!G49+'Avg Week Nateete-Nakawuka'!G49</f>
        <v>1.2857142857142858</v>
      </c>
      <c r="H49" s="49">
        <f>'Avg Week Nakawuka-Nateete'!H49+'Avg Week Nateete-Nakawuka'!H49</f>
        <v>0.5714285714285714</v>
      </c>
      <c r="I49" s="49">
        <f>'Avg Week Nakawuka-Nateete'!I49+'Avg Week Nateete-Nakawuka'!I49</f>
        <v>10.428571428571429</v>
      </c>
      <c r="J49" s="49">
        <f>'Avg Week Nakawuka-Nateete'!J49+'Avg Week Nateete-Nakawuka'!J49</f>
        <v>6.1428571428571423</v>
      </c>
      <c r="K49" s="49">
        <f>'Avg Week Nakawuka-Nateete'!K49+'Avg Week Nateete-Nakawuka'!K49</f>
        <v>1.1428571428571428</v>
      </c>
      <c r="L49" s="49">
        <f>'Avg Week Nakawuka-Nateete'!L49+'Avg Week Nateete-Nakawuka'!L49</f>
        <v>0.14285714285714285</v>
      </c>
      <c r="M49" s="49">
        <f>'Avg Week Nakawuka-Nateete'!M49+'Avg Week Nateete-Nakawuka'!M49</f>
        <v>194.14285714285714</v>
      </c>
      <c r="N49" s="49">
        <f>'Avg Week Nakawuka-Nateete'!N49+'Avg Week Nateete-Nakawuka'!N49</f>
        <v>0</v>
      </c>
      <c r="O49" s="15">
        <f t="shared" si="0"/>
        <v>100.42857142857143</v>
      </c>
      <c r="P49" s="15">
        <f t="shared" si="1"/>
        <v>294.57142857142856</v>
      </c>
      <c r="R49" s="8"/>
      <c r="T49"/>
    </row>
    <row r="50" spans="2:20" ht="23.1" customHeight="1" x14ac:dyDescent="0.25">
      <c r="B50" s="24" t="s">
        <v>77</v>
      </c>
      <c r="C50" s="49">
        <f>'Avg Week Nakawuka-Nateete'!C50+'Avg Week Nateete-Nakawuka'!C50</f>
        <v>45.714285714285715</v>
      </c>
      <c r="D50" s="49">
        <f>'Avg Week Nakawuka-Nateete'!D50+'Avg Week Nateete-Nakawuka'!D50</f>
        <v>13.285714285714285</v>
      </c>
      <c r="E50" s="49">
        <f>'Avg Week Nakawuka-Nateete'!E50+'Avg Week Nateete-Nakawuka'!E50</f>
        <v>9.1428571428571423</v>
      </c>
      <c r="F50" s="49">
        <f>'Avg Week Nakawuka-Nateete'!F50+'Avg Week Nateete-Nakawuka'!F50</f>
        <v>37</v>
      </c>
      <c r="G50" s="49">
        <f>'Avg Week Nakawuka-Nateete'!G50+'Avg Week Nateete-Nakawuka'!G50</f>
        <v>1</v>
      </c>
      <c r="H50" s="49">
        <f>'Avg Week Nakawuka-Nateete'!H50+'Avg Week Nateete-Nakawuka'!H50</f>
        <v>1.2857142857142856</v>
      </c>
      <c r="I50" s="49">
        <f>'Avg Week Nakawuka-Nateete'!I50+'Avg Week Nateete-Nakawuka'!I50</f>
        <v>12.428571428571429</v>
      </c>
      <c r="J50" s="49">
        <f>'Avg Week Nakawuka-Nateete'!J50+'Avg Week Nateete-Nakawuka'!J50</f>
        <v>5.4285714285714288</v>
      </c>
      <c r="K50" s="49">
        <f>'Avg Week Nakawuka-Nateete'!K50+'Avg Week Nateete-Nakawuka'!K50</f>
        <v>2</v>
      </c>
      <c r="L50" s="49">
        <f>'Avg Week Nakawuka-Nateete'!L50+'Avg Week Nateete-Nakawuka'!L50</f>
        <v>0.5714285714285714</v>
      </c>
      <c r="M50" s="49">
        <f>'Avg Week Nakawuka-Nateete'!M50+'Avg Week Nateete-Nakawuka'!M50</f>
        <v>206.57142857142856</v>
      </c>
      <c r="N50" s="49">
        <f>'Avg Week Nakawuka-Nateete'!N50+'Avg Week Nateete-Nakawuka'!N50</f>
        <v>0</v>
      </c>
      <c r="O50" s="15">
        <f t="shared" si="0"/>
        <v>127.85714285714286</v>
      </c>
      <c r="P50" s="15">
        <f t="shared" si="1"/>
        <v>334.42857142857144</v>
      </c>
      <c r="R50" s="8"/>
      <c r="T50"/>
    </row>
    <row r="51" spans="2:20" ht="23.1" customHeight="1" x14ac:dyDescent="0.25">
      <c r="B51" s="24" t="s">
        <v>78</v>
      </c>
      <c r="C51" s="49">
        <f>'Avg Week Nakawuka-Nateete'!C51+'Avg Week Nateete-Nakawuka'!C51</f>
        <v>45.571428571428569</v>
      </c>
      <c r="D51" s="49">
        <f>'Avg Week Nakawuka-Nateete'!D51+'Avg Week Nateete-Nakawuka'!D51</f>
        <v>17.714285714285715</v>
      </c>
      <c r="E51" s="49">
        <f>'Avg Week Nakawuka-Nateete'!E51+'Avg Week Nateete-Nakawuka'!E51</f>
        <v>8.2857142857142865</v>
      </c>
      <c r="F51" s="49">
        <f>'Avg Week Nakawuka-Nateete'!F51+'Avg Week Nateete-Nakawuka'!F51</f>
        <v>27</v>
      </c>
      <c r="G51" s="49">
        <f>'Avg Week Nakawuka-Nateete'!G51+'Avg Week Nateete-Nakawuka'!G51</f>
        <v>1.5714285714285714</v>
      </c>
      <c r="H51" s="49">
        <f>'Avg Week Nakawuka-Nateete'!H51+'Avg Week Nateete-Nakawuka'!H51</f>
        <v>0.8571428571428571</v>
      </c>
      <c r="I51" s="49">
        <f>'Avg Week Nakawuka-Nateete'!I51+'Avg Week Nateete-Nakawuka'!I51</f>
        <v>13.142857142857142</v>
      </c>
      <c r="J51" s="49">
        <f>'Avg Week Nakawuka-Nateete'!J51+'Avg Week Nateete-Nakawuka'!J51</f>
        <v>5.1428571428571423</v>
      </c>
      <c r="K51" s="49">
        <f>'Avg Week Nakawuka-Nateete'!K51+'Avg Week Nateete-Nakawuka'!K51</f>
        <v>1.7142857142857142</v>
      </c>
      <c r="L51" s="49">
        <f>'Avg Week Nakawuka-Nateete'!L51+'Avg Week Nateete-Nakawuka'!L51</f>
        <v>0.71428571428571419</v>
      </c>
      <c r="M51" s="49">
        <f>'Avg Week Nakawuka-Nateete'!M51+'Avg Week Nateete-Nakawuka'!M51</f>
        <v>191.71428571428572</v>
      </c>
      <c r="N51" s="49">
        <f>'Avg Week Nakawuka-Nateete'!N51+'Avg Week Nateete-Nakawuka'!N51</f>
        <v>0</v>
      </c>
      <c r="O51" s="15">
        <f t="shared" si="0"/>
        <v>121.71428571428569</v>
      </c>
      <c r="P51" s="15">
        <f t="shared" si="1"/>
        <v>313.42857142857144</v>
      </c>
      <c r="R51" s="8"/>
      <c r="T51"/>
    </row>
    <row r="52" spans="2:20" ht="23.1" customHeight="1" x14ac:dyDescent="0.25">
      <c r="B52" s="24" t="s">
        <v>79</v>
      </c>
      <c r="C52" s="49">
        <f>'Avg Week Nakawuka-Nateete'!C52+'Avg Week Nateete-Nakawuka'!C52</f>
        <v>39.428571428571431</v>
      </c>
      <c r="D52" s="49">
        <f>'Avg Week Nakawuka-Nateete'!D52+'Avg Week Nateete-Nakawuka'!D52</f>
        <v>15.857142857142858</v>
      </c>
      <c r="E52" s="49">
        <f>'Avg Week Nakawuka-Nateete'!E52+'Avg Week Nateete-Nakawuka'!E52</f>
        <v>8.8571428571428577</v>
      </c>
      <c r="F52" s="49">
        <f>'Avg Week Nakawuka-Nateete'!F52+'Avg Week Nateete-Nakawuka'!F52</f>
        <v>34.142857142857146</v>
      </c>
      <c r="G52" s="49">
        <f>'Avg Week Nakawuka-Nateete'!G52+'Avg Week Nateete-Nakawuka'!G52</f>
        <v>1</v>
      </c>
      <c r="H52" s="49">
        <f>'Avg Week Nakawuka-Nateete'!H52+'Avg Week Nateete-Nakawuka'!H52</f>
        <v>1.2857142857142858</v>
      </c>
      <c r="I52" s="49">
        <f>'Avg Week Nakawuka-Nateete'!I52+'Avg Week Nateete-Nakawuka'!I52</f>
        <v>12.571428571428571</v>
      </c>
      <c r="J52" s="49">
        <f>'Avg Week Nakawuka-Nateete'!J52+'Avg Week Nateete-Nakawuka'!J52</f>
        <v>4.1428571428571423</v>
      </c>
      <c r="K52" s="49">
        <f>'Avg Week Nakawuka-Nateete'!K52+'Avg Week Nateete-Nakawuka'!K52</f>
        <v>0.85714285714285721</v>
      </c>
      <c r="L52" s="49">
        <f>'Avg Week Nakawuka-Nateete'!L52+'Avg Week Nateete-Nakawuka'!L52</f>
        <v>0.8571428571428571</v>
      </c>
      <c r="M52" s="49">
        <f>'Avg Week Nakawuka-Nateete'!M52+'Avg Week Nateete-Nakawuka'!M52</f>
        <v>186.57142857142856</v>
      </c>
      <c r="N52" s="49">
        <f>'Avg Week Nakawuka-Nateete'!N52+'Avg Week Nateete-Nakawuka'!N52</f>
        <v>0</v>
      </c>
      <c r="O52" s="15">
        <f t="shared" si="0"/>
        <v>119.00000000000003</v>
      </c>
      <c r="P52" s="15">
        <f t="shared" si="1"/>
        <v>305.57142857142856</v>
      </c>
      <c r="R52" s="8"/>
      <c r="T52"/>
    </row>
    <row r="53" spans="2:20" ht="23.1" customHeight="1" x14ac:dyDescent="0.25">
      <c r="B53" s="23" t="s">
        <v>80</v>
      </c>
      <c r="C53" s="49">
        <f>'Avg Week Nakawuka-Nateete'!C53+'Avg Week Nateete-Nakawuka'!C53</f>
        <v>41.714285714285715</v>
      </c>
      <c r="D53" s="49">
        <f>'Avg Week Nakawuka-Nateete'!D53+'Avg Week Nateete-Nakawuka'!D53</f>
        <v>13.142857142857142</v>
      </c>
      <c r="E53" s="49">
        <f>'Avg Week Nakawuka-Nateete'!E53+'Avg Week Nateete-Nakawuka'!E53</f>
        <v>8.2857142857142847</v>
      </c>
      <c r="F53" s="49">
        <f>'Avg Week Nakawuka-Nateete'!F53+'Avg Week Nateete-Nakawuka'!F53</f>
        <v>34.714285714285715</v>
      </c>
      <c r="G53" s="49">
        <f>'Avg Week Nakawuka-Nateete'!G53+'Avg Week Nateete-Nakawuka'!G53</f>
        <v>1.8571428571428572</v>
      </c>
      <c r="H53" s="49">
        <f>'Avg Week Nakawuka-Nateete'!H53+'Avg Week Nateete-Nakawuka'!H53</f>
        <v>1.2857142857142856</v>
      </c>
      <c r="I53" s="49">
        <f>'Avg Week Nakawuka-Nateete'!I53+'Avg Week Nateete-Nakawuka'!I53</f>
        <v>12.142857142857142</v>
      </c>
      <c r="J53" s="49">
        <f>'Avg Week Nakawuka-Nateete'!J53+'Avg Week Nateete-Nakawuka'!J53</f>
        <v>7.8571428571428577</v>
      </c>
      <c r="K53" s="49">
        <f>'Avg Week Nakawuka-Nateete'!K53+'Avg Week Nateete-Nakawuka'!K53</f>
        <v>0.5714285714285714</v>
      </c>
      <c r="L53" s="49">
        <f>'Avg Week Nakawuka-Nateete'!L53+'Avg Week Nateete-Nakawuka'!L53</f>
        <v>0.85714285714285721</v>
      </c>
      <c r="M53" s="49">
        <f>'Avg Week Nakawuka-Nateete'!M53+'Avg Week Nateete-Nakawuka'!M53</f>
        <v>209</v>
      </c>
      <c r="N53" s="49">
        <f>'Avg Week Nakawuka-Nateete'!N53+'Avg Week Nateete-Nakawuka'!N53</f>
        <v>0</v>
      </c>
      <c r="O53" s="15">
        <f t="shared" si="0"/>
        <v>122.42857142857144</v>
      </c>
      <c r="P53" s="15">
        <f t="shared" si="1"/>
        <v>331.42857142857144</v>
      </c>
      <c r="R53" s="8"/>
      <c r="T53"/>
    </row>
    <row r="54" spans="2:20" ht="23.1" customHeight="1" x14ac:dyDescent="0.25">
      <c r="B54" s="23" t="s">
        <v>81</v>
      </c>
      <c r="C54" s="49">
        <f>'Avg Week Nakawuka-Nateete'!C54+'Avg Week Nateete-Nakawuka'!C54</f>
        <v>33.714285714285715</v>
      </c>
      <c r="D54" s="49">
        <f>'Avg Week Nakawuka-Nateete'!D54+'Avg Week Nateete-Nakawuka'!D54</f>
        <v>11.285714285714285</v>
      </c>
      <c r="E54" s="49">
        <f>'Avg Week Nakawuka-Nateete'!E54+'Avg Week Nateete-Nakawuka'!E54</f>
        <v>8</v>
      </c>
      <c r="F54" s="49">
        <f>'Avg Week Nakawuka-Nateete'!F54+'Avg Week Nateete-Nakawuka'!F54</f>
        <v>42.142857142857139</v>
      </c>
      <c r="G54" s="49">
        <f>'Avg Week Nakawuka-Nateete'!G54+'Avg Week Nateete-Nakawuka'!G54</f>
        <v>1.5714285714285714</v>
      </c>
      <c r="H54" s="49">
        <f>'Avg Week Nakawuka-Nateete'!H54+'Avg Week Nateete-Nakawuka'!H54</f>
        <v>0.2857142857142857</v>
      </c>
      <c r="I54" s="49">
        <f>'Avg Week Nakawuka-Nateete'!I54+'Avg Week Nateete-Nakawuka'!I54</f>
        <v>10.428571428571427</v>
      </c>
      <c r="J54" s="49">
        <f>'Avg Week Nakawuka-Nateete'!J54+'Avg Week Nateete-Nakawuka'!J54</f>
        <v>6.5714285714285712</v>
      </c>
      <c r="K54" s="49">
        <f>'Avg Week Nakawuka-Nateete'!K54+'Avg Week Nateete-Nakawuka'!K54</f>
        <v>1.4285714285714286</v>
      </c>
      <c r="L54" s="49">
        <f>'Avg Week Nakawuka-Nateete'!L54+'Avg Week Nateete-Nakawuka'!L54</f>
        <v>0.8571428571428571</v>
      </c>
      <c r="M54" s="49">
        <f>'Avg Week Nakawuka-Nateete'!M54+'Avg Week Nateete-Nakawuka'!M54</f>
        <v>206.57142857142856</v>
      </c>
      <c r="N54" s="49">
        <f>'Avg Week Nakawuka-Nateete'!N54+'Avg Week Nateete-Nakawuka'!N54</f>
        <v>0</v>
      </c>
      <c r="O54" s="15">
        <f t="shared" si="0"/>
        <v>116.28571428571429</v>
      </c>
      <c r="P54" s="15">
        <f t="shared" si="1"/>
        <v>322.85714285714283</v>
      </c>
      <c r="R54" s="8"/>
      <c r="T54"/>
    </row>
    <row r="55" spans="2:20" ht="23.1" customHeight="1" x14ac:dyDescent="0.25">
      <c r="B55" s="23" t="s">
        <v>82</v>
      </c>
      <c r="C55" s="49">
        <f>'Avg Week Nakawuka-Nateete'!C55+'Avg Week Nateete-Nakawuka'!C55</f>
        <v>31.428571428571431</v>
      </c>
      <c r="D55" s="49">
        <f>'Avg Week Nakawuka-Nateete'!D55+'Avg Week Nateete-Nakawuka'!D55</f>
        <v>12.285714285714285</v>
      </c>
      <c r="E55" s="49">
        <f>'Avg Week Nakawuka-Nateete'!E55+'Avg Week Nateete-Nakawuka'!E55</f>
        <v>8.4285714285714288</v>
      </c>
      <c r="F55" s="49">
        <f>'Avg Week Nakawuka-Nateete'!F55+'Avg Week Nateete-Nakawuka'!F55</f>
        <v>38.428571428571431</v>
      </c>
      <c r="G55" s="49">
        <f>'Avg Week Nakawuka-Nateete'!G55+'Avg Week Nateete-Nakawuka'!G55</f>
        <v>1.7142857142857144</v>
      </c>
      <c r="H55" s="49">
        <f>'Avg Week Nakawuka-Nateete'!H55+'Avg Week Nateete-Nakawuka'!H55</f>
        <v>0.8571428571428571</v>
      </c>
      <c r="I55" s="49">
        <f>'Avg Week Nakawuka-Nateete'!I55+'Avg Week Nateete-Nakawuka'!I55</f>
        <v>9.7142857142857135</v>
      </c>
      <c r="J55" s="49">
        <f>'Avg Week Nakawuka-Nateete'!J55+'Avg Week Nateete-Nakawuka'!J55</f>
        <v>3.8571428571428572</v>
      </c>
      <c r="K55" s="49">
        <f>'Avg Week Nakawuka-Nateete'!K55+'Avg Week Nateete-Nakawuka'!K55</f>
        <v>2</v>
      </c>
      <c r="L55" s="49">
        <f>'Avg Week Nakawuka-Nateete'!L55+'Avg Week Nateete-Nakawuka'!L55</f>
        <v>0.5714285714285714</v>
      </c>
      <c r="M55" s="49">
        <f>'Avg Week Nakawuka-Nateete'!M55+'Avg Week Nateete-Nakawuka'!M55</f>
        <v>203.57142857142856</v>
      </c>
      <c r="N55" s="49">
        <f>'Avg Week Nakawuka-Nateete'!N55+'Avg Week Nateete-Nakawuka'!N55</f>
        <v>0</v>
      </c>
      <c r="O55" s="15">
        <f t="shared" si="0"/>
        <v>109.28571428571429</v>
      </c>
      <c r="P55" s="15">
        <f t="shared" si="1"/>
        <v>312.85714285714283</v>
      </c>
      <c r="R55" s="8"/>
      <c r="T55"/>
    </row>
    <row r="56" spans="2:20" ht="23.1" customHeight="1" x14ac:dyDescent="0.25">
      <c r="B56" s="23" t="s">
        <v>83</v>
      </c>
      <c r="C56" s="49">
        <f>'Avg Week Nakawuka-Nateete'!C56+'Avg Week Nateete-Nakawuka'!C56</f>
        <v>39.428571428571431</v>
      </c>
      <c r="D56" s="49">
        <f>'Avg Week Nakawuka-Nateete'!D56+'Avg Week Nateete-Nakawuka'!D56</f>
        <v>12.428571428571429</v>
      </c>
      <c r="E56" s="49">
        <f>'Avg Week Nakawuka-Nateete'!E56+'Avg Week Nateete-Nakawuka'!E56</f>
        <v>9.1428571428571423</v>
      </c>
      <c r="F56" s="49">
        <f>'Avg Week Nakawuka-Nateete'!F56+'Avg Week Nateete-Nakawuka'!F56</f>
        <v>44.714285714285715</v>
      </c>
      <c r="G56" s="49">
        <f>'Avg Week Nakawuka-Nateete'!G56+'Avg Week Nateete-Nakawuka'!G56</f>
        <v>2.1428571428571428</v>
      </c>
      <c r="H56" s="49">
        <f>'Avg Week Nakawuka-Nateete'!H56+'Avg Week Nateete-Nakawuka'!H56</f>
        <v>0.5714285714285714</v>
      </c>
      <c r="I56" s="49">
        <f>'Avg Week Nakawuka-Nateete'!I56+'Avg Week Nateete-Nakawuka'!I56</f>
        <v>9.4285714285714288</v>
      </c>
      <c r="J56" s="49">
        <f>'Avg Week Nakawuka-Nateete'!J56+'Avg Week Nateete-Nakawuka'!J56</f>
        <v>3.7142857142857144</v>
      </c>
      <c r="K56" s="49">
        <f>'Avg Week Nakawuka-Nateete'!K56+'Avg Week Nateete-Nakawuka'!K56</f>
        <v>1</v>
      </c>
      <c r="L56" s="49">
        <f>'Avg Week Nakawuka-Nateete'!L56+'Avg Week Nateete-Nakawuka'!L56</f>
        <v>1.2857142857142856</v>
      </c>
      <c r="M56" s="49">
        <f>'Avg Week Nakawuka-Nateete'!M56+'Avg Week Nateete-Nakawuka'!M56</f>
        <v>211.42857142857144</v>
      </c>
      <c r="N56" s="49">
        <f>'Avg Week Nakawuka-Nateete'!N56+'Avg Week Nateete-Nakawuka'!N56</f>
        <v>0</v>
      </c>
      <c r="O56" s="15">
        <f t="shared" si="0"/>
        <v>123.85714285714286</v>
      </c>
      <c r="P56" s="15">
        <f t="shared" si="1"/>
        <v>335.28571428571433</v>
      </c>
      <c r="R56" s="8"/>
      <c r="T56"/>
    </row>
    <row r="57" spans="2:20" ht="23.1" customHeight="1" x14ac:dyDescent="0.25">
      <c r="B57" s="23" t="s">
        <v>84</v>
      </c>
      <c r="C57" s="49">
        <f>'Avg Week Nakawuka-Nateete'!C57+'Avg Week Nateete-Nakawuka'!C57</f>
        <v>36.714285714285715</v>
      </c>
      <c r="D57" s="49">
        <f>'Avg Week Nakawuka-Nateete'!D57+'Avg Week Nateete-Nakawuka'!D57</f>
        <v>15.714285714285715</v>
      </c>
      <c r="E57" s="49">
        <f>'Avg Week Nakawuka-Nateete'!E57+'Avg Week Nateete-Nakawuka'!E57</f>
        <v>5.8571428571428577</v>
      </c>
      <c r="F57" s="49">
        <f>'Avg Week Nakawuka-Nateete'!F57+'Avg Week Nateete-Nakawuka'!F57</f>
        <v>45.428571428571431</v>
      </c>
      <c r="G57" s="49">
        <f>'Avg Week Nakawuka-Nateete'!G57+'Avg Week Nateete-Nakawuka'!G57</f>
        <v>1.5714285714285714</v>
      </c>
      <c r="H57" s="49">
        <f>'Avg Week Nakawuka-Nateete'!H57+'Avg Week Nateete-Nakawuka'!H57</f>
        <v>0.8571428571428571</v>
      </c>
      <c r="I57" s="49">
        <f>'Avg Week Nakawuka-Nateete'!I57+'Avg Week Nateete-Nakawuka'!I57</f>
        <v>8.7142857142857135</v>
      </c>
      <c r="J57" s="49">
        <f>'Avg Week Nakawuka-Nateete'!J57+'Avg Week Nateete-Nakawuka'!J57</f>
        <v>4.7142857142857144</v>
      </c>
      <c r="K57" s="49">
        <f>'Avg Week Nakawuka-Nateete'!K57+'Avg Week Nateete-Nakawuka'!K57</f>
        <v>0.71428571428571419</v>
      </c>
      <c r="L57" s="49">
        <f>'Avg Week Nakawuka-Nateete'!L57+'Avg Week Nateete-Nakawuka'!L57</f>
        <v>0.5714285714285714</v>
      </c>
      <c r="M57" s="49">
        <f>'Avg Week Nakawuka-Nateete'!M57+'Avg Week Nateete-Nakawuka'!M57</f>
        <v>207.57142857142856</v>
      </c>
      <c r="N57" s="49">
        <f>'Avg Week Nakawuka-Nateete'!N57+'Avg Week Nateete-Nakawuka'!N57</f>
        <v>0</v>
      </c>
      <c r="O57" s="15">
        <f t="shared" si="0"/>
        <v>120.85714285714285</v>
      </c>
      <c r="P57" s="15">
        <f>SUM(C57:N57)</f>
        <v>328.42857142857139</v>
      </c>
      <c r="R57" s="8"/>
      <c r="T57"/>
    </row>
    <row r="58" spans="2:20" ht="23.1" customHeight="1" x14ac:dyDescent="0.25">
      <c r="B58" s="23" t="s">
        <v>99</v>
      </c>
      <c r="C58" s="49">
        <f>'Avg Week Nakawuka-Nateete'!C58+'Avg Week Nateete-Nakawuka'!C58</f>
        <v>53.5</v>
      </c>
      <c r="D58" s="49">
        <f>'Avg Week Nakawuka-Nateete'!D58+'Avg Week Nateete-Nakawuka'!D58</f>
        <v>25</v>
      </c>
      <c r="E58" s="49">
        <f>'Avg Week Nakawuka-Nateete'!E58+'Avg Week Nateete-Nakawuka'!E58</f>
        <v>20</v>
      </c>
      <c r="F58" s="49">
        <f>'Avg Week Nakawuka-Nateete'!F58+'Avg Week Nateete-Nakawuka'!F58</f>
        <v>75.5</v>
      </c>
      <c r="G58" s="49">
        <f>'Avg Week Nakawuka-Nateete'!G58+'Avg Week Nateete-Nakawuka'!G58</f>
        <v>4</v>
      </c>
      <c r="H58" s="49">
        <f>'Avg Week Nakawuka-Nateete'!H58+'Avg Week Nateete-Nakawuka'!H58</f>
        <v>0</v>
      </c>
      <c r="I58" s="49">
        <f>'Avg Week Nakawuka-Nateete'!I58+'Avg Week Nateete-Nakawuka'!I58</f>
        <v>17</v>
      </c>
      <c r="J58" s="49">
        <f>'Avg Week Nakawuka-Nateete'!J58+'Avg Week Nateete-Nakawuka'!J58</f>
        <v>3.5</v>
      </c>
      <c r="K58" s="49">
        <f>'Avg Week Nakawuka-Nateete'!K58+'Avg Week Nateete-Nakawuka'!K58</f>
        <v>1.5</v>
      </c>
      <c r="L58" s="49">
        <f>'Avg Week Nakawuka-Nateete'!L58+'Avg Week Nateete-Nakawuka'!L58</f>
        <v>0</v>
      </c>
      <c r="M58" s="49">
        <f>'Avg Week Nakawuka-Nateete'!M58+'Avg Week Nateete-Nakawuka'!M58</f>
        <v>263.5</v>
      </c>
      <c r="N58" s="49">
        <f>'Avg Week Nakawuka-Nateete'!N58+'Avg Week Nateete-Nakawuka'!N58</f>
        <v>0</v>
      </c>
      <c r="O58" s="15">
        <f t="shared" si="0"/>
        <v>200</v>
      </c>
      <c r="P58" s="15">
        <f t="shared" ref="P58:P105" si="35">SUM(C58:N58)</f>
        <v>463.5</v>
      </c>
      <c r="R58" s="8"/>
      <c r="T58"/>
    </row>
    <row r="59" spans="2:20" ht="23.1" customHeight="1" x14ac:dyDescent="0.25">
      <c r="B59" s="23" t="s">
        <v>100</v>
      </c>
      <c r="C59" s="49">
        <f>'Avg Week Nakawuka-Nateete'!C59+'Avg Week Nateete-Nakawuka'!C59</f>
        <v>46.5</v>
      </c>
      <c r="D59" s="49">
        <f>'Avg Week Nakawuka-Nateete'!D59+'Avg Week Nateete-Nakawuka'!D59</f>
        <v>21.5</v>
      </c>
      <c r="E59" s="49">
        <f>'Avg Week Nakawuka-Nateete'!E59+'Avg Week Nateete-Nakawuka'!E59</f>
        <v>16.5</v>
      </c>
      <c r="F59" s="49">
        <f>'Avg Week Nakawuka-Nateete'!F59+'Avg Week Nateete-Nakawuka'!F59</f>
        <v>67</v>
      </c>
      <c r="G59" s="49">
        <f>'Avg Week Nakawuka-Nateete'!G59+'Avg Week Nateete-Nakawuka'!G59</f>
        <v>4</v>
      </c>
      <c r="H59" s="49">
        <f>'Avg Week Nakawuka-Nateete'!H59+'Avg Week Nateete-Nakawuka'!H59</f>
        <v>2.5</v>
      </c>
      <c r="I59" s="49">
        <f>'Avg Week Nakawuka-Nateete'!I59+'Avg Week Nateete-Nakawuka'!I59</f>
        <v>11.5</v>
      </c>
      <c r="J59" s="49">
        <f>'Avg Week Nakawuka-Nateete'!J59+'Avg Week Nateete-Nakawuka'!J59</f>
        <v>1</v>
      </c>
      <c r="K59" s="49">
        <f>'Avg Week Nakawuka-Nateete'!K59+'Avg Week Nateete-Nakawuka'!K59</f>
        <v>2.5</v>
      </c>
      <c r="L59" s="49">
        <f>'Avg Week Nakawuka-Nateete'!L59+'Avg Week Nateete-Nakawuka'!L59</f>
        <v>1</v>
      </c>
      <c r="M59" s="49">
        <f>'Avg Week Nakawuka-Nateete'!M59+'Avg Week Nateete-Nakawuka'!M59</f>
        <v>265</v>
      </c>
      <c r="N59" s="49">
        <f>'Avg Week Nakawuka-Nateete'!N59+'Avg Week Nateete-Nakawuka'!N59</f>
        <v>0</v>
      </c>
      <c r="O59" s="15">
        <f t="shared" si="0"/>
        <v>174</v>
      </c>
      <c r="P59" s="15">
        <f t="shared" si="35"/>
        <v>439</v>
      </c>
      <c r="R59" s="8"/>
      <c r="T59"/>
    </row>
    <row r="60" spans="2:20" ht="23.1" customHeight="1" x14ac:dyDescent="0.25">
      <c r="B60" s="23" t="s">
        <v>101</v>
      </c>
      <c r="C60" s="49">
        <f>'Avg Week Nakawuka-Nateete'!C60+'Avg Week Nateete-Nakawuka'!C60</f>
        <v>58</v>
      </c>
      <c r="D60" s="49">
        <f>'Avg Week Nakawuka-Nateete'!D60+'Avg Week Nateete-Nakawuka'!D60</f>
        <v>35.5</v>
      </c>
      <c r="E60" s="49">
        <f>'Avg Week Nakawuka-Nateete'!E60+'Avg Week Nateete-Nakawuka'!E60</f>
        <v>4</v>
      </c>
      <c r="F60" s="49">
        <f>'Avg Week Nakawuka-Nateete'!F60+'Avg Week Nateete-Nakawuka'!F60</f>
        <v>98</v>
      </c>
      <c r="G60" s="49">
        <f>'Avg Week Nakawuka-Nateete'!G60+'Avg Week Nateete-Nakawuka'!G60</f>
        <v>24.5</v>
      </c>
      <c r="H60" s="49">
        <f>'Avg Week Nakawuka-Nateete'!H60+'Avg Week Nateete-Nakawuka'!H60</f>
        <v>2.5</v>
      </c>
      <c r="I60" s="49">
        <f>'Avg Week Nakawuka-Nateete'!I60+'Avg Week Nateete-Nakawuka'!I60</f>
        <v>12.5</v>
      </c>
      <c r="J60" s="49">
        <f>'Avg Week Nakawuka-Nateete'!J60+'Avg Week Nateete-Nakawuka'!J60</f>
        <v>7.5</v>
      </c>
      <c r="K60" s="49">
        <f>'Avg Week Nakawuka-Nateete'!K60+'Avg Week Nateete-Nakawuka'!K60</f>
        <v>1.5</v>
      </c>
      <c r="L60" s="49">
        <f>'Avg Week Nakawuka-Nateete'!L60+'Avg Week Nateete-Nakawuka'!L60</f>
        <v>0.5</v>
      </c>
      <c r="M60" s="49">
        <f>'Avg Week Nakawuka-Nateete'!M60+'Avg Week Nateete-Nakawuka'!M60</f>
        <v>302.5</v>
      </c>
      <c r="N60" s="49">
        <f>'Avg Week Nakawuka-Nateete'!N60+'Avg Week Nateete-Nakawuka'!N60</f>
        <v>1</v>
      </c>
      <c r="O60" s="15">
        <f t="shared" si="0"/>
        <v>245.5</v>
      </c>
      <c r="P60" s="15">
        <f t="shared" si="35"/>
        <v>548</v>
      </c>
      <c r="R60" s="8"/>
      <c r="T60"/>
    </row>
    <row r="61" spans="2:20" ht="23.1" customHeight="1" x14ac:dyDescent="0.25">
      <c r="B61" s="23" t="s">
        <v>102</v>
      </c>
      <c r="C61" s="49">
        <f>'Avg Week Nakawuka-Nateete'!C61+'Avg Week Nateete-Nakawuka'!C61</f>
        <v>45</v>
      </c>
      <c r="D61" s="49">
        <f>'Avg Week Nakawuka-Nateete'!D61+'Avg Week Nateete-Nakawuka'!D61</f>
        <v>15.5</v>
      </c>
      <c r="E61" s="49">
        <f>'Avg Week Nakawuka-Nateete'!E61+'Avg Week Nateete-Nakawuka'!E61</f>
        <v>9</v>
      </c>
      <c r="F61" s="49">
        <f>'Avg Week Nakawuka-Nateete'!F61+'Avg Week Nateete-Nakawuka'!F61</f>
        <v>55</v>
      </c>
      <c r="G61" s="49">
        <f>'Avg Week Nakawuka-Nateete'!G61+'Avg Week Nateete-Nakawuka'!G61</f>
        <v>1.5</v>
      </c>
      <c r="H61" s="49">
        <f>'Avg Week Nakawuka-Nateete'!H61+'Avg Week Nateete-Nakawuka'!H61</f>
        <v>0</v>
      </c>
      <c r="I61" s="49">
        <f>'Avg Week Nakawuka-Nateete'!I61+'Avg Week Nateete-Nakawuka'!I61</f>
        <v>5</v>
      </c>
      <c r="J61" s="49">
        <f>'Avg Week Nakawuka-Nateete'!J61+'Avg Week Nateete-Nakawuka'!J61</f>
        <v>2</v>
      </c>
      <c r="K61" s="49">
        <f>'Avg Week Nakawuka-Nateete'!K61+'Avg Week Nateete-Nakawuka'!K61</f>
        <v>1</v>
      </c>
      <c r="L61" s="49">
        <f>'Avg Week Nakawuka-Nateete'!L61+'Avg Week Nateete-Nakawuka'!L61</f>
        <v>1</v>
      </c>
      <c r="M61" s="49">
        <f>'Avg Week Nakawuka-Nateete'!M61+'Avg Week Nateete-Nakawuka'!M61</f>
        <v>325.5</v>
      </c>
      <c r="N61" s="49">
        <f>'Avg Week Nakawuka-Nateete'!N61+'Avg Week Nateete-Nakawuka'!N61</f>
        <v>0</v>
      </c>
      <c r="O61" s="15">
        <f t="shared" si="0"/>
        <v>135</v>
      </c>
      <c r="P61" s="15">
        <f t="shared" si="35"/>
        <v>460.5</v>
      </c>
      <c r="R61" s="8"/>
      <c r="T61"/>
    </row>
    <row r="62" spans="2:20" ht="23.1" customHeight="1" x14ac:dyDescent="0.25">
      <c r="B62" s="23" t="s">
        <v>107</v>
      </c>
      <c r="C62" s="49">
        <f>'Avg Week Nakawuka-Nateete'!C62+'Avg Week Nateete-Nakawuka'!C62</f>
        <v>67</v>
      </c>
      <c r="D62" s="49">
        <f>'Avg Week Nakawuka-Nateete'!D62+'Avg Week Nateete-Nakawuka'!D62</f>
        <v>17.5</v>
      </c>
      <c r="E62" s="49">
        <f>'Avg Week Nakawuka-Nateete'!E62+'Avg Week Nateete-Nakawuka'!E62</f>
        <v>6</v>
      </c>
      <c r="F62" s="49">
        <f>'Avg Week Nakawuka-Nateete'!F62+'Avg Week Nateete-Nakawuka'!F62</f>
        <v>56</v>
      </c>
      <c r="G62" s="49">
        <f>'Avg Week Nakawuka-Nateete'!G62+'Avg Week Nateete-Nakawuka'!G62</f>
        <v>0.5</v>
      </c>
      <c r="H62" s="49">
        <f>'Avg Week Nakawuka-Nateete'!H62+'Avg Week Nateete-Nakawuka'!H62</f>
        <v>2</v>
      </c>
      <c r="I62" s="49">
        <f>'Avg Week Nakawuka-Nateete'!I62+'Avg Week Nateete-Nakawuka'!I62</f>
        <v>7</v>
      </c>
      <c r="J62" s="49">
        <f>'Avg Week Nakawuka-Nateete'!J62+'Avg Week Nateete-Nakawuka'!J62</f>
        <v>1</v>
      </c>
      <c r="K62" s="49">
        <f>'Avg Week Nakawuka-Nateete'!K62+'Avg Week Nateete-Nakawuka'!K62</f>
        <v>2.5</v>
      </c>
      <c r="L62" s="49">
        <f>'Avg Week Nakawuka-Nateete'!L62+'Avg Week Nateete-Nakawuka'!L62</f>
        <v>0</v>
      </c>
      <c r="M62" s="49">
        <f>'Avg Week Nakawuka-Nateete'!M62+'Avg Week Nateete-Nakawuka'!M62</f>
        <v>294</v>
      </c>
      <c r="N62" s="49">
        <f>'Avg Week Nakawuka-Nateete'!N62+'Avg Week Nateete-Nakawuka'!N62</f>
        <v>0</v>
      </c>
      <c r="O62" s="15">
        <f t="shared" si="0"/>
        <v>159.5</v>
      </c>
      <c r="P62" s="15">
        <f t="shared" si="35"/>
        <v>453.5</v>
      </c>
      <c r="R62" s="8"/>
      <c r="T62"/>
    </row>
    <row r="63" spans="2:20" ht="23.1" customHeight="1" x14ac:dyDescent="0.25">
      <c r="B63" s="23" t="s">
        <v>108</v>
      </c>
      <c r="C63" s="49">
        <f>'Avg Week Nakawuka-Nateete'!C63+'Avg Week Nateete-Nakawuka'!C63</f>
        <v>25</v>
      </c>
      <c r="D63" s="49">
        <f>'Avg Week Nakawuka-Nateete'!D63+'Avg Week Nateete-Nakawuka'!D63</f>
        <v>19.5</v>
      </c>
      <c r="E63" s="49">
        <f>'Avg Week Nakawuka-Nateete'!E63+'Avg Week Nateete-Nakawuka'!E63</f>
        <v>3.5</v>
      </c>
      <c r="F63" s="49">
        <f>'Avg Week Nakawuka-Nateete'!F63+'Avg Week Nateete-Nakawuka'!F63</f>
        <v>50</v>
      </c>
      <c r="G63" s="49">
        <f>'Avg Week Nakawuka-Nateete'!G63+'Avg Week Nateete-Nakawuka'!G63</f>
        <v>0.5</v>
      </c>
      <c r="H63" s="49">
        <f>'Avg Week Nakawuka-Nateete'!H63+'Avg Week Nateete-Nakawuka'!H63</f>
        <v>1</v>
      </c>
      <c r="I63" s="49">
        <f>'Avg Week Nakawuka-Nateete'!I63+'Avg Week Nateete-Nakawuka'!I63</f>
        <v>2.5</v>
      </c>
      <c r="J63" s="49">
        <f>'Avg Week Nakawuka-Nateete'!J63+'Avg Week Nateete-Nakawuka'!J63</f>
        <v>2</v>
      </c>
      <c r="K63" s="49">
        <f>'Avg Week Nakawuka-Nateete'!K63+'Avg Week Nateete-Nakawuka'!K63</f>
        <v>0</v>
      </c>
      <c r="L63" s="49">
        <f>'Avg Week Nakawuka-Nateete'!L63+'Avg Week Nateete-Nakawuka'!L63</f>
        <v>0</v>
      </c>
      <c r="M63" s="49">
        <f>'Avg Week Nakawuka-Nateete'!M63+'Avg Week Nateete-Nakawuka'!M63</f>
        <v>257</v>
      </c>
      <c r="N63" s="49">
        <f>'Avg Week Nakawuka-Nateete'!N63+'Avg Week Nateete-Nakawuka'!N63</f>
        <v>0</v>
      </c>
      <c r="O63" s="15">
        <f t="shared" si="0"/>
        <v>104</v>
      </c>
      <c r="P63" s="15">
        <f t="shared" si="35"/>
        <v>361</v>
      </c>
      <c r="R63" s="8"/>
      <c r="T63"/>
    </row>
    <row r="64" spans="2:20" ht="23.1" customHeight="1" x14ac:dyDescent="0.25">
      <c r="B64" s="23" t="s">
        <v>109</v>
      </c>
      <c r="C64" s="49">
        <f>'Avg Week Nakawuka-Nateete'!C64+'Avg Week Nateete-Nakawuka'!C64</f>
        <v>35</v>
      </c>
      <c r="D64" s="49">
        <f>'Avg Week Nakawuka-Nateete'!D64+'Avg Week Nateete-Nakawuka'!D64</f>
        <v>16.5</v>
      </c>
      <c r="E64" s="49">
        <f>'Avg Week Nakawuka-Nateete'!E64+'Avg Week Nateete-Nakawuka'!E64</f>
        <v>9.5</v>
      </c>
      <c r="F64" s="49">
        <f>'Avg Week Nakawuka-Nateete'!F64+'Avg Week Nateete-Nakawuka'!F64</f>
        <v>59</v>
      </c>
      <c r="G64" s="49">
        <f>'Avg Week Nakawuka-Nateete'!G64+'Avg Week Nateete-Nakawuka'!G64</f>
        <v>1</v>
      </c>
      <c r="H64" s="49">
        <f>'Avg Week Nakawuka-Nateete'!H64+'Avg Week Nateete-Nakawuka'!H64</f>
        <v>2.5</v>
      </c>
      <c r="I64" s="49">
        <f>'Avg Week Nakawuka-Nateete'!I64+'Avg Week Nateete-Nakawuka'!I64</f>
        <v>9</v>
      </c>
      <c r="J64" s="49">
        <f>'Avg Week Nakawuka-Nateete'!J64+'Avg Week Nateete-Nakawuka'!J64</f>
        <v>1</v>
      </c>
      <c r="K64" s="49">
        <f>'Avg Week Nakawuka-Nateete'!K64+'Avg Week Nateete-Nakawuka'!K64</f>
        <v>4</v>
      </c>
      <c r="L64" s="49">
        <f>'Avg Week Nakawuka-Nateete'!L64+'Avg Week Nateete-Nakawuka'!L64</f>
        <v>1</v>
      </c>
      <c r="M64" s="49">
        <f>'Avg Week Nakawuka-Nateete'!M64+'Avg Week Nateete-Nakawuka'!M64</f>
        <v>272.5</v>
      </c>
      <c r="N64" s="49">
        <f>'Avg Week Nakawuka-Nateete'!N64+'Avg Week Nateete-Nakawuka'!N64</f>
        <v>0</v>
      </c>
      <c r="O64" s="15">
        <f t="shared" si="0"/>
        <v>138.5</v>
      </c>
      <c r="P64" s="15">
        <f t="shared" si="35"/>
        <v>411</v>
      </c>
      <c r="R64" s="8"/>
      <c r="T64"/>
    </row>
    <row r="65" spans="2:20" ht="23.1" customHeight="1" x14ac:dyDescent="0.25">
      <c r="B65" s="23" t="s">
        <v>158</v>
      </c>
      <c r="C65" s="49">
        <f>'Avg Week Nakawuka-Nateete'!C65+'Avg Week Nateete-Nakawuka'!C65</f>
        <v>58</v>
      </c>
      <c r="D65" s="49">
        <f>'Avg Week Nakawuka-Nateete'!D65+'Avg Week Nateete-Nakawuka'!D65</f>
        <v>39.5</v>
      </c>
      <c r="E65" s="49">
        <f>'Avg Week Nakawuka-Nateete'!E65+'Avg Week Nateete-Nakawuka'!E65</f>
        <v>8</v>
      </c>
      <c r="F65" s="49">
        <f>'Avg Week Nakawuka-Nateete'!F65+'Avg Week Nateete-Nakawuka'!F65</f>
        <v>73.5</v>
      </c>
      <c r="G65" s="49">
        <f>'Avg Week Nakawuka-Nateete'!G65+'Avg Week Nateete-Nakawuka'!G65</f>
        <v>2.5</v>
      </c>
      <c r="H65" s="49">
        <f>'Avg Week Nakawuka-Nateete'!H65+'Avg Week Nateete-Nakawuka'!H65</f>
        <v>2.5</v>
      </c>
      <c r="I65" s="49">
        <f>'Avg Week Nakawuka-Nateete'!I65+'Avg Week Nateete-Nakawuka'!I65</f>
        <v>9.5</v>
      </c>
      <c r="J65" s="49">
        <f>'Avg Week Nakawuka-Nateete'!J65+'Avg Week Nateete-Nakawuka'!J65</f>
        <v>3.5</v>
      </c>
      <c r="K65" s="49">
        <f>'Avg Week Nakawuka-Nateete'!K65+'Avg Week Nateete-Nakawuka'!K65</f>
        <v>2</v>
      </c>
      <c r="L65" s="49">
        <f>'Avg Week Nakawuka-Nateete'!L65+'Avg Week Nateete-Nakawuka'!L65</f>
        <v>0.5</v>
      </c>
      <c r="M65" s="49">
        <f>'Avg Week Nakawuka-Nateete'!M65+'Avg Week Nateete-Nakawuka'!M65</f>
        <v>353</v>
      </c>
      <c r="N65" s="49">
        <f>'Avg Week Nakawuka-Nateete'!N65+'Avg Week Nateete-Nakawuka'!N65</f>
        <v>0</v>
      </c>
      <c r="O65" s="15">
        <f t="shared" si="0"/>
        <v>199.5</v>
      </c>
      <c r="P65" s="15">
        <f t="shared" si="35"/>
        <v>552.5</v>
      </c>
      <c r="R65" s="8"/>
      <c r="T65"/>
    </row>
    <row r="66" spans="2:20" ht="23.1" customHeight="1" x14ac:dyDescent="0.25">
      <c r="B66" s="23" t="s">
        <v>103</v>
      </c>
      <c r="C66" s="49">
        <f>'Avg Week Nakawuka-Nateete'!C66+'Avg Week Nateete-Nakawuka'!C66</f>
        <v>20</v>
      </c>
      <c r="D66" s="49">
        <f>'Avg Week Nakawuka-Nateete'!D66+'Avg Week Nateete-Nakawuka'!D66</f>
        <v>13.5</v>
      </c>
      <c r="E66" s="49">
        <f>'Avg Week Nakawuka-Nateete'!E66+'Avg Week Nateete-Nakawuka'!E66</f>
        <v>5.5</v>
      </c>
      <c r="F66" s="49">
        <f>'Avg Week Nakawuka-Nateete'!F66+'Avg Week Nateete-Nakawuka'!F66</f>
        <v>62.5</v>
      </c>
      <c r="G66" s="49">
        <f>'Avg Week Nakawuka-Nateete'!G66+'Avg Week Nateete-Nakawuka'!G66</f>
        <v>1.5</v>
      </c>
      <c r="H66" s="49">
        <f>'Avg Week Nakawuka-Nateete'!H66+'Avg Week Nateete-Nakawuka'!H66</f>
        <v>1.5</v>
      </c>
      <c r="I66" s="49">
        <f>'Avg Week Nakawuka-Nateete'!I66+'Avg Week Nateete-Nakawuka'!I66</f>
        <v>7</v>
      </c>
      <c r="J66" s="49">
        <f>'Avg Week Nakawuka-Nateete'!J66+'Avg Week Nateete-Nakawuka'!J66</f>
        <v>1.5</v>
      </c>
      <c r="K66" s="49">
        <f>'Avg Week Nakawuka-Nateete'!K66+'Avg Week Nateete-Nakawuka'!K66</f>
        <v>1.5</v>
      </c>
      <c r="L66" s="49">
        <f>'Avg Week Nakawuka-Nateete'!L66+'Avg Week Nateete-Nakawuka'!L66</f>
        <v>6.5</v>
      </c>
      <c r="M66" s="49">
        <f>'Avg Week Nakawuka-Nateete'!M66+'Avg Week Nateete-Nakawuka'!M66</f>
        <v>216</v>
      </c>
      <c r="N66" s="49">
        <f>'Avg Week Nakawuka-Nateete'!N66+'Avg Week Nateete-Nakawuka'!N66</f>
        <v>0</v>
      </c>
      <c r="O66" s="15">
        <f t="shared" si="0"/>
        <v>121</v>
      </c>
      <c r="P66" s="15">
        <f t="shared" si="35"/>
        <v>337</v>
      </c>
      <c r="R66" s="8"/>
      <c r="T66"/>
    </row>
    <row r="67" spans="2:20" ht="23.1" customHeight="1" x14ac:dyDescent="0.25">
      <c r="B67" s="23" t="s">
        <v>104</v>
      </c>
      <c r="C67" s="49">
        <f>'Avg Week Nakawuka-Nateete'!C67+'Avg Week Nateete-Nakawuka'!C67</f>
        <v>39</v>
      </c>
      <c r="D67" s="49">
        <f>'Avg Week Nakawuka-Nateete'!D67+'Avg Week Nateete-Nakawuka'!D67</f>
        <v>32</v>
      </c>
      <c r="E67" s="49">
        <f>'Avg Week Nakawuka-Nateete'!E67+'Avg Week Nateete-Nakawuka'!E67</f>
        <v>10</v>
      </c>
      <c r="F67" s="49">
        <f>'Avg Week Nakawuka-Nateete'!F67+'Avg Week Nateete-Nakawuka'!F67</f>
        <v>80</v>
      </c>
      <c r="G67" s="49">
        <f>'Avg Week Nakawuka-Nateete'!G67+'Avg Week Nateete-Nakawuka'!G67</f>
        <v>0.5</v>
      </c>
      <c r="H67" s="49">
        <f>'Avg Week Nakawuka-Nateete'!H67+'Avg Week Nateete-Nakawuka'!H67</f>
        <v>2</v>
      </c>
      <c r="I67" s="49">
        <f>'Avg Week Nakawuka-Nateete'!I67+'Avg Week Nateete-Nakawuka'!I67</f>
        <v>8.5</v>
      </c>
      <c r="J67" s="49">
        <f>'Avg Week Nakawuka-Nateete'!J67+'Avg Week Nateete-Nakawuka'!J67</f>
        <v>4.5</v>
      </c>
      <c r="K67" s="49">
        <f>'Avg Week Nakawuka-Nateete'!K67+'Avg Week Nateete-Nakawuka'!K67</f>
        <v>2.5</v>
      </c>
      <c r="L67" s="49">
        <f>'Avg Week Nakawuka-Nateete'!L67+'Avg Week Nateete-Nakawuka'!L67</f>
        <v>1.5</v>
      </c>
      <c r="M67" s="49">
        <f>'Avg Week Nakawuka-Nateete'!M67+'Avg Week Nateete-Nakawuka'!M67</f>
        <v>234</v>
      </c>
      <c r="N67" s="49">
        <f>'Avg Week Nakawuka-Nateete'!N67+'Avg Week Nateete-Nakawuka'!N67</f>
        <v>0</v>
      </c>
      <c r="O67" s="15">
        <f t="shared" si="0"/>
        <v>180.5</v>
      </c>
      <c r="P67" s="15">
        <f t="shared" si="35"/>
        <v>414.5</v>
      </c>
      <c r="R67" s="8"/>
      <c r="T67"/>
    </row>
    <row r="68" spans="2:20" ht="23.1" customHeight="1" x14ac:dyDescent="0.25">
      <c r="B68" s="23" t="s">
        <v>105</v>
      </c>
      <c r="C68" s="49">
        <f>'Avg Week Nakawuka-Nateete'!C68+'Avg Week Nateete-Nakawuka'!C68</f>
        <v>30</v>
      </c>
      <c r="D68" s="49">
        <f>'Avg Week Nakawuka-Nateete'!D68+'Avg Week Nateete-Nakawuka'!D68</f>
        <v>16.5</v>
      </c>
      <c r="E68" s="49">
        <f>'Avg Week Nakawuka-Nateete'!E68+'Avg Week Nateete-Nakawuka'!E68</f>
        <v>6</v>
      </c>
      <c r="F68" s="49">
        <f>'Avg Week Nakawuka-Nateete'!F68+'Avg Week Nateete-Nakawuka'!F68</f>
        <v>69.5</v>
      </c>
      <c r="G68" s="49">
        <f>'Avg Week Nakawuka-Nateete'!G68+'Avg Week Nateete-Nakawuka'!G68</f>
        <v>1</v>
      </c>
      <c r="H68" s="49">
        <f>'Avg Week Nakawuka-Nateete'!H68+'Avg Week Nateete-Nakawuka'!H68</f>
        <v>4.5</v>
      </c>
      <c r="I68" s="49">
        <f>'Avg Week Nakawuka-Nateete'!I68+'Avg Week Nateete-Nakawuka'!I68</f>
        <v>6</v>
      </c>
      <c r="J68" s="49">
        <f>'Avg Week Nakawuka-Nateete'!J68+'Avg Week Nateete-Nakawuka'!J68</f>
        <v>4</v>
      </c>
      <c r="K68" s="49">
        <f>'Avg Week Nakawuka-Nateete'!K68+'Avg Week Nateete-Nakawuka'!K68</f>
        <v>0.5</v>
      </c>
      <c r="L68" s="49">
        <f>'Avg Week Nakawuka-Nateete'!L68+'Avg Week Nateete-Nakawuka'!L68</f>
        <v>0</v>
      </c>
      <c r="M68" s="49">
        <f>'Avg Week Nakawuka-Nateete'!M68+'Avg Week Nateete-Nakawuka'!M68</f>
        <v>209</v>
      </c>
      <c r="N68" s="49">
        <f>'Avg Week Nakawuka-Nateete'!N68+'Avg Week Nateete-Nakawuka'!N68</f>
        <v>0</v>
      </c>
      <c r="O68" s="15">
        <f t="shared" si="0"/>
        <v>138</v>
      </c>
      <c r="P68" s="15">
        <f t="shared" si="35"/>
        <v>347</v>
      </c>
      <c r="R68" s="8"/>
      <c r="T68"/>
    </row>
    <row r="69" spans="2:20" ht="23.1" customHeight="1" x14ac:dyDescent="0.25">
      <c r="B69" s="23" t="s">
        <v>106</v>
      </c>
      <c r="C69" s="49">
        <f>'Avg Week Nakawuka-Nateete'!C69+'Avg Week Nateete-Nakawuka'!C69</f>
        <v>34.5</v>
      </c>
      <c r="D69" s="49">
        <f>'Avg Week Nakawuka-Nateete'!D69+'Avg Week Nateete-Nakawuka'!D69</f>
        <v>33</v>
      </c>
      <c r="E69" s="49">
        <f>'Avg Week Nakawuka-Nateete'!E69+'Avg Week Nateete-Nakawuka'!E69</f>
        <v>3</v>
      </c>
      <c r="F69" s="49">
        <f>'Avg Week Nakawuka-Nateete'!F69+'Avg Week Nateete-Nakawuka'!F69</f>
        <v>54.5</v>
      </c>
      <c r="G69" s="49">
        <f>'Avg Week Nakawuka-Nateete'!G69+'Avg Week Nateete-Nakawuka'!G69</f>
        <v>0</v>
      </c>
      <c r="H69" s="49">
        <f>'Avg Week Nakawuka-Nateete'!H69+'Avg Week Nateete-Nakawuka'!H69</f>
        <v>1.5</v>
      </c>
      <c r="I69" s="49">
        <f>'Avg Week Nakawuka-Nateete'!I69+'Avg Week Nateete-Nakawuka'!I69</f>
        <v>8</v>
      </c>
      <c r="J69" s="49">
        <f>'Avg Week Nakawuka-Nateete'!J69+'Avg Week Nateete-Nakawuka'!J69</f>
        <v>1</v>
      </c>
      <c r="K69" s="49">
        <f>'Avg Week Nakawuka-Nateete'!K69+'Avg Week Nateete-Nakawuka'!K69</f>
        <v>1.5</v>
      </c>
      <c r="L69" s="49">
        <f>'Avg Week Nakawuka-Nateete'!L69+'Avg Week Nateete-Nakawuka'!L69</f>
        <v>1</v>
      </c>
      <c r="M69" s="49">
        <f>'Avg Week Nakawuka-Nateete'!M69+'Avg Week Nateete-Nakawuka'!M69</f>
        <v>218</v>
      </c>
      <c r="N69" s="49">
        <f>'Avg Week Nakawuka-Nateete'!N69+'Avg Week Nateete-Nakawuka'!N69</f>
        <v>0</v>
      </c>
      <c r="O69" s="15">
        <f t="shared" si="0"/>
        <v>138</v>
      </c>
      <c r="P69" s="15">
        <f t="shared" si="35"/>
        <v>356</v>
      </c>
      <c r="R69" s="8"/>
      <c r="T69"/>
    </row>
    <row r="70" spans="2:20" ht="23.1" customHeight="1" x14ac:dyDescent="0.25">
      <c r="B70" s="23" t="s">
        <v>110</v>
      </c>
      <c r="C70" s="49">
        <f>'Avg Week Nakawuka-Nateete'!C70+'Avg Week Nateete-Nakawuka'!C70</f>
        <v>28</v>
      </c>
      <c r="D70" s="49">
        <f>'Avg Week Nakawuka-Nateete'!D70+'Avg Week Nateete-Nakawuka'!D70</f>
        <v>19</v>
      </c>
      <c r="E70" s="49">
        <f>'Avg Week Nakawuka-Nateete'!E70+'Avg Week Nateete-Nakawuka'!E70</f>
        <v>7</v>
      </c>
      <c r="F70" s="49">
        <f>'Avg Week Nakawuka-Nateete'!F70+'Avg Week Nateete-Nakawuka'!F70</f>
        <v>35.5</v>
      </c>
      <c r="G70" s="49">
        <f>'Avg Week Nakawuka-Nateete'!G70+'Avg Week Nateete-Nakawuka'!G70</f>
        <v>1.5</v>
      </c>
      <c r="H70" s="49">
        <f>'Avg Week Nakawuka-Nateete'!H70+'Avg Week Nateete-Nakawuka'!H70</f>
        <v>0</v>
      </c>
      <c r="I70" s="49">
        <f>'Avg Week Nakawuka-Nateete'!I70+'Avg Week Nateete-Nakawuka'!I70</f>
        <v>5.5</v>
      </c>
      <c r="J70" s="49">
        <f>'Avg Week Nakawuka-Nateete'!J70+'Avg Week Nateete-Nakawuka'!J70</f>
        <v>0.5</v>
      </c>
      <c r="K70" s="49">
        <f>'Avg Week Nakawuka-Nateete'!K70+'Avg Week Nateete-Nakawuka'!K70</f>
        <v>0.5</v>
      </c>
      <c r="L70" s="49">
        <f>'Avg Week Nakawuka-Nateete'!L70+'Avg Week Nateete-Nakawuka'!L70</f>
        <v>0</v>
      </c>
      <c r="M70" s="49">
        <f>'Avg Week Nakawuka-Nateete'!M70+'Avg Week Nateete-Nakawuka'!M70</f>
        <v>165</v>
      </c>
      <c r="N70" s="49">
        <f>'Avg Week Nakawuka-Nateete'!N70+'Avg Week Nateete-Nakawuka'!N70</f>
        <v>0</v>
      </c>
      <c r="O70" s="15">
        <f t="shared" si="0"/>
        <v>97.5</v>
      </c>
      <c r="P70" s="15">
        <f t="shared" si="35"/>
        <v>262.5</v>
      </c>
      <c r="R70" s="8"/>
      <c r="T70"/>
    </row>
    <row r="71" spans="2:20" ht="23.1" customHeight="1" x14ac:dyDescent="0.25">
      <c r="B71" s="23" t="s">
        <v>111</v>
      </c>
      <c r="C71" s="49">
        <f>'Avg Week Nakawuka-Nateete'!C71+'Avg Week Nateete-Nakawuka'!C71</f>
        <v>28</v>
      </c>
      <c r="D71" s="49">
        <f>'Avg Week Nakawuka-Nateete'!D71+'Avg Week Nateete-Nakawuka'!D71</f>
        <v>18</v>
      </c>
      <c r="E71" s="49">
        <f>'Avg Week Nakawuka-Nateete'!E71+'Avg Week Nateete-Nakawuka'!E71</f>
        <v>3</v>
      </c>
      <c r="F71" s="49">
        <f>'Avg Week Nakawuka-Nateete'!F71+'Avg Week Nateete-Nakawuka'!F71</f>
        <v>40</v>
      </c>
      <c r="G71" s="49">
        <f>'Avg Week Nakawuka-Nateete'!G71+'Avg Week Nateete-Nakawuka'!G71</f>
        <v>0</v>
      </c>
      <c r="H71" s="49">
        <f>'Avg Week Nakawuka-Nateete'!H71+'Avg Week Nateete-Nakawuka'!H71</f>
        <v>1.5</v>
      </c>
      <c r="I71" s="49">
        <f>'Avg Week Nakawuka-Nateete'!I71+'Avg Week Nateete-Nakawuka'!I71</f>
        <v>8</v>
      </c>
      <c r="J71" s="49">
        <f>'Avg Week Nakawuka-Nateete'!J71+'Avg Week Nateete-Nakawuka'!J71</f>
        <v>1</v>
      </c>
      <c r="K71" s="49">
        <f>'Avg Week Nakawuka-Nateete'!K71+'Avg Week Nateete-Nakawuka'!K71</f>
        <v>0</v>
      </c>
      <c r="L71" s="49">
        <f>'Avg Week Nakawuka-Nateete'!L71+'Avg Week Nateete-Nakawuka'!L71</f>
        <v>1.5</v>
      </c>
      <c r="M71" s="49">
        <f>'Avg Week Nakawuka-Nateete'!M71+'Avg Week Nateete-Nakawuka'!M71</f>
        <v>174.5</v>
      </c>
      <c r="N71" s="49">
        <f>'Avg Week Nakawuka-Nateete'!N71+'Avg Week Nateete-Nakawuka'!N71</f>
        <v>0</v>
      </c>
      <c r="O71" s="15">
        <f t="shared" si="0"/>
        <v>101</v>
      </c>
      <c r="P71" s="15">
        <f t="shared" si="35"/>
        <v>275.5</v>
      </c>
      <c r="R71" s="8"/>
      <c r="T71"/>
    </row>
    <row r="72" spans="2:20" ht="23.1" customHeight="1" x14ac:dyDescent="0.25">
      <c r="B72" s="23" t="s">
        <v>112</v>
      </c>
      <c r="C72" s="49">
        <f>'Avg Week Nakawuka-Nateete'!C72+'Avg Week Nateete-Nakawuka'!C72</f>
        <v>17</v>
      </c>
      <c r="D72" s="49">
        <f>'Avg Week Nakawuka-Nateete'!D72+'Avg Week Nateete-Nakawuka'!D72</f>
        <v>12.5</v>
      </c>
      <c r="E72" s="49">
        <f>'Avg Week Nakawuka-Nateete'!E72+'Avg Week Nateete-Nakawuka'!E72</f>
        <v>5.5</v>
      </c>
      <c r="F72" s="49">
        <f>'Avg Week Nakawuka-Nateete'!F72+'Avg Week Nateete-Nakawuka'!F72</f>
        <v>30.5</v>
      </c>
      <c r="G72" s="49">
        <f>'Avg Week Nakawuka-Nateete'!G72+'Avg Week Nateete-Nakawuka'!G72</f>
        <v>0</v>
      </c>
      <c r="H72" s="49">
        <f>'Avg Week Nakawuka-Nateete'!H72+'Avg Week Nateete-Nakawuka'!H72</f>
        <v>1.5</v>
      </c>
      <c r="I72" s="49">
        <f>'Avg Week Nakawuka-Nateete'!I72+'Avg Week Nateete-Nakawuka'!I72</f>
        <v>3.5</v>
      </c>
      <c r="J72" s="49">
        <f>'Avg Week Nakawuka-Nateete'!J72+'Avg Week Nateete-Nakawuka'!J72</f>
        <v>1.5</v>
      </c>
      <c r="K72" s="49">
        <f>'Avg Week Nakawuka-Nateete'!K72+'Avg Week Nateete-Nakawuka'!K72</f>
        <v>0.5</v>
      </c>
      <c r="L72" s="49">
        <f>'Avg Week Nakawuka-Nateete'!L72+'Avg Week Nateete-Nakawuka'!L72</f>
        <v>0.5</v>
      </c>
      <c r="M72" s="49">
        <f>'Avg Week Nakawuka-Nateete'!M72+'Avg Week Nateete-Nakawuka'!M72</f>
        <v>161.5</v>
      </c>
      <c r="N72" s="49">
        <f>'Avg Week Nakawuka-Nateete'!N72+'Avg Week Nateete-Nakawuka'!N72</f>
        <v>0</v>
      </c>
      <c r="O72" s="15">
        <f t="shared" si="0"/>
        <v>73</v>
      </c>
      <c r="P72" s="15">
        <f t="shared" si="35"/>
        <v>234.5</v>
      </c>
      <c r="R72" s="8"/>
      <c r="T72"/>
    </row>
    <row r="73" spans="2:20" ht="23.1" customHeight="1" x14ac:dyDescent="0.25">
      <c r="B73" s="23" t="s">
        <v>113</v>
      </c>
      <c r="C73" s="49">
        <f>'Avg Week Nakawuka-Nateete'!C73+'Avg Week Nateete-Nakawuka'!C73</f>
        <v>8</v>
      </c>
      <c r="D73" s="49">
        <f>'Avg Week Nakawuka-Nateete'!D73+'Avg Week Nateete-Nakawuka'!D73</f>
        <v>17.5</v>
      </c>
      <c r="E73" s="49">
        <f>'Avg Week Nakawuka-Nateete'!E73+'Avg Week Nateete-Nakawuka'!E73</f>
        <v>2.5</v>
      </c>
      <c r="F73" s="49">
        <f>'Avg Week Nakawuka-Nateete'!F73+'Avg Week Nateete-Nakawuka'!F73</f>
        <v>30</v>
      </c>
      <c r="G73" s="49">
        <f>'Avg Week Nakawuka-Nateete'!G73+'Avg Week Nateete-Nakawuka'!G73</f>
        <v>0</v>
      </c>
      <c r="H73" s="49">
        <f>'Avg Week Nakawuka-Nateete'!H73+'Avg Week Nateete-Nakawuka'!H73</f>
        <v>1</v>
      </c>
      <c r="I73" s="49">
        <f>'Avg Week Nakawuka-Nateete'!I73+'Avg Week Nateete-Nakawuka'!I73</f>
        <v>3</v>
      </c>
      <c r="J73" s="49">
        <f>'Avg Week Nakawuka-Nateete'!J73+'Avg Week Nateete-Nakawuka'!J73</f>
        <v>0</v>
      </c>
      <c r="K73" s="49">
        <f>'Avg Week Nakawuka-Nateete'!K73+'Avg Week Nateete-Nakawuka'!K73</f>
        <v>0</v>
      </c>
      <c r="L73" s="49">
        <f>'Avg Week Nakawuka-Nateete'!L73+'Avg Week Nateete-Nakawuka'!L73</f>
        <v>0.5</v>
      </c>
      <c r="M73" s="49">
        <f>'Avg Week Nakawuka-Nateete'!M73+'Avg Week Nateete-Nakawuka'!M73</f>
        <v>160.5</v>
      </c>
      <c r="N73" s="49">
        <f>'Avg Week Nakawuka-Nateete'!N73+'Avg Week Nateete-Nakawuka'!N73</f>
        <v>0</v>
      </c>
      <c r="O73" s="15">
        <f t="shared" si="0"/>
        <v>62.5</v>
      </c>
      <c r="P73" s="15">
        <f t="shared" si="35"/>
        <v>223</v>
      </c>
      <c r="R73" s="8"/>
      <c r="T73"/>
    </row>
    <row r="74" spans="2:20" ht="23.1" customHeight="1" x14ac:dyDescent="0.25">
      <c r="B74" s="23" t="s">
        <v>114</v>
      </c>
      <c r="C74" s="49">
        <f>'Avg Week Nakawuka-Nateete'!C74+'Avg Week Nateete-Nakawuka'!C74</f>
        <v>25</v>
      </c>
      <c r="D74" s="49">
        <f>'Avg Week Nakawuka-Nateete'!D74+'Avg Week Nateete-Nakawuka'!D74</f>
        <v>20.5</v>
      </c>
      <c r="E74" s="49">
        <f>'Avg Week Nakawuka-Nateete'!E74+'Avg Week Nateete-Nakawuka'!E74</f>
        <v>2.5</v>
      </c>
      <c r="F74" s="49">
        <f>'Avg Week Nakawuka-Nateete'!F74+'Avg Week Nateete-Nakawuka'!F74</f>
        <v>15.5</v>
      </c>
      <c r="G74" s="49">
        <f>'Avg Week Nakawuka-Nateete'!G74+'Avg Week Nateete-Nakawuka'!G74</f>
        <v>0.5</v>
      </c>
      <c r="H74" s="49">
        <f>'Avg Week Nakawuka-Nateete'!H74+'Avg Week Nateete-Nakawuka'!H74</f>
        <v>0.5</v>
      </c>
      <c r="I74" s="49">
        <f>'Avg Week Nakawuka-Nateete'!I74+'Avg Week Nateete-Nakawuka'!I74</f>
        <v>4</v>
      </c>
      <c r="J74" s="49">
        <f>'Avg Week Nakawuka-Nateete'!J74+'Avg Week Nateete-Nakawuka'!J74</f>
        <v>0</v>
      </c>
      <c r="K74" s="49">
        <f>'Avg Week Nakawuka-Nateete'!K74+'Avg Week Nateete-Nakawuka'!K74</f>
        <v>1</v>
      </c>
      <c r="L74" s="49">
        <f>'Avg Week Nakawuka-Nateete'!L74+'Avg Week Nateete-Nakawuka'!L74</f>
        <v>2.5</v>
      </c>
      <c r="M74" s="49">
        <f>'Avg Week Nakawuka-Nateete'!M74+'Avg Week Nateete-Nakawuka'!M74</f>
        <v>136</v>
      </c>
      <c r="N74" s="49">
        <f>'Avg Week Nakawuka-Nateete'!N74+'Avg Week Nateete-Nakawuka'!N74</f>
        <v>0</v>
      </c>
      <c r="O74" s="15">
        <f t="shared" ref="O74:O105" si="36">SUM(C74:L74,N74)</f>
        <v>72</v>
      </c>
      <c r="P74" s="15">
        <f t="shared" si="35"/>
        <v>208</v>
      </c>
      <c r="R74" s="8"/>
      <c r="T74"/>
    </row>
    <row r="75" spans="2:20" ht="23.1" customHeight="1" x14ac:dyDescent="0.25">
      <c r="B75" s="23" t="s">
        <v>115</v>
      </c>
      <c r="C75" s="49">
        <f>'Avg Week Nakawuka-Nateete'!C75+'Avg Week Nateete-Nakawuka'!C75</f>
        <v>23.5</v>
      </c>
      <c r="D75" s="49">
        <f>'Avg Week Nakawuka-Nateete'!D75+'Avg Week Nateete-Nakawuka'!D75</f>
        <v>12.5</v>
      </c>
      <c r="E75" s="49">
        <f>'Avg Week Nakawuka-Nateete'!E75+'Avg Week Nateete-Nakawuka'!E75</f>
        <v>1.5</v>
      </c>
      <c r="F75" s="49">
        <f>'Avg Week Nakawuka-Nateete'!F75+'Avg Week Nateete-Nakawuka'!F75</f>
        <v>13.5</v>
      </c>
      <c r="G75" s="49">
        <f>'Avg Week Nakawuka-Nateete'!G75+'Avg Week Nateete-Nakawuka'!G75</f>
        <v>0.5</v>
      </c>
      <c r="H75" s="49">
        <f>'Avg Week Nakawuka-Nateete'!H75+'Avg Week Nateete-Nakawuka'!H75</f>
        <v>0.5</v>
      </c>
      <c r="I75" s="49">
        <f>'Avg Week Nakawuka-Nateete'!I75+'Avg Week Nateete-Nakawuka'!I75</f>
        <v>2</v>
      </c>
      <c r="J75" s="49">
        <f>'Avg Week Nakawuka-Nateete'!J75+'Avg Week Nateete-Nakawuka'!J75</f>
        <v>1</v>
      </c>
      <c r="K75" s="49">
        <f>'Avg Week Nakawuka-Nateete'!K75+'Avg Week Nateete-Nakawuka'!K75</f>
        <v>0</v>
      </c>
      <c r="L75" s="49">
        <f>'Avg Week Nakawuka-Nateete'!L75+'Avg Week Nateete-Nakawuka'!L75</f>
        <v>0.5</v>
      </c>
      <c r="M75" s="49">
        <f>'Avg Week Nakawuka-Nateete'!M75+'Avg Week Nateete-Nakawuka'!M75</f>
        <v>127</v>
      </c>
      <c r="N75" s="49">
        <f>'Avg Week Nakawuka-Nateete'!N75+'Avg Week Nateete-Nakawuka'!N75</f>
        <v>0</v>
      </c>
      <c r="O75" s="15">
        <f t="shared" si="36"/>
        <v>55.5</v>
      </c>
      <c r="P75" s="15">
        <f t="shared" si="35"/>
        <v>182.5</v>
      </c>
      <c r="R75" s="8"/>
      <c r="T75"/>
    </row>
    <row r="76" spans="2:20" ht="23.1" customHeight="1" x14ac:dyDescent="0.25">
      <c r="B76" s="23" t="s">
        <v>116</v>
      </c>
      <c r="C76" s="49">
        <f>'Avg Week Nakawuka-Nateete'!C76+'Avg Week Nateete-Nakawuka'!C76</f>
        <v>17.5</v>
      </c>
      <c r="D76" s="49">
        <f>'Avg Week Nakawuka-Nateete'!D76+'Avg Week Nateete-Nakawuka'!D76</f>
        <v>12.5</v>
      </c>
      <c r="E76" s="49">
        <f>'Avg Week Nakawuka-Nateete'!E76+'Avg Week Nateete-Nakawuka'!E76</f>
        <v>3.5</v>
      </c>
      <c r="F76" s="49">
        <f>'Avg Week Nakawuka-Nateete'!F76+'Avg Week Nateete-Nakawuka'!F76</f>
        <v>11</v>
      </c>
      <c r="G76" s="49">
        <f>'Avg Week Nakawuka-Nateete'!G76+'Avg Week Nateete-Nakawuka'!G76</f>
        <v>0</v>
      </c>
      <c r="H76" s="49">
        <f>'Avg Week Nakawuka-Nateete'!H76+'Avg Week Nateete-Nakawuka'!H76</f>
        <v>0</v>
      </c>
      <c r="I76" s="49">
        <f>'Avg Week Nakawuka-Nateete'!I76+'Avg Week Nateete-Nakawuka'!I76</f>
        <v>0.5</v>
      </c>
      <c r="J76" s="49">
        <f>'Avg Week Nakawuka-Nateete'!J76+'Avg Week Nateete-Nakawuka'!J76</f>
        <v>0.5</v>
      </c>
      <c r="K76" s="49">
        <f>'Avg Week Nakawuka-Nateete'!K76+'Avg Week Nateete-Nakawuka'!K76</f>
        <v>0</v>
      </c>
      <c r="L76" s="49">
        <f>'Avg Week Nakawuka-Nateete'!L76+'Avg Week Nateete-Nakawuka'!L76</f>
        <v>2</v>
      </c>
      <c r="M76" s="49">
        <f>'Avg Week Nakawuka-Nateete'!M76+'Avg Week Nateete-Nakawuka'!M76</f>
        <v>117.5</v>
      </c>
      <c r="N76" s="49">
        <f>'Avg Week Nakawuka-Nateete'!N76+'Avg Week Nateete-Nakawuka'!N76</f>
        <v>0</v>
      </c>
      <c r="O76" s="15">
        <f t="shared" si="36"/>
        <v>47.5</v>
      </c>
      <c r="P76" s="15">
        <f t="shared" si="35"/>
        <v>165</v>
      </c>
      <c r="R76" s="8"/>
      <c r="T76"/>
    </row>
    <row r="77" spans="2:20" ht="23.1" customHeight="1" x14ac:dyDescent="0.25">
      <c r="B77" s="23" t="s">
        <v>117</v>
      </c>
      <c r="C77" s="49">
        <f>'Avg Week Nakawuka-Nateete'!C77+'Avg Week Nateete-Nakawuka'!C77</f>
        <v>12</v>
      </c>
      <c r="D77" s="49">
        <f>'Avg Week Nakawuka-Nateete'!D77+'Avg Week Nateete-Nakawuka'!D77</f>
        <v>14</v>
      </c>
      <c r="E77" s="49">
        <f>'Avg Week Nakawuka-Nateete'!E77+'Avg Week Nateete-Nakawuka'!E77</f>
        <v>3</v>
      </c>
      <c r="F77" s="49">
        <f>'Avg Week Nakawuka-Nateete'!F77+'Avg Week Nateete-Nakawuka'!F77</f>
        <v>12</v>
      </c>
      <c r="G77" s="49">
        <f>'Avg Week Nakawuka-Nateete'!G77+'Avg Week Nateete-Nakawuka'!G77</f>
        <v>0</v>
      </c>
      <c r="H77" s="49">
        <f>'Avg Week Nakawuka-Nateete'!H77+'Avg Week Nateete-Nakawuka'!H77</f>
        <v>0</v>
      </c>
      <c r="I77" s="49">
        <f>'Avg Week Nakawuka-Nateete'!I77+'Avg Week Nateete-Nakawuka'!I77</f>
        <v>1.5</v>
      </c>
      <c r="J77" s="49">
        <f>'Avg Week Nakawuka-Nateete'!J77+'Avg Week Nateete-Nakawuka'!J77</f>
        <v>0</v>
      </c>
      <c r="K77" s="49">
        <f>'Avg Week Nakawuka-Nateete'!K77+'Avg Week Nateete-Nakawuka'!K77</f>
        <v>0.5</v>
      </c>
      <c r="L77" s="49">
        <f>'Avg Week Nakawuka-Nateete'!L77+'Avg Week Nateete-Nakawuka'!L77</f>
        <v>0.5</v>
      </c>
      <c r="M77" s="49">
        <f>'Avg Week Nakawuka-Nateete'!M77+'Avg Week Nateete-Nakawuka'!M77</f>
        <v>126.5</v>
      </c>
      <c r="N77" s="49">
        <f>'Avg Week Nakawuka-Nateete'!N77+'Avg Week Nateete-Nakawuka'!N77</f>
        <v>0</v>
      </c>
      <c r="O77" s="15">
        <f t="shared" si="36"/>
        <v>43.5</v>
      </c>
      <c r="P77" s="15">
        <f t="shared" si="35"/>
        <v>170</v>
      </c>
      <c r="R77" s="8"/>
      <c r="T77"/>
    </row>
    <row r="78" spans="2:20" ht="23.1" customHeight="1" x14ac:dyDescent="0.25">
      <c r="B78" s="24" t="s">
        <v>118</v>
      </c>
      <c r="C78" s="49">
        <f>'Avg Week Nakawuka-Nateete'!C78+'Avg Week Nateete-Nakawuka'!C78</f>
        <v>10</v>
      </c>
      <c r="D78" s="49">
        <f>'Avg Week Nakawuka-Nateete'!D78+'Avg Week Nateete-Nakawuka'!D78</f>
        <v>11.5</v>
      </c>
      <c r="E78" s="49">
        <f>'Avg Week Nakawuka-Nateete'!E78+'Avg Week Nateete-Nakawuka'!E78</f>
        <v>1.5</v>
      </c>
      <c r="F78" s="49">
        <f>'Avg Week Nakawuka-Nateete'!F78+'Avg Week Nateete-Nakawuka'!F78</f>
        <v>9.5</v>
      </c>
      <c r="G78" s="49">
        <f>'Avg Week Nakawuka-Nateete'!G78+'Avg Week Nateete-Nakawuka'!G78</f>
        <v>0</v>
      </c>
      <c r="H78" s="49">
        <f>'Avg Week Nakawuka-Nateete'!H78+'Avg Week Nateete-Nakawuka'!H78</f>
        <v>0</v>
      </c>
      <c r="I78" s="49">
        <f>'Avg Week Nakawuka-Nateete'!I78+'Avg Week Nateete-Nakawuka'!I78</f>
        <v>2.5</v>
      </c>
      <c r="J78" s="49">
        <f>'Avg Week Nakawuka-Nateete'!J78+'Avg Week Nateete-Nakawuka'!J78</f>
        <v>1.5</v>
      </c>
      <c r="K78" s="49">
        <f>'Avg Week Nakawuka-Nateete'!K78+'Avg Week Nateete-Nakawuka'!K78</f>
        <v>0.5</v>
      </c>
      <c r="L78" s="49">
        <f>'Avg Week Nakawuka-Nateete'!L78+'Avg Week Nateete-Nakawuka'!L78</f>
        <v>0</v>
      </c>
      <c r="M78" s="49">
        <f>'Avg Week Nakawuka-Nateete'!M78+'Avg Week Nateete-Nakawuka'!M78</f>
        <v>134.5</v>
      </c>
      <c r="N78" s="49">
        <f>'Avg Week Nakawuka-Nateete'!N78+'Avg Week Nateete-Nakawuka'!N78</f>
        <v>0</v>
      </c>
      <c r="O78" s="15">
        <f t="shared" si="36"/>
        <v>37</v>
      </c>
      <c r="P78" s="15">
        <f t="shared" si="35"/>
        <v>171.5</v>
      </c>
      <c r="R78" s="8"/>
      <c r="T78"/>
    </row>
    <row r="79" spans="2:20" ht="23.1" customHeight="1" x14ac:dyDescent="0.25">
      <c r="B79" s="23" t="s">
        <v>119</v>
      </c>
      <c r="C79" s="49">
        <f>'Avg Week Nakawuka-Nateete'!C79+'Avg Week Nateete-Nakawuka'!C79</f>
        <v>7.5</v>
      </c>
      <c r="D79" s="49">
        <f>'Avg Week Nakawuka-Nateete'!D79+'Avg Week Nateete-Nakawuka'!D79</f>
        <v>8</v>
      </c>
      <c r="E79" s="49">
        <f>'Avg Week Nakawuka-Nateete'!E79+'Avg Week Nateete-Nakawuka'!E79</f>
        <v>1</v>
      </c>
      <c r="F79" s="49">
        <f>'Avg Week Nakawuka-Nateete'!F79+'Avg Week Nateete-Nakawuka'!F79</f>
        <v>5.5</v>
      </c>
      <c r="G79" s="49">
        <f>'Avg Week Nakawuka-Nateete'!G79+'Avg Week Nateete-Nakawuka'!G79</f>
        <v>0</v>
      </c>
      <c r="H79" s="49">
        <f>'Avg Week Nakawuka-Nateete'!H79+'Avg Week Nateete-Nakawuka'!H79</f>
        <v>0</v>
      </c>
      <c r="I79" s="49">
        <f>'Avg Week Nakawuka-Nateete'!I79+'Avg Week Nateete-Nakawuka'!I79</f>
        <v>1.5</v>
      </c>
      <c r="J79" s="49">
        <f>'Avg Week Nakawuka-Nateete'!J79+'Avg Week Nateete-Nakawuka'!J79</f>
        <v>1.5</v>
      </c>
      <c r="K79" s="49">
        <f>'Avg Week Nakawuka-Nateete'!K79+'Avg Week Nateete-Nakawuka'!K79</f>
        <v>0</v>
      </c>
      <c r="L79" s="49">
        <f>'Avg Week Nakawuka-Nateete'!L79+'Avg Week Nateete-Nakawuka'!L79</f>
        <v>0</v>
      </c>
      <c r="M79" s="49">
        <f>'Avg Week Nakawuka-Nateete'!M79+'Avg Week Nateete-Nakawuka'!M79</f>
        <v>73</v>
      </c>
      <c r="N79" s="49">
        <f>'Avg Week Nakawuka-Nateete'!N79+'Avg Week Nateete-Nakawuka'!N79</f>
        <v>0</v>
      </c>
      <c r="O79" s="15">
        <f t="shared" si="36"/>
        <v>25</v>
      </c>
      <c r="P79" s="15">
        <f t="shared" si="35"/>
        <v>98</v>
      </c>
      <c r="R79" s="8"/>
      <c r="T79"/>
    </row>
    <row r="80" spans="2:20" ht="23.1" customHeight="1" x14ac:dyDescent="0.25">
      <c r="B80" s="25" t="s">
        <v>120</v>
      </c>
      <c r="C80" s="49">
        <f>'Avg Week Nakawuka-Nateete'!C80+'Avg Week Nateete-Nakawuka'!C80</f>
        <v>4</v>
      </c>
      <c r="D80" s="49">
        <f>'Avg Week Nakawuka-Nateete'!D80+'Avg Week Nateete-Nakawuka'!D80</f>
        <v>5.5</v>
      </c>
      <c r="E80" s="49">
        <f>'Avg Week Nakawuka-Nateete'!E80+'Avg Week Nateete-Nakawuka'!E80</f>
        <v>0</v>
      </c>
      <c r="F80" s="49">
        <f>'Avg Week Nakawuka-Nateete'!F80+'Avg Week Nateete-Nakawuka'!F80</f>
        <v>7</v>
      </c>
      <c r="G80" s="49">
        <f>'Avg Week Nakawuka-Nateete'!G80+'Avg Week Nateete-Nakawuka'!G80</f>
        <v>0</v>
      </c>
      <c r="H80" s="49">
        <f>'Avg Week Nakawuka-Nateete'!H80+'Avg Week Nateete-Nakawuka'!H80</f>
        <v>0</v>
      </c>
      <c r="I80" s="49">
        <f>'Avg Week Nakawuka-Nateete'!I80+'Avg Week Nateete-Nakawuka'!I80</f>
        <v>0.5</v>
      </c>
      <c r="J80" s="49">
        <f>'Avg Week Nakawuka-Nateete'!J80+'Avg Week Nateete-Nakawuka'!J80</f>
        <v>0</v>
      </c>
      <c r="K80" s="49">
        <f>'Avg Week Nakawuka-Nateete'!K80+'Avg Week Nateete-Nakawuka'!K80</f>
        <v>1</v>
      </c>
      <c r="L80" s="49">
        <f>'Avg Week Nakawuka-Nateete'!L80+'Avg Week Nateete-Nakawuka'!L80</f>
        <v>0</v>
      </c>
      <c r="M80" s="49">
        <f>'Avg Week Nakawuka-Nateete'!M80+'Avg Week Nateete-Nakawuka'!M80</f>
        <v>50.5</v>
      </c>
      <c r="N80" s="49">
        <f>'Avg Week Nakawuka-Nateete'!N80+'Avg Week Nateete-Nakawuka'!N80</f>
        <v>0</v>
      </c>
      <c r="O80" s="15">
        <f t="shared" si="36"/>
        <v>18</v>
      </c>
      <c r="P80" s="15">
        <f t="shared" si="35"/>
        <v>68.5</v>
      </c>
      <c r="R80" s="8"/>
      <c r="T80"/>
    </row>
    <row r="81" spans="2:20" ht="23.1" customHeight="1" x14ac:dyDescent="0.25">
      <c r="B81" s="23" t="s">
        <v>121</v>
      </c>
      <c r="C81" s="49">
        <f>'Avg Week Nakawuka-Nateete'!C81+'Avg Week Nateete-Nakawuka'!C81</f>
        <v>2</v>
      </c>
      <c r="D81" s="49">
        <f>'Avg Week Nakawuka-Nateete'!D81+'Avg Week Nateete-Nakawuka'!D81</f>
        <v>3.5</v>
      </c>
      <c r="E81" s="49">
        <f>'Avg Week Nakawuka-Nateete'!E81+'Avg Week Nateete-Nakawuka'!E81</f>
        <v>1</v>
      </c>
      <c r="F81" s="49">
        <f>'Avg Week Nakawuka-Nateete'!F81+'Avg Week Nateete-Nakawuka'!F81</f>
        <v>4.5</v>
      </c>
      <c r="G81" s="49">
        <f>'Avg Week Nakawuka-Nateete'!G81+'Avg Week Nateete-Nakawuka'!G81</f>
        <v>0</v>
      </c>
      <c r="H81" s="49">
        <f>'Avg Week Nakawuka-Nateete'!H81+'Avg Week Nateete-Nakawuka'!H81</f>
        <v>0</v>
      </c>
      <c r="I81" s="49">
        <f>'Avg Week Nakawuka-Nateete'!I81+'Avg Week Nateete-Nakawuka'!I81</f>
        <v>1</v>
      </c>
      <c r="J81" s="49">
        <f>'Avg Week Nakawuka-Nateete'!J81+'Avg Week Nateete-Nakawuka'!J81</f>
        <v>0.5</v>
      </c>
      <c r="K81" s="49">
        <f>'Avg Week Nakawuka-Nateete'!K81+'Avg Week Nateete-Nakawuka'!K81</f>
        <v>0.5</v>
      </c>
      <c r="L81" s="49">
        <f>'Avg Week Nakawuka-Nateete'!L81+'Avg Week Nateete-Nakawuka'!L81</f>
        <v>0</v>
      </c>
      <c r="M81" s="49">
        <f>'Avg Week Nakawuka-Nateete'!M81+'Avg Week Nateete-Nakawuka'!M81</f>
        <v>36.5</v>
      </c>
      <c r="N81" s="49">
        <f>'Avg Week Nakawuka-Nateete'!N81+'Avg Week Nateete-Nakawuka'!N81</f>
        <v>0</v>
      </c>
      <c r="O81" s="15">
        <f t="shared" si="36"/>
        <v>13</v>
      </c>
      <c r="P81" s="15">
        <f t="shared" si="35"/>
        <v>49.5</v>
      </c>
      <c r="R81" s="8"/>
      <c r="T81"/>
    </row>
    <row r="82" spans="2:20" ht="23.1" customHeight="1" x14ac:dyDescent="0.25">
      <c r="B82" s="24" t="s">
        <v>122</v>
      </c>
      <c r="C82" s="49">
        <f>'Avg Week Nakawuka-Nateete'!C82+'Avg Week Nateete-Nakawuka'!C82</f>
        <v>21</v>
      </c>
      <c r="D82" s="49">
        <f>'Avg Week Nakawuka-Nateete'!D82+'Avg Week Nateete-Nakawuka'!D82</f>
        <v>3</v>
      </c>
      <c r="E82" s="49">
        <f>'Avg Week Nakawuka-Nateete'!E82+'Avg Week Nateete-Nakawuka'!E82</f>
        <v>0.5</v>
      </c>
      <c r="F82" s="49">
        <f>'Avg Week Nakawuka-Nateete'!F82+'Avg Week Nateete-Nakawuka'!F82</f>
        <v>5</v>
      </c>
      <c r="G82" s="49">
        <f>'Avg Week Nakawuka-Nateete'!G82+'Avg Week Nateete-Nakawuka'!G82</f>
        <v>0</v>
      </c>
      <c r="H82" s="49">
        <f>'Avg Week Nakawuka-Nateete'!H82+'Avg Week Nateete-Nakawuka'!H82</f>
        <v>0.5</v>
      </c>
      <c r="I82" s="49">
        <f>'Avg Week Nakawuka-Nateete'!I82+'Avg Week Nateete-Nakawuka'!I82</f>
        <v>0</v>
      </c>
      <c r="J82" s="49">
        <f>'Avg Week Nakawuka-Nateete'!J82+'Avg Week Nateete-Nakawuka'!J82</f>
        <v>0</v>
      </c>
      <c r="K82" s="49">
        <f>'Avg Week Nakawuka-Nateete'!K82+'Avg Week Nateete-Nakawuka'!K82</f>
        <v>0</v>
      </c>
      <c r="L82" s="49">
        <f>'Avg Week Nakawuka-Nateete'!L82+'Avg Week Nateete-Nakawuka'!L82</f>
        <v>1</v>
      </c>
      <c r="M82" s="49">
        <f>'Avg Week Nakawuka-Nateete'!M82+'Avg Week Nateete-Nakawuka'!M82</f>
        <v>58</v>
      </c>
      <c r="N82" s="49">
        <f>'Avg Week Nakawuka-Nateete'!N82+'Avg Week Nateete-Nakawuka'!N82</f>
        <v>0</v>
      </c>
      <c r="O82" s="15">
        <f t="shared" si="36"/>
        <v>31</v>
      </c>
      <c r="P82" s="15">
        <f t="shared" si="35"/>
        <v>89</v>
      </c>
      <c r="R82" s="8"/>
      <c r="T82"/>
    </row>
    <row r="83" spans="2:20" ht="23.1" customHeight="1" x14ac:dyDescent="0.25">
      <c r="B83" s="23" t="s">
        <v>123</v>
      </c>
      <c r="C83" s="49">
        <f>'Avg Week Nakawuka-Nateete'!C83+'Avg Week Nateete-Nakawuka'!C83</f>
        <v>4</v>
      </c>
      <c r="D83" s="49">
        <f>'Avg Week Nakawuka-Nateete'!D83+'Avg Week Nateete-Nakawuka'!D83</f>
        <v>5</v>
      </c>
      <c r="E83" s="49">
        <f>'Avg Week Nakawuka-Nateete'!E83+'Avg Week Nateete-Nakawuka'!E83</f>
        <v>0</v>
      </c>
      <c r="F83" s="49">
        <f>'Avg Week Nakawuka-Nateete'!F83+'Avg Week Nateete-Nakawuka'!F83</f>
        <v>5</v>
      </c>
      <c r="G83" s="49">
        <f>'Avg Week Nakawuka-Nateete'!G83+'Avg Week Nateete-Nakawuka'!G83</f>
        <v>0</v>
      </c>
      <c r="H83" s="49">
        <f>'Avg Week Nakawuka-Nateete'!H83+'Avg Week Nateete-Nakawuka'!H83</f>
        <v>1.5</v>
      </c>
      <c r="I83" s="49">
        <f>'Avg Week Nakawuka-Nateete'!I83+'Avg Week Nateete-Nakawuka'!I83</f>
        <v>0.5</v>
      </c>
      <c r="J83" s="49">
        <f>'Avg Week Nakawuka-Nateete'!J83+'Avg Week Nateete-Nakawuka'!J83</f>
        <v>0.5</v>
      </c>
      <c r="K83" s="49">
        <f>'Avg Week Nakawuka-Nateete'!K83+'Avg Week Nateete-Nakawuka'!K83</f>
        <v>0.5</v>
      </c>
      <c r="L83" s="49">
        <f>'Avg Week Nakawuka-Nateete'!L83+'Avg Week Nateete-Nakawuka'!L83</f>
        <v>0.5</v>
      </c>
      <c r="M83" s="49">
        <f>'Avg Week Nakawuka-Nateete'!M83+'Avg Week Nateete-Nakawuka'!M83</f>
        <v>56.5</v>
      </c>
      <c r="N83" s="49">
        <f>'Avg Week Nakawuka-Nateete'!N83+'Avg Week Nateete-Nakawuka'!N83</f>
        <v>0</v>
      </c>
      <c r="O83" s="15">
        <f t="shared" si="36"/>
        <v>17.5</v>
      </c>
      <c r="P83" s="15">
        <f t="shared" si="35"/>
        <v>74</v>
      </c>
      <c r="R83" s="8"/>
      <c r="T83"/>
    </row>
    <row r="84" spans="2:20" ht="23.1" customHeight="1" x14ac:dyDescent="0.25">
      <c r="B84" s="25" t="s">
        <v>124</v>
      </c>
      <c r="C84" s="49">
        <f>'Avg Week Nakawuka-Nateete'!C84+'Avg Week Nateete-Nakawuka'!C84</f>
        <v>2.5</v>
      </c>
      <c r="D84" s="49">
        <f>'Avg Week Nakawuka-Nateete'!D84+'Avg Week Nateete-Nakawuka'!D84</f>
        <v>3</v>
      </c>
      <c r="E84" s="49">
        <f>'Avg Week Nakawuka-Nateete'!E84+'Avg Week Nateete-Nakawuka'!E84</f>
        <v>2</v>
      </c>
      <c r="F84" s="49">
        <f>'Avg Week Nakawuka-Nateete'!F84+'Avg Week Nateete-Nakawuka'!F84</f>
        <v>4.5</v>
      </c>
      <c r="G84" s="49">
        <f>'Avg Week Nakawuka-Nateete'!G84+'Avg Week Nateete-Nakawuka'!G84</f>
        <v>0</v>
      </c>
      <c r="H84" s="49">
        <f>'Avg Week Nakawuka-Nateete'!H84+'Avg Week Nateete-Nakawuka'!H84</f>
        <v>0</v>
      </c>
      <c r="I84" s="49">
        <f>'Avg Week Nakawuka-Nateete'!I84+'Avg Week Nateete-Nakawuka'!I84</f>
        <v>1</v>
      </c>
      <c r="J84" s="49">
        <f>'Avg Week Nakawuka-Nateete'!J84+'Avg Week Nateete-Nakawuka'!J84</f>
        <v>1.5</v>
      </c>
      <c r="K84" s="49">
        <f>'Avg Week Nakawuka-Nateete'!K84+'Avg Week Nateete-Nakawuka'!K84</f>
        <v>0</v>
      </c>
      <c r="L84" s="49">
        <f>'Avg Week Nakawuka-Nateete'!L84+'Avg Week Nateete-Nakawuka'!L84</f>
        <v>0</v>
      </c>
      <c r="M84" s="49">
        <f>'Avg Week Nakawuka-Nateete'!M84+'Avg Week Nateete-Nakawuka'!M84</f>
        <v>65</v>
      </c>
      <c r="N84" s="49">
        <f>'Avg Week Nakawuka-Nateete'!N84+'Avg Week Nateete-Nakawuka'!N84</f>
        <v>0</v>
      </c>
      <c r="O84" s="15">
        <f t="shared" si="36"/>
        <v>14.5</v>
      </c>
      <c r="P84" s="15">
        <f t="shared" si="35"/>
        <v>79.5</v>
      </c>
      <c r="R84" s="8"/>
      <c r="T84"/>
    </row>
    <row r="85" spans="2:20" ht="23.1" customHeight="1" x14ac:dyDescent="0.25">
      <c r="B85" s="23" t="s">
        <v>125</v>
      </c>
      <c r="C85" s="49">
        <f>'Avg Week Nakawuka-Nateete'!C85+'Avg Week Nateete-Nakawuka'!C85</f>
        <v>2</v>
      </c>
      <c r="D85" s="49">
        <f>'Avg Week Nakawuka-Nateete'!D85+'Avg Week Nateete-Nakawuka'!D85</f>
        <v>3.5</v>
      </c>
      <c r="E85" s="49">
        <f>'Avg Week Nakawuka-Nateete'!E85+'Avg Week Nateete-Nakawuka'!E85</f>
        <v>0</v>
      </c>
      <c r="F85" s="49">
        <f>'Avg Week Nakawuka-Nateete'!F85+'Avg Week Nateete-Nakawuka'!F85</f>
        <v>3</v>
      </c>
      <c r="G85" s="49">
        <f>'Avg Week Nakawuka-Nateete'!G85+'Avg Week Nateete-Nakawuka'!G85</f>
        <v>0</v>
      </c>
      <c r="H85" s="49">
        <f>'Avg Week Nakawuka-Nateete'!H85+'Avg Week Nateete-Nakawuka'!H85</f>
        <v>0</v>
      </c>
      <c r="I85" s="49">
        <f>'Avg Week Nakawuka-Nateete'!I85+'Avg Week Nateete-Nakawuka'!I85</f>
        <v>2</v>
      </c>
      <c r="J85" s="49">
        <f>'Avg Week Nakawuka-Nateete'!J85+'Avg Week Nateete-Nakawuka'!J85</f>
        <v>0.5</v>
      </c>
      <c r="K85" s="49">
        <f>'Avg Week Nakawuka-Nateete'!K85+'Avg Week Nateete-Nakawuka'!K85</f>
        <v>0.5</v>
      </c>
      <c r="L85" s="49">
        <f>'Avg Week Nakawuka-Nateete'!L85+'Avg Week Nateete-Nakawuka'!L85</f>
        <v>0</v>
      </c>
      <c r="M85" s="49">
        <f>'Avg Week Nakawuka-Nateete'!M85+'Avg Week Nateete-Nakawuka'!M85</f>
        <v>43.5</v>
      </c>
      <c r="N85" s="49">
        <f>'Avg Week Nakawuka-Nateete'!N85+'Avg Week Nateete-Nakawuka'!N85</f>
        <v>0</v>
      </c>
      <c r="O85" s="15">
        <f t="shared" si="36"/>
        <v>11.5</v>
      </c>
      <c r="P85" s="15">
        <f t="shared" si="35"/>
        <v>55</v>
      </c>
      <c r="R85" s="8"/>
      <c r="T85"/>
    </row>
    <row r="86" spans="2:20" ht="23.1" customHeight="1" x14ac:dyDescent="0.25">
      <c r="B86" s="24" t="s">
        <v>126</v>
      </c>
      <c r="C86" s="49">
        <f>'Avg Week Nakawuka-Nateete'!C86+'Avg Week Nateete-Nakawuka'!C86</f>
        <v>4.5</v>
      </c>
      <c r="D86" s="49">
        <f>'Avg Week Nakawuka-Nateete'!D86+'Avg Week Nateete-Nakawuka'!D86</f>
        <v>6</v>
      </c>
      <c r="E86" s="49">
        <f>'Avg Week Nakawuka-Nateete'!E86+'Avg Week Nateete-Nakawuka'!E86</f>
        <v>0.5</v>
      </c>
      <c r="F86" s="49">
        <f>'Avg Week Nakawuka-Nateete'!F86+'Avg Week Nateete-Nakawuka'!F86</f>
        <v>7</v>
      </c>
      <c r="G86" s="49">
        <f>'Avg Week Nakawuka-Nateete'!G86+'Avg Week Nateete-Nakawuka'!G86</f>
        <v>0</v>
      </c>
      <c r="H86" s="49">
        <f>'Avg Week Nakawuka-Nateete'!H86+'Avg Week Nateete-Nakawuka'!H86</f>
        <v>1</v>
      </c>
      <c r="I86" s="49">
        <f>'Avg Week Nakawuka-Nateete'!I86+'Avg Week Nateete-Nakawuka'!I86</f>
        <v>4.5</v>
      </c>
      <c r="J86" s="49">
        <f>'Avg Week Nakawuka-Nateete'!J86+'Avg Week Nateete-Nakawuka'!J86</f>
        <v>0.5</v>
      </c>
      <c r="K86" s="49">
        <f>'Avg Week Nakawuka-Nateete'!K86+'Avg Week Nateete-Nakawuka'!K86</f>
        <v>0</v>
      </c>
      <c r="L86" s="49">
        <f>'Avg Week Nakawuka-Nateete'!L86+'Avg Week Nateete-Nakawuka'!L86</f>
        <v>0</v>
      </c>
      <c r="M86" s="49">
        <f>'Avg Week Nakawuka-Nateete'!M86+'Avg Week Nateete-Nakawuka'!M86</f>
        <v>52.5</v>
      </c>
      <c r="N86" s="49">
        <f>'Avg Week Nakawuka-Nateete'!N86+'Avg Week Nateete-Nakawuka'!N86</f>
        <v>0</v>
      </c>
      <c r="O86" s="15">
        <f t="shared" si="36"/>
        <v>24</v>
      </c>
      <c r="P86" s="15">
        <f t="shared" si="35"/>
        <v>76.5</v>
      </c>
      <c r="R86" s="8"/>
      <c r="T86"/>
    </row>
    <row r="87" spans="2:20" ht="23.1" customHeight="1" x14ac:dyDescent="0.25">
      <c r="B87" s="23" t="s">
        <v>127</v>
      </c>
      <c r="C87" s="49">
        <f>'Avg Week Nakawuka-Nateete'!C87+'Avg Week Nateete-Nakawuka'!C87</f>
        <v>3.5</v>
      </c>
      <c r="D87" s="49">
        <f>'Avg Week Nakawuka-Nateete'!D87+'Avg Week Nateete-Nakawuka'!D87</f>
        <v>3</v>
      </c>
      <c r="E87" s="49">
        <f>'Avg Week Nakawuka-Nateete'!E87+'Avg Week Nateete-Nakawuka'!E87</f>
        <v>0</v>
      </c>
      <c r="F87" s="49">
        <f>'Avg Week Nakawuka-Nateete'!F87+'Avg Week Nateete-Nakawuka'!F87</f>
        <v>5.5</v>
      </c>
      <c r="G87" s="49">
        <f>'Avg Week Nakawuka-Nateete'!G87+'Avg Week Nateete-Nakawuka'!G87</f>
        <v>0</v>
      </c>
      <c r="H87" s="49">
        <f>'Avg Week Nakawuka-Nateete'!H87+'Avg Week Nateete-Nakawuka'!H87</f>
        <v>0</v>
      </c>
      <c r="I87" s="49">
        <f>'Avg Week Nakawuka-Nateete'!I87+'Avg Week Nateete-Nakawuka'!I87</f>
        <v>2.5</v>
      </c>
      <c r="J87" s="49">
        <f>'Avg Week Nakawuka-Nateete'!J87+'Avg Week Nateete-Nakawuka'!J87</f>
        <v>0</v>
      </c>
      <c r="K87" s="49">
        <f>'Avg Week Nakawuka-Nateete'!K87+'Avg Week Nateete-Nakawuka'!K87</f>
        <v>0</v>
      </c>
      <c r="L87" s="49">
        <f>'Avg Week Nakawuka-Nateete'!L87+'Avg Week Nateete-Nakawuka'!L87</f>
        <v>0</v>
      </c>
      <c r="M87" s="49">
        <f>'Avg Week Nakawuka-Nateete'!M87+'Avg Week Nateete-Nakawuka'!M87</f>
        <v>76</v>
      </c>
      <c r="N87" s="49">
        <f>'Avg Week Nakawuka-Nateete'!N87+'Avg Week Nateete-Nakawuka'!N87</f>
        <v>0</v>
      </c>
      <c r="O87" s="15">
        <f t="shared" si="36"/>
        <v>14.5</v>
      </c>
      <c r="P87" s="15">
        <f t="shared" si="35"/>
        <v>90.5</v>
      </c>
      <c r="R87" s="8"/>
      <c r="T87"/>
    </row>
    <row r="88" spans="2:20" ht="23.1" customHeight="1" x14ac:dyDescent="0.25">
      <c r="B88" s="25" t="s">
        <v>128</v>
      </c>
      <c r="C88" s="49">
        <f>'Avg Week Nakawuka-Nateete'!C88+'Avg Week Nateete-Nakawuka'!C88</f>
        <v>1.5</v>
      </c>
      <c r="D88" s="49">
        <f>'Avg Week Nakawuka-Nateete'!D88+'Avg Week Nateete-Nakawuka'!D88</f>
        <v>2</v>
      </c>
      <c r="E88" s="49">
        <f>'Avg Week Nakawuka-Nateete'!E88+'Avg Week Nateete-Nakawuka'!E88</f>
        <v>1.5</v>
      </c>
      <c r="F88" s="49">
        <f>'Avg Week Nakawuka-Nateete'!F88+'Avg Week Nateete-Nakawuka'!F88</f>
        <v>10</v>
      </c>
      <c r="G88" s="49">
        <f>'Avg Week Nakawuka-Nateete'!G88+'Avg Week Nateete-Nakawuka'!G88</f>
        <v>0</v>
      </c>
      <c r="H88" s="49">
        <f>'Avg Week Nakawuka-Nateete'!H88+'Avg Week Nateete-Nakawuka'!H88</f>
        <v>0</v>
      </c>
      <c r="I88" s="49">
        <f>'Avg Week Nakawuka-Nateete'!I88+'Avg Week Nateete-Nakawuka'!I88</f>
        <v>0</v>
      </c>
      <c r="J88" s="49">
        <f>'Avg Week Nakawuka-Nateete'!J88+'Avg Week Nateete-Nakawuka'!J88</f>
        <v>0</v>
      </c>
      <c r="K88" s="49">
        <f>'Avg Week Nakawuka-Nateete'!K88+'Avg Week Nateete-Nakawuka'!K88</f>
        <v>0.5</v>
      </c>
      <c r="L88" s="49">
        <f>'Avg Week Nakawuka-Nateete'!L88+'Avg Week Nateete-Nakawuka'!L88</f>
        <v>0</v>
      </c>
      <c r="M88" s="49">
        <f>'Avg Week Nakawuka-Nateete'!M88+'Avg Week Nateete-Nakawuka'!M88</f>
        <v>54.5</v>
      </c>
      <c r="N88" s="49">
        <f>'Avg Week Nakawuka-Nateete'!N88+'Avg Week Nateete-Nakawuka'!N88</f>
        <v>0</v>
      </c>
      <c r="O88" s="15">
        <f t="shared" si="36"/>
        <v>15.5</v>
      </c>
      <c r="P88" s="15">
        <f t="shared" si="35"/>
        <v>70</v>
      </c>
      <c r="R88" s="8"/>
      <c r="T88"/>
    </row>
    <row r="89" spans="2:20" ht="23.1" customHeight="1" x14ac:dyDescent="0.25">
      <c r="B89" s="23" t="s">
        <v>129</v>
      </c>
      <c r="C89" s="49">
        <f>'Avg Week Nakawuka-Nateete'!C89+'Avg Week Nateete-Nakawuka'!C89</f>
        <v>4</v>
      </c>
      <c r="D89" s="49">
        <f>'Avg Week Nakawuka-Nateete'!D89+'Avg Week Nateete-Nakawuka'!D89</f>
        <v>3.5</v>
      </c>
      <c r="E89" s="49">
        <f>'Avg Week Nakawuka-Nateete'!E89+'Avg Week Nateete-Nakawuka'!E89</f>
        <v>0</v>
      </c>
      <c r="F89" s="49">
        <f>'Avg Week Nakawuka-Nateete'!F89+'Avg Week Nateete-Nakawuka'!F89</f>
        <v>3.5</v>
      </c>
      <c r="G89" s="49">
        <f>'Avg Week Nakawuka-Nateete'!G89+'Avg Week Nateete-Nakawuka'!G89</f>
        <v>0</v>
      </c>
      <c r="H89" s="49">
        <f>'Avg Week Nakawuka-Nateete'!H89+'Avg Week Nateete-Nakawuka'!H89</f>
        <v>0</v>
      </c>
      <c r="I89" s="49">
        <f>'Avg Week Nakawuka-Nateete'!I89+'Avg Week Nateete-Nakawuka'!I89</f>
        <v>0.5</v>
      </c>
      <c r="J89" s="49">
        <f>'Avg Week Nakawuka-Nateete'!J89+'Avg Week Nateete-Nakawuka'!J89</f>
        <v>1</v>
      </c>
      <c r="K89" s="49">
        <f>'Avg Week Nakawuka-Nateete'!K89+'Avg Week Nateete-Nakawuka'!K89</f>
        <v>0</v>
      </c>
      <c r="L89" s="49">
        <f>'Avg Week Nakawuka-Nateete'!L89+'Avg Week Nateete-Nakawuka'!L89</f>
        <v>0</v>
      </c>
      <c r="M89" s="49">
        <f>'Avg Week Nakawuka-Nateete'!M89+'Avg Week Nateete-Nakawuka'!M89</f>
        <v>54.5</v>
      </c>
      <c r="N89" s="49">
        <f>'Avg Week Nakawuka-Nateete'!N89+'Avg Week Nateete-Nakawuka'!N89</f>
        <v>0</v>
      </c>
      <c r="O89" s="15">
        <f t="shared" si="36"/>
        <v>12.5</v>
      </c>
      <c r="P89" s="15">
        <f t="shared" si="35"/>
        <v>67</v>
      </c>
      <c r="R89" s="8"/>
      <c r="T89"/>
    </row>
    <row r="90" spans="2:20" ht="23.1" customHeight="1" x14ac:dyDescent="0.25">
      <c r="B90" s="24" t="s">
        <v>130</v>
      </c>
      <c r="C90" s="49">
        <f>'Avg Week Nakawuka-Nateete'!C90+'Avg Week Nateete-Nakawuka'!C90</f>
        <v>3.5</v>
      </c>
      <c r="D90" s="49">
        <f>'Avg Week Nakawuka-Nateete'!D90+'Avg Week Nateete-Nakawuka'!D90</f>
        <v>1.5</v>
      </c>
      <c r="E90" s="49">
        <f>'Avg Week Nakawuka-Nateete'!E90+'Avg Week Nateete-Nakawuka'!E90</f>
        <v>1.5</v>
      </c>
      <c r="F90" s="49">
        <f>'Avg Week Nakawuka-Nateete'!F90+'Avg Week Nateete-Nakawuka'!F90</f>
        <v>1</v>
      </c>
      <c r="G90" s="49">
        <f>'Avg Week Nakawuka-Nateete'!G90+'Avg Week Nateete-Nakawuka'!G90</f>
        <v>0</v>
      </c>
      <c r="H90" s="49">
        <f>'Avg Week Nakawuka-Nateete'!H90+'Avg Week Nateete-Nakawuka'!H90</f>
        <v>0</v>
      </c>
      <c r="I90" s="49">
        <f>'Avg Week Nakawuka-Nateete'!I90+'Avg Week Nateete-Nakawuka'!I90</f>
        <v>0</v>
      </c>
      <c r="J90" s="49">
        <f>'Avg Week Nakawuka-Nateete'!J90+'Avg Week Nateete-Nakawuka'!J90</f>
        <v>1</v>
      </c>
      <c r="K90" s="49">
        <f>'Avg Week Nakawuka-Nateete'!K90+'Avg Week Nateete-Nakawuka'!K90</f>
        <v>0.5</v>
      </c>
      <c r="L90" s="49">
        <f>'Avg Week Nakawuka-Nateete'!L90+'Avg Week Nateete-Nakawuka'!L90</f>
        <v>0</v>
      </c>
      <c r="M90" s="49">
        <f>'Avg Week Nakawuka-Nateete'!M90+'Avg Week Nateete-Nakawuka'!M90</f>
        <v>44.5</v>
      </c>
      <c r="N90" s="49">
        <f>'Avg Week Nakawuka-Nateete'!N90+'Avg Week Nateete-Nakawuka'!N90</f>
        <v>0</v>
      </c>
      <c r="O90" s="15">
        <f t="shared" si="36"/>
        <v>9</v>
      </c>
      <c r="P90" s="15">
        <f t="shared" si="35"/>
        <v>53.5</v>
      </c>
      <c r="R90" s="8"/>
      <c r="T90"/>
    </row>
    <row r="91" spans="2:20" ht="23.1" customHeight="1" x14ac:dyDescent="0.25">
      <c r="B91" s="23" t="s">
        <v>131</v>
      </c>
      <c r="C91" s="49">
        <f>'Avg Week Nakawuka-Nateete'!C91+'Avg Week Nateete-Nakawuka'!C91</f>
        <v>6</v>
      </c>
      <c r="D91" s="49">
        <f>'Avg Week Nakawuka-Nateete'!D91+'Avg Week Nateete-Nakawuka'!D91</f>
        <v>0</v>
      </c>
      <c r="E91" s="49">
        <f>'Avg Week Nakawuka-Nateete'!E91+'Avg Week Nateete-Nakawuka'!E91</f>
        <v>1.5</v>
      </c>
      <c r="F91" s="49">
        <f>'Avg Week Nakawuka-Nateete'!F91+'Avg Week Nateete-Nakawuka'!F91</f>
        <v>0.5</v>
      </c>
      <c r="G91" s="49">
        <f>'Avg Week Nakawuka-Nateete'!G91+'Avg Week Nateete-Nakawuka'!G91</f>
        <v>0</v>
      </c>
      <c r="H91" s="49">
        <f>'Avg Week Nakawuka-Nateete'!H91+'Avg Week Nateete-Nakawuka'!H91</f>
        <v>0</v>
      </c>
      <c r="I91" s="49">
        <f>'Avg Week Nakawuka-Nateete'!I91+'Avg Week Nateete-Nakawuka'!I91</f>
        <v>1.5</v>
      </c>
      <c r="J91" s="49">
        <f>'Avg Week Nakawuka-Nateete'!J91+'Avg Week Nateete-Nakawuka'!J91</f>
        <v>0</v>
      </c>
      <c r="K91" s="49">
        <f>'Avg Week Nakawuka-Nateete'!K91+'Avg Week Nateete-Nakawuka'!K91</f>
        <v>0.5</v>
      </c>
      <c r="L91" s="49">
        <f>'Avg Week Nakawuka-Nateete'!L91+'Avg Week Nateete-Nakawuka'!L91</f>
        <v>8.5</v>
      </c>
      <c r="M91" s="49">
        <f>'Avg Week Nakawuka-Nateete'!M91+'Avg Week Nateete-Nakawuka'!M91</f>
        <v>37.5</v>
      </c>
      <c r="N91" s="49">
        <f>'Avg Week Nakawuka-Nateete'!N91+'Avg Week Nateete-Nakawuka'!N91</f>
        <v>0</v>
      </c>
      <c r="O91" s="15">
        <f t="shared" si="36"/>
        <v>18.5</v>
      </c>
      <c r="P91" s="15">
        <f t="shared" si="35"/>
        <v>56</v>
      </c>
      <c r="R91" s="8"/>
      <c r="T91"/>
    </row>
    <row r="92" spans="2:20" ht="23.1" customHeight="1" x14ac:dyDescent="0.25">
      <c r="B92" s="25" t="s">
        <v>132</v>
      </c>
      <c r="C92" s="49">
        <f>'Avg Week Nakawuka-Nateete'!C92+'Avg Week Nateete-Nakawuka'!C92</f>
        <v>3.5</v>
      </c>
      <c r="D92" s="49">
        <f>'Avg Week Nakawuka-Nateete'!D92+'Avg Week Nateete-Nakawuka'!D92</f>
        <v>1.5</v>
      </c>
      <c r="E92" s="49">
        <f>'Avg Week Nakawuka-Nateete'!E92+'Avg Week Nateete-Nakawuka'!E92</f>
        <v>1.5</v>
      </c>
      <c r="F92" s="49">
        <f>'Avg Week Nakawuka-Nateete'!F92+'Avg Week Nateete-Nakawuka'!F92</f>
        <v>2</v>
      </c>
      <c r="G92" s="49">
        <f>'Avg Week Nakawuka-Nateete'!G92+'Avg Week Nateete-Nakawuka'!G92</f>
        <v>0.5</v>
      </c>
      <c r="H92" s="49">
        <f>'Avg Week Nakawuka-Nateete'!H92+'Avg Week Nateete-Nakawuka'!H92</f>
        <v>0</v>
      </c>
      <c r="I92" s="49">
        <f>'Avg Week Nakawuka-Nateete'!I92+'Avg Week Nateete-Nakawuka'!I92</f>
        <v>0</v>
      </c>
      <c r="J92" s="49">
        <f>'Avg Week Nakawuka-Nateete'!J92+'Avg Week Nateete-Nakawuka'!J92</f>
        <v>0.5</v>
      </c>
      <c r="K92" s="49">
        <f>'Avg Week Nakawuka-Nateete'!K92+'Avg Week Nateete-Nakawuka'!K92</f>
        <v>0.5</v>
      </c>
      <c r="L92" s="49">
        <f>'Avg Week Nakawuka-Nateete'!L92+'Avg Week Nateete-Nakawuka'!L92</f>
        <v>7.5</v>
      </c>
      <c r="M92" s="49">
        <f>'Avg Week Nakawuka-Nateete'!M92+'Avg Week Nateete-Nakawuka'!M92</f>
        <v>40.5</v>
      </c>
      <c r="N92" s="49">
        <f>'Avg Week Nakawuka-Nateete'!N92+'Avg Week Nateete-Nakawuka'!N92</f>
        <v>0</v>
      </c>
      <c r="O92" s="15">
        <f t="shared" si="36"/>
        <v>17.5</v>
      </c>
      <c r="P92" s="15">
        <f t="shared" si="35"/>
        <v>58</v>
      </c>
      <c r="R92" s="8"/>
      <c r="T92"/>
    </row>
    <row r="93" spans="2:20" ht="23.1" customHeight="1" x14ac:dyDescent="0.25">
      <c r="B93" s="23" t="s">
        <v>133</v>
      </c>
      <c r="C93" s="49">
        <f>'Avg Week Nakawuka-Nateete'!C93+'Avg Week Nateete-Nakawuka'!C93</f>
        <v>3.5</v>
      </c>
      <c r="D93" s="49">
        <f>'Avg Week Nakawuka-Nateete'!D93+'Avg Week Nateete-Nakawuka'!D93</f>
        <v>0</v>
      </c>
      <c r="E93" s="49">
        <f>'Avg Week Nakawuka-Nateete'!E93+'Avg Week Nateete-Nakawuka'!E93</f>
        <v>1</v>
      </c>
      <c r="F93" s="49">
        <f>'Avg Week Nakawuka-Nateete'!F93+'Avg Week Nateete-Nakawuka'!F93</f>
        <v>0.5</v>
      </c>
      <c r="G93" s="49">
        <f>'Avg Week Nakawuka-Nateete'!G93+'Avg Week Nateete-Nakawuka'!G93</f>
        <v>0</v>
      </c>
      <c r="H93" s="49">
        <f>'Avg Week Nakawuka-Nateete'!H93+'Avg Week Nateete-Nakawuka'!H93</f>
        <v>0.5</v>
      </c>
      <c r="I93" s="49">
        <f>'Avg Week Nakawuka-Nateete'!I93+'Avg Week Nateete-Nakawuka'!I93</f>
        <v>1</v>
      </c>
      <c r="J93" s="49">
        <f>'Avg Week Nakawuka-Nateete'!J93+'Avg Week Nateete-Nakawuka'!J93</f>
        <v>1.5</v>
      </c>
      <c r="K93" s="49">
        <f>'Avg Week Nakawuka-Nateete'!K93+'Avg Week Nateete-Nakawuka'!K93</f>
        <v>0.5</v>
      </c>
      <c r="L93" s="49">
        <f>'Avg Week Nakawuka-Nateete'!L93+'Avg Week Nateete-Nakawuka'!L93</f>
        <v>0</v>
      </c>
      <c r="M93" s="49">
        <f>'Avg Week Nakawuka-Nateete'!M93+'Avg Week Nateete-Nakawuka'!M93</f>
        <v>29</v>
      </c>
      <c r="N93" s="49">
        <f>'Avg Week Nakawuka-Nateete'!N93+'Avg Week Nateete-Nakawuka'!N93</f>
        <v>0</v>
      </c>
      <c r="O93" s="15">
        <f t="shared" si="36"/>
        <v>8.5</v>
      </c>
      <c r="P93" s="15">
        <f t="shared" si="35"/>
        <v>37.5</v>
      </c>
      <c r="R93" s="8"/>
      <c r="T93"/>
    </row>
    <row r="94" spans="2:20" ht="23.1" customHeight="1" x14ac:dyDescent="0.25">
      <c r="B94" s="24" t="s">
        <v>134</v>
      </c>
      <c r="C94" s="49">
        <f>'Avg Week Nakawuka-Nateete'!C94+'Avg Week Nateete-Nakawuka'!C94</f>
        <v>6.5</v>
      </c>
      <c r="D94" s="49">
        <f>'Avg Week Nakawuka-Nateete'!D94+'Avg Week Nateete-Nakawuka'!D94</f>
        <v>2.5</v>
      </c>
      <c r="E94" s="49">
        <f>'Avg Week Nakawuka-Nateete'!E94+'Avg Week Nateete-Nakawuka'!E94</f>
        <v>0.5</v>
      </c>
      <c r="F94" s="49">
        <f>'Avg Week Nakawuka-Nateete'!F94+'Avg Week Nateete-Nakawuka'!F94</f>
        <v>1.5</v>
      </c>
      <c r="G94" s="49">
        <f>'Avg Week Nakawuka-Nateete'!G94+'Avg Week Nateete-Nakawuka'!G94</f>
        <v>0</v>
      </c>
      <c r="H94" s="49">
        <f>'Avg Week Nakawuka-Nateete'!H94+'Avg Week Nateete-Nakawuka'!H94</f>
        <v>0</v>
      </c>
      <c r="I94" s="49">
        <f>'Avg Week Nakawuka-Nateete'!I94+'Avg Week Nateete-Nakawuka'!I94</f>
        <v>1</v>
      </c>
      <c r="J94" s="49">
        <f>'Avg Week Nakawuka-Nateete'!J94+'Avg Week Nateete-Nakawuka'!J94</f>
        <v>0</v>
      </c>
      <c r="K94" s="49">
        <f>'Avg Week Nakawuka-Nateete'!K94+'Avg Week Nateete-Nakawuka'!K94</f>
        <v>0</v>
      </c>
      <c r="L94" s="49">
        <f>'Avg Week Nakawuka-Nateete'!L94+'Avg Week Nateete-Nakawuka'!L94</f>
        <v>0.5</v>
      </c>
      <c r="M94" s="49">
        <f>'Avg Week Nakawuka-Nateete'!M94+'Avg Week Nateete-Nakawuka'!M94</f>
        <v>50.5</v>
      </c>
      <c r="N94" s="49">
        <f>'Avg Week Nakawuka-Nateete'!N94+'Avg Week Nateete-Nakawuka'!N94</f>
        <v>0</v>
      </c>
      <c r="O94" s="15">
        <f t="shared" si="36"/>
        <v>12.5</v>
      </c>
      <c r="P94" s="15">
        <f t="shared" si="35"/>
        <v>63</v>
      </c>
      <c r="R94" s="8"/>
      <c r="T94"/>
    </row>
    <row r="95" spans="2:20" ht="23.1" customHeight="1" x14ac:dyDescent="0.25">
      <c r="B95" s="23" t="s">
        <v>135</v>
      </c>
      <c r="C95" s="49">
        <f>'Avg Week Nakawuka-Nateete'!C95+'Avg Week Nateete-Nakawuka'!C95</f>
        <v>3</v>
      </c>
      <c r="D95" s="49">
        <f>'Avg Week Nakawuka-Nateete'!D95+'Avg Week Nateete-Nakawuka'!D95</f>
        <v>1</v>
      </c>
      <c r="E95" s="49">
        <f>'Avg Week Nakawuka-Nateete'!E95+'Avg Week Nateete-Nakawuka'!E95</f>
        <v>0.5</v>
      </c>
      <c r="F95" s="49">
        <f>'Avg Week Nakawuka-Nateete'!F95+'Avg Week Nateete-Nakawuka'!F95</f>
        <v>1</v>
      </c>
      <c r="G95" s="49">
        <f>'Avg Week Nakawuka-Nateete'!G95+'Avg Week Nateete-Nakawuka'!G95</f>
        <v>0</v>
      </c>
      <c r="H95" s="49">
        <f>'Avg Week Nakawuka-Nateete'!H95+'Avg Week Nateete-Nakawuka'!H95</f>
        <v>0</v>
      </c>
      <c r="I95" s="49">
        <f>'Avg Week Nakawuka-Nateete'!I95+'Avg Week Nateete-Nakawuka'!I95</f>
        <v>0.5</v>
      </c>
      <c r="J95" s="49">
        <f>'Avg Week Nakawuka-Nateete'!J95+'Avg Week Nateete-Nakawuka'!J95</f>
        <v>1.5</v>
      </c>
      <c r="K95" s="49">
        <f>'Avg Week Nakawuka-Nateete'!K95+'Avg Week Nateete-Nakawuka'!K95</f>
        <v>0</v>
      </c>
      <c r="L95" s="49">
        <f>'Avg Week Nakawuka-Nateete'!L95+'Avg Week Nateete-Nakawuka'!L95</f>
        <v>0</v>
      </c>
      <c r="M95" s="49">
        <f>'Avg Week Nakawuka-Nateete'!M95+'Avg Week Nateete-Nakawuka'!M95</f>
        <v>55.5</v>
      </c>
      <c r="N95" s="49">
        <f>'Avg Week Nakawuka-Nateete'!N95+'Avg Week Nateete-Nakawuka'!N95</f>
        <v>0</v>
      </c>
      <c r="O95" s="15">
        <f t="shared" si="36"/>
        <v>7.5</v>
      </c>
      <c r="P95" s="15">
        <f t="shared" si="35"/>
        <v>63</v>
      </c>
      <c r="R95" s="8"/>
      <c r="T95"/>
    </row>
    <row r="96" spans="2:20" ht="23.1" customHeight="1" x14ac:dyDescent="0.25">
      <c r="B96" s="25" t="s">
        <v>136</v>
      </c>
      <c r="C96" s="49">
        <f>'Avg Week Nakawuka-Nateete'!C96+'Avg Week Nateete-Nakawuka'!C96</f>
        <v>5</v>
      </c>
      <c r="D96" s="49">
        <f>'Avg Week Nakawuka-Nateete'!D96+'Avg Week Nateete-Nakawuka'!D96</f>
        <v>2.5</v>
      </c>
      <c r="E96" s="49">
        <f>'Avg Week Nakawuka-Nateete'!E96+'Avg Week Nateete-Nakawuka'!E96</f>
        <v>0</v>
      </c>
      <c r="F96" s="49">
        <f>'Avg Week Nakawuka-Nateete'!F96+'Avg Week Nateete-Nakawuka'!F96</f>
        <v>4</v>
      </c>
      <c r="G96" s="49">
        <f>'Avg Week Nakawuka-Nateete'!G96+'Avg Week Nateete-Nakawuka'!G96</f>
        <v>0.5</v>
      </c>
      <c r="H96" s="49">
        <f>'Avg Week Nakawuka-Nateete'!H96+'Avg Week Nateete-Nakawuka'!H96</f>
        <v>0</v>
      </c>
      <c r="I96" s="49">
        <f>'Avg Week Nakawuka-Nateete'!I96+'Avg Week Nateete-Nakawuka'!I96</f>
        <v>0.5</v>
      </c>
      <c r="J96" s="49">
        <f>'Avg Week Nakawuka-Nateete'!J96+'Avg Week Nateete-Nakawuka'!J96</f>
        <v>1</v>
      </c>
      <c r="K96" s="49">
        <f>'Avg Week Nakawuka-Nateete'!K96+'Avg Week Nateete-Nakawuka'!K96</f>
        <v>0</v>
      </c>
      <c r="L96" s="49">
        <f>'Avg Week Nakawuka-Nateete'!L96+'Avg Week Nateete-Nakawuka'!L96</f>
        <v>0</v>
      </c>
      <c r="M96" s="49">
        <f>'Avg Week Nakawuka-Nateete'!M96+'Avg Week Nateete-Nakawuka'!M96</f>
        <v>57.5</v>
      </c>
      <c r="N96" s="49">
        <f>'Avg Week Nakawuka-Nateete'!N96+'Avg Week Nateete-Nakawuka'!N96</f>
        <v>0</v>
      </c>
      <c r="O96" s="15">
        <f t="shared" si="36"/>
        <v>13.5</v>
      </c>
      <c r="P96" s="15">
        <f t="shared" si="35"/>
        <v>71</v>
      </c>
      <c r="R96" s="8"/>
      <c r="T96"/>
    </row>
    <row r="97" spans="2:20" ht="23.1" customHeight="1" x14ac:dyDescent="0.25">
      <c r="B97" s="23" t="s">
        <v>137</v>
      </c>
      <c r="C97" s="49">
        <f>'Avg Week Nakawuka-Nateete'!C97+'Avg Week Nateete-Nakawuka'!C97</f>
        <v>3.5</v>
      </c>
      <c r="D97" s="49">
        <f>'Avg Week Nakawuka-Nateete'!D97+'Avg Week Nateete-Nakawuka'!D97</f>
        <v>5</v>
      </c>
      <c r="E97" s="49">
        <f>'Avg Week Nakawuka-Nateete'!E97+'Avg Week Nateete-Nakawuka'!E97</f>
        <v>0.5</v>
      </c>
      <c r="F97" s="49">
        <f>'Avg Week Nakawuka-Nateete'!F97+'Avg Week Nateete-Nakawuka'!F97</f>
        <v>3</v>
      </c>
      <c r="G97" s="49">
        <f>'Avg Week Nakawuka-Nateete'!G97+'Avg Week Nateete-Nakawuka'!G97</f>
        <v>0</v>
      </c>
      <c r="H97" s="49">
        <f>'Avg Week Nakawuka-Nateete'!H97+'Avg Week Nateete-Nakawuka'!H97</f>
        <v>0</v>
      </c>
      <c r="I97" s="49">
        <f>'Avg Week Nakawuka-Nateete'!I97+'Avg Week Nateete-Nakawuka'!I97</f>
        <v>0</v>
      </c>
      <c r="J97" s="49">
        <f>'Avg Week Nakawuka-Nateete'!J97+'Avg Week Nateete-Nakawuka'!J97</f>
        <v>0</v>
      </c>
      <c r="K97" s="49">
        <f>'Avg Week Nakawuka-Nateete'!K97+'Avg Week Nateete-Nakawuka'!K97</f>
        <v>0</v>
      </c>
      <c r="L97" s="49">
        <f>'Avg Week Nakawuka-Nateete'!L97+'Avg Week Nateete-Nakawuka'!L97</f>
        <v>0</v>
      </c>
      <c r="M97" s="49">
        <f>'Avg Week Nakawuka-Nateete'!M97+'Avg Week Nateete-Nakawuka'!M97</f>
        <v>64</v>
      </c>
      <c r="N97" s="49">
        <f>'Avg Week Nakawuka-Nateete'!N97+'Avg Week Nateete-Nakawuka'!N97</f>
        <v>0</v>
      </c>
      <c r="O97" s="15">
        <f t="shared" si="36"/>
        <v>12</v>
      </c>
      <c r="P97" s="15">
        <f t="shared" si="35"/>
        <v>76</v>
      </c>
      <c r="R97" s="8"/>
      <c r="T97"/>
    </row>
    <row r="98" spans="2:20" ht="23.1" customHeight="1" x14ac:dyDescent="0.25">
      <c r="B98" s="24" t="s">
        <v>138</v>
      </c>
      <c r="C98" s="49">
        <f>'Avg Week Nakawuka-Nateete'!C98+'Avg Week Nateete-Nakawuka'!C98</f>
        <v>2.5</v>
      </c>
      <c r="D98" s="49">
        <f>'Avg Week Nakawuka-Nateete'!D98+'Avg Week Nateete-Nakawuka'!D98</f>
        <v>3.5</v>
      </c>
      <c r="E98" s="49">
        <f>'Avg Week Nakawuka-Nateete'!E98+'Avg Week Nateete-Nakawuka'!E98</f>
        <v>0.5</v>
      </c>
      <c r="F98" s="49">
        <f>'Avg Week Nakawuka-Nateete'!F98+'Avg Week Nateete-Nakawuka'!F98</f>
        <v>5</v>
      </c>
      <c r="G98" s="49">
        <f>'Avg Week Nakawuka-Nateete'!G98+'Avg Week Nateete-Nakawuka'!G98</f>
        <v>0</v>
      </c>
      <c r="H98" s="49">
        <f>'Avg Week Nakawuka-Nateete'!H98+'Avg Week Nateete-Nakawuka'!H98</f>
        <v>0</v>
      </c>
      <c r="I98" s="49">
        <f>'Avg Week Nakawuka-Nateete'!I98+'Avg Week Nateete-Nakawuka'!I98</f>
        <v>3</v>
      </c>
      <c r="J98" s="49">
        <f>'Avg Week Nakawuka-Nateete'!J98+'Avg Week Nateete-Nakawuka'!J98</f>
        <v>0.5</v>
      </c>
      <c r="K98" s="49">
        <f>'Avg Week Nakawuka-Nateete'!K98+'Avg Week Nateete-Nakawuka'!K98</f>
        <v>0.5</v>
      </c>
      <c r="L98" s="49">
        <f>'Avg Week Nakawuka-Nateete'!L98+'Avg Week Nateete-Nakawuka'!L98</f>
        <v>0.5</v>
      </c>
      <c r="M98" s="49">
        <f>'Avg Week Nakawuka-Nateete'!M98+'Avg Week Nateete-Nakawuka'!M98</f>
        <v>69.5</v>
      </c>
      <c r="N98" s="49">
        <f>'Avg Week Nakawuka-Nateete'!N98+'Avg Week Nateete-Nakawuka'!N98</f>
        <v>0</v>
      </c>
      <c r="O98" s="15">
        <f t="shared" si="36"/>
        <v>16</v>
      </c>
      <c r="P98" s="15">
        <f t="shared" si="35"/>
        <v>85.5</v>
      </c>
      <c r="R98" s="8"/>
      <c r="T98"/>
    </row>
    <row r="99" spans="2:20" ht="23.1" customHeight="1" x14ac:dyDescent="0.25">
      <c r="B99" s="23" t="s">
        <v>139</v>
      </c>
      <c r="C99" s="49">
        <f>'Avg Week Nakawuka-Nateete'!C99+'Avg Week Nateete-Nakawuka'!C99</f>
        <v>5</v>
      </c>
      <c r="D99" s="49">
        <f>'Avg Week Nakawuka-Nateete'!D99+'Avg Week Nateete-Nakawuka'!D99</f>
        <v>4</v>
      </c>
      <c r="E99" s="49">
        <f>'Avg Week Nakawuka-Nateete'!E99+'Avg Week Nateete-Nakawuka'!E99</f>
        <v>1</v>
      </c>
      <c r="F99" s="49">
        <f>'Avg Week Nakawuka-Nateete'!F99+'Avg Week Nateete-Nakawuka'!F99</f>
        <v>7.5</v>
      </c>
      <c r="G99" s="49">
        <f>'Avg Week Nakawuka-Nateete'!G99+'Avg Week Nateete-Nakawuka'!G99</f>
        <v>0</v>
      </c>
      <c r="H99" s="49">
        <f>'Avg Week Nakawuka-Nateete'!H99+'Avg Week Nateete-Nakawuka'!H99</f>
        <v>0</v>
      </c>
      <c r="I99" s="49">
        <f>'Avg Week Nakawuka-Nateete'!I99+'Avg Week Nateete-Nakawuka'!I99</f>
        <v>1.5</v>
      </c>
      <c r="J99" s="49">
        <f>'Avg Week Nakawuka-Nateete'!J99+'Avg Week Nateete-Nakawuka'!J99</f>
        <v>1</v>
      </c>
      <c r="K99" s="49">
        <f>'Avg Week Nakawuka-Nateete'!K99+'Avg Week Nateete-Nakawuka'!K99</f>
        <v>0.5</v>
      </c>
      <c r="L99" s="49">
        <f>'Avg Week Nakawuka-Nateete'!L99+'Avg Week Nateete-Nakawuka'!L99</f>
        <v>0</v>
      </c>
      <c r="M99" s="49">
        <f>'Avg Week Nakawuka-Nateete'!M99+'Avg Week Nateete-Nakawuka'!M99</f>
        <v>67.5</v>
      </c>
      <c r="N99" s="49">
        <f>'Avg Week Nakawuka-Nateete'!N99+'Avg Week Nateete-Nakawuka'!N99</f>
        <v>0</v>
      </c>
      <c r="O99" s="15">
        <f t="shared" si="36"/>
        <v>20.5</v>
      </c>
      <c r="P99" s="15">
        <f t="shared" si="35"/>
        <v>88</v>
      </c>
      <c r="R99" s="8"/>
      <c r="T99"/>
    </row>
    <row r="100" spans="2:20" ht="23.1" customHeight="1" x14ac:dyDescent="0.25">
      <c r="B100" s="25" t="s">
        <v>140</v>
      </c>
      <c r="C100" s="49">
        <f>'Avg Week Nakawuka-Nateete'!C100+'Avg Week Nateete-Nakawuka'!C100</f>
        <v>5</v>
      </c>
      <c r="D100" s="49">
        <f>'Avg Week Nakawuka-Nateete'!D100+'Avg Week Nateete-Nakawuka'!D100</f>
        <v>7</v>
      </c>
      <c r="E100" s="49">
        <f>'Avg Week Nakawuka-Nateete'!E100+'Avg Week Nateete-Nakawuka'!E100</f>
        <v>1</v>
      </c>
      <c r="F100" s="49">
        <f>'Avg Week Nakawuka-Nateete'!F100+'Avg Week Nateete-Nakawuka'!F100</f>
        <v>8</v>
      </c>
      <c r="G100" s="49">
        <f>'Avg Week Nakawuka-Nateete'!G100+'Avg Week Nateete-Nakawuka'!G100</f>
        <v>0</v>
      </c>
      <c r="H100" s="49">
        <f>'Avg Week Nakawuka-Nateete'!H100+'Avg Week Nateete-Nakawuka'!H100</f>
        <v>0</v>
      </c>
      <c r="I100" s="49">
        <f>'Avg Week Nakawuka-Nateete'!I100+'Avg Week Nateete-Nakawuka'!I100</f>
        <v>0</v>
      </c>
      <c r="J100" s="49">
        <f>'Avg Week Nakawuka-Nateete'!J100+'Avg Week Nateete-Nakawuka'!J100</f>
        <v>1.5</v>
      </c>
      <c r="K100" s="49">
        <f>'Avg Week Nakawuka-Nateete'!K100+'Avg Week Nateete-Nakawuka'!K100</f>
        <v>0</v>
      </c>
      <c r="L100" s="49">
        <f>'Avg Week Nakawuka-Nateete'!L100+'Avg Week Nateete-Nakawuka'!L100</f>
        <v>0.5</v>
      </c>
      <c r="M100" s="49">
        <f>'Avg Week Nakawuka-Nateete'!M100+'Avg Week Nateete-Nakawuka'!M100</f>
        <v>103</v>
      </c>
      <c r="N100" s="49">
        <f>'Avg Week Nakawuka-Nateete'!N100+'Avg Week Nateete-Nakawuka'!N100</f>
        <v>0</v>
      </c>
      <c r="O100" s="15">
        <f t="shared" si="36"/>
        <v>23</v>
      </c>
      <c r="P100" s="15">
        <f t="shared" si="35"/>
        <v>126</v>
      </c>
      <c r="R100" s="8"/>
      <c r="T100"/>
    </row>
    <row r="101" spans="2:20" ht="23.1" customHeight="1" x14ac:dyDescent="0.25">
      <c r="B101" s="23" t="s">
        <v>141</v>
      </c>
      <c r="C101" s="49">
        <f>'Avg Week Nakawuka-Nateete'!C101+'Avg Week Nateete-Nakawuka'!C101</f>
        <v>6</v>
      </c>
      <c r="D101" s="49">
        <f>'Avg Week Nakawuka-Nateete'!D101+'Avg Week Nateete-Nakawuka'!D101</f>
        <v>4</v>
      </c>
      <c r="E101" s="49">
        <f>'Avg Week Nakawuka-Nateete'!E101+'Avg Week Nateete-Nakawuka'!E101</f>
        <v>2</v>
      </c>
      <c r="F101" s="49">
        <f>'Avg Week Nakawuka-Nateete'!F101+'Avg Week Nateete-Nakawuka'!F101</f>
        <v>11.5</v>
      </c>
      <c r="G101" s="49">
        <f>'Avg Week Nakawuka-Nateete'!G101+'Avg Week Nateete-Nakawuka'!G101</f>
        <v>0</v>
      </c>
      <c r="H101" s="49">
        <f>'Avg Week Nakawuka-Nateete'!H101+'Avg Week Nateete-Nakawuka'!H101</f>
        <v>1</v>
      </c>
      <c r="I101" s="49">
        <f>'Avg Week Nakawuka-Nateete'!I101+'Avg Week Nateete-Nakawuka'!I101</f>
        <v>3</v>
      </c>
      <c r="J101" s="49">
        <f>'Avg Week Nakawuka-Nateete'!J101+'Avg Week Nateete-Nakawuka'!J101</f>
        <v>5</v>
      </c>
      <c r="K101" s="49">
        <f>'Avg Week Nakawuka-Nateete'!K101+'Avg Week Nateete-Nakawuka'!K101</f>
        <v>1</v>
      </c>
      <c r="L101" s="49">
        <f>'Avg Week Nakawuka-Nateete'!L101+'Avg Week Nateete-Nakawuka'!L101</f>
        <v>0</v>
      </c>
      <c r="M101" s="49">
        <f>'Avg Week Nakawuka-Nateete'!M101+'Avg Week Nateete-Nakawuka'!M101</f>
        <v>159</v>
      </c>
      <c r="N101" s="49">
        <f>'Avg Week Nakawuka-Nateete'!N101+'Avg Week Nateete-Nakawuka'!N101</f>
        <v>0</v>
      </c>
      <c r="O101" s="15">
        <f t="shared" si="36"/>
        <v>33.5</v>
      </c>
      <c r="P101" s="15">
        <f t="shared" si="35"/>
        <v>192.5</v>
      </c>
      <c r="R101" s="8"/>
      <c r="T101"/>
    </row>
    <row r="102" spans="2:20" ht="23.1" customHeight="1" x14ac:dyDescent="0.25">
      <c r="B102" s="24" t="s">
        <v>142</v>
      </c>
      <c r="C102" s="49">
        <f>'Avg Week Nakawuka-Nateete'!C102+'Avg Week Nateete-Nakawuka'!C102</f>
        <v>3</v>
      </c>
      <c r="D102" s="49">
        <f>'Avg Week Nakawuka-Nateete'!D102+'Avg Week Nateete-Nakawuka'!D102</f>
        <v>2.5</v>
      </c>
      <c r="E102" s="49">
        <f>'Avg Week Nakawuka-Nateete'!E102+'Avg Week Nateete-Nakawuka'!E102</f>
        <v>3.5</v>
      </c>
      <c r="F102" s="49">
        <f>'Avg Week Nakawuka-Nateete'!F102+'Avg Week Nateete-Nakawuka'!F102</f>
        <v>9.5</v>
      </c>
      <c r="G102" s="49">
        <f>'Avg Week Nakawuka-Nateete'!G102+'Avg Week Nateete-Nakawuka'!G102</f>
        <v>0</v>
      </c>
      <c r="H102" s="49">
        <f>'Avg Week Nakawuka-Nateete'!H102+'Avg Week Nateete-Nakawuka'!H102</f>
        <v>0.5</v>
      </c>
      <c r="I102" s="49">
        <f>'Avg Week Nakawuka-Nateete'!I102+'Avg Week Nateete-Nakawuka'!I102</f>
        <v>4</v>
      </c>
      <c r="J102" s="49">
        <f>'Avg Week Nakawuka-Nateete'!J102+'Avg Week Nateete-Nakawuka'!J102</f>
        <v>2</v>
      </c>
      <c r="K102" s="49">
        <f>'Avg Week Nakawuka-Nateete'!K102+'Avg Week Nateete-Nakawuka'!K102</f>
        <v>1</v>
      </c>
      <c r="L102" s="49">
        <f>'Avg Week Nakawuka-Nateete'!L102+'Avg Week Nateete-Nakawuka'!L102</f>
        <v>0</v>
      </c>
      <c r="M102" s="49">
        <f>'Avg Week Nakawuka-Nateete'!M102+'Avg Week Nateete-Nakawuka'!M102</f>
        <v>125.5</v>
      </c>
      <c r="N102" s="49">
        <f>'Avg Week Nakawuka-Nateete'!N102+'Avg Week Nateete-Nakawuka'!N102</f>
        <v>0</v>
      </c>
      <c r="O102" s="15">
        <f t="shared" si="36"/>
        <v>26</v>
      </c>
      <c r="P102" s="15">
        <f t="shared" si="35"/>
        <v>151.5</v>
      </c>
      <c r="R102" s="8"/>
      <c r="T102"/>
    </row>
    <row r="103" spans="2:20" ht="23.1" customHeight="1" x14ac:dyDescent="0.25">
      <c r="B103" s="23" t="s">
        <v>143</v>
      </c>
      <c r="C103" s="49">
        <f>'Avg Week Nakawuka-Nateete'!C103+'Avg Week Nateete-Nakawuka'!C103</f>
        <v>10.5</v>
      </c>
      <c r="D103" s="49">
        <f>'Avg Week Nakawuka-Nateete'!D103+'Avg Week Nateete-Nakawuka'!D103</f>
        <v>6.5</v>
      </c>
      <c r="E103" s="49">
        <f>'Avg Week Nakawuka-Nateete'!E103+'Avg Week Nateete-Nakawuka'!E103</f>
        <v>2</v>
      </c>
      <c r="F103" s="49">
        <f>'Avg Week Nakawuka-Nateete'!F103+'Avg Week Nateete-Nakawuka'!F103</f>
        <v>18.5</v>
      </c>
      <c r="G103" s="49">
        <f>'Avg Week Nakawuka-Nateete'!G103+'Avg Week Nateete-Nakawuka'!G103</f>
        <v>0</v>
      </c>
      <c r="H103" s="49">
        <f>'Avg Week Nakawuka-Nateete'!H103+'Avg Week Nateete-Nakawuka'!H103</f>
        <v>0</v>
      </c>
      <c r="I103" s="49">
        <f>'Avg Week Nakawuka-Nateete'!I103+'Avg Week Nateete-Nakawuka'!I103</f>
        <v>5.5</v>
      </c>
      <c r="J103" s="49">
        <f>'Avg Week Nakawuka-Nateete'!J103+'Avg Week Nateete-Nakawuka'!J103</f>
        <v>5</v>
      </c>
      <c r="K103" s="49">
        <f>'Avg Week Nakawuka-Nateete'!K103+'Avg Week Nateete-Nakawuka'!K103</f>
        <v>0</v>
      </c>
      <c r="L103" s="49">
        <f>'Avg Week Nakawuka-Nateete'!L103+'Avg Week Nateete-Nakawuka'!L103</f>
        <v>0</v>
      </c>
      <c r="M103" s="49">
        <f>'Avg Week Nakawuka-Nateete'!M103+'Avg Week Nateete-Nakawuka'!M103</f>
        <v>171</v>
      </c>
      <c r="N103" s="49">
        <f>'Avg Week Nakawuka-Nateete'!N103+'Avg Week Nateete-Nakawuka'!N103</f>
        <v>0</v>
      </c>
      <c r="O103" s="15">
        <f t="shared" si="36"/>
        <v>48</v>
      </c>
      <c r="P103" s="15">
        <f t="shared" si="35"/>
        <v>219</v>
      </c>
      <c r="R103" s="8"/>
      <c r="T103"/>
    </row>
    <row r="104" spans="2:20" ht="23.1" customHeight="1" x14ac:dyDescent="0.25">
      <c r="B104" s="25" t="s">
        <v>144</v>
      </c>
      <c r="C104" s="49">
        <f>'Avg Week Nakawuka-Nateete'!C104+'Avg Week Nateete-Nakawuka'!C104</f>
        <v>17</v>
      </c>
      <c r="D104" s="49">
        <f>'Avg Week Nakawuka-Nateete'!D104+'Avg Week Nateete-Nakawuka'!D104</f>
        <v>13</v>
      </c>
      <c r="E104" s="49">
        <f>'Avg Week Nakawuka-Nateete'!E104+'Avg Week Nateete-Nakawuka'!E104</f>
        <v>3</v>
      </c>
      <c r="F104" s="49">
        <f>'Avg Week Nakawuka-Nateete'!F104+'Avg Week Nateete-Nakawuka'!F104</f>
        <v>23.5</v>
      </c>
      <c r="G104" s="49">
        <f>'Avg Week Nakawuka-Nateete'!G104+'Avg Week Nateete-Nakawuka'!G104</f>
        <v>0.5</v>
      </c>
      <c r="H104" s="49">
        <f>'Avg Week Nakawuka-Nateete'!H104+'Avg Week Nateete-Nakawuka'!H104</f>
        <v>0.5</v>
      </c>
      <c r="I104" s="49">
        <f>'Avg Week Nakawuka-Nateete'!I104+'Avg Week Nateete-Nakawuka'!I104</f>
        <v>7</v>
      </c>
      <c r="J104" s="49">
        <f>'Avg Week Nakawuka-Nateete'!J104+'Avg Week Nateete-Nakawuka'!J104</f>
        <v>5.5</v>
      </c>
      <c r="K104" s="49">
        <f>'Avg Week Nakawuka-Nateete'!K104+'Avg Week Nateete-Nakawuka'!K104</f>
        <v>1</v>
      </c>
      <c r="L104" s="49">
        <f>'Avg Week Nakawuka-Nateete'!L104+'Avg Week Nateete-Nakawuka'!L104</f>
        <v>0.5</v>
      </c>
      <c r="M104" s="49">
        <f>'Avg Week Nakawuka-Nateete'!M104+'Avg Week Nateete-Nakawuka'!M104</f>
        <v>219</v>
      </c>
      <c r="N104" s="49">
        <f>'Avg Week Nakawuka-Nateete'!N104+'Avg Week Nateete-Nakawuka'!N104</f>
        <v>0</v>
      </c>
      <c r="O104" s="15">
        <f t="shared" si="36"/>
        <v>71.5</v>
      </c>
      <c r="P104" s="15">
        <f t="shared" si="35"/>
        <v>290.5</v>
      </c>
      <c r="R104" s="8"/>
      <c r="T104"/>
    </row>
    <row r="105" spans="2:20" ht="23.1" customHeight="1" x14ac:dyDescent="0.25">
      <c r="B105" s="23" t="s">
        <v>145</v>
      </c>
      <c r="C105" s="49">
        <f>'Avg Week Nakawuka-Nateete'!C105+'Avg Week Nateete-Nakawuka'!C105</f>
        <v>22.5</v>
      </c>
      <c r="D105" s="49">
        <f>'Avg Week Nakawuka-Nateete'!D105+'Avg Week Nateete-Nakawuka'!D105</f>
        <v>13.5</v>
      </c>
      <c r="E105" s="49">
        <f>'Avg Week Nakawuka-Nateete'!E105+'Avg Week Nateete-Nakawuka'!E105</f>
        <v>2</v>
      </c>
      <c r="F105" s="49">
        <f>'Avg Week Nakawuka-Nateete'!F105+'Avg Week Nateete-Nakawuka'!F105</f>
        <v>32</v>
      </c>
      <c r="G105" s="49">
        <f>'Avg Week Nakawuka-Nateete'!G105+'Avg Week Nateete-Nakawuka'!G105</f>
        <v>0.5</v>
      </c>
      <c r="H105" s="49">
        <f>'Avg Week Nakawuka-Nateete'!H105+'Avg Week Nateete-Nakawuka'!H105</f>
        <v>0</v>
      </c>
      <c r="I105" s="49">
        <f>'Avg Week Nakawuka-Nateete'!I105+'Avg Week Nateete-Nakawuka'!I105</f>
        <v>3</v>
      </c>
      <c r="J105" s="49">
        <f>'Avg Week Nakawuka-Nateete'!J105+'Avg Week Nateete-Nakawuka'!J105</f>
        <v>6</v>
      </c>
      <c r="K105" s="49">
        <f>'Avg Week Nakawuka-Nateete'!K105+'Avg Week Nateete-Nakawuka'!K105</f>
        <v>0</v>
      </c>
      <c r="L105" s="49">
        <f>'Avg Week Nakawuka-Nateete'!L105+'Avg Week Nateete-Nakawuka'!L105</f>
        <v>0</v>
      </c>
      <c r="M105" s="49">
        <f>'Avg Week Nakawuka-Nateete'!M105+'Avg Week Nateete-Nakawuka'!M105</f>
        <v>222</v>
      </c>
      <c r="N105" s="49">
        <f>'Avg Week Nakawuka-Nateete'!N105+'Avg Week Nateete-Nakawuka'!N105</f>
        <v>0</v>
      </c>
      <c r="O105" s="15">
        <f t="shared" si="36"/>
        <v>79.5</v>
      </c>
      <c r="P105" s="15">
        <f t="shared" si="35"/>
        <v>301.5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2459.8571428571431</v>
      </c>
      <c r="D106" s="16">
        <f t="shared" ref="D106:P106" si="37">SUM(D10:D105)</f>
        <v>1081.9285714285713</v>
      </c>
      <c r="E106" s="16">
        <f t="shared" si="37"/>
        <v>522.21428571428578</v>
      </c>
      <c r="F106" s="16">
        <f t="shared" si="37"/>
        <v>2832.9285714285716</v>
      </c>
      <c r="G106" s="16">
        <f t="shared" si="37"/>
        <v>105.42857142857142</v>
      </c>
      <c r="H106" s="16">
        <f t="shared" si="37"/>
        <v>68.142857142857139</v>
      </c>
      <c r="I106" s="16">
        <f t="shared" si="37"/>
        <v>704.5</v>
      </c>
      <c r="J106" s="16">
        <f t="shared" si="37"/>
        <v>330.78571428571433</v>
      </c>
      <c r="K106" s="16">
        <f t="shared" si="37"/>
        <v>94.285714285714292</v>
      </c>
      <c r="L106" s="16">
        <f t="shared" si="37"/>
        <v>74.214285714285722</v>
      </c>
      <c r="M106" s="16">
        <f t="shared" si="37"/>
        <v>15839.714285714286</v>
      </c>
      <c r="N106" s="16">
        <f t="shared" si="37"/>
        <v>1.2857142857142856</v>
      </c>
      <c r="O106" s="16">
        <f t="shared" si="37"/>
        <v>8275.5714285714294</v>
      </c>
      <c r="P106" s="16">
        <f t="shared" si="37"/>
        <v>24115.28571428571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0.10200406381251965</v>
      </c>
      <c r="D107" s="43">
        <f t="shared" si="38"/>
        <v>4.4864845652135284E-2</v>
      </c>
      <c r="E107" s="43">
        <f t="shared" si="38"/>
        <v>2.1654907675629571E-2</v>
      </c>
      <c r="F107" s="43">
        <f t="shared" si="38"/>
        <v>0.11747439383437894</v>
      </c>
      <c r="G107" s="43">
        <f t="shared" si="38"/>
        <v>4.3718566173203723E-3</v>
      </c>
      <c r="H107" s="43">
        <f t="shared" si="38"/>
        <v>2.8257122038778015E-3</v>
      </c>
      <c r="I107" s="43">
        <f t="shared" si="38"/>
        <v>2.9213835919126581E-2</v>
      </c>
      <c r="J107" s="43">
        <f t="shared" si="38"/>
        <v>1.3716848234966564E-2</v>
      </c>
      <c r="K107" s="43">
        <f t="shared" si="38"/>
        <v>3.9097904707743169E-3</v>
      </c>
      <c r="L107" s="43">
        <f t="shared" si="38"/>
        <v>3.0774790144958452E-3</v>
      </c>
      <c r="M107" s="43">
        <f t="shared" si="38"/>
        <v>0.65683295124017382</v>
      </c>
      <c r="N107" s="43">
        <f t="shared" si="38"/>
        <v>5.3315324601467952E-5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0.29724317699252534</v>
      </c>
      <c r="D108" s="44">
        <f t="shared" ref="D108:N108" si="39">D106/$O$106</f>
        <v>0.13073762709523726</v>
      </c>
      <c r="E108" s="44">
        <f t="shared" si="39"/>
        <v>6.3103108978231973E-2</v>
      </c>
      <c r="F108" s="44">
        <f t="shared" si="39"/>
        <v>0.34232422448169308</v>
      </c>
      <c r="G108" s="44">
        <f t="shared" si="39"/>
        <v>1.2739733121579862E-2</v>
      </c>
      <c r="H108" s="44">
        <f t="shared" si="39"/>
        <v>8.2342177493138144E-3</v>
      </c>
      <c r="I108" s="44">
        <f t="shared" si="39"/>
        <v>8.513007302042154E-2</v>
      </c>
      <c r="J108" s="44">
        <f t="shared" si="39"/>
        <v>3.9971344231731952E-2</v>
      </c>
      <c r="K108" s="44">
        <f t="shared" si="39"/>
        <v>1.1393257263201504E-2</v>
      </c>
      <c r="L108" s="44">
        <f t="shared" si="39"/>
        <v>8.9678744670199737E-3</v>
      </c>
      <c r="M108" s="44"/>
      <c r="N108" s="44">
        <f t="shared" si="39"/>
        <v>1.5536259904365686E-4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Nakawuka-Nateete</vt:lpstr>
      <vt:lpstr>22.07 Nateete-Nakawuka</vt:lpstr>
      <vt:lpstr>23.07 Nakawuka-Nateete</vt:lpstr>
      <vt:lpstr>23.07 Nateete-Nakawuka</vt:lpstr>
      <vt:lpstr>24.07 Nakawuka-Nateete</vt:lpstr>
      <vt:lpstr>24.07 Nateete-Nakawuka</vt:lpstr>
      <vt:lpstr>25.07 Nakawuka-Nateete</vt:lpstr>
      <vt:lpstr>25.07 Nateete-Nakawuka</vt:lpstr>
      <vt:lpstr>26.07 Nakawuka-Nateete-24h</vt:lpstr>
      <vt:lpstr>26.07 Nateete-Nakawuka-24h</vt:lpstr>
      <vt:lpstr>27.07 Nakawuka-Nateete-24h</vt:lpstr>
      <vt:lpstr>27.07 Nateete-Nakawuka-24h</vt:lpstr>
      <vt:lpstr>28.07 Nakawuka-Nateete</vt:lpstr>
      <vt:lpstr>28.07 Nateete-Nakawuka</vt:lpstr>
      <vt:lpstr>Avg Week Nakawuka-Nateete</vt:lpstr>
      <vt:lpstr>Avg Week Nateete-Nakawuka</vt:lpstr>
      <vt:lpstr>Avg Week Nakawuka-Nateete-2Dir</vt:lpstr>
      <vt:lpstr>'22.07 Nakawuka-Nateete'!Print_Area</vt:lpstr>
      <vt:lpstr>'22.07 Nateete-Nakawuka'!Print_Area</vt:lpstr>
      <vt:lpstr>'23.07 Nakawuka-Nateete'!Print_Area</vt:lpstr>
      <vt:lpstr>'23.07 Nateete-Nakawuka'!Print_Area</vt:lpstr>
      <vt:lpstr>'24.07 Nakawuka-Nateete'!Print_Area</vt:lpstr>
      <vt:lpstr>'24.07 Nateete-Nakawuka'!Print_Area</vt:lpstr>
      <vt:lpstr>'25.07 Nakawuka-Nateete'!Print_Area</vt:lpstr>
      <vt:lpstr>'25.07 Nateete-Nakawuka'!Print_Area</vt:lpstr>
      <vt:lpstr>'26.07 Nakawuka-Nateete-24h'!Print_Area</vt:lpstr>
      <vt:lpstr>'26.07 Nateete-Nakawuka-24h'!Print_Area</vt:lpstr>
      <vt:lpstr>'27.07 Nakawuka-Nateete-24h'!Print_Area</vt:lpstr>
      <vt:lpstr>'27.07 Nateete-Nakawuka-24h'!Print_Area</vt:lpstr>
      <vt:lpstr>'28.07 Nakawuka-Nateete'!Print_Area</vt:lpstr>
      <vt:lpstr>'28.07 Nateete-Nakawuka'!Print_Area</vt:lpstr>
      <vt:lpstr>'Avg Week Nakawuka-Nateete'!Print_Area</vt:lpstr>
      <vt:lpstr>'Avg Week Nakawuka-Nateete-2Dir'!Print_Area</vt:lpstr>
      <vt:lpstr>'Avg Week Nateete-Nakawuka'!Print_Area</vt:lpstr>
      <vt:lpstr>'22.07 Nakawuka-Nateete'!Print_Titles</vt:lpstr>
      <vt:lpstr>'22.07 Nateete-Nakawuka'!Print_Titles</vt:lpstr>
      <vt:lpstr>'23.07 Nakawuka-Nateete'!Print_Titles</vt:lpstr>
      <vt:lpstr>'23.07 Nateete-Nakawuka'!Print_Titles</vt:lpstr>
      <vt:lpstr>'24.07 Nakawuka-Nateete'!Print_Titles</vt:lpstr>
      <vt:lpstr>'24.07 Nateete-Nakawuka'!Print_Titles</vt:lpstr>
      <vt:lpstr>'25.07 Nakawuka-Nateete'!Print_Titles</vt:lpstr>
      <vt:lpstr>'25.07 Nateete-Nakawuka'!Print_Titles</vt:lpstr>
      <vt:lpstr>'26.07 Nakawuka-Nateete-24h'!Print_Titles</vt:lpstr>
      <vt:lpstr>'26.07 Nateete-Nakawuka-24h'!Print_Titles</vt:lpstr>
      <vt:lpstr>'27.07 Nakawuka-Nateete-24h'!Print_Titles</vt:lpstr>
      <vt:lpstr>'27.07 Nateete-Nakawuka-24h'!Print_Titles</vt:lpstr>
      <vt:lpstr>'28.07 Nakawuka-Nateete'!Print_Titles</vt:lpstr>
      <vt:lpstr>'28.07 Nateete-Nakawuka'!Print_Titles</vt:lpstr>
      <vt:lpstr>'Avg Week Nakawuka-Nateete'!Print_Titles</vt:lpstr>
      <vt:lpstr>'Avg Week Nakawuka-Nateete-2Dir'!Print_Titles</vt:lpstr>
      <vt:lpstr>'Avg Week Nateete-Nakawuka'!Print_Titles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2020-01-15T18:41:17Z</dcterms:modified>
</cp:coreProperties>
</file>