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AN\Desktop\C-1 Analysis Complete\STN-C1-RD-32-BUKOTO KISASI OVERPASS\MCC DATA\"/>
    </mc:Choice>
  </mc:AlternateContent>
  <bookViews>
    <workbookView xWindow="-120" yWindow="-120" windowWidth="20730" windowHeight="11160" tabRatio="911" firstSheet="11" activeTab="16"/>
  </bookViews>
  <sheets>
    <sheet name="29.07 Kisasi-Bukoto" sheetId="93" r:id="rId1"/>
    <sheet name="29.07 Bukoto-Kisasi" sheetId="94" r:id="rId2"/>
    <sheet name="30.07 Kisasi-Bukoto" sheetId="95" r:id="rId3"/>
    <sheet name="30.07 Bukoto-Kisasi" sheetId="96" r:id="rId4"/>
    <sheet name="31.07 Kisasi-Bukoto" sheetId="97" r:id="rId5"/>
    <sheet name="31.07 Bukoto-Kisasi" sheetId="98" r:id="rId6"/>
    <sheet name="01.08 Kisasi-Bukoto" sheetId="101" r:id="rId7"/>
    <sheet name="01.08 Bukoto-Kisasi" sheetId="109" r:id="rId8"/>
    <sheet name="02.08 Kisasi-Bukoto" sheetId="99" r:id="rId9"/>
    <sheet name="02.08 Bukoto-Kisasi" sheetId="100" r:id="rId10"/>
    <sheet name="03.08 Kisasi-Bukoto" sheetId="105" r:id="rId11"/>
    <sheet name="03.08 Bukoto-Kisasi" sheetId="110" r:id="rId12"/>
    <sheet name="04.08 Kisasi-Bukoto" sheetId="103" r:id="rId13"/>
    <sheet name="04.08 Bukoto-Kisasi" sheetId="104" r:id="rId14"/>
    <sheet name="Avg Week Kisasi-Bukoto" sheetId="107" r:id="rId15"/>
    <sheet name="Avg Week Bukoto-Kisasi" sheetId="108" r:id="rId16"/>
    <sheet name="Avg Week Kisasi-Bukoto-2Dir" sheetId="111" r:id="rId17"/>
  </sheets>
  <definedNames>
    <definedName name="_xlnm.Print_Area" localSheetId="7">'01.08 Bukoto-Kisasi'!$A$1:$AF$108</definedName>
    <definedName name="_xlnm.Print_Area" localSheetId="6">'01.08 Kisasi-Bukoto'!$A$1:$AF$108</definedName>
    <definedName name="_xlnm.Print_Area" localSheetId="9">'02.08 Bukoto-Kisasi'!$A$1:$AF$60</definedName>
    <definedName name="_xlnm.Print_Area" localSheetId="8">'02.08 Kisasi-Bukoto'!$A$1:$AF$60</definedName>
    <definedName name="_xlnm.Print_Area" localSheetId="11">'03.08 Bukoto-Kisasi'!$A$1:$AF$108</definedName>
    <definedName name="_xlnm.Print_Area" localSheetId="10">'03.08 Kisasi-Bukoto'!$A$1:$AF$108</definedName>
    <definedName name="_xlnm.Print_Area" localSheetId="13">'04.08 Bukoto-Kisasi'!$A$1:$AF$60</definedName>
    <definedName name="_xlnm.Print_Area" localSheetId="12">'04.08 Kisasi-Bukoto'!$A$1:$AF$60</definedName>
    <definedName name="_xlnm.Print_Area" localSheetId="1">'29.07 Bukoto-Kisasi'!$A$1:$AF$60</definedName>
    <definedName name="_xlnm.Print_Area" localSheetId="0">'29.07 Kisasi-Bukoto'!$A$1:$AF$60</definedName>
    <definedName name="_xlnm.Print_Area" localSheetId="3">'30.07 Bukoto-Kisasi'!$A$1:$AF$60</definedName>
    <definedName name="_xlnm.Print_Area" localSheetId="2">'30.07 Kisasi-Bukoto'!$A$1:$AF$60</definedName>
    <definedName name="_xlnm.Print_Area" localSheetId="5">'31.07 Bukoto-Kisasi'!$A$1:$AF$60</definedName>
    <definedName name="_xlnm.Print_Area" localSheetId="4">'31.07 Kisasi-Bukoto'!$A$1:$AF$60</definedName>
    <definedName name="_xlnm.Print_Area" localSheetId="15">'Avg Week Bukoto-Kisasi'!$A$1:$AF$109</definedName>
    <definedName name="_xlnm.Print_Area" localSheetId="14">'Avg Week Kisasi-Bukoto'!$A$1:$AF$109</definedName>
    <definedName name="_xlnm.Print_Area" localSheetId="16">'Avg Week Kisasi-Bukoto-2Dir'!$A$1:$AF$109</definedName>
    <definedName name="_xlnm.Print_Titles" localSheetId="7">'01.08 Bukoto-Kisasi'!$1:$8</definedName>
    <definedName name="_xlnm.Print_Titles" localSheetId="6">'01.08 Kisasi-Bukoto'!$1:$8</definedName>
    <definedName name="_xlnm.Print_Titles" localSheetId="9">'02.08 Bukoto-Kisasi'!$1:$8</definedName>
    <definedName name="_xlnm.Print_Titles" localSheetId="8">'02.08 Kisasi-Bukoto'!$1:$8</definedName>
    <definedName name="_xlnm.Print_Titles" localSheetId="11">'03.08 Bukoto-Kisasi'!$1:$8</definedName>
    <definedName name="_xlnm.Print_Titles" localSheetId="10">'03.08 Kisasi-Bukoto'!$1:$8</definedName>
    <definedName name="_xlnm.Print_Titles" localSheetId="13">'04.08 Bukoto-Kisasi'!$1:$8</definedName>
    <definedName name="_xlnm.Print_Titles" localSheetId="12">'04.08 Kisasi-Bukoto'!$1:$8</definedName>
    <definedName name="_xlnm.Print_Titles" localSheetId="1">'29.07 Bukoto-Kisasi'!$1:$8</definedName>
    <definedName name="_xlnm.Print_Titles" localSheetId="0">'29.07 Kisasi-Bukoto'!$1:$8</definedName>
    <definedName name="_xlnm.Print_Titles" localSheetId="3">'30.07 Bukoto-Kisasi'!$1:$8</definedName>
    <definedName name="_xlnm.Print_Titles" localSheetId="2">'30.07 Kisasi-Bukoto'!$1:$8</definedName>
    <definedName name="_xlnm.Print_Titles" localSheetId="5">'31.07 Bukoto-Kisasi'!$1:$8</definedName>
    <definedName name="_xlnm.Print_Titles" localSheetId="4">'31.07 Kisasi-Bukoto'!$1:$8</definedName>
    <definedName name="_xlnm.Print_Titles" localSheetId="15">'Avg Week Bukoto-Kisasi'!$1:$8</definedName>
    <definedName name="_xlnm.Print_Titles" localSheetId="14">'Avg Week Kisasi-Bukoto'!$1:$8</definedName>
    <definedName name="_xlnm.Print_Titles" localSheetId="16">'Avg Week Kisasi-Bukoto-2Dir'!$1:$8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8" i="111" l="1"/>
  <c r="P49" i="111"/>
  <c r="P50" i="111"/>
  <c r="P51" i="111"/>
  <c r="P52" i="111"/>
  <c r="P53" i="111"/>
  <c r="P54" i="111"/>
  <c r="P55" i="111"/>
  <c r="P56" i="111"/>
  <c r="P57" i="111"/>
  <c r="P58" i="111"/>
  <c r="P59" i="111"/>
  <c r="AF22" i="111" s="1"/>
  <c r="P60" i="111"/>
  <c r="P61" i="111"/>
  <c r="P62" i="111"/>
  <c r="P63" i="111"/>
  <c r="P64" i="111"/>
  <c r="P65" i="111"/>
  <c r="P66" i="111"/>
  <c r="P67" i="111"/>
  <c r="P68" i="111"/>
  <c r="P69" i="111"/>
  <c r="P70" i="111"/>
  <c r="P71" i="111"/>
  <c r="P72" i="111"/>
  <c r="P73" i="111"/>
  <c r="P74" i="111"/>
  <c r="P75" i="111"/>
  <c r="P76" i="111"/>
  <c r="P77" i="111"/>
  <c r="P78" i="111"/>
  <c r="P79" i="111"/>
  <c r="P80" i="111"/>
  <c r="P81" i="111"/>
  <c r="P82" i="111"/>
  <c r="P83" i="111"/>
  <c r="AF28" i="111" s="1"/>
  <c r="P84" i="111"/>
  <c r="P85" i="111"/>
  <c r="P86" i="111"/>
  <c r="P87" i="111"/>
  <c r="P88" i="111"/>
  <c r="P89" i="111"/>
  <c r="P90" i="111"/>
  <c r="P91" i="111"/>
  <c r="P92" i="111"/>
  <c r="P93" i="111"/>
  <c r="P94" i="111"/>
  <c r="P95" i="111"/>
  <c r="P96" i="111"/>
  <c r="P97" i="111"/>
  <c r="P98" i="111"/>
  <c r="P99" i="111"/>
  <c r="AF32" i="111" s="1"/>
  <c r="P100" i="111"/>
  <c r="P101" i="111"/>
  <c r="P102" i="111"/>
  <c r="P103" i="111"/>
  <c r="P104" i="111"/>
  <c r="P105" i="111"/>
  <c r="O48" i="111"/>
  <c r="O49" i="111"/>
  <c r="O50" i="111"/>
  <c r="O51" i="111"/>
  <c r="O52" i="111"/>
  <c r="O53" i="111"/>
  <c r="O54" i="111"/>
  <c r="O55" i="111"/>
  <c r="O56" i="111"/>
  <c r="O57" i="111"/>
  <c r="O58" i="111"/>
  <c r="O59" i="111"/>
  <c r="O60" i="111"/>
  <c r="O61" i="111"/>
  <c r="O62" i="111"/>
  <c r="O63" i="111"/>
  <c r="O64" i="111"/>
  <c r="O65" i="111"/>
  <c r="O66" i="111"/>
  <c r="O67" i="111"/>
  <c r="AE24" i="111" s="1"/>
  <c r="O68" i="111"/>
  <c r="O69" i="111"/>
  <c r="O70" i="111"/>
  <c r="O71" i="111"/>
  <c r="AE25" i="111" s="1"/>
  <c r="O72" i="111"/>
  <c r="O73" i="111"/>
  <c r="O74" i="111"/>
  <c r="O75" i="111"/>
  <c r="O76" i="111"/>
  <c r="O77" i="111"/>
  <c r="O78" i="111"/>
  <c r="O79" i="111"/>
  <c r="AE27" i="111" s="1"/>
  <c r="O80" i="111"/>
  <c r="O81" i="111"/>
  <c r="O82" i="111"/>
  <c r="O83" i="111"/>
  <c r="O84" i="111"/>
  <c r="O85" i="111"/>
  <c r="O86" i="111"/>
  <c r="O87" i="111"/>
  <c r="O88" i="111"/>
  <c r="O89" i="111"/>
  <c r="O90" i="111"/>
  <c r="O91" i="111"/>
  <c r="O92" i="111"/>
  <c r="O93" i="111"/>
  <c r="O94" i="111"/>
  <c r="O95" i="111"/>
  <c r="AE31" i="111" s="1"/>
  <c r="O96" i="111"/>
  <c r="O97" i="111"/>
  <c r="O98" i="111"/>
  <c r="O99" i="111"/>
  <c r="O100" i="111"/>
  <c r="O101" i="111"/>
  <c r="O102" i="111"/>
  <c r="O103" i="111"/>
  <c r="AE33" i="111" s="1"/>
  <c r="O104" i="111"/>
  <c r="O105" i="111"/>
  <c r="D57" i="111"/>
  <c r="E57" i="111"/>
  <c r="F57" i="111"/>
  <c r="G57" i="111"/>
  <c r="H57" i="111"/>
  <c r="I57" i="111"/>
  <c r="J57" i="111"/>
  <c r="K57" i="111"/>
  <c r="L57" i="111"/>
  <c r="M57" i="111"/>
  <c r="N57" i="111"/>
  <c r="D58" i="111"/>
  <c r="E58" i="111"/>
  <c r="F58" i="111"/>
  <c r="V22" i="111" s="1"/>
  <c r="G58" i="111"/>
  <c r="H58" i="111"/>
  <c r="I58" i="111"/>
  <c r="Y22" i="111" s="1"/>
  <c r="J58" i="111"/>
  <c r="Z22" i="111" s="1"/>
  <c r="K58" i="111"/>
  <c r="L58" i="111"/>
  <c r="M58" i="111"/>
  <c r="N58" i="111"/>
  <c r="D59" i="111"/>
  <c r="T22" i="111" s="1"/>
  <c r="E59" i="111"/>
  <c r="F59" i="111"/>
  <c r="G59" i="111"/>
  <c r="H59" i="111"/>
  <c r="X22" i="111" s="1"/>
  <c r="I59" i="111"/>
  <c r="J59" i="111"/>
  <c r="K59" i="111"/>
  <c r="L59" i="111"/>
  <c r="M59" i="111"/>
  <c r="AC22" i="111" s="1"/>
  <c r="N59" i="111"/>
  <c r="D60" i="111"/>
  <c r="E60" i="111"/>
  <c r="F60" i="111"/>
  <c r="G60" i="111"/>
  <c r="H60" i="111"/>
  <c r="I60" i="111"/>
  <c r="J60" i="111"/>
  <c r="K60" i="111"/>
  <c r="L60" i="111"/>
  <c r="AB22" i="111" s="1"/>
  <c r="M60" i="111"/>
  <c r="N60" i="111"/>
  <c r="D61" i="111"/>
  <c r="E61" i="111"/>
  <c r="F61" i="111"/>
  <c r="G61" i="111"/>
  <c r="W22" i="111" s="1"/>
  <c r="H61" i="111"/>
  <c r="I61" i="111"/>
  <c r="J61" i="111"/>
  <c r="K61" i="111"/>
  <c r="L61" i="111"/>
  <c r="M61" i="111"/>
  <c r="N61" i="111"/>
  <c r="D62" i="111"/>
  <c r="E62" i="111"/>
  <c r="U23" i="111" s="1"/>
  <c r="F62" i="111"/>
  <c r="G62" i="111"/>
  <c r="H62" i="111"/>
  <c r="I62" i="111"/>
  <c r="Y23" i="111" s="1"/>
  <c r="J62" i="111"/>
  <c r="K62" i="111"/>
  <c r="L62" i="111"/>
  <c r="M62" i="111"/>
  <c r="N62" i="111"/>
  <c r="D63" i="111"/>
  <c r="E63" i="111"/>
  <c r="F63" i="111"/>
  <c r="G63" i="111"/>
  <c r="H63" i="111"/>
  <c r="X23" i="111" s="1"/>
  <c r="I63" i="111"/>
  <c r="J63" i="111"/>
  <c r="K63" i="111"/>
  <c r="L63" i="111"/>
  <c r="M63" i="111"/>
  <c r="AC23" i="111" s="1"/>
  <c r="N63" i="111"/>
  <c r="D64" i="111"/>
  <c r="T23" i="111" s="1"/>
  <c r="E64" i="111"/>
  <c r="F64" i="111"/>
  <c r="G64" i="111"/>
  <c r="W23" i="111" s="1"/>
  <c r="H64" i="111"/>
  <c r="I64" i="111"/>
  <c r="J64" i="111"/>
  <c r="K64" i="111"/>
  <c r="AA23" i="111" s="1"/>
  <c r="L64" i="111"/>
  <c r="M64" i="111"/>
  <c r="N64" i="111"/>
  <c r="D65" i="111"/>
  <c r="E65" i="111"/>
  <c r="F65" i="111"/>
  <c r="G65" i="111"/>
  <c r="H65" i="111"/>
  <c r="I65" i="111"/>
  <c r="J65" i="111"/>
  <c r="K65" i="111"/>
  <c r="L65" i="111"/>
  <c r="M65" i="111"/>
  <c r="N65" i="111"/>
  <c r="D66" i="111"/>
  <c r="E66" i="111"/>
  <c r="F66" i="111"/>
  <c r="G66" i="111"/>
  <c r="H66" i="111"/>
  <c r="I66" i="111"/>
  <c r="Y24" i="111" s="1"/>
  <c r="J66" i="111"/>
  <c r="K66" i="111"/>
  <c r="L66" i="111"/>
  <c r="M66" i="111"/>
  <c r="AC24" i="111" s="1"/>
  <c r="N66" i="111"/>
  <c r="D67" i="111"/>
  <c r="T24" i="111" s="1"/>
  <c r="E67" i="111"/>
  <c r="F67" i="111"/>
  <c r="G67" i="111"/>
  <c r="H67" i="111"/>
  <c r="X24" i="111" s="1"/>
  <c r="I67" i="111"/>
  <c r="J67" i="111"/>
  <c r="K67" i="111"/>
  <c r="L67" i="111"/>
  <c r="M67" i="111"/>
  <c r="N67" i="111"/>
  <c r="D68" i="111"/>
  <c r="E68" i="111"/>
  <c r="F68" i="111"/>
  <c r="G68" i="111"/>
  <c r="W24" i="111" s="1"/>
  <c r="H68" i="111"/>
  <c r="I68" i="111"/>
  <c r="J68" i="111"/>
  <c r="K68" i="111"/>
  <c r="L68" i="111"/>
  <c r="AB24" i="111" s="1"/>
  <c r="M68" i="111"/>
  <c r="N68" i="111"/>
  <c r="D69" i="111"/>
  <c r="E69" i="111"/>
  <c r="F69" i="111"/>
  <c r="G69" i="111"/>
  <c r="H69" i="111"/>
  <c r="I69" i="111"/>
  <c r="J69" i="111"/>
  <c r="K69" i="111"/>
  <c r="L69" i="111"/>
  <c r="M69" i="111"/>
  <c r="N69" i="111"/>
  <c r="D70" i="111"/>
  <c r="E70" i="111"/>
  <c r="F70" i="111"/>
  <c r="G70" i="111"/>
  <c r="H70" i="111"/>
  <c r="I70" i="111"/>
  <c r="Y25" i="111" s="1"/>
  <c r="J70" i="111"/>
  <c r="Z25" i="111" s="1"/>
  <c r="K70" i="111"/>
  <c r="L70" i="111"/>
  <c r="M70" i="111"/>
  <c r="AC25" i="111" s="1"/>
  <c r="N70" i="111"/>
  <c r="D71" i="111"/>
  <c r="T25" i="111" s="1"/>
  <c r="E71" i="111"/>
  <c r="F71" i="111"/>
  <c r="G71" i="111"/>
  <c r="H71" i="111"/>
  <c r="X25" i="111" s="1"/>
  <c r="I71" i="111"/>
  <c r="J71" i="111"/>
  <c r="K71" i="111"/>
  <c r="L71" i="111"/>
  <c r="M71" i="111"/>
  <c r="N71" i="111"/>
  <c r="D72" i="111"/>
  <c r="E72" i="111"/>
  <c r="F72" i="111"/>
  <c r="G72" i="111"/>
  <c r="H72" i="111"/>
  <c r="I72" i="111"/>
  <c r="J72" i="111"/>
  <c r="K72" i="111"/>
  <c r="L72" i="111"/>
  <c r="AB25" i="111" s="1"/>
  <c r="M72" i="111"/>
  <c r="N72" i="111"/>
  <c r="D73" i="111"/>
  <c r="E73" i="111"/>
  <c r="F73" i="111"/>
  <c r="G73" i="111"/>
  <c r="W25" i="111" s="1"/>
  <c r="H73" i="111"/>
  <c r="I73" i="111"/>
  <c r="J73" i="111"/>
  <c r="K73" i="111"/>
  <c r="L73" i="111"/>
  <c r="M73" i="111"/>
  <c r="N73" i="111"/>
  <c r="D74" i="111"/>
  <c r="E74" i="111"/>
  <c r="U26" i="111" s="1"/>
  <c r="F74" i="111"/>
  <c r="V26" i="111" s="1"/>
  <c r="G74" i="111"/>
  <c r="H74" i="111"/>
  <c r="I74" i="111"/>
  <c r="J74" i="111"/>
  <c r="Z26" i="111" s="1"/>
  <c r="K74" i="111"/>
  <c r="L74" i="111"/>
  <c r="M74" i="111"/>
  <c r="N74" i="111"/>
  <c r="AD26" i="111" s="1"/>
  <c r="D75" i="111"/>
  <c r="E75" i="111"/>
  <c r="F75" i="111"/>
  <c r="G75" i="111"/>
  <c r="H75" i="111"/>
  <c r="I75" i="111"/>
  <c r="Y26" i="111" s="1"/>
  <c r="J75" i="111"/>
  <c r="K75" i="111"/>
  <c r="L75" i="111"/>
  <c r="AB26" i="111" s="1"/>
  <c r="M75" i="111"/>
  <c r="N75" i="111"/>
  <c r="D76" i="111"/>
  <c r="T26" i="111" s="1"/>
  <c r="E76" i="111"/>
  <c r="F76" i="111"/>
  <c r="G76" i="111"/>
  <c r="W26" i="111" s="1"/>
  <c r="H76" i="111"/>
  <c r="I76" i="111"/>
  <c r="J76" i="111"/>
  <c r="K76" i="111"/>
  <c r="AA26" i="111" s="1"/>
  <c r="L76" i="111"/>
  <c r="M76" i="111"/>
  <c r="N76" i="111"/>
  <c r="D77" i="111"/>
  <c r="E77" i="111"/>
  <c r="F77" i="111"/>
  <c r="G77" i="111"/>
  <c r="H77" i="111"/>
  <c r="I77" i="111"/>
  <c r="J77" i="111"/>
  <c r="K77" i="111"/>
  <c r="L77" i="111"/>
  <c r="M77" i="111"/>
  <c r="N77" i="111"/>
  <c r="D78" i="111"/>
  <c r="E78" i="111"/>
  <c r="F78" i="111"/>
  <c r="G78" i="111"/>
  <c r="H78" i="111"/>
  <c r="I78" i="111"/>
  <c r="Y27" i="111" s="1"/>
  <c r="J78" i="111"/>
  <c r="K78" i="111"/>
  <c r="L78" i="111"/>
  <c r="M78" i="111"/>
  <c r="AC27" i="111" s="1"/>
  <c r="N78" i="111"/>
  <c r="D79" i="111"/>
  <c r="T27" i="111" s="1"/>
  <c r="E79" i="111"/>
  <c r="F79" i="111"/>
  <c r="G79" i="111"/>
  <c r="H79" i="111"/>
  <c r="I79" i="111"/>
  <c r="J79" i="111"/>
  <c r="K79" i="111"/>
  <c r="L79" i="111"/>
  <c r="M79" i="111"/>
  <c r="N79" i="111"/>
  <c r="D80" i="111"/>
  <c r="E80" i="111"/>
  <c r="F80" i="111"/>
  <c r="G80" i="111"/>
  <c r="H80" i="111"/>
  <c r="X27" i="111" s="1"/>
  <c r="I80" i="111"/>
  <c r="J80" i="111"/>
  <c r="K80" i="111"/>
  <c r="AA27" i="111" s="1"/>
  <c r="L80" i="111"/>
  <c r="AB27" i="111" s="1"/>
  <c r="M80" i="111"/>
  <c r="N80" i="111"/>
  <c r="D81" i="111"/>
  <c r="E81" i="111"/>
  <c r="F81" i="111"/>
  <c r="G81" i="111"/>
  <c r="H81" i="111"/>
  <c r="I81" i="111"/>
  <c r="J81" i="111"/>
  <c r="K81" i="111"/>
  <c r="L81" i="111"/>
  <c r="M81" i="111"/>
  <c r="N81" i="111"/>
  <c r="D82" i="111"/>
  <c r="E82" i="111"/>
  <c r="F82" i="111"/>
  <c r="G82" i="111"/>
  <c r="H82" i="111"/>
  <c r="I82" i="111"/>
  <c r="J82" i="111"/>
  <c r="K82" i="111"/>
  <c r="L82" i="111"/>
  <c r="M82" i="111"/>
  <c r="AC28" i="111" s="1"/>
  <c r="N82" i="111"/>
  <c r="D83" i="111"/>
  <c r="E83" i="111"/>
  <c r="U28" i="111" s="1"/>
  <c r="F83" i="111"/>
  <c r="G83" i="111"/>
  <c r="H83" i="111"/>
  <c r="X28" i="111" s="1"/>
  <c r="I83" i="111"/>
  <c r="J83" i="111"/>
  <c r="K83" i="111"/>
  <c r="L83" i="111"/>
  <c r="AB28" i="111" s="1"/>
  <c r="M83" i="111"/>
  <c r="N83" i="111"/>
  <c r="AE28" i="111"/>
  <c r="D84" i="111"/>
  <c r="E84" i="111"/>
  <c r="F84" i="111"/>
  <c r="G84" i="111"/>
  <c r="H84" i="111"/>
  <c r="I84" i="111"/>
  <c r="J84" i="111"/>
  <c r="K84" i="111"/>
  <c r="AA28" i="111" s="1"/>
  <c r="L84" i="111"/>
  <c r="M84" i="111"/>
  <c r="N84" i="111"/>
  <c r="D85" i="111"/>
  <c r="E85" i="111"/>
  <c r="F85" i="111"/>
  <c r="G85" i="111"/>
  <c r="W28" i="111" s="1"/>
  <c r="H85" i="111"/>
  <c r="I85" i="111"/>
  <c r="J85" i="111"/>
  <c r="K85" i="111"/>
  <c r="L85" i="111"/>
  <c r="M85" i="111"/>
  <c r="N85" i="111"/>
  <c r="D86" i="111"/>
  <c r="E86" i="111"/>
  <c r="F86" i="111"/>
  <c r="V29" i="111" s="1"/>
  <c r="G86" i="111"/>
  <c r="H86" i="111"/>
  <c r="X29" i="111" s="1"/>
  <c r="I86" i="111"/>
  <c r="J86" i="111"/>
  <c r="Z29" i="111" s="1"/>
  <c r="K86" i="111"/>
  <c r="L86" i="111"/>
  <c r="M86" i="111"/>
  <c r="N86" i="111"/>
  <c r="D87" i="111"/>
  <c r="E87" i="111"/>
  <c r="F87" i="111"/>
  <c r="G87" i="111"/>
  <c r="H87" i="111"/>
  <c r="I87" i="111"/>
  <c r="J87" i="111"/>
  <c r="K87" i="111"/>
  <c r="L87" i="111"/>
  <c r="AB29" i="111" s="1"/>
  <c r="M87" i="111"/>
  <c r="N87" i="111"/>
  <c r="D88" i="111"/>
  <c r="E88" i="111"/>
  <c r="F88" i="111"/>
  <c r="G88" i="111"/>
  <c r="W29" i="111" s="1"/>
  <c r="H88" i="111"/>
  <c r="I88" i="111"/>
  <c r="J88" i="111"/>
  <c r="K88" i="111"/>
  <c r="L88" i="111"/>
  <c r="M88" i="111"/>
  <c r="N88" i="111"/>
  <c r="D89" i="111"/>
  <c r="E89" i="111"/>
  <c r="F89" i="111"/>
  <c r="G89" i="111"/>
  <c r="H89" i="111"/>
  <c r="I89" i="111"/>
  <c r="J89" i="111"/>
  <c r="K89" i="111"/>
  <c r="AA29" i="111" s="1"/>
  <c r="L89" i="111"/>
  <c r="M89" i="111"/>
  <c r="N89" i="111"/>
  <c r="D90" i="111"/>
  <c r="E90" i="111"/>
  <c r="F90" i="111"/>
  <c r="G90" i="111"/>
  <c r="H90" i="111"/>
  <c r="I90" i="111"/>
  <c r="Y30" i="111" s="1"/>
  <c r="J90" i="111"/>
  <c r="Z30" i="111" s="1"/>
  <c r="K90" i="111"/>
  <c r="L90" i="111"/>
  <c r="AB30" i="111" s="1"/>
  <c r="M90" i="111"/>
  <c r="N90" i="111"/>
  <c r="AD30" i="111" s="1"/>
  <c r="D91" i="111"/>
  <c r="E91" i="111"/>
  <c r="F91" i="111"/>
  <c r="G91" i="111"/>
  <c r="W30" i="111" s="1"/>
  <c r="H91" i="111"/>
  <c r="I91" i="111"/>
  <c r="J91" i="111"/>
  <c r="K91" i="111"/>
  <c r="L91" i="111"/>
  <c r="M91" i="111"/>
  <c r="AC30" i="111" s="1"/>
  <c r="N91" i="111"/>
  <c r="D92" i="111"/>
  <c r="T30" i="111" s="1"/>
  <c r="E92" i="111"/>
  <c r="F92" i="111"/>
  <c r="G92" i="111"/>
  <c r="H92" i="111"/>
  <c r="I92" i="111"/>
  <c r="J92" i="111"/>
  <c r="K92" i="111"/>
  <c r="AA30" i="111" s="1"/>
  <c r="L92" i="111"/>
  <c r="M92" i="111"/>
  <c r="N92" i="111"/>
  <c r="D93" i="111"/>
  <c r="E93" i="111"/>
  <c r="F93" i="111"/>
  <c r="G93" i="111"/>
  <c r="H93" i="111"/>
  <c r="I93" i="111"/>
  <c r="J93" i="111"/>
  <c r="K93" i="111"/>
  <c r="L93" i="111"/>
  <c r="M93" i="111"/>
  <c r="N93" i="111"/>
  <c r="D94" i="111"/>
  <c r="T31" i="111" s="1"/>
  <c r="E94" i="111"/>
  <c r="F94" i="111"/>
  <c r="G94" i="111"/>
  <c r="H94" i="111"/>
  <c r="I94" i="111"/>
  <c r="Y31" i="111" s="1"/>
  <c r="J94" i="111"/>
  <c r="K94" i="111"/>
  <c r="L94" i="111"/>
  <c r="M94" i="111"/>
  <c r="AC31" i="111" s="1"/>
  <c r="N94" i="111"/>
  <c r="D95" i="111"/>
  <c r="E95" i="111"/>
  <c r="F95" i="111"/>
  <c r="G95" i="111"/>
  <c r="H95" i="111"/>
  <c r="X31" i="111" s="1"/>
  <c r="I95" i="111"/>
  <c r="J95" i="111"/>
  <c r="K95" i="111"/>
  <c r="L95" i="111"/>
  <c r="M95" i="111"/>
  <c r="N95" i="111"/>
  <c r="D96" i="111"/>
  <c r="E96" i="111"/>
  <c r="F96" i="111"/>
  <c r="G96" i="111"/>
  <c r="H96" i="111"/>
  <c r="I96" i="111"/>
  <c r="J96" i="111"/>
  <c r="K96" i="111"/>
  <c r="L96" i="111"/>
  <c r="AB31" i="111" s="1"/>
  <c r="M96" i="111"/>
  <c r="N96" i="111"/>
  <c r="D97" i="111"/>
  <c r="E97" i="111"/>
  <c r="F97" i="111"/>
  <c r="G97" i="111"/>
  <c r="W31" i="111" s="1"/>
  <c r="H97" i="111"/>
  <c r="I97" i="111"/>
  <c r="J97" i="111"/>
  <c r="K97" i="111"/>
  <c r="L97" i="111"/>
  <c r="M97" i="111"/>
  <c r="N97" i="111"/>
  <c r="D98" i="111"/>
  <c r="T32" i="111" s="1"/>
  <c r="E98" i="111"/>
  <c r="F98" i="111"/>
  <c r="G98" i="111"/>
  <c r="H98" i="111"/>
  <c r="I98" i="111"/>
  <c r="Y32" i="111" s="1"/>
  <c r="J98" i="111"/>
  <c r="K98" i="111"/>
  <c r="L98" i="111"/>
  <c r="M98" i="111"/>
  <c r="AC32" i="111" s="1"/>
  <c r="N98" i="111"/>
  <c r="D99" i="111"/>
  <c r="E99" i="111"/>
  <c r="F99" i="111"/>
  <c r="G99" i="111"/>
  <c r="H99" i="111"/>
  <c r="X32" i="111" s="1"/>
  <c r="I99" i="111"/>
  <c r="J99" i="111"/>
  <c r="K99" i="111"/>
  <c r="L99" i="111"/>
  <c r="M99" i="111"/>
  <c r="N99" i="111"/>
  <c r="D100" i="111"/>
  <c r="E100" i="111"/>
  <c r="F100" i="111"/>
  <c r="G100" i="111"/>
  <c r="H100" i="111"/>
  <c r="I100" i="111"/>
  <c r="J100" i="111"/>
  <c r="K100" i="111"/>
  <c r="L100" i="111"/>
  <c r="AB32" i="111" s="1"/>
  <c r="M100" i="111"/>
  <c r="N100" i="111"/>
  <c r="D101" i="111"/>
  <c r="E101" i="111"/>
  <c r="F101" i="111"/>
  <c r="G101" i="111"/>
  <c r="W32" i="111" s="1"/>
  <c r="H101" i="111"/>
  <c r="I101" i="111"/>
  <c r="J101" i="111"/>
  <c r="K101" i="111"/>
  <c r="L101" i="111"/>
  <c r="M101" i="111"/>
  <c r="N101" i="111"/>
  <c r="D102" i="111"/>
  <c r="T33" i="111" s="1"/>
  <c r="E102" i="111"/>
  <c r="F102" i="111"/>
  <c r="G102" i="111"/>
  <c r="H102" i="111"/>
  <c r="I102" i="111"/>
  <c r="J102" i="111"/>
  <c r="Z33" i="111" s="1"/>
  <c r="K102" i="111"/>
  <c r="L102" i="111"/>
  <c r="M102" i="111"/>
  <c r="N102" i="111"/>
  <c r="AD33" i="111" s="1"/>
  <c r="D103" i="111"/>
  <c r="E103" i="111"/>
  <c r="F103" i="111"/>
  <c r="G103" i="111"/>
  <c r="H103" i="111"/>
  <c r="X33" i="111" s="1"/>
  <c r="I103" i="111"/>
  <c r="J103" i="111"/>
  <c r="K103" i="111"/>
  <c r="L103" i="111"/>
  <c r="M103" i="111"/>
  <c r="N103" i="111"/>
  <c r="D104" i="111"/>
  <c r="E104" i="111"/>
  <c r="F104" i="111"/>
  <c r="G104" i="111"/>
  <c r="H104" i="111"/>
  <c r="I104" i="111"/>
  <c r="J104" i="111"/>
  <c r="K104" i="111"/>
  <c r="L104" i="111"/>
  <c r="AB33" i="111" s="1"/>
  <c r="M104" i="111"/>
  <c r="N104" i="111"/>
  <c r="D105" i="111"/>
  <c r="E105" i="111"/>
  <c r="F105" i="111"/>
  <c r="G105" i="111"/>
  <c r="W33" i="111" s="1"/>
  <c r="H105" i="111"/>
  <c r="I105" i="111"/>
  <c r="J105" i="111"/>
  <c r="K105" i="111"/>
  <c r="L105" i="111"/>
  <c r="M105" i="111"/>
  <c r="N105" i="111"/>
  <c r="C58" i="111"/>
  <c r="C59" i="111"/>
  <c r="C60" i="111"/>
  <c r="C61" i="111"/>
  <c r="C62" i="111"/>
  <c r="C63" i="111"/>
  <c r="C64" i="111"/>
  <c r="C65" i="111"/>
  <c r="S23" i="111" s="1"/>
  <c r="C66" i="111"/>
  <c r="C67" i="111"/>
  <c r="C68" i="111"/>
  <c r="C69" i="111"/>
  <c r="S24" i="111" s="1"/>
  <c r="C70" i="111"/>
  <c r="C71" i="111"/>
  <c r="C72" i="111"/>
  <c r="C73" i="111"/>
  <c r="S25" i="111" s="1"/>
  <c r="C74" i="111"/>
  <c r="C75" i="111"/>
  <c r="C76" i="111"/>
  <c r="C77" i="111"/>
  <c r="C78" i="111"/>
  <c r="C79" i="111"/>
  <c r="C80" i="111"/>
  <c r="C81" i="111"/>
  <c r="S27" i="111" s="1"/>
  <c r="C82" i="111"/>
  <c r="C83" i="111"/>
  <c r="C84" i="111"/>
  <c r="C85" i="111"/>
  <c r="S28" i="111" s="1"/>
  <c r="C86" i="111"/>
  <c r="C87" i="111"/>
  <c r="C88" i="111"/>
  <c r="C89" i="111"/>
  <c r="S29" i="111" s="1"/>
  <c r="C90" i="111"/>
  <c r="C91" i="111"/>
  <c r="C92" i="111"/>
  <c r="C93" i="111"/>
  <c r="C94" i="111"/>
  <c r="C95" i="111"/>
  <c r="C96" i="111"/>
  <c r="C97" i="111"/>
  <c r="S31" i="111" s="1"/>
  <c r="C98" i="111"/>
  <c r="C99" i="111"/>
  <c r="C100" i="111"/>
  <c r="C101" i="111"/>
  <c r="S32" i="111" s="1"/>
  <c r="C102" i="111"/>
  <c r="C103" i="111"/>
  <c r="C104" i="111"/>
  <c r="C105" i="111"/>
  <c r="S33" i="111" s="1"/>
  <c r="N105" i="108"/>
  <c r="M105" i="108"/>
  <c r="L105" i="108"/>
  <c r="K105" i="108"/>
  <c r="J105" i="108"/>
  <c r="I105" i="108"/>
  <c r="H105" i="108"/>
  <c r="G105" i="108"/>
  <c r="F105" i="108"/>
  <c r="E105" i="108"/>
  <c r="D105" i="108"/>
  <c r="C105" i="108"/>
  <c r="P105" i="108" s="1"/>
  <c r="N104" i="108"/>
  <c r="M104" i="108"/>
  <c r="L104" i="108"/>
  <c r="K104" i="108"/>
  <c r="J104" i="108"/>
  <c r="I104" i="108"/>
  <c r="H104" i="108"/>
  <c r="G104" i="108"/>
  <c r="F104" i="108"/>
  <c r="E104" i="108"/>
  <c r="D104" i="108"/>
  <c r="C104" i="108"/>
  <c r="N103" i="108"/>
  <c r="M103" i="108"/>
  <c r="L103" i="108"/>
  <c r="K103" i="108"/>
  <c r="J103" i="108"/>
  <c r="I103" i="108"/>
  <c r="H103" i="108"/>
  <c r="G103" i="108"/>
  <c r="F103" i="108"/>
  <c r="E103" i="108"/>
  <c r="D103" i="108"/>
  <c r="C103" i="108"/>
  <c r="N102" i="108"/>
  <c r="M102" i="108"/>
  <c r="L102" i="108"/>
  <c r="AB33" i="108" s="1"/>
  <c r="K102" i="108"/>
  <c r="AA33" i="108" s="1"/>
  <c r="J102" i="108"/>
  <c r="I102" i="108"/>
  <c r="H102" i="108"/>
  <c r="X33" i="108" s="1"/>
  <c r="G102" i="108"/>
  <c r="F102" i="108"/>
  <c r="E102" i="108"/>
  <c r="D102" i="108"/>
  <c r="T33" i="108" s="1"/>
  <c r="C102" i="108"/>
  <c r="P102" i="108" s="1"/>
  <c r="N101" i="108"/>
  <c r="M101" i="108"/>
  <c r="L101" i="108"/>
  <c r="K101" i="108"/>
  <c r="J101" i="108"/>
  <c r="I101" i="108"/>
  <c r="H101" i="108"/>
  <c r="G101" i="108"/>
  <c r="F101" i="108"/>
  <c r="E101" i="108"/>
  <c r="D101" i="108"/>
  <c r="C101" i="108"/>
  <c r="N100" i="108"/>
  <c r="M100" i="108"/>
  <c r="L100" i="108"/>
  <c r="K100" i="108"/>
  <c r="J100" i="108"/>
  <c r="I100" i="108"/>
  <c r="H100" i="108"/>
  <c r="G100" i="108"/>
  <c r="F100" i="108"/>
  <c r="E100" i="108"/>
  <c r="D100" i="108"/>
  <c r="C100" i="108"/>
  <c r="P100" i="108" s="1"/>
  <c r="N99" i="108"/>
  <c r="M99" i="108"/>
  <c r="L99" i="108"/>
  <c r="K99" i="108"/>
  <c r="J99" i="108"/>
  <c r="I99" i="108"/>
  <c r="H99" i="108"/>
  <c r="G99" i="108"/>
  <c r="F99" i="108"/>
  <c r="E99" i="108"/>
  <c r="D99" i="108"/>
  <c r="C99" i="108"/>
  <c r="P99" i="108" s="1"/>
  <c r="N98" i="108"/>
  <c r="M98" i="108"/>
  <c r="L98" i="108"/>
  <c r="K98" i="108"/>
  <c r="AA32" i="108" s="1"/>
  <c r="J98" i="108"/>
  <c r="I98" i="108"/>
  <c r="H98" i="108"/>
  <c r="G98" i="108"/>
  <c r="W32" i="108" s="1"/>
  <c r="F98" i="108"/>
  <c r="E98" i="108"/>
  <c r="D98" i="108"/>
  <c r="C98" i="108"/>
  <c r="N97" i="108"/>
  <c r="M97" i="108"/>
  <c r="L97" i="108"/>
  <c r="K97" i="108"/>
  <c r="J97" i="108"/>
  <c r="I97" i="108"/>
  <c r="H97" i="108"/>
  <c r="G97" i="108"/>
  <c r="F97" i="108"/>
  <c r="E97" i="108"/>
  <c r="D97" i="108"/>
  <c r="C97" i="108"/>
  <c r="P97" i="108" s="1"/>
  <c r="N96" i="108"/>
  <c r="M96" i="108"/>
  <c r="L96" i="108"/>
  <c r="K96" i="108"/>
  <c r="J96" i="108"/>
  <c r="I96" i="108"/>
  <c r="H96" i="108"/>
  <c r="G96" i="108"/>
  <c r="F96" i="108"/>
  <c r="E96" i="108"/>
  <c r="D96" i="108"/>
  <c r="C96" i="108"/>
  <c r="P96" i="108" s="1"/>
  <c r="N95" i="108"/>
  <c r="M95" i="108"/>
  <c r="L95" i="108"/>
  <c r="K95" i="108"/>
  <c r="J95" i="108"/>
  <c r="I95" i="108"/>
  <c r="H95" i="108"/>
  <c r="G95" i="108"/>
  <c r="F95" i="108"/>
  <c r="E95" i="108"/>
  <c r="D95" i="108"/>
  <c r="C95" i="108"/>
  <c r="N94" i="108"/>
  <c r="M94" i="108"/>
  <c r="L94" i="108"/>
  <c r="AB31" i="108" s="1"/>
  <c r="K94" i="108"/>
  <c r="AA31" i="108" s="1"/>
  <c r="J94" i="108"/>
  <c r="I94" i="108"/>
  <c r="H94" i="108"/>
  <c r="X31" i="108" s="1"/>
  <c r="G94" i="108"/>
  <c r="W31" i="108" s="1"/>
  <c r="F94" i="108"/>
  <c r="E94" i="108"/>
  <c r="D94" i="108"/>
  <c r="T31" i="108" s="1"/>
  <c r="C94" i="108"/>
  <c r="P94" i="108" s="1"/>
  <c r="N93" i="108"/>
  <c r="M93" i="108"/>
  <c r="L93" i="108"/>
  <c r="K93" i="108"/>
  <c r="J93" i="108"/>
  <c r="I93" i="108"/>
  <c r="H93" i="108"/>
  <c r="G93" i="108"/>
  <c r="F93" i="108"/>
  <c r="E93" i="108"/>
  <c r="D93" i="108"/>
  <c r="C93" i="108"/>
  <c r="N92" i="108"/>
  <c r="M92" i="108"/>
  <c r="L92" i="108"/>
  <c r="K92" i="108"/>
  <c r="J92" i="108"/>
  <c r="I92" i="108"/>
  <c r="H92" i="108"/>
  <c r="G92" i="108"/>
  <c r="F92" i="108"/>
  <c r="E92" i="108"/>
  <c r="D92" i="108"/>
  <c r="C92" i="108"/>
  <c r="P92" i="108" s="1"/>
  <c r="N91" i="108"/>
  <c r="M91" i="108"/>
  <c r="L91" i="108"/>
  <c r="K91" i="108"/>
  <c r="J91" i="108"/>
  <c r="I91" i="108"/>
  <c r="H91" i="108"/>
  <c r="G91" i="108"/>
  <c r="F91" i="108"/>
  <c r="E91" i="108"/>
  <c r="D91" i="108"/>
  <c r="C91" i="108"/>
  <c r="P91" i="108" s="1"/>
  <c r="N90" i="108"/>
  <c r="M90" i="108"/>
  <c r="L90" i="108"/>
  <c r="K90" i="108"/>
  <c r="AA30" i="108" s="1"/>
  <c r="J90" i="108"/>
  <c r="I90" i="108"/>
  <c r="H90" i="108"/>
  <c r="G90" i="108"/>
  <c r="W30" i="108" s="1"/>
  <c r="F90" i="108"/>
  <c r="E90" i="108"/>
  <c r="D90" i="108"/>
  <c r="T30" i="108" s="1"/>
  <c r="C90" i="108"/>
  <c r="N89" i="108"/>
  <c r="M89" i="108"/>
  <c r="L89" i="108"/>
  <c r="K89" i="108"/>
  <c r="J89" i="108"/>
  <c r="I89" i="108"/>
  <c r="H89" i="108"/>
  <c r="G89" i="108"/>
  <c r="F89" i="108"/>
  <c r="E89" i="108"/>
  <c r="D89" i="108"/>
  <c r="C89" i="108"/>
  <c r="P89" i="108" s="1"/>
  <c r="N88" i="108"/>
  <c r="M88" i="108"/>
  <c r="L88" i="108"/>
  <c r="K88" i="108"/>
  <c r="J88" i="108"/>
  <c r="I88" i="108"/>
  <c r="H88" i="108"/>
  <c r="G88" i="108"/>
  <c r="F88" i="108"/>
  <c r="E88" i="108"/>
  <c r="D88" i="108"/>
  <c r="C88" i="108"/>
  <c r="P88" i="108" s="1"/>
  <c r="N87" i="108"/>
  <c r="M87" i="108"/>
  <c r="L87" i="108"/>
  <c r="K87" i="108"/>
  <c r="J87" i="108"/>
  <c r="I87" i="108"/>
  <c r="H87" i="108"/>
  <c r="G87" i="108"/>
  <c r="F87" i="108"/>
  <c r="E87" i="108"/>
  <c r="D87" i="108"/>
  <c r="C87" i="108"/>
  <c r="N86" i="108"/>
  <c r="M86" i="108"/>
  <c r="L86" i="108"/>
  <c r="AB29" i="108" s="1"/>
  <c r="K86" i="108"/>
  <c r="J86" i="108"/>
  <c r="I86" i="108"/>
  <c r="H86" i="108"/>
  <c r="X29" i="108" s="1"/>
  <c r="G86" i="108"/>
  <c r="W29" i="108" s="1"/>
  <c r="F86" i="108"/>
  <c r="E86" i="108"/>
  <c r="D86" i="108"/>
  <c r="T29" i="108" s="1"/>
  <c r="C86" i="108"/>
  <c r="P86" i="108" s="1"/>
  <c r="N85" i="108"/>
  <c r="M85" i="108"/>
  <c r="L85" i="108"/>
  <c r="K85" i="108"/>
  <c r="J85" i="108"/>
  <c r="I85" i="108"/>
  <c r="H85" i="108"/>
  <c r="G85" i="108"/>
  <c r="F85" i="108"/>
  <c r="E85" i="108"/>
  <c r="D85" i="108"/>
  <c r="C85" i="108"/>
  <c r="N84" i="108"/>
  <c r="M84" i="108"/>
  <c r="L84" i="108"/>
  <c r="K84" i="108"/>
  <c r="J84" i="108"/>
  <c r="I84" i="108"/>
  <c r="H84" i="108"/>
  <c r="G84" i="108"/>
  <c r="F84" i="108"/>
  <c r="E84" i="108"/>
  <c r="D84" i="108"/>
  <c r="C84" i="108"/>
  <c r="P84" i="108" s="1"/>
  <c r="N83" i="108"/>
  <c r="M83" i="108"/>
  <c r="L83" i="108"/>
  <c r="K83" i="108"/>
  <c r="J83" i="108"/>
  <c r="I83" i="108"/>
  <c r="H83" i="108"/>
  <c r="G83" i="108"/>
  <c r="F83" i="108"/>
  <c r="E83" i="108"/>
  <c r="D83" i="108"/>
  <c r="C83" i="108"/>
  <c r="P83" i="108" s="1"/>
  <c r="N82" i="108"/>
  <c r="M82" i="108"/>
  <c r="L82" i="108"/>
  <c r="K82" i="108"/>
  <c r="AA28" i="108" s="1"/>
  <c r="J82" i="108"/>
  <c r="I82" i="108"/>
  <c r="H82" i="108"/>
  <c r="X28" i="108" s="1"/>
  <c r="G82" i="108"/>
  <c r="W28" i="108" s="1"/>
  <c r="F82" i="108"/>
  <c r="E82" i="108"/>
  <c r="D82" i="108"/>
  <c r="C82" i="108"/>
  <c r="N81" i="108"/>
  <c r="M81" i="108"/>
  <c r="L81" i="108"/>
  <c r="K81" i="108"/>
  <c r="J81" i="108"/>
  <c r="I81" i="108"/>
  <c r="H81" i="108"/>
  <c r="G81" i="108"/>
  <c r="F81" i="108"/>
  <c r="E81" i="108"/>
  <c r="D81" i="108"/>
  <c r="C81" i="108"/>
  <c r="P81" i="108" s="1"/>
  <c r="N80" i="108"/>
  <c r="M80" i="108"/>
  <c r="L80" i="108"/>
  <c r="K80" i="108"/>
  <c r="J80" i="108"/>
  <c r="I80" i="108"/>
  <c r="H80" i="108"/>
  <c r="G80" i="108"/>
  <c r="F80" i="108"/>
  <c r="E80" i="108"/>
  <c r="D80" i="108"/>
  <c r="C80" i="108"/>
  <c r="P80" i="108" s="1"/>
  <c r="N79" i="108"/>
  <c r="M79" i="108"/>
  <c r="L79" i="108"/>
  <c r="K79" i="108"/>
  <c r="J79" i="108"/>
  <c r="I79" i="108"/>
  <c r="H79" i="108"/>
  <c r="G79" i="108"/>
  <c r="F79" i="108"/>
  <c r="E79" i="108"/>
  <c r="D79" i="108"/>
  <c r="C79" i="108"/>
  <c r="N78" i="108"/>
  <c r="M78" i="108"/>
  <c r="L78" i="108"/>
  <c r="AB27" i="108" s="1"/>
  <c r="K78" i="108"/>
  <c r="AA27" i="108" s="1"/>
  <c r="J78" i="108"/>
  <c r="Z27" i="108" s="1"/>
  <c r="I78" i="108"/>
  <c r="H78" i="108"/>
  <c r="X27" i="108" s="1"/>
  <c r="G78" i="108"/>
  <c r="W27" i="108" s="1"/>
  <c r="F78" i="108"/>
  <c r="E78" i="108"/>
  <c r="D78" i="108"/>
  <c r="T27" i="108" s="1"/>
  <c r="C78" i="108"/>
  <c r="P78" i="108" s="1"/>
  <c r="N77" i="108"/>
  <c r="M77" i="108"/>
  <c r="L77" i="108"/>
  <c r="K77" i="108"/>
  <c r="J77" i="108"/>
  <c r="I77" i="108"/>
  <c r="H77" i="108"/>
  <c r="G77" i="108"/>
  <c r="F77" i="108"/>
  <c r="E77" i="108"/>
  <c r="D77" i="108"/>
  <c r="C77" i="108"/>
  <c r="N76" i="108"/>
  <c r="M76" i="108"/>
  <c r="L76" i="108"/>
  <c r="K76" i="108"/>
  <c r="J76" i="108"/>
  <c r="I76" i="108"/>
  <c r="H76" i="108"/>
  <c r="G76" i="108"/>
  <c r="F76" i="108"/>
  <c r="E76" i="108"/>
  <c r="D76" i="108"/>
  <c r="C76" i="108"/>
  <c r="P76" i="108" s="1"/>
  <c r="N75" i="108"/>
  <c r="M75" i="108"/>
  <c r="L75" i="108"/>
  <c r="K75" i="108"/>
  <c r="J75" i="108"/>
  <c r="I75" i="108"/>
  <c r="H75" i="108"/>
  <c r="G75" i="108"/>
  <c r="F75" i="108"/>
  <c r="E75" i="108"/>
  <c r="D75" i="108"/>
  <c r="C75" i="108"/>
  <c r="P75" i="108" s="1"/>
  <c r="N74" i="108"/>
  <c r="M74" i="108"/>
  <c r="L74" i="108"/>
  <c r="AB26" i="108" s="1"/>
  <c r="K74" i="108"/>
  <c r="AA26" i="108" s="1"/>
  <c r="J74" i="108"/>
  <c r="I74" i="108"/>
  <c r="H74" i="108"/>
  <c r="G74" i="108"/>
  <c r="W26" i="108" s="1"/>
  <c r="F74" i="108"/>
  <c r="E74" i="108"/>
  <c r="D74" i="108"/>
  <c r="C74" i="108"/>
  <c r="N73" i="108"/>
  <c r="M73" i="108"/>
  <c r="L73" i="108"/>
  <c r="K73" i="108"/>
  <c r="J73" i="108"/>
  <c r="I73" i="108"/>
  <c r="H73" i="108"/>
  <c r="G73" i="108"/>
  <c r="F73" i="108"/>
  <c r="E73" i="108"/>
  <c r="D73" i="108"/>
  <c r="C73" i="108"/>
  <c r="P73" i="108" s="1"/>
  <c r="N72" i="108"/>
  <c r="M72" i="108"/>
  <c r="L72" i="108"/>
  <c r="K72" i="108"/>
  <c r="J72" i="108"/>
  <c r="I72" i="108"/>
  <c r="H72" i="108"/>
  <c r="G72" i="108"/>
  <c r="F72" i="108"/>
  <c r="E72" i="108"/>
  <c r="D72" i="108"/>
  <c r="C72" i="108"/>
  <c r="P72" i="108" s="1"/>
  <c r="N71" i="108"/>
  <c r="M71" i="108"/>
  <c r="L71" i="108"/>
  <c r="K71" i="108"/>
  <c r="J71" i="108"/>
  <c r="I71" i="108"/>
  <c r="H71" i="108"/>
  <c r="G71" i="108"/>
  <c r="F71" i="108"/>
  <c r="E71" i="108"/>
  <c r="D71" i="108"/>
  <c r="C71" i="108"/>
  <c r="N70" i="108"/>
  <c r="M70" i="108"/>
  <c r="L70" i="108"/>
  <c r="AB25" i="108" s="1"/>
  <c r="K70" i="108"/>
  <c r="AA25" i="108" s="1"/>
  <c r="J70" i="108"/>
  <c r="I70" i="108"/>
  <c r="H70" i="108"/>
  <c r="X25" i="108" s="1"/>
  <c r="G70" i="108"/>
  <c r="F70" i="108"/>
  <c r="E70" i="108"/>
  <c r="D70" i="108"/>
  <c r="T25" i="108" s="1"/>
  <c r="C70" i="108"/>
  <c r="P70" i="108" s="1"/>
  <c r="N69" i="108"/>
  <c r="M69" i="108"/>
  <c r="L69" i="108"/>
  <c r="K69" i="108"/>
  <c r="J69" i="108"/>
  <c r="I69" i="108"/>
  <c r="H69" i="108"/>
  <c r="G69" i="108"/>
  <c r="F69" i="108"/>
  <c r="E69" i="108"/>
  <c r="D69" i="108"/>
  <c r="C69" i="108"/>
  <c r="N68" i="108"/>
  <c r="M68" i="108"/>
  <c r="L68" i="108"/>
  <c r="K68" i="108"/>
  <c r="J68" i="108"/>
  <c r="I68" i="108"/>
  <c r="H68" i="108"/>
  <c r="G68" i="108"/>
  <c r="F68" i="108"/>
  <c r="E68" i="108"/>
  <c r="D68" i="108"/>
  <c r="C68" i="108"/>
  <c r="P68" i="108" s="1"/>
  <c r="N67" i="108"/>
  <c r="M67" i="108"/>
  <c r="L67" i="108"/>
  <c r="K67" i="108"/>
  <c r="J67" i="108"/>
  <c r="I67" i="108"/>
  <c r="H67" i="108"/>
  <c r="G67" i="108"/>
  <c r="F67" i="108"/>
  <c r="E67" i="108"/>
  <c r="D67" i="108"/>
  <c r="C67" i="108"/>
  <c r="P67" i="108" s="1"/>
  <c r="N66" i="108"/>
  <c r="M66" i="108"/>
  <c r="L66" i="108"/>
  <c r="K66" i="108"/>
  <c r="AA24" i="108" s="1"/>
  <c r="J66" i="108"/>
  <c r="I66" i="108"/>
  <c r="H66" i="108"/>
  <c r="G66" i="108"/>
  <c r="W24" i="108" s="1"/>
  <c r="F66" i="108"/>
  <c r="E66" i="108"/>
  <c r="D66" i="108"/>
  <c r="C66" i="108"/>
  <c r="N65" i="108"/>
  <c r="M65" i="108"/>
  <c r="L65" i="108"/>
  <c r="K65" i="108"/>
  <c r="J65" i="108"/>
  <c r="I65" i="108"/>
  <c r="H65" i="108"/>
  <c r="G65" i="108"/>
  <c r="F65" i="108"/>
  <c r="E65" i="108"/>
  <c r="D65" i="108"/>
  <c r="C65" i="108"/>
  <c r="P65" i="108" s="1"/>
  <c r="N64" i="108"/>
  <c r="M64" i="108"/>
  <c r="L64" i="108"/>
  <c r="K64" i="108"/>
  <c r="J64" i="108"/>
  <c r="I64" i="108"/>
  <c r="H64" i="108"/>
  <c r="G64" i="108"/>
  <c r="F64" i="108"/>
  <c r="E64" i="108"/>
  <c r="D64" i="108"/>
  <c r="C64" i="108"/>
  <c r="P64" i="108" s="1"/>
  <c r="N63" i="108"/>
  <c r="M63" i="108"/>
  <c r="L63" i="108"/>
  <c r="K63" i="108"/>
  <c r="J63" i="108"/>
  <c r="I63" i="108"/>
  <c r="H63" i="108"/>
  <c r="G63" i="108"/>
  <c r="F63" i="108"/>
  <c r="E63" i="108"/>
  <c r="D63" i="108"/>
  <c r="C63" i="108"/>
  <c r="N62" i="108"/>
  <c r="AD23" i="108" s="1"/>
  <c r="M62" i="108"/>
  <c r="L62" i="108"/>
  <c r="AB23" i="108" s="1"/>
  <c r="K62" i="108"/>
  <c r="AA23" i="108" s="1"/>
  <c r="J62" i="108"/>
  <c r="I62" i="108"/>
  <c r="H62" i="108"/>
  <c r="X23" i="108" s="1"/>
  <c r="G62" i="108"/>
  <c r="W23" i="108" s="1"/>
  <c r="F62" i="108"/>
  <c r="V23" i="108" s="1"/>
  <c r="E62" i="108"/>
  <c r="D62" i="108"/>
  <c r="T23" i="108" s="1"/>
  <c r="C62" i="108"/>
  <c r="P62" i="108" s="1"/>
  <c r="N61" i="108"/>
  <c r="M61" i="108"/>
  <c r="L61" i="108"/>
  <c r="K61" i="108"/>
  <c r="J61" i="108"/>
  <c r="I61" i="108"/>
  <c r="H61" i="108"/>
  <c r="G61" i="108"/>
  <c r="F61" i="108"/>
  <c r="E61" i="108"/>
  <c r="D61" i="108"/>
  <c r="C61" i="108"/>
  <c r="N60" i="108"/>
  <c r="M60" i="108"/>
  <c r="L60" i="108"/>
  <c r="K60" i="108"/>
  <c r="J60" i="108"/>
  <c r="I60" i="108"/>
  <c r="H60" i="108"/>
  <c r="G60" i="108"/>
  <c r="F60" i="108"/>
  <c r="E60" i="108"/>
  <c r="D60" i="108"/>
  <c r="C60" i="108"/>
  <c r="P60" i="108" s="1"/>
  <c r="N59" i="108"/>
  <c r="M59" i="108"/>
  <c r="L59" i="108"/>
  <c r="K59" i="108"/>
  <c r="J59" i="108"/>
  <c r="I59" i="108"/>
  <c r="H59" i="108"/>
  <c r="G59" i="108"/>
  <c r="F59" i="108"/>
  <c r="E59" i="108"/>
  <c r="D59" i="108"/>
  <c r="C59" i="108"/>
  <c r="P59" i="108" s="1"/>
  <c r="N58" i="108"/>
  <c r="M58" i="108"/>
  <c r="L58" i="108"/>
  <c r="K58" i="108"/>
  <c r="AA22" i="108" s="1"/>
  <c r="J58" i="108"/>
  <c r="I58" i="108"/>
  <c r="H58" i="108"/>
  <c r="G58" i="108"/>
  <c r="W22" i="108" s="1"/>
  <c r="F58" i="108"/>
  <c r="E58" i="108"/>
  <c r="D58" i="108"/>
  <c r="T22" i="108" s="1"/>
  <c r="C58" i="108"/>
  <c r="AF30" i="111"/>
  <c r="AA22" i="111"/>
  <c r="U22" i="111"/>
  <c r="AD22" i="111"/>
  <c r="AB23" i="111"/>
  <c r="AA24" i="111"/>
  <c r="U24" i="111"/>
  <c r="AA25" i="111"/>
  <c r="U25" i="111"/>
  <c r="AD25" i="111"/>
  <c r="X26" i="111"/>
  <c r="AC26" i="111"/>
  <c r="W27" i="111"/>
  <c r="U27" i="111"/>
  <c r="T28" i="111"/>
  <c r="Y28" i="111"/>
  <c r="T29" i="111"/>
  <c r="AD29" i="111"/>
  <c r="X30" i="111"/>
  <c r="V30" i="111"/>
  <c r="AA31" i="111"/>
  <c r="U31" i="111"/>
  <c r="AA32" i="111"/>
  <c r="U32" i="111"/>
  <c r="AA33" i="111"/>
  <c r="V33" i="111"/>
  <c r="S26" i="111"/>
  <c r="S30" i="111"/>
  <c r="S22" i="111"/>
  <c r="P58" i="107"/>
  <c r="P59" i="107"/>
  <c r="P60" i="107"/>
  <c r="P61" i="107"/>
  <c r="AF22" i="107" s="1"/>
  <c r="P62" i="107"/>
  <c r="P63" i="107"/>
  <c r="P64" i="107"/>
  <c r="P65" i="107"/>
  <c r="P66" i="107"/>
  <c r="P67" i="107"/>
  <c r="P68" i="107"/>
  <c r="P69" i="107"/>
  <c r="AF24" i="107" s="1"/>
  <c r="P70" i="107"/>
  <c r="P71" i="107"/>
  <c r="P72" i="107"/>
  <c r="P73" i="107"/>
  <c r="AF25" i="107" s="1"/>
  <c r="P74" i="107"/>
  <c r="P75" i="107"/>
  <c r="P76" i="107"/>
  <c r="P77" i="107"/>
  <c r="P78" i="107"/>
  <c r="P79" i="107"/>
  <c r="P80" i="107"/>
  <c r="P81" i="107"/>
  <c r="AF27" i="107" s="1"/>
  <c r="P82" i="107"/>
  <c r="P83" i="107"/>
  <c r="P84" i="107"/>
  <c r="P85" i="107"/>
  <c r="AF28" i="107" s="1"/>
  <c r="P86" i="107"/>
  <c r="P87" i="107"/>
  <c r="P88" i="107"/>
  <c r="P89" i="107"/>
  <c r="AF29" i="107" s="1"/>
  <c r="P90" i="107"/>
  <c r="P91" i="107"/>
  <c r="P92" i="107"/>
  <c r="P93" i="107"/>
  <c r="AF30" i="107" s="1"/>
  <c r="P94" i="107"/>
  <c r="P95" i="107"/>
  <c r="P96" i="107"/>
  <c r="P97" i="107"/>
  <c r="AF31" i="107" s="1"/>
  <c r="P98" i="107"/>
  <c r="P99" i="107"/>
  <c r="P100" i="107"/>
  <c r="P101" i="107"/>
  <c r="AF32" i="107" s="1"/>
  <c r="P102" i="107"/>
  <c r="P103" i="107"/>
  <c r="P104" i="107"/>
  <c r="P105" i="107"/>
  <c r="AF33" i="107" s="1"/>
  <c r="O58" i="107"/>
  <c r="O59" i="107"/>
  <c r="O60" i="107"/>
  <c r="O61" i="107"/>
  <c r="O62" i="107"/>
  <c r="O63" i="107"/>
  <c r="O64" i="107"/>
  <c r="AE23" i="107" s="1"/>
  <c r="O65" i="107"/>
  <c r="O66" i="107"/>
  <c r="O67" i="107"/>
  <c r="O68" i="107"/>
  <c r="AE24" i="107" s="1"/>
  <c r="O69" i="107"/>
  <c r="O70" i="107"/>
  <c r="O71" i="107"/>
  <c r="O72" i="107"/>
  <c r="AE25" i="107" s="1"/>
  <c r="O73" i="107"/>
  <c r="O74" i="107"/>
  <c r="O75" i="107"/>
  <c r="O76" i="107"/>
  <c r="AE26" i="107" s="1"/>
  <c r="O77" i="107"/>
  <c r="O78" i="107"/>
  <c r="O79" i="107"/>
  <c r="O80" i="107"/>
  <c r="O81" i="107"/>
  <c r="AE27" i="107" s="1"/>
  <c r="O82" i="107"/>
  <c r="O83" i="107"/>
  <c r="O84" i="107"/>
  <c r="O85" i="107"/>
  <c r="AE28" i="107" s="1"/>
  <c r="O86" i="107"/>
  <c r="O87" i="107"/>
  <c r="O88" i="107"/>
  <c r="AE29" i="107" s="1"/>
  <c r="O89" i="107"/>
  <c r="O90" i="107"/>
  <c r="O91" i="107"/>
  <c r="O92" i="107"/>
  <c r="AE30" i="107" s="1"/>
  <c r="O93" i="107"/>
  <c r="O94" i="107"/>
  <c r="O95" i="107"/>
  <c r="O96" i="107"/>
  <c r="O97" i="107"/>
  <c r="O98" i="107"/>
  <c r="O99" i="107"/>
  <c r="O100" i="107"/>
  <c r="O101" i="107"/>
  <c r="O102" i="107"/>
  <c r="O103" i="107"/>
  <c r="O104" i="107"/>
  <c r="O105" i="107"/>
  <c r="AE33" i="107" s="1"/>
  <c r="D58" i="107"/>
  <c r="E58" i="107"/>
  <c r="F58" i="107"/>
  <c r="G58" i="107"/>
  <c r="W22" i="107" s="1"/>
  <c r="H58" i="107"/>
  <c r="I58" i="107"/>
  <c r="J58" i="107"/>
  <c r="K58" i="107"/>
  <c r="AA22" i="107" s="1"/>
  <c r="L58" i="107"/>
  <c r="M58" i="107"/>
  <c r="N58" i="107"/>
  <c r="D59" i="107"/>
  <c r="E59" i="107"/>
  <c r="F59" i="107"/>
  <c r="G59" i="107"/>
  <c r="H59" i="107"/>
  <c r="I59" i="107"/>
  <c r="J59" i="107"/>
  <c r="K59" i="107"/>
  <c r="L59" i="107"/>
  <c r="M59" i="107"/>
  <c r="N59" i="107"/>
  <c r="D60" i="107"/>
  <c r="E60" i="107"/>
  <c r="F60" i="107"/>
  <c r="G60" i="107"/>
  <c r="H60" i="107"/>
  <c r="I60" i="107"/>
  <c r="J60" i="107"/>
  <c r="K60" i="107"/>
  <c r="L60" i="107"/>
  <c r="M60" i="107"/>
  <c r="N60" i="107"/>
  <c r="D61" i="107"/>
  <c r="E61" i="107"/>
  <c r="F61" i="107"/>
  <c r="V22" i="107" s="1"/>
  <c r="G61" i="107"/>
  <c r="H61" i="107"/>
  <c r="I61" i="107"/>
  <c r="J61" i="107"/>
  <c r="Z22" i="107" s="1"/>
  <c r="K61" i="107"/>
  <c r="L61" i="107"/>
  <c r="M61" i="107"/>
  <c r="N61" i="107"/>
  <c r="AD22" i="107" s="1"/>
  <c r="D62" i="107"/>
  <c r="E62" i="107"/>
  <c r="F62" i="107"/>
  <c r="V23" i="107" s="1"/>
  <c r="G62" i="107"/>
  <c r="H62" i="107"/>
  <c r="I62" i="107"/>
  <c r="J62" i="107"/>
  <c r="Z23" i="107" s="1"/>
  <c r="K62" i="107"/>
  <c r="L62" i="107"/>
  <c r="M62" i="107"/>
  <c r="N62" i="107"/>
  <c r="AD23" i="107" s="1"/>
  <c r="D63" i="107"/>
  <c r="E63" i="107"/>
  <c r="F63" i="107"/>
  <c r="G63" i="107"/>
  <c r="H63" i="107"/>
  <c r="I63" i="107"/>
  <c r="J63" i="107"/>
  <c r="K63" i="107"/>
  <c r="L63" i="107"/>
  <c r="M63" i="107"/>
  <c r="N63" i="107"/>
  <c r="D64" i="107"/>
  <c r="E64" i="107"/>
  <c r="U23" i="107" s="1"/>
  <c r="F64" i="107"/>
  <c r="G64" i="107"/>
  <c r="H64" i="107"/>
  <c r="I64" i="107"/>
  <c r="Y23" i="107" s="1"/>
  <c r="J64" i="107"/>
  <c r="K64" i="107"/>
  <c r="L64" i="107"/>
  <c r="M64" i="107"/>
  <c r="AC23" i="107" s="1"/>
  <c r="N64" i="107"/>
  <c r="D65" i="107"/>
  <c r="E65" i="107"/>
  <c r="F65" i="107"/>
  <c r="G65" i="107"/>
  <c r="H65" i="107"/>
  <c r="I65" i="107"/>
  <c r="J65" i="107"/>
  <c r="K65" i="107"/>
  <c r="L65" i="107"/>
  <c r="M65" i="107"/>
  <c r="N65" i="107"/>
  <c r="D66" i="107"/>
  <c r="E66" i="107"/>
  <c r="F66" i="107"/>
  <c r="G66" i="107"/>
  <c r="H66" i="107"/>
  <c r="I66" i="107"/>
  <c r="J66" i="107"/>
  <c r="K66" i="107"/>
  <c r="L66" i="107"/>
  <c r="M66" i="107"/>
  <c r="N66" i="107"/>
  <c r="D67" i="107"/>
  <c r="T24" i="107" s="1"/>
  <c r="E67" i="107"/>
  <c r="F67" i="107"/>
  <c r="G67" i="107"/>
  <c r="H67" i="107"/>
  <c r="X24" i="107" s="1"/>
  <c r="I67" i="107"/>
  <c r="J67" i="107"/>
  <c r="K67" i="107"/>
  <c r="L67" i="107"/>
  <c r="AB24" i="107" s="1"/>
  <c r="M67" i="107"/>
  <c r="N67" i="107"/>
  <c r="D68" i="107"/>
  <c r="E68" i="107"/>
  <c r="U24" i="107" s="1"/>
  <c r="F68" i="107"/>
  <c r="G68" i="107"/>
  <c r="H68" i="107"/>
  <c r="I68" i="107"/>
  <c r="Y24" i="107" s="1"/>
  <c r="J68" i="107"/>
  <c r="K68" i="107"/>
  <c r="L68" i="107"/>
  <c r="M68" i="107"/>
  <c r="AC24" i="107" s="1"/>
  <c r="N68" i="107"/>
  <c r="D69" i="107"/>
  <c r="E69" i="107"/>
  <c r="F69" i="107"/>
  <c r="G69" i="107"/>
  <c r="H69" i="107"/>
  <c r="I69" i="107"/>
  <c r="J69" i="107"/>
  <c r="K69" i="107"/>
  <c r="L69" i="107"/>
  <c r="M69" i="107"/>
  <c r="N69" i="107"/>
  <c r="D70" i="107"/>
  <c r="E70" i="107"/>
  <c r="F70" i="107"/>
  <c r="G70" i="107"/>
  <c r="W25" i="107" s="1"/>
  <c r="H70" i="107"/>
  <c r="I70" i="107"/>
  <c r="J70" i="107"/>
  <c r="K70" i="107"/>
  <c r="AA25" i="107" s="1"/>
  <c r="L70" i="107"/>
  <c r="M70" i="107"/>
  <c r="N70" i="107"/>
  <c r="D71" i="107"/>
  <c r="T25" i="107" s="1"/>
  <c r="E71" i="107"/>
  <c r="F71" i="107"/>
  <c r="G71" i="107"/>
  <c r="H71" i="107"/>
  <c r="X25" i="107" s="1"/>
  <c r="I71" i="107"/>
  <c r="J71" i="107"/>
  <c r="K71" i="107"/>
  <c r="L71" i="107"/>
  <c r="AB25" i="107" s="1"/>
  <c r="M71" i="107"/>
  <c r="N71" i="107"/>
  <c r="D72" i="107"/>
  <c r="E72" i="107"/>
  <c r="F72" i="107"/>
  <c r="G72" i="107"/>
  <c r="H72" i="107"/>
  <c r="I72" i="107"/>
  <c r="J72" i="107"/>
  <c r="K72" i="107"/>
  <c r="L72" i="107"/>
  <c r="M72" i="107"/>
  <c r="N72" i="107"/>
  <c r="D73" i="107"/>
  <c r="E73" i="107"/>
  <c r="F73" i="107"/>
  <c r="G73" i="107"/>
  <c r="H73" i="107"/>
  <c r="I73" i="107"/>
  <c r="J73" i="107"/>
  <c r="K73" i="107"/>
  <c r="L73" i="107"/>
  <c r="M73" i="107"/>
  <c r="N73" i="107"/>
  <c r="D74" i="107"/>
  <c r="E74" i="107"/>
  <c r="F74" i="107"/>
  <c r="G74" i="107"/>
  <c r="W26" i="107" s="1"/>
  <c r="H74" i="107"/>
  <c r="I74" i="107"/>
  <c r="J74" i="107"/>
  <c r="K74" i="107"/>
  <c r="AA26" i="107" s="1"/>
  <c r="L74" i="107"/>
  <c r="M74" i="107"/>
  <c r="N74" i="107"/>
  <c r="D75" i="107"/>
  <c r="E75" i="107"/>
  <c r="F75" i="107"/>
  <c r="G75" i="107"/>
  <c r="H75" i="107"/>
  <c r="I75" i="107"/>
  <c r="J75" i="107"/>
  <c r="K75" i="107"/>
  <c r="L75" i="107"/>
  <c r="M75" i="107"/>
  <c r="N75" i="107"/>
  <c r="D76" i="107"/>
  <c r="E76" i="107"/>
  <c r="F76" i="107"/>
  <c r="G76" i="107"/>
  <c r="H76" i="107"/>
  <c r="I76" i="107"/>
  <c r="J76" i="107"/>
  <c r="K76" i="107"/>
  <c r="L76" i="107"/>
  <c r="M76" i="107"/>
  <c r="N76" i="107"/>
  <c r="D77" i="107"/>
  <c r="E77" i="107"/>
  <c r="F77" i="107"/>
  <c r="V26" i="107" s="1"/>
  <c r="G77" i="107"/>
  <c r="H77" i="107"/>
  <c r="I77" i="107"/>
  <c r="J77" i="107"/>
  <c r="Z26" i="107" s="1"/>
  <c r="K77" i="107"/>
  <c r="L77" i="107"/>
  <c r="M77" i="107"/>
  <c r="N77" i="107"/>
  <c r="AD26" i="107" s="1"/>
  <c r="D78" i="107"/>
  <c r="E78" i="107"/>
  <c r="F78" i="107"/>
  <c r="V27" i="107" s="1"/>
  <c r="G78" i="107"/>
  <c r="H78" i="107"/>
  <c r="I78" i="107"/>
  <c r="J78" i="107"/>
  <c r="Z27" i="107" s="1"/>
  <c r="K78" i="107"/>
  <c r="L78" i="107"/>
  <c r="M78" i="107"/>
  <c r="N78" i="107"/>
  <c r="AD27" i="107" s="1"/>
  <c r="D79" i="107"/>
  <c r="E79" i="107"/>
  <c r="F79" i="107"/>
  <c r="G79" i="107"/>
  <c r="H79" i="107"/>
  <c r="I79" i="107"/>
  <c r="J79" i="107"/>
  <c r="K79" i="107"/>
  <c r="L79" i="107"/>
  <c r="M79" i="107"/>
  <c r="N79" i="107"/>
  <c r="D80" i="107"/>
  <c r="E80" i="107"/>
  <c r="U27" i="107" s="1"/>
  <c r="F80" i="107"/>
  <c r="G80" i="107"/>
  <c r="H80" i="107"/>
  <c r="I80" i="107"/>
  <c r="Y27" i="107" s="1"/>
  <c r="J80" i="107"/>
  <c r="K80" i="107"/>
  <c r="L80" i="107"/>
  <c r="M80" i="107"/>
  <c r="AC27" i="107" s="1"/>
  <c r="N80" i="107"/>
  <c r="D81" i="107"/>
  <c r="E81" i="107"/>
  <c r="F81" i="107"/>
  <c r="G81" i="107"/>
  <c r="H81" i="107"/>
  <c r="I81" i="107"/>
  <c r="J81" i="107"/>
  <c r="K81" i="107"/>
  <c r="L81" i="107"/>
  <c r="M81" i="107"/>
  <c r="N81" i="107"/>
  <c r="D82" i="107"/>
  <c r="E82" i="107"/>
  <c r="F82" i="107"/>
  <c r="G82" i="107"/>
  <c r="H82" i="107"/>
  <c r="I82" i="107"/>
  <c r="J82" i="107"/>
  <c r="K82" i="107"/>
  <c r="L82" i="107"/>
  <c r="M82" i="107"/>
  <c r="N82" i="107"/>
  <c r="D83" i="107"/>
  <c r="T28" i="107" s="1"/>
  <c r="E83" i="107"/>
  <c r="U28" i="107" s="1"/>
  <c r="F83" i="107"/>
  <c r="G83" i="107"/>
  <c r="H83" i="107"/>
  <c r="X28" i="107" s="1"/>
  <c r="I83" i="107"/>
  <c r="Y28" i="107" s="1"/>
  <c r="J83" i="107"/>
  <c r="K83" i="107"/>
  <c r="L83" i="107"/>
  <c r="AB28" i="107" s="1"/>
  <c r="M83" i="107"/>
  <c r="AC28" i="107" s="1"/>
  <c r="N83" i="107"/>
  <c r="D84" i="107"/>
  <c r="E84" i="107"/>
  <c r="F84" i="107"/>
  <c r="G84" i="107"/>
  <c r="H84" i="107"/>
  <c r="I84" i="107"/>
  <c r="J84" i="107"/>
  <c r="K84" i="107"/>
  <c r="L84" i="107"/>
  <c r="M84" i="107"/>
  <c r="N84" i="107"/>
  <c r="D85" i="107"/>
  <c r="E85" i="107"/>
  <c r="F85" i="107"/>
  <c r="V28" i="107" s="1"/>
  <c r="G85" i="107"/>
  <c r="H85" i="107"/>
  <c r="I85" i="107"/>
  <c r="J85" i="107"/>
  <c r="Z28" i="107" s="1"/>
  <c r="K85" i="107"/>
  <c r="L85" i="107"/>
  <c r="M85" i="107"/>
  <c r="N85" i="107"/>
  <c r="AD28" i="107" s="1"/>
  <c r="D86" i="107"/>
  <c r="T29" i="107" s="1"/>
  <c r="E86" i="107"/>
  <c r="F86" i="107"/>
  <c r="G86" i="107"/>
  <c r="W29" i="107" s="1"/>
  <c r="H86" i="107"/>
  <c r="X29" i="107" s="1"/>
  <c r="I86" i="107"/>
  <c r="J86" i="107"/>
  <c r="K86" i="107"/>
  <c r="AA29" i="107" s="1"/>
  <c r="L86" i="107"/>
  <c r="AB29" i="107" s="1"/>
  <c r="M86" i="107"/>
  <c r="N86" i="107"/>
  <c r="D87" i="107"/>
  <c r="E87" i="107"/>
  <c r="F87" i="107"/>
  <c r="G87" i="107"/>
  <c r="H87" i="107"/>
  <c r="I87" i="107"/>
  <c r="J87" i="107"/>
  <c r="K87" i="107"/>
  <c r="L87" i="107"/>
  <c r="M87" i="107"/>
  <c r="N87" i="107"/>
  <c r="D88" i="107"/>
  <c r="E88" i="107"/>
  <c r="U29" i="107" s="1"/>
  <c r="F88" i="107"/>
  <c r="G88" i="107"/>
  <c r="H88" i="107"/>
  <c r="I88" i="107"/>
  <c r="Y29" i="107" s="1"/>
  <c r="J88" i="107"/>
  <c r="K88" i="107"/>
  <c r="L88" i="107"/>
  <c r="M88" i="107"/>
  <c r="AC29" i="107" s="1"/>
  <c r="N88" i="107"/>
  <c r="D89" i="107"/>
  <c r="E89" i="107"/>
  <c r="F89" i="107"/>
  <c r="G89" i="107"/>
  <c r="H89" i="107"/>
  <c r="I89" i="107"/>
  <c r="J89" i="107"/>
  <c r="K89" i="107"/>
  <c r="L89" i="107"/>
  <c r="M89" i="107"/>
  <c r="N89" i="107"/>
  <c r="D90" i="107"/>
  <c r="E90" i="107"/>
  <c r="F90" i="107"/>
  <c r="G90" i="107"/>
  <c r="W30" i="107" s="1"/>
  <c r="H90" i="107"/>
  <c r="I90" i="107"/>
  <c r="J90" i="107"/>
  <c r="K90" i="107"/>
  <c r="AA30" i="107" s="1"/>
  <c r="L90" i="107"/>
  <c r="M90" i="107"/>
  <c r="N90" i="107"/>
  <c r="D91" i="107"/>
  <c r="T30" i="107" s="1"/>
  <c r="E91" i="107"/>
  <c r="F91" i="107"/>
  <c r="G91" i="107"/>
  <c r="H91" i="107"/>
  <c r="X30" i="107" s="1"/>
  <c r="I91" i="107"/>
  <c r="J91" i="107"/>
  <c r="K91" i="107"/>
  <c r="L91" i="107"/>
  <c r="AB30" i="107" s="1"/>
  <c r="M91" i="107"/>
  <c r="N91" i="107"/>
  <c r="D92" i="107"/>
  <c r="E92" i="107"/>
  <c r="F92" i="107"/>
  <c r="G92" i="107"/>
  <c r="H92" i="107"/>
  <c r="I92" i="107"/>
  <c r="J92" i="107"/>
  <c r="K92" i="107"/>
  <c r="L92" i="107"/>
  <c r="M92" i="107"/>
  <c r="N92" i="107"/>
  <c r="D93" i="107"/>
  <c r="E93" i="107"/>
  <c r="F93" i="107"/>
  <c r="V30" i="107" s="1"/>
  <c r="G93" i="107"/>
  <c r="H93" i="107"/>
  <c r="I93" i="107"/>
  <c r="J93" i="107"/>
  <c r="Z30" i="107" s="1"/>
  <c r="K93" i="107"/>
  <c r="L93" i="107"/>
  <c r="M93" i="107"/>
  <c r="N93" i="107"/>
  <c r="AD30" i="107" s="1"/>
  <c r="D94" i="107"/>
  <c r="E94" i="107"/>
  <c r="F94" i="107"/>
  <c r="V31" i="107" s="1"/>
  <c r="G94" i="107"/>
  <c r="W31" i="107" s="1"/>
  <c r="H94" i="107"/>
  <c r="I94" i="107"/>
  <c r="J94" i="107"/>
  <c r="Z31" i="107" s="1"/>
  <c r="K94" i="107"/>
  <c r="AA31" i="107" s="1"/>
  <c r="L94" i="107"/>
  <c r="M94" i="107"/>
  <c r="N94" i="107"/>
  <c r="AD31" i="107" s="1"/>
  <c r="D95" i="107"/>
  <c r="E95" i="107"/>
  <c r="F95" i="107"/>
  <c r="G95" i="107"/>
  <c r="H95" i="107"/>
  <c r="I95" i="107"/>
  <c r="J95" i="107"/>
  <c r="K95" i="107"/>
  <c r="L95" i="107"/>
  <c r="M95" i="107"/>
  <c r="N95" i="107"/>
  <c r="D96" i="107"/>
  <c r="E96" i="107"/>
  <c r="U31" i="107" s="1"/>
  <c r="F96" i="107"/>
  <c r="G96" i="107"/>
  <c r="H96" i="107"/>
  <c r="I96" i="107"/>
  <c r="Y31" i="107" s="1"/>
  <c r="J96" i="107"/>
  <c r="K96" i="107"/>
  <c r="L96" i="107"/>
  <c r="M96" i="107"/>
  <c r="AC31" i="107" s="1"/>
  <c r="N96" i="107"/>
  <c r="D97" i="107"/>
  <c r="E97" i="107"/>
  <c r="F97" i="107"/>
  <c r="G97" i="107"/>
  <c r="H97" i="107"/>
  <c r="I97" i="107"/>
  <c r="J97" i="107"/>
  <c r="K97" i="107"/>
  <c r="L97" i="107"/>
  <c r="M97" i="107"/>
  <c r="N97" i="107"/>
  <c r="D98" i="107"/>
  <c r="E98" i="107"/>
  <c r="F98" i="107"/>
  <c r="G98" i="107"/>
  <c r="H98" i="107"/>
  <c r="I98" i="107"/>
  <c r="J98" i="107"/>
  <c r="K98" i="107"/>
  <c r="L98" i="107"/>
  <c r="M98" i="107"/>
  <c r="N98" i="107"/>
  <c r="D99" i="107"/>
  <c r="T32" i="107" s="1"/>
  <c r="E99" i="107"/>
  <c r="U32" i="107" s="1"/>
  <c r="F99" i="107"/>
  <c r="G99" i="107"/>
  <c r="H99" i="107"/>
  <c r="X32" i="107" s="1"/>
  <c r="I99" i="107"/>
  <c r="Y32" i="107" s="1"/>
  <c r="J99" i="107"/>
  <c r="K99" i="107"/>
  <c r="L99" i="107"/>
  <c r="AB32" i="107" s="1"/>
  <c r="M99" i="107"/>
  <c r="AC32" i="107" s="1"/>
  <c r="N99" i="107"/>
  <c r="D100" i="107"/>
  <c r="E100" i="107"/>
  <c r="F100" i="107"/>
  <c r="G100" i="107"/>
  <c r="H100" i="107"/>
  <c r="I100" i="107"/>
  <c r="J100" i="107"/>
  <c r="K100" i="107"/>
  <c r="L100" i="107"/>
  <c r="M100" i="107"/>
  <c r="N100" i="107"/>
  <c r="D101" i="107"/>
  <c r="E101" i="107"/>
  <c r="F101" i="107"/>
  <c r="V32" i="107" s="1"/>
  <c r="G101" i="107"/>
  <c r="H101" i="107"/>
  <c r="I101" i="107"/>
  <c r="J101" i="107"/>
  <c r="Z32" i="107" s="1"/>
  <c r="K101" i="107"/>
  <c r="L101" i="107"/>
  <c r="M101" i="107"/>
  <c r="N101" i="107"/>
  <c r="AD32" i="107" s="1"/>
  <c r="D102" i="107"/>
  <c r="T33" i="107" s="1"/>
  <c r="E102" i="107"/>
  <c r="F102" i="107"/>
  <c r="G102" i="107"/>
  <c r="W33" i="107" s="1"/>
  <c r="H102" i="107"/>
  <c r="X33" i="107" s="1"/>
  <c r="I102" i="107"/>
  <c r="J102" i="107"/>
  <c r="K102" i="107"/>
  <c r="AA33" i="107" s="1"/>
  <c r="L102" i="107"/>
  <c r="AB33" i="107" s="1"/>
  <c r="M102" i="107"/>
  <c r="N102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D104" i="107"/>
  <c r="E104" i="107"/>
  <c r="U33" i="107" s="1"/>
  <c r="F104" i="107"/>
  <c r="G104" i="107"/>
  <c r="H104" i="107"/>
  <c r="I104" i="107"/>
  <c r="Y33" i="107" s="1"/>
  <c r="J104" i="107"/>
  <c r="K104" i="107"/>
  <c r="L104" i="107"/>
  <c r="M104" i="107"/>
  <c r="AC33" i="107" s="1"/>
  <c r="N104" i="107"/>
  <c r="D105" i="107"/>
  <c r="E105" i="107"/>
  <c r="F105" i="107"/>
  <c r="G105" i="107"/>
  <c r="H105" i="107"/>
  <c r="I105" i="107"/>
  <c r="J105" i="107"/>
  <c r="K105" i="107"/>
  <c r="L105" i="107"/>
  <c r="M105" i="107"/>
  <c r="N105" i="107"/>
  <c r="C59" i="107"/>
  <c r="C60" i="107"/>
  <c r="C61" i="107"/>
  <c r="C62" i="107"/>
  <c r="S23" i="107" s="1"/>
  <c r="C63" i="107"/>
  <c r="C64" i="107"/>
  <c r="C65" i="107"/>
  <c r="C66" i="107"/>
  <c r="S24" i="107" s="1"/>
  <c r="C67" i="107"/>
  <c r="C68" i="107"/>
  <c r="C69" i="107"/>
  <c r="C70" i="107"/>
  <c r="S25" i="107" s="1"/>
  <c r="C71" i="107"/>
  <c r="C72" i="107"/>
  <c r="C73" i="107"/>
  <c r="C74" i="107"/>
  <c r="S26" i="107" s="1"/>
  <c r="C75" i="107"/>
  <c r="C76" i="107"/>
  <c r="C77" i="107"/>
  <c r="C78" i="107"/>
  <c r="S27" i="107" s="1"/>
  <c r="C79" i="107"/>
  <c r="C80" i="107"/>
  <c r="C81" i="107"/>
  <c r="C82" i="107"/>
  <c r="S28" i="107" s="1"/>
  <c r="C83" i="107"/>
  <c r="C84" i="107"/>
  <c r="C85" i="107"/>
  <c r="C86" i="107"/>
  <c r="S29" i="107" s="1"/>
  <c r="C87" i="107"/>
  <c r="C88" i="107"/>
  <c r="C89" i="107"/>
  <c r="C90" i="107"/>
  <c r="S30" i="107" s="1"/>
  <c r="C91" i="107"/>
  <c r="C92" i="107"/>
  <c r="C93" i="107"/>
  <c r="C94" i="107"/>
  <c r="S31" i="107" s="1"/>
  <c r="C95" i="107"/>
  <c r="C96" i="107"/>
  <c r="C97" i="107"/>
  <c r="C98" i="107"/>
  <c r="S32" i="107" s="1"/>
  <c r="C99" i="107"/>
  <c r="C100" i="107"/>
  <c r="C101" i="107"/>
  <c r="C102" i="107"/>
  <c r="S33" i="107" s="1"/>
  <c r="C103" i="107"/>
  <c r="C104" i="107"/>
  <c r="C105" i="107"/>
  <c r="C58" i="107"/>
  <c r="AD33" i="108"/>
  <c r="Z33" i="108"/>
  <c r="W33" i="108"/>
  <c r="V33" i="108"/>
  <c r="AB32" i="108"/>
  <c r="X32" i="108"/>
  <c r="T32" i="108"/>
  <c r="AD31" i="108"/>
  <c r="Z31" i="108"/>
  <c r="V31" i="108"/>
  <c r="AB30" i="108"/>
  <c r="X30" i="108"/>
  <c r="AD29" i="108"/>
  <c r="AA29" i="108"/>
  <c r="Z29" i="108"/>
  <c r="V29" i="108"/>
  <c r="S29" i="108"/>
  <c r="AB28" i="108"/>
  <c r="T28" i="108"/>
  <c r="AD27" i="108"/>
  <c r="V27" i="108"/>
  <c r="X26" i="108"/>
  <c r="T26" i="108"/>
  <c r="AD25" i="108"/>
  <c r="Z25" i="108"/>
  <c r="W25" i="108"/>
  <c r="V25" i="108"/>
  <c r="AB24" i="108"/>
  <c r="X24" i="108"/>
  <c r="T24" i="108"/>
  <c r="Z23" i="108"/>
  <c r="AB22" i="108"/>
  <c r="X22" i="108"/>
  <c r="U30" i="111"/>
  <c r="V25" i="111"/>
  <c r="AD33" i="107"/>
  <c r="Z33" i="107"/>
  <c r="V33" i="107"/>
  <c r="AE32" i="107"/>
  <c r="AA32" i="107"/>
  <c r="W32" i="107"/>
  <c r="AE31" i="107"/>
  <c r="AB31" i="107"/>
  <c r="X31" i="107"/>
  <c r="T31" i="107"/>
  <c r="AC30" i="107"/>
  <c r="Y30" i="107"/>
  <c r="U30" i="107"/>
  <c r="AD29" i="107"/>
  <c r="Z29" i="107"/>
  <c r="V29" i="107"/>
  <c r="AA28" i="107"/>
  <c r="W28" i="107"/>
  <c r="AB27" i="107"/>
  <c r="AA27" i="107"/>
  <c r="X27" i="107"/>
  <c r="W27" i="107"/>
  <c r="T27" i="107"/>
  <c r="AF26" i="107"/>
  <c r="AC26" i="107"/>
  <c r="AB26" i="107"/>
  <c r="Y26" i="107"/>
  <c r="X26" i="107"/>
  <c r="U26" i="107"/>
  <c r="T26" i="107"/>
  <c r="AD25" i="107"/>
  <c r="AC25" i="107"/>
  <c r="Z25" i="107"/>
  <c r="Y25" i="107"/>
  <c r="V25" i="107"/>
  <c r="U25" i="107"/>
  <c r="AD24" i="107"/>
  <c r="AA24" i="107"/>
  <c r="Z24" i="107"/>
  <c r="W24" i="107"/>
  <c r="V24" i="107"/>
  <c r="AF23" i="107"/>
  <c r="AB23" i="107"/>
  <c r="AA23" i="107"/>
  <c r="X23" i="107"/>
  <c r="W23" i="107"/>
  <c r="T23" i="107"/>
  <c r="AE22" i="107"/>
  <c r="AC22" i="107"/>
  <c r="AB22" i="107"/>
  <c r="Y22" i="107"/>
  <c r="X22" i="107"/>
  <c r="U22" i="107"/>
  <c r="T22" i="107"/>
  <c r="S22" i="107"/>
  <c r="W23" i="101"/>
  <c r="V23" i="101"/>
  <c r="V24" i="109"/>
  <c r="U23" i="101"/>
  <c r="U23" i="109"/>
  <c r="T23" i="101"/>
  <c r="T23" i="109"/>
  <c r="S23" i="101"/>
  <c r="AF26" i="111" l="1"/>
  <c r="AF24" i="111"/>
  <c r="AE30" i="111"/>
  <c r="AE23" i="111"/>
  <c r="AF33" i="111"/>
  <c r="AF29" i="111"/>
  <c r="AF23" i="111"/>
  <c r="AE32" i="111"/>
  <c r="AE29" i="111"/>
  <c r="AE26" i="111"/>
  <c r="AF31" i="111"/>
  <c r="AF27" i="111"/>
  <c r="AF25" i="111"/>
  <c r="AE22" i="111"/>
  <c r="P104" i="108"/>
  <c r="S23" i="108"/>
  <c r="S31" i="108"/>
  <c r="S25" i="108"/>
  <c r="S33" i="108"/>
  <c r="U22" i="108"/>
  <c r="Y22" i="108"/>
  <c r="AC22" i="108"/>
  <c r="U23" i="108"/>
  <c r="Y23" i="108"/>
  <c r="AC23" i="108"/>
  <c r="U24" i="108"/>
  <c r="Y24" i="108"/>
  <c r="AC24" i="108"/>
  <c r="U25" i="108"/>
  <c r="Y25" i="108"/>
  <c r="AC25" i="108"/>
  <c r="U26" i="108"/>
  <c r="Y26" i="108"/>
  <c r="AC26" i="108"/>
  <c r="U27" i="108"/>
  <c r="Y27" i="108"/>
  <c r="AC27" i="108"/>
  <c r="U28" i="108"/>
  <c r="Y28" i="108"/>
  <c r="AC28" i="108"/>
  <c r="U29" i="108"/>
  <c r="Y29" i="108"/>
  <c r="AC29" i="108"/>
  <c r="U30" i="108"/>
  <c r="Y30" i="108"/>
  <c r="AC30" i="108"/>
  <c r="U31" i="108"/>
  <c r="Y31" i="108"/>
  <c r="AC31" i="108"/>
  <c r="U32" i="108"/>
  <c r="Y32" i="108"/>
  <c r="AC32" i="108"/>
  <c r="U33" i="108"/>
  <c r="Y33" i="108"/>
  <c r="AC33" i="108"/>
  <c r="S27" i="108"/>
  <c r="V22" i="108"/>
  <c r="Z22" i="108"/>
  <c r="AD22" i="108"/>
  <c r="V24" i="108"/>
  <c r="Z24" i="108"/>
  <c r="AD24" i="108"/>
  <c r="V26" i="108"/>
  <c r="Z26" i="108"/>
  <c r="AD26" i="108"/>
  <c r="V28" i="108"/>
  <c r="Z28" i="108"/>
  <c r="AD28" i="108"/>
  <c r="V30" i="108"/>
  <c r="Z30" i="108"/>
  <c r="AD30" i="108"/>
  <c r="V32" i="108"/>
  <c r="Z32" i="108"/>
  <c r="AD32" i="108"/>
  <c r="S22" i="108"/>
  <c r="P58" i="108"/>
  <c r="O60" i="108"/>
  <c r="O68" i="108"/>
  <c r="O76" i="108"/>
  <c r="O84" i="108"/>
  <c r="O92" i="108"/>
  <c r="O100" i="108"/>
  <c r="O58" i="108"/>
  <c r="S24" i="108"/>
  <c r="P66" i="108"/>
  <c r="O66" i="108"/>
  <c r="S26" i="108"/>
  <c r="P74" i="108"/>
  <c r="O74" i="108"/>
  <c r="S28" i="108"/>
  <c r="P82" i="108"/>
  <c r="O82" i="108"/>
  <c r="S32" i="108"/>
  <c r="P98" i="108"/>
  <c r="O98" i="108"/>
  <c r="P61" i="108"/>
  <c r="O62" i="108"/>
  <c r="P69" i="108"/>
  <c r="O70" i="108"/>
  <c r="P77" i="108"/>
  <c r="O78" i="108"/>
  <c r="P85" i="108"/>
  <c r="O86" i="108"/>
  <c r="P93" i="108"/>
  <c r="O94" i="108"/>
  <c r="P101" i="108"/>
  <c r="O102" i="108"/>
  <c r="S30" i="108"/>
  <c r="P90" i="108"/>
  <c r="AF30" i="108" s="1"/>
  <c r="O90" i="108"/>
  <c r="P63" i="108"/>
  <c r="AF23" i="108" s="1"/>
  <c r="O64" i="108"/>
  <c r="P71" i="108"/>
  <c r="AF25" i="108" s="1"/>
  <c r="O72" i="108"/>
  <c r="P79" i="108"/>
  <c r="AF27" i="108" s="1"/>
  <c r="O80" i="108"/>
  <c r="P87" i="108"/>
  <c r="AF29" i="108" s="1"/>
  <c r="O88" i="108"/>
  <c r="P95" i="108"/>
  <c r="AF31" i="108" s="1"/>
  <c r="O96" i="108"/>
  <c r="P103" i="108"/>
  <c r="AF33" i="108" s="1"/>
  <c r="O104" i="108"/>
  <c r="O59" i="108"/>
  <c r="O61" i="108"/>
  <c r="O63" i="108"/>
  <c r="O65" i="108"/>
  <c r="O67" i="108"/>
  <c r="O69" i="108"/>
  <c r="O71" i="108"/>
  <c r="O73" i="108"/>
  <c r="O75" i="108"/>
  <c r="O77" i="108"/>
  <c r="O79" i="108"/>
  <c r="O81" i="108"/>
  <c r="O83" i="108"/>
  <c r="O85" i="108"/>
  <c r="O87" i="108"/>
  <c r="O89" i="108"/>
  <c r="O91" i="108"/>
  <c r="O93" i="108"/>
  <c r="O95" i="108"/>
  <c r="O97" i="108"/>
  <c r="O99" i="108"/>
  <c r="O101" i="108"/>
  <c r="O103" i="108"/>
  <c r="O105" i="108"/>
  <c r="AD32" i="111"/>
  <c r="Z32" i="111"/>
  <c r="V32" i="111"/>
  <c r="AD31" i="111"/>
  <c r="Z31" i="111"/>
  <c r="V31" i="111"/>
  <c r="AD28" i="111"/>
  <c r="Z28" i="111"/>
  <c r="V28" i="111"/>
  <c r="AD27" i="111"/>
  <c r="Z27" i="111"/>
  <c r="V27" i="111"/>
  <c r="AD24" i="111"/>
  <c r="Z24" i="111"/>
  <c r="V24" i="111"/>
  <c r="AD23" i="111"/>
  <c r="Z23" i="111"/>
  <c r="V23" i="111"/>
  <c r="AC33" i="111"/>
  <c r="Y33" i="111"/>
  <c r="U33" i="111"/>
  <c r="AC29" i="111"/>
  <c r="Y29" i="111"/>
  <c r="U29" i="111"/>
  <c r="C3" i="94"/>
  <c r="AF28" i="108" l="1"/>
  <c r="AE28" i="108"/>
  <c r="AF26" i="108"/>
  <c r="AE32" i="108"/>
  <c r="AE31" i="108"/>
  <c r="AE23" i="108"/>
  <c r="AF32" i="108"/>
  <c r="AE24" i="108"/>
  <c r="AE22" i="108"/>
  <c r="AF22" i="108"/>
  <c r="AE27" i="108"/>
  <c r="AE29" i="108"/>
  <c r="AE30" i="108"/>
  <c r="AE33" i="108"/>
  <c r="AE25" i="108"/>
  <c r="AE26" i="108"/>
  <c r="AF24" i="108"/>
  <c r="K6" i="98"/>
  <c r="K6" i="99" s="1"/>
  <c r="K6" i="100" s="1"/>
  <c r="K6" i="101" s="1"/>
  <c r="K6" i="109" s="1"/>
  <c r="K6" i="105" s="1"/>
  <c r="K6" i="110" s="1"/>
  <c r="K6" i="103" s="1"/>
  <c r="K5" i="98"/>
  <c r="K5" i="99" s="1"/>
  <c r="K5" i="100" s="1"/>
  <c r="K5" i="101" s="1"/>
  <c r="K5" i="109" s="1"/>
  <c r="K5" i="105" s="1"/>
  <c r="K5" i="110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K5" i="96"/>
  <c r="G5" i="96"/>
  <c r="K6" i="95"/>
  <c r="K5" i="95"/>
  <c r="G5" i="95"/>
  <c r="K6" i="94"/>
  <c r="K5" i="94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6" i="104" l="1"/>
  <c r="K6" i="108" s="1"/>
  <c r="K6" i="111" s="1"/>
  <c r="K6" i="107"/>
  <c r="K5" i="107"/>
  <c r="K5" i="104"/>
  <c r="K5" i="108" s="1"/>
  <c r="K5" i="111" s="1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Y39" i="109" s="1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Z19" i="105"/>
  <c r="Z39" i="105" s="1"/>
  <c r="Y19" i="105"/>
  <c r="X19" i="105"/>
  <c r="X39" i="105" s="1"/>
  <c r="W19" i="105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AA27" i="99" s="1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X26" i="98" l="1"/>
  <c r="W39" i="105"/>
  <c r="AA39" i="105"/>
  <c r="U39" i="109"/>
  <c r="AC39" i="109"/>
  <c r="AA39" i="101"/>
  <c r="AA26" i="95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T19" i="108" s="1"/>
  <c r="F46" i="108"/>
  <c r="V19" i="108" s="1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U38" i="109" s="1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39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S38" i="105" s="1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AF33" i="101" s="1"/>
  <c r="O101" i="101"/>
  <c r="P100" i="101"/>
  <c r="O99" i="101"/>
  <c r="P98" i="101"/>
  <c r="AF32" i="101" s="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S23" i="105" s="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Y38" i="105" l="1"/>
  <c r="AF25" i="101"/>
  <c r="AF28" i="101"/>
  <c r="S35" i="110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V36" i="108" s="1"/>
  <c r="Z19" i="108"/>
  <c r="AC26" i="97"/>
  <c r="AC23" i="97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AD12" i="111" s="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AA42" i="110" s="1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G106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H106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K106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Y34" i="108" s="1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D10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L106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W41" i="108" s="1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N106" i="108"/>
  <c r="J106" i="108"/>
  <c r="F106" i="108"/>
  <c r="AB11" i="108"/>
  <c r="O41" i="108"/>
  <c r="O33" i="108"/>
  <c r="O25" i="108"/>
  <c r="V15" i="108"/>
  <c r="O23" i="108"/>
  <c r="O19" i="108"/>
  <c r="O15" i="108"/>
  <c r="C106" i="108"/>
  <c r="M106" i="108"/>
  <c r="I106" i="108"/>
  <c r="E106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C106" i="107"/>
  <c r="AC10" i="107"/>
  <c r="K106" i="107"/>
  <c r="I106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AD39" i="107" s="1"/>
  <c r="Z19" i="107"/>
  <c r="V19" i="107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N106" i="107"/>
  <c r="AB10" i="107"/>
  <c r="L106" i="107"/>
  <c r="J106" i="107"/>
  <c r="Z10" i="107"/>
  <c r="X10" i="107"/>
  <c r="H106" i="107"/>
  <c r="F106" i="107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U36" i="107" s="1"/>
  <c r="S19" i="107"/>
  <c r="S36" i="107" s="1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Y41" i="107" s="1"/>
  <c r="M106" i="107"/>
  <c r="E106" i="107"/>
  <c r="AB38" i="105"/>
  <c r="T38" i="105"/>
  <c r="AD10" i="107"/>
  <c r="V10" i="107"/>
  <c r="D106" i="107"/>
  <c r="AA10" i="107"/>
  <c r="AA41" i="107" s="1"/>
  <c r="G106" i="107"/>
  <c r="P10" i="107"/>
  <c r="S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Y41" i="108" l="1"/>
  <c r="Z41" i="108"/>
  <c r="V41" i="108"/>
  <c r="V42" i="108" s="1"/>
  <c r="AB41" i="108"/>
  <c r="X41" i="108"/>
  <c r="AC41" i="108"/>
  <c r="AC42" i="108" s="1"/>
  <c r="AA41" i="108"/>
  <c r="S41" i="108"/>
  <c r="U41" i="108"/>
  <c r="T41" i="108"/>
  <c r="T42" i="108" s="1"/>
  <c r="AD41" i="108"/>
  <c r="W41" i="107"/>
  <c r="AC41" i="107"/>
  <c r="S41" i="107"/>
  <c r="S42" i="107" s="1"/>
  <c r="V41" i="107"/>
  <c r="T41" i="107"/>
  <c r="U41" i="107"/>
  <c r="U42" i="107" s="1"/>
  <c r="X41" i="107"/>
  <c r="AB41" i="107"/>
  <c r="Z41" i="107"/>
  <c r="AD41" i="107"/>
  <c r="AD42" i="107" s="1"/>
  <c r="U39" i="107"/>
  <c r="X42" i="109"/>
  <c r="T12" i="111"/>
  <c r="T13" i="111"/>
  <c r="V22" i="93"/>
  <c r="AE24" i="98"/>
  <c r="V39" i="107"/>
  <c r="AF10" i="108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AC20" i="111"/>
  <c r="AA21" i="111"/>
  <c r="D106" i="111"/>
  <c r="L106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N106" i="111"/>
  <c r="T10" i="111"/>
  <c r="AB10" i="111"/>
  <c r="J106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M106" i="111"/>
  <c r="P17" i="111"/>
  <c r="O21" i="111"/>
  <c r="O37" i="111"/>
  <c r="P41" i="111"/>
  <c r="O42" i="111"/>
  <c r="U20" i="111"/>
  <c r="H106" i="111"/>
  <c r="X10" i="11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Y20" i="111"/>
  <c r="U21" i="111"/>
  <c r="P23" i="111"/>
  <c r="O23" i="111"/>
  <c r="Y18" i="111"/>
  <c r="O43" i="111"/>
  <c r="W21" i="111"/>
  <c r="F106" i="111"/>
  <c r="O10" i="111"/>
  <c r="C108" i="110"/>
  <c r="E106" i="111"/>
  <c r="P15" i="111"/>
  <c r="O28" i="111"/>
  <c r="O35" i="111"/>
  <c r="O25" i="111"/>
  <c r="O44" i="111"/>
  <c r="AD10" i="111"/>
  <c r="P36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C106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W19" i="111"/>
  <c r="AA20" i="111"/>
  <c r="W20" i="111"/>
  <c r="I106" i="111"/>
  <c r="P14" i="111"/>
  <c r="P16" i="111"/>
  <c r="O18" i="111"/>
  <c r="S14" i="111"/>
  <c r="O27" i="111"/>
  <c r="O29" i="111"/>
  <c r="S16" i="111"/>
  <c r="O39" i="111"/>
  <c r="S20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F108" i="110"/>
  <c r="G106" i="111"/>
  <c r="AA10" i="111"/>
  <c r="K106" i="11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O106" i="108"/>
  <c r="H108" i="108" s="1"/>
  <c r="U36" i="108"/>
  <c r="V36" i="107"/>
  <c r="AD37" i="107"/>
  <c r="AD35" i="107"/>
  <c r="P106" i="107"/>
  <c r="C107" i="107" s="1"/>
  <c r="V37" i="107"/>
  <c r="Y37" i="107"/>
  <c r="W34" i="107"/>
  <c r="U40" i="108"/>
  <c r="AF12" i="108"/>
  <c r="AF18" i="108"/>
  <c r="AA38" i="108"/>
  <c r="AE11" i="108"/>
  <c r="AD36" i="107"/>
  <c r="Y34" i="107"/>
  <c r="Z40" i="107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P106" i="108"/>
  <c r="H107" i="108" s="1"/>
  <c r="V40" i="108"/>
  <c r="Z35" i="108"/>
  <c r="U34" i="108"/>
  <c r="T40" i="108"/>
  <c r="S34" i="108"/>
  <c r="AF16" i="108"/>
  <c r="AA37" i="108"/>
  <c r="AA36" i="108"/>
  <c r="AB34" i="108"/>
  <c r="AB37" i="108"/>
  <c r="W40" i="108"/>
  <c r="W42" i="108" s="1"/>
  <c r="W37" i="108"/>
  <c r="W34" i="108"/>
  <c r="Y38" i="108"/>
  <c r="Y35" i="108"/>
  <c r="T37" i="108"/>
  <c r="X37" i="108"/>
  <c r="Y40" i="107"/>
  <c r="Y42" i="107" s="1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O106" i="107"/>
  <c r="H108" i="107" s="1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42" i="107" s="1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D42" i="108" l="1"/>
  <c r="AA42" i="108"/>
  <c r="AF41" i="108"/>
  <c r="U42" i="108"/>
  <c r="X42" i="108"/>
  <c r="Z42" i="108"/>
  <c r="AE41" i="108"/>
  <c r="S42" i="108"/>
  <c r="AB42" i="108"/>
  <c r="Y42" i="108"/>
  <c r="Y41" i="111"/>
  <c r="X41" i="111"/>
  <c r="T41" i="111"/>
  <c r="AE41" i="107"/>
  <c r="AC41" i="111"/>
  <c r="Z42" i="107"/>
  <c r="AC42" i="107"/>
  <c r="AF41" i="107"/>
  <c r="Z41" i="111"/>
  <c r="U41" i="111"/>
  <c r="V41" i="111"/>
  <c r="W41" i="111"/>
  <c r="AB42" i="107"/>
  <c r="T42" i="107"/>
  <c r="AD41" i="111"/>
  <c r="AA41" i="111"/>
  <c r="AB41" i="111"/>
  <c r="S41" i="111"/>
  <c r="X42" i="107"/>
  <c r="V42" i="107"/>
  <c r="W42" i="107"/>
  <c r="X40" i="111"/>
  <c r="X42" i="111" s="1"/>
  <c r="X34" i="111"/>
  <c r="X37" i="111"/>
  <c r="Y35" i="111"/>
  <c r="Y38" i="111"/>
  <c r="S36" i="111"/>
  <c r="S39" i="111"/>
  <c r="AC37" i="111"/>
  <c r="AC40" i="111"/>
  <c r="AC34" i="111"/>
  <c r="Z35" i="111"/>
  <c r="Z38" i="111"/>
  <c r="V39" i="111"/>
  <c r="V36" i="111"/>
  <c r="AD39" i="111"/>
  <c r="AD36" i="111"/>
  <c r="AB36" i="111"/>
  <c r="AB39" i="111"/>
  <c r="W36" i="111"/>
  <c r="W39" i="111"/>
  <c r="U35" i="111"/>
  <c r="U38" i="111"/>
  <c r="Y37" i="111"/>
  <c r="Y40" i="111"/>
  <c r="Y42" i="111" s="1"/>
  <c r="Y34" i="111"/>
  <c r="AA39" i="111"/>
  <c r="AA36" i="111"/>
  <c r="Z39" i="111"/>
  <c r="Z36" i="111"/>
  <c r="W38" i="111"/>
  <c r="W35" i="111"/>
  <c r="AC39" i="111"/>
  <c r="AC36" i="111"/>
  <c r="AD37" i="111"/>
  <c r="AD40" i="111"/>
  <c r="AD34" i="111"/>
  <c r="U40" i="111"/>
  <c r="U37" i="111"/>
  <c r="U34" i="111"/>
  <c r="AB38" i="111"/>
  <c r="AB35" i="111"/>
  <c r="V37" i="111"/>
  <c r="V34" i="111"/>
  <c r="V40" i="111"/>
  <c r="W40" i="111"/>
  <c r="W34" i="111"/>
  <c r="W37" i="111"/>
  <c r="U39" i="111"/>
  <c r="U36" i="111"/>
  <c r="X38" i="111"/>
  <c r="X35" i="111"/>
  <c r="T40" i="111"/>
  <c r="T34" i="111"/>
  <c r="T37" i="111"/>
  <c r="Z37" i="111"/>
  <c r="Z40" i="111"/>
  <c r="Z34" i="111"/>
  <c r="S38" i="111"/>
  <c r="S35" i="111"/>
  <c r="V35" i="111"/>
  <c r="V38" i="111"/>
  <c r="T38" i="111"/>
  <c r="T35" i="111"/>
  <c r="AA40" i="111"/>
  <c r="AA34" i="111"/>
  <c r="AA37" i="111"/>
  <c r="AC35" i="111"/>
  <c r="AC38" i="111"/>
  <c r="AB40" i="111"/>
  <c r="AB34" i="111"/>
  <c r="AB37" i="111"/>
  <c r="X36" i="111"/>
  <c r="X39" i="111"/>
  <c r="S40" i="111"/>
  <c r="S34" i="111"/>
  <c r="S37" i="111"/>
  <c r="T36" i="111"/>
  <c r="T39" i="111"/>
  <c r="AA38" i="111"/>
  <c r="AA35" i="111"/>
  <c r="AD35" i="111"/>
  <c r="AD38" i="111"/>
  <c r="Y39" i="111"/>
  <c r="Y36" i="111"/>
  <c r="AF12" i="111"/>
  <c r="AE15" i="111"/>
  <c r="AF19" i="111"/>
  <c r="AE12" i="111"/>
  <c r="AF14" i="111"/>
  <c r="AE14" i="111"/>
  <c r="AF11" i="111"/>
  <c r="AE18" i="111"/>
  <c r="AF10" i="111"/>
  <c r="AE20" i="111"/>
  <c r="AE10" i="111"/>
  <c r="AE13" i="111"/>
  <c r="AF15" i="111"/>
  <c r="AF13" i="111"/>
  <c r="AE21" i="111"/>
  <c r="AF20" i="111"/>
  <c r="AE11" i="111"/>
  <c r="AE19" i="111"/>
  <c r="AF17" i="111"/>
  <c r="AF16" i="111"/>
  <c r="O106" i="111"/>
  <c r="K108" i="111" s="1"/>
  <c r="P106" i="111"/>
  <c r="N107" i="111" s="1"/>
  <c r="AF21" i="111"/>
  <c r="AE17" i="111"/>
  <c r="AE16" i="111"/>
  <c r="AF18" i="111"/>
  <c r="M107" i="107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E42" i="108" l="1"/>
  <c r="AF42" i="108"/>
  <c r="T42" i="111"/>
  <c r="AE41" i="111"/>
  <c r="AA42" i="111"/>
  <c r="U42" i="111"/>
  <c r="AD42" i="111"/>
  <c r="Z42" i="111"/>
  <c r="AF41" i="111"/>
  <c r="S42" i="111"/>
  <c r="W42" i="111"/>
  <c r="AC42" i="111"/>
  <c r="AB42" i="111"/>
  <c r="V42" i="111"/>
  <c r="AF42" i="107"/>
  <c r="AE42" i="107"/>
  <c r="AE38" i="111"/>
  <c r="AE35" i="111"/>
  <c r="AE36" i="111"/>
  <c r="AE39" i="111"/>
  <c r="AF38" i="111"/>
  <c r="AF35" i="111"/>
  <c r="AE40" i="111"/>
  <c r="AE34" i="111"/>
  <c r="AE37" i="111"/>
  <c r="AF36" i="111"/>
  <c r="AF39" i="111"/>
  <c r="AF40" i="111"/>
  <c r="AF34" i="111"/>
  <c r="AF37" i="111"/>
  <c r="K107" i="11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  <c r="AF42" i="111" l="1"/>
  <c r="AE42" i="111"/>
</calcChain>
</file>

<file path=xl/sharedStrings.xml><?xml version="1.0" encoding="utf-8"?>
<sst xmlns="http://schemas.openxmlformats.org/spreadsheetml/2006/main" count="2325" uniqueCount="177">
  <si>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</si>
  <si>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</si>
  <si>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</si>
  <si>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</si>
  <si>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</si>
  <si>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</si>
  <si>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</si>
  <si>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</si>
  <si>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</si>
  <si>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</si>
  <si>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</si>
  <si>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</si>
  <si>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</si>
  <si>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</si>
  <si>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</si>
  <si>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</si>
  <si>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</si>
  <si>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</si>
  <si>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</si>
  <si>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</si>
  <si>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</si>
  <si>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</si>
  <si>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</si>
  <si>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</si>
  <si>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</si>
  <si>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</si>
  <si>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</si>
  <si>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</si>
  <si>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</si>
  <si>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</si>
  <si>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</si>
  <si>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</si>
  <si>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</si>
  <si>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</si>
  <si>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</si>
  <si>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</si>
  <si>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</si>
  <si>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</si>
  <si>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</si>
  <si>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</si>
  <si>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</si>
  <si>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</si>
  <si>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</si>
  <si>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</si>
  <si>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</si>
  <si>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</si>
  <si>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</si>
  <si>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</si>
  <si>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</si>
  <si>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</si>
  <si>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</si>
  <si>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</si>
  <si>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</si>
  <si>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</si>
  <si>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</si>
  <si>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</si>
  <si>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</si>
  <si>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</si>
  <si>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</si>
  <si>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</si>
  <si>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</si>
  <si>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</si>
  <si>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</si>
  <si>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</si>
  <si>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</si>
  <si>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</si>
  <si>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</si>
  <si>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</si>
  <si>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</si>
  <si>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</si>
  <si>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</si>
  <si>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</si>
  <si>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</si>
  <si>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</si>
  <si>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</si>
  <si>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</si>
  <si>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</si>
  <si>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</si>
  <si>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</si>
  <si>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</si>
  <si>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</si>
  <si>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</si>
  <si>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</si>
  <si>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</si>
  <si>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</si>
  <si>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</si>
  <si>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</si>
  <si>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</si>
  <si>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</si>
  <si>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</si>
  <si>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</si>
  <si>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</si>
  <si>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</si>
  <si>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</si>
  <si>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</si>
  <si>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</si>
  <si>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</si>
  <si>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</si>
  <si>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</si>
  <si>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</si>
  <si>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</si>
  <si>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</si>
  <si>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</si>
  <si>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</si>
  <si>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</si>
  <si>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</si>
  <si>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</si>
  <si>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</si>
  <si>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</si>
  <si>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</si>
  <si>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</si>
  <si>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</si>
  <si>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</si>
  <si>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</si>
  <si>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</si>
  <si>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</si>
  <si>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</si>
  <si>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</si>
  <si>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</si>
  <si>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</si>
  <si>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</si>
  <si>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</si>
  <si>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</si>
  <si>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</si>
  <si>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</si>
  <si>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</si>
  <si>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</si>
  <si>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</si>
  <si>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</si>
  <si>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</si>
  <si>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</si>
  <si>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</si>
  <si>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</si>
  <si>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</si>
  <si>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</si>
  <si>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</si>
  <si>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</si>
  <si>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</si>
  <si>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</si>
  <si>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</si>
  <si>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</si>
  <si>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</si>
  <si>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</si>
  <si>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</si>
  <si>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</si>
  <si>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</si>
  <si>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</si>
  <si>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</si>
  <si>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</si>
  <si>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</si>
  <si>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</si>
  <si>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</si>
  <si>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</si>
  <si>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</si>
  <si>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</si>
  <si>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</si>
  <si>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</si>
  <si>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</si>
  <si>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</si>
  <si>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</si>
  <si>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</si>
  <si>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</si>
  <si>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</si>
  <si>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MCC - C1 - STN32 - BUKOTO KISASI ROAD</t>
  </si>
  <si>
    <t>KISASI</t>
  </si>
  <si>
    <t>BUKOTO</t>
  </si>
  <si>
    <t>SALIMA L.</t>
  </si>
  <si>
    <t>02.08.19</t>
  </si>
  <si>
    <t>03.08.19</t>
  </si>
  <si>
    <t>29.07.19</t>
  </si>
  <si>
    <t>31.07.19</t>
  </si>
  <si>
    <t>30.07.19</t>
  </si>
  <si>
    <t>01.08.19</t>
  </si>
  <si>
    <t>04.08.19</t>
  </si>
  <si>
    <t>o</t>
  </si>
  <si>
    <t>RWAMBITITO J./NICHOL A./GEORGE W.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</si>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</sst>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Kisasi-Bukoto'!$AE$9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Kisasi-Bukoto'!$R$10:$R$21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Kisasi-Bukoto'!$AE$10:$AE$21</c:f>
              <c:numCache>
                <c:formatCode>0</c:formatCode>
                <c:ptCount val="12"/>
                <c:pt idx="0">
                  <c:v>316</c:v>
                </c:pt>
                <c:pt idx="1">
                  <c:v>449</c:v>
                </c:pt>
                <c:pt idx="2">
                  <c:v>332</c:v>
                </c:pt>
                <c:pt idx="3">
                  <c:v>271</c:v>
                </c:pt>
                <c:pt idx="4">
                  <c:v>230</c:v>
                </c:pt>
                <c:pt idx="5">
                  <c:v>216</c:v>
                </c:pt>
                <c:pt idx="6">
                  <c:v>160</c:v>
                </c:pt>
                <c:pt idx="7">
                  <c:v>196</c:v>
                </c:pt>
                <c:pt idx="8">
                  <c:v>169</c:v>
                </c:pt>
                <c:pt idx="9">
                  <c:v>238</c:v>
                </c:pt>
                <c:pt idx="10">
                  <c:v>211</c:v>
                </c:pt>
                <c:pt idx="11">
                  <c:v>186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'29.07 Kisasi-Bukoto'!$AF$9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Kisasi-Bukoto'!$R$10:$R$21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Kisasi-Bukoto'!$AF$10:$AF$21</c:f>
              <c:numCache>
                <c:formatCode>0</c:formatCode>
                <c:ptCount val="12"/>
                <c:pt idx="0">
                  <c:v>465</c:v>
                </c:pt>
                <c:pt idx="1">
                  <c:v>768</c:v>
                </c:pt>
                <c:pt idx="2">
                  <c:v>564</c:v>
                </c:pt>
                <c:pt idx="3">
                  <c:v>496</c:v>
                </c:pt>
                <c:pt idx="4">
                  <c:v>461</c:v>
                </c:pt>
                <c:pt idx="5">
                  <c:v>418</c:v>
                </c:pt>
                <c:pt idx="6">
                  <c:v>387</c:v>
                </c:pt>
                <c:pt idx="7">
                  <c:v>480</c:v>
                </c:pt>
                <c:pt idx="8">
                  <c:v>384</c:v>
                </c:pt>
                <c:pt idx="9">
                  <c:v>512</c:v>
                </c:pt>
                <c:pt idx="10">
                  <c:v>520</c:v>
                </c:pt>
                <c:pt idx="11">
                  <c:v>524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234560"/>
        <c:axId val="79286272"/>
      </c:lineChart>
      <c:catAx>
        <c:axId val="792345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9286272"/>
        <c:crosses val="autoZero"/>
        <c:auto val="1"/>
        <c:lblAlgn val="ctr"/>
        <c:lblOffset val="100"/>
        <c:noMultiLvlLbl val="0"/>
      </c:catAx>
      <c:valAx>
        <c:axId val="792862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923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Kisasi-Bukoto'!$C$9:$N$9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Kisasi-Bukoto'!$C$59:$N$59</c:f>
              <c:numCache>
                <c:formatCode>0.0%</c:formatCode>
                <c:ptCount val="12"/>
                <c:pt idx="0">
                  <c:v>0.25840441545408932</c:v>
                </c:pt>
                <c:pt idx="1">
                  <c:v>0.12978758989797626</c:v>
                </c:pt>
                <c:pt idx="2">
                  <c:v>1.2543903662819869E-2</c:v>
                </c:pt>
                <c:pt idx="3">
                  <c:v>7.3423649439705641E-2</c:v>
                </c:pt>
                <c:pt idx="4">
                  <c:v>1.1707643418631879E-3</c:v>
                </c:pt>
                <c:pt idx="5">
                  <c:v>1.6725204883759825E-4</c:v>
                </c:pt>
                <c:pt idx="6">
                  <c:v>1.739421307911022E-2</c:v>
                </c:pt>
                <c:pt idx="7">
                  <c:v>3.3450409767519654E-3</c:v>
                </c:pt>
                <c:pt idx="8">
                  <c:v>1.1707643418631879E-3</c:v>
                </c:pt>
                <c:pt idx="9">
                  <c:v>0</c:v>
                </c:pt>
                <c:pt idx="10">
                  <c:v>0.5025924067569828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Kisasi-Bukoto'!$C$9:$N$9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Kisasi-Bukoto'!$C$60:$N$60</c:f>
              <c:numCache>
                <c:formatCode>0.00%</c:formatCode>
                <c:ptCount val="12"/>
                <c:pt idx="0">
                  <c:v>0.51950235373234699</c:v>
                </c:pt>
                <c:pt idx="1">
                  <c:v>0.2609280430396772</c:v>
                </c:pt>
                <c:pt idx="2">
                  <c:v>2.5218560860793545E-2</c:v>
                </c:pt>
                <c:pt idx="3">
                  <c:v>0.1476126429051782</c:v>
                </c:pt>
                <c:pt idx="4">
                  <c:v>2.3537323470073975E-3</c:v>
                </c:pt>
                <c:pt idx="5">
                  <c:v>3.3624747814391392E-4</c:v>
                </c:pt>
                <c:pt idx="6">
                  <c:v>3.496973772696705E-2</c:v>
                </c:pt>
                <c:pt idx="7">
                  <c:v>6.7249495628782787E-3</c:v>
                </c:pt>
                <c:pt idx="8">
                  <c:v>2.3537323470073975E-3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Bukoto-Kisasi'!$AE$9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Bukoto-Kisasi'!$R$10:$R$21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Bukoto-Kisasi'!$AE$10:$AE$21</c:f>
              <c:numCache>
                <c:formatCode>0</c:formatCode>
                <c:ptCount val="12"/>
                <c:pt idx="0">
                  <c:v>165</c:v>
                </c:pt>
                <c:pt idx="1">
                  <c:v>202</c:v>
                </c:pt>
                <c:pt idx="2">
                  <c:v>149</c:v>
                </c:pt>
                <c:pt idx="3">
                  <c:v>135</c:v>
                </c:pt>
                <c:pt idx="4">
                  <c:v>134</c:v>
                </c:pt>
                <c:pt idx="5">
                  <c:v>129</c:v>
                </c:pt>
                <c:pt idx="6">
                  <c:v>115</c:v>
                </c:pt>
                <c:pt idx="7">
                  <c:v>113</c:v>
                </c:pt>
                <c:pt idx="8">
                  <c:v>165</c:v>
                </c:pt>
                <c:pt idx="9">
                  <c:v>462</c:v>
                </c:pt>
                <c:pt idx="10">
                  <c:v>690</c:v>
                </c:pt>
                <c:pt idx="11">
                  <c:v>621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'29.07 Bukoto-Kisasi'!$AF$9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Bukoto-Kisasi'!$R$10:$R$21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Bukoto-Kisasi'!$AF$10:$AF$21</c:f>
              <c:numCache>
                <c:formatCode>0</c:formatCode>
                <c:ptCount val="12"/>
                <c:pt idx="0">
                  <c:v>403</c:v>
                </c:pt>
                <c:pt idx="1">
                  <c:v>575</c:v>
                </c:pt>
                <c:pt idx="2">
                  <c:v>478</c:v>
                </c:pt>
                <c:pt idx="3">
                  <c:v>382</c:v>
                </c:pt>
                <c:pt idx="4">
                  <c:v>337</c:v>
                </c:pt>
                <c:pt idx="5">
                  <c:v>264</c:v>
                </c:pt>
                <c:pt idx="6">
                  <c:v>239</c:v>
                </c:pt>
                <c:pt idx="7">
                  <c:v>248</c:v>
                </c:pt>
                <c:pt idx="8">
                  <c:v>299</c:v>
                </c:pt>
                <c:pt idx="9">
                  <c:v>641</c:v>
                </c:pt>
                <c:pt idx="10">
                  <c:v>865</c:v>
                </c:pt>
                <c:pt idx="11">
                  <c:v>831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08800"/>
        <c:axId val="95318016"/>
      </c:lineChart>
      <c:catAx>
        <c:axId val="93308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318016"/>
        <c:crosses val="autoZero"/>
        <c:auto val="1"/>
        <c:lblAlgn val="ctr"/>
        <c:lblOffset val="100"/>
        <c:noMultiLvlLbl val="0"/>
      </c:catAx>
      <c:valAx>
        <c:axId val="953180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30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Bukoto-Kisasi'!$C$9:$N$9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Bukoto-Kisasi'!$C$59:$N$59</c:f>
              <c:numCache>
                <c:formatCode>0.0%</c:formatCode>
                <c:ptCount val="12"/>
                <c:pt idx="0">
                  <c:v>0.27400215749730311</c:v>
                </c:pt>
                <c:pt idx="1">
                  <c:v>0.12657317511686444</c:v>
                </c:pt>
                <c:pt idx="2">
                  <c:v>6.3286587558432222E-2</c:v>
                </c:pt>
                <c:pt idx="3">
                  <c:v>6.5084501977705864E-2</c:v>
                </c:pt>
                <c:pt idx="4">
                  <c:v>8.9895720963682128E-4</c:v>
                </c:pt>
                <c:pt idx="5">
                  <c:v>1.7979144192736425E-4</c:v>
                </c:pt>
                <c:pt idx="6">
                  <c:v>1.8158935634663791E-2</c:v>
                </c:pt>
                <c:pt idx="7">
                  <c:v>4.4947860481841066E-3</c:v>
                </c:pt>
                <c:pt idx="8">
                  <c:v>1.0787486515641855E-3</c:v>
                </c:pt>
                <c:pt idx="9">
                  <c:v>0</c:v>
                </c:pt>
                <c:pt idx="10">
                  <c:v>0.4462423588637181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Bukoto-Kisasi'!$S$9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'29.07 Bukoto-Kisasi'!$R$10:$R$21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Bukoto-Kisasi'!$S$10:$S$21</c:f>
              <c:numCache>
                <c:formatCode>0</c:formatCode>
                <c:ptCount val="12"/>
                <c:pt idx="0">
                  <c:v>55</c:v>
                </c:pt>
                <c:pt idx="1">
                  <c:v>91</c:v>
                </c:pt>
                <c:pt idx="2">
                  <c:v>69</c:v>
                </c:pt>
                <c:pt idx="3">
                  <c:v>51</c:v>
                </c:pt>
                <c:pt idx="4">
                  <c:v>55</c:v>
                </c:pt>
                <c:pt idx="5">
                  <c:v>52</c:v>
                </c:pt>
                <c:pt idx="6">
                  <c:v>39</c:v>
                </c:pt>
                <c:pt idx="7">
                  <c:v>47</c:v>
                </c:pt>
                <c:pt idx="8">
                  <c:v>76</c:v>
                </c:pt>
                <c:pt idx="9">
                  <c:v>231</c:v>
                </c:pt>
                <c:pt idx="10">
                  <c:v>390</c:v>
                </c:pt>
                <c:pt idx="11">
                  <c:v>368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'29.07 Bukoto-Kisasi'!$T$9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'29.07 Bukoto-Kisasi'!$R$10:$R$21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Bukoto-Kisasi'!$T$10:$T$21</c:f>
              <c:numCache>
                <c:formatCode>0</c:formatCode>
                <c:ptCount val="12"/>
                <c:pt idx="0">
                  <c:v>55</c:v>
                </c:pt>
                <c:pt idx="1">
                  <c:v>32</c:v>
                </c:pt>
                <c:pt idx="2">
                  <c:v>25</c:v>
                </c:pt>
                <c:pt idx="3">
                  <c:v>33</c:v>
                </c:pt>
                <c:pt idx="4">
                  <c:v>22</c:v>
                </c:pt>
                <c:pt idx="5">
                  <c:v>25</c:v>
                </c:pt>
                <c:pt idx="6">
                  <c:v>33</c:v>
                </c:pt>
                <c:pt idx="7">
                  <c:v>22</c:v>
                </c:pt>
                <c:pt idx="8">
                  <c:v>29</c:v>
                </c:pt>
                <c:pt idx="9">
                  <c:v>109</c:v>
                </c:pt>
                <c:pt idx="10">
                  <c:v>173</c:v>
                </c:pt>
                <c:pt idx="11">
                  <c:v>146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'29.07 Bukoto-Kisasi'!$U$9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'29.07 Bukoto-Kisasi'!$U$10:$U$21</c:f>
              <c:numCache>
                <c:formatCode>0</c:formatCode>
                <c:ptCount val="12"/>
                <c:pt idx="0">
                  <c:v>19</c:v>
                </c:pt>
                <c:pt idx="1">
                  <c:v>34</c:v>
                </c:pt>
                <c:pt idx="2">
                  <c:v>24</c:v>
                </c:pt>
                <c:pt idx="3">
                  <c:v>17</c:v>
                </c:pt>
                <c:pt idx="4">
                  <c:v>21</c:v>
                </c:pt>
                <c:pt idx="5">
                  <c:v>16</c:v>
                </c:pt>
                <c:pt idx="6">
                  <c:v>15</c:v>
                </c:pt>
                <c:pt idx="7">
                  <c:v>14</c:v>
                </c:pt>
                <c:pt idx="8">
                  <c:v>25</c:v>
                </c:pt>
                <c:pt idx="9">
                  <c:v>53</c:v>
                </c:pt>
                <c:pt idx="10">
                  <c:v>65</c:v>
                </c:pt>
                <c:pt idx="11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'29.07 Bukoto-Kisasi'!$V$9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'29.07 Bukoto-Kisasi'!$V$10:$V$21</c:f>
              <c:numCache>
                <c:formatCode>0</c:formatCode>
                <c:ptCount val="12"/>
                <c:pt idx="0">
                  <c:v>29</c:v>
                </c:pt>
                <c:pt idx="1">
                  <c:v>40</c:v>
                </c:pt>
                <c:pt idx="2">
                  <c:v>16</c:v>
                </c:pt>
                <c:pt idx="3">
                  <c:v>24</c:v>
                </c:pt>
                <c:pt idx="4">
                  <c:v>23</c:v>
                </c:pt>
                <c:pt idx="5">
                  <c:v>25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48</c:v>
                </c:pt>
                <c:pt idx="10">
                  <c:v>43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'29.07 Bukoto-Kisasi'!$W$9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'29.07 Bukoto-Kisasi'!$W$10:$W$21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'29.07 Bukoto-Kisasi'!$X$9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'29.07 Bukoto-Kisasi'!$X$10:$X$21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'29.07 Bukoto-Kisasi'!$Y$9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Bukoto-Kisasi'!$Y$10:$Y$21</c:f>
              <c:numCache>
                <c:formatCode>0</c:formatCode>
                <c:ptCount val="12"/>
                <c:pt idx="0">
                  <c:v>7</c:v>
                </c:pt>
                <c:pt idx="1">
                  <c:v>4</c:v>
                </c:pt>
                <c:pt idx="2">
                  <c:v>12</c:v>
                </c:pt>
                <c:pt idx="3">
                  <c:v>5</c:v>
                </c:pt>
                <c:pt idx="4">
                  <c:v>9</c:v>
                </c:pt>
                <c:pt idx="5">
                  <c:v>10</c:v>
                </c:pt>
                <c:pt idx="6">
                  <c:v>6</c:v>
                </c:pt>
                <c:pt idx="7">
                  <c:v>6</c:v>
                </c:pt>
                <c:pt idx="8">
                  <c:v>10</c:v>
                </c:pt>
                <c:pt idx="9">
                  <c:v>11</c:v>
                </c:pt>
                <c:pt idx="10">
                  <c:v>14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'29.07 Bukoto-Kisasi'!$Z$9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Bukoto-Kisasi'!$Z$10:$Z$21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6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'29.07 Bukoto-Kisasi'!$AA$9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Bukoto-Kisasi'!$AA$10:$AA$21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'29.07 Bukoto-Kisasi'!$AB$9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Bukoto-Kisasi'!$AB$10:$AB$21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'29.07 Bukoto-Kisasi'!$AC$9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Bukoto-Kisasi'!$AC$10:$AC$21</c:f>
              <c:numCache>
                <c:formatCode>0</c:formatCode>
                <c:ptCount val="12"/>
                <c:pt idx="0">
                  <c:v>238</c:v>
                </c:pt>
                <c:pt idx="1">
                  <c:v>373</c:v>
                </c:pt>
                <c:pt idx="2">
                  <c:v>329</c:v>
                </c:pt>
                <c:pt idx="3">
                  <c:v>247</c:v>
                </c:pt>
                <c:pt idx="4">
                  <c:v>203</c:v>
                </c:pt>
                <c:pt idx="5">
                  <c:v>135</c:v>
                </c:pt>
                <c:pt idx="6">
                  <c:v>124</c:v>
                </c:pt>
                <c:pt idx="7">
                  <c:v>135</c:v>
                </c:pt>
                <c:pt idx="8">
                  <c:v>134</c:v>
                </c:pt>
                <c:pt idx="9">
                  <c:v>179</c:v>
                </c:pt>
                <c:pt idx="10">
                  <c:v>175</c:v>
                </c:pt>
                <c:pt idx="11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'29.07 Bukoto-Kisasi'!$AD$9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Bukoto-Kisasi'!$AD$10:$AD$21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45920"/>
        <c:axId val="143400960"/>
      </c:lineChart>
      <c:catAx>
        <c:axId val="14334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3400960"/>
        <c:crosses val="autoZero"/>
        <c:auto val="1"/>
        <c:lblAlgn val="ctr"/>
        <c:lblOffset val="100"/>
        <c:noMultiLvlLbl val="0"/>
      </c:catAx>
      <c:valAx>
        <c:axId val="14340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334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Bukoto-Kisasi'!$C$9:$N$9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Bukoto-Kisasi'!$C$60:$N$60</c:f>
              <c:numCache>
                <c:formatCode>0.00%</c:formatCode>
                <c:ptCount val="12"/>
                <c:pt idx="0">
                  <c:v>0.4948051948051948</c:v>
                </c:pt>
                <c:pt idx="1">
                  <c:v>0.22857142857142856</c:v>
                </c:pt>
                <c:pt idx="2">
                  <c:v>0.11428571428571428</c:v>
                </c:pt>
                <c:pt idx="3">
                  <c:v>0.11753246753246753</c:v>
                </c:pt>
                <c:pt idx="4">
                  <c:v>1.6233766233766235E-3</c:v>
                </c:pt>
                <c:pt idx="5">
                  <c:v>3.2467532467532468E-4</c:v>
                </c:pt>
                <c:pt idx="6">
                  <c:v>3.2792207792207789E-2</c:v>
                </c:pt>
                <c:pt idx="7">
                  <c:v>8.1168831168831161E-3</c:v>
                </c:pt>
                <c:pt idx="8">
                  <c:v>1.9480519480519481E-3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Kisasi-Bukoto'!$AE$9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Kisasi-Bukoto'!$R$10:$R$21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Kisasi-Bukoto'!$AE$10:$AE$21</c:f>
              <c:numCache>
                <c:formatCode>0</c:formatCode>
                <c:ptCount val="12"/>
                <c:pt idx="0">
                  <c:v>538</c:v>
                </c:pt>
                <c:pt idx="1">
                  <c:v>458</c:v>
                </c:pt>
                <c:pt idx="2">
                  <c:v>343</c:v>
                </c:pt>
                <c:pt idx="3">
                  <c:v>275</c:v>
                </c:pt>
                <c:pt idx="4">
                  <c:v>237</c:v>
                </c:pt>
                <c:pt idx="5">
                  <c:v>208</c:v>
                </c:pt>
                <c:pt idx="6">
                  <c:v>187</c:v>
                </c:pt>
                <c:pt idx="7">
                  <c:v>204</c:v>
                </c:pt>
                <c:pt idx="8">
                  <c:v>217</c:v>
                </c:pt>
                <c:pt idx="9">
                  <c:v>209</c:v>
                </c:pt>
                <c:pt idx="10">
                  <c:v>246</c:v>
                </c:pt>
                <c:pt idx="11">
                  <c:v>177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'30.07 Kisasi-Bukoto'!$AF$9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Kisasi-Bukoto'!$R$10:$R$21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Kisasi-Bukoto'!$AF$10:$AF$21</c:f>
              <c:numCache>
                <c:formatCode>0</c:formatCode>
                <c:ptCount val="12"/>
                <c:pt idx="0">
                  <c:v>950</c:v>
                </c:pt>
                <c:pt idx="1">
                  <c:v>883</c:v>
                </c:pt>
                <c:pt idx="2">
                  <c:v>628</c:v>
                </c:pt>
                <c:pt idx="3">
                  <c:v>576</c:v>
                </c:pt>
                <c:pt idx="4">
                  <c:v>472</c:v>
                </c:pt>
                <c:pt idx="5">
                  <c:v>379</c:v>
                </c:pt>
                <c:pt idx="6">
                  <c:v>416</c:v>
                </c:pt>
                <c:pt idx="7">
                  <c:v>434</c:v>
                </c:pt>
                <c:pt idx="8">
                  <c:v>487</c:v>
                </c:pt>
                <c:pt idx="9">
                  <c:v>485</c:v>
                </c:pt>
                <c:pt idx="10">
                  <c:v>585</c:v>
                </c:pt>
                <c:pt idx="11">
                  <c:v>475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193920"/>
        <c:axId val="154196224"/>
      </c:lineChart>
      <c:catAx>
        <c:axId val="1541939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4196224"/>
        <c:crosses val="autoZero"/>
        <c:auto val="1"/>
        <c:lblAlgn val="ctr"/>
        <c:lblOffset val="100"/>
        <c:noMultiLvlLbl val="0"/>
      </c:catAx>
      <c:valAx>
        <c:axId val="154196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419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Kisasi-Bukoto'!$C$9:$N$9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Kisasi-Bukoto'!$C$59:$N$59</c:f>
              <c:numCache>
                <c:formatCode>0.0%</c:formatCode>
                <c:ptCount val="12"/>
                <c:pt idx="0">
                  <c:v>0.24047267355982274</c:v>
                </c:pt>
                <c:pt idx="1">
                  <c:v>0.13234859675036928</c:v>
                </c:pt>
                <c:pt idx="2">
                  <c:v>1.8611521418020679E-2</c:v>
                </c:pt>
                <c:pt idx="3">
                  <c:v>7.5036927621861149E-2</c:v>
                </c:pt>
                <c:pt idx="4">
                  <c:v>8.8626292466765144E-4</c:v>
                </c:pt>
                <c:pt idx="5">
                  <c:v>1.4771048744460856E-4</c:v>
                </c:pt>
                <c:pt idx="6">
                  <c:v>1.6395864106351552E-2</c:v>
                </c:pt>
                <c:pt idx="7">
                  <c:v>2.6587887740029542E-3</c:v>
                </c:pt>
                <c:pt idx="8">
                  <c:v>5.9084194977843422E-4</c:v>
                </c:pt>
                <c:pt idx="9">
                  <c:v>1.4771048744460856E-4</c:v>
                </c:pt>
                <c:pt idx="10">
                  <c:v>0.51270310192023638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Kisasi-Bukoto'!$S$9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Kisasi-Bukoto'!$R$10:$R$21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Kisasi-Bukoto'!$S$10:$S$21</c:f>
              <c:numCache>
                <c:formatCode>0</c:formatCode>
                <c:ptCount val="12"/>
                <c:pt idx="0">
                  <c:v>291</c:v>
                </c:pt>
                <c:pt idx="1">
                  <c:v>241</c:v>
                </c:pt>
                <c:pt idx="2">
                  <c:v>187</c:v>
                </c:pt>
                <c:pt idx="3">
                  <c:v>135</c:v>
                </c:pt>
                <c:pt idx="4">
                  <c:v>115</c:v>
                </c:pt>
                <c:pt idx="5">
                  <c:v>98</c:v>
                </c:pt>
                <c:pt idx="6">
                  <c:v>87</c:v>
                </c:pt>
                <c:pt idx="7">
                  <c:v>102</c:v>
                </c:pt>
                <c:pt idx="8">
                  <c:v>101</c:v>
                </c:pt>
                <c:pt idx="9">
                  <c:v>97</c:v>
                </c:pt>
                <c:pt idx="10">
                  <c:v>108</c:v>
                </c:pt>
                <c:pt idx="11">
                  <c:v>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'30.07 Kisasi-Bukoto'!$T$9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Kisasi-Bukoto'!$R$10:$R$21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Kisasi-Bukoto'!$T$10:$T$21</c:f>
              <c:numCache>
                <c:formatCode>0</c:formatCode>
                <c:ptCount val="12"/>
                <c:pt idx="0">
                  <c:v>143</c:v>
                </c:pt>
                <c:pt idx="1">
                  <c:v>134</c:v>
                </c:pt>
                <c:pt idx="2">
                  <c:v>88</c:v>
                </c:pt>
                <c:pt idx="3">
                  <c:v>69</c:v>
                </c:pt>
                <c:pt idx="4">
                  <c:v>65</c:v>
                </c:pt>
                <c:pt idx="5">
                  <c:v>58</c:v>
                </c:pt>
                <c:pt idx="6">
                  <c:v>48</c:v>
                </c:pt>
                <c:pt idx="7">
                  <c:v>46</c:v>
                </c:pt>
                <c:pt idx="8">
                  <c:v>62</c:v>
                </c:pt>
                <c:pt idx="9">
                  <c:v>63</c:v>
                </c:pt>
                <c:pt idx="10">
                  <c:v>70</c:v>
                </c:pt>
                <c:pt idx="11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'30.07 Kisasi-Bukoto'!$U$9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Kisasi-Bukoto'!$U$10:$U$21</c:f>
              <c:numCache>
                <c:formatCode>0</c:formatCode>
                <c:ptCount val="12"/>
                <c:pt idx="0">
                  <c:v>30</c:v>
                </c:pt>
                <c:pt idx="1">
                  <c:v>24</c:v>
                </c:pt>
                <c:pt idx="2">
                  <c:v>12</c:v>
                </c:pt>
                <c:pt idx="3">
                  <c:v>13</c:v>
                </c:pt>
                <c:pt idx="4">
                  <c:v>3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8</c:v>
                </c:pt>
                <c:pt idx="9">
                  <c:v>4</c:v>
                </c:pt>
                <c:pt idx="10">
                  <c:v>9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'30.07 Kisasi-Bukoto'!$V$9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Kisasi-Bukoto'!$V$10:$V$21</c:f>
              <c:numCache>
                <c:formatCode>0</c:formatCode>
                <c:ptCount val="12"/>
                <c:pt idx="0">
                  <c:v>66</c:v>
                </c:pt>
                <c:pt idx="1">
                  <c:v>52</c:v>
                </c:pt>
                <c:pt idx="2">
                  <c:v>46</c:v>
                </c:pt>
                <c:pt idx="3">
                  <c:v>46</c:v>
                </c:pt>
                <c:pt idx="4">
                  <c:v>48</c:v>
                </c:pt>
                <c:pt idx="5">
                  <c:v>37</c:v>
                </c:pt>
                <c:pt idx="6">
                  <c:v>37</c:v>
                </c:pt>
                <c:pt idx="7">
                  <c:v>34</c:v>
                </c:pt>
                <c:pt idx="8">
                  <c:v>30</c:v>
                </c:pt>
                <c:pt idx="9">
                  <c:v>29</c:v>
                </c:pt>
                <c:pt idx="10">
                  <c:v>45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'30.07 Kisasi-Bukoto'!$W$9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Kisasi-Bukoto'!$W$10:$W$21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'30.07 Kisasi-Bukoto'!$X$9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Kisasi-Bukoto'!$X$10:$X$21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'30.07 Kisasi-Bukoto'!$Y$9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Kisasi-Bukoto'!$Y$10:$Y$21</c:f>
              <c:numCache>
                <c:formatCode>0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7</c:v>
                </c:pt>
                <c:pt idx="3">
                  <c:v>12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14</c:v>
                </c:pt>
                <c:pt idx="9">
                  <c:v>13</c:v>
                </c:pt>
                <c:pt idx="10">
                  <c:v>9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'30.07 Kisasi-Bukoto'!$Z$9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Kisasi-Bukoto'!$Z$10:$Z$21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2</c:v>
                </c:pt>
                <c:pt idx="9">
                  <c:v>0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'30.07 Kisasi-Bukoto'!$AA$9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Kisasi-Bukoto'!$AA$10:$AA$21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'30.07 Kisasi-Bukoto'!$AB$9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Kisasi-Bukoto'!$AB$10:$AB$21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'30.07 Kisasi-Bukoto'!$AC$9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Kisasi-Bukoto'!$AC$10:$AC$21</c:f>
              <c:numCache>
                <c:formatCode>0</c:formatCode>
                <c:ptCount val="12"/>
                <c:pt idx="0">
                  <c:v>412</c:v>
                </c:pt>
                <c:pt idx="1">
                  <c:v>425</c:v>
                </c:pt>
                <c:pt idx="2">
                  <c:v>285</c:v>
                </c:pt>
                <c:pt idx="3">
                  <c:v>301</c:v>
                </c:pt>
                <c:pt idx="4">
                  <c:v>235</c:v>
                </c:pt>
                <c:pt idx="5">
                  <c:v>171</c:v>
                </c:pt>
                <c:pt idx="6">
                  <c:v>229</c:v>
                </c:pt>
                <c:pt idx="7">
                  <c:v>230</c:v>
                </c:pt>
                <c:pt idx="8">
                  <c:v>270</c:v>
                </c:pt>
                <c:pt idx="9">
                  <c:v>276</c:v>
                </c:pt>
                <c:pt idx="10">
                  <c:v>339</c:v>
                </c:pt>
                <c:pt idx="11">
                  <c:v>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'30.07 Kisasi-Bukoto'!$AD$9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Kisasi-Bukoto'!$AD$10:$AD$21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0106240"/>
        <c:axId val="250107776"/>
      </c:lineChart>
      <c:catAx>
        <c:axId val="25010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0107776"/>
        <c:crosses val="autoZero"/>
        <c:auto val="1"/>
        <c:lblAlgn val="ctr"/>
        <c:lblOffset val="100"/>
        <c:noMultiLvlLbl val="0"/>
      </c:catAx>
      <c:valAx>
        <c:axId val="25010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010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Kisasi-Bukoto'!$C$9:$N$9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Kisasi-Bukoto'!$C$60:$N$60</c:f>
              <c:numCache>
                <c:formatCode>0.00%</c:formatCode>
                <c:ptCount val="12"/>
                <c:pt idx="0">
                  <c:v>0.49348287359806003</c:v>
                </c:pt>
                <c:pt idx="1">
                  <c:v>0.27159745377387084</c:v>
                </c:pt>
                <c:pt idx="2">
                  <c:v>3.8193391936950594E-2</c:v>
                </c:pt>
                <c:pt idx="3">
                  <c:v>0.15398605638072144</c:v>
                </c:pt>
                <c:pt idx="4">
                  <c:v>1.8187329493785996E-3</c:v>
                </c:pt>
                <c:pt idx="5">
                  <c:v>3.031221582297666E-4</c:v>
                </c:pt>
                <c:pt idx="6">
                  <c:v>3.364655956350409E-2</c:v>
                </c:pt>
                <c:pt idx="7">
                  <c:v>5.4561988481357983E-3</c:v>
                </c:pt>
                <c:pt idx="8">
                  <c:v>1.2124886329190664E-3</c:v>
                </c:pt>
                <c:pt idx="9">
                  <c:v>3.031221582297666E-4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Bukoto-Kisasi'!$AE$9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Bukoto-Kisasi'!$R$10:$R$21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Bukoto-Kisasi'!$AE$10:$AE$21</c:f>
              <c:numCache>
                <c:formatCode>0</c:formatCode>
                <c:ptCount val="12"/>
                <c:pt idx="0">
                  <c:v>108</c:v>
                </c:pt>
                <c:pt idx="1">
                  <c:v>114</c:v>
                </c:pt>
                <c:pt idx="2">
                  <c:v>91</c:v>
                </c:pt>
                <c:pt idx="3">
                  <c:v>112</c:v>
                </c:pt>
                <c:pt idx="4">
                  <c:v>75</c:v>
                </c:pt>
                <c:pt idx="5">
                  <c:v>128</c:v>
                </c:pt>
                <c:pt idx="6">
                  <c:v>129</c:v>
                </c:pt>
                <c:pt idx="7">
                  <c:v>122</c:v>
                </c:pt>
                <c:pt idx="8">
                  <c:v>158</c:v>
                </c:pt>
                <c:pt idx="9">
                  <c:v>287</c:v>
                </c:pt>
                <c:pt idx="10">
                  <c:v>555</c:v>
                </c:pt>
                <c:pt idx="11">
                  <c:v>606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'30.07 Bukoto-Kisasi'!$AF$9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Bukoto-Kisasi'!$R$10:$R$21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Bukoto-Kisasi'!$AF$10:$AF$21</c:f>
              <c:numCache>
                <c:formatCode>0</c:formatCode>
                <c:ptCount val="12"/>
                <c:pt idx="0">
                  <c:v>245</c:v>
                </c:pt>
                <c:pt idx="1">
                  <c:v>252</c:v>
                </c:pt>
                <c:pt idx="2">
                  <c:v>218</c:v>
                </c:pt>
                <c:pt idx="3">
                  <c:v>242</c:v>
                </c:pt>
                <c:pt idx="4">
                  <c:v>226</c:v>
                </c:pt>
                <c:pt idx="5">
                  <c:v>265</c:v>
                </c:pt>
                <c:pt idx="6">
                  <c:v>258</c:v>
                </c:pt>
                <c:pt idx="7">
                  <c:v>259</c:v>
                </c:pt>
                <c:pt idx="8">
                  <c:v>294</c:v>
                </c:pt>
                <c:pt idx="9">
                  <c:v>419</c:v>
                </c:pt>
                <c:pt idx="10">
                  <c:v>697</c:v>
                </c:pt>
                <c:pt idx="11">
                  <c:v>749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0936832"/>
        <c:axId val="280938752"/>
      </c:lineChart>
      <c:catAx>
        <c:axId val="280936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80938752"/>
        <c:crosses val="autoZero"/>
        <c:auto val="1"/>
        <c:lblAlgn val="ctr"/>
        <c:lblOffset val="100"/>
        <c:noMultiLvlLbl val="0"/>
      </c:catAx>
      <c:valAx>
        <c:axId val="2809387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8093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Bukoto-Kisasi'!$C$9:$N$9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Bukoto-Kisasi'!$C$59:$N$59</c:f>
              <c:numCache>
                <c:formatCode>0.0%</c:formatCode>
                <c:ptCount val="12"/>
                <c:pt idx="0">
                  <c:v>0.30528612997090204</c:v>
                </c:pt>
                <c:pt idx="1">
                  <c:v>0.12924345295829293</c:v>
                </c:pt>
                <c:pt idx="2">
                  <c:v>6.716779825412221E-2</c:v>
                </c:pt>
                <c:pt idx="3">
                  <c:v>7.6382153249272555E-2</c:v>
                </c:pt>
                <c:pt idx="4">
                  <c:v>2.4248302618816683E-4</c:v>
                </c:pt>
                <c:pt idx="5">
                  <c:v>2.4248302618816683E-4</c:v>
                </c:pt>
                <c:pt idx="6">
                  <c:v>1.8913676042677012E-2</c:v>
                </c:pt>
                <c:pt idx="7">
                  <c:v>5.0921435499515031E-3</c:v>
                </c:pt>
                <c:pt idx="8">
                  <c:v>0</c:v>
                </c:pt>
                <c:pt idx="9">
                  <c:v>0</c:v>
                </c:pt>
                <c:pt idx="10">
                  <c:v>0.39742967992240541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Bukoto-Kisasi'!$S$9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Bukoto-Kisasi'!$R$10:$R$21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Bukoto-Kisasi'!$S$10:$S$21</c:f>
              <c:numCache>
                <c:formatCode>0</c:formatCode>
                <c:ptCount val="12"/>
                <c:pt idx="0">
                  <c:v>46</c:v>
                </c:pt>
                <c:pt idx="1">
                  <c:v>54</c:v>
                </c:pt>
                <c:pt idx="2">
                  <c:v>36</c:v>
                </c:pt>
                <c:pt idx="3">
                  <c:v>47</c:v>
                </c:pt>
                <c:pt idx="4">
                  <c:v>35</c:v>
                </c:pt>
                <c:pt idx="5">
                  <c:v>52</c:v>
                </c:pt>
                <c:pt idx="6">
                  <c:v>54</c:v>
                </c:pt>
                <c:pt idx="7">
                  <c:v>53</c:v>
                </c:pt>
                <c:pt idx="8">
                  <c:v>66</c:v>
                </c:pt>
                <c:pt idx="9">
                  <c:v>141</c:v>
                </c:pt>
                <c:pt idx="10">
                  <c:v>322</c:v>
                </c:pt>
                <c:pt idx="11">
                  <c:v>353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'30.07 Bukoto-Kisasi'!$T$9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Bukoto-Kisasi'!$R$10:$R$21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Bukoto-Kisasi'!$T$10:$T$21</c:f>
              <c:numCache>
                <c:formatCode>0</c:formatCode>
                <c:ptCount val="12"/>
                <c:pt idx="0">
                  <c:v>25</c:v>
                </c:pt>
                <c:pt idx="1">
                  <c:v>26</c:v>
                </c:pt>
                <c:pt idx="2">
                  <c:v>21</c:v>
                </c:pt>
                <c:pt idx="3">
                  <c:v>21</c:v>
                </c:pt>
                <c:pt idx="4">
                  <c:v>19</c:v>
                </c:pt>
                <c:pt idx="5">
                  <c:v>25</c:v>
                </c:pt>
                <c:pt idx="6">
                  <c:v>24</c:v>
                </c:pt>
                <c:pt idx="7">
                  <c:v>22</c:v>
                </c:pt>
                <c:pt idx="8">
                  <c:v>34</c:v>
                </c:pt>
                <c:pt idx="9">
                  <c:v>55</c:v>
                </c:pt>
                <c:pt idx="10">
                  <c:v>121</c:v>
                </c:pt>
                <c:pt idx="11">
                  <c:v>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'30.07 Bukoto-Kisasi'!$U$9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Bukoto-Kisasi'!$U$10:$U$21</c:f>
              <c:numCache>
                <c:formatCode>0</c:formatCode>
                <c:ptCount val="12"/>
                <c:pt idx="0">
                  <c:v>11</c:v>
                </c:pt>
                <c:pt idx="1">
                  <c:v>7</c:v>
                </c:pt>
                <c:pt idx="2">
                  <c:v>11</c:v>
                </c:pt>
                <c:pt idx="3">
                  <c:v>10</c:v>
                </c:pt>
                <c:pt idx="4">
                  <c:v>5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28</c:v>
                </c:pt>
                <c:pt idx="9">
                  <c:v>44</c:v>
                </c:pt>
                <c:pt idx="10">
                  <c:v>53</c:v>
                </c:pt>
                <c:pt idx="1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'30.07 Bukoto-Kisasi'!$V$9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Bukoto-Kisasi'!$V$10:$V$21</c:f>
              <c:numCache>
                <c:formatCode>0</c:formatCode>
                <c:ptCount val="12"/>
                <c:pt idx="0">
                  <c:v>20</c:v>
                </c:pt>
                <c:pt idx="1">
                  <c:v>22</c:v>
                </c:pt>
                <c:pt idx="2">
                  <c:v>17</c:v>
                </c:pt>
                <c:pt idx="3">
                  <c:v>19</c:v>
                </c:pt>
                <c:pt idx="4">
                  <c:v>15</c:v>
                </c:pt>
                <c:pt idx="5">
                  <c:v>19</c:v>
                </c:pt>
                <c:pt idx="6">
                  <c:v>23</c:v>
                </c:pt>
                <c:pt idx="7">
                  <c:v>22</c:v>
                </c:pt>
                <c:pt idx="8">
                  <c:v>27</c:v>
                </c:pt>
                <c:pt idx="9">
                  <c:v>35</c:v>
                </c:pt>
                <c:pt idx="10">
                  <c:v>50</c:v>
                </c:pt>
                <c:pt idx="11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'30.07 Bukoto-Kisasi'!$W$9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Bukoto-Kisasi'!$W$10:$W$21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'30.07 Bukoto-Kisasi'!$X$9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Bukoto-Kisasi'!$X$10:$X$21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'30.07 Bukoto-Kisasi'!$Y$9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Bukoto-Kisasi'!$Y$10:$Y$21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13</c:v>
                </c:pt>
                <c:pt idx="4">
                  <c:v>0</c:v>
                </c:pt>
                <c:pt idx="5">
                  <c:v>12</c:v>
                </c:pt>
                <c:pt idx="6">
                  <c:v>9</c:v>
                </c:pt>
                <c:pt idx="7">
                  <c:v>6</c:v>
                </c:pt>
                <c:pt idx="8">
                  <c:v>3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'30.07 Bukoto-Kisasi'!$Z$9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Bukoto-Kisasi'!$Z$10:$Z$21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'30.07 Bukoto-Kisasi'!$AA$9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Bukoto-Kisasi'!$AA$10:$AA$21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'30.07 Bukoto-Kisasi'!$AB$9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Bukoto-Kisasi'!$AB$10:$AB$21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'30.07 Bukoto-Kisasi'!$AC$9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Bukoto-Kisasi'!$AC$10:$AC$21</c:f>
              <c:numCache>
                <c:formatCode>0</c:formatCode>
                <c:ptCount val="12"/>
                <c:pt idx="0">
                  <c:v>137</c:v>
                </c:pt>
                <c:pt idx="1">
                  <c:v>138</c:v>
                </c:pt>
                <c:pt idx="2">
                  <c:v>127</c:v>
                </c:pt>
                <c:pt idx="3">
                  <c:v>130</c:v>
                </c:pt>
                <c:pt idx="4">
                  <c:v>151</c:v>
                </c:pt>
                <c:pt idx="5">
                  <c:v>137</c:v>
                </c:pt>
                <c:pt idx="6">
                  <c:v>129</c:v>
                </c:pt>
                <c:pt idx="7">
                  <c:v>137</c:v>
                </c:pt>
                <c:pt idx="8">
                  <c:v>136</c:v>
                </c:pt>
                <c:pt idx="9">
                  <c:v>132</c:v>
                </c:pt>
                <c:pt idx="10">
                  <c:v>142</c:v>
                </c:pt>
                <c:pt idx="11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'30.07 Bukoto-Kisasi'!$AD$9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Bukoto-Kisasi'!$AD$10:$AD$21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613184"/>
        <c:axId val="361631104"/>
      </c:lineChart>
      <c:catAx>
        <c:axId val="36161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1631104"/>
        <c:crosses val="autoZero"/>
        <c:auto val="1"/>
        <c:lblAlgn val="ctr"/>
        <c:lblOffset val="100"/>
        <c:noMultiLvlLbl val="0"/>
      </c:catAx>
      <c:valAx>
        <c:axId val="36163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161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Bukoto-Kisasi'!$C$9:$N$9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Bukoto-Kisasi'!$C$60:$N$60</c:f>
              <c:numCache>
                <c:formatCode>0.00%</c:formatCode>
                <c:ptCount val="12"/>
                <c:pt idx="0">
                  <c:v>0.50663983903420529</c:v>
                </c:pt>
                <c:pt idx="1">
                  <c:v>0.21448692152917506</c:v>
                </c:pt>
                <c:pt idx="2">
                  <c:v>0.11146881287726358</c:v>
                </c:pt>
                <c:pt idx="3">
                  <c:v>0.12676056338028169</c:v>
                </c:pt>
                <c:pt idx="4">
                  <c:v>4.0241448692152917E-4</c:v>
                </c:pt>
                <c:pt idx="5">
                  <c:v>4.0241448692152917E-4</c:v>
                </c:pt>
                <c:pt idx="6">
                  <c:v>3.1388329979879274E-2</c:v>
                </c:pt>
                <c:pt idx="7">
                  <c:v>8.4507042253521118E-3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Kisasi-Bukoto'!$AE$9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Kisasi-Bukoto'!$R$10:$R$21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Kisasi-Bukoto'!$AE$10:$AE$21</c:f>
              <c:numCache>
                <c:formatCode>0</c:formatCode>
                <c:ptCount val="12"/>
                <c:pt idx="0">
                  <c:v>586</c:v>
                </c:pt>
                <c:pt idx="1">
                  <c:v>356</c:v>
                </c:pt>
                <c:pt idx="2">
                  <c:v>326</c:v>
                </c:pt>
                <c:pt idx="3">
                  <c:v>264</c:v>
                </c:pt>
                <c:pt idx="4">
                  <c:v>222</c:v>
                </c:pt>
                <c:pt idx="5">
                  <c:v>218</c:v>
                </c:pt>
                <c:pt idx="6">
                  <c:v>137</c:v>
                </c:pt>
                <c:pt idx="7">
                  <c:v>183</c:v>
                </c:pt>
                <c:pt idx="8">
                  <c:v>235</c:v>
                </c:pt>
                <c:pt idx="9">
                  <c:v>209</c:v>
                </c:pt>
                <c:pt idx="10">
                  <c:v>229</c:v>
                </c:pt>
                <c:pt idx="11">
                  <c:v>190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'31.07 Kisasi-Bukoto'!$AF$9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Kisasi-Bukoto'!$R$10:$R$21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Kisasi-Bukoto'!$AF$10:$AF$21</c:f>
              <c:numCache>
                <c:formatCode>0</c:formatCode>
                <c:ptCount val="12"/>
                <c:pt idx="0">
                  <c:v>1034</c:v>
                </c:pt>
                <c:pt idx="1">
                  <c:v>696</c:v>
                </c:pt>
                <c:pt idx="2">
                  <c:v>588</c:v>
                </c:pt>
                <c:pt idx="3">
                  <c:v>601</c:v>
                </c:pt>
                <c:pt idx="4">
                  <c:v>513</c:v>
                </c:pt>
                <c:pt idx="5">
                  <c:v>485</c:v>
                </c:pt>
                <c:pt idx="6">
                  <c:v>372</c:v>
                </c:pt>
                <c:pt idx="7">
                  <c:v>400</c:v>
                </c:pt>
                <c:pt idx="8">
                  <c:v>515</c:v>
                </c:pt>
                <c:pt idx="9">
                  <c:v>475</c:v>
                </c:pt>
                <c:pt idx="10">
                  <c:v>543</c:v>
                </c:pt>
                <c:pt idx="11">
                  <c:v>491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078976"/>
        <c:axId val="406088704"/>
      </c:lineChart>
      <c:catAx>
        <c:axId val="4060789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6088704"/>
        <c:crosses val="autoZero"/>
        <c:auto val="1"/>
        <c:lblAlgn val="ctr"/>
        <c:lblOffset val="100"/>
        <c:noMultiLvlLbl val="0"/>
      </c:catAx>
      <c:valAx>
        <c:axId val="4060887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607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Kisasi-Bukoto'!$C$9:$N$9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Kisasi-Bukoto'!$C$59:$N$59</c:f>
              <c:numCache>
                <c:formatCode>0.0%</c:formatCode>
                <c:ptCount val="12"/>
                <c:pt idx="0">
                  <c:v>0.24757932370028304</c:v>
                </c:pt>
                <c:pt idx="1">
                  <c:v>0.12766274392968865</c:v>
                </c:pt>
                <c:pt idx="2">
                  <c:v>7.7461641590942949E-3</c:v>
                </c:pt>
                <c:pt idx="3">
                  <c:v>6.7927901087442275E-2</c:v>
                </c:pt>
                <c:pt idx="4">
                  <c:v>1.1917175629375838E-3</c:v>
                </c:pt>
                <c:pt idx="5">
                  <c:v>1.4896469536719798E-4</c:v>
                </c:pt>
                <c:pt idx="6">
                  <c:v>1.4598540145985401E-2</c:v>
                </c:pt>
                <c:pt idx="7">
                  <c:v>1.4896469536719798E-3</c:v>
                </c:pt>
                <c:pt idx="8">
                  <c:v>1.4896469536719798E-3</c:v>
                </c:pt>
                <c:pt idx="9">
                  <c:v>1.4896469536719798E-4</c:v>
                </c:pt>
                <c:pt idx="10">
                  <c:v>0.53001638611649038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Kisasi-Bukoto'!$S$9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'31.07 Kisasi-Bukoto'!$R$10:$R$21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Kisasi-Bukoto'!$S$10:$S$21</c:f>
              <c:numCache>
                <c:formatCode>0</c:formatCode>
                <c:ptCount val="12"/>
                <c:pt idx="0">
                  <c:v>330</c:v>
                </c:pt>
                <c:pt idx="1">
                  <c:v>197</c:v>
                </c:pt>
                <c:pt idx="2">
                  <c:v>161</c:v>
                </c:pt>
                <c:pt idx="3">
                  <c:v>137</c:v>
                </c:pt>
                <c:pt idx="4">
                  <c:v>113</c:v>
                </c:pt>
                <c:pt idx="5">
                  <c:v>123</c:v>
                </c:pt>
                <c:pt idx="6">
                  <c:v>77</c:v>
                </c:pt>
                <c:pt idx="7">
                  <c:v>89</c:v>
                </c:pt>
                <c:pt idx="8">
                  <c:v>121</c:v>
                </c:pt>
                <c:pt idx="9">
                  <c:v>107</c:v>
                </c:pt>
                <c:pt idx="10">
                  <c:v>112</c:v>
                </c:pt>
                <c:pt idx="11">
                  <c:v>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'31.07 Kisasi-Bukoto'!$T$9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'31.07 Kisasi-Bukoto'!$R$10:$R$21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Kisasi-Bukoto'!$T$10:$T$21</c:f>
              <c:numCache>
                <c:formatCode>0</c:formatCode>
                <c:ptCount val="12"/>
                <c:pt idx="0">
                  <c:v>177</c:v>
                </c:pt>
                <c:pt idx="1">
                  <c:v>97</c:v>
                </c:pt>
                <c:pt idx="2">
                  <c:v>95</c:v>
                </c:pt>
                <c:pt idx="3">
                  <c:v>66</c:v>
                </c:pt>
                <c:pt idx="4">
                  <c:v>52</c:v>
                </c:pt>
                <c:pt idx="5">
                  <c:v>53</c:v>
                </c:pt>
                <c:pt idx="6">
                  <c:v>26</c:v>
                </c:pt>
                <c:pt idx="7">
                  <c:v>49</c:v>
                </c:pt>
                <c:pt idx="8">
                  <c:v>69</c:v>
                </c:pt>
                <c:pt idx="9">
                  <c:v>56</c:v>
                </c:pt>
                <c:pt idx="10">
                  <c:v>66</c:v>
                </c:pt>
                <c:pt idx="11">
                  <c:v>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'31.07 Kisasi-Bukoto'!$U$9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'31.07 Kisasi-Bukoto'!$U$10:$U$21</c:f>
              <c:numCache>
                <c:formatCode>0</c:formatCode>
                <c:ptCount val="12"/>
                <c:pt idx="0">
                  <c:v>11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'31.07 Kisasi-Bukoto'!$V$9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'31.07 Kisasi-Bukoto'!$V$10:$V$21</c:f>
              <c:numCache>
                <c:formatCode>0</c:formatCode>
                <c:ptCount val="12"/>
                <c:pt idx="0">
                  <c:v>57</c:v>
                </c:pt>
                <c:pt idx="1">
                  <c:v>43</c:v>
                </c:pt>
                <c:pt idx="2">
                  <c:v>49</c:v>
                </c:pt>
                <c:pt idx="3">
                  <c:v>45</c:v>
                </c:pt>
                <c:pt idx="4">
                  <c:v>41</c:v>
                </c:pt>
                <c:pt idx="5">
                  <c:v>32</c:v>
                </c:pt>
                <c:pt idx="6">
                  <c:v>23</c:v>
                </c:pt>
                <c:pt idx="7">
                  <c:v>34</c:v>
                </c:pt>
                <c:pt idx="8">
                  <c:v>33</c:v>
                </c:pt>
                <c:pt idx="9">
                  <c:v>32</c:v>
                </c:pt>
                <c:pt idx="10">
                  <c:v>37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'31.07 Kisasi-Bukoto'!$W$9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'31.07 Kisasi-Bukoto'!$W$10:$W$21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'31.07 Kisasi-Bukoto'!$X$9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'31.07 Kisasi-Bukoto'!$X$10:$X$21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'31.07 Kisasi-Bukoto'!$Y$9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Kisasi-Bukoto'!$Y$10:$Y$21</c:f>
              <c:numCache>
                <c:formatCode>0</c:formatCode>
                <c:ptCount val="12"/>
                <c:pt idx="0">
                  <c:v>10</c:v>
                </c:pt>
                <c:pt idx="1">
                  <c:v>13</c:v>
                </c:pt>
                <c:pt idx="2">
                  <c:v>16</c:v>
                </c:pt>
                <c:pt idx="3">
                  <c:v>12</c:v>
                </c:pt>
                <c:pt idx="4">
                  <c:v>12</c:v>
                </c:pt>
                <c:pt idx="5">
                  <c:v>7</c:v>
                </c:pt>
                <c:pt idx="6">
                  <c:v>6</c:v>
                </c:pt>
                <c:pt idx="7">
                  <c:v>3</c:v>
                </c:pt>
                <c:pt idx="8">
                  <c:v>9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'31.07 Kisasi-Bukoto'!$Z$9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Kisasi-Bukoto'!$Z$10:$Z$21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'31.07 Kisasi-Bukoto'!$AA$9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Kisasi-Bukoto'!$AA$10:$AA$21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'31.07 Kisasi-Bukoto'!$AB$9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Kisasi-Bukoto'!$AB$10:$AB$21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'31.07 Kisasi-Bukoto'!$AC$9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Kisasi-Bukoto'!$AC$10:$AC$21</c:f>
              <c:numCache>
                <c:formatCode>0</c:formatCode>
                <c:ptCount val="12"/>
                <c:pt idx="0">
                  <c:v>448</c:v>
                </c:pt>
                <c:pt idx="1">
                  <c:v>340</c:v>
                </c:pt>
                <c:pt idx="2">
                  <c:v>262</c:v>
                </c:pt>
                <c:pt idx="3">
                  <c:v>337</c:v>
                </c:pt>
                <c:pt idx="4">
                  <c:v>291</c:v>
                </c:pt>
                <c:pt idx="5">
                  <c:v>267</c:v>
                </c:pt>
                <c:pt idx="6">
                  <c:v>235</c:v>
                </c:pt>
                <c:pt idx="7">
                  <c:v>217</c:v>
                </c:pt>
                <c:pt idx="8">
                  <c:v>280</c:v>
                </c:pt>
                <c:pt idx="9">
                  <c:v>266</c:v>
                </c:pt>
                <c:pt idx="10">
                  <c:v>314</c:v>
                </c:pt>
                <c:pt idx="11">
                  <c:v>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'31.07 Kisasi-Bukoto'!$AD$9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Kisasi-Bukoto'!$AD$10:$AD$21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54560"/>
        <c:axId val="47972736"/>
      </c:lineChart>
      <c:catAx>
        <c:axId val="4795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7972736"/>
        <c:crosses val="autoZero"/>
        <c:auto val="1"/>
        <c:lblAlgn val="ctr"/>
        <c:lblOffset val="100"/>
        <c:noMultiLvlLbl val="0"/>
      </c:catAx>
      <c:valAx>
        <c:axId val="4797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795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Kisasi-Bukoto'!$C$9:$N$9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Kisasi-Bukoto'!$C$60:$N$60</c:f>
              <c:numCache>
                <c:formatCode>0.00%</c:formatCode>
                <c:ptCount val="12"/>
                <c:pt idx="0">
                  <c:v>0.52678288431061804</c:v>
                </c:pt>
                <c:pt idx="1">
                  <c:v>0.27163232963549921</c:v>
                </c:pt>
                <c:pt idx="2">
                  <c:v>1.6481774960380349E-2</c:v>
                </c:pt>
                <c:pt idx="3">
                  <c:v>0.1445324881141046</c:v>
                </c:pt>
                <c:pt idx="4">
                  <c:v>2.5356576862123614E-3</c:v>
                </c:pt>
                <c:pt idx="5">
                  <c:v>3.1695721077654518E-4</c:v>
                </c:pt>
                <c:pt idx="6">
                  <c:v>3.1061806656101427E-2</c:v>
                </c:pt>
                <c:pt idx="7">
                  <c:v>3.1695721077654518E-3</c:v>
                </c:pt>
                <c:pt idx="8">
                  <c:v>3.1695721077654518E-3</c:v>
                </c:pt>
                <c:pt idx="9">
                  <c:v>3.1695721077654518E-4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Bukoto-Kisasi'!$AE$9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Bukoto-Kisasi'!$R$10:$R$21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Bukoto-Kisasi'!$AE$10:$AE$21</c:f>
              <c:numCache>
                <c:formatCode>0</c:formatCode>
                <c:ptCount val="12"/>
                <c:pt idx="0">
                  <c:v>147</c:v>
                </c:pt>
                <c:pt idx="1">
                  <c:v>155</c:v>
                </c:pt>
                <c:pt idx="2">
                  <c:v>116</c:v>
                </c:pt>
                <c:pt idx="3">
                  <c:v>136</c:v>
                </c:pt>
                <c:pt idx="4">
                  <c:v>119</c:v>
                </c:pt>
                <c:pt idx="5">
                  <c:v>129</c:v>
                </c:pt>
                <c:pt idx="6">
                  <c:v>146</c:v>
                </c:pt>
                <c:pt idx="7">
                  <c:v>126</c:v>
                </c:pt>
                <c:pt idx="8">
                  <c:v>146</c:v>
                </c:pt>
                <c:pt idx="9">
                  <c:v>343</c:v>
                </c:pt>
                <c:pt idx="10">
                  <c:v>637</c:v>
                </c:pt>
                <c:pt idx="11">
                  <c:v>652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'31.07 Bukoto-Kisasi'!$AF$9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Bukoto-Kisasi'!$R$10:$R$21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Bukoto-Kisasi'!$AF$10:$AF$21</c:f>
              <c:numCache>
                <c:formatCode>0</c:formatCode>
                <c:ptCount val="12"/>
                <c:pt idx="0">
                  <c:v>264</c:v>
                </c:pt>
                <c:pt idx="1">
                  <c:v>287</c:v>
                </c:pt>
                <c:pt idx="2">
                  <c:v>235</c:v>
                </c:pt>
                <c:pt idx="3">
                  <c:v>257</c:v>
                </c:pt>
                <c:pt idx="4">
                  <c:v>249</c:v>
                </c:pt>
                <c:pt idx="5">
                  <c:v>271</c:v>
                </c:pt>
                <c:pt idx="6">
                  <c:v>281</c:v>
                </c:pt>
                <c:pt idx="7">
                  <c:v>278</c:v>
                </c:pt>
                <c:pt idx="8">
                  <c:v>308</c:v>
                </c:pt>
                <c:pt idx="9">
                  <c:v>524</c:v>
                </c:pt>
                <c:pt idx="10">
                  <c:v>831</c:v>
                </c:pt>
                <c:pt idx="11">
                  <c:v>843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071424"/>
        <c:axId val="48073344"/>
      </c:lineChart>
      <c:catAx>
        <c:axId val="480714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073344"/>
        <c:crosses val="autoZero"/>
        <c:auto val="1"/>
        <c:lblAlgn val="ctr"/>
        <c:lblOffset val="100"/>
        <c:noMultiLvlLbl val="0"/>
      </c:catAx>
      <c:valAx>
        <c:axId val="480733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07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Bukoto-Kisasi'!$C$9:$N$9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Bukoto-Kisasi'!$C$59:$N$59</c:f>
              <c:numCache>
                <c:formatCode>0.0%</c:formatCode>
                <c:ptCount val="12"/>
                <c:pt idx="0">
                  <c:v>0.27960242005185826</c:v>
                </c:pt>
                <c:pt idx="1">
                  <c:v>0.13720829732065687</c:v>
                </c:pt>
                <c:pt idx="2">
                  <c:v>9.3344857389801209E-2</c:v>
                </c:pt>
                <c:pt idx="3">
                  <c:v>8.6646499567847882E-2</c:v>
                </c:pt>
                <c:pt idx="4">
                  <c:v>8.6430423509075197E-4</c:v>
                </c:pt>
                <c:pt idx="5">
                  <c:v>6.4822817631806392E-4</c:v>
                </c:pt>
                <c:pt idx="6">
                  <c:v>1.1452031114952464E-2</c:v>
                </c:pt>
                <c:pt idx="7">
                  <c:v>5.8340535868625755E-3</c:v>
                </c:pt>
                <c:pt idx="8">
                  <c:v>4.3215211754537599E-4</c:v>
                </c:pt>
                <c:pt idx="9">
                  <c:v>2.1607605877268799E-4</c:v>
                </c:pt>
                <c:pt idx="10">
                  <c:v>0.38375108038029387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Bukoto-Kisasi'!$C$9:$N$9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Bukoto-Kisasi'!$C$60:$N$60</c:f>
              <c:numCache>
                <c:formatCode>0.00%</c:formatCode>
                <c:ptCount val="12"/>
                <c:pt idx="0">
                  <c:v>0.45371669004207571</c:v>
                </c:pt>
                <c:pt idx="1">
                  <c:v>0.22265077138849929</c:v>
                </c:pt>
                <c:pt idx="2">
                  <c:v>0.1514726507713885</c:v>
                </c:pt>
                <c:pt idx="3">
                  <c:v>0.1406030855539972</c:v>
                </c:pt>
                <c:pt idx="4">
                  <c:v>1.4025245441795231E-3</c:v>
                </c:pt>
                <c:pt idx="5">
                  <c:v>1.0518934081346423E-3</c:v>
                </c:pt>
                <c:pt idx="6">
                  <c:v>1.8583450210378681E-2</c:v>
                </c:pt>
                <c:pt idx="7">
                  <c:v>9.4670406732117809E-3</c:v>
                </c:pt>
                <c:pt idx="8">
                  <c:v>7.0126227208976155E-4</c:v>
                </c:pt>
                <c:pt idx="9">
                  <c:v>3.5063113604488078E-4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4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Kisasi-Bukoto'!$AE$9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Kisasi-Bukoto'!$R$10:$R$33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Kisasi-Bukoto'!$AE$10:$AE$33</c:f>
              <c:numCache>
                <c:formatCode>0</c:formatCode>
                <c:ptCount val="24"/>
                <c:pt idx="0">
                  <c:v>627</c:v>
                </c:pt>
                <c:pt idx="1">
                  <c:v>438</c:v>
                </c:pt>
                <c:pt idx="2">
                  <c:v>332</c:v>
                </c:pt>
                <c:pt idx="3">
                  <c:v>293</c:v>
                </c:pt>
                <c:pt idx="4">
                  <c:v>262</c:v>
                </c:pt>
                <c:pt idx="5">
                  <c:v>261</c:v>
                </c:pt>
                <c:pt idx="6">
                  <c:v>228</c:v>
                </c:pt>
                <c:pt idx="7">
                  <c:v>210</c:v>
                </c:pt>
                <c:pt idx="8">
                  <c:v>230</c:v>
                </c:pt>
                <c:pt idx="9">
                  <c:v>305</c:v>
                </c:pt>
                <c:pt idx="10">
                  <c:v>292</c:v>
                </c:pt>
                <c:pt idx="11">
                  <c:v>217</c:v>
                </c:pt>
                <c:pt idx="12">
                  <c:v>222</c:v>
                </c:pt>
                <c:pt idx="13">
                  <c:v>221</c:v>
                </c:pt>
                <c:pt idx="14">
                  <c:v>163</c:v>
                </c:pt>
                <c:pt idx="15">
                  <c:v>112</c:v>
                </c:pt>
                <c:pt idx="16">
                  <c:v>66</c:v>
                </c:pt>
                <c:pt idx="17">
                  <c:v>51</c:v>
                </c:pt>
                <c:pt idx="18">
                  <c:v>40</c:v>
                </c:pt>
                <c:pt idx="19">
                  <c:v>21</c:v>
                </c:pt>
                <c:pt idx="20">
                  <c:v>22</c:v>
                </c:pt>
                <c:pt idx="21">
                  <c:v>26</c:v>
                </c:pt>
                <c:pt idx="22">
                  <c:v>62</c:v>
                </c:pt>
                <c:pt idx="23">
                  <c:v>813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'01.08 Kisasi-Bukoto'!$AF$9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Kisasi-Bukoto'!$R$10:$R$33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Kisasi-Bukoto'!$AF$10:$AF$33</c:f>
              <c:numCache>
                <c:formatCode>0</c:formatCode>
                <c:ptCount val="24"/>
                <c:pt idx="0">
                  <c:v>1020</c:v>
                </c:pt>
                <c:pt idx="1">
                  <c:v>755</c:v>
                </c:pt>
                <c:pt idx="2">
                  <c:v>650</c:v>
                </c:pt>
                <c:pt idx="3">
                  <c:v>558</c:v>
                </c:pt>
                <c:pt idx="4">
                  <c:v>535</c:v>
                </c:pt>
                <c:pt idx="5">
                  <c:v>504</c:v>
                </c:pt>
                <c:pt idx="6">
                  <c:v>510</c:v>
                </c:pt>
                <c:pt idx="7">
                  <c:v>554</c:v>
                </c:pt>
                <c:pt idx="8">
                  <c:v>483</c:v>
                </c:pt>
                <c:pt idx="9">
                  <c:v>549</c:v>
                </c:pt>
                <c:pt idx="10">
                  <c:v>611</c:v>
                </c:pt>
                <c:pt idx="11">
                  <c:v>562</c:v>
                </c:pt>
                <c:pt idx="12">
                  <c:v>482</c:v>
                </c:pt>
                <c:pt idx="13">
                  <c:v>501</c:v>
                </c:pt>
                <c:pt idx="14">
                  <c:v>373</c:v>
                </c:pt>
                <c:pt idx="15">
                  <c:v>194</c:v>
                </c:pt>
                <c:pt idx="16">
                  <c:v>131</c:v>
                </c:pt>
                <c:pt idx="17">
                  <c:v>102</c:v>
                </c:pt>
                <c:pt idx="18">
                  <c:v>97</c:v>
                </c:pt>
                <c:pt idx="19">
                  <c:v>44</c:v>
                </c:pt>
                <c:pt idx="20">
                  <c:v>56</c:v>
                </c:pt>
                <c:pt idx="21">
                  <c:v>57</c:v>
                </c:pt>
                <c:pt idx="22">
                  <c:v>99</c:v>
                </c:pt>
                <c:pt idx="23">
                  <c:v>851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16704"/>
        <c:axId val="48370432"/>
      </c:lineChart>
      <c:catAx>
        <c:axId val="482167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370432"/>
        <c:crosses val="autoZero"/>
        <c:auto val="1"/>
        <c:lblAlgn val="ctr"/>
        <c:lblOffset val="100"/>
        <c:noMultiLvlLbl val="0"/>
      </c:catAx>
      <c:valAx>
        <c:axId val="483704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21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Kisasi-Bukoto'!$C$9:$N$9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Kisasi-Bukoto'!$C$107:$N$107</c:f>
              <c:numCache>
                <c:formatCode>0.0%</c:formatCode>
                <c:ptCount val="12"/>
                <c:pt idx="0">
                  <c:v>0.27884802490756955</c:v>
                </c:pt>
                <c:pt idx="1">
                  <c:v>0.16413699163261336</c:v>
                </c:pt>
                <c:pt idx="2">
                  <c:v>7.9782058766296945E-3</c:v>
                </c:pt>
                <c:pt idx="3">
                  <c:v>6.7522864370500091E-2</c:v>
                </c:pt>
                <c:pt idx="4">
                  <c:v>1.1675423234092236E-3</c:v>
                </c:pt>
                <c:pt idx="5">
                  <c:v>9.7295193617435299E-5</c:v>
                </c:pt>
                <c:pt idx="6">
                  <c:v>1.449698384899786E-2</c:v>
                </c:pt>
                <c:pt idx="7">
                  <c:v>1.7513134851138354E-3</c:v>
                </c:pt>
                <c:pt idx="8">
                  <c:v>2.918855808523059E-4</c:v>
                </c:pt>
                <c:pt idx="9">
                  <c:v>1.945903872348706E-4</c:v>
                </c:pt>
                <c:pt idx="10">
                  <c:v>0.46351430239346175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Kisasi-Bukoto'!$C$9:$N$9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Kisasi-Bukoto'!$C$108:$N$108</c:f>
              <c:numCache>
                <c:formatCode>0.00%</c:formatCode>
                <c:ptCount val="12"/>
                <c:pt idx="0">
                  <c:v>0.5197678636198767</c:v>
                </c:pt>
                <c:pt idx="1">
                  <c:v>0.30594849474066016</c:v>
                </c:pt>
                <c:pt idx="2">
                  <c:v>1.4871236851650345E-2</c:v>
                </c:pt>
                <c:pt idx="3">
                  <c:v>0.12586144359811388</c:v>
                </c:pt>
                <c:pt idx="4">
                  <c:v>2.176278563656148E-3</c:v>
                </c:pt>
                <c:pt idx="5">
                  <c:v>1.8135654697134566E-4</c:v>
                </c:pt>
                <c:pt idx="6">
                  <c:v>2.7022125498730506E-2</c:v>
                </c:pt>
                <c:pt idx="7">
                  <c:v>3.2644178454842221E-3</c:v>
                </c:pt>
                <c:pt idx="8">
                  <c:v>5.4406964091403701E-4</c:v>
                </c:pt>
                <c:pt idx="9">
                  <c:v>3.6271309394269132E-4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4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Bukoto-Kisasi'!$AE$9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Bukoto-Kisasi'!$R$10:$R$33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Bukoto-Kisasi'!$AE$10:$AE$33</c:f>
              <c:numCache>
                <c:formatCode>0</c:formatCode>
                <c:ptCount val="24"/>
                <c:pt idx="0">
                  <c:v>1215</c:v>
                </c:pt>
                <c:pt idx="1">
                  <c:v>1012</c:v>
                </c:pt>
                <c:pt idx="2">
                  <c:v>950</c:v>
                </c:pt>
                <c:pt idx="3">
                  <c:v>765</c:v>
                </c:pt>
                <c:pt idx="4">
                  <c:v>261</c:v>
                </c:pt>
                <c:pt idx="5">
                  <c:v>138</c:v>
                </c:pt>
                <c:pt idx="6">
                  <c:v>41</c:v>
                </c:pt>
                <c:pt idx="7">
                  <c:v>53</c:v>
                </c:pt>
                <c:pt idx="8">
                  <c:v>41</c:v>
                </c:pt>
                <c:pt idx="9">
                  <c:v>24</c:v>
                </c:pt>
                <c:pt idx="10">
                  <c:v>44</c:v>
                </c:pt>
                <c:pt idx="11">
                  <c:v>292</c:v>
                </c:pt>
                <c:pt idx="12">
                  <c:v>126</c:v>
                </c:pt>
                <c:pt idx="13">
                  <c:v>178</c:v>
                </c:pt>
                <c:pt idx="14">
                  <c:v>188</c:v>
                </c:pt>
                <c:pt idx="15">
                  <c:v>195</c:v>
                </c:pt>
                <c:pt idx="16">
                  <c:v>169</c:v>
                </c:pt>
                <c:pt idx="17">
                  <c:v>149</c:v>
                </c:pt>
                <c:pt idx="18">
                  <c:v>212</c:v>
                </c:pt>
                <c:pt idx="19">
                  <c:v>347</c:v>
                </c:pt>
                <c:pt idx="20">
                  <c:v>363</c:v>
                </c:pt>
                <c:pt idx="21">
                  <c:v>486</c:v>
                </c:pt>
                <c:pt idx="22">
                  <c:v>669</c:v>
                </c:pt>
                <c:pt idx="23">
                  <c:v>836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'01.08 Bukoto-Kisasi'!$AF$9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Bukoto-Kisasi'!$R$10:$R$33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Bukoto-Kisasi'!$AF$10:$AF$33</c:f>
              <c:numCache>
                <c:formatCode>0</c:formatCode>
                <c:ptCount val="24"/>
                <c:pt idx="0">
                  <c:v>1840</c:v>
                </c:pt>
                <c:pt idx="1">
                  <c:v>1533</c:v>
                </c:pt>
                <c:pt idx="2">
                  <c:v>1390</c:v>
                </c:pt>
                <c:pt idx="3">
                  <c:v>1208</c:v>
                </c:pt>
                <c:pt idx="4">
                  <c:v>387</c:v>
                </c:pt>
                <c:pt idx="5">
                  <c:v>262</c:v>
                </c:pt>
                <c:pt idx="6">
                  <c:v>88</c:v>
                </c:pt>
                <c:pt idx="7">
                  <c:v>103</c:v>
                </c:pt>
                <c:pt idx="8">
                  <c:v>67</c:v>
                </c:pt>
                <c:pt idx="9">
                  <c:v>44</c:v>
                </c:pt>
                <c:pt idx="10">
                  <c:v>93</c:v>
                </c:pt>
                <c:pt idx="11">
                  <c:v>534</c:v>
                </c:pt>
                <c:pt idx="12">
                  <c:v>246</c:v>
                </c:pt>
                <c:pt idx="13">
                  <c:v>343</c:v>
                </c:pt>
                <c:pt idx="14">
                  <c:v>350</c:v>
                </c:pt>
                <c:pt idx="15">
                  <c:v>394</c:v>
                </c:pt>
                <c:pt idx="16">
                  <c:v>335</c:v>
                </c:pt>
                <c:pt idx="17">
                  <c:v>367</c:v>
                </c:pt>
                <c:pt idx="18">
                  <c:v>443</c:v>
                </c:pt>
                <c:pt idx="19">
                  <c:v>599</c:v>
                </c:pt>
                <c:pt idx="20">
                  <c:v>603</c:v>
                </c:pt>
                <c:pt idx="21">
                  <c:v>756</c:v>
                </c:pt>
                <c:pt idx="22">
                  <c:v>977</c:v>
                </c:pt>
                <c:pt idx="23">
                  <c:v>1147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34208"/>
        <c:axId val="48736128"/>
      </c:lineChart>
      <c:catAx>
        <c:axId val="487342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736128"/>
        <c:crosses val="autoZero"/>
        <c:auto val="1"/>
        <c:lblAlgn val="ctr"/>
        <c:lblOffset val="100"/>
        <c:noMultiLvlLbl val="0"/>
      </c:catAx>
      <c:valAx>
        <c:axId val="487361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73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Bukoto-Kisasi'!$C$9:$N$9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Bukoto-Kisasi'!$C$107:$N$107</c:f>
              <c:numCache>
                <c:formatCode>0.0%</c:formatCode>
                <c:ptCount val="12"/>
                <c:pt idx="0">
                  <c:v>0.31171592600467785</c:v>
                </c:pt>
                <c:pt idx="1">
                  <c:v>0.20944078247926856</c:v>
                </c:pt>
                <c:pt idx="2">
                  <c:v>3.8698702955560278E-2</c:v>
                </c:pt>
                <c:pt idx="3">
                  <c:v>4.9188461265858671E-2</c:v>
                </c:pt>
                <c:pt idx="4">
                  <c:v>1.2049046707775179E-3</c:v>
                </c:pt>
                <c:pt idx="5">
                  <c:v>2.1263023601956197E-4</c:v>
                </c:pt>
                <c:pt idx="6">
                  <c:v>7.7255652420440855E-3</c:v>
                </c:pt>
                <c:pt idx="7">
                  <c:v>1.9136721241760578E-3</c:v>
                </c:pt>
                <c:pt idx="8">
                  <c:v>3.5438372669926999E-4</c:v>
                </c:pt>
                <c:pt idx="9">
                  <c:v>0</c:v>
                </c:pt>
                <c:pt idx="10">
                  <c:v>0.37954497129491815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Bukoto-Kisasi'!$C$9:$N$9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Bukoto-Kisasi'!$C$108:$N$108</c:f>
              <c:numCache>
                <c:formatCode>0.00%</c:formatCode>
                <c:ptCount val="12"/>
                <c:pt idx="0">
                  <c:v>0.50239890335846471</c:v>
                </c:pt>
                <c:pt idx="1">
                  <c:v>0.33755997258396164</c:v>
                </c:pt>
                <c:pt idx="2">
                  <c:v>6.2371487320082249E-2</c:v>
                </c:pt>
                <c:pt idx="3">
                  <c:v>7.9278044322595387E-2</c:v>
                </c:pt>
                <c:pt idx="4">
                  <c:v>1.9419693854238064E-3</c:v>
                </c:pt>
                <c:pt idx="5">
                  <c:v>3.4270047978067172E-4</c:v>
                </c:pt>
                <c:pt idx="6">
                  <c:v>1.2451450765364405E-2</c:v>
                </c:pt>
                <c:pt idx="7">
                  <c:v>3.0843043180260451E-3</c:v>
                </c:pt>
                <c:pt idx="8">
                  <c:v>5.7116746630111949E-4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Kisasi-Bukoto'!$AE$9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Kisasi-Bukoto'!$R$10:$R$21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Kisasi-Bukoto'!$AE$10:$AE$21</c:f>
              <c:numCache>
                <c:formatCode>0</c:formatCode>
                <c:ptCount val="12"/>
                <c:pt idx="0">
                  <c:v>636</c:v>
                </c:pt>
                <c:pt idx="1">
                  <c:v>496</c:v>
                </c:pt>
                <c:pt idx="2">
                  <c:v>409</c:v>
                </c:pt>
                <c:pt idx="3">
                  <c:v>322</c:v>
                </c:pt>
                <c:pt idx="4">
                  <c:v>359</c:v>
                </c:pt>
                <c:pt idx="5">
                  <c:v>353</c:v>
                </c:pt>
                <c:pt idx="6">
                  <c:v>272</c:v>
                </c:pt>
                <c:pt idx="7">
                  <c:v>286</c:v>
                </c:pt>
                <c:pt idx="8">
                  <c:v>293</c:v>
                </c:pt>
                <c:pt idx="9">
                  <c:v>327</c:v>
                </c:pt>
                <c:pt idx="10">
                  <c:v>308</c:v>
                </c:pt>
                <c:pt idx="11">
                  <c:v>273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'02.08 Kisasi-Bukoto'!$AF$9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Kisasi-Bukoto'!$R$10:$R$21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Kisasi-Bukoto'!$AF$10:$AF$21</c:f>
              <c:numCache>
                <c:formatCode>0</c:formatCode>
                <c:ptCount val="12"/>
                <c:pt idx="0">
                  <c:v>1072</c:v>
                </c:pt>
                <c:pt idx="1">
                  <c:v>908</c:v>
                </c:pt>
                <c:pt idx="2">
                  <c:v>760</c:v>
                </c:pt>
                <c:pt idx="3">
                  <c:v>683</c:v>
                </c:pt>
                <c:pt idx="4">
                  <c:v>682</c:v>
                </c:pt>
                <c:pt idx="5">
                  <c:v>644</c:v>
                </c:pt>
                <c:pt idx="6">
                  <c:v>558</c:v>
                </c:pt>
                <c:pt idx="7">
                  <c:v>540</c:v>
                </c:pt>
                <c:pt idx="8">
                  <c:v>553</c:v>
                </c:pt>
                <c:pt idx="9">
                  <c:v>613</c:v>
                </c:pt>
                <c:pt idx="10">
                  <c:v>667</c:v>
                </c:pt>
                <c:pt idx="11">
                  <c:v>660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08320"/>
        <c:axId val="48810240"/>
      </c:lineChart>
      <c:catAx>
        <c:axId val="48808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810240"/>
        <c:crosses val="autoZero"/>
        <c:auto val="1"/>
        <c:lblAlgn val="ctr"/>
        <c:lblOffset val="100"/>
        <c:noMultiLvlLbl val="0"/>
      </c:catAx>
      <c:valAx>
        <c:axId val="48810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80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Kisasi-Bukoto'!$C$9:$N$9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Kisasi-Bukoto'!$C$59:$N$59</c:f>
              <c:numCache>
                <c:formatCode>0.0%</c:formatCode>
                <c:ptCount val="12"/>
                <c:pt idx="0">
                  <c:v>0.27589928057553958</c:v>
                </c:pt>
                <c:pt idx="1">
                  <c:v>0.15695443645083934</c:v>
                </c:pt>
                <c:pt idx="2">
                  <c:v>7.4340527577937653E-3</c:v>
                </c:pt>
                <c:pt idx="3">
                  <c:v>5.935251798561151E-2</c:v>
                </c:pt>
                <c:pt idx="4">
                  <c:v>7.1942446043165469E-4</c:v>
                </c:pt>
                <c:pt idx="5">
                  <c:v>0</c:v>
                </c:pt>
                <c:pt idx="6">
                  <c:v>1.4508393285371703E-2</c:v>
                </c:pt>
                <c:pt idx="7">
                  <c:v>1.5587529976019184E-3</c:v>
                </c:pt>
                <c:pt idx="8">
                  <c:v>3.237410071942446E-3</c:v>
                </c:pt>
                <c:pt idx="9">
                  <c:v>0</c:v>
                </c:pt>
                <c:pt idx="10">
                  <c:v>0.48033573141486813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Kisasi-Bukoto'!$S$9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'02.08 Kisasi-Bukoto'!$R$10:$R$21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Kisasi-Bukoto'!$S$10:$S$21</c:f>
              <c:numCache>
                <c:formatCode>0</c:formatCode>
                <c:ptCount val="12"/>
                <c:pt idx="0">
                  <c:v>361</c:v>
                </c:pt>
                <c:pt idx="1">
                  <c:v>266</c:v>
                </c:pt>
                <c:pt idx="2">
                  <c:v>213</c:v>
                </c:pt>
                <c:pt idx="3">
                  <c:v>162</c:v>
                </c:pt>
                <c:pt idx="4">
                  <c:v>198</c:v>
                </c:pt>
                <c:pt idx="5">
                  <c:v>207</c:v>
                </c:pt>
                <c:pt idx="6">
                  <c:v>138</c:v>
                </c:pt>
                <c:pt idx="7">
                  <c:v>152</c:v>
                </c:pt>
                <c:pt idx="8">
                  <c:v>143</c:v>
                </c:pt>
                <c:pt idx="9">
                  <c:v>166</c:v>
                </c:pt>
                <c:pt idx="10">
                  <c:v>159</c:v>
                </c:pt>
                <c:pt idx="11">
                  <c:v>136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'02.08 Kisasi-Bukoto'!$T$9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'02.08 Kisasi-Bukoto'!$R$10:$R$21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Kisasi-Bukoto'!$T$10:$T$21</c:f>
              <c:numCache>
                <c:formatCode>0</c:formatCode>
                <c:ptCount val="12"/>
                <c:pt idx="0">
                  <c:v>186</c:v>
                </c:pt>
                <c:pt idx="1">
                  <c:v>171</c:v>
                </c:pt>
                <c:pt idx="2">
                  <c:v>128</c:v>
                </c:pt>
                <c:pt idx="3">
                  <c:v>98</c:v>
                </c:pt>
                <c:pt idx="4">
                  <c:v>108</c:v>
                </c:pt>
                <c:pt idx="5">
                  <c:v>92</c:v>
                </c:pt>
                <c:pt idx="6">
                  <c:v>81</c:v>
                </c:pt>
                <c:pt idx="7">
                  <c:v>79</c:v>
                </c:pt>
                <c:pt idx="8">
                  <c:v>92</c:v>
                </c:pt>
                <c:pt idx="9">
                  <c:v>110</c:v>
                </c:pt>
                <c:pt idx="10">
                  <c:v>94</c:v>
                </c:pt>
                <c:pt idx="11">
                  <c:v>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'02.08 Kisasi-Bukoto'!$U$9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'02.08 Kisasi-Bukoto'!$U$10:$U$21</c:f>
              <c:numCache>
                <c:formatCode>0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4</c:v>
                </c:pt>
                <c:pt idx="9">
                  <c:v>6</c:v>
                </c:pt>
                <c:pt idx="10">
                  <c:v>4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'02.08 Kisasi-Bukoto'!$V$9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'02.08 Kisasi-Bukoto'!$V$10:$V$21</c:f>
              <c:numCache>
                <c:formatCode>0</c:formatCode>
                <c:ptCount val="12"/>
                <c:pt idx="0">
                  <c:v>65</c:v>
                </c:pt>
                <c:pt idx="1">
                  <c:v>39</c:v>
                </c:pt>
                <c:pt idx="2">
                  <c:v>52</c:v>
                </c:pt>
                <c:pt idx="3">
                  <c:v>42</c:v>
                </c:pt>
                <c:pt idx="4">
                  <c:v>37</c:v>
                </c:pt>
                <c:pt idx="5">
                  <c:v>36</c:v>
                </c:pt>
                <c:pt idx="6">
                  <c:v>34</c:v>
                </c:pt>
                <c:pt idx="7">
                  <c:v>35</c:v>
                </c:pt>
                <c:pt idx="8">
                  <c:v>47</c:v>
                </c:pt>
                <c:pt idx="9">
                  <c:v>28</c:v>
                </c:pt>
                <c:pt idx="10">
                  <c:v>41</c:v>
                </c:pt>
                <c:pt idx="1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'02.08 Kisasi-Bukoto'!$W$9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'02.08 Kisasi-Bukoto'!$W$10:$W$21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'02.08 Kisasi-Bukoto'!$X$9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'02.08 Kisasi-Bukoto'!$X$10:$X$21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'02.08 Kisasi-Bukoto'!$Y$9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Kisasi-Bukoto'!$Y$10:$Y$21</c:f>
              <c:numCache>
                <c:formatCode>0</c:formatCode>
                <c:ptCount val="12"/>
                <c:pt idx="0">
                  <c:v>15</c:v>
                </c:pt>
                <c:pt idx="1">
                  <c:v>11</c:v>
                </c:pt>
                <c:pt idx="2">
                  <c:v>9</c:v>
                </c:pt>
                <c:pt idx="3">
                  <c:v>11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6</c:v>
                </c:pt>
                <c:pt idx="9">
                  <c:v>12</c:v>
                </c:pt>
                <c:pt idx="10">
                  <c:v>6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'02.08 Kisasi-Bukoto'!$Z$9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Kisasi-Bukoto'!$Z$10:$Z$21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'02.08 Kisasi-Bukoto'!$AA$9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Kisasi-Bukoto'!$AA$10:$AA$21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4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'02.08 Kisasi-Bukoto'!$AB$9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Kisasi-Bukoto'!$AB$10:$AB$21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'02.08 Kisasi-Bukoto'!$AC$9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Kisasi-Bukoto'!$AC$10:$AC$21</c:f>
              <c:numCache>
                <c:formatCode>0</c:formatCode>
                <c:ptCount val="12"/>
                <c:pt idx="0">
                  <c:v>436</c:v>
                </c:pt>
                <c:pt idx="1">
                  <c:v>412</c:v>
                </c:pt>
                <c:pt idx="2">
                  <c:v>351</c:v>
                </c:pt>
                <c:pt idx="3">
                  <c:v>361</c:v>
                </c:pt>
                <c:pt idx="4">
                  <c:v>323</c:v>
                </c:pt>
                <c:pt idx="5">
                  <c:v>291</c:v>
                </c:pt>
                <c:pt idx="6">
                  <c:v>286</c:v>
                </c:pt>
                <c:pt idx="7">
                  <c:v>254</c:v>
                </c:pt>
                <c:pt idx="8">
                  <c:v>260</c:v>
                </c:pt>
                <c:pt idx="9">
                  <c:v>286</c:v>
                </c:pt>
                <c:pt idx="10">
                  <c:v>359</c:v>
                </c:pt>
                <c:pt idx="11">
                  <c:v>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'02.08 Kisasi-Bukoto'!$AD$9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Kisasi-Bukoto'!$AD$10:$AD$21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81888"/>
        <c:axId val="48983424"/>
      </c:lineChart>
      <c:catAx>
        <c:axId val="4898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983424"/>
        <c:crosses val="autoZero"/>
        <c:auto val="1"/>
        <c:lblAlgn val="ctr"/>
        <c:lblOffset val="100"/>
        <c:noMultiLvlLbl val="0"/>
      </c:catAx>
      <c:valAx>
        <c:axId val="4898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98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Kisasi-Bukoto'!$C$9:$N$9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Kisasi-Bukoto'!$C$60:$N$60</c:f>
              <c:numCache>
                <c:formatCode>0.00%</c:formatCode>
                <c:ptCount val="12"/>
                <c:pt idx="0">
                  <c:v>0.53091832025842178</c:v>
                </c:pt>
                <c:pt idx="1">
                  <c:v>0.3020304568527919</c:v>
                </c:pt>
                <c:pt idx="2">
                  <c:v>1.430549146285187E-2</c:v>
                </c:pt>
                <c:pt idx="3">
                  <c:v>0.11421319796954314</c:v>
                </c:pt>
                <c:pt idx="4">
                  <c:v>1.3844023996308261E-3</c:v>
                </c:pt>
                <c:pt idx="5">
                  <c:v>0</c:v>
                </c:pt>
                <c:pt idx="6">
                  <c:v>2.7918781725888325E-2</c:v>
                </c:pt>
                <c:pt idx="7">
                  <c:v>2.9995385325334565E-3</c:v>
                </c:pt>
                <c:pt idx="8">
                  <c:v>6.2298107983387169E-3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Bukoto-Kisasi'!$AE$9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Bukoto-Kisasi'!$R$10:$R$21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Bukoto-Kisasi'!$AE$10:$AE$21</c:f>
              <c:numCache>
                <c:formatCode>0</c:formatCode>
                <c:ptCount val="12"/>
                <c:pt idx="0">
                  <c:v>198</c:v>
                </c:pt>
                <c:pt idx="1">
                  <c:v>334</c:v>
                </c:pt>
                <c:pt idx="2">
                  <c:v>360</c:v>
                </c:pt>
                <c:pt idx="3">
                  <c:v>282</c:v>
                </c:pt>
                <c:pt idx="4">
                  <c:v>332</c:v>
                </c:pt>
                <c:pt idx="5">
                  <c:v>394</c:v>
                </c:pt>
                <c:pt idx="6">
                  <c:v>379</c:v>
                </c:pt>
                <c:pt idx="7">
                  <c:v>429</c:v>
                </c:pt>
                <c:pt idx="8">
                  <c:v>453</c:v>
                </c:pt>
                <c:pt idx="9">
                  <c:v>433</c:v>
                </c:pt>
                <c:pt idx="10">
                  <c:v>727</c:v>
                </c:pt>
                <c:pt idx="11">
                  <c:v>720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'02.08 Bukoto-Kisasi'!$AF$9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Bukoto-Kisasi'!$R$10:$R$21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Bukoto-Kisasi'!$AF$10:$AF$21</c:f>
              <c:numCache>
                <c:formatCode>0</c:formatCode>
                <c:ptCount val="12"/>
                <c:pt idx="0">
                  <c:v>375</c:v>
                </c:pt>
                <c:pt idx="1">
                  <c:v>561</c:v>
                </c:pt>
                <c:pt idx="2">
                  <c:v>597</c:v>
                </c:pt>
                <c:pt idx="3">
                  <c:v>556</c:v>
                </c:pt>
                <c:pt idx="4">
                  <c:v>645</c:v>
                </c:pt>
                <c:pt idx="5">
                  <c:v>709</c:v>
                </c:pt>
                <c:pt idx="6">
                  <c:v>702</c:v>
                </c:pt>
                <c:pt idx="7">
                  <c:v>733</c:v>
                </c:pt>
                <c:pt idx="8">
                  <c:v>771</c:v>
                </c:pt>
                <c:pt idx="9">
                  <c:v>745</c:v>
                </c:pt>
                <c:pt idx="10">
                  <c:v>1154</c:v>
                </c:pt>
                <c:pt idx="11">
                  <c:v>1124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090560"/>
        <c:axId val="49092480"/>
      </c:lineChart>
      <c:catAx>
        <c:axId val="490905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092480"/>
        <c:crosses val="autoZero"/>
        <c:auto val="1"/>
        <c:lblAlgn val="ctr"/>
        <c:lblOffset val="100"/>
        <c:noMultiLvlLbl val="0"/>
      </c:catAx>
      <c:valAx>
        <c:axId val="49092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09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Bukoto-Kisasi'!$C$9:$N$9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Bukoto-Kisasi'!$C$59:$N$59</c:f>
              <c:numCache>
                <c:formatCode>0.0%</c:formatCode>
                <c:ptCount val="12"/>
                <c:pt idx="0">
                  <c:v>0.29139760147601473</c:v>
                </c:pt>
                <c:pt idx="1">
                  <c:v>0.12626845018450183</c:v>
                </c:pt>
                <c:pt idx="2">
                  <c:v>6.3768450184501849E-2</c:v>
                </c:pt>
                <c:pt idx="3">
                  <c:v>8.1180811808118078E-2</c:v>
                </c:pt>
                <c:pt idx="4">
                  <c:v>6.9188191881918814E-4</c:v>
                </c:pt>
                <c:pt idx="5">
                  <c:v>3.4594095940959407E-4</c:v>
                </c:pt>
                <c:pt idx="6">
                  <c:v>1.1992619926199263E-2</c:v>
                </c:pt>
                <c:pt idx="7">
                  <c:v>1.7297047970479705E-3</c:v>
                </c:pt>
                <c:pt idx="8">
                  <c:v>3.8053505535055351E-3</c:v>
                </c:pt>
                <c:pt idx="9">
                  <c:v>1.1531365313653136E-4</c:v>
                </c:pt>
                <c:pt idx="10">
                  <c:v>0.41870387453874541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Bukoto-Kisasi'!$S$9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'02.08 Bukoto-Kisasi'!$R$10:$R$21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Bukoto-Kisasi'!$S$10:$S$21</c:f>
              <c:numCache>
                <c:formatCode>0</c:formatCode>
                <c:ptCount val="12"/>
                <c:pt idx="0">
                  <c:v>82</c:v>
                </c:pt>
                <c:pt idx="1">
                  <c:v>113</c:v>
                </c:pt>
                <c:pt idx="2">
                  <c:v>159</c:v>
                </c:pt>
                <c:pt idx="3">
                  <c:v>128</c:v>
                </c:pt>
                <c:pt idx="4">
                  <c:v>152</c:v>
                </c:pt>
                <c:pt idx="5">
                  <c:v>173</c:v>
                </c:pt>
                <c:pt idx="6">
                  <c:v>187</c:v>
                </c:pt>
                <c:pt idx="7">
                  <c:v>234</c:v>
                </c:pt>
                <c:pt idx="8">
                  <c:v>260</c:v>
                </c:pt>
                <c:pt idx="9">
                  <c:v>228</c:v>
                </c:pt>
                <c:pt idx="10">
                  <c:v>406</c:v>
                </c:pt>
                <c:pt idx="11">
                  <c:v>405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'02.08 Bukoto-Kisasi'!$T$9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'02.08 Bukoto-Kisasi'!$R$10:$R$21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Bukoto-Kisasi'!$T$10:$T$21</c:f>
              <c:numCache>
                <c:formatCode>0</c:formatCode>
                <c:ptCount val="12"/>
                <c:pt idx="0">
                  <c:v>47</c:v>
                </c:pt>
                <c:pt idx="1">
                  <c:v>95</c:v>
                </c:pt>
                <c:pt idx="2">
                  <c:v>74</c:v>
                </c:pt>
                <c:pt idx="3">
                  <c:v>58</c:v>
                </c:pt>
                <c:pt idx="4">
                  <c:v>80</c:v>
                </c:pt>
                <c:pt idx="5">
                  <c:v>98</c:v>
                </c:pt>
                <c:pt idx="6">
                  <c:v>92</c:v>
                </c:pt>
                <c:pt idx="7">
                  <c:v>89</c:v>
                </c:pt>
                <c:pt idx="8">
                  <c:v>80</c:v>
                </c:pt>
                <c:pt idx="9">
                  <c:v>92</c:v>
                </c:pt>
                <c:pt idx="10">
                  <c:v>149</c:v>
                </c:pt>
                <c:pt idx="11">
                  <c:v>141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'02.08 Bukoto-Kisasi'!$U$9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'02.08 Bukoto-Kisasi'!$U$10:$U$21</c:f>
              <c:numCache>
                <c:formatCode>0</c:formatCode>
                <c:ptCount val="12"/>
                <c:pt idx="0">
                  <c:v>28</c:v>
                </c:pt>
                <c:pt idx="1">
                  <c:v>37</c:v>
                </c:pt>
                <c:pt idx="2">
                  <c:v>36</c:v>
                </c:pt>
                <c:pt idx="3">
                  <c:v>41</c:v>
                </c:pt>
                <c:pt idx="4">
                  <c:v>42</c:v>
                </c:pt>
                <c:pt idx="5">
                  <c:v>48</c:v>
                </c:pt>
                <c:pt idx="6">
                  <c:v>33</c:v>
                </c:pt>
                <c:pt idx="7">
                  <c:v>39</c:v>
                </c:pt>
                <c:pt idx="8">
                  <c:v>51</c:v>
                </c:pt>
                <c:pt idx="9">
                  <c:v>52</c:v>
                </c:pt>
                <c:pt idx="10">
                  <c:v>79</c:v>
                </c:pt>
                <c:pt idx="1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'02.08 Bukoto-Kisasi'!$V$9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'02.08 Bukoto-Kisasi'!$V$10:$V$21</c:f>
              <c:numCache>
                <c:formatCode>0</c:formatCode>
                <c:ptCount val="12"/>
                <c:pt idx="0">
                  <c:v>39</c:v>
                </c:pt>
                <c:pt idx="1">
                  <c:v>71</c:v>
                </c:pt>
                <c:pt idx="2">
                  <c:v>70</c:v>
                </c:pt>
                <c:pt idx="3">
                  <c:v>41</c:v>
                </c:pt>
                <c:pt idx="4">
                  <c:v>49</c:v>
                </c:pt>
                <c:pt idx="5">
                  <c:v>57</c:v>
                </c:pt>
                <c:pt idx="6">
                  <c:v>47</c:v>
                </c:pt>
                <c:pt idx="7">
                  <c:v>59</c:v>
                </c:pt>
                <c:pt idx="8">
                  <c:v>49</c:v>
                </c:pt>
                <c:pt idx="9">
                  <c:v>46</c:v>
                </c:pt>
                <c:pt idx="10">
                  <c:v>86</c:v>
                </c:pt>
                <c:pt idx="11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'02.08 Bukoto-Kisasi'!$W$9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'02.08 Bukoto-Kisasi'!$W$10:$W$21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'02.08 Bukoto-Kisasi'!$X$9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'02.08 Bukoto-Kisasi'!$X$10:$X$21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'02.08 Bukoto-Kisasi'!$Y$9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Bukoto-Kisasi'!$Y$10:$Y$21</c:f>
              <c:numCache>
                <c:formatCode>0</c:formatCode>
                <c:ptCount val="12"/>
                <c:pt idx="0">
                  <c:v>2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3</c:v>
                </c:pt>
                <c:pt idx="5">
                  <c:v>11</c:v>
                </c:pt>
                <c:pt idx="6">
                  <c:v>16</c:v>
                </c:pt>
                <c:pt idx="7">
                  <c:v>3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'02.08 Bukoto-Kisasi'!$Z$9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Bukoto-Kisasi'!$Z$10:$Z$21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8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'02.08 Bukoto-Kisasi'!$AA$9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Bukoto-Kisasi'!$AA$10:$AA$21</c:f>
              <c:numCache>
                <c:formatCode>0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7</c:v>
                </c:pt>
                <c:pt idx="6">
                  <c:v>4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'02.08 Bukoto-Kisasi'!$AB$9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Bukoto-Kisasi'!$AB$10:$AB$21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'02.08 Bukoto-Kisasi'!$AC$9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Bukoto-Kisasi'!$AC$10:$AC$21</c:f>
              <c:numCache>
                <c:formatCode>0</c:formatCode>
                <c:ptCount val="12"/>
                <c:pt idx="0">
                  <c:v>177</c:v>
                </c:pt>
                <c:pt idx="1">
                  <c:v>227</c:v>
                </c:pt>
                <c:pt idx="2">
                  <c:v>237</c:v>
                </c:pt>
                <c:pt idx="3">
                  <c:v>274</c:v>
                </c:pt>
                <c:pt idx="4">
                  <c:v>313</c:v>
                </c:pt>
                <c:pt idx="5">
                  <c:v>315</c:v>
                </c:pt>
                <c:pt idx="6">
                  <c:v>323</c:v>
                </c:pt>
                <c:pt idx="7">
                  <c:v>304</c:v>
                </c:pt>
                <c:pt idx="8">
                  <c:v>318</c:v>
                </c:pt>
                <c:pt idx="9">
                  <c:v>312</c:v>
                </c:pt>
                <c:pt idx="10">
                  <c:v>427</c:v>
                </c:pt>
                <c:pt idx="11">
                  <c:v>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'02.08 Bukoto-Kisasi'!$AD$9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Bukoto-Kisasi'!$AD$10:$AD$21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61728"/>
        <c:axId val="49163264"/>
      </c:lineChart>
      <c:catAx>
        <c:axId val="4916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163264"/>
        <c:crosses val="autoZero"/>
        <c:auto val="1"/>
        <c:lblAlgn val="ctr"/>
        <c:lblOffset val="100"/>
        <c:noMultiLvlLbl val="0"/>
      </c:catAx>
      <c:valAx>
        <c:axId val="4916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16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Bukoto-Kisasi'!$C$9:$N$9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Bukoto-Kisasi'!$C$60:$N$60</c:f>
              <c:numCache>
                <c:formatCode>0.00%</c:formatCode>
                <c:ptCount val="12"/>
                <c:pt idx="0">
                  <c:v>0.50128942670105137</c:v>
                </c:pt>
                <c:pt idx="1">
                  <c:v>0.2172188057925015</c:v>
                </c:pt>
                <c:pt idx="2">
                  <c:v>0.10970045625867883</c:v>
                </c:pt>
                <c:pt idx="3">
                  <c:v>0.13965483039079549</c:v>
                </c:pt>
                <c:pt idx="4">
                  <c:v>1.1902400317397343E-3</c:v>
                </c:pt>
                <c:pt idx="5">
                  <c:v>5.9512001586986714E-4</c:v>
                </c:pt>
                <c:pt idx="6">
                  <c:v>2.0630827216822058E-2</c:v>
                </c:pt>
                <c:pt idx="7">
                  <c:v>2.9756000793493354E-3</c:v>
                </c:pt>
                <c:pt idx="8">
                  <c:v>6.546320174568538E-3</c:v>
                </c:pt>
                <c:pt idx="9">
                  <c:v>1.9837333862328903E-4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4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Kisasi-Bukoto'!$AE$9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Kisasi-Bukoto'!$R$10:$R$33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Kisasi-Bukoto'!$AE$10:$AE$33</c:f>
              <c:numCache>
                <c:formatCode>0</c:formatCode>
                <c:ptCount val="24"/>
                <c:pt idx="0">
                  <c:v>268</c:v>
                </c:pt>
                <c:pt idx="1">
                  <c:v>498</c:v>
                </c:pt>
                <c:pt idx="2">
                  <c:v>485</c:v>
                </c:pt>
                <c:pt idx="3">
                  <c:v>599</c:v>
                </c:pt>
                <c:pt idx="4">
                  <c:v>571</c:v>
                </c:pt>
                <c:pt idx="5">
                  <c:v>509</c:v>
                </c:pt>
                <c:pt idx="6">
                  <c:v>429</c:v>
                </c:pt>
                <c:pt idx="7">
                  <c:v>348</c:v>
                </c:pt>
                <c:pt idx="8">
                  <c:v>391</c:v>
                </c:pt>
                <c:pt idx="9">
                  <c:v>329</c:v>
                </c:pt>
                <c:pt idx="10">
                  <c:v>310</c:v>
                </c:pt>
                <c:pt idx="11">
                  <c:v>247</c:v>
                </c:pt>
                <c:pt idx="12">
                  <c:v>406</c:v>
                </c:pt>
                <c:pt idx="13">
                  <c:v>302</c:v>
                </c:pt>
                <c:pt idx="14">
                  <c:v>340</c:v>
                </c:pt>
                <c:pt idx="15">
                  <c:v>277</c:v>
                </c:pt>
                <c:pt idx="16">
                  <c:v>118</c:v>
                </c:pt>
                <c:pt idx="17">
                  <c:v>103</c:v>
                </c:pt>
                <c:pt idx="18">
                  <c:v>35</c:v>
                </c:pt>
                <c:pt idx="19">
                  <c:v>37</c:v>
                </c:pt>
                <c:pt idx="20">
                  <c:v>41</c:v>
                </c:pt>
                <c:pt idx="21">
                  <c:v>40</c:v>
                </c:pt>
                <c:pt idx="22">
                  <c:v>44</c:v>
                </c:pt>
                <c:pt idx="23">
                  <c:v>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'03.08 Kisasi-Bukoto'!$AF$9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Kisasi-Bukoto'!$R$10:$R$33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Kisasi-Bukoto'!$AF$10:$AF$33</c:f>
              <c:numCache>
                <c:formatCode>0</c:formatCode>
                <c:ptCount val="24"/>
                <c:pt idx="0">
                  <c:v>700</c:v>
                </c:pt>
                <c:pt idx="1">
                  <c:v>961</c:v>
                </c:pt>
                <c:pt idx="2">
                  <c:v>876</c:v>
                </c:pt>
                <c:pt idx="3">
                  <c:v>973</c:v>
                </c:pt>
                <c:pt idx="4">
                  <c:v>935</c:v>
                </c:pt>
                <c:pt idx="5">
                  <c:v>868</c:v>
                </c:pt>
                <c:pt idx="6">
                  <c:v>658</c:v>
                </c:pt>
                <c:pt idx="7">
                  <c:v>702</c:v>
                </c:pt>
                <c:pt idx="8">
                  <c:v>758</c:v>
                </c:pt>
                <c:pt idx="9">
                  <c:v>699</c:v>
                </c:pt>
                <c:pt idx="10">
                  <c:v>666</c:v>
                </c:pt>
                <c:pt idx="11">
                  <c:v>516</c:v>
                </c:pt>
                <c:pt idx="12">
                  <c:v>681</c:v>
                </c:pt>
                <c:pt idx="13">
                  <c:v>462</c:v>
                </c:pt>
                <c:pt idx="14">
                  <c:v>496</c:v>
                </c:pt>
                <c:pt idx="15">
                  <c:v>414</c:v>
                </c:pt>
                <c:pt idx="16">
                  <c:v>215</c:v>
                </c:pt>
                <c:pt idx="17">
                  <c:v>146</c:v>
                </c:pt>
                <c:pt idx="18">
                  <c:v>53</c:v>
                </c:pt>
                <c:pt idx="19">
                  <c:v>56</c:v>
                </c:pt>
                <c:pt idx="20">
                  <c:v>59</c:v>
                </c:pt>
                <c:pt idx="21">
                  <c:v>43</c:v>
                </c:pt>
                <c:pt idx="22">
                  <c:v>116</c:v>
                </c:pt>
                <c:pt idx="23">
                  <c:v>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234304"/>
        <c:axId val="49236224"/>
      </c:lineChart>
      <c:catAx>
        <c:axId val="492343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236224"/>
        <c:crosses val="autoZero"/>
        <c:auto val="1"/>
        <c:lblAlgn val="ctr"/>
        <c:lblOffset val="100"/>
        <c:noMultiLvlLbl val="0"/>
      </c:catAx>
      <c:valAx>
        <c:axId val="49236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23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Kisasi-Bukoto'!$C$9:$N$9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Kisasi-Bukoto'!$C$107:$N$107</c:f>
              <c:numCache>
                <c:formatCode>0.0%</c:formatCode>
                <c:ptCount val="12"/>
                <c:pt idx="0">
                  <c:v>0.30520335913057794</c:v>
                </c:pt>
                <c:pt idx="1">
                  <c:v>0.1759426971842582</c:v>
                </c:pt>
                <c:pt idx="2">
                  <c:v>7.4098468631648281E-3</c:v>
                </c:pt>
                <c:pt idx="3">
                  <c:v>5.1127943355837313E-2</c:v>
                </c:pt>
                <c:pt idx="4">
                  <c:v>2.4699489543882758E-4</c:v>
                </c:pt>
                <c:pt idx="5">
                  <c:v>0</c:v>
                </c:pt>
                <c:pt idx="6">
                  <c:v>1.7124979417092047E-2</c:v>
                </c:pt>
                <c:pt idx="7">
                  <c:v>1.3173061090070806E-3</c:v>
                </c:pt>
                <c:pt idx="8">
                  <c:v>1.0703112135682529E-3</c:v>
                </c:pt>
                <c:pt idx="9">
                  <c:v>0</c:v>
                </c:pt>
                <c:pt idx="10">
                  <c:v>0.44055656183105552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Kisasi-Bukoto'!$C$9:$N$9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Kisasi-Bukoto'!$C$108:$N$108</c:f>
              <c:numCache>
                <c:formatCode>0.00%</c:formatCode>
                <c:ptCount val="12"/>
                <c:pt idx="0">
                  <c:v>0.5455481972038263</c:v>
                </c:pt>
                <c:pt idx="1">
                  <c:v>0.31449595290654891</c:v>
                </c:pt>
                <c:pt idx="2">
                  <c:v>1.3245033112582781E-2</c:v>
                </c:pt>
                <c:pt idx="3">
                  <c:v>9.1390728476821198E-2</c:v>
                </c:pt>
                <c:pt idx="4">
                  <c:v>4.4150110375275938E-4</c:v>
                </c:pt>
                <c:pt idx="5">
                  <c:v>0</c:v>
                </c:pt>
                <c:pt idx="6">
                  <c:v>3.061074319352465E-2</c:v>
                </c:pt>
                <c:pt idx="7">
                  <c:v>2.35467255334805E-3</c:v>
                </c:pt>
                <c:pt idx="8">
                  <c:v>1.9131714495952907E-3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4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Bukoto-Kisasi'!$AE$9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Bukoto-Kisasi'!$R$10:$R$33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Bukoto-Kisasi'!$AE$10:$AE$33</c:f>
              <c:numCache>
                <c:formatCode>0</c:formatCode>
                <c:ptCount val="24"/>
                <c:pt idx="0">
                  <c:v>118</c:v>
                </c:pt>
                <c:pt idx="1">
                  <c:v>124</c:v>
                </c:pt>
                <c:pt idx="2">
                  <c:v>222</c:v>
                </c:pt>
                <c:pt idx="3">
                  <c:v>344</c:v>
                </c:pt>
                <c:pt idx="4">
                  <c:v>368</c:v>
                </c:pt>
                <c:pt idx="5">
                  <c:v>414</c:v>
                </c:pt>
                <c:pt idx="6">
                  <c:v>495</c:v>
                </c:pt>
                <c:pt idx="7">
                  <c:v>667</c:v>
                </c:pt>
                <c:pt idx="8">
                  <c:v>644</c:v>
                </c:pt>
                <c:pt idx="9">
                  <c:v>476</c:v>
                </c:pt>
                <c:pt idx="10">
                  <c:v>530</c:v>
                </c:pt>
                <c:pt idx="11">
                  <c:v>583</c:v>
                </c:pt>
                <c:pt idx="12">
                  <c:v>716</c:v>
                </c:pt>
                <c:pt idx="13">
                  <c:v>781</c:v>
                </c:pt>
                <c:pt idx="14">
                  <c:v>704</c:v>
                </c:pt>
                <c:pt idx="15">
                  <c:v>708</c:v>
                </c:pt>
                <c:pt idx="16">
                  <c:v>435</c:v>
                </c:pt>
                <c:pt idx="17">
                  <c:v>261</c:v>
                </c:pt>
                <c:pt idx="18">
                  <c:v>109</c:v>
                </c:pt>
                <c:pt idx="19">
                  <c:v>107</c:v>
                </c:pt>
                <c:pt idx="20">
                  <c:v>54</c:v>
                </c:pt>
                <c:pt idx="21">
                  <c:v>55</c:v>
                </c:pt>
                <c:pt idx="22">
                  <c:v>119</c:v>
                </c:pt>
                <c:pt idx="23">
                  <c:v>133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'03.08 Bukoto-Kisasi'!$AF$9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Bukoto-Kisasi'!$R$10:$R$33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Bukoto-Kisasi'!$AF$10:$AF$33</c:f>
              <c:numCache>
                <c:formatCode>0</c:formatCode>
                <c:ptCount val="24"/>
                <c:pt idx="0">
                  <c:v>230</c:v>
                </c:pt>
                <c:pt idx="1">
                  <c:v>279</c:v>
                </c:pt>
                <c:pt idx="2">
                  <c:v>482</c:v>
                </c:pt>
                <c:pt idx="3">
                  <c:v>651</c:v>
                </c:pt>
                <c:pt idx="4">
                  <c:v>682</c:v>
                </c:pt>
                <c:pt idx="5">
                  <c:v>728</c:v>
                </c:pt>
                <c:pt idx="6">
                  <c:v>805</c:v>
                </c:pt>
                <c:pt idx="7">
                  <c:v>988</c:v>
                </c:pt>
                <c:pt idx="8">
                  <c:v>974</c:v>
                </c:pt>
                <c:pt idx="9">
                  <c:v>709</c:v>
                </c:pt>
                <c:pt idx="10">
                  <c:v>789</c:v>
                </c:pt>
                <c:pt idx="11">
                  <c:v>915</c:v>
                </c:pt>
                <c:pt idx="12">
                  <c:v>1145</c:v>
                </c:pt>
                <c:pt idx="13">
                  <c:v>1208</c:v>
                </c:pt>
                <c:pt idx="14">
                  <c:v>1084</c:v>
                </c:pt>
                <c:pt idx="15">
                  <c:v>1023</c:v>
                </c:pt>
                <c:pt idx="16">
                  <c:v>733</c:v>
                </c:pt>
                <c:pt idx="17">
                  <c:v>490</c:v>
                </c:pt>
                <c:pt idx="18">
                  <c:v>188</c:v>
                </c:pt>
                <c:pt idx="19">
                  <c:v>170</c:v>
                </c:pt>
                <c:pt idx="20">
                  <c:v>85</c:v>
                </c:pt>
                <c:pt idx="21">
                  <c:v>84</c:v>
                </c:pt>
                <c:pt idx="22">
                  <c:v>178</c:v>
                </c:pt>
                <c:pt idx="23">
                  <c:v>224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980608"/>
        <c:axId val="78982528"/>
      </c:lineChart>
      <c:catAx>
        <c:axId val="789806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8982528"/>
        <c:crosses val="autoZero"/>
        <c:auto val="1"/>
        <c:lblAlgn val="ctr"/>
        <c:lblOffset val="100"/>
        <c:noMultiLvlLbl val="0"/>
      </c:catAx>
      <c:valAx>
        <c:axId val="78982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898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Bukoto-Kisasi'!$C$9:$N$9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Bukoto-Kisasi'!$C$107:$N$107</c:f>
              <c:numCache>
                <c:formatCode>0.0%</c:formatCode>
                <c:ptCount val="12"/>
                <c:pt idx="0">
                  <c:v>0.31399892212341685</c:v>
                </c:pt>
                <c:pt idx="1">
                  <c:v>0.19320937752627323</c:v>
                </c:pt>
                <c:pt idx="2">
                  <c:v>3.8668822419832931E-2</c:v>
                </c:pt>
                <c:pt idx="3">
                  <c:v>5.7329560765292373E-2</c:v>
                </c:pt>
                <c:pt idx="4">
                  <c:v>2.0210185933710589E-4</c:v>
                </c:pt>
                <c:pt idx="5">
                  <c:v>0</c:v>
                </c:pt>
                <c:pt idx="6">
                  <c:v>1.0711398544866612E-2</c:v>
                </c:pt>
                <c:pt idx="7">
                  <c:v>2.9641606036108865E-3</c:v>
                </c:pt>
                <c:pt idx="8">
                  <c:v>4.0420371867421178E-4</c:v>
                </c:pt>
                <c:pt idx="9">
                  <c:v>0</c:v>
                </c:pt>
                <c:pt idx="10">
                  <c:v>0.38244408515225009</c:v>
                </c:pt>
                <c:pt idx="11">
                  <c:v>6.7367286445701964E-5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Bukoto-Kisasi'!$C$9:$N$9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Bukoto-Kisasi'!$C$108:$N$108</c:f>
              <c:numCache>
                <c:formatCode>0.00%</c:formatCode>
                <c:ptCount val="12"/>
                <c:pt idx="0">
                  <c:v>0.50845423802770806</c:v>
                </c:pt>
                <c:pt idx="1">
                  <c:v>0.31286135049634561</c:v>
                </c:pt>
                <c:pt idx="2">
                  <c:v>6.2615904876186318E-2</c:v>
                </c:pt>
                <c:pt idx="3">
                  <c:v>9.2832987891349403E-2</c:v>
                </c:pt>
                <c:pt idx="4">
                  <c:v>3.2726082687902256E-4</c:v>
                </c:pt>
                <c:pt idx="5">
                  <c:v>0</c:v>
                </c:pt>
                <c:pt idx="6">
                  <c:v>1.7344823824588195E-2</c:v>
                </c:pt>
                <c:pt idx="7">
                  <c:v>4.799825460892331E-3</c:v>
                </c:pt>
                <c:pt idx="8">
                  <c:v>6.5452165375804513E-4</c:v>
                </c:pt>
                <c:pt idx="9">
                  <c:v>0</c:v>
                </c:pt>
                <c:pt idx="11">
                  <c:v>1.0908694229300753E-4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Kisasi-Bukoto'!$AE$9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Kisasi-Bukoto'!$R$10:$R$21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Kisasi-Bukoto'!$AE$10:$AE$21</c:f>
              <c:numCache>
                <c:formatCode>0</c:formatCode>
                <c:ptCount val="12"/>
                <c:pt idx="0">
                  <c:v>184</c:v>
                </c:pt>
                <c:pt idx="1">
                  <c:v>280</c:v>
                </c:pt>
                <c:pt idx="2">
                  <c:v>334</c:v>
                </c:pt>
                <c:pt idx="3">
                  <c:v>411</c:v>
                </c:pt>
                <c:pt idx="4">
                  <c:v>411</c:v>
                </c:pt>
                <c:pt idx="5">
                  <c:v>248</c:v>
                </c:pt>
                <c:pt idx="6">
                  <c:v>248</c:v>
                </c:pt>
                <c:pt idx="7">
                  <c:v>327</c:v>
                </c:pt>
                <c:pt idx="8">
                  <c:v>335</c:v>
                </c:pt>
                <c:pt idx="9">
                  <c:v>376</c:v>
                </c:pt>
                <c:pt idx="10">
                  <c:v>377</c:v>
                </c:pt>
                <c:pt idx="11">
                  <c:v>365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'04.08 Kisasi-Bukoto'!$AF$9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Kisasi-Bukoto'!$R$10:$R$21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Kisasi-Bukoto'!$AF$10:$AF$21</c:f>
              <c:numCache>
                <c:formatCode>0</c:formatCode>
                <c:ptCount val="12"/>
                <c:pt idx="0">
                  <c:v>392</c:v>
                </c:pt>
                <c:pt idx="1">
                  <c:v>504</c:v>
                </c:pt>
                <c:pt idx="2">
                  <c:v>597</c:v>
                </c:pt>
                <c:pt idx="3">
                  <c:v>740</c:v>
                </c:pt>
                <c:pt idx="4">
                  <c:v>729</c:v>
                </c:pt>
                <c:pt idx="5">
                  <c:v>560</c:v>
                </c:pt>
                <c:pt idx="6">
                  <c:v>583</c:v>
                </c:pt>
                <c:pt idx="7">
                  <c:v>643</c:v>
                </c:pt>
                <c:pt idx="8">
                  <c:v>641</c:v>
                </c:pt>
                <c:pt idx="9">
                  <c:v>705</c:v>
                </c:pt>
                <c:pt idx="10">
                  <c:v>708</c:v>
                </c:pt>
                <c:pt idx="11">
                  <c:v>714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553856"/>
        <c:axId val="80568320"/>
      </c:lineChart>
      <c:catAx>
        <c:axId val="805538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0568320"/>
        <c:crosses val="autoZero"/>
        <c:auto val="1"/>
        <c:lblAlgn val="ctr"/>
        <c:lblOffset val="100"/>
        <c:noMultiLvlLbl val="0"/>
      </c:catAx>
      <c:valAx>
        <c:axId val="805683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055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Kisasi-Bukoto'!$C$9:$N$9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Kisasi-Bukoto'!$C$59:$N$59</c:f>
              <c:numCache>
                <c:formatCode>0.0%</c:formatCode>
                <c:ptCount val="12"/>
                <c:pt idx="0">
                  <c:v>0.27927088877062267</c:v>
                </c:pt>
                <c:pt idx="1">
                  <c:v>0.16311868014901543</c:v>
                </c:pt>
                <c:pt idx="2">
                  <c:v>5.1889302820649283E-3</c:v>
                </c:pt>
                <c:pt idx="3">
                  <c:v>5.534858967535923E-2</c:v>
                </c:pt>
                <c:pt idx="4">
                  <c:v>1.3304949441192123E-4</c:v>
                </c:pt>
                <c:pt idx="5">
                  <c:v>0</c:v>
                </c:pt>
                <c:pt idx="6">
                  <c:v>1.4369345396487493E-2</c:v>
                </c:pt>
                <c:pt idx="7">
                  <c:v>9.3134646088344859E-4</c:v>
                </c:pt>
                <c:pt idx="8">
                  <c:v>0</c:v>
                </c:pt>
                <c:pt idx="9">
                  <c:v>0</c:v>
                </c:pt>
                <c:pt idx="10">
                  <c:v>0.4816391697711549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Kisasi-Bukoto'!$S$9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Kisasi-Bukoto'!$R$10:$R$21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Kisasi-Bukoto'!$S$10:$S$21</c:f>
              <c:numCache>
                <c:formatCode>0</c:formatCode>
                <c:ptCount val="12"/>
                <c:pt idx="0">
                  <c:v>94</c:v>
                </c:pt>
                <c:pt idx="1">
                  <c:v>153</c:v>
                </c:pt>
                <c:pt idx="2">
                  <c:v>184</c:v>
                </c:pt>
                <c:pt idx="3">
                  <c:v>203</c:v>
                </c:pt>
                <c:pt idx="4">
                  <c:v>213</c:v>
                </c:pt>
                <c:pt idx="5">
                  <c:v>111</c:v>
                </c:pt>
                <c:pt idx="6">
                  <c:v>136</c:v>
                </c:pt>
                <c:pt idx="7">
                  <c:v>166</c:v>
                </c:pt>
                <c:pt idx="8">
                  <c:v>200</c:v>
                </c:pt>
                <c:pt idx="9">
                  <c:v>223</c:v>
                </c:pt>
                <c:pt idx="10">
                  <c:v>208</c:v>
                </c:pt>
                <c:pt idx="11">
                  <c:v>208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'04.08 Kisasi-Bukoto'!$T$9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Kisasi-Bukoto'!$R$10:$R$21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Kisasi-Bukoto'!$T$10:$T$21</c:f>
              <c:numCache>
                <c:formatCode>0</c:formatCode>
                <c:ptCount val="12"/>
                <c:pt idx="0">
                  <c:v>45</c:v>
                </c:pt>
                <c:pt idx="1">
                  <c:v>74</c:v>
                </c:pt>
                <c:pt idx="2">
                  <c:v>102</c:v>
                </c:pt>
                <c:pt idx="3">
                  <c:v>148</c:v>
                </c:pt>
                <c:pt idx="4">
                  <c:v>135</c:v>
                </c:pt>
                <c:pt idx="5">
                  <c:v>90</c:v>
                </c:pt>
                <c:pt idx="6">
                  <c:v>76</c:v>
                </c:pt>
                <c:pt idx="7">
                  <c:v>112</c:v>
                </c:pt>
                <c:pt idx="8">
                  <c:v>101</c:v>
                </c:pt>
                <c:pt idx="9">
                  <c:v>105</c:v>
                </c:pt>
                <c:pt idx="10">
                  <c:v>128</c:v>
                </c:pt>
                <c:pt idx="11">
                  <c:v>110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'04.08 Kisasi-Bukoto'!$U$9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Kisasi-Bukoto'!$U$10:$U$21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'04.08 Kisasi-Bukoto'!$V$9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Kisasi-Bukoto'!$V$10:$V$21</c:f>
              <c:numCache>
                <c:formatCode>0</c:formatCode>
                <c:ptCount val="12"/>
                <c:pt idx="0">
                  <c:v>31</c:v>
                </c:pt>
                <c:pt idx="1">
                  <c:v>38</c:v>
                </c:pt>
                <c:pt idx="2">
                  <c:v>34</c:v>
                </c:pt>
                <c:pt idx="3">
                  <c:v>44</c:v>
                </c:pt>
                <c:pt idx="4">
                  <c:v>44</c:v>
                </c:pt>
                <c:pt idx="5">
                  <c:v>37</c:v>
                </c:pt>
                <c:pt idx="6">
                  <c:v>23</c:v>
                </c:pt>
                <c:pt idx="7">
                  <c:v>38</c:v>
                </c:pt>
                <c:pt idx="8">
                  <c:v>24</c:v>
                </c:pt>
                <c:pt idx="9">
                  <c:v>34</c:v>
                </c:pt>
                <c:pt idx="10">
                  <c:v>34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'04.08 Kisasi-Bukoto'!$W$9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Kisasi-Bukoto'!$W$10:$W$21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'04.08 Kisasi-Bukoto'!$X$9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Kisasi-Bukoto'!$X$10:$X$21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'04.08 Kisasi-Bukoto'!$Y$9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Kisasi-Bukoto'!$Y$10:$Y$21</c:f>
              <c:numCache>
                <c:formatCode>0</c:formatCode>
                <c:ptCount val="12"/>
                <c:pt idx="0">
                  <c:v>9</c:v>
                </c:pt>
                <c:pt idx="1">
                  <c:v>11</c:v>
                </c:pt>
                <c:pt idx="2">
                  <c:v>7</c:v>
                </c:pt>
                <c:pt idx="3">
                  <c:v>12</c:v>
                </c:pt>
                <c:pt idx="4">
                  <c:v>12</c:v>
                </c:pt>
                <c:pt idx="5">
                  <c:v>6</c:v>
                </c:pt>
                <c:pt idx="6">
                  <c:v>9</c:v>
                </c:pt>
                <c:pt idx="7">
                  <c:v>9</c:v>
                </c:pt>
                <c:pt idx="8">
                  <c:v>8</c:v>
                </c:pt>
                <c:pt idx="9">
                  <c:v>10</c:v>
                </c:pt>
                <c:pt idx="10">
                  <c:v>6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'04.08 Kisasi-Bukoto'!$Z$9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Kisasi-Bukoto'!$Z$10:$Z$21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'04.08 Kisasi-Bukoto'!$AA$9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Kisasi-Bukoto'!$AA$10:$AA$21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'04.08 Kisasi-Bukoto'!$AB$9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Kisasi-Bukoto'!$AB$10:$AB$21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'04.08 Kisasi-Bukoto'!$AC$9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Kisasi-Bukoto'!$AC$10:$AC$21</c:f>
              <c:numCache>
                <c:formatCode>0</c:formatCode>
                <c:ptCount val="12"/>
                <c:pt idx="0">
                  <c:v>208</c:v>
                </c:pt>
                <c:pt idx="1">
                  <c:v>224</c:v>
                </c:pt>
                <c:pt idx="2">
                  <c:v>263</c:v>
                </c:pt>
                <c:pt idx="3">
                  <c:v>329</c:v>
                </c:pt>
                <c:pt idx="4">
                  <c:v>318</c:v>
                </c:pt>
                <c:pt idx="5">
                  <c:v>312</c:v>
                </c:pt>
                <c:pt idx="6">
                  <c:v>335</c:v>
                </c:pt>
                <c:pt idx="7">
                  <c:v>316</c:v>
                </c:pt>
                <c:pt idx="8">
                  <c:v>306</c:v>
                </c:pt>
                <c:pt idx="9">
                  <c:v>329</c:v>
                </c:pt>
                <c:pt idx="10">
                  <c:v>331</c:v>
                </c:pt>
                <c:pt idx="11">
                  <c:v>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'04.08 Kisasi-Bukoto'!$AD$9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Kisasi-Bukoto'!$AD$10:$AD$21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79104"/>
        <c:axId val="82089088"/>
      </c:lineChart>
      <c:catAx>
        <c:axId val="8207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089088"/>
        <c:crosses val="autoZero"/>
        <c:auto val="1"/>
        <c:lblAlgn val="ctr"/>
        <c:lblOffset val="100"/>
        <c:noMultiLvlLbl val="0"/>
      </c:catAx>
      <c:valAx>
        <c:axId val="8208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07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Kisasi-Bukoto'!$C$9:$N$9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Kisasi-Bukoto'!$C$60:$N$60</c:f>
              <c:numCache>
                <c:formatCode>0.00%</c:formatCode>
                <c:ptCount val="12"/>
                <c:pt idx="0">
                  <c:v>0.53875770020533886</c:v>
                </c:pt>
                <c:pt idx="1">
                  <c:v>0.31468172484599588</c:v>
                </c:pt>
                <c:pt idx="2">
                  <c:v>1.0010266940451745E-2</c:v>
                </c:pt>
                <c:pt idx="3">
                  <c:v>0.10677618069815195</c:v>
                </c:pt>
                <c:pt idx="4">
                  <c:v>2.5667351129363451E-4</c:v>
                </c:pt>
                <c:pt idx="5">
                  <c:v>0</c:v>
                </c:pt>
                <c:pt idx="6">
                  <c:v>2.7720739219712527E-2</c:v>
                </c:pt>
                <c:pt idx="7">
                  <c:v>1.7967145790554414E-3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Bukoto-Kisasi'!$AE$9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Bukoto-Kisasi'!$R$10:$R$21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Bukoto-Kisasi'!$AE$10:$AE$21</c:f>
              <c:numCache>
                <c:formatCode>0</c:formatCode>
                <c:ptCount val="12"/>
                <c:pt idx="0">
                  <c:v>60</c:v>
                </c:pt>
                <c:pt idx="1">
                  <c:v>94</c:v>
                </c:pt>
                <c:pt idx="2">
                  <c:v>157</c:v>
                </c:pt>
                <c:pt idx="3">
                  <c:v>172</c:v>
                </c:pt>
                <c:pt idx="4">
                  <c:v>309</c:v>
                </c:pt>
                <c:pt idx="5">
                  <c:v>300</c:v>
                </c:pt>
                <c:pt idx="6">
                  <c:v>344</c:v>
                </c:pt>
                <c:pt idx="7">
                  <c:v>429</c:v>
                </c:pt>
                <c:pt idx="8">
                  <c:v>348</c:v>
                </c:pt>
                <c:pt idx="9">
                  <c:v>367</c:v>
                </c:pt>
                <c:pt idx="10">
                  <c:v>319</c:v>
                </c:pt>
                <c:pt idx="11">
                  <c:v>417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'04.08 Bukoto-Kisasi'!$AF$9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Bukoto-Kisasi'!$R$10:$R$21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Bukoto-Kisasi'!$AF$10:$AF$21</c:f>
              <c:numCache>
                <c:formatCode>0</c:formatCode>
                <c:ptCount val="12"/>
                <c:pt idx="0">
                  <c:v>134</c:v>
                </c:pt>
                <c:pt idx="1">
                  <c:v>224</c:v>
                </c:pt>
                <c:pt idx="2">
                  <c:v>313</c:v>
                </c:pt>
                <c:pt idx="3">
                  <c:v>327</c:v>
                </c:pt>
                <c:pt idx="4">
                  <c:v>493</c:v>
                </c:pt>
                <c:pt idx="5">
                  <c:v>496</c:v>
                </c:pt>
                <c:pt idx="6">
                  <c:v>572</c:v>
                </c:pt>
                <c:pt idx="7">
                  <c:v>633</c:v>
                </c:pt>
                <c:pt idx="8">
                  <c:v>550</c:v>
                </c:pt>
                <c:pt idx="9">
                  <c:v>608</c:v>
                </c:pt>
                <c:pt idx="10">
                  <c:v>553</c:v>
                </c:pt>
                <c:pt idx="11">
                  <c:v>672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87776"/>
        <c:axId val="82189696"/>
      </c:lineChart>
      <c:catAx>
        <c:axId val="821877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189696"/>
        <c:crosses val="autoZero"/>
        <c:auto val="1"/>
        <c:lblAlgn val="ctr"/>
        <c:lblOffset val="100"/>
        <c:noMultiLvlLbl val="0"/>
      </c:catAx>
      <c:valAx>
        <c:axId val="821896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18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Bukoto-Kisasi'!$C$9:$N$9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Bukoto-Kisasi'!$C$59:$N$59</c:f>
              <c:numCache>
                <c:formatCode>0.0%</c:formatCode>
                <c:ptCount val="12"/>
                <c:pt idx="0">
                  <c:v>0.28771300448430492</c:v>
                </c:pt>
                <c:pt idx="1">
                  <c:v>0.18905829596412557</c:v>
                </c:pt>
                <c:pt idx="2">
                  <c:v>4.5381165919282512E-2</c:v>
                </c:pt>
                <c:pt idx="3">
                  <c:v>5.255605381165919E-2</c:v>
                </c:pt>
                <c:pt idx="4">
                  <c:v>0</c:v>
                </c:pt>
                <c:pt idx="5">
                  <c:v>0</c:v>
                </c:pt>
                <c:pt idx="6">
                  <c:v>1.632286995515695E-2</c:v>
                </c:pt>
                <c:pt idx="7">
                  <c:v>2.8699551569506725E-3</c:v>
                </c:pt>
                <c:pt idx="8">
                  <c:v>8.9686098654708521E-4</c:v>
                </c:pt>
                <c:pt idx="9">
                  <c:v>0</c:v>
                </c:pt>
                <c:pt idx="10">
                  <c:v>0.40520179372197307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Bukoto-Kisasi'!$S$9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Bukoto-Kisasi'!$R$10:$R$21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Bukoto-Kisasi'!$S$10:$S$21</c:f>
              <c:numCache>
                <c:formatCode>0</c:formatCode>
                <c:ptCount val="12"/>
                <c:pt idx="0">
                  <c:v>27</c:v>
                </c:pt>
                <c:pt idx="1">
                  <c:v>50</c:v>
                </c:pt>
                <c:pt idx="2">
                  <c:v>85</c:v>
                </c:pt>
                <c:pt idx="3">
                  <c:v>82</c:v>
                </c:pt>
                <c:pt idx="4">
                  <c:v>132</c:v>
                </c:pt>
                <c:pt idx="5">
                  <c:v>141</c:v>
                </c:pt>
                <c:pt idx="6">
                  <c:v>157</c:v>
                </c:pt>
                <c:pt idx="7">
                  <c:v>202</c:v>
                </c:pt>
                <c:pt idx="8">
                  <c:v>168</c:v>
                </c:pt>
                <c:pt idx="9">
                  <c:v>188</c:v>
                </c:pt>
                <c:pt idx="10">
                  <c:v>161</c:v>
                </c:pt>
                <c:pt idx="11">
                  <c:v>211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'04.08 Bukoto-Kisasi'!$T$9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Bukoto-Kisasi'!$R$10:$R$21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Bukoto-Kisasi'!$T$10:$T$21</c:f>
              <c:numCache>
                <c:formatCode>0</c:formatCode>
                <c:ptCount val="12"/>
                <c:pt idx="0">
                  <c:v>19</c:v>
                </c:pt>
                <c:pt idx="1">
                  <c:v>18</c:v>
                </c:pt>
                <c:pt idx="2">
                  <c:v>35</c:v>
                </c:pt>
                <c:pt idx="3">
                  <c:v>45</c:v>
                </c:pt>
                <c:pt idx="4">
                  <c:v>105</c:v>
                </c:pt>
                <c:pt idx="5">
                  <c:v>103</c:v>
                </c:pt>
                <c:pt idx="6">
                  <c:v>131</c:v>
                </c:pt>
                <c:pt idx="7">
                  <c:v>140</c:v>
                </c:pt>
                <c:pt idx="8">
                  <c:v>112</c:v>
                </c:pt>
                <c:pt idx="9">
                  <c:v>120</c:v>
                </c:pt>
                <c:pt idx="10">
                  <c:v>88</c:v>
                </c:pt>
                <c:pt idx="11">
                  <c:v>138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'04.08 Bukoto-Kisasi'!$U$9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Bukoto-Kisasi'!$U$10:$U$21</c:f>
              <c:numCache>
                <c:formatCode>0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9</c:v>
                </c:pt>
                <c:pt idx="3">
                  <c:v>15</c:v>
                </c:pt>
                <c:pt idx="4">
                  <c:v>25</c:v>
                </c:pt>
                <c:pt idx="5">
                  <c:v>17</c:v>
                </c:pt>
                <c:pt idx="6">
                  <c:v>27</c:v>
                </c:pt>
                <c:pt idx="7">
                  <c:v>44</c:v>
                </c:pt>
                <c:pt idx="8">
                  <c:v>29</c:v>
                </c:pt>
                <c:pt idx="9">
                  <c:v>22</c:v>
                </c:pt>
                <c:pt idx="10">
                  <c:v>29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'04.08 Bukoto-Kisasi'!$V$9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Bukoto-Kisasi'!$V$10:$V$21</c:f>
              <c:numCache>
                <c:formatCode>0</c:formatCode>
                <c:ptCount val="12"/>
                <c:pt idx="0">
                  <c:v>8</c:v>
                </c:pt>
                <c:pt idx="1">
                  <c:v>11</c:v>
                </c:pt>
                <c:pt idx="2">
                  <c:v>21</c:v>
                </c:pt>
                <c:pt idx="3">
                  <c:v>22</c:v>
                </c:pt>
                <c:pt idx="4">
                  <c:v>32</c:v>
                </c:pt>
                <c:pt idx="5">
                  <c:v>30</c:v>
                </c:pt>
                <c:pt idx="6">
                  <c:v>18</c:v>
                </c:pt>
                <c:pt idx="7">
                  <c:v>34</c:v>
                </c:pt>
                <c:pt idx="8">
                  <c:v>31</c:v>
                </c:pt>
                <c:pt idx="9">
                  <c:v>31</c:v>
                </c:pt>
                <c:pt idx="10">
                  <c:v>32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'04.08 Bukoto-Kisasi'!$W$9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Bukoto-Kisasi'!$W$10:$W$21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'04.08 Bukoto-Kisasi'!$X$9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Bukoto-Kisasi'!$X$10:$X$21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'04.08 Bukoto-Kisasi'!$Y$9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Bukoto-Kisasi'!$Y$10:$Y$21</c:f>
              <c:numCache>
                <c:formatCode>0</c:formatCode>
                <c:ptCount val="12"/>
                <c:pt idx="0">
                  <c:v>5</c:v>
                </c:pt>
                <c:pt idx="1">
                  <c:v>9</c:v>
                </c:pt>
                <c:pt idx="2">
                  <c:v>6</c:v>
                </c:pt>
                <c:pt idx="3">
                  <c:v>6</c:v>
                </c:pt>
                <c:pt idx="4">
                  <c:v>9</c:v>
                </c:pt>
                <c:pt idx="5">
                  <c:v>7</c:v>
                </c:pt>
                <c:pt idx="6">
                  <c:v>10</c:v>
                </c:pt>
                <c:pt idx="7">
                  <c:v>9</c:v>
                </c:pt>
                <c:pt idx="8">
                  <c:v>7</c:v>
                </c:pt>
                <c:pt idx="9">
                  <c:v>5</c:v>
                </c:pt>
                <c:pt idx="10">
                  <c:v>6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'04.08 Bukoto-Kisasi'!$Z$9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Bukoto-Kisasi'!$Z$10:$Z$21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'04.08 Bukoto-Kisasi'!$AA$9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Bukoto-Kisasi'!$AA$10:$AA$21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'04.08 Bukoto-Kisasi'!$AB$9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Bukoto-Kisasi'!$AB$10:$AB$21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'04.08 Bukoto-Kisasi'!$AC$9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Bukoto-Kisasi'!$AC$10:$AC$21</c:f>
              <c:numCache>
                <c:formatCode>0</c:formatCode>
                <c:ptCount val="12"/>
                <c:pt idx="0">
                  <c:v>74</c:v>
                </c:pt>
                <c:pt idx="1">
                  <c:v>130</c:v>
                </c:pt>
                <c:pt idx="2">
                  <c:v>156</c:v>
                </c:pt>
                <c:pt idx="3">
                  <c:v>155</c:v>
                </c:pt>
                <c:pt idx="4">
                  <c:v>184</c:v>
                </c:pt>
                <c:pt idx="5">
                  <c:v>196</c:v>
                </c:pt>
                <c:pt idx="6">
                  <c:v>228</c:v>
                </c:pt>
                <c:pt idx="7">
                  <c:v>204</c:v>
                </c:pt>
                <c:pt idx="8">
                  <c:v>202</c:v>
                </c:pt>
                <c:pt idx="9">
                  <c:v>241</c:v>
                </c:pt>
                <c:pt idx="10">
                  <c:v>234</c:v>
                </c:pt>
                <c:pt idx="11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'04.08 Bukoto-Kisasi'!$AD$9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Bukoto-Kisasi'!$AD$10:$AD$21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04000"/>
        <c:axId val="82318080"/>
      </c:lineChart>
      <c:catAx>
        <c:axId val="8230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318080"/>
        <c:crosses val="autoZero"/>
        <c:auto val="1"/>
        <c:lblAlgn val="ctr"/>
        <c:lblOffset val="100"/>
        <c:noMultiLvlLbl val="0"/>
      </c:catAx>
      <c:valAx>
        <c:axId val="8231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30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Bukoto-Kisasi'!$C$9:$N$9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Bukoto-Kisasi'!$C$60:$N$60</c:f>
              <c:numCache>
                <c:formatCode>0.00%</c:formatCode>
                <c:ptCount val="12"/>
                <c:pt idx="0">
                  <c:v>0.48371531966224368</c:v>
                </c:pt>
                <c:pt idx="1">
                  <c:v>0.3178528347406514</c:v>
                </c:pt>
                <c:pt idx="2">
                  <c:v>7.6296743063932443E-2</c:v>
                </c:pt>
                <c:pt idx="3">
                  <c:v>8.8359469240048255E-2</c:v>
                </c:pt>
                <c:pt idx="4">
                  <c:v>0</c:v>
                </c:pt>
                <c:pt idx="5">
                  <c:v>0</c:v>
                </c:pt>
                <c:pt idx="6">
                  <c:v>2.7442702050663449E-2</c:v>
                </c:pt>
                <c:pt idx="7">
                  <c:v>4.8250904704463205E-3</c:v>
                </c:pt>
                <c:pt idx="8">
                  <c:v>1.5078407720144752E-3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Kisasi-Bukoto'!$AE$9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Kisasi-Bukoto'!$R$10:$R$33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Kisasi-Bukoto'!$AE$10:$AE$33</c:f>
              <c:numCache>
                <c:formatCode>0</c:formatCode>
                <c:ptCount val="24"/>
                <c:pt idx="0">
                  <c:v>450.71428571428578</c:v>
                </c:pt>
                <c:pt idx="1">
                  <c:v>424.99999999999994</c:v>
                </c:pt>
                <c:pt idx="2">
                  <c:v>365.85714285714289</c:v>
                </c:pt>
                <c:pt idx="3">
                  <c:v>347.85714285714283</c:v>
                </c:pt>
                <c:pt idx="4">
                  <c:v>327.42857142857144</c:v>
                </c:pt>
                <c:pt idx="5">
                  <c:v>287.57142857142856</c:v>
                </c:pt>
                <c:pt idx="6">
                  <c:v>237.28571428571431</c:v>
                </c:pt>
                <c:pt idx="7">
                  <c:v>250.57142857142856</c:v>
                </c:pt>
                <c:pt idx="8">
                  <c:v>267.14285714285717</c:v>
                </c:pt>
                <c:pt idx="9">
                  <c:v>282.42857142857144</c:v>
                </c:pt>
                <c:pt idx="10">
                  <c:v>271.28571428571433</c:v>
                </c:pt>
                <c:pt idx="11">
                  <c:v>237.85714285714286</c:v>
                </c:pt>
                <c:pt idx="12">
                  <c:v>314</c:v>
                </c:pt>
                <c:pt idx="13">
                  <c:v>261.5</c:v>
                </c:pt>
                <c:pt idx="14">
                  <c:v>251.5</c:v>
                </c:pt>
                <c:pt idx="15">
                  <c:v>194.5</c:v>
                </c:pt>
                <c:pt idx="16">
                  <c:v>92</c:v>
                </c:pt>
                <c:pt idx="17">
                  <c:v>77</c:v>
                </c:pt>
                <c:pt idx="18">
                  <c:v>37.5</c:v>
                </c:pt>
                <c:pt idx="19">
                  <c:v>29</c:v>
                </c:pt>
                <c:pt idx="20">
                  <c:v>31.5</c:v>
                </c:pt>
                <c:pt idx="21">
                  <c:v>33</c:v>
                </c:pt>
                <c:pt idx="22">
                  <c:v>53</c:v>
                </c:pt>
                <c:pt idx="23">
                  <c:v>440.5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Kisasi-Bukoto'!$AF$9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Kisasi-Bukoto'!$R$10:$R$33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Kisasi-Bukoto'!$AF$10:$AF$33</c:f>
              <c:numCache>
                <c:formatCode>0</c:formatCode>
                <c:ptCount val="24"/>
                <c:pt idx="0">
                  <c:v>804.71428571428578</c:v>
                </c:pt>
                <c:pt idx="1">
                  <c:v>782.14285714285711</c:v>
                </c:pt>
                <c:pt idx="2">
                  <c:v>666.14285714285711</c:v>
                </c:pt>
                <c:pt idx="3">
                  <c:v>661</c:v>
                </c:pt>
                <c:pt idx="4">
                  <c:v>618.14285714285711</c:v>
                </c:pt>
                <c:pt idx="5">
                  <c:v>551.14285714285711</c:v>
                </c:pt>
                <c:pt idx="6">
                  <c:v>497.71428571428578</c:v>
                </c:pt>
                <c:pt idx="7">
                  <c:v>536.14285714285711</c:v>
                </c:pt>
                <c:pt idx="8">
                  <c:v>545.85714285714289</c:v>
                </c:pt>
                <c:pt idx="9">
                  <c:v>574.57142857142867</c:v>
                </c:pt>
                <c:pt idx="10">
                  <c:v>603.71428571428578</c:v>
                </c:pt>
                <c:pt idx="11">
                  <c:v>564.57142857142856</c:v>
                </c:pt>
                <c:pt idx="12">
                  <c:v>581.5</c:v>
                </c:pt>
                <c:pt idx="13">
                  <c:v>481.5</c:v>
                </c:pt>
                <c:pt idx="14">
                  <c:v>434.5</c:v>
                </c:pt>
                <c:pt idx="15">
                  <c:v>304</c:v>
                </c:pt>
                <c:pt idx="16">
                  <c:v>173</c:v>
                </c:pt>
                <c:pt idx="17">
                  <c:v>124</c:v>
                </c:pt>
                <c:pt idx="18">
                  <c:v>75</c:v>
                </c:pt>
                <c:pt idx="19">
                  <c:v>50</c:v>
                </c:pt>
                <c:pt idx="20">
                  <c:v>57.5</c:v>
                </c:pt>
                <c:pt idx="21">
                  <c:v>50</c:v>
                </c:pt>
                <c:pt idx="22">
                  <c:v>107.5</c:v>
                </c:pt>
                <c:pt idx="23">
                  <c:v>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687104"/>
        <c:axId val="82689024"/>
      </c:lineChart>
      <c:catAx>
        <c:axId val="826871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689024"/>
        <c:crosses val="autoZero"/>
        <c:auto val="1"/>
        <c:lblAlgn val="ctr"/>
        <c:lblOffset val="100"/>
        <c:noMultiLvlLbl val="0"/>
      </c:catAx>
      <c:valAx>
        <c:axId val="82689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68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Kisasi-Bukoto'!$C$9:$N$9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Kisasi-Bukoto'!$C$107:$N$107</c:f>
              <c:numCache>
                <c:formatCode>0.0%</c:formatCode>
                <c:ptCount val="12"/>
                <c:pt idx="0">
                  <c:v>0.26666152273297195</c:v>
                </c:pt>
                <c:pt idx="1">
                  <c:v>0.14694932582319017</c:v>
                </c:pt>
                <c:pt idx="2">
                  <c:v>9.7991936883933591E-3</c:v>
                </c:pt>
                <c:pt idx="3">
                  <c:v>6.3019617677128145E-2</c:v>
                </c:pt>
                <c:pt idx="4">
                  <c:v>7.1372080013888597E-4</c:v>
                </c:pt>
                <c:pt idx="5">
                  <c:v>7.7159005420420133E-5</c:v>
                </c:pt>
                <c:pt idx="6">
                  <c:v>1.6203391138288229E-2</c:v>
                </c:pt>
                <c:pt idx="7">
                  <c:v>1.8903956328002935E-3</c:v>
                </c:pt>
                <c:pt idx="8">
                  <c:v>1.1380953299511968E-3</c:v>
                </c:pt>
                <c:pt idx="9">
                  <c:v>3.8579502710210066E-5</c:v>
                </c:pt>
                <c:pt idx="10">
                  <c:v>0.4935089986690071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Kisasi-Bukoto'!$C$9:$N$9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Kisasi-Bukoto'!$C$108:$N$108</c:f>
              <c:numCache>
                <c:formatCode>0.00%</c:formatCode>
                <c:ptCount val="12"/>
                <c:pt idx="0">
                  <c:v>0.52648817458201613</c:v>
                </c:pt>
                <c:pt idx="1">
                  <c:v>0.29013215523479463</c:v>
                </c:pt>
                <c:pt idx="2">
                  <c:v>1.9347221693262754E-2</c:v>
                </c:pt>
                <c:pt idx="3">
                  <c:v>0.12442396313364056</c:v>
                </c:pt>
                <c:pt idx="4">
                  <c:v>1.4091480367140188E-3</c:v>
                </c:pt>
                <c:pt idx="5">
                  <c:v>1.5234032829340748E-4</c:v>
                </c:pt>
                <c:pt idx="6">
                  <c:v>3.1991468941615579E-2</c:v>
                </c:pt>
                <c:pt idx="7">
                  <c:v>3.732338043188484E-3</c:v>
                </c:pt>
                <c:pt idx="8">
                  <c:v>2.2470198423277599E-3</c:v>
                </c:pt>
                <c:pt idx="9">
                  <c:v>7.6170164146703741E-5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Bukoto-Kisasi'!$AE$9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Bukoto-Kisasi'!$R$10:$R$33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Bukoto-Kisasi'!$AE$10:$AE$33</c:f>
              <c:numCache>
                <c:formatCode>0</c:formatCode>
                <c:ptCount val="24"/>
                <c:pt idx="0">
                  <c:v>287.28571428571428</c:v>
                </c:pt>
                <c:pt idx="1">
                  <c:v>290.71428571428572</c:v>
                </c:pt>
                <c:pt idx="2">
                  <c:v>292.14285714285717</c:v>
                </c:pt>
                <c:pt idx="3">
                  <c:v>278</c:v>
                </c:pt>
                <c:pt idx="4">
                  <c:v>228.28571428571433</c:v>
                </c:pt>
                <c:pt idx="5">
                  <c:v>233.14285714285714</c:v>
                </c:pt>
                <c:pt idx="6">
                  <c:v>235.57142857142858</c:v>
                </c:pt>
                <c:pt idx="7">
                  <c:v>277</c:v>
                </c:pt>
                <c:pt idx="8">
                  <c:v>279.28571428571428</c:v>
                </c:pt>
                <c:pt idx="9">
                  <c:v>341.71428571428578</c:v>
                </c:pt>
                <c:pt idx="10">
                  <c:v>500.28571428571428</c:v>
                </c:pt>
                <c:pt idx="11">
                  <c:v>555.85714285714278</c:v>
                </c:pt>
                <c:pt idx="12">
                  <c:v>314</c:v>
                </c:pt>
                <c:pt idx="13">
                  <c:v>261.5</c:v>
                </c:pt>
                <c:pt idx="14">
                  <c:v>251.5</c:v>
                </c:pt>
                <c:pt idx="15">
                  <c:v>194.5</c:v>
                </c:pt>
                <c:pt idx="16">
                  <c:v>92</c:v>
                </c:pt>
                <c:pt idx="17">
                  <c:v>77</c:v>
                </c:pt>
                <c:pt idx="18">
                  <c:v>37.5</c:v>
                </c:pt>
                <c:pt idx="19">
                  <c:v>29</c:v>
                </c:pt>
                <c:pt idx="20">
                  <c:v>31.5</c:v>
                </c:pt>
                <c:pt idx="21">
                  <c:v>33</c:v>
                </c:pt>
                <c:pt idx="22">
                  <c:v>53</c:v>
                </c:pt>
                <c:pt idx="23">
                  <c:v>440.5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Bukoto-Kisasi'!$AF$9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Bukoto-Kisasi'!$R$10:$R$33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Bukoto-Kisasi'!$AF$10:$AF$33</c:f>
              <c:numCache>
                <c:formatCode>0</c:formatCode>
                <c:ptCount val="24"/>
                <c:pt idx="0">
                  <c:v>498.71428571428572</c:v>
                </c:pt>
                <c:pt idx="1">
                  <c:v>530.14285714285711</c:v>
                </c:pt>
                <c:pt idx="2">
                  <c:v>530.42857142857144</c:v>
                </c:pt>
                <c:pt idx="3">
                  <c:v>517.57142857142856</c:v>
                </c:pt>
                <c:pt idx="4">
                  <c:v>431.28571428571433</c:v>
                </c:pt>
                <c:pt idx="5">
                  <c:v>427.85714285714289</c:v>
                </c:pt>
                <c:pt idx="6">
                  <c:v>420.71428571428572</c:v>
                </c:pt>
                <c:pt idx="7">
                  <c:v>463.14285714285711</c:v>
                </c:pt>
                <c:pt idx="8">
                  <c:v>466.14285714285717</c:v>
                </c:pt>
                <c:pt idx="9">
                  <c:v>527.14285714285722</c:v>
                </c:pt>
                <c:pt idx="10">
                  <c:v>711.71428571428567</c:v>
                </c:pt>
                <c:pt idx="11">
                  <c:v>809.71428571428555</c:v>
                </c:pt>
                <c:pt idx="12">
                  <c:v>581.5</c:v>
                </c:pt>
                <c:pt idx="13">
                  <c:v>481.5</c:v>
                </c:pt>
                <c:pt idx="14">
                  <c:v>434.5</c:v>
                </c:pt>
                <c:pt idx="15">
                  <c:v>304</c:v>
                </c:pt>
                <c:pt idx="16">
                  <c:v>173</c:v>
                </c:pt>
                <c:pt idx="17">
                  <c:v>124</c:v>
                </c:pt>
                <c:pt idx="18">
                  <c:v>75</c:v>
                </c:pt>
                <c:pt idx="19">
                  <c:v>50</c:v>
                </c:pt>
                <c:pt idx="20">
                  <c:v>57.5</c:v>
                </c:pt>
                <c:pt idx="21">
                  <c:v>50</c:v>
                </c:pt>
                <c:pt idx="22">
                  <c:v>107.5</c:v>
                </c:pt>
                <c:pt idx="23">
                  <c:v>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297024"/>
        <c:axId val="83298944"/>
      </c:lineChart>
      <c:catAx>
        <c:axId val="832970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3298944"/>
        <c:crosses val="autoZero"/>
        <c:auto val="1"/>
        <c:lblAlgn val="ctr"/>
        <c:lblOffset val="100"/>
        <c:noMultiLvlLbl val="0"/>
      </c:catAx>
      <c:valAx>
        <c:axId val="83298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329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Bukoto-Kisasi'!$C$9:$N$9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Bukoto-Kisasi'!$C$107:$N$107</c:f>
              <c:numCache>
                <c:formatCode>0.0%</c:formatCode>
                <c:ptCount val="12"/>
                <c:pt idx="0">
                  <c:v>0.29013125253709798</c:v>
                </c:pt>
                <c:pt idx="1">
                  <c:v>0.16729060484416572</c:v>
                </c:pt>
                <c:pt idx="2">
                  <c:v>5.5703396328537262E-2</c:v>
                </c:pt>
                <c:pt idx="3">
                  <c:v>6.8219746515718702E-2</c:v>
                </c:pt>
                <c:pt idx="4">
                  <c:v>6.3145550493888384E-4</c:v>
                </c:pt>
                <c:pt idx="5">
                  <c:v>2.0296784087321269E-4</c:v>
                </c:pt>
                <c:pt idx="6">
                  <c:v>1.2967389833566365E-2</c:v>
                </c:pt>
                <c:pt idx="7">
                  <c:v>3.3827973478868776E-3</c:v>
                </c:pt>
                <c:pt idx="8">
                  <c:v>1.1727030806007847E-3</c:v>
                </c:pt>
                <c:pt idx="9">
                  <c:v>4.510396463849171E-5</c:v>
                </c:pt>
                <c:pt idx="10">
                  <c:v>0.40023003021965625</c:v>
                </c:pt>
                <c:pt idx="11">
                  <c:v>2.2551982319245855E-5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1947846374155137E-2"/>
          <c:y val="7.7511164185045583E-2"/>
          <c:w val="0.82101228366016787"/>
          <c:h val="0.84554290903210561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Bukoto-Kisasi'!$C$9:$N$9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Bukoto-Kisasi'!$C$108:$N$108</c:f>
              <c:numCache>
                <c:formatCode>0.00%</c:formatCode>
                <c:ptCount val="12"/>
                <c:pt idx="0">
                  <c:v>0.4837375446512503</c:v>
                </c:pt>
                <c:pt idx="1">
                  <c:v>0.27892460988907686</c:v>
                </c:pt>
                <c:pt idx="2">
                  <c:v>9.2874600488813686E-2</c:v>
                </c:pt>
                <c:pt idx="3">
                  <c:v>0.11374318480917464</c:v>
                </c:pt>
                <c:pt idx="4">
                  <c:v>1.0528294792254182E-3</c:v>
                </c:pt>
                <c:pt idx="5">
                  <c:v>3.3840947546531303E-4</c:v>
                </c:pt>
                <c:pt idx="6">
                  <c:v>2.1620605376950552E-2</c:v>
                </c:pt>
                <c:pt idx="7">
                  <c:v>5.6401579244218826E-3</c:v>
                </c:pt>
                <c:pt idx="8">
                  <c:v>1.9552547471329202E-3</c:v>
                </c:pt>
                <c:pt idx="9">
                  <c:v>7.5202105658958446E-5</c:v>
                </c:pt>
                <c:pt idx="11">
                  <c:v>3.7601052829479223E-5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Kisasi-Bukoto-2Dir'!$C$9:$N$9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Kisasi-Bukoto-2Dir'!$C$107:$N$107</c:f>
              <c:numCache>
                <c:formatCode>0.0%</c:formatCode>
                <c:ptCount val="12"/>
                <c:pt idx="0">
                  <c:v>0.27748146761901782</c:v>
                </c:pt>
                <c:pt idx="1">
                  <c:v>0.15632700165309879</c:v>
                </c:pt>
                <c:pt idx="2">
                  <c:v>3.0961812378486844E-2</c:v>
                </c:pt>
                <c:pt idx="3">
                  <c:v>6.5416965576037336E-2</c:v>
                </c:pt>
                <c:pt idx="4">
                  <c:v>6.7579509892600549E-4</c:v>
                </c:pt>
                <c:pt idx="5">
                  <c:v>1.3515901978520108E-4</c:v>
                </c:pt>
                <c:pt idx="6">
                  <c:v>1.4711539461235351E-2</c:v>
                </c:pt>
                <c:pt idx="7">
                  <c:v>2.5784182235946049E-3</c:v>
                </c:pt>
                <c:pt idx="8">
                  <c:v>1.1540500920121021E-3</c:v>
                </c:pt>
                <c:pt idx="9">
                  <c:v>4.1587390703138801E-5</c:v>
                </c:pt>
                <c:pt idx="10">
                  <c:v>0.45050580663942708</c:v>
                </c:pt>
                <c:pt idx="11">
                  <c:v>1.03968476757847E-5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Kisasi-Bukoto-2Dir'!$C$9:$N$9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Kisasi-Bukoto-2Dir'!$C$108:$N$108</c:f>
              <c:numCache>
                <c:formatCode>0.00%</c:formatCode>
                <c:ptCount val="12"/>
                <c:pt idx="0">
                  <c:v>0.50497615984257904</c:v>
                </c:pt>
                <c:pt idx="1">
                  <c:v>0.28449254522061612</c:v>
                </c:pt>
                <c:pt idx="2">
                  <c:v>5.6346022856277912E-2</c:v>
                </c:pt>
                <c:pt idx="3">
                  <c:v>0.11904942102474833</c:v>
                </c:pt>
                <c:pt idx="4">
                  <c:v>1.2298493907515323E-3</c:v>
                </c:pt>
                <c:pt idx="5">
                  <c:v>2.4596987815030645E-4</c:v>
                </c:pt>
                <c:pt idx="6">
                  <c:v>2.6772875198667976E-2</c:v>
                </c:pt>
                <c:pt idx="7">
                  <c:v>4.6923484447135375E-3</c:v>
                </c:pt>
                <c:pt idx="8">
                  <c:v>2.1002043442064637E-3</c:v>
                </c:pt>
                <c:pt idx="9">
                  <c:v>7.5683039430863536E-5</c:v>
                </c:pt>
                <c:pt idx="11">
                  <c:v>1.8920759857715884E-5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Kisasi-Bukoto-2Dir'!$AE$9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Kisasi-Bukoto-2Dir'!$R$10:$R$33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Kisasi-Bukoto-2Dir'!$AE$10:$AE$33</c:f>
              <c:numCache>
                <c:formatCode>0</c:formatCode>
                <c:ptCount val="24"/>
                <c:pt idx="0">
                  <c:v>738.00000000000011</c:v>
                </c:pt>
                <c:pt idx="1">
                  <c:v>715.71428571428555</c:v>
                </c:pt>
                <c:pt idx="2">
                  <c:v>658</c:v>
                </c:pt>
                <c:pt idx="3">
                  <c:v>625.85714285714289</c:v>
                </c:pt>
                <c:pt idx="4">
                  <c:v>555.71428571428578</c:v>
                </c:pt>
                <c:pt idx="5">
                  <c:v>520.71428571428578</c:v>
                </c:pt>
                <c:pt idx="6">
                  <c:v>472.85714285714283</c:v>
                </c:pt>
                <c:pt idx="7">
                  <c:v>527.57142857142856</c:v>
                </c:pt>
                <c:pt idx="8">
                  <c:v>546.42857142857133</c:v>
                </c:pt>
                <c:pt idx="9">
                  <c:v>624.14285714285711</c:v>
                </c:pt>
                <c:pt idx="10">
                  <c:v>771.57142857142856</c:v>
                </c:pt>
                <c:pt idx="11">
                  <c:v>793.71428571428555</c:v>
                </c:pt>
                <c:pt idx="12">
                  <c:v>628</c:v>
                </c:pt>
                <c:pt idx="13">
                  <c:v>523</c:v>
                </c:pt>
                <c:pt idx="14">
                  <c:v>503</c:v>
                </c:pt>
                <c:pt idx="15">
                  <c:v>389</c:v>
                </c:pt>
                <c:pt idx="16">
                  <c:v>184</c:v>
                </c:pt>
                <c:pt idx="17">
                  <c:v>154</c:v>
                </c:pt>
                <c:pt idx="18">
                  <c:v>75</c:v>
                </c:pt>
                <c:pt idx="19">
                  <c:v>58</c:v>
                </c:pt>
                <c:pt idx="20">
                  <c:v>63</c:v>
                </c:pt>
                <c:pt idx="21">
                  <c:v>66</c:v>
                </c:pt>
                <c:pt idx="22">
                  <c:v>106</c:v>
                </c:pt>
                <c:pt idx="23">
                  <c:v>881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C90-47DE-BA06-02018B024E11}"/>
            </c:ext>
          </c:extLst>
        </c:ser>
        <c:ser>
          <c:idx val="1"/>
          <c:order val="1"/>
          <c:tx>
            <c:strRef>
              <c:f>'Avg Week Kisasi-Bukoto-2Dir'!$AF$9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Kisasi-Bukoto-2Dir'!$R$10:$R$33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Kisasi-Bukoto-2Dir'!$AF$10:$AF$33</c:f>
              <c:numCache>
                <c:formatCode>0</c:formatCode>
                <c:ptCount val="24"/>
                <c:pt idx="0">
                  <c:v>1303.4285714285716</c:v>
                </c:pt>
                <c:pt idx="1">
                  <c:v>1312.2857142857142</c:v>
                </c:pt>
                <c:pt idx="2">
                  <c:v>1196.5714285714284</c:v>
                </c:pt>
                <c:pt idx="3">
                  <c:v>1178.5714285714284</c:v>
                </c:pt>
                <c:pt idx="4">
                  <c:v>1049.4285714285716</c:v>
                </c:pt>
                <c:pt idx="5">
                  <c:v>979</c:v>
                </c:pt>
                <c:pt idx="6">
                  <c:v>918.42857142857144</c:v>
                </c:pt>
                <c:pt idx="7">
                  <c:v>999.28571428571422</c:v>
                </c:pt>
                <c:pt idx="8">
                  <c:v>1012</c:v>
                </c:pt>
                <c:pt idx="9">
                  <c:v>1101.7142857142858</c:v>
                </c:pt>
                <c:pt idx="10">
                  <c:v>1315.4285714285716</c:v>
                </c:pt>
                <c:pt idx="11">
                  <c:v>1374.2857142857142</c:v>
                </c:pt>
                <c:pt idx="12">
                  <c:v>1163</c:v>
                </c:pt>
                <c:pt idx="13">
                  <c:v>963</c:v>
                </c:pt>
                <c:pt idx="14">
                  <c:v>869</c:v>
                </c:pt>
                <c:pt idx="15">
                  <c:v>608</c:v>
                </c:pt>
                <c:pt idx="16">
                  <c:v>346</c:v>
                </c:pt>
                <c:pt idx="17">
                  <c:v>248</c:v>
                </c:pt>
                <c:pt idx="18">
                  <c:v>150</c:v>
                </c:pt>
                <c:pt idx="19">
                  <c:v>100</c:v>
                </c:pt>
                <c:pt idx="20">
                  <c:v>115</c:v>
                </c:pt>
                <c:pt idx="21">
                  <c:v>100</c:v>
                </c:pt>
                <c:pt idx="22">
                  <c:v>215</c:v>
                </c:pt>
                <c:pt idx="23">
                  <c:v>944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C90-47DE-BA06-02018B024E11}"/>
            </c:ext>
          </c:extLst>
        </c:ser>
        <c:ser>
          <c:idx val="5"/>
          <c:order val="2"/>
          <c:tx>
            <c:strRef>
              <c:f>'Avg Week Kisasi-Bukoto-2Dir'!$AC$9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Kisasi-Bukoto-2Dir'!$R$10:$R$33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Kisasi-Bukoto-2Dir'!$AC$10:$AC$33</c:f>
              <c:numCache>
                <c:formatCode>0</c:formatCode>
                <c:ptCount val="24"/>
                <c:pt idx="0">
                  <c:v>565.42857142857144</c:v>
                </c:pt>
                <c:pt idx="1">
                  <c:v>596.57142857142856</c:v>
                </c:pt>
                <c:pt idx="2">
                  <c:v>538.57142857142867</c:v>
                </c:pt>
                <c:pt idx="3">
                  <c:v>552.71428571428567</c:v>
                </c:pt>
                <c:pt idx="4">
                  <c:v>493.71428571428572</c:v>
                </c:pt>
                <c:pt idx="5">
                  <c:v>458.28571428571433</c:v>
                </c:pt>
                <c:pt idx="6">
                  <c:v>445.57142857142856</c:v>
                </c:pt>
                <c:pt idx="7">
                  <c:v>471.71428571428567</c:v>
                </c:pt>
                <c:pt idx="8">
                  <c:v>465.57142857142856</c:v>
                </c:pt>
                <c:pt idx="9">
                  <c:v>477.57142857142856</c:v>
                </c:pt>
                <c:pt idx="10">
                  <c:v>543.85714285714289</c:v>
                </c:pt>
                <c:pt idx="11">
                  <c:v>580.57142857142856</c:v>
                </c:pt>
                <c:pt idx="12">
                  <c:v>535</c:v>
                </c:pt>
                <c:pt idx="13">
                  <c:v>440</c:v>
                </c:pt>
                <c:pt idx="14">
                  <c:v>366</c:v>
                </c:pt>
                <c:pt idx="15">
                  <c:v>219</c:v>
                </c:pt>
                <c:pt idx="16">
                  <c:v>162</c:v>
                </c:pt>
                <c:pt idx="17">
                  <c:v>94</c:v>
                </c:pt>
                <c:pt idx="18">
                  <c:v>75</c:v>
                </c:pt>
                <c:pt idx="19">
                  <c:v>42</c:v>
                </c:pt>
                <c:pt idx="20">
                  <c:v>52</c:v>
                </c:pt>
                <c:pt idx="21">
                  <c:v>34</c:v>
                </c:pt>
                <c:pt idx="22">
                  <c:v>109</c:v>
                </c:pt>
                <c:pt idx="23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90-47DE-BA06-02018B024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Kisasi-Bukoto-2Dir'!$S$9:$AF$9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Kisasi-Bukoto-2Dir'!$S$41:$AF$41</c:f>
              <c:numCache>
                <c:formatCode>_(* #,##0_);_(* \(#,##0\);_(* "-"_);_(@_)</c:formatCode>
                <c:ptCount val="14"/>
                <c:pt idx="0">
                  <c:v>5737.7142857142862</c:v>
                </c:pt>
                <c:pt idx="1">
                  <c:v>3402</c:v>
                </c:pt>
                <c:pt idx="2">
                  <c:v>436.42857142857139</c:v>
                </c:pt>
                <c:pt idx="3">
                  <c:v>1264.8571428571427</c:v>
                </c:pt>
                <c:pt idx="4">
                  <c:v>13.285714285714285</c:v>
                </c:pt>
                <c:pt idx="5">
                  <c:v>1.8571428571428572</c:v>
                </c:pt>
                <c:pt idx="6">
                  <c:v>261.14285714285711</c:v>
                </c:pt>
                <c:pt idx="7">
                  <c:v>39.428571428571431</c:v>
                </c:pt>
                <c:pt idx="8">
                  <c:v>20.857142857142858</c:v>
                </c:pt>
                <c:pt idx="9">
                  <c:v>2.5714285714285712</c:v>
                </c:pt>
                <c:pt idx="10">
                  <c:v>8381.1428571428569</c:v>
                </c:pt>
                <c:pt idx="11">
                  <c:v>0.14285714285714285</c:v>
                </c:pt>
                <c:pt idx="12">
                  <c:v>11180.285714285714</c:v>
                </c:pt>
                <c:pt idx="13">
                  <c:v>19561.428571428572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E-4EDF-ADCE-C0F783D825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Kisasi-Bukoto-2Dir'!$S$9:$AF$9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Kisasi-Bukoto-2Dir'!$S$42:$AF$42</c:f>
              <c:numCache>
                <c:formatCode>0.000</c:formatCode>
                <c:ptCount val="14"/>
                <c:pt idx="0">
                  <c:v>1.5048896549140094</c:v>
                </c:pt>
                <c:pt idx="1">
                  <c:v>1.5837988826815643</c:v>
                </c:pt>
                <c:pt idx="2">
                  <c:v>1.0258562793821357</c:v>
                </c:pt>
                <c:pt idx="3">
                  <c:v>1.4071837253655435</c:v>
                </c:pt>
                <c:pt idx="4">
                  <c:v>1.4307692307692308</c:v>
                </c:pt>
                <c:pt idx="5">
                  <c:v>1</c:v>
                </c:pt>
                <c:pt idx="6">
                  <c:v>1.2918727915194346</c:v>
                </c:pt>
                <c:pt idx="7">
                  <c:v>1.1129032258064515</c:v>
                </c:pt>
                <c:pt idx="8">
                  <c:v>1.3153153153153152</c:v>
                </c:pt>
                <c:pt idx="9">
                  <c:v>4.5</c:v>
                </c:pt>
                <c:pt idx="10">
                  <c:v>1.3539498280676652</c:v>
                </c:pt>
                <c:pt idx="11">
                  <c:v>1</c:v>
                </c:pt>
                <c:pt idx="12">
                  <c:v>1.4807765079845607</c:v>
                </c:pt>
                <c:pt idx="13">
                  <c:v>1.4236403522451992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B-4FED-B0DB-11FA816EFD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2.xml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36.xml"/><Relationship Id="rId1" Type="http://schemas.openxmlformats.org/officeDocument/2006/relationships/chart" Target="../charts/chart3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9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jpe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08125" y="2013631"/>
          <a:ext cx="762826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58</xdr:row>
      <xdr:rowOff>279400</xdr:rowOff>
    </xdr:from>
    <xdr:to>
      <xdr:col>31</xdr:col>
      <xdr:colOff>492125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1</xdr:rowOff>
    </xdr:from>
    <xdr:to>
      <xdr:col>24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58</xdr:row>
      <xdr:rowOff>279400</xdr:rowOff>
    </xdr:from>
    <xdr:to>
      <xdr:col>31</xdr:col>
      <xdr:colOff>523875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1</xdr:rowOff>
    </xdr:from>
    <xdr:to>
      <xdr:col>24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74</xdr:row>
      <xdr:rowOff>263525</xdr:rowOff>
    </xdr:from>
    <xdr:to>
      <xdr:col>25</xdr:col>
      <xdr:colOff>0</xdr:colOff>
      <xdr:row>91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59</xdr:row>
      <xdr:rowOff>2</xdr:rowOff>
    </xdr:from>
    <xdr:to>
      <xdr:col>25</xdr:col>
      <xdr:colOff>15875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28</xdr:col>
      <xdr:colOff>0</xdr:colOff>
      <xdr:row>58</xdr:row>
      <xdr:rowOff>285749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4E21F6E-2E31-4C72-91F4-7AA1B60E7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0</xdr:colOff>
      <xdr:row>59</xdr:row>
      <xdr:rowOff>0</xdr:rowOff>
    </xdr:from>
    <xdr:to>
      <xdr:col>31</xdr:col>
      <xdr:colOff>555625</xdr:colOff>
      <xdr:row>74</xdr:row>
      <xdr:rowOff>284163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B58FCEE-217D-4A64-B689-88114C4DD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0</xdr:colOff>
      <xdr:row>75</xdr:row>
      <xdr:rowOff>0</xdr:rowOff>
    </xdr:from>
    <xdr:to>
      <xdr:col>31</xdr:col>
      <xdr:colOff>571500</xdr:colOff>
      <xdr:row>91</xdr:row>
      <xdr:rowOff>14288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7503CD6-DC1F-4E7A-91E2-EFB87D444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30" zoomScaleSheetLayoutView="3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1" t="s">
        <v>96</v>
      </c>
      <c r="C3" s="59" t="s">
        <v>163</v>
      </c>
      <c r="D3" s="59"/>
      <c r="E3" s="59"/>
      <c r="F3" s="59"/>
      <c r="G3" s="59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169</v>
      </c>
      <c r="E5" s="3"/>
      <c r="F5" s="41" t="s">
        <v>1</v>
      </c>
      <c r="G5" s="54" t="s">
        <v>164</v>
      </c>
      <c r="H5" s="55"/>
      <c r="I5" s="14"/>
      <c r="J5" s="2" t="s">
        <v>5</v>
      </c>
      <c r="K5" s="54" t="s">
        <v>175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164</v>
      </c>
      <c r="E6" s="55"/>
      <c r="F6" s="2" t="s">
        <v>2</v>
      </c>
      <c r="G6" s="54" t="s">
        <v>165</v>
      </c>
      <c r="H6" s="55"/>
      <c r="J6" s="2" t="s">
        <v>21</v>
      </c>
      <c r="K6" s="54" t="s">
        <v>166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23</v>
      </c>
      <c r="D10" s="50">
        <v>8</v>
      </c>
      <c r="E10" s="50">
        <v>0</v>
      </c>
      <c r="F10" s="50">
        <v>3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15</v>
      </c>
      <c r="N10" s="50">
        <v>0</v>
      </c>
      <c r="O10" s="15">
        <f t="shared" ref="O10:O57" si="0">SUM(C10:L10,N10)</f>
        <v>35</v>
      </c>
      <c r="P10" s="15">
        <f t="shared" ref="P10:P57" si="1">SUM(C10:N10)</f>
        <v>50</v>
      </c>
      <c r="R10" s="1" t="s">
        <v>6</v>
      </c>
      <c r="S10" s="17">
        <f t="shared" ref="S10:AF10" si="2">SUM(C10:C13)</f>
        <v>188</v>
      </c>
      <c r="T10" s="17">
        <f t="shared" si="2"/>
        <v>89</v>
      </c>
      <c r="U10" s="17">
        <f t="shared" si="2"/>
        <v>0</v>
      </c>
      <c r="V10" s="17">
        <f t="shared" si="2"/>
        <v>29</v>
      </c>
      <c r="W10" s="17">
        <f t="shared" si="2"/>
        <v>0</v>
      </c>
      <c r="X10" s="17">
        <f t="shared" si="2"/>
        <v>0</v>
      </c>
      <c r="Y10" s="17">
        <f t="shared" si="2"/>
        <v>10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149</v>
      </c>
      <c r="AD10" s="17">
        <f t="shared" si="2"/>
        <v>0</v>
      </c>
      <c r="AE10" s="31">
        <f t="shared" si="2"/>
        <v>316</v>
      </c>
      <c r="AF10" s="31">
        <f t="shared" si="2"/>
        <v>465</v>
      </c>
    </row>
    <row r="11" spans="2:32" s="6" customFormat="1" ht="23.1" customHeight="1" x14ac:dyDescent="0.25">
      <c r="B11" s="23" t="s">
        <v>38</v>
      </c>
      <c r="C11" s="50">
        <v>40</v>
      </c>
      <c r="D11" s="50">
        <v>4</v>
      </c>
      <c r="E11" s="50">
        <v>0</v>
      </c>
      <c r="F11" s="50">
        <v>6</v>
      </c>
      <c r="G11" s="50">
        <v>0</v>
      </c>
      <c r="H11" s="50">
        <v>0</v>
      </c>
      <c r="I11" s="50">
        <v>3</v>
      </c>
      <c r="J11" s="50">
        <v>0</v>
      </c>
      <c r="K11" s="50">
        <v>0</v>
      </c>
      <c r="L11" s="50">
        <v>0</v>
      </c>
      <c r="M11" s="50">
        <v>13</v>
      </c>
      <c r="N11" s="50">
        <v>0</v>
      </c>
      <c r="O11" s="15">
        <f t="shared" si="0"/>
        <v>53</v>
      </c>
      <c r="P11" s="15">
        <f t="shared" si="1"/>
        <v>66</v>
      </c>
      <c r="R11" s="1" t="s">
        <v>7</v>
      </c>
      <c r="S11" s="17">
        <f t="shared" ref="S11:AF11" si="3">SUM(C14:C17)</f>
        <v>238</v>
      </c>
      <c r="T11" s="17">
        <f t="shared" si="3"/>
        <v>144</v>
      </c>
      <c r="U11" s="17">
        <f t="shared" si="3"/>
        <v>0</v>
      </c>
      <c r="V11" s="17">
        <f t="shared" si="3"/>
        <v>53</v>
      </c>
      <c r="W11" s="17">
        <f t="shared" si="3"/>
        <v>1</v>
      </c>
      <c r="X11" s="17">
        <f t="shared" si="3"/>
        <v>0</v>
      </c>
      <c r="Y11" s="17">
        <f t="shared" si="3"/>
        <v>11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319</v>
      </c>
      <c r="AD11" s="17">
        <f t="shared" si="3"/>
        <v>0</v>
      </c>
      <c r="AE11" s="31">
        <f t="shared" si="3"/>
        <v>449</v>
      </c>
      <c r="AF11" s="31">
        <f t="shared" si="3"/>
        <v>768</v>
      </c>
    </row>
    <row r="12" spans="2:32" ht="23.1" customHeight="1" x14ac:dyDescent="0.25">
      <c r="B12" s="23" t="s">
        <v>39</v>
      </c>
      <c r="C12" s="50">
        <v>45</v>
      </c>
      <c r="D12" s="50">
        <v>31</v>
      </c>
      <c r="E12" s="50">
        <v>0</v>
      </c>
      <c r="F12" s="50">
        <v>5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38</v>
      </c>
      <c r="N12" s="50">
        <v>0</v>
      </c>
      <c r="O12" s="15">
        <f t="shared" si="0"/>
        <v>83</v>
      </c>
      <c r="P12" s="15">
        <f t="shared" si="1"/>
        <v>121</v>
      </c>
      <c r="R12" s="1" t="s">
        <v>8</v>
      </c>
      <c r="S12" s="17">
        <f t="shared" ref="S12:AF12" si="4">SUM(C18:C21)</f>
        <v>183</v>
      </c>
      <c r="T12" s="17">
        <f t="shared" si="4"/>
        <v>97</v>
      </c>
      <c r="U12" s="17">
        <f t="shared" si="4"/>
        <v>0</v>
      </c>
      <c r="V12" s="17">
        <f t="shared" si="4"/>
        <v>37</v>
      </c>
      <c r="W12" s="17">
        <f t="shared" si="4"/>
        <v>0</v>
      </c>
      <c r="X12" s="17">
        <f t="shared" si="4"/>
        <v>1</v>
      </c>
      <c r="Y12" s="17">
        <f t="shared" si="4"/>
        <v>13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232</v>
      </c>
      <c r="AD12" s="17">
        <f t="shared" si="4"/>
        <v>0</v>
      </c>
      <c r="AE12" s="31">
        <f t="shared" si="4"/>
        <v>332</v>
      </c>
      <c r="AF12" s="31">
        <f t="shared" si="4"/>
        <v>564</v>
      </c>
    </row>
    <row r="13" spans="2:32" ht="23.1" customHeight="1" x14ac:dyDescent="0.25">
      <c r="B13" s="23" t="s">
        <v>40</v>
      </c>
      <c r="C13" s="50">
        <v>80</v>
      </c>
      <c r="D13" s="50">
        <v>46</v>
      </c>
      <c r="E13" s="50">
        <v>0</v>
      </c>
      <c r="F13" s="50">
        <v>15</v>
      </c>
      <c r="G13" s="50">
        <v>0</v>
      </c>
      <c r="H13" s="50">
        <v>0</v>
      </c>
      <c r="I13" s="50">
        <v>4</v>
      </c>
      <c r="J13" s="50">
        <v>0</v>
      </c>
      <c r="K13" s="50">
        <v>0</v>
      </c>
      <c r="L13" s="50">
        <v>0</v>
      </c>
      <c r="M13" s="50">
        <v>83</v>
      </c>
      <c r="N13" s="50">
        <v>0</v>
      </c>
      <c r="O13" s="15">
        <f t="shared" si="0"/>
        <v>145</v>
      </c>
      <c r="P13" s="15">
        <f t="shared" si="1"/>
        <v>228</v>
      </c>
      <c r="R13" s="1" t="s">
        <v>9</v>
      </c>
      <c r="S13" s="17">
        <f t="shared" ref="S13:AF13" si="5">SUM(C22:C25)</f>
        <v>146</v>
      </c>
      <c r="T13" s="17">
        <f t="shared" si="5"/>
        <v>72</v>
      </c>
      <c r="U13" s="17">
        <f t="shared" si="5"/>
        <v>2</v>
      </c>
      <c r="V13" s="17">
        <f t="shared" si="5"/>
        <v>40</v>
      </c>
      <c r="W13" s="17">
        <f t="shared" si="5"/>
        <v>2</v>
      </c>
      <c r="X13" s="17">
        <f t="shared" si="5"/>
        <v>0</v>
      </c>
      <c r="Y13" s="17">
        <f t="shared" si="5"/>
        <v>8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225</v>
      </c>
      <c r="AD13" s="17">
        <f t="shared" si="5"/>
        <v>0</v>
      </c>
      <c r="AE13" s="31">
        <f t="shared" si="5"/>
        <v>271</v>
      </c>
      <c r="AF13" s="31">
        <f t="shared" si="5"/>
        <v>496</v>
      </c>
    </row>
    <row r="14" spans="2:32" ht="23.1" customHeight="1" x14ac:dyDescent="0.25">
      <c r="B14" s="23" t="s">
        <v>41</v>
      </c>
      <c r="C14" s="50">
        <v>85</v>
      </c>
      <c r="D14" s="50">
        <v>46</v>
      </c>
      <c r="E14" s="50">
        <v>0</v>
      </c>
      <c r="F14" s="50">
        <v>14</v>
      </c>
      <c r="G14" s="50">
        <v>0</v>
      </c>
      <c r="H14" s="50">
        <v>0</v>
      </c>
      <c r="I14" s="50">
        <v>5</v>
      </c>
      <c r="J14" s="50">
        <v>0</v>
      </c>
      <c r="K14" s="50">
        <v>0</v>
      </c>
      <c r="L14" s="50">
        <v>0</v>
      </c>
      <c r="M14" s="50">
        <v>98</v>
      </c>
      <c r="N14" s="50">
        <v>0</v>
      </c>
      <c r="O14" s="15">
        <f t="shared" si="0"/>
        <v>150</v>
      </c>
      <c r="P14" s="15">
        <f t="shared" si="1"/>
        <v>248</v>
      </c>
      <c r="R14" s="1" t="s">
        <v>10</v>
      </c>
      <c r="S14" s="17">
        <f t="shared" ref="S14:AF14" si="6">SUM(C26:C29)</f>
        <v>107</v>
      </c>
      <c r="T14" s="17">
        <f t="shared" si="6"/>
        <v>68</v>
      </c>
      <c r="U14" s="17">
        <f t="shared" si="6"/>
        <v>5</v>
      </c>
      <c r="V14" s="17">
        <f t="shared" si="6"/>
        <v>41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1</v>
      </c>
      <c r="AA14" s="17">
        <f t="shared" si="6"/>
        <v>2</v>
      </c>
      <c r="AB14" s="17">
        <f t="shared" si="6"/>
        <v>0</v>
      </c>
      <c r="AC14" s="17">
        <f t="shared" si="6"/>
        <v>231</v>
      </c>
      <c r="AD14" s="17">
        <f t="shared" si="6"/>
        <v>0</v>
      </c>
      <c r="AE14" s="31">
        <f t="shared" si="6"/>
        <v>230</v>
      </c>
      <c r="AF14" s="31">
        <f t="shared" si="6"/>
        <v>461</v>
      </c>
    </row>
    <row r="15" spans="2:32" ht="23.1" customHeight="1" x14ac:dyDescent="0.25">
      <c r="B15" s="23" t="s">
        <v>42</v>
      </c>
      <c r="C15" s="50">
        <v>67</v>
      </c>
      <c r="D15" s="50">
        <v>38</v>
      </c>
      <c r="E15" s="50">
        <v>0</v>
      </c>
      <c r="F15" s="50">
        <v>10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76</v>
      </c>
      <c r="N15" s="50">
        <v>0</v>
      </c>
      <c r="O15" s="15">
        <f t="shared" si="0"/>
        <v>118</v>
      </c>
      <c r="P15" s="15">
        <f t="shared" si="1"/>
        <v>194</v>
      </c>
      <c r="R15" s="1" t="s">
        <v>11</v>
      </c>
      <c r="S15" s="17">
        <f t="shared" ref="S15:AF15" si="7">SUM(C30:C33)</f>
        <v>104</v>
      </c>
      <c r="T15" s="17">
        <f t="shared" si="7"/>
        <v>53</v>
      </c>
      <c r="U15" s="17">
        <f t="shared" si="7"/>
        <v>12</v>
      </c>
      <c r="V15" s="17">
        <f t="shared" si="7"/>
        <v>36</v>
      </c>
      <c r="W15" s="17">
        <f t="shared" si="7"/>
        <v>0</v>
      </c>
      <c r="X15" s="17">
        <f t="shared" si="7"/>
        <v>0</v>
      </c>
      <c r="Y15" s="17">
        <f t="shared" si="7"/>
        <v>11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202</v>
      </c>
      <c r="AD15" s="17">
        <f t="shared" si="7"/>
        <v>0</v>
      </c>
      <c r="AE15" s="31">
        <f t="shared" si="7"/>
        <v>216</v>
      </c>
      <c r="AF15" s="31">
        <f t="shared" si="7"/>
        <v>418</v>
      </c>
    </row>
    <row r="16" spans="2:32" ht="23.1" customHeight="1" x14ac:dyDescent="0.25">
      <c r="B16" s="23" t="s">
        <v>43</v>
      </c>
      <c r="C16" s="50">
        <v>41</v>
      </c>
      <c r="D16" s="50">
        <v>26</v>
      </c>
      <c r="E16" s="50">
        <v>0</v>
      </c>
      <c r="F16" s="50">
        <v>15</v>
      </c>
      <c r="G16" s="50">
        <v>1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63</v>
      </c>
      <c r="N16" s="50">
        <v>0</v>
      </c>
      <c r="O16" s="15">
        <f t="shared" si="0"/>
        <v>83</v>
      </c>
      <c r="P16" s="15">
        <f t="shared" si="1"/>
        <v>146</v>
      </c>
      <c r="R16" s="1" t="s">
        <v>12</v>
      </c>
      <c r="S16" s="17">
        <f t="shared" ref="S16:AF16" si="8">SUM(C34:C37)</f>
        <v>79</v>
      </c>
      <c r="T16" s="17">
        <f t="shared" si="8"/>
        <v>34</v>
      </c>
      <c r="U16" s="17">
        <f t="shared" si="8"/>
        <v>5</v>
      </c>
      <c r="V16" s="17">
        <f t="shared" si="8"/>
        <v>34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4</v>
      </c>
      <c r="AA16" s="17">
        <f t="shared" si="8"/>
        <v>1</v>
      </c>
      <c r="AB16" s="17">
        <f t="shared" si="8"/>
        <v>0</v>
      </c>
      <c r="AC16" s="17">
        <f t="shared" si="8"/>
        <v>227</v>
      </c>
      <c r="AD16" s="17">
        <f t="shared" si="8"/>
        <v>0</v>
      </c>
      <c r="AE16" s="31">
        <f t="shared" si="8"/>
        <v>160</v>
      </c>
      <c r="AF16" s="31">
        <f t="shared" si="8"/>
        <v>387</v>
      </c>
    </row>
    <row r="17" spans="2:32" ht="23.1" customHeight="1" x14ac:dyDescent="0.25">
      <c r="B17" s="23" t="s">
        <v>44</v>
      </c>
      <c r="C17" s="50">
        <v>45</v>
      </c>
      <c r="D17" s="50">
        <v>34</v>
      </c>
      <c r="E17" s="50">
        <v>0</v>
      </c>
      <c r="F17" s="50">
        <v>14</v>
      </c>
      <c r="G17" s="50">
        <v>0</v>
      </c>
      <c r="H17" s="50">
        <v>0</v>
      </c>
      <c r="I17" s="50">
        <v>3</v>
      </c>
      <c r="J17" s="50">
        <v>2</v>
      </c>
      <c r="K17" s="50">
        <v>0</v>
      </c>
      <c r="L17" s="50">
        <v>0</v>
      </c>
      <c r="M17" s="50">
        <v>82</v>
      </c>
      <c r="N17" s="50">
        <v>0</v>
      </c>
      <c r="O17" s="15">
        <f t="shared" si="0"/>
        <v>98</v>
      </c>
      <c r="P17" s="15">
        <f t="shared" si="1"/>
        <v>180</v>
      </c>
      <c r="R17" s="1" t="s">
        <v>13</v>
      </c>
      <c r="S17" s="17">
        <f t="shared" ref="S17:AF17" si="9">SUM(C38:C41)</f>
        <v>104</v>
      </c>
      <c r="T17" s="17">
        <f t="shared" si="9"/>
        <v>41</v>
      </c>
      <c r="U17" s="17">
        <f t="shared" si="9"/>
        <v>6</v>
      </c>
      <c r="V17" s="17">
        <f t="shared" si="9"/>
        <v>36</v>
      </c>
      <c r="W17" s="17">
        <f t="shared" si="9"/>
        <v>0</v>
      </c>
      <c r="X17" s="17">
        <f t="shared" si="9"/>
        <v>0</v>
      </c>
      <c r="Y17" s="17">
        <f t="shared" si="9"/>
        <v>7</v>
      </c>
      <c r="Z17" s="17">
        <f t="shared" si="9"/>
        <v>0</v>
      </c>
      <c r="AA17" s="17">
        <f t="shared" si="9"/>
        <v>2</v>
      </c>
      <c r="AB17" s="17">
        <f t="shared" si="9"/>
        <v>0</v>
      </c>
      <c r="AC17" s="17">
        <f t="shared" si="9"/>
        <v>284</v>
      </c>
      <c r="AD17" s="17">
        <f t="shared" si="9"/>
        <v>0</v>
      </c>
      <c r="AE17" s="31">
        <f t="shared" si="9"/>
        <v>196</v>
      </c>
      <c r="AF17" s="31">
        <f t="shared" si="9"/>
        <v>480</v>
      </c>
    </row>
    <row r="18" spans="2:32" ht="23.1" customHeight="1" x14ac:dyDescent="0.25">
      <c r="B18" s="23" t="s">
        <v>45</v>
      </c>
      <c r="C18" s="50">
        <v>53</v>
      </c>
      <c r="D18" s="50">
        <v>31</v>
      </c>
      <c r="E18" s="50">
        <v>0</v>
      </c>
      <c r="F18" s="50">
        <v>2</v>
      </c>
      <c r="G18" s="50">
        <v>0</v>
      </c>
      <c r="H18" s="50">
        <v>0</v>
      </c>
      <c r="I18" s="50">
        <v>5</v>
      </c>
      <c r="J18" s="50">
        <v>0</v>
      </c>
      <c r="K18" s="50">
        <v>0</v>
      </c>
      <c r="L18" s="50">
        <v>0</v>
      </c>
      <c r="M18" s="50">
        <v>70</v>
      </c>
      <c r="N18" s="50">
        <v>0</v>
      </c>
      <c r="O18" s="15">
        <f t="shared" si="0"/>
        <v>91</v>
      </c>
      <c r="P18" s="15">
        <f t="shared" si="1"/>
        <v>161</v>
      </c>
      <c r="R18" s="1" t="s">
        <v>14</v>
      </c>
      <c r="S18" s="17">
        <f t="shared" ref="S18:AF18" si="10">SUM(C42:C45)</f>
        <v>80</v>
      </c>
      <c r="T18" s="17">
        <f t="shared" si="10"/>
        <v>45</v>
      </c>
      <c r="U18" s="17">
        <f t="shared" si="10"/>
        <v>8</v>
      </c>
      <c r="V18" s="17">
        <f t="shared" si="10"/>
        <v>27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2</v>
      </c>
      <c r="AA18" s="17">
        <f t="shared" si="10"/>
        <v>2</v>
      </c>
      <c r="AB18" s="17">
        <f t="shared" si="10"/>
        <v>0</v>
      </c>
      <c r="AC18" s="17">
        <f t="shared" si="10"/>
        <v>215</v>
      </c>
      <c r="AD18" s="17">
        <f t="shared" si="10"/>
        <v>0</v>
      </c>
      <c r="AE18" s="31">
        <f t="shared" si="10"/>
        <v>169</v>
      </c>
      <c r="AF18" s="31">
        <f t="shared" si="10"/>
        <v>384</v>
      </c>
    </row>
    <row r="19" spans="2:32" ht="23.1" customHeight="1" x14ac:dyDescent="0.25">
      <c r="B19" s="23" t="s">
        <v>46</v>
      </c>
      <c r="C19" s="50">
        <v>54</v>
      </c>
      <c r="D19" s="50">
        <v>27</v>
      </c>
      <c r="E19" s="50">
        <v>0</v>
      </c>
      <c r="F19" s="50">
        <v>12</v>
      </c>
      <c r="G19" s="50">
        <v>0</v>
      </c>
      <c r="H19" s="50">
        <v>1</v>
      </c>
      <c r="I19" s="50">
        <v>2</v>
      </c>
      <c r="J19" s="50">
        <v>0</v>
      </c>
      <c r="K19" s="50">
        <v>0</v>
      </c>
      <c r="L19" s="50">
        <v>0</v>
      </c>
      <c r="M19" s="50">
        <v>54</v>
      </c>
      <c r="N19" s="50">
        <v>0</v>
      </c>
      <c r="O19" s="15">
        <f t="shared" si="0"/>
        <v>96</v>
      </c>
      <c r="P19" s="15">
        <f t="shared" si="1"/>
        <v>150</v>
      </c>
      <c r="R19" s="1" t="s">
        <v>15</v>
      </c>
      <c r="S19" s="17">
        <f t="shared" ref="S19:AF19" si="11">SUM(C46:C49)</f>
        <v>115</v>
      </c>
      <c r="T19" s="17">
        <f t="shared" si="11"/>
        <v>57</v>
      </c>
      <c r="U19" s="17">
        <f t="shared" si="11"/>
        <v>11</v>
      </c>
      <c r="V19" s="17">
        <f t="shared" si="11"/>
        <v>42</v>
      </c>
      <c r="W19" s="17">
        <f t="shared" si="11"/>
        <v>1</v>
      </c>
      <c r="X19" s="17">
        <f t="shared" si="11"/>
        <v>0</v>
      </c>
      <c r="Y19" s="17">
        <f t="shared" si="11"/>
        <v>11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274</v>
      </c>
      <c r="AD19" s="17">
        <f t="shared" si="11"/>
        <v>0</v>
      </c>
      <c r="AE19" s="31">
        <f t="shared" si="11"/>
        <v>238</v>
      </c>
      <c r="AF19" s="31">
        <f t="shared" si="11"/>
        <v>512</v>
      </c>
    </row>
    <row r="20" spans="2:32" ht="23.1" customHeight="1" x14ac:dyDescent="0.25">
      <c r="B20" s="23" t="s">
        <v>47</v>
      </c>
      <c r="C20" s="50">
        <v>33</v>
      </c>
      <c r="D20" s="50">
        <v>16</v>
      </c>
      <c r="E20" s="50">
        <v>0</v>
      </c>
      <c r="F20" s="50">
        <v>10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43</v>
      </c>
      <c r="N20" s="50">
        <v>0</v>
      </c>
      <c r="O20" s="15">
        <f t="shared" si="0"/>
        <v>61</v>
      </c>
      <c r="P20" s="15">
        <f t="shared" si="1"/>
        <v>104</v>
      </c>
      <c r="R20" s="1" t="s">
        <v>16</v>
      </c>
      <c r="S20" s="17">
        <f t="shared" ref="S20:AF20" si="12">SUM(C50:C53)</f>
        <v>114</v>
      </c>
      <c r="T20" s="17">
        <f t="shared" si="12"/>
        <v>42</v>
      </c>
      <c r="U20" s="17">
        <f t="shared" si="12"/>
        <v>14</v>
      </c>
      <c r="V20" s="17">
        <f t="shared" si="12"/>
        <v>33</v>
      </c>
      <c r="W20" s="17">
        <f t="shared" si="12"/>
        <v>0</v>
      </c>
      <c r="X20" s="17">
        <f t="shared" si="12"/>
        <v>0</v>
      </c>
      <c r="Y20" s="17">
        <f t="shared" si="12"/>
        <v>7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309</v>
      </c>
      <c r="AD20" s="17">
        <f t="shared" si="12"/>
        <v>0</v>
      </c>
      <c r="AE20" s="31">
        <f t="shared" si="12"/>
        <v>211</v>
      </c>
      <c r="AF20" s="31">
        <f t="shared" si="12"/>
        <v>520</v>
      </c>
    </row>
    <row r="21" spans="2:32" ht="23.1" customHeight="1" x14ac:dyDescent="0.25">
      <c r="B21" s="23" t="s">
        <v>48</v>
      </c>
      <c r="C21" s="50">
        <v>43</v>
      </c>
      <c r="D21" s="50">
        <v>23</v>
      </c>
      <c r="E21" s="50">
        <v>0</v>
      </c>
      <c r="F21" s="50">
        <v>13</v>
      </c>
      <c r="G21" s="50">
        <v>0</v>
      </c>
      <c r="H21" s="50">
        <v>0</v>
      </c>
      <c r="I21" s="50">
        <v>4</v>
      </c>
      <c r="J21" s="50">
        <v>1</v>
      </c>
      <c r="K21" s="50">
        <v>0</v>
      </c>
      <c r="L21" s="50">
        <v>0</v>
      </c>
      <c r="M21" s="50">
        <v>65</v>
      </c>
      <c r="N21" s="50">
        <v>0</v>
      </c>
      <c r="O21" s="15">
        <f t="shared" si="0"/>
        <v>84</v>
      </c>
      <c r="P21" s="15">
        <f t="shared" si="1"/>
        <v>149</v>
      </c>
      <c r="R21" s="36" t="s">
        <v>20</v>
      </c>
      <c r="S21" s="34">
        <f t="shared" ref="S21:AF21" si="13">SUM(C54:C57)</f>
        <v>87</v>
      </c>
      <c r="T21" s="17">
        <f t="shared" si="13"/>
        <v>34</v>
      </c>
      <c r="U21" s="17">
        <f t="shared" si="13"/>
        <v>12</v>
      </c>
      <c r="V21" s="17">
        <f t="shared" si="13"/>
        <v>31</v>
      </c>
      <c r="W21" s="17">
        <f t="shared" si="13"/>
        <v>3</v>
      </c>
      <c r="X21" s="17">
        <f t="shared" si="13"/>
        <v>0</v>
      </c>
      <c r="Y21" s="17">
        <f t="shared" si="13"/>
        <v>12</v>
      </c>
      <c r="Z21" s="17">
        <f t="shared" si="13"/>
        <v>7</v>
      </c>
      <c r="AA21" s="17">
        <f t="shared" si="13"/>
        <v>0</v>
      </c>
      <c r="AB21" s="17">
        <f t="shared" si="13"/>
        <v>0</v>
      </c>
      <c r="AC21" s="17">
        <f t="shared" si="13"/>
        <v>338</v>
      </c>
      <c r="AD21" s="17">
        <f t="shared" si="13"/>
        <v>0</v>
      </c>
      <c r="AE21" s="31">
        <f t="shared" si="13"/>
        <v>186</v>
      </c>
      <c r="AF21" s="31">
        <f t="shared" si="13"/>
        <v>524</v>
      </c>
    </row>
    <row r="22" spans="2:32" ht="23.1" customHeight="1" x14ac:dyDescent="0.25">
      <c r="B22" s="23" t="s">
        <v>49</v>
      </c>
      <c r="C22" s="50">
        <v>35</v>
      </c>
      <c r="D22" s="50">
        <v>14</v>
      </c>
      <c r="E22" s="50">
        <v>1</v>
      </c>
      <c r="F22" s="50">
        <v>9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61</v>
      </c>
      <c r="N22" s="50">
        <v>0</v>
      </c>
      <c r="O22" s="15">
        <f t="shared" si="0"/>
        <v>61</v>
      </c>
      <c r="P22" s="15">
        <f t="shared" si="1"/>
        <v>122</v>
      </c>
      <c r="R22" s="38" t="s">
        <v>90</v>
      </c>
      <c r="S22" s="39">
        <f>MAX(S10:S12)</f>
        <v>238</v>
      </c>
      <c r="T22" s="39">
        <f t="shared" ref="T22:AF22" si="14">MAX(T10:T12)</f>
        <v>144</v>
      </c>
      <c r="U22" s="39">
        <f t="shared" si="14"/>
        <v>0</v>
      </c>
      <c r="V22" s="39">
        <f t="shared" si="14"/>
        <v>53</v>
      </c>
      <c r="W22" s="39">
        <f t="shared" si="14"/>
        <v>1</v>
      </c>
      <c r="X22" s="39">
        <f t="shared" si="14"/>
        <v>1</v>
      </c>
      <c r="Y22" s="39">
        <f t="shared" si="14"/>
        <v>13</v>
      </c>
      <c r="Z22" s="39">
        <f t="shared" si="14"/>
        <v>2</v>
      </c>
      <c r="AA22" s="39">
        <f t="shared" si="14"/>
        <v>0</v>
      </c>
      <c r="AB22" s="39">
        <f t="shared" si="14"/>
        <v>0</v>
      </c>
      <c r="AC22" s="39">
        <f t="shared" si="14"/>
        <v>319</v>
      </c>
      <c r="AD22" s="39">
        <f t="shared" si="14"/>
        <v>0</v>
      </c>
      <c r="AE22" s="40">
        <f t="shared" si="14"/>
        <v>449</v>
      </c>
      <c r="AF22" s="40">
        <f t="shared" si="14"/>
        <v>768</v>
      </c>
    </row>
    <row r="23" spans="2:32" ht="23.1" customHeight="1" x14ac:dyDescent="0.25">
      <c r="B23" s="23" t="s">
        <v>50</v>
      </c>
      <c r="C23" s="50">
        <v>39</v>
      </c>
      <c r="D23" s="50">
        <v>22</v>
      </c>
      <c r="E23" s="50">
        <v>0</v>
      </c>
      <c r="F23" s="50">
        <v>10</v>
      </c>
      <c r="G23" s="50">
        <v>1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43</v>
      </c>
      <c r="N23" s="50">
        <v>0</v>
      </c>
      <c r="O23" s="15">
        <f t="shared" si="0"/>
        <v>73</v>
      </c>
      <c r="P23" s="15">
        <f t="shared" si="1"/>
        <v>116</v>
      </c>
      <c r="R23" s="38" t="s">
        <v>91</v>
      </c>
      <c r="S23" s="39">
        <f>MAX(S13:S18)</f>
        <v>146</v>
      </c>
      <c r="T23" s="39">
        <f t="shared" ref="T23:AF23" si="15">MAX(T13:T18)</f>
        <v>72</v>
      </c>
      <c r="U23" s="39">
        <f t="shared" si="15"/>
        <v>12</v>
      </c>
      <c r="V23" s="39">
        <f t="shared" si="15"/>
        <v>41</v>
      </c>
      <c r="W23" s="39">
        <f t="shared" si="15"/>
        <v>2</v>
      </c>
      <c r="X23" s="39">
        <f t="shared" si="15"/>
        <v>0</v>
      </c>
      <c r="Y23" s="39">
        <f t="shared" si="15"/>
        <v>11</v>
      </c>
      <c r="Z23" s="39">
        <f t="shared" si="15"/>
        <v>4</v>
      </c>
      <c r="AA23" s="39">
        <f t="shared" si="15"/>
        <v>2</v>
      </c>
      <c r="AB23" s="39">
        <f t="shared" si="15"/>
        <v>0</v>
      </c>
      <c r="AC23" s="39">
        <f t="shared" si="15"/>
        <v>284</v>
      </c>
      <c r="AD23" s="39">
        <f t="shared" si="15"/>
        <v>0</v>
      </c>
      <c r="AE23" s="40">
        <f t="shared" si="15"/>
        <v>271</v>
      </c>
      <c r="AF23" s="40">
        <f t="shared" si="15"/>
        <v>496</v>
      </c>
    </row>
    <row r="24" spans="2:32" ht="23.1" customHeight="1" x14ac:dyDescent="0.25">
      <c r="B24" s="23" t="s">
        <v>51</v>
      </c>
      <c r="C24" s="50">
        <v>33</v>
      </c>
      <c r="D24" s="50">
        <v>19</v>
      </c>
      <c r="E24" s="50">
        <v>0</v>
      </c>
      <c r="F24" s="50">
        <v>8</v>
      </c>
      <c r="G24" s="50">
        <v>0</v>
      </c>
      <c r="H24" s="50">
        <v>0</v>
      </c>
      <c r="I24" s="50">
        <v>4</v>
      </c>
      <c r="J24" s="50">
        <v>0</v>
      </c>
      <c r="K24" s="50">
        <v>0</v>
      </c>
      <c r="L24" s="50">
        <v>0</v>
      </c>
      <c r="M24" s="50">
        <v>68</v>
      </c>
      <c r="N24" s="50">
        <v>0</v>
      </c>
      <c r="O24" s="15">
        <f t="shared" si="0"/>
        <v>64</v>
      </c>
      <c r="P24" s="15">
        <f t="shared" si="1"/>
        <v>132</v>
      </c>
      <c r="R24" s="38" t="s">
        <v>92</v>
      </c>
      <c r="S24" s="39">
        <f>MAX(S19:S21)</f>
        <v>115</v>
      </c>
      <c r="T24" s="39">
        <f t="shared" ref="T24:AF24" si="16">MAX(T19:T21)</f>
        <v>57</v>
      </c>
      <c r="U24" s="39">
        <f t="shared" si="16"/>
        <v>14</v>
      </c>
      <c r="V24" s="39">
        <f t="shared" si="16"/>
        <v>42</v>
      </c>
      <c r="W24" s="39">
        <f t="shared" si="16"/>
        <v>3</v>
      </c>
      <c r="X24" s="39">
        <f t="shared" si="16"/>
        <v>0</v>
      </c>
      <c r="Y24" s="39">
        <f t="shared" si="16"/>
        <v>12</v>
      </c>
      <c r="Z24" s="39">
        <f t="shared" si="16"/>
        <v>7</v>
      </c>
      <c r="AA24" s="39">
        <f t="shared" si="16"/>
        <v>0</v>
      </c>
      <c r="AB24" s="39">
        <f t="shared" si="16"/>
        <v>0</v>
      </c>
      <c r="AC24" s="39">
        <f t="shared" si="16"/>
        <v>338</v>
      </c>
      <c r="AD24" s="39">
        <f t="shared" si="16"/>
        <v>0</v>
      </c>
      <c r="AE24" s="40">
        <f t="shared" si="16"/>
        <v>238</v>
      </c>
      <c r="AF24" s="40">
        <f t="shared" si="16"/>
        <v>524</v>
      </c>
    </row>
    <row r="25" spans="2:32" ht="23.1" customHeight="1" x14ac:dyDescent="0.25">
      <c r="B25" s="23" t="s">
        <v>52</v>
      </c>
      <c r="C25" s="50">
        <v>39</v>
      </c>
      <c r="D25" s="50">
        <v>17</v>
      </c>
      <c r="E25" s="50">
        <v>1</v>
      </c>
      <c r="F25" s="50">
        <v>13</v>
      </c>
      <c r="G25" s="50">
        <v>1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53</v>
      </c>
      <c r="N25" s="50">
        <v>0</v>
      </c>
      <c r="O25" s="15">
        <f t="shared" si="0"/>
        <v>73</v>
      </c>
      <c r="P25" s="15">
        <f t="shared" si="1"/>
        <v>126</v>
      </c>
      <c r="R25" s="37" t="s">
        <v>85</v>
      </c>
      <c r="S25" s="35">
        <f t="shared" ref="S25:AF25" si="17">SUM(S10:S12)</f>
        <v>609</v>
      </c>
      <c r="T25" s="16">
        <f t="shared" si="17"/>
        <v>330</v>
      </c>
      <c r="U25" s="16">
        <f t="shared" si="17"/>
        <v>0</v>
      </c>
      <c r="V25" s="16">
        <f t="shared" si="17"/>
        <v>119</v>
      </c>
      <c r="W25" s="16">
        <f t="shared" si="17"/>
        <v>1</v>
      </c>
      <c r="X25" s="16">
        <f t="shared" si="17"/>
        <v>1</v>
      </c>
      <c r="Y25" s="16">
        <f t="shared" si="17"/>
        <v>34</v>
      </c>
      <c r="Z25" s="16">
        <f t="shared" si="17"/>
        <v>3</v>
      </c>
      <c r="AA25" s="16">
        <f t="shared" si="17"/>
        <v>0</v>
      </c>
      <c r="AB25" s="16">
        <f t="shared" si="17"/>
        <v>0</v>
      </c>
      <c r="AC25" s="16">
        <f t="shared" si="17"/>
        <v>700</v>
      </c>
      <c r="AD25" s="16">
        <f t="shared" si="17"/>
        <v>0</v>
      </c>
      <c r="AE25" s="32">
        <f t="shared" si="17"/>
        <v>1097</v>
      </c>
      <c r="AF25" s="32">
        <f t="shared" si="17"/>
        <v>1797</v>
      </c>
    </row>
    <row r="26" spans="2:32" ht="23.1" customHeight="1" x14ac:dyDescent="0.25">
      <c r="B26" s="23" t="s">
        <v>53</v>
      </c>
      <c r="C26" s="50">
        <v>31</v>
      </c>
      <c r="D26" s="50">
        <v>21</v>
      </c>
      <c r="E26" s="50">
        <v>3</v>
      </c>
      <c r="F26" s="50">
        <v>15</v>
      </c>
      <c r="G26" s="50">
        <v>0</v>
      </c>
      <c r="H26" s="50">
        <v>0</v>
      </c>
      <c r="I26" s="50">
        <v>0</v>
      </c>
      <c r="J26" s="50">
        <v>1</v>
      </c>
      <c r="K26" s="50">
        <v>1</v>
      </c>
      <c r="L26" s="50">
        <v>0</v>
      </c>
      <c r="M26" s="50">
        <v>43</v>
      </c>
      <c r="N26" s="50">
        <v>0</v>
      </c>
      <c r="O26" s="15">
        <f t="shared" si="0"/>
        <v>72</v>
      </c>
      <c r="P26" s="15">
        <f t="shared" si="1"/>
        <v>115</v>
      </c>
      <c r="R26" s="28" t="s">
        <v>86</v>
      </c>
      <c r="S26" s="16">
        <f t="shared" ref="S26:AF26" si="18">SUM(S13:S18)</f>
        <v>620</v>
      </c>
      <c r="T26" s="16">
        <f t="shared" si="18"/>
        <v>313</v>
      </c>
      <c r="U26" s="16">
        <f t="shared" si="18"/>
        <v>38</v>
      </c>
      <c r="V26" s="16">
        <f t="shared" si="18"/>
        <v>214</v>
      </c>
      <c r="W26" s="16">
        <f t="shared" si="18"/>
        <v>2</v>
      </c>
      <c r="X26" s="16">
        <f t="shared" si="18"/>
        <v>0</v>
      </c>
      <c r="Y26" s="16">
        <f t="shared" si="18"/>
        <v>40</v>
      </c>
      <c r="Z26" s="16">
        <f t="shared" si="18"/>
        <v>8</v>
      </c>
      <c r="AA26" s="16">
        <f t="shared" si="18"/>
        <v>7</v>
      </c>
      <c r="AB26" s="16">
        <f t="shared" si="18"/>
        <v>0</v>
      </c>
      <c r="AC26" s="16">
        <f t="shared" si="18"/>
        <v>1384</v>
      </c>
      <c r="AD26" s="16">
        <f t="shared" si="18"/>
        <v>0</v>
      </c>
      <c r="AE26" s="32">
        <f t="shared" si="18"/>
        <v>1242</v>
      </c>
      <c r="AF26" s="32">
        <f t="shared" si="18"/>
        <v>2626</v>
      </c>
    </row>
    <row r="27" spans="2:32" ht="23.1" customHeight="1" x14ac:dyDescent="0.25">
      <c r="B27" s="23" t="s">
        <v>54</v>
      </c>
      <c r="C27" s="50">
        <v>29</v>
      </c>
      <c r="D27" s="50">
        <v>18</v>
      </c>
      <c r="E27" s="50">
        <v>1</v>
      </c>
      <c r="F27" s="50">
        <v>9</v>
      </c>
      <c r="G27" s="50">
        <v>0</v>
      </c>
      <c r="H27" s="50">
        <v>0</v>
      </c>
      <c r="I27" s="50">
        <v>3</v>
      </c>
      <c r="J27" s="50">
        <v>0</v>
      </c>
      <c r="K27" s="50">
        <v>0</v>
      </c>
      <c r="L27" s="50">
        <v>0</v>
      </c>
      <c r="M27" s="50">
        <v>53</v>
      </c>
      <c r="N27" s="50">
        <v>0</v>
      </c>
      <c r="O27" s="15">
        <f t="shared" si="0"/>
        <v>60</v>
      </c>
      <c r="P27" s="15">
        <f t="shared" si="1"/>
        <v>113</v>
      </c>
      <c r="R27" s="29" t="s">
        <v>87</v>
      </c>
      <c r="S27" s="16">
        <f t="shared" ref="S27:AF27" si="19">SUM(S19:S21)</f>
        <v>316</v>
      </c>
      <c r="T27" s="16">
        <f t="shared" si="19"/>
        <v>133</v>
      </c>
      <c r="U27" s="16">
        <f t="shared" si="19"/>
        <v>37</v>
      </c>
      <c r="V27" s="16">
        <f t="shared" si="19"/>
        <v>106</v>
      </c>
      <c r="W27" s="16">
        <f t="shared" si="19"/>
        <v>4</v>
      </c>
      <c r="X27" s="16">
        <f t="shared" si="19"/>
        <v>0</v>
      </c>
      <c r="Y27" s="16">
        <f t="shared" si="19"/>
        <v>30</v>
      </c>
      <c r="Z27" s="16">
        <f t="shared" si="19"/>
        <v>9</v>
      </c>
      <c r="AA27" s="16">
        <f t="shared" si="19"/>
        <v>0</v>
      </c>
      <c r="AB27" s="16">
        <f t="shared" si="19"/>
        <v>0</v>
      </c>
      <c r="AC27" s="16">
        <f t="shared" si="19"/>
        <v>921</v>
      </c>
      <c r="AD27" s="16">
        <f t="shared" si="19"/>
        <v>0</v>
      </c>
      <c r="AE27" s="32">
        <f t="shared" si="19"/>
        <v>635</v>
      </c>
      <c r="AF27" s="32">
        <f t="shared" si="19"/>
        <v>1556</v>
      </c>
    </row>
    <row r="28" spans="2:32" ht="23.1" customHeight="1" x14ac:dyDescent="0.25">
      <c r="B28" s="23" t="s">
        <v>55</v>
      </c>
      <c r="C28" s="50">
        <v>26</v>
      </c>
      <c r="D28" s="50">
        <v>19</v>
      </c>
      <c r="E28" s="50">
        <v>1</v>
      </c>
      <c r="F28" s="50">
        <v>9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63</v>
      </c>
      <c r="N28" s="50">
        <v>0</v>
      </c>
      <c r="O28" s="15">
        <f t="shared" si="0"/>
        <v>57</v>
      </c>
      <c r="P28" s="15">
        <f t="shared" si="1"/>
        <v>120</v>
      </c>
      <c r="R28" s="5" t="s">
        <v>17</v>
      </c>
      <c r="S28" s="16">
        <f t="shared" ref="S28:AF28" si="20">SUM(S10:S21)</f>
        <v>1545</v>
      </c>
      <c r="T28" s="16">
        <f t="shared" si="20"/>
        <v>776</v>
      </c>
      <c r="U28" s="16">
        <f t="shared" si="20"/>
        <v>75</v>
      </c>
      <c r="V28" s="16">
        <f t="shared" si="20"/>
        <v>439</v>
      </c>
      <c r="W28" s="16">
        <f t="shared" si="20"/>
        <v>7</v>
      </c>
      <c r="X28" s="16">
        <f t="shared" si="20"/>
        <v>1</v>
      </c>
      <c r="Y28" s="16">
        <f t="shared" si="20"/>
        <v>104</v>
      </c>
      <c r="Z28" s="16">
        <f t="shared" si="20"/>
        <v>20</v>
      </c>
      <c r="AA28" s="16">
        <f t="shared" si="20"/>
        <v>7</v>
      </c>
      <c r="AB28" s="16">
        <f t="shared" si="20"/>
        <v>0</v>
      </c>
      <c r="AC28" s="16">
        <f t="shared" si="20"/>
        <v>3005</v>
      </c>
      <c r="AD28" s="16">
        <f t="shared" si="20"/>
        <v>0</v>
      </c>
      <c r="AE28" s="32">
        <f t="shared" si="20"/>
        <v>2974</v>
      </c>
      <c r="AF28" s="32">
        <f t="shared" si="20"/>
        <v>5979</v>
      </c>
    </row>
    <row r="29" spans="2:32" ht="23.1" customHeight="1" x14ac:dyDescent="0.25">
      <c r="B29" s="23" t="s">
        <v>56</v>
      </c>
      <c r="C29" s="50">
        <v>21</v>
      </c>
      <c r="D29" s="50">
        <v>10</v>
      </c>
      <c r="E29" s="50">
        <v>0</v>
      </c>
      <c r="F29" s="50">
        <v>8</v>
      </c>
      <c r="G29" s="50">
        <v>0</v>
      </c>
      <c r="H29" s="50">
        <v>0</v>
      </c>
      <c r="I29" s="50">
        <v>1</v>
      </c>
      <c r="J29" s="50">
        <v>0</v>
      </c>
      <c r="K29" s="50">
        <v>1</v>
      </c>
      <c r="L29" s="50">
        <v>0</v>
      </c>
      <c r="M29" s="50">
        <v>72</v>
      </c>
      <c r="N29" s="50">
        <v>0</v>
      </c>
      <c r="O29" s="15">
        <f t="shared" si="0"/>
        <v>41</v>
      </c>
      <c r="P29" s="15">
        <f t="shared" si="1"/>
        <v>113</v>
      </c>
      <c r="R29"/>
      <c r="S29" s="20"/>
      <c r="T29" s="19"/>
    </row>
    <row r="30" spans="2:32" ht="23.1" customHeight="1" x14ac:dyDescent="0.25">
      <c r="B30" s="23" t="s">
        <v>57</v>
      </c>
      <c r="C30" s="50">
        <v>11</v>
      </c>
      <c r="D30" s="50">
        <v>14</v>
      </c>
      <c r="E30" s="50">
        <v>7</v>
      </c>
      <c r="F30" s="50">
        <v>9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53</v>
      </c>
      <c r="N30" s="50">
        <v>0</v>
      </c>
      <c r="O30" s="15">
        <f t="shared" si="0"/>
        <v>42</v>
      </c>
      <c r="P30" s="15">
        <f t="shared" si="1"/>
        <v>95</v>
      </c>
    </row>
    <row r="31" spans="2:32" ht="23.1" customHeight="1" x14ac:dyDescent="0.25">
      <c r="B31" s="24" t="s">
        <v>58</v>
      </c>
      <c r="C31" s="50">
        <v>41</v>
      </c>
      <c r="D31" s="50">
        <v>16</v>
      </c>
      <c r="E31" s="50">
        <v>4</v>
      </c>
      <c r="F31" s="50">
        <v>7</v>
      </c>
      <c r="G31" s="50">
        <v>0</v>
      </c>
      <c r="H31" s="50">
        <v>0</v>
      </c>
      <c r="I31" s="50">
        <v>5</v>
      </c>
      <c r="J31" s="50">
        <v>0</v>
      </c>
      <c r="K31" s="50">
        <v>0</v>
      </c>
      <c r="L31" s="50">
        <v>0</v>
      </c>
      <c r="M31" s="50">
        <v>48</v>
      </c>
      <c r="N31" s="50">
        <v>0</v>
      </c>
      <c r="O31" s="15">
        <f t="shared" si="0"/>
        <v>73</v>
      </c>
      <c r="P31" s="15">
        <f t="shared" si="1"/>
        <v>121</v>
      </c>
    </row>
    <row r="32" spans="2:32" ht="23.1" customHeight="1" x14ac:dyDescent="0.25">
      <c r="B32" s="24" t="s">
        <v>59</v>
      </c>
      <c r="C32" s="50">
        <v>27</v>
      </c>
      <c r="D32" s="50">
        <v>10</v>
      </c>
      <c r="E32" s="50">
        <v>1</v>
      </c>
      <c r="F32" s="50">
        <v>13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47</v>
      </c>
      <c r="N32" s="50">
        <v>0</v>
      </c>
      <c r="O32" s="15">
        <f t="shared" si="0"/>
        <v>53</v>
      </c>
      <c r="P32" s="15">
        <f t="shared" si="1"/>
        <v>100</v>
      </c>
    </row>
    <row r="33" spans="2:20" ht="23.1" customHeight="1" x14ac:dyDescent="0.25">
      <c r="B33" s="23" t="s">
        <v>60</v>
      </c>
      <c r="C33" s="50">
        <v>25</v>
      </c>
      <c r="D33" s="50">
        <v>13</v>
      </c>
      <c r="E33" s="50">
        <v>0</v>
      </c>
      <c r="F33" s="50">
        <v>7</v>
      </c>
      <c r="G33" s="50">
        <v>0</v>
      </c>
      <c r="H33" s="50">
        <v>0</v>
      </c>
      <c r="I33" s="50">
        <v>3</v>
      </c>
      <c r="J33" s="50">
        <v>0</v>
      </c>
      <c r="K33" s="50">
        <v>0</v>
      </c>
      <c r="L33" s="50">
        <v>0</v>
      </c>
      <c r="M33" s="50">
        <v>54</v>
      </c>
      <c r="N33" s="50">
        <v>0</v>
      </c>
      <c r="O33" s="15">
        <f t="shared" si="0"/>
        <v>48</v>
      </c>
      <c r="P33" s="15">
        <f t="shared" si="1"/>
        <v>102</v>
      </c>
    </row>
    <row r="34" spans="2:20" ht="23.1" customHeight="1" x14ac:dyDescent="0.25">
      <c r="B34" s="24" t="s">
        <v>61</v>
      </c>
      <c r="C34" s="50">
        <v>23</v>
      </c>
      <c r="D34" s="50">
        <v>6</v>
      </c>
      <c r="E34" s="50">
        <v>1</v>
      </c>
      <c r="F34" s="50">
        <v>3</v>
      </c>
      <c r="G34" s="50">
        <v>0</v>
      </c>
      <c r="H34" s="50">
        <v>0</v>
      </c>
      <c r="I34" s="50">
        <v>0</v>
      </c>
      <c r="J34" s="50">
        <v>3</v>
      </c>
      <c r="K34" s="50">
        <v>0</v>
      </c>
      <c r="L34" s="50">
        <v>0</v>
      </c>
      <c r="M34" s="50">
        <v>60</v>
      </c>
      <c r="N34" s="50">
        <v>0</v>
      </c>
      <c r="O34" s="15">
        <f t="shared" si="0"/>
        <v>36</v>
      </c>
      <c r="P34" s="15">
        <f t="shared" si="1"/>
        <v>96</v>
      </c>
    </row>
    <row r="35" spans="2:20" ht="23.1" customHeight="1" x14ac:dyDescent="0.25">
      <c r="B35" s="24" t="s">
        <v>62</v>
      </c>
      <c r="C35" s="50">
        <v>14</v>
      </c>
      <c r="D35" s="50">
        <v>11</v>
      </c>
      <c r="E35" s="50">
        <v>1</v>
      </c>
      <c r="F35" s="50">
        <v>11</v>
      </c>
      <c r="G35" s="50">
        <v>0</v>
      </c>
      <c r="H35" s="50">
        <v>0</v>
      </c>
      <c r="I35" s="50">
        <v>2</v>
      </c>
      <c r="J35" s="50">
        <v>1</v>
      </c>
      <c r="K35" s="50">
        <v>0</v>
      </c>
      <c r="L35" s="50">
        <v>0</v>
      </c>
      <c r="M35" s="50">
        <v>61</v>
      </c>
      <c r="N35" s="50">
        <v>0</v>
      </c>
      <c r="O35" s="15">
        <f t="shared" si="0"/>
        <v>40</v>
      </c>
      <c r="P35" s="15">
        <f t="shared" si="1"/>
        <v>101</v>
      </c>
    </row>
    <row r="36" spans="2:20" ht="23.1" customHeight="1" x14ac:dyDescent="0.25">
      <c r="B36" s="24" t="s">
        <v>63</v>
      </c>
      <c r="C36" s="50">
        <v>18</v>
      </c>
      <c r="D36" s="50">
        <v>11</v>
      </c>
      <c r="E36" s="50">
        <v>2</v>
      </c>
      <c r="F36" s="50">
        <v>8</v>
      </c>
      <c r="G36" s="50">
        <v>0</v>
      </c>
      <c r="H36" s="50">
        <v>0</v>
      </c>
      <c r="I36" s="50">
        <v>0</v>
      </c>
      <c r="J36" s="50">
        <v>0</v>
      </c>
      <c r="K36" s="50">
        <v>1</v>
      </c>
      <c r="L36" s="50">
        <v>0</v>
      </c>
      <c r="M36" s="50">
        <v>53</v>
      </c>
      <c r="N36" s="50">
        <v>0</v>
      </c>
      <c r="O36" s="15">
        <f t="shared" si="0"/>
        <v>40</v>
      </c>
      <c r="P36" s="15">
        <f t="shared" si="1"/>
        <v>93</v>
      </c>
    </row>
    <row r="37" spans="2:20" ht="23.1" customHeight="1" x14ac:dyDescent="0.25">
      <c r="B37" s="23" t="s">
        <v>64</v>
      </c>
      <c r="C37" s="50">
        <v>24</v>
      </c>
      <c r="D37" s="50">
        <v>6</v>
      </c>
      <c r="E37" s="50">
        <v>1</v>
      </c>
      <c r="F37" s="50">
        <v>12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53</v>
      </c>
      <c r="N37" s="50">
        <v>0</v>
      </c>
      <c r="O37" s="15">
        <f t="shared" si="0"/>
        <v>44</v>
      </c>
      <c r="P37" s="15">
        <f t="shared" si="1"/>
        <v>97</v>
      </c>
    </row>
    <row r="38" spans="2:20" ht="23.1" customHeight="1" x14ac:dyDescent="0.25">
      <c r="B38" s="24" t="s">
        <v>65</v>
      </c>
      <c r="C38" s="50">
        <v>21</v>
      </c>
      <c r="D38" s="50">
        <v>11</v>
      </c>
      <c r="E38" s="50">
        <v>0</v>
      </c>
      <c r="F38" s="50">
        <v>11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67</v>
      </c>
      <c r="N38" s="50">
        <v>0</v>
      </c>
      <c r="O38" s="15">
        <f t="shared" si="0"/>
        <v>44</v>
      </c>
      <c r="P38" s="15">
        <f t="shared" si="1"/>
        <v>111</v>
      </c>
    </row>
    <row r="39" spans="2:20" ht="23.1" customHeight="1" x14ac:dyDescent="0.25">
      <c r="B39" s="24" t="s">
        <v>66</v>
      </c>
      <c r="C39" s="50">
        <v>26</v>
      </c>
      <c r="D39" s="50">
        <v>16</v>
      </c>
      <c r="E39" s="50">
        <v>3</v>
      </c>
      <c r="F39" s="50">
        <v>9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69</v>
      </c>
      <c r="N39" s="50">
        <v>0</v>
      </c>
      <c r="O39" s="15">
        <f t="shared" si="0"/>
        <v>56</v>
      </c>
      <c r="P39" s="15">
        <f t="shared" si="1"/>
        <v>125</v>
      </c>
    </row>
    <row r="40" spans="2:20" ht="23.1" customHeight="1" x14ac:dyDescent="0.25">
      <c r="B40" s="24" t="s">
        <v>67</v>
      </c>
      <c r="C40" s="50">
        <v>27</v>
      </c>
      <c r="D40" s="50">
        <v>7</v>
      </c>
      <c r="E40" s="50">
        <v>1</v>
      </c>
      <c r="F40" s="50">
        <v>6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70</v>
      </c>
      <c r="N40" s="50">
        <v>0</v>
      </c>
      <c r="O40" s="15">
        <f t="shared" si="0"/>
        <v>41</v>
      </c>
      <c r="P40" s="15">
        <f t="shared" si="1"/>
        <v>111</v>
      </c>
    </row>
    <row r="41" spans="2:20" ht="23.1" customHeight="1" x14ac:dyDescent="0.25">
      <c r="B41" s="23" t="s">
        <v>68</v>
      </c>
      <c r="C41" s="50">
        <v>30</v>
      </c>
      <c r="D41" s="50">
        <v>7</v>
      </c>
      <c r="E41" s="50">
        <v>2</v>
      </c>
      <c r="F41" s="50">
        <v>10</v>
      </c>
      <c r="G41" s="50">
        <v>0</v>
      </c>
      <c r="H41" s="50">
        <v>0</v>
      </c>
      <c r="I41" s="50">
        <v>4</v>
      </c>
      <c r="J41" s="50">
        <v>0</v>
      </c>
      <c r="K41" s="50">
        <v>2</v>
      </c>
      <c r="L41" s="50">
        <v>0</v>
      </c>
      <c r="M41" s="50">
        <v>78</v>
      </c>
      <c r="N41" s="50">
        <v>0</v>
      </c>
      <c r="O41" s="15">
        <f t="shared" si="0"/>
        <v>55</v>
      </c>
      <c r="P41" s="15">
        <f t="shared" si="1"/>
        <v>133</v>
      </c>
    </row>
    <row r="42" spans="2:20" ht="23.1" customHeight="1" x14ac:dyDescent="0.25">
      <c r="B42" s="24" t="s">
        <v>69</v>
      </c>
      <c r="C42" s="50">
        <v>20</v>
      </c>
      <c r="D42" s="50">
        <v>12</v>
      </c>
      <c r="E42" s="50">
        <v>3</v>
      </c>
      <c r="F42" s="50">
        <v>7</v>
      </c>
      <c r="G42" s="50">
        <v>0</v>
      </c>
      <c r="H42" s="50">
        <v>0</v>
      </c>
      <c r="I42" s="50">
        <v>2</v>
      </c>
      <c r="J42" s="50">
        <v>2</v>
      </c>
      <c r="K42" s="50">
        <v>0</v>
      </c>
      <c r="L42" s="50">
        <v>0</v>
      </c>
      <c r="M42" s="50">
        <v>72</v>
      </c>
      <c r="N42" s="50">
        <v>0</v>
      </c>
      <c r="O42" s="15">
        <f t="shared" si="0"/>
        <v>46</v>
      </c>
      <c r="P42" s="15">
        <f t="shared" si="1"/>
        <v>118</v>
      </c>
    </row>
    <row r="43" spans="2:20" ht="23.1" customHeight="1" x14ac:dyDescent="0.25">
      <c r="B43" s="23" t="s">
        <v>70</v>
      </c>
      <c r="C43" s="50">
        <v>19</v>
      </c>
      <c r="D43" s="50">
        <v>12</v>
      </c>
      <c r="E43" s="50">
        <v>2</v>
      </c>
      <c r="F43" s="50">
        <v>8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53</v>
      </c>
      <c r="N43" s="50">
        <v>0</v>
      </c>
      <c r="O43" s="15">
        <f t="shared" si="0"/>
        <v>43</v>
      </c>
      <c r="P43" s="15">
        <f t="shared" si="1"/>
        <v>96</v>
      </c>
    </row>
    <row r="44" spans="2:20" ht="23.1" customHeight="1" x14ac:dyDescent="0.25">
      <c r="B44" s="25" t="s">
        <v>71</v>
      </c>
      <c r="C44" s="50">
        <v>20</v>
      </c>
      <c r="D44" s="50">
        <v>10</v>
      </c>
      <c r="E44" s="50">
        <v>2</v>
      </c>
      <c r="F44" s="50">
        <v>7</v>
      </c>
      <c r="G44" s="50">
        <v>0</v>
      </c>
      <c r="H44" s="50">
        <v>0</v>
      </c>
      <c r="I44" s="50">
        <v>0</v>
      </c>
      <c r="J44" s="50">
        <v>0</v>
      </c>
      <c r="K44" s="50">
        <v>2</v>
      </c>
      <c r="L44" s="50">
        <v>0</v>
      </c>
      <c r="M44" s="50">
        <v>42</v>
      </c>
      <c r="N44" s="50">
        <v>0</v>
      </c>
      <c r="O44" s="15">
        <f t="shared" si="0"/>
        <v>41</v>
      </c>
      <c r="P44" s="15">
        <f t="shared" si="1"/>
        <v>83</v>
      </c>
    </row>
    <row r="45" spans="2:20" ht="23.1" customHeight="1" x14ac:dyDescent="0.25">
      <c r="B45" s="23" t="s">
        <v>72</v>
      </c>
      <c r="C45" s="50">
        <v>21</v>
      </c>
      <c r="D45" s="50">
        <v>11</v>
      </c>
      <c r="E45" s="50">
        <v>1</v>
      </c>
      <c r="F45" s="50">
        <v>5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48</v>
      </c>
      <c r="N45" s="50">
        <v>0</v>
      </c>
      <c r="O45" s="15">
        <f t="shared" si="0"/>
        <v>39</v>
      </c>
      <c r="P45" s="15">
        <f t="shared" si="1"/>
        <v>87</v>
      </c>
    </row>
    <row r="46" spans="2:20" ht="23.1" customHeight="1" x14ac:dyDescent="0.25">
      <c r="B46" s="24" t="s">
        <v>73</v>
      </c>
      <c r="C46" s="50">
        <v>30</v>
      </c>
      <c r="D46" s="50">
        <v>19</v>
      </c>
      <c r="E46" s="50">
        <v>2</v>
      </c>
      <c r="F46" s="50">
        <v>15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65</v>
      </c>
      <c r="N46" s="50">
        <v>0</v>
      </c>
      <c r="O46" s="15">
        <f t="shared" si="0"/>
        <v>68</v>
      </c>
      <c r="P46" s="15">
        <f t="shared" si="1"/>
        <v>133</v>
      </c>
      <c r="R46" s="8"/>
      <c r="T46"/>
    </row>
    <row r="47" spans="2:20" ht="23.1" customHeight="1" x14ac:dyDescent="0.25">
      <c r="B47" s="24" t="s">
        <v>74</v>
      </c>
      <c r="C47" s="50">
        <v>28</v>
      </c>
      <c r="D47" s="50">
        <v>9</v>
      </c>
      <c r="E47" s="50">
        <v>6</v>
      </c>
      <c r="F47" s="50">
        <v>11</v>
      </c>
      <c r="G47" s="50">
        <v>0</v>
      </c>
      <c r="H47" s="50">
        <v>0</v>
      </c>
      <c r="I47" s="50">
        <v>4</v>
      </c>
      <c r="J47" s="50">
        <v>1</v>
      </c>
      <c r="K47" s="50">
        <v>0</v>
      </c>
      <c r="L47" s="50">
        <v>0</v>
      </c>
      <c r="M47" s="50">
        <v>70</v>
      </c>
      <c r="N47" s="50">
        <v>0</v>
      </c>
      <c r="O47" s="15">
        <f t="shared" si="0"/>
        <v>59</v>
      </c>
      <c r="P47" s="15">
        <f t="shared" si="1"/>
        <v>129</v>
      </c>
      <c r="R47" s="8"/>
      <c r="T47"/>
    </row>
    <row r="48" spans="2:20" ht="23.1" customHeight="1" x14ac:dyDescent="0.25">
      <c r="B48" s="24" t="s">
        <v>75</v>
      </c>
      <c r="C48" s="50">
        <v>33</v>
      </c>
      <c r="D48" s="50">
        <v>11</v>
      </c>
      <c r="E48" s="50">
        <v>0</v>
      </c>
      <c r="F48" s="50">
        <v>9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64</v>
      </c>
      <c r="N48" s="50">
        <v>0</v>
      </c>
      <c r="O48" s="15">
        <f t="shared" si="0"/>
        <v>55</v>
      </c>
      <c r="P48" s="15">
        <f t="shared" si="1"/>
        <v>119</v>
      </c>
      <c r="R48" s="8"/>
      <c r="T48"/>
    </row>
    <row r="49" spans="2:20" ht="23.1" customHeight="1" x14ac:dyDescent="0.25">
      <c r="B49" s="23" t="s">
        <v>76</v>
      </c>
      <c r="C49" s="50">
        <v>24</v>
      </c>
      <c r="D49" s="50">
        <v>18</v>
      </c>
      <c r="E49" s="50">
        <v>3</v>
      </c>
      <c r="F49" s="50">
        <v>7</v>
      </c>
      <c r="G49" s="50">
        <v>1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75</v>
      </c>
      <c r="N49" s="50">
        <v>0</v>
      </c>
      <c r="O49" s="15">
        <f t="shared" si="0"/>
        <v>56</v>
      </c>
      <c r="P49" s="15">
        <f t="shared" si="1"/>
        <v>131</v>
      </c>
      <c r="R49" s="8"/>
      <c r="T49"/>
    </row>
    <row r="50" spans="2:20" ht="23.1" customHeight="1" x14ac:dyDescent="0.25">
      <c r="B50" s="24" t="s">
        <v>77</v>
      </c>
      <c r="C50" s="50">
        <v>38</v>
      </c>
      <c r="D50" s="50">
        <v>13</v>
      </c>
      <c r="E50" s="50">
        <v>3</v>
      </c>
      <c r="F50" s="50">
        <v>8</v>
      </c>
      <c r="G50" s="50">
        <v>0</v>
      </c>
      <c r="H50" s="50">
        <v>0</v>
      </c>
      <c r="I50" s="50">
        <v>2</v>
      </c>
      <c r="J50" s="50">
        <v>1</v>
      </c>
      <c r="K50" s="50">
        <v>0</v>
      </c>
      <c r="L50" s="50">
        <v>0</v>
      </c>
      <c r="M50" s="50">
        <v>74</v>
      </c>
      <c r="N50" s="50">
        <v>0</v>
      </c>
      <c r="O50" s="15">
        <f t="shared" si="0"/>
        <v>65</v>
      </c>
      <c r="P50" s="15">
        <f t="shared" si="1"/>
        <v>139</v>
      </c>
      <c r="R50" s="8"/>
      <c r="T50"/>
    </row>
    <row r="51" spans="2:20" ht="23.1" customHeight="1" x14ac:dyDescent="0.25">
      <c r="B51" s="24" t="s">
        <v>78</v>
      </c>
      <c r="C51" s="50">
        <v>23</v>
      </c>
      <c r="D51" s="50">
        <v>14</v>
      </c>
      <c r="E51" s="50">
        <v>3</v>
      </c>
      <c r="F51" s="50">
        <v>8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73</v>
      </c>
      <c r="N51" s="50">
        <v>0</v>
      </c>
      <c r="O51" s="15">
        <f t="shared" si="0"/>
        <v>49</v>
      </c>
      <c r="P51" s="15">
        <f t="shared" si="1"/>
        <v>122</v>
      </c>
      <c r="R51" s="8"/>
      <c r="T51"/>
    </row>
    <row r="52" spans="2:20" ht="23.1" customHeight="1" x14ac:dyDescent="0.25">
      <c r="B52" s="24" t="s">
        <v>79</v>
      </c>
      <c r="C52" s="50">
        <v>23</v>
      </c>
      <c r="D52" s="50">
        <v>10</v>
      </c>
      <c r="E52" s="50">
        <v>2</v>
      </c>
      <c r="F52" s="50">
        <v>10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80</v>
      </c>
      <c r="N52" s="50">
        <v>0</v>
      </c>
      <c r="O52" s="15">
        <f t="shared" si="0"/>
        <v>45</v>
      </c>
      <c r="P52" s="15">
        <f t="shared" si="1"/>
        <v>125</v>
      </c>
      <c r="R52" s="8"/>
      <c r="T52"/>
    </row>
    <row r="53" spans="2:20" ht="23.1" customHeight="1" x14ac:dyDescent="0.25">
      <c r="B53" s="23" t="s">
        <v>80</v>
      </c>
      <c r="C53" s="50">
        <v>30</v>
      </c>
      <c r="D53" s="50">
        <v>5</v>
      </c>
      <c r="E53" s="50">
        <v>6</v>
      </c>
      <c r="F53" s="50">
        <v>7</v>
      </c>
      <c r="G53" s="50">
        <v>0</v>
      </c>
      <c r="H53" s="50">
        <v>0</v>
      </c>
      <c r="I53" s="50">
        <v>4</v>
      </c>
      <c r="J53" s="50">
        <v>0</v>
      </c>
      <c r="K53" s="50">
        <v>0</v>
      </c>
      <c r="L53" s="50">
        <v>0</v>
      </c>
      <c r="M53" s="50">
        <v>82</v>
      </c>
      <c r="N53" s="50">
        <v>0</v>
      </c>
      <c r="O53" s="15">
        <f t="shared" si="0"/>
        <v>52</v>
      </c>
      <c r="P53" s="15">
        <f t="shared" si="1"/>
        <v>134</v>
      </c>
      <c r="R53" s="8"/>
      <c r="T53"/>
    </row>
    <row r="54" spans="2:20" ht="23.1" customHeight="1" x14ac:dyDescent="0.25">
      <c r="B54" s="23" t="s">
        <v>81</v>
      </c>
      <c r="C54" s="50">
        <v>24</v>
      </c>
      <c r="D54" s="50">
        <v>13</v>
      </c>
      <c r="E54" s="50">
        <v>4</v>
      </c>
      <c r="F54" s="50">
        <v>8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58</v>
      </c>
      <c r="N54" s="50">
        <v>0</v>
      </c>
      <c r="O54" s="15">
        <f t="shared" si="0"/>
        <v>51</v>
      </c>
      <c r="P54" s="15">
        <f t="shared" si="1"/>
        <v>109</v>
      </c>
      <c r="R54" s="8"/>
      <c r="T54"/>
    </row>
    <row r="55" spans="2:20" ht="23.1" customHeight="1" x14ac:dyDescent="0.25">
      <c r="B55" s="23" t="s">
        <v>82</v>
      </c>
      <c r="C55" s="50">
        <v>28</v>
      </c>
      <c r="D55" s="50">
        <v>11</v>
      </c>
      <c r="E55" s="50">
        <v>3</v>
      </c>
      <c r="F55" s="50">
        <v>4</v>
      </c>
      <c r="G55" s="50">
        <v>3</v>
      </c>
      <c r="H55" s="50">
        <v>0</v>
      </c>
      <c r="I55" s="50">
        <v>5</v>
      </c>
      <c r="J55" s="50">
        <v>0</v>
      </c>
      <c r="K55" s="50">
        <v>0</v>
      </c>
      <c r="L55" s="50">
        <v>0</v>
      </c>
      <c r="M55" s="50">
        <v>80</v>
      </c>
      <c r="N55" s="50">
        <v>0</v>
      </c>
      <c r="O55" s="15">
        <f t="shared" si="0"/>
        <v>54</v>
      </c>
      <c r="P55" s="15">
        <f t="shared" si="1"/>
        <v>134</v>
      </c>
      <c r="R55" s="8"/>
      <c r="T55"/>
    </row>
    <row r="56" spans="2:20" ht="23.1" customHeight="1" x14ac:dyDescent="0.25">
      <c r="B56" s="23" t="s">
        <v>83</v>
      </c>
      <c r="C56" s="50">
        <v>16</v>
      </c>
      <c r="D56" s="50">
        <v>4</v>
      </c>
      <c r="E56" s="50">
        <v>1</v>
      </c>
      <c r="F56" s="50">
        <v>15</v>
      </c>
      <c r="G56" s="50">
        <v>0</v>
      </c>
      <c r="H56" s="50">
        <v>0</v>
      </c>
      <c r="I56" s="50">
        <v>2</v>
      </c>
      <c r="J56" s="50">
        <v>1</v>
      </c>
      <c r="K56" s="50">
        <v>0</v>
      </c>
      <c r="L56" s="50">
        <v>0</v>
      </c>
      <c r="M56" s="50">
        <v>95</v>
      </c>
      <c r="N56" s="50">
        <v>0</v>
      </c>
      <c r="O56" s="15">
        <f t="shared" si="0"/>
        <v>39</v>
      </c>
      <c r="P56" s="15">
        <f t="shared" si="1"/>
        <v>134</v>
      </c>
      <c r="R56" s="8"/>
      <c r="T56"/>
    </row>
    <row r="57" spans="2:20" ht="23.1" customHeight="1" x14ac:dyDescent="0.25">
      <c r="B57" s="23" t="s">
        <v>84</v>
      </c>
      <c r="C57" s="50">
        <v>19</v>
      </c>
      <c r="D57" s="50">
        <v>6</v>
      </c>
      <c r="E57" s="50">
        <v>4</v>
      </c>
      <c r="F57" s="50">
        <v>4</v>
      </c>
      <c r="G57" s="50">
        <v>0</v>
      </c>
      <c r="H57" s="50">
        <v>0</v>
      </c>
      <c r="I57" s="50">
        <v>3</v>
      </c>
      <c r="J57" s="50">
        <v>6</v>
      </c>
      <c r="K57" s="50">
        <v>0</v>
      </c>
      <c r="L57" s="50">
        <v>0</v>
      </c>
      <c r="M57" s="50">
        <v>105</v>
      </c>
      <c r="N57" s="50">
        <v>0</v>
      </c>
      <c r="O57" s="15">
        <f t="shared" si="0"/>
        <v>42</v>
      </c>
      <c r="P57" s="15">
        <f t="shared" si="1"/>
        <v>147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1545</v>
      </c>
      <c r="D58" s="16">
        <f t="shared" si="21"/>
        <v>776</v>
      </c>
      <c r="E58" s="16">
        <f t="shared" si="21"/>
        <v>75</v>
      </c>
      <c r="F58" s="16">
        <f t="shared" si="21"/>
        <v>439</v>
      </c>
      <c r="G58" s="16">
        <f t="shared" si="21"/>
        <v>7</v>
      </c>
      <c r="H58" s="16">
        <f t="shared" si="21"/>
        <v>1</v>
      </c>
      <c r="I58" s="16">
        <f t="shared" si="21"/>
        <v>104</v>
      </c>
      <c r="J58" s="16">
        <f t="shared" si="21"/>
        <v>20</v>
      </c>
      <c r="K58" s="16">
        <f t="shared" si="21"/>
        <v>7</v>
      </c>
      <c r="L58" s="16">
        <f t="shared" si="21"/>
        <v>0</v>
      </c>
      <c r="M58" s="16">
        <f t="shared" si="21"/>
        <v>3005</v>
      </c>
      <c r="N58" s="16">
        <f t="shared" si="21"/>
        <v>0</v>
      </c>
      <c r="O58" s="16">
        <f t="shared" si="21"/>
        <v>2974</v>
      </c>
      <c r="P58" s="16">
        <f t="shared" si="21"/>
        <v>5979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0.25840441545408932</v>
      </c>
      <c r="D59" s="43">
        <f t="shared" si="22"/>
        <v>0.12978758989797626</v>
      </c>
      <c r="E59" s="43">
        <f t="shared" si="22"/>
        <v>1.2543903662819869E-2</v>
      </c>
      <c r="F59" s="43">
        <f t="shared" si="22"/>
        <v>7.3423649439705641E-2</v>
      </c>
      <c r="G59" s="43">
        <f t="shared" si="22"/>
        <v>1.1707643418631879E-3</v>
      </c>
      <c r="H59" s="43">
        <f t="shared" si="22"/>
        <v>1.6725204883759825E-4</v>
      </c>
      <c r="I59" s="43">
        <f t="shared" si="22"/>
        <v>1.739421307911022E-2</v>
      </c>
      <c r="J59" s="43">
        <f t="shared" si="22"/>
        <v>3.3450409767519654E-3</v>
      </c>
      <c r="K59" s="43">
        <f t="shared" si="22"/>
        <v>1.1707643418631879E-3</v>
      </c>
      <c r="L59" s="43">
        <f t="shared" si="22"/>
        <v>0</v>
      </c>
      <c r="M59" s="43">
        <f t="shared" si="22"/>
        <v>0.5025924067569828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0.51950235373234699</v>
      </c>
      <c r="D60" s="44">
        <f t="shared" ref="D60:N60" si="23">D58/$O$58</f>
        <v>0.2609280430396772</v>
      </c>
      <c r="E60" s="44">
        <f t="shared" si="23"/>
        <v>2.5218560860793545E-2</v>
      </c>
      <c r="F60" s="44">
        <f t="shared" si="23"/>
        <v>0.1476126429051782</v>
      </c>
      <c r="G60" s="44">
        <f t="shared" si="23"/>
        <v>2.3537323470073975E-3</v>
      </c>
      <c r="H60" s="44">
        <f t="shared" si="23"/>
        <v>3.3624747814391392E-4</v>
      </c>
      <c r="I60" s="44">
        <f t="shared" si="23"/>
        <v>3.496973772696705E-2</v>
      </c>
      <c r="J60" s="44">
        <f t="shared" si="23"/>
        <v>6.7249495628782787E-3</v>
      </c>
      <c r="K60" s="44">
        <f t="shared" si="23"/>
        <v>2.3537323470073975E-3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30" zoomScaleSheetLayoutView="3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Kisasi-Bukoto'!C3:G3</f>
        <v>MCC - C1 - STN32 - BUKOTO KISASI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'29.07 Kisasi-Bukoto'!D5</f>
        <v>29.07.19</v>
      </c>
      <c r="E5" s="3"/>
      <c r="F5" s="41" t="s">
        <v>1</v>
      </c>
      <c r="G5" s="60" t="str">
        <f>'29.07 Kisasi-Bukoto'!G5:H5</f>
        <v>KISASI</v>
      </c>
      <c r="H5" s="61"/>
      <c r="I5" s="14"/>
      <c r="J5" s="2" t="s">
        <v>5</v>
      </c>
      <c r="K5" s="60" t="str">
        <f>'29.07 Kisasi-Bukoto'!K5:L5</f>
        <v>RWAMBITITO J./NICHOL A./GEORGE W.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165</v>
      </c>
      <c r="E6" s="55"/>
      <c r="F6" s="2" t="s">
        <v>2</v>
      </c>
      <c r="G6" s="54" t="s">
        <v>164</v>
      </c>
      <c r="H6" s="55"/>
      <c r="J6" s="2" t="s">
        <v>21</v>
      </c>
      <c r="K6" s="60" t="str">
        <f>'29.07 Kisasi-Bukoto'!K6:L6</f>
        <v>SALIMA L.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</v>
      </c>
      <c r="D10" s="50">
        <v>7</v>
      </c>
      <c r="E10" s="50">
        <v>2</v>
      </c>
      <c r="F10" s="50">
        <v>3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37</v>
      </c>
      <c r="N10" s="50">
        <v>0</v>
      </c>
      <c r="O10" s="15">
        <f t="shared" ref="O10:O57" si="0">SUM(C10:L10,N10)</f>
        <v>17</v>
      </c>
      <c r="P10" s="15">
        <f t="shared" ref="P10:P57" si="1">SUM(C10:N10)</f>
        <v>54</v>
      </c>
      <c r="R10" s="1" t="s">
        <v>6</v>
      </c>
      <c r="S10" s="17">
        <f t="shared" ref="S10:AF10" si="2">SUM(C10:C13)</f>
        <v>55</v>
      </c>
      <c r="T10" s="17">
        <f t="shared" si="2"/>
        <v>55</v>
      </c>
      <c r="U10" s="17">
        <f t="shared" si="2"/>
        <v>19</v>
      </c>
      <c r="V10" s="17">
        <f t="shared" si="2"/>
        <v>29</v>
      </c>
      <c r="W10" s="17">
        <f t="shared" si="2"/>
        <v>0</v>
      </c>
      <c r="X10" s="17">
        <f t="shared" si="2"/>
        <v>0</v>
      </c>
      <c r="Y10" s="17">
        <f t="shared" si="2"/>
        <v>7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238</v>
      </c>
      <c r="AD10" s="17">
        <f t="shared" si="2"/>
        <v>0</v>
      </c>
      <c r="AE10" s="31">
        <f t="shared" si="2"/>
        <v>165</v>
      </c>
      <c r="AF10" s="31">
        <f t="shared" si="2"/>
        <v>403</v>
      </c>
    </row>
    <row r="11" spans="2:32" s="6" customFormat="1" ht="23.1" customHeight="1" x14ac:dyDescent="0.25">
      <c r="B11" s="23" t="s">
        <v>38</v>
      </c>
      <c r="C11" s="50">
        <v>12</v>
      </c>
      <c r="D11" s="50">
        <v>19</v>
      </c>
      <c r="E11" s="50">
        <v>6</v>
      </c>
      <c r="F11" s="50">
        <v>11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41</v>
      </c>
      <c r="N11" s="50">
        <v>0</v>
      </c>
      <c r="O11" s="15">
        <f t="shared" si="0"/>
        <v>49</v>
      </c>
      <c r="P11" s="15">
        <f t="shared" si="1"/>
        <v>90</v>
      </c>
      <c r="R11" s="1" t="s">
        <v>7</v>
      </c>
      <c r="S11" s="17">
        <f t="shared" ref="S11:AF11" si="3">SUM(C14:C17)</f>
        <v>91</v>
      </c>
      <c r="T11" s="17">
        <f t="shared" si="3"/>
        <v>32</v>
      </c>
      <c r="U11" s="17">
        <f t="shared" si="3"/>
        <v>34</v>
      </c>
      <c r="V11" s="17">
        <f t="shared" si="3"/>
        <v>40</v>
      </c>
      <c r="W11" s="17">
        <f t="shared" si="3"/>
        <v>1</v>
      </c>
      <c r="X11" s="17">
        <f t="shared" si="3"/>
        <v>0</v>
      </c>
      <c r="Y11" s="17">
        <f t="shared" si="3"/>
        <v>4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373</v>
      </c>
      <c r="AD11" s="17">
        <f t="shared" si="3"/>
        <v>0</v>
      </c>
      <c r="AE11" s="31">
        <f t="shared" si="3"/>
        <v>202</v>
      </c>
      <c r="AF11" s="31">
        <f t="shared" si="3"/>
        <v>575</v>
      </c>
    </row>
    <row r="12" spans="2:32" ht="23.1" customHeight="1" x14ac:dyDescent="0.25">
      <c r="B12" s="23" t="s">
        <v>39</v>
      </c>
      <c r="C12" s="50">
        <v>18</v>
      </c>
      <c r="D12" s="50">
        <v>16</v>
      </c>
      <c r="E12" s="50">
        <v>4</v>
      </c>
      <c r="F12" s="50">
        <v>8</v>
      </c>
      <c r="G12" s="50">
        <v>0</v>
      </c>
      <c r="H12" s="50">
        <v>0</v>
      </c>
      <c r="I12" s="50">
        <v>4</v>
      </c>
      <c r="J12" s="50">
        <v>0</v>
      </c>
      <c r="K12" s="50">
        <v>0</v>
      </c>
      <c r="L12" s="50">
        <v>0</v>
      </c>
      <c r="M12" s="50">
        <v>73</v>
      </c>
      <c r="N12" s="50">
        <v>0</v>
      </c>
      <c r="O12" s="15">
        <f t="shared" si="0"/>
        <v>50</v>
      </c>
      <c r="P12" s="15">
        <f t="shared" si="1"/>
        <v>123</v>
      </c>
      <c r="R12" s="1" t="s">
        <v>8</v>
      </c>
      <c r="S12" s="17">
        <f t="shared" ref="S12:AF12" si="4">SUM(C18:C21)</f>
        <v>69</v>
      </c>
      <c r="T12" s="17">
        <f t="shared" si="4"/>
        <v>25</v>
      </c>
      <c r="U12" s="17">
        <f t="shared" si="4"/>
        <v>24</v>
      </c>
      <c r="V12" s="17">
        <f t="shared" si="4"/>
        <v>16</v>
      </c>
      <c r="W12" s="17">
        <f t="shared" si="4"/>
        <v>0</v>
      </c>
      <c r="X12" s="17">
        <f t="shared" si="4"/>
        <v>0</v>
      </c>
      <c r="Y12" s="17">
        <f t="shared" si="4"/>
        <v>12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329</v>
      </c>
      <c r="AD12" s="17">
        <f t="shared" si="4"/>
        <v>0</v>
      </c>
      <c r="AE12" s="31">
        <f t="shared" si="4"/>
        <v>149</v>
      </c>
      <c r="AF12" s="31">
        <f t="shared" si="4"/>
        <v>478</v>
      </c>
    </row>
    <row r="13" spans="2:32" ht="23.1" customHeight="1" x14ac:dyDescent="0.25">
      <c r="B13" s="23" t="s">
        <v>40</v>
      </c>
      <c r="C13" s="50">
        <v>20</v>
      </c>
      <c r="D13" s="50">
        <v>13</v>
      </c>
      <c r="E13" s="50">
        <v>7</v>
      </c>
      <c r="F13" s="50">
        <v>7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87</v>
      </c>
      <c r="N13" s="50">
        <v>0</v>
      </c>
      <c r="O13" s="15">
        <f t="shared" si="0"/>
        <v>49</v>
      </c>
      <c r="P13" s="15">
        <f t="shared" si="1"/>
        <v>136</v>
      </c>
      <c r="R13" s="1" t="s">
        <v>9</v>
      </c>
      <c r="S13" s="17">
        <f t="shared" ref="S13:AF13" si="5">SUM(C22:C25)</f>
        <v>51</v>
      </c>
      <c r="T13" s="17">
        <f t="shared" si="5"/>
        <v>33</v>
      </c>
      <c r="U13" s="17">
        <f t="shared" si="5"/>
        <v>17</v>
      </c>
      <c r="V13" s="17">
        <f t="shared" si="5"/>
        <v>24</v>
      </c>
      <c r="W13" s="17">
        <f t="shared" si="5"/>
        <v>0</v>
      </c>
      <c r="X13" s="17">
        <f t="shared" si="5"/>
        <v>0</v>
      </c>
      <c r="Y13" s="17">
        <f t="shared" si="5"/>
        <v>5</v>
      </c>
      <c r="Z13" s="17">
        <f t="shared" si="5"/>
        <v>5</v>
      </c>
      <c r="AA13" s="17">
        <f t="shared" si="5"/>
        <v>0</v>
      </c>
      <c r="AB13" s="17">
        <f t="shared" si="5"/>
        <v>0</v>
      </c>
      <c r="AC13" s="17">
        <f t="shared" si="5"/>
        <v>247</v>
      </c>
      <c r="AD13" s="17">
        <f t="shared" si="5"/>
        <v>0</v>
      </c>
      <c r="AE13" s="31">
        <f t="shared" si="5"/>
        <v>135</v>
      </c>
      <c r="AF13" s="31">
        <f t="shared" si="5"/>
        <v>382</v>
      </c>
    </row>
    <row r="14" spans="2:32" ht="23.1" customHeight="1" x14ac:dyDescent="0.25">
      <c r="B14" s="23" t="s">
        <v>41</v>
      </c>
      <c r="C14" s="50">
        <v>23</v>
      </c>
      <c r="D14" s="50">
        <v>8</v>
      </c>
      <c r="E14" s="50">
        <v>6</v>
      </c>
      <c r="F14" s="50">
        <v>12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92</v>
      </c>
      <c r="N14" s="50">
        <v>0</v>
      </c>
      <c r="O14" s="15">
        <f t="shared" si="0"/>
        <v>49</v>
      </c>
      <c r="P14" s="15">
        <f t="shared" si="1"/>
        <v>141</v>
      </c>
      <c r="R14" s="1" t="s">
        <v>10</v>
      </c>
      <c r="S14" s="17">
        <f t="shared" ref="S14:AF14" si="6">SUM(C26:C29)</f>
        <v>55</v>
      </c>
      <c r="T14" s="17">
        <f t="shared" si="6"/>
        <v>22</v>
      </c>
      <c r="U14" s="17">
        <f t="shared" si="6"/>
        <v>21</v>
      </c>
      <c r="V14" s="17">
        <f t="shared" si="6"/>
        <v>23</v>
      </c>
      <c r="W14" s="17">
        <f t="shared" si="6"/>
        <v>0</v>
      </c>
      <c r="X14" s="17">
        <f t="shared" si="6"/>
        <v>0</v>
      </c>
      <c r="Y14" s="17">
        <f t="shared" si="6"/>
        <v>9</v>
      </c>
      <c r="Z14" s="17">
        <f t="shared" si="6"/>
        <v>4</v>
      </c>
      <c r="AA14" s="17">
        <f t="shared" si="6"/>
        <v>0</v>
      </c>
      <c r="AB14" s="17">
        <f t="shared" si="6"/>
        <v>0</v>
      </c>
      <c r="AC14" s="17">
        <f t="shared" si="6"/>
        <v>203</v>
      </c>
      <c r="AD14" s="17">
        <f t="shared" si="6"/>
        <v>0</v>
      </c>
      <c r="AE14" s="31">
        <f t="shared" si="6"/>
        <v>134</v>
      </c>
      <c r="AF14" s="31">
        <f t="shared" si="6"/>
        <v>337</v>
      </c>
    </row>
    <row r="15" spans="2:32" ht="23.1" customHeight="1" x14ac:dyDescent="0.25">
      <c r="B15" s="23" t="s">
        <v>42</v>
      </c>
      <c r="C15" s="50">
        <v>18</v>
      </c>
      <c r="D15" s="50">
        <v>6</v>
      </c>
      <c r="E15" s="50">
        <v>8</v>
      </c>
      <c r="F15" s="50">
        <v>9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89</v>
      </c>
      <c r="N15" s="50">
        <v>0</v>
      </c>
      <c r="O15" s="15">
        <f t="shared" si="0"/>
        <v>44</v>
      </c>
      <c r="P15" s="15">
        <f t="shared" si="1"/>
        <v>133</v>
      </c>
      <c r="R15" s="1" t="s">
        <v>11</v>
      </c>
      <c r="S15" s="17">
        <f t="shared" ref="S15:AF15" si="7">SUM(C30:C33)</f>
        <v>52</v>
      </c>
      <c r="T15" s="17">
        <f t="shared" si="7"/>
        <v>25</v>
      </c>
      <c r="U15" s="17">
        <f t="shared" si="7"/>
        <v>16</v>
      </c>
      <c r="V15" s="17">
        <f t="shared" si="7"/>
        <v>25</v>
      </c>
      <c r="W15" s="17">
        <f t="shared" si="7"/>
        <v>0</v>
      </c>
      <c r="X15" s="17">
        <f t="shared" si="7"/>
        <v>0</v>
      </c>
      <c r="Y15" s="17">
        <f t="shared" si="7"/>
        <v>10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135</v>
      </c>
      <c r="AD15" s="17">
        <f t="shared" si="7"/>
        <v>0</v>
      </c>
      <c r="AE15" s="31">
        <f t="shared" si="7"/>
        <v>129</v>
      </c>
      <c r="AF15" s="31">
        <f t="shared" si="7"/>
        <v>264</v>
      </c>
    </row>
    <row r="16" spans="2:32" ht="23.1" customHeight="1" x14ac:dyDescent="0.25">
      <c r="B16" s="23" t="s">
        <v>43</v>
      </c>
      <c r="C16" s="50">
        <v>26</v>
      </c>
      <c r="D16" s="50">
        <v>10</v>
      </c>
      <c r="E16" s="50">
        <v>9</v>
      </c>
      <c r="F16" s="50">
        <v>11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94</v>
      </c>
      <c r="N16" s="50">
        <v>0</v>
      </c>
      <c r="O16" s="15">
        <f t="shared" si="0"/>
        <v>57</v>
      </c>
      <c r="P16" s="15">
        <f t="shared" si="1"/>
        <v>151</v>
      </c>
      <c r="R16" s="1" t="s">
        <v>12</v>
      </c>
      <c r="S16" s="17">
        <f t="shared" ref="S16:AF16" si="8">SUM(C34:C37)</f>
        <v>39</v>
      </c>
      <c r="T16" s="17">
        <f t="shared" si="8"/>
        <v>33</v>
      </c>
      <c r="U16" s="17">
        <f t="shared" si="8"/>
        <v>15</v>
      </c>
      <c r="V16" s="17">
        <f t="shared" si="8"/>
        <v>21</v>
      </c>
      <c r="W16" s="17">
        <f t="shared" si="8"/>
        <v>0</v>
      </c>
      <c r="X16" s="17">
        <f t="shared" si="8"/>
        <v>0</v>
      </c>
      <c r="Y16" s="17">
        <f t="shared" si="8"/>
        <v>6</v>
      </c>
      <c r="Z16" s="17">
        <f t="shared" si="8"/>
        <v>0</v>
      </c>
      <c r="AA16" s="17">
        <f t="shared" si="8"/>
        <v>1</v>
      </c>
      <c r="AB16" s="17">
        <f t="shared" si="8"/>
        <v>0</v>
      </c>
      <c r="AC16" s="17">
        <f t="shared" si="8"/>
        <v>124</v>
      </c>
      <c r="AD16" s="17">
        <f t="shared" si="8"/>
        <v>0</v>
      </c>
      <c r="AE16" s="31">
        <f t="shared" si="8"/>
        <v>115</v>
      </c>
      <c r="AF16" s="31">
        <f t="shared" si="8"/>
        <v>239</v>
      </c>
    </row>
    <row r="17" spans="2:32" ht="23.1" customHeight="1" x14ac:dyDescent="0.25">
      <c r="B17" s="23" t="s">
        <v>44</v>
      </c>
      <c r="C17" s="50">
        <v>24</v>
      </c>
      <c r="D17" s="50">
        <v>8</v>
      </c>
      <c r="E17" s="50">
        <v>11</v>
      </c>
      <c r="F17" s="50">
        <v>8</v>
      </c>
      <c r="G17" s="50">
        <v>1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98</v>
      </c>
      <c r="N17" s="50">
        <v>0</v>
      </c>
      <c r="O17" s="15">
        <f t="shared" si="0"/>
        <v>52</v>
      </c>
      <c r="P17" s="15">
        <f t="shared" si="1"/>
        <v>150</v>
      </c>
      <c r="R17" s="1" t="s">
        <v>13</v>
      </c>
      <c r="S17" s="17">
        <f t="shared" ref="S17:AF17" si="9">SUM(C38:C41)</f>
        <v>47</v>
      </c>
      <c r="T17" s="17">
        <f t="shared" si="9"/>
        <v>22</v>
      </c>
      <c r="U17" s="17">
        <f t="shared" si="9"/>
        <v>14</v>
      </c>
      <c r="V17" s="17">
        <f t="shared" si="9"/>
        <v>22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1</v>
      </c>
      <c r="AA17" s="17">
        <f t="shared" si="9"/>
        <v>1</v>
      </c>
      <c r="AB17" s="17">
        <f t="shared" si="9"/>
        <v>0</v>
      </c>
      <c r="AC17" s="17">
        <f t="shared" si="9"/>
        <v>135</v>
      </c>
      <c r="AD17" s="17">
        <f t="shared" si="9"/>
        <v>0</v>
      </c>
      <c r="AE17" s="31">
        <f t="shared" si="9"/>
        <v>113</v>
      </c>
      <c r="AF17" s="31">
        <f t="shared" si="9"/>
        <v>248</v>
      </c>
    </row>
    <row r="18" spans="2:32" ht="23.1" customHeight="1" x14ac:dyDescent="0.25">
      <c r="B18" s="23" t="s">
        <v>45</v>
      </c>
      <c r="C18" s="50">
        <v>21</v>
      </c>
      <c r="D18" s="50">
        <v>6</v>
      </c>
      <c r="E18" s="50">
        <v>9</v>
      </c>
      <c r="F18" s="50">
        <v>5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98</v>
      </c>
      <c r="N18" s="50">
        <v>0</v>
      </c>
      <c r="O18" s="15">
        <f t="shared" si="0"/>
        <v>43</v>
      </c>
      <c r="P18" s="15">
        <f t="shared" si="1"/>
        <v>141</v>
      </c>
      <c r="R18" s="1" t="s">
        <v>14</v>
      </c>
      <c r="S18" s="17">
        <f t="shared" ref="S18:AF18" si="10">SUM(C42:C45)</f>
        <v>76</v>
      </c>
      <c r="T18" s="17">
        <f t="shared" si="10"/>
        <v>29</v>
      </c>
      <c r="U18" s="17">
        <f t="shared" si="10"/>
        <v>25</v>
      </c>
      <c r="V18" s="17">
        <f t="shared" si="10"/>
        <v>20</v>
      </c>
      <c r="W18" s="17">
        <f t="shared" si="10"/>
        <v>0</v>
      </c>
      <c r="X18" s="17">
        <f t="shared" si="10"/>
        <v>0</v>
      </c>
      <c r="Y18" s="17">
        <f t="shared" si="10"/>
        <v>10</v>
      </c>
      <c r="Z18" s="17">
        <f t="shared" si="10"/>
        <v>3</v>
      </c>
      <c r="AA18" s="17">
        <f t="shared" si="10"/>
        <v>2</v>
      </c>
      <c r="AB18" s="17">
        <f t="shared" si="10"/>
        <v>0</v>
      </c>
      <c r="AC18" s="17">
        <f t="shared" si="10"/>
        <v>134</v>
      </c>
      <c r="AD18" s="17">
        <f t="shared" si="10"/>
        <v>0</v>
      </c>
      <c r="AE18" s="31">
        <f t="shared" si="10"/>
        <v>165</v>
      </c>
      <c r="AF18" s="31">
        <f t="shared" si="10"/>
        <v>299</v>
      </c>
    </row>
    <row r="19" spans="2:32" ht="23.1" customHeight="1" x14ac:dyDescent="0.25">
      <c r="B19" s="23" t="s">
        <v>46</v>
      </c>
      <c r="C19" s="50">
        <v>18</v>
      </c>
      <c r="D19" s="50">
        <v>8</v>
      </c>
      <c r="E19" s="50">
        <v>6</v>
      </c>
      <c r="F19" s="50">
        <v>3</v>
      </c>
      <c r="G19" s="50">
        <v>0</v>
      </c>
      <c r="H19" s="50">
        <v>0</v>
      </c>
      <c r="I19" s="50">
        <v>3</v>
      </c>
      <c r="J19" s="50">
        <v>1</v>
      </c>
      <c r="K19" s="50">
        <v>0</v>
      </c>
      <c r="L19" s="50">
        <v>0</v>
      </c>
      <c r="M19" s="50">
        <v>82</v>
      </c>
      <c r="N19" s="50">
        <v>0</v>
      </c>
      <c r="O19" s="15">
        <f t="shared" si="0"/>
        <v>39</v>
      </c>
      <c r="P19" s="15">
        <f t="shared" si="1"/>
        <v>121</v>
      </c>
      <c r="R19" s="1" t="s">
        <v>15</v>
      </c>
      <c r="S19" s="17">
        <f t="shared" ref="S19:AF19" si="11">SUM(C46:C49)</f>
        <v>231</v>
      </c>
      <c r="T19" s="17">
        <f t="shared" si="11"/>
        <v>109</v>
      </c>
      <c r="U19" s="17">
        <f t="shared" si="11"/>
        <v>53</v>
      </c>
      <c r="V19" s="17">
        <f t="shared" si="11"/>
        <v>48</v>
      </c>
      <c r="W19" s="17">
        <f t="shared" si="11"/>
        <v>2</v>
      </c>
      <c r="X19" s="17">
        <f t="shared" si="11"/>
        <v>1</v>
      </c>
      <c r="Y19" s="17">
        <f t="shared" si="11"/>
        <v>11</v>
      </c>
      <c r="Z19" s="17">
        <f t="shared" si="11"/>
        <v>6</v>
      </c>
      <c r="AA19" s="17">
        <f t="shared" si="11"/>
        <v>1</v>
      </c>
      <c r="AB19" s="17">
        <f t="shared" si="11"/>
        <v>0</v>
      </c>
      <c r="AC19" s="17">
        <f t="shared" si="11"/>
        <v>179</v>
      </c>
      <c r="AD19" s="17">
        <f t="shared" si="11"/>
        <v>0</v>
      </c>
      <c r="AE19" s="31">
        <f t="shared" si="11"/>
        <v>462</v>
      </c>
      <c r="AF19" s="31">
        <f t="shared" si="11"/>
        <v>641</v>
      </c>
    </row>
    <row r="20" spans="2:32" ht="23.1" customHeight="1" x14ac:dyDescent="0.25">
      <c r="B20" s="23" t="s">
        <v>47</v>
      </c>
      <c r="C20" s="50">
        <v>16</v>
      </c>
      <c r="D20" s="50">
        <v>6</v>
      </c>
      <c r="E20" s="50">
        <v>4</v>
      </c>
      <c r="F20" s="50">
        <v>5</v>
      </c>
      <c r="G20" s="50">
        <v>0</v>
      </c>
      <c r="H20" s="50">
        <v>0</v>
      </c>
      <c r="I20" s="50">
        <v>2</v>
      </c>
      <c r="J20" s="50">
        <v>1</v>
      </c>
      <c r="K20" s="50">
        <v>0</v>
      </c>
      <c r="L20" s="50">
        <v>0</v>
      </c>
      <c r="M20" s="50">
        <v>77</v>
      </c>
      <c r="N20" s="50">
        <v>0</v>
      </c>
      <c r="O20" s="15">
        <f t="shared" si="0"/>
        <v>34</v>
      </c>
      <c r="P20" s="15">
        <f t="shared" si="1"/>
        <v>111</v>
      </c>
      <c r="R20" s="1" t="s">
        <v>16</v>
      </c>
      <c r="S20" s="17">
        <f t="shared" ref="S20:AF20" si="12">SUM(C50:C53)</f>
        <v>390</v>
      </c>
      <c r="T20" s="17">
        <f t="shared" si="12"/>
        <v>173</v>
      </c>
      <c r="U20" s="17">
        <f t="shared" si="12"/>
        <v>65</v>
      </c>
      <c r="V20" s="17">
        <f t="shared" si="12"/>
        <v>43</v>
      </c>
      <c r="W20" s="17">
        <f t="shared" si="12"/>
        <v>2</v>
      </c>
      <c r="X20" s="17">
        <f t="shared" si="12"/>
        <v>0</v>
      </c>
      <c r="Y20" s="17">
        <f t="shared" si="12"/>
        <v>14</v>
      </c>
      <c r="Z20" s="17">
        <f t="shared" si="12"/>
        <v>2</v>
      </c>
      <c r="AA20" s="17">
        <f t="shared" si="12"/>
        <v>1</v>
      </c>
      <c r="AB20" s="17">
        <f t="shared" si="12"/>
        <v>0</v>
      </c>
      <c r="AC20" s="17">
        <f t="shared" si="12"/>
        <v>175</v>
      </c>
      <c r="AD20" s="17">
        <f t="shared" si="12"/>
        <v>0</v>
      </c>
      <c r="AE20" s="31">
        <f t="shared" si="12"/>
        <v>690</v>
      </c>
      <c r="AF20" s="31">
        <f t="shared" si="12"/>
        <v>865</v>
      </c>
    </row>
    <row r="21" spans="2:32" ht="23.1" customHeight="1" x14ac:dyDescent="0.25">
      <c r="B21" s="23" t="s">
        <v>48</v>
      </c>
      <c r="C21" s="50">
        <v>14</v>
      </c>
      <c r="D21" s="50">
        <v>5</v>
      </c>
      <c r="E21" s="50">
        <v>5</v>
      </c>
      <c r="F21" s="50">
        <v>3</v>
      </c>
      <c r="G21" s="50">
        <v>0</v>
      </c>
      <c r="H21" s="50">
        <v>0</v>
      </c>
      <c r="I21" s="50">
        <v>5</v>
      </c>
      <c r="J21" s="50">
        <v>1</v>
      </c>
      <c r="K21" s="50">
        <v>0</v>
      </c>
      <c r="L21" s="50">
        <v>0</v>
      </c>
      <c r="M21" s="50">
        <v>72</v>
      </c>
      <c r="N21" s="50">
        <v>0</v>
      </c>
      <c r="O21" s="15">
        <f t="shared" si="0"/>
        <v>33</v>
      </c>
      <c r="P21" s="15">
        <f t="shared" si="1"/>
        <v>105</v>
      </c>
      <c r="R21" s="36" t="s">
        <v>20</v>
      </c>
      <c r="S21" s="34">
        <f t="shared" ref="S21:AF21" si="13">SUM(C54:C57)</f>
        <v>368</v>
      </c>
      <c r="T21" s="17">
        <f t="shared" si="13"/>
        <v>146</v>
      </c>
      <c r="U21" s="17">
        <f t="shared" si="13"/>
        <v>49</v>
      </c>
      <c r="V21" s="17">
        <f t="shared" si="13"/>
        <v>51</v>
      </c>
      <c r="W21" s="17">
        <f t="shared" si="13"/>
        <v>0</v>
      </c>
      <c r="X21" s="17">
        <f t="shared" si="13"/>
        <v>0</v>
      </c>
      <c r="Y21" s="17">
        <f t="shared" si="13"/>
        <v>7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210</v>
      </c>
      <c r="AD21" s="17">
        <f t="shared" si="13"/>
        <v>0</v>
      </c>
      <c r="AE21" s="31">
        <f t="shared" si="13"/>
        <v>621</v>
      </c>
      <c r="AF21" s="31">
        <f t="shared" si="13"/>
        <v>831</v>
      </c>
    </row>
    <row r="22" spans="2:32" ht="23.1" customHeight="1" x14ac:dyDescent="0.25">
      <c r="B22" s="23" t="s">
        <v>49</v>
      </c>
      <c r="C22" s="50">
        <v>13</v>
      </c>
      <c r="D22" s="50">
        <v>6</v>
      </c>
      <c r="E22" s="50">
        <v>3</v>
      </c>
      <c r="F22" s="50">
        <v>5</v>
      </c>
      <c r="G22" s="50">
        <v>0</v>
      </c>
      <c r="H22" s="50">
        <v>0</v>
      </c>
      <c r="I22" s="50">
        <v>2</v>
      </c>
      <c r="J22" s="50">
        <v>1</v>
      </c>
      <c r="K22" s="50">
        <v>0</v>
      </c>
      <c r="L22" s="50">
        <v>0</v>
      </c>
      <c r="M22" s="50">
        <v>68</v>
      </c>
      <c r="N22" s="50">
        <v>0</v>
      </c>
      <c r="O22" s="15">
        <f t="shared" si="0"/>
        <v>30</v>
      </c>
      <c r="P22" s="15">
        <f t="shared" si="1"/>
        <v>98</v>
      </c>
      <c r="R22" s="38" t="s">
        <v>90</v>
      </c>
      <c r="S22" s="39">
        <f>MAX(S10:S12)</f>
        <v>91</v>
      </c>
      <c r="T22" s="39">
        <f t="shared" ref="T22:AF22" si="14">MAX(T10:T12)</f>
        <v>55</v>
      </c>
      <c r="U22" s="39">
        <f t="shared" si="14"/>
        <v>34</v>
      </c>
      <c r="V22" s="39">
        <f t="shared" si="14"/>
        <v>40</v>
      </c>
      <c r="W22" s="39">
        <f t="shared" si="14"/>
        <v>1</v>
      </c>
      <c r="X22" s="39">
        <f t="shared" si="14"/>
        <v>0</v>
      </c>
      <c r="Y22" s="39">
        <f t="shared" si="14"/>
        <v>12</v>
      </c>
      <c r="Z22" s="39">
        <f t="shared" si="14"/>
        <v>3</v>
      </c>
      <c r="AA22" s="39">
        <f t="shared" si="14"/>
        <v>0</v>
      </c>
      <c r="AB22" s="39">
        <f t="shared" si="14"/>
        <v>0</v>
      </c>
      <c r="AC22" s="39">
        <f t="shared" si="14"/>
        <v>373</v>
      </c>
      <c r="AD22" s="39">
        <f t="shared" si="14"/>
        <v>0</v>
      </c>
      <c r="AE22" s="40">
        <f t="shared" si="14"/>
        <v>202</v>
      </c>
      <c r="AF22" s="40">
        <f t="shared" si="14"/>
        <v>575</v>
      </c>
    </row>
    <row r="23" spans="2:32" ht="23.1" customHeight="1" x14ac:dyDescent="0.25">
      <c r="B23" s="23" t="s">
        <v>50</v>
      </c>
      <c r="C23" s="50">
        <v>10</v>
      </c>
      <c r="D23" s="50">
        <v>13</v>
      </c>
      <c r="E23" s="50">
        <v>2</v>
      </c>
      <c r="F23" s="50">
        <v>4</v>
      </c>
      <c r="G23" s="50">
        <v>0</v>
      </c>
      <c r="H23" s="50">
        <v>0</v>
      </c>
      <c r="I23" s="50">
        <v>1</v>
      </c>
      <c r="J23" s="50">
        <v>1</v>
      </c>
      <c r="K23" s="50">
        <v>0</v>
      </c>
      <c r="L23" s="50">
        <v>0</v>
      </c>
      <c r="M23" s="50">
        <v>62</v>
      </c>
      <c r="N23" s="50">
        <v>0</v>
      </c>
      <c r="O23" s="15">
        <f t="shared" si="0"/>
        <v>31</v>
      </c>
      <c r="P23" s="15">
        <f t="shared" si="1"/>
        <v>93</v>
      </c>
      <c r="R23" s="38" t="s">
        <v>91</v>
      </c>
      <c r="S23" s="39">
        <f>MAX(S13:S18)</f>
        <v>76</v>
      </c>
      <c r="T23" s="39">
        <f t="shared" ref="T23:AF23" si="15">MAX(T13:T18)</f>
        <v>33</v>
      </c>
      <c r="U23" s="39">
        <f t="shared" si="15"/>
        <v>25</v>
      </c>
      <c r="V23" s="39">
        <f t="shared" si="15"/>
        <v>25</v>
      </c>
      <c r="W23" s="39">
        <f t="shared" si="15"/>
        <v>0</v>
      </c>
      <c r="X23" s="39">
        <f t="shared" si="15"/>
        <v>0</v>
      </c>
      <c r="Y23" s="39">
        <f t="shared" si="15"/>
        <v>10</v>
      </c>
      <c r="Z23" s="39">
        <f t="shared" si="15"/>
        <v>5</v>
      </c>
      <c r="AA23" s="39">
        <f t="shared" si="15"/>
        <v>2</v>
      </c>
      <c r="AB23" s="39">
        <f t="shared" si="15"/>
        <v>0</v>
      </c>
      <c r="AC23" s="39">
        <f t="shared" si="15"/>
        <v>247</v>
      </c>
      <c r="AD23" s="39">
        <f t="shared" si="15"/>
        <v>0</v>
      </c>
      <c r="AE23" s="40">
        <f t="shared" si="15"/>
        <v>165</v>
      </c>
      <c r="AF23" s="40">
        <f t="shared" si="15"/>
        <v>382</v>
      </c>
    </row>
    <row r="24" spans="2:32" ht="23.1" customHeight="1" x14ac:dyDescent="0.25">
      <c r="B24" s="23" t="s">
        <v>51</v>
      </c>
      <c r="C24" s="50">
        <v>12</v>
      </c>
      <c r="D24" s="50">
        <v>9</v>
      </c>
      <c r="E24" s="50">
        <v>5</v>
      </c>
      <c r="F24" s="50">
        <v>8</v>
      </c>
      <c r="G24" s="50">
        <v>0</v>
      </c>
      <c r="H24" s="50">
        <v>0</v>
      </c>
      <c r="I24" s="50">
        <v>2</v>
      </c>
      <c r="J24" s="50">
        <v>2</v>
      </c>
      <c r="K24" s="50">
        <v>0</v>
      </c>
      <c r="L24" s="50">
        <v>0</v>
      </c>
      <c r="M24" s="50">
        <v>57</v>
      </c>
      <c r="N24" s="50">
        <v>0</v>
      </c>
      <c r="O24" s="15">
        <f t="shared" si="0"/>
        <v>38</v>
      </c>
      <c r="P24" s="15">
        <f t="shared" si="1"/>
        <v>95</v>
      </c>
      <c r="R24" s="38" t="s">
        <v>92</v>
      </c>
      <c r="S24" s="39">
        <f>MAX(S19:S21)</f>
        <v>390</v>
      </c>
      <c r="T24" s="39">
        <f t="shared" ref="T24:AF24" si="16">MAX(T19:T21)</f>
        <v>173</v>
      </c>
      <c r="U24" s="39">
        <f t="shared" si="16"/>
        <v>65</v>
      </c>
      <c r="V24" s="39">
        <f t="shared" si="16"/>
        <v>51</v>
      </c>
      <c r="W24" s="39">
        <f t="shared" si="16"/>
        <v>2</v>
      </c>
      <c r="X24" s="39">
        <f t="shared" si="16"/>
        <v>1</v>
      </c>
      <c r="Y24" s="39">
        <f t="shared" si="16"/>
        <v>14</v>
      </c>
      <c r="Z24" s="39">
        <f t="shared" si="16"/>
        <v>6</v>
      </c>
      <c r="AA24" s="39">
        <f t="shared" si="16"/>
        <v>1</v>
      </c>
      <c r="AB24" s="39">
        <f t="shared" si="16"/>
        <v>0</v>
      </c>
      <c r="AC24" s="39">
        <f t="shared" si="16"/>
        <v>210</v>
      </c>
      <c r="AD24" s="39">
        <f t="shared" si="16"/>
        <v>0</v>
      </c>
      <c r="AE24" s="40">
        <f t="shared" si="16"/>
        <v>690</v>
      </c>
      <c r="AF24" s="40">
        <f t="shared" si="16"/>
        <v>865</v>
      </c>
    </row>
    <row r="25" spans="2:32" ht="23.1" customHeight="1" x14ac:dyDescent="0.25">
      <c r="B25" s="23" t="s">
        <v>52</v>
      </c>
      <c r="C25" s="50">
        <v>16</v>
      </c>
      <c r="D25" s="50">
        <v>5</v>
      </c>
      <c r="E25" s="50">
        <v>7</v>
      </c>
      <c r="F25" s="50">
        <v>7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v>0</v>
      </c>
      <c r="M25" s="50">
        <v>60</v>
      </c>
      <c r="N25" s="50">
        <v>0</v>
      </c>
      <c r="O25" s="15">
        <f t="shared" si="0"/>
        <v>36</v>
      </c>
      <c r="P25" s="15">
        <f t="shared" si="1"/>
        <v>96</v>
      </c>
      <c r="R25" s="37" t="s">
        <v>85</v>
      </c>
      <c r="S25" s="35">
        <f t="shared" ref="S25:AF25" si="17">SUM(S10:S12)</f>
        <v>215</v>
      </c>
      <c r="T25" s="16">
        <f t="shared" si="17"/>
        <v>112</v>
      </c>
      <c r="U25" s="16">
        <f t="shared" si="17"/>
        <v>77</v>
      </c>
      <c r="V25" s="16">
        <f t="shared" si="17"/>
        <v>85</v>
      </c>
      <c r="W25" s="16">
        <f t="shared" si="17"/>
        <v>1</v>
      </c>
      <c r="X25" s="16">
        <f t="shared" si="17"/>
        <v>0</v>
      </c>
      <c r="Y25" s="16">
        <f t="shared" si="17"/>
        <v>23</v>
      </c>
      <c r="Z25" s="16">
        <f t="shared" si="17"/>
        <v>3</v>
      </c>
      <c r="AA25" s="16">
        <f t="shared" si="17"/>
        <v>0</v>
      </c>
      <c r="AB25" s="16">
        <f t="shared" si="17"/>
        <v>0</v>
      </c>
      <c r="AC25" s="16">
        <f t="shared" si="17"/>
        <v>940</v>
      </c>
      <c r="AD25" s="16">
        <f t="shared" si="17"/>
        <v>0</v>
      </c>
      <c r="AE25" s="32">
        <f t="shared" si="17"/>
        <v>516</v>
      </c>
      <c r="AF25" s="32">
        <f t="shared" si="17"/>
        <v>1456</v>
      </c>
    </row>
    <row r="26" spans="2:32" ht="23.1" customHeight="1" x14ac:dyDescent="0.25">
      <c r="B26" s="23" t="s">
        <v>53</v>
      </c>
      <c r="C26" s="50">
        <v>13</v>
      </c>
      <c r="D26" s="50">
        <v>3</v>
      </c>
      <c r="E26" s="50">
        <v>6</v>
      </c>
      <c r="F26" s="50">
        <v>4</v>
      </c>
      <c r="G26" s="50">
        <v>0</v>
      </c>
      <c r="H26" s="50">
        <v>0</v>
      </c>
      <c r="I26" s="50">
        <v>2</v>
      </c>
      <c r="J26" s="50">
        <v>1</v>
      </c>
      <c r="K26" s="50">
        <v>0</v>
      </c>
      <c r="L26" s="50">
        <v>0</v>
      </c>
      <c r="M26" s="50">
        <v>58</v>
      </c>
      <c r="N26" s="50">
        <v>0</v>
      </c>
      <c r="O26" s="15">
        <f t="shared" si="0"/>
        <v>29</v>
      </c>
      <c r="P26" s="15">
        <f t="shared" si="1"/>
        <v>87</v>
      </c>
      <c r="R26" s="28" t="s">
        <v>86</v>
      </c>
      <c r="S26" s="16">
        <f t="shared" ref="S26:AF26" si="18">SUM(S13:S18)</f>
        <v>320</v>
      </c>
      <c r="T26" s="16">
        <f t="shared" si="18"/>
        <v>164</v>
      </c>
      <c r="U26" s="16">
        <f t="shared" si="18"/>
        <v>108</v>
      </c>
      <c r="V26" s="16">
        <f t="shared" si="18"/>
        <v>135</v>
      </c>
      <c r="W26" s="16">
        <f t="shared" si="18"/>
        <v>0</v>
      </c>
      <c r="X26" s="16">
        <f t="shared" si="18"/>
        <v>0</v>
      </c>
      <c r="Y26" s="16">
        <f t="shared" si="18"/>
        <v>46</v>
      </c>
      <c r="Z26" s="16">
        <f t="shared" si="18"/>
        <v>14</v>
      </c>
      <c r="AA26" s="16">
        <f t="shared" si="18"/>
        <v>4</v>
      </c>
      <c r="AB26" s="16">
        <f t="shared" si="18"/>
        <v>0</v>
      </c>
      <c r="AC26" s="16">
        <f t="shared" si="18"/>
        <v>978</v>
      </c>
      <c r="AD26" s="16">
        <f t="shared" si="18"/>
        <v>0</v>
      </c>
      <c r="AE26" s="32">
        <f t="shared" si="18"/>
        <v>791</v>
      </c>
      <c r="AF26" s="32">
        <f t="shared" si="18"/>
        <v>1769</v>
      </c>
    </row>
    <row r="27" spans="2:32" ht="23.1" customHeight="1" x14ac:dyDescent="0.25">
      <c r="B27" s="23" t="s">
        <v>54</v>
      </c>
      <c r="C27" s="50">
        <v>16</v>
      </c>
      <c r="D27" s="50">
        <v>8</v>
      </c>
      <c r="E27" s="50">
        <v>9</v>
      </c>
      <c r="F27" s="50">
        <v>6</v>
      </c>
      <c r="G27" s="50">
        <v>0</v>
      </c>
      <c r="H27" s="50">
        <v>0</v>
      </c>
      <c r="I27" s="50">
        <v>1</v>
      </c>
      <c r="J27" s="50">
        <v>3</v>
      </c>
      <c r="K27" s="50">
        <v>0</v>
      </c>
      <c r="L27" s="50">
        <v>0</v>
      </c>
      <c r="M27" s="50">
        <v>64</v>
      </c>
      <c r="N27" s="50">
        <v>0</v>
      </c>
      <c r="O27" s="15">
        <f t="shared" si="0"/>
        <v>43</v>
      </c>
      <c r="P27" s="15">
        <f t="shared" si="1"/>
        <v>107</v>
      </c>
      <c r="R27" s="29" t="s">
        <v>87</v>
      </c>
      <c r="S27" s="16">
        <f t="shared" ref="S27:AF27" si="19">SUM(S19:S21)</f>
        <v>989</v>
      </c>
      <c r="T27" s="16">
        <f t="shared" si="19"/>
        <v>428</v>
      </c>
      <c r="U27" s="16">
        <f t="shared" si="19"/>
        <v>167</v>
      </c>
      <c r="V27" s="16">
        <f t="shared" si="19"/>
        <v>142</v>
      </c>
      <c r="W27" s="16">
        <f t="shared" si="19"/>
        <v>4</v>
      </c>
      <c r="X27" s="16">
        <f t="shared" si="19"/>
        <v>1</v>
      </c>
      <c r="Y27" s="16">
        <f t="shared" si="19"/>
        <v>32</v>
      </c>
      <c r="Z27" s="16">
        <f t="shared" si="19"/>
        <v>8</v>
      </c>
      <c r="AA27" s="16">
        <f t="shared" si="19"/>
        <v>2</v>
      </c>
      <c r="AB27" s="16">
        <f t="shared" si="19"/>
        <v>0</v>
      </c>
      <c r="AC27" s="16">
        <f t="shared" si="19"/>
        <v>564</v>
      </c>
      <c r="AD27" s="16">
        <f t="shared" si="19"/>
        <v>0</v>
      </c>
      <c r="AE27" s="32">
        <f t="shared" si="19"/>
        <v>1773</v>
      </c>
      <c r="AF27" s="32">
        <f t="shared" si="19"/>
        <v>2337</v>
      </c>
    </row>
    <row r="28" spans="2:32" ht="23.1" customHeight="1" x14ac:dyDescent="0.25">
      <c r="B28" s="23" t="s">
        <v>55</v>
      </c>
      <c r="C28" s="50">
        <v>11</v>
      </c>
      <c r="D28" s="50">
        <v>6</v>
      </c>
      <c r="E28" s="50">
        <v>4</v>
      </c>
      <c r="F28" s="50">
        <v>9</v>
      </c>
      <c r="G28" s="50">
        <v>0</v>
      </c>
      <c r="H28" s="50">
        <v>0</v>
      </c>
      <c r="I28" s="50">
        <v>4</v>
      </c>
      <c r="J28" s="50">
        <v>0</v>
      </c>
      <c r="K28" s="50">
        <v>0</v>
      </c>
      <c r="L28" s="50">
        <v>0</v>
      </c>
      <c r="M28" s="50">
        <v>48</v>
      </c>
      <c r="N28" s="50">
        <v>0</v>
      </c>
      <c r="O28" s="15">
        <f t="shared" si="0"/>
        <v>34</v>
      </c>
      <c r="P28" s="15">
        <f t="shared" si="1"/>
        <v>82</v>
      </c>
      <c r="R28" s="5" t="s">
        <v>17</v>
      </c>
      <c r="S28" s="16">
        <f t="shared" ref="S28:AF28" si="20">SUM(S10:S21)</f>
        <v>1524</v>
      </c>
      <c r="T28" s="16">
        <f t="shared" si="20"/>
        <v>704</v>
      </c>
      <c r="U28" s="16">
        <f t="shared" si="20"/>
        <v>352</v>
      </c>
      <c r="V28" s="16">
        <f t="shared" si="20"/>
        <v>362</v>
      </c>
      <c r="W28" s="16">
        <f t="shared" si="20"/>
        <v>5</v>
      </c>
      <c r="X28" s="16">
        <f t="shared" si="20"/>
        <v>1</v>
      </c>
      <c r="Y28" s="16">
        <f t="shared" si="20"/>
        <v>101</v>
      </c>
      <c r="Z28" s="16">
        <f t="shared" si="20"/>
        <v>25</v>
      </c>
      <c r="AA28" s="16">
        <f t="shared" si="20"/>
        <v>6</v>
      </c>
      <c r="AB28" s="16">
        <f t="shared" si="20"/>
        <v>0</v>
      </c>
      <c r="AC28" s="16">
        <f t="shared" si="20"/>
        <v>2482</v>
      </c>
      <c r="AD28" s="16">
        <f t="shared" si="20"/>
        <v>0</v>
      </c>
      <c r="AE28" s="32">
        <f t="shared" si="20"/>
        <v>3080</v>
      </c>
      <c r="AF28" s="32">
        <f t="shared" si="20"/>
        <v>5562</v>
      </c>
    </row>
    <row r="29" spans="2:32" ht="23.1" customHeight="1" x14ac:dyDescent="0.25">
      <c r="B29" s="23" t="s">
        <v>56</v>
      </c>
      <c r="C29" s="50">
        <v>15</v>
      </c>
      <c r="D29" s="50">
        <v>5</v>
      </c>
      <c r="E29" s="50">
        <v>2</v>
      </c>
      <c r="F29" s="50">
        <v>4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33</v>
      </c>
      <c r="N29" s="50">
        <v>0</v>
      </c>
      <c r="O29" s="15">
        <f t="shared" si="0"/>
        <v>28</v>
      </c>
      <c r="P29" s="15">
        <f t="shared" si="1"/>
        <v>61</v>
      </c>
      <c r="R29"/>
      <c r="S29" s="20"/>
      <c r="T29" s="19"/>
    </row>
    <row r="30" spans="2:32" ht="23.1" customHeight="1" x14ac:dyDescent="0.25">
      <c r="B30" s="23" t="s">
        <v>57</v>
      </c>
      <c r="C30" s="50">
        <v>13</v>
      </c>
      <c r="D30" s="50">
        <v>3</v>
      </c>
      <c r="E30" s="50">
        <v>4</v>
      </c>
      <c r="F30" s="50">
        <v>5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30</v>
      </c>
      <c r="N30" s="50">
        <v>0</v>
      </c>
      <c r="O30" s="15">
        <f t="shared" si="0"/>
        <v>27</v>
      </c>
      <c r="P30" s="15">
        <f t="shared" si="1"/>
        <v>57</v>
      </c>
    </row>
    <row r="31" spans="2:32" ht="23.1" customHeight="1" x14ac:dyDescent="0.25">
      <c r="B31" s="24" t="s">
        <v>58</v>
      </c>
      <c r="C31" s="50">
        <v>15</v>
      </c>
      <c r="D31" s="50">
        <v>6</v>
      </c>
      <c r="E31" s="50">
        <v>3</v>
      </c>
      <c r="F31" s="50">
        <v>7</v>
      </c>
      <c r="G31" s="50">
        <v>0</v>
      </c>
      <c r="H31" s="50">
        <v>0</v>
      </c>
      <c r="I31" s="50">
        <v>5</v>
      </c>
      <c r="J31" s="50">
        <v>0</v>
      </c>
      <c r="K31" s="50">
        <v>0</v>
      </c>
      <c r="L31" s="50">
        <v>0</v>
      </c>
      <c r="M31" s="50">
        <v>37</v>
      </c>
      <c r="N31" s="50">
        <v>0</v>
      </c>
      <c r="O31" s="15">
        <f t="shared" si="0"/>
        <v>36</v>
      </c>
      <c r="P31" s="15">
        <f t="shared" si="1"/>
        <v>73</v>
      </c>
    </row>
    <row r="32" spans="2:32" ht="23.1" customHeight="1" x14ac:dyDescent="0.25">
      <c r="B32" s="24" t="s">
        <v>59</v>
      </c>
      <c r="C32" s="50">
        <v>13</v>
      </c>
      <c r="D32" s="50">
        <v>9</v>
      </c>
      <c r="E32" s="50">
        <v>5</v>
      </c>
      <c r="F32" s="50">
        <v>7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32</v>
      </c>
      <c r="N32" s="50">
        <v>0</v>
      </c>
      <c r="O32" s="15">
        <f t="shared" si="0"/>
        <v>36</v>
      </c>
      <c r="P32" s="15">
        <f t="shared" si="1"/>
        <v>68</v>
      </c>
    </row>
    <row r="33" spans="2:20" ht="23.1" customHeight="1" x14ac:dyDescent="0.25">
      <c r="B33" s="23" t="s">
        <v>60</v>
      </c>
      <c r="C33" s="50">
        <v>11</v>
      </c>
      <c r="D33" s="50">
        <v>7</v>
      </c>
      <c r="E33" s="50">
        <v>4</v>
      </c>
      <c r="F33" s="50">
        <v>6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36</v>
      </c>
      <c r="N33" s="50">
        <v>0</v>
      </c>
      <c r="O33" s="15">
        <f t="shared" si="0"/>
        <v>30</v>
      </c>
      <c r="P33" s="15">
        <f t="shared" si="1"/>
        <v>66</v>
      </c>
    </row>
    <row r="34" spans="2:20" ht="23.1" customHeight="1" x14ac:dyDescent="0.25">
      <c r="B34" s="24" t="s">
        <v>61</v>
      </c>
      <c r="C34" s="50">
        <v>9</v>
      </c>
      <c r="D34" s="50">
        <v>5</v>
      </c>
      <c r="E34" s="50">
        <v>3</v>
      </c>
      <c r="F34" s="50">
        <v>6</v>
      </c>
      <c r="G34" s="50">
        <v>0</v>
      </c>
      <c r="H34" s="50">
        <v>0</v>
      </c>
      <c r="I34" s="50">
        <v>2</v>
      </c>
      <c r="J34" s="50">
        <v>0</v>
      </c>
      <c r="K34" s="50">
        <v>1</v>
      </c>
      <c r="L34" s="50">
        <v>0</v>
      </c>
      <c r="M34" s="50">
        <v>31</v>
      </c>
      <c r="N34" s="50">
        <v>0</v>
      </c>
      <c r="O34" s="15">
        <f t="shared" si="0"/>
        <v>26</v>
      </c>
      <c r="P34" s="15">
        <f t="shared" si="1"/>
        <v>57</v>
      </c>
    </row>
    <row r="35" spans="2:20" ht="23.1" customHeight="1" x14ac:dyDescent="0.25">
      <c r="B35" s="24" t="s">
        <v>62</v>
      </c>
      <c r="C35" s="50">
        <v>12</v>
      </c>
      <c r="D35" s="50">
        <v>8</v>
      </c>
      <c r="E35" s="50">
        <v>4</v>
      </c>
      <c r="F35" s="50">
        <v>5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0</v>
      </c>
      <c r="M35" s="50">
        <v>29</v>
      </c>
      <c r="N35" s="50">
        <v>0</v>
      </c>
      <c r="O35" s="15">
        <f t="shared" si="0"/>
        <v>32</v>
      </c>
      <c r="P35" s="15">
        <f t="shared" si="1"/>
        <v>61</v>
      </c>
    </row>
    <row r="36" spans="2:20" ht="23.1" customHeight="1" x14ac:dyDescent="0.25">
      <c r="B36" s="24" t="s">
        <v>63</v>
      </c>
      <c r="C36" s="50">
        <v>10</v>
      </c>
      <c r="D36" s="50">
        <v>11</v>
      </c>
      <c r="E36" s="50">
        <v>5</v>
      </c>
      <c r="F36" s="50">
        <v>3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33</v>
      </c>
      <c r="N36" s="50">
        <v>0</v>
      </c>
      <c r="O36" s="15">
        <f t="shared" si="0"/>
        <v>30</v>
      </c>
      <c r="P36" s="15">
        <f t="shared" si="1"/>
        <v>63</v>
      </c>
    </row>
    <row r="37" spans="2:20" ht="23.1" customHeight="1" x14ac:dyDescent="0.25">
      <c r="B37" s="23" t="s">
        <v>64</v>
      </c>
      <c r="C37" s="50">
        <v>8</v>
      </c>
      <c r="D37" s="50">
        <v>9</v>
      </c>
      <c r="E37" s="50">
        <v>3</v>
      </c>
      <c r="F37" s="50">
        <v>7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31</v>
      </c>
      <c r="N37" s="50">
        <v>0</v>
      </c>
      <c r="O37" s="15">
        <f t="shared" si="0"/>
        <v>27</v>
      </c>
      <c r="P37" s="15">
        <f t="shared" si="1"/>
        <v>58</v>
      </c>
    </row>
    <row r="38" spans="2:20" ht="23.1" customHeight="1" x14ac:dyDescent="0.25">
      <c r="B38" s="24" t="s">
        <v>65</v>
      </c>
      <c r="C38" s="50">
        <v>10</v>
      </c>
      <c r="D38" s="50">
        <v>7</v>
      </c>
      <c r="E38" s="50">
        <v>4</v>
      </c>
      <c r="F38" s="50">
        <v>6</v>
      </c>
      <c r="G38" s="50">
        <v>0</v>
      </c>
      <c r="H38" s="50">
        <v>0</v>
      </c>
      <c r="I38" s="50">
        <v>2</v>
      </c>
      <c r="J38" s="50">
        <v>0</v>
      </c>
      <c r="K38" s="50">
        <v>1</v>
      </c>
      <c r="L38" s="50">
        <v>0</v>
      </c>
      <c r="M38" s="50">
        <v>34</v>
      </c>
      <c r="N38" s="50">
        <v>0</v>
      </c>
      <c r="O38" s="15">
        <f t="shared" si="0"/>
        <v>30</v>
      </c>
      <c r="P38" s="15">
        <f t="shared" si="1"/>
        <v>64</v>
      </c>
    </row>
    <row r="39" spans="2:20" ht="23.1" customHeight="1" x14ac:dyDescent="0.25">
      <c r="B39" s="24" t="s">
        <v>66</v>
      </c>
      <c r="C39" s="50">
        <v>13</v>
      </c>
      <c r="D39" s="50">
        <v>5</v>
      </c>
      <c r="E39" s="50">
        <v>3</v>
      </c>
      <c r="F39" s="50">
        <v>4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31</v>
      </c>
      <c r="N39" s="50">
        <v>0</v>
      </c>
      <c r="O39" s="15">
        <f t="shared" si="0"/>
        <v>26</v>
      </c>
      <c r="P39" s="15">
        <f t="shared" si="1"/>
        <v>57</v>
      </c>
    </row>
    <row r="40" spans="2:20" ht="23.1" customHeight="1" x14ac:dyDescent="0.25">
      <c r="B40" s="24" t="s">
        <v>67</v>
      </c>
      <c r="C40" s="50">
        <v>10</v>
      </c>
      <c r="D40" s="50">
        <v>4</v>
      </c>
      <c r="E40" s="50">
        <v>5</v>
      </c>
      <c r="F40" s="50">
        <v>7</v>
      </c>
      <c r="G40" s="50">
        <v>0</v>
      </c>
      <c r="H40" s="50">
        <v>0</v>
      </c>
      <c r="I40" s="50">
        <v>3</v>
      </c>
      <c r="J40" s="50">
        <v>1</v>
      </c>
      <c r="K40" s="50">
        <v>0</v>
      </c>
      <c r="L40" s="50">
        <v>0</v>
      </c>
      <c r="M40" s="50">
        <v>36</v>
      </c>
      <c r="N40" s="50">
        <v>0</v>
      </c>
      <c r="O40" s="15">
        <f t="shared" si="0"/>
        <v>30</v>
      </c>
      <c r="P40" s="15">
        <f t="shared" si="1"/>
        <v>66</v>
      </c>
    </row>
    <row r="41" spans="2:20" ht="23.1" customHeight="1" x14ac:dyDescent="0.25">
      <c r="B41" s="23" t="s">
        <v>68</v>
      </c>
      <c r="C41" s="50">
        <v>14</v>
      </c>
      <c r="D41" s="50">
        <v>6</v>
      </c>
      <c r="E41" s="50">
        <v>2</v>
      </c>
      <c r="F41" s="50">
        <v>5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34</v>
      </c>
      <c r="N41" s="50">
        <v>0</v>
      </c>
      <c r="O41" s="15">
        <f t="shared" si="0"/>
        <v>27</v>
      </c>
      <c r="P41" s="15">
        <f t="shared" si="1"/>
        <v>61</v>
      </c>
    </row>
    <row r="42" spans="2:20" ht="23.1" customHeight="1" x14ac:dyDescent="0.25">
      <c r="B42" s="24" t="s">
        <v>69</v>
      </c>
      <c r="C42" s="50">
        <v>14</v>
      </c>
      <c r="D42" s="50">
        <v>6</v>
      </c>
      <c r="E42" s="50">
        <v>8</v>
      </c>
      <c r="F42" s="50">
        <v>4</v>
      </c>
      <c r="G42" s="50">
        <v>0</v>
      </c>
      <c r="H42" s="50">
        <v>0</v>
      </c>
      <c r="I42" s="50">
        <v>2</v>
      </c>
      <c r="J42" s="50">
        <v>1</v>
      </c>
      <c r="K42" s="50">
        <v>1</v>
      </c>
      <c r="L42" s="50">
        <v>0</v>
      </c>
      <c r="M42" s="50">
        <v>31</v>
      </c>
      <c r="N42" s="50">
        <v>0</v>
      </c>
      <c r="O42" s="15">
        <f t="shared" si="0"/>
        <v>36</v>
      </c>
      <c r="P42" s="15">
        <f t="shared" si="1"/>
        <v>67</v>
      </c>
    </row>
    <row r="43" spans="2:20" ht="23.1" customHeight="1" x14ac:dyDescent="0.25">
      <c r="B43" s="23" t="s">
        <v>70</v>
      </c>
      <c r="C43" s="50">
        <v>22</v>
      </c>
      <c r="D43" s="50">
        <v>7</v>
      </c>
      <c r="E43" s="50">
        <v>6</v>
      </c>
      <c r="F43" s="50">
        <v>7</v>
      </c>
      <c r="G43" s="50">
        <v>0</v>
      </c>
      <c r="H43" s="50">
        <v>0</v>
      </c>
      <c r="I43" s="50">
        <v>3</v>
      </c>
      <c r="J43" s="50">
        <v>0</v>
      </c>
      <c r="K43" s="50">
        <v>1</v>
      </c>
      <c r="L43" s="50">
        <v>0</v>
      </c>
      <c r="M43" s="50">
        <v>34</v>
      </c>
      <c r="N43" s="50">
        <v>0</v>
      </c>
      <c r="O43" s="15">
        <f t="shared" si="0"/>
        <v>46</v>
      </c>
      <c r="P43" s="15">
        <f t="shared" si="1"/>
        <v>80</v>
      </c>
    </row>
    <row r="44" spans="2:20" ht="23.1" customHeight="1" x14ac:dyDescent="0.25">
      <c r="B44" s="25" t="s">
        <v>71</v>
      </c>
      <c r="C44" s="50">
        <v>19</v>
      </c>
      <c r="D44" s="50">
        <v>6</v>
      </c>
      <c r="E44" s="50">
        <v>4</v>
      </c>
      <c r="F44" s="50">
        <v>5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0</v>
      </c>
      <c r="M44" s="50">
        <v>32</v>
      </c>
      <c r="N44" s="50">
        <v>0</v>
      </c>
      <c r="O44" s="15">
        <f t="shared" si="0"/>
        <v>38</v>
      </c>
      <c r="P44" s="15">
        <f t="shared" si="1"/>
        <v>70</v>
      </c>
    </row>
    <row r="45" spans="2:20" ht="23.1" customHeight="1" x14ac:dyDescent="0.25">
      <c r="B45" s="23" t="s">
        <v>72</v>
      </c>
      <c r="C45" s="50">
        <v>21</v>
      </c>
      <c r="D45" s="50">
        <v>10</v>
      </c>
      <c r="E45" s="50">
        <v>7</v>
      </c>
      <c r="F45" s="50">
        <v>4</v>
      </c>
      <c r="G45" s="50">
        <v>0</v>
      </c>
      <c r="H45" s="50">
        <v>0</v>
      </c>
      <c r="I45" s="50">
        <v>1</v>
      </c>
      <c r="J45" s="50">
        <v>2</v>
      </c>
      <c r="K45" s="50">
        <v>0</v>
      </c>
      <c r="L45" s="50">
        <v>0</v>
      </c>
      <c r="M45" s="50">
        <v>37</v>
      </c>
      <c r="N45" s="50">
        <v>0</v>
      </c>
      <c r="O45" s="15">
        <f t="shared" si="0"/>
        <v>45</v>
      </c>
      <c r="P45" s="15">
        <f t="shared" si="1"/>
        <v>82</v>
      </c>
    </row>
    <row r="46" spans="2:20" ht="23.1" customHeight="1" x14ac:dyDescent="0.25">
      <c r="B46" s="24" t="s">
        <v>73</v>
      </c>
      <c r="C46" s="50">
        <v>27</v>
      </c>
      <c r="D46" s="50">
        <v>12</v>
      </c>
      <c r="E46" s="50">
        <v>7</v>
      </c>
      <c r="F46" s="50">
        <v>13</v>
      </c>
      <c r="G46" s="50">
        <v>0</v>
      </c>
      <c r="H46" s="50">
        <v>0</v>
      </c>
      <c r="I46" s="50">
        <v>3</v>
      </c>
      <c r="J46" s="50">
        <v>2</v>
      </c>
      <c r="K46" s="50">
        <v>0</v>
      </c>
      <c r="L46" s="50">
        <v>0</v>
      </c>
      <c r="M46" s="50">
        <v>39</v>
      </c>
      <c r="N46" s="50">
        <v>0</v>
      </c>
      <c r="O46" s="15">
        <f t="shared" si="0"/>
        <v>64</v>
      </c>
      <c r="P46" s="15">
        <f t="shared" si="1"/>
        <v>103</v>
      </c>
      <c r="R46" s="8"/>
      <c r="T46"/>
    </row>
    <row r="47" spans="2:20" ht="23.1" customHeight="1" x14ac:dyDescent="0.25">
      <c r="B47" s="24" t="s">
        <v>74</v>
      </c>
      <c r="C47" s="50">
        <v>34</v>
      </c>
      <c r="D47" s="50">
        <v>11</v>
      </c>
      <c r="E47" s="50">
        <v>8</v>
      </c>
      <c r="F47" s="50">
        <v>11</v>
      </c>
      <c r="G47" s="50">
        <v>0</v>
      </c>
      <c r="H47" s="50">
        <v>0</v>
      </c>
      <c r="I47" s="50">
        <v>1</v>
      </c>
      <c r="J47" s="50">
        <v>3</v>
      </c>
      <c r="K47" s="50">
        <v>0</v>
      </c>
      <c r="L47" s="50">
        <v>0</v>
      </c>
      <c r="M47" s="50">
        <v>47</v>
      </c>
      <c r="N47" s="50">
        <v>0</v>
      </c>
      <c r="O47" s="15">
        <f t="shared" si="0"/>
        <v>68</v>
      </c>
      <c r="P47" s="15">
        <f t="shared" si="1"/>
        <v>115</v>
      </c>
      <c r="R47" s="8"/>
      <c r="T47"/>
    </row>
    <row r="48" spans="2:20" ht="23.1" customHeight="1" x14ac:dyDescent="0.25">
      <c r="B48" s="24" t="s">
        <v>75</v>
      </c>
      <c r="C48" s="50">
        <v>78</v>
      </c>
      <c r="D48" s="50">
        <v>37</v>
      </c>
      <c r="E48" s="50">
        <v>13</v>
      </c>
      <c r="F48" s="50">
        <v>13</v>
      </c>
      <c r="G48" s="50">
        <v>0</v>
      </c>
      <c r="H48" s="50">
        <v>1</v>
      </c>
      <c r="I48" s="50">
        <v>4</v>
      </c>
      <c r="J48" s="50">
        <v>0</v>
      </c>
      <c r="K48" s="50">
        <v>0</v>
      </c>
      <c r="L48" s="50">
        <v>0</v>
      </c>
      <c r="M48" s="50">
        <v>49</v>
      </c>
      <c r="N48" s="50">
        <v>0</v>
      </c>
      <c r="O48" s="15">
        <f t="shared" si="0"/>
        <v>146</v>
      </c>
      <c r="P48" s="15">
        <f t="shared" si="1"/>
        <v>195</v>
      </c>
      <c r="R48" s="8"/>
      <c r="T48"/>
    </row>
    <row r="49" spans="2:20" ht="23.1" customHeight="1" x14ac:dyDescent="0.25">
      <c r="B49" s="23" t="s">
        <v>76</v>
      </c>
      <c r="C49" s="50">
        <v>92</v>
      </c>
      <c r="D49" s="50">
        <v>49</v>
      </c>
      <c r="E49" s="50">
        <v>25</v>
      </c>
      <c r="F49" s="50">
        <v>11</v>
      </c>
      <c r="G49" s="50">
        <v>2</v>
      </c>
      <c r="H49" s="50">
        <v>0</v>
      </c>
      <c r="I49" s="50">
        <v>3</v>
      </c>
      <c r="J49" s="50">
        <v>1</v>
      </c>
      <c r="K49" s="50">
        <v>1</v>
      </c>
      <c r="L49" s="50">
        <v>0</v>
      </c>
      <c r="M49" s="50">
        <v>44</v>
      </c>
      <c r="N49" s="50">
        <v>0</v>
      </c>
      <c r="O49" s="15">
        <f t="shared" si="0"/>
        <v>184</v>
      </c>
      <c r="P49" s="15">
        <f t="shared" si="1"/>
        <v>228</v>
      </c>
      <c r="R49" s="8"/>
      <c r="T49"/>
    </row>
    <row r="50" spans="2:20" ht="23.1" customHeight="1" x14ac:dyDescent="0.25">
      <c r="B50" s="24" t="s">
        <v>77</v>
      </c>
      <c r="C50" s="50">
        <v>89</v>
      </c>
      <c r="D50" s="50">
        <v>43</v>
      </c>
      <c r="E50" s="50">
        <v>22</v>
      </c>
      <c r="F50" s="50">
        <v>8</v>
      </c>
      <c r="G50" s="50">
        <v>2</v>
      </c>
      <c r="H50" s="50">
        <v>0</v>
      </c>
      <c r="I50" s="50">
        <v>3</v>
      </c>
      <c r="J50" s="50">
        <v>1</v>
      </c>
      <c r="K50" s="50">
        <v>1</v>
      </c>
      <c r="L50" s="50">
        <v>0</v>
      </c>
      <c r="M50" s="50">
        <v>42</v>
      </c>
      <c r="N50" s="50">
        <v>0</v>
      </c>
      <c r="O50" s="15">
        <f t="shared" si="0"/>
        <v>169</v>
      </c>
      <c r="P50" s="15">
        <f t="shared" si="1"/>
        <v>211</v>
      </c>
      <c r="R50" s="8"/>
      <c r="T50"/>
    </row>
    <row r="51" spans="2:20" ht="23.1" customHeight="1" x14ac:dyDescent="0.25">
      <c r="B51" s="24" t="s">
        <v>78</v>
      </c>
      <c r="C51" s="50">
        <v>106</v>
      </c>
      <c r="D51" s="50">
        <v>47</v>
      </c>
      <c r="E51" s="50">
        <v>19</v>
      </c>
      <c r="F51" s="50">
        <v>11</v>
      </c>
      <c r="G51" s="50">
        <v>0</v>
      </c>
      <c r="H51" s="50">
        <v>0</v>
      </c>
      <c r="I51" s="50">
        <v>8</v>
      </c>
      <c r="J51" s="50">
        <v>0</v>
      </c>
      <c r="K51" s="50">
        <v>0</v>
      </c>
      <c r="L51" s="50">
        <v>0</v>
      </c>
      <c r="M51" s="50">
        <v>39</v>
      </c>
      <c r="N51" s="50">
        <v>0</v>
      </c>
      <c r="O51" s="15">
        <f t="shared" si="0"/>
        <v>191</v>
      </c>
      <c r="P51" s="15">
        <f t="shared" si="1"/>
        <v>230</v>
      </c>
      <c r="R51" s="8"/>
      <c r="T51"/>
    </row>
    <row r="52" spans="2:20" ht="23.1" customHeight="1" x14ac:dyDescent="0.25">
      <c r="B52" s="24" t="s">
        <v>79</v>
      </c>
      <c r="C52" s="50">
        <v>99</v>
      </c>
      <c r="D52" s="50">
        <v>45</v>
      </c>
      <c r="E52" s="50">
        <v>13</v>
      </c>
      <c r="F52" s="50">
        <v>14</v>
      </c>
      <c r="G52" s="50">
        <v>0</v>
      </c>
      <c r="H52" s="50">
        <v>0</v>
      </c>
      <c r="I52" s="50">
        <v>3</v>
      </c>
      <c r="J52" s="50">
        <v>1</v>
      </c>
      <c r="K52" s="50">
        <v>0</v>
      </c>
      <c r="L52" s="50">
        <v>0</v>
      </c>
      <c r="M52" s="50">
        <v>48</v>
      </c>
      <c r="N52" s="50">
        <v>0</v>
      </c>
      <c r="O52" s="15">
        <f t="shared" si="0"/>
        <v>175</v>
      </c>
      <c r="P52" s="15">
        <f t="shared" si="1"/>
        <v>223</v>
      </c>
      <c r="R52" s="8"/>
      <c r="T52"/>
    </row>
    <row r="53" spans="2:20" ht="23.1" customHeight="1" x14ac:dyDescent="0.25">
      <c r="B53" s="23" t="s">
        <v>80</v>
      </c>
      <c r="C53" s="50">
        <v>96</v>
      </c>
      <c r="D53" s="50">
        <v>38</v>
      </c>
      <c r="E53" s="50">
        <v>11</v>
      </c>
      <c r="F53" s="50">
        <v>10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46</v>
      </c>
      <c r="N53" s="50">
        <v>0</v>
      </c>
      <c r="O53" s="15">
        <f t="shared" si="0"/>
        <v>155</v>
      </c>
      <c r="P53" s="15">
        <f t="shared" si="1"/>
        <v>201</v>
      </c>
      <c r="R53" s="8"/>
      <c r="T53"/>
    </row>
    <row r="54" spans="2:20" ht="23.1" customHeight="1" x14ac:dyDescent="0.25">
      <c r="B54" s="23" t="s">
        <v>81</v>
      </c>
      <c r="C54" s="50">
        <v>92</v>
      </c>
      <c r="D54" s="50">
        <v>36</v>
      </c>
      <c r="E54" s="50">
        <v>13</v>
      </c>
      <c r="F54" s="50">
        <v>11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51</v>
      </c>
      <c r="N54" s="50">
        <v>0</v>
      </c>
      <c r="O54" s="15">
        <f t="shared" si="0"/>
        <v>154</v>
      </c>
      <c r="P54" s="15">
        <f t="shared" si="1"/>
        <v>205</v>
      </c>
      <c r="R54" s="8"/>
      <c r="T54"/>
    </row>
    <row r="55" spans="2:20" ht="23.1" customHeight="1" x14ac:dyDescent="0.25">
      <c r="B55" s="23" t="s">
        <v>82</v>
      </c>
      <c r="C55" s="50">
        <v>95</v>
      </c>
      <c r="D55" s="50">
        <v>32</v>
      </c>
      <c r="E55" s="50">
        <v>16</v>
      </c>
      <c r="F55" s="50">
        <v>17</v>
      </c>
      <c r="G55" s="50">
        <v>0</v>
      </c>
      <c r="H55" s="50">
        <v>0</v>
      </c>
      <c r="I55" s="50">
        <v>5</v>
      </c>
      <c r="J55" s="50">
        <v>0</v>
      </c>
      <c r="K55" s="50">
        <v>0</v>
      </c>
      <c r="L55" s="50">
        <v>0</v>
      </c>
      <c r="M55" s="50">
        <v>59</v>
      </c>
      <c r="N55" s="50">
        <v>0</v>
      </c>
      <c r="O55" s="15">
        <f t="shared" si="0"/>
        <v>165</v>
      </c>
      <c r="P55" s="15">
        <f t="shared" si="1"/>
        <v>224</v>
      </c>
      <c r="R55" s="8"/>
      <c r="T55"/>
    </row>
    <row r="56" spans="2:20" ht="23.1" customHeight="1" x14ac:dyDescent="0.25">
      <c r="B56" s="23" t="s">
        <v>83</v>
      </c>
      <c r="C56" s="50">
        <v>93</v>
      </c>
      <c r="D56" s="50">
        <v>45</v>
      </c>
      <c r="E56" s="50">
        <v>12</v>
      </c>
      <c r="F56" s="50">
        <v>13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52</v>
      </c>
      <c r="N56" s="50">
        <v>0</v>
      </c>
      <c r="O56" s="15">
        <f t="shared" si="0"/>
        <v>163</v>
      </c>
      <c r="P56" s="15">
        <f t="shared" si="1"/>
        <v>215</v>
      </c>
      <c r="R56" s="8"/>
      <c r="T56"/>
    </row>
    <row r="57" spans="2:20" ht="23.1" customHeight="1" x14ac:dyDescent="0.25">
      <c r="B57" s="23" t="s">
        <v>84</v>
      </c>
      <c r="C57" s="50">
        <v>88</v>
      </c>
      <c r="D57" s="50">
        <v>33</v>
      </c>
      <c r="E57" s="50">
        <v>8</v>
      </c>
      <c r="F57" s="50">
        <v>10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48</v>
      </c>
      <c r="N57" s="50">
        <v>0</v>
      </c>
      <c r="O57" s="15">
        <f t="shared" si="0"/>
        <v>139</v>
      </c>
      <c r="P57" s="15">
        <f t="shared" si="1"/>
        <v>187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1524</v>
      </c>
      <c r="D58" s="16">
        <f t="shared" si="21"/>
        <v>704</v>
      </c>
      <c r="E58" s="16">
        <f t="shared" si="21"/>
        <v>352</v>
      </c>
      <c r="F58" s="16">
        <f t="shared" si="21"/>
        <v>362</v>
      </c>
      <c r="G58" s="16">
        <f t="shared" si="21"/>
        <v>5</v>
      </c>
      <c r="H58" s="16">
        <f t="shared" si="21"/>
        <v>1</v>
      </c>
      <c r="I58" s="16">
        <f t="shared" si="21"/>
        <v>101</v>
      </c>
      <c r="J58" s="16">
        <f t="shared" si="21"/>
        <v>25</v>
      </c>
      <c r="K58" s="16">
        <f t="shared" si="21"/>
        <v>6</v>
      </c>
      <c r="L58" s="16">
        <f t="shared" si="21"/>
        <v>0</v>
      </c>
      <c r="M58" s="16">
        <f t="shared" si="21"/>
        <v>2482</v>
      </c>
      <c r="N58" s="16">
        <f t="shared" si="21"/>
        <v>0</v>
      </c>
      <c r="O58" s="16">
        <f t="shared" si="21"/>
        <v>3080</v>
      </c>
      <c r="P58" s="16">
        <f t="shared" si="21"/>
        <v>5562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0.27400215749730311</v>
      </c>
      <c r="D59" s="43">
        <f t="shared" si="22"/>
        <v>0.12657317511686444</v>
      </c>
      <c r="E59" s="43">
        <f t="shared" si="22"/>
        <v>6.3286587558432222E-2</v>
      </c>
      <c r="F59" s="43">
        <f t="shared" si="22"/>
        <v>6.5084501977705864E-2</v>
      </c>
      <c r="G59" s="43">
        <f t="shared" si="22"/>
        <v>8.9895720963682128E-4</v>
      </c>
      <c r="H59" s="43">
        <f t="shared" si="22"/>
        <v>1.7979144192736425E-4</v>
      </c>
      <c r="I59" s="43">
        <f t="shared" si="22"/>
        <v>1.8158935634663791E-2</v>
      </c>
      <c r="J59" s="43">
        <f t="shared" si="22"/>
        <v>4.4947860481841066E-3</v>
      </c>
      <c r="K59" s="43">
        <f t="shared" si="22"/>
        <v>1.0787486515641855E-3</v>
      </c>
      <c r="L59" s="43">
        <f t="shared" si="22"/>
        <v>0</v>
      </c>
      <c r="M59" s="43">
        <f t="shared" si="22"/>
        <v>0.4462423588637181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0.4948051948051948</v>
      </c>
      <c r="D60" s="44">
        <f t="shared" ref="D60:N60" si="23">D58/$O$58</f>
        <v>0.22857142857142856</v>
      </c>
      <c r="E60" s="44">
        <f t="shared" si="23"/>
        <v>0.11428571428571428</v>
      </c>
      <c r="F60" s="44">
        <f t="shared" si="23"/>
        <v>0.11753246753246753</v>
      </c>
      <c r="G60" s="44">
        <f t="shared" si="23"/>
        <v>1.6233766233766235E-3</v>
      </c>
      <c r="H60" s="44">
        <f t="shared" si="23"/>
        <v>3.2467532467532468E-4</v>
      </c>
      <c r="I60" s="44">
        <f t="shared" si="23"/>
        <v>3.2792207792207789E-2</v>
      </c>
      <c r="J60" s="44">
        <f t="shared" si="23"/>
        <v>8.1168831168831161E-3</v>
      </c>
      <c r="K60" s="44">
        <f t="shared" si="23"/>
        <v>1.9480519480519481E-3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6" zoomScale="30" zoomScaleSheetLayoutView="3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Kisasi-Bukoto'!C3:G3</f>
        <v>MCC - C1 - STN32 - BUKOTO KISASI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63" t="str">
        <f>'29.07 Kisasi-Bukoto'!G5:H5</f>
        <v>KISASI</v>
      </c>
      <c r="H5" s="64"/>
      <c r="I5" s="14"/>
      <c r="J5" s="2" t="s">
        <v>5</v>
      </c>
      <c r="K5" s="63" t="str">
        <f>'29.07 Kisasi-Bukoto'!K5:L5</f>
        <v>RWAMBITITO J./NICHOL A./GEORGE W.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'29.07 Kisasi-Bukoto'!D6:E6</f>
        <v>KISASI</v>
      </c>
      <c r="E6" s="64"/>
      <c r="F6" s="2" t="s">
        <v>2</v>
      </c>
      <c r="G6" s="63" t="str">
        <f>'29.07 Kisasi-Bukoto'!G6:H6</f>
        <v>BUKOTO</v>
      </c>
      <c r="H6" s="64"/>
      <c r="J6" s="2" t="s">
        <v>21</v>
      </c>
      <c r="K6" s="63" t="str">
        <f>'29.07 Kisasi-Bukoto'!K6:L6</f>
        <v>SALIMA L.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70</v>
      </c>
      <c r="D10" s="50">
        <v>43</v>
      </c>
      <c r="E10" s="50">
        <v>6</v>
      </c>
      <c r="F10" s="50">
        <v>18</v>
      </c>
      <c r="G10" s="50">
        <v>1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133</v>
      </c>
      <c r="N10" s="50">
        <v>0</v>
      </c>
      <c r="O10" s="15">
        <f t="shared" ref="O10:O57" si="0">SUM(C10:L10,N10)</f>
        <v>140</v>
      </c>
      <c r="P10" s="15">
        <f t="shared" ref="P10:P57" si="1">SUM(C10:N10)</f>
        <v>273</v>
      </c>
      <c r="R10" s="1" t="s">
        <v>6</v>
      </c>
      <c r="S10" s="17">
        <f t="shared" ref="S10:AF10" si="2">SUM(C10:C13)</f>
        <v>291</v>
      </c>
      <c r="T10" s="17">
        <f t="shared" si="2"/>
        <v>143</v>
      </c>
      <c r="U10" s="17">
        <f t="shared" si="2"/>
        <v>30</v>
      </c>
      <c r="V10" s="17">
        <f t="shared" si="2"/>
        <v>66</v>
      </c>
      <c r="W10" s="17">
        <f t="shared" si="2"/>
        <v>1</v>
      </c>
      <c r="X10" s="17">
        <f t="shared" si="2"/>
        <v>0</v>
      </c>
      <c r="Y10" s="17">
        <f t="shared" si="2"/>
        <v>5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412</v>
      </c>
      <c r="AD10" s="17">
        <f t="shared" si="2"/>
        <v>0</v>
      </c>
      <c r="AE10" s="31">
        <f t="shared" si="2"/>
        <v>538</v>
      </c>
      <c r="AF10" s="31">
        <f t="shared" si="2"/>
        <v>950</v>
      </c>
    </row>
    <row r="11" spans="2:32" s="6" customFormat="1" ht="23.1" customHeight="1" x14ac:dyDescent="0.25">
      <c r="B11" s="23" t="s">
        <v>38</v>
      </c>
      <c r="C11" s="50">
        <v>80</v>
      </c>
      <c r="D11" s="50">
        <v>46</v>
      </c>
      <c r="E11" s="50">
        <v>13</v>
      </c>
      <c r="F11" s="50">
        <v>20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109</v>
      </c>
      <c r="N11" s="50">
        <v>0</v>
      </c>
      <c r="O11" s="15">
        <f t="shared" si="0"/>
        <v>160</v>
      </c>
      <c r="P11" s="15">
        <f t="shared" si="1"/>
        <v>269</v>
      </c>
      <c r="R11" s="1" t="s">
        <v>7</v>
      </c>
      <c r="S11" s="17">
        <f t="shared" ref="S11:AF11" si="3">SUM(C14:C17)</f>
        <v>241</v>
      </c>
      <c r="T11" s="17">
        <f t="shared" si="3"/>
        <v>134</v>
      </c>
      <c r="U11" s="17">
        <f t="shared" si="3"/>
        <v>24</v>
      </c>
      <c r="V11" s="17">
        <f t="shared" si="3"/>
        <v>52</v>
      </c>
      <c r="W11" s="17">
        <f t="shared" si="3"/>
        <v>0</v>
      </c>
      <c r="X11" s="17">
        <f t="shared" si="3"/>
        <v>0</v>
      </c>
      <c r="Y11" s="17">
        <f t="shared" si="3"/>
        <v>7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425</v>
      </c>
      <c r="AD11" s="17">
        <f t="shared" si="3"/>
        <v>0</v>
      </c>
      <c r="AE11" s="31">
        <f t="shared" si="3"/>
        <v>458</v>
      </c>
      <c r="AF11" s="31">
        <f t="shared" si="3"/>
        <v>883</v>
      </c>
    </row>
    <row r="12" spans="2:32" ht="23.1" customHeight="1" x14ac:dyDescent="0.25">
      <c r="B12" s="23" t="s">
        <v>39</v>
      </c>
      <c r="C12" s="50">
        <v>46</v>
      </c>
      <c r="D12" s="50">
        <v>13</v>
      </c>
      <c r="E12" s="50">
        <v>8</v>
      </c>
      <c r="F12" s="50">
        <v>8</v>
      </c>
      <c r="G12" s="50">
        <v>0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72</v>
      </c>
      <c r="N12" s="50">
        <v>0</v>
      </c>
      <c r="O12" s="15">
        <f t="shared" si="0"/>
        <v>78</v>
      </c>
      <c r="P12" s="15">
        <f t="shared" si="1"/>
        <v>150</v>
      </c>
      <c r="R12" s="1" t="s">
        <v>8</v>
      </c>
      <c r="S12" s="17">
        <f t="shared" ref="S12:AF12" si="4">SUM(C18:C21)</f>
        <v>187</v>
      </c>
      <c r="T12" s="17">
        <f t="shared" si="4"/>
        <v>88</v>
      </c>
      <c r="U12" s="17">
        <f t="shared" si="4"/>
        <v>12</v>
      </c>
      <c r="V12" s="17">
        <f t="shared" si="4"/>
        <v>46</v>
      </c>
      <c r="W12" s="17">
        <f t="shared" si="4"/>
        <v>0</v>
      </c>
      <c r="X12" s="17">
        <f t="shared" si="4"/>
        <v>1</v>
      </c>
      <c r="Y12" s="17">
        <f t="shared" si="4"/>
        <v>7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285</v>
      </c>
      <c r="AD12" s="17">
        <f t="shared" si="4"/>
        <v>0</v>
      </c>
      <c r="AE12" s="31">
        <f t="shared" si="4"/>
        <v>343</v>
      </c>
      <c r="AF12" s="31">
        <f t="shared" si="4"/>
        <v>628</v>
      </c>
    </row>
    <row r="13" spans="2:32" ht="23.1" customHeight="1" x14ac:dyDescent="0.25">
      <c r="B13" s="23" t="s">
        <v>40</v>
      </c>
      <c r="C13" s="50">
        <v>95</v>
      </c>
      <c r="D13" s="50">
        <v>41</v>
      </c>
      <c r="E13" s="50">
        <v>3</v>
      </c>
      <c r="F13" s="50">
        <v>20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98</v>
      </c>
      <c r="N13" s="50">
        <v>0</v>
      </c>
      <c r="O13" s="15">
        <f t="shared" si="0"/>
        <v>160</v>
      </c>
      <c r="P13" s="15">
        <f t="shared" si="1"/>
        <v>258</v>
      </c>
      <c r="R13" s="1" t="s">
        <v>9</v>
      </c>
      <c r="S13" s="17">
        <f t="shared" ref="S13:AF13" si="5">SUM(C22:C25)</f>
        <v>135</v>
      </c>
      <c r="T13" s="17">
        <f t="shared" si="5"/>
        <v>69</v>
      </c>
      <c r="U13" s="17">
        <f t="shared" si="5"/>
        <v>13</v>
      </c>
      <c r="V13" s="17">
        <f t="shared" si="5"/>
        <v>46</v>
      </c>
      <c r="W13" s="17">
        <f t="shared" si="5"/>
        <v>0</v>
      </c>
      <c r="X13" s="17">
        <f t="shared" si="5"/>
        <v>0</v>
      </c>
      <c r="Y13" s="17">
        <f t="shared" si="5"/>
        <v>12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301</v>
      </c>
      <c r="AD13" s="17">
        <f t="shared" si="5"/>
        <v>0</v>
      </c>
      <c r="AE13" s="31">
        <f t="shared" si="5"/>
        <v>275</v>
      </c>
      <c r="AF13" s="31">
        <f t="shared" si="5"/>
        <v>576</v>
      </c>
    </row>
    <row r="14" spans="2:32" ht="23.1" customHeight="1" x14ac:dyDescent="0.25">
      <c r="B14" s="23" t="s">
        <v>41</v>
      </c>
      <c r="C14" s="50">
        <v>84</v>
      </c>
      <c r="D14" s="50">
        <v>57</v>
      </c>
      <c r="E14" s="50">
        <v>7</v>
      </c>
      <c r="F14" s="50">
        <v>16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108</v>
      </c>
      <c r="N14" s="50">
        <v>0</v>
      </c>
      <c r="O14" s="15">
        <f t="shared" si="0"/>
        <v>167</v>
      </c>
      <c r="P14" s="15">
        <f t="shared" si="1"/>
        <v>275</v>
      </c>
      <c r="R14" s="1" t="s">
        <v>10</v>
      </c>
      <c r="S14" s="17">
        <f t="shared" ref="S14:AF14" si="6">SUM(C26:C29)</f>
        <v>115</v>
      </c>
      <c r="T14" s="17">
        <f t="shared" si="6"/>
        <v>65</v>
      </c>
      <c r="U14" s="17">
        <f t="shared" si="6"/>
        <v>3</v>
      </c>
      <c r="V14" s="17">
        <f t="shared" si="6"/>
        <v>48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235</v>
      </c>
      <c r="AD14" s="17">
        <f t="shared" si="6"/>
        <v>0</v>
      </c>
      <c r="AE14" s="31">
        <f t="shared" si="6"/>
        <v>237</v>
      </c>
      <c r="AF14" s="31">
        <f t="shared" si="6"/>
        <v>472</v>
      </c>
    </row>
    <row r="15" spans="2:32" ht="23.1" customHeight="1" x14ac:dyDescent="0.25">
      <c r="B15" s="23" t="s">
        <v>42</v>
      </c>
      <c r="C15" s="50">
        <v>69</v>
      </c>
      <c r="D15" s="50">
        <v>30</v>
      </c>
      <c r="E15" s="50">
        <v>10</v>
      </c>
      <c r="F15" s="50">
        <v>13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84</v>
      </c>
      <c r="N15" s="50">
        <v>0</v>
      </c>
      <c r="O15" s="15">
        <f t="shared" si="0"/>
        <v>124</v>
      </c>
      <c r="P15" s="15">
        <f t="shared" si="1"/>
        <v>208</v>
      </c>
      <c r="R15" s="1" t="s">
        <v>11</v>
      </c>
      <c r="S15" s="17">
        <f t="shared" ref="S15:AF15" si="7">SUM(C30:C33)</f>
        <v>98</v>
      </c>
      <c r="T15" s="17">
        <f t="shared" si="7"/>
        <v>58</v>
      </c>
      <c r="U15" s="17">
        <f t="shared" si="7"/>
        <v>6</v>
      </c>
      <c r="V15" s="17">
        <f t="shared" si="7"/>
        <v>37</v>
      </c>
      <c r="W15" s="17">
        <f t="shared" si="7"/>
        <v>0</v>
      </c>
      <c r="X15" s="17">
        <f t="shared" si="7"/>
        <v>0</v>
      </c>
      <c r="Y15" s="17">
        <f t="shared" si="7"/>
        <v>8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171</v>
      </c>
      <c r="AD15" s="17">
        <f t="shared" si="7"/>
        <v>0</v>
      </c>
      <c r="AE15" s="31">
        <f t="shared" si="7"/>
        <v>208</v>
      </c>
      <c r="AF15" s="31">
        <f t="shared" si="7"/>
        <v>379</v>
      </c>
    </row>
    <row r="16" spans="2:32" ht="23.1" customHeight="1" x14ac:dyDescent="0.25">
      <c r="B16" s="23" t="s">
        <v>43</v>
      </c>
      <c r="C16" s="50">
        <v>54</v>
      </c>
      <c r="D16" s="50">
        <v>18</v>
      </c>
      <c r="E16" s="50">
        <v>2</v>
      </c>
      <c r="F16" s="50">
        <v>12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120</v>
      </c>
      <c r="N16" s="50">
        <v>0</v>
      </c>
      <c r="O16" s="15">
        <f t="shared" si="0"/>
        <v>87</v>
      </c>
      <c r="P16" s="15">
        <f t="shared" si="1"/>
        <v>207</v>
      </c>
      <c r="R16" s="1" t="s">
        <v>12</v>
      </c>
      <c r="S16" s="17">
        <f t="shared" ref="S16:AF16" si="8">SUM(C34:C37)</f>
        <v>87</v>
      </c>
      <c r="T16" s="17">
        <f t="shared" si="8"/>
        <v>48</v>
      </c>
      <c r="U16" s="17">
        <f t="shared" si="8"/>
        <v>6</v>
      </c>
      <c r="V16" s="17">
        <f t="shared" si="8"/>
        <v>37</v>
      </c>
      <c r="W16" s="17">
        <f t="shared" si="8"/>
        <v>0</v>
      </c>
      <c r="X16" s="17">
        <f t="shared" si="8"/>
        <v>0</v>
      </c>
      <c r="Y16" s="17">
        <f t="shared" si="8"/>
        <v>9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229</v>
      </c>
      <c r="AD16" s="17">
        <f t="shared" si="8"/>
        <v>0</v>
      </c>
      <c r="AE16" s="31">
        <f t="shared" si="8"/>
        <v>187</v>
      </c>
      <c r="AF16" s="31">
        <f t="shared" si="8"/>
        <v>416</v>
      </c>
    </row>
    <row r="17" spans="2:32" ht="23.1" customHeight="1" x14ac:dyDescent="0.25">
      <c r="B17" s="23" t="s">
        <v>44</v>
      </c>
      <c r="C17" s="50">
        <v>34</v>
      </c>
      <c r="D17" s="50">
        <v>29</v>
      </c>
      <c r="E17" s="50">
        <v>5</v>
      </c>
      <c r="F17" s="50">
        <v>11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113</v>
      </c>
      <c r="N17" s="50">
        <v>0</v>
      </c>
      <c r="O17" s="15">
        <f t="shared" si="0"/>
        <v>80</v>
      </c>
      <c r="P17" s="15">
        <f t="shared" si="1"/>
        <v>193</v>
      </c>
      <c r="R17" s="1" t="s">
        <v>13</v>
      </c>
      <c r="S17" s="17">
        <f t="shared" ref="S17:AF17" si="9">SUM(C38:C41)</f>
        <v>102</v>
      </c>
      <c r="T17" s="17">
        <f t="shared" si="9"/>
        <v>46</v>
      </c>
      <c r="U17" s="17">
        <f t="shared" si="9"/>
        <v>5</v>
      </c>
      <c r="V17" s="17">
        <f t="shared" si="9"/>
        <v>34</v>
      </c>
      <c r="W17" s="17">
        <f t="shared" si="9"/>
        <v>1</v>
      </c>
      <c r="X17" s="17">
        <f t="shared" si="9"/>
        <v>0</v>
      </c>
      <c r="Y17" s="17">
        <f t="shared" si="9"/>
        <v>11</v>
      </c>
      <c r="Z17" s="17">
        <f t="shared" si="9"/>
        <v>5</v>
      </c>
      <c r="AA17" s="17">
        <f t="shared" si="9"/>
        <v>0</v>
      </c>
      <c r="AB17" s="17">
        <f t="shared" si="9"/>
        <v>0</v>
      </c>
      <c r="AC17" s="17">
        <f t="shared" si="9"/>
        <v>230</v>
      </c>
      <c r="AD17" s="17">
        <f t="shared" si="9"/>
        <v>0</v>
      </c>
      <c r="AE17" s="31">
        <f t="shared" si="9"/>
        <v>204</v>
      </c>
      <c r="AF17" s="31">
        <f t="shared" si="9"/>
        <v>434</v>
      </c>
    </row>
    <row r="18" spans="2:32" ht="23.1" customHeight="1" x14ac:dyDescent="0.25">
      <c r="B18" s="23" t="s">
        <v>45</v>
      </c>
      <c r="C18" s="50">
        <v>47</v>
      </c>
      <c r="D18" s="50">
        <v>33</v>
      </c>
      <c r="E18" s="50">
        <v>5</v>
      </c>
      <c r="F18" s="50">
        <v>14</v>
      </c>
      <c r="G18" s="50">
        <v>0</v>
      </c>
      <c r="H18" s="50">
        <v>1</v>
      </c>
      <c r="I18" s="50">
        <v>2</v>
      </c>
      <c r="J18" s="50">
        <v>0</v>
      </c>
      <c r="K18" s="50">
        <v>0</v>
      </c>
      <c r="L18" s="50">
        <v>0</v>
      </c>
      <c r="M18" s="50">
        <v>75</v>
      </c>
      <c r="N18" s="50">
        <v>0</v>
      </c>
      <c r="O18" s="15">
        <f t="shared" si="0"/>
        <v>102</v>
      </c>
      <c r="P18" s="15">
        <f t="shared" si="1"/>
        <v>177</v>
      </c>
      <c r="R18" s="1" t="s">
        <v>14</v>
      </c>
      <c r="S18" s="17">
        <f t="shared" ref="S18:AF18" si="10">SUM(C42:C45)</f>
        <v>101</v>
      </c>
      <c r="T18" s="17">
        <f t="shared" si="10"/>
        <v>62</v>
      </c>
      <c r="U18" s="17">
        <f t="shared" si="10"/>
        <v>8</v>
      </c>
      <c r="V18" s="17">
        <f t="shared" si="10"/>
        <v>30</v>
      </c>
      <c r="W18" s="17">
        <f t="shared" si="10"/>
        <v>0</v>
      </c>
      <c r="X18" s="17">
        <f t="shared" si="10"/>
        <v>0</v>
      </c>
      <c r="Y18" s="17">
        <f t="shared" si="10"/>
        <v>14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270</v>
      </c>
      <c r="AD18" s="17">
        <f t="shared" si="10"/>
        <v>0</v>
      </c>
      <c r="AE18" s="31">
        <f t="shared" si="10"/>
        <v>217</v>
      </c>
      <c r="AF18" s="31">
        <f t="shared" si="10"/>
        <v>487</v>
      </c>
    </row>
    <row r="19" spans="2:32" ht="23.1" customHeight="1" x14ac:dyDescent="0.25">
      <c r="B19" s="23" t="s">
        <v>46</v>
      </c>
      <c r="C19" s="50">
        <v>47</v>
      </c>
      <c r="D19" s="50">
        <v>27</v>
      </c>
      <c r="E19" s="50">
        <v>0</v>
      </c>
      <c r="F19" s="50">
        <v>10</v>
      </c>
      <c r="G19" s="50">
        <v>0</v>
      </c>
      <c r="H19" s="50">
        <v>0</v>
      </c>
      <c r="I19" s="50">
        <v>1</v>
      </c>
      <c r="J19" s="50">
        <v>2</v>
      </c>
      <c r="K19" s="50">
        <v>0</v>
      </c>
      <c r="L19" s="50">
        <v>0</v>
      </c>
      <c r="M19" s="50">
        <v>82</v>
      </c>
      <c r="N19" s="50">
        <v>0</v>
      </c>
      <c r="O19" s="15">
        <f t="shared" si="0"/>
        <v>87</v>
      </c>
      <c r="P19" s="15">
        <f t="shared" si="1"/>
        <v>169</v>
      </c>
      <c r="R19" s="1" t="s">
        <v>15</v>
      </c>
      <c r="S19" s="17">
        <f t="shared" ref="S19:AF19" si="11">SUM(C46:C49)</f>
        <v>97</v>
      </c>
      <c r="T19" s="17">
        <f t="shared" si="11"/>
        <v>63</v>
      </c>
      <c r="U19" s="17">
        <f t="shared" si="11"/>
        <v>4</v>
      </c>
      <c r="V19" s="17">
        <f t="shared" si="11"/>
        <v>29</v>
      </c>
      <c r="W19" s="17">
        <f t="shared" si="11"/>
        <v>1</v>
      </c>
      <c r="X19" s="17">
        <f t="shared" si="11"/>
        <v>0</v>
      </c>
      <c r="Y19" s="17">
        <f t="shared" si="11"/>
        <v>13</v>
      </c>
      <c r="Z19" s="17">
        <f t="shared" si="11"/>
        <v>0</v>
      </c>
      <c r="AA19" s="17">
        <f t="shared" si="11"/>
        <v>2</v>
      </c>
      <c r="AB19" s="17">
        <f t="shared" si="11"/>
        <v>0</v>
      </c>
      <c r="AC19" s="17">
        <f t="shared" si="11"/>
        <v>276</v>
      </c>
      <c r="AD19" s="17">
        <f t="shared" si="11"/>
        <v>0</v>
      </c>
      <c r="AE19" s="31">
        <f t="shared" si="11"/>
        <v>209</v>
      </c>
      <c r="AF19" s="31">
        <f t="shared" si="11"/>
        <v>485</v>
      </c>
    </row>
    <row r="20" spans="2:32" ht="23.1" customHeight="1" x14ac:dyDescent="0.25">
      <c r="B20" s="23" t="s">
        <v>47</v>
      </c>
      <c r="C20" s="50">
        <v>48</v>
      </c>
      <c r="D20" s="50">
        <v>12</v>
      </c>
      <c r="E20" s="50">
        <v>3</v>
      </c>
      <c r="F20" s="50">
        <v>11</v>
      </c>
      <c r="G20" s="50">
        <v>0</v>
      </c>
      <c r="H20" s="50">
        <v>0</v>
      </c>
      <c r="I20" s="50">
        <v>3</v>
      </c>
      <c r="J20" s="50">
        <v>0</v>
      </c>
      <c r="K20" s="50">
        <v>0</v>
      </c>
      <c r="L20" s="50">
        <v>0</v>
      </c>
      <c r="M20" s="50">
        <v>53</v>
      </c>
      <c r="N20" s="50">
        <v>0</v>
      </c>
      <c r="O20" s="15">
        <f t="shared" si="0"/>
        <v>77</v>
      </c>
      <c r="P20" s="15">
        <f t="shared" si="1"/>
        <v>130</v>
      </c>
      <c r="R20" s="1" t="s">
        <v>16</v>
      </c>
      <c r="S20" s="17">
        <f t="shared" ref="S20:AF20" si="12">SUM(C50:C53)</f>
        <v>108</v>
      </c>
      <c r="T20" s="17">
        <f t="shared" si="12"/>
        <v>70</v>
      </c>
      <c r="U20" s="17">
        <f t="shared" si="12"/>
        <v>9</v>
      </c>
      <c r="V20" s="17">
        <f t="shared" si="12"/>
        <v>45</v>
      </c>
      <c r="W20" s="17">
        <f t="shared" si="12"/>
        <v>0</v>
      </c>
      <c r="X20" s="17">
        <f t="shared" si="12"/>
        <v>0</v>
      </c>
      <c r="Y20" s="17">
        <f t="shared" si="12"/>
        <v>9</v>
      </c>
      <c r="Z20" s="17">
        <f t="shared" si="12"/>
        <v>4</v>
      </c>
      <c r="AA20" s="17">
        <f t="shared" si="12"/>
        <v>0</v>
      </c>
      <c r="AB20" s="17">
        <f t="shared" si="12"/>
        <v>1</v>
      </c>
      <c r="AC20" s="17">
        <f t="shared" si="12"/>
        <v>339</v>
      </c>
      <c r="AD20" s="17">
        <f t="shared" si="12"/>
        <v>0</v>
      </c>
      <c r="AE20" s="31">
        <f t="shared" si="12"/>
        <v>246</v>
      </c>
      <c r="AF20" s="31">
        <f t="shared" si="12"/>
        <v>585</v>
      </c>
    </row>
    <row r="21" spans="2:32" ht="23.1" customHeight="1" x14ac:dyDescent="0.25">
      <c r="B21" s="23" t="s">
        <v>48</v>
      </c>
      <c r="C21" s="50">
        <v>45</v>
      </c>
      <c r="D21" s="50">
        <v>16</v>
      </c>
      <c r="E21" s="50">
        <v>4</v>
      </c>
      <c r="F21" s="50">
        <v>11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75</v>
      </c>
      <c r="N21" s="50">
        <v>0</v>
      </c>
      <c r="O21" s="15">
        <f t="shared" si="0"/>
        <v>77</v>
      </c>
      <c r="P21" s="15">
        <f t="shared" si="1"/>
        <v>152</v>
      </c>
      <c r="R21" s="36" t="s">
        <v>20</v>
      </c>
      <c r="S21" s="34">
        <f t="shared" ref="S21:AF21" si="13">SUM(C54:C57)</f>
        <v>66</v>
      </c>
      <c r="T21" s="17">
        <f t="shared" si="13"/>
        <v>50</v>
      </c>
      <c r="U21" s="17">
        <f t="shared" si="13"/>
        <v>6</v>
      </c>
      <c r="V21" s="17">
        <f t="shared" si="13"/>
        <v>38</v>
      </c>
      <c r="W21" s="17">
        <f t="shared" si="13"/>
        <v>3</v>
      </c>
      <c r="X21" s="17">
        <f t="shared" si="13"/>
        <v>0</v>
      </c>
      <c r="Y21" s="17">
        <f t="shared" si="13"/>
        <v>11</v>
      </c>
      <c r="Z21" s="17">
        <f t="shared" si="13"/>
        <v>2</v>
      </c>
      <c r="AA21" s="17">
        <f t="shared" si="13"/>
        <v>1</v>
      </c>
      <c r="AB21" s="17">
        <f t="shared" si="13"/>
        <v>0</v>
      </c>
      <c r="AC21" s="17">
        <f t="shared" si="13"/>
        <v>298</v>
      </c>
      <c r="AD21" s="17">
        <f t="shared" si="13"/>
        <v>0</v>
      </c>
      <c r="AE21" s="31">
        <f t="shared" si="13"/>
        <v>177</v>
      </c>
      <c r="AF21" s="31">
        <f t="shared" si="13"/>
        <v>475</v>
      </c>
    </row>
    <row r="22" spans="2:32" ht="23.1" customHeight="1" x14ac:dyDescent="0.25">
      <c r="B22" s="23" t="s">
        <v>49</v>
      </c>
      <c r="C22" s="50">
        <v>48</v>
      </c>
      <c r="D22" s="50">
        <v>27</v>
      </c>
      <c r="E22" s="50">
        <v>7</v>
      </c>
      <c r="F22" s="50">
        <v>16</v>
      </c>
      <c r="G22" s="50">
        <v>0</v>
      </c>
      <c r="H22" s="50">
        <v>0</v>
      </c>
      <c r="I22" s="50">
        <v>4</v>
      </c>
      <c r="J22" s="50">
        <v>0</v>
      </c>
      <c r="K22" s="50">
        <v>0</v>
      </c>
      <c r="L22" s="50">
        <v>0</v>
      </c>
      <c r="M22" s="50">
        <v>79</v>
      </c>
      <c r="N22" s="50">
        <v>0</v>
      </c>
      <c r="O22" s="15">
        <f t="shared" si="0"/>
        <v>102</v>
      </c>
      <c r="P22" s="15">
        <f t="shared" si="1"/>
        <v>181</v>
      </c>
      <c r="R22" s="38" t="s">
        <v>90</v>
      </c>
      <c r="S22" s="39">
        <f>MAX(S10:S12)</f>
        <v>291</v>
      </c>
      <c r="T22" s="39">
        <f t="shared" ref="T22:AF22" si="14">MAX(T10:T12)</f>
        <v>143</v>
      </c>
      <c r="U22" s="39">
        <f t="shared" si="14"/>
        <v>30</v>
      </c>
      <c r="V22" s="39">
        <f t="shared" si="14"/>
        <v>66</v>
      </c>
      <c r="W22" s="39">
        <f t="shared" si="14"/>
        <v>1</v>
      </c>
      <c r="X22" s="39">
        <f t="shared" si="14"/>
        <v>1</v>
      </c>
      <c r="Y22" s="39">
        <f t="shared" si="14"/>
        <v>7</v>
      </c>
      <c r="Z22" s="39">
        <f t="shared" si="14"/>
        <v>2</v>
      </c>
      <c r="AA22" s="39">
        <f t="shared" si="14"/>
        <v>0</v>
      </c>
      <c r="AB22" s="39">
        <f t="shared" si="14"/>
        <v>0</v>
      </c>
      <c r="AC22" s="39">
        <f t="shared" si="14"/>
        <v>425</v>
      </c>
      <c r="AD22" s="39">
        <f t="shared" si="14"/>
        <v>0</v>
      </c>
      <c r="AE22" s="40">
        <f t="shared" si="14"/>
        <v>538</v>
      </c>
      <c r="AF22" s="40">
        <f t="shared" si="14"/>
        <v>950</v>
      </c>
    </row>
    <row r="23" spans="2:32" ht="23.1" customHeight="1" x14ac:dyDescent="0.25">
      <c r="B23" s="23" t="s">
        <v>50</v>
      </c>
      <c r="C23" s="50">
        <v>30</v>
      </c>
      <c r="D23" s="50">
        <v>13</v>
      </c>
      <c r="E23" s="50">
        <v>1</v>
      </c>
      <c r="F23" s="50">
        <v>10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80</v>
      </c>
      <c r="N23" s="50">
        <v>0</v>
      </c>
      <c r="O23" s="15">
        <f t="shared" si="0"/>
        <v>56</v>
      </c>
      <c r="P23" s="15">
        <f t="shared" si="1"/>
        <v>136</v>
      </c>
      <c r="R23" s="38" t="s">
        <v>91</v>
      </c>
      <c r="S23" s="39">
        <f>MAX(S13:S18)</f>
        <v>135</v>
      </c>
      <c r="T23" s="39">
        <f t="shared" ref="T23:AF23" si="15">MAX(T13:T18)</f>
        <v>69</v>
      </c>
      <c r="U23" s="39">
        <f t="shared" si="15"/>
        <v>13</v>
      </c>
      <c r="V23" s="39">
        <f t="shared" si="15"/>
        <v>48</v>
      </c>
      <c r="W23" s="39">
        <f t="shared" si="15"/>
        <v>1</v>
      </c>
      <c r="X23" s="39">
        <f t="shared" si="15"/>
        <v>0</v>
      </c>
      <c r="Y23" s="39">
        <f t="shared" si="15"/>
        <v>14</v>
      </c>
      <c r="Z23" s="39">
        <f t="shared" si="15"/>
        <v>5</v>
      </c>
      <c r="AA23" s="39">
        <f t="shared" si="15"/>
        <v>1</v>
      </c>
      <c r="AB23" s="39">
        <f t="shared" si="15"/>
        <v>0</v>
      </c>
      <c r="AC23" s="39">
        <f t="shared" si="15"/>
        <v>301</v>
      </c>
      <c r="AD23" s="39">
        <f t="shared" si="15"/>
        <v>0</v>
      </c>
      <c r="AE23" s="40">
        <f t="shared" si="15"/>
        <v>275</v>
      </c>
      <c r="AF23" s="40">
        <f t="shared" si="15"/>
        <v>576</v>
      </c>
    </row>
    <row r="24" spans="2:32" ht="23.1" customHeight="1" x14ac:dyDescent="0.25">
      <c r="B24" s="23" t="s">
        <v>51</v>
      </c>
      <c r="C24" s="50">
        <v>33</v>
      </c>
      <c r="D24" s="50">
        <v>17</v>
      </c>
      <c r="E24" s="50">
        <v>3</v>
      </c>
      <c r="F24" s="50">
        <v>14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77</v>
      </c>
      <c r="N24" s="50">
        <v>0</v>
      </c>
      <c r="O24" s="15">
        <f t="shared" si="0"/>
        <v>67</v>
      </c>
      <c r="P24" s="15">
        <f t="shared" si="1"/>
        <v>144</v>
      </c>
      <c r="R24" s="38" t="s">
        <v>92</v>
      </c>
      <c r="S24" s="39">
        <f>MAX(S19:S21)</f>
        <v>108</v>
      </c>
      <c r="T24" s="39">
        <f t="shared" ref="T24:AF24" si="16">MAX(T19:T21)</f>
        <v>70</v>
      </c>
      <c r="U24" s="39">
        <f t="shared" si="16"/>
        <v>9</v>
      </c>
      <c r="V24" s="39">
        <f t="shared" si="16"/>
        <v>45</v>
      </c>
      <c r="W24" s="39">
        <f t="shared" si="16"/>
        <v>3</v>
      </c>
      <c r="X24" s="39">
        <f t="shared" si="16"/>
        <v>0</v>
      </c>
      <c r="Y24" s="39">
        <f t="shared" si="16"/>
        <v>13</v>
      </c>
      <c r="Z24" s="39">
        <f t="shared" si="16"/>
        <v>4</v>
      </c>
      <c r="AA24" s="39">
        <f t="shared" si="16"/>
        <v>2</v>
      </c>
      <c r="AB24" s="39">
        <f t="shared" si="16"/>
        <v>1</v>
      </c>
      <c r="AC24" s="39">
        <f t="shared" si="16"/>
        <v>339</v>
      </c>
      <c r="AD24" s="39">
        <f t="shared" si="16"/>
        <v>0</v>
      </c>
      <c r="AE24" s="40">
        <f t="shared" si="16"/>
        <v>246</v>
      </c>
      <c r="AF24" s="40">
        <f t="shared" si="16"/>
        <v>585</v>
      </c>
    </row>
    <row r="25" spans="2:32" ht="23.1" customHeight="1" x14ac:dyDescent="0.25">
      <c r="B25" s="23" t="s">
        <v>52</v>
      </c>
      <c r="C25" s="50">
        <v>24</v>
      </c>
      <c r="D25" s="50">
        <v>12</v>
      </c>
      <c r="E25" s="50">
        <v>2</v>
      </c>
      <c r="F25" s="50">
        <v>6</v>
      </c>
      <c r="G25" s="50">
        <v>0</v>
      </c>
      <c r="H25" s="50">
        <v>0</v>
      </c>
      <c r="I25" s="50">
        <v>6</v>
      </c>
      <c r="J25" s="50">
        <v>0</v>
      </c>
      <c r="K25" s="50">
        <v>0</v>
      </c>
      <c r="L25" s="50">
        <v>0</v>
      </c>
      <c r="M25" s="50">
        <v>65</v>
      </c>
      <c r="N25" s="50">
        <v>0</v>
      </c>
      <c r="O25" s="15">
        <f t="shared" si="0"/>
        <v>50</v>
      </c>
      <c r="P25" s="15">
        <f t="shared" si="1"/>
        <v>115</v>
      </c>
      <c r="R25" s="37" t="s">
        <v>85</v>
      </c>
      <c r="S25" s="35">
        <f t="shared" ref="S25:AF25" si="17">SUM(S10:S12)</f>
        <v>719</v>
      </c>
      <c r="T25" s="16">
        <f t="shared" si="17"/>
        <v>365</v>
      </c>
      <c r="U25" s="16">
        <f t="shared" si="17"/>
        <v>66</v>
      </c>
      <c r="V25" s="16">
        <f t="shared" si="17"/>
        <v>164</v>
      </c>
      <c r="W25" s="16">
        <f t="shared" si="17"/>
        <v>1</v>
      </c>
      <c r="X25" s="16">
        <f t="shared" si="17"/>
        <v>1</v>
      </c>
      <c r="Y25" s="16">
        <f t="shared" si="17"/>
        <v>19</v>
      </c>
      <c r="Z25" s="16">
        <f t="shared" si="17"/>
        <v>4</v>
      </c>
      <c r="AA25" s="16">
        <f t="shared" si="17"/>
        <v>0</v>
      </c>
      <c r="AB25" s="16">
        <f t="shared" si="17"/>
        <v>0</v>
      </c>
      <c r="AC25" s="16">
        <f t="shared" si="17"/>
        <v>1122</v>
      </c>
      <c r="AD25" s="16">
        <f t="shared" si="17"/>
        <v>0</v>
      </c>
      <c r="AE25" s="32">
        <f t="shared" si="17"/>
        <v>1339</v>
      </c>
      <c r="AF25" s="32">
        <f t="shared" si="17"/>
        <v>2461</v>
      </c>
    </row>
    <row r="26" spans="2:32" ht="23.1" customHeight="1" x14ac:dyDescent="0.25">
      <c r="B26" s="23" t="s">
        <v>53</v>
      </c>
      <c r="C26" s="50">
        <v>40</v>
      </c>
      <c r="D26" s="50">
        <v>14</v>
      </c>
      <c r="E26" s="50">
        <v>0</v>
      </c>
      <c r="F26" s="50">
        <v>11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63</v>
      </c>
      <c r="N26" s="50">
        <v>0</v>
      </c>
      <c r="O26" s="15">
        <f t="shared" si="0"/>
        <v>66</v>
      </c>
      <c r="P26" s="15">
        <f t="shared" si="1"/>
        <v>129</v>
      </c>
      <c r="R26" s="28" t="s">
        <v>86</v>
      </c>
      <c r="S26" s="16">
        <f t="shared" ref="S26:AF26" si="18">SUM(S13:S18)</f>
        <v>638</v>
      </c>
      <c r="T26" s="16">
        <f t="shared" si="18"/>
        <v>348</v>
      </c>
      <c r="U26" s="16">
        <f t="shared" si="18"/>
        <v>41</v>
      </c>
      <c r="V26" s="16">
        <f t="shared" si="18"/>
        <v>232</v>
      </c>
      <c r="W26" s="16">
        <f t="shared" si="18"/>
        <v>1</v>
      </c>
      <c r="X26" s="16">
        <f t="shared" si="18"/>
        <v>0</v>
      </c>
      <c r="Y26" s="16">
        <f t="shared" si="18"/>
        <v>59</v>
      </c>
      <c r="Z26" s="16">
        <f t="shared" si="18"/>
        <v>8</v>
      </c>
      <c r="AA26" s="16">
        <f t="shared" si="18"/>
        <v>1</v>
      </c>
      <c r="AB26" s="16">
        <f t="shared" si="18"/>
        <v>0</v>
      </c>
      <c r="AC26" s="16">
        <f t="shared" si="18"/>
        <v>1436</v>
      </c>
      <c r="AD26" s="16">
        <f t="shared" si="18"/>
        <v>0</v>
      </c>
      <c r="AE26" s="32">
        <f t="shared" si="18"/>
        <v>1328</v>
      </c>
      <c r="AF26" s="32">
        <f t="shared" si="18"/>
        <v>2764</v>
      </c>
    </row>
    <row r="27" spans="2:32" ht="23.1" customHeight="1" x14ac:dyDescent="0.25">
      <c r="B27" s="23" t="s">
        <v>54</v>
      </c>
      <c r="C27" s="50">
        <v>26</v>
      </c>
      <c r="D27" s="50">
        <v>14</v>
      </c>
      <c r="E27" s="50">
        <v>1</v>
      </c>
      <c r="F27" s="50">
        <v>10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59</v>
      </c>
      <c r="N27" s="50">
        <v>0</v>
      </c>
      <c r="O27" s="15">
        <f t="shared" si="0"/>
        <v>53</v>
      </c>
      <c r="P27" s="15">
        <f t="shared" si="1"/>
        <v>112</v>
      </c>
      <c r="R27" s="29" t="s">
        <v>87</v>
      </c>
      <c r="S27" s="16">
        <f t="shared" ref="S27:AF27" si="19">SUM(S19:S21)</f>
        <v>271</v>
      </c>
      <c r="T27" s="16">
        <f t="shared" si="19"/>
        <v>183</v>
      </c>
      <c r="U27" s="16">
        <f t="shared" si="19"/>
        <v>19</v>
      </c>
      <c r="V27" s="16">
        <f t="shared" si="19"/>
        <v>112</v>
      </c>
      <c r="W27" s="16">
        <f t="shared" si="19"/>
        <v>4</v>
      </c>
      <c r="X27" s="16">
        <f t="shared" si="19"/>
        <v>0</v>
      </c>
      <c r="Y27" s="16">
        <f t="shared" si="19"/>
        <v>33</v>
      </c>
      <c r="Z27" s="16">
        <f t="shared" si="19"/>
        <v>6</v>
      </c>
      <c r="AA27" s="16">
        <f t="shared" si="19"/>
        <v>3</v>
      </c>
      <c r="AB27" s="16">
        <f t="shared" si="19"/>
        <v>1</v>
      </c>
      <c r="AC27" s="16">
        <f t="shared" si="19"/>
        <v>913</v>
      </c>
      <c r="AD27" s="16">
        <f t="shared" si="19"/>
        <v>0</v>
      </c>
      <c r="AE27" s="32">
        <f t="shared" si="19"/>
        <v>632</v>
      </c>
      <c r="AF27" s="32">
        <f t="shared" si="19"/>
        <v>1545</v>
      </c>
    </row>
    <row r="28" spans="2:32" ht="23.1" customHeight="1" x14ac:dyDescent="0.25">
      <c r="B28" s="23" t="s">
        <v>55</v>
      </c>
      <c r="C28" s="50">
        <v>28</v>
      </c>
      <c r="D28" s="50">
        <v>15</v>
      </c>
      <c r="E28" s="50">
        <v>1</v>
      </c>
      <c r="F28" s="50">
        <v>13</v>
      </c>
      <c r="G28" s="50">
        <v>0</v>
      </c>
      <c r="H28" s="50">
        <v>0</v>
      </c>
      <c r="I28" s="50">
        <v>1</v>
      </c>
      <c r="J28" s="50">
        <v>1</v>
      </c>
      <c r="K28" s="50">
        <v>0</v>
      </c>
      <c r="L28" s="50">
        <v>0</v>
      </c>
      <c r="M28" s="50">
        <v>60</v>
      </c>
      <c r="N28" s="50">
        <v>0</v>
      </c>
      <c r="O28" s="15">
        <f t="shared" si="0"/>
        <v>59</v>
      </c>
      <c r="P28" s="15">
        <f t="shared" si="1"/>
        <v>119</v>
      </c>
      <c r="R28" s="5" t="s">
        <v>17</v>
      </c>
      <c r="S28" s="16">
        <f t="shared" ref="S28:AF28" si="20">SUM(S10:S21)</f>
        <v>1628</v>
      </c>
      <c r="T28" s="16">
        <f t="shared" si="20"/>
        <v>896</v>
      </c>
      <c r="U28" s="16">
        <f t="shared" si="20"/>
        <v>126</v>
      </c>
      <c r="V28" s="16">
        <f t="shared" si="20"/>
        <v>508</v>
      </c>
      <c r="W28" s="16">
        <f t="shared" si="20"/>
        <v>6</v>
      </c>
      <c r="X28" s="16">
        <f t="shared" si="20"/>
        <v>1</v>
      </c>
      <c r="Y28" s="16">
        <f t="shared" si="20"/>
        <v>111</v>
      </c>
      <c r="Z28" s="16">
        <f t="shared" si="20"/>
        <v>18</v>
      </c>
      <c r="AA28" s="16">
        <f t="shared" si="20"/>
        <v>4</v>
      </c>
      <c r="AB28" s="16">
        <f t="shared" si="20"/>
        <v>1</v>
      </c>
      <c r="AC28" s="16">
        <f t="shared" si="20"/>
        <v>3471</v>
      </c>
      <c r="AD28" s="16">
        <f t="shared" si="20"/>
        <v>0</v>
      </c>
      <c r="AE28" s="32">
        <f t="shared" si="20"/>
        <v>3299</v>
      </c>
      <c r="AF28" s="32">
        <f t="shared" si="20"/>
        <v>6770</v>
      </c>
    </row>
    <row r="29" spans="2:32" ht="23.1" customHeight="1" x14ac:dyDescent="0.25">
      <c r="B29" s="23" t="s">
        <v>56</v>
      </c>
      <c r="C29" s="50">
        <v>21</v>
      </c>
      <c r="D29" s="50">
        <v>22</v>
      </c>
      <c r="E29" s="50">
        <v>1</v>
      </c>
      <c r="F29" s="50">
        <v>14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53</v>
      </c>
      <c r="N29" s="50">
        <v>0</v>
      </c>
      <c r="O29" s="15">
        <f t="shared" si="0"/>
        <v>59</v>
      </c>
      <c r="P29" s="15">
        <f t="shared" si="1"/>
        <v>112</v>
      </c>
      <c r="R29"/>
      <c r="S29" s="20"/>
      <c r="T29" s="19"/>
    </row>
    <row r="30" spans="2:32" ht="23.1" customHeight="1" x14ac:dyDescent="0.25">
      <c r="B30" s="23" t="s">
        <v>57</v>
      </c>
      <c r="C30" s="50">
        <v>24</v>
      </c>
      <c r="D30" s="50">
        <v>16</v>
      </c>
      <c r="E30" s="50">
        <v>0</v>
      </c>
      <c r="F30" s="50">
        <v>13</v>
      </c>
      <c r="G30" s="50">
        <v>0</v>
      </c>
      <c r="H30" s="50">
        <v>0</v>
      </c>
      <c r="I30" s="50">
        <v>3</v>
      </c>
      <c r="J30" s="50">
        <v>0</v>
      </c>
      <c r="K30" s="50">
        <v>1</v>
      </c>
      <c r="L30" s="50">
        <v>0</v>
      </c>
      <c r="M30" s="50">
        <v>34</v>
      </c>
      <c r="N30" s="50">
        <v>0</v>
      </c>
      <c r="O30" s="15">
        <f t="shared" si="0"/>
        <v>57</v>
      </c>
      <c r="P30" s="15">
        <f t="shared" si="1"/>
        <v>91</v>
      </c>
    </row>
    <row r="31" spans="2:32" ht="23.1" customHeight="1" x14ac:dyDescent="0.25">
      <c r="B31" s="24" t="s">
        <v>58</v>
      </c>
      <c r="C31" s="50">
        <v>21</v>
      </c>
      <c r="D31" s="50">
        <v>10</v>
      </c>
      <c r="E31" s="50">
        <v>1</v>
      </c>
      <c r="F31" s="50">
        <v>8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35</v>
      </c>
      <c r="N31" s="50">
        <v>0</v>
      </c>
      <c r="O31" s="15">
        <f t="shared" si="0"/>
        <v>42</v>
      </c>
      <c r="P31" s="15">
        <f t="shared" si="1"/>
        <v>77</v>
      </c>
    </row>
    <row r="32" spans="2:32" ht="23.1" customHeight="1" x14ac:dyDescent="0.25">
      <c r="B32" s="24" t="s">
        <v>59</v>
      </c>
      <c r="C32" s="50">
        <v>25</v>
      </c>
      <c r="D32" s="50">
        <v>12</v>
      </c>
      <c r="E32" s="50">
        <v>3</v>
      </c>
      <c r="F32" s="50">
        <v>6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55</v>
      </c>
      <c r="N32" s="50">
        <v>0</v>
      </c>
      <c r="O32" s="15">
        <f t="shared" si="0"/>
        <v>49</v>
      </c>
      <c r="P32" s="15">
        <f t="shared" si="1"/>
        <v>104</v>
      </c>
    </row>
    <row r="33" spans="2:20" ht="23.1" customHeight="1" x14ac:dyDescent="0.25">
      <c r="B33" s="23" t="s">
        <v>60</v>
      </c>
      <c r="C33" s="50">
        <v>28</v>
      </c>
      <c r="D33" s="50">
        <v>20</v>
      </c>
      <c r="E33" s="50">
        <v>2</v>
      </c>
      <c r="F33" s="50">
        <v>10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47</v>
      </c>
      <c r="N33" s="50">
        <v>0</v>
      </c>
      <c r="O33" s="15">
        <f t="shared" si="0"/>
        <v>60</v>
      </c>
      <c r="P33" s="15">
        <f t="shared" si="1"/>
        <v>107</v>
      </c>
    </row>
    <row r="34" spans="2:20" ht="23.1" customHeight="1" x14ac:dyDescent="0.25">
      <c r="B34" s="24" t="s">
        <v>61</v>
      </c>
      <c r="C34" s="50">
        <v>22</v>
      </c>
      <c r="D34" s="50">
        <v>15</v>
      </c>
      <c r="E34" s="50">
        <v>3</v>
      </c>
      <c r="F34" s="50">
        <v>11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57</v>
      </c>
      <c r="N34" s="50">
        <v>0</v>
      </c>
      <c r="O34" s="15">
        <f t="shared" si="0"/>
        <v>54</v>
      </c>
      <c r="P34" s="15">
        <f t="shared" si="1"/>
        <v>111</v>
      </c>
    </row>
    <row r="35" spans="2:20" ht="23.1" customHeight="1" x14ac:dyDescent="0.25">
      <c r="B35" s="24" t="s">
        <v>62</v>
      </c>
      <c r="C35" s="50">
        <v>17</v>
      </c>
      <c r="D35" s="50">
        <v>7</v>
      </c>
      <c r="E35" s="50">
        <v>0</v>
      </c>
      <c r="F35" s="50">
        <v>8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62</v>
      </c>
      <c r="N35" s="50">
        <v>0</v>
      </c>
      <c r="O35" s="15">
        <f t="shared" si="0"/>
        <v>32</v>
      </c>
      <c r="P35" s="15">
        <f t="shared" si="1"/>
        <v>94</v>
      </c>
    </row>
    <row r="36" spans="2:20" ht="23.1" customHeight="1" x14ac:dyDescent="0.25">
      <c r="B36" s="24" t="s">
        <v>63</v>
      </c>
      <c r="C36" s="50">
        <v>16</v>
      </c>
      <c r="D36" s="50">
        <v>10</v>
      </c>
      <c r="E36" s="50">
        <v>1</v>
      </c>
      <c r="F36" s="50">
        <v>10</v>
      </c>
      <c r="G36" s="50">
        <v>0</v>
      </c>
      <c r="H36" s="50">
        <v>0</v>
      </c>
      <c r="I36" s="50">
        <v>4</v>
      </c>
      <c r="J36" s="50">
        <v>0</v>
      </c>
      <c r="K36" s="50">
        <v>0</v>
      </c>
      <c r="L36" s="50">
        <v>0</v>
      </c>
      <c r="M36" s="50">
        <v>63</v>
      </c>
      <c r="N36" s="50">
        <v>0</v>
      </c>
      <c r="O36" s="15">
        <f t="shared" si="0"/>
        <v>41</v>
      </c>
      <c r="P36" s="15">
        <f t="shared" si="1"/>
        <v>104</v>
      </c>
    </row>
    <row r="37" spans="2:20" ht="23.1" customHeight="1" x14ac:dyDescent="0.25">
      <c r="B37" s="23" t="s">
        <v>64</v>
      </c>
      <c r="C37" s="50">
        <v>32</v>
      </c>
      <c r="D37" s="50">
        <v>16</v>
      </c>
      <c r="E37" s="50">
        <v>2</v>
      </c>
      <c r="F37" s="50">
        <v>8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47</v>
      </c>
      <c r="N37" s="50">
        <v>0</v>
      </c>
      <c r="O37" s="15">
        <f t="shared" si="0"/>
        <v>60</v>
      </c>
      <c r="P37" s="15">
        <f t="shared" si="1"/>
        <v>107</v>
      </c>
    </row>
    <row r="38" spans="2:20" ht="23.1" customHeight="1" x14ac:dyDescent="0.25">
      <c r="B38" s="24" t="s">
        <v>65</v>
      </c>
      <c r="C38" s="50">
        <v>30</v>
      </c>
      <c r="D38" s="50">
        <v>11</v>
      </c>
      <c r="E38" s="50">
        <v>0</v>
      </c>
      <c r="F38" s="50">
        <v>8</v>
      </c>
      <c r="G38" s="50">
        <v>1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75</v>
      </c>
      <c r="N38" s="50">
        <v>0</v>
      </c>
      <c r="O38" s="15">
        <f t="shared" si="0"/>
        <v>52</v>
      </c>
      <c r="P38" s="15">
        <f t="shared" si="1"/>
        <v>127</v>
      </c>
    </row>
    <row r="39" spans="2:20" ht="23.1" customHeight="1" x14ac:dyDescent="0.25">
      <c r="B39" s="24" t="s">
        <v>66</v>
      </c>
      <c r="C39" s="50">
        <v>21</v>
      </c>
      <c r="D39" s="50">
        <v>15</v>
      </c>
      <c r="E39" s="50">
        <v>2</v>
      </c>
      <c r="F39" s="50">
        <v>7</v>
      </c>
      <c r="G39" s="50">
        <v>0</v>
      </c>
      <c r="H39" s="50">
        <v>0</v>
      </c>
      <c r="I39" s="50">
        <v>4</v>
      </c>
      <c r="J39" s="50">
        <v>0</v>
      </c>
      <c r="K39" s="50">
        <v>0</v>
      </c>
      <c r="L39" s="50">
        <v>0</v>
      </c>
      <c r="M39" s="50">
        <v>52</v>
      </c>
      <c r="N39" s="50">
        <v>0</v>
      </c>
      <c r="O39" s="15">
        <f t="shared" si="0"/>
        <v>49</v>
      </c>
      <c r="P39" s="15">
        <f t="shared" si="1"/>
        <v>101</v>
      </c>
    </row>
    <row r="40" spans="2:20" ht="23.1" customHeight="1" x14ac:dyDescent="0.25">
      <c r="B40" s="24" t="s">
        <v>67</v>
      </c>
      <c r="C40" s="50">
        <v>24</v>
      </c>
      <c r="D40" s="50">
        <v>11</v>
      </c>
      <c r="E40" s="50">
        <v>2</v>
      </c>
      <c r="F40" s="50">
        <v>9</v>
      </c>
      <c r="G40" s="50">
        <v>0</v>
      </c>
      <c r="H40" s="50">
        <v>0</v>
      </c>
      <c r="I40" s="50">
        <v>2</v>
      </c>
      <c r="J40" s="50">
        <v>2</v>
      </c>
      <c r="K40" s="50">
        <v>0</v>
      </c>
      <c r="L40" s="50">
        <v>0</v>
      </c>
      <c r="M40" s="50">
        <v>53</v>
      </c>
      <c r="N40" s="50">
        <v>0</v>
      </c>
      <c r="O40" s="15">
        <f t="shared" si="0"/>
        <v>50</v>
      </c>
      <c r="P40" s="15">
        <f t="shared" si="1"/>
        <v>103</v>
      </c>
    </row>
    <row r="41" spans="2:20" ht="23.1" customHeight="1" x14ac:dyDescent="0.25">
      <c r="B41" s="23" t="s">
        <v>68</v>
      </c>
      <c r="C41" s="50">
        <v>27</v>
      </c>
      <c r="D41" s="50">
        <v>9</v>
      </c>
      <c r="E41" s="50">
        <v>1</v>
      </c>
      <c r="F41" s="50">
        <v>10</v>
      </c>
      <c r="G41" s="50">
        <v>0</v>
      </c>
      <c r="H41" s="50">
        <v>0</v>
      </c>
      <c r="I41" s="50">
        <v>3</v>
      </c>
      <c r="J41" s="50">
        <v>3</v>
      </c>
      <c r="K41" s="50">
        <v>0</v>
      </c>
      <c r="L41" s="50">
        <v>0</v>
      </c>
      <c r="M41" s="50">
        <v>50</v>
      </c>
      <c r="N41" s="50">
        <v>0</v>
      </c>
      <c r="O41" s="15">
        <f t="shared" si="0"/>
        <v>53</v>
      </c>
      <c r="P41" s="15">
        <f t="shared" si="1"/>
        <v>103</v>
      </c>
    </row>
    <row r="42" spans="2:20" ht="23.1" customHeight="1" x14ac:dyDescent="0.25">
      <c r="B42" s="24" t="s">
        <v>69</v>
      </c>
      <c r="C42" s="50">
        <v>25</v>
      </c>
      <c r="D42" s="50">
        <v>13</v>
      </c>
      <c r="E42" s="50">
        <v>1</v>
      </c>
      <c r="F42" s="50">
        <v>5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73</v>
      </c>
      <c r="N42" s="50">
        <v>0</v>
      </c>
      <c r="O42" s="15">
        <f t="shared" si="0"/>
        <v>46</v>
      </c>
      <c r="P42" s="15">
        <f t="shared" si="1"/>
        <v>119</v>
      </c>
    </row>
    <row r="43" spans="2:20" ht="23.1" customHeight="1" x14ac:dyDescent="0.25">
      <c r="B43" s="23" t="s">
        <v>70</v>
      </c>
      <c r="C43" s="50">
        <v>18</v>
      </c>
      <c r="D43" s="50">
        <v>16</v>
      </c>
      <c r="E43" s="50">
        <v>3</v>
      </c>
      <c r="F43" s="50">
        <v>9</v>
      </c>
      <c r="G43" s="50">
        <v>0</v>
      </c>
      <c r="H43" s="50">
        <v>0</v>
      </c>
      <c r="I43" s="50">
        <v>4</v>
      </c>
      <c r="J43" s="50">
        <v>1</v>
      </c>
      <c r="K43" s="50">
        <v>0</v>
      </c>
      <c r="L43" s="50">
        <v>0</v>
      </c>
      <c r="M43" s="50">
        <v>59</v>
      </c>
      <c r="N43" s="50">
        <v>0</v>
      </c>
      <c r="O43" s="15">
        <f t="shared" si="0"/>
        <v>51</v>
      </c>
      <c r="P43" s="15">
        <f t="shared" si="1"/>
        <v>110</v>
      </c>
    </row>
    <row r="44" spans="2:20" ht="23.1" customHeight="1" x14ac:dyDescent="0.25">
      <c r="B44" s="25" t="s">
        <v>71</v>
      </c>
      <c r="C44" s="50">
        <v>37</v>
      </c>
      <c r="D44" s="50">
        <v>18</v>
      </c>
      <c r="E44" s="50">
        <v>2</v>
      </c>
      <c r="F44" s="50">
        <v>8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0</v>
      </c>
      <c r="M44" s="50">
        <v>67</v>
      </c>
      <c r="N44" s="50">
        <v>0</v>
      </c>
      <c r="O44" s="15">
        <f t="shared" si="0"/>
        <v>69</v>
      </c>
      <c r="P44" s="15">
        <f t="shared" si="1"/>
        <v>136</v>
      </c>
    </row>
    <row r="45" spans="2:20" ht="23.1" customHeight="1" x14ac:dyDescent="0.25">
      <c r="B45" s="23" t="s">
        <v>72</v>
      </c>
      <c r="C45" s="50">
        <v>21</v>
      </c>
      <c r="D45" s="50">
        <v>15</v>
      </c>
      <c r="E45" s="50">
        <v>2</v>
      </c>
      <c r="F45" s="50">
        <v>8</v>
      </c>
      <c r="G45" s="50">
        <v>0</v>
      </c>
      <c r="H45" s="50">
        <v>0</v>
      </c>
      <c r="I45" s="50">
        <v>4</v>
      </c>
      <c r="J45" s="50">
        <v>1</v>
      </c>
      <c r="K45" s="50">
        <v>0</v>
      </c>
      <c r="L45" s="50">
        <v>0</v>
      </c>
      <c r="M45" s="50">
        <v>71</v>
      </c>
      <c r="N45" s="50">
        <v>0</v>
      </c>
      <c r="O45" s="15">
        <f t="shared" si="0"/>
        <v>51</v>
      </c>
      <c r="P45" s="15">
        <f t="shared" si="1"/>
        <v>122</v>
      </c>
    </row>
    <row r="46" spans="2:20" ht="23.1" customHeight="1" x14ac:dyDescent="0.25">
      <c r="B46" s="24" t="s">
        <v>73</v>
      </c>
      <c r="C46" s="50">
        <v>25</v>
      </c>
      <c r="D46" s="50">
        <v>10</v>
      </c>
      <c r="E46" s="50">
        <v>0</v>
      </c>
      <c r="F46" s="50">
        <v>11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75</v>
      </c>
      <c r="N46" s="50">
        <v>0</v>
      </c>
      <c r="O46" s="15">
        <f t="shared" si="0"/>
        <v>48</v>
      </c>
      <c r="P46" s="15">
        <f t="shared" si="1"/>
        <v>123</v>
      </c>
      <c r="R46" s="8"/>
      <c r="T46"/>
    </row>
    <row r="47" spans="2:20" ht="23.1" customHeight="1" x14ac:dyDescent="0.25">
      <c r="B47" s="24" t="s">
        <v>74</v>
      </c>
      <c r="C47" s="50">
        <v>19</v>
      </c>
      <c r="D47" s="50">
        <v>12</v>
      </c>
      <c r="E47" s="50">
        <v>1</v>
      </c>
      <c r="F47" s="50">
        <v>5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63</v>
      </c>
      <c r="N47" s="50">
        <v>0</v>
      </c>
      <c r="O47" s="15">
        <f t="shared" si="0"/>
        <v>40</v>
      </c>
      <c r="P47" s="15">
        <f t="shared" si="1"/>
        <v>103</v>
      </c>
      <c r="R47" s="8"/>
      <c r="T47"/>
    </row>
    <row r="48" spans="2:20" ht="23.1" customHeight="1" x14ac:dyDescent="0.25">
      <c r="B48" s="24" t="s">
        <v>75</v>
      </c>
      <c r="C48" s="50">
        <v>22</v>
      </c>
      <c r="D48" s="50">
        <v>22</v>
      </c>
      <c r="E48" s="50">
        <v>1</v>
      </c>
      <c r="F48" s="50">
        <v>5</v>
      </c>
      <c r="G48" s="50">
        <v>0</v>
      </c>
      <c r="H48" s="50">
        <v>0</v>
      </c>
      <c r="I48" s="50">
        <v>1</v>
      </c>
      <c r="J48" s="50">
        <v>0</v>
      </c>
      <c r="K48" s="50">
        <v>2</v>
      </c>
      <c r="L48" s="50">
        <v>0</v>
      </c>
      <c r="M48" s="50">
        <v>75</v>
      </c>
      <c r="N48" s="50">
        <v>0</v>
      </c>
      <c r="O48" s="15">
        <f t="shared" si="0"/>
        <v>53</v>
      </c>
      <c r="P48" s="15">
        <f t="shared" si="1"/>
        <v>128</v>
      </c>
      <c r="R48" s="8"/>
      <c r="T48"/>
    </row>
    <row r="49" spans="2:20" ht="23.1" customHeight="1" x14ac:dyDescent="0.25">
      <c r="B49" s="23" t="s">
        <v>76</v>
      </c>
      <c r="C49" s="50">
        <v>31</v>
      </c>
      <c r="D49" s="50">
        <v>19</v>
      </c>
      <c r="E49" s="50">
        <v>2</v>
      </c>
      <c r="F49" s="50">
        <v>8</v>
      </c>
      <c r="G49" s="50">
        <v>1</v>
      </c>
      <c r="H49" s="50">
        <v>0</v>
      </c>
      <c r="I49" s="50">
        <v>7</v>
      </c>
      <c r="J49" s="50">
        <v>0</v>
      </c>
      <c r="K49" s="50">
        <v>0</v>
      </c>
      <c r="L49" s="50">
        <v>0</v>
      </c>
      <c r="M49" s="50">
        <v>63</v>
      </c>
      <c r="N49" s="50">
        <v>0</v>
      </c>
      <c r="O49" s="15">
        <f t="shared" si="0"/>
        <v>68</v>
      </c>
      <c r="P49" s="15">
        <f t="shared" si="1"/>
        <v>131</v>
      </c>
      <c r="R49" s="8"/>
      <c r="T49"/>
    </row>
    <row r="50" spans="2:20" ht="23.1" customHeight="1" x14ac:dyDescent="0.25">
      <c r="B50" s="24" t="s">
        <v>77</v>
      </c>
      <c r="C50" s="50">
        <v>39</v>
      </c>
      <c r="D50" s="50">
        <v>15</v>
      </c>
      <c r="E50" s="50">
        <v>1</v>
      </c>
      <c r="F50" s="50">
        <v>12</v>
      </c>
      <c r="G50" s="50">
        <v>0</v>
      </c>
      <c r="H50" s="50">
        <v>0</v>
      </c>
      <c r="I50" s="50">
        <v>3</v>
      </c>
      <c r="J50" s="50">
        <v>0</v>
      </c>
      <c r="K50" s="50">
        <v>0</v>
      </c>
      <c r="L50" s="50">
        <v>0</v>
      </c>
      <c r="M50" s="50">
        <v>82</v>
      </c>
      <c r="N50" s="50">
        <v>0</v>
      </c>
      <c r="O50" s="15">
        <f t="shared" si="0"/>
        <v>70</v>
      </c>
      <c r="P50" s="15">
        <f t="shared" si="1"/>
        <v>152</v>
      </c>
      <c r="R50" s="8"/>
      <c r="T50"/>
    </row>
    <row r="51" spans="2:20" ht="23.1" customHeight="1" x14ac:dyDescent="0.25">
      <c r="B51" s="24" t="s">
        <v>78</v>
      </c>
      <c r="C51" s="50">
        <v>17</v>
      </c>
      <c r="D51" s="50">
        <v>19</v>
      </c>
      <c r="E51" s="50">
        <v>1</v>
      </c>
      <c r="F51" s="50">
        <v>13</v>
      </c>
      <c r="G51" s="50">
        <v>0</v>
      </c>
      <c r="H51" s="50">
        <v>0</v>
      </c>
      <c r="I51" s="50">
        <v>2</v>
      </c>
      <c r="J51" s="50">
        <v>2</v>
      </c>
      <c r="K51" s="50">
        <v>0</v>
      </c>
      <c r="L51" s="50">
        <v>0</v>
      </c>
      <c r="M51" s="50">
        <v>90</v>
      </c>
      <c r="N51" s="50">
        <v>0</v>
      </c>
      <c r="O51" s="15">
        <f t="shared" si="0"/>
        <v>54</v>
      </c>
      <c r="P51" s="15">
        <f t="shared" si="1"/>
        <v>144</v>
      </c>
      <c r="R51" s="8"/>
      <c r="T51"/>
    </row>
    <row r="52" spans="2:20" ht="23.1" customHeight="1" x14ac:dyDescent="0.25">
      <c r="B52" s="24" t="s">
        <v>79</v>
      </c>
      <c r="C52" s="50">
        <v>27</v>
      </c>
      <c r="D52" s="50">
        <v>21</v>
      </c>
      <c r="E52" s="50">
        <v>5</v>
      </c>
      <c r="F52" s="50">
        <v>5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1</v>
      </c>
      <c r="M52" s="50">
        <v>85</v>
      </c>
      <c r="N52" s="50">
        <v>0</v>
      </c>
      <c r="O52" s="15">
        <f t="shared" si="0"/>
        <v>60</v>
      </c>
      <c r="P52" s="15">
        <f t="shared" si="1"/>
        <v>145</v>
      </c>
      <c r="R52" s="8"/>
      <c r="T52"/>
    </row>
    <row r="53" spans="2:20" ht="23.1" customHeight="1" x14ac:dyDescent="0.25">
      <c r="B53" s="23" t="s">
        <v>80</v>
      </c>
      <c r="C53" s="50">
        <v>25</v>
      </c>
      <c r="D53" s="50">
        <v>15</v>
      </c>
      <c r="E53" s="50">
        <v>2</v>
      </c>
      <c r="F53" s="50">
        <v>15</v>
      </c>
      <c r="G53" s="50">
        <v>0</v>
      </c>
      <c r="H53" s="50">
        <v>0</v>
      </c>
      <c r="I53" s="50">
        <v>3</v>
      </c>
      <c r="J53" s="50">
        <v>2</v>
      </c>
      <c r="K53" s="50">
        <v>0</v>
      </c>
      <c r="L53" s="50">
        <v>0</v>
      </c>
      <c r="M53" s="50">
        <v>82</v>
      </c>
      <c r="N53" s="50">
        <v>0</v>
      </c>
      <c r="O53" s="15">
        <f t="shared" si="0"/>
        <v>62</v>
      </c>
      <c r="P53" s="15">
        <f t="shared" si="1"/>
        <v>144</v>
      </c>
      <c r="R53" s="8"/>
      <c r="T53"/>
    </row>
    <row r="54" spans="2:20" ht="23.1" customHeight="1" x14ac:dyDescent="0.25">
      <c r="B54" s="23" t="s">
        <v>81</v>
      </c>
      <c r="C54" s="50">
        <v>21</v>
      </c>
      <c r="D54" s="50">
        <v>17</v>
      </c>
      <c r="E54" s="50">
        <v>0</v>
      </c>
      <c r="F54" s="50">
        <v>12</v>
      </c>
      <c r="G54" s="50">
        <v>1</v>
      </c>
      <c r="H54" s="50">
        <v>0</v>
      </c>
      <c r="I54" s="50">
        <v>2</v>
      </c>
      <c r="J54" s="50">
        <v>0</v>
      </c>
      <c r="K54" s="50">
        <v>1</v>
      </c>
      <c r="L54" s="50">
        <v>0</v>
      </c>
      <c r="M54" s="50">
        <v>83</v>
      </c>
      <c r="N54" s="50">
        <v>0</v>
      </c>
      <c r="O54" s="15">
        <f t="shared" si="0"/>
        <v>54</v>
      </c>
      <c r="P54" s="15">
        <f t="shared" si="1"/>
        <v>137</v>
      </c>
      <c r="R54" s="8"/>
      <c r="T54"/>
    </row>
    <row r="55" spans="2:20" ht="23.1" customHeight="1" x14ac:dyDescent="0.25">
      <c r="B55" s="23" t="s">
        <v>82</v>
      </c>
      <c r="C55" s="50">
        <v>14</v>
      </c>
      <c r="D55" s="50">
        <v>12</v>
      </c>
      <c r="E55" s="50">
        <v>1</v>
      </c>
      <c r="F55" s="50">
        <v>7</v>
      </c>
      <c r="G55" s="50">
        <v>1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68</v>
      </c>
      <c r="N55" s="50">
        <v>0</v>
      </c>
      <c r="O55" s="15">
        <f t="shared" si="0"/>
        <v>37</v>
      </c>
      <c r="P55" s="15">
        <f t="shared" si="1"/>
        <v>105</v>
      </c>
      <c r="R55" s="8"/>
      <c r="T55"/>
    </row>
    <row r="56" spans="2:20" ht="23.1" customHeight="1" x14ac:dyDescent="0.25">
      <c r="B56" s="23" t="s">
        <v>83</v>
      </c>
      <c r="C56" s="50">
        <v>17</v>
      </c>
      <c r="D56" s="50">
        <v>15</v>
      </c>
      <c r="E56" s="50">
        <v>3</v>
      </c>
      <c r="F56" s="50">
        <v>10</v>
      </c>
      <c r="G56" s="50">
        <v>1</v>
      </c>
      <c r="H56" s="50">
        <v>0</v>
      </c>
      <c r="I56" s="50">
        <v>4</v>
      </c>
      <c r="J56" s="50">
        <v>1</v>
      </c>
      <c r="K56" s="50">
        <v>0</v>
      </c>
      <c r="L56" s="50">
        <v>0</v>
      </c>
      <c r="M56" s="50">
        <v>80</v>
      </c>
      <c r="N56" s="50">
        <v>0</v>
      </c>
      <c r="O56" s="15">
        <f t="shared" si="0"/>
        <v>51</v>
      </c>
      <c r="P56" s="15">
        <f t="shared" si="1"/>
        <v>131</v>
      </c>
      <c r="R56" s="8"/>
      <c r="T56"/>
    </row>
    <row r="57" spans="2:20" ht="23.1" customHeight="1" x14ac:dyDescent="0.25">
      <c r="B57" s="23" t="s">
        <v>84</v>
      </c>
      <c r="C57" s="50">
        <v>14</v>
      </c>
      <c r="D57" s="50">
        <v>6</v>
      </c>
      <c r="E57" s="50">
        <v>2</v>
      </c>
      <c r="F57" s="50">
        <v>9</v>
      </c>
      <c r="G57" s="50">
        <v>0</v>
      </c>
      <c r="H57" s="50">
        <v>0</v>
      </c>
      <c r="I57" s="50">
        <v>3</v>
      </c>
      <c r="J57" s="50">
        <v>1</v>
      </c>
      <c r="K57" s="50">
        <v>0</v>
      </c>
      <c r="L57" s="50">
        <v>0</v>
      </c>
      <c r="M57" s="50">
        <v>67</v>
      </c>
      <c r="N57" s="50">
        <v>0</v>
      </c>
      <c r="O57" s="15">
        <f t="shared" si="0"/>
        <v>35</v>
      </c>
      <c r="P57" s="15">
        <f t="shared" si="1"/>
        <v>102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1628</v>
      </c>
      <c r="D58" s="16">
        <f t="shared" si="21"/>
        <v>896</v>
      </c>
      <c r="E58" s="16">
        <f t="shared" si="21"/>
        <v>126</v>
      </c>
      <c r="F58" s="16">
        <f t="shared" si="21"/>
        <v>508</v>
      </c>
      <c r="G58" s="16">
        <f t="shared" si="21"/>
        <v>6</v>
      </c>
      <c r="H58" s="16">
        <f t="shared" si="21"/>
        <v>1</v>
      </c>
      <c r="I58" s="16">
        <f t="shared" si="21"/>
        <v>111</v>
      </c>
      <c r="J58" s="16">
        <f t="shared" si="21"/>
        <v>18</v>
      </c>
      <c r="K58" s="16">
        <f t="shared" si="21"/>
        <v>4</v>
      </c>
      <c r="L58" s="16">
        <f t="shared" si="21"/>
        <v>1</v>
      </c>
      <c r="M58" s="16">
        <f t="shared" si="21"/>
        <v>3471</v>
      </c>
      <c r="N58" s="16">
        <f t="shared" si="21"/>
        <v>0</v>
      </c>
      <c r="O58" s="16">
        <f t="shared" si="21"/>
        <v>3299</v>
      </c>
      <c r="P58" s="16">
        <f t="shared" si="21"/>
        <v>6770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0.24047267355982274</v>
      </c>
      <c r="D59" s="43">
        <f t="shared" si="22"/>
        <v>0.13234859675036928</v>
      </c>
      <c r="E59" s="43">
        <f t="shared" si="22"/>
        <v>1.8611521418020679E-2</v>
      </c>
      <c r="F59" s="43">
        <f t="shared" si="22"/>
        <v>7.5036927621861149E-2</v>
      </c>
      <c r="G59" s="43">
        <f t="shared" si="22"/>
        <v>8.8626292466765144E-4</v>
      </c>
      <c r="H59" s="43">
        <f t="shared" si="22"/>
        <v>1.4771048744460856E-4</v>
      </c>
      <c r="I59" s="43">
        <f t="shared" si="22"/>
        <v>1.6395864106351552E-2</v>
      </c>
      <c r="J59" s="43">
        <f t="shared" si="22"/>
        <v>2.6587887740029542E-3</v>
      </c>
      <c r="K59" s="43">
        <f t="shared" si="22"/>
        <v>5.9084194977843422E-4</v>
      </c>
      <c r="L59" s="43">
        <f t="shared" si="22"/>
        <v>1.4771048744460856E-4</v>
      </c>
      <c r="M59" s="43">
        <f t="shared" si="22"/>
        <v>0.51270310192023638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0.49348287359806003</v>
      </c>
      <c r="D60" s="44">
        <f t="shared" ref="D60:N60" si="23">D58/$O$58</f>
        <v>0.27159745377387084</v>
      </c>
      <c r="E60" s="44">
        <f t="shared" si="23"/>
        <v>3.8193391936950594E-2</v>
      </c>
      <c r="F60" s="44">
        <f t="shared" si="23"/>
        <v>0.15398605638072144</v>
      </c>
      <c r="G60" s="44">
        <f t="shared" si="23"/>
        <v>1.8187329493785996E-3</v>
      </c>
      <c r="H60" s="44">
        <f t="shared" si="23"/>
        <v>3.031221582297666E-4</v>
      </c>
      <c r="I60" s="44">
        <f t="shared" si="23"/>
        <v>3.364655956350409E-2</v>
      </c>
      <c r="J60" s="44">
        <f t="shared" si="23"/>
        <v>5.4561988481357983E-3</v>
      </c>
      <c r="K60" s="44">
        <f t="shared" si="23"/>
        <v>1.2124886329190664E-3</v>
      </c>
      <c r="L60" s="44">
        <f t="shared" si="23"/>
        <v>3.031221582297666E-4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30" zoomScaleSheetLayoutView="3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Bukoto-Kisasi'!C3:G3</f>
        <v>MCC - C1 - STN32 - BUKOTO KISASI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'30.07 Kisasi-Bukoto'!D5</f>
        <v>30.07.19</v>
      </c>
      <c r="E5" s="3"/>
      <c r="F5" s="41" t="s">
        <v>1</v>
      </c>
      <c r="G5" s="63" t="str">
        <f>'29.07 Kisasi-Bukoto'!G5:H5</f>
        <v>KISASI</v>
      </c>
      <c r="H5" s="64"/>
      <c r="I5" s="14"/>
      <c r="J5" s="2" t="s">
        <v>5</v>
      </c>
      <c r="K5" s="63" t="str">
        <f>'29.07 Kisasi-Bukoto'!K5:L5</f>
        <v>RWAMBITITO J./NICHOL A./GEORGE W.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'29.07 Bukoto-Kisasi'!D6:E6</f>
        <v>BUKOTO</v>
      </c>
      <c r="E6" s="64"/>
      <c r="F6" s="2" t="s">
        <v>2</v>
      </c>
      <c r="G6" s="63" t="str">
        <f>'29.07 Bukoto-Kisasi'!G6:H6</f>
        <v>KISASI</v>
      </c>
      <c r="H6" s="64"/>
      <c r="J6" s="2" t="s">
        <v>21</v>
      </c>
      <c r="K6" s="63" t="str">
        <f>'29.07 Kisasi-Bukoto'!K6:L6</f>
        <v>SALIMA L.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11</v>
      </c>
      <c r="D10" s="50">
        <v>7</v>
      </c>
      <c r="E10" s="50">
        <v>1</v>
      </c>
      <c r="F10" s="50">
        <v>3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28</v>
      </c>
      <c r="N10" s="50">
        <v>0</v>
      </c>
      <c r="O10" s="15">
        <f t="shared" ref="O10:O57" si="0">SUM(C10:L10,N10)</f>
        <v>23</v>
      </c>
      <c r="P10" s="15">
        <f t="shared" ref="P10:P57" si="1">SUM(C10:N10)</f>
        <v>51</v>
      </c>
      <c r="R10" s="1" t="s">
        <v>6</v>
      </c>
      <c r="S10" s="17">
        <f t="shared" ref="S10:AF10" si="2">SUM(C10:C13)</f>
        <v>46</v>
      </c>
      <c r="T10" s="17">
        <f t="shared" si="2"/>
        <v>25</v>
      </c>
      <c r="U10" s="17">
        <f t="shared" si="2"/>
        <v>11</v>
      </c>
      <c r="V10" s="17">
        <f t="shared" si="2"/>
        <v>20</v>
      </c>
      <c r="W10" s="17">
        <f t="shared" si="2"/>
        <v>1</v>
      </c>
      <c r="X10" s="17">
        <f t="shared" si="2"/>
        <v>0</v>
      </c>
      <c r="Y10" s="17">
        <f t="shared" si="2"/>
        <v>4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137</v>
      </c>
      <c r="AD10" s="17">
        <f t="shared" si="2"/>
        <v>0</v>
      </c>
      <c r="AE10" s="31">
        <f t="shared" si="2"/>
        <v>108</v>
      </c>
      <c r="AF10" s="31">
        <f t="shared" si="2"/>
        <v>245</v>
      </c>
    </row>
    <row r="11" spans="2:32" s="6" customFormat="1" ht="23.1" customHeight="1" x14ac:dyDescent="0.25">
      <c r="B11" s="23" t="s">
        <v>38</v>
      </c>
      <c r="C11" s="50">
        <v>14</v>
      </c>
      <c r="D11" s="50">
        <v>6</v>
      </c>
      <c r="E11" s="50">
        <v>4</v>
      </c>
      <c r="F11" s="50">
        <v>5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36</v>
      </c>
      <c r="N11" s="50">
        <v>0</v>
      </c>
      <c r="O11" s="15">
        <f t="shared" si="0"/>
        <v>31</v>
      </c>
      <c r="P11" s="15">
        <f t="shared" si="1"/>
        <v>67</v>
      </c>
      <c r="R11" s="1" t="s">
        <v>7</v>
      </c>
      <c r="S11" s="17">
        <f t="shared" ref="S11:AF11" si="3">SUM(C14:C17)</f>
        <v>54</v>
      </c>
      <c r="T11" s="17">
        <f t="shared" si="3"/>
        <v>26</v>
      </c>
      <c r="U11" s="17">
        <f t="shared" si="3"/>
        <v>7</v>
      </c>
      <c r="V11" s="17">
        <f t="shared" si="3"/>
        <v>22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138</v>
      </c>
      <c r="AD11" s="17">
        <f t="shared" si="3"/>
        <v>0</v>
      </c>
      <c r="AE11" s="31">
        <f t="shared" si="3"/>
        <v>114</v>
      </c>
      <c r="AF11" s="31">
        <f t="shared" si="3"/>
        <v>252</v>
      </c>
    </row>
    <row r="12" spans="2:32" ht="23.1" customHeight="1" x14ac:dyDescent="0.25">
      <c r="B12" s="23" t="s">
        <v>39</v>
      </c>
      <c r="C12" s="50">
        <v>12</v>
      </c>
      <c r="D12" s="50">
        <v>4</v>
      </c>
      <c r="E12" s="50">
        <v>2</v>
      </c>
      <c r="F12" s="50">
        <v>7</v>
      </c>
      <c r="G12" s="50">
        <v>1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39</v>
      </c>
      <c r="N12" s="50">
        <v>0</v>
      </c>
      <c r="O12" s="15">
        <f t="shared" si="0"/>
        <v>27</v>
      </c>
      <c r="P12" s="15">
        <f t="shared" si="1"/>
        <v>66</v>
      </c>
      <c r="R12" s="1" t="s">
        <v>8</v>
      </c>
      <c r="S12" s="17">
        <f t="shared" ref="S12:AF12" si="4">SUM(C18:C21)</f>
        <v>36</v>
      </c>
      <c r="T12" s="17">
        <f t="shared" si="4"/>
        <v>21</v>
      </c>
      <c r="U12" s="17">
        <f t="shared" si="4"/>
        <v>11</v>
      </c>
      <c r="V12" s="17">
        <f t="shared" si="4"/>
        <v>17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127</v>
      </c>
      <c r="AD12" s="17">
        <f t="shared" si="4"/>
        <v>0</v>
      </c>
      <c r="AE12" s="31">
        <f t="shared" si="4"/>
        <v>91</v>
      </c>
      <c r="AF12" s="31">
        <f t="shared" si="4"/>
        <v>218</v>
      </c>
    </row>
    <row r="13" spans="2:32" ht="23.1" customHeight="1" x14ac:dyDescent="0.25">
      <c r="B13" s="23" t="s">
        <v>40</v>
      </c>
      <c r="C13" s="50">
        <v>9</v>
      </c>
      <c r="D13" s="50">
        <v>8</v>
      </c>
      <c r="E13" s="50">
        <v>4</v>
      </c>
      <c r="F13" s="50">
        <v>5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34</v>
      </c>
      <c r="N13" s="50">
        <v>0</v>
      </c>
      <c r="O13" s="15">
        <f t="shared" si="0"/>
        <v>27</v>
      </c>
      <c r="P13" s="15">
        <f t="shared" si="1"/>
        <v>61</v>
      </c>
      <c r="R13" s="1" t="s">
        <v>9</v>
      </c>
      <c r="S13" s="17">
        <f t="shared" ref="S13:AF13" si="5">SUM(C22:C25)</f>
        <v>47</v>
      </c>
      <c r="T13" s="17">
        <f t="shared" si="5"/>
        <v>21</v>
      </c>
      <c r="U13" s="17">
        <f t="shared" si="5"/>
        <v>10</v>
      </c>
      <c r="V13" s="17">
        <f t="shared" si="5"/>
        <v>19</v>
      </c>
      <c r="W13" s="17">
        <f t="shared" si="5"/>
        <v>0</v>
      </c>
      <c r="X13" s="17">
        <f t="shared" si="5"/>
        <v>0</v>
      </c>
      <c r="Y13" s="17">
        <f t="shared" si="5"/>
        <v>13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130</v>
      </c>
      <c r="AD13" s="17">
        <f t="shared" si="5"/>
        <v>0</v>
      </c>
      <c r="AE13" s="31">
        <f t="shared" si="5"/>
        <v>112</v>
      </c>
      <c r="AF13" s="31">
        <f t="shared" si="5"/>
        <v>242</v>
      </c>
    </row>
    <row r="14" spans="2:32" ht="23.1" customHeight="1" x14ac:dyDescent="0.25">
      <c r="B14" s="23" t="s">
        <v>41</v>
      </c>
      <c r="C14" s="50">
        <v>14</v>
      </c>
      <c r="D14" s="50">
        <v>6</v>
      </c>
      <c r="E14" s="50">
        <v>3</v>
      </c>
      <c r="F14" s="50">
        <v>4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32</v>
      </c>
      <c r="N14" s="50">
        <v>0</v>
      </c>
      <c r="O14" s="15">
        <f t="shared" si="0"/>
        <v>29</v>
      </c>
      <c r="P14" s="15">
        <f t="shared" si="1"/>
        <v>61</v>
      </c>
      <c r="R14" s="1" t="s">
        <v>10</v>
      </c>
      <c r="S14" s="17">
        <f t="shared" ref="S14:AF14" si="6">SUM(C26:C29)</f>
        <v>35</v>
      </c>
      <c r="T14" s="17">
        <f t="shared" si="6"/>
        <v>19</v>
      </c>
      <c r="U14" s="17">
        <f t="shared" si="6"/>
        <v>5</v>
      </c>
      <c r="V14" s="17">
        <f t="shared" si="6"/>
        <v>15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151</v>
      </c>
      <c r="AD14" s="17">
        <f t="shared" si="6"/>
        <v>0</v>
      </c>
      <c r="AE14" s="31">
        <f t="shared" si="6"/>
        <v>75</v>
      </c>
      <c r="AF14" s="31">
        <f t="shared" si="6"/>
        <v>226</v>
      </c>
    </row>
    <row r="15" spans="2:32" ht="23.1" customHeight="1" x14ac:dyDescent="0.25">
      <c r="B15" s="23" t="s">
        <v>42</v>
      </c>
      <c r="C15" s="50">
        <v>18</v>
      </c>
      <c r="D15" s="50">
        <v>9</v>
      </c>
      <c r="E15" s="50">
        <v>1</v>
      </c>
      <c r="F15" s="50">
        <v>8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29</v>
      </c>
      <c r="N15" s="50">
        <v>0</v>
      </c>
      <c r="O15" s="15">
        <f t="shared" si="0"/>
        <v>37</v>
      </c>
      <c r="P15" s="15">
        <f t="shared" si="1"/>
        <v>66</v>
      </c>
      <c r="R15" s="1" t="s">
        <v>11</v>
      </c>
      <c r="S15" s="17">
        <f t="shared" ref="S15:AF15" si="7">SUM(C30:C33)</f>
        <v>52</v>
      </c>
      <c r="T15" s="17">
        <f t="shared" si="7"/>
        <v>25</v>
      </c>
      <c r="U15" s="17">
        <f t="shared" si="7"/>
        <v>18</v>
      </c>
      <c r="V15" s="17">
        <f t="shared" si="7"/>
        <v>19</v>
      </c>
      <c r="W15" s="17">
        <f t="shared" si="7"/>
        <v>0</v>
      </c>
      <c r="X15" s="17">
        <f t="shared" si="7"/>
        <v>0</v>
      </c>
      <c r="Y15" s="17">
        <f t="shared" si="7"/>
        <v>12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137</v>
      </c>
      <c r="AD15" s="17">
        <f t="shared" si="7"/>
        <v>0</v>
      </c>
      <c r="AE15" s="31">
        <f t="shared" si="7"/>
        <v>128</v>
      </c>
      <c r="AF15" s="31">
        <f t="shared" si="7"/>
        <v>265</v>
      </c>
    </row>
    <row r="16" spans="2:32" ht="23.1" customHeight="1" x14ac:dyDescent="0.25">
      <c r="B16" s="23" t="s">
        <v>43</v>
      </c>
      <c r="C16" s="50">
        <v>13</v>
      </c>
      <c r="D16" s="50">
        <v>7</v>
      </c>
      <c r="E16" s="50">
        <v>2</v>
      </c>
      <c r="F16" s="50">
        <v>4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36</v>
      </c>
      <c r="N16" s="50">
        <v>0</v>
      </c>
      <c r="O16" s="15">
        <f t="shared" si="0"/>
        <v>27</v>
      </c>
      <c r="P16" s="15">
        <f t="shared" si="1"/>
        <v>63</v>
      </c>
      <c r="R16" s="1" t="s">
        <v>12</v>
      </c>
      <c r="S16" s="17">
        <f t="shared" ref="S16:AF16" si="8">SUM(C34:C37)</f>
        <v>54</v>
      </c>
      <c r="T16" s="17">
        <f t="shared" si="8"/>
        <v>24</v>
      </c>
      <c r="U16" s="17">
        <f t="shared" si="8"/>
        <v>18</v>
      </c>
      <c r="V16" s="17">
        <f t="shared" si="8"/>
        <v>23</v>
      </c>
      <c r="W16" s="17">
        <f t="shared" si="8"/>
        <v>0</v>
      </c>
      <c r="X16" s="17">
        <f t="shared" si="8"/>
        <v>0</v>
      </c>
      <c r="Y16" s="17">
        <f t="shared" si="8"/>
        <v>9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129</v>
      </c>
      <c r="AD16" s="17">
        <f t="shared" si="8"/>
        <v>0</v>
      </c>
      <c r="AE16" s="31">
        <f t="shared" si="8"/>
        <v>129</v>
      </c>
      <c r="AF16" s="31">
        <f t="shared" si="8"/>
        <v>258</v>
      </c>
    </row>
    <row r="17" spans="2:32" ht="23.1" customHeight="1" x14ac:dyDescent="0.25">
      <c r="B17" s="23" t="s">
        <v>44</v>
      </c>
      <c r="C17" s="50">
        <v>9</v>
      </c>
      <c r="D17" s="50">
        <v>4</v>
      </c>
      <c r="E17" s="50">
        <v>1</v>
      </c>
      <c r="F17" s="50">
        <v>6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41</v>
      </c>
      <c r="N17" s="50">
        <v>0</v>
      </c>
      <c r="O17" s="15">
        <f t="shared" si="0"/>
        <v>21</v>
      </c>
      <c r="P17" s="15">
        <f t="shared" si="1"/>
        <v>62</v>
      </c>
      <c r="R17" s="1" t="s">
        <v>13</v>
      </c>
      <c r="S17" s="17">
        <f t="shared" ref="S17:AF17" si="9">SUM(C38:C41)</f>
        <v>53</v>
      </c>
      <c r="T17" s="17">
        <f t="shared" si="9"/>
        <v>22</v>
      </c>
      <c r="U17" s="17">
        <f t="shared" si="9"/>
        <v>18</v>
      </c>
      <c r="V17" s="17">
        <f t="shared" si="9"/>
        <v>22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137</v>
      </c>
      <c r="AD17" s="17">
        <f t="shared" si="9"/>
        <v>0</v>
      </c>
      <c r="AE17" s="31">
        <f t="shared" si="9"/>
        <v>122</v>
      </c>
      <c r="AF17" s="31">
        <f t="shared" si="9"/>
        <v>259</v>
      </c>
    </row>
    <row r="18" spans="2:32" ht="23.1" customHeight="1" x14ac:dyDescent="0.25">
      <c r="B18" s="23" t="s">
        <v>45</v>
      </c>
      <c r="C18" s="50">
        <v>8</v>
      </c>
      <c r="D18" s="50">
        <v>4</v>
      </c>
      <c r="E18" s="50">
        <v>3</v>
      </c>
      <c r="F18" s="50">
        <v>5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33</v>
      </c>
      <c r="N18" s="50">
        <v>0</v>
      </c>
      <c r="O18" s="15">
        <f t="shared" si="0"/>
        <v>20</v>
      </c>
      <c r="P18" s="15">
        <f t="shared" si="1"/>
        <v>53</v>
      </c>
      <c r="R18" s="1" t="s">
        <v>14</v>
      </c>
      <c r="S18" s="17">
        <f t="shared" ref="S18:AF18" si="10">SUM(C42:C45)</f>
        <v>66</v>
      </c>
      <c r="T18" s="17">
        <f t="shared" si="10"/>
        <v>34</v>
      </c>
      <c r="U18" s="17">
        <f t="shared" si="10"/>
        <v>28</v>
      </c>
      <c r="V18" s="17">
        <f t="shared" si="10"/>
        <v>27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136</v>
      </c>
      <c r="AD18" s="17">
        <f t="shared" si="10"/>
        <v>0</v>
      </c>
      <c r="AE18" s="31">
        <f t="shared" si="10"/>
        <v>158</v>
      </c>
      <c r="AF18" s="31">
        <f t="shared" si="10"/>
        <v>294</v>
      </c>
    </row>
    <row r="19" spans="2:32" ht="23.1" customHeight="1" x14ac:dyDescent="0.25">
      <c r="B19" s="23" t="s">
        <v>46</v>
      </c>
      <c r="C19" s="50">
        <v>5</v>
      </c>
      <c r="D19" s="50">
        <v>8</v>
      </c>
      <c r="E19" s="50">
        <v>2</v>
      </c>
      <c r="F19" s="50">
        <v>5</v>
      </c>
      <c r="G19" s="50">
        <v>0</v>
      </c>
      <c r="H19" s="50">
        <v>0</v>
      </c>
      <c r="I19" s="50">
        <v>1</v>
      </c>
      <c r="J19" s="50">
        <v>1</v>
      </c>
      <c r="K19" s="50">
        <v>0</v>
      </c>
      <c r="L19" s="50">
        <v>0</v>
      </c>
      <c r="M19" s="50">
        <v>29</v>
      </c>
      <c r="N19" s="50">
        <v>0</v>
      </c>
      <c r="O19" s="15">
        <f t="shared" si="0"/>
        <v>22</v>
      </c>
      <c r="P19" s="15">
        <f t="shared" si="1"/>
        <v>51</v>
      </c>
      <c r="R19" s="1" t="s">
        <v>15</v>
      </c>
      <c r="S19" s="17">
        <f t="shared" ref="S19:AF19" si="11">SUM(C46:C49)</f>
        <v>141</v>
      </c>
      <c r="T19" s="17">
        <f t="shared" si="11"/>
        <v>55</v>
      </c>
      <c r="U19" s="17">
        <f t="shared" si="11"/>
        <v>44</v>
      </c>
      <c r="V19" s="17">
        <f t="shared" si="11"/>
        <v>35</v>
      </c>
      <c r="W19" s="17">
        <f t="shared" si="11"/>
        <v>0</v>
      </c>
      <c r="X19" s="17">
        <f t="shared" si="11"/>
        <v>1</v>
      </c>
      <c r="Y19" s="17">
        <f t="shared" si="11"/>
        <v>8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132</v>
      </c>
      <c r="AD19" s="17">
        <f t="shared" si="11"/>
        <v>0</v>
      </c>
      <c r="AE19" s="31">
        <f t="shared" si="11"/>
        <v>287</v>
      </c>
      <c r="AF19" s="31">
        <f t="shared" si="11"/>
        <v>419</v>
      </c>
    </row>
    <row r="20" spans="2:32" ht="23.1" customHeight="1" x14ac:dyDescent="0.25">
      <c r="B20" s="23" t="s">
        <v>47</v>
      </c>
      <c r="C20" s="50">
        <v>10</v>
      </c>
      <c r="D20" s="50">
        <v>3</v>
      </c>
      <c r="E20" s="50">
        <v>6</v>
      </c>
      <c r="F20" s="50">
        <v>3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27</v>
      </c>
      <c r="N20" s="50">
        <v>0</v>
      </c>
      <c r="O20" s="15">
        <f t="shared" si="0"/>
        <v>23</v>
      </c>
      <c r="P20" s="15">
        <f t="shared" si="1"/>
        <v>50</v>
      </c>
      <c r="R20" s="1" t="s">
        <v>16</v>
      </c>
      <c r="S20" s="17">
        <f t="shared" ref="S20:AF20" si="12">SUM(C50:C53)</f>
        <v>322</v>
      </c>
      <c r="T20" s="17">
        <f t="shared" si="12"/>
        <v>121</v>
      </c>
      <c r="U20" s="17">
        <f t="shared" si="12"/>
        <v>53</v>
      </c>
      <c r="V20" s="17">
        <f t="shared" si="12"/>
        <v>50</v>
      </c>
      <c r="W20" s="17">
        <f t="shared" si="12"/>
        <v>0</v>
      </c>
      <c r="X20" s="17">
        <f t="shared" si="12"/>
        <v>0</v>
      </c>
      <c r="Y20" s="17">
        <f t="shared" si="12"/>
        <v>6</v>
      </c>
      <c r="Z20" s="17">
        <f t="shared" si="12"/>
        <v>3</v>
      </c>
      <c r="AA20" s="17">
        <f t="shared" si="12"/>
        <v>0</v>
      </c>
      <c r="AB20" s="17">
        <f t="shared" si="12"/>
        <v>0</v>
      </c>
      <c r="AC20" s="17">
        <f t="shared" si="12"/>
        <v>142</v>
      </c>
      <c r="AD20" s="17">
        <f t="shared" si="12"/>
        <v>0</v>
      </c>
      <c r="AE20" s="31">
        <f t="shared" si="12"/>
        <v>555</v>
      </c>
      <c r="AF20" s="31">
        <f t="shared" si="12"/>
        <v>697</v>
      </c>
    </row>
    <row r="21" spans="2:32" ht="23.1" customHeight="1" x14ac:dyDescent="0.25">
      <c r="B21" s="23" t="s">
        <v>48</v>
      </c>
      <c r="C21" s="50">
        <v>13</v>
      </c>
      <c r="D21" s="50">
        <v>6</v>
      </c>
      <c r="E21" s="50">
        <v>0</v>
      </c>
      <c r="F21" s="50">
        <v>4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38</v>
      </c>
      <c r="N21" s="50">
        <v>0</v>
      </c>
      <c r="O21" s="15">
        <f t="shared" si="0"/>
        <v>26</v>
      </c>
      <c r="P21" s="15">
        <f t="shared" si="1"/>
        <v>64</v>
      </c>
      <c r="R21" s="36" t="s">
        <v>20</v>
      </c>
      <c r="S21" s="34">
        <f t="shared" ref="S21:AF21" si="13">SUM(C54:C57)</f>
        <v>353</v>
      </c>
      <c r="T21" s="17">
        <f t="shared" si="13"/>
        <v>140</v>
      </c>
      <c r="U21" s="17">
        <f t="shared" si="13"/>
        <v>54</v>
      </c>
      <c r="V21" s="17">
        <f t="shared" si="13"/>
        <v>46</v>
      </c>
      <c r="W21" s="17">
        <f t="shared" si="13"/>
        <v>0</v>
      </c>
      <c r="X21" s="17">
        <f t="shared" si="13"/>
        <v>0</v>
      </c>
      <c r="Y21" s="17">
        <f t="shared" si="13"/>
        <v>8</v>
      </c>
      <c r="Z21" s="17">
        <f t="shared" si="13"/>
        <v>5</v>
      </c>
      <c r="AA21" s="17">
        <f t="shared" si="13"/>
        <v>0</v>
      </c>
      <c r="AB21" s="17">
        <f t="shared" si="13"/>
        <v>0</v>
      </c>
      <c r="AC21" s="17">
        <f t="shared" si="13"/>
        <v>143</v>
      </c>
      <c r="AD21" s="17">
        <f t="shared" si="13"/>
        <v>0</v>
      </c>
      <c r="AE21" s="31">
        <f t="shared" si="13"/>
        <v>606</v>
      </c>
      <c r="AF21" s="31">
        <f t="shared" si="13"/>
        <v>749</v>
      </c>
    </row>
    <row r="22" spans="2:32" ht="23.1" customHeight="1" x14ac:dyDescent="0.25">
      <c r="B22" s="23" t="s">
        <v>49</v>
      </c>
      <c r="C22" s="50">
        <v>9</v>
      </c>
      <c r="D22" s="50">
        <v>3</v>
      </c>
      <c r="E22" s="50">
        <v>2</v>
      </c>
      <c r="F22" s="50">
        <v>3</v>
      </c>
      <c r="G22" s="50">
        <v>0</v>
      </c>
      <c r="H22" s="50">
        <v>0</v>
      </c>
      <c r="I22" s="50">
        <v>3</v>
      </c>
      <c r="J22" s="50">
        <v>1</v>
      </c>
      <c r="K22" s="50">
        <v>0</v>
      </c>
      <c r="L22" s="50">
        <v>0</v>
      </c>
      <c r="M22" s="50">
        <v>33</v>
      </c>
      <c r="N22" s="50">
        <v>0</v>
      </c>
      <c r="O22" s="15">
        <f t="shared" si="0"/>
        <v>21</v>
      </c>
      <c r="P22" s="15">
        <f t="shared" si="1"/>
        <v>54</v>
      </c>
      <c r="R22" s="38" t="s">
        <v>90</v>
      </c>
      <c r="S22" s="39">
        <f>MAX(S10:S12)</f>
        <v>54</v>
      </c>
      <c r="T22" s="39">
        <f t="shared" ref="T22:AF22" si="14">MAX(T10:T12)</f>
        <v>26</v>
      </c>
      <c r="U22" s="39">
        <f t="shared" si="14"/>
        <v>11</v>
      </c>
      <c r="V22" s="39">
        <f t="shared" si="14"/>
        <v>22</v>
      </c>
      <c r="W22" s="39">
        <f t="shared" si="14"/>
        <v>1</v>
      </c>
      <c r="X22" s="39">
        <f t="shared" si="14"/>
        <v>0</v>
      </c>
      <c r="Y22" s="39">
        <f t="shared" si="14"/>
        <v>5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138</v>
      </c>
      <c r="AD22" s="39">
        <f t="shared" si="14"/>
        <v>0</v>
      </c>
      <c r="AE22" s="40">
        <f t="shared" si="14"/>
        <v>114</v>
      </c>
      <c r="AF22" s="40">
        <f t="shared" si="14"/>
        <v>252</v>
      </c>
    </row>
    <row r="23" spans="2:32" ht="23.1" customHeight="1" x14ac:dyDescent="0.25">
      <c r="B23" s="23" t="s">
        <v>50</v>
      </c>
      <c r="C23" s="50">
        <v>12</v>
      </c>
      <c r="D23" s="50">
        <v>6</v>
      </c>
      <c r="E23" s="50">
        <v>4</v>
      </c>
      <c r="F23" s="50">
        <v>7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29</v>
      </c>
      <c r="N23" s="50">
        <v>0</v>
      </c>
      <c r="O23" s="15">
        <f t="shared" si="0"/>
        <v>29</v>
      </c>
      <c r="P23" s="15">
        <f t="shared" si="1"/>
        <v>58</v>
      </c>
      <c r="R23" s="38" t="s">
        <v>91</v>
      </c>
      <c r="S23" s="39">
        <f>MAX(S13:S18)</f>
        <v>66</v>
      </c>
      <c r="T23" s="39">
        <f t="shared" ref="T23:AF23" si="15">MAX(T13:T18)</f>
        <v>34</v>
      </c>
      <c r="U23" s="39">
        <f t="shared" si="15"/>
        <v>28</v>
      </c>
      <c r="V23" s="39">
        <f t="shared" si="15"/>
        <v>27</v>
      </c>
      <c r="W23" s="39">
        <f t="shared" si="15"/>
        <v>0</v>
      </c>
      <c r="X23" s="39">
        <f t="shared" si="15"/>
        <v>0</v>
      </c>
      <c r="Y23" s="39">
        <f t="shared" si="15"/>
        <v>13</v>
      </c>
      <c r="Z23" s="39">
        <f t="shared" si="15"/>
        <v>2</v>
      </c>
      <c r="AA23" s="39">
        <f t="shared" si="15"/>
        <v>0</v>
      </c>
      <c r="AB23" s="39">
        <f t="shared" si="15"/>
        <v>0</v>
      </c>
      <c r="AC23" s="39">
        <f t="shared" si="15"/>
        <v>151</v>
      </c>
      <c r="AD23" s="39">
        <f t="shared" si="15"/>
        <v>0</v>
      </c>
      <c r="AE23" s="40">
        <f t="shared" si="15"/>
        <v>158</v>
      </c>
      <c r="AF23" s="40">
        <f t="shared" si="15"/>
        <v>294</v>
      </c>
    </row>
    <row r="24" spans="2:32" ht="23.1" customHeight="1" x14ac:dyDescent="0.25">
      <c r="B24" s="23" t="s">
        <v>51</v>
      </c>
      <c r="C24" s="50">
        <v>15</v>
      </c>
      <c r="D24" s="50">
        <v>9</v>
      </c>
      <c r="E24" s="50">
        <v>4</v>
      </c>
      <c r="F24" s="50">
        <v>6</v>
      </c>
      <c r="G24" s="50">
        <v>0</v>
      </c>
      <c r="H24" s="50">
        <v>0</v>
      </c>
      <c r="I24" s="50">
        <v>7</v>
      </c>
      <c r="J24" s="50">
        <v>1</v>
      </c>
      <c r="K24" s="50">
        <v>0</v>
      </c>
      <c r="L24" s="50">
        <v>0</v>
      </c>
      <c r="M24" s="50">
        <v>36</v>
      </c>
      <c r="N24" s="50">
        <v>0</v>
      </c>
      <c r="O24" s="15">
        <f t="shared" si="0"/>
        <v>42</v>
      </c>
      <c r="P24" s="15">
        <f t="shared" si="1"/>
        <v>78</v>
      </c>
      <c r="R24" s="38" t="s">
        <v>92</v>
      </c>
      <c r="S24" s="39">
        <f>MAX(S19:S21)</f>
        <v>353</v>
      </c>
      <c r="T24" s="39">
        <f t="shared" ref="T24:AF24" si="16">MAX(T19:T21)</f>
        <v>140</v>
      </c>
      <c r="U24" s="39">
        <f t="shared" si="16"/>
        <v>54</v>
      </c>
      <c r="V24" s="39">
        <f t="shared" si="16"/>
        <v>50</v>
      </c>
      <c r="W24" s="39">
        <f t="shared" si="16"/>
        <v>0</v>
      </c>
      <c r="X24" s="39">
        <f t="shared" si="16"/>
        <v>1</v>
      </c>
      <c r="Y24" s="39">
        <f t="shared" si="16"/>
        <v>8</v>
      </c>
      <c r="Z24" s="39">
        <f t="shared" si="16"/>
        <v>5</v>
      </c>
      <c r="AA24" s="39">
        <f t="shared" si="16"/>
        <v>0</v>
      </c>
      <c r="AB24" s="39">
        <f t="shared" si="16"/>
        <v>0</v>
      </c>
      <c r="AC24" s="39">
        <f t="shared" si="16"/>
        <v>143</v>
      </c>
      <c r="AD24" s="39">
        <f t="shared" si="16"/>
        <v>0</v>
      </c>
      <c r="AE24" s="40">
        <f t="shared" si="16"/>
        <v>606</v>
      </c>
      <c r="AF24" s="40">
        <f t="shared" si="16"/>
        <v>749</v>
      </c>
    </row>
    <row r="25" spans="2:32" ht="23.1" customHeight="1" x14ac:dyDescent="0.25">
      <c r="B25" s="23" t="s">
        <v>52</v>
      </c>
      <c r="C25" s="50">
        <v>11</v>
      </c>
      <c r="D25" s="50">
        <v>3</v>
      </c>
      <c r="E25" s="50">
        <v>0</v>
      </c>
      <c r="F25" s="50">
        <v>3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32</v>
      </c>
      <c r="N25" s="50">
        <v>0</v>
      </c>
      <c r="O25" s="15">
        <f t="shared" si="0"/>
        <v>20</v>
      </c>
      <c r="P25" s="15">
        <f t="shared" si="1"/>
        <v>52</v>
      </c>
      <c r="R25" s="37" t="s">
        <v>85</v>
      </c>
      <c r="S25" s="35">
        <f t="shared" ref="S25:AF25" si="17">SUM(S10:S12)</f>
        <v>136</v>
      </c>
      <c r="T25" s="16">
        <f t="shared" si="17"/>
        <v>72</v>
      </c>
      <c r="U25" s="16">
        <f t="shared" si="17"/>
        <v>29</v>
      </c>
      <c r="V25" s="16">
        <f t="shared" si="17"/>
        <v>59</v>
      </c>
      <c r="W25" s="16">
        <f t="shared" si="17"/>
        <v>1</v>
      </c>
      <c r="X25" s="16">
        <f t="shared" si="17"/>
        <v>0</v>
      </c>
      <c r="Y25" s="16">
        <f t="shared" si="17"/>
        <v>13</v>
      </c>
      <c r="Z25" s="16">
        <f t="shared" si="17"/>
        <v>3</v>
      </c>
      <c r="AA25" s="16">
        <f t="shared" si="17"/>
        <v>0</v>
      </c>
      <c r="AB25" s="16">
        <f t="shared" si="17"/>
        <v>0</v>
      </c>
      <c r="AC25" s="16">
        <f t="shared" si="17"/>
        <v>402</v>
      </c>
      <c r="AD25" s="16">
        <f t="shared" si="17"/>
        <v>0</v>
      </c>
      <c r="AE25" s="32">
        <f t="shared" si="17"/>
        <v>313</v>
      </c>
      <c r="AF25" s="32">
        <f t="shared" si="17"/>
        <v>715</v>
      </c>
    </row>
    <row r="26" spans="2:32" ht="23.1" customHeight="1" x14ac:dyDescent="0.25">
      <c r="B26" s="23" t="s">
        <v>53</v>
      </c>
      <c r="C26" s="50">
        <v>8</v>
      </c>
      <c r="D26" s="50">
        <v>4</v>
      </c>
      <c r="E26" s="50">
        <v>0</v>
      </c>
      <c r="F26" s="50">
        <v>3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38</v>
      </c>
      <c r="N26" s="50">
        <v>0</v>
      </c>
      <c r="O26" s="15">
        <f t="shared" si="0"/>
        <v>16</v>
      </c>
      <c r="P26" s="15">
        <f t="shared" si="1"/>
        <v>54</v>
      </c>
      <c r="R26" s="28" t="s">
        <v>86</v>
      </c>
      <c r="S26" s="16">
        <f t="shared" ref="S26:AF26" si="18">SUM(S13:S18)</f>
        <v>307</v>
      </c>
      <c r="T26" s="16">
        <f t="shared" si="18"/>
        <v>145</v>
      </c>
      <c r="U26" s="16">
        <f t="shared" si="18"/>
        <v>97</v>
      </c>
      <c r="V26" s="16">
        <f t="shared" si="18"/>
        <v>125</v>
      </c>
      <c r="W26" s="16">
        <f t="shared" si="18"/>
        <v>0</v>
      </c>
      <c r="X26" s="16">
        <f t="shared" si="18"/>
        <v>0</v>
      </c>
      <c r="Y26" s="16">
        <f t="shared" si="18"/>
        <v>43</v>
      </c>
      <c r="Z26" s="16">
        <f t="shared" si="18"/>
        <v>7</v>
      </c>
      <c r="AA26" s="16">
        <f t="shared" si="18"/>
        <v>0</v>
      </c>
      <c r="AB26" s="16">
        <f t="shared" si="18"/>
        <v>0</v>
      </c>
      <c r="AC26" s="16">
        <f t="shared" si="18"/>
        <v>820</v>
      </c>
      <c r="AD26" s="16">
        <f t="shared" si="18"/>
        <v>0</v>
      </c>
      <c r="AE26" s="32">
        <f t="shared" si="18"/>
        <v>724</v>
      </c>
      <c r="AF26" s="32">
        <f t="shared" si="18"/>
        <v>1544</v>
      </c>
    </row>
    <row r="27" spans="2:32" ht="23.1" customHeight="1" x14ac:dyDescent="0.25">
      <c r="B27" s="23" t="s">
        <v>54</v>
      </c>
      <c r="C27" s="50">
        <v>6</v>
      </c>
      <c r="D27" s="50">
        <v>2</v>
      </c>
      <c r="E27" s="50">
        <v>2</v>
      </c>
      <c r="F27" s="50">
        <v>5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42</v>
      </c>
      <c r="N27" s="50">
        <v>0</v>
      </c>
      <c r="O27" s="15">
        <f t="shared" si="0"/>
        <v>15</v>
      </c>
      <c r="P27" s="15">
        <f t="shared" si="1"/>
        <v>57</v>
      </c>
      <c r="R27" s="29" t="s">
        <v>87</v>
      </c>
      <c r="S27" s="16">
        <f t="shared" ref="S27:AF27" si="19">SUM(S19:S21)</f>
        <v>816</v>
      </c>
      <c r="T27" s="16">
        <f t="shared" si="19"/>
        <v>316</v>
      </c>
      <c r="U27" s="16">
        <f t="shared" si="19"/>
        <v>151</v>
      </c>
      <c r="V27" s="16">
        <f t="shared" si="19"/>
        <v>131</v>
      </c>
      <c r="W27" s="16">
        <f t="shared" si="19"/>
        <v>0</v>
      </c>
      <c r="X27" s="16">
        <f t="shared" si="19"/>
        <v>1</v>
      </c>
      <c r="Y27" s="16">
        <f t="shared" si="19"/>
        <v>22</v>
      </c>
      <c r="Z27" s="16">
        <f t="shared" si="19"/>
        <v>11</v>
      </c>
      <c r="AA27" s="16">
        <f t="shared" si="19"/>
        <v>0</v>
      </c>
      <c r="AB27" s="16">
        <f t="shared" si="19"/>
        <v>0</v>
      </c>
      <c r="AC27" s="16">
        <f t="shared" si="19"/>
        <v>417</v>
      </c>
      <c r="AD27" s="16">
        <f t="shared" si="19"/>
        <v>0</v>
      </c>
      <c r="AE27" s="32">
        <f t="shared" si="19"/>
        <v>1448</v>
      </c>
      <c r="AF27" s="32">
        <f t="shared" si="19"/>
        <v>1865</v>
      </c>
    </row>
    <row r="28" spans="2:32" ht="23.1" customHeight="1" x14ac:dyDescent="0.25">
      <c r="B28" s="23" t="s">
        <v>55</v>
      </c>
      <c r="C28" s="50">
        <v>12</v>
      </c>
      <c r="D28" s="50">
        <v>9</v>
      </c>
      <c r="E28" s="50">
        <v>0</v>
      </c>
      <c r="F28" s="50">
        <v>3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39</v>
      </c>
      <c r="N28" s="50">
        <v>0</v>
      </c>
      <c r="O28" s="15">
        <f t="shared" si="0"/>
        <v>24</v>
      </c>
      <c r="P28" s="15">
        <f t="shared" si="1"/>
        <v>63</v>
      </c>
      <c r="R28" s="5" t="s">
        <v>17</v>
      </c>
      <c r="S28" s="16">
        <f t="shared" ref="S28:AF28" si="20">SUM(S10:S21)</f>
        <v>1259</v>
      </c>
      <c r="T28" s="16">
        <f t="shared" si="20"/>
        <v>533</v>
      </c>
      <c r="U28" s="16">
        <f t="shared" si="20"/>
        <v>277</v>
      </c>
      <c r="V28" s="16">
        <f t="shared" si="20"/>
        <v>315</v>
      </c>
      <c r="W28" s="16">
        <f t="shared" si="20"/>
        <v>1</v>
      </c>
      <c r="X28" s="16">
        <f t="shared" si="20"/>
        <v>1</v>
      </c>
      <c r="Y28" s="16">
        <f t="shared" si="20"/>
        <v>78</v>
      </c>
      <c r="Z28" s="16">
        <f t="shared" si="20"/>
        <v>21</v>
      </c>
      <c r="AA28" s="16">
        <f t="shared" si="20"/>
        <v>0</v>
      </c>
      <c r="AB28" s="16">
        <f t="shared" si="20"/>
        <v>0</v>
      </c>
      <c r="AC28" s="16">
        <f t="shared" si="20"/>
        <v>1639</v>
      </c>
      <c r="AD28" s="16">
        <f t="shared" si="20"/>
        <v>0</v>
      </c>
      <c r="AE28" s="32">
        <f t="shared" si="20"/>
        <v>2485</v>
      </c>
      <c r="AF28" s="32">
        <f t="shared" si="20"/>
        <v>4124</v>
      </c>
    </row>
    <row r="29" spans="2:32" ht="23.1" customHeight="1" x14ac:dyDescent="0.25">
      <c r="B29" s="23" t="s">
        <v>56</v>
      </c>
      <c r="C29" s="50">
        <v>9</v>
      </c>
      <c r="D29" s="50">
        <v>4</v>
      </c>
      <c r="E29" s="50">
        <v>3</v>
      </c>
      <c r="F29" s="50">
        <v>4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32</v>
      </c>
      <c r="N29" s="50">
        <v>0</v>
      </c>
      <c r="O29" s="15">
        <f t="shared" si="0"/>
        <v>20</v>
      </c>
      <c r="P29" s="15">
        <f t="shared" si="1"/>
        <v>52</v>
      </c>
      <c r="R29"/>
      <c r="S29" s="20"/>
      <c r="T29" s="19"/>
    </row>
    <row r="30" spans="2:32" ht="23.1" customHeight="1" x14ac:dyDescent="0.25">
      <c r="B30" s="23" t="s">
        <v>57</v>
      </c>
      <c r="C30" s="50">
        <v>10</v>
      </c>
      <c r="D30" s="50">
        <v>4</v>
      </c>
      <c r="E30" s="50">
        <v>6</v>
      </c>
      <c r="F30" s="50">
        <v>3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28</v>
      </c>
      <c r="N30" s="50">
        <v>0</v>
      </c>
      <c r="O30" s="15">
        <f t="shared" si="0"/>
        <v>26</v>
      </c>
      <c r="P30" s="15">
        <f t="shared" si="1"/>
        <v>54</v>
      </c>
    </row>
    <row r="31" spans="2:32" ht="23.1" customHeight="1" x14ac:dyDescent="0.25">
      <c r="B31" s="24" t="s">
        <v>58</v>
      </c>
      <c r="C31" s="50">
        <v>11</v>
      </c>
      <c r="D31" s="50">
        <v>8</v>
      </c>
      <c r="E31" s="50">
        <v>2</v>
      </c>
      <c r="F31" s="50">
        <v>5</v>
      </c>
      <c r="G31" s="50">
        <v>0</v>
      </c>
      <c r="H31" s="50">
        <v>0</v>
      </c>
      <c r="I31" s="50">
        <v>4</v>
      </c>
      <c r="J31" s="50">
        <v>0</v>
      </c>
      <c r="K31" s="50">
        <v>0</v>
      </c>
      <c r="L31" s="50">
        <v>0</v>
      </c>
      <c r="M31" s="50">
        <v>33</v>
      </c>
      <c r="N31" s="50">
        <v>0</v>
      </c>
      <c r="O31" s="15">
        <f t="shared" si="0"/>
        <v>30</v>
      </c>
      <c r="P31" s="15">
        <f t="shared" si="1"/>
        <v>63</v>
      </c>
    </row>
    <row r="32" spans="2:32" ht="23.1" customHeight="1" x14ac:dyDescent="0.25">
      <c r="B32" s="24" t="s">
        <v>59</v>
      </c>
      <c r="C32" s="50">
        <v>17</v>
      </c>
      <c r="D32" s="50">
        <v>11</v>
      </c>
      <c r="E32" s="50">
        <v>4</v>
      </c>
      <c r="F32" s="50">
        <v>7</v>
      </c>
      <c r="G32" s="50">
        <v>0</v>
      </c>
      <c r="H32" s="50">
        <v>0</v>
      </c>
      <c r="I32" s="50">
        <v>2</v>
      </c>
      <c r="J32" s="50">
        <v>1</v>
      </c>
      <c r="K32" s="50">
        <v>0</v>
      </c>
      <c r="L32" s="50">
        <v>0</v>
      </c>
      <c r="M32" s="50">
        <v>37</v>
      </c>
      <c r="N32" s="50">
        <v>0</v>
      </c>
      <c r="O32" s="15">
        <f t="shared" si="0"/>
        <v>42</v>
      </c>
      <c r="P32" s="15">
        <f t="shared" si="1"/>
        <v>79</v>
      </c>
    </row>
    <row r="33" spans="2:20" ht="23.1" customHeight="1" x14ac:dyDescent="0.25">
      <c r="B33" s="23" t="s">
        <v>60</v>
      </c>
      <c r="C33" s="50">
        <v>14</v>
      </c>
      <c r="D33" s="50">
        <v>2</v>
      </c>
      <c r="E33" s="50">
        <v>6</v>
      </c>
      <c r="F33" s="50">
        <v>4</v>
      </c>
      <c r="G33" s="50">
        <v>0</v>
      </c>
      <c r="H33" s="50">
        <v>0</v>
      </c>
      <c r="I33" s="50">
        <v>3</v>
      </c>
      <c r="J33" s="50">
        <v>1</v>
      </c>
      <c r="K33" s="50">
        <v>0</v>
      </c>
      <c r="L33" s="50">
        <v>0</v>
      </c>
      <c r="M33" s="50">
        <v>39</v>
      </c>
      <c r="N33" s="50">
        <v>0</v>
      </c>
      <c r="O33" s="15">
        <f t="shared" si="0"/>
        <v>30</v>
      </c>
      <c r="P33" s="15">
        <f t="shared" si="1"/>
        <v>69</v>
      </c>
    </row>
    <row r="34" spans="2:20" ht="23.1" customHeight="1" x14ac:dyDescent="0.25">
      <c r="B34" s="24" t="s">
        <v>61</v>
      </c>
      <c r="C34" s="50">
        <v>11</v>
      </c>
      <c r="D34" s="50">
        <v>6</v>
      </c>
      <c r="E34" s="50">
        <v>5</v>
      </c>
      <c r="F34" s="50">
        <v>5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34</v>
      </c>
      <c r="N34" s="50">
        <v>0</v>
      </c>
      <c r="O34" s="15">
        <f t="shared" si="0"/>
        <v>29</v>
      </c>
      <c r="P34" s="15">
        <f t="shared" si="1"/>
        <v>63</v>
      </c>
    </row>
    <row r="35" spans="2:20" ht="23.1" customHeight="1" x14ac:dyDescent="0.25">
      <c r="B35" s="24" t="s">
        <v>62</v>
      </c>
      <c r="C35" s="50">
        <v>13</v>
      </c>
      <c r="D35" s="50">
        <v>4</v>
      </c>
      <c r="E35" s="50">
        <v>6</v>
      </c>
      <c r="F35" s="50">
        <v>7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0</v>
      </c>
      <c r="M35" s="50">
        <v>31</v>
      </c>
      <c r="N35" s="50">
        <v>0</v>
      </c>
      <c r="O35" s="15">
        <f t="shared" si="0"/>
        <v>33</v>
      </c>
      <c r="P35" s="15">
        <f t="shared" si="1"/>
        <v>64</v>
      </c>
    </row>
    <row r="36" spans="2:20" ht="23.1" customHeight="1" x14ac:dyDescent="0.25">
      <c r="B36" s="24" t="s">
        <v>63</v>
      </c>
      <c r="C36" s="50">
        <v>17</v>
      </c>
      <c r="D36" s="50">
        <v>6</v>
      </c>
      <c r="E36" s="50">
        <v>4</v>
      </c>
      <c r="F36" s="50">
        <v>4</v>
      </c>
      <c r="G36" s="50">
        <v>0</v>
      </c>
      <c r="H36" s="50">
        <v>0</v>
      </c>
      <c r="I36" s="50">
        <v>3</v>
      </c>
      <c r="J36" s="50">
        <v>1</v>
      </c>
      <c r="K36" s="50">
        <v>0</v>
      </c>
      <c r="L36" s="50">
        <v>0</v>
      </c>
      <c r="M36" s="50">
        <v>36</v>
      </c>
      <c r="N36" s="50">
        <v>0</v>
      </c>
      <c r="O36" s="15">
        <f t="shared" si="0"/>
        <v>35</v>
      </c>
      <c r="P36" s="15">
        <f t="shared" si="1"/>
        <v>71</v>
      </c>
    </row>
    <row r="37" spans="2:20" ht="23.1" customHeight="1" x14ac:dyDescent="0.25">
      <c r="B37" s="23" t="s">
        <v>64</v>
      </c>
      <c r="C37" s="50">
        <v>13</v>
      </c>
      <c r="D37" s="50">
        <v>8</v>
      </c>
      <c r="E37" s="50">
        <v>3</v>
      </c>
      <c r="F37" s="50">
        <v>7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28</v>
      </c>
      <c r="N37" s="50">
        <v>0</v>
      </c>
      <c r="O37" s="15">
        <f t="shared" si="0"/>
        <v>32</v>
      </c>
      <c r="P37" s="15">
        <f t="shared" si="1"/>
        <v>60</v>
      </c>
    </row>
    <row r="38" spans="2:20" ht="23.1" customHeight="1" x14ac:dyDescent="0.25">
      <c r="B38" s="24" t="s">
        <v>65</v>
      </c>
      <c r="C38" s="50">
        <v>11</v>
      </c>
      <c r="D38" s="50">
        <v>3</v>
      </c>
      <c r="E38" s="50">
        <v>6</v>
      </c>
      <c r="F38" s="50">
        <v>8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33</v>
      </c>
      <c r="N38" s="50">
        <v>0</v>
      </c>
      <c r="O38" s="15">
        <f t="shared" si="0"/>
        <v>29</v>
      </c>
      <c r="P38" s="15">
        <f t="shared" si="1"/>
        <v>62</v>
      </c>
    </row>
    <row r="39" spans="2:20" ht="23.1" customHeight="1" x14ac:dyDescent="0.25">
      <c r="B39" s="24" t="s">
        <v>66</v>
      </c>
      <c r="C39" s="50">
        <v>16</v>
      </c>
      <c r="D39" s="50">
        <v>6</v>
      </c>
      <c r="E39" s="50">
        <v>2</v>
      </c>
      <c r="F39" s="50">
        <v>4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29</v>
      </c>
      <c r="N39" s="50">
        <v>0</v>
      </c>
      <c r="O39" s="15">
        <f t="shared" si="0"/>
        <v>29</v>
      </c>
      <c r="P39" s="15">
        <f t="shared" si="1"/>
        <v>58</v>
      </c>
    </row>
    <row r="40" spans="2:20" ht="23.1" customHeight="1" x14ac:dyDescent="0.25">
      <c r="B40" s="24" t="s">
        <v>67</v>
      </c>
      <c r="C40" s="50">
        <v>12</v>
      </c>
      <c r="D40" s="50">
        <v>4</v>
      </c>
      <c r="E40" s="50">
        <v>4</v>
      </c>
      <c r="F40" s="50">
        <v>7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39</v>
      </c>
      <c r="N40" s="50">
        <v>0</v>
      </c>
      <c r="O40" s="15">
        <f t="shared" si="0"/>
        <v>30</v>
      </c>
      <c r="P40" s="15">
        <f t="shared" si="1"/>
        <v>69</v>
      </c>
    </row>
    <row r="41" spans="2:20" ht="23.1" customHeight="1" x14ac:dyDescent="0.25">
      <c r="B41" s="23" t="s">
        <v>68</v>
      </c>
      <c r="C41" s="50">
        <v>14</v>
      </c>
      <c r="D41" s="50">
        <v>9</v>
      </c>
      <c r="E41" s="50">
        <v>6</v>
      </c>
      <c r="F41" s="50">
        <v>3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0</v>
      </c>
      <c r="M41" s="50">
        <v>36</v>
      </c>
      <c r="N41" s="50">
        <v>0</v>
      </c>
      <c r="O41" s="15">
        <f t="shared" si="0"/>
        <v>34</v>
      </c>
      <c r="P41" s="15">
        <f t="shared" si="1"/>
        <v>70</v>
      </c>
    </row>
    <row r="42" spans="2:20" ht="23.1" customHeight="1" x14ac:dyDescent="0.25">
      <c r="B42" s="24" t="s">
        <v>69</v>
      </c>
      <c r="C42" s="50">
        <v>13</v>
      </c>
      <c r="D42" s="50">
        <v>6</v>
      </c>
      <c r="E42" s="50">
        <v>4</v>
      </c>
      <c r="F42" s="50">
        <v>7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38</v>
      </c>
      <c r="N42" s="50">
        <v>0</v>
      </c>
      <c r="O42" s="15">
        <f t="shared" si="0"/>
        <v>30</v>
      </c>
      <c r="P42" s="15">
        <f t="shared" si="1"/>
        <v>68</v>
      </c>
    </row>
    <row r="43" spans="2:20" ht="23.1" customHeight="1" x14ac:dyDescent="0.25">
      <c r="B43" s="23" t="s">
        <v>70</v>
      </c>
      <c r="C43" s="50">
        <v>19</v>
      </c>
      <c r="D43" s="50">
        <v>10</v>
      </c>
      <c r="E43" s="50">
        <v>6</v>
      </c>
      <c r="F43" s="50">
        <v>4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36</v>
      </c>
      <c r="N43" s="50">
        <v>0</v>
      </c>
      <c r="O43" s="15">
        <f t="shared" si="0"/>
        <v>40</v>
      </c>
      <c r="P43" s="15">
        <f t="shared" si="1"/>
        <v>76</v>
      </c>
    </row>
    <row r="44" spans="2:20" ht="23.1" customHeight="1" x14ac:dyDescent="0.25">
      <c r="B44" s="25" t="s">
        <v>71</v>
      </c>
      <c r="C44" s="50">
        <v>16</v>
      </c>
      <c r="D44" s="50">
        <v>8</v>
      </c>
      <c r="E44" s="50">
        <v>11</v>
      </c>
      <c r="F44" s="50">
        <v>9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33</v>
      </c>
      <c r="N44" s="50">
        <v>0</v>
      </c>
      <c r="O44" s="15">
        <f t="shared" si="0"/>
        <v>44</v>
      </c>
      <c r="P44" s="15">
        <f t="shared" si="1"/>
        <v>77</v>
      </c>
    </row>
    <row r="45" spans="2:20" ht="23.1" customHeight="1" x14ac:dyDescent="0.25">
      <c r="B45" s="23" t="s">
        <v>72</v>
      </c>
      <c r="C45" s="50">
        <v>18</v>
      </c>
      <c r="D45" s="50">
        <v>10</v>
      </c>
      <c r="E45" s="50">
        <v>7</v>
      </c>
      <c r="F45" s="50">
        <v>7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29</v>
      </c>
      <c r="N45" s="50">
        <v>0</v>
      </c>
      <c r="O45" s="15">
        <f t="shared" si="0"/>
        <v>44</v>
      </c>
      <c r="P45" s="15">
        <f t="shared" si="1"/>
        <v>73</v>
      </c>
    </row>
    <row r="46" spans="2:20" ht="23.1" customHeight="1" x14ac:dyDescent="0.25">
      <c r="B46" s="24" t="s">
        <v>73</v>
      </c>
      <c r="C46" s="50">
        <v>15</v>
      </c>
      <c r="D46" s="50">
        <v>7</v>
      </c>
      <c r="E46" s="50">
        <v>4</v>
      </c>
      <c r="F46" s="50">
        <v>6</v>
      </c>
      <c r="G46" s="50">
        <v>0</v>
      </c>
      <c r="H46" s="50">
        <v>0</v>
      </c>
      <c r="I46" s="50">
        <v>2</v>
      </c>
      <c r="J46" s="50">
        <v>1</v>
      </c>
      <c r="K46" s="50">
        <v>0</v>
      </c>
      <c r="L46" s="50">
        <v>0</v>
      </c>
      <c r="M46" s="50">
        <v>32</v>
      </c>
      <c r="N46" s="50">
        <v>0</v>
      </c>
      <c r="O46" s="15">
        <f t="shared" si="0"/>
        <v>35</v>
      </c>
      <c r="P46" s="15">
        <f t="shared" si="1"/>
        <v>67</v>
      </c>
      <c r="R46" s="8"/>
      <c r="T46"/>
    </row>
    <row r="47" spans="2:20" ht="23.1" customHeight="1" x14ac:dyDescent="0.25">
      <c r="B47" s="24" t="s">
        <v>74</v>
      </c>
      <c r="C47" s="50">
        <v>31</v>
      </c>
      <c r="D47" s="50">
        <v>15</v>
      </c>
      <c r="E47" s="50">
        <v>11</v>
      </c>
      <c r="F47" s="50">
        <v>7</v>
      </c>
      <c r="G47" s="50">
        <v>0</v>
      </c>
      <c r="H47" s="50">
        <v>0</v>
      </c>
      <c r="I47" s="50">
        <v>1</v>
      </c>
      <c r="J47" s="50">
        <v>1</v>
      </c>
      <c r="K47" s="50">
        <v>0</v>
      </c>
      <c r="L47" s="50">
        <v>0</v>
      </c>
      <c r="M47" s="50">
        <v>36</v>
      </c>
      <c r="N47" s="50">
        <v>0</v>
      </c>
      <c r="O47" s="15">
        <f t="shared" si="0"/>
        <v>66</v>
      </c>
      <c r="P47" s="15">
        <f t="shared" si="1"/>
        <v>102</v>
      </c>
      <c r="R47" s="8"/>
      <c r="T47"/>
    </row>
    <row r="48" spans="2:20" ht="23.1" customHeight="1" x14ac:dyDescent="0.25">
      <c r="B48" s="24" t="s">
        <v>75</v>
      </c>
      <c r="C48" s="50">
        <v>39</v>
      </c>
      <c r="D48" s="50">
        <v>14</v>
      </c>
      <c r="E48" s="50">
        <v>13</v>
      </c>
      <c r="F48" s="50">
        <v>10</v>
      </c>
      <c r="G48" s="50">
        <v>0</v>
      </c>
      <c r="H48" s="50">
        <v>1</v>
      </c>
      <c r="I48" s="50">
        <v>2</v>
      </c>
      <c r="J48" s="50">
        <v>0</v>
      </c>
      <c r="K48" s="50">
        <v>0</v>
      </c>
      <c r="L48" s="50">
        <v>0</v>
      </c>
      <c r="M48" s="50">
        <v>31</v>
      </c>
      <c r="N48" s="50">
        <v>0</v>
      </c>
      <c r="O48" s="15">
        <f t="shared" si="0"/>
        <v>79</v>
      </c>
      <c r="P48" s="15">
        <f t="shared" si="1"/>
        <v>110</v>
      </c>
      <c r="R48" s="8"/>
      <c r="T48"/>
    </row>
    <row r="49" spans="2:20" ht="23.1" customHeight="1" x14ac:dyDescent="0.25">
      <c r="B49" s="23" t="s">
        <v>76</v>
      </c>
      <c r="C49" s="50">
        <v>56</v>
      </c>
      <c r="D49" s="50">
        <v>19</v>
      </c>
      <c r="E49" s="50">
        <v>16</v>
      </c>
      <c r="F49" s="50">
        <v>12</v>
      </c>
      <c r="G49" s="50">
        <v>0</v>
      </c>
      <c r="H49" s="50">
        <v>0</v>
      </c>
      <c r="I49" s="50">
        <v>3</v>
      </c>
      <c r="J49" s="50">
        <v>1</v>
      </c>
      <c r="K49" s="50">
        <v>0</v>
      </c>
      <c r="L49" s="50">
        <v>0</v>
      </c>
      <c r="M49" s="50">
        <v>33</v>
      </c>
      <c r="N49" s="50">
        <v>0</v>
      </c>
      <c r="O49" s="15">
        <f t="shared" si="0"/>
        <v>107</v>
      </c>
      <c r="P49" s="15">
        <f t="shared" si="1"/>
        <v>140</v>
      </c>
      <c r="R49" s="8"/>
      <c r="T49"/>
    </row>
    <row r="50" spans="2:20" ht="23.1" customHeight="1" x14ac:dyDescent="0.25">
      <c r="B50" s="24" t="s">
        <v>77</v>
      </c>
      <c r="C50" s="50">
        <v>68</v>
      </c>
      <c r="D50" s="50">
        <v>27</v>
      </c>
      <c r="E50" s="50">
        <v>12</v>
      </c>
      <c r="F50" s="50">
        <v>9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34</v>
      </c>
      <c r="N50" s="50">
        <v>0</v>
      </c>
      <c r="O50" s="15">
        <f t="shared" si="0"/>
        <v>117</v>
      </c>
      <c r="P50" s="15">
        <f t="shared" si="1"/>
        <v>151</v>
      </c>
      <c r="R50" s="8"/>
      <c r="T50"/>
    </row>
    <row r="51" spans="2:20" ht="23.1" customHeight="1" x14ac:dyDescent="0.25">
      <c r="B51" s="24" t="s">
        <v>78</v>
      </c>
      <c r="C51" s="50">
        <v>83</v>
      </c>
      <c r="D51" s="50">
        <v>31</v>
      </c>
      <c r="E51" s="50">
        <v>14</v>
      </c>
      <c r="F51" s="50">
        <v>13</v>
      </c>
      <c r="G51" s="50">
        <v>0</v>
      </c>
      <c r="H51" s="50">
        <v>0</v>
      </c>
      <c r="I51" s="50">
        <v>2</v>
      </c>
      <c r="J51" s="50">
        <v>2</v>
      </c>
      <c r="K51" s="50">
        <v>0</v>
      </c>
      <c r="L51" s="50">
        <v>0</v>
      </c>
      <c r="M51" s="50">
        <v>32</v>
      </c>
      <c r="N51" s="50">
        <v>0</v>
      </c>
      <c r="O51" s="15">
        <f t="shared" si="0"/>
        <v>145</v>
      </c>
      <c r="P51" s="15">
        <f t="shared" si="1"/>
        <v>177</v>
      </c>
      <c r="R51" s="8"/>
      <c r="T51"/>
    </row>
    <row r="52" spans="2:20" ht="23.1" customHeight="1" x14ac:dyDescent="0.25">
      <c r="B52" s="24" t="s">
        <v>79</v>
      </c>
      <c r="C52" s="50">
        <v>80</v>
      </c>
      <c r="D52" s="50">
        <v>35</v>
      </c>
      <c r="E52" s="50">
        <v>16</v>
      </c>
      <c r="F52" s="50">
        <v>10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37</v>
      </c>
      <c r="N52" s="50">
        <v>0</v>
      </c>
      <c r="O52" s="15">
        <f t="shared" si="0"/>
        <v>141</v>
      </c>
      <c r="P52" s="15">
        <f t="shared" si="1"/>
        <v>178</v>
      </c>
      <c r="R52" s="8"/>
      <c r="T52"/>
    </row>
    <row r="53" spans="2:20" ht="23.1" customHeight="1" x14ac:dyDescent="0.25">
      <c r="B53" s="23" t="s">
        <v>80</v>
      </c>
      <c r="C53" s="50">
        <v>91</v>
      </c>
      <c r="D53" s="50">
        <v>28</v>
      </c>
      <c r="E53" s="50">
        <v>11</v>
      </c>
      <c r="F53" s="50">
        <v>18</v>
      </c>
      <c r="G53" s="50">
        <v>0</v>
      </c>
      <c r="H53" s="50">
        <v>0</v>
      </c>
      <c r="I53" s="50">
        <v>3</v>
      </c>
      <c r="J53" s="50">
        <v>1</v>
      </c>
      <c r="K53" s="50">
        <v>0</v>
      </c>
      <c r="L53" s="50">
        <v>0</v>
      </c>
      <c r="M53" s="50">
        <v>39</v>
      </c>
      <c r="N53" s="50">
        <v>0</v>
      </c>
      <c r="O53" s="15">
        <f t="shared" si="0"/>
        <v>152</v>
      </c>
      <c r="P53" s="15">
        <f t="shared" si="1"/>
        <v>191</v>
      </c>
      <c r="R53" s="8"/>
      <c r="T53"/>
    </row>
    <row r="54" spans="2:20" ht="23.1" customHeight="1" x14ac:dyDescent="0.25">
      <c r="B54" s="23" t="s">
        <v>81</v>
      </c>
      <c r="C54" s="50">
        <v>87</v>
      </c>
      <c r="D54" s="50">
        <v>42</v>
      </c>
      <c r="E54" s="50">
        <v>13</v>
      </c>
      <c r="F54" s="50">
        <v>14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36</v>
      </c>
      <c r="N54" s="50">
        <v>0</v>
      </c>
      <c r="O54" s="15">
        <f t="shared" si="0"/>
        <v>157</v>
      </c>
      <c r="P54" s="15">
        <f t="shared" si="1"/>
        <v>193</v>
      </c>
      <c r="R54" s="8"/>
      <c r="T54"/>
    </row>
    <row r="55" spans="2:20" ht="23.1" customHeight="1" x14ac:dyDescent="0.25">
      <c r="B55" s="23" t="s">
        <v>82</v>
      </c>
      <c r="C55" s="50">
        <v>85</v>
      </c>
      <c r="D55" s="50">
        <v>32</v>
      </c>
      <c r="E55" s="50">
        <v>11</v>
      </c>
      <c r="F55" s="50">
        <v>12</v>
      </c>
      <c r="G55" s="50">
        <v>0</v>
      </c>
      <c r="H55" s="50">
        <v>0</v>
      </c>
      <c r="I55" s="50">
        <v>3</v>
      </c>
      <c r="J55" s="50">
        <v>2</v>
      </c>
      <c r="K55" s="50">
        <v>0</v>
      </c>
      <c r="L55" s="50">
        <v>0</v>
      </c>
      <c r="M55" s="50">
        <v>31</v>
      </c>
      <c r="N55" s="50">
        <v>0</v>
      </c>
      <c r="O55" s="15">
        <f t="shared" si="0"/>
        <v>145</v>
      </c>
      <c r="P55" s="15">
        <f t="shared" si="1"/>
        <v>176</v>
      </c>
      <c r="R55" s="8"/>
      <c r="T55"/>
    </row>
    <row r="56" spans="2:20" ht="23.1" customHeight="1" x14ac:dyDescent="0.25">
      <c r="B56" s="23" t="s">
        <v>83</v>
      </c>
      <c r="C56" s="50">
        <v>92</v>
      </c>
      <c r="D56" s="50">
        <v>29</v>
      </c>
      <c r="E56" s="50">
        <v>16</v>
      </c>
      <c r="F56" s="50">
        <v>8</v>
      </c>
      <c r="G56" s="50">
        <v>0</v>
      </c>
      <c r="H56" s="50">
        <v>0</v>
      </c>
      <c r="I56" s="50">
        <v>1</v>
      </c>
      <c r="J56" s="50">
        <v>2</v>
      </c>
      <c r="K56" s="50">
        <v>0</v>
      </c>
      <c r="L56" s="50">
        <v>0</v>
      </c>
      <c r="M56" s="50">
        <v>42</v>
      </c>
      <c r="N56" s="50">
        <v>0</v>
      </c>
      <c r="O56" s="15">
        <f t="shared" si="0"/>
        <v>148</v>
      </c>
      <c r="P56" s="15">
        <f t="shared" si="1"/>
        <v>190</v>
      </c>
      <c r="R56" s="8"/>
      <c r="T56"/>
    </row>
    <row r="57" spans="2:20" ht="23.1" customHeight="1" x14ac:dyDescent="0.25">
      <c r="B57" s="23" t="s">
        <v>84</v>
      </c>
      <c r="C57" s="50">
        <v>89</v>
      </c>
      <c r="D57" s="50">
        <v>37</v>
      </c>
      <c r="E57" s="50">
        <v>14</v>
      </c>
      <c r="F57" s="50">
        <v>12</v>
      </c>
      <c r="G57" s="50">
        <v>0</v>
      </c>
      <c r="H57" s="50">
        <v>0</v>
      </c>
      <c r="I57" s="50">
        <v>3</v>
      </c>
      <c r="J57" s="50">
        <v>1</v>
      </c>
      <c r="K57" s="50">
        <v>0</v>
      </c>
      <c r="L57" s="50">
        <v>0</v>
      </c>
      <c r="M57" s="50">
        <v>34</v>
      </c>
      <c r="N57" s="50">
        <v>0</v>
      </c>
      <c r="O57" s="15">
        <f t="shared" si="0"/>
        <v>156</v>
      </c>
      <c r="P57" s="15">
        <f t="shared" si="1"/>
        <v>190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1259</v>
      </c>
      <c r="D58" s="16">
        <f t="shared" si="21"/>
        <v>533</v>
      </c>
      <c r="E58" s="16">
        <f t="shared" si="21"/>
        <v>277</v>
      </c>
      <c r="F58" s="16">
        <f t="shared" si="21"/>
        <v>315</v>
      </c>
      <c r="G58" s="16">
        <f t="shared" si="21"/>
        <v>1</v>
      </c>
      <c r="H58" s="16">
        <f t="shared" si="21"/>
        <v>1</v>
      </c>
      <c r="I58" s="16">
        <f t="shared" si="21"/>
        <v>78</v>
      </c>
      <c r="J58" s="16">
        <f t="shared" si="21"/>
        <v>21</v>
      </c>
      <c r="K58" s="16">
        <f t="shared" si="21"/>
        <v>0</v>
      </c>
      <c r="L58" s="16">
        <f t="shared" si="21"/>
        <v>0</v>
      </c>
      <c r="M58" s="16">
        <f t="shared" si="21"/>
        <v>1639</v>
      </c>
      <c r="N58" s="16">
        <f t="shared" si="21"/>
        <v>0</v>
      </c>
      <c r="O58" s="16">
        <f t="shared" si="21"/>
        <v>2485</v>
      </c>
      <c r="P58" s="16">
        <f t="shared" si="21"/>
        <v>4124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0.30528612997090204</v>
      </c>
      <c r="D59" s="43">
        <f t="shared" si="22"/>
        <v>0.12924345295829293</v>
      </c>
      <c r="E59" s="43">
        <f t="shared" si="22"/>
        <v>6.716779825412221E-2</v>
      </c>
      <c r="F59" s="43">
        <f t="shared" si="22"/>
        <v>7.6382153249272555E-2</v>
      </c>
      <c r="G59" s="43">
        <f t="shared" si="22"/>
        <v>2.4248302618816683E-4</v>
      </c>
      <c r="H59" s="43">
        <f t="shared" si="22"/>
        <v>2.4248302618816683E-4</v>
      </c>
      <c r="I59" s="43">
        <f t="shared" si="22"/>
        <v>1.8913676042677012E-2</v>
      </c>
      <c r="J59" s="43">
        <f t="shared" si="22"/>
        <v>5.0921435499515031E-3</v>
      </c>
      <c r="K59" s="43">
        <f t="shared" si="22"/>
        <v>0</v>
      </c>
      <c r="L59" s="43">
        <f t="shared" si="22"/>
        <v>0</v>
      </c>
      <c r="M59" s="43">
        <f t="shared" si="22"/>
        <v>0.39742967992240541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0.50663983903420529</v>
      </c>
      <c r="D60" s="44">
        <f t="shared" ref="D60:N60" si="23">D58/$O$58</f>
        <v>0.21448692152917506</v>
      </c>
      <c r="E60" s="44">
        <f t="shared" si="23"/>
        <v>0.11146881287726358</v>
      </c>
      <c r="F60" s="44">
        <f t="shared" si="23"/>
        <v>0.12676056338028169</v>
      </c>
      <c r="G60" s="44">
        <f t="shared" si="23"/>
        <v>4.0241448692152917E-4</v>
      </c>
      <c r="H60" s="44">
        <f t="shared" si="23"/>
        <v>4.0241448692152917E-4</v>
      </c>
      <c r="I60" s="44">
        <f t="shared" si="23"/>
        <v>3.1388329979879274E-2</v>
      </c>
      <c r="J60" s="44">
        <f t="shared" si="23"/>
        <v>8.4507042253521118E-3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10" zoomScale="40" zoomScaleSheetLayoutView="40" workbookViewId="0">
      <selection activeCell="M41" sqref="M4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Kisasi-Bukoto'!C3:G3</f>
        <v>MCC - C1 - STN32 - BUKOTO KISASI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63" t="str">
        <f>'29.07 Kisasi-Bukoto'!G5:H5</f>
        <v>KISASI</v>
      </c>
      <c r="H5" s="64"/>
      <c r="I5" s="14"/>
      <c r="J5" s="2" t="s">
        <v>5</v>
      </c>
      <c r="K5" s="63" t="str">
        <f>'29.07 Kisasi-Bukoto'!K5:L5</f>
        <v>RWAMBITITO J./NICHOL A./GEORGE W.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'29.07 Kisasi-Bukoto'!D6:E6</f>
        <v>KISASI</v>
      </c>
      <c r="E6" s="64"/>
      <c r="F6" s="2" t="s">
        <v>2</v>
      </c>
      <c r="G6" s="63" t="str">
        <f>'29.07 Kisasi-Bukoto'!G6:H6</f>
        <v>BUKOTO</v>
      </c>
      <c r="H6" s="64"/>
      <c r="J6" s="2" t="s">
        <v>21</v>
      </c>
      <c r="K6" s="63" t="str">
        <f>'29.07 Kisasi-Bukoto'!K6:L6</f>
        <v>SALIMA L.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95</v>
      </c>
      <c r="D10" s="50">
        <v>45</v>
      </c>
      <c r="E10" s="50">
        <v>3</v>
      </c>
      <c r="F10" s="50">
        <v>17</v>
      </c>
      <c r="G10" s="50">
        <v>1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107</v>
      </c>
      <c r="N10" s="50">
        <v>0</v>
      </c>
      <c r="O10" s="15">
        <f t="shared" ref="O10:O57" si="0">SUM(C10:L10,N10)</f>
        <v>162</v>
      </c>
      <c r="P10" s="15">
        <f t="shared" ref="P10:P57" si="1">SUM(C10:N10)</f>
        <v>269</v>
      </c>
      <c r="R10" s="1" t="s">
        <v>6</v>
      </c>
      <c r="S10" s="17">
        <f t="shared" ref="S10:AF10" si="2">SUM(C10:C13)</f>
        <v>330</v>
      </c>
      <c r="T10" s="17">
        <f t="shared" si="2"/>
        <v>177</v>
      </c>
      <c r="U10" s="17">
        <f t="shared" si="2"/>
        <v>11</v>
      </c>
      <c r="V10" s="17">
        <f t="shared" si="2"/>
        <v>57</v>
      </c>
      <c r="W10" s="17">
        <f t="shared" si="2"/>
        <v>1</v>
      </c>
      <c r="X10" s="17">
        <f t="shared" si="2"/>
        <v>0</v>
      </c>
      <c r="Y10" s="17">
        <f t="shared" si="2"/>
        <v>10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448</v>
      </c>
      <c r="AD10" s="17">
        <f t="shared" si="2"/>
        <v>0</v>
      </c>
      <c r="AE10" s="31">
        <f t="shared" si="2"/>
        <v>586</v>
      </c>
      <c r="AF10" s="31">
        <f t="shared" si="2"/>
        <v>1034</v>
      </c>
    </row>
    <row r="11" spans="2:32" s="6" customFormat="1" ht="23.1" customHeight="1" x14ac:dyDescent="0.25">
      <c r="B11" s="23" t="s">
        <v>38</v>
      </c>
      <c r="C11" s="50">
        <v>70</v>
      </c>
      <c r="D11" s="50">
        <v>54</v>
      </c>
      <c r="E11" s="50">
        <v>2</v>
      </c>
      <c r="F11" s="50">
        <v>10</v>
      </c>
      <c r="G11" s="50">
        <v>0</v>
      </c>
      <c r="H11" s="50">
        <v>0</v>
      </c>
      <c r="I11" s="50">
        <v>4</v>
      </c>
      <c r="J11" s="50">
        <v>0</v>
      </c>
      <c r="K11" s="50">
        <v>0</v>
      </c>
      <c r="L11" s="50">
        <v>0</v>
      </c>
      <c r="M11" s="50">
        <v>110</v>
      </c>
      <c r="N11" s="50">
        <v>0</v>
      </c>
      <c r="O11" s="15">
        <f t="shared" si="0"/>
        <v>140</v>
      </c>
      <c r="P11" s="15">
        <f t="shared" si="1"/>
        <v>250</v>
      </c>
      <c r="R11" s="1" t="s">
        <v>7</v>
      </c>
      <c r="S11" s="17">
        <f t="shared" ref="S11:AF11" si="3">SUM(C14:C17)</f>
        <v>197</v>
      </c>
      <c r="T11" s="17">
        <f t="shared" si="3"/>
        <v>97</v>
      </c>
      <c r="U11" s="17">
        <f t="shared" si="3"/>
        <v>5</v>
      </c>
      <c r="V11" s="17">
        <f t="shared" si="3"/>
        <v>43</v>
      </c>
      <c r="W11" s="17">
        <f t="shared" si="3"/>
        <v>0</v>
      </c>
      <c r="X11" s="17">
        <f t="shared" si="3"/>
        <v>0</v>
      </c>
      <c r="Y11" s="17">
        <f t="shared" si="3"/>
        <v>13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340</v>
      </c>
      <c r="AD11" s="17">
        <f t="shared" si="3"/>
        <v>0</v>
      </c>
      <c r="AE11" s="31">
        <f t="shared" si="3"/>
        <v>356</v>
      </c>
      <c r="AF11" s="31">
        <f t="shared" si="3"/>
        <v>696</v>
      </c>
    </row>
    <row r="12" spans="2:32" ht="23.1" customHeight="1" x14ac:dyDescent="0.25">
      <c r="B12" s="23" t="s">
        <v>39</v>
      </c>
      <c r="C12" s="50">
        <v>75</v>
      </c>
      <c r="D12" s="50">
        <v>35</v>
      </c>
      <c r="E12" s="50">
        <v>2</v>
      </c>
      <c r="F12" s="50">
        <v>17</v>
      </c>
      <c r="G12" s="50">
        <v>0</v>
      </c>
      <c r="H12" s="50">
        <v>0</v>
      </c>
      <c r="I12" s="50">
        <v>3</v>
      </c>
      <c r="J12" s="50">
        <v>0</v>
      </c>
      <c r="K12" s="50">
        <v>0</v>
      </c>
      <c r="L12" s="50">
        <v>0</v>
      </c>
      <c r="M12" s="50">
        <v>122</v>
      </c>
      <c r="N12" s="50">
        <v>0</v>
      </c>
      <c r="O12" s="15">
        <f t="shared" si="0"/>
        <v>132</v>
      </c>
      <c r="P12" s="15">
        <f t="shared" si="1"/>
        <v>254</v>
      </c>
      <c r="R12" s="1" t="s">
        <v>8</v>
      </c>
      <c r="S12" s="17">
        <f t="shared" ref="S12:AF12" si="4">SUM(C18:C21)</f>
        <v>161</v>
      </c>
      <c r="T12" s="17">
        <f t="shared" si="4"/>
        <v>95</v>
      </c>
      <c r="U12" s="17">
        <f t="shared" si="4"/>
        <v>2</v>
      </c>
      <c r="V12" s="17">
        <f t="shared" si="4"/>
        <v>49</v>
      </c>
      <c r="W12" s="17">
        <f t="shared" si="4"/>
        <v>1</v>
      </c>
      <c r="X12" s="17">
        <f t="shared" si="4"/>
        <v>1</v>
      </c>
      <c r="Y12" s="17">
        <f t="shared" si="4"/>
        <v>16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262</v>
      </c>
      <c r="AD12" s="17">
        <f t="shared" si="4"/>
        <v>0</v>
      </c>
      <c r="AE12" s="31">
        <f t="shared" si="4"/>
        <v>326</v>
      </c>
      <c r="AF12" s="31">
        <f t="shared" si="4"/>
        <v>588</v>
      </c>
    </row>
    <row r="13" spans="2:32" ht="23.1" customHeight="1" x14ac:dyDescent="0.25">
      <c r="B13" s="23" t="s">
        <v>40</v>
      </c>
      <c r="C13" s="50">
        <v>90</v>
      </c>
      <c r="D13" s="50">
        <v>43</v>
      </c>
      <c r="E13" s="50">
        <v>4</v>
      </c>
      <c r="F13" s="50">
        <v>13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109</v>
      </c>
      <c r="N13" s="50">
        <v>0</v>
      </c>
      <c r="O13" s="15">
        <f t="shared" si="0"/>
        <v>152</v>
      </c>
      <c r="P13" s="15">
        <f t="shared" si="1"/>
        <v>261</v>
      </c>
      <c r="R13" s="1" t="s">
        <v>9</v>
      </c>
      <c r="S13" s="17">
        <f t="shared" ref="S13:AF13" si="5">SUM(C22:C25)</f>
        <v>137</v>
      </c>
      <c r="T13" s="17">
        <f t="shared" si="5"/>
        <v>66</v>
      </c>
      <c r="U13" s="17">
        <f t="shared" si="5"/>
        <v>4</v>
      </c>
      <c r="V13" s="17">
        <f t="shared" si="5"/>
        <v>45</v>
      </c>
      <c r="W13" s="17">
        <f t="shared" si="5"/>
        <v>0</v>
      </c>
      <c r="X13" s="17">
        <f t="shared" si="5"/>
        <v>0</v>
      </c>
      <c r="Y13" s="17">
        <f t="shared" si="5"/>
        <v>12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337</v>
      </c>
      <c r="AD13" s="17">
        <f t="shared" si="5"/>
        <v>0</v>
      </c>
      <c r="AE13" s="31">
        <f t="shared" si="5"/>
        <v>264</v>
      </c>
      <c r="AF13" s="31">
        <f t="shared" si="5"/>
        <v>601</v>
      </c>
    </row>
    <row r="14" spans="2:32" ht="23.1" customHeight="1" x14ac:dyDescent="0.25">
      <c r="B14" s="23" t="s">
        <v>41</v>
      </c>
      <c r="C14" s="50">
        <v>89</v>
      </c>
      <c r="D14" s="50">
        <v>41</v>
      </c>
      <c r="E14" s="50">
        <v>2</v>
      </c>
      <c r="F14" s="50">
        <v>16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85</v>
      </c>
      <c r="N14" s="50">
        <v>0</v>
      </c>
      <c r="O14" s="15">
        <f t="shared" si="0"/>
        <v>150</v>
      </c>
      <c r="P14" s="15">
        <f t="shared" si="1"/>
        <v>235</v>
      </c>
      <c r="R14" s="1" t="s">
        <v>10</v>
      </c>
      <c r="S14" s="17">
        <f t="shared" ref="S14:AF14" si="6">SUM(C26:C29)</f>
        <v>113</v>
      </c>
      <c r="T14" s="17">
        <f t="shared" si="6"/>
        <v>52</v>
      </c>
      <c r="U14" s="17">
        <f t="shared" si="6"/>
        <v>4</v>
      </c>
      <c r="V14" s="17">
        <f t="shared" si="6"/>
        <v>41</v>
      </c>
      <c r="W14" s="17">
        <f t="shared" si="6"/>
        <v>0</v>
      </c>
      <c r="X14" s="17">
        <f t="shared" si="6"/>
        <v>0</v>
      </c>
      <c r="Y14" s="17">
        <f t="shared" si="6"/>
        <v>12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291</v>
      </c>
      <c r="AD14" s="17">
        <f t="shared" si="6"/>
        <v>0</v>
      </c>
      <c r="AE14" s="31">
        <f t="shared" si="6"/>
        <v>222</v>
      </c>
      <c r="AF14" s="31">
        <f t="shared" si="6"/>
        <v>513</v>
      </c>
    </row>
    <row r="15" spans="2:32" ht="23.1" customHeight="1" x14ac:dyDescent="0.25">
      <c r="B15" s="23" t="s">
        <v>42</v>
      </c>
      <c r="C15" s="50">
        <v>63</v>
      </c>
      <c r="D15" s="50">
        <v>24</v>
      </c>
      <c r="E15" s="50">
        <v>2</v>
      </c>
      <c r="F15" s="50">
        <v>14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90</v>
      </c>
      <c r="N15" s="50">
        <v>0</v>
      </c>
      <c r="O15" s="15">
        <f t="shared" si="0"/>
        <v>106</v>
      </c>
      <c r="P15" s="15">
        <f t="shared" si="1"/>
        <v>196</v>
      </c>
      <c r="R15" s="1" t="s">
        <v>11</v>
      </c>
      <c r="S15" s="17">
        <f t="shared" ref="S15:AF15" si="7">SUM(C30:C33)</f>
        <v>123</v>
      </c>
      <c r="T15" s="17">
        <f t="shared" si="7"/>
        <v>53</v>
      </c>
      <c r="U15" s="17">
        <f t="shared" si="7"/>
        <v>3</v>
      </c>
      <c r="V15" s="17">
        <f t="shared" si="7"/>
        <v>32</v>
      </c>
      <c r="W15" s="17">
        <f t="shared" si="7"/>
        <v>0</v>
      </c>
      <c r="X15" s="17">
        <f t="shared" si="7"/>
        <v>0</v>
      </c>
      <c r="Y15" s="17">
        <f t="shared" si="7"/>
        <v>7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267</v>
      </c>
      <c r="AD15" s="17">
        <f t="shared" si="7"/>
        <v>0</v>
      </c>
      <c r="AE15" s="31">
        <f t="shared" si="7"/>
        <v>218</v>
      </c>
      <c r="AF15" s="31">
        <f t="shared" si="7"/>
        <v>485</v>
      </c>
    </row>
    <row r="16" spans="2:32" ht="23.1" customHeight="1" x14ac:dyDescent="0.25">
      <c r="B16" s="23" t="s">
        <v>43</v>
      </c>
      <c r="C16" s="50">
        <v>32</v>
      </c>
      <c r="D16" s="50">
        <v>19</v>
      </c>
      <c r="E16" s="50">
        <v>0</v>
      </c>
      <c r="F16" s="50">
        <v>8</v>
      </c>
      <c r="G16" s="50">
        <v>0</v>
      </c>
      <c r="H16" s="50">
        <v>0</v>
      </c>
      <c r="I16" s="50">
        <v>5</v>
      </c>
      <c r="J16" s="50">
        <v>0</v>
      </c>
      <c r="K16" s="50">
        <v>0</v>
      </c>
      <c r="L16" s="50">
        <v>0</v>
      </c>
      <c r="M16" s="50">
        <v>80</v>
      </c>
      <c r="N16" s="50">
        <v>0</v>
      </c>
      <c r="O16" s="15">
        <f t="shared" si="0"/>
        <v>64</v>
      </c>
      <c r="P16" s="15">
        <f t="shared" si="1"/>
        <v>144</v>
      </c>
      <c r="R16" s="1" t="s">
        <v>12</v>
      </c>
      <c r="S16" s="17">
        <f t="shared" ref="S16:AF16" si="8">SUM(C34:C37)</f>
        <v>77</v>
      </c>
      <c r="T16" s="17">
        <f t="shared" si="8"/>
        <v>26</v>
      </c>
      <c r="U16" s="17">
        <f t="shared" si="8"/>
        <v>3</v>
      </c>
      <c r="V16" s="17">
        <f t="shared" si="8"/>
        <v>23</v>
      </c>
      <c r="W16" s="17">
        <f t="shared" si="8"/>
        <v>0</v>
      </c>
      <c r="X16" s="17">
        <f t="shared" si="8"/>
        <v>0</v>
      </c>
      <c r="Y16" s="17">
        <f t="shared" si="8"/>
        <v>6</v>
      </c>
      <c r="Z16" s="17">
        <f t="shared" si="8"/>
        <v>0</v>
      </c>
      <c r="AA16" s="17">
        <f t="shared" si="8"/>
        <v>2</v>
      </c>
      <c r="AB16" s="17">
        <f t="shared" si="8"/>
        <v>0</v>
      </c>
      <c r="AC16" s="17">
        <f t="shared" si="8"/>
        <v>235</v>
      </c>
      <c r="AD16" s="17">
        <f t="shared" si="8"/>
        <v>0</v>
      </c>
      <c r="AE16" s="31">
        <f t="shared" si="8"/>
        <v>137</v>
      </c>
      <c r="AF16" s="31">
        <f t="shared" si="8"/>
        <v>372</v>
      </c>
    </row>
    <row r="17" spans="2:32" ht="23.1" customHeight="1" x14ac:dyDescent="0.25">
      <c r="B17" s="23" t="s">
        <v>44</v>
      </c>
      <c r="C17" s="50">
        <v>13</v>
      </c>
      <c r="D17" s="50">
        <v>13</v>
      </c>
      <c r="E17" s="50">
        <v>1</v>
      </c>
      <c r="F17" s="50">
        <v>5</v>
      </c>
      <c r="G17" s="50">
        <v>0</v>
      </c>
      <c r="H17" s="50">
        <v>0</v>
      </c>
      <c r="I17" s="50">
        <v>3</v>
      </c>
      <c r="J17" s="50">
        <v>1</v>
      </c>
      <c r="K17" s="50">
        <v>0</v>
      </c>
      <c r="L17" s="50">
        <v>0</v>
      </c>
      <c r="M17" s="50">
        <v>85</v>
      </c>
      <c r="N17" s="50">
        <v>0</v>
      </c>
      <c r="O17" s="15">
        <f t="shared" si="0"/>
        <v>36</v>
      </c>
      <c r="P17" s="15">
        <f t="shared" si="1"/>
        <v>121</v>
      </c>
      <c r="R17" s="1" t="s">
        <v>13</v>
      </c>
      <c r="S17" s="17">
        <f t="shared" ref="S17:AF17" si="9">SUM(C38:C41)</f>
        <v>89</v>
      </c>
      <c r="T17" s="17">
        <f t="shared" si="9"/>
        <v>49</v>
      </c>
      <c r="U17" s="17">
        <f t="shared" si="9"/>
        <v>5</v>
      </c>
      <c r="V17" s="17">
        <f t="shared" si="9"/>
        <v>34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1</v>
      </c>
      <c r="AA17" s="17">
        <f t="shared" si="9"/>
        <v>2</v>
      </c>
      <c r="AB17" s="17">
        <f t="shared" si="9"/>
        <v>0</v>
      </c>
      <c r="AC17" s="17">
        <f t="shared" si="9"/>
        <v>217</v>
      </c>
      <c r="AD17" s="17">
        <f t="shared" si="9"/>
        <v>0</v>
      </c>
      <c r="AE17" s="31">
        <f t="shared" si="9"/>
        <v>183</v>
      </c>
      <c r="AF17" s="31">
        <f t="shared" si="9"/>
        <v>400</v>
      </c>
    </row>
    <row r="18" spans="2:32" ht="23.1" customHeight="1" x14ac:dyDescent="0.25">
      <c r="B18" s="23" t="s">
        <v>45</v>
      </c>
      <c r="C18" s="50">
        <v>44</v>
      </c>
      <c r="D18" s="50">
        <v>29</v>
      </c>
      <c r="E18" s="50">
        <v>2</v>
      </c>
      <c r="F18" s="50">
        <v>14</v>
      </c>
      <c r="G18" s="50">
        <v>0</v>
      </c>
      <c r="H18" s="50">
        <v>1</v>
      </c>
      <c r="I18" s="50">
        <v>5</v>
      </c>
      <c r="J18" s="50">
        <v>0</v>
      </c>
      <c r="K18" s="50">
        <v>0</v>
      </c>
      <c r="L18" s="50">
        <v>0</v>
      </c>
      <c r="M18" s="50">
        <v>77</v>
      </c>
      <c r="N18" s="50">
        <v>0</v>
      </c>
      <c r="O18" s="15">
        <f t="shared" si="0"/>
        <v>95</v>
      </c>
      <c r="P18" s="15">
        <f t="shared" si="1"/>
        <v>172</v>
      </c>
      <c r="R18" s="1" t="s">
        <v>14</v>
      </c>
      <c r="S18" s="17">
        <f t="shared" ref="S18:AF18" si="10">SUM(C42:C45)</f>
        <v>121</v>
      </c>
      <c r="T18" s="17">
        <f t="shared" si="10"/>
        <v>69</v>
      </c>
      <c r="U18" s="17">
        <f t="shared" si="10"/>
        <v>2</v>
      </c>
      <c r="V18" s="17">
        <f t="shared" si="10"/>
        <v>33</v>
      </c>
      <c r="W18" s="17">
        <f t="shared" si="10"/>
        <v>0</v>
      </c>
      <c r="X18" s="17">
        <f t="shared" si="10"/>
        <v>0</v>
      </c>
      <c r="Y18" s="17">
        <f t="shared" si="10"/>
        <v>9</v>
      </c>
      <c r="Z18" s="17">
        <f t="shared" si="10"/>
        <v>0</v>
      </c>
      <c r="AA18" s="17">
        <f t="shared" si="10"/>
        <v>1</v>
      </c>
      <c r="AB18" s="17">
        <f t="shared" si="10"/>
        <v>0</v>
      </c>
      <c r="AC18" s="17">
        <f t="shared" si="10"/>
        <v>280</v>
      </c>
      <c r="AD18" s="17">
        <f t="shared" si="10"/>
        <v>0</v>
      </c>
      <c r="AE18" s="31">
        <f t="shared" si="10"/>
        <v>235</v>
      </c>
      <c r="AF18" s="31">
        <f t="shared" si="10"/>
        <v>515</v>
      </c>
    </row>
    <row r="19" spans="2:32" ht="23.1" customHeight="1" x14ac:dyDescent="0.25">
      <c r="B19" s="23" t="s">
        <v>46</v>
      </c>
      <c r="C19" s="50">
        <v>41</v>
      </c>
      <c r="D19" s="50">
        <v>20</v>
      </c>
      <c r="E19" s="50">
        <v>0</v>
      </c>
      <c r="F19" s="50">
        <v>12</v>
      </c>
      <c r="G19" s="50">
        <v>1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70</v>
      </c>
      <c r="N19" s="50">
        <v>0</v>
      </c>
      <c r="O19" s="15">
        <f t="shared" si="0"/>
        <v>76</v>
      </c>
      <c r="P19" s="15">
        <f t="shared" si="1"/>
        <v>146</v>
      </c>
      <c r="R19" s="1" t="s">
        <v>15</v>
      </c>
      <c r="S19" s="17">
        <f t="shared" ref="S19:AF19" si="11">SUM(C46:C49)</f>
        <v>107</v>
      </c>
      <c r="T19" s="17">
        <f t="shared" si="11"/>
        <v>56</v>
      </c>
      <c r="U19" s="17">
        <f t="shared" si="11"/>
        <v>4</v>
      </c>
      <c r="V19" s="17">
        <f t="shared" si="11"/>
        <v>32</v>
      </c>
      <c r="W19" s="17">
        <f t="shared" si="11"/>
        <v>3</v>
      </c>
      <c r="X19" s="17">
        <f t="shared" si="11"/>
        <v>0</v>
      </c>
      <c r="Y19" s="17">
        <f t="shared" si="11"/>
        <v>4</v>
      </c>
      <c r="Z19" s="17">
        <f t="shared" si="11"/>
        <v>2</v>
      </c>
      <c r="AA19" s="17">
        <f t="shared" si="11"/>
        <v>1</v>
      </c>
      <c r="AB19" s="17">
        <f t="shared" si="11"/>
        <v>0</v>
      </c>
      <c r="AC19" s="17">
        <f t="shared" si="11"/>
        <v>266</v>
      </c>
      <c r="AD19" s="17">
        <f t="shared" si="11"/>
        <v>0</v>
      </c>
      <c r="AE19" s="31">
        <f t="shared" si="11"/>
        <v>209</v>
      </c>
      <c r="AF19" s="31">
        <f t="shared" si="11"/>
        <v>475</v>
      </c>
    </row>
    <row r="20" spans="2:32" ht="23.1" customHeight="1" x14ac:dyDescent="0.25">
      <c r="B20" s="23" t="s">
        <v>47</v>
      </c>
      <c r="C20" s="50">
        <v>46</v>
      </c>
      <c r="D20" s="50">
        <v>26</v>
      </c>
      <c r="E20" s="50">
        <v>0</v>
      </c>
      <c r="F20" s="50">
        <v>18</v>
      </c>
      <c r="G20" s="50">
        <v>0</v>
      </c>
      <c r="H20" s="50">
        <v>0</v>
      </c>
      <c r="I20" s="50">
        <v>5</v>
      </c>
      <c r="J20" s="50">
        <v>0</v>
      </c>
      <c r="K20" s="50">
        <v>0</v>
      </c>
      <c r="L20" s="50">
        <v>0</v>
      </c>
      <c r="M20" s="50">
        <v>55</v>
      </c>
      <c r="N20" s="50">
        <v>0</v>
      </c>
      <c r="O20" s="15">
        <f t="shared" si="0"/>
        <v>95</v>
      </c>
      <c r="P20" s="15">
        <f t="shared" si="1"/>
        <v>150</v>
      </c>
      <c r="R20" s="1" t="s">
        <v>16</v>
      </c>
      <c r="S20" s="17">
        <f t="shared" ref="S20:AF20" si="12">SUM(C50:C53)</f>
        <v>112</v>
      </c>
      <c r="T20" s="17">
        <f t="shared" si="12"/>
        <v>66</v>
      </c>
      <c r="U20" s="17">
        <f t="shared" si="12"/>
        <v>4</v>
      </c>
      <c r="V20" s="17">
        <f t="shared" si="12"/>
        <v>37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3</v>
      </c>
      <c r="AA20" s="17">
        <f t="shared" si="12"/>
        <v>3</v>
      </c>
      <c r="AB20" s="17">
        <f t="shared" si="12"/>
        <v>0</v>
      </c>
      <c r="AC20" s="17">
        <f t="shared" si="12"/>
        <v>314</v>
      </c>
      <c r="AD20" s="17">
        <f t="shared" si="12"/>
        <v>0</v>
      </c>
      <c r="AE20" s="31">
        <f t="shared" si="12"/>
        <v>229</v>
      </c>
      <c r="AF20" s="31">
        <f t="shared" si="12"/>
        <v>543</v>
      </c>
    </row>
    <row r="21" spans="2:32" ht="23.1" customHeight="1" x14ac:dyDescent="0.25">
      <c r="B21" s="23" t="s">
        <v>48</v>
      </c>
      <c r="C21" s="50">
        <v>30</v>
      </c>
      <c r="D21" s="50">
        <v>20</v>
      </c>
      <c r="E21" s="50">
        <v>0</v>
      </c>
      <c r="F21" s="50">
        <v>5</v>
      </c>
      <c r="G21" s="50">
        <v>0</v>
      </c>
      <c r="H21" s="50">
        <v>0</v>
      </c>
      <c r="I21" s="50">
        <v>4</v>
      </c>
      <c r="J21" s="50">
        <v>1</v>
      </c>
      <c r="K21" s="50">
        <v>0</v>
      </c>
      <c r="L21" s="50">
        <v>0</v>
      </c>
      <c r="M21" s="50">
        <v>60</v>
      </c>
      <c r="N21" s="50">
        <v>0</v>
      </c>
      <c r="O21" s="15">
        <f t="shared" si="0"/>
        <v>60</v>
      </c>
      <c r="P21" s="15">
        <f t="shared" si="1"/>
        <v>120</v>
      </c>
      <c r="R21" s="36" t="s">
        <v>20</v>
      </c>
      <c r="S21" s="34">
        <f t="shared" ref="S21:AF21" si="13">SUM(C54:C57)</f>
        <v>95</v>
      </c>
      <c r="T21" s="17">
        <f t="shared" si="13"/>
        <v>51</v>
      </c>
      <c r="U21" s="17">
        <f t="shared" si="13"/>
        <v>5</v>
      </c>
      <c r="V21" s="17">
        <f t="shared" si="13"/>
        <v>30</v>
      </c>
      <c r="W21" s="17">
        <f t="shared" si="13"/>
        <v>3</v>
      </c>
      <c r="X21" s="17">
        <f t="shared" si="13"/>
        <v>0</v>
      </c>
      <c r="Y21" s="17">
        <f t="shared" si="13"/>
        <v>2</v>
      </c>
      <c r="Z21" s="17">
        <f t="shared" si="13"/>
        <v>2</v>
      </c>
      <c r="AA21" s="17">
        <f t="shared" si="13"/>
        <v>1</v>
      </c>
      <c r="AB21" s="17">
        <f t="shared" si="13"/>
        <v>1</v>
      </c>
      <c r="AC21" s="17">
        <f t="shared" si="13"/>
        <v>301</v>
      </c>
      <c r="AD21" s="17">
        <f t="shared" si="13"/>
        <v>0</v>
      </c>
      <c r="AE21" s="31">
        <f t="shared" si="13"/>
        <v>190</v>
      </c>
      <c r="AF21" s="31">
        <f t="shared" si="13"/>
        <v>491</v>
      </c>
    </row>
    <row r="22" spans="2:32" ht="23.1" customHeight="1" x14ac:dyDescent="0.25">
      <c r="B22" s="23" t="s">
        <v>49</v>
      </c>
      <c r="C22" s="50">
        <v>35</v>
      </c>
      <c r="D22" s="50">
        <v>23</v>
      </c>
      <c r="E22" s="50">
        <v>0</v>
      </c>
      <c r="F22" s="50">
        <v>13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85</v>
      </c>
      <c r="N22" s="50">
        <v>0</v>
      </c>
      <c r="O22" s="15">
        <f t="shared" si="0"/>
        <v>73</v>
      </c>
      <c r="P22" s="15">
        <f t="shared" si="1"/>
        <v>158</v>
      </c>
      <c r="R22" s="38" t="s">
        <v>90</v>
      </c>
      <c r="S22" s="39">
        <f>MAX(S10:S12)</f>
        <v>330</v>
      </c>
      <c r="T22" s="39">
        <f t="shared" ref="T22:AF22" si="14">MAX(T10:T12)</f>
        <v>177</v>
      </c>
      <c r="U22" s="39">
        <f t="shared" si="14"/>
        <v>11</v>
      </c>
      <c r="V22" s="39">
        <f t="shared" si="14"/>
        <v>57</v>
      </c>
      <c r="W22" s="39">
        <f t="shared" si="14"/>
        <v>1</v>
      </c>
      <c r="X22" s="39">
        <f t="shared" si="14"/>
        <v>1</v>
      </c>
      <c r="Y22" s="39">
        <f t="shared" si="14"/>
        <v>16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448</v>
      </c>
      <c r="AD22" s="39">
        <f t="shared" si="14"/>
        <v>0</v>
      </c>
      <c r="AE22" s="40">
        <f t="shared" si="14"/>
        <v>586</v>
      </c>
      <c r="AF22" s="40">
        <f t="shared" si="14"/>
        <v>1034</v>
      </c>
    </row>
    <row r="23" spans="2:32" ht="23.1" customHeight="1" x14ac:dyDescent="0.25">
      <c r="B23" s="23" t="s">
        <v>50</v>
      </c>
      <c r="C23" s="50">
        <v>35</v>
      </c>
      <c r="D23" s="50">
        <v>14</v>
      </c>
      <c r="E23" s="50">
        <v>2</v>
      </c>
      <c r="F23" s="50">
        <v>12</v>
      </c>
      <c r="G23" s="50">
        <v>0</v>
      </c>
      <c r="H23" s="50">
        <v>0</v>
      </c>
      <c r="I23" s="50">
        <v>4</v>
      </c>
      <c r="J23" s="50">
        <v>0</v>
      </c>
      <c r="K23" s="50">
        <v>0</v>
      </c>
      <c r="L23" s="50">
        <v>0</v>
      </c>
      <c r="M23" s="50">
        <v>87</v>
      </c>
      <c r="N23" s="50">
        <v>0</v>
      </c>
      <c r="O23" s="15">
        <f t="shared" si="0"/>
        <v>67</v>
      </c>
      <c r="P23" s="15">
        <f t="shared" si="1"/>
        <v>154</v>
      </c>
      <c r="R23" s="38" t="s">
        <v>91</v>
      </c>
      <c r="S23" s="39">
        <f>MAX(S13:S18)</f>
        <v>137</v>
      </c>
      <c r="T23" s="39">
        <f t="shared" ref="T23:AF23" si="15">MAX(T13:T18)</f>
        <v>69</v>
      </c>
      <c r="U23" s="39">
        <f t="shared" si="15"/>
        <v>5</v>
      </c>
      <c r="V23" s="39">
        <f t="shared" si="15"/>
        <v>45</v>
      </c>
      <c r="W23" s="39">
        <f t="shared" si="15"/>
        <v>0</v>
      </c>
      <c r="X23" s="39">
        <f t="shared" si="15"/>
        <v>0</v>
      </c>
      <c r="Y23" s="39">
        <f t="shared" si="15"/>
        <v>12</v>
      </c>
      <c r="Z23" s="39">
        <f t="shared" si="15"/>
        <v>1</v>
      </c>
      <c r="AA23" s="39">
        <f t="shared" si="15"/>
        <v>2</v>
      </c>
      <c r="AB23" s="39">
        <f t="shared" si="15"/>
        <v>0</v>
      </c>
      <c r="AC23" s="39">
        <f t="shared" si="15"/>
        <v>337</v>
      </c>
      <c r="AD23" s="39">
        <f t="shared" si="15"/>
        <v>0</v>
      </c>
      <c r="AE23" s="40">
        <f t="shared" si="15"/>
        <v>264</v>
      </c>
      <c r="AF23" s="40">
        <f t="shared" si="15"/>
        <v>601</v>
      </c>
    </row>
    <row r="24" spans="2:32" ht="23.1" customHeight="1" x14ac:dyDescent="0.25">
      <c r="B24" s="23" t="s">
        <v>51</v>
      </c>
      <c r="C24" s="50">
        <v>26</v>
      </c>
      <c r="D24" s="50">
        <v>15</v>
      </c>
      <c r="E24" s="50">
        <v>1</v>
      </c>
      <c r="F24" s="50">
        <v>7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0</v>
      </c>
      <c r="M24" s="50">
        <v>80</v>
      </c>
      <c r="N24" s="50">
        <v>0</v>
      </c>
      <c r="O24" s="15">
        <f t="shared" si="0"/>
        <v>52</v>
      </c>
      <c r="P24" s="15">
        <f t="shared" si="1"/>
        <v>132</v>
      </c>
      <c r="R24" s="38" t="s">
        <v>92</v>
      </c>
      <c r="S24" s="39">
        <f>MAX(S19:S21)</f>
        <v>112</v>
      </c>
      <c r="T24" s="39">
        <f t="shared" ref="T24:AF24" si="16">MAX(T19:T21)</f>
        <v>66</v>
      </c>
      <c r="U24" s="39">
        <f t="shared" si="16"/>
        <v>5</v>
      </c>
      <c r="V24" s="39">
        <f t="shared" si="16"/>
        <v>37</v>
      </c>
      <c r="W24" s="39">
        <f t="shared" si="16"/>
        <v>3</v>
      </c>
      <c r="X24" s="39">
        <f t="shared" si="16"/>
        <v>0</v>
      </c>
      <c r="Y24" s="39">
        <f t="shared" si="16"/>
        <v>4</v>
      </c>
      <c r="Z24" s="39">
        <f t="shared" si="16"/>
        <v>3</v>
      </c>
      <c r="AA24" s="39">
        <f t="shared" si="16"/>
        <v>3</v>
      </c>
      <c r="AB24" s="39">
        <f t="shared" si="16"/>
        <v>1</v>
      </c>
      <c r="AC24" s="39">
        <f t="shared" si="16"/>
        <v>314</v>
      </c>
      <c r="AD24" s="39">
        <f t="shared" si="16"/>
        <v>0</v>
      </c>
      <c r="AE24" s="40">
        <f t="shared" si="16"/>
        <v>229</v>
      </c>
      <c r="AF24" s="40">
        <f t="shared" si="16"/>
        <v>543</v>
      </c>
    </row>
    <row r="25" spans="2:32" ht="23.1" customHeight="1" x14ac:dyDescent="0.25">
      <c r="B25" s="23" t="s">
        <v>52</v>
      </c>
      <c r="C25" s="50">
        <v>41</v>
      </c>
      <c r="D25" s="50">
        <v>14</v>
      </c>
      <c r="E25" s="50">
        <v>1</v>
      </c>
      <c r="F25" s="50">
        <v>13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85</v>
      </c>
      <c r="N25" s="50">
        <v>0</v>
      </c>
      <c r="O25" s="15">
        <f t="shared" si="0"/>
        <v>72</v>
      </c>
      <c r="P25" s="15">
        <f t="shared" si="1"/>
        <v>157</v>
      </c>
      <c r="R25" s="37" t="s">
        <v>85</v>
      </c>
      <c r="S25" s="35">
        <f t="shared" ref="S25:AF25" si="17">SUM(S10:S12)</f>
        <v>688</v>
      </c>
      <c r="T25" s="16">
        <f t="shared" si="17"/>
        <v>369</v>
      </c>
      <c r="U25" s="16">
        <f t="shared" si="17"/>
        <v>18</v>
      </c>
      <c r="V25" s="16">
        <f t="shared" si="17"/>
        <v>149</v>
      </c>
      <c r="W25" s="16">
        <f t="shared" si="17"/>
        <v>2</v>
      </c>
      <c r="X25" s="16">
        <f t="shared" si="17"/>
        <v>1</v>
      </c>
      <c r="Y25" s="16">
        <f t="shared" si="17"/>
        <v>39</v>
      </c>
      <c r="Z25" s="16">
        <f t="shared" si="17"/>
        <v>2</v>
      </c>
      <c r="AA25" s="16">
        <f t="shared" si="17"/>
        <v>0</v>
      </c>
      <c r="AB25" s="16">
        <f t="shared" si="17"/>
        <v>0</v>
      </c>
      <c r="AC25" s="16">
        <f t="shared" si="17"/>
        <v>1050</v>
      </c>
      <c r="AD25" s="16">
        <f t="shared" si="17"/>
        <v>0</v>
      </c>
      <c r="AE25" s="32">
        <f t="shared" si="17"/>
        <v>1268</v>
      </c>
      <c r="AF25" s="32">
        <f t="shared" si="17"/>
        <v>2318</v>
      </c>
    </row>
    <row r="26" spans="2:32" ht="23.1" customHeight="1" x14ac:dyDescent="0.25">
      <c r="B26" s="23" t="s">
        <v>53</v>
      </c>
      <c r="C26" s="50">
        <v>26</v>
      </c>
      <c r="D26" s="50">
        <v>14</v>
      </c>
      <c r="E26" s="50">
        <v>1</v>
      </c>
      <c r="F26" s="50">
        <v>11</v>
      </c>
      <c r="G26" s="50">
        <v>0</v>
      </c>
      <c r="H26" s="50">
        <v>0</v>
      </c>
      <c r="I26" s="50">
        <v>4</v>
      </c>
      <c r="J26" s="50">
        <v>0</v>
      </c>
      <c r="K26" s="50">
        <v>0</v>
      </c>
      <c r="L26" s="50">
        <v>0</v>
      </c>
      <c r="M26" s="50">
        <v>82</v>
      </c>
      <c r="N26" s="50">
        <v>0</v>
      </c>
      <c r="O26" s="15">
        <f t="shared" si="0"/>
        <v>56</v>
      </c>
      <c r="P26" s="15">
        <f t="shared" si="1"/>
        <v>138</v>
      </c>
      <c r="R26" s="28" t="s">
        <v>86</v>
      </c>
      <c r="S26" s="16">
        <f t="shared" ref="S26:AF26" si="18">SUM(S13:S18)</f>
        <v>660</v>
      </c>
      <c r="T26" s="16">
        <f t="shared" si="18"/>
        <v>315</v>
      </c>
      <c r="U26" s="16">
        <f t="shared" si="18"/>
        <v>21</v>
      </c>
      <c r="V26" s="16">
        <f t="shared" si="18"/>
        <v>208</v>
      </c>
      <c r="W26" s="16">
        <f t="shared" si="18"/>
        <v>0</v>
      </c>
      <c r="X26" s="16">
        <f t="shared" si="18"/>
        <v>0</v>
      </c>
      <c r="Y26" s="16">
        <f t="shared" si="18"/>
        <v>49</v>
      </c>
      <c r="Z26" s="16">
        <f t="shared" si="18"/>
        <v>1</v>
      </c>
      <c r="AA26" s="16">
        <f t="shared" si="18"/>
        <v>5</v>
      </c>
      <c r="AB26" s="16">
        <f t="shared" si="18"/>
        <v>0</v>
      </c>
      <c r="AC26" s="16">
        <f t="shared" si="18"/>
        <v>1627</v>
      </c>
      <c r="AD26" s="16">
        <f t="shared" si="18"/>
        <v>0</v>
      </c>
      <c r="AE26" s="32">
        <f t="shared" si="18"/>
        <v>1259</v>
      </c>
      <c r="AF26" s="32">
        <f t="shared" si="18"/>
        <v>2886</v>
      </c>
    </row>
    <row r="27" spans="2:32" ht="23.1" customHeight="1" x14ac:dyDescent="0.25">
      <c r="B27" s="23" t="s">
        <v>54</v>
      </c>
      <c r="C27" s="50">
        <v>35</v>
      </c>
      <c r="D27" s="50">
        <v>5</v>
      </c>
      <c r="E27" s="50">
        <v>2</v>
      </c>
      <c r="F27" s="50">
        <v>9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69</v>
      </c>
      <c r="N27" s="50">
        <v>0</v>
      </c>
      <c r="O27" s="15">
        <f t="shared" si="0"/>
        <v>53</v>
      </c>
      <c r="P27" s="15">
        <f t="shared" si="1"/>
        <v>122</v>
      </c>
      <c r="R27" s="29" t="s">
        <v>87</v>
      </c>
      <c r="S27" s="16">
        <f t="shared" ref="S27:AF27" si="19">SUM(S19:S21)</f>
        <v>314</v>
      </c>
      <c r="T27" s="16">
        <f t="shared" si="19"/>
        <v>173</v>
      </c>
      <c r="U27" s="16">
        <f t="shared" si="19"/>
        <v>13</v>
      </c>
      <c r="V27" s="16">
        <f t="shared" si="19"/>
        <v>99</v>
      </c>
      <c r="W27" s="16">
        <f t="shared" si="19"/>
        <v>6</v>
      </c>
      <c r="X27" s="16">
        <f t="shared" si="19"/>
        <v>0</v>
      </c>
      <c r="Y27" s="16">
        <f t="shared" si="19"/>
        <v>10</v>
      </c>
      <c r="Z27" s="16">
        <f t="shared" si="19"/>
        <v>7</v>
      </c>
      <c r="AA27" s="16">
        <f t="shared" si="19"/>
        <v>5</v>
      </c>
      <c r="AB27" s="16">
        <f t="shared" si="19"/>
        <v>1</v>
      </c>
      <c r="AC27" s="16">
        <f t="shared" si="19"/>
        <v>881</v>
      </c>
      <c r="AD27" s="16">
        <f t="shared" si="19"/>
        <v>0</v>
      </c>
      <c r="AE27" s="32">
        <f t="shared" si="19"/>
        <v>628</v>
      </c>
      <c r="AF27" s="32">
        <f t="shared" si="19"/>
        <v>1509</v>
      </c>
    </row>
    <row r="28" spans="2:32" ht="23.1" customHeight="1" x14ac:dyDescent="0.25">
      <c r="B28" s="23" t="s">
        <v>55</v>
      </c>
      <c r="C28" s="50">
        <v>24</v>
      </c>
      <c r="D28" s="50">
        <v>15</v>
      </c>
      <c r="E28" s="50">
        <v>0</v>
      </c>
      <c r="F28" s="50">
        <v>9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83</v>
      </c>
      <c r="N28" s="50">
        <v>0</v>
      </c>
      <c r="O28" s="15">
        <f t="shared" si="0"/>
        <v>50</v>
      </c>
      <c r="P28" s="15">
        <f t="shared" si="1"/>
        <v>133</v>
      </c>
      <c r="R28" s="5" t="s">
        <v>17</v>
      </c>
      <c r="S28" s="16">
        <f t="shared" ref="S28:AF28" si="20">SUM(S10:S21)</f>
        <v>1662</v>
      </c>
      <c r="T28" s="16">
        <f t="shared" si="20"/>
        <v>857</v>
      </c>
      <c r="U28" s="16">
        <f t="shared" si="20"/>
        <v>52</v>
      </c>
      <c r="V28" s="16">
        <f t="shared" si="20"/>
        <v>456</v>
      </c>
      <c r="W28" s="16">
        <f t="shared" si="20"/>
        <v>8</v>
      </c>
      <c r="X28" s="16">
        <f t="shared" si="20"/>
        <v>1</v>
      </c>
      <c r="Y28" s="16">
        <f t="shared" si="20"/>
        <v>98</v>
      </c>
      <c r="Z28" s="16">
        <f t="shared" si="20"/>
        <v>10</v>
      </c>
      <c r="AA28" s="16">
        <f t="shared" si="20"/>
        <v>10</v>
      </c>
      <c r="AB28" s="16">
        <f t="shared" si="20"/>
        <v>1</v>
      </c>
      <c r="AC28" s="16">
        <f t="shared" si="20"/>
        <v>3558</v>
      </c>
      <c r="AD28" s="16">
        <f t="shared" si="20"/>
        <v>0</v>
      </c>
      <c r="AE28" s="32">
        <f t="shared" si="20"/>
        <v>3155</v>
      </c>
      <c r="AF28" s="32">
        <f t="shared" si="20"/>
        <v>6713</v>
      </c>
    </row>
    <row r="29" spans="2:32" ht="23.1" customHeight="1" x14ac:dyDescent="0.25">
      <c r="B29" s="23" t="s">
        <v>56</v>
      </c>
      <c r="C29" s="50">
        <v>28</v>
      </c>
      <c r="D29" s="50">
        <v>18</v>
      </c>
      <c r="E29" s="50">
        <v>1</v>
      </c>
      <c r="F29" s="50">
        <v>12</v>
      </c>
      <c r="G29" s="50">
        <v>0</v>
      </c>
      <c r="H29" s="50">
        <v>0</v>
      </c>
      <c r="I29" s="50">
        <v>4</v>
      </c>
      <c r="J29" s="50">
        <v>0</v>
      </c>
      <c r="K29" s="50">
        <v>0</v>
      </c>
      <c r="L29" s="50">
        <v>0</v>
      </c>
      <c r="M29" s="50">
        <v>57</v>
      </c>
      <c r="N29" s="50">
        <v>0</v>
      </c>
      <c r="O29" s="15">
        <f t="shared" si="0"/>
        <v>63</v>
      </c>
      <c r="P29" s="15">
        <f t="shared" si="1"/>
        <v>120</v>
      </c>
      <c r="R29"/>
      <c r="S29" s="20"/>
      <c r="T29" s="19"/>
    </row>
    <row r="30" spans="2:32" ht="23.1" customHeight="1" x14ac:dyDescent="0.25">
      <c r="B30" s="23" t="s">
        <v>57</v>
      </c>
      <c r="C30" s="50">
        <v>26</v>
      </c>
      <c r="D30" s="50">
        <v>12</v>
      </c>
      <c r="E30" s="50">
        <v>0</v>
      </c>
      <c r="F30" s="50">
        <v>8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62</v>
      </c>
      <c r="N30" s="50">
        <v>0</v>
      </c>
      <c r="O30" s="15">
        <f t="shared" si="0"/>
        <v>47</v>
      </c>
      <c r="P30" s="15">
        <f t="shared" si="1"/>
        <v>109</v>
      </c>
    </row>
    <row r="31" spans="2:32" ht="23.1" customHeight="1" x14ac:dyDescent="0.25">
      <c r="B31" s="24" t="s">
        <v>58</v>
      </c>
      <c r="C31" s="50">
        <v>38</v>
      </c>
      <c r="D31" s="50">
        <v>8</v>
      </c>
      <c r="E31" s="50">
        <v>0</v>
      </c>
      <c r="F31" s="50">
        <v>7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65</v>
      </c>
      <c r="N31" s="50">
        <v>0</v>
      </c>
      <c r="O31" s="15">
        <f t="shared" si="0"/>
        <v>55</v>
      </c>
      <c r="P31" s="15">
        <f t="shared" si="1"/>
        <v>120</v>
      </c>
    </row>
    <row r="32" spans="2:32" ht="23.1" customHeight="1" x14ac:dyDescent="0.25">
      <c r="B32" s="24" t="s">
        <v>59</v>
      </c>
      <c r="C32" s="50">
        <v>34</v>
      </c>
      <c r="D32" s="50">
        <v>21</v>
      </c>
      <c r="E32" s="50">
        <v>1</v>
      </c>
      <c r="F32" s="50">
        <v>8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0</v>
      </c>
      <c r="M32" s="50">
        <v>72</v>
      </c>
      <c r="N32" s="50">
        <v>0</v>
      </c>
      <c r="O32" s="15">
        <f t="shared" si="0"/>
        <v>68</v>
      </c>
      <c r="P32" s="15">
        <f t="shared" si="1"/>
        <v>140</v>
      </c>
    </row>
    <row r="33" spans="2:20" ht="23.1" customHeight="1" x14ac:dyDescent="0.25">
      <c r="B33" s="23" t="s">
        <v>60</v>
      </c>
      <c r="C33" s="50">
        <v>25</v>
      </c>
      <c r="D33" s="50">
        <v>12</v>
      </c>
      <c r="E33" s="50">
        <v>2</v>
      </c>
      <c r="F33" s="50">
        <v>9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68</v>
      </c>
      <c r="N33" s="50">
        <v>0</v>
      </c>
      <c r="O33" s="15">
        <f t="shared" si="0"/>
        <v>48</v>
      </c>
      <c r="P33" s="15">
        <f t="shared" si="1"/>
        <v>116</v>
      </c>
    </row>
    <row r="34" spans="2:20" ht="23.1" customHeight="1" x14ac:dyDescent="0.25">
      <c r="B34" s="24" t="s">
        <v>61</v>
      </c>
      <c r="C34" s="50">
        <v>16</v>
      </c>
      <c r="D34" s="50">
        <v>14</v>
      </c>
      <c r="E34" s="50">
        <v>0</v>
      </c>
      <c r="F34" s="50">
        <v>8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80</v>
      </c>
      <c r="N34" s="50">
        <v>0</v>
      </c>
      <c r="O34" s="15">
        <f t="shared" si="0"/>
        <v>39</v>
      </c>
      <c r="P34" s="15">
        <f t="shared" si="1"/>
        <v>119</v>
      </c>
    </row>
    <row r="35" spans="2:20" ht="23.1" customHeight="1" x14ac:dyDescent="0.25">
      <c r="B35" s="24" t="s">
        <v>62</v>
      </c>
      <c r="C35" s="50">
        <v>30</v>
      </c>
      <c r="D35" s="50">
        <v>1</v>
      </c>
      <c r="E35" s="50">
        <v>1</v>
      </c>
      <c r="F35" s="50">
        <v>5</v>
      </c>
      <c r="G35" s="50">
        <v>0</v>
      </c>
      <c r="H35" s="50">
        <v>0</v>
      </c>
      <c r="I35" s="50">
        <v>3</v>
      </c>
      <c r="J35" s="50">
        <v>0</v>
      </c>
      <c r="K35" s="50">
        <v>2</v>
      </c>
      <c r="L35" s="50">
        <v>0</v>
      </c>
      <c r="M35" s="50">
        <v>43</v>
      </c>
      <c r="N35" s="50">
        <v>0</v>
      </c>
      <c r="O35" s="15">
        <f t="shared" si="0"/>
        <v>42</v>
      </c>
      <c r="P35" s="15">
        <f t="shared" si="1"/>
        <v>85</v>
      </c>
    </row>
    <row r="36" spans="2:20" ht="23.1" customHeight="1" x14ac:dyDescent="0.25">
      <c r="B36" s="24" t="s">
        <v>63</v>
      </c>
      <c r="C36" s="50">
        <v>14</v>
      </c>
      <c r="D36" s="50">
        <v>1</v>
      </c>
      <c r="E36" s="50">
        <v>1</v>
      </c>
      <c r="F36" s="50">
        <v>4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60</v>
      </c>
      <c r="N36" s="50">
        <v>0</v>
      </c>
      <c r="O36" s="15">
        <f t="shared" si="0"/>
        <v>21</v>
      </c>
      <c r="P36" s="15">
        <f t="shared" si="1"/>
        <v>81</v>
      </c>
    </row>
    <row r="37" spans="2:20" ht="23.1" customHeight="1" x14ac:dyDescent="0.25">
      <c r="B37" s="23" t="s">
        <v>64</v>
      </c>
      <c r="C37" s="50">
        <v>17</v>
      </c>
      <c r="D37" s="50">
        <v>10</v>
      </c>
      <c r="E37" s="50">
        <v>1</v>
      </c>
      <c r="F37" s="50">
        <v>6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52</v>
      </c>
      <c r="N37" s="50">
        <v>0</v>
      </c>
      <c r="O37" s="15">
        <f t="shared" si="0"/>
        <v>35</v>
      </c>
      <c r="P37" s="15">
        <f t="shared" si="1"/>
        <v>87</v>
      </c>
    </row>
    <row r="38" spans="2:20" ht="23.1" customHeight="1" x14ac:dyDescent="0.25">
      <c r="B38" s="24" t="s">
        <v>65</v>
      </c>
      <c r="C38" s="50">
        <v>25</v>
      </c>
      <c r="D38" s="50">
        <v>3</v>
      </c>
      <c r="E38" s="50">
        <v>0</v>
      </c>
      <c r="F38" s="50">
        <v>10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53</v>
      </c>
      <c r="N38" s="50">
        <v>0</v>
      </c>
      <c r="O38" s="15">
        <f t="shared" si="0"/>
        <v>39</v>
      </c>
      <c r="P38" s="15">
        <f t="shared" si="1"/>
        <v>92</v>
      </c>
    </row>
    <row r="39" spans="2:20" ht="23.1" customHeight="1" x14ac:dyDescent="0.25">
      <c r="B39" s="24" t="s">
        <v>66</v>
      </c>
      <c r="C39" s="50">
        <v>18</v>
      </c>
      <c r="D39" s="50">
        <v>11</v>
      </c>
      <c r="E39" s="50">
        <v>3</v>
      </c>
      <c r="F39" s="50">
        <v>7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48</v>
      </c>
      <c r="N39" s="50">
        <v>0</v>
      </c>
      <c r="O39" s="15">
        <f t="shared" si="0"/>
        <v>39</v>
      </c>
      <c r="P39" s="15">
        <f t="shared" si="1"/>
        <v>87</v>
      </c>
    </row>
    <row r="40" spans="2:20" ht="23.1" customHeight="1" x14ac:dyDescent="0.25">
      <c r="B40" s="24" t="s">
        <v>67</v>
      </c>
      <c r="C40" s="50">
        <v>23</v>
      </c>
      <c r="D40" s="50">
        <v>18</v>
      </c>
      <c r="E40" s="50">
        <v>1</v>
      </c>
      <c r="F40" s="50">
        <v>8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57</v>
      </c>
      <c r="N40" s="50">
        <v>0</v>
      </c>
      <c r="O40" s="15">
        <f t="shared" si="0"/>
        <v>51</v>
      </c>
      <c r="P40" s="15">
        <f t="shared" si="1"/>
        <v>108</v>
      </c>
    </row>
    <row r="41" spans="2:20" ht="23.1" customHeight="1" x14ac:dyDescent="0.25">
      <c r="B41" s="23" t="s">
        <v>68</v>
      </c>
      <c r="C41" s="50">
        <v>23</v>
      </c>
      <c r="D41" s="50">
        <v>17</v>
      </c>
      <c r="E41" s="50">
        <v>1</v>
      </c>
      <c r="F41" s="50">
        <v>9</v>
      </c>
      <c r="G41" s="50">
        <v>0</v>
      </c>
      <c r="H41" s="50">
        <v>0</v>
      </c>
      <c r="I41" s="50">
        <v>1</v>
      </c>
      <c r="J41" s="50">
        <v>1</v>
      </c>
      <c r="K41" s="50">
        <v>2</v>
      </c>
      <c r="L41" s="50">
        <v>0</v>
      </c>
      <c r="M41" s="50">
        <v>59</v>
      </c>
      <c r="N41" s="50">
        <v>0</v>
      </c>
      <c r="O41" s="15">
        <f t="shared" si="0"/>
        <v>54</v>
      </c>
      <c r="P41" s="15">
        <f t="shared" si="1"/>
        <v>113</v>
      </c>
    </row>
    <row r="42" spans="2:20" ht="23.1" customHeight="1" x14ac:dyDescent="0.25">
      <c r="B42" s="24" t="s">
        <v>69</v>
      </c>
      <c r="C42" s="50">
        <v>31</v>
      </c>
      <c r="D42" s="50">
        <v>9</v>
      </c>
      <c r="E42" s="50">
        <v>2</v>
      </c>
      <c r="F42" s="50">
        <v>6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63</v>
      </c>
      <c r="N42" s="50">
        <v>0</v>
      </c>
      <c r="O42" s="15">
        <f t="shared" si="0"/>
        <v>49</v>
      </c>
      <c r="P42" s="15">
        <f t="shared" si="1"/>
        <v>112</v>
      </c>
    </row>
    <row r="43" spans="2:20" ht="23.1" customHeight="1" x14ac:dyDescent="0.25">
      <c r="B43" s="23" t="s">
        <v>70</v>
      </c>
      <c r="C43" s="50">
        <v>26</v>
      </c>
      <c r="D43" s="50">
        <v>26</v>
      </c>
      <c r="E43" s="50">
        <v>0</v>
      </c>
      <c r="F43" s="50">
        <v>11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72</v>
      </c>
      <c r="N43" s="50">
        <v>0</v>
      </c>
      <c r="O43" s="15">
        <f t="shared" si="0"/>
        <v>65</v>
      </c>
      <c r="P43" s="15">
        <f t="shared" si="1"/>
        <v>137</v>
      </c>
    </row>
    <row r="44" spans="2:20" ht="23.1" customHeight="1" x14ac:dyDescent="0.25">
      <c r="B44" s="25" t="s">
        <v>71</v>
      </c>
      <c r="C44" s="50">
        <v>28</v>
      </c>
      <c r="D44" s="50">
        <v>15</v>
      </c>
      <c r="E44" s="50">
        <v>0</v>
      </c>
      <c r="F44" s="50">
        <v>8</v>
      </c>
      <c r="G44" s="50">
        <v>0</v>
      </c>
      <c r="H44" s="50">
        <v>0</v>
      </c>
      <c r="I44" s="50">
        <v>1</v>
      </c>
      <c r="J44" s="50">
        <v>0</v>
      </c>
      <c r="K44" s="50">
        <v>1</v>
      </c>
      <c r="L44" s="50">
        <v>0</v>
      </c>
      <c r="M44" s="50">
        <v>67</v>
      </c>
      <c r="N44" s="50">
        <v>0</v>
      </c>
      <c r="O44" s="15">
        <f t="shared" si="0"/>
        <v>53</v>
      </c>
      <c r="P44" s="15">
        <f t="shared" si="1"/>
        <v>120</v>
      </c>
    </row>
    <row r="45" spans="2:20" ht="23.1" customHeight="1" x14ac:dyDescent="0.25">
      <c r="B45" s="23" t="s">
        <v>72</v>
      </c>
      <c r="C45" s="50">
        <v>36</v>
      </c>
      <c r="D45" s="50">
        <v>19</v>
      </c>
      <c r="E45" s="50">
        <v>0</v>
      </c>
      <c r="F45" s="50">
        <v>8</v>
      </c>
      <c r="G45" s="50">
        <v>0</v>
      </c>
      <c r="H45" s="50">
        <v>0</v>
      </c>
      <c r="I45" s="50">
        <v>5</v>
      </c>
      <c r="J45" s="50">
        <v>0</v>
      </c>
      <c r="K45" s="50">
        <v>0</v>
      </c>
      <c r="L45" s="50">
        <v>0</v>
      </c>
      <c r="M45" s="50">
        <v>78</v>
      </c>
      <c r="N45" s="50">
        <v>0</v>
      </c>
      <c r="O45" s="15">
        <f t="shared" si="0"/>
        <v>68</v>
      </c>
      <c r="P45" s="15">
        <f t="shared" si="1"/>
        <v>146</v>
      </c>
    </row>
    <row r="46" spans="2:20" ht="23.1" customHeight="1" x14ac:dyDescent="0.25">
      <c r="B46" s="24" t="s">
        <v>73</v>
      </c>
      <c r="C46" s="50">
        <v>23</v>
      </c>
      <c r="D46" s="50">
        <v>14</v>
      </c>
      <c r="E46" s="50">
        <v>2</v>
      </c>
      <c r="F46" s="50">
        <v>8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58</v>
      </c>
      <c r="N46" s="50">
        <v>0</v>
      </c>
      <c r="O46" s="15">
        <f t="shared" si="0"/>
        <v>49</v>
      </c>
      <c r="P46" s="15">
        <f t="shared" si="1"/>
        <v>107</v>
      </c>
      <c r="R46" s="8"/>
      <c r="T46"/>
    </row>
    <row r="47" spans="2:20" ht="23.1" customHeight="1" x14ac:dyDescent="0.25">
      <c r="B47" s="24" t="s">
        <v>74</v>
      </c>
      <c r="C47" s="50">
        <v>27</v>
      </c>
      <c r="D47" s="50">
        <v>10</v>
      </c>
      <c r="E47" s="50">
        <v>0</v>
      </c>
      <c r="F47" s="50">
        <v>7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66</v>
      </c>
      <c r="N47" s="50">
        <v>0</v>
      </c>
      <c r="O47" s="15">
        <f t="shared" si="0"/>
        <v>45</v>
      </c>
      <c r="P47" s="15">
        <f t="shared" si="1"/>
        <v>111</v>
      </c>
      <c r="R47" s="8"/>
      <c r="T47"/>
    </row>
    <row r="48" spans="2:20" ht="23.1" customHeight="1" x14ac:dyDescent="0.25">
      <c r="B48" s="24" t="s">
        <v>75</v>
      </c>
      <c r="C48" s="50">
        <v>24</v>
      </c>
      <c r="D48" s="50">
        <v>19</v>
      </c>
      <c r="E48" s="50">
        <v>1</v>
      </c>
      <c r="F48" s="50">
        <v>9</v>
      </c>
      <c r="G48" s="50">
        <v>1</v>
      </c>
      <c r="H48" s="50">
        <v>0</v>
      </c>
      <c r="I48" s="50">
        <v>0</v>
      </c>
      <c r="J48" s="50">
        <v>2</v>
      </c>
      <c r="K48" s="50">
        <v>0</v>
      </c>
      <c r="L48" s="50">
        <v>0</v>
      </c>
      <c r="M48" s="50">
        <v>70</v>
      </c>
      <c r="N48" s="50">
        <v>0</v>
      </c>
      <c r="O48" s="15">
        <f t="shared" si="0"/>
        <v>56</v>
      </c>
      <c r="P48" s="15">
        <f t="shared" si="1"/>
        <v>126</v>
      </c>
      <c r="R48" s="8"/>
      <c r="T48"/>
    </row>
    <row r="49" spans="2:20" ht="23.1" customHeight="1" x14ac:dyDescent="0.25">
      <c r="B49" s="23" t="s">
        <v>76</v>
      </c>
      <c r="C49" s="50">
        <v>33</v>
      </c>
      <c r="D49" s="50">
        <v>13</v>
      </c>
      <c r="E49" s="50">
        <v>1</v>
      </c>
      <c r="F49" s="50">
        <v>8</v>
      </c>
      <c r="G49" s="50">
        <v>2</v>
      </c>
      <c r="H49" s="50">
        <v>0</v>
      </c>
      <c r="I49" s="50">
        <v>1</v>
      </c>
      <c r="J49" s="50">
        <v>0</v>
      </c>
      <c r="K49" s="50">
        <v>1</v>
      </c>
      <c r="L49" s="50">
        <v>0</v>
      </c>
      <c r="M49" s="50">
        <v>72</v>
      </c>
      <c r="N49" s="50">
        <v>0</v>
      </c>
      <c r="O49" s="15">
        <f t="shared" si="0"/>
        <v>59</v>
      </c>
      <c r="P49" s="15">
        <f t="shared" si="1"/>
        <v>131</v>
      </c>
      <c r="R49" s="8"/>
      <c r="T49"/>
    </row>
    <row r="50" spans="2:20" ht="23.1" customHeight="1" x14ac:dyDescent="0.25">
      <c r="B50" s="24" t="s">
        <v>77</v>
      </c>
      <c r="C50" s="50">
        <v>23</v>
      </c>
      <c r="D50" s="50">
        <v>19</v>
      </c>
      <c r="E50" s="50">
        <v>1</v>
      </c>
      <c r="F50" s="50">
        <v>15</v>
      </c>
      <c r="G50" s="50">
        <v>0</v>
      </c>
      <c r="H50" s="50">
        <v>0</v>
      </c>
      <c r="I50" s="50">
        <v>2</v>
      </c>
      <c r="J50" s="50">
        <v>0</v>
      </c>
      <c r="K50" s="50">
        <v>2</v>
      </c>
      <c r="L50" s="50">
        <v>0</v>
      </c>
      <c r="M50" s="50">
        <v>72</v>
      </c>
      <c r="N50" s="50">
        <v>0</v>
      </c>
      <c r="O50" s="15">
        <f t="shared" si="0"/>
        <v>62</v>
      </c>
      <c r="P50" s="15">
        <f t="shared" si="1"/>
        <v>134</v>
      </c>
      <c r="R50" s="8"/>
      <c r="T50"/>
    </row>
    <row r="51" spans="2:20" ht="23.1" customHeight="1" x14ac:dyDescent="0.25">
      <c r="B51" s="24" t="s">
        <v>78</v>
      </c>
      <c r="C51" s="50">
        <v>38</v>
      </c>
      <c r="D51" s="50">
        <v>12</v>
      </c>
      <c r="E51" s="50">
        <v>0</v>
      </c>
      <c r="F51" s="50">
        <v>5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88</v>
      </c>
      <c r="N51" s="50">
        <v>0</v>
      </c>
      <c r="O51" s="15">
        <f t="shared" si="0"/>
        <v>55</v>
      </c>
      <c r="P51" s="15">
        <f t="shared" si="1"/>
        <v>143</v>
      </c>
      <c r="R51" s="8"/>
      <c r="T51"/>
    </row>
    <row r="52" spans="2:20" ht="23.1" customHeight="1" x14ac:dyDescent="0.25">
      <c r="B52" s="24" t="s">
        <v>79</v>
      </c>
      <c r="C52" s="50">
        <v>30</v>
      </c>
      <c r="D52" s="50">
        <v>17</v>
      </c>
      <c r="E52" s="50">
        <v>1</v>
      </c>
      <c r="F52" s="50">
        <v>10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82</v>
      </c>
      <c r="N52" s="50">
        <v>0</v>
      </c>
      <c r="O52" s="15">
        <f t="shared" si="0"/>
        <v>58</v>
      </c>
      <c r="P52" s="15">
        <f t="shared" si="1"/>
        <v>140</v>
      </c>
      <c r="R52" s="8"/>
      <c r="T52"/>
    </row>
    <row r="53" spans="2:20" ht="23.1" customHeight="1" x14ac:dyDescent="0.25">
      <c r="B53" s="23" t="s">
        <v>80</v>
      </c>
      <c r="C53" s="50">
        <v>21</v>
      </c>
      <c r="D53" s="50">
        <v>18</v>
      </c>
      <c r="E53" s="50">
        <v>2</v>
      </c>
      <c r="F53" s="50">
        <v>7</v>
      </c>
      <c r="G53" s="50">
        <v>0</v>
      </c>
      <c r="H53" s="50">
        <v>0</v>
      </c>
      <c r="I53" s="50">
        <v>2</v>
      </c>
      <c r="J53" s="50">
        <v>3</v>
      </c>
      <c r="K53" s="50">
        <v>1</v>
      </c>
      <c r="L53" s="50">
        <v>0</v>
      </c>
      <c r="M53" s="50">
        <v>72</v>
      </c>
      <c r="N53" s="50">
        <v>0</v>
      </c>
      <c r="O53" s="15">
        <f t="shared" si="0"/>
        <v>54</v>
      </c>
      <c r="P53" s="15">
        <f t="shared" si="1"/>
        <v>126</v>
      </c>
      <c r="R53" s="8"/>
      <c r="T53"/>
    </row>
    <row r="54" spans="2:20" ht="23.1" customHeight="1" x14ac:dyDescent="0.25">
      <c r="B54" s="23" t="s">
        <v>81</v>
      </c>
      <c r="C54" s="50">
        <v>29</v>
      </c>
      <c r="D54" s="50">
        <v>12</v>
      </c>
      <c r="E54" s="50">
        <v>2</v>
      </c>
      <c r="F54" s="50">
        <v>5</v>
      </c>
      <c r="G54" s="50">
        <v>0</v>
      </c>
      <c r="H54" s="50">
        <v>0</v>
      </c>
      <c r="I54" s="50">
        <v>2</v>
      </c>
      <c r="J54" s="50">
        <v>2</v>
      </c>
      <c r="K54" s="50">
        <v>0</v>
      </c>
      <c r="L54" s="50">
        <v>0</v>
      </c>
      <c r="M54" s="50">
        <v>74</v>
      </c>
      <c r="N54" s="50">
        <v>0</v>
      </c>
      <c r="O54" s="15">
        <f t="shared" si="0"/>
        <v>52</v>
      </c>
      <c r="P54" s="15">
        <f t="shared" si="1"/>
        <v>126</v>
      </c>
      <c r="R54" s="8"/>
      <c r="T54"/>
    </row>
    <row r="55" spans="2:20" ht="23.1" customHeight="1" x14ac:dyDescent="0.25">
      <c r="B55" s="23" t="s">
        <v>82</v>
      </c>
      <c r="C55" s="50">
        <v>17</v>
      </c>
      <c r="D55" s="50">
        <v>10</v>
      </c>
      <c r="E55" s="50">
        <v>1</v>
      </c>
      <c r="F55" s="50">
        <v>8</v>
      </c>
      <c r="G55" s="50">
        <v>2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100</v>
      </c>
      <c r="N55" s="50">
        <v>0</v>
      </c>
      <c r="O55" s="15">
        <f t="shared" si="0"/>
        <v>38</v>
      </c>
      <c r="P55" s="15">
        <f t="shared" si="1"/>
        <v>138</v>
      </c>
      <c r="R55" s="8"/>
      <c r="T55"/>
    </row>
    <row r="56" spans="2:20" ht="23.1" customHeight="1" x14ac:dyDescent="0.25">
      <c r="B56" s="23" t="s">
        <v>83</v>
      </c>
      <c r="C56" s="50">
        <v>28</v>
      </c>
      <c r="D56" s="50">
        <v>19</v>
      </c>
      <c r="E56" s="50">
        <v>1</v>
      </c>
      <c r="F56" s="50">
        <v>9</v>
      </c>
      <c r="G56" s="50">
        <v>1</v>
      </c>
      <c r="H56" s="50">
        <v>0</v>
      </c>
      <c r="I56" s="50">
        <v>0</v>
      </c>
      <c r="J56" s="50">
        <v>0</v>
      </c>
      <c r="K56" s="50">
        <v>1</v>
      </c>
      <c r="L56" s="50">
        <v>1</v>
      </c>
      <c r="M56" s="50">
        <v>60</v>
      </c>
      <c r="N56" s="50">
        <v>0</v>
      </c>
      <c r="O56" s="15">
        <f t="shared" si="0"/>
        <v>60</v>
      </c>
      <c r="P56" s="15">
        <f t="shared" si="1"/>
        <v>120</v>
      </c>
      <c r="R56" s="8"/>
      <c r="T56"/>
    </row>
    <row r="57" spans="2:20" ht="23.1" customHeight="1" x14ac:dyDescent="0.25">
      <c r="B57" s="23" t="s">
        <v>84</v>
      </c>
      <c r="C57" s="50">
        <v>21</v>
      </c>
      <c r="D57" s="50">
        <v>10</v>
      </c>
      <c r="E57" s="50">
        <v>1</v>
      </c>
      <c r="F57" s="50">
        <v>8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67</v>
      </c>
      <c r="N57" s="50">
        <v>0</v>
      </c>
      <c r="O57" s="15">
        <f t="shared" si="0"/>
        <v>40</v>
      </c>
      <c r="P57" s="15">
        <f t="shared" si="1"/>
        <v>107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1662</v>
      </c>
      <c r="D58" s="16">
        <f t="shared" si="21"/>
        <v>857</v>
      </c>
      <c r="E58" s="16">
        <f t="shared" si="21"/>
        <v>52</v>
      </c>
      <c r="F58" s="16">
        <f t="shared" si="21"/>
        <v>456</v>
      </c>
      <c r="G58" s="16">
        <f t="shared" si="21"/>
        <v>8</v>
      </c>
      <c r="H58" s="16">
        <f t="shared" si="21"/>
        <v>1</v>
      </c>
      <c r="I58" s="16">
        <f t="shared" si="21"/>
        <v>98</v>
      </c>
      <c r="J58" s="16">
        <f t="shared" si="21"/>
        <v>10</v>
      </c>
      <c r="K58" s="16">
        <f t="shared" si="21"/>
        <v>10</v>
      </c>
      <c r="L58" s="16">
        <f t="shared" si="21"/>
        <v>1</v>
      </c>
      <c r="M58" s="16">
        <f t="shared" si="21"/>
        <v>3558</v>
      </c>
      <c r="N58" s="16">
        <f t="shared" si="21"/>
        <v>0</v>
      </c>
      <c r="O58" s="16">
        <f t="shared" si="21"/>
        <v>3155</v>
      </c>
      <c r="P58" s="16">
        <f t="shared" si="21"/>
        <v>6713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0.24757932370028304</v>
      </c>
      <c r="D59" s="43">
        <f t="shared" si="22"/>
        <v>0.12766274392968865</v>
      </c>
      <c r="E59" s="43">
        <f t="shared" si="22"/>
        <v>7.7461641590942949E-3</v>
      </c>
      <c r="F59" s="43">
        <f t="shared" si="22"/>
        <v>6.7927901087442275E-2</v>
      </c>
      <c r="G59" s="43">
        <f t="shared" si="22"/>
        <v>1.1917175629375838E-3</v>
      </c>
      <c r="H59" s="43">
        <f t="shared" si="22"/>
        <v>1.4896469536719798E-4</v>
      </c>
      <c r="I59" s="43">
        <f t="shared" si="22"/>
        <v>1.4598540145985401E-2</v>
      </c>
      <c r="J59" s="43">
        <f t="shared" si="22"/>
        <v>1.4896469536719798E-3</v>
      </c>
      <c r="K59" s="43">
        <f t="shared" si="22"/>
        <v>1.4896469536719798E-3</v>
      </c>
      <c r="L59" s="43">
        <f t="shared" si="22"/>
        <v>1.4896469536719798E-4</v>
      </c>
      <c r="M59" s="43">
        <f t="shared" si="22"/>
        <v>0.53001638611649038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0.52678288431061804</v>
      </c>
      <c r="D60" s="44">
        <f t="shared" ref="D60:N60" si="23">D58/$O$58</f>
        <v>0.27163232963549921</v>
      </c>
      <c r="E60" s="44">
        <f t="shared" si="23"/>
        <v>1.6481774960380349E-2</v>
      </c>
      <c r="F60" s="44">
        <f t="shared" si="23"/>
        <v>0.1445324881141046</v>
      </c>
      <c r="G60" s="44">
        <f t="shared" si="23"/>
        <v>2.5356576862123614E-3</v>
      </c>
      <c r="H60" s="44">
        <f t="shared" si="23"/>
        <v>3.1695721077654518E-4</v>
      </c>
      <c r="I60" s="44">
        <f t="shared" si="23"/>
        <v>3.1061806656101427E-2</v>
      </c>
      <c r="J60" s="44">
        <f t="shared" si="23"/>
        <v>3.1695721077654518E-3</v>
      </c>
      <c r="K60" s="44">
        <f t="shared" si="23"/>
        <v>3.1695721077654518E-3</v>
      </c>
      <c r="L60" s="44">
        <f t="shared" si="23"/>
        <v>3.1695721077654518E-4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40" zoomScaleSheetLayoutView="40" workbookViewId="0">
      <selection activeCell="M55" sqref="M5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Bukoto-Kisasi'!C3:G3</f>
        <v>MCC - C1 - STN32 - BUKOTO KISASI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'31.07 Kisasi-Bukoto'!D5</f>
        <v>31.07.19</v>
      </c>
      <c r="E5" s="3"/>
      <c r="F5" s="41" t="s">
        <v>1</v>
      </c>
      <c r="G5" s="63" t="str">
        <f>'29.07 Kisasi-Bukoto'!G5:H5</f>
        <v>KISASI</v>
      </c>
      <c r="H5" s="64"/>
      <c r="I5" s="14"/>
      <c r="J5" s="2" t="s">
        <v>5</v>
      </c>
      <c r="K5" s="63" t="str">
        <f>'29.07 Kisasi-Bukoto'!K5:L5</f>
        <v>RWAMBITITO J./NICHOL A./GEORGE W.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'29.07 Bukoto-Kisasi'!D6:E6</f>
        <v>BUKOTO</v>
      </c>
      <c r="E6" s="64"/>
      <c r="F6" s="2" t="s">
        <v>2</v>
      </c>
      <c r="G6" s="63" t="str">
        <f>'29.07 Bukoto-Kisasi'!G6:H6</f>
        <v>KISASI</v>
      </c>
      <c r="H6" s="64"/>
      <c r="J6" s="2" t="s">
        <v>21</v>
      </c>
      <c r="K6" s="63" t="str">
        <f>'29.07 Kisasi-Bukoto'!K6:L6</f>
        <v>SALIMA L.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12</v>
      </c>
      <c r="D10" s="50">
        <v>4</v>
      </c>
      <c r="E10" s="50">
        <v>5</v>
      </c>
      <c r="F10" s="50">
        <v>7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29</v>
      </c>
      <c r="N10" s="50">
        <v>0</v>
      </c>
      <c r="O10" s="15">
        <f t="shared" ref="O10:O57" si="0">SUM(C10:L10,N10)</f>
        <v>28</v>
      </c>
      <c r="P10" s="15">
        <f t="shared" ref="P10:P57" si="1">SUM(C10:N10)</f>
        <v>57</v>
      </c>
      <c r="R10" s="1" t="s">
        <v>6</v>
      </c>
      <c r="S10" s="17">
        <f t="shared" ref="S10:AF10" si="2">SUM(C10:C13)</f>
        <v>57</v>
      </c>
      <c r="T10" s="17">
        <f t="shared" si="2"/>
        <v>35</v>
      </c>
      <c r="U10" s="17">
        <f t="shared" si="2"/>
        <v>20</v>
      </c>
      <c r="V10" s="17">
        <f t="shared" si="2"/>
        <v>33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117</v>
      </c>
      <c r="AD10" s="17">
        <f t="shared" si="2"/>
        <v>0</v>
      </c>
      <c r="AE10" s="31">
        <f t="shared" si="2"/>
        <v>147</v>
      </c>
      <c r="AF10" s="31">
        <f t="shared" si="2"/>
        <v>264</v>
      </c>
    </row>
    <row r="11" spans="2:32" s="6" customFormat="1" ht="23.1" customHeight="1" x14ac:dyDescent="0.25">
      <c r="B11" s="23" t="s">
        <v>38</v>
      </c>
      <c r="C11" s="50">
        <v>14</v>
      </c>
      <c r="D11" s="50">
        <v>9</v>
      </c>
      <c r="E11" s="50">
        <v>3</v>
      </c>
      <c r="F11" s="50">
        <v>9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27</v>
      </c>
      <c r="N11" s="50">
        <v>0</v>
      </c>
      <c r="O11" s="15">
        <f t="shared" si="0"/>
        <v>37</v>
      </c>
      <c r="P11" s="15">
        <f t="shared" si="1"/>
        <v>64</v>
      </c>
      <c r="R11" s="1" t="s">
        <v>7</v>
      </c>
      <c r="S11" s="17">
        <f t="shared" ref="S11:AF11" si="3">SUM(C14:C17)</f>
        <v>56</v>
      </c>
      <c r="T11" s="17">
        <f t="shared" si="3"/>
        <v>37</v>
      </c>
      <c r="U11" s="17">
        <f t="shared" si="3"/>
        <v>26</v>
      </c>
      <c r="V11" s="17">
        <f t="shared" si="3"/>
        <v>33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132</v>
      </c>
      <c r="AD11" s="17">
        <f t="shared" si="3"/>
        <v>0</v>
      </c>
      <c r="AE11" s="31">
        <f t="shared" si="3"/>
        <v>155</v>
      </c>
      <c r="AF11" s="31">
        <f t="shared" si="3"/>
        <v>287</v>
      </c>
    </row>
    <row r="12" spans="2:32" ht="23.1" customHeight="1" x14ac:dyDescent="0.25">
      <c r="B12" s="23" t="s">
        <v>39</v>
      </c>
      <c r="C12" s="50">
        <v>17</v>
      </c>
      <c r="D12" s="50">
        <v>12</v>
      </c>
      <c r="E12" s="50">
        <v>8</v>
      </c>
      <c r="F12" s="50">
        <v>7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33</v>
      </c>
      <c r="N12" s="50">
        <v>0</v>
      </c>
      <c r="O12" s="15">
        <f t="shared" si="0"/>
        <v>44</v>
      </c>
      <c r="P12" s="15">
        <f t="shared" si="1"/>
        <v>77</v>
      </c>
      <c r="R12" s="1" t="s">
        <v>8</v>
      </c>
      <c r="S12" s="17">
        <f t="shared" ref="S12:AF12" si="4">SUM(C18:C21)</f>
        <v>38</v>
      </c>
      <c r="T12" s="17">
        <f t="shared" si="4"/>
        <v>25</v>
      </c>
      <c r="U12" s="17">
        <f t="shared" si="4"/>
        <v>26</v>
      </c>
      <c r="V12" s="17">
        <f t="shared" si="4"/>
        <v>23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1</v>
      </c>
      <c r="AA12" s="17">
        <f t="shared" si="4"/>
        <v>1</v>
      </c>
      <c r="AB12" s="17">
        <f t="shared" si="4"/>
        <v>0</v>
      </c>
      <c r="AC12" s="17">
        <f t="shared" si="4"/>
        <v>119</v>
      </c>
      <c r="AD12" s="17">
        <f t="shared" si="4"/>
        <v>0</v>
      </c>
      <c r="AE12" s="31">
        <f t="shared" si="4"/>
        <v>116</v>
      </c>
      <c r="AF12" s="31">
        <f t="shared" si="4"/>
        <v>235</v>
      </c>
    </row>
    <row r="13" spans="2:32" ht="23.1" customHeight="1" x14ac:dyDescent="0.25">
      <c r="B13" s="23" t="s">
        <v>40</v>
      </c>
      <c r="C13" s="50">
        <v>14</v>
      </c>
      <c r="D13" s="50">
        <v>10</v>
      </c>
      <c r="E13" s="50">
        <v>4</v>
      </c>
      <c r="F13" s="50">
        <v>10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28</v>
      </c>
      <c r="N13" s="50">
        <v>0</v>
      </c>
      <c r="O13" s="15">
        <f t="shared" si="0"/>
        <v>38</v>
      </c>
      <c r="P13" s="15">
        <f t="shared" si="1"/>
        <v>66</v>
      </c>
      <c r="R13" s="1" t="s">
        <v>9</v>
      </c>
      <c r="S13" s="17">
        <f t="shared" ref="S13:AF13" si="5">SUM(C22:C25)</f>
        <v>44</v>
      </c>
      <c r="T13" s="17">
        <f t="shared" si="5"/>
        <v>26</v>
      </c>
      <c r="U13" s="17">
        <f t="shared" si="5"/>
        <v>23</v>
      </c>
      <c r="V13" s="17">
        <f t="shared" si="5"/>
        <v>33</v>
      </c>
      <c r="W13" s="17">
        <f t="shared" si="5"/>
        <v>1</v>
      </c>
      <c r="X13" s="17">
        <f t="shared" si="5"/>
        <v>0</v>
      </c>
      <c r="Y13" s="17">
        <f t="shared" si="5"/>
        <v>8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121</v>
      </c>
      <c r="AD13" s="17">
        <f t="shared" si="5"/>
        <v>0</v>
      </c>
      <c r="AE13" s="31">
        <f t="shared" si="5"/>
        <v>136</v>
      </c>
      <c r="AF13" s="31">
        <f t="shared" si="5"/>
        <v>257</v>
      </c>
    </row>
    <row r="14" spans="2:32" ht="23.1" customHeight="1" x14ac:dyDescent="0.25">
      <c r="B14" s="23" t="s">
        <v>41</v>
      </c>
      <c r="C14" s="50">
        <v>16</v>
      </c>
      <c r="D14" s="50">
        <v>8</v>
      </c>
      <c r="E14" s="50">
        <v>7</v>
      </c>
      <c r="F14" s="50">
        <v>9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32</v>
      </c>
      <c r="N14" s="50">
        <v>0</v>
      </c>
      <c r="O14" s="15">
        <f t="shared" si="0"/>
        <v>42</v>
      </c>
      <c r="P14" s="15">
        <f t="shared" si="1"/>
        <v>74</v>
      </c>
      <c r="R14" s="1" t="s">
        <v>10</v>
      </c>
      <c r="S14" s="17">
        <f t="shared" ref="S14:AF14" si="6">SUM(C26:C29)</f>
        <v>40</v>
      </c>
      <c r="T14" s="17">
        <f t="shared" si="6"/>
        <v>33</v>
      </c>
      <c r="U14" s="17">
        <f t="shared" si="6"/>
        <v>22</v>
      </c>
      <c r="V14" s="17">
        <f t="shared" si="6"/>
        <v>18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130</v>
      </c>
      <c r="AD14" s="17">
        <f t="shared" si="6"/>
        <v>0</v>
      </c>
      <c r="AE14" s="31">
        <f t="shared" si="6"/>
        <v>119</v>
      </c>
      <c r="AF14" s="31">
        <f t="shared" si="6"/>
        <v>249</v>
      </c>
    </row>
    <row r="15" spans="2:32" ht="23.1" customHeight="1" x14ac:dyDescent="0.25">
      <c r="B15" s="23" t="s">
        <v>42</v>
      </c>
      <c r="C15" s="50">
        <v>14</v>
      </c>
      <c r="D15" s="50">
        <v>12</v>
      </c>
      <c r="E15" s="50">
        <v>5</v>
      </c>
      <c r="F15" s="50">
        <v>7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37</v>
      </c>
      <c r="N15" s="50">
        <v>0</v>
      </c>
      <c r="O15" s="15">
        <f t="shared" si="0"/>
        <v>38</v>
      </c>
      <c r="P15" s="15">
        <f t="shared" si="1"/>
        <v>75</v>
      </c>
      <c r="R15" s="1" t="s">
        <v>11</v>
      </c>
      <c r="S15" s="17">
        <f t="shared" ref="S15:AF15" si="7">SUM(C30:C33)</f>
        <v>41</v>
      </c>
      <c r="T15" s="17">
        <f t="shared" si="7"/>
        <v>24</v>
      </c>
      <c r="U15" s="17">
        <f t="shared" si="7"/>
        <v>33</v>
      </c>
      <c r="V15" s="17">
        <f t="shared" si="7"/>
        <v>26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142</v>
      </c>
      <c r="AD15" s="17">
        <f t="shared" si="7"/>
        <v>0</v>
      </c>
      <c r="AE15" s="31">
        <f t="shared" si="7"/>
        <v>129</v>
      </c>
      <c r="AF15" s="31">
        <f t="shared" si="7"/>
        <v>271</v>
      </c>
    </row>
    <row r="16" spans="2:32" ht="23.1" customHeight="1" x14ac:dyDescent="0.25">
      <c r="B16" s="23" t="s">
        <v>43</v>
      </c>
      <c r="C16" s="50">
        <v>12</v>
      </c>
      <c r="D16" s="50">
        <v>9</v>
      </c>
      <c r="E16" s="50">
        <v>6</v>
      </c>
      <c r="F16" s="50">
        <v>10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34</v>
      </c>
      <c r="N16" s="50">
        <v>0</v>
      </c>
      <c r="O16" s="15">
        <f t="shared" si="0"/>
        <v>37</v>
      </c>
      <c r="P16" s="15">
        <f t="shared" si="1"/>
        <v>71</v>
      </c>
      <c r="R16" s="1" t="s">
        <v>12</v>
      </c>
      <c r="S16" s="17">
        <f t="shared" ref="S16:AF16" si="8">SUM(C34:C37)</f>
        <v>51</v>
      </c>
      <c r="T16" s="17">
        <f t="shared" si="8"/>
        <v>36</v>
      </c>
      <c r="U16" s="17">
        <f t="shared" si="8"/>
        <v>26</v>
      </c>
      <c r="V16" s="17">
        <f t="shared" si="8"/>
        <v>26</v>
      </c>
      <c r="W16" s="17">
        <f t="shared" si="8"/>
        <v>0</v>
      </c>
      <c r="X16" s="17">
        <f t="shared" si="8"/>
        <v>0</v>
      </c>
      <c r="Y16" s="17">
        <f t="shared" si="8"/>
        <v>5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135</v>
      </c>
      <c r="AD16" s="17">
        <f t="shared" si="8"/>
        <v>0</v>
      </c>
      <c r="AE16" s="31">
        <f t="shared" si="8"/>
        <v>146</v>
      </c>
      <c r="AF16" s="31">
        <f t="shared" si="8"/>
        <v>281</v>
      </c>
    </row>
    <row r="17" spans="2:32" ht="23.1" customHeight="1" x14ac:dyDescent="0.25">
      <c r="B17" s="23" t="s">
        <v>44</v>
      </c>
      <c r="C17" s="50">
        <v>14</v>
      </c>
      <c r="D17" s="50">
        <v>8</v>
      </c>
      <c r="E17" s="50">
        <v>8</v>
      </c>
      <c r="F17" s="50">
        <v>7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29</v>
      </c>
      <c r="N17" s="50">
        <v>0</v>
      </c>
      <c r="O17" s="15">
        <f t="shared" si="0"/>
        <v>38</v>
      </c>
      <c r="P17" s="15">
        <f t="shared" si="1"/>
        <v>67</v>
      </c>
      <c r="R17" s="1" t="s">
        <v>13</v>
      </c>
      <c r="S17" s="17">
        <f t="shared" ref="S17:AF17" si="9">SUM(C38:C41)</f>
        <v>42</v>
      </c>
      <c r="T17" s="17">
        <f t="shared" si="9"/>
        <v>25</v>
      </c>
      <c r="U17" s="17">
        <f t="shared" si="9"/>
        <v>26</v>
      </c>
      <c r="V17" s="17">
        <f t="shared" si="9"/>
        <v>26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5</v>
      </c>
      <c r="AA17" s="17">
        <f t="shared" si="9"/>
        <v>0</v>
      </c>
      <c r="AB17" s="17">
        <f t="shared" si="9"/>
        <v>1</v>
      </c>
      <c r="AC17" s="17">
        <f t="shared" si="9"/>
        <v>152</v>
      </c>
      <c r="AD17" s="17">
        <f t="shared" si="9"/>
        <v>0</v>
      </c>
      <c r="AE17" s="31">
        <f t="shared" si="9"/>
        <v>126</v>
      </c>
      <c r="AF17" s="31">
        <f t="shared" si="9"/>
        <v>278</v>
      </c>
    </row>
    <row r="18" spans="2:32" ht="23.1" customHeight="1" x14ac:dyDescent="0.25">
      <c r="B18" s="23" t="s">
        <v>45</v>
      </c>
      <c r="C18" s="50">
        <v>10</v>
      </c>
      <c r="D18" s="50">
        <v>6</v>
      </c>
      <c r="E18" s="50">
        <v>6</v>
      </c>
      <c r="F18" s="50">
        <v>7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28</v>
      </c>
      <c r="N18" s="50">
        <v>0</v>
      </c>
      <c r="O18" s="15">
        <f t="shared" si="0"/>
        <v>31</v>
      </c>
      <c r="P18" s="15">
        <f t="shared" si="1"/>
        <v>59</v>
      </c>
      <c r="R18" s="1" t="s">
        <v>14</v>
      </c>
      <c r="S18" s="17">
        <f t="shared" ref="S18:AF18" si="10">SUM(C42:C45)</f>
        <v>45</v>
      </c>
      <c r="T18" s="17">
        <f t="shared" si="10"/>
        <v>42</v>
      </c>
      <c r="U18" s="17">
        <f t="shared" si="10"/>
        <v>26</v>
      </c>
      <c r="V18" s="17">
        <f t="shared" si="10"/>
        <v>23</v>
      </c>
      <c r="W18" s="17">
        <f t="shared" si="10"/>
        <v>1</v>
      </c>
      <c r="X18" s="17">
        <f t="shared" si="10"/>
        <v>0</v>
      </c>
      <c r="Y18" s="17">
        <f t="shared" si="10"/>
        <v>6</v>
      </c>
      <c r="Z18" s="17">
        <f t="shared" si="10"/>
        <v>3</v>
      </c>
      <c r="AA18" s="17">
        <f t="shared" si="10"/>
        <v>0</v>
      </c>
      <c r="AB18" s="17">
        <f t="shared" si="10"/>
        <v>0</v>
      </c>
      <c r="AC18" s="17">
        <f t="shared" si="10"/>
        <v>162</v>
      </c>
      <c r="AD18" s="17">
        <f t="shared" si="10"/>
        <v>0</v>
      </c>
      <c r="AE18" s="31">
        <f t="shared" si="10"/>
        <v>146</v>
      </c>
      <c r="AF18" s="31">
        <f t="shared" si="10"/>
        <v>308</v>
      </c>
    </row>
    <row r="19" spans="2:32" ht="23.1" customHeight="1" x14ac:dyDescent="0.25">
      <c r="B19" s="23" t="s">
        <v>46</v>
      </c>
      <c r="C19" s="50">
        <v>9</v>
      </c>
      <c r="D19" s="50">
        <v>9</v>
      </c>
      <c r="E19" s="50">
        <v>7</v>
      </c>
      <c r="F19" s="50">
        <v>5</v>
      </c>
      <c r="G19" s="50">
        <v>0</v>
      </c>
      <c r="H19" s="50">
        <v>0</v>
      </c>
      <c r="I19" s="50">
        <v>0</v>
      </c>
      <c r="J19" s="50">
        <v>0</v>
      </c>
      <c r="K19" s="50">
        <v>1</v>
      </c>
      <c r="L19" s="50">
        <v>0</v>
      </c>
      <c r="M19" s="50">
        <v>33</v>
      </c>
      <c r="N19" s="50">
        <v>0</v>
      </c>
      <c r="O19" s="15">
        <f t="shared" si="0"/>
        <v>31</v>
      </c>
      <c r="P19" s="15">
        <f t="shared" si="1"/>
        <v>64</v>
      </c>
      <c r="R19" s="1" t="s">
        <v>15</v>
      </c>
      <c r="S19" s="17">
        <f t="shared" ref="S19:AF19" si="11">SUM(C46:C49)</f>
        <v>158</v>
      </c>
      <c r="T19" s="17">
        <f t="shared" si="11"/>
        <v>69</v>
      </c>
      <c r="U19" s="17">
        <f t="shared" si="11"/>
        <v>51</v>
      </c>
      <c r="V19" s="17">
        <f t="shared" si="11"/>
        <v>46</v>
      </c>
      <c r="W19" s="17">
        <f t="shared" si="11"/>
        <v>2</v>
      </c>
      <c r="X19" s="17">
        <f t="shared" si="11"/>
        <v>1</v>
      </c>
      <c r="Y19" s="17">
        <f t="shared" si="11"/>
        <v>8</v>
      </c>
      <c r="Z19" s="17">
        <f t="shared" si="11"/>
        <v>8</v>
      </c>
      <c r="AA19" s="17">
        <f t="shared" si="11"/>
        <v>0</v>
      </c>
      <c r="AB19" s="17">
        <f t="shared" si="11"/>
        <v>0</v>
      </c>
      <c r="AC19" s="17">
        <f t="shared" si="11"/>
        <v>181</v>
      </c>
      <c r="AD19" s="17">
        <f t="shared" si="11"/>
        <v>0</v>
      </c>
      <c r="AE19" s="31">
        <f t="shared" si="11"/>
        <v>343</v>
      </c>
      <c r="AF19" s="31">
        <f t="shared" si="11"/>
        <v>524</v>
      </c>
    </row>
    <row r="20" spans="2:32" ht="23.1" customHeight="1" x14ac:dyDescent="0.25">
      <c r="B20" s="23" t="s">
        <v>47</v>
      </c>
      <c r="C20" s="50">
        <v>8</v>
      </c>
      <c r="D20" s="50">
        <v>4</v>
      </c>
      <c r="E20" s="50">
        <v>5</v>
      </c>
      <c r="F20" s="50">
        <v>6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0</v>
      </c>
      <c r="M20" s="50">
        <v>25</v>
      </c>
      <c r="N20" s="50">
        <v>0</v>
      </c>
      <c r="O20" s="15">
        <f t="shared" si="0"/>
        <v>24</v>
      </c>
      <c r="P20" s="15">
        <f t="shared" si="1"/>
        <v>49</v>
      </c>
      <c r="R20" s="1" t="s">
        <v>16</v>
      </c>
      <c r="S20" s="17">
        <f t="shared" ref="S20:AF20" si="12">SUM(C50:C53)</f>
        <v>364</v>
      </c>
      <c r="T20" s="17">
        <f t="shared" si="12"/>
        <v>140</v>
      </c>
      <c r="U20" s="17">
        <f t="shared" si="12"/>
        <v>67</v>
      </c>
      <c r="V20" s="17">
        <f t="shared" si="12"/>
        <v>55</v>
      </c>
      <c r="W20" s="17">
        <f t="shared" si="12"/>
        <v>0</v>
      </c>
      <c r="X20" s="17">
        <f t="shared" si="12"/>
        <v>0</v>
      </c>
      <c r="Y20" s="17">
        <f t="shared" si="12"/>
        <v>7</v>
      </c>
      <c r="Z20" s="17">
        <f t="shared" si="12"/>
        <v>3</v>
      </c>
      <c r="AA20" s="17">
        <f t="shared" si="12"/>
        <v>1</v>
      </c>
      <c r="AB20" s="17">
        <f t="shared" si="12"/>
        <v>0</v>
      </c>
      <c r="AC20" s="17">
        <f t="shared" si="12"/>
        <v>194</v>
      </c>
      <c r="AD20" s="17">
        <f t="shared" si="12"/>
        <v>0</v>
      </c>
      <c r="AE20" s="31">
        <f t="shared" si="12"/>
        <v>637</v>
      </c>
      <c r="AF20" s="31">
        <f t="shared" si="12"/>
        <v>831</v>
      </c>
    </row>
    <row r="21" spans="2:32" ht="23.1" customHeight="1" x14ac:dyDescent="0.25">
      <c r="B21" s="23" t="s">
        <v>48</v>
      </c>
      <c r="C21" s="50">
        <v>11</v>
      </c>
      <c r="D21" s="50">
        <v>6</v>
      </c>
      <c r="E21" s="50">
        <v>8</v>
      </c>
      <c r="F21" s="50">
        <v>5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33</v>
      </c>
      <c r="N21" s="50">
        <v>0</v>
      </c>
      <c r="O21" s="15">
        <f t="shared" si="0"/>
        <v>30</v>
      </c>
      <c r="P21" s="15">
        <f t="shared" si="1"/>
        <v>63</v>
      </c>
      <c r="R21" s="36" t="s">
        <v>20</v>
      </c>
      <c r="S21" s="34">
        <f t="shared" ref="S21:AF21" si="13">SUM(C54:C57)</f>
        <v>358</v>
      </c>
      <c r="T21" s="17">
        <f t="shared" si="13"/>
        <v>143</v>
      </c>
      <c r="U21" s="17">
        <f t="shared" si="13"/>
        <v>86</v>
      </c>
      <c r="V21" s="17">
        <f t="shared" si="13"/>
        <v>59</v>
      </c>
      <c r="W21" s="17">
        <f t="shared" si="13"/>
        <v>0</v>
      </c>
      <c r="X21" s="17">
        <f t="shared" si="13"/>
        <v>2</v>
      </c>
      <c r="Y21" s="17">
        <f t="shared" si="13"/>
        <v>3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191</v>
      </c>
      <c r="AD21" s="17">
        <f t="shared" si="13"/>
        <v>0</v>
      </c>
      <c r="AE21" s="31">
        <f t="shared" si="13"/>
        <v>652</v>
      </c>
      <c r="AF21" s="31">
        <f t="shared" si="13"/>
        <v>843</v>
      </c>
    </row>
    <row r="22" spans="2:32" ht="23.1" customHeight="1" x14ac:dyDescent="0.25">
      <c r="B22" s="23" t="s">
        <v>49</v>
      </c>
      <c r="C22" s="50">
        <v>12</v>
      </c>
      <c r="D22" s="50">
        <v>7</v>
      </c>
      <c r="E22" s="50">
        <v>4</v>
      </c>
      <c r="F22" s="50">
        <v>8</v>
      </c>
      <c r="G22" s="50">
        <v>0</v>
      </c>
      <c r="H22" s="50">
        <v>0</v>
      </c>
      <c r="I22" s="50">
        <v>1</v>
      </c>
      <c r="J22" s="50">
        <v>1</v>
      </c>
      <c r="K22" s="50">
        <v>0</v>
      </c>
      <c r="L22" s="50">
        <v>0</v>
      </c>
      <c r="M22" s="50">
        <v>31</v>
      </c>
      <c r="N22" s="50">
        <v>0</v>
      </c>
      <c r="O22" s="15">
        <f t="shared" si="0"/>
        <v>33</v>
      </c>
      <c r="P22" s="15">
        <f t="shared" si="1"/>
        <v>64</v>
      </c>
      <c r="R22" s="38" t="s">
        <v>90</v>
      </c>
      <c r="S22" s="39">
        <f>MAX(S10:S12)</f>
        <v>57</v>
      </c>
      <c r="T22" s="39">
        <f t="shared" ref="T22:AF22" si="14">MAX(T10:T12)</f>
        <v>37</v>
      </c>
      <c r="U22" s="39">
        <f t="shared" si="14"/>
        <v>26</v>
      </c>
      <c r="V22" s="39">
        <f t="shared" si="14"/>
        <v>33</v>
      </c>
      <c r="W22" s="39">
        <f t="shared" si="14"/>
        <v>0</v>
      </c>
      <c r="X22" s="39">
        <f t="shared" si="14"/>
        <v>0</v>
      </c>
      <c r="Y22" s="39">
        <f t="shared" si="14"/>
        <v>2</v>
      </c>
      <c r="Z22" s="39">
        <f t="shared" si="14"/>
        <v>1</v>
      </c>
      <c r="AA22" s="39">
        <f t="shared" si="14"/>
        <v>1</v>
      </c>
      <c r="AB22" s="39">
        <f t="shared" si="14"/>
        <v>0</v>
      </c>
      <c r="AC22" s="39">
        <f t="shared" si="14"/>
        <v>132</v>
      </c>
      <c r="AD22" s="39">
        <f t="shared" si="14"/>
        <v>0</v>
      </c>
      <c r="AE22" s="40">
        <f t="shared" si="14"/>
        <v>155</v>
      </c>
      <c r="AF22" s="40">
        <f t="shared" si="14"/>
        <v>287</v>
      </c>
    </row>
    <row r="23" spans="2:32" ht="23.1" customHeight="1" x14ac:dyDescent="0.25">
      <c r="B23" s="23" t="s">
        <v>50</v>
      </c>
      <c r="C23" s="50">
        <v>9</v>
      </c>
      <c r="D23" s="50">
        <v>6</v>
      </c>
      <c r="E23" s="50">
        <v>7</v>
      </c>
      <c r="F23" s="50">
        <v>11</v>
      </c>
      <c r="G23" s="50">
        <v>1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30</v>
      </c>
      <c r="N23" s="50">
        <v>0</v>
      </c>
      <c r="O23" s="15">
        <f t="shared" si="0"/>
        <v>37</v>
      </c>
      <c r="P23" s="15">
        <f t="shared" si="1"/>
        <v>67</v>
      </c>
      <c r="R23" s="38" t="s">
        <v>91</v>
      </c>
      <c r="S23" s="39">
        <f>MAX(S13:S18)</f>
        <v>51</v>
      </c>
      <c r="T23" s="39">
        <f t="shared" ref="T23:AF23" si="15">MAX(T13:T18)</f>
        <v>42</v>
      </c>
      <c r="U23" s="39">
        <f t="shared" si="15"/>
        <v>33</v>
      </c>
      <c r="V23" s="39">
        <f t="shared" si="15"/>
        <v>33</v>
      </c>
      <c r="W23" s="39">
        <f t="shared" si="15"/>
        <v>1</v>
      </c>
      <c r="X23" s="39">
        <f t="shared" si="15"/>
        <v>0</v>
      </c>
      <c r="Y23" s="39">
        <f t="shared" si="15"/>
        <v>8</v>
      </c>
      <c r="Z23" s="39">
        <f t="shared" si="15"/>
        <v>5</v>
      </c>
      <c r="AA23" s="39">
        <f t="shared" si="15"/>
        <v>0</v>
      </c>
      <c r="AB23" s="39">
        <f t="shared" si="15"/>
        <v>1</v>
      </c>
      <c r="AC23" s="39">
        <f t="shared" si="15"/>
        <v>162</v>
      </c>
      <c r="AD23" s="39">
        <f t="shared" si="15"/>
        <v>0</v>
      </c>
      <c r="AE23" s="40">
        <f t="shared" si="15"/>
        <v>146</v>
      </c>
      <c r="AF23" s="40">
        <f t="shared" si="15"/>
        <v>308</v>
      </c>
    </row>
    <row r="24" spans="2:32" ht="23.1" customHeight="1" x14ac:dyDescent="0.25">
      <c r="B24" s="23" t="s">
        <v>51</v>
      </c>
      <c r="C24" s="50">
        <v>10</v>
      </c>
      <c r="D24" s="50">
        <v>5</v>
      </c>
      <c r="E24" s="50">
        <v>5</v>
      </c>
      <c r="F24" s="50">
        <v>8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29</v>
      </c>
      <c r="N24" s="50">
        <v>0</v>
      </c>
      <c r="O24" s="15">
        <f t="shared" si="0"/>
        <v>29</v>
      </c>
      <c r="P24" s="15">
        <f t="shared" si="1"/>
        <v>58</v>
      </c>
      <c r="R24" s="38" t="s">
        <v>92</v>
      </c>
      <c r="S24" s="39">
        <f>MAX(S19:S21)</f>
        <v>364</v>
      </c>
      <c r="T24" s="39">
        <f t="shared" ref="T24:AF24" si="16">MAX(T19:T21)</f>
        <v>143</v>
      </c>
      <c r="U24" s="39">
        <f t="shared" si="16"/>
        <v>86</v>
      </c>
      <c r="V24" s="39">
        <f t="shared" si="16"/>
        <v>59</v>
      </c>
      <c r="W24" s="39">
        <f t="shared" si="16"/>
        <v>2</v>
      </c>
      <c r="X24" s="39">
        <f t="shared" si="16"/>
        <v>2</v>
      </c>
      <c r="Y24" s="39">
        <f t="shared" si="16"/>
        <v>8</v>
      </c>
      <c r="Z24" s="39">
        <f t="shared" si="16"/>
        <v>8</v>
      </c>
      <c r="AA24" s="39">
        <f t="shared" si="16"/>
        <v>1</v>
      </c>
      <c r="AB24" s="39">
        <f t="shared" si="16"/>
        <v>0</v>
      </c>
      <c r="AC24" s="39">
        <f t="shared" si="16"/>
        <v>194</v>
      </c>
      <c r="AD24" s="39">
        <f t="shared" si="16"/>
        <v>0</v>
      </c>
      <c r="AE24" s="40">
        <f t="shared" si="16"/>
        <v>652</v>
      </c>
      <c r="AF24" s="40">
        <f t="shared" si="16"/>
        <v>843</v>
      </c>
    </row>
    <row r="25" spans="2:32" ht="23.1" customHeight="1" x14ac:dyDescent="0.25">
      <c r="B25" s="23" t="s">
        <v>52</v>
      </c>
      <c r="C25" s="50">
        <v>13</v>
      </c>
      <c r="D25" s="50">
        <v>8</v>
      </c>
      <c r="E25" s="50">
        <v>7</v>
      </c>
      <c r="F25" s="50">
        <v>6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31</v>
      </c>
      <c r="N25" s="50">
        <v>0</v>
      </c>
      <c r="O25" s="15">
        <f t="shared" si="0"/>
        <v>37</v>
      </c>
      <c r="P25" s="15">
        <f t="shared" si="1"/>
        <v>68</v>
      </c>
      <c r="R25" s="37" t="s">
        <v>85</v>
      </c>
      <c r="S25" s="35">
        <f t="shared" ref="S25:AF25" si="17">SUM(S10:S12)</f>
        <v>151</v>
      </c>
      <c r="T25" s="16">
        <f t="shared" si="17"/>
        <v>97</v>
      </c>
      <c r="U25" s="16">
        <f t="shared" si="17"/>
        <v>72</v>
      </c>
      <c r="V25" s="16">
        <f t="shared" si="17"/>
        <v>89</v>
      </c>
      <c r="W25" s="16">
        <f t="shared" si="17"/>
        <v>0</v>
      </c>
      <c r="X25" s="16">
        <f t="shared" si="17"/>
        <v>0</v>
      </c>
      <c r="Y25" s="16">
        <f t="shared" si="17"/>
        <v>6</v>
      </c>
      <c r="Z25" s="16">
        <f t="shared" si="17"/>
        <v>2</v>
      </c>
      <c r="AA25" s="16">
        <f t="shared" si="17"/>
        <v>1</v>
      </c>
      <c r="AB25" s="16">
        <f t="shared" si="17"/>
        <v>0</v>
      </c>
      <c r="AC25" s="16">
        <f t="shared" si="17"/>
        <v>368</v>
      </c>
      <c r="AD25" s="16">
        <f t="shared" si="17"/>
        <v>0</v>
      </c>
      <c r="AE25" s="32">
        <f t="shared" si="17"/>
        <v>418</v>
      </c>
      <c r="AF25" s="32">
        <f t="shared" si="17"/>
        <v>786</v>
      </c>
    </row>
    <row r="26" spans="2:32" ht="23.1" customHeight="1" x14ac:dyDescent="0.25">
      <c r="B26" s="23" t="s">
        <v>53</v>
      </c>
      <c r="C26" s="50">
        <v>11</v>
      </c>
      <c r="D26" s="50">
        <v>8</v>
      </c>
      <c r="E26" s="50">
        <v>5</v>
      </c>
      <c r="F26" s="50">
        <v>6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33</v>
      </c>
      <c r="N26" s="50">
        <v>0</v>
      </c>
      <c r="O26" s="15">
        <f t="shared" si="0"/>
        <v>32</v>
      </c>
      <c r="P26" s="15">
        <f t="shared" si="1"/>
        <v>65</v>
      </c>
      <c r="R26" s="28" t="s">
        <v>86</v>
      </c>
      <c r="S26" s="16">
        <f t="shared" ref="S26:AF26" si="18">SUM(S13:S18)</f>
        <v>263</v>
      </c>
      <c r="T26" s="16">
        <f t="shared" si="18"/>
        <v>186</v>
      </c>
      <c r="U26" s="16">
        <f t="shared" si="18"/>
        <v>156</v>
      </c>
      <c r="V26" s="16">
        <f t="shared" si="18"/>
        <v>152</v>
      </c>
      <c r="W26" s="16">
        <f t="shared" si="18"/>
        <v>2</v>
      </c>
      <c r="X26" s="16">
        <f t="shared" si="18"/>
        <v>0</v>
      </c>
      <c r="Y26" s="16">
        <f t="shared" si="18"/>
        <v>29</v>
      </c>
      <c r="Z26" s="16">
        <f t="shared" si="18"/>
        <v>13</v>
      </c>
      <c r="AA26" s="16">
        <f t="shared" si="18"/>
        <v>0</v>
      </c>
      <c r="AB26" s="16">
        <f t="shared" si="18"/>
        <v>1</v>
      </c>
      <c r="AC26" s="16">
        <f t="shared" si="18"/>
        <v>842</v>
      </c>
      <c r="AD26" s="16">
        <f t="shared" si="18"/>
        <v>0</v>
      </c>
      <c r="AE26" s="32">
        <f t="shared" si="18"/>
        <v>802</v>
      </c>
      <c r="AF26" s="32">
        <f t="shared" si="18"/>
        <v>1644</v>
      </c>
    </row>
    <row r="27" spans="2:32" ht="23.1" customHeight="1" x14ac:dyDescent="0.25">
      <c r="B27" s="23" t="s">
        <v>54</v>
      </c>
      <c r="C27" s="50">
        <v>9</v>
      </c>
      <c r="D27" s="50">
        <v>10</v>
      </c>
      <c r="E27" s="50">
        <v>7</v>
      </c>
      <c r="F27" s="50">
        <v>5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28</v>
      </c>
      <c r="N27" s="50">
        <v>0</v>
      </c>
      <c r="O27" s="15">
        <f t="shared" si="0"/>
        <v>31</v>
      </c>
      <c r="P27" s="15">
        <f t="shared" si="1"/>
        <v>59</v>
      </c>
      <c r="R27" s="29" t="s">
        <v>87</v>
      </c>
      <c r="S27" s="16">
        <f t="shared" ref="S27:AF27" si="19">SUM(S19:S21)</f>
        <v>880</v>
      </c>
      <c r="T27" s="16">
        <f t="shared" si="19"/>
        <v>352</v>
      </c>
      <c r="U27" s="16">
        <f t="shared" si="19"/>
        <v>204</v>
      </c>
      <c r="V27" s="16">
        <f t="shared" si="19"/>
        <v>160</v>
      </c>
      <c r="W27" s="16">
        <f t="shared" si="19"/>
        <v>2</v>
      </c>
      <c r="X27" s="16">
        <f t="shared" si="19"/>
        <v>3</v>
      </c>
      <c r="Y27" s="16">
        <f t="shared" si="19"/>
        <v>18</v>
      </c>
      <c r="Z27" s="16">
        <f t="shared" si="19"/>
        <v>12</v>
      </c>
      <c r="AA27" s="16">
        <f t="shared" si="19"/>
        <v>1</v>
      </c>
      <c r="AB27" s="16">
        <f t="shared" si="19"/>
        <v>0</v>
      </c>
      <c r="AC27" s="16">
        <f t="shared" si="19"/>
        <v>566</v>
      </c>
      <c r="AD27" s="16">
        <f t="shared" si="19"/>
        <v>0</v>
      </c>
      <c r="AE27" s="32">
        <f t="shared" si="19"/>
        <v>1632</v>
      </c>
      <c r="AF27" s="32">
        <f t="shared" si="19"/>
        <v>2198</v>
      </c>
    </row>
    <row r="28" spans="2:32" ht="23.1" customHeight="1" x14ac:dyDescent="0.25">
      <c r="B28" s="23" t="s">
        <v>55</v>
      </c>
      <c r="C28" s="50">
        <v>11</v>
      </c>
      <c r="D28" s="50">
        <v>7</v>
      </c>
      <c r="E28" s="50">
        <v>4</v>
      </c>
      <c r="F28" s="50">
        <v>4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31</v>
      </c>
      <c r="N28" s="50">
        <v>0</v>
      </c>
      <c r="O28" s="15">
        <f t="shared" si="0"/>
        <v>29</v>
      </c>
      <c r="P28" s="15">
        <f t="shared" si="1"/>
        <v>60</v>
      </c>
      <c r="R28" s="5" t="s">
        <v>17</v>
      </c>
      <c r="S28" s="16">
        <f t="shared" ref="S28:AF28" si="20">SUM(S10:S21)</f>
        <v>1294</v>
      </c>
      <c r="T28" s="16">
        <f t="shared" si="20"/>
        <v>635</v>
      </c>
      <c r="U28" s="16">
        <f t="shared" si="20"/>
        <v>432</v>
      </c>
      <c r="V28" s="16">
        <f t="shared" si="20"/>
        <v>401</v>
      </c>
      <c r="W28" s="16">
        <f t="shared" si="20"/>
        <v>4</v>
      </c>
      <c r="X28" s="16">
        <f t="shared" si="20"/>
        <v>3</v>
      </c>
      <c r="Y28" s="16">
        <f t="shared" si="20"/>
        <v>53</v>
      </c>
      <c r="Z28" s="16">
        <f t="shared" si="20"/>
        <v>27</v>
      </c>
      <c r="AA28" s="16">
        <f t="shared" si="20"/>
        <v>2</v>
      </c>
      <c r="AB28" s="16">
        <f t="shared" si="20"/>
        <v>1</v>
      </c>
      <c r="AC28" s="16">
        <f t="shared" si="20"/>
        <v>1776</v>
      </c>
      <c r="AD28" s="16">
        <f t="shared" si="20"/>
        <v>0</v>
      </c>
      <c r="AE28" s="32">
        <f t="shared" si="20"/>
        <v>2852</v>
      </c>
      <c r="AF28" s="32">
        <f t="shared" si="20"/>
        <v>4628</v>
      </c>
    </row>
    <row r="29" spans="2:32" ht="23.1" customHeight="1" x14ac:dyDescent="0.25">
      <c r="B29" s="23" t="s">
        <v>56</v>
      </c>
      <c r="C29" s="50">
        <v>9</v>
      </c>
      <c r="D29" s="50">
        <v>8</v>
      </c>
      <c r="E29" s="50">
        <v>6</v>
      </c>
      <c r="F29" s="50">
        <v>3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38</v>
      </c>
      <c r="N29" s="50">
        <v>0</v>
      </c>
      <c r="O29" s="15">
        <f t="shared" si="0"/>
        <v>27</v>
      </c>
      <c r="P29" s="15">
        <f t="shared" si="1"/>
        <v>65</v>
      </c>
      <c r="R29"/>
      <c r="S29" s="20"/>
      <c r="T29" s="19"/>
    </row>
    <row r="30" spans="2:32" ht="23.1" customHeight="1" x14ac:dyDescent="0.25">
      <c r="B30" s="23" t="s">
        <v>57</v>
      </c>
      <c r="C30" s="50">
        <v>12</v>
      </c>
      <c r="D30" s="50">
        <v>5</v>
      </c>
      <c r="E30" s="50">
        <v>8</v>
      </c>
      <c r="F30" s="50">
        <v>6</v>
      </c>
      <c r="G30" s="50">
        <v>0</v>
      </c>
      <c r="H30" s="50">
        <v>0</v>
      </c>
      <c r="I30" s="50">
        <v>1</v>
      </c>
      <c r="J30" s="50">
        <v>2</v>
      </c>
      <c r="K30" s="50">
        <v>0</v>
      </c>
      <c r="L30" s="50">
        <v>0</v>
      </c>
      <c r="M30" s="50">
        <v>41</v>
      </c>
      <c r="N30" s="50">
        <v>0</v>
      </c>
      <c r="O30" s="15">
        <f t="shared" si="0"/>
        <v>34</v>
      </c>
      <c r="P30" s="15">
        <f t="shared" si="1"/>
        <v>75</v>
      </c>
    </row>
    <row r="31" spans="2:32" ht="23.1" customHeight="1" x14ac:dyDescent="0.25">
      <c r="B31" s="24" t="s">
        <v>58</v>
      </c>
      <c r="C31" s="50">
        <v>10</v>
      </c>
      <c r="D31" s="50">
        <v>9</v>
      </c>
      <c r="E31" s="50">
        <v>11</v>
      </c>
      <c r="F31" s="50">
        <v>9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34</v>
      </c>
      <c r="N31" s="50">
        <v>0</v>
      </c>
      <c r="O31" s="15">
        <f t="shared" si="0"/>
        <v>39</v>
      </c>
      <c r="P31" s="15">
        <f t="shared" si="1"/>
        <v>73</v>
      </c>
    </row>
    <row r="32" spans="2:32" ht="23.1" customHeight="1" x14ac:dyDescent="0.25">
      <c r="B32" s="24" t="s">
        <v>59</v>
      </c>
      <c r="C32" s="50">
        <v>8</v>
      </c>
      <c r="D32" s="50">
        <v>6</v>
      </c>
      <c r="E32" s="50">
        <v>8</v>
      </c>
      <c r="F32" s="50">
        <v>7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38</v>
      </c>
      <c r="N32" s="50">
        <v>0</v>
      </c>
      <c r="O32" s="15">
        <f t="shared" si="0"/>
        <v>29</v>
      </c>
      <c r="P32" s="15">
        <f t="shared" si="1"/>
        <v>67</v>
      </c>
    </row>
    <row r="33" spans="2:20" ht="23.1" customHeight="1" x14ac:dyDescent="0.25">
      <c r="B33" s="23" t="s">
        <v>60</v>
      </c>
      <c r="C33" s="50">
        <v>11</v>
      </c>
      <c r="D33" s="50">
        <v>4</v>
      </c>
      <c r="E33" s="50">
        <v>6</v>
      </c>
      <c r="F33" s="50">
        <v>4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29</v>
      </c>
      <c r="N33" s="50">
        <v>0</v>
      </c>
      <c r="O33" s="15">
        <f t="shared" si="0"/>
        <v>27</v>
      </c>
      <c r="P33" s="15">
        <f t="shared" si="1"/>
        <v>56</v>
      </c>
    </row>
    <row r="34" spans="2:20" ht="23.1" customHeight="1" x14ac:dyDescent="0.25">
      <c r="B34" s="24" t="s">
        <v>61</v>
      </c>
      <c r="C34" s="50">
        <v>14</v>
      </c>
      <c r="D34" s="50">
        <v>9</v>
      </c>
      <c r="E34" s="50">
        <v>4</v>
      </c>
      <c r="F34" s="50">
        <v>6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32</v>
      </c>
      <c r="N34" s="50">
        <v>0</v>
      </c>
      <c r="O34" s="15">
        <f t="shared" si="0"/>
        <v>36</v>
      </c>
      <c r="P34" s="15">
        <f t="shared" si="1"/>
        <v>68</v>
      </c>
    </row>
    <row r="35" spans="2:20" ht="23.1" customHeight="1" x14ac:dyDescent="0.25">
      <c r="B35" s="24" t="s">
        <v>62</v>
      </c>
      <c r="C35" s="50">
        <v>11</v>
      </c>
      <c r="D35" s="50">
        <v>8</v>
      </c>
      <c r="E35" s="50">
        <v>7</v>
      </c>
      <c r="F35" s="50">
        <v>9</v>
      </c>
      <c r="G35" s="50">
        <v>0</v>
      </c>
      <c r="H35" s="50">
        <v>0</v>
      </c>
      <c r="I35" s="50">
        <v>2</v>
      </c>
      <c r="J35" s="50">
        <v>2</v>
      </c>
      <c r="K35" s="50">
        <v>0</v>
      </c>
      <c r="L35" s="50">
        <v>0</v>
      </c>
      <c r="M35" s="50">
        <v>29</v>
      </c>
      <c r="N35" s="50">
        <v>0</v>
      </c>
      <c r="O35" s="15">
        <f t="shared" si="0"/>
        <v>39</v>
      </c>
      <c r="P35" s="15">
        <f t="shared" si="1"/>
        <v>68</v>
      </c>
    </row>
    <row r="36" spans="2:20" ht="23.1" customHeight="1" x14ac:dyDescent="0.25">
      <c r="B36" s="24" t="s">
        <v>63</v>
      </c>
      <c r="C36" s="50">
        <v>14</v>
      </c>
      <c r="D36" s="50">
        <v>11</v>
      </c>
      <c r="E36" s="50">
        <v>9</v>
      </c>
      <c r="F36" s="50">
        <v>7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38</v>
      </c>
      <c r="N36" s="50">
        <v>0</v>
      </c>
      <c r="O36" s="15">
        <f t="shared" si="0"/>
        <v>41</v>
      </c>
      <c r="P36" s="15">
        <f t="shared" si="1"/>
        <v>79</v>
      </c>
    </row>
    <row r="37" spans="2:20" ht="23.1" customHeight="1" x14ac:dyDescent="0.25">
      <c r="B37" s="23" t="s">
        <v>64</v>
      </c>
      <c r="C37" s="50">
        <v>12</v>
      </c>
      <c r="D37" s="50">
        <v>8</v>
      </c>
      <c r="E37" s="50">
        <v>6</v>
      </c>
      <c r="F37" s="50">
        <v>4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36</v>
      </c>
      <c r="N37" s="50">
        <v>0</v>
      </c>
      <c r="O37" s="15">
        <f t="shared" si="0"/>
        <v>30</v>
      </c>
      <c r="P37" s="15">
        <f t="shared" si="1"/>
        <v>66</v>
      </c>
    </row>
    <row r="38" spans="2:20" ht="23.1" customHeight="1" x14ac:dyDescent="0.25">
      <c r="B38" s="24" t="s">
        <v>65</v>
      </c>
      <c r="C38" s="50">
        <v>9</v>
      </c>
      <c r="D38" s="50">
        <v>2</v>
      </c>
      <c r="E38" s="50">
        <v>6</v>
      </c>
      <c r="F38" s="50">
        <v>8</v>
      </c>
      <c r="G38" s="50">
        <v>0</v>
      </c>
      <c r="H38" s="50">
        <v>0</v>
      </c>
      <c r="I38" s="50">
        <v>1</v>
      </c>
      <c r="J38" s="50">
        <v>3</v>
      </c>
      <c r="K38" s="50">
        <v>0</v>
      </c>
      <c r="L38" s="50">
        <v>0</v>
      </c>
      <c r="M38" s="50">
        <v>36</v>
      </c>
      <c r="N38" s="50">
        <v>0</v>
      </c>
      <c r="O38" s="15">
        <f t="shared" si="0"/>
        <v>29</v>
      </c>
      <c r="P38" s="15">
        <f t="shared" si="1"/>
        <v>65</v>
      </c>
    </row>
    <row r="39" spans="2:20" ht="23.1" customHeight="1" x14ac:dyDescent="0.25">
      <c r="B39" s="24" t="s">
        <v>66</v>
      </c>
      <c r="C39" s="50">
        <v>11</v>
      </c>
      <c r="D39" s="50">
        <v>9</v>
      </c>
      <c r="E39" s="50">
        <v>4</v>
      </c>
      <c r="F39" s="50">
        <v>6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1</v>
      </c>
      <c r="M39" s="50">
        <v>38</v>
      </c>
      <c r="N39" s="50">
        <v>0</v>
      </c>
      <c r="O39" s="15">
        <f t="shared" si="0"/>
        <v>32</v>
      </c>
      <c r="P39" s="15">
        <f t="shared" si="1"/>
        <v>70</v>
      </c>
    </row>
    <row r="40" spans="2:20" ht="23.1" customHeight="1" x14ac:dyDescent="0.25">
      <c r="B40" s="24" t="s">
        <v>67</v>
      </c>
      <c r="C40" s="50">
        <v>13</v>
      </c>
      <c r="D40" s="50">
        <v>6</v>
      </c>
      <c r="E40" s="50">
        <v>9</v>
      </c>
      <c r="F40" s="50">
        <v>4</v>
      </c>
      <c r="G40" s="50">
        <v>0</v>
      </c>
      <c r="H40" s="50">
        <v>0</v>
      </c>
      <c r="I40" s="50">
        <v>0</v>
      </c>
      <c r="J40" s="50">
        <v>1</v>
      </c>
      <c r="K40" s="50">
        <v>0</v>
      </c>
      <c r="L40" s="50">
        <v>0</v>
      </c>
      <c r="M40" s="50">
        <v>36</v>
      </c>
      <c r="N40" s="50">
        <v>0</v>
      </c>
      <c r="O40" s="15">
        <f t="shared" si="0"/>
        <v>33</v>
      </c>
      <c r="P40" s="15">
        <f t="shared" si="1"/>
        <v>69</v>
      </c>
    </row>
    <row r="41" spans="2:20" ht="23.1" customHeight="1" x14ac:dyDescent="0.25">
      <c r="B41" s="23" t="s">
        <v>68</v>
      </c>
      <c r="C41" s="50">
        <v>9</v>
      </c>
      <c r="D41" s="50">
        <v>8</v>
      </c>
      <c r="E41" s="50">
        <v>7</v>
      </c>
      <c r="F41" s="50">
        <v>8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42</v>
      </c>
      <c r="N41" s="50">
        <v>0</v>
      </c>
      <c r="O41" s="15">
        <f t="shared" si="0"/>
        <v>32</v>
      </c>
      <c r="P41" s="15">
        <f t="shared" si="1"/>
        <v>74</v>
      </c>
    </row>
    <row r="42" spans="2:20" ht="23.1" customHeight="1" x14ac:dyDescent="0.25">
      <c r="B42" s="24" t="s">
        <v>69</v>
      </c>
      <c r="C42" s="50">
        <v>8</v>
      </c>
      <c r="D42" s="50">
        <v>10</v>
      </c>
      <c r="E42" s="50">
        <v>4</v>
      </c>
      <c r="F42" s="50">
        <v>6</v>
      </c>
      <c r="G42" s="50">
        <v>0</v>
      </c>
      <c r="H42" s="50">
        <v>0</v>
      </c>
      <c r="I42" s="50">
        <v>1</v>
      </c>
      <c r="J42" s="50">
        <v>1</v>
      </c>
      <c r="K42" s="50">
        <v>0</v>
      </c>
      <c r="L42" s="50">
        <v>0</v>
      </c>
      <c r="M42" s="50">
        <v>37</v>
      </c>
      <c r="N42" s="50">
        <v>0</v>
      </c>
      <c r="O42" s="15">
        <f t="shared" si="0"/>
        <v>30</v>
      </c>
      <c r="P42" s="15">
        <f t="shared" si="1"/>
        <v>67</v>
      </c>
    </row>
    <row r="43" spans="2:20" ht="23.1" customHeight="1" x14ac:dyDescent="0.25">
      <c r="B43" s="23" t="s">
        <v>70</v>
      </c>
      <c r="C43" s="50">
        <v>13</v>
      </c>
      <c r="D43" s="50">
        <v>12</v>
      </c>
      <c r="E43" s="50">
        <v>7</v>
      </c>
      <c r="F43" s="50">
        <v>5</v>
      </c>
      <c r="G43" s="50">
        <v>1</v>
      </c>
      <c r="H43" s="50">
        <v>0</v>
      </c>
      <c r="I43" s="50">
        <v>2</v>
      </c>
      <c r="J43" s="50">
        <v>1</v>
      </c>
      <c r="K43" s="50">
        <v>0</v>
      </c>
      <c r="L43" s="50">
        <v>0</v>
      </c>
      <c r="M43" s="50">
        <v>42</v>
      </c>
      <c r="N43" s="50">
        <v>0</v>
      </c>
      <c r="O43" s="15">
        <f t="shared" si="0"/>
        <v>41</v>
      </c>
      <c r="P43" s="15">
        <f t="shared" si="1"/>
        <v>83</v>
      </c>
    </row>
    <row r="44" spans="2:20" ht="23.1" customHeight="1" x14ac:dyDescent="0.25">
      <c r="B44" s="25" t="s">
        <v>71</v>
      </c>
      <c r="C44" s="50">
        <v>10</v>
      </c>
      <c r="D44" s="50">
        <v>11</v>
      </c>
      <c r="E44" s="50">
        <v>5</v>
      </c>
      <c r="F44" s="50">
        <v>7</v>
      </c>
      <c r="G44" s="50">
        <v>0</v>
      </c>
      <c r="H44" s="50">
        <v>0</v>
      </c>
      <c r="I44" s="50">
        <v>3</v>
      </c>
      <c r="J44" s="50">
        <v>1</v>
      </c>
      <c r="K44" s="50">
        <v>0</v>
      </c>
      <c r="L44" s="50">
        <v>0</v>
      </c>
      <c r="M44" s="50">
        <v>39</v>
      </c>
      <c r="N44" s="50">
        <v>0</v>
      </c>
      <c r="O44" s="15">
        <f t="shared" si="0"/>
        <v>37</v>
      </c>
      <c r="P44" s="15">
        <f t="shared" si="1"/>
        <v>76</v>
      </c>
    </row>
    <row r="45" spans="2:20" ht="23.1" customHeight="1" x14ac:dyDescent="0.25">
      <c r="B45" s="23" t="s">
        <v>72</v>
      </c>
      <c r="C45" s="50">
        <v>14</v>
      </c>
      <c r="D45" s="50">
        <v>9</v>
      </c>
      <c r="E45" s="50">
        <v>10</v>
      </c>
      <c r="F45" s="50">
        <v>5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44</v>
      </c>
      <c r="N45" s="50">
        <v>0</v>
      </c>
      <c r="O45" s="15">
        <f t="shared" si="0"/>
        <v>38</v>
      </c>
      <c r="P45" s="15">
        <f t="shared" si="1"/>
        <v>82</v>
      </c>
    </row>
    <row r="46" spans="2:20" ht="23.1" customHeight="1" x14ac:dyDescent="0.25">
      <c r="B46" s="24" t="s">
        <v>73</v>
      </c>
      <c r="C46" s="50">
        <v>22</v>
      </c>
      <c r="D46" s="50">
        <v>18</v>
      </c>
      <c r="E46" s="50">
        <v>8</v>
      </c>
      <c r="F46" s="50">
        <v>9</v>
      </c>
      <c r="G46" s="50">
        <v>0</v>
      </c>
      <c r="H46" s="50">
        <v>0</v>
      </c>
      <c r="I46" s="50">
        <v>2</v>
      </c>
      <c r="J46" s="50">
        <v>1</v>
      </c>
      <c r="K46" s="50">
        <v>0</v>
      </c>
      <c r="L46" s="50">
        <v>0</v>
      </c>
      <c r="M46" s="50">
        <v>39</v>
      </c>
      <c r="N46" s="50">
        <v>0</v>
      </c>
      <c r="O46" s="15">
        <f t="shared" si="0"/>
        <v>60</v>
      </c>
      <c r="P46" s="15">
        <f t="shared" si="1"/>
        <v>99</v>
      </c>
      <c r="R46" s="8"/>
      <c r="T46"/>
    </row>
    <row r="47" spans="2:20" ht="23.1" customHeight="1" x14ac:dyDescent="0.25">
      <c r="B47" s="24" t="s">
        <v>74</v>
      </c>
      <c r="C47" s="50">
        <v>29</v>
      </c>
      <c r="D47" s="50">
        <v>17</v>
      </c>
      <c r="E47" s="50">
        <v>17</v>
      </c>
      <c r="F47" s="50">
        <v>14</v>
      </c>
      <c r="G47" s="50">
        <v>0</v>
      </c>
      <c r="H47" s="50">
        <v>1</v>
      </c>
      <c r="I47" s="50">
        <v>0</v>
      </c>
      <c r="J47" s="50">
        <v>1</v>
      </c>
      <c r="K47" s="50">
        <v>0</v>
      </c>
      <c r="L47" s="50">
        <v>0</v>
      </c>
      <c r="M47" s="50">
        <v>42</v>
      </c>
      <c r="N47" s="50">
        <v>0</v>
      </c>
      <c r="O47" s="15">
        <f t="shared" si="0"/>
        <v>79</v>
      </c>
      <c r="P47" s="15">
        <f t="shared" si="1"/>
        <v>121</v>
      </c>
      <c r="R47" s="8"/>
      <c r="T47"/>
    </row>
    <row r="48" spans="2:20" ht="23.1" customHeight="1" x14ac:dyDescent="0.25">
      <c r="B48" s="24" t="s">
        <v>75</v>
      </c>
      <c r="C48" s="50">
        <v>39</v>
      </c>
      <c r="D48" s="50">
        <v>15</v>
      </c>
      <c r="E48" s="50">
        <v>11</v>
      </c>
      <c r="F48" s="50">
        <v>10</v>
      </c>
      <c r="G48" s="50">
        <v>0</v>
      </c>
      <c r="H48" s="50">
        <v>0</v>
      </c>
      <c r="I48" s="50">
        <v>2</v>
      </c>
      <c r="J48" s="50">
        <v>3</v>
      </c>
      <c r="K48" s="50">
        <v>0</v>
      </c>
      <c r="L48" s="50">
        <v>0</v>
      </c>
      <c r="M48" s="50">
        <v>51</v>
      </c>
      <c r="N48" s="50">
        <v>0</v>
      </c>
      <c r="O48" s="15">
        <f t="shared" si="0"/>
        <v>80</v>
      </c>
      <c r="P48" s="15">
        <f t="shared" si="1"/>
        <v>131</v>
      </c>
      <c r="R48" s="8"/>
      <c r="T48"/>
    </row>
    <row r="49" spans="2:20" ht="23.1" customHeight="1" x14ac:dyDescent="0.25">
      <c r="B49" s="23" t="s">
        <v>76</v>
      </c>
      <c r="C49" s="50">
        <v>68</v>
      </c>
      <c r="D49" s="50">
        <v>19</v>
      </c>
      <c r="E49" s="50">
        <v>15</v>
      </c>
      <c r="F49" s="50">
        <v>13</v>
      </c>
      <c r="G49" s="50">
        <v>2</v>
      </c>
      <c r="H49" s="50">
        <v>0</v>
      </c>
      <c r="I49" s="50">
        <v>4</v>
      </c>
      <c r="J49" s="50">
        <v>3</v>
      </c>
      <c r="K49" s="50">
        <v>0</v>
      </c>
      <c r="L49" s="50">
        <v>0</v>
      </c>
      <c r="M49" s="50">
        <v>49</v>
      </c>
      <c r="N49" s="50">
        <v>0</v>
      </c>
      <c r="O49" s="15">
        <f t="shared" si="0"/>
        <v>124</v>
      </c>
      <c r="P49" s="15">
        <f t="shared" si="1"/>
        <v>173</v>
      </c>
      <c r="R49" s="8"/>
      <c r="T49"/>
    </row>
    <row r="50" spans="2:20" ht="23.1" customHeight="1" x14ac:dyDescent="0.25">
      <c r="B50" s="24" t="s">
        <v>77</v>
      </c>
      <c r="C50" s="50">
        <v>85</v>
      </c>
      <c r="D50" s="50">
        <v>33</v>
      </c>
      <c r="E50" s="50">
        <v>16</v>
      </c>
      <c r="F50" s="50">
        <v>13</v>
      </c>
      <c r="G50" s="50">
        <v>0</v>
      </c>
      <c r="H50" s="50">
        <v>0</v>
      </c>
      <c r="I50" s="50">
        <v>0</v>
      </c>
      <c r="J50" s="50">
        <v>1</v>
      </c>
      <c r="K50" s="50">
        <v>0</v>
      </c>
      <c r="L50" s="50">
        <v>0</v>
      </c>
      <c r="M50" s="50">
        <v>42</v>
      </c>
      <c r="N50" s="50">
        <v>0</v>
      </c>
      <c r="O50" s="15">
        <f t="shared" si="0"/>
        <v>148</v>
      </c>
      <c r="P50" s="15">
        <f t="shared" si="1"/>
        <v>190</v>
      </c>
      <c r="R50" s="8"/>
      <c r="T50"/>
    </row>
    <row r="51" spans="2:20" ht="23.1" customHeight="1" x14ac:dyDescent="0.25">
      <c r="B51" s="24" t="s">
        <v>78</v>
      </c>
      <c r="C51" s="50">
        <v>81</v>
      </c>
      <c r="D51" s="50">
        <v>31</v>
      </c>
      <c r="E51" s="50">
        <v>14</v>
      </c>
      <c r="F51" s="50">
        <v>11</v>
      </c>
      <c r="G51" s="50">
        <v>0</v>
      </c>
      <c r="H51" s="50">
        <v>0</v>
      </c>
      <c r="I51" s="50">
        <v>3</v>
      </c>
      <c r="J51" s="50">
        <v>0</v>
      </c>
      <c r="K51" s="50">
        <v>0</v>
      </c>
      <c r="L51" s="50">
        <v>0</v>
      </c>
      <c r="M51" s="50">
        <v>48</v>
      </c>
      <c r="N51" s="50">
        <v>0</v>
      </c>
      <c r="O51" s="15">
        <f t="shared" si="0"/>
        <v>140</v>
      </c>
      <c r="P51" s="15">
        <f t="shared" si="1"/>
        <v>188</v>
      </c>
      <c r="R51" s="8"/>
      <c r="T51"/>
    </row>
    <row r="52" spans="2:20" ht="23.1" customHeight="1" x14ac:dyDescent="0.25">
      <c r="B52" s="24" t="s">
        <v>79</v>
      </c>
      <c r="C52" s="50">
        <v>100</v>
      </c>
      <c r="D52" s="50">
        <v>43</v>
      </c>
      <c r="E52" s="50">
        <v>18</v>
      </c>
      <c r="F52" s="50">
        <v>14</v>
      </c>
      <c r="G52" s="50">
        <v>0</v>
      </c>
      <c r="H52" s="50">
        <v>0</v>
      </c>
      <c r="I52" s="50">
        <v>3</v>
      </c>
      <c r="J52" s="50">
        <v>2</v>
      </c>
      <c r="K52" s="50">
        <v>1</v>
      </c>
      <c r="L52" s="50">
        <v>0</v>
      </c>
      <c r="M52" s="50">
        <v>56</v>
      </c>
      <c r="N52" s="50">
        <v>0</v>
      </c>
      <c r="O52" s="15">
        <f t="shared" si="0"/>
        <v>181</v>
      </c>
      <c r="P52" s="15">
        <f t="shared" si="1"/>
        <v>237</v>
      </c>
      <c r="R52" s="8"/>
      <c r="T52"/>
    </row>
    <row r="53" spans="2:20" ht="23.1" customHeight="1" x14ac:dyDescent="0.25">
      <c r="B53" s="23" t="s">
        <v>80</v>
      </c>
      <c r="C53" s="50">
        <v>98</v>
      </c>
      <c r="D53" s="50">
        <v>33</v>
      </c>
      <c r="E53" s="50">
        <v>19</v>
      </c>
      <c r="F53" s="50">
        <v>17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48</v>
      </c>
      <c r="N53" s="50">
        <v>0</v>
      </c>
      <c r="O53" s="15">
        <f t="shared" si="0"/>
        <v>168</v>
      </c>
      <c r="P53" s="15">
        <f t="shared" si="1"/>
        <v>216</v>
      </c>
      <c r="R53" s="8"/>
      <c r="T53"/>
    </row>
    <row r="54" spans="2:20" ht="23.1" customHeight="1" x14ac:dyDescent="0.25">
      <c r="B54" s="23" t="s">
        <v>81</v>
      </c>
      <c r="C54" s="50">
        <v>92</v>
      </c>
      <c r="D54" s="50">
        <v>32</v>
      </c>
      <c r="E54" s="50">
        <v>28</v>
      </c>
      <c r="F54" s="50">
        <v>13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51</v>
      </c>
      <c r="N54" s="50">
        <v>0</v>
      </c>
      <c r="O54" s="15">
        <f t="shared" si="0"/>
        <v>166</v>
      </c>
      <c r="P54" s="15">
        <f t="shared" si="1"/>
        <v>217</v>
      </c>
      <c r="R54" s="8"/>
      <c r="T54"/>
    </row>
    <row r="55" spans="2:20" ht="23.1" customHeight="1" x14ac:dyDescent="0.25">
      <c r="B55" s="23" t="s">
        <v>82</v>
      </c>
      <c r="C55" s="50">
        <v>88</v>
      </c>
      <c r="D55" s="50">
        <v>41</v>
      </c>
      <c r="E55" s="50">
        <v>23</v>
      </c>
      <c r="F55" s="50">
        <v>16</v>
      </c>
      <c r="G55" s="50">
        <v>0</v>
      </c>
      <c r="H55" s="50">
        <v>2</v>
      </c>
      <c r="I55" s="50">
        <v>0</v>
      </c>
      <c r="J55" s="50">
        <v>0</v>
      </c>
      <c r="K55" s="50">
        <v>0</v>
      </c>
      <c r="L55" s="50">
        <v>0</v>
      </c>
      <c r="M55" s="50">
        <v>49</v>
      </c>
      <c r="N55" s="50">
        <v>0</v>
      </c>
      <c r="O55" s="15">
        <f t="shared" si="0"/>
        <v>170</v>
      </c>
      <c r="P55" s="15">
        <f t="shared" si="1"/>
        <v>219</v>
      </c>
      <c r="R55" s="8"/>
      <c r="T55"/>
    </row>
    <row r="56" spans="2:20" ht="23.1" customHeight="1" x14ac:dyDescent="0.25">
      <c r="B56" s="23" t="s">
        <v>83</v>
      </c>
      <c r="C56" s="50">
        <v>86</v>
      </c>
      <c r="D56" s="50">
        <v>38</v>
      </c>
      <c r="E56" s="50">
        <v>19</v>
      </c>
      <c r="F56" s="50">
        <v>12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47</v>
      </c>
      <c r="N56" s="50">
        <v>0</v>
      </c>
      <c r="O56" s="15">
        <f t="shared" si="0"/>
        <v>157</v>
      </c>
      <c r="P56" s="15">
        <f t="shared" si="1"/>
        <v>204</v>
      </c>
      <c r="R56" s="8"/>
      <c r="T56"/>
    </row>
    <row r="57" spans="2:20" ht="23.1" customHeight="1" x14ac:dyDescent="0.25">
      <c r="B57" s="23" t="s">
        <v>84</v>
      </c>
      <c r="C57" s="50">
        <v>92</v>
      </c>
      <c r="D57" s="50">
        <v>32</v>
      </c>
      <c r="E57" s="50">
        <v>16</v>
      </c>
      <c r="F57" s="50">
        <v>18</v>
      </c>
      <c r="G57" s="50">
        <v>0</v>
      </c>
      <c r="H57" s="50">
        <v>0</v>
      </c>
      <c r="I57" s="50">
        <v>0</v>
      </c>
      <c r="J57" s="50">
        <v>1</v>
      </c>
      <c r="K57" s="50">
        <v>0</v>
      </c>
      <c r="L57" s="50">
        <v>0</v>
      </c>
      <c r="M57" s="50">
        <v>44</v>
      </c>
      <c r="N57" s="50">
        <v>0</v>
      </c>
      <c r="O57" s="15">
        <f t="shared" si="0"/>
        <v>159</v>
      </c>
      <c r="P57" s="15">
        <f t="shared" si="1"/>
        <v>203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1294</v>
      </c>
      <c r="D58" s="16">
        <f t="shared" si="21"/>
        <v>635</v>
      </c>
      <c r="E58" s="16">
        <f t="shared" si="21"/>
        <v>432</v>
      </c>
      <c r="F58" s="16">
        <f t="shared" si="21"/>
        <v>401</v>
      </c>
      <c r="G58" s="16">
        <f t="shared" si="21"/>
        <v>4</v>
      </c>
      <c r="H58" s="16">
        <f t="shared" si="21"/>
        <v>3</v>
      </c>
      <c r="I58" s="16">
        <f t="shared" si="21"/>
        <v>53</v>
      </c>
      <c r="J58" s="16">
        <f t="shared" si="21"/>
        <v>27</v>
      </c>
      <c r="K58" s="16">
        <f t="shared" si="21"/>
        <v>2</v>
      </c>
      <c r="L58" s="16">
        <f t="shared" si="21"/>
        <v>1</v>
      </c>
      <c r="M58" s="16">
        <f t="shared" si="21"/>
        <v>1776</v>
      </c>
      <c r="N58" s="16">
        <f t="shared" si="21"/>
        <v>0</v>
      </c>
      <c r="O58" s="16">
        <f t="shared" si="21"/>
        <v>2852</v>
      </c>
      <c r="P58" s="16">
        <f t="shared" si="21"/>
        <v>4628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0.27960242005185826</v>
      </c>
      <c r="D59" s="43">
        <f t="shared" si="22"/>
        <v>0.13720829732065687</v>
      </c>
      <c r="E59" s="43">
        <f t="shared" si="22"/>
        <v>9.3344857389801209E-2</v>
      </c>
      <c r="F59" s="43">
        <f t="shared" si="22"/>
        <v>8.6646499567847882E-2</v>
      </c>
      <c r="G59" s="43">
        <f t="shared" si="22"/>
        <v>8.6430423509075197E-4</v>
      </c>
      <c r="H59" s="43">
        <f t="shared" si="22"/>
        <v>6.4822817631806392E-4</v>
      </c>
      <c r="I59" s="43">
        <f t="shared" si="22"/>
        <v>1.1452031114952464E-2</v>
      </c>
      <c r="J59" s="43">
        <f t="shared" si="22"/>
        <v>5.8340535868625755E-3</v>
      </c>
      <c r="K59" s="43">
        <f t="shared" si="22"/>
        <v>4.3215211754537599E-4</v>
      </c>
      <c r="L59" s="43">
        <f t="shared" si="22"/>
        <v>2.1607605877268799E-4</v>
      </c>
      <c r="M59" s="43">
        <f t="shared" si="22"/>
        <v>0.38375108038029387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0.45371669004207571</v>
      </c>
      <c r="D60" s="44">
        <f t="shared" ref="D60:N60" si="23">D58/$O$58</f>
        <v>0.22265077138849929</v>
      </c>
      <c r="E60" s="44">
        <f t="shared" si="23"/>
        <v>0.1514726507713885</v>
      </c>
      <c r="F60" s="44">
        <f t="shared" si="23"/>
        <v>0.1406030855539972</v>
      </c>
      <c r="G60" s="44">
        <f t="shared" si="23"/>
        <v>1.4025245441795231E-3</v>
      </c>
      <c r="H60" s="44">
        <f t="shared" si="23"/>
        <v>1.0518934081346423E-3</v>
      </c>
      <c r="I60" s="44">
        <f t="shared" si="23"/>
        <v>1.8583450210378681E-2</v>
      </c>
      <c r="J60" s="44">
        <f t="shared" si="23"/>
        <v>9.4670406732117809E-3</v>
      </c>
      <c r="K60" s="44">
        <f t="shared" si="23"/>
        <v>7.0126227208976155E-4</v>
      </c>
      <c r="L60" s="44">
        <f t="shared" si="23"/>
        <v>3.5063113604488078E-4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4" zoomScale="70" zoomScaleSheetLayoutView="70" workbookViewId="0">
      <selection activeCell="I104" sqref="I10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Kisasi-Bukoto'!C3:G3</f>
        <v>MCC - C1 - STN32 - BUKOTO KISASI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3" t="str">
        <f>'02.08 Bukoto-Kisasi'!G5:H5</f>
        <v>KISASI</v>
      </c>
      <c r="H5" s="64"/>
      <c r="I5" s="14"/>
      <c r="J5" s="2" t="s">
        <v>5</v>
      </c>
      <c r="K5" s="63" t="str">
        <f>'02.08 Bukoto-Kisasi'!K5:L5</f>
        <v>RWAMBITITO J./NICHOL A./GEORGE W.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'29.07 Kisasi-Bukoto'!D6:E6</f>
        <v>KISASI</v>
      </c>
      <c r="E6" s="64"/>
      <c r="F6" s="2" t="s">
        <v>2</v>
      </c>
      <c r="G6" s="63" t="str">
        <f>'29.07 Kisasi-Bukoto'!G6:H6</f>
        <v>BUKOTO</v>
      </c>
      <c r="H6" s="64"/>
      <c r="J6" s="2" t="s">
        <v>21</v>
      </c>
      <c r="K6" s="63" t="str">
        <f>'02.08 Bukoto-Kisasi'!K6:L6</f>
        <v>SALIMA L.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117</v>
      </c>
      <c r="D10" s="50">
        <v>32</v>
      </c>
      <c r="E10" s="50">
        <v>4</v>
      </c>
      <c r="F10" s="50">
        <v>23</v>
      </c>
      <c r="G10" s="50">
        <v>2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103</v>
      </c>
      <c r="N10" s="50">
        <v>0</v>
      </c>
      <c r="O10" s="15">
        <f t="shared" ref="O10:O57" si="0">SUM(C10:L10,N10)</f>
        <v>181</v>
      </c>
      <c r="P10" s="15">
        <f t="shared" ref="P10:P57" si="1">SUM(C10:N10)</f>
        <v>284</v>
      </c>
      <c r="R10" s="1" t="s">
        <v>6</v>
      </c>
      <c r="S10" s="17">
        <f t="shared" ref="S10:AF10" si="2">SUM(C10:C13)</f>
        <v>373</v>
      </c>
      <c r="T10" s="17">
        <f t="shared" si="2"/>
        <v>163</v>
      </c>
      <c r="U10" s="17">
        <f t="shared" si="2"/>
        <v>10</v>
      </c>
      <c r="V10" s="17">
        <f t="shared" si="2"/>
        <v>66</v>
      </c>
      <c r="W10" s="17">
        <f t="shared" si="2"/>
        <v>2</v>
      </c>
      <c r="X10" s="17">
        <f t="shared" si="2"/>
        <v>0</v>
      </c>
      <c r="Y10" s="17">
        <f t="shared" si="2"/>
        <v>13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393</v>
      </c>
      <c r="AD10" s="17">
        <f t="shared" si="2"/>
        <v>0</v>
      </c>
      <c r="AE10" s="31">
        <f t="shared" si="2"/>
        <v>627</v>
      </c>
      <c r="AF10" s="31">
        <f t="shared" si="2"/>
        <v>1020</v>
      </c>
    </row>
    <row r="11" spans="2:32" s="6" customFormat="1" ht="23.1" customHeight="1" x14ac:dyDescent="0.25">
      <c r="B11" s="45" t="s">
        <v>38</v>
      </c>
      <c r="C11" s="50">
        <v>72</v>
      </c>
      <c r="D11" s="50">
        <v>34</v>
      </c>
      <c r="E11" s="50">
        <v>1</v>
      </c>
      <c r="F11" s="50">
        <v>19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96</v>
      </c>
      <c r="N11" s="50">
        <v>0</v>
      </c>
      <c r="O11" s="15">
        <f t="shared" si="0"/>
        <v>128</v>
      </c>
      <c r="P11" s="15">
        <f t="shared" si="1"/>
        <v>224</v>
      </c>
      <c r="R11" s="1" t="s">
        <v>7</v>
      </c>
      <c r="S11" s="17">
        <f t="shared" ref="S11:AF11" si="3">SUM(C14:C17)</f>
        <v>236</v>
      </c>
      <c r="T11" s="17">
        <f t="shared" si="3"/>
        <v>126</v>
      </c>
      <c r="U11" s="17">
        <f t="shared" si="3"/>
        <v>10</v>
      </c>
      <c r="V11" s="17">
        <f t="shared" si="3"/>
        <v>50</v>
      </c>
      <c r="W11" s="17">
        <f t="shared" si="3"/>
        <v>0</v>
      </c>
      <c r="X11" s="17">
        <f t="shared" si="3"/>
        <v>0</v>
      </c>
      <c r="Y11" s="17">
        <f t="shared" si="3"/>
        <v>16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317</v>
      </c>
      <c r="AD11" s="17">
        <f t="shared" si="3"/>
        <v>0</v>
      </c>
      <c r="AE11" s="31">
        <f t="shared" si="3"/>
        <v>438</v>
      </c>
      <c r="AF11" s="31">
        <f t="shared" si="3"/>
        <v>755</v>
      </c>
    </row>
    <row r="12" spans="2:32" ht="23.1" customHeight="1" x14ac:dyDescent="0.25">
      <c r="B12" s="45" t="s">
        <v>39</v>
      </c>
      <c r="C12" s="50">
        <v>92</v>
      </c>
      <c r="D12" s="50">
        <v>41</v>
      </c>
      <c r="E12" s="50">
        <v>3</v>
      </c>
      <c r="F12" s="50">
        <v>10</v>
      </c>
      <c r="G12" s="50">
        <v>0</v>
      </c>
      <c r="H12" s="50">
        <v>0</v>
      </c>
      <c r="I12" s="50">
        <v>5</v>
      </c>
      <c r="J12" s="50">
        <v>0</v>
      </c>
      <c r="K12" s="50">
        <v>0</v>
      </c>
      <c r="L12" s="50">
        <v>0</v>
      </c>
      <c r="M12" s="50">
        <v>92</v>
      </c>
      <c r="N12" s="50">
        <v>0</v>
      </c>
      <c r="O12" s="15">
        <f t="shared" si="0"/>
        <v>151</v>
      </c>
      <c r="P12" s="15">
        <f t="shared" si="1"/>
        <v>243</v>
      </c>
      <c r="R12" s="1" t="s">
        <v>8</v>
      </c>
      <c r="S12" s="17">
        <f t="shared" ref="S12:AF12" si="4">SUM(C18:C21)</f>
        <v>168</v>
      </c>
      <c r="T12" s="17">
        <f t="shared" si="4"/>
        <v>102</v>
      </c>
      <c r="U12" s="17">
        <f t="shared" si="4"/>
        <v>6</v>
      </c>
      <c r="V12" s="17">
        <f t="shared" si="4"/>
        <v>44</v>
      </c>
      <c r="W12" s="17">
        <f t="shared" si="4"/>
        <v>0</v>
      </c>
      <c r="X12" s="17">
        <f t="shared" si="4"/>
        <v>1</v>
      </c>
      <c r="Y12" s="17">
        <f t="shared" si="4"/>
        <v>11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318</v>
      </c>
      <c r="AD12" s="17">
        <f t="shared" si="4"/>
        <v>0</v>
      </c>
      <c r="AE12" s="31">
        <f t="shared" si="4"/>
        <v>332</v>
      </c>
      <c r="AF12" s="31">
        <f t="shared" si="4"/>
        <v>650</v>
      </c>
    </row>
    <row r="13" spans="2:32" ht="23.1" customHeight="1" x14ac:dyDescent="0.25">
      <c r="B13" s="45" t="s">
        <v>40</v>
      </c>
      <c r="C13" s="50">
        <v>92</v>
      </c>
      <c r="D13" s="50">
        <v>56</v>
      </c>
      <c r="E13" s="50">
        <v>2</v>
      </c>
      <c r="F13" s="50">
        <v>14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50">
        <v>102</v>
      </c>
      <c r="N13" s="50">
        <v>0</v>
      </c>
      <c r="O13" s="15">
        <f t="shared" si="0"/>
        <v>167</v>
      </c>
      <c r="P13" s="15">
        <f t="shared" si="1"/>
        <v>269</v>
      </c>
      <c r="R13" s="1" t="s">
        <v>9</v>
      </c>
      <c r="S13" s="17">
        <f t="shared" ref="S13:AF13" si="5">SUM(C22:C25)</f>
        <v>151</v>
      </c>
      <c r="T13" s="17">
        <f t="shared" si="5"/>
        <v>77</v>
      </c>
      <c r="U13" s="17">
        <f t="shared" si="5"/>
        <v>6</v>
      </c>
      <c r="V13" s="17">
        <f t="shared" si="5"/>
        <v>42</v>
      </c>
      <c r="W13" s="17">
        <f t="shared" si="5"/>
        <v>2</v>
      </c>
      <c r="X13" s="17">
        <f t="shared" si="5"/>
        <v>0</v>
      </c>
      <c r="Y13" s="17">
        <f t="shared" si="5"/>
        <v>14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265</v>
      </c>
      <c r="AD13" s="17">
        <f t="shared" si="5"/>
        <v>0</v>
      </c>
      <c r="AE13" s="31">
        <f t="shared" si="5"/>
        <v>293</v>
      </c>
      <c r="AF13" s="31">
        <f t="shared" si="5"/>
        <v>558</v>
      </c>
    </row>
    <row r="14" spans="2:32" ht="23.1" customHeight="1" x14ac:dyDescent="0.25">
      <c r="B14" s="45" t="s">
        <v>41</v>
      </c>
      <c r="C14" s="50">
        <v>88</v>
      </c>
      <c r="D14" s="50">
        <v>45</v>
      </c>
      <c r="E14" s="50">
        <v>2</v>
      </c>
      <c r="F14" s="50">
        <v>17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92</v>
      </c>
      <c r="N14" s="50">
        <v>0</v>
      </c>
      <c r="O14" s="15">
        <f t="shared" si="0"/>
        <v>154</v>
      </c>
      <c r="P14" s="15">
        <f t="shared" si="1"/>
        <v>246</v>
      </c>
      <c r="R14" s="1" t="s">
        <v>10</v>
      </c>
      <c r="S14" s="17">
        <f t="shared" ref="S14:AF14" si="6">SUM(C26:C29)</f>
        <v>137</v>
      </c>
      <c r="T14" s="17">
        <f t="shared" si="6"/>
        <v>58</v>
      </c>
      <c r="U14" s="17">
        <f t="shared" si="6"/>
        <v>10</v>
      </c>
      <c r="V14" s="17">
        <f t="shared" si="6"/>
        <v>44</v>
      </c>
      <c r="W14" s="17">
        <f t="shared" si="6"/>
        <v>0</v>
      </c>
      <c r="X14" s="17">
        <f t="shared" si="6"/>
        <v>0</v>
      </c>
      <c r="Y14" s="17">
        <f t="shared" si="6"/>
        <v>9</v>
      </c>
      <c r="Z14" s="17">
        <f t="shared" si="6"/>
        <v>4</v>
      </c>
      <c r="AA14" s="17">
        <f t="shared" si="6"/>
        <v>0</v>
      </c>
      <c r="AB14" s="17">
        <f t="shared" si="6"/>
        <v>0</v>
      </c>
      <c r="AC14" s="17">
        <f t="shared" si="6"/>
        <v>273</v>
      </c>
      <c r="AD14" s="17">
        <f t="shared" si="6"/>
        <v>0</v>
      </c>
      <c r="AE14" s="31">
        <f t="shared" si="6"/>
        <v>262</v>
      </c>
      <c r="AF14" s="31">
        <f t="shared" si="6"/>
        <v>535</v>
      </c>
    </row>
    <row r="15" spans="2:32" ht="23.1" customHeight="1" x14ac:dyDescent="0.25">
      <c r="B15" s="45" t="s">
        <v>42</v>
      </c>
      <c r="C15" s="50">
        <v>74</v>
      </c>
      <c r="D15" s="50">
        <v>38</v>
      </c>
      <c r="E15" s="50">
        <v>1</v>
      </c>
      <c r="F15" s="50">
        <v>15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0</v>
      </c>
      <c r="M15" s="50">
        <v>68</v>
      </c>
      <c r="N15" s="50">
        <v>0</v>
      </c>
      <c r="O15" s="15">
        <f t="shared" si="0"/>
        <v>132</v>
      </c>
      <c r="P15" s="15">
        <f t="shared" si="1"/>
        <v>200</v>
      </c>
      <c r="R15" s="1" t="s">
        <v>11</v>
      </c>
      <c r="S15" s="17">
        <f t="shared" ref="S15:AF15" si="7">SUM(C30:C33)</f>
        <v>138</v>
      </c>
      <c r="T15" s="17">
        <f t="shared" si="7"/>
        <v>71</v>
      </c>
      <c r="U15" s="17">
        <f t="shared" si="7"/>
        <v>3</v>
      </c>
      <c r="V15" s="17">
        <f t="shared" si="7"/>
        <v>36</v>
      </c>
      <c r="W15" s="17">
        <f t="shared" si="7"/>
        <v>0</v>
      </c>
      <c r="X15" s="17">
        <f t="shared" si="7"/>
        <v>0</v>
      </c>
      <c r="Y15" s="17">
        <f t="shared" si="7"/>
        <v>11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243</v>
      </c>
      <c r="AD15" s="17">
        <f t="shared" si="7"/>
        <v>0</v>
      </c>
      <c r="AE15" s="31">
        <f t="shared" si="7"/>
        <v>261</v>
      </c>
      <c r="AF15" s="31">
        <f t="shared" si="7"/>
        <v>504</v>
      </c>
    </row>
    <row r="16" spans="2:32" ht="23.1" customHeight="1" x14ac:dyDescent="0.25">
      <c r="B16" s="45" t="s">
        <v>43</v>
      </c>
      <c r="C16" s="50">
        <v>51</v>
      </c>
      <c r="D16" s="50">
        <v>28</v>
      </c>
      <c r="E16" s="50">
        <v>5</v>
      </c>
      <c r="F16" s="50">
        <v>13</v>
      </c>
      <c r="G16" s="50">
        <v>0</v>
      </c>
      <c r="H16" s="50">
        <v>0</v>
      </c>
      <c r="I16" s="50">
        <v>4</v>
      </c>
      <c r="J16" s="50">
        <v>0</v>
      </c>
      <c r="K16" s="50">
        <v>0</v>
      </c>
      <c r="L16" s="50">
        <v>0</v>
      </c>
      <c r="M16" s="50">
        <v>79</v>
      </c>
      <c r="N16" s="50">
        <v>0</v>
      </c>
      <c r="O16" s="15">
        <f t="shared" si="0"/>
        <v>101</v>
      </c>
      <c r="P16" s="15">
        <f t="shared" si="1"/>
        <v>180</v>
      </c>
      <c r="R16" s="1" t="s">
        <v>12</v>
      </c>
      <c r="S16" s="17">
        <f t="shared" ref="S16:AF16" si="8">SUM(C34:C37)</f>
        <v>119</v>
      </c>
      <c r="T16" s="17">
        <f t="shared" si="8"/>
        <v>63</v>
      </c>
      <c r="U16" s="17">
        <f t="shared" si="8"/>
        <v>4</v>
      </c>
      <c r="V16" s="17">
        <f t="shared" si="8"/>
        <v>28</v>
      </c>
      <c r="W16" s="17">
        <f t="shared" si="8"/>
        <v>0</v>
      </c>
      <c r="X16" s="17">
        <f t="shared" si="8"/>
        <v>0</v>
      </c>
      <c r="Y16" s="17">
        <f t="shared" si="8"/>
        <v>13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282</v>
      </c>
      <c r="AD16" s="17">
        <f t="shared" si="8"/>
        <v>0</v>
      </c>
      <c r="AE16" s="31">
        <f t="shared" si="8"/>
        <v>228</v>
      </c>
      <c r="AF16" s="31">
        <f t="shared" si="8"/>
        <v>510</v>
      </c>
    </row>
    <row r="17" spans="2:32" ht="23.1" customHeight="1" x14ac:dyDescent="0.25">
      <c r="B17" s="45" t="s">
        <v>44</v>
      </c>
      <c r="C17" s="50">
        <v>23</v>
      </c>
      <c r="D17" s="50">
        <v>15</v>
      </c>
      <c r="E17" s="50">
        <v>2</v>
      </c>
      <c r="F17" s="50">
        <v>5</v>
      </c>
      <c r="G17" s="50">
        <v>0</v>
      </c>
      <c r="H17" s="50">
        <v>0</v>
      </c>
      <c r="I17" s="50">
        <v>6</v>
      </c>
      <c r="J17" s="50">
        <v>0</v>
      </c>
      <c r="K17" s="50">
        <v>0</v>
      </c>
      <c r="L17" s="50">
        <v>0</v>
      </c>
      <c r="M17" s="50">
        <v>78</v>
      </c>
      <c r="N17" s="50">
        <v>0</v>
      </c>
      <c r="O17" s="15">
        <f t="shared" si="0"/>
        <v>51</v>
      </c>
      <c r="P17" s="15">
        <f t="shared" si="1"/>
        <v>129</v>
      </c>
      <c r="R17" s="1" t="s">
        <v>13</v>
      </c>
      <c r="S17" s="17">
        <f t="shared" ref="S17:AF17" si="9">SUM(C38:C41)</f>
        <v>98</v>
      </c>
      <c r="T17" s="17">
        <f t="shared" si="9"/>
        <v>67</v>
      </c>
      <c r="U17" s="17">
        <f t="shared" si="9"/>
        <v>6</v>
      </c>
      <c r="V17" s="17">
        <f t="shared" si="9"/>
        <v>28</v>
      </c>
      <c r="W17" s="17">
        <f t="shared" si="9"/>
        <v>0</v>
      </c>
      <c r="X17" s="17">
        <f t="shared" si="9"/>
        <v>0</v>
      </c>
      <c r="Y17" s="17">
        <f t="shared" si="9"/>
        <v>11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344</v>
      </c>
      <c r="AD17" s="17">
        <f t="shared" si="9"/>
        <v>0</v>
      </c>
      <c r="AE17" s="31">
        <f t="shared" si="9"/>
        <v>210</v>
      </c>
      <c r="AF17" s="31">
        <f t="shared" si="9"/>
        <v>554</v>
      </c>
    </row>
    <row r="18" spans="2:32" ht="23.1" customHeight="1" x14ac:dyDescent="0.25">
      <c r="B18" s="45" t="s">
        <v>45</v>
      </c>
      <c r="C18" s="50">
        <v>34</v>
      </c>
      <c r="D18" s="50">
        <v>30</v>
      </c>
      <c r="E18" s="50">
        <v>0</v>
      </c>
      <c r="F18" s="50">
        <v>14</v>
      </c>
      <c r="G18" s="50">
        <v>0</v>
      </c>
      <c r="H18" s="50">
        <v>1</v>
      </c>
      <c r="I18" s="50">
        <v>2</v>
      </c>
      <c r="J18" s="50">
        <v>0</v>
      </c>
      <c r="K18" s="50">
        <v>0</v>
      </c>
      <c r="L18" s="50">
        <v>0</v>
      </c>
      <c r="M18" s="50">
        <v>98</v>
      </c>
      <c r="N18" s="50">
        <v>0</v>
      </c>
      <c r="O18" s="15">
        <f t="shared" si="0"/>
        <v>81</v>
      </c>
      <c r="P18" s="15">
        <f t="shared" si="1"/>
        <v>179</v>
      </c>
      <c r="R18" s="1" t="s">
        <v>14</v>
      </c>
      <c r="S18" s="17">
        <f t="shared" ref="S18:AF18" si="10">SUM(C42:C45)</f>
        <v>122</v>
      </c>
      <c r="T18" s="17">
        <f t="shared" si="10"/>
        <v>59</v>
      </c>
      <c r="U18" s="17">
        <f t="shared" si="10"/>
        <v>1</v>
      </c>
      <c r="V18" s="17">
        <f t="shared" si="10"/>
        <v>32</v>
      </c>
      <c r="W18" s="17">
        <f t="shared" si="10"/>
        <v>2</v>
      </c>
      <c r="X18" s="17">
        <f t="shared" si="10"/>
        <v>0</v>
      </c>
      <c r="Y18" s="17">
        <f t="shared" si="10"/>
        <v>10</v>
      </c>
      <c r="Z18" s="17">
        <f t="shared" si="10"/>
        <v>3</v>
      </c>
      <c r="AA18" s="17">
        <f t="shared" si="10"/>
        <v>1</v>
      </c>
      <c r="AB18" s="17">
        <f t="shared" si="10"/>
        <v>0</v>
      </c>
      <c r="AC18" s="17">
        <f t="shared" si="10"/>
        <v>253</v>
      </c>
      <c r="AD18" s="17">
        <f t="shared" si="10"/>
        <v>0</v>
      </c>
      <c r="AE18" s="31">
        <f t="shared" si="10"/>
        <v>230</v>
      </c>
      <c r="AF18" s="31">
        <f t="shared" si="10"/>
        <v>483</v>
      </c>
    </row>
    <row r="19" spans="2:32" ht="23.1" customHeight="1" x14ac:dyDescent="0.25">
      <c r="B19" s="45" t="s">
        <v>46</v>
      </c>
      <c r="C19" s="50">
        <v>39</v>
      </c>
      <c r="D19" s="50">
        <v>20</v>
      </c>
      <c r="E19" s="50">
        <v>1</v>
      </c>
      <c r="F19" s="50">
        <v>10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85</v>
      </c>
      <c r="N19" s="50">
        <v>0</v>
      </c>
      <c r="O19" s="15">
        <f t="shared" si="0"/>
        <v>72</v>
      </c>
      <c r="P19" s="15">
        <f t="shared" si="1"/>
        <v>157</v>
      </c>
      <c r="R19" s="1" t="s">
        <v>15</v>
      </c>
      <c r="S19" s="17">
        <f>SUM(C50:C53)</f>
        <v>152</v>
      </c>
      <c r="T19" s="17">
        <f>SUM(D50:D53)</f>
        <v>89</v>
      </c>
      <c r="U19" s="17">
        <f>SUM(E50:E53)</f>
        <v>5</v>
      </c>
      <c r="V19" s="17">
        <f>SUM(F50:F53)</f>
        <v>33</v>
      </c>
      <c r="W19" s="17">
        <f>SUM(G50:G53)</f>
        <v>0</v>
      </c>
      <c r="X19" s="17">
        <f t="shared" ref="X19:AF19" si="11">SUM(H46:H49)</f>
        <v>0</v>
      </c>
      <c r="Y19" s="17">
        <f t="shared" si="11"/>
        <v>8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244</v>
      </c>
      <c r="AD19" s="17">
        <f t="shared" si="11"/>
        <v>0</v>
      </c>
      <c r="AE19" s="31">
        <f t="shared" si="11"/>
        <v>305</v>
      </c>
      <c r="AF19" s="31">
        <f t="shared" si="11"/>
        <v>549</v>
      </c>
    </row>
    <row r="20" spans="2:32" ht="23.1" customHeight="1" x14ac:dyDescent="0.25">
      <c r="B20" s="45" t="s">
        <v>47</v>
      </c>
      <c r="C20" s="50">
        <v>55</v>
      </c>
      <c r="D20" s="50">
        <v>18</v>
      </c>
      <c r="E20" s="50">
        <v>3</v>
      </c>
      <c r="F20" s="50">
        <v>11</v>
      </c>
      <c r="G20" s="50">
        <v>0</v>
      </c>
      <c r="H20" s="50">
        <v>0</v>
      </c>
      <c r="I20" s="50">
        <v>4</v>
      </c>
      <c r="J20" s="50">
        <v>0</v>
      </c>
      <c r="K20" s="50">
        <v>0</v>
      </c>
      <c r="L20" s="50">
        <v>0</v>
      </c>
      <c r="M20" s="50">
        <v>73</v>
      </c>
      <c r="N20" s="50">
        <v>0</v>
      </c>
      <c r="O20" s="15">
        <f t="shared" si="0"/>
        <v>91</v>
      </c>
      <c r="P20" s="15">
        <f t="shared" si="1"/>
        <v>164</v>
      </c>
      <c r="R20" s="1" t="s">
        <v>16</v>
      </c>
      <c r="S20" s="17">
        <f>SUM(C54:C57)</f>
        <v>108</v>
      </c>
      <c r="T20" s="17">
        <f>SUM(D54:D57)</f>
        <v>54</v>
      </c>
      <c r="U20" s="17">
        <f>SUM(E54:E57)</f>
        <v>7</v>
      </c>
      <c r="V20" s="17">
        <f>SUM(F54:F57)</f>
        <v>34</v>
      </c>
      <c r="W20" s="17">
        <f>SUM(G54:G57)</f>
        <v>2</v>
      </c>
      <c r="X20" s="17">
        <f t="shared" ref="X20:AF20" si="12">SUM(H50:H53)</f>
        <v>0</v>
      </c>
      <c r="Y20" s="17">
        <f t="shared" si="12"/>
        <v>10</v>
      </c>
      <c r="Z20" s="17">
        <f t="shared" si="12"/>
        <v>3</v>
      </c>
      <c r="AA20" s="17">
        <f t="shared" si="12"/>
        <v>0</v>
      </c>
      <c r="AB20" s="17">
        <f t="shared" si="12"/>
        <v>0</v>
      </c>
      <c r="AC20" s="17">
        <f t="shared" si="12"/>
        <v>319</v>
      </c>
      <c r="AD20" s="17">
        <f t="shared" si="12"/>
        <v>0</v>
      </c>
      <c r="AE20" s="31">
        <f t="shared" si="12"/>
        <v>292</v>
      </c>
      <c r="AF20" s="31">
        <f t="shared" si="12"/>
        <v>611</v>
      </c>
    </row>
    <row r="21" spans="2:32" ht="23.1" customHeight="1" x14ac:dyDescent="0.25">
      <c r="B21" s="45" t="s">
        <v>48</v>
      </c>
      <c r="C21" s="50">
        <v>40</v>
      </c>
      <c r="D21" s="50">
        <v>34</v>
      </c>
      <c r="E21" s="50">
        <v>2</v>
      </c>
      <c r="F21" s="50">
        <v>9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62</v>
      </c>
      <c r="N21" s="50">
        <v>0</v>
      </c>
      <c r="O21" s="15">
        <f t="shared" si="0"/>
        <v>88</v>
      </c>
      <c r="P21" s="15">
        <f t="shared" si="1"/>
        <v>150</v>
      </c>
      <c r="R21" s="36" t="s">
        <v>20</v>
      </c>
      <c r="S21" s="34">
        <f>SUM(C58:C61)</f>
        <v>98</v>
      </c>
      <c r="T21" s="17">
        <f>SUM(D58:D61)</f>
        <v>74</v>
      </c>
      <c r="U21" s="17">
        <f>SUM(E58:E61)</f>
        <v>1</v>
      </c>
      <c r="V21" s="17">
        <f>SUM(F58:F61)</f>
        <v>42</v>
      </c>
      <c r="W21" s="17">
        <f>SUM(G58:G61)</f>
        <v>0</v>
      </c>
      <c r="X21" s="17">
        <f t="shared" ref="X21:AF21" si="13">SUM(H54:H57)</f>
        <v>0</v>
      </c>
      <c r="Y21" s="17">
        <f t="shared" si="13"/>
        <v>10</v>
      </c>
      <c r="Z21" s="17">
        <f t="shared" si="13"/>
        <v>1</v>
      </c>
      <c r="AA21" s="17">
        <f t="shared" si="13"/>
        <v>1</v>
      </c>
      <c r="AB21" s="17">
        <f t="shared" si="13"/>
        <v>0</v>
      </c>
      <c r="AC21" s="17">
        <f t="shared" si="13"/>
        <v>345</v>
      </c>
      <c r="AD21" s="17">
        <f t="shared" si="13"/>
        <v>0</v>
      </c>
      <c r="AE21" s="31">
        <f t="shared" si="13"/>
        <v>217</v>
      </c>
      <c r="AF21" s="31">
        <f t="shared" si="13"/>
        <v>562</v>
      </c>
    </row>
    <row r="22" spans="2:32" ht="23.1" customHeight="1" x14ac:dyDescent="0.25">
      <c r="B22" s="45" t="s">
        <v>49</v>
      </c>
      <c r="C22" s="50">
        <v>37</v>
      </c>
      <c r="D22" s="50">
        <v>18</v>
      </c>
      <c r="E22" s="50">
        <v>1</v>
      </c>
      <c r="F22" s="50">
        <v>9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73</v>
      </c>
      <c r="N22" s="50">
        <v>0</v>
      </c>
      <c r="O22" s="15">
        <f t="shared" si="0"/>
        <v>67</v>
      </c>
      <c r="P22" s="15">
        <f t="shared" si="1"/>
        <v>140</v>
      </c>
      <c r="R22" s="36" t="s">
        <v>146</v>
      </c>
      <c r="S22" s="34">
        <f>SUM(C62:C65)</f>
        <v>100</v>
      </c>
      <c r="T22" s="34">
        <f>SUM(D62:D65)</f>
        <v>71</v>
      </c>
      <c r="U22" s="34">
        <f>SUM(E62:E65)</f>
        <v>3</v>
      </c>
      <c r="V22" s="34">
        <f>SUM(F62:F65)</f>
        <v>41</v>
      </c>
      <c r="W22" s="34">
        <f>SUM(G62:G65)</f>
        <v>2</v>
      </c>
      <c r="X22" s="34">
        <f t="shared" ref="X22:AF22" si="14">SUM(H58:H61)</f>
        <v>0</v>
      </c>
      <c r="Y22" s="34">
        <f t="shared" si="14"/>
        <v>5</v>
      </c>
      <c r="Z22" s="34">
        <f t="shared" si="14"/>
        <v>0</v>
      </c>
      <c r="AA22" s="34">
        <f t="shared" si="14"/>
        <v>0</v>
      </c>
      <c r="AB22" s="34">
        <f t="shared" si="14"/>
        <v>2</v>
      </c>
      <c r="AC22" s="34">
        <f t="shared" si="14"/>
        <v>260</v>
      </c>
      <c r="AD22" s="34">
        <f t="shared" si="14"/>
        <v>0</v>
      </c>
      <c r="AE22" s="31">
        <f t="shared" si="14"/>
        <v>222</v>
      </c>
      <c r="AF22" s="31">
        <f t="shared" si="14"/>
        <v>482</v>
      </c>
    </row>
    <row r="23" spans="2:32" ht="23.1" customHeight="1" x14ac:dyDescent="0.25">
      <c r="B23" s="45" t="s">
        <v>50</v>
      </c>
      <c r="C23" s="50">
        <v>37</v>
      </c>
      <c r="D23" s="50">
        <v>19</v>
      </c>
      <c r="E23" s="50">
        <v>1</v>
      </c>
      <c r="F23" s="50">
        <v>12</v>
      </c>
      <c r="G23" s="50">
        <v>1</v>
      </c>
      <c r="H23" s="50">
        <v>0</v>
      </c>
      <c r="I23" s="50">
        <v>4</v>
      </c>
      <c r="J23" s="50">
        <v>0</v>
      </c>
      <c r="K23" s="50">
        <v>0</v>
      </c>
      <c r="L23" s="50">
        <v>0</v>
      </c>
      <c r="M23" s="50">
        <v>60</v>
      </c>
      <c r="N23" s="50">
        <v>0</v>
      </c>
      <c r="O23" s="15">
        <f t="shared" si="0"/>
        <v>74</v>
      </c>
      <c r="P23" s="15">
        <f t="shared" si="1"/>
        <v>134</v>
      </c>
      <c r="R23" s="36" t="s">
        <v>147</v>
      </c>
      <c r="S23" s="34">
        <f>SUM(C62:C65)</f>
        <v>100</v>
      </c>
      <c r="T23" s="34">
        <f>SUM(D62:D65)</f>
        <v>71</v>
      </c>
      <c r="U23" s="34">
        <f>SUM(E62:E65)</f>
        <v>3</v>
      </c>
      <c r="V23" s="34">
        <f>SUM(F62:F65)</f>
        <v>41</v>
      </c>
      <c r="W23" s="34">
        <f>SUM(J62:J65)</f>
        <v>0</v>
      </c>
      <c r="X23" s="34">
        <f t="shared" ref="X23:AF23" si="15">SUM(H62:H65)</f>
        <v>0</v>
      </c>
      <c r="Y23" s="34">
        <f t="shared" si="15"/>
        <v>4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280</v>
      </c>
      <c r="AD23" s="34">
        <f t="shared" si="15"/>
        <v>0</v>
      </c>
      <c r="AE23" s="31">
        <f t="shared" si="15"/>
        <v>221</v>
      </c>
      <c r="AF23" s="31">
        <f t="shared" si="15"/>
        <v>501</v>
      </c>
    </row>
    <row r="24" spans="2:32" ht="23.1" customHeight="1" x14ac:dyDescent="0.25">
      <c r="B24" s="45" t="s">
        <v>51</v>
      </c>
      <c r="C24" s="50">
        <v>31</v>
      </c>
      <c r="D24" s="50">
        <v>19</v>
      </c>
      <c r="E24" s="50">
        <v>0</v>
      </c>
      <c r="F24" s="50">
        <v>6</v>
      </c>
      <c r="G24" s="50">
        <v>1</v>
      </c>
      <c r="H24" s="50">
        <v>0</v>
      </c>
      <c r="I24" s="50">
        <v>3</v>
      </c>
      <c r="J24" s="50">
        <v>0</v>
      </c>
      <c r="K24" s="50">
        <v>0</v>
      </c>
      <c r="L24" s="50">
        <v>0</v>
      </c>
      <c r="M24" s="50">
        <v>75</v>
      </c>
      <c r="N24" s="50">
        <v>0</v>
      </c>
      <c r="O24" s="15">
        <f t="shared" si="0"/>
        <v>60</v>
      </c>
      <c r="P24" s="15">
        <f t="shared" si="1"/>
        <v>135</v>
      </c>
      <c r="R24" s="36" t="s">
        <v>148</v>
      </c>
      <c r="S24" s="34">
        <f>SUM(C66:C69)</f>
        <v>91</v>
      </c>
      <c r="T24" s="34">
        <f t="shared" ref="T24:AF24" si="16">SUM(D66:D69)</f>
        <v>46</v>
      </c>
      <c r="U24" s="34">
        <f t="shared" si="16"/>
        <v>0</v>
      </c>
      <c r="V24" s="34">
        <f t="shared" si="16"/>
        <v>23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0</v>
      </c>
      <c r="AA24" s="34">
        <f t="shared" si="16"/>
        <v>1</v>
      </c>
      <c r="AB24" s="34">
        <f t="shared" si="16"/>
        <v>0</v>
      </c>
      <c r="AC24" s="34">
        <f t="shared" si="16"/>
        <v>210</v>
      </c>
      <c r="AD24" s="34">
        <f t="shared" si="16"/>
        <v>0</v>
      </c>
      <c r="AE24" s="31">
        <f t="shared" si="16"/>
        <v>163</v>
      </c>
      <c r="AF24" s="31">
        <f t="shared" si="16"/>
        <v>373</v>
      </c>
    </row>
    <row r="25" spans="2:32" ht="23.1" customHeight="1" x14ac:dyDescent="0.25">
      <c r="B25" s="45" t="s">
        <v>52</v>
      </c>
      <c r="C25" s="50">
        <v>46</v>
      </c>
      <c r="D25" s="50">
        <v>21</v>
      </c>
      <c r="E25" s="50">
        <v>4</v>
      </c>
      <c r="F25" s="50">
        <v>15</v>
      </c>
      <c r="G25" s="50">
        <v>0</v>
      </c>
      <c r="H25" s="50">
        <v>0</v>
      </c>
      <c r="I25" s="50">
        <v>5</v>
      </c>
      <c r="J25" s="50">
        <v>1</v>
      </c>
      <c r="K25" s="50">
        <v>0</v>
      </c>
      <c r="L25" s="50">
        <v>0</v>
      </c>
      <c r="M25" s="50">
        <v>57</v>
      </c>
      <c r="N25" s="50">
        <v>0</v>
      </c>
      <c r="O25" s="15">
        <f t="shared" si="0"/>
        <v>92</v>
      </c>
      <c r="P25" s="15">
        <f t="shared" si="1"/>
        <v>149</v>
      </c>
      <c r="R25" s="36" t="s">
        <v>149</v>
      </c>
      <c r="S25" s="34">
        <f>SUM(C70:C73)</f>
        <v>64</v>
      </c>
      <c r="T25" s="34">
        <f t="shared" ref="T25:AF25" si="17">SUM(D70:D73)</f>
        <v>40</v>
      </c>
      <c r="U25" s="34">
        <f t="shared" si="17"/>
        <v>0</v>
      </c>
      <c r="V25" s="34">
        <f t="shared" si="17"/>
        <v>8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82</v>
      </c>
      <c r="AD25" s="34">
        <f t="shared" si="17"/>
        <v>0</v>
      </c>
      <c r="AE25" s="31">
        <f t="shared" si="17"/>
        <v>112</v>
      </c>
      <c r="AF25" s="31">
        <f t="shared" si="17"/>
        <v>194</v>
      </c>
    </row>
    <row r="26" spans="2:32" ht="23.1" customHeight="1" x14ac:dyDescent="0.25">
      <c r="B26" s="45" t="s">
        <v>53</v>
      </c>
      <c r="C26" s="50">
        <v>31</v>
      </c>
      <c r="D26" s="50">
        <v>18</v>
      </c>
      <c r="E26" s="50">
        <v>1</v>
      </c>
      <c r="F26" s="50">
        <v>12</v>
      </c>
      <c r="G26" s="50">
        <v>0</v>
      </c>
      <c r="H26" s="50">
        <v>0</v>
      </c>
      <c r="I26" s="50">
        <v>1</v>
      </c>
      <c r="J26" s="50">
        <v>3</v>
      </c>
      <c r="K26" s="50">
        <v>0</v>
      </c>
      <c r="L26" s="50">
        <v>0</v>
      </c>
      <c r="M26" s="50">
        <v>83</v>
      </c>
      <c r="N26" s="50">
        <v>0</v>
      </c>
      <c r="O26" s="15">
        <f t="shared" si="0"/>
        <v>66</v>
      </c>
      <c r="P26" s="15">
        <f t="shared" si="1"/>
        <v>149</v>
      </c>
      <c r="R26" s="36" t="s">
        <v>150</v>
      </c>
      <c r="S26" s="34">
        <f>SUM(C74:C77)</f>
        <v>42</v>
      </c>
      <c r="T26" s="34">
        <f t="shared" ref="T26:AF26" si="18">SUM(D74:D77)</f>
        <v>19</v>
      </c>
      <c r="U26" s="34">
        <f t="shared" si="18"/>
        <v>0</v>
      </c>
      <c r="V26" s="34">
        <f t="shared" si="18"/>
        <v>3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65</v>
      </c>
      <c r="AD26" s="34">
        <f t="shared" si="18"/>
        <v>0</v>
      </c>
      <c r="AE26" s="31">
        <f t="shared" si="18"/>
        <v>66</v>
      </c>
      <c r="AF26" s="31">
        <f t="shared" si="18"/>
        <v>131</v>
      </c>
    </row>
    <row r="27" spans="2:32" ht="23.1" customHeight="1" x14ac:dyDescent="0.25">
      <c r="B27" s="45" t="s">
        <v>54</v>
      </c>
      <c r="C27" s="50">
        <v>33</v>
      </c>
      <c r="D27" s="50">
        <v>15</v>
      </c>
      <c r="E27" s="50">
        <v>0</v>
      </c>
      <c r="F27" s="50">
        <v>11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62</v>
      </c>
      <c r="N27" s="50">
        <v>0</v>
      </c>
      <c r="O27" s="15">
        <f t="shared" si="0"/>
        <v>61</v>
      </c>
      <c r="P27" s="15">
        <f t="shared" si="1"/>
        <v>123</v>
      </c>
      <c r="R27" s="36" t="s">
        <v>151</v>
      </c>
      <c r="S27" s="34">
        <f>SUM(C78:C81)</f>
        <v>30</v>
      </c>
      <c r="T27" s="34">
        <f t="shared" ref="T27:AF27" si="19">SUM(D78:D81)</f>
        <v>11</v>
      </c>
      <c r="U27" s="34">
        <f t="shared" si="19"/>
        <v>0</v>
      </c>
      <c r="V27" s="34">
        <f t="shared" si="19"/>
        <v>10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51</v>
      </c>
      <c r="AD27" s="34">
        <f t="shared" si="19"/>
        <v>0</v>
      </c>
      <c r="AE27" s="31">
        <f t="shared" si="19"/>
        <v>51</v>
      </c>
      <c r="AF27" s="31">
        <f t="shared" si="19"/>
        <v>102</v>
      </c>
    </row>
    <row r="28" spans="2:32" ht="23.1" customHeight="1" x14ac:dyDescent="0.25">
      <c r="B28" s="45" t="s">
        <v>55</v>
      </c>
      <c r="C28" s="50">
        <v>30</v>
      </c>
      <c r="D28" s="50">
        <v>8</v>
      </c>
      <c r="E28" s="50">
        <v>2</v>
      </c>
      <c r="F28" s="50">
        <v>10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61</v>
      </c>
      <c r="N28" s="50">
        <v>0</v>
      </c>
      <c r="O28" s="15">
        <f t="shared" si="0"/>
        <v>53</v>
      </c>
      <c r="P28" s="15">
        <f t="shared" si="1"/>
        <v>114</v>
      </c>
      <c r="R28" s="36" t="s">
        <v>152</v>
      </c>
      <c r="S28" s="34">
        <f>SUM(C82:C85)</f>
        <v>23</v>
      </c>
      <c r="T28" s="34">
        <f t="shared" ref="T28:AF28" si="20">SUM(D82:D85)</f>
        <v>10</v>
      </c>
      <c r="U28" s="34">
        <f t="shared" si="20"/>
        <v>0</v>
      </c>
      <c r="V28" s="34">
        <f t="shared" si="20"/>
        <v>7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57</v>
      </c>
      <c r="AD28" s="34">
        <f t="shared" si="20"/>
        <v>0</v>
      </c>
      <c r="AE28" s="31">
        <f t="shared" si="20"/>
        <v>40</v>
      </c>
      <c r="AF28" s="31">
        <f t="shared" si="20"/>
        <v>97</v>
      </c>
    </row>
    <row r="29" spans="2:32" ht="23.1" customHeight="1" x14ac:dyDescent="0.25">
      <c r="B29" s="45" t="s">
        <v>56</v>
      </c>
      <c r="C29" s="50">
        <v>43</v>
      </c>
      <c r="D29" s="50">
        <v>17</v>
      </c>
      <c r="E29" s="50">
        <v>7</v>
      </c>
      <c r="F29" s="50">
        <v>11</v>
      </c>
      <c r="G29" s="50">
        <v>0</v>
      </c>
      <c r="H29" s="50">
        <v>0</v>
      </c>
      <c r="I29" s="50">
        <v>3</v>
      </c>
      <c r="J29" s="50">
        <v>1</v>
      </c>
      <c r="K29" s="50">
        <v>0</v>
      </c>
      <c r="L29" s="50">
        <v>0</v>
      </c>
      <c r="M29" s="50">
        <v>67</v>
      </c>
      <c r="N29" s="50">
        <v>0</v>
      </c>
      <c r="O29" s="15">
        <f t="shared" si="0"/>
        <v>82</v>
      </c>
      <c r="P29" s="15">
        <f t="shared" si="1"/>
        <v>149</v>
      </c>
      <c r="R29" s="36" t="s">
        <v>153</v>
      </c>
      <c r="S29" s="34">
        <f>SUM(C86:C89)</f>
        <v>14</v>
      </c>
      <c r="T29" s="34">
        <f t="shared" ref="T29:AF29" si="21">SUM(D86:D89)</f>
        <v>7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23</v>
      </c>
      <c r="AD29" s="34">
        <f t="shared" si="21"/>
        <v>0</v>
      </c>
      <c r="AE29" s="31">
        <f t="shared" si="21"/>
        <v>21</v>
      </c>
      <c r="AF29" s="31">
        <f t="shared" si="21"/>
        <v>44</v>
      </c>
    </row>
    <row r="30" spans="2:32" ht="23.1" customHeight="1" x14ac:dyDescent="0.25">
      <c r="B30" s="45" t="s">
        <v>57</v>
      </c>
      <c r="C30" s="50">
        <v>28</v>
      </c>
      <c r="D30" s="50">
        <v>15</v>
      </c>
      <c r="E30" s="50">
        <v>0</v>
      </c>
      <c r="F30" s="50">
        <v>8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73</v>
      </c>
      <c r="N30" s="50">
        <v>0</v>
      </c>
      <c r="O30" s="15">
        <f t="shared" si="0"/>
        <v>54</v>
      </c>
      <c r="P30" s="15">
        <f t="shared" si="1"/>
        <v>127</v>
      </c>
      <c r="R30" s="36" t="s">
        <v>154</v>
      </c>
      <c r="S30" s="34">
        <f>SUM(C90:C93)</f>
        <v>12</v>
      </c>
      <c r="T30" s="34">
        <f t="shared" ref="T30:AF30" si="22">SUM(D90:D93)</f>
        <v>6</v>
      </c>
      <c r="U30" s="34">
        <f t="shared" si="22"/>
        <v>0</v>
      </c>
      <c r="V30" s="34">
        <f t="shared" si="22"/>
        <v>4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34</v>
      </c>
      <c r="AD30" s="34">
        <f t="shared" si="22"/>
        <v>0</v>
      </c>
      <c r="AE30" s="31">
        <f t="shared" si="22"/>
        <v>22</v>
      </c>
      <c r="AF30" s="31">
        <f t="shared" si="22"/>
        <v>56</v>
      </c>
    </row>
    <row r="31" spans="2:32" ht="23.1" customHeight="1" x14ac:dyDescent="0.25">
      <c r="B31" s="46" t="s">
        <v>58</v>
      </c>
      <c r="C31" s="50">
        <v>16</v>
      </c>
      <c r="D31" s="50">
        <v>13</v>
      </c>
      <c r="E31" s="50">
        <v>1</v>
      </c>
      <c r="F31" s="50">
        <v>7</v>
      </c>
      <c r="G31" s="50">
        <v>0</v>
      </c>
      <c r="H31" s="50">
        <v>0</v>
      </c>
      <c r="I31" s="50">
        <v>4</v>
      </c>
      <c r="J31" s="50">
        <v>0</v>
      </c>
      <c r="K31" s="50">
        <v>0</v>
      </c>
      <c r="L31" s="50">
        <v>0</v>
      </c>
      <c r="M31" s="50">
        <v>62</v>
      </c>
      <c r="N31" s="50">
        <v>0</v>
      </c>
      <c r="O31" s="15">
        <f t="shared" si="0"/>
        <v>41</v>
      </c>
      <c r="P31" s="15">
        <f t="shared" si="1"/>
        <v>103</v>
      </c>
      <c r="R31" s="36" t="s">
        <v>155</v>
      </c>
      <c r="S31" s="34">
        <f>SUM(C94:C97)</f>
        <v>12</v>
      </c>
      <c r="T31" s="34">
        <f t="shared" ref="T31:AF31" si="23">SUM(D94:D97)</f>
        <v>10</v>
      </c>
      <c r="U31" s="34">
        <f t="shared" si="23"/>
        <v>0</v>
      </c>
      <c r="V31" s="34">
        <f t="shared" si="23"/>
        <v>4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31</v>
      </c>
      <c r="AD31" s="34">
        <f t="shared" si="23"/>
        <v>0</v>
      </c>
      <c r="AE31" s="31">
        <f t="shared" si="23"/>
        <v>26</v>
      </c>
      <c r="AF31" s="31">
        <f t="shared" si="23"/>
        <v>57</v>
      </c>
    </row>
    <row r="32" spans="2:32" ht="23.1" customHeight="1" x14ac:dyDescent="0.25">
      <c r="B32" s="46" t="s">
        <v>59</v>
      </c>
      <c r="C32" s="50">
        <v>37</v>
      </c>
      <c r="D32" s="50">
        <v>25</v>
      </c>
      <c r="E32" s="50">
        <v>0</v>
      </c>
      <c r="F32" s="50">
        <v>12</v>
      </c>
      <c r="G32" s="50">
        <v>0</v>
      </c>
      <c r="H32" s="50">
        <v>0</v>
      </c>
      <c r="I32" s="50">
        <v>3</v>
      </c>
      <c r="J32" s="50">
        <v>1</v>
      </c>
      <c r="K32" s="50">
        <v>0</v>
      </c>
      <c r="L32" s="50">
        <v>0</v>
      </c>
      <c r="M32" s="50">
        <v>68</v>
      </c>
      <c r="N32" s="50">
        <v>0</v>
      </c>
      <c r="O32" s="15">
        <f t="shared" si="0"/>
        <v>78</v>
      </c>
      <c r="P32" s="15">
        <f t="shared" si="1"/>
        <v>146</v>
      </c>
      <c r="R32" s="33" t="s">
        <v>156</v>
      </c>
      <c r="S32" s="34">
        <f>SUM(C98:C101)</f>
        <v>34</v>
      </c>
      <c r="T32" s="34">
        <f t="shared" ref="T32:AF32" si="24">SUM(D98:D101)</f>
        <v>14</v>
      </c>
      <c r="U32" s="34">
        <f t="shared" si="24"/>
        <v>0</v>
      </c>
      <c r="V32" s="34">
        <f t="shared" si="24"/>
        <v>14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37</v>
      </c>
      <c r="AD32" s="34">
        <f t="shared" si="24"/>
        <v>0</v>
      </c>
      <c r="AE32" s="31">
        <f t="shared" si="24"/>
        <v>62</v>
      </c>
      <c r="AF32" s="31">
        <f t="shared" si="24"/>
        <v>99</v>
      </c>
    </row>
    <row r="33" spans="2:32" ht="23.1" customHeight="1" x14ac:dyDescent="0.25">
      <c r="B33" s="45" t="s">
        <v>60</v>
      </c>
      <c r="C33" s="50">
        <v>57</v>
      </c>
      <c r="D33" s="50">
        <v>18</v>
      </c>
      <c r="E33" s="50">
        <v>2</v>
      </c>
      <c r="F33" s="50">
        <v>9</v>
      </c>
      <c r="G33" s="50">
        <v>0</v>
      </c>
      <c r="H33" s="50">
        <v>0</v>
      </c>
      <c r="I33" s="50">
        <v>1</v>
      </c>
      <c r="J33" s="50">
        <v>1</v>
      </c>
      <c r="K33" s="50">
        <v>0</v>
      </c>
      <c r="L33" s="50">
        <v>0</v>
      </c>
      <c r="M33" s="50">
        <v>40</v>
      </c>
      <c r="N33" s="50">
        <v>0</v>
      </c>
      <c r="O33" s="15">
        <f t="shared" si="0"/>
        <v>88</v>
      </c>
      <c r="P33" s="15">
        <f t="shared" si="1"/>
        <v>128</v>
      </c>
      <c r="R33" s="33" t="s">
        <v>157</v>
      </c>
      <c r="S33" s="34">
        <f>SUM(C102:C105)</f>
        <v>387</v>
      </c>
      <c r="T33" s="34">
        <f t="shared" ref="T33:AF33" si="25">SUM(D102:D105)</f>
        <v>360</v>
      </c>
      <c r="U33" s="34">
        <f t="shared" si="25"/>
        <v>2</v>
      </c>
      <c r="V33" s="34">
        <f t="shared" si="25"/>
        <v>63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38</v>
      </c>
      <c r="AD33" s="34">
        <f t="shared" si="25"/>
        <v>0</v>
      </c>
      <c r="AE33" s="31">
        <f t="shared" si="25"/>
        <v>813</v>
      </c>
      <c r="AF33" s="31">
        <f t="shared" si="25"/>
        <v>851</v>
      </c>
    </row>
    <row r="34" spans="2:32" ht="23.1" customHeight="1" x14ac:dyDescent="0.25">
      <c r="B34" s="46" t="s">
        <v>61</v>
      </c>
      <c r="C34" s="50">
        <v>29</v>
      </c>
      <c r="D34" s="50">
        <v>16</v>
      </c>
      <c r="E34" s="50">
        <v>0</v>
      </c>
      <c r="F34" s="50">
        <v>5</v>
      </c>
      <c r="G34" s="50">
        <v>0</v>
      </c>
      <c r="H34" s="50">
        <v>0</v>
      </c>
      <c r="I34" s="50">
        <v>6</v>
      </c>
      <c r="J34" s="50">
        <v>1</v>
      </c>
      <c r="K34" s="50">
        <v>0</v>
      </c>
      <c r="L34" s="50">
        <v>0</v>
      </c>
      <c r="M34" s="50">
        <v>78</v>
      </c>
      <c r="N34" s="50">
        <v>0</v>
      </c>
      <c r="O34" s="15">
        <f t="shared" si="0"/>
        <v>57</v>
      </c>
      <c r="P34" s="15">
        <f t="shared" si="1"/>
        <v>135</v>
      </c>
      <c r="R34" s="38" t="s">
        <v>90</v>
      </c>
      <c r="S34" s="39">
        <f t="shared" ref="S34:AF34" si="26">MAX(S10:S12)</f>
        <v>373</v>
      </c>
      <c r="T34" s="39">
        <f t="shared" si="26"/>
        <v>163</v>
      </c>
      <c r="U34" s="39">
        <f t="shared" si="26"/>
        <v>10</v>
      </c>
      <c r="V34" s="39">
        <f t="shared" si="26"/>
        <v>66</v>
      </c>
      <c r="W34" s="39">
        <f t="shared" si="26"/>
        <v>2</v>
      </c>
      <c r="X34" s="39">
        <f t="shared" si="26"/>
        <v>1</v>
      </c>
      <c r="Y34" s="39">
        <f t="shared" si="26"/>
        <v>16</v>
      </c>
      <c r="Z34" s="39">
        <f t="shared" si="26"/>
        <v>0</v>
      </c>
      <c r="AA34" s="39">
        <f t="shared" si="26"/>
        <v>0</v>
      </c>
      <c r="AB34" s="39">
        <f t="shared" si="26"/>
        <v>0</v>
      </c>
      <c r="AC34" s="39">
        <f t="shared" si="26"/>
        <v>393</v>
      </c>
      <c r="AD34" s="39">
        <f t="shared" si="26"/>
        <v>0</v>
      </c>
      <c r="AE34" s="40">
        <f t="shared" si="26"/>
        <v>627</v>
      </c>
      <c r="AF34" s="40">
        <f t="shared" si="26"/>
        <v>1020</v>
      </c>
    </row>
    <row r="35" spans="2:32" ht="23.1" customHeight="1" x14ac:dyDescent="0.25">
      <c r="B35" s="46" t="s">
        <v>62</v>
      </c>
      <c r="C35" s="50">
        <v>36</v>
      </c>
      <c r="D35" s="50">
        <v>20</v>
      </c>
      <c r="E35" s="50">
        <v>2</v>
      </c>
      <c r="F35" s="50">
        <v>7</v>
      </c>
      <c r="G35" s="50">
        <v>0</v>
      </c>
      <c r="H35" s="50">
        <v>0</v>
      </c>
      <c r="I35" s="50">
        <v>4</v>
      </c>
      <c r="J35" s="50">
        <v>0</v>
      </c>
      <c r="K35" s="50">
        <v>0</v>
      </c>
      <c r="L35" s="50">
        <v>0</v>
      </c>
      <c r="M35" s="50">
        <v>74</v>
      </c>
      <c r="N35" s="50">
        <v>0</v>
      </c>
      <c r="O35" s="15">
        <f t="shared" si="0"/>
        <v>69</v>
      </c>
      <c r="P35" s="15">
        <f t="shared" si="1"/>
        <v>143</v>
      </c>
      <c r="R35" s="38" t="s">
        <v>91</v>
      </c>
      <c r="S35" s="39">
        <f t="shared" ref="S35:AF35" si="27">MAX(S13:S18)</f>
        <v>151</v>
      </c>
      <c r="T35" s="39">
        <f t="shared" si="27"/>
        <v>77</v>
      </c>
      <c r="U35" s="39">
        <f t="shared" si="27"/>
        <v>10</v>
      </c>
      <c r="V35" s="39">
        <f t="shared" si="27"/>
        <v>44</v>
      </c>
      <c r="W35" s="39">
        <f t="shared" si="27"/>
        <v>2</v>
      </c>
      <c r="X35" s="39">
        <f t="shared" si="27"/>
        <v>0</v>
      </c>
      <c r="Y35" s="39">
        <f t="shared" si="27"/>
        <v>14</v>
      </c>
      <c r="Z35" s="39">
        <f t="shared" si="27"/>
        <v>4</v>
      </c>
      <c r="AA35" s="39">
        <f t="shared" si="27"/>
        <v>1</v>
      </c>
      <c r="AB35" s="39">
        <f t="shared" si="27"/>
        <v>0</v>
      </c>
      <c r="AC35" s="39">
        <f t="shared" si="27"/>
        <v>344</v>
      </c>
      <c r="AD35" s="39">
        <f t="shared" si="27"/>
        <v>0</v>
      </c>
      <c r="AE35" s="40">
        <f t="shared" si="27"/>
        <v>293</v>
      </c>
      <c r="AF35" s="40">
        <f t="shared" si="27"/>
        <v>558</v>
      </c>
    </row>
    <row r="36" spans="2:32" ht="23.1" customHeight="1" x14ac:dyDescent="0.25">
      <c r="B36" s="46" t="s">
        <v>63</v>
      </c>
      <c r="C36" s="50">
        <v>26</v>
      </c>
      <c r="D36" s="50">
        <v>9</v>
      </c>
      <c r="E36" s="50">
        <v>2</v>
      </c>
      <c r="F36" s="50">
        <v>4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62</v>
      </c>
      <c r="N36" s="50">
        <v>0</v>
      </c>
      <c r="O36" s="15">
        <f t="shared" si="0"/>
        <v>43</v>
      </c>
      <c r="P36" s="15">
        <f t="shared" si="1"/>
        <v>105</v>
      </c>
      <c r="R36" s="38" t="s">
        <v>92</v>
      </c>
      <c r="S36" s="39">
        <f t="shared" ref="S36:AF36" si="28">MAX(S19:S21)</f>
        <v>152</v>
      </c>
      <c r="T36" s="39">
        <f t="shared" si="28"/>
        <v>89</v>
      </c>
      <c r="U36" s="39">
        <f t="shared" si="28"/>
        <v>7</v>
      </c>
      <c r="V36" s="39">
        <f t="shared" si="28"/>
        <v>42</v>
      </c>
      <c r="W36" s="39">
        <f t="shared" si="28"/>
        <v>2</v>
      </c>
      <c r="X36" s="39">
        <f t="shared" si="28"/>
        <v>0</v>
      </c>
      <c r="Y36" s="39">
        <f t="shared" si="28"/>
        <v>10</v>
      </c>
      <c r="Z36" s="39">
        <f t="shared" si="28"/>
        <v>3</v>
      </c>
      <c r="AA36" s="39">
        <f t="shared" si="28"/>
        <v>1</v>
      </c>
      <c r="AB36" s="39">
        <f t="shared" si="28"/>
        <v>0</v>
      </c>
      <c r="AC36" s="39">
        <f t="shared" si="28"/>
        <v>345</v>
      </c>
      <c r="AD36" s="39">
        <f t="shared" si="28"/>
        <v>0</v>
      </c>
      <c r="AE36" s="40">
        <f t="shared" si="28"/>
        <v>305</v>
      </c>
      <c r="AF36" s="40">
        <f t="shared" si="28"/>
        <v>611</v>
      </c>
    </row>
    <row r="37" spans="2:32" ht="23.1" customHeight="1" x14ac:dyDescent="0.25">
      <c r="B37" s="45" t="s">
        <v>64</v>
      </c>
      <c r="C37" s="50">
        <v>28</v>
      </c>
      <c r="D37" s="50">
        <v>18</v>
      </c>
      <c r="E37" s="50">
        <v>0</v>
      </c>
      <c r="F37" s="50">
        <v>12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68</v>
      </c>
      <c r="N37" s="50">
        <v>0</v>
      </c>
      <c r="O37" s="15">
        <f t="shared" si="0"/>
        <v>59</v>
      </c>
      <c r="P37" s="15">
        <f t="shared" si="1"/>
        <v>127</v>
      </c>
      <c r="R37" s="37" t="s">
        <v>85</v>
      </c>
      <c r="S37" s="35">
        <f t="shared" ref="S37:AF37" si="29">SUM(S10:S12)</f>
        <v>777</v>
      </c>
      <c r="T37" s="16">
        <f t="shared" si="29"/>
        <v>391</v>
      </c>
      <c r="U37" s="16">
        <f t="shared" si="29"/>
        <v>26</v>
      </c>
      <c r="V37" s="16">
        <f t="shared" si="29"/>
        <v>160</v>
      </c>
      <c r="W37" s="16">
        <f t="shared" si="29"/>
        <v>2</v>
      </c>
      <c r="X37" s="16">
        <f t="shared" si="29"/>
        <v>1</v>
      </c>
      <c r="Y37" s="16">
        <f t="shared" si="29"/>
        <v>40</v>
      </c>
      <c r="Z37" s="16">
        <f t="shared" si="29"/>
        <v>0</v>
      </c>
      <c r="AA37" s="16">
        <f t="shared" si="29"/>
        <v>0</v>
      </c>
      <c r="AB37" s="16">
        <f t="shared" si="29"/>
        <v>0</v>
      </c>
      <c r="AC37" s="16">
        <f t="shared" si="29"/>
        <v>1028</v>
      </c>
      <c r="AD37" s="16">
        <f t="shared" si="29"/>
        <v>0</v>
      </c>
      <c r="AE37" s="32">
        <f t="shared" si="29"/>
        <v>1397</v>
      </c>
      <c r="AF37" s="32">
        <f t="shared" si="29"/>
        <v>2425</v>
      </c>
    </row>
    <row r="38" spans="2:32" ht="23.1" customHeight="1" x14ac:dyDescent="0.25">
      <c r="B38" s="46" t="s">
        <v>65</v>
      </c>
      <c r="C38" s="50">
        <v>14</v>
      </c>
      <c r="D38" s="50">
        <v>17</v>
      </c>
      <c r="E38" s="50">
        <v>1</v>
      </c>
      <c r="F38" s="50">
        <v>6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156</v>
      </c>
      <c r="N38" s="50">
        <v>0</v>
      </c>
      <c r="O38" s="15">
        <f t="shared" si="0"/>
        <v>39</v>
      </c>
      <c r="P38" s="15">
        <f t="shared" si="1"/>
        <v>195</v>
      </c>
      <c r="R38" s="28" t="s">
        <v>86</v>
      </c>
      <c r="S38" s="16">
        <f t="shared" ref="S38:AF38" si="30">SUM(S13:S18)</f>
        <v>765</v>
      </c>
      <c r="T38" s="16">
        <f t="shared" si="30"/>
        <v>395</v>
      </c>
      <c r="U38" s="16">
        <f t="shared" si="30"/>
        <v>30</v>
      </c>
      <c r="V38" s="16">
        <f t="shared" si="30"/>
        <v>210</v>
      </c>
      <c r="W38" s="16">
        <f t="shared" si="30"/>
        <v>4</v>
      </c>
      <c r="X38" s="16">
        <f t="shared" si="30"/>
        <v>0</v>
      </c>
      <c r="Y38" s="16">
        <f t="shared" si="30"/>
        <v>68</v>
      </c>
      <c r="Z38" s="16">
        <f t="shared" si="30"/>
        <v>11</v>
      </c>
      <c r="AA38" s="16">
        <f t="shared" si="30"/>
        <v>1</v>
      </c>
      <c r="AB38" s="16">
        <f t="shared" si="30"/>
        <v>0</v>
      </c>
      <c r="AC38" s="16">
        <f t="shared" si="30"/>
        <v>1660</v>
      </c>
      <c r="AD38" s="16">
        <f t="shared" si="30"/>
        <v>0</v>
      </c>
      <c r="AE38" s="32">
        <f t="shared" si="30"/>
        <v>1484</v>
      </c>
      <c r="AF38" s="32">
        <f t="shared" si="30"/>
        <v>3144</v>
      </c>
    </row>
    <row r="39" spans="2:32" ht="23.1" customHeight="1" x14ac:dyDescent="0.25">
      <c r="B39" s="46" t="s">
        <v>66</v>
      </c>
      <c r="C39" s="50">
        <v>29</v>
      </c>
      <c r="D39" s="50">
        <v>14</v>
      </c>
      <c r="E39" s="50">
        <v>4</v>
      </c>
      <c r="F39" s="50">
        <v>7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68</v>
      </c>
      <c r="N39" s="50">
        <v>0</v>
      </c>
      <c r="O39" s="15">
        <f t="shared" si="0"/>
        <v>56</v>
      </c>
      <c r="P39" s="15">
        <f t="shared" si="1"/>
        <v>124</v>
      </c>
      <c r="R39" s="29" t="s">
        <v>87</v>
      </c>
      <c r="S39" s="16">
        <f t="shared" ref="S39:AF39" si="31">SUM(S19:S21)</f>
        <v>358</v>
      </c>
      <c r="T39" s="16">
        <f t="shared" si="31"/>
        <v>217</v>
      </c>
      <c r="U39" s="16">
        <f t="shared" si="31"/>
        <v>13</v>
      </c>
      <c r="V39" s="16">
        <f t="shared" si="31"/>
        <v>109</v>
      </c>
      <c r="W39" s="16">
        <f t="shared" si="31"/>
        <v>2</v>
      </c>
      <c r="X39" s="16">
        <f t="shared" si="31"/>
        <v>0</v>
      </c>
      <c r="Y39" s="16">
        <f t="shared" si="31"/>
        <v>28</v>
      </c>
      <c r="Z39" s="16">
        <f t="shared" si="31"/>
        <v>6</v>
      </c>
      <c r="AA39" s="16">
        <f t="shared" si="31"/>
        <v>1</v>
      </c>
      <c r="AB39" s="16">
        <f t="shared" si="31"/>
        <v>0</v>
      </c>
      <c r="AC39" s="16">
        <f t="shared" si="31"/>
        <v>908</v>
      </c>
      <c r="AD39" s="16">
        <f t="shared" si="31"/>
        <v>0</v>
      </c>
      <c r="AE39" s="32">
        <f t="shared" si="31"/>
        <v>814</v>
      </c>
      <c r="AF39" s="32">
        <f t="shared" si="31"/>
        <v>1722</v>
      </c>
    </row>
    <row r="40" spans="2:32" ht="23.1" customHeight="1" x14ac:dyDescent="0.25">
      <c r="B40" s="46" t="s">
        <v>67</v>
      </c>
      <c r="C40" s="50">
        <v>32</v>
      </c>
      <c r="D40" s="50">
        <v>13</v>
      </c>
      <c r="E40" s="50">
        <v>1</v>
      </c>
      <c r="F40" s="50">
        <v>9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58</v>
      </c>
      <c r="N40" s="50">
        <v>0</v>
      </c>
      <c r="O40" s="15">
        <f t="shared" si="0"/>
        <v>58</v>
      </c>
      <c r="P40" s="15">
        <f t="shared" si="1"/>
        <v>116</v>
      </c>
      <c r="R40" s="5" t="s">
        <v>17</v>
      </c>
      <c r="S40" s="16">
        <f t="shared" ref="S40:AF40" si="32">SUM(S10:S21)</f>
        <v>1900</v>
      </c>
      <c r="T40" s="16">
        <f t="shared" si="32"/>
        <v>1003</v>
      </c>
      <c r="U40" s="16">
        <f t="shared" si="32"/>
        <v>69</v>
      </c>
      <c r="V40" s="16">
        <f t="shared" si="32"/>
        <v>479</v>
      </c>
      <c r="W40" s="16">
        <f t="shared" si="32"/>
        <v>8</v>
      </c>
      <c r="X40" s="16">
        <f t="shared" si="32"/>
        <v>1</v>
      </c>
      <c r="Y40" s="16">
        <f t="shared" si="32"/>
        <v>136</v>
      </c>
      <c r="Z40" s="16">
        <f t="shared" si="32"/>
        <v>17</v>
      </c>
      <c r="AA40" s="16">
        <f t="shared" si="32"/>
        <v>2</v>
      </c>
      <c r="AB40" s="16">
        <f t="shared" si="32"/>
        <v>0</v>
      </c>
      <c r="AC40" s="16">
        <f t="shared" si="32"/>
        <v>3596</v>
      </c>
      <c r="AD40" s="16">
        <f t="shared" si="32"/>
        <v>0</v>
      </c>
      <c r="AE40" s="32">
        <f t="shared" si="32"/>
        <v>3695</v>
      </c>
      <c r="AF40" s="32">
        <f t="shared" si="32"/>
        <v>7291</v>
      </c>
    </row>
    <row r="41" spans="2:32" ht="23.1" customHeight="1" x14ac:dyDescent="0.25">
      <c r="B41" s="45" t="s">
        <v>68</v>
      </c>
      <c r="C41" s="50">
        <v>23</v>
      </c>
      <c r="D41" s="50">
        <v>23</v>
      </c>
      <c r="E41" s="50">
        <v>0</v>
      </c>
      <c r="F41" s="50">
        <v>6</v>
      </c>
      <c r="G41" s="50">
        <v>0</v>
      </c>
      <c r="H41" s="50">
        <v>0</v>
      </c>
      <c r="I41" s="50">
        <v>5</v>
      </c>
      <c r="J41" s="50">
        <v>0</v>
      </c>
      <c r="K41" s="50">
        <v>0</v>
      </c>
      <c r="L41" s="50">
        <v>0</v>
      </c>
      <c r="M41" s="50">
        <v>62</v>
      </c>
      <c r="N41" s="50">
        <v>0</v>
      </c>
      <c r="O41" s="15">
        <f t="shared" si="0"/>
        <v>57</v>
      </c>
      <c r="P41" s="15">
        <f t="shared" si="1"/>
        <v>119</v>
      </c>
      <c r="R41" s="5" t="s">
        <v>159</v>
      </c>
      <c r="S41" s="16">
        <f>SUM(S10:S33)</f>
        <v>2809</v>
      </c>
      <c r="T41" s="16">
        <f t="shared" ref="T41:AF41" si="33">SUM(T10:T33)</f>
        <v>1668</v>
      </c>
      <c r="U41" s="16">
        <f t="shared" si="33"/>
        <v>77</v>
      </c>
      <c r="V41" s="16">
        <f t="shared" si="33"/>
        <v>697</v>
      </c>
      <c r="W41" s="16">
        <f t="shared" si="33"/>
        <v>10</v>
      </c>
      <c r="X41" s="16">
        <f t="shared" si="33"/>
        <v>1</v>
      </c>
      <c r="Y41" s="16">
        <f t="shared" si="33"/>
        <v>149</v>
      </c>
      <c r="Z41" s="16">
        <f t="shared" si="33"/>
        <v>18</v>
      </c>
      <c r="AA41" s="16">
        <f t="shared" si="33"/>
        <v>3</v>
      </c>
      <c r="AB41" s="16">
        <f t="shared" si="33"/>
        <v>2</v>
      </c>
      <c r="AC41" s="16">
        <f t="shared" si="33"/>
        <v>4764</v>
      </c>
      <c r="AD41" s="16">
        <f t="shared" si="33"/>
        <v>0</v>
      </c>
      <c r="AE41" s="32">
        <f t="shared" si="33"/>
        <v>5514</v>
      </c>
      <c r="AF41" s="32">
        <f t="shared" si="33"/>
        <v>10278</v>
      </c>
    </row>
    <row r="42" spans="2:32" ht="23.1" customHeight="1" x14ac:dyDescent="0.25">
      <c r="B42" s="46" t="s">
        <v>69</v>
      </c>
      <c r="C42" s="50">
        <v>31</v>
      </c>
      <c r="D42" s="50">
        <v>9</v>
      </c>
      <c r="E42" s="50">
        <v>0</v>
      </c>
      <c r="F42" s="50">
        <v>5</v>
      </c>
      <c r="G42" s="50">
        <v>0</v>
      </c>
      <c r="H42" s="50">
        <v>0</v>
      </c>
      <c r="I42" s="50">
        <v>4</v>
      </c>
      <c r="J42" s="50">
        <v>2</v>
      </c>
      <c r="K42" s="50">
        <v>0</v>
      </c>
      <c r="L42" s="50">
        <v>0</v>
      </c>
      <c r="M42" s="50">
        <v>83</v>
      </c>
      <c r="N42" s="50">
        <v>0</v>
      </c>
      <c r="O42" s="15">
        <f t="shared" si="0"/>
        <v>51</v>
      </c>
      <c r="P42" s="15">
        <f t="shared" si="1"/>
        <v>134</v>
      </c>
      <c r="R42" s="5" t="s">
        <v>160</v>
      </c>
      <c r="S42" s="48">
        <f>S41/S40</f>
        <v>1.4784210526315789</v>
      </c>
      <c r="T42" s="48">
        <f t="shared" ref="T42:AF42" si="34">T41/T40</f>
        <v>1.6630109670987039</v>
      </c>
      <c r="U42" s="48">
        <f t="shared" si="34"/>
        <v>1.1159420289855073</v>
      </c>
      <c r="V42" s="48">
        <f t="shared" si="34"/>
        <v>1.4551148225469728</v>
      </c>
      <c r="W42" s="48">
        <f t="shared" si="34"/>
        <v>1.25</v>
      </c>
      <c r="X42" s="48">
        <f t="shared" si="34"/>
        <v>1</v>
      </c>
      <c r="Y42" s="48">
        <f t="shared" si="34"/>
        <v>1.0955882352941178</v>
      </c>
      <c r="Z42" s="48">
        <f t="shared" si="34"/>
        <v>1.0588235294117647</v>
      </c>
      <c r="AA42" s="48">
        <f t="shared" si="34"/>
        <v>1.5</v>
      </c>
      <c r="AB42" s="48" t="e">
        <f t="shared" si="34"/>
        <v>#DIV/0!</v>
      </c>
      <c r="AC42" s="48">
        <f t="shared" si="34"/>
        <v>1.324805339265851</v>
      </c>
      <c r="AD42" s="48" t="e">
        <f t="shared" si="34"/>
        <v>#DIV/0!</v>
      </c>
      <c r="AE42" s="48">
        <f t="shared" si="34"/>
        <v>1.4922868741542625</v>
      </c>
      <c r="AF42" s="48">
        <f t="shared" si="34"/>
        <v>1.4096831710327802</v>
      </c>
    </row>
    <row r="43" spans="2:32" ht="23.1" customHeight="1" x14ac:dyDescent="0.25">
      <c r="B43" s="45" t="s">
        <v>70</v>
      </c>
      <c r="C43" s="50">
        <v>24</v>
      </c>
      <c r="D43" s="50">
        <v>16</v>
      </c>
      <c r="E43" s="50">
        <v>1</v>
      </c>
      <c r="F43" s="50">
        <v>8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70</v>
      </c>
      <c r="N43" s="50">
        <v>0</v>
      </c>
      <c r="O43" s="15">
        <f t="shared" si="0"/>
        <v>50</v>
      </c>
      <c r="P43" s="15">
        <f t="shared" si="1"/>
        <v>120</v>
      </c>
    </row>
    <row r="44" spans="2:32" ht="23.1" customHeight="1" x14ac:dyDescent="0.25">
      <c r="B44" s="47" t="s">
        <v>71</v>
      </c>
      <c r="C44" s="50">
        <v>28</v>
      </c>
      <c r="D44" s="50">
        <v>15</v>
      </c>
      <c r="E44" s="50">
        <v>0</v>
      </c>
      <c r="F44" s="50">
        <v>4</v>
      </c>
      <c r="G44" s="50">
        <v>2</v>
      </c>
      <c r="H44" s="50">
        <v>0</v>
      </c>
      <c r="I44" s="50">
        <v>2</v>
      </c>
      <c r="J44" s="50">
        <v>0</v>
      </c>
      <c r="K44" s="50">
        <v>1</v>
      </c>
      <c r="L44" s="50">
        <v>0</v>
      </c>
      <c r="M44" s="50">
        <v>55</v>
      </c>
      <c r="N44" s="50">
        <v>0</v>
      </c>
      <c r="O44" s="15">
        <f t="shared" si="0"/>
        <v>52</v>
      </c>
      <c r="P44" s="15">
        <f t="shared" si="1"/>
        <v>107</v>
      </c>
    </row>
    <row r="45" spans="2:32" ht="23.1" customHeight="1" x14ac:dyDescent="0.25">
      <c r="B45" s="45" t="s">
        <v>72</v>
      </c>
      <c r="C45" s="50">
        <v>39</v>
      </c>
      <c r="D45" s="50">
        <v>19</v>
      </c>
      <c r="E45" s="50">
        <v>0</v>
      </c>
      <c r="F45" s="50">
        <v>15</v>
      </c>
      <c r="G45" s="50">
        <v>0</v>
      </c>
      <c r="H45" s="50">
        <v>0</v>
      </c>
      <c r="I45" s="50">
        <v>3</v>
      </c>
      <c r="J45" s="50">
        <v>1</v>
      </c>
      <c r="K45" s="50">
        <v>0</v>
      </c>
      <c r="L45" s="50">
        <v>0</v>
      </c>
      <c r="M45" s="50">
        <v>45</v>
      </c>
      <c r="N45" s="50">
        <v>0</v>
      </c>
      <c r="O45" s="15">
        <f t="shared" si="0"/>
        <v>77</v>
      </c>
      <c r="P45" s="15">
        <f t="shared" si="1"/>
        <v>122</v>
      </c>
    </row>
    <row r="46" spans="2:32" ht="23.1" customHeight="1" x14ac:dyDescent="0.25">
      <c r="B46" s="46" t="s">
        <v>73</v>
      </c>
      <c r="C46" s="50">
        <v>28</v>
      </c>
      <c r="D46" s="50">
        <v>15</v>
      </c>
      <c r="E46" s="50">
        <v>1</v>
      </c>
      <c r="F46" s="50">
        <v>8</v>
      </c>
      <c r="G46" s="50">
        <v>0</v>
      </c>
      <c r="H46" s="50">
        <v>0</v>
      </c>
      <c r="I46" s="50">
        <v>2</v>
      </c>
      <c r="J46" s="50">
        <v>1</v>
      </c>
      <c r="K46" s="50">
        <v>0</v>
      </c>
      <c r="L46" s="50">
        <v>0</v>
      </c>
      <c r="M46" s="50">
        <v>60</v>
      </c>
      <c r="N46" s="50">
        <v>0</v>
      </c>
      <c r="O46" s="15">
        <f t="shared" si="0"/>
        <v>55</v>
      </c>
      <c r="P46" s="15">
        <f t="shared" si="1"/>
        <v>115</v>
      </c>
      <c r="R46" s="8"/>
      <c r="T46"/>
    </row>
    <row r="47" spans="2:32" ht="23.1" customHeight="1" x14ac:dyDescent="0.25">
      <c r="B47" s="46" t="s">
        <v>74</v>
      </c>
      <c r="C47" s="50">
        <v>42</v>
      </c>
      <c r="D47" s="50">
        <v>20</v>
      </c>
      <c r="E47" s="50">
        <v>2</v>
      </c>
      <c r="F47" s="50">
        <v>9</v>
      </c>
      <c r="G47" s="50">
        <v>0</v>
      </c>
      <c r="H47" s="50">
        <v>0</v>
      </c>
      <c r="I47" s="50">
        <v>3</v>
      </c>
      <c r="J47" s="50">
        <v>1</v>
      </c>
      <c r="K47" s="50">
        <v>0</v>
      </c>
      <c r="L47" s="50">
        <v>0</v>
      </c>
      <c r="M47" s="50">
        <v>55</v>
      </c>
      <c r="N47" s="50">
        <v>0</v>
      </c>
      <c r="O47" s="15">
        <f t="shared" si="0"/>
        <v>77</v>
      </c>
      <c r="P47" s="15">
        <f t="shared" si="1"/>
        <v>132</v>
      </c>
      <c r="R47" s="8"/>
      <c r="T47"/>
    </row>
    <row r="48" spans="2:32" ht="23.1" customHeight="1" x14ac:dyDescent="0.25">
      <c r="B48" s="46" t="s">
        <v>75</v>
      </c>
      <c r="C48" s="50">
        <v>42</v>
      </c>
      <c r="D48" s="50">
        <v>26</v>
      </c>
      <c r="E48" s="50">
        <v>2</v>
      </c>
      <c r="F48" s="50">
        <v>10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62</v>
      </c>
      <c r="N48" s="50">
        <v>0</v>
      </c>
      <c r="O48" s="15">
        <f t="shared" si="0"/>
        <v>82</v>
      </c>
      <c r="P48" s="15">
        <f t="shared" si="1"/>
        <v>144</v>
      </c>
      <c r="R48" s="8"/>
      <c r="T48"/>
    </row>
    <row r="49" spans="2:20" ht="23.1" customHeight="1" x14ac:dyDescent="0.25">
      <c r="B49" s="45" t="s">
        <v>76</v>
      </c>
      <c r="C49" s="50">
        <v>45</v>
      </c>
      <c r="D49" s="50">
        <v>29</v>
      </c>
      <c r="E49" s="50">
        <v>3</v>
      </c>
      <c r="F49" s="50">
        <v>11</v>
      </c>
      <c r="G49" s="50">
        <v>2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67</v>
      </c>
      <c r="N49" s="50">
        <v>0</v>
      </c>
      <c r="O49" s="15">
        <f t="shared" si="0"/>
        <v>91</v>
      </c>
      <c r="P49" s="15">
        <f t="shared" si="1"/>
        <v>158</v>
      </c>
      <c r="R49" s="8"/>
      <c r="T49"/>
    </row>
    <row r="50" spans="2:20" ht="23.1" customHeight="1" x14ac:dyDescent="0.25">
      <c r="B50" s="46" t="s">
        <v>77</v>
      </c>
      <c r="C50" s="50">
        <v>39</v>
      </c>
      <c r="D50" s="50">
        <v>22</v>
      </c>
      <c r="E50" s="50">
        <v>1</v>
      </c>
      <c r="F50" s="50">
        <v>9</v>
      </c>
      <c r="G50" s="50">
        <v>0</v>
      </c>
      <c r="H50" s="50">
        <v>0</v>
      </c>
      <c r="I50" s="50">
        <v>2</v>
      </c>
      <c r="J50" s="50">
        <v>1</v>
      </c>
      <c r="K50" s="50">
        <v>0</v>
      </c>
      <c r="L50" s="50">
        <v>0</v>
      </c>
      <c r="M50" s="50">
        <v>80</v>
      </c>
      <c r="N50" s="50">
        <v>0</v>
      </c>
      <c r="O50" s="15">
        <f t="shared" si="0"/>
        <v>74</v>
      </c>
      <c r="P50" s="15">
        <f t="shared" si="1"/>
        <v>154</v>
      </c>
      <c r="R50" s="8"/>
      <c r="T50"/>
    </row>
    <row r="51" spans="2:20" ht="23.1" customHeight="1" x14ac:dyDescent="0.25">
      <c r="B51" s="46" t="s">
        <v>78</v>
      </c>
      <c r="C51" s="50">
        <v>23</v>
      </c>
      <c r="D51" s="50">
        <v>20</v>
      </c>
      <c r="E51" s="50">
        <v>1</v>
      </c>
      <c r="F51" s="50">
        <v>4</v>
      </c>
      <c r="G51" s="50">
        <v>0</v>
      </c>
      <c r="H51" s="50">
        <v>0</v>
      </c>
      <c r="I51" s="50">
        <v>3</v>
      </c>
      <c r="J51" s="50">
        <v>0</v>
      </c>
      <c r="K51" s="50">
        <v>0</v>
      </c>
      <c r="L51" s="50">
        <v>0</v>
      </c>
      <c r="M51" s="50">
        <v>69</v>
      </c>
      <c r="N51" s="50">
        <v>0</v>
      </c>
      <c r="O51" s="15">
        <f t="shared" si="0"/>
        <v>51</v>
      </c>
      <c r="P51" s="15">
        <f t="shared" si="1"/>
        <v>120</v>
      </c>
      <c r="R51" s="8"/>
      <c r="T51"/>
    </row>
    <row r="52" spans="2:20" ht="23.1" customHeight="1" x14ac:dyDescent="0.25">
      <c r="B52" s="46" t="s">
        <v>79</v>
      </c>
      <c r="C52" s="50">
        <v>51</v>
      </c>
      <c r="D52" s="50">
        <v>27</v>
      </c>
      <c r="E52" s="50">
        <v>2</v>
      </c>
      <c r="F52" s="50">
        <v>10</v>
      </c>
      <c r="G52" s="50">
        <v>0</v>
      </c>
      <c r="H52" s="50">
        <v>0</v>
      </c>
      <c r="I52" s="50">
        <v>3</v>
      </c>
      <c r="J52" s="50">
        <v>2</v>
      </c>
      <c r="K52" s="50">
        <v>0</v>
      </c>
      <c r="L52" s="50">
        <v>0</v>
      </c>
      <c r="M52" s="50">
        <v>80</v>
      </c>
      <c r="N52" s="50">
        <v>0</v>
      </c>
      <c r="O52" s="15">
        <f t="shared" si="0"/>
        <v>95</v>
      </c>
      <c r="P52" s="15">
        <f t="shared" si="1"/>
        <v>175</v>
      </c>
      <c r="R52" s="8"/>
      <c r="T52"/>
    </row>
    <row r="53" spans="2:20" ht="23.1" customHeight="1" x14ac:dyDescent="0.25">
      <c r="B53" s="45" t="s">
        <v>80</v>
      </c>
      <c r="C53" s="50">
        <v>39</v>
      </c>
      <c r="D53" s="50">
        <v>20</v>
      </c>
      <c r="E53" s="50">
        <v>1</v>
      </c>
      <c r="F53" s="50">
        <v>10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90</v>
      </c>
      <c r="N53" s="50">
        <v>0</v>
      </c>
      <c r="O53" s="15">
        <f t="shared" si="0"/>
        <v>72</v>
      </c>
      <c r="P53" s="15">
        <f t="shared" si="1"/>
        <v>162</v>
      </c>
      <c r="R53" s="8"/>
      <c r="T53"/>
    </row>
    <row r="54" spans="2:20" ht="23.1" customHeight="1" x14ac:dyDescent="0.25">
      <c r="B54" s="45" t="s">
        <v>81</v>
      </c>
      <c r="C54" s="50">
        <v>42</v>
      </c>
      <c r="D54" s="50">
        <v>21</v>
      </c>
      <c r="E54" s="50">
        <v>1</v>
      </c>
      <c r="F54" s="50">
        <v>7</v>
      </c>
      <c r="G54" s="50">
        <v>0</v>
      </c>
      <c r="H54" s="50">
        <v>0</v>
      </c>
      <c r="I54" s="50">
        <v>2</v>
      </c>
      <c r="J54" s="50">
        <v>0</v>
      </c>
      <c r="K54" s="50">
        <v>1</v>
      </c>
      <c r="L54" s="50">
        <v>0</v>
      </c>
      <c r="M54" s="50">
        <v>120</v>
      </c>
      <c r="N54" s="50">
        <v>0</v>
      </c>
      <c r="O54" s="15">
        <f t="shared" si="0"/>
        <v>74</v>
      </c>
      <c r="P54" s="15">
        <f t="shared" si="1"/>
        <v>194</v>
      </c>
      <c r="R54" s="8"/>
      <c r="T54"/>
    </row>
    <row r="55" spans="2:20" ht="23.1" customHeight="1" x14ac:dyDescent="0.25">
      <c r="B55" s="45" t="s">
        <v>82</v>
      </c>
      <c r="C55" s="50">
        <v>20</v>
      </c>
      <c r="D55" s="50">
        <v>18</v>
      </c>
      <c r="E55" s="50">
        <v>6</v>
      </c>
      <c r="F55" s="50">
        <v>15</v>
      </c>
      <c r="G55" s="50">
        <v>2</v>
      </c>
      <c r="H55" s="50">
        <v>0</v>
      </c>
      <c r="I55" s="50">
        <v>3</v>
      </c>
      <c r="J55" s="50">
        <v>1</v>
      </c>
      <c r="K55" s="50">
        <v>0</v>
      </c>
      <c r="L55" s="50">
        <v>0</v>
      </c>
      <c r="M55" s="50">
        <v>72</v>
      </c>
      <c r="N55" s="50">
        <v>0</v>
      </c>
      <c r="O55" s="15">
        <f t="shared" si="0"/>
        <v>65</v>
      </c>
      <c r="P55" s="15">
        <f t="shared" si="1"/>
        <v>137</v>
      </c>
      <c r="R55" s="8"/>
      <c r="T55"/>
    </row>
    <row r="56" spans="2:20" ht="23.1" customHeight="1" x14ac:dyDescent="0.25">
      <c r="B56" s="45" t="s">
        <v>83</v>
      </c>
      <c r="C56" s="50">
        <v>24</v>
      </c>
      <c r="D56" s="50">
        <v>6</v>
      </c>
      <c r="E56" s="50">
        <v>0</v>
      </c>
      <c r="F56" s="50">
        <v>4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73</v>
      </c>
      <c r="N56" s="50">
        <v>0</v>
      </c>
      <c r="O56" s="15">
        <f t="shared" si="0"/>
        <v>36</v>
      </c>
      <c r="P56" s="15">
        <f t="shared" si="1"/>
        <v>109</v>
      </c>
      <c r="R56" s="8"/>
      <c r="T56"/>
    </row>
    <row r="57" spans="2:20" ht="23.1" customHeight="1" x14ac:dyDescent="0.25">
      <c r="B57" s="45" t="s">
        <v>84</v>
      </c>
      <c r="C57" s="50">
        <v>22</v>
      </c>
      <c r="D57" s="50">
        <v>9</v>
      </c>
      <c r="E57" s="50">
        <v>0</v>
      </c>
      <c r="F57" s="50">
        <v>8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80</v>
      </c>
      <c r="N57" s="50">
        <v>0</v>
      </c>
      <c r="O57" s="15">
        <f t="shared" si="0"/>
        <v>42</v>
      </c>
      <c r="P57" s="15">
        <f t="shared" si="1"/>
        <v>122</v>
      </c>
      <c r="R57" s="8"/>
      <c r="T57"/>
    </row>
    <row r="58" spans="2:20" ht="23.1" customHeight="1" x14ac:dyDescent="0.25">
      <c r="B58" s="45" t="s">
        <v>99</v>
      </c>
      <c r="C58" s="50">
        <v>18</v>
      </c>
      <c r="D58" s="50">
        <v>21</v>
      </c>
      <c r="E58" s="50">
        <v>0</v>
      </c>
      <c r="F58" s="50">
        <v>7</v>
      </c>
      <c r="G58" s="50">
        <v>0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85</v>
      </c>
      <c r="N58" s="50">
        <v>0</v>
      </c>
      <c r="O58" s="15">
        <f t="shared" ref="O58:O105" si="35">SUM(C58:L58,N58)</f>
        <v>47</v>
      </c>
      <c r="P58" s="15">
        <f t="shared" ref="P58:P105" si="36">SUM(C58:N58)</f>
        <v>132</v>
      </c>
      <c r="R58" s="8"/>
      <c r="T58"/>
    </row>
    <row r="59" spans="2:20" ht="23.1" customHeight="1" x14ac:dyDescent="0.25">
      <c r="B59" s="45" t="s">
        <v>100</v>
      </c>
      <c r="C59" s="50">
        <v>25</v>
      </c>
      <c r="D59" s="50">
        <v>30</v>
      </c>
      <c r="E59" s="50">
        <v>0</v>
      </c>
      <c r="F59" s="50">
        <v>6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2</v>
      </c>
      <c r="M59" s="50">
        <v>60</v>
      </c>
      <c r="N59" s="50">
        <v>0</v>
      </c>
      <c r="O59" s="15">
        <f t="shared" si="35"/>
        <v>63</v>
      </c>
      <c r="P59" s="15">
        <f t="shared" si="36"/>
        <v>123</v>
      </c>
      <c r="R59" s="8"/>
      <c r="T59"/>
    </row>
    <row r="60" spans="2:20" ht="23.1" customHeight="1" x14ac:dyDescent="0.25">
      <c r="B60" s="45" t="s">
        <v>101</v>
      </c>
      <c r="C60" s="50">
        <v>32</v>
      </c>
      <c r="D60" s="50">
        <v>11</v>
      </c>
      <c r="E60" s="50">
        <v>1</v>
      </c>
      <c r="F60" s="50">
        <v>14</v>
      </c>
      <c r="G60" s="50">
        <v>0</v>
      </c>
      <c r="H60" s="50">
        <v>0</v>
      </c>
      <c r="I60" s="50">
        <v>3</v>
      </c>
      <c r="J60" s="50">
        <v>0</v>
      </c>
      <c r="K60" s="50">
        <v>0</v>
      </c>
      <c r="L60" s="50">
        <v>0</v>
      </c>
      <c r="M60" s="50">
        <v>55</v>
      </c>
      <c r="N60" s="50">
        <v>0</v>
      </c>
      <c r="O60" s="15">
        <f t="shared" si="35"/>
        <v>61</v>
      </c>
      <c r="P60" s="15">
        <f t="shared" si="36"/>
        <v>116</v>
      </c>
      <c r="R60" s="8"/>
      <c r="T60"/>
    </row>
    <row r="61" spans="2:20" ht="23.1" customHeight="1" x14ac:dyDescent="0.25">
      <c r="B61" s="45" t="s">
        <v>102</v>
      </c>
      <c r="C61" s="50">
        <v>23</v>
      </c>
      <c r="D61" s="50">
        <v>12</v>
      </c>
      <c r="E61" s="50">
        <v>0</v>
      </c>
      <c r="F61" s="50">
        <v>15</v>
      </c>
      <c r="G61" s="50">
        <v>0</v>
      </c>
      <c r="H61" s="50">
        <v>0</v>
      </c>
      <c r="I61" s="50">
        <v>1</v>
      </c>
      <c r="J61" s="50">
        <v>0</v>
      </c>
      <c r="K61" s="50">
        <v>0</v>
      </c>
      <c r="L61" s="50">
        <v>0</v>
      </c>
      <c r="M61" s="50">
        <v>60</v>
      </c>
      <c r="N61" s="50">
        <v>0</v>
      </c>
      <c r="O61" s="15">
        <f t="shared" si="35"/>
        <v>51</v>
      </c>
      <c r="P61" s="15">
        <f t="shared" si="36"/>
        <v>111</v>
      </c>
      <c r="R61" s="8"/>
      <c r="T61"/>
    </row>
    <row r="62" spans="2:20" ht="23.1" customHeight="1" x14ac:dyDescent="0.25">
      <c r="B62" s="45" t="s">
        <v>107</v>
      </c>
      <c r="C62" s="50">
        <v>28</v>
      </c>
      <c r="D62" s="50">
        <v>23</v>
      </c>
      <c r="E62" s="50">
        <v>0</v>
      </c>
      <c r="F62" s="50">
        <v>12</v>
      </c>
      <c r="G62" s="50">
        <v>2</v>
      </c>
      <c r="H62" s="50">
        <v>0</v>
      </c>
      <c r="I62" s="50">
        <v>1</v>
      </c>
      <c r="J62" s="50">
        <v>0</v>
      </c>
      <c r="K62" s="50">
        <v>0</v>
      </c>
      <c r="L62" s="50">
        <v>0</v>
      </c>
      <c r="M62" s="50">
        <v>55</v>
      </c>
      <c r="N62" s="50">
        <v>0</v>
      </c>
      <c r="O62" s="15">
        <f>SUM(C62:L62,N62)</f>
        <v>66</v>
      </c>
      <c r="P62" s="15">
        <f>SUM(C62:N62)</f>
        <v>121</v>
      </c>
      <c r="R62" s="8"/>
      <c r="T62"/>
    </row>
    <row r="63" spans="2:20" ht="23.1" customHeight="1" x14ac:dyDescent="0.25">
      <c r="B63" s="45" t="s">
        <v>108</v>
      </c>
      <c r="C63" s="50">
        <v>32</v>
      </c>
      <c r="D63" s="50">
        <v>13</v>
      </c>
      <c r="E63" s="50">
        <v>1</v>
      </c>
      <c r="F63" s="50">
        <v>10</v>
      </c>
      <c r="G63" s="50">
        <v>0</v>
      </c>
      <c r="H63" s="50">
        <v>0</v>
      </c>
      <c r="I63" s="50">
        <v>2</v>
      </c>
      <c r="J63" s="50">
        <v>0</v>
      </c>
      <c r="K63" s="50">
        <v>0</v>
      </c>
      <c r="L63" s="50">
        <v>0</v>
      </c>
      <c r="M63" s="50">
        <v>75</v>
      </c>
      <c r="N63" s="50">
        <v>0</v>
      </c>
      <c r="O63" s="15">
        <f>SUM(C63:L63,N63)</f>
        <v>58</v>
      </c>
      <c r="P63" s="15">
        <f>SUM(C63:N63)</f>
        <v>133</v>
      </c>
      <c r="R63" s="8"/>
      <c r="T63"/>
    </row>
    <row r="64" spans="2:20" ht="23.1" customHeight="1" x14ac:dyDescent="0.25">
      <c r="B64" s="45" t="s">
        <v>109</v>
      </c>
      <c r="C64" s="50">
        <v>14</v>
      </c>
      <c r="D64" s="50">
        <v>12</v>
      </c>
      <c r="E64" s="50">
        <v>1</v>
      </c>
      <c r="F64" s="50">
        <v>10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80</v>
      </c>
      <c r="N64" s="50">
        <v>0</v>
      </c>
      <c r="O64" s="15">
        <f>SUM(C64:L64,N64)</f>
        <v>37</v>
      </c>
      <c r="P64" s="15">
        <f>SUM(C64:N64)</f>
        <v>117</v>
      </c>
      <c r="R64" s="8"/>
      <c r="T64"/>
    </row>
    <row r="65" spans="2:20" ht="23.1" customHeight="1" x14ac:dyDescent="0.25">
      <c r="B65" s="45" t="s">
        <v>158</v>
      </c>
      <c r="C65" s="50">
        <v>26</v>
      </c>
      <c r="D65" s="50">
        <v>23</v>
      </c>
      <c r="E65" s="50">
        <v>1</v>
      </c>
      <c r="F65" s="50">
        <v>9</v>
      </c>
      <c r="G65" s="50">
        <v>0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70</v>
      </c>
      <c r="N65" s="50">
        <v>0</v>
      </c>
      <c r="O65" s="15">
        <f>SUM(C65:L65,N65)</f>
        <v>60</v>
      </c>
      <c r="P65" s="15">
        <f>SUM(C65:N65)</f>
        <v>130</v>
      </c>
      <c r="R65" s="8"/>
      <c r="T65"/>
    </row>
    <row r="66" spans="2:20" ht="23.1" customHeight="1" x14ac:dyDescent="0.25">
      <c r="B66" s="45" t="s">
        <v>103</v>
      </c>
      <c r="C66" s="50">
        <v>26</v>
      </c>
      <c r="D66" s="50">
        <v>13</v>
      </c>
      <c r="E66" s="50">
        <v>0</v>
      </c>
      <c r="F66" s="50">
        <v>6</v>
      </c>
      <c r="G66" s="50">
        <v>0</v>
      </c>
      <c r="H66" s="50">
        <v>0</v>
      </c>
      <c r="I66" s="50">
        <v>1</v>
      </c>
      <c r="J66" s="50">
        <v>0</v>
      </c>
      <c r="K66" s="50">
        <v>0</v>
      </c>
      <c r="L66" s="50">
        <v>0</v>
      </c>
      <c r="M66" s="50">
        <v>50</v>
      </c>
      <c r="N66" s="50">
        <v>0</v>
      </c>
      <c r="O66" s="15">
        <f t="shared" si="35"/>
        <v>46</v>
      </c>
      <c r="P66" s="15">
        <f t="shared" si="36"/>
        <v>96</v>
      </c>
      <c r="R66" s="8"/>
      <c r="T66"/>
    </row>
    <row r="67" spans="2:20" ht="23.1" customHeight="1" x14ac:dyDescent="0.25">
      <c r="B67" s="45" t="s">
        <v>104</v>
      </c>
      <c r="C67" s="50">
        <v>22</v>
      </c>
      <c r="D67" s="50">
        <v>5</v>
      </c>
      <c r="E67" s="50">
        <v>0</v>
      </c>
      <c r="F67" s="50">
        <v>5</v>
      </c>
      <c r="G67" s="50">
        <v>0</v>
      </c>
      <c r="H67" s="50">
        <v>0</v>
      </c>
      <c r="I67" s="50">
        <v>0</v>
      </c>
      <c r="J67" s="50">
        <v>0</v>
      </c>
      <c r="K67" s="50">
        <v>1</v>
      </c>
      <c r="L67" s="50">
        <v>0</v>
      </c>
      <c r="M67" s="50">
        <v>30</v>
      </c>
      <c r="N67" s="50">
        <v>0</v>
      </c>
      <c r="O67" s="15">
        <f t="shared" si="35"/>
        <v>33</v>
      </c>
      <c r="P67" s="15">
        <f t="shared" si="36"/>
        <v>63</v>
      </c>
      <c r="R67" s="8"/>
      <c r="T67"/>
    </row>
    <row r="68" spans="2:20" ht="23.1" customHeight="1" x14ac:dyDescent="0.25">
      <c r="B68" s="45" t="s">
        <v>105</v>
      </c>
      <c r="C68" s="50">
        <v>26</v>
      </c>
      <c r="D68" s="50">
        <v>21</v>
      </c>
      <c r="E68" s="50">
        <v>0</v>
      </c>
      <c r="F68" s="50">
        <v>8</v>
      </c>
      <c r="G68" s="50">
        <v>0</v>
      </c>
      <c r="H68" s="50">
        <v>0</v>
      </c>
      <c r="I68" s="50">
        <v>1</v>
      </c>
      <c r="J68" s="50">
        <v>0</v>
      </c>
      <c r="K68" s="50">
        <v>0</v>
      </c>
      <c r="L68" s="50">
        <v>0</v>
      </c>
      <c r="M68" s="50">
        <v>60</v>
      </c>
      <c r="N68" s="50">
        <v>0</v>
      </c>
      <c r="O68" s="15">
        <f t="shared" si="35"/>
        <v>56</v>
      </c>
      <c r="P68" s="15">
        <f t="shared" si="36"/>
        <v>116</v>
      </c>
      <c r="R68" s="8"/>
      <c r="T68"/>
    </row>
    <row r="69" spans="2:20" ht="23.1" customHeight="1" x14ac:dyDescent="0.25">
      <c r="B69" s="45" t="s">
        <v>106</v>
      </c>
      <c r="C69" s="50">
        <v>17</v>
      </c>
      <c r="D69" s="50">
        <v>7</v>
      </c>
      <c r="E69" s="50">
        <v>0</v>
      </c>
      <c r="F69" s="50">
        <v>4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70</v>
      </c>
      <c r="N69" s="50">
        <v>0</v>
      </c>
      <c r="O69" s="15">
        <f t="shared" si="35"/>
        <v>28</v>
      </c>
      <c r="P69" s="15">
        <f t="shared" si="36"/>
        <v>98</v>
      </c>
      <c r="R69" s="8"/>
      <c r="T69"/>
    </row>
    <row r="70" spans="2:20" ht="23.1" customHeight="1" x14ac:dyDescent="0.25">
      <c r="B70" s="45" t="s">
        <v>110</v>
      </c>
      <c r="C70" s="50">
        <v>17</v>
      </c>
      <c r="D70" s="50">
        <v>13</v>
      </c>
      <c r="E70" s="50">
        <v>0</v>
      </c>
      <c r="F70" s="50">
        <v>3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20</v>
      </c>
      <c r="N70" s="50">
        <v>0</v>
      </c>
      <c r="O70" s="15">
        <f t="shared" si="35"/>
        <v>33</v>
      </c>
      <c r="P70" s="15">
        <f t="shared" si="36"/>
        <v>53</v>
      </c>
      <c r="R70" s="8"/>
      <c r="T70"/>
    </row>
    <row r="71" spans="2:20" ht="23.1" customHeight="1" x14ac:dyDescent="0.25">
      <c r="B71" s="45" t="s">
        <v>111</v>
      </c>
      <c r="C71" s="50">
        <v>13</v>
      </c>
      <c r="D71" s="50">
        <v>10</v>
      </c>
      <c r="E71" s="50">
        <v>0</v>
      </c>
      <c r="F71" s="50">
        <v>3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25</v>
      </c>
      <c r="N71" s="50">
        <v>0</v>
      </c>
      <c r="O71" s="15">
        <f t="shared" si="35"/>
        <v>26</v>
      </c>
      <c r="P71" s="15">
        <f t="shared" si="36"/>
        <v>51</v>
      </c>
      <c r="R71" s="8"/>
      <c r="T71"/>
    </row>
    <row r="72" spans="2:20" ht="23.1" customHeight="1" x14ac:dyDescent="0.25">
      <c r="B72" s="45" t="s">
        <v>112</v>
      </c>
      <c r="C72" s="50">
        <v>18</v>
      </c>
      <c r="D72" s="50">
        <v>3</v>
      </c>
      <c r="E72" s="50">
        <v>0</v>
      </c>
      <c r="F72" s="50">
        <v>2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20</v>
      </c>
      <c r="N72" s="50">
        <v>0</v>
      </c>
      <c r="O72" s="15">
        <f t="shared" si="35"/>
        <v>23</v>
      </c>
      <c r="P72" s="15">
        <f t="shared" si="36"/>
        <v>43</v>
      </c>
      <c r="R72" s="8"/>
      <c r="T72"/>
    </row>
    <row r="73" spans="2:20" ht="23.1" customHeight="1" x14ac:dyDescent="0.25">
      <c r="B73" s="45" t="s">
        <v>113</v>
      </c>
      <c r="C73" s="50">
        <v>16</v>
      </c>
      <c r="D73" s="50">
        <v>14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17</v>
      </c>
      <c r="N73" s="50">
        <v>0</v>
      </c>
      <c r="O73" s="15">
        <f t="shared" si="35"/>
        <v>30</v>
      </c>
      <c r="P73" s="15">
        <f t="shared" si="36"/>
        <v>47</v>
      </c>
      <c r="R73" s="8"/>
      <c r="T73"/>
    </row>
    <row r="74" spans="2:20" ht="23.1" customHeight="1" x14ac:dyDescent="0.25">
      <c r="B74" s="45" t="s">
        <v>114</v>
      </c>
      <c r="C74" s="50">
        <v>12</v>
      </c>
      <c r="D74" s="50">
        <v>4</v>
      </c>
      <c r="E74" s="50">
        <v>0</v>
      </c>
      <c r="F74" s="50">
        <v>0</v>
      </c>
      <c r="G74" s="50">
        <v>0</v>
      </c>
      <c r="H74" s="50">
        <v>0</v>
      </c>
      <c r="I74" s="50">
        <v>1</v>
      </c>
      <c r="J74" s="50">
        <v>1</v>
      </c>
      <c r="K74" s="50">
        <v>0</v>
      </c>
      <c r="L74" s="50">
        <v>0</v>
      </c>
      <c r="M74" s="50">
        <v>15</v>
      </c>
      <c r="N74" s="50">
        <v>0</v>
      </c>
      <c r="O74" s="15">
        <f t="shared" si="35"/>
        <v>18</v>
      </c>
      <c r="P74" s="15">
        <f t="shared" si="36"/>
        <v>33</v>
      </c>
      <c r="R74" s="8"/>
      <c r="T74"/>
    </row>
    <row r="75" spans="2:20" ht="23.1" customHeight="1" x14ac:dyDescent="0.25">
      <c r="B75" s="45" t="s">
        <v>115</v>
      </c>
      <c r="C75" s="50">
        <v>11</v>
      </c>
      <c r="D75" s="50">
        <v>4</v>
      </c>
      <c r="E75" s="50">
        <v>0</v>
      </c>
      <c r="F75" s="50">
        <v>2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17</v>
      </c>
      <c r="N75" s="50">
        <v>0</v>
      </c>
      <c r="O75" s="15">
        <f t="shared" si="35"/>
        <v>17</v>
      </c>
      <c r="P75" s="15">
        <f t="shared" si="36"/>
        <v>34</v>
      </c>
      <c r="R75" s="8"/>
      <c r="T75"/>
    </row>
    <row r="76" spans="2:20" ht="23.1" customHeight="1" x14ac:dyDescent="0.25">
      <c r="B76" s="45" t="s">
        <v>116</v>
      </c>
      <c r="C76" s="50">
        <v>9</v>
      </c>
      <c r="D76" s="50">
        <v>6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11</v>
      </c>
      <c r="N76" s="50">
        <v>0</v>
      </c>
      <c r="O76" s="15">
        <f t="shared" si="35"/>
        <v>15</v>
      </c>
      <c r="P76" s="15">
        <f t="shared" si="36"/>
        <v>26</v>
      </c>
      <c r="R76" s="8"/>
      <c r="T76"/>
    </row>
    <row r="77" spans="2:20" ht="23.1" customHeight="1" x14ac:dyDescent="0.25">
      <c r="B77" s="45" t="s">
        <v>117</v>
      </c>
      <c r="C77" s="50">
        <v>10</v>
      </c>
      <c r="D77" s="50">
        <v>5</v>
      </c>
      <c r="E77" s="50">
        <v>0</v>
      </c>
      <c r="F77" s="50">
        <v>1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22</v>
      </c>
      <c r="N77" s="50">
        <v>0</v>
      </c>
      <c r="O77" s="15">
        <f t="shared" si="35"/>
        <v>16</v>
      </c>
      <c r="P77" s="15">
        <f t="shared" si="36"/>
        <v>38</v>
      </c>
      <c r="R77" s="8"/>
      <c r="T77"/>
    </row>
    <row r="78" spans="2:20" ht="23.1" customHeight="1" x14ac:dyDescent="0.25">
      <c r="B78" s="46" t="s">
        <v>118</v>
      </c>
      <c r="C78" s="50">
        <v>9</v>
      </c>
      <c r="D78" s="50">
        <v>3</v>
      </c>
      <c r="E78" s="50">
        <v>0</v>
      </c>
      <c r="F78" s="50">
        <v>2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10</v>
      </c>
      <c r="N78" s="50">
        <v>0</v>
      </c>
      <c r="O78" s="15">
        <f t="shared" si="35"/>
        <v>14</v>
      </c>
      <c r="P78" s="15">
        <f t="shared" si="36"/>
        <v>24</v>
      </c>
      <c r="R78" s="8"/>
      <c r="T78"/>
    </row>
    <row r="79" spans="2:20" ht="23.1" customHeight="1" x14ac:dyDescent="0.25">
      <c r="B79" s="45" t="s">
        <v>119</v>
      </c>
      <c r="C79" s="50">
        <v>5</v>
      </c>
      <c r="D79" s="50">
        <v>2</v>
      </c>
      <c r="E79" s="50">
        <v>0</v>
      </c>
      <c r="F79" s="50">
        <v>3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6</v>
      </c>
      <c r="N79" s="50">
        <v>0</v>
      </c>
      <c r="O79" s="15">
        <f t="shared" si="35"/>
        <v>10</v>
      </c>
      <c r="P79" s="15">
        <f t="shared" si="36"/>
        <v>16</v>
      </c>
      <c r="R79" s="8"/>
      <c r="T79"/>
    </row>
    <row r="80" spans="2:20" ht="23.1" customHeight="1" x14ac:dyDescent="0.25">
      <c r="B80" s="47" t="s">
        <v>120</v>
      </c>
      <c r="C80" s="50">
        <v>7</v>
      </c>
      <c r="D80" s="50">
        <v>2</v>
      </c>
      <c r="E80" s="50">
        <v>0</v>
      </c>
      <c r="F80" s="50">
        <v>3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25</v>
      </c>
      <c r="N80" s="50">
        <v>0</v>
      </c>
      <c r="O80" s="15">
        <f t="shared" si="35"/>
        <v>12</v>
      </c>
      <c r="P80" s="15">
        <f t="shared" si="36"/>
        <v>37</v>
      </c>
      <c r="R80" s="8"/>
      <c r="T80"/>
    </row>
    <row r="81" spans="2:20" ht="23.1" customHeight="1" x14ac:dyDescent="0.25">
      <c r="B81" s="45" t="s">
        <v>121</v>
      </c>
      <c r="C81" s="50">
        <v>9</v>
      </c>
      <c r="D81" s="50">
        <v>4</v>
      </c>
      <c r="E81" s="50">
        <v>0</v>
      </c>
      <c r="F81" s="50">
        <v>2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10</v>
      </c>
      <c r="N81" s="50">
        <v>0</v>
      </c>
      <c r="O81" s="15">
        <f t="shared" si="35"/>
        <v>15</v>
      </c>
      <c r="P81" s="15">
        <f t="shared" si="36"/>
        <v>25</v>
      </c>
      <c r="R81" s="8"/>
      <c r="T81"/>
    </row>
    <row r="82" spans="2:20" ht="23.1" customHeight="1" x14ac:dyDescent="0.25">
      <c r="B82" s="46" t="s">
        <v>122</v>
      </c>
      <c r="C82" s="50">
        <v>4</v>
      </c>
      <c r="D82" s="50">
        <v>1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25</v>
      </c>
      <c r="N82" s="50">
        <v>0</v>
      </c>
      <c r="O82" s="15">
        <f t="shared" si="35"/>
        <v>5</v>
      </c>
      <c r="P82" s="15">
        <f t="shared" si="36"/>
        <v>30</v>
      </c>
      <c r="R82" s="8"/>
      <c r="T82"/>
    </row>
    <row r="83" spans="2:20" ht="23.1" customHeight="1" x14ac:dyDescent="0.25">
      <c r="B83" s="45" t="s">
        <v>123</v>
      </c>
      <c r="C83" s="50">
        <v>8</v>
      </c>
      <c r="D83" s="50">
        <v>2</v>
      </c>
      <c r="E83" s="50">
        <v>0</v>
      </c>
      <c r="F83" s="50">
        <v>2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10</v>
      </c>
      <c r="N83" s="50">
        <v>0</v>
      </c>
      <c r="O83" s="15">
        <f t="shared" si="35"/>
        <v>12</v>
      </c>
      <c r="P83" s="15">
        <f t="shared" si="36"/>
        <v>22</v>
      </c>
      <c r="R83" s="8"/>
      <c r="T83"/>
    </row>
    <row r="84" spans="2:20" ht="23.1" customHeight="1" x14ac:dyDescent="0.25">
      <c r="B84" s="47" t="s">
        <v>124</v>
      </c>
      <c r="C84" s="50">
        <v>7</v>
      </c>
      <c r="D84" s="50">
        <v>4</v>
      </c>
      <c r="E84" s="50">
        <v>0</v>
      </c>
      <c r="F84" s="50">
        <v>2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7</v>
      </c>
      <c r="N84" s="50">
        <v>0</v>
      </c>
      <c r="O84" s="15">
        <f t="shared" si="35"/>
        <v>13</v>
      </c>
      <c r="P84" s="15">
        <f t="shared" si="36"/>
        <v>20</v>
      </c>
      <c r="R84" s="8"/>
      <c r="T84"/>
    </row>
    <row r="85" spans="2:20" ht="23.1" customHeight="1" x14ac:dyDescent="0.25">
      <c r="B85" s="45" t="s">
        <v>125</v>
      </c>
      <c r="C85" s="50">
        <v>4</v>
      </c>
      <c r="D85" s="50">
        <v>3</v>
      </c>
      <c r="E85" s="50">
        <v>0</v>
      </c>
      <c r="F85" s="50">
        <v>3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15</v>
      </c>
      <c r="N85" s="50">
        <v>0</v>
      </c>
      <c r="O85" s="15">
        <f t="shared" si="35"/>
        <v>10</v>
      </c>
      <c r="P85" s="15">
        <f t="shared" si="36"/>
        <v>25</v>
      </c>
      <c r="R85" s="8"/>
      <c r="T85"/>
    </row>
    <row r="86" spans="2:20" ht="23.1" customHeight="1" x14ac:dyDescent="0.25">
      <c r="B86" s="46" t="s">
        <v>126</v>
      </c>
      <c r="C86" s="50">
        <v>3</v>
      </c>
      <c r="D86" s="50">
        <v>1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7</v>
      </c>
      <c r="N86" s="50">
        <v>0</v>
      </c>
      <c r="O86" s="15">
        <f t="shared" si="35"/>
        <v>4</v>
      </c>
      <c r="P86" s="15">
        <f t="shared" si="36"/>
        <v>11</v>
      </c>
      <c r="R86" s="8"/>
      <c r="T86"/>
    </row>
    <row r="87" spans="2:20" ht="23.1" customHeight="1" x14ac:dyDescent="0.25">
      <c r="B87" s="45" t="s">
        <v>127</v>
      </c>
      <c r="C87" s="50">
        <v>5</v>
      </c>
      <c r="D87" s="50">
        <v>1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8</v>
      </c>
      <c r="N87" s="50">
        <v>0</v>
      </c>
      <c r="O87" s="15">
        <f t="shared" si="35"/>
        <v>6</v>
      </c>
      <c r="P87" s="15">
        <f t="shared" si="36"/>
        <v>14</v>
      </c>
      <c r="R87" s="8"/>
      <c r="T87"/>
    </row>
    <row r="88" spans="2:20" ht="23.1" customHeight="1" x14ac:dyDescent="0.25">
      <c r="B88" s="47" t="s">
        <v>128</v>
      </c>
      <c r="C88" s="50">
        <v>2</v>
      </c>
      <c r="D88" s="50">
        <v>3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3</v>
      </c>
      <c r="N88" s="50">
        <v>0</v>
      </c>
      <c r="O88" s="15">
        <f t="shared" si="35"/>
        <v>5</v>
      </c>
      <c r="P88" s="15">
        <f t="shared" si="36"/>
        <v>8</v>
      </c>
      <c r="R88" s="8"/>
      <c r="T88"/>
    </row>
    <row r="89" spans="2:20" ht="23.1" customHeight="1" x14ac:dyDescent="0.25">
      <c r="B89" s="45" t="s">
        <v>129</v>
      </c>
      <c r="C89" s="50">
        <v>4</v>
      </c>
      <c r="D89" s="50">
        <v>2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5</v>
      </c>
      <c r="N89" s="50">
        <v>0</v>
      </c>
      <c r="O89" s="15">
        <f t="shared" si="35"/>
        <v>6</v>
      </c>
      <c r="P89" s="15">
        <f t="shared" si="36"/>
        <v>11</v>
      </c>
      <c r="R89" s="8"/>
      <c r="T89"/>
    </row>
    <row r="90" spans="2:20" ht="23.1" customHeight="1" x14ac:dyDescent="0.25">
      <c r="B90" s="46" t="s">
        <v>130</v>
      </c>
      <c r="C90" s="50">
        <v>4</v>
      </c>
      <c r="D90" s="50">
        <v>2</v>
      </c>
      <c r="E90" s="50">
        <v>0</v>
      </c>
      <c r="F90" s="50">
        <v>1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20</v>
      </c>
      <c r="N90" s="50">
        <v>0</v>
      </c>
      <c r="O90" s="15">
        <f t="shared" si="35"/>
        <v>7</v>
      </c>
      <c r="P90" s="15">
        <f t="shared" si="36"/>
        <v>27</v>
      </c>
      <c r="R90" s="8"/>
      <c r="T90"/>
    </row>
    <row r="91" spans="2:20" ht="23.1" customHeight="1" x14ac:dyDescent="0.25">
      <c r="B91" s="45" t="s">
        <v>131</v>
      </c>
      <c r="C91" s="50">
        <v>3</v>
      </c>
      <c r="D91" s="50">
        <v>1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4</v>
      </c>
      <c r="N91" s="50">
        <v>0</v>
      </c>
      <c r="O91" s="15">
        <f t="shared" si="35"/>
        <v>4</v>
      </c>
      <c r="P91" s="15">
        <f t="shared" si="36"/>
        <v>8</v>
      </c>
      <c r="R91" s="8"/>
      <c r="T91"/>
    </row>
    <row r="92" spans="2:20" ht="23.1" customHeight="1" x14ac:dyDescent="0.25">
      <c r="B92" s="47" t="s">
        <v>132</v>
      </c>
      <c r="C92" s="50">
        <v>2</v>
      </c>
      <c r="D92" s="50">
        <v>1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6</v>
      </c>
      <c r="N92" s="50">
        <v>0</v>
      </c>
      <c r="O92" s="15">
        <f t="shared" si="35"/>
        <v>3</v>
      </c>
      <c r="P92" s="15">
        <f t="shared" si="36"/>
        <v>9</v>
      </c>
      <c r="R92" s="8"/>
      <c r="T92"/>
    </row>
    <row r="93" spans="2:20" ht="23.1" customHeight="1" x14ac:dyDescent="0.25">
      <c r="B93" s="45" t="s">
        <v>133</v>
      </c>
      <c r="C93" s="50">
        <v>3</v>
      </c>
      <c r="D93" s="50">
        <v>2</v>
      </c>
      <c r="E93" s="50">
        <v>0</v>
      </c>
      <c r="F93" s="50">
        <v>3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4</v>
      </c>
      <c r="N93" s="50">
        <v>0</v>
      </c>
      <c r="O93" s="15">
        <f t="shared" si="35"/>
        <v>8</v>
      </c>
      <c r="P93" s="15">
        <f t="shared" si="36"/>
        <v>12</v>
      </c>
      <c r="R93" s="8"/>
      <c r="T93"/>
    </row>
    <row r="94" spans="2:20" ht="23.1" customHeight="1" x14ac:dyDescent="0.25">
      <c r="B94" s="46" t="s">
        <v>134</v>
      </c>
      <c r="C94" s="50">
        <v>2</v>
      </c>
      <c r="D94" s="50">
        <v>2</v>
      </c>
      <c r="E94" s="50">
        <v>0</v>
      </c>
      <c r="F94" s="50">
        <v>1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2</v>
      </c>
      <c r="N94" s="50">
        <v>0</v>
      </c>
      <c r="O94" s="15">
        <f t="shared" si="35"/>
        <v>5</v>
      </c>
      <c r="P94" s="15">
        <f t="shared" si="36"/>
        <v>7</v>
      </c>
      <c r="R94" s="8"/>
      <c r="T94"/>
    </row>
    <row r="95" spans="2:20" ht="23.1" customHeight="1" x14ac:dyDescent="0.25">
      <c r="B95" s="45" t="s">
        <v>135</v>
      </c>
      <c r="C95" s="50">
        <v>3</v>
      </c>
      <c r="D95" s="50">
        <v>1</v>
      </c>
      <c r="E95" s="50">
        <v>0</v>
      </c>
      <c r="F95" s="50">
        <v>2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6</v>
      </c>
      <c r="N95" s="50">
        <v>0</v>
      </c>
      <c r="O95" s="15">
        <f t="shared" si="35"/>
        <v>6</v>
      </c>
      <c r="P95" s="15">
        <f t="shared" si="36"/>
        <v>12</v>
      </c>
      <c r="R95" s="8"/>
      <c r="T95"/>
    </row>
    <row r="96" spans="2:20" ht="23.1" customHeight="1" x14ac:dyDescent="0.25">
      <c r="B96" s="47" t="s">
        <v>136</v>
      </c>
      <c r="C96" s="50">
        <v>5</v>
      </c>
      <c r="D96" s="50">
        <v>2</v>
      </c>
      <c r="E96" s="50">
        <v>0</v>
      </c>
      <c r="F96" s="50">
        <v>1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18</v>
      </c>
      <c r="N96" s="50">
        <v>0</v>
      </c>
      <c r="O96" s="15">
        <f t="shared" si="35"/>
        <v>8</v>
      </c>
      <c r="P96" s="15">
        <f t="shared" si="36"/>
        <v>26</v>
      </c>
      <c r="R96" s="8"/>
      <c r="T96"/>
    </row>
    <row r="97" spans="2:20" ht="23.1" customHeight="1" x14ac:dyDescent="0.25">
      <c r="B97" s="45" t="s">
        <v>137</v>
      </c>
      <c r="C97" s="50">
        <v>2</v>
      </c>
      <c r="D97" s="50">
        <v>5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5</v>
      </c>
      <c r="N97" s="50">
        <v>0</v>
      </c>
      <c r="O97" s="15">
        <f t="shared" si="35"/>
        <v>7</v>
      </c>
      <c r="P97" s="15">
        <f t="shared" si="36"/>
        <v>12</v>
      </c>
      <c r="R97" s="8"/>
      <c r="T97"/>
    </row>
    <row r="98" spans="2:20" ht="23.1" customHeight="1" x14ac:dyDescent="0.25">
      <c r="B98" s="46" t="s">
        <v>138</v>
      </c>
      <c r="C98" s="50">
        <v>5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25</v>
      </c>
      <c r="N98" s="50">
        <v>0</v>
      </c>
      <c r="O98" s="15">
        <f t="shared" si="35"/>
        <v>5</v>
      </c>
      <c r="P98" s="15">
        <f t="shared" si="36"/>
        <v>30</v>
      </c>
      <c r="R98" s="8"/>
      <c r="T98"/>
    </row>
    <row r="99" spans="2:20" ht="23.1" customHeight="1" x14ac:dyDescent="0.25">
      <c r="B99" s="45" t="s">
        <v>139</v>
      </c>
      <c r="C99" s="50">
        <v>4</v>
      </c>
      <c r="D99" s="50">
        <v>3</v>
      </c>
      <c r="E99" s="50">
        <v>0</v>
      </c>
      <c r="F99" s="50">
        <v>5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4</v>
      </c>
      <c r="N99" s="50">
        <v>0</v>
      </c>
      <c r="O99" s="15">
        <f t="shared" si="35"/>
        <v>12</v>
      </c>
      <c r="P99" s="15">
        <f t="shared" si="36"/>
        <v>16</v>
      </c>
      <c r="R99" s="8"/>
      <c r="T99"/>
    </row>
    <row r="100" spans="2:20" ht="23.1" customHeight="1" x14ac:dyDescent="0.25">
      <c r="B100" s="47" t="s">
        <v>140</v>
      </c>
      <c r="C100" s="50">
        <v>14</v>
      </c>
      <c r="D100" s="50">
        <v>6</v>
      </c>
      <c r="E100" s="50">
        <v>0</v>
      </c>
      <c r="F100" s="50">
        <v>6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2</v>
      </c>
      <c r="N100" s="50">
        <v>0</v>
      </c>
      <c r="O100" s="15">
        <f t="shared" si="35"/>
        <v>26</v>
      </c>
      <c r="P100" s="15">
        <f t="shared" si="36"/>
        <v>28</v>
      </c>
      <c r="R100" s="8"/>
      <c r="T100"/>
    </row>
    <row r="101" spans="2:20" ht="23.1" customHeight="1" x14ac:dyDescent="0.25">
      <c r="B101" s="45" t="s">
        <v>141</v>
      </c>
      <c r="C101" s="50">
        <v>11</v>
      </c>
      <c r="D101" s="50">
        <v>5</v>
      </c>
      <c r="E101" s="50">
        <v>0</v>
      </c>
      <c r="F101" s="50">
        <v>3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6</v>
      </c>
      <c r="N101" s="50">
        <v>0</v>
      </c>
      <c r="O101" s="15">
        <f t="shared" si="35"/>
        <v>19</v>
      </c>
      <c r="P101" s="15">
        <f t="shared" si="36"/>
        <v>25</v>
      </c>
      <c r="R101" s="8"/>
      <c r="T101"/>
    </row>
    <row r="102" spans="2:20" ht="23.1" customHeight="1" x14ac:dyDescent="0.25">
      <c r="B102" s="46" t="s">
        <v>142</v>
      </c>
      <c r="C102" s="50">
        <v>74</v>
      </c>
      <c r="D102" s="50">
        <v>50</v>
      </c>
      <c r="E102" s="50">
        <v>0</v>
      </c>
      <c r="F102" s="50">
        <v>7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10</v>
      </c>
      <c r="N102" s="50">
        <v>0</v>
      </c>
      <c r="O102" s="15">
        <f t="shared" si="35"/>
        <v>131</v>
      </c>
      <c r="P102" s="15">
        <f t="shared" si="36"/>
        <v>141</v>
      </c>
      <c r="R102" s="8"/>
      <c r="T102"/>
    </row>
    <row r="103" spans="2:20" ht="23.1" customHeight="1" x14ac:dyDescent="0.25">
      <c r="B103" s="45" t="s">
        <v>143</v>
      </c>
      <c r="C103" s="50">
        <v>85</v>
      </c>
      <c r="D103" s="50">
        <v>90</v>
      </c>
      <c r="E103" s="50">
        <v>1</v>
      </c>
      <c r="F103" s="50">
        <v>19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8</v>
      </c>
      <c r="N103" s="50">
        <v>0</v>
      </c>
      <c r="O103" s="15">
        <f t="shared" si="35"/>
        <v>195</v>
      </c>
      <c r="P103" s="15">
        <f t="shared" si="36"/>
        <v>203</v>
      </c>
      <c r="R103" s="8"/>
      <c r="T103"/>
    </row>
    <row r="104" spans="2:20" ht="23.1" customHeight="1" x14ac:dyDescent="0.25">
      <c r="B104" s="47" t="s">
        <v>144</v>
      </c>
      <c r="C104" s="50">
        <v>93</v>
      </c>
      <c r="D104" s="50">
        <v>110</v>
      </c>
      <c r="E104" s="50">
        <v>1</v>
      </c>
      <c r="F104" s="50">
        <v>19</v>
      </c>
      <c r="G104" s="50">
        <v>0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5</v>
      </c>
      <c r="N104" s="50">
        <v>0</v>
      </c>
      <c r="O104" s="15">
        <f t="shared" si="35"/>
        <v>224</v>
      </c>
      <c r="P104" s="15">
        <f t="shared" si="36"/>
        <v>229</v>
      </c>
      <c r="R104" s="8"/>
      <c r="T104"/>
    </row>
    <row r="105" spans="2:20" ht="23.1" customHeight="1" x14ac:dyDescent="0.25">
      <c r="B105" s="45" t="s">
        <v>145</v>
      </c>
      <c r="C105" s="50">
        <v>135</v>
      </c>
      <c r="D105" s="50">
        <v>110</v>
      </c>
      <c r="E105" s="50">
        <v>0</v>
      </c>
      <c r="F105" s="50">
        <v>18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15</v>
      </c>
      <c r="N105" s="50">
        <v>0</v>
      </c>
      <c r="O105" s="15">
        <f t="shared" si="35"/>
        <v>263</v>
      </c>
      <c r="P105" s="15">
        <f t="shared" si="36"/>
        <v>278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2866</v>
      </c>
      <c r="D106" s="16">
        <f t="shared" ref="D106:P106" si="37">SUM(D10:D105)</f>
        <v>1687</v>
      </c>
      <c r="E106" s="16">
        <f t="shared" si="37"/>
        <v>82</v>
      </c>
      <c r="F106" s="16">
        <f t="shared" si="37"/>
        <v>694</v>
      </c>
      <c r="G106" s="16">
        <f t="shared" si="37"/>
        <v>12</v>
      </c>
      <c r="H106" s="16">
        <f t="shared" si="37"/>
        <v>1</v>
      </c>
      <c r="I106" s="16">
        <f t="shared" si="37"/>
        <v>149</v>
      </c>
      <c r="J106" s="16">
        <f t="shared" si="37"/>
        <v>18</v>
      </c>
      <c r="K106" s="16">
        <f t="shared" si="37"/>
        <v>3</v>
      </c>
      <c r="L106" s="16">
        <f t="shared" si="37"/>
        <v>2</v>
      </c>
      <c r="M106" s="16">
        <f t="shared" si="37"/>
        <v>4764</v>
      </c>
      <c r="N106" s="16">
        <f t="shared" si="37"/>
        <v>0</v>
      </c>
      <c r="O106" s="16">
        <f t="shared" si="37"/>
        <v>5514</v>
      </c>
      <c r="P106" s="16">
        <f t="shared" si="37"/>
        <v>10278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0.27884802490756955</v>
      </c>
      <c r="D107" s="43">
        <f t="shared" si="38"/>
        <v>0.16413699163261336</v>
      </c>
      <c r="E107" s="43">
        <f t="shared" si="38"/>
        <v>7.9782058766296945E-3</v>
      </c>
      <c r="F107" s="43">
        <f t="shared" si="38"/>
        <v>6.7522864370500091E-2</v>
      </c>
      <c r="G107" s="43">
        <f t="shared" si="38"/>
        <v>1.1675423234092236E-3</v>
      </c>
      <c r="H107" s="43">
        <f t="shared" si="38"/>
        <v>9.7295193617435299E-5</v>
      </c>
      <c r="I107" s="43">
        <f t="shared" si="38"/>
        <v>1.449698384899786E-2</v>
      </c>
      <c r="J107" s="43">
        <f t="shared" si="38"/>
        <v>1.7513134851138354E-3</v>
      </c>
      <c r="K107" s="43">
        <f t="shared" si="38"/>
        <v>2.918855808523059E-4</v>
      </c>
      <c r="L107" s="43">
        <f t="shared" si="38"/>
        <v>1.945903872348706E-4</v>
      </c>
      <c r="M107" s="43">
        <f t="shared" si="38"/>
        <v>0.46351430239346175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0.5197678636198767</v>
      </c>
      <c r="D108" s="44">
        <f t="shared" ref="D108:N108" si="39">D106/$O$106</f>
        <v>0.30594849474066016</v>
      </c>
      <c r="E108" s="44">
        <f t="shared" si="39"/>
        <v>1.4871236851650345E-2</v>
      </c>
      <c r="F108" s="44">
        <f t="shared" si="39"/>
        <v>0.12586144359811388</v>
      </c>
      <c r="G108" s="44">
        <f t="shared" si="39"/>
        <v>2.176278563656148E-3</v>
      </c>
      <c r="H108" s="44">
        <f t="shared" si="39"/>
        <v>1.8135654697134566E-4</v>
      </c>
      <c r="I108" s="44">
        <f t="shared" si="39"/>
        <v>2.7022125498730506E-2</v>
      </c>
      <c r="J108" s="44">
        <f t="shared" si="39"/>
        <v>3.2644178454842221E-3</v>
      </c>
      <c r="K108" s="44">
        <f t="shared" si="39"/>
        <v>5.4406964091403701E-4</v>
      </c>
      <c r="L108" s="44">
        <f t="shared" si="39"/>
        <v>3.6271309394269132E-4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9" zoomScale="60" workbookViewId="0">
      <selection activeCell="M106" sqref="M10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Kisasi-Bukoto'!C3:G3</f>
        <v>MCC - C1 - STN32 - BUKOTO KISASI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'01.08 Kisasi-Bukoto'!D5</f>
        <v>01.08.19</v>
      </c>
      <c r="E5" s="3"/>
      <c r="F5" s="41" t="s">
        <v>1</v>
      </c>
      <c r="G5" s="63" t="str">
        <f>'01.08 Kisasi-Bukoto'!G5:H5</f>
        <v>KISASI</v>
      </c>
      <c r="H5" s="64"/>
      <c r="I5" s="14"/>
      <c r="J5" s="2" t="s">
        <v>5</v>
      </c>
      <c r="K5" s="63" t="str">
        <f>'01.08 Kisasi-Bukoto'!K5:L5</f>
        <v>RWAMBITITO J./NICHOL A./GEORGE W.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'29.07 Bukoto-Kisasi'!D6:E6</f>
        <v>BUKOTO</v>
      </c>
      <c r="E6" s="64"/>
      <c r="F6" s="2" t="s">
        <v>2</v>
      </c>
      <c r="G6" s="63" t="str">
        <f>'30.07 Bukoto-Kisasi'!G6:H6</f>
        <v>KISASI</v>
      </c>
      <c r="H6" s="64"/>
      <c r="J6" s="2" t="s">
        <v>21</v>
      </c>
      <c r="K6" s="63" t="str">
        <f>'01.08 Kisasi-Bukoto'!K6:L6</f>
        <v>SALIMA L.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95</v>
      </c>
      <c r="D10" s="50">
        <v>115</v>
      </c>
      <c r="E10" s="50">
        <v>6</v>
      </c>
      <c r="F10" s="50">
        <v>15</v>
      </c>
      <c r="G10" s="50">
        <v>0</v>
      </c>
      <c r="H10" s="50">
        <v>0</v>
      </c>
      <c r="I10" s="50">
        <v>1</v>
      </c>
      <c r="J10" s="50">
        <v>1</v>
      </c>
      <c r="K10" s="50">
        <v>0</v>
      </c>
      <c r="L10" s="50">
        <v>0</v>
      </c>
      <c r="M10" s="50">
        <v>130</v>
      </c>
      <c r="N10" s="50">
        <v>0</v>
      </c>
      <c r="O10" s="15">
        <f t="shared" ref="O10:O73" si="0">SUM(C10:L10,N10)</f>
        <v>233</v>
      </c>
      <c r="P10" s="15">
        <f t="shared" ref="P10:P73" si="1">SUM(C10:N10)</f>
        <v>363</v>
      </c>
      <c r="R10" s="1" t="s">
        <v>6</v>
      </c>
      <c r="S10" s="17">
        <f t="shared" ref="S10:AF10" si="2">SUM(C10:C13)</f>
        <v>546</v>
      </c>
      <c r="T10" s="17">
        <f t="shared" si="2"/>
        <v>615</v>
      </c>
      <c r="U10" s="17">
        <f t="shared" si="2"/>
        <v>10</v>
      </c>
      <c r="V10" s="17">
        <f t="shared" si="2"/>
        <v>36</v>
      </c>
      <c r="W10" s="17">
        <f t="shared" si="2"/>
        <v>0</v>
      </c>
      <c r="X10" s="17">
        <f t="shared" si="2"/>
        <v>1</v>
      </c>
      <c r="Y10" s="17">
        <f t="shared" si="2"/>
        <v>5</v>
      </c>
      <c r="Z10" s="17">
        <f t="shared" si="2"/>
        <v>1</v>
      </c>
      <c r="AA10" s="17">
        <f t="shared" si="2"/>
        <v>1</v>
      </c>
      <c r="AB10" s="17">
        <f t="shared" si="2"/>
        <v>0</v>
      </c>
      <c r="AC10" s="17">
        <f t="shared" si="2"/>
        <v>625</v>
      </c>
      <c r="AD10" s="17">
        <f t="shared" si="2"/>
        <v>0</v>
      </c>
      <c r="AE10" s="31">
        <f t="shared" si="2"/>
        <v>1215</v>
      </c>
      <c r="AF10" s="31">
        <f t="shared" si="2"/>
        <v>1840</v>
      </c>
    </row>
    <row r="11" spans="2:32" s="6" customFormat="1" ht="23.1" customHeight="1" x14ac:dyDescent="0.25">
      <c r="B11" s="45" t="s">
        <v>38</v>
      </c>
      <c r="C11" s="50">
        <v>105</v>
      </c>
      <c r="D11" s="50">
        <v>130</v>
      </c>
      <c r="E11" s="50">
        <v>3</v>
      </c>
      <c r="F11" s="50">
        <v>16</v>
      </c>
      <c r="G11" s="50">
        <v>0</v>
      </c>
      <c r="H11" s="50">
        <v>1</v>
      </c>
      <c r="I11" s="50">
        <v>2</v>
      </c>
      <c r="J11" s="50">
        <v>0</v>
      </c>
      <c r="K11" s="50">
        <v>0</v>
      </c>
      <c r="L11" s="50">
        <v>0</v>
      </c>
      <c r="M11" s="50">
        <v>155</v>
      </c>
      <c r="N11" s="50">
        <v>0</v>
      </c>
      <c r="O11" s="15">
        <f t="shared" si="0"/>
        <v>257</v>
      </c>
      <c r="P11" s="15">
        <f t="shared" si="1"/>
        <v>412</v>
      </c>
      <c r="R11" s="1" t="s">
        <v>7</v>
      </c>
      <c r="S11" s="17">
        <f t="shared" ref="S11:AF11" si="3">SUM(C14:C17)</f>
        <v>455</v>
      </c>
      <c r="T11" s="17">
        <f t="shared" si="3"/>
        <v>487</v>
      </c>
      <c r="U11" s="17">
        <f t="shared" si="3"/>
        <v>25</v>
      </c>
      <c r="V11" s="17">
        <f t="shared" si="3"/>
        <v>38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2</v>
      </c>
      <c r="AA11" s="17">
        <f t="shared" si="3"/>
        <v>1</v>
      </c>
      <c r="AB11" s="17">
        <f t="shared" si="3"/>
        <v>0</v>
      </c>
      <c r="AC11" s="17">
        <f t="shared" si="3"/>
        <v>521</v>
      </c>
      <c r="AD11" s="17">
        <f t="shared" si="3"/>
        <v>0</v>
      </c>
      <c r="AE11" s="31">
        <f t="shared" si="3"/>
        <v>1012</v>
      </c>
      <c r="AF11" s="31">
        <f t="shared" si="3"/>
        <v>1533</v>
      </c>
    </row>
    <row r="12" spans="2:32" ht="23.1" customHeight="1" x14ac:dyDescent="0.25">
      <c r="B12" s="45" t="s">
        <v>39</v>
      </c>
      <c r="C12" s="50">
        <v>136</v>
      </c>
      <c r="D12" s="50">
        <v>150</v>
      </c>
      <c r="E12" s="50">
        <v>1</v>
      </c>
      <c r="F12" s="50">
        <v>4</v>
      </c>
      <c r="G12" s="50">
        <v>0</v>
      </c>
      <c r="H12" s="50">
        <v>0</v>
      </c>
      <c r="I12" s="50">
        <v>2</v>
      </c>
      <c r="J12" s="50">
        <v>0</v>
      </c>
      <c r="K12" s="50">
        <v>1</v>
      </c>
      <c r="L12" s="50">
        <v>0</v>
      </c>
      <c r="M12" s="50">
        <v>160</v>
      </c>
      <c r="N12" s="50">
        <v>0</v>
      </c>
      <c r="O12" s="15">
        <f t="shared" si="0"/>
        <v>294</v>
      </c>
      <c r="P12" s="15">
        <f t="shared" si="1"/>
        <v>454</v>
      </c>
      <c r="R12" s="1" t="s">
        <v>8</v>
      </c>
      <c r="S12" s="17">
        <f t="shared" ref="S12:AF12" si="4">SUM(C18:C21)</f>
        <v>460</v>
      </c>
      <c r="T12" s="17">
        <f t="shared" si="4"/>
        <v>430</v>
      </c>
      <c r="U12" s="17">
        <f t="shared" si="4"/>
        <v>22</v>
      </c>
      <c r="V12" s="17">
        <f t="shared" si="4"/>
        <v>33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440</v>
      </c>
      <c r="AD12" s="17">
        <f t="shared" si="4"/>
        <v>0</v>
      </c>
      <c r="AE12" s="31">
        <f t="shared" si="4"/>
        <v>950</v>
      </c>
      <c r="AF12" s="31">
        <f t="shared" si="4"/>
        <v>1390</v>
      </c>
    </row>
    <row r="13" spans="2:32" ht="23.1" customHeight="1" x14ac:dyDescent="0.25">
      <c r="B13" s="45" t="s">
        <v>40</v>
      </c>
      <c r="C13" s="50">
        <v>210</v>
      </c>
      <c r="D13" s="50">
        <v>220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180</v>
      </c>
      <c r="N13" s="50">
        <v>0</v>
      </c>
      <c r="O13" s="15">
        <f t="shared" si="0"/>
        <v>431</v>
      </c>
      <c r="P13" s="15">
        <f t="shared" si="1"/>
        <v>611</v>
      </c>
      <c r="R13" s="1" t="s">
        <v>9</v>
      </c>
      <c r="S13" s="17">
        <f t="shared" ref="S13:AF13" si="5">SUM(C22:C25)</f>
        <v>381</v>
      </c>
      <c r="T13" s="17">
        <f t="shared" si="5"/>
        <v>358</v>
      </c>
      <c r="U13" s="17">
        <f t="shared" si="5"/>
        <v>7</v>
      </c>
      <c r="V13" s="17">
        <f t="shared" si="5"/>
        <v>10</v>
      </c>
      <c r="W13" s="17">
        <f t="shared" si="5"/>
        <v>7</v>
      </c>
      <c r="X13" s="17">
        <f t="shared" si="5"/>
        <v>0</v>
      </c>
      <c r="Y13" s="17">
        <f t="shared" si="5"/>
        <v>2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443</v>
      </c>
      <c r="AD13" s="17">
        <f t="shared" si="5"/>
        <v>0</v>
      </c>
      <c r="AE13" s="31">
        <f t="shared" si="5"/>
        <v>765</v>
      </c>
      <c r="AF13" s="31">
        <f t="shared" si="5"/>
        <v>1208</v>
      </c>
    </row>
    <row r="14" spans="2:32" ht="23.1" customHeight="1" x14ac:dyDescent="0.25">
      <c r="B14" s="45" t="s">
        <v>41</v>
      </c>
      <c r="C14" s="50">
        <v>160</v>
      </c>
      <c r="D14" s="50">
        <v>180</v>
      </c>
      <c r="E14" s="50">
        <v>0</v>
      </c>
      <c r="F14" s="50">
        <v>2</v>
      </c>
      <c r="G14" s="50">
        <v>0</v>
      </c>
      <c r="H14" s="50">
        <v>0</v>
      </c>
      <c r="I14" s="50">
        <v>1</v>
      </c>
      <c r="J14" s="50">
        <v>0</v>
      </c>
      <c r="K14" s="50">
        <v>1</v>
      </c>
      <c r="L14" s="50">
        <v>0</v>
      </c>
      <c r="M14" s="50">
        <v>180</v>
      </c>
      <c r="N14" s="50">
        <v>0</v>
      </c>
      <c r="O14" s="15">
        <f t="shared" si="0"/>
        <v>344</v>
      </c>
      <c r="P14" s="15">
        <f t="shared" si="1"/>
        <v>524</v>
      </c>
      <c r="R14" s="1" t="s">
        <v>10</v>
      </c>
      <c r="S14" s="17">
        <f t="shared" ref="S14:AF14" si="6">SUM(C26:C29)</f>
        <v>148</v>
      </c>
      <c r="T14" s="17">
        <f t="shared" si="6"/>
        <v>83</v>
      </c>
      <c r="U14" s="17">
        <f t="shared" si="6"/>
        <v>16</v>
      </c>
      <c r="V14" s="17">
        <f t="shared" si="6"/>
        <v>13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126</v>
      </c>
      <c r="AD14" s="17">
        <f t="shared" si="6"/>
        <v>0</v>
      </c>
      <c r="AE14" s="31">
        <f t="shared" si="6"/>
        <v>261</v>
      </c>
      <c r="AF14" s="31">
        <f t="shared" si="6"/>
        <v>387</v>
      </c>
    </row>
    <row r="15" spans="2:32" ht="23.1" customHeight="1" x14ac:dyDescent="0.25">
      <c r="B15" s="45" t="s">
        <v>42</v>
      </c>
      <c r="C15" s="50">
        <v>117</v>
      </c>
      <c r="D15" s="50">
        <v>120</v>
      </c>
      <c r="E15" s="50">
        <v>10</v>
      </c>
      <c r="F15" s="50">
        <v>11</v>
      </c>
      <c r="G15" s="50">
        <v>0</v>
      </c>
      <c r="H15" s="50">
        <v>0</v>
      </c>
      <c r="I15" s="50">
        <v>1</v>
      </c>
      <c r="J15" s="50">
        <v>2</v>
      </c>
      <c r="K15" s="50">
        <v>0</v>
      </c>
      <c r="L15" s="50">
        <v>0</v>
      </c>
      <c r="M15" s="50">
        <v>145</v>
      </c>
      <c r="N15" s="50">
        <v>0</v>
      </c>
      <c r="O15" s="15">
        <f t="shared" si="0"/>
        <v>261</v>
      </c>
      <c r="P15" s="15">
        <f t="shared" si="1"/>
        <v>406</v>
      </c>
      <c r="R15" s="1" t="s">
        <v>11</v>
      </c>
      <c r="S15" s="17">
        <f t="shared" ref="S15:AF15" si="7">SUM(C30:C33)</f>
        <v>75</v>
      </c>
      <c r="T15" s="17">
        <f t="shared" si="7"/>
        <v>52</v>
      </c>
      <c r="U15" s="17">
        <f t="shared" si="7"/>
        <v>4</v>
      </c>
      <c r="V15" s="17">
        <f t="shared" si="7"/>
        <v>6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124</v>
      </c>
      <c r="AD15" s="17">
        <f t="shared" si="7"/>
        <v>0</v>
      </c>
      <c r="AE15" s="31">
        <f t="shared" si="7"/>
        <v>138</v>
      </c>
      <c r="AF15" s="31">
        <f t="shared" si="7"/>
        <v>262</v>
      </c>
    </row>
    <row r="16" spans="2:32" ht="23.1" customHeight="1" x14ac:dyDescent="0.25">
      <c r="B16" s="45" t="s">
        <v>43</v>
      </c>
      <c r="C16" s="50">
        <v>105</v>
      </c>
      <c r="D16" s="50">
        <v>105</v>
      </c>
      <c r="E16" s="50">
        <v>6</v>
      </c>
      <c r="F16" s="50">
        <v>15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115</v>
      </c>
      <c r="N16" s="50">
        <v>0</v>
      </c>
      <c r="O16" s="15">
        <f t="shared" si="0"/>
        <v>231</v>
      </c>
      <c r="P16" s="15">
        <f t="shared" si="1"/>
        <v>346</v>
      </c>
      <c r="R16" s="1" t="s">
        <v>12</v>
      </c>
      <c r="S16" s="17">
        <f t="shared" ref="S16:AF16" si="8">SUM(C34:C37)</f>
        <v>23</v>
      </c>
      <c r="T16" s="17">
        <f t="shared" si="8"/>
        <v>17</v>
      </c>
      <c r="U16" s="17">
        <f t="shared" si="8"/>
        <v>1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47</v>
      </c>
      <c r="AD16" s="17">
        <f t="shared" si="8"/>
        <v>0</v>
      </c>
      <c r="AE16" s="31">
        <f t="shared" si="8"/>
        <v>41</v>
      </c>
      <c r="AF16" s="31">
        <f t="shared" si="8"/>
        <v>88</v>
      </c>
    </row>
    <row r="17" spans="2:32" ht="23.1" customHeight="1" x14ac:dyDescent="0.25">
      <c r="B17" s="45" t="s">
        <v>44</v>
      </c>
      <c r="C17" s="50">
        <v>73</v>
      </c>
      <c r="D17" s="50">
        <v>82</v>
      </c>
      <c r="E17" s="50">
        <v>9</v>
      </c>
      <c r="F17" s="50">
        <v>10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81</v>
      </c>
      <c r="N17" s="50">
        <v>0</v>
      </c>
      <c r="O17" s="15">
        <f t="shared" si="0"/>
        <v>176</v>
      </c>
      <c r="P17" s="15">
        <f t="shared" si="1"/>
        <v>257</v>
      </c>
      <c r="R17" s="1" t="s">
        <v>13</v>
      </c>
      <c r="S17" s="17">
        <f t="shared" ref="S17:AF17" si="9">SUM(C38:C41)</f>
        <v>38</v>
      </c>
      <c r="T17" s="17">
        <f t="shared" si="9"/>
        <v>10</v>
      </c>
      <c r="U17" s="17">
        <f t="shared" si="9"/>
        <v>2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50</v>
      </c>
      <c r="AD17" s="17">
        <f t="shared" si="9"/>
        <v>0</v>
      </c>
      <c r="AE17" s="31">
        <f t="shared" si="9"/>
        <v>53</v>
      </c>
      <c r="AF17" s="31">
        <f t="shared" si="9"/>
        <v>103</v>
      </c>
    </row>
    <row r="18" spans="2:32" ht="23.1" customHeight="1" x14ac:dyDescent="0.25">
      <c r="B18" s="45" t="s">
        <v>45</v>
      </c>
      <c r="C18" s="50">
        <v>85</v>
      </c>
      <c r="D18" s="50">
        <v>110</v>
      </c>
      <c r="E18" s="50">
        <v>7</v>
      </c>
      <c r="F18" s="50">
        <v>8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100</v>
      </c>
      <c r="N18" s="50">
        <v>0</v>
      </c>
      <c r="O18" s="15">
        <f t="shared" si="0"/>
        <v>211</v>
      </c>
      <c r="P18" s="15">
        <f t="shared" si="1"/>
        <v>311</v>
      </c>
      <c r="R18" s="1" t="s">
        <v>14</v>
      </c>
      <c r="S18" s="17">
        <f t="shared" ref="S18:AF18" si="10">SUM(C42:C45)</f>
        <v>28</v>
      </c>
      <c r="T18" s="17">
        <f t="shared" si="10"/>
        <v>9</v>
      </c>
      <c r="U18" s="17">
        <f t="shared" si="10"/>
        <v>0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26</v>
      </c>
      <c r="AD18" s="17">
        <f t="shared" si="10"/>
        <v>0</v>
      </c>
      <c r="AE18" s="31">
        <f t="shared" si="10"/>
        <v>41</v>
      </c>
      <c r="AF18" s="31">
        <f t="shared" si="10"/>
        <v>67</v>
      </c>
    </row>
    <row r="19" spans="2:32" ht="23.1" customHeight="1" x14ac:dyDescent="0.25">
      <c r="B19" s="45" t="s">
        <v>46</v>
      </c>
      <c r="C19" s="50">
        <v>95</v>
      </c>
      <c r="D19" s="50">
        <v>80</v>
      </c>
      <c r="E19" s="50">
        <v>6</v>
      </c>
      <c r="F19" s="50">
        <v>10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105</v>
      </c>
      <c r="N19" s="50">
        <v>0</v>
      </c>
      <c r="O19" s="15">
        <f t="shared" si="0"/>
        <v>191</v>
      </c>
      <c r="P19" s="15">
        <f t="shared" si="1"/>
        <v>296</v>
      </c>
      <c r="R19" s="1" t="s">
        <v>15</v>
      </c>
      <c r="S19" s="17">
        <f t="shared" ref="S19:AF19" si="11">SUM(C46:C49)</f>
        <v>14</v>
      </c>
      <c r="T19" s="17">
        <f t="shared" si="11"/>
        <v>5</v>
      </c>
      <c r="U19" s="17">
        <f t="shared" si="11"/>
        <v>2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20</v>
      </c>
      <c r="AD19" s="17">
        <f t="shared" si="11"/>
        <v>0</v>
      </c>
      <c r="AE19" s="31">
        <f t="shared" si="11"/>
        <v>24</v>
      </c>
      <c r="AF19" s="31">
        <f t="shared" si="11"/>
        <v>44</v>
      </c>
    </row>
    <row r="20" spans="2:32" ht="23.1" customHeight="1" x14ac:dyDescent="0.25">
      <c r="B20" s="45" t="s">
        <v>47</v>
      </c>
      <c r="C20" s="50">
        <v>140</v>
      </c>
      <c r="D20" s="50">
        <v>115</v>
      </c>
      <c r="E20" s="50">
        <v>4</v>
      </c>
      <c r="F20" s="50">
        <v>6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120</v>
      </c>
      <c r="N20" s="50">
        <v>0</v>
      </c>
      <c r="O20" s="15">
        <f t="shared" si="0"/>
        <v>267</v>
      </c>
      <c r="P20" s="15">
        <f t="shared" si="1"/>
        <v>387</v>
      </c>
      <c r="R20" s="1" t="s">
        <v>16</v>
      </c>
      <c r="S20" s="17">
        <f t="shared" ref="S20:AF20" si="12">SUM(C50:C53)</f>
        <v>21</v>
      </c>
      <c r="T20" s="17">
        <f t="shared" si="12"/>
        <v>5</v>
      </c>
      <c r="U20" s="17">
        <f t="shared" si="12"/>
        <v>5</v>
      </c>
      <c r="V20" s="17">
        <f t="shared" si="12"/>
        <v>9</v>
      </c>
      <c r="W20" s="17">
        <f t="shared" si="12"/>
        <v>2</v>
      </c>
      <c r="X20" s="17">
        <f t="shared" si="12"/>
        <v>0</v>
      </c>
      <c r="Y20" s="17">
        <f t="shared" si="12"/>
        <v>2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49</v>
      </c>
      <c r="AD20" s="17">
        <f t="shared" si="12"/>
        <v>0</v>
      </c>
      <c r="AE20" s="31">
        <f t="shared" si="12"/>
        <v>44</v>
      </c>
      <c r="AF20" s="31">
        <f t="shared" si="12"/>
        <v>93</v>
      </c>
    </row>
    <row r="21" spans="2:32" ht="23.1" customHeight="1" x14ac:dyDescent="0.25">
      <c r="B21" s="45" t="s">
        <v>48</v>
      </c>
      <c r="C21" s="50">
        <v>140</v>
      </c>
      <c r="D21" s="50">
        <v>125</v>
      </c>
      <c r="E21" s="50">
        <v>5</v>
      </c>
      <c r="F21" s="50">
        <v>9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115</v>
      </c>
      <c r="N21" s="50">
        <v>0</v>
      </c>
      <c r="O21" s="15">
        <f t="shared" si="0"/>
        <v>281</v>
      </c>
      <c r="P21" s="15">
        <f t="shared" si="1"/>
        <v>396</v>
      </c>
      <c r="R21" s="36" t="s">
        <v>20</v>
      </c>
      <c r="S21" s="34">
        <f t="shared" ref="S21:AF21" si="13">SUM(C54:C57)</f>
        <v>157</v>
      </c>
      <c r="T21" s="17">
        <f t="shared" si="13"/>
        <v>72</v>
      </c>
      <c r="U21" s="17">
        <f t="shared" si="13"/>
        <v>6</v>
      </c>
      <c r="V21" s="17">
        <f t="shared" si="13"/>
        <v>52</v>
      </c>
      <c r="W21" s="17">
        <f t="shared" si="13"/>
        <v>1</v>
      </c>
      <c r="X21" s="17">
        <f t="shared" si="13"/>
        <v>0</v>
      </c>
      <c r="Y21" s="17">
        <f t="shared" si="13"/>
        <v>4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242</v>
      </c>
      <c r="AD21" s="17">
        <f t="shared" si="13"/>
        <v>0</v>
      </c>
      <c r="AE21" s="31">
        <f t="shared" si="13"/>
        <v>292</v>
      </c>
      <c r="AF21" s="31">
        <f t="shared" si="13"/>
        <v>534</v>
      </c>
    </row>
    <row r="22" spans="2:32" ht="23.1" customHeight="1" x14ac:dyDescent="0.25">
      <c r="B22" s="45" t="s">
        <v>49</v>
      </c>
      <c r="C22" s="50">
        <v>140</v>
      </c>
      <c r="D22" s="50">
        <v>138</v>
      </c>
      <c r="E22" s="50">
        <v>3</v>
      </c>
      <c r="F22" s="50">
        <v>3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135</v>
      </c>
      <c r="N22" s="50">
        <v>0</v>
      </c>
      <c r="O22" s="15">
        <f t="shared" si="0"/>
        <v>284</v>
      </c>
      <c r="P22" s="15">
        <f t="shared" si="1"/>
        <v>419</v>
      </c>
      <c r="R22" s="36" t="s">
        <v>146</v>
      </c>
      <c r="S22" s="34">
        <f>SUM(C58:C61)</f>
        <v>57</v>
      </c>
      <c r="T22" s="34">
        <f t="shared" ref="T22:AF22" si="14">SUM(D58:D61)</f>
        <v>29</v>
      </c>
      <c r="U22" s="34">
        <f t="shared" si="14"/>
        <v>17</v>
      </c>
      <c r="V22" s="34">
        <f t="shared" si="14"/>
        <v>22</v>
      </c>
      <c r="W22" s="34">
        <f t="shared" si="14"/>
        <v>0</v>
      </c>
      <c r="X22" s="34">
        <f t="shared" si="14"/>
        <v>0</v>
      </c>
      <c r="Y22" s="34">
        <f t="shared" si="14"/>
        <v>1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120</v>
      </c>
      <c r="AD22" s="34">
        <f t="shared" si="14"/>
        <v>0</v>
      </c>
      <c r="AE22" s="31">
        <f t="shared" si="14"/>
        <v>126</v>
      </c>
      <c r="AF22" s="31">
        <f t="shared" si="14"/>
        <v>246</v>
      </c>
    </row>
    <row r="23" spans="2:32" ht="23.1" customHeight="1" x14ac:dyDescent="0.25">
      <c r="B23" s="45" t="s">
        <v>50</v>
      </c>
      <c r="C23" s="50">
        <v>88</v>
      </c>
      <c r="D23" s="50">
        <v>100</v>
      </c>
      <c r="E23" s="50">
        <v>3</v>
      </c>
      <c r="F23" s="50">
        <v>5</v>
      </c>
      <c r="G23" s="50">
        <v>2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105</v>
      </c>
      <c r="N23" s="50">
        <v>0</v>
      </c>
      <c r="O23" s="15">
        <f t="shared" si="0"/>
        <v>198</v>
      </c>
      <c r="P23" s="15">
        <f t="shared" si="1"/>
        <v>303</v>
      </c>
      <c r="R23" s="36" t="s">
        <v>147</v>
      </c>
      <c r="S23" s="34">
        <f>SUM(C62:C65)</f>
        <v>76</v>
      </c>
      <c r="T23" s="34">
        <f>'01.08 Kisasi-Bukoto'!K180</f>
        <v>0</v>
      </c>
      <c r="U23" s="34">
        <f>'01.08 Kisasi-Bukoto'!F10</f>
        <v>23</v>
      </c>
      <c r="V23" s="34">
        <f t="shared" ref="V23:AF23" si="15">SUM(F62:F65)</f>
        <v>33</v>
      </c>
      <c r="W23" s="34">
        <f t="shared" si="15"/>
        <v>2</v>
      </c>
      <c r="X23" s="34">
        <f t="shared" si="15"/>
        <v>0</v>
      </c>
      <c r="Y23" s="34">
        <f t="shared" si="15"/>
        <v>1</v>
      </c>
      <c r="Z23" s="34">
        <f t="shared" si="15"/>
        <v>2</v>
      </c>
      <c r="AA23" s="34">
        <f t="shared" si="15"/>
        <v>0</v>
      </c>
      <c r="AB23" s="34">
        <f t="shared" si="15"/>
        <v>0</v>
      </c>
      <c r="AC23" s="34">
        <f t="shared" si="15"/>
        <v>165</v>
      </c>
      <c r="AD23" s="34">
        <f t="shared" si="15"/>
        <v>0</v>
      </c>
      <c r="AE23" s="31">
        <f t="shared" si="15"/>
        <v>178</v>
      </c>
      <c r="AF23" s="31">
        <f t="shared" si="15"/>
        <v>343</v>
      </c>
    </row>
    <row r="24" spans="2:32" ht="23.1" customHeight="1" x14ac:dyDescent="0.25">
      <c r="B24" s="45" t="s">
        <v>51</v>
      </c>
      <c r="C24" s="50">
        <v>90</v>
      </c>
      <c r="D24" s="50">
        <v>91</v>
      </c>
      <c r="E24" s="50">
        <v>1</v>
      </c>
      <c r="F24" s="50">
        <v>2</v>
      </c>
      <c r="G24" s="50">
        <v>1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100</v>
      </c>
      <c r="N24" s="50">
        <v>0</v>
      </c>
      <c r="O24" s="15">
        <f t="shared" si="0"/>
        <v>185</v>
      </c>
      <c r="P24" s="15">
        <f t="shared" si="1"/>
        <v>285</v>
      </c>
      <c r="R24" s="36" t="s">
        <v>148</v>
      </c>
      <c r="S24" s="34">
        <f>SUM(C66:C69)</f>
        <v>64</v>
      </c>
      <c r="T24" s="34">
        <f t="shared" ref="T24:AF24" si="16">SUM(D66:D69)</f>
        <v>44</v>
      </c>
      <c r="U24" s="34">
        <f t="shared" si="16"/>
        <v>30</v>
      </c>
      <c r="V24" s="34">
        <f>SUM(F66:F69)</f>
        <v>35</v>
      </c>
      <c r="W24" s="34">
        <f t="shared" si="16"/>
        <v>0</v>
      </c>
      <c r="X24" s="34">
        <f t="shared" si="16"/>
        <v>1</v>
      </c>
      <c r="Y24" s="34">
        <f t="shared" si="16"/>
        <v>11</v>
      </c>
      <c r="Z24" s="34">
        <f t="shared" si="16"/>
        <v>3</v>
      </c>
      <c r="AA24" s="34">
        <f t="shared" si="16"/>
        <v>0</v>
      </c>
      <c r="AB24" s="34">
        <f t="shared" si="16"/>
        <v>0</v>
      </c>
      <c r="AC24" s="34">
        <f t="shared" si="16"/>
        <v>162</v>
      </c>
      <c r="AD24" s="34">
        <f t="shared" si="16"/>
        <v>0</v>
      </c>
      <c r="AE24" s="31">
        <f t="shared" si="16"/>
        <v>188</v>
      </c>
      <c r="AF24" s="31">
        <f t="shared" si="16"/>
        <v>350</v>
      </c>
    </row>
    <row r="25" spans="2:32" ht="23.1" customHeight="1" x14ac:dyDescent="0.25">
      <c r="B25" s="45" t="s">
        <v>52</v>
      </c>
      <c r="C25" s="50">
        <v>63</v>
      </c>
      <c r="D25" s="50">
        <v>29</v>
      </c>
      <c r="E25" s="50">
        <v>0</v>
      </c>
      <c r="F25" s="50">
        <v>0</v>
      </c>
      <c r="G25" s="50">
        <v>4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103</v>
      </c>
      <c r="N25" s="50">
        <v>0</v>
      </c>
      <c r="O25" s="15">
        <f t="shared" si="0"/>
        <v>98</v>
      </c>
      <c r="P25" s="15">
        <f t="shared" si="1"/>
        <v>201</v>
      </c>
      <c r="R25" s="36" t="s">
        <v>149</v>
      </c>
      <c r="S25" s="34">
        <f>SUM(C70:C73)</f>
        <v>63</v>
      </c>
      <c r="T25" s="34">
        <f t="shared" ref="T25:AF25" si="17">SUM(D70:D73)</f>
        <v>52</v>
      </c>
      <c r="U25" s="34">
        <f t="shared" si="17"/>
        <v>41</v>
      </c>
      <c r="V25" s="34">
        <f t="shared" si="17"/>
        <v>33</v>
      </c>
      <c r="W25" s="34">
        <f t="shared" si="17"/>
        <v>0</v>
      </c>
      <c r="X25" s="34">
        <f t="shared" si="17"/>
        <v>0</v>
      </c>
      <c r="Y25" s="34">
        <f t="shared" si="17"/>
        <v>3</v>
      </c>
      <c r="Z25" s="34">
        <f t="shared" si="17"/>
        <v>3</v>
      </c>
      <c r="AA25" s="34">
        <f t="shared" si="17"/>
        <v>0</v>
      </c>
      <c r="AB25" s="34">
        <f t="shared" si="17"/>
        <v>0</v>
      </c>
      <c r="AC25" s="34">
        <f t="shared" si="17"/>
        <v>199</v>
      </c>
      <c r="AD25" s="34">
        <f t="shared" si="17"/>
        <v>0</v>
      </c>
      <c r="AE25" s="31">
        <f t="shared" si="17"/>
        <v>195</v>
      </c>
      <c r="AF25" s="31">
        <f t="shared" si="17"/>
        <v>394</v>
      </c>
    </row>
    <row r="26" spans="2:32" ht="23.1" customHeight="1" x14ac:dyDescent="0.25">
      <c r="B26" s="45" t="s">
        <v>53</v>
      </c>
      <c r="C26" s="50">
        <v>43</v>
      </c>
      <c r="D26" s="50">
        <v>29</v>
      </c>
      <c r="E26" s="50">
        <v>4</v>
      </c>
      <c r="F26" s="50">
        <v>6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30</v>
      </c>
      <c r="N26" s="50">
        <v>0</v>
      </c>
      <c r="O26" s="15">
        <f t="shared" si="0"/>
        <v>83</v>
      </c>
      <c r="P26" s="15">
        <f t="shared" si="1"/>
        <v>113</v>
      </c>
      <c r="R26" s="36" t="s">
        <v>150</v>
      </c>
      <c r="S26" s="34">
        <f>SUM(C74:C77)</f>
        <v>68</v>
      </c>
      <c r="T26" s="34">
        <f t="shared" ref="T26:AF26" si="18">SUM(D74:D77)</f>
        <v>38</v>
      </c>
      <c r="U26" s="34">
        <f t="shared" si="18"/>
        <v>27</v>
      </c>
      <c r="V26" s="34">
        <f t="shared" si="18"/>
        <v>26</v>
      </c>
      <c r="W26" s="34">
        <f t="shared" si="18"/>
        <v>1</v>
      </c>
      <c r="X26" s="34">
        <f t="shared" si="18"/>
        <v>0</v>
      </c>
      <c r="Y26" s="34">
        <f t="shared" si="18"/>
        <v>8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166</v>
      </c>
      <c r="AD26" s="34">
        <f t="shared" si="18"/>
        <v>0</v>
      </c>
      <c r="AE26" s="31">
        <f t="shared" si="18"/>
        <v>169</v>
      </c>
      <c r="AF26" s="31">
        <f t="shared" si="18"/>
        <v>335</v>
      </c>
    </row>
    <row r="27" spans="2:32" ht="23.1" customHeight="1" x14ac:dyDescent="0.25">
      <c r="B27" s="45" t="s">
        <v>54</v>
      </c>
      <c r="C27" s="50">
        <v>40</v>
      </c>
      <c r="D27" s="50">
        <v>5</v>
      </c>
      <c r="E27" s="50">
        <v>5</v>
      </c>
      <c r="F27" s="50">
        <v>3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34</v>
      </c>
      <c r="N27" s="50">
        <v>0</v>
      </c>
      <c r="O27" s="15">
        <f t="shared" si="0"/>
        <v>53</v>
      </c>
      <c r="P27" s="15">
        <f t="shared" si="1"/>
        <v>87</v>
      </c>
      <c r="R27" s="36" t="s">
        <v>151</v>
      </c>
      <c r="S27" s="34">
        <f>SUM(C78:C81)</f>
        <v>63</v>
      </c>
      <c r="T27" s="34">
        <f t="shared" ref="T27:AF27" si="19">SUM(D78:D81)</f>
        <v>34</v>
      </c>
      <c r="U27" s="34">
        <f t="shared" si="19"/>
        <v>23</v>
      </c>
      <c r="V27" s="34">
        <f t="shared" si="19"/>
        <v>24</v>
      </c>
      <c r="W27" s="34">
        <f t="shared" si="19"/>
        <v>1</v>
      </c>
      <c r="X27" s="34">
        <f t="shared" si="19"/>
        <v>0</v>
      </c>
      <c r="Y27" s="34">
        <f t="shared" si="19"/>
        <v>3</v>
      </c>
      <c r="Z27" s="34">
        <f t="shared" si="19"/>
        <v>1</v>
      </c>
      <c r="AA27" s="34">
        <f t="shared" si="19"/>
        <v>0</v>
      </c>
      <c r="AB27" s="34">
        <f t="shared" si="19"/>
        <v>0</v>
      </c>
      <c r="AC27" s="34">
        <f t="shared" si="19"/>
        <v>218</v>
      </c>
      <c r="AD27" s="34">
        <f t="shared" si="19"/>
        <v>0</v>
      </c>
      <c r="AE27" s="31">
        <f t="shared" si="19"/>
        <v>149</v>
      </c>
      <c r="AF27" s="31">
        <f t="shared" si="19"/>
        <v>367</v>
      </c>
    </row>
    <row r="28" spans="2:32" ht="23.1" customHeight="1" x14ac:dyDescent="0.25">
      <c r="B28" s="45" t="s">
        <v>55</v>
      </c>
      <c r="C28" s="50">
        <v>46</v>
      </c>
      <c r="D28" s="50">
        <v>35</v>
      </c>
      <c r="E28" s="50">
        <v>3</v>
      </c>
      <c r="F28" s="50">
        <v>3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24</v>
      </c>
      <c r="N28" s="50">
        <v>0</v>
      </c>
      <c r="O28" s="15">
        <f t="shared" si="0"/>
        <v>87</v>
      </c>
      <c r="P28" s="15">
        <f t="shared" si="1"/>
        <v>111</v>
      </c>
      <c r="R28" s="36" t="s">
        <v>152</v>
      </c>
      <c r="S28" s="34">
        <f>SUM(C82:C85)</f>
        <v>101</v>
      </c>
      <c r="T28" s="34">
        <f t="shared" ref="T28:AF28" si="20">SUM(D82:D85)</f>
        <v>43</v>
      </c>
      <c r="U28" s="34">
        <f t="shared" si="20"/>
        <v>27</v>
      </c>
      <c r="V28" s="34">
        <f t="shared" si="20"/>
        <v>21</v>
      </c>
      <c r="W28" s="34">
        <f t="shared" si="20"/>
        <v>0</v>
      </c>
      <c r="X28" s="34">
        <f t="shared" si="20"/>
        <v>0</v>
      </c>
      <c r="Y28" s="34">
        <f t="shared" si="20"/>
        <v>15</v>
      </c>
      <c r="Z28" s="34">
        <f t="shared" si="20"/>
        <v>4</v>
      </c>
      <c r="AA28" s="34">
        <f t="shared" si="20"/>
        <v>1</v>
      </c>
      <c r="AB28" s="34">
        <f t="shared" si="20"/>
        <v>0</v>
      </c>
      <c r="AC28" s="34">
        <f t="shared" si="20"/>
        <v>231</v>
      </c>
      <c r="AD28" s="34">
        <f t="shared" si="20"/>
        <v>0</v>
      </c>
      <c r="AE28" s="31">
        <f t="shared" si="20"/>
        <v>212</v>
      </c>
      <c r="AF28" s="31">
        <f t="shared" si="20"/>
        <v>443</v>
      </c>
    </row>
    <row r="29" spans="2:32" ht="23.1" customHeight="1" x14ac:dyDescent="0.25">
      <c r="B29" s="45" t="s">
        <v>56</v>
      </c>
      <c r="C29" s="50">
        <v>19</v>
      </c>
      <c r="D29" s="50">
        <v>14</v>
      </c>
      <c r="E29" s="50">
        <v>4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38</v>
      </c>
      <c r="N29" s="50">
        <v>0</v>
      </c>
      <c r="O29" s="15">
        <f t="shared" si="0"/>
        <v>38</v>
      </c>
      <c r="P29" s="15">
        <f t="shared" si="1"/>
        <v>76</v>
      </c>
      <c r="R29" s="36" t="s">
        <v>153</v>
      </c>
      <c r="S29" s="34">
        <f>SUM(C86:C89)</f>
        <v>174</v>
      </c>
      <c r="T29" s="34">
        <f t="shared" ref="T29:AF29" si="21">SUM(D86:D89)</f>
        <v>60</v>
      </c>
      <c r="U29" s="34">
        <f t="shared" si="21"/>
        <v>43</v>
      </c>
      <c r="V29" s="34">
        <f t="shared" si="21"/>
        <v>54</v>
      </c>
      <c r="W29" s="34">
        <f t="shared" si="21"/>
        <v>1</v>
      </c>
      <c r="X29" s="34">
        <f t="shared" si="21"/>
        <v>0</v>
      </c>
      <c r="Y29" s="34">
        <f t="shared" si="21"/>
        <v>10</v>
      </c>
      <c r="Z29" s="34">
        <f t="shared" si="21"/>
        <v>4</v>
      </c>
      <c r="AA29" s="34">
        <f t="shared" si="21"/>
        <v>1</v>
      </c>
      <c r="AB29" s="34">
        <f t="shared" si="21"/>
        <v>0</v>
      </c>
      <c r="AC29" s="34">
        <f t="shared" si="21"/>
        <v>252</v>
      </c>
      <c r="AD29" s="34">
        <f t="shared" si="21"/>
        <v>0</v>
      </c>
      <c r="AE29" s="31">
        <f t="shared" si="21"/>
        <v>347</v>
      </c>
      <c r="AF29" s="31">
        <f t="shared" si="21"/>
        <v>599</v>
      </c>
    </row>
    <row r="30" spans="2:32" ht="23.1" customHeight="1" x14ac:dyDescent="0.25">
      <c r="B30" s="45" t="s">
        <v>57</v>
      </c>
      <c r="C30" s="50">
        <v>18</v>
      </c>
      <c r="D30" s="50">
        <v>15</v>
      </c>
      <c r="E30" s="50">
        <v>2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30</v>
      </c>
      <c r="N30" s="50">
        <v>0</v>
      </c>
      <c r="O30" s="15">
        <f t="shared" si="0"/>
        <v>36</v>
      </c>
      <c r="P30" s="15">
        <f t="shared" si="1"/>
        <v>66</v>
      </c>
      <c r="R30" s="36" t="s">
        <v>154</v>
      </c>
      <c r="S30" s="34">
        <f>SUM(C90:C93)</f>
        <v>209</v>
      </c>
      <c r="T30" s="34">
        <f t="shared" ref="T30:AF30" si="22">SUM(D90:D93)</f>
        <v>76</v>
      </c>
      <c r="U30" s="34">
        <f t="shared" si="22"/>
        <v>39</v>
      </c>
      <c r="V30" s="34">
        <f t="shared" si="22"/>
        <v>31</v>
      </c>
      <c r="W30" s="34">
        <f t="shared" si="22"/>
        <v>1</v>
      </c>
      <c r="X30" s="34">
        <f t="shared" si="22"/>
        <v>0</v>
      </c>
      <c r="Y30" s="34">
        <f t="shared" si="22"/>
        <v>6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240</v>
      </c>
      <c r="AD30" s="34">
        <f t="shared" si="22"/>
        <v>0</v>
      </c>
      <c r="AE30" s="31">
        <f t="shared" si="22"/>
        <v>363</v>
      </c>
      <c r="AF30" s="31">
        <f t="shared" si="22"/>
        <v>603</v>
      </c>
    </row>
    <row r="31" spans="2:32" ht="23.1" customHeight="1" x14ac:dyDescent="0.25">
      <c r="B31" s="46" t="s">
        <v>58</v>
      </c>
      <c r="C31" s="50">
        <v>26</v>
      </c>
      <c r="D31" s="50">
        <v>14</v>
      </c>
      <c r="E31" s="50">
        <v>1</v>
      </c>
      <c r="F31" s="50">
        <v>2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29</v>
      </c>
      <c r="N31" s="50">
        <v>0</v>
      </c>
      <c r="O31" s="15">
        <f t="shared" si="0"/>
        <v>43</v>
      </c>
      <c r="P31" s="15">
        <f t="shared" si="1"/>
        <v>72</v>
      </c>
      <c r="R31" s="36" t="s">
        <v>155</v>
      </c>
      <c r="S31" s="34">
        <f>SUM(C94:C97)</f>
        <v>246</v>
      </c>
      <c r="T31" s="34">
        <f t="shared" ref="T31:AF31" si="23">SUM(D94:D97)</f>
        <v>119</v>
      </c>
      <c r="U31" s="34">
        <f t="shared" si="23"/>
        <v>61</v>
      </c>
      <c r="V31" s="34">
        <f t="shared" si="23"/>
        <v>49</v>
      </c>
      <c r="W31" s="34">
        <f t="shared" si="23"/>
        <v>1</v>
      </c>
      <c r="X31" s="34">
        <f t="shared" si="23"/>
        <v>1</v>
      </c>
      <c r="Y31" s="34">
        <f t="shared" si="23"/>
        <v>6</v>
      </c>
      <c r="Z31" s="34">
        <f t="shared" si="23"/>
        <v>3</v>
      </c>
      <c r="AA31" s="34">
        <f t="shared" si="23"/>
        <v>0</v>
      </c>
      <c r="AB31" s="34">
        <f t="shared" si="23"/>
        <v>0</v>
      </c>
      <c r="AC31" s="34">
        <f t="shared" si="23"/>
        <v>270</v>
      </c>
      <c r="AD31" s="34">
        <f t="shared" si="23"/>
        <v>0</v>
      </c>
      <c r="AE31" s="31">
        <f t="shared" si="23"/>
        <v>486</v>
      </c>
      <c r="AF31" s="31">
        <f t="shared" si="23"/>
        <v>756</v>
      </c>
    </row>
    <row r="32" spans="2:32" ht="23.1" customHeight="1" x14ac:dyDescent="0.25">
      <c r="B32" s="46" t="s">
        <v>59</v>
      </c>
      <c r="C32" s="50">
        <v>18</v>
      </c>
      <c r="D32" s="50">
        <v>13</v>
      </c>
      <c r="E32" s="50">
        <v>0</v>
      </c>
      <c r="F32" s="50">
        <v>2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37</v>
      </c>
      <c r="N32" s="50">
        <v>0</v>
      </c>
      <c r="O32" s="15">
        <f t="shared" si="0"/>
        <v>33</v>
      </c>
      <c r="P32" s="15">
        <f t="shared" si="1"/>
        <v>70</v>
      </c>
      <c r="R32" s="33" t="s">
        <v>156</v>
      </c>
      <c r="S32" s="34">
        <f>SUM(C98:C101)</f>
        <v>390</v>
      </c>
      <c r="T32" s="34">
        <f t="shared" ref="T32:AF32" si="24">SUM(D98:D101)</f>
        <v>122</v>
      </c>
      <c r="U32" s="34">
        <f t="shared" si="24"/>
        <v>65</v>
      </c>
      <c r="V32" s="34">
        <f t="shared" si="24"/>
        <v>80</v>
      </c>
      <c r="W32" s="34">
        <f t="shared" si="24"/>
        <v>0</v>
      </c>
      <c r="X32" s="34">
        <f t="shared" si="24"/>
        <v>0</v>
      </c>
      <c r="Y32" s="34">
        <f t="shared" si="24"/>
        <v>11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308</v>
      </c>
      <c r="AD32" s="34">
        <f t="shared" si="24"/>
        <v>0</v>
      </c>
      <c r="AE32" s="31">
        <f t="shared" si="24"/>
        <v>669</v>
      </c>
      <c r="AF32" s="31">
        <f t="shared" si="24"/>
        <v>977</v>
      </c>
    </row>
    <row r="33" spans="2:32" ht="23.1" customHeight="1" x14ac:dyDescent="0.25">
      <c r="B33" s="45" t="s">
        <v>60</v>
      </c>
      <c r="C33" s="50">
        <v>13</v>
      </c>
      <c r="D33" s="50">
        <v>10</v>
      </c>
      <c r="E33" s="50">
        <v>1</v>
      </c>
      <c r="F33" s="50">
        <v>1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28</v>
      </c>
      <c r="N33" s="50">
        <v>0</v>
      </c>
      <c r="O33" s="15">
        <f t="shared" si="0"/>
        <v>26</v>
      </c>
      <c r="P33" s="15">
        <f t="shared" si="1"/>
        <v>54</v>
      </c>
      <c r="R33" s="33" t="s">
        <v>157</v>
      </c>
      <c r="S33" s="34">
        <f>SUM(C102:C105)</f>
        <v>541</v>
      </c>
      <c r="T33" s="34">
        <f t="shared" ref="T33:AF33" si="25">SUM(D102:D105)</f>
        <v>152</v>
      </c>
      <c r="U33" s="34">
        <f t="shared" si="25"/>
        <v>52</v>
      </c>
      <c r="V33" s="34">
        <f t="shared" si="25"/>
        <v>83</v>
      </c>
      <c r="W33" s="34">
        <f t="shared" si="25"/>
        <v>0</v>
      </c>
      <c r="X33" s="34">
        <f t="shared" si="25"/>
        <v>0</v>
      </c>
      <c r="Y33" s="34">
        <f t="shared" si="25"/>
        <v>6</v>
      </c>
      <c r="Z33" s="34">
        <f t="shared" si="25"/>
        <v>1</v>
      </c>
      <c r="AA33" s="34">
        <f t="shared" si="25"/>
        <v>1</v>
      </c>
      <c r="AB33" s="34">
        <f t="shared" si="25"/>
        <v>0</v>
      </c>
      <c r="AC33" s="34">
        <f t="shared" si="25"/>
        <v>311</v>
      </c>
      <c r="AD33" s="34">
        <f t="shared" si="25"/>
        <v>0</v>
      </c>
      <c r="AE33" s="31">
        <f t="shared" si="25"/>
        <v>836</v>
      </c>
      <c r="AF33" s="31">
        <f t="shared" si="25"/>
        <v>1147</v>
      </c>
    </row>
    <row r="34" spans="2:32" ht="23.1" customHeight="1" x14ac:dyDescent="0.25">
      <c r="B34" s="46" t="s">
        <v>61</v>
      </c>
      <c r="C34" s="50">
        <v>2</v>
      </c>
      <c r="D34" s="50">
        <v>3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11</v>
      </c>
      <c r="N34" s="50">
        <v>0</v>
      </c>
      <c r="O34" s="15">
        <f t="shared" si="0"/>
        <v>5</v>
      </c>
      <c r="P34" s="15">
        <f t="shared" si="1"/>
        <v>16</v>
      </c>
      <c r="R34" s="38" t="s">
        <v>90</v>
      </c>
      <c r="S34" s="39">
        <f t="shared" ref="S34:AF34" si="26">MAX(S10:S12)</f>
        <v>546</v>
      </c>
      <c r="T34" s="39">
        <f t="shared" si="26"/>
        <v>615</v>
      </c>
      <c r="U34" s="39">
        <f t="shared" si="26"/>
        <v>25</v>
      </c>
      <c r="V34" s="39">
        <f t="shared" si="26"/>
        <v>38</v>
      </c>
      <c r="W34" s="39">
        <f t="shared" si="26"/>
        <v>0</v>
      </c>
      <c r="X34" s="39">
        <f t="shared" si="26"/>
        <v>1</v>
      </c>
      <c r="Y34" s="39">
        <f t="shared" si="26"/>
        <v>5</v>
      </c>
      <c r="Z34" s="39">
        <f t="shared" si="26"/>
        <v>2</v>
      </c>
      <c r="AA34" s="39">
        <f t="shared" si="26"/>
        <v>1</v>
      </c>
      <c r="AB34" s="39">
        <f t="shared" si="26"/>
        <v>0</v>
      </c>
      <c r="AC34" s="39">
        <f t="shared" si="26"/>
        <v>625</v>
      </c>
      <c r="AD34" s="39">
        <f t="shared" si="26"/>
        <v>0</v>
      </c>
      <c r="AE34" s="40">
        <f t="shared" si="26"/>
        <v>1215</v>
      </c>
      <c r="AF34" s="40">
        <f t="shared" si="26"/>
        <v>1840</v>
      </c>
    </row>
    <row r="35" spans="2:32" ht="23.1" customHeight="1" x14ac:dyDescent="0.25">
      <c r="B35" s="46" t="s">
        <v>62</v>
      </c>
      <c r="C35" s="50">
        <v>7</v>
      </c>
      <c r="D35" s="50">
        <v>8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13</v>
      </c>
      <c r="N35" s="50">
        <v>0</v>
      </c>
      <c r="O35" s="15">
        <f t="shared" si="0"/>
        <v>16</v>
      </c>
      <c r="P35" s="15">
        <f t="shared" si="1"/>
        <v>29</v>
      </c>
      <c r="R35" s="38" t="s">
        <v>91</v>
      </c>
      <c r="S35" s="39">
        <f t="shared" ref="S35:AF35" si="27">MAX(S13:S18)</f>
        <v>381</v>
      </c>
      <c r="T35" s="39">
        <f t="shared" si="27"/>
        <v>358</v>
      </c>
      <c r="U35" s="39">
        <f t="shared" si="27"/>
        <v>16</v>
      </c>
      <c r="V35" s="39">
        <f t="shared" si="27"/>
        <v>13</v>
      </c>
      <c r="W35" s="39">
        <f t="shared" si="27"/>
        <v>7</v>
      </c>
      <c r="X35" s="39">
        <f t="shared" si="27"/>
        <v>0</v>
      </c>
      <c r="Y35" s="39">
        <f t="shared" si="27"/>
        <v>2</v>
      </c>
      <c r="Z35" s="39">
        <f t="shared" si="27"/>
        <v>0</v>
      </c>
      <c r="AA35" s="39">
        <f t="shared" si="27"/>
        <v>0</v>
      </c>
      <c r="AB35" s="39">
        <f t="shared" si="27"/>
        <v>0</v>
      </c>
      <c r="AC35" s="39">
        <f t="shared" si="27"/>
        <v>443</v>
      </c>
      <c r="AD35" s="39">
        <f t="shared" si="27"/>
        <v>0</v>
      </c>
      <c r="AE35" s="40">
        <f t="shared" si="27"/>
        <v>765</v>
      </c>
      <c r="AF35" s="40">
        <f t="shared" si="27"/>
        <v>1208</v>
      </c>
    </row>
    <row r="36" spans="2:32" ht="23.1" customHeight="1" x14ac:dyDescent="0.25">
      <c r="B36" s="46" t="s">
        <v>63</v>
      </c>
      <c r="C36" s="50">
        <v>9</v>
      </c>
      <c r="D36" s="50">
        <v>5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11</v>
      </c>
      <c r="N36" s="50">
        <v>0</v>
      </c>
      <c r="O36" s="15">
        <f t="shared" si="0"/>
        <v>14</v>
      </c>
      <c r="P36" s="15">
        <f t="shared" si="1"/>
        <v>25</v>
      </c>
      <c r="R36" s="38" t="s">
        <v>92</v>
      </c>
      <c r="S36" s="39">
        <f t="shared" ref="S36:AF36" si="28">MAX(S19:S21)</f>
        <v>157</v>
      </c>
      <c r="T36" s="39">
        <f t="shared" si="28"/>
        <v>72</v>
      </c>
      <c r="U36" s="39">
        <f t="shared" si="28"/>
        <v>6</v>
      </c>
      <c r="V36" s="39">
        <f t="shared" si="28"/>
        <v>52</v>
      </c>
      <c r="W36" s="39">
        <f t="shared" si="28"/>
        <v>2</v>
      </c>
      <c r="X36" s="39">
        <f t="shared" si="28"/>
        <v>0</v>
      </c>
      <c r="Y36" s="39">
        <f t="shared" si="28"/>
        <v>4</v>
      </c>
      <c r="Z36" s="39">
        <f t="shared" si="28"/>
        <v>0</v>
      </c>
      <c r="AA36" s="39">
        <f t="shared" si="28"/>
        <v>0</v>
      </c>
      <c r="AB36" s="39">
        <f t="shared" si="28"/>
        <v>0</v>
      </c>
      <c r="AC36" s="39">
        <f t="shared" si="28"/>
        <v>242</v>
      </c>
      <c r="AD36" s="39">
        <f t="shared" si="28"/>
        <v>0</v>
      </c>
      <c r="AE36" s="40">
        <f t="shared" si="28"/>
        <v>292</v>
      </c>
      <c r="AF36" s="40">
        <f t="shared" si="28"/>
        <v>534</v>
      </c>
    </row>
    <row r="37" spans="2:32" ht="23.1" customHeight="1" x14ac:dyDescent="0.25">
      <c r="B37" s="45" t="s">
        <v>64</v>
      </c>
      <c r="C37" s="50">
        <v>5</v>
      </c>
      <c r="D37" s="50">
        <v>1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12</v>
      </c>
      <c r="N37" s="50">
        <v>0</v>
      </c>
      <c r="O37" s="15">
        <f t="shared" si="0"/>
        <v>6</v>
      </c>
      <c r="P37" s="15">
        <f t="shared" si="1"/>
        <v>18</v>
      </c>
      <c r="R37" s="37" t="s">
        <v>85</v>
      </c>
      <c r="S37" s="35">
        <f t="shared" ref="S37:AF37" si="29">SUM(S10:S12)</f>
        <v>1461</v>
      </c>
      <c r="T37" s="16">
        <f t="shared" si="29"/>
        <v>1532</v>
      </c>
      <c r="U37" s="16">
        <f t="shared" si="29"/>
        <v>57</v>
      </c>
      <c r="V37" s="16">
        <f t="shared" si="29"/>
        <v>107</v>
      </c>
      <c r="W37" s="16">
        <f t="shared" si="29"/>
        <v>0</v>
      </c>
      <c r="X37" s="16">
        <f t="shared" si="29"/>
        <v>1</v>
      </c>
      <c r="Y37" s="16">
        <f t="shared" si="29"/>
        <v>14</v>
      </c>
      <c r="Z37" s="16">
        <f t="shared" si="29"/>
        <v>3</v>
      </c>
      <c r="AA37" s="16">
        <f t="shared" si="29"/>
        <v>2</v>
      </c>
      <c r="AB37" s="16">
        <f t="shared" si="29"/>
        <v>0</v>
      </c>
      <c r="AC37" s="16">
        <f t="shared" si="29"/>
        <v>1586</v>
      </c>
      <c r="AD37" s="16">
        <f t="shared" si="29"/>
        <v>0</v>
      </c>
      <c r="AE37" s="32">
        <f t="shared" si="29"/>
        <v>3177</v>
      </c>
      <c r="AF37" s="32">
        <f t="shared" si="29"/>
        <v>4763</v>
      </c>
    </row>
    <row r="38" spans="2:32" ht="23.1" customHeight="1" x14ac:dyDescent="0.25">
      <c r="B38" s="46" t="s">
        <v>65</v>
      </c>
      <c r="C38" s="50">
        <v>14</v>
      </c>
      <c r="D38" s="50">
        <v>4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23</v>
      </c>
      <c r="N38" s="50">
        <v>0</v>
      </c>
      <c r="O38" s="15">
        <f t="shared" si="0"/>
        <v>18</v>
      </c>
      <c r="P38" s="15">
        <f t="shared" si="1"/>
        <v>41</v>
      </c>
      <c r="R38" s="28" t="s">
        <v>86</v>
      </c>
      <c r="S38" s="16">
        <f t="shared" ref="S38:AF38" si="30">SUM(S13:S18)</f>
        <v>693</v>
      </c>
      <c r="T38" s="16">
        <f t="shared" si="30"/>
        <v>529</v>
      </c>
      <c r="U38" s="16">
        <f t="shared" si="30"/>
        <v>30</v>
      </c>
      <c r="V38" s="16">
        <f t="shared" si="30"/>
        <v>33</v>
      </c>
      <c r="W38" s="16">
        <f t="shared" si="30"/>
        <v>7</v>
      </c>
      <c r="X38" s="16">
        <f t="shared" si="30"/>
        <v>0</v>
      </c>
      <c r="Y38" s="16">
        <f t="shared" si="30"/>
        <v>7</v>
      </c>
      <c r="Z38" s="16">
        <f t="shared" si="30"/>
        <v>0</v>
      </c>
      <c r="AA38" s="16">
        <f t="shared" si="30"/>
        <v>0</v>
      </c>
      <c r="AB38" s="16">
        <f t="shared" si="30"/>
        <v>0</v>
      </c>
      <c r="AC38" s="16">
        <f t="shared" si="30"/>
        <v>816</v>
      </c>
      <c r="AD38" s="16">
        <f t="shared" si="30"/>
        <v>0</v>
      </c>
      <c r="AE38" s="32">
        <f t="shared" si="30"/>
        <v>1299</v>
      </c>
      <c r="AF38" s="32">
        <f t="shared" si="30"/>
        <v>2115</v>
      </c>
    </row>
    <row r="39" spans="2:32" ht="23.1" customHeight="1" x14ac:dyDescent="0.25">
      <c r="B39" s="46" t="s">
        <v>66</v>
      </c>
      <c r="C39" s="50">
        <v>9</v>
      </c>
      <c r="D39" s="50">
        <v>2</v>
      </c>
      <c r="E39" s="50">
        <v>1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12</v>
      </c>
      <c r="P39" s="15">
        <f t="shared" si="1"/>
        <v>22</v>
      </c>
      <c r="R39" s="29" t="s">
        <v>87</v>
      </c>
      <c r="S39" s="16">
        <f t="shared" ref="S39:AF39" si="31">SUM(S19:S21)</f>
        <v>192</v>
      </c>
      <c r="T39" s="16">
        <f t="shared" si="31"/>
        <v>82</v>
      </c>
      <c r="U39" s="16">
        <f t="shared" si="31"/>
        <v>13</v>
      </c>
      <c r="V39" s="16">
        <f t="shared" si="31"/>
        <v>63</v>
      </c>
      <c r="W39" s="16">
        <f t="shared" si="31"/>
        <v>3</v>
      </c>
      <c r="X39" s="16">
        <f t="shared" si="31"/>
        <v>0</v>
      </c>
      <c r="Y39" s="16">
        <f t="shared" si="31"/>
        <v>7</v>
      </c>
      <c r="Z39" s="16">
        <f t="shared" si="31"/>
        <v>0</v>
      </c>
      <c r="AA39" s="16">
        <f t="shared" si="31"/>
        <v>0</v>
      </c>
      <c r="AB39" s="16">
        <f t="shared" si="31"/>
        <v>0</v>
      </c>
      <c r="AC39" s="16">
        <f t="shared" si="31"/>
        <v>311</v>
      </c>
      <c r="AD39" s="16">
        <f t="shared" si="31"/>
        <v>0</v>
      </c>
      <c r="AE39" s="32">
        <f t="shared" si="31"/>
        <v>360</v>
      </c>
      <c r="AF39" s="32">
        <f t="shared" si="31"/>
        <v>671</v>
      </c>
    </row>
    <row r="40" spans="2:32" ht="23.1" customHeight="1" x14ac:dyDescent="0.25">
      <c r="B40" s="46" t="s">
        <v>67</v>
      </c>
      <c r="C40" s="50">
        <v>12</v>
      </c>
      <c r="D40" s="50">
        <v>3</v>
      </c>
      <c r="E40" s="50">
        <v>1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8</v>
      </c>
      <c r="N40" s="50">
        <v>0</v>
      </c>
      <c r="O40" s="15">
        <f t="shared" si="0"/>
        <v>18</v>
      </c>
      <c r="P40" s="15">
        <f t="shared" si="1"/>
        <v>26</v>
      </c>
      <c r="R40" s="5" t="s">
        <v>17</v>
      </c>
      <c r="S40" s="16">
        <f t="shared" ref="S40:AF40" si="32">SUM(S10:S21)</f>
        <v>2346</v>
      </c>
      <c r="T40" s="16">
        <f t="shared" si="32"/>
        <v>2143</v>
      </c>
      <c r="U40" s="16">
        <f t="shared" si="32"/>
        <v>100</v>
      </c>
      <c r="V40" s="16">
        <f t="shared" si="32"/>
        <v>203</v>
      </c>
      <c r="W40" s="16">
        <f t="shared" si="32"/>
        <v>10</v>
      </c>
      <c r="X40" s="16">
        <f t="shared" si="32"/>
        <v>1</v>
      </c>
      <c r="Y40" s="16">
        <f t="shared" si="32"/>
        <v>28</v>
      </c>
      <c r="Z40" s="16">
        <f t="shared" si="32"/>
        <v>3</v>
      </c>
      <c r="AA40" s="16">
        <f t="shared" si="32"/>
        <v>2</v>
      </c>
      <c r="AB40" s="16">
        <f t="shared" si="32"/>
        <v>0</v>
      </c>
      <c r="AC40" s="16">
        <f t="shared" si="32"/>
        <v>2713</v>
      </c>
      <c r="AD40" s="16">
        <f t="shared" si="32"/>
        <v>0</v>
      </c>
      <c r="AE40" s="32">
        <f t="shared" si="32"/>
        <v>4836</v>
      </c>
      <c r="AF40" s="32">
        <f t="shared" si="32"/>
        <v>7549</v>
      </c>
    </row>
    <row r="41" spans="2:32" ht="23.1" customHeight="1" x14ac:dyDescent="0.25">
      <c r="B41" s="45" t="s">
        <v>68</v>
      </c>
      <c r="C41" s="50">
        <v>3</v>
      </c>
      <c r="D41" s="50">
        <v>1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9</v>
      </c>
      <c r="N41" s="50">
        <v>0</v>
      </c>
      <c r="O41" s="15">
        <f t="shared" si="0"/>
        <v>5</v>
      </c>
      <c r="P41" s="15">
        <f t="shared" si="1"/>
        <v>14</v>
      </c>
      <c r="R41" s="5" t="s">
        <v>159</v>
      </c>
      <c r="S41" s="16">
        <f>SUM(S10:S33)</f>
        <v>4398</v>
      </c>
      <c r="T41" s="16">
        <f t="shared" ref="T41:AF41" si="33">SUM(T10:T33)</f>
        <v>2912</v>
      </c>
      <c r="U41" s="16">
        <f t="shared" si="33"/>
        <v>548</v>
      </c>
      <c r="V41" s="16">
        <f t="shared" si="33"/>
        <v>694</v>
      </c>
      <c r="W41" s="16">
        <f t="shared" si="33"/>
        <v>17</v>
      </c>
      <c r="X41" s="16">
        <f t="shared" si="33"/>
        <v>3</v>
      </c>
      <c r="Y41" s="16">
        <f t="shared" si="33"/>
        <v>109</v>
      </c>
      <c r="Z41" s="16">
        <f t="shared" si="33"/>
        <v>27</v>
      </c>
      <c r="AA41" s="16">
        <f t="shared" si="33"/>
        <v>5</v>
      </c>
      <c r="AB41" s="16">
        <f t="shared" si="33"/>
        <v>0</v>
      </c>
      <c r="AC41" s="16">
        <f t="shared" si="33"/>
        <v>5355</v>
      </c>
      <c r="AD41" s="16">
        <f t="shared" si="33"/>
        <v>0</v>
      </c>
      <c r="AE41" s="32">
        <f t="shared" si="33"/>
        <v>8754</v>
      </c>
      <c r="AF41" s="32">
        <f t="shared" si="33"/>
        <v>14109</v>
      </c>
    </row>
    <row r="42" spans="2:32" ht="23.1" customHeight="1" x14ac:dyDescent="0.25">
      <c r="B42" s="46" t="s">
        <v>69</v>
      </c>
      <c r="C42" s="50">
        <v>9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9</v>
      </c>
      <c r="N42" s="50">
        <v>0</v>
      </c>
      <c r="O42" s="15">
        <f t="shared" si="0"/>
        <v>10</v>
      </c>
      <c r="P42" s="15">
        <f t="shared" si="1"/>
        <v>19</v>
      </c>
      <c r="R42" s="5" t="s">
        <v>160</v>
      </c>
      <c r="S42" s="48">
        <f>S41/S40</f>
        <v>1.8746803069053708</v>
      </c>
      <c r="T42" s="48">
        <f t="shared" ref="T42:AF42" si="34">T41/T40</f>
        <v>1.3588427438170789</v>
      </c>
      <c r="U42" s="48">
        <f t="shared" si="34"/>
        <v>5.48</v>
      </c>
      <c r="V42" s="48">
        <f t="shared" si="34"/>
        <v>3.4187192118226601</v>
      </c>
      <c r="W42" s="48">
        <f t="shared" si="34"/>
        <v>1.7</v>
      </c>
      <c r="X42" s="48">
        <f t="shared" si="34"/>
        <v>3</v>
      </c>
      <c r="Y42" s="48">
        <f t="shared" si="34"/>
        <v>3.8928571428571428</v>
      </c>
      <c r="Z42" s="48">
        <f t="shared" si="34"/>
        <v>9</v>
      </c>
      <c r="AA42" s="48">
        <f t="shared" si="34"/>
        <v>2.5</v>
      </c>
      <c r="AB42" s="48" t="e">
        <f t="shared" si="34"/>
        <v>#DIV/0!</v>
      </c>
      <c r="AC42" s="48">
        <f t="shared" si="34"/>
        <v>1.9738297088094361</v>
      </c>
      <c r="AD42" s="48" t="e">
        <f t="shared" si="34"/>
        <v>#DIV/0!</v>
      </c>
      <c r="AE42" s="48">
        <f t="shared" si="34"/>
        <v>1.8101736972704714</v>
      </c>
      <c r="AF42" s="48">
        <f t="shared" si="34"/>
        <v>1.8689892701020003</v>
      </c>
    </row>
    <row r="43" spans="2:32" ht="23.1" customHeight="1" x14ac:dyDescent="0.25">
      <c r="B43" s="45" t="s">
        <v>70</v>
      </c>
      <c r="C43" s="50">
        <v>4</v>
      </c>
      <c r="D43" s="50">
        <v>4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8</v>
      </c>
      <c r="N43" s="50">
        <v>0</v>
      </c>
      <c r="O43" s="15">
        <f t="shared" si="0"/>
        <v>9</v>
      </c>
      <c r="P43" s="15">
        <f t="shared" si="1"/>
        <v>17</v>
      </c>
    </row>
    <row r="44" spans="2:32" ht="23.1" customHeight="1" x14ac:dyDescent="0.25">
      <c r="B44" s="47" t="s">
        <v>71</v>
      </c>
      <c r="C44" s="50">
        <v>7</v>
      </c>
      <c r="D44" s="50">
        <v>2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6</v>
      </c>
      <c r="N44" s="50">
        <v>0</v>
      </c>
      <c r="O44" s="15">
        <f t="shared" si="0"/>
        <v>9</v>
      </c>
      <c r="P44" s="15">
        <f t="shared" si="1"/>
        <v>15</v>
      </c>
    </row>
    <row r="45" spans="2:32" ht="23.1" customHeight="1" x14ac:dyDescent="0.25">
      <c r="B45" s="45" t="s">
        <v>72</v>
      </c>
      <c r="C45" s="50">
        <v>8</v>
      </c>
      <c r="D45" s="50">
        <v>3</v>
      </c>
      <c r="E45" s="50">
        <v>0</v>
      </c>
      <c r="F45" s="50">
        <v>2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3</v>
      </c>
      <c r="N45" s="50">
        <v>0</v>
      </c>
      <c r="O45" s="15">
        <f t="shared" si="0"/>
        <v>13</v>
      </c>
      <c r="P45" s="15">
        <f t="shared" si="1"/>
        <v>16</v>
      </c>
    </row>
    <row r="46" spans="2:32" ht="23.1" customHeight="1" x14ac:dyDescent="0.25">
      <c r="B46" s="46" t="s">
        <v>73</v>
      </c>
      <c r="C46" s="50">
        <v>3</v>
      </c>
      <c r="D46" s="50">
        <v>1</v>
      </c>
      <c r="E46" s="50">
        <v>1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5</v>
      </c>
      <c r="N46" s="50">
        <v>0</v>
      </c>
      <c r="O46" s="15">
        <f t="shared" si="0"/>
        <v>6</v>
      </c>
      <c r="P46" s="15">
        <f t="shared" si="1"/>
        <v>11</v>
      </c>
      <c r="R46" s="8"/>
      <c r="T46"/>
    </row>
    <row r="47" spans="2:32" ht="23.1" customHeight="1" x14ac:dyDescent="0.25">
      <c r="B47" s="46" t="s">
        <v>74</v>
      </c>
      <c r="C47" s="50">
        <v>8</v>
      </c>
      <c r="D47" s="50">
        <v>4</v>
      </c>
      <c r="E47" s="50">
        <v>1</v>
      </c>
      <c r="F47" s="50">
        <v>1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9</v>
      </c>
      <c r="N47" s="50">
        <v>0</v>
      </c>
      <c r="O47" s="15">
        <f t="shared" si="0"/>
        <v>14</v>
      </c>
      <c r="P47" s="15">
        <f t="shared" si="1"/>
        <v>23</v>
      </c>
      <c r="R47" s="8"/>
      <c r="T47"/>
    </row>
    <row r="48" spans="2:32" ht="23.1" customHeight="1" x14ac:dyDescent="0.25">
      <c r="B48" s="46" t="s">
        <v>75</v>
      </c>
      <c r="C48" s="50">
        <v>1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4</v>
      </c>
      <c r="N48" s="50">
        <v>0</v>
      </c>
      <c r="O48" s="15">
        <f t="shared" si="0"/>
        <v>1</v>
      </c>
      <c r="P48" s="15">
        <f t="shared" si="1"/>
        <v>5</v>
      </c>
      <c r="R48" s="8"/>
      <c r="T48"/>
    </row>
    <row r="49" spans="2:20" ht="23.1" customHeight="1" x14ac:dyDescent="0.25">
      <c r="B49" s="45" t="s">
        <v>76</v>
      </c>
      <c r="C49" s="50">
        <v>2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</v>
      </c>
      <c r="N49" s="50">
        <v>0</v>
      </c>
      <c r="O49" s="15">
        <f t="shared" si="0"/>
        <v>3</v>
      </c>
      <c r="P49" s="15">
        <f t="shared" si="1"/>
        <v>5</v>
      </c>
      <c r="R49" s="8"/>
      <c r="T49"/>
    </row>
    <row r="50" spans="2:20" ht="23.1" customHeight="1" x14ac:dyDescent="0.25">
      <c r="B50" s="46" t="s">
        <v>77</v>
      </c>
      <c r="C50" s="50">
        <v>2</v>
      </c>
      <c r="D50" s="50">
        <v>0</v>
      </c>
      <c r="E50" s="50">
        <v>1</v>
      </c>
      <c r="F50" s="50">
        <v>2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11</v>
      </c>
      <c r="N50" s="50">
        <v>0</v>
      </c>
      <c r="O50" s="15">
        <f t="shared" si="0"/>
        <v>5</v>
      </c>
      <c r="P50" s="15">
        <f t="shared" si="1"/>
        <v>16</v>
      </c>
      <c r="R50" s="8"/>
      <c r="T50"/>
    </row>
    <row r="51" spans="2:20" ht="23.1" customHeight="1" x14ac:dyDescent="0.25">
      <c r="B51" s="46" t="s">
        <v>78</v>
      </c>
      <c r="C51" s="50">
        <v>3</v>
      </c>
      <c r="D51" s="50">
        <v>2</v>
      </c>
      <c r="E51" s="50">
        <v>2</v>
      </c>
      <c r="F51" s="50">
        <v>2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7</v>
      </c>
      <c r="N51" s="50">
        <v>0</v>
      </c>
      <c r="O51" s="15">
        <f t="shared" si="0"/>
        <v>10</v>
      </c>
      <c r="P51" s="15">
        <f t="shared" si="1"/>
        <v>17</v>
      </c>
      <c r="R51" s="8"/>
      <c r="T51"/>
    </row>
    <row r="52" spans="2:20" ht="23.1" customHeight="1" x14ac:dyDescent="0.25">
      <c r="B52" s="46" t="s">
        <v>79</v>
      </c>
      <c r="C52" s="50">
        <v>7</v>
      </c>
      <c r="D52" s="50">
        <v>0</v>
      </c>
      <c r="E52" s="50">
        <v>1</v>
      </c>
      <c r="F52" s="50">
        <v>2</v>
      </c>
      <c r="G52" s="50">
        <v>2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12</v>
      </c>
      <c r="N52" s="50">
        <v>0</v>
      </c>
      <c r="O52" s="15">
        <f t="shared" si="0"/>
        <v>13</v>
      </c>
      <c r="P52" s="15">
        <f t="shared" si="1"/>
        <v>25</v>
      </c>
      <c r="R52" s="8"/>
      <c r="T52"/>
    </row>
    <row r="53" spans="2:20" ht="23.1" customHeight="1" x14ac:dyDescent="0.25">
      <c r="B53" s="45" t="s">
        <v>80</v>
      </c>
      <c r="C53" s="50">
        <v>9</v>
      </c>
      <c r="D53" s="50">
        <v>3</v>
      </c>
      <c r="E53" s="50">
        <v>1</v>
      </c>
      <c r="F53" s="50">
        <v>3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19</v>
      </c>
      <c r="N53" s="50">
        <v>0</v>
      </c>
      <c r="O53" s="15">
        <f t="shared" si="0"/>
        <v>16</v>
      </c>
      <c r="P53" s="15">
        <f t="shared" si="1"/>
        <v>35</v>
      </c>
      <c r="R53" s="8"/>
      <c r="T53"/>
    </row>
    <row r="54" spans="2:20" ht="23.1" customHeight="1" x14ac:dyDescent="0.25">
      <c r="B54" s="45" t="s">
        <v>81</v>
      </c>
      <c r="C54" s="50">
        <v>26</v>
      </c>
      <c r="D54" s="50">
        <v>7</v>
      </c>
      <c r="E54" s="50">
        <v>3</v>
      </c>
      <c r="F54" s="50">
        <v>6</v>
      </c>
      <c r="G54" s="50">
        <v>1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20</v>
      </c>
      <c r="N54" s="50">
        <v>0</v>
      </c>
      <c r="O54" s="15">
        <f t="shared" si="0"/>
        <v>44</v>
      </c>
      <c r="P54" s="15">
        <f t="shared" si="1"/>
        <v>64</v>
      </c>
      <c r="R54" s="8"/>
      <c r="T54"/>
    </row>
    <row r="55" spans="2:20" ht="23.1" customHeight="1" x14ac:dyDescent="0.25">
      <c r="B55" s="45" t="s">
        <v>82</v>
      </c>
      <c r="C55" s="50">
        <v>30</v>
      </c>
      <c r="D55" s="50">
        <v>23</v>
      </c>
      <c r="E55" s="50">
        <v>1</v>
      </c>
      <c r="F55" s="50">
        <v>20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105</v>
      </c>
      <c r="N55" s="50">
        <v>0</v>
      </c>
      <c r="O55" s="15">
        <f t="shared" si="0"/>
        <v>76</v>
      </c>
      <c r="P55" s="15">
        <f t="shared" si="1"/>
        <v>181</v>
      </c>
      <c r="R55" s="8"/>
      <c r="T55"/>
    </row>
    <row r="56" spans="2:20" ht="23.1" customHeight="1" x14ac:dyDescent="0.25">
      <c r="B56" s="45" t="s">
        <v>83</v>
      </c>
      <c r="C56" s="50">
        <v>56</v>
      </c>
      <c r="D56" s="50">
        <v>42</v>
      </c>
      <c r="E56" s="50">
        <v>2</v>
      </c>
      <c r="F56" s="50">
        <v>17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64</v>
      </c>
      <c r="N56" s="50">
        <v>0</v>
      </c>
      <c r="O56" s="15">
        <f t="shared" si="0"/>
        <v>117</v>
      </c>
      <c r="P56" s="15">
        <f t="shared" si="1"/>
        <v>181</v>
      </c>
      <c r="R56" s="8"/>
      <c r="T56"/>
    </row>
    <row r="57" spans="2:20" ht="23.1" customHeight="1" x14ac:dyDescent="0.25">
      <c r="B57" s="45" t="s">
        <v>84</v>
      </c>
      <c r="C57" s="50">
        <v>45</v>
      </c>
      <c r="D57" s="50">
        <v>0</v>
      </c>
      <c r="E57" s="50">
        <v>0</v>
      </c>
      <c r="F57" s="50">
        <v>9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53</v>
      </c>
      <c r="N57" s="50">
        <v>0</v>
      </c>
      <c r="O57" s="15">
        <f t="shared" si="0"/>
        <v>55</v>
      </c>
      <c r="P57" s="15">
        <f t="shared" si="1"/>
        <v>108</v>
      </c>
      <c r="R57" s="8"/>
      <c r="T57"/>
    </row>
    <row r="58" spans="2:20" ht="23.1" customHeight="1" x14ac:dyDescent="0.25">
      <c r="B58" s="45" t="s">
        <v>99</v>
      </c>
      <c r="C58" s="50">
        <v>11</v>
      </c>
      <c r="D58" s="50">
        <v>6</v>
      </c>
      <c r="E58" s="50">
        <v>4</v>
      </c>
      <c r="F58" s="50">
        <v>3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21</v>
      </c>
      <c r="N58" s="50">
        <v>0</v>
      </c>
      <c r="O58" s="15">
        <f t="shared" si="0"/>
        <v>24</v>
      </c>
      <c r="P58" s="15">
        <f t="shared" si="1"/>
        <v>45</v>
      </c>
      <c r="R58" s="8"/>
      <c r="T58"/>
    </row>
    <row r="59" spans="2:20" ht="23.1" customHeight="1" x14ac:dyDescent="0.25">
      <c r="B59" s="45" t="s">
        <v>100</v>
      </c>
      <c r="C59" s="50">
        <v>14</v>
      </c>
      <c r="D59" s="50">
        <v>8</v>
      </c>
      <c r="E59" s="50">
        <v>3</v>
      </c>
      <c r="F59" s="50">
        <v>6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33</v>
      </c>
      <c r="N59" s="50">
        <v>0</v>
      </c>
      <c r="O59" s="15">
        <f t="shared" si="0"/>
        <v>31</v>
      </c>
      <c r="P59" s="15">
        <f t="shared" si="1"/>
        <v>64</v>
      </c>
      <c r="R59" s="8"/>
      <c r="T59"/>
    </row>
    <row r="60" spans="2:20" ht="23.1" customHeight="1" x14ac:dyDescent="0.25">
      <c r="B60" s="45" t="s">
        <v>101</v>
      </c>
      <c r="C60" s="50">
        <v>18</v>
      </c>
      <c r="D60" s="50">
        <v>7</v>
      </c>
      <c r="E60" s="50">
        <v>6</v>
      </c>
      <c r="F60" s="50">
        <v>5</v>
      </c>
      <c r="G60" s="50">
        <v>0</v>
      </c>
      <c r="H60" s="50">
        <v>0</v>
      </c>
      <c r="I60" s="50">
        <v>1</v>
      </c>
      <c r="J60" s="50">
        <v>0</v>
      </c>
      <c r="K60" s="50">
        <v>0</v>
      </c>
      <c r="L60" s="50">
        <v>0</v>
      </c>
      <c r="M60" s="50">
        <v>28</v>
      </c>
      <c r="N60" s="50">
        <v>0</v>
      </c>
      <c r="O60" s="15">
        <f t="shared" si="0"/>
        <v>37</v>
      </c>
      <c r="P60" s="15">
        <f t="shared" si="1"/>
        <v>65</v>
      </c>
      <c r="R60" s="8"/>
      <c r="T60"/>
    </row>
    <row r="61" spans="2:20" ht="23.1" customHeight="1" x14ac:dyDescent="0.25">
      <c r="B61" s="45" t="s">
        <v>102</v>
      </c>
      <c r="C61" s="50">
        <v>14</v>
      </c>
      <c r="D61" s="50">
        <v>8</v>
      </c>
      <c r="E61" s="50">
        <v>4</v>
      </c>
      <c r="F61" s="50">
        <v>8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38</v>
      </c>
      <c r="N61" s="50">
        <v>0</v>
      </c>
      <c r="O61" s="15">
        <f t="shared" si="0"/>
        <v>34</v>
      </c>
      <c r="P61" s="15">
        <f t="shared" si="1"/>
        <v>72</v>
      </c>
      <c r="R61" s="8"/>
      <c r="T61"/>
    </row>
    <row r="62" spans="2:20" ht="23.1" customHeight="1" x14ac:dyDescent="0.25">
      <c r="B62" s="45" t="s">
        <v>107</v>
      </c>
      <c r="C62" s="50">
        <v>19</v>
      </c>
      <c r="D62" s="50">
        <v>11</v>
      </c>
      <c r="E62" s="50">
        <v>6</v>
      </c>
      <c r="F62" s="50">
        <v>9</v>
      </c>
      <c r="G62" s="50">
        <v>1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39</v>
      </c>
      <c r="N62" s="50">
        <v>0</v>
      </c>
      <c r="O62" s="15">
        <f t="shared" si="0"/>
        <v>46</v>
      </c>
      <c r="P62" s="15">
        <f t="shared" si="1"/>
        <v>85</v>
      </c>
      <c r="R62" s="8"/>
      <c r="T62"/>
    </row>
    <row r="63" spans="2:20" ht="23.1" customHeight="1" x14ac:dyDescent="0.25">
      <c r="B63" s="45" t="s">
        <v>108</v>
      </c>
      <c r="C63" s="50">
        <v>17</v>
      </c>
      <c r="D63" s="50">
        <v>9</v>
      </c>
      <c r="E63" s="50">
        <v>4</v>
      </c>
      <c r="F63" s="50">
        <v>7</v>
      </c>
      <c r="G63" s="50">
        <v>0</v>
      </c>
      <c r="H63" s="50">
        <v>0</v>
      </c>
      <c r="I63" s="50">
        <v>1</v>
      </c>
      <c r="J63" s="50">
        <v>0</v>
      </c>
      <c r="K63" s="50">
        <v>0</v>
      </c>
      <c r="L63" s="50">
        <v>0</v>
      </c>
      <c r="M63" s="50">
        <v>38</v>
      </c>
      <c r="N63" s="50">
        <v>0</v>
      </c>
      <c r="O63" s="15">
        <f t="shared" si="0"/>
        <v>38</v>
      </c>
      <c r="P63" s="15">
        <f t="shared" si="1"/>
        <v>76</v>
      </c>
      <c r="R63" s="8"/>
      <c r="T63"/>
    </row>
    <row r="64" spans="2:20" ht="23.1" customHeight="1" x14ac:dyDescent="0.25">
      <c r="B64" s="45" t="s">
        <v>109</v>
      </c>
      <c r="C64" s="50">
        <v>21</v>
      </c>
      <c r="D64" s="50">
        <v>13</v>
      </c>
      <c r="E64" s="50">
        <v>7</v>
      </c>
      <c r="F64" s="50">
        <v>10</v>
      </c>
      <c r="G64" s="50">
        <v>1</v>
      </c>
      <c r="H64" s="50">
        <v>0</v>
      </c>
      <c r="I64" s="50">
        <v>0</v>
      </c>
      <c r="J64" s="50">
        <v>2</v>
      </c>
      <c r="K64" s="50">
        <v>0</v>
      </c>
      <c r="L64" s="50">
        <v>0</v>
      </c>
      <c r="M64" s="50">
        <v>42</v>
      </c>
      <c r="N64" s="50">
        <v>0</v>
      </c>
      <c r="O64" s="15">
        <f t="shared" si="0"/>
        <v>54</v>
      </c>
      <c r="P64" s="15">
        <f t="shared" si="1"/>
        <v>96</v>
      </c>
      <c r="R64" s="8"/>
      <c r="T64"/>
    </row>
    <row r="65" spans="2:20" ht="23.1" customHeight="1" x14ac:dyDescent="0.25">
      <c r="B65" s="45" t="s">
        <v>158</v>
      </c>
      <c r="C65" s="50">
        <v>19</v>
      </c>
      <c r="D65" s="50">
        <v>10</v>
      </c>
      <c r="E65" s="50">
        <v>4</v>
      </c>
      <c r="F65" s="50">
        <v>7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46</v>
      </c>
      <c r="N65" s="50">
        <v>0</v>
      </c>
      <c r="O65" s="15">
        <f t="shared" si="0"/>
        <v>40</v>
      </c>
      <c r="P65" s="15">
        <f t="shared" si="1"/>
        <v>86</v>
      </c>
      <c r="R65" s="8"/>
      <c r="T65"/>
    </row>
    <row r="66" spans="2:20" ht="23.1" customHeight="1" x14ac:dyDescent="0.25">
      <c r="B66" s="45" t="s">
        <v>103</v>
      </c>
      <c r="C66" s="50">
        <v>19</v>
      </c>
      <c r="D66" s="50">
        <v>9</v>
      </c>
      <c r="E66" s="50">
        <v>5</v>
      </c>
      <c r="F66" s="50">
        <v>8</v>
      </c>
      <c r="G66" s="50">
        <v>0</v>
      </c>
      <c r="H66" s="50">
        <v>0</v>
      </c>
      <c r="I66" s="50">
        <v>3</v>
      </c>
      <c r="J66" s="50">
        <v>1</v>
      </c>
      <c r="K66" s="50">
        <v>0</v>
      </c>
      <c r="L66" s="50">
        <v>0</v>
      </c>
      <c r="M66" s="50">
        <v>36</v>
      </c>
      <c r="N66" s="50">
        <v>0</v>
      </c>
      <c r="O66" s="15">
        <f t="shared" si="0"/>
        <v>45</v>
      </c>
      <c r="P66" s="15">
        <f t="shared" si="1"/>
        <v>81</v>
      </c>
      <c r="R66" s="8"/>
      <c r="T66"/>
    </row>
    <row r="67" spans="2:20" ht="23.1" customHeight="1" x14ac:dyDescent="0.25">
      <c r="B67" s="45" t="s">
        <v>104</v>
      </c>
      <c r="C67" s="50">
        <v>16</v>
      </c>
      <c r="D67" s="50">
        <v>11</v>
      </c>
      <c r="E67" s="50">
        <v>7</v>
      </c>
      <c r="F67" s="50">
        <v>11</v>
      </c>
      <c r="G67" s="50">
        <v>0</v>
      </c>
      <c r="H67" s="50">
        <v>0</v>
      </c>
      <c r="I67" s="50">
        <v>4</v>
      </c>
      <c r="J67" s="50">
        <v>0</v>
      </c>
      <c r="K67" s="50">
        <v>0</v>
      </c>
      <c r="L67" s="50">
        <v>0</v>
      </c>
      <c r="M67" s="50">
        <v>43</v>
      </c>
      <c r="N67" s="50">
        <v>0</v>
      </c>
      <c r="O67" s="15">
        <f t="shared" si="0"/>
        <v>49</v>
      </c>
      <c r="P67" s="15">
        <f t="shared" si="1"/>
        <v>92</v>
      </c>
      <c r="R67" s="8"/>
      <c r="T67"/>
    </row>
    <row r="68" spans="2:20" ht="23.1" customHeight="1" x14ac:dyDescent="0.25">
      <c r="B68" s="45" t="s">
        <v>105</v>
      </c>
      <c r="C68" s="50">
        <v>12</v>
      </c>
      <c r="D68" s="50">
        <v>13</v>
      </c>
      <c r="E68" s="50">
        <v>10</v>
      </c>
      <c r="F68" s="50">
        <v>9</v>
      </c>
      <c r="G68" s="50">
        <v>0</v>
      </c>
      <c r="H68" s="50">
        <v>1</v>
      </c>
      <c r="I68" s="50">
        <v>2</v>
      </c>
      <c r="J68" s="50">
        <v>1</v>
      </c>
      <c r="K68" s="50">
        <v>0</v>
      </c>
      <c r="L68" s="50">
        <v>0</v>
      </c>
      <c r="M68" s="50">
        <v>31</v>
      </c>
      <c r="N68" s="50">
        <v>0</v>
      </c>
      <c r="O68" s="15">
        <f t="shared" si="0"/>
        <v>48</v>
      </c>
      <c r="P68" s="15">
        <f t="shared" si="1"/>
        <v>79</v>
      </c>
      <c r="R68" s="8"/>
      <c r="T68"/>
    </row>
    <row r="69" spans="2:20" ht="23.1" customHeight="1" x14ac:dyDescent="0.25">
      <c r="B69" s="45" t="s">
        <v>106</v>
      </c>
      <c r="C69" s="50">
        <v>17</v>
      </c>
      <c r="D69" s="50">
        <v>11</v>
      </c>
      <c r="E69" s="50">
        <v>8</v>
      </c>
      <c r="F69" s="50">
        <v>7</v>
      </c>
      <c r="G69" s="50">
        <v>0</v>
      </c>
      <c r="H69" s="50">
        <v>0</v>
      </c>
      <c r="I69" s="50">
        <v>2</v>
      </c>
      <c r="J69" s="50">
        <v>1</v>
      </c>
      <c r="K69" s="50">
        <v>0</v>
      </c>
      <c r="L69" s="50">
        <v>0</v>
      </c>
      <c r="M69" s="50">
        <v>52</v>
      </c>
      <c r="N69" s="50">
        <v>0</v>
      </c>
      <c r="O69" s="15">
        <f t="shared" si="0"/>
        <v>46</v>
      </c>
      <c r="P69" s="15">
        <f t="shared" si="1"/>
        <v>98</v>
      </c>
      <c r="R69" s="8"/>
      <c r="T69"/>
    </row>
    <row r="70" spans="2:20" ht="23.1" customHeight="1" x14ac:dyDescent="0.25">
      <c r="B70" s="45" t="s">
        <v>110</v>
      </c>
      <c r="C70" s="50">
        <v>17</v>
      </c>
      <c r="D70" s="50">
        <v>11</v>
      </c>
      <c r="E70" s="50">
        <v>8</v>
      </c>
      <c r="F70" s="50">
        <v>10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48</v>
      </c>
      <c r="N70" s="50">
        <v>0</v>
      </c>
      <c r="O70" s="15">
        <f t="shared" si="0"/>
        <v>46</v>
      </c>
      <c r="P70" s="15">
        <f t="shared" si="1"/>
        <v>94</v>
      </c>
      <c r="R70" s="8"/>
      <c r="T70"/>
    </row>
    <row r="71" spans="2:20" ht="23.1" customHeight="1" x14ac:dyDescent="0.25">
      <c r="B71" s="45" t="s">
        <v>111</v>
      </c>
      <c r="C71" s="50">
        <v>15</v>
      </c>
      <c r="D71" s="50">
        <v>13</v>
      </c>
      <c r="E71" s="50">
        <v>11</v>
      </c>
      <c r="F71" s="50">
        <v>9</v>
      </c>
      <c r="G71" s="50">
        <v>0</v>
      </c>
      <c r="H71" s="50">
        <v>0</v>
      </c>
      <c r="I71" s="50">
        <v>0</v>
      </c>
      <c r="J71" s="50">
        <v>2</v>
      </c>
      <c r="K71" s="50">
        <v>0</v>
      </c>
      <c r="L71" s="50">
        <v>0</v>
      </c>
      <c r="M71" s="50">
        <v>51</v>
      </c>
      <c r="N71" s="50">
        <v>0</v>
      </c>
      <c r="O71" s="15">
        <f t="shared" si="0"/>
        <v>50</v>
      </c>
      <c r="P71" s="15">
        <f t="shared" si="1"/>
        <v>101</v>
      </c>
      <c r="R71" s="8"/>
      <c r="T71"/>
    </row>
    <row r="72" spans="2:20" ht="23.1" customHeight="1" x14ac:dyDescent="0.25">
      <c r="B72" s="45" t="s">
        <v>112</v>
      </c>
      <c r="C72" s="50">
        <v>14</v>
      </c>
      <c r="D72" s="50">
        <v>16</v>
      </c>
      <c r="E72" s="50">
        <v>13</v>
      </c>
      <c r="F72" s="50">
        <v>6</v>
      </c>
      <c r="G72" s="50">
        <v>0</v>
      </c>
      <c r="H72" s="50">
        <v>0</v>
      </c>
      <c r="I72" s="50">
        <v>0</v>
      </c>
      <c r="J72" s="50">
        <v>1</v>
      </c>
      <c r="K72" s="50">
        <v>0</v>
      </c>
      <c r="L72" s="50">
        <v>0</v>
      </c>
      <c r="M72" s="50">
        <v>46</v>
      </c>
      <c r="N72" s="50">
        <v>0</v>
      </c>
      <c r="O72" s="15">
        <f t="shared" si="0"/>
        <v>50</v>
      </c>
      <c r="P72" s="15">
        <f t="shared" si="1"/>
        <v>96</v>
      </c>
      <c r="R72" s="8"/>
      <c r="T72"/>
    </row>
    <row r="73" spans="2:20" ht="23.1" customHeight="1" x14ac:dyDescent="0.25">
      <c r="B73" s="45" t="s">
        <v>113</v>
      </c>
      <c r="C73" s="50">
        <v>17</v>
      </c>
      <c r="D73" s="50">
        <v>12</v>
      </c>
      <c r="E73" s="50">
        <v>9</v>
      </c>
      <c r="F73" s="50">
        <v>8</v>
      </c>
      <c r="G73" s="50">
        <v>0</v>
      </c>
      <c r="H73" s="50">
        <v>0</v>
      </c>
      <c r="I73" s="50">
        <v>3</v>
      </c>
      <c r="J73" s="50">
        <v>0</v>
      </c>
      <c r="K73" s="50">
        <v>0</v>
      </c>
      <c r="L73" s="50">
        <v>0</v>
      </c>
      <c r="M73" s="50">
        <v>54</v>
      </c>
      <c r="N73" s="50">
        <v>0</v>
      </c>
      <c r="O73" s="15">
        <f t="shared" si="0"/>
        <v>49</v>
      </c>
      <c r="P73" s="15">
        <f t="shared" si="1"/>
        <v>103</v>
      </c>
      <c r="R73" s="8"/>
      <c r="T73"/>
    </row>
    <row r="74" spans="2:20" ht="23.1" customHeight="1" x14ac:dyDescent="0.25">
      <c r="B74" s="45" t="s">
        <v>114</v>
      </c>
      <c r="C74" s="50">
        <v>13</v>
      </c>
      <c r="D74" s="50">
        <v>10</v>
      </c>
      <c r="E74" s="50">
        <v>8</v>
      </c>
      <c r="F74" s="50">
        <v>5</v>
      </c>
      <c r="G74" s="50">
        <v>0</v>
      </c>
      <c r="H74" s="50">
        <v>0</v>
      </c>
      <c r="I74" s="50">
        <v>3</v>
      </c>
      <c r="J74" s="50">
        <v>0</v>
      </c>
      <c r="K74" s="50">
        <v>0</v>
      </c>
      <c r="L74" s="50">
        <v>0</v>
      </c>
      <c r="M74" s="50">
        <v>49</v>
      </c>
      <c r="N74" s="50">
        <v>0</v>
      </c>
      <c r="O74" s="15">
        <f t="shared" ref="O74:O105" si="35">SUM(C74:L74,N74)</f>
        <v>39</v>
      </c>
      <c r="P74" s="15">
        <f t="shared" ref="P74:P105" si="36">SUM(C74:N74)</f>
        <v>88</v>
      </c>
      <c r="R74" s="8"/>
      <c r="T74"/>
    </row>
    <row r="75" spans="2:20" ht="23.1" customHeight="1" x14ac:dyDescent="0.25">
      <c r="B75" s="45" t="s">
        <v>115</v>
      </c>
      <c r="C75" s="50">
        <v>17</v>
      </c>
      <c r="D75" s="50">
        <v>8</v>
      </c>
      <c r="E75" s="50">
        <v>5</v>
      </c>
      <c r="F75" s="50">
        <v>7</v>
      </c>
      <c r="G75" s="50">
        <v>1</v>
      </c>
      <c r="H75" s="50">
        <v>0</v>
      </c>
      <c r="I75" s="50">
        <v>4</v>
      </c>
      <c r="J75" s="50">
        <v>0</v>
      </c>
      <c r="K75" s="50">
        <v>0</v>
      </c>
      <c r="L75" s="50">
        <v>0</v>
      </c>
      <c r="M75" s="50">
        <v>47</v>
      </c>
      <c r="N75" s="50">
        <v>0</v>
      </c>
      <c r="O75" s="15">
        <f t="shared" si="35"/>
        <v>42</v>
      </c>
      <c r="P75" s="15">
        <f t="shared" si="36"/>
        <v>89</v>
      </c>
      <c r="R75" s="8"/>
      <c r="T75"/>
    </row>
    <row r="76" spans="2:20" ht="23.1" customHeight="1" x14ac:dyDescent="0.25">
      <c r="B76" s="45" t="s">
        <v>116</v>
      </c>
      <c r="C76" s="50">
        <v>21</v>
      </c>
      <c r="D76" s="50">
        <v>12</v>
      </c>
      <c r="E76" s="50">
        <v>8</v>
      </c>
      <c r="F76" s="50">
        <v>9</v>
      </c>
      <c r="G76" s="50">
        <v>0</v>
      </c>
      <c r="H76" s="50">
        <v>0</v>
      </c>
      <c r="I76" s="50">
        <v>1</v>
      </c>
      <c r="J76" s="50">
        <v>1</v>
      </c>
      <c r="K76" s="50">
        <v>0</v>
      </c>
      <c r="L76" s="50">
        <v>0</v>
      </c>
      <c r="M76" s="50">
        <v>40</v>
      </c>
      <c r="N76" s="50">
        <v>0</v>
      </c>
      <c r="O76" s="15">
        <f t="shared" si="35"/>
        <v>52</v>
      </c>
      <c r="P76" s="15">
        <f t="shared" si="36"/>
        <v>92</v>
      </c>
      <c r="R76" s="8"/>
      <c r="T76"/>
    </row>
    <row r="77" spans="2:20" ht="23.1" customHeight="1" x14ac:dyDescent="0.25">
      <c r="B77" s="45" t="s">
        <v>117</v>
      </c>
      <c r="C77" s="50">
        <v>17</v>
      </c>
      <c r="D77" s="50">
        <v>8</v>
      </c>
      <c r="E77" s="50">
        <v>6</v>
      </c>
      <c r="F77" s="50">
        <v>5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30</v>
      </c>
      <c r="N77" s="50">
        <v>0</v>
      </c>
      <c r="O77" s="15">
        <f t="shared" si="35"/>
        <v>36</v>
      </c>
      <c r="P77" s="15">
        <f t="shared" si="36"/>
        <v>66</v>
      </c>
      <c r="R77" s="8"/>
      <c r="T77"/>
    </row>
    <row r="78" spans="2:20" ht="23.1" customHeight="1" x14ac:dyDescent="0.25">
      <c r="B78" s="46" t="s">
        <v>118</v>
      </c>
      <c r="C78" s="50">
        <v>11</v>
      </c>
      <c r="D78" s="50">
        <v>7</v>
      </c>
      <c r="E78" s="50">
        <v>5</v>
      </c>
      <c r="F78" s="50">
        <v>6</v>
      </c>
      <c r="G78" s="50">
        <v>0</v>
      </c>
      <c r="H78" s="50">
        <v>0</v>
      </c>
      <c r="I78" s="50">
        <v>1</v>
      </c>
      <c r="J78" s="50">
        <v>1</v>
      </c>
      <c r="K78" s="50">
        <v>0</v>
      </c>
      <c r="L78" s="50">
        <v>0</v>
      </c>
      <c r="M78" s="50">
        <v>53</v>
      </c>
      <c r="N78" s="50">
        <v>0</v>
      </c>
      <c r="O78" s="15">
        <f t="shared" si="35"/>
        <v>31</v>
      </c>
      <c r="P78" s="15">
        <f t="shared" si="36"/>
        <v>84</v>
      </c>
      <c r="R78" s="8"/>
      <c r="T78"/>
    </row>
    <row r="79" spans="2:20" ht="23.1" customHeight="1" x14ac:dyDescent="0.25">
      <c r="B79" s="45" t="s">
        <v>119</v>
      </c>
      <c r="C79" s="50">
        <v>12</v>
      </c>
      <c r="D79" s="50">
        <v>6</v>
      </c>
      <c r="E79" s="50">
        <v>4</v>
      </c>
      <c r="F79" s="50">
        <v>8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57</v>
      </c>
      <c r="N79" s="50">
        <v>0</v>
      </c>
      <c r="O79" s="15">
        <f t="shared" si="35"/>
        <v>30</v>
      </c>
      <c r="P79" s="15">
        <f t="shared" si="36"/>
        <v>87</v>
      </c>
      <c r="R79" s="8"/>
      <c r="T79"/>
    </row>
    <row r="80" spans="2:20" ht="23.1" customHeight="1" x14ac:dyDescent="0.25">
      <c r="B80" s="47" t="s">
        <v>120</v>
      </c>
      <c r="C80" s="50">
        <v>18</v>
      </c>
      <c r="D80" s="50">
        <v>9</v>
      </c>
      <c r="E80" s="50">
        <v>6</v>
      </c>
      <c r="F80" s="50">
        <v>4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55</v>
      </c>
      <c r="N80" s="50">
        <v>0</v>
      </c>
      <c r="O80" s="15">
        <f t="shared" si="35"/>
        <v>37</v>
      </c>
      <c r="P80" s="15">
        <f t="shared" si="36"/>
        <v>92</v>
      </c>
      <c r="R80" s="8"/>
      <c r="T80"/>
    </row>
    <row r="81" spans="2:20" ht="23.1" customHeight="1" x14ac:dyDescent="0.25">
      <c r="B81" s="45" t="s">
        <v>121</v>
      </c>
      <c r="C81" s="50">
        <v>22</v>
      </c>
      <c r="D81" s="50">
        <v>12</v>
      </c>
      <c r="E81" s="50">
        <v>8</v>
      </c>
      <c r="F81" s="50">
        <v>6</v>
      </c>
      <c r="G81" s="50">
        <v>1</v>
      </c>
      <c r="H81" s="50">
        <v>0</v>
      </c>
      <c r="I81" s="50">
        <v>2</v>
      </c>
      <c r="J81" s="50">
        <v>0</v>
      </c>
      <c r="K81" s="50">
        <v>0</v>
      </c>
      <c r="L81" s="50">
        <v>0</v>
      </c>
      <c r="M81" s="50">
        <v>53</v>
      </c>
      <c r="N81" s="50">
        <v>0</v>
      </c>
      <c r="O81" s="15">
        <f t="shared" si="35"/>
        <v>51</v>
      </c>
      <c r="P81" s="15">
        <f t="shared" si="36"/>
        <v>104</v>
      </c>
      <c r="R81" s="8"/>
      <c r="T81"/>
    </row>
    <row r="82" spans="2:20" ht="23.1" customHeight="1" x14ac:dyDescent="0.25">
      <c r="B82" s="46" t="s">
        <v>122</v>
      </c>
      <c r="C82" s="50">
        <v>23</v>
      </c>
      <c r="D82" s="50">
        <v>10</v>
      </c>
      <c r="E82" s="50">
        <v>4</v>
      </c>
      <c r="F82" s="50">
        <v>5</v>
      </c>
      <c r="G82" s="50">
        <v>0</v>
      </c>
      <c r="H82" s="50">
        <v>0</v>
      </c>
      <c r="I82" s="50">
        <v>2</v>
      </c>
      <c r="J82" s="50">
        <v>3</v>
      </c>
      <c r="K82" s="50">
        <v>0</v>
      </c>
      <c r="L82" s="50">
        <v>0</v>
      </c>
      <c r="M82" s="50">
        <v>52</v>
      </c>
      <c r="N82" s="50">
        <v>0</v>
      </c>
      <c r="O82" s="15">
        <f t="shared" si="35"/>
        <v>47</v>
      </c>
      <c r="P82" s="15">
        <f t="shared" si="36"/>
        <v>99</v>
      </c>
      <c r="R82" s="8"/>
      <c r="T82"/>
    </row>
    <row r="83" spans="2:20" ht="23.1" customHeight="1" x14ac:dyDescent="0.25">
      <c r="B83" s="45" t="s">
        <v>123</v>
      </c>
      <c r="C83" s="50">
        <v>27</v>
      </c>
      <c r="D83" s="50">
        <v>8</v>
      </c>
      <c r="E83" s="50">
        <v>6</v>
      </c>
      <c r="F83" s="50">
        <v>4</v>
      </c>
      <c r="G83" s="50">
        <v>0</v>
      </c>
      <c r="H83" s="50">
        <v>0</v>
      </c>
      <c r="I83" s="50">
        <v>3</v>
      </c>
      <c r="J83" s="50">
        <v>0</v>
      </c>
      <c r="K83" s="50">
        <v>0</v>
      </c>
      <c r="L83" s="50">
        <v>0</v>
      </c>
      <c r="M83" s="50">
        <v>58</v>
      </c>
      <c r="N83" s="50">
        <v>0</v>
      </c>
      <c r="O83" s="15">
        <f t="shared" si="35"/>
        <v>48</v>
      </c>
      <c r="P83" s="15">
        <f t="shared" si="36"/>
        <v>106</v>
      </c>
      <c r="R83" s="8"/>
      <c r="T83"/>
    </row>
    <row r="84" spans="2:20" ht="23.1" customHeight="1" x14ac:dyDescent="0.25">
      <c r="B84" s="47" t="s">
        <v>124</v>
      </c>
      <c r="C84" s="50">
        <v>27</v>
      </c>
      <c r="D84" s="50">
        <v>12</v>
      </c>
      <c r="E84" s="50">
        <v>9</v>
      </c>
      <c r="F84" s="50">
        <v>5</v>
      </c>
      <c r="G84" s="50">
        <v>0</v>
      </c>
      <c r="H84" s="50">
        <v>0</v>
      </c>
      <c r="I84" s="50">
        <v>4</v>
      </c>
      <c r="J84" s="50">
        <v>1</v>
      </c>
      <c r="K84" s="50">
        <v>0</v>
      </c>
      <c r="L84" s="50">
        <v>0</v>
      </c>
      <c r="M84" s="50">
        <v>62</v>
      </c>
      <c r="N84" s="50">
        <v>0</v>
      </c>
      <c r="O84" s="15">
        <f t="shared" si="35"/>
        <v>58</v>
      </c>
      <c r="P84" s="15">
        <f t="shared" si="36"/>
        <v>120</v>
      </c>
      <c r="R84" s="8"/>
      <c r="T84"/>
    </row>
    <row r="85" spans="2:20" ht="23.1" customHeight="1" x14ac:dyDescent="0.25">
      <c r="B85" s="45" t="s">
        <v>125</v>
      </c>
      <c r="C85" s="50">
        <v>24</v>
      </c>
      <c r="D85" s="50">
        <v>13</v>
      </c>
      <c r="E85" s="50">
        <v>8</v>
      </c>
      <c r="F85" s="50">
        <v>7</v>
      </c>
      <c r="G85" s="50">
        <v>0</v>
      </c>
      <c r="H85" s="50">
        <v>0</v>
      </c>
      <c r="I85" s="50">
        <v>6</v>
      </c>
      <c r="J85" s="50">
        <v>0</v>
      </c>
      <c r="K85" s="50">
        <v>1</v>
      </c>
      <c r="L85" s="50">
        <v>0</v>
      </c>
      <c r="M85" s="50">
        <v>59</v>
      </c>
      <c r="N85" s="50">
        <v>0</v>
      </c>
      <c r="O85" s="15">
        <f t="shared" si="35"/>
        <v>59</v>
      </c>
      <c r="P85" s="15">
        <f t="shared" si="36"/>
        <v>118</v>
      </c>
      <c r="R85" s="8"/>
      <c r="T85"/>
    </row>
    <row r="86" spans="2:20" ht="23.1" customHeight="1" x14ac:dyDescent="0.25">
      <c r="B86" s="46" t="s">
        <v>126</v>
      </c>
      <c r="C86" s="50">
        <v>32</v>
      </c>
      <c r="D86" s="50">
        <v>13</v>
      </c>
      <c r="E86" s="50">
        <v>10</v>
      </c>
      <c r="F86" s="50">
        <v>14</v>
      </c>
      <c r="G86" s="50">
        <v>0</v>
      </c>
      <c r="H86" s="50">
        <v>0</v>
      </c>
      <c r="I86" s="50">
        <v>2</v>
      </c>
      <c r="J86" s="50">
        <v>3</v>
      </c>
      <c r="K86" s="50">
        <v>0</v>
      </c>
      <c r="L86" s="50">
        <v>0</v>
      </c>
      <c r="M86" s="50">
        <v>64</v>
      </c>
      <c r="N86" s="50">
        <v>0</v>
      </c>
      <c r="O86" s="15">
        <f t="shared" si="35"/>
        <v>74</v>
      </c>
      <c r="P86" s="15">
        <f t="shared" si="36"/>
        <v>138</v>
      </c>
      <c r="R86" s="8"/>
      <c r="T86"/>
    </row>
    <row r="87" spans="2:20" ht="23.1" customHeight="1" x14ac:dyDescent="0.25">
      <c r="B87" s="45" t="s">
        <v>127</v>
      </c>
      <c r="C87" s="50">
        <v>48</v>
      </c>
      <c r="D87" s="50">
        <v>18</v>
      </c>
      <c r="E87" s="50">
        <v>13</v>
      </c>
      <c r="F87" s="50">
        <v>12</v>
      </c>
      <c r="G87" s="50">
        <v>0</v>
      </c>
      <c r="H87" s="50">
        <v>0</v>
      </c>
      <c r="I87" s="50">
        <v>4</v>
      </c>
      <c r="J87" s="50">
        <v>1</v>
      </c>
      <c r="K87" s="50">
        <v>1</v>
      </c>
      <c r="L87" s="50">
        <v>0</v>
      </c>
      <c r="M87" s="50">
        <v>67</v>
      </c>
      <c r="N87" s="50">
        <v>0</v>
      </c>
      <c r="O87" s="15">
        <f t="shared" si="35"/>
        <v>97</v>
      </c>
      <c r="P87" s="15">
        <f t="shared" si="36"/>
        <v>164</v>
      </c>
      <c r="R87" s="8"/>
      <c r="T87"/>
    </row>
    <row r="88" spans="2:20" ht="23.1" customHeight="1" x14ac:dyDescent="0.25">
      <c r="B88" s="47" t="s">
        <v>128</v>
      </c>
      <c r="C88" s="50">
        <v>46</v>
      </c>
      <c r="D88" s="50">
        <v>16</v>
      </c>
      <c r="E88" s="50">
        <v>9</v>
      </c>
      <c r="F88" s="50">
        <v>16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0</v>
      </c>
      <c r="M88" s="50">
        <v>63</v>
      </c>
      <c r="N88" s="50">
        <v>0</v>
      </c>
      <c r="O88" s="15">
        <f t="shared" si="35"/>
        <v>88</v>
      </c>
      <c r="P88" s="15">
        <f t="shared" si="36"/>
        <v>151</v>
      </c>
      <c r="R88" s="8"/>
      <c r="T88"/>
    </row>
    <row r="89" spans="2:20" ht="23.1" customHeight="1" x14ac:dyDescent="0.25">
      <c r="B89" s="45" t="s">
        <v>129</v>
      </c>
      <c r="C89" s="50">
        <v>48</v>
      </c>
      <c r="D89" s="50">
        <v>13</v>
      </c>
      <c r="E89" s="50">
        <v>11</v>
      </c>
      <c r="F89" s="50">
        <v>12</v>
      </c>
      <c r="G89" s="50">
        <v>1</v>
      </c>
      <c r="H89" s="50">
        <v>0</v>
      </c>
      <c r="I89" s="50">
        <v>3</v>
      </c>
      <c r="J89" s="50">
        <v>0</v>
      </c>
      <c r="K89" s="50">
        <v>0</v>
      </c>
      <c r="L89" s="50">
        <v>0</v>
      </c>
      <c r="M89" s="50">
        <v>58</v>
      </c>
      <c r="N89" s="50">
        <v>0</v>
      </c>
      <c r="O89" s="15">
        <f t="shared" si="35"/>
        <v>88</v>
      </c>
      <c r="P89" s="15">
        <f t="shared" si="36"/>
        <v>146</v>
      </c>
      <c r="R89" s="8"/>
      <c r="T89"/>
    </row>
    <row r="90" spans="2:20" ht="23.1" customHeight="1" x14ac:dyDescent="0.25">
      <c r="B90" s="46" t="s">
        <v>130</v>
      </c>
      <c r="C90" s="50">
        <v>47</v>
      </c>
      <c r="D90" s="50">
        <v>13</v>
      </c>
      <c r="E90" s="50">
        <v>6</v>
      </c>
      <c r="F90" s="50">
        <v>8</v>
      </c>
      <c r="G90" s="50">
        <v>0</v>
      </c>
      <c r="H90" s="50">
        <v>0</v>
      </c>
      <c r="I90" s="50">
        <v>3</v>
      </c>
      <c r="J90" s="50">
        <v>0</v>
      </c>
      <c r="K90" s="50">
        <v>0</v>
      </c>
      <c r="L90" s="50">
        <v>0</v>
      </c>
      <c r="M90" s="50">
        <v>63</v>
      </c>
      <c r="N90" s="50">
        <v>0</v>
      </c>
      <c r="O90" s="15">
        <f t="shared" si="35"/>
        <v>77</v>
      </c>
      <c r="P90" s="15">
        <f t="shared" si="36"/>
        <v>140</v>
      </c>
      <c r="R90" s="8"/>
      <c r="T90"/>
    </row>
    <row r="91" spans="2:20" ht="23.1" customHeight="1" x14ac:dyDescent="0.25">
      <c r="B91" s="45" t="s">
        <v>131</v>
      </c>
      <c r="C91" s="50">
        <v>51</v>
      </c>
      <c r="D91" s="50">
        <v>17</v>
      </c>
      <c r="E91" s="50">
        <v>9</v>
      </c>
      <c r="F91" s="50">
        <v>6</v>
      </c>
      <c r="G91" s="50">
        <v>1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61</v>
      </c>
      <c r="N91" s="50">
        <v>0</v>
      </c>
      <c r="O91" s="15">
        <f t="shared" si="35"/>
        <v>84</v>
      </c>
      <c r="P91" s="15">
        <f t="shared" si="36"/>
        <v>145</v>
      </c>
      <c r="R91" s="8"/>
      <c r="T91"/>
    </row>
    <row r="92" spans="2:20" ht="23.1" customHeight="1" x14ac:dyDescent="0.25">
      <c r="B92" s="47" t="s">
        <v>132</v>
      </c>
      <c r="C92" s="50">
        <v>50</v>
      </c>
      <c r="D92" s="50">
        <v>15</v>
      </c>
      <c r="E92" s="50">
        <v>13</v>
      </c>
      <c r="F92" s="50">
        <v>9</v>
      </c>
      <c r="G92" s="50">
        <v>0</v>
      </c>
      <c r="H92" s="50">
        <v>0</v>
      </c>
      <c r="I92" s="50">
        <v>3</v>
      </c>
      <c r="J92" s="50">
        <v>0</v>
      </c>
      <c r="K92" s="50">
        <v>0</v>
      </c>
      <c r="L92" s="50">
        <v>0</v>
      </c>
      <c r="M92" s="50">
        <v>66</v>
      </c>
      <c r="N92" s="50">
        <v>0</v>
      </c>
      <c r="O92" s="15">
        <f t="shared" si="35"/>
        <v>90</v>
      </c>
      <c r="P92" s="15">
        <f t="shared" si="36"/>
        <v>156</v>
      </c>
      <c r="R92" s="8"/>
      <c r="T92"/>
    </row>
    <row r="93" spans="2:20" ht="23.1" customHeight="1" x14ac:dyDescent="0.25">
      <c r="B93" s="45" t="s">
        <v>133</v>
      </c>
      <c r="C93" s="50">
        <v>61</v>
      </c>
      <c r="D93" s="50">
        <v>31</v>
      </c>
      <c r="E93" s="50">
        <v>11</v>
      </c>
      <c r="F93" s="50">
        <v>8</v>
      </c>
      <c r="G93" s="50">
        <v>0</v>
      </c>
      <c r="H93" s="50">
        <v>0</v>
      </c>
      <c r="I93" s="50">
        <v>0</v>
      </c>
      <c r="J93" s="50">
        <v>1</v>
      </c>
      <c r="K93" s="50">
        <v>0</v>
      </c>
      <c r="L93" s="50">
        <v>0</v>
      </c>
      <c r="M93" s="50">
        <v>50</v>
      </c>
      <c r="N93" s="50">
        <v>0</v>
      </c>
      <c r="O93" s="15">
        <f t="shared" si="35"/>
        <v>112</v>
      </c>
      <c r="P93" s="15">
        <f t="shared" si="36"/>
        <v>162</v>
      </c>
      <c r="R93" s="8"/>
      <c r="T93"/>
    </row>
    <row r="94" spans="2:20" ht="23.1" customHeight="1" x14ac:dyDescent="0.25">
      <c r="B94" s="46" t="s">
        <v>134</v>
      </c>
      <c r="C94" s="50">
        <v>51</v>
      </c>
      <c r="D94" s="50">
        <v>27</v>
      </c>
      <c r="E94" s="50">
        <v>7</v>
      </c>
      <c r="F94" s="50">
        <v>10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63</v>
      </c>
      <c r="N94" s="50">
        <v>0</v>
      </c>
      <c r="O94" s="15">
        <f t="shared" si="35"/>
        <v>96</v>
      </c>
      <c r="P94" s="15">
        <f t="shared" si="36"/>
        <v>159</v>
      </c>
      <c r="R94" s="8"/>
      <c r="T94"/>
    </row>
    <row r="95" spans="2:20" ht="23.1" customHeight="1" x14ac:dyDescent="0.25">
      <c r="B95" s="45" t="s">
        <v>135</v>
      </c>
      <c r="C95" s="50">
        <v>55</v>
      </c>
      <c r="D95" s="50">
        <v>19</v>
      </c>
      <c r="E95" s="50">
        <v>12</v>
      </c>
      <c r="F95" s="50">
        <v>8</v>
      </c>
      <c r="G95" s="50">
        <v>0</v>
      </c>
      <c r="H95" s="50">
        <v>0</v>
      </c>
      <c r="I95" s="50">
        <v>1</v>
      </c>
      <c r="J95" s="50">
        <v>1</v>
      </c>
      <c r="K95" s="50">
        <v>0</v>
      </c>
      <c r="L95" s="50">
        <v>0</v>
      </c>
      <c r="M95" s="50">
        <v>67</v>
      </c>
      <c r="N95" s="50">
        <v>0</v>
      </c>
      <c r="O95" s="15">
        <f t="shared" si="35"/>
        <v>96</v>
      </c>
      <c r="P95" s="15">
        <f t="shared" si="36"/>
        <v>163</v>
      </c>
      <c r="R95" s="8"/>
      <c r="T95"/>
    </row>
    <row r="96" spans="2:20" ht="23.1" customHeight="1" x14ac:dyDescent="0.25">
      <c r="B96" s="47" t="s">
        <v>136</v>
      </c>
      <c r="C96" s="50">
        <v>68</v>
      </c>
      <c r="D96" s="50">
        <v>35</v>
      </c>
      <c r="E96" s="50">
        <v>18</v>
      </c>
      <c r="F96" s="50">
        <v>13</v>
      </c>
      <c r="G96" s="50">
        <v>0</v>
      </c>
      <c r="H96" s="50">
        <v>1</v>
      </c>
      <c r="I96" s="50">
        <v>4</v>
      </c>
      <c r="J96" s="50">
        <v>2</v>
      </c>
      <c r="K96" s="50">
        <v>0</v>
      </c>
      <c r="L96" s="50">
        <v>0</v>
      </c>
      <c r="M96" s="50">
        <v>69</v>
      </c>
      <c r="N96" s="50">
        <v>0</v>
      </c>
      <c r="O96" s="15">
        <f t="shared" si="35"/>
        <v>141</v>
      </c>
      <c r="P96" s="15">
        <f t="shared" si="36"/>
        <v>210</v>
      </c>
      <c r="R96" s="8"/>
      <c r="T96"/>
    </row>
    <row r="97" spans="2:20" ht="23.1" customHeight="1" x14ac:dyDescent="0.25">
      <c r="B97" s="45" t="s">
        <v>137</v>
      </c>
      <c r="C97" s="50">
        <v>72</v>
      </c>
      <c r="D97" s="50">
        <v>38</v>
      </c>
      <c r="E97" s="50">
        <v>24</v>
      </c>
      <c r="F97" s="50">
        <v>18</v>
      </c>
      <c r="G97" s="50">
        <v>1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71</v>
      </c>
      <c r="N97" s="50">
        <v>0</v>
      </c>
      <c r="O97" s="15">
        <f t="shared" si="35"/>
        <v>153</v>
      </c>
      <c r="P97" s="15">
        <f t="shared" si="36"/>
        <v>224</v>
      </c>
      <c r="R97" s="8"/>
      <c r="T97"/>
    </row>
    <row r="98" spans="2:20" ht="23.1" customHeight="1" x14ac:dyDescent="0.25">
      <c r="B98" s="46" t="s">
        <v>138</v>
      </c>
      <c r="C98" s="50">
        <v>92</v>
      </c>
      <c r="D98" s="50">
        <v>40</v>
      </c>
      <c r="E98" s="50">
        <v>16</v>
      </c>
      <c r="F98" s="50">
        <v>13</v>
      </c>
      <c r="G98" s="50">
        <v>0</v>
      </c>
      <c r="H98" s="50">
        <v>0</v>
      </c>
      <c r="I98" s="50">
        <v>3</v>
      </c>
      <c r="J98" s="50">
        <v>0</v>
      </c>
      <c r="K98" s="50">
        <v>0</v>
      </c>
      <c r="L98" s="50">
        <v>0</v>
      </c>
      <c r="M98" s="50">
        <v>72</v>
      </c>
      <c r="N98" s="50">
        <v>0</v>
      </c>
      <c r="O98" s="15">
        <f t="shared" si="35"/>
        <v>164</v>
      </c>
      <c r="P98" s="15">
        <f t="shared" si="36"/>
        <v>236</v>
      </c>
      <c r="R98" s="8"/>
      <c r="T98"/>
    </row>
    <row r="99" spans="2:20" ht="23.1" customHeight="1" x14ac:dyDescent="0.25">
      <c r="B99" s="45" t="s">
        <v>139</v>
      </c>
      <c r="C99" s="50">
        <v>96</v>
      </c>
      <c r="D99" s="50">
        <v>36</v>
      </c>
      <c r="E99" s="50">
        <v>13</v>
      </c>
      <c r="F99" s="50">
        <v>17</v>
      </c>
      <c r="G99" s="50">
        <v>0</v>
      </c>
      <c r="H99" s="50">
        <v>0</v>
      </c>
      <c r="I99" s="50">
        <v>2</v>
      </c>
      <c r="J99" s="50">
        <v>0</v>
      </c>
      <c r="K99" s="50">
        <v>0</v>
      </c>
      <c r="L99" s="50">
        <v>0</v>
      </c>
      <c r="M99" s="50">
        <v>76</v>
      </c>
      <c r="N99" s="50">
        <v>0</v>
      </c>
      <c r="O99" s="15">
        <f t="shared" si="35"/>
        <v>164</v>
      </c>
      <c r="P99" s="15">
        <f t="shared" si="36"/>
        <v>240</v>
      </c>
      <c r="R99" s="8"/>
      <c r="T99"/>
    </row>
    <row r="100" spans="2:20" ht="23.1" customHeight="1" x14ac:dyDescent="0.25">
      <c r="B100" s="47" t="s">
        <v>140</v>
      </c>
      <c r="C100" s="50">
        <v>99</v>
      </c>
      <c r="D100" s="50">
        <v>28</v>
      </c>
      <c r="E100" s="50">
        <v>17</v>
      </c>
      <c r="F100" s="50">
        <v>19</v>
      </c>
      <c r="G100" s="50">
        <v>0</v>
      </c>
      <c r="H100" s="50">
        <v>0</v>
      </c>
      <c r="I100" s="50">
        <v>4</v>
      </c>
      <c r="J100" s="50">
        <v>1</v>
      </c>
      <c r="K100" s="50">
        <v>0</v>
      </c>
      <c r="L100" s="50">
        <v>0</v>
      </c>
      <c r="M100" s="50">
        <v>73</v>
      </c>
      <c r="N100" s="50">
        <v>0</v>
      </c>
      <c r="O100" s="15">
        <f t="shared" si="35"/>
        <v>168</v>
      </c>
      <c r="P100" s="15">
        <f t="shared" si="36"/>
        <v>241</v>
      </c>
      <c r="R100" s="8"/>
      <c r="T100"/>
    </row>
    <row r="101" spans="2:20" ht="23.1" customHeight="1" x14ac:dyDescent="0.25">
      <c r="B101" s="45" t="s">
        <v>141</v>
      </c>
      <c r="C101" s="50">
        <v>103</v>
      </c>
      <c r="D101" s="50">
        <v>18</v>
      </c>
      <c r="E101" s="50">
        <v>19</v>
      </c>
      <c r="F101" s="50">
        <v>31</v>
      </c>
      <c r="G101" s="50">
        <v>0</v>
      </c>
      <c r="H101" s="50">
        <v>0</v>
      </c>
      <c r="I101" s="50">
        <v>2</v>
      </c>
      <c r="J101" s="50">
        <v>0</v>
      </c>
      <c r="K101" s="50">
        <v>0</v>
      </c>
      <c r="L101" s="50">
        <v>0</v>
      </c>
      <c r="M101" s="50">
        <v>87</v>
      </c>
      <c r="N101" s="50">
        <v>0</v>
      </c>
      <c r="O101" s="15">
        <f t="shared" si="35"/>
        <v>173</v>
      </c>
      <c r="P101" s="15">
        <f t="shared" si="36"/>
        <v>260</v>
      </c>
      <c r="R101" s="8"/>
      <c r="T101"/>
    </row>
    <row r="102" spans="2:20" ht="23.1" customHeight="1" x14ac:dyDescent="0.25">
      <c r="B102" s="46" t="s">
        <v>142</v>
      </c>
      <c r="C102" s="50">
        <v>98</v>
      </c>
      <c r="D102" s="50">
        <v>23</v>
      </c>
      <c r="E102" s="50">
        <v>11</v>
      </c>
      <c r="F102" s="50">
        <v>14</v>
      </c>
      <c r="G102" s="50">
        <v>0</v>
      </c>
      <c r="H102" s="50">
        <v>0</v>
      </c>
      <c r="I102" s="50">
        <v>2</v>
      </c>
      <c r="J102" s="50">
        <v>1</v>
      </c>
      <c r="K102" s="50">
        <v>0</v>
      </c>
      <c r="L102" s="50">
        <v>0</v>
      </c>
      <c r="M102" s="50">
        <v>70</v>
      </c>
      <c r="N102" s="50">
        <v>0</v>
      </c>
      <c r="O102" s="15">
        <f t="shared" si="35"/>
        <v>149</v>
      </c>
      <c r="P102" s="15">
        <f t="shared" si="36"/>
        <v>219</v>
      </c>
      <c r="R102" s="8"/>
      <c r="T102"/>
    </row>
    <row r="103" spans="2:20" ht="23.1" customHeight="1" x14ac:dyDescent="0.25">
      <c r="B103" s="45" t="s">
        <v>143</v>
      </c>
      <c r="C103" s="50">
        <v>93</v>
      </c>
      <c r="D103" s="50">
        <v>36</v>
      </c>
      <c r="E103" s="50">
        <v>17</v>
      </c>
      <c r="F103" s="50">
        <v>16</v>
      </c>
      <c r="G103" s="50">
        <v>0</v>
      </c>
      <c r="H103" s="50">
        <v>0</v>
      </c>
      <c r="I103" s="50">
        <v>3</v>
      </c>
      <c r="J103" s="50">
        <v>0</v>
      </c>
      <c r="K103" s="50">
        <v>0</v>
      </c>
      <c r="L103" s="50">
        <v>0</v>
      </c>
      <c r="M103" s="50">
        <v>90</v>
      </c>
      <c r="N103" s="50">
        <v>0</v>
      </c>
      <c r="O103" s="15">
        <f t="shared" si="35"/>
        <v>165</v>
      </c>
      <c r="P103" s="15">
        <f t="shared" si="36"/>
        <v>255</v>
      </c>
      <c r="R103" s="8"/>
      <c r="T103"/>
    </row>
    <row r="104" spans="2:20" ht="23.1" customHeight="1" x14ac:dyDescent="0.25">
      <c r="B104" s="47" t="s">
        <v>144</v>
      </c>
      <c r="C104" s="50">
        <v>110</v>
      </c>
      <c r="D104" s="50">
        <v>28</v>
      </c>
      <c r="E104" s="50">
        <v>23</v>
      </c>
      <c r="F104" s="50">
        <v>28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55</v>
      </c>
      <c r="N104" s="50">
        <v>0</v>
      </c>
      <c r="O104" s="15">
        <f t="shared" si="35"/>
        <v>189</v>
      </c>
      <c r="P104" s="15">
        <f t="shared" si="36"/>
        <v>244</v>
      </c>
      <c r="R104" s="8"/>
      <c r="T104"/>
    </row>
    <row r="105" spans="2:20" ht="23.1" customHeight="1" x14ac:dyDescent="0.25">
      <c r="B105" s="45" t="s">
        <v>145</v>
      </c>
      <c r="C105" s="50">
        <v>240</v>
      </c>
      <c r="D105" s="50">
        <v>65</v>
      </c>
      <c r="E105" s="50">
        <v>1</v>
      </c>
      <c r="F105" s="50">
        <v>25</v>
      </c>
      <c r="G105" s="50">
        <v>0</v>
      </c>
      <c r="H105" s="50">
        <v>0</v>
      </c>
      <c r="I105" s="50">
        <v>1</v>
      </c>
      <c r="J105" s="50">
        <v>0</v>
      </c>
      <c r="K105" s="50">
        <v>1</v>
      </c>
      <c r="L105" s="50">
        <v>0</v>
      </c>
      <c r="M105" s="50">
        <v>96</v>
      </c>
      <c r="N105" s="50">
        <v>0</v>
      </c>
      <c r="O105" s="15">
        <f t="shared" si="35"/>
        <v>333</v>
      </c>
      <c r="P105" s="15">
        <f t="shared" si="36"/>
        <v>429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4398</v>
      </c>
      <c r="D106" s="16">
        <f t="shared" ref="D106:P106" si="37">SUM(D10:D105)</f>
        <v>2955</v>
      </c>
      <c r="E106" s="16">
        <f t="shared" si="37"/>
        <v>546</v>
      </c>
      <c r="F106" s="16">
        <f t="shared" si="37"/>
        <v>694</v>
      </c>
      <c r="G106" s="16">
        <f t="shared" si="37"/>
        <v>17</v>
      </c>
      <c r="H106" s="16">
        <f t="shared" si="37"/>
        <v>3</v>
      </c>
      <c r="I106" s="16">
        <f t="shared" si="37"/>
        <v>109</v>
      </c>
      <c r="J106" s="16">
        <f t="shared" si="37"/>
        <v>27</v>
      </c>
      <c r="K106" s="16">
        <f t="shared" si="37"/>
        <v>5</v>
      </c>
      <c r="L106" s="16">
        <f t="shared" si="37"/>
        <v>0</v>
      </c>
      <c r="M106" s="16">
        <f t="shared" si="37"/>
        <v>5355</v>
      </c>
      <c r="N106" s="16">
        <f t="shared" si="37"/>
        <v>0</v>
      </c>
      <c r="O106" s="16">
        <f t="shared" si="37"/>
        <v>8754</v>
      </c>
      <c r="P106" s="16">
        <f t="shared" si="37"/>
        <v>14109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0.31171592600467785</v>
      </c>
      <c r="D107" s="43">
        <f t="shared" si="38"/>
        <v>0.20944078247926856</v>
      </c>
      <c r="E107" s="43">
        <f t="shared" si="38"/>
        <v>3.8698702955560278E-2</v>
      </c>
      <c r="F107" s="43">
        <f t="shared" si="38"/>
        <v>4.9188461265858671E-2</v>
      </c>
      <c r="G107" s="43">
        <f t="shared" si="38"/>
        <v>1.2049046707775179E-3</v>
      </c>
      <c r="H107" s="43">
        <f t="shared" si="38"/>
        <v>2.1263023601956197E-4</v>
      </c>
      <c r="I107" s="43">
        <f t="shared" si="38"/>
        <v>7.7255652420440855E-3</v>
      </c>
      <c r="J107" s="43">
        <f t="shared" si="38"/>
        <v>1.9136721241760578E-3</v>
      </c>
      <c r="K107" s="43">
        <f t="shared" si="38"/>
        <v>3.5438372669926999E-4</v>
      </c>
      <c r="L107" s="43">
        <f t="shared" si="38"/>
        <v>0</v>
      </c>
      <c r="M107" s="43">
        <f t="shared" si="38"/>
        <v>0.37954497129491815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0.50239890335846471</v>
      </c>
      <c r="D108" s="44">
        <f t="shared" ref="D108:N108" si="39">D106/$O$106</f>
        <v>0.33755997258396164</v>
      </c>
      <c r="E108" s="44">
        <f t="shared" si="39"/>
        <v>6.2371487320082249E-2</v>
      </c>
      <c r="F108" s="44">
        <f t="shared" si="39"/>
        <v>7.9278044322595387E-2</v>
      </c>
      <c r="G108" s="44">
        <f t="shared" si="39"/>
        <v>1.9419693854238064E-3</v>
      </c>
      <c r="H108" s="44">
        <f t="shared" si="39"/>
        <v>3.4270047978067172E-4</v>
      </c>
      <c r="I108" s="44">
        <f t="shared" si="39"/>
        <v>1.2451450765364405E-2</v>
      </c>
      <c r="J108" s="44">
        <f t="shared" si="39"/>
        <v>3.0843043180260451E-3</v>
      </c>
      <c r="K108" s="44">
        <f t="shared" si="39"/>
        <v>5.7116746630111949E-4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40" zoomScaleSheetLayoutView="4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Kisasi-Bukoto'!C3:G3</f>
        <v>MCC - C1 - STN32 - BUKOTO KISASI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63" t="str">
        <f>'31.07 Bukoto-Kisasi'!G5:H5</f>
        <v>KISASI</v>
      </c>
      <c r="H5" s="64"/>
      <c r="I5" s="14"/>
      <c r="J5" s="2" t="s">
        <v>5</v>
      </c>
      <c r="K5" s="63" t="str">
        <f>'31.07 Bukoto-Kisasi'!K5:L5</f>
        <v>RWAMBITITO J./NICHOL A./GEORGE W.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'29.07 Kisasi-Bukoto'!D6:E6</f>
        <v>KISASI</v>
      </c>
      <c r="E6" s="64"/>
      <c r="F6" s="2" t="s">
        <v>2</v>
      </c>
      <c r="G6" s="63" t="str">
        <f>'29.07 Kisasi-Bukoto'!G6:H6</f>
        <v>BUKOTO</v>
      </c>
      <c r="H6" s="64"/>
      <c r="J6" s="2" t="s">
        <v>21</v>
      </c>
      <c r="K6" s="63" t="str">
        <f>'31.07 Bukoto-Kisasi'!K6:L6</f>
        <v>SALIMA L.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85</v>
      </c>
      <c r="D10" s="50">
        <v>53</v>
      </c>
      <c r="E10" s="50">
        <v>1</v>
      </c>
      <c r="F10" s="50">
        <v>21</v>
      </c>
      <c r="G10" s="50">
        <v>0</v>
      </c>
      <c r="H10" s="50">
        <v>0</v>
      </c>
      <c r="I10" s="50">
        <v>6</v>
      </c>
      <c r="J10" s="50">
        <v>1</v>
      </c>
      <c r="K10" s="50">
        <v>0</v>
      </c>
      <c r="L10" s="50">
        <v>0</v>
      </c>
      <c r="M10" s="50">
        <v>123</v>
      </c>
      <c r="N10" s="50">
        <v>0</v>
      </c>
      <c r="O10" s="15">
        <f t="shared" ref="O10:O57" si="0">SUM(C10:L10,N10)</f>
        <v>167</v>
      </c>
      <c r="P10" s="15">
        <f t="shared" ref="P10:P57" si="1">SUM(C10:N10)</f>
        <v>290</v>
      </c>
      <c r="R10" s="1" t="s">
        <v>6</v>
      </c>
      <c r="S10" s="17">
        <f t="shared" ref="S10:AF10" si="2">SUM(C10:C13)</f>
        <v>361</v>
      </c>
      <c r="T10" s="17">
        <f t="shared" si="2"/>
        <v>186</v>
      </c>
      <c r="U10" s="17">
        <f t="shared" si="2"/>
        <v>6</v>
      </c>
      <c r="V10" s="17">
        <f t="shared" si="2"/>
        <v>65</v>
      </c>
      <c r="W10" s="17">
        <f t="shared" si="2"/>
        <v>0</v>
      </c>
      <c r="X10" s="17">
        <f t="shared" si="2"/>
        <v>0</v>
      </c>
      <c r="Y10" s="17">
        <f t="shared" si="2"/>
        <v>15</v>
      </c>
      <c r="Z10" s="17">
        <f t="shared" si="2"/>
        <v>3</v>
      </c>
      <c r="AA10" s="17">
        <f t="shared" si="2"/>
        <v>0</v>
      </c>
      <c r="AB10" s="17">
        <f t="shared" si="2"/>
        <v>0</v>
      </c>
      <c r="AC10" s="17">
        <f t="shared" si="2"/>
        <v>436</v>
      </c>
      <c r="AD10" s="17">
        <f t="shared" si="2"/>
        <v>0</v>
      </c>
      <c r="AE10" s="31">
        <f t="shared" si="2"/>
        <v>636</v>
      </c>
      <c r="AF10" s="31">
        <f t="shared" si="2"/>
        <v>1072</v>
      </c>
    </row>
    <row r="11" spans="2:32" s="6" customFormat="1" ht="23.1" customHeight="1" x14ac:dyDescent="0.25">
      <c r="B11" s="23" t="s">
        <v>38</v>
      </c>
      <c r="C11" s="50">
        <v>95</v>
      </c>
      <c r="D11" s="50">
        <v>47</v>
      </c>
      <c r="E11" s="50">
        <v>3</v>
      </c>
      <c r="F11" s="50">
        <v>19</v>
      </c>
      <c r="G11" s="50">
        <v>0</v>
      </c>
      <c r="H11" s="50">
        <v>0</v>
      </c>
      <c r="I11" s="50">
        <v>3</v>
      </c>
      <c r="J11" s="50">
        <v>0</v>
      </c>
      <c r="K11" s="50">
        <v>0</v>
      </c>
      <c r="L11" s="50">
        <v>0</v>
      </c>
      <c r="M11" s="50">
        <v>110</v>
      </c>
      <c r="N11" s="50">
        <v>0</v>
      </c>
      <c r="O11" s="15">
        <f t="shared" si="0"/>
        <v>167</v>
      </c>
      <c r="P11" s="15">
        <f t="shared" si="1"/>
        <v>277</v>
      </c>
      <c r="R11" s="1" t="s">
        <v>7</v>
      </c>
      <c r="S11" s="17">
        <f t="shared" ref="S11:AF11" si="3">SUM(C14:C17)</f>
        <v>266</v>
      </c>
      <c r="T11" s="17">
        <f t="shared" si="3"/>
        <v>171</v>
      </c>
      <c r="U11" s="17">
        <f t="shared" si="3"/>
        <v>6</v>
      </c>
      <c r="V11" s="17">
        <f t="shared" si="3"/>
        <v>39</v>
      </c>
      <c r="W11" s="17">
        <f t="shared" si="3"/>
        <v>0</v>
      </c>
      <c r="X11" s="17">
        <f t="shared" si="3"/>
        <v>0</v>
      </c>
      <c r="Y11" s="17">
        <f t="shared" si="3"/>
        <v>11</v>
      </c>
      <c r="Z11" s="17">
        <f t="shared" si="3"/>
        <v>3</v>
      </c>
      <c r="AA11" s="17">
        <f t="shared" si="3"/>
        <v>0</v>
      </c>
      <c r="AB11" s="17">
        <f t="shared" si="3"/>
        <v>0</v>
      </c>
      <c r="AC11" s="17">
        <f t="shared" si="3"/>
        <v>412</v>
      </c>
      <c r="AD11" s="17">
        <f t="shared" si="3"/>
        <v>0</v>
      </c>
      <c r="AE11" s="31">
        <f t="shared" si="3"/>
        <v>496</v>
      </c>
      <c r="AF11" s="31">
        <f t="shared" si="3"/>
        <v>908</v>
      </c>
    </row>
    <row r="12" spans="2:32" ht="23.1" customHeight="1" x14ac:dyDescent="0.25">
      <c r="B12" s="23" t="s">
        <v>39</v>
      </c>
      <c r="C12" s="50">
        <v>110</v>
      </c>
      <c r="D12" s="50">
        <v>44</v>
      </c>
      <c r="E12" s="50">
        <v>1</v>
      </c>
      <c r="F12" s="50">
        <v>12</v>
      </c>
      <c r="G12" s="50">
        <v>0</v>
      </c>
      <c r="H12" s="50">
        <v>0</v>
      </c>
      <c r="I12" s="50">
        <v>4</v>
      </c>
      <c r="J12" s="50">
        <v>0</v>
      </c>
      <c r="K12" s="50">
        <v>0</v>
      </c>
      <c r="L12" s="50">
        <v>0</v>
      </c>
      <c r="M12" s="50">
        <v>100</v>
      </c>
      <c r="N12" s="50">
        <v>0</v>
      </c>
      <c r="O12" s="15">
        <f t="shared" si="0"/>
        <v>171</v>
      </c>
      <c r="P12" s="15">
        <f t="shared" si="1"/>
        <v>271</v>
      </c>
      <c r="R12" s="1" t="s">
        <v>8</v>
      </c>
      <c r="S12" s="17">
        <f t="shared" ref="S12:AF12" si="4">SUM(C18:C21)</f>
        <v>213</v>
      </c>
      <c r="T12" s="17">
        <f t="shared" si="4"/>
        <v>128</v>
      </c>
      <c r="U12" s="17">
        <f t="shared" si="4"/>
        <v>4</v>
      </c>
      <c r="V12" s="17">
        <f t="shared" si="4"/>
        <v>52</v>
      </c>
      <c r="W12" s="17">
        <f t="shared" si="4"/>
        <v>1</v>
      </c>
      <c r="X12" s="17">
        <f t="shared" si="4"/>
        <v>0</v>
      </c>
      <c r="Y12" s="17">
        <f t="shared" si="4"/>
        <v>9</v>
      </c>
      <c r="Z12" s="17">
        <f t="shared" si="4"/>
        <v>1</v>
      </c>
      <c r="AA12" s="17">
        <f t="shared" si="4"/>
        <v>1</v>
      </c>
      <c r="AB12" s="17">
        <f t="shared" si="4"/>
        <v>0</v>
      </c>
      <c r="AC12" s="17">
        <f t="shared" si="4"/>
        <v>351</v>
      </c>
      <c r="AD12" s="17">
        <f t="shared" si="4"/>
        <v>0</v>
      </c>
      <c r="AE12" s="31">
        <f t="shared" si="4"/>
        <v>409</v>
      </c>
      <c r="AF12" s="31">
        <f t="shared" si="4"/>
        <v>760</v>
      </c>
    </row>
    <row r="13" spans="2:32" ht="23.1" customHeight="1" x14ac:dyDescent="0.25">
      <c r="B13" s="23" t="s">
        <v>40</v>
      </c>
      <c r="C13" s="50">
        <v>71</v>
      </c>
      <c r="D13" s="50">
        <v>42</v>
      </c>
      <c r="E13" s="50">
        <v>1</v>
      </c>
      <c r="F13" s="50">
        <v>13</v>
      </c>
      <c r="G13" s="50">
        <v>0</v>
      </c>
      <c r="H13" s="50">
        <v>0</v>
      </c>
      <c r="I13" s="50">
        <v>2</v>
      </c>
      <c r="J13" s="50">
        <v>2</v>
      </c>
      <c r="K13" s="50">
        <v>0</v>
      </c>
      <c r="L13" s="50">
        <v>0</v>
      </c>
      <c r="M13" s="50">
        <v>103</v>
      </c>
      <c r="N13" s="50">
        <v>0</v>
      </c>
      <c r="O13" s="15">
        <f t="shared" si="0"/>
        <v>131</v>
      </c>
      <c r="P13" s="15">
        <f t="shared" si="1"/>
        <v>234</v>
      </c>
      <c r="R13" s="1" t="s">
        <v>9</v>
      </c>
      <c r="S13" s="17">
        <f t="shared" ref="S13:AF13" si="5">SUM(C22:C25)</f>
        <v>162</v>
      </c>
      <c r="T13" s="17">
        <f t="shared" si="5"/>
        <v>98</v>
      </c>
      <c r="U13" s="17">
        <f t="shared" si="5"/>
        <v>3</v>
      </c>
      <c r="V13" s="17">
        <f t="shared" si="5"/>
        <v>42</v>
      </c>
      <c r="W13" s="17">
        <f t="shared" si="5"/>
        <v>0</v>
      </c>
      <c r="X13" s="17">
        <f t="shared" si="5"/>
        <v>0</v>
      </c>
      <c r="Y13" s="17">
        <f t="shared" si="5"/>
        <v>11</v>
      </c>
      <c r="Z13" s="17">
        <f t="shared" si="5"/>
        <v>2</v>
      </c>
      <c r="AA13" s="17">
        <f t="shared" si="5"/>
        <v>4</v>
      </c>
      <c r="AB13" s="17">
        <f t="shared" si="5"/>
        <v>0</v>
      </c>
      <c r="AC13" s="17">
        <f t="shared" si="5"/>
        <v>361</v>
      </c>
      <c r="AD13" s="17">
        <f t="shared" si="5"/>
        <v>0</v>
      </c>
      <c r="AE13" s="31">
        <f t="shared" si="5"/>
        <v>322</v>
      </c>
      <c r="AF13" s="31">
        <f t="shared" si="5"/>
        <v>683</v>
      </c>
    </row>
    <row r="14" spans="2:32" ht="23.1" customHeight="1" x14ac:dyDescent="0.25">
      <c r="B14" s="23" t="s">
        <v>41</v>
      </c>
      <c r="C14" s="50">
        <v>65</v>
      </c>
      <c r="D14" s="50">
        <v>44</v>
      </c>
      <c r="E14" s="50">
        <v>1</v>
      </c>
      <c r="F14" s="50">
        <v>13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113</v>
      </c>
      <c r="N14" s="50">
        <v>0</v>
      </c>
      <c r="O14" s="15">
        <f t="shared" si="0"/>
        <v>126</v>
      </c>
      <c r="P14" s="15">
        <f t="shared" si="1"/>
        <v>239</v>
      </c>
      <c r="R14" s="1" t="s">
        <v>10</v>
      </c>
      <c r="S14" s="17">
        <f t="shared" ref="S14:AF14" si="6">SUM(C26:C29)</f>
        <v>198</v>
      </c>
      <c r="T14" s="17">
        <f t="shared" si="6"/>
        <v>108</v>
      </c>
      <c r="U14" s="17">
        <f t="shared" si="6"/>
        <v>4</v>
      </c>
      <c r="V14" s="17">
        <f t="shared" si="6"/>
        <v>37</v>
      </c>
      <c r="W14" s="17">
        <f t="shared" si="6"/>
        <v>0</v>
      </c>
      <c r="X14" s="17">
        <f t="shared" si="6"/>
        <v>0</v>
      </c>
      <c r="Y14" s="17">
        <f t="shared" si="6"/>
        <v>9</v>
      </c>
      <c r="Z14" s="17">
        <f t="shared" si="6"/>
        <v>0</v>
      </c>
      <c r="AA14" s="17">
        <f t="shared" si="6"/>
        <v>3</v>
      </c>
      <c r="AB14" s="17">
        <f t="shared" si="6"/>
        <v>0</v>
      </c>
      <c r="AC14" s="17">
        <f t="shared" si="6"/>
        <v>323</v>
      </c>
      <c r="AD14" s="17">
        <f t="shared" si="6"/>
        <v>0</v>
      </c>
      <c r="AE14" s="31">
        <f t="shared" si="6"/>
        <v>359</v>
      </c>
      <c r="AF14" s="31">
        <f t="shared" si="6"/>
        <v>682</v>
      </c>
    </row>
    <row r="15" spans="2:32" ht="23.1" customHeight="1" x14ac:dyDescent="0.25">
      <c r="B15" s="23" t="s">
        <v>42</v>
      </c>
      <c r="C15" s="50">
        <v>79</v>
      </c>
      <c r="D15" s="50">
        <v>43</v>
      </c>
      <c r="E15" s="50">
        <v>1</v>
      </c>
      <c r="F15" s="50">
        <v>9</v>
      </c>
      <c r="G15" s="50">
        <v>0</v>
      </c>
      <c r="H15" s="50">
        <v>0</v>
      </c>
      <c r="I15" s="50">
        <v>3</v>
      </c>
      <c r="J15" s="50">
        <v>1</v>
      </c>
      <c r="K15" s="50">
        <v>0</v>
      </c>
      <c r="L15" s="50">
        <v>0</v>
      </c>
      <c r="M15" s="50">
        <v>70</v>
      </c>
      <c r="N15" s="50">
        <v>0</v>
      </c>
      <c r="O15" s="15">
        <f t="shared" si="0"/>
        <v>136</v>
      </c>
      <c r="P15" s="15">
        <f t="shared" si="1"/>
        <v>206</v>
      </c>
      <c r="R15" s="1" t="s">
        <v>11</v>
      </c>
      <c r="S15" s="17">
        <f t="shared" ref="S15:AF15" si="7">SUM(C30:C33)</f>
        <v>207</v>
      </c>
      <c r="T15" s="17">
        <f t="shared" si="7"/>
        <v>92</v>
      </c>
      <c r="U15" s="17">
        <f t="shared" si="7"/>
        <v>6</v>
      </c>
      <c r="V15" s="17">
        <f t="shared" si="7"/>
        <v>36</v>
      </c>
      <c r="W15" s="17">
        <f t="shared" si="7"/>
        <v>1</v>
      </c>
      <c r="X15" s="17">
        <f t="shared" si="7"/>
        <v>0</v>
      </c>
      <c r="Y15" s="17">
        <f t="shared" si="7"/>
        <v>8</v>
      </c>
      <c r="Z15" s="17">
        <f t="shared" si="7"/>
        <v>1</v>
      </c>
      <c r="AA15" s="17">
        <f t="shared" si="7"/>
        <v>2</v>
      </c>
      <c r="AB15" s="17">
        <f t="shared" si="7"/>
        <v>0</v>
      </c>
      <c r="AC15" s="17">
        <f t="shared" si="7"/>
        <v>291</v>
      </c>
      <c r="AD15" s="17">
        <f t="shared" si="7"/>
        <v>0</v>
      </c>
      <c r="AE15" s="31">
        <f t="shared" si="7"/>
        <v>353</v>
      </c>
      <c r="AF15" s="31">
        <f t="shared" si="7"/>
        <v>644</v>
      </c>
    </row>
    <row r="16" spans="2:32" ht="23.1" customHeight="1" x14ac:dyDescent="0.25">
      <c r="B16" s="23" t="s">
        <v>43</v>
      </c>
      <c r="C16" s="50">
        <v>60</v>
      </c>
      <c r="D16" s="50">
        <v>30</v>
      </c>
      <c r="E16" s="50">
        <v>3</v>
      </c>
      <c r="F16" s="50">
        <v>10</v>
      </c>
      <c r="G16" s="50">
        <v>0</v>
      </c>
      <c r="H16" s="50">
        <v>0</v>
      </c>
      <c r="I16" s="50">
        <v>2</v>
      </c>
      <c r="J16" s="50">
        <v>2</v>
      </c>
      <c r="K16" s="50">
        <v>0</v>
      </c>
      <c r="L16" s="50">
        <v>0</v>
      </c>
      <c r="M16" s="50">
        <v>107</v>
      </c>
      <c r="N16" s="50">
        <v>0</v>
      </c>
      <c r="O16" s="15">
        <f t="shared" si="0"/>
        <v>107</v>
      </c>
      <c r="P16" s="15">
        <f t="shared" si="1"/>
        <v>214</v>
      </c>
      <c r="R16" s="1" t="s">
        <v>12</v>
      </c>
      <c r="S16" s="17">
        <f t="shared" ref="S16:AF16" si="8">SUM(C34:C37)</f>
        <v>138</v>
      </c>
      <c r="T16" s="17">
        <f t="shared" si="8"/>
        <v>81</v>
      </c>
      <c r="U16" s="17">
        <f t="shared" si="8"/>
        <v>5</v>
      </c>
      <c r="V16" s="17">
        <f t="shared" si="8"/>
        <v>34</v>
      </c>
      <c r="W16" s="17">
        <f t="shared" si="8"/>
        <v>0</v>
      </c>
      <c r="X16" s="17">
        <f t="shared" si="8"/>
        <v>0</v>
      </c>
      <c r="Y16" s="17">
        <f t="shared" si="8"/>
        <v>10</v>
      </c>
      <c r="Z16" s="17">
        <f t="shared" si="8"/>
        <v>0</v>
      </c>
      <c r="AA16" s="17">
        <f t="shared" si="8"/>
        <v>4</v>
      </c>
      <c r="AB16" s="17">
        <f t="shared" si="8"/>
        <v>0</v>
      </c>
      <c r="AC16" s="17">
        <f t="shared" si="8"/>
        <v>286</v>
      </c>
      <c r="AD16" s="17">
        <f t="shared" si="8"/>
        <v>0</v>
      </c>
      <c r="AE16" s="31">
        <f t="shared" si="8"/>
        <v>272</v>
      </c>
      <c r="AF16" s="31">
        <f t="shared" si="8"/>
        <v>558</v>
      </c>
    </row>
    <row r="17" spans="2:32" ht="23.1" customHeight="1" x14ac:dyDescent="0.25">
      <c r="B17" s="23" t="s">
        <v>44</v>
      </c>
      <c r="C17" s="50">
        <v>62</v>
      </c>
      <c r="D17" s="50">
        <v>54</v>
      </c>
      <c r="E17" s="50">
        <v>1</v>
      </c>
      <c r="F17" s="50">
        <v>7</v>
      </c>
      <c r="G17" s="50">
        <v>0</v>
      </c>
      <c r="H17" s="50">
        <v>0</v>
      </c>
      <c r="I17" s="50">
        <v>3</v>
      </c>
      <c r="J17" s="50">
        <v>0</v>
      </c>
      <c r="K17" s="50">
        <v>0</v>
      </c>
      <c r="L17" s="50">
        <v>0</v>
      </c>
      <c r="M17" s="50">
        <v>122</v>
      </c>
      <c r="N17" s="50">
        <v>0</v>
      </c>
      <c r="O17" s="15">
        <f t="shared" si="0"/>
        <v>127</v>
      </c>
      <c r="P17" s="15">
        <f t="shared" si="1"/>
        <v>249</v>
      </c>
      <c r="R17" s="1" t="s">
        <v>13</v>
      </c>
      <c r="S17" s="17">
        <f t="shared" ref="S17:AF17" si="9">SUM(C38:C41)</f>
        <v>152</v>
      </c>
      <c r="T17" s="17">
        <f t="shared" si="9"/>
        <v>79</v>
      </c>
      <c r="U17" s="17">
        <f t="shared" si="9"/>
        <v>6</v>
      </c>
      <c r="V17" s="17">
        <f t="shared" si="9"/>
        <v>35</v>
      </c>
      <c r="W17" s="17">
        <f t="shared" si="9"/>
        <v>0</v>
      </c>
      <c r="X17" s="17">
        <f t="shared" si="9"/>
        <v>0</v>
      </c>
      <c r="Y17" s="17">
        <f t="shared" si="9"/>
        <v>10</v>
      </c>
      <c r="Z17" s="17">
        <f t="shared" si="9"/>
        <v>0</v>
      </c>
      <c r="AA17" s="17">
        <f t="shared" si="9"/>
        <v>4</v>
      </c>
      <c r="AB17" s="17">
        <f t="shared" si="9"/>
        <v>0</v>
      </c>
      <c r="AC17" s="17">
        <f t="shared" si="9"/>
        <v>254</v>
      </c>
      <c r="AD17" s="17">
        <f t="shared" si="9"/>
        <v>0</v>
      </c>
      <c r="AE17" s="31">
        <f t="shared" si="9"/>
        <v>286</v>
      </c>
      <c r="AF17" s="31">
        <f t="shared" si="9"/>
        <v>540</v>
      </c>
    </row>
    <row r="18" spans="2:32" ht="23.1" customHeight="1" x14ac:dyDescent="0.25">
      <c r="B18" s="23" t="s">
        <v>45</v>
      </c>
      <c r="C18" s="50">
        <v>45</v>
      </c>
      <c r="D18" s="50">
        <v>30</v>
      </c>
      <c r="E18" s="50">
        <v>1</v>
      </c>
      <c r="F18" s="50">
        <v>20</v>
      </c>
      <c r="G18" s="50">
        <v>0</v>
      </c>
      <c r="H18" s="50">
        <v>0</v>
      </c>
      <c r="I18" s="50">
        <v>2</v>
      </c>
      <c r="J18" s="50">
        <v>1</v>
      </c>
      <c r="K18" s="50">
        <v>0</v>
      </c>
      <c r="L18" s="50">
        <v>0</v>
      </c>
      <c r="M18" s="50">
        <v>108</v>
      </c>
      <c r="N18" s="50">
        <v>0</v>
      </c>
      <c r="O18" s="15">
        <f t="shared" si="0"/>
        <v>99</v>
      </c>
      <c r="P18" s="15">
        <f t="shared" si="1"/>
        <v>207</v>
      </c>
      <c r="R18" s="1" t="s">
        <v>14</v>
      </c>
      <c r="S18" s="17">
        <f t="shared" ref="S18:AF18" si="10">SUM(C42:C45)</f>
        <v>143</v>
      </c>
      <c r="T18" s="17">
        <f t="shared" si="10"/>
        <v>92</v>
      </c>
      <c r="U18" s="17">
        <f t="shared" si="10"/>
        <v>4</v>
      </c>
      <c r="V18" s="17">
        <f t="shared" si="10"/>
        <v>47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0</v>
      </c>
      <c r="AA18" s="17">
        <f t="shared" si="10"/>
        <v>1</v>
      </c>
      <c r="AB18" s="17">
        <f t="shared" si="10"/>
        <v>0</v>
      </c>
      <c r="AC18" s="17">
        <f t="shared" si="10"/>
        <v>260</v>
      </c>
      <c r="AD18" s="17">
        <f t="shared" si="10"/>
        <v>0</v>
      </c>
      <c r="AE18" s="31">
        <f t="shared" si="10"/>
        <v>293</v>
      </c>
      <c r="AF18" s="31">
        <f t="shared" si="10"/>
        <v>553</v>
      </c>
    </row>
    <row r="19" spans="2:32" ht="23.1" customHeight="1" x14ac:dyDescent="0.25">
      <c r="B19" s="23" t="s">
        <v>46</v>
      </c>
      <c r="C19" s="50">
        <v>60</v>
      </c>
      <c r="D19" s="50">
        <v>35</v>
      </c>
      <c r="E19" s="50">
        <v>0</v>
      </c>
      <c r="F19" s="50">
        <v>7</v>
      </c>
      <c r="G19" s="50">
        <v>1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80</v>
      </c>
      <c r="N19" s="50">
        <v>0</v>
      </c>
      <c r="O19" s="15">
        <f t="shared" si="0"/>
        <v>105</v>
      </c>
      <c r="P19" s="15">
        <f t="shared" si="1"/>
        <v>185</v>
      </c>
      <c r="R19" s="1" t="s">
        <v>15</v>
      </c>
      <c r="S19" s="17">
        <f t="shared" ref="S19:AF19" si="11">SUM(C46:C49)</f>
        <v>166</v>
      </c>
      <c r="T19" s="17">
        <f t="shared" si="11"/>
        <v>110</v>
      </c>
      <c r="U19" s="17">
        <f t="shared" si="11"/>
        <v>6</v>
      </c>
      <c r="V19" s="17">
        <f t="shared" si="11"/>
        <v>28</v>
      </c>
      <c r="W19" s="17">
        <f t="shared" si="11"/>
        <v>0</v>
      </c>
      <c r="X19" s="17">
        <f t="shared" si="11"/>
        <v>0</v>
      </c>
      <c r="Y19" s="17">
        <f t="shared" si="11"/>
        <v>12</v>
      </c>
      <c r="Z19" s="17">
        <f t="shared" si="11"/>
        <v>1</v>
      </c>
      <c r="AA19" s="17">
        <f t="shared" si="11"/>
        <v>4</v>
      </c>
      <c r="AB19" s="17">
        <f t="shared" si="11"/>
        <v>0</v>
      </c>
      <c r="AC19" s="17">
        <f t="shared" si="11"/>
        <v>286</v>
      </c>
      <c r="AD19" s="17">
        <f t="shared" si="11"/>
        <v>0</v>
      </c>
      <c r="AE19" s="31">
        <f t="shared" si="11"/>
        <v>327</v>
      </c>
      <c r="AF19" s="31">
        <f t="shared" si="11"/>
        <v>613</v>
      </c>
    </row>
    <row r="20" spans="2:32" ht="23.1" customHeight="1" x14ac:dyDescent="0.25">
      <c r="B20" s="23" t="s">
        <v>47</v>
      </c>
      <c r="C20" s="50">
        <v>60</v>
      </c>
      <c r="D20" s="50">
        <v>30</v>
      </c>
      <c r="E20" s="50">
        <v>1</v>
      </c>
      <c r="F20" s="50">
        <v>16</v>
      </c>
      <c r="G20" s="50">
        <v>0</v>
      </c>
      <c r="H20" s="50">
        <v>0</v>
      </c>
      <c r="I20" s="50">
        <v>3</v>
      </c>
      <c r="J20" s="50">
        <v>0</v>
      </c>
      <c r="K20" s="50">
        <v>1</v>
      </c>
      <c r="L20" s="50">
        <v>0</v>
      </c>
      <c r="M20" s="50">
        <v>86</v>
      </c>
      <c r="N20" s="50">
        <v>0</v>
      </c>
      <c r="O20" s="15">
        <f t="shared" si="0"/>
        <v>111</v>
      </c>
      <c r="P20" s="15">
        <f t="shared" si="1"/>
        <v>197</v>
      </c>
      <c r="R20" s="1" t="s">
        <v>16</v>
      </c>
      <c r="S20" s="17">
        <f t="shared" ref="S20:AF20" si="12">SUM(C50:C53)</f>
        <v>159</v>
      </c>
      <c r="T20" s="17">
        <f t="shared" si="12"/>
        <v>94</v>
      </c>
      <c r="U20" s="17">
        <f t="shared" si="12"/>
        <v>4</v>
      </c>
      <c r="V20" s="17">
        <f t="shared" si="12"/>
        <v>41</v>
      </c>
      <c r="W20" s="17">
        <f t="shared" si="12"/>
        <v>0</v>
      </c>
      <c r="X20" s="17">
        <f t="shared" si="12"/>
        <v>0</v>
      </c>
      <c r="Y20" s="17">
        <f t="shared" si="12"/>
        <v>6</v>
      </c>
      <c r="Z20" s="17">
        <f t="shared" si="12"/>
        <v>0</v>
      </c>
      <c r="AA20" s="17">
        <f t="shared" si="12"/>
        <v>4</v>
      </c>
      <c r="AB20" s="17">
        <f t="shared" si="12"/>
        <v>0</v>
      </c>
      <c r="AC20" s="17">
        <f t="shared" si="12"/>
        <v>359</v>
      </c>
      <c r="AD20" s="17">
        <f t="shared" si="12"/>
        <v>0</v>
      </c>
      <c r="AE20" s="31">
        <f t="shared" si="12"/>
        <v>308</v>
      </c>
      <c r="AF20" s="31">
        <f t="shared" si="12"/>
        <v>667</v>
      </c>
    </row>
    <row r="21" spans="2:32" ht="23.1" customHeight="1" x14ac:dyDescent="0.25">
      <c r="B21" s="23" t="s">
        <v>48</v>
      </c>
      <c r="C21" s="50">
        <v>48</v>
      </c>
      <c r="D21" s="50">
        <v>33</v>
      </c>
      <c r="E21" s="50">
        <v>2</v>
      </c>
      <c r="F21" s="50">
        <v>9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77</v>
      </c>
      <c r="N21" s="50">
        <v>0</v>
      </c>
      <c r="O21" s="15">
        <f t="shared" si="0"/>
        <v>94</v>
      </c>
      <c r="P21" s="15">
        <f t="shared" si="1"/>
        <v>171</v>
      </c>
      <c r="R21" s="36" t="s">
        <v>20</v>
      </c>
      <c r="S21" s="34">
        <f t="shared" ref="S21:AF21" si="13">SUM(C54:C57)</f>
        <v>136</v>
      </c>
      <c r="T21" s="17">
        <f t="shared" si="13"/>
        <v>70</v>
      </c>
      <c r="U21" s="17">
        <f t="shared" si="13"/>
        <v>8</v>
      </c>
      <c r="V21" s="17">
        <f t="shared" si="13"/>
        <v>39</v>
      </c>
      <c r="W21" s="17">
        <f t="shared" si="13"/>
        <v>4</v>
      </c>
      <c r="X21" s="17">
        <f t="shared" si="13"/>
        <v>0</v>
      </c>
      <c r="Y21" s="17">
        <f t="shared" si="13"/>
        <v>14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387</v>
      </c>
      <c r="AD21" s="17">
        <f t="shared" si="13"/>
        <v>0</v>
      </c>
      <c r="AE21" s="31">
        <f t="shared" si="13"/>
        <v>273</v>
      </c>
      <c r="AF21" s="31">
        <f t="shared" si="13"/>
        <v>660</v>
      </c>
    </row>
    <row r="22" spans="2:32" ht="23.1" customHeight="1" x14ac:dyDescent="0.25">
      <c r="B22" s="23" t="s">
        <v>49</v>
      </c>
      <c r="C22" s="50">
        <v>52</v>
      </c>
      <c r="D22" s="50">
        <v>26</v>
      </c>
      <c r="E22" s="50">
        <v>1</v>
      </c>
      <c r="F22" s="50">
        <v>15</v>
      </c>
      <c r="G22" s="50">
        <v>0</v>
      </c>
      <c r="H22" s="50">
        <v>0</v>
      </c>
      <c r="I22" s="50">
        <v>2</v>
      </c>
      <c r="J22" s="50">
        <v>1</v>
      </c>
      <c r="K22" s="50">
        <v>1</v>
      </c>
      <c r="L22" s="50">
        <v>0</v>
      </c>
      <c r="M22" s="50">
        <v>86</v>
      </c>
      <c r="N22" s="50">
        <v>0</v>
      </c>
      <c r="O22" s="15">
        <f t="shared" si="0"/>
        <v>98</v>
      </c>
      <c r="P22" s="15">
        <f t="shared" si="1"/>
        <v>184</v>
      </c>
      <c r="R22" s="38" t="s">
        <v>90</v>
      </c>
      <c r="S22" s="39">
        <f>MAX(S10:S12)</f>
        <v>361</v>
      </c>
      <c r="T22" s="39">
        <f t="shared" ref="T22:AF22" si="14">MAX(T10:T12)</f>
        <v>186</v>
      </c>
      <c r="U22" s="39">
        <f t="shared" si="14"/>
        <v>6</v>
      </c>
      <c r="V22" s="39">
        <f t="shared" si="14"/>
        <v>65</v>
      </c>
      <c r="W22" s="39">
        <f t="shared" si="14"/>
        <v>1</v>
      </c>
      <c r="X22" s="39">
        <f t="shared" si="14"/>
        <v>0</v>
      </c>
      <c r="Y22" s="39">
        <f t="shared" si="14"/>
        <v>15</v>
      </c>
      <c r="Z22" s="39">
        <f t="shared" si="14"/>
        <v>3</v>
      </c>
      <c r="AA22" s="39">
        <f t="shared" si="14"/>
        <v>1</v>
      </c>
      <c r="AB22" s="39">
        <f t="shared" si="14"/>
        <v>0</v>
      </c>
      <c r="AC22" s="39">
        <f t="shared" si="14"/>
        <v>436</v>
      </c>
      <c r="AD22" s="39">
        <f t="shared" si="14"/>
        <v>0</v>
      </c>
      <c r="AE22" s="40">
        <f t="shared" si="14"/>
        <v>636</v>
      </c>
      <c r="AF22" s="40">
        <f t="shared" si="14"/>
        <v>1072</v>
      </c>
    </row>
    <row r="23" spans="2:32" ht="23.1" customHeight="1" x14ac:dyDescent="0.25">
      <c r="B23" s="23" t="s">
        <v>50</v>
      </c>
      <c r="C23" s="50">
        <v>60</v>
      </c>
      <c r="D23" s="50">
        <v>36</v>
      </c>
      <c r="E23" s="50">
        <v>0</v>
      </c>
      <c r="F23" s="50">
        <v>12</v>
      </c>
      <c r="G23" s="50">
        <v>0</v>
      </c>
      <c r="H23" s="50">
        <v>0</v>
      </c>
      <c r="I23" s="50">
        <v>5</v>
      </c>
      <c r="J23" s="50">
        <v>0</v>
      </c>
      <c r="K23" s="50">
        <v>0</v>
      </c>
      <c r="L23" s="50">
        <v>0</v>
      </c>
      <c r="M23" s="50">
        <v>93</v>
      </c>
      <c r="N23" s="50">
        <v>0</v>
      </c>
      <c r="O23" s="15">
        <f t="shared" si="0"/>
        <v>113</v>
      </c>
      <c r="P23" s="15">
        <f t="shared" si="1"/>
        <v>206</v>
      </c>
      <c r="R23" s="38" t="s">
        <v>91</v>
      </c>
      <c r="S23" s="39">
        <f>MAX(S13:S18)</f>
        <v>207</v>
      </c>
      <c r="T23" s="39">
        <f t="shared" ref="T23:AF23" si="15">MAX(T13:T18)</f>
        <v>108</v>
      </c>
      <c r="U23" s="39">
        <f t="shared" si="15"/>
        <v>6</v>
      </c>
      <c r="V23" s="39">
        <f t="shared" si="15"/>
        <v>47</v>
      </c>
      <c r="W23" s="39">
        <f t="shared" si="15"/>
        <v>1</v>
      </c>
      <c r="X23" s="39">
        <f t="shared" si="15"/>
        <v>0</v>
      </c>
      <c r="Y23" s="39">
        <f t="shared" si="15"/>
        <v>11</v>
      </c>
      <c r="Z23" s="39">
        <f t="shared" si="15"/>
        <v>2</v>
      </c>
      <c r="AA23" s="39">
        <f t="shared" si="15"/>
        <v>4</v>
      </c>
      <c r="AB23" s="39">
        <f t="shared" si="15"/>
        <v>0</v>
      </c>
      <c r="AC23" s="39">
        <f t="shared" si="15"/>
        <v>361</v>
      </c>
      <c r="AD23" s="39">
        <f t="shared" si="15"/>
        <v>0</v>
      </c>
      <c r="AE23" s="40">
        <f t="shared" si="15"/>
        <v>359</v>
      </c>
      <c r="AF23" s="40">
        <f t="shared" si="15"/>
        <v>683</v>
      </c>
    </row>
    <row r="24" spans="2:32" ht="23.1" customHeight="1" x14ac:dyDescent="0.25">
      <c r="B24" s="23" t="s">
        <v>51</v>
      </c>
      <c r="C24" s="50">
        <v>24</v>
      </c>
      <c r="D24" s="50">
        <v>22</v>
      </c>
      <c r="E24" s="50">
        <v>0</v>
      </c>
      <c r="F24" s="50">
        <v>4</v>
      </c>
      <c r="G24" s="50">
        <v>0</v>
      </c>
      <c r="H24" s="50">
        <v>0</v>
      </c>
      <c r="I24" s="50">
        <v>3</v>
      </c>
      <c r="J24" s="50">
        <v>1</v>
      </c>
      <c r="K24" s="50">
        <v>0</v>
      </c>
      <c r="L24" s="50">
        <v>0</v>
      </c>
      <c r="M24" s="50">
        <v>97</v>
      </c>
      <c r="N24" s="50">
        <v>0</v>
      </c>
      <c r="O24" s="15">
        <f t="shared" si="0"/>
        <v>54</v>
      </c>
      <c r="P24" s="15">
        <f t="shared" si="1"/>
        <v>151</v>
      </c>
      <c r="R24" s="38" t="s">
        <v>92</v>
      </c>
      <c r="S24" s="39">
        <f>MAX(S19:S21)</f>
        <v>166</v>
      </c>
      <c r="T24" s="39">
        <f t="shared" ref="T24:AF24" si="16">MAX(T19:T21)</f>
        <v>110</v>
      </c>
      <c r="U24" s="39">
        <f t="shared" si="16"/>
        <v>8</v>
      </c>
      <c r="V24" s="39">
        <f t="shared" si="16"/>
        <v>41</v>
      </c>
      <c r="W24" s="39">
        <f t="shared" si="16"/>
        <v>4</v>
      </c>
      <c r="X24" s="39">
        <f t="shared" si="16"/>
        <v>0</v>
      </c>
      <c r="Y24" s="39">
        <f t="shared" si="16"/>
        <v>14</v>
      </c>
      <c r="Z24" s="39">
        <f t="shared" si="16"/>
        <v>2</v>
      </c>
      <c r="AA24" s="39">
        <f t="shared" si="16"/>
        <v>4</v>
      </c>
      <c r="AB24" s="39">
        <f t="shared" si="16"/>
        <v>0</v>
      </c>
      <c r="AC24" s="39">
        <f t="shared" si="16"/>
        <v>387</v>
      </c>
      <c r="AD24" s="39">
        <f t="shared" si="16"/>
        <v>0</v>
      </c>
      <c r="AE24" s="40">
        <f t="shared" si="16"/>
        <v>327</v>
      </c>
      <c r="AF24" s="40">
        <f t="shared" si="16"/>
        <v>667</v>
      </c>
    </row>
    <row r="25" spans="2:32" ht="23.1" customHeight="1" x14ac:dyDescent="0.25">
      <c r="B25" s="23" t="s">
        <v>52</v>
      </c>
      <c r="C25" s="50">
        <v>26</v>
      </c>
      <c r="D25" s="50">
        <v>14</v>
      </c>
      <c r="E25" s="50">
        <v>2</v>
      </c>
      <c r="F25" s="50">
        <v>11</v>
      </c>
      <c r="G25" s="50">
        <v>0</v>
      </c>
      <c r="H25" s="50">
        <v>0</v>
      </c>
      <c r="I25" s="50">
        <v>1</v>
      </c>
      <c r="J25" s="50">
        <v>0</v>
      </c>
      <c r="K25" s="50">
        <v>3</v>
      </c>
      <c r="L25" s="50">
        <v>0</v>
      </c>
      <c r="M25" s="50">
        <v>85</v>
      </c>
      <c r="N25" s="50">
        <v>0</v>
      </c>
      <c r="O25" s="15">
        <f t="shared" si="0"/>
        <v>57</v>
      </c>
      <c r="P25" s="15">
        <f t="shared" si="1"/>
        <v>142</v>
      </c>
      <c r="R25" s="37" t="s">
        <v>85</v>
      </c>
      <c r="S25" s="35">
        <f t="shared" ref="S25:AF25" si="17">SUM(S10:S12)</f>
        <v>840</v>
      </c>
      <c r="T25" s="16">
        <f t="shared" si="17"/>
        <v>485</v>
      </c>
      <c r="U25" s="16">
        <f t="shared" si="17"/>
        <v>16</v>
      </c>
      <c r="V25" s="16">
        <f t="shared" si="17"/>
        <v>156</v>
      </c>
      <c r="W25" s="16">
        <f t="shared" si="17"/>
        <v>1</v>
      </c>
      <c r="X25" s="16">
        <f t="shared" si="17"/>
        <v>0</v>
      </c>
      <c r="Y25" s="16">
        <f t="shared" si="17"/>
        <v>35</v>
      </c>
      <c r="Z25" s="16">
        <f t="shared" si="17"/>
        <v>7</v>
      </c>
      <c r="AA25" s="16">
        <f t="shared" si="17"/>
        <v>1</v>
      </c>
      <c r="AB25" s="16">
        <f t="shared" si="17"/>
        <v>0</v>
      </c>
      <c r="AC25" s="16">
        <f t="shared" si="17"/>
        <v>1199</v>
      </c>
      <c r="AD25" s="16">
        <f t="shared" si="17"/>
        <v>0</v>
      </c>
      <c r="AE25" s="32">
        <f t="shared" si="17"/>
        <v>1541</v>
      </c>
      <c r="AF25" s="32">
        <f t="shared" si="17"/>
        <v>2740</v>
      </c>
    </row>
    <row r="26" spans="2:32" ht="23.1" customHeight="1" x14ac:dyDescent="0.25">
      <c r="B26" s="23" t="s">
        <v>53</v>
      </c>
      <c r="C26" s="50">
        <v>65</v>
      </c>
      <c r="D26" s="50">
        <v>30</v>
      </c>
      <c r="E26" s="50">
        <v>1</v>
      </c>
      <c r="F26" s="50">
        <v>6</v>
      </c>
      <c r="G26" s="50">
        <v>0</v>
      </c>
      <c r="H26" s="50">
        <v>0</v>
      </c>
      <c r="I26" s="50">
        <v>2</v>
      </c>
      <c r="J26" s="50">
        <v>0</v>
      </c>
      <c r="K26" s="50">
        <v>2</v>
      </c>
      <c r="L26" s="50">
        <v>0</v>
      </c>
      <c r="M26" s="50">
        <v>70</v>
      </c>
      <c r="N26" s="50">
        <v>0</v>
      </c>
      <c r="O26" s="15">
        <f t="shared" si="0"/>
        <v>106</v>
      </c>
      <c r="P26" s="15">
        <f t="shared" si="1"/>
        <v>176</v>
      </c>
      <c r="R26" s="28" t="s">
        <v>86</v>
      </c>
      <c r="S26" s="16">
        <f t="shared" ref="S26:AF26" si="18">SUM(S13:S18)</f>
        <v>1000</v>
      </c>
      <c r="T26" s="16">
        <f t="shared" si="18"/>
        <v>550</v>
      </c>
      <c r="U26" s="16">
        <f t="shared" si="18"/>
        <v>28</v>
      </c>
      <c r="V26" s="16">
        <f t="shared" si="18"/>
        <v>231</v>
      </c>
      <c r="W26" s="16">
        <f t="shared" si="18"/>
        <v>1</v>
      </c>
      <c r="X26" s="16">
        <f t="shared" si="18"/>
        <v>0</v>
      </c>
      <c r="Y26" s="16">
        <f t="shared" si="18"/>
        <v>54</v>
      </c>
      <c r="Z26" s="16">
        <f t="shared" si="18"/>
        <v>3</v>
      </c>
      <c r="AA26" s="16">
        <f t="shared" si="18"/>
        <v>18</v>
      </c>
      <c r="AB26" s="16">
        <f t="shared" si="18"/>
        <v>0</v>
      </c>
      <c r="AC26" s="16">
        <f t="shared" si="18"/>
        <v>1775</v>
      </c>
      <c r="AD26" s="16">
        <f t="shared" si="18"/>
        <v>0</v>
      </c>
      <c r="AE26" s="32">
        <f t="shared" si="18"/>
        <v>1885</v>
      </c>
      <c r="AF26" s="32">
        <f t="shared" si="18"/>
        <v>3660</v>
      </c>
    </row>
    <row r="27" spans="2:32" ht="23.1" customHeight="1" x14ac:dyDescent="0.25">
      <c r="B27" s="23" t="s">
        <v>54</v>
      </c>
      <c r="C27" s="50">
        <v>59</v>
      </c>
      <c r="D27" s="50">
        <v>29</v>
      </c>
      <c r="E27" s="50">
        <v>1</v>
      </c>
      <c r="F27" s="50">
        <v>11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85</v>
      </c>
      <c r="N27" s="50">
        <v>0</v>
      </c>
      <c r="O27" s="15">
        <f t="shared" si="0"/>
        <v>101</v>
      </c>
      <c r="P27" s="15">
        <f t="shared" si="1"/>
        <v>186</v>
      </c>
      <c r="R27" s="29" t="s">
        <v>87</v>
      </c>
      <c r="S27" s="16">
        <f t="shared" ref="S27:AF27" si="19">SUM(S19:S21)</f>
        <v>461</v>
      </c>
      <c r="T27" s="16">
        <f t="shared" si="19"/>
        <v>274</v>
      </c>
      <c r="U27" s="16">
        <f t="shared" si="19"/>
        <v>18</v>
      </c>
      <c r="V27" s="16">
        <f t="shared" si="19"/>
        <v>108</v>
      </c>
      <c r="W27" s="16">
        <f t="shared" si="19"/>
        <v>4</v>
      </c>
      <c r="X27" s="16">
        <f t="shared" si="19"/>
        <v>0</v>
      </c>
      <c r="Y27" s="16">
        <f t="shared" si="19"/>
        <v>32</v>
      </c>
      <c r="Z27" s="16">
        <f t="shared" si="19"/>
        <v>3</v>
      </c>
      <c r="AA27" s="16">
        <f t="shared" si="19"/>
        <v>8</v>
      </c>
      <c r="AB27" s="16">
        <f t="shared" si="19"/>
        <v>0</v>
      </c>
      <c r="AC27" s="16">
        <f t="shared" si="19"/>
        <v>1032</v>
      </c>
      <c r="AD27" s="16">
        <f t="shared" si="19"/>
        <v>0</v>
      </c>
      <c r="AE27" s="32">
        <f t="shared" si="19"/>
        <v>908</v>
      </c>
      <c r="AF27" s="32">
        <f t="shared" si="19"/>
        <v>1940</v>
      </c>
    </row>
    <row r="28" spans="2:32" ht="23.1" customHeight="1" x14ac:dyDescent="0.25">
      <c r="B28" s="23" t="s">
        <v>55</v>
      </c>
      <c r="C28" s="50">
        <v>33</v>
      </c>
      <c r="D28" s="50">
        <v>30</v>
      </c>
      <c r="E28" s="50">
        <v>1</v>
      </c>
      <c r="F28" s="50">
        <v>9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93</v>
      </c>
      <c r="N28" s="50">
        <v>0</v>
      </c>
      <c r="O28" s="15">
        <f t="shared" si="0"/>
        <v>75</v>
      </c>
      <c r="P28" s="15">
        <f t="shared" si="1"/>
        <v>168</v>
      </c>
      <c r="R28" s="5" t="s">
        <v>17</v>
      </c>
      <c r="S28" s="16">
        <f t="shared" ref="S28:AF28" si="20">SUM(S10:S21)</f>
        <v>2301</v>
      </c>
      <c r="T28" s="16">
        <f t="shared" si="20"/>
        <v>1309</v>
      </c>
      <c r="U28" s="16">
        <f t="shared" si="20"/>
        <v>62</v>
      </c>
      <c r="V28" s="16">
        <f t="shared" si="20"/>
        <v>495</v>
      </c>
      <c r="W28" s="16">
        <f t="shared" si="20"/>
        <v>6</v>
      </c>
      <c r="X28" s="16">
        <f t="shared" si="20"/>
        <v>0</v>
      </c>
      <c r="Y28" s="16">
        <f t="shared" si="20"/>
        <v>121</v>
      </c>
      <c r="Z28" s="16">
        <f t="shared" si="20"/>
        <v>13</v>
      </c>
      <c r="AA28" s="16">
        <f t="shared" si="20"/>
        <v>27</v>
      </c>
      <c r="AB28" s="16">
        <f t="shared" si="20"/>
        <v>0</v>
      </c>
      <c r="AC28" s="16">
        <f t="shared" si="20"/>
        <v>4006</v>
      </c>
      <c r="AD28" s="16">
        <f t="shared" si="20"/>
        <v>0</v>
      </c>
      <c r="AE28" s="32">
        <f t="shared" si="20"/>
        <v>4334</v>
      </c>
      <c r="AF28" s="32">
        <f t="shared" si="20"/>
        <v>8340</v>
      </c>
    </row>
    <row r="29" spans="2:32" ht="23.1" customHeight="1" x14ac:dyDescent="0.25">
      <c r="B29" s="23" t="s">
        <v>56</v>
      </c>
      <c r="C29" s="50">
        <v>41</v>
      </c>
      <c r="D29" s="50">
        <v>19</v>
      </c>
      <c r="E29" s="50">
        <v>1</v>
      </c>
      <c r="F29" s="50">
        <v>11</v>
      </c>
      <c r="G29" s="50">
        <v>0</v>
      </c>
      <c r="H29" s="50">
        <v>0</v>
      </c>
      <c r="I29" s="50">
        <v>4</v>
      </c>
      <c r="J29" s="50">
        <v>0</v>
      </c>
      <c r="K29" s="50">
        <v>1</v>
      </c>
      <c r="L29" s="50">
        <v>0</v>
      </c>
      <c r="M29" s="50">
        <v>75</v>
      </c>
      <c r="N29" s="50">
        <v>0</v>
      </c>
      <c r="O29" s="15">
        <f t="shared" si="0"/>
        <v>77</v>
      </c>
      <c r="P29" s="15">
        <f t="shared" si="1"/>
        <v>152</v>
      </c>
      <c r="R29"/>
      <c r="S29" s="20"/>
      <c r="T29" s="19"/>
    </row>
    <row r="30" spans="2:32" ht="23.1" customHeight="1" x14ac:dyDescent="0.25">
      <c r="B30" s="23" t="s">
        <v>57</v>
      </c>
      <c r="C30" s="50">
        <v>43</v>
      </c>
      <c r="D30" s="50">
        <v>16</v>
      </c>
      <c r="E30" s="50">
        <v>1</v>
      </c>
      <c r="F30" s="50">
        <v>13</v>
      </c>
      <c r="G30" s="50">
        <v>0</v>
      </c>
      <c r="H30" s="50">
        <v>0</v>
      </c>
      <c r="I30" s="50">
        <v>2</v>
      </c>
      <c r="J30" s="50">
        <v>1</v>
      </c>
      <c r="K30" s="50">
        <v>0</v>
      </c>
      <c r="L30" s="50">
        <v>0</v>
      </c>
      <c r="M30" s="50">
        <v>90</v>
      </c>
      <c r="N30" s="50">
        <v>0</v>
      </c>
      <c r="O30" s="15">
        <f t="shared" si="0"/>
        <v>76</v>
      </c>
      <c r="P30" s="15">
        <f t="shared" si="1"/>
        <v>166</v>
      </c>
    </row>
    <row r="31" spans="2:32" ht="23.1" customHeight="1" x14ac:dyDescent="0.25">
      <c r="B31" s="24" t="s">
        <v>58</v>
      </c>
      <c r="C31" s="50">
        <v>64</v>
      </c>
      <c r="D31" s="50">
        <v>27</v>
      </c>
      <c r="E31" s="50">
        <v>1</v>
      </c>
      <c r="F31" s="50">
        <v>13</v>
      </c>
      <c r="G31" s="50">
        <v>0</v>
      </c>
      <c r="H31" s="50">
        <v>0</v>
      </c>
      <c r="I31" s="50">
        <v>2</v>
      </c>
      <c r="J31" s="50">
        <v>0</v>
      </c>
      <c r="K31" s="50">
        <v>1</v>
      </c>
      <c r="L31" s="50">
        <v>0</v>
      </c>
      <c r="M31" s="50">
        <v>64</v>
      </c>
      <c r="N31" s="50">
        <v>0</v>
      </c>
      <c r="O31" s="15">
        <f t="shared" si="0"/>
        <v>108</v>
      </c>
      <c r="P31" s="15">
        <f t="shared" si="1"/>
        <v>172</v>
      </c>
    </row>
    <row r="32" spans="2:32" ht="23.1" customHeight="1" x14ac:dyDescent="0.25">
      <c r="B32" s="24" t="s">
        <v>59</v>
      </c>
      <c r="C32" s="50">
        <v>43</v>
      </c>
      <c r="D32" s="50">
        <v>26</v>
      </c>
      <c r="E32" s="50">
        <v>1</v>
      </c>
      <c r="F32" s="50">
        <v>7</v>
      </c>
      <c r="G32" s="50">
        <v>1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60</v>
      </c>
      <c r="N32" s="50">
        <v>0</v>
      </c>
      <c r="O32" s="15">
        <f t="shared" si="0"/>
        <v>78</v>
      </c>
      <c r="P32" s="15">
        <f t="shared" si="1"/>
        <v>138</v>
      </c>
    </row>
    <row r="33" spans="2:20" ht="23.1" customHeight="1" x14ac:dyDescent="0.25">
      <c r="B33" s="23" t="s">
        <v>60</v>
      </c>
      <c r="C33" s="50">
        <v>57</v>
      </c>
      <c r="D33" s="50">
        <v>23</v>
      </c>
      <c r="E33" s="50">
        <v>3</v>
      </c>
      <c r="F33" s="50">
        <v>3</v>
      </c>
      <c r="G33" s="50">
        <v>0</v>
      </c>
      <c r="H33" s="50">
        <v>0</v>
      </c>
      <c r="I33" s="50">
        <v>4</v>
      </c>
      <c r="J33" s="50">
        <v>0</v>
      </c>
      <c r="K33" s="50">
        <v>1</v>
      </c>
      <c r="L33" s="50">
        <v>0</v>
      </c>
      <c r="M33" s="50">
        <v>77</v>
      </c>
      <c r="N33" s="50">
        <v>0</v>
      </c>
      <c r="O33" s="15">
        <f t="shared" si="0"/>
        <v>91</v>
      </c>
      <c r="P33" s="15">
        <f t="shared" si="1"/>
        <v>168</v>
      </c>
    </row>
    <row r="34" spans="2:20" ht="23.1" customHeight="1" x14ac:dyDescent="0.25">
      <c r="B34" s="24" t="s">
        <v>61</v>
      </c>
      <c r="C34" s="50">
        <v>40</v>
      </c>
      <c r="D34" s="50">
        <v>15</v>
      </c>
      <c r="E34" s="50">
        <v>1</v>
      </c>
      <c r="F34" s="50">
        <v>9</v>
      </c>
      <c r="G34" s="50">
        <v>0</v>
      </c>
      <c r="H34" s="50">
        <v>0</v>
      </c>
      <c r="I34" s="50">
        <v>2</v>
      </c>
      <c r="J34" s="50">
        <v>0</v>
      </c>
      <c r="K34" s="50">
        <v>1</v>
      </c>
      <c r="L34" s="50">
        <v>0</v>
      </c>
      <c r="M34" s="50">
        <v>74</v>
      </c>
      <c r="N34" s="50">
        <v>0</v>
      </c>
      <c r="O34" s="15">
        <f t="shared" si="0"/>
        <v>68</v>
      </c>
      <c r="P34" s="15">
        <f t="shared" si="1"/>
        <v>142</v>
      </c>
    </row>
    <row r="35" spans="2:20" ht="23.1" customHeight="1" x14ac:dyDescent="0.25">
      <c r="B35" s="24" t="s">
        <v>62</v>
      </c>
      <c r="C35" s="50">
        <v>40</v>
      </c>
      <c r="D35" s="50">
        <v>22</v>
      </c>
      <c r="E35" s="50">
        <v>2</v>
      </c>
      <c r="F35" s="50">
        <v>8</v>
      </c>
      <c r="G35" s="50">
        <v>0</v>
      </c>
      <c r="H35" s="50">
        <v>0</v>
      </c>
      <c r="I35" s="50">
        <v>2</v>
      </c>
      <c r="J35" s="50">
        <v>0</v>
      </c>
      <c r="K35" s="50">
        <v>1</v>
      </c>
      <c r="L35" s="50">
        <v>0</v>
      </c>
      <c r="M35" s="50">
        <v>92</v>
      </c>
      <c r="N35" s="50">
        <v>0</v>
      </c>
      <c r="O35" s="15">
        <f t="shared" si="0"/>
        <v>75</v>
      </c>
      <c r="P35" s="15">
        <f t="shared" si="1"/>
        <v>167</v>
      </c>
    </row>
    <row r="36" spans="2:20" ht="23.1" customHeight="1" x14ac:dyDescent="0.25">
      <c r="B36" s="24" t="s">
        <v>63</v>
      </c>
      <c r="C36" s="50">
        <v>33</v>
      </c>
      <c r="D36" s="50">
        <v>27</v>
      </c>
      <c r="E36" s="50">
        <v>1</v>
      </c>
      <c r="F36" s="50">
        <v>12</v>
      </c>
      <c r="G36" s="50">
        <v>0</v>
      </c>
      <c r="H36" s="50">
        <v>0</v>
      </c>
      <c r="I36" s="50">
        <v>3</v>
      </c>
      <c r="J36" s="50">
        <v>0</v>
      </c>
      <c r="K36" s="50">
        <v>1</v>
      </c>
      <c r="L36" s="50">
        <v>0</v>
      </c>
      <c r="M36" s="50">
        <v>57</v>
      </c>
      <c r="N36" s="50">
        <v>0</v>
      </c>
      <c r="O36" s="15">
        <f t="shared" si="0"/>
        <v>77</v>
      </c>
      <c r="P36" s="15">
        <f t="shared" si="1"/>
        <v>134</v>
      </c>
    </row>
    <row r="37" spans="2:20" ht="23.1" customHeight="1" x14ac:dyDescent="0.25">
      <c r="B37" s="23" t="s">
        <v>64</v>
      </c>
      <c r="C37" s="50">
        <v>25</v>
      </c>
      <c r="D37" s="50">
        <v>17</v>
      </c>
      <c r="E37" s="50">
        <v>1</v>
      </c>
      <c r="F37" s="50">
        <v>5</v>
      </c>
      <c r="G37" s="50">
        <v>0</v>
      </c>
      <c r="H37" s="50">
        <v>0</v>
      </c>
      <c r="I37" s="50">
        <v>3</v>
      </c>
      <c r="J37" s="50">
        <v>0</v>
      </c>
      <c r="K37" s="50">
        <v>1</v>
      </c>
      <c r="L37" s="50">
        <v>0</v>
      </c>
      <c r="M37" s="50">
        <v>63</v>
      </c>
      <c r="N37" s="50">
        <v>0</v>
      </c>
      <c r="O37" s="15">
        <f t="shared" si="0"/>
        <v>52</v>
      </c>
      <c r="P37" s="15">
        <f t="shared" si="1"/>
        <v>115</v>
      </c>
    </row>
    <row r="38" spans="2:20" ht="23.1" customHeight="1" x14ac:dyDescent="0.25">
      <c r="B38" s="24" t="s">
        <v>65</v>
      </c>
      <c r="C38" s="50">
        <v>24</v>
      </c>
      <c r="D38" s="50">
        <v>16</v>
      </c>
      <c r="E38" s="50">
        <v>1</v>
      </c>
      <c r="F38" s="50">
        <v>10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72</v>
      </c>
      <c r="N38" s="50">
        <v>0</v>
      </c>
      <c r="O38" s="15">
        <f t="shared" si="0"/>
        <v>54</v>
      </c>
      <c r="P38" s="15">
        <f t="shared" si="1"/>
        <v>126</v>
      </c>
    </row>
    <row r="39" spans="2:20" ht="23.1" customHeight="1" x14ac:dyDescent="0.25">
      <c r="B39" s="24" t="s">
        <v>66</v>
      </c>
      <c r="C39" s="50">
        <v>39</v>
      </c>
      <c r="D39" s="50">
        <v>22</v>
      </c>
      <c r="E39" s="50">
        <v>1</v>
      </c>
      <c r="F39" s="50">
        <v>9</v>
      </c>
      <c r="G39" s="50">
        <v>0</v>
      </c>
      <c r="H39" s="50">
        <v>0</v>
      </c>
      <c r="I39" s="50">
        <v>2</v>
      </c>
      <c r="J39" s="50">
        <v>0</v>
      </c>
      <c r="K39" s="50">
        <v>2</v>
      </c>
      <c r="L39" s="50">
        <v>0</v>
      </c>
      <c r="M39" s="50">
        <v>52</v>
      </c>
      <c r="N39" s="50">
        <v>0</v>
      </c>
      <c r="O39" s="15">
        <f t="shared" si="0"/>
        <v>75</v>
      </c>
      <c r="P39" s="15">
        <f t="shared" si="1"/>
        <v>127</v>
      </c>
    </row>
    <row r="40" spans="2:20" ht="23.1" customHeight="1" x14ac:dyDescent="0.25">
      <c r="B40" s="24" t="s">
        <v>67</v>
      </c>
      <c r="C40" s="50">
        <v>42</v>
      </c>
      <c r="D40" s="50">
        <v>21</v>
      </c>
      <c r="E40" s="50">
        <v>2</v>
      </c>
      <c r="F40" s="50">
        <v>7</v>
      </c>
      <c r="G40" s="50">
        <v>0</v>
      </c>
      <c r="H40" s="50">
        <v>0</v>
      </c>
      <c r="I40" s="50">
        <v>2</v>
      </c>
      <c r="J40" s="50">
        <v>0</v>
      </c>
      <c r="K40" s="50">
        <v>2</v>
      </c>
      <c r="L40" s="50">
        <v>0</v>
      </c>
      <c r="M40" s="50">
        <v>65</v>
      </c>
      <c r="N40" s="50">
        <v>0</v>
      </c>
      <c r="O40" s="15">
        <f t="shared" si="0"/>
        <v>76</v>
      </c>
      <c r="P40" s="15">
        <f t="shared" si="1"/>
        <v>141</v>
      </c>
    </row>
    <row r="41" spans="2:20" ht="23.1" customHeight="1" x14ac:dyDescent="0.25">
      <c r="B41" s="23" t="s">
        <v>68</v>
      </c>
      <c r="C41" s="50">
        <v>47</v>
      </c>
      <c r="D41" s="50">
        <v>20</v>
      </c>
      <c r="E41" s="50">
        <v>2</v>
      </c>
      <c r="F41" s="50">
        <v>9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65</v>
      </c>
      <c r="N41" s="50">
        <v>0</v>
      </c>
      <c r="O41" s="15">
        <f t="shared" si="0"/>
        <v>81</v>
      </c>
      <c r="P41" s="15">
        <f t="shared" si="1"/>
        <v>146</v>
      </c>
    </row>
    <row r="42" spans="2:20" ht="23.1" customHeight="1" x14ac:dyDescent="0.25">
      <c r="B42" s="24" t="s">
        <v>69</v>
      </c>
      <c r="C42" s="50">
        <v>36</v>
      </c>
      <c r="D42" s="50">
        <v>14</v>
      </c>
      <c r="E42" s="50">
        <v>0</v>
      </c>
      <c r="F42" s="50">
        <v>14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65</v>
      </c>
      <c r="N42" s="50">
        <v>0</v>
      </c>
      <c r="O42" s="15">
        <f t="shared" si="0"/>
        <v>66</v>
      </c>
      <c r="P42" s="15">
        <f t="shared" si="1"/>
        <v>131</v>
      </c>
    </row>
    <row r="43" spans="2:20" ht="23.1" customHeight="1" x14ac:dyDescent="0.25">
      <c r="B43" s="23" t="s">
        <v>70</v>
      </c>
      <c r="C43" s="50">
        <v>29</v>
      </c>
      <c r="D43" s="50">
        <v>21</v>
      </c>
      <c r="E43" s="50">
        <v>0</v>
      </c>
      <c r="F43" s="50">
        <v>13</v>
      </c>
      <c r="G43" s="50">
        <v>0</v>
      </c>
      <c r="H43" s="50">
        <v>0</v>
      </c>
      <c r="I43" s="50">
        <v>2</v>
      </c>
      <c r="J43" s="50">
        <v>0</v>
      </c>
      <c r="K43" s="50">
        <v>1</v>
      </c>
      <c r="L43" s="50">
        <v>0</v>
      </c>
      <c r="M43" s="50">
        <v>73</v>
      </c>
      <c r="N43" s="50">
        <v>0</v>
      </c>
      <c r="O43" s="15">
        <f t="shared" si="0"/>
        <v>66</v>
      </c>
      <c r="P43" s="15">
        <f t="shared" si="1"/>
        <v>139</v>
      </c>
    </row>
    <row r="44" spans="2:20" ht="23.1" customHeight="1" x14ac:dyDescent="0.25">
      <c r="B44" s="25" t="s">
        <v>71</v>
      </c>
      <c r="C44" s="50">
        <v>44</v>
      </c>
      <c r="D44" s="50">
        <v>29</v>
      </c>
      <c r="E44" s="50">
        <v>2</v>
      </c>
      <c r="F44" s="50">
        <v>7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58</v>
      </c>
      <c r="N44" s="50">
        <v>0</v>
      </c>
      <c r="O44" s="15">
        <f t="shared" si="0"/>
        <v>83</v>
      </c>
      <c r="P44" s="15">
        <f t="shared" si="1"/>
        <v>141</v>
      </c>
    </row>
    <row r="45" spans="2:20" ht="23.1" customHeight="1" x14ac:dyDescent="0.25">
      <c r="B45" s="23" t="s">
        <v>72</v>
      </c>
      <c r="C45" s="50">
        <v>34</v>
      </c>
      <c r="D45" s="50">
        <v>28</v>
      </c>
      <c r="E45" s="50">
        <v>2</v>
      </c>
      <c r="F45" s="50">
        <v>13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64</v>
      </c>
      <c r="N45" s="50">
        <v>0</v>
      </c>
      <c r="O45" s="15">
        <f t="shared" si="0"/>
        <v>78</v>
      </c>
      <c r="P45" s="15">
        <f t="shared" si="1"/>
        <v>142</v>
      </c>
    </row>
    <row r="46" spans="2:20" ht="23.1" customHeight="1" x14ac:dyDescent="0.25">
      <c r="B46" s="24" t="s">
        <v>73</v>
      </c>
      <c r="C46" s="50">
        <v>32</v>
      </c>
      <c r="D46" s="50">
        <v>28</v>
      </c>
      <c r="E46" s="50">
        <v>1</v>
      </c>
      <c r="F46" s="50">
        <v>7</v>
      </c>
      <c r="G46" s="50">
        <v>0</v>
      </c>
      <c r="H46" s="50">
        <v>0</v>
      </c>
      <c r="I46" s="50">
        <v>2</v>
      </c>
      <c r="J46" s="50">
        <v>1</v>
      </c>
      <c r="K46" s="50">
        <v>0</v>
      </c>
      <c r="L46" s="50">
        <v>0</v>
      </c>
      <c r="M46" s="50">
        <v>69</v>
      </c>
      <c r="N46" s="50">
        <v>0</v>
      </c>
      <c r="O46" s="15">
        <f t="shared" si="0"/>
        <v>71</v>
      </c>
      <c r="P46" s="15">
        <f t="shared" si="1"/>
        <v>140</v>
      </c>
      <c r="R46" s="8"/>
      <c r="T46"/>
    </row>
    <row r="47" spans="2:20" ht="23.1" customHeight="1" x14ac:dyDescent="0.25">
      <c r="B47" s="24" t="s">
        <v>74</v>
      </c>
      <c r="C47" s="50">
        <v>50</v>
      </c>
      <c r="D47" s="50">
        <v>21</v>
      </c>
      <c r="E47" s="50">
        <v>1</v>
      </c>
      <c r="F47" s="50">
        <v>5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60</v>
      </c>
      <c r="N47" s="50">
        <v>0</v>
      </c>
      <c r="O47" s="15">
        <f t="shared" si="0"/>
        <v>79</v>
      </c>
      <c r="P47" s="15">
        <f t="shared" si="1"/>
        <v>139</v>
      </c>
      <c r="R47" s="8"/>
      <c r="T47"/>
    </row>
    <row r="48" spans="2:20" ht="23.1" customHeight="1" x14ac:dyDescent="0.25">
      <c r="B48" s="24" t="s">
        <v>75</v>
      </c>
      <c r="C48" s="50">
        <v>46</v>
      </c>
      <c r="D48" s="50">
        <v>34</v>
      </c>
      <c r="E48" s="50">
        <v>4</v>
      </c>
      <c r="F48" s="50">
        <v>8</v>
      </c>
      <c r="G48" s="50">
        <v>0</v>
      </c>
      <c r="H48" s="50">
        <v>0</v>
      </c>
      <c r="I48" s="50">
        <v>4</v>
      </c>
      <c r="J48" s="50">
        <v>0</v>
      </c>
      <c r="K48" s="50">
        <v>1</v>
      </c>
      <c r="L48" s="50">
        <v>0</v>
      </c>
      <c r="M48" s="50">
        <v>72</v>
      </c>
      <c r="N48" s="50">
        <v>0</v>
      </c>
      <c r="O48" s="15">
        <f t="shared" si="0"/>
        <v>97</v>
      </c>
      <c r="P48" s="15">
        <f t="shared" si="1"/>
        <v>169</v>
      </c>
      <c r="R48" s="8"/>
      <c r="T48"/>
    </row>
    <row r="49" spans="2:20" ht="23.1" customHeight="1" x14ac:dyDescent="0.25">
      <c r="B49" s="23" t="s">
        <v>76</v>
      </c>
      <c r="C49" s="50">
        <v>38</v>
      </c>
      <c r="D49" s="50">
        <v>27</v>
      </c>
      <c r="E49" s="50">
        <v>0</v>
      </c>
      <c r="F49" s="50">
        <v>8</v>
      </c>
      <c r="G49" s="50">
        <v>0</v>
      </c>
      <c r="H49" s="50">
        <v>0</v>
      </c>
      <c r="I49" s="50">
        <v>4</v>
      </c>
      <c r="J49" s="50">
        <v>0</v>
      </c>
      <c r="K49" s="50">
        <v>3</v>
      </c>
      <c r="L49" s="50">
        <v>0</v>
      </c>
      <c r="M49" s="50">
        <v>85</v>
      </c>
      <c r="N49" s="50">
        <v>0</v>
      </c>
      <c r="O49" s="15">
        <f t="shared" si="0"/>
        <v>80</v>
      </c>
      <c r="P49" s="15">
        <f t="shared" si="1"/>
        <v>165</v>
      </c>
      <c r="R49" s="8"/>
      <c r="T49"/>
    </row>
    <row r="50" spans="2:20" ht="23.1" customHeight="1" x14ac:dyDescent="0.25">
      <c r="B50" s="24" t="s">
        <v>77</v>
      </c>
      <c r="C50" s="50">
        <v>55</v>
      </c>
      <c r="D50" s="50">
        <v>22</v>
      </c>
      <c r="E50" s="50">
        <v>1</v>
      </c>
      <c r="F50" s="50">
        <v>10</v>
      </c>
      <c r="G50" s="50">
        <v>0</v>
      </c>
      <c r="H50" s="50">
        <v>0</v>
      </c>
      <c r="I50" s="50">
        <v>1</v>
      </c>
      <c r="J50" s="50">
        <v>0</v>
      </c>
      <c r="K50" s="50">
        <v>1</v>
      </c>
      <c r="L50" s="50">
        <v>0</v>
      </c>
      <c r="M50" s="50">
        <v>73</v>
      </c>
      <c r="N50" s="50">
        <v>0</v>
      </c>
      <c r="O50" s="15">
        <f t="shared" si="0"/>
        <v>90</v>
      </c>
      <c r="P50" s="15">
        <f t="shared" si="1"/>
        <v>163</v>
      </c>
      <c r="R50" s="8"/>
      <c r="T50"/>
    </row>
    <row r="51" spans="2:20" ht="23.1" customHeight="1" x14ac:dyDescent="0.25">
      <c r="B51" s="24" t="s">
        <v>78</v>
      </c>
      <c r="C51" s="50">
        <v>28</v>
      </c>
      <c r="D51" s="50">
        <v>26</v>
      </c>
      <c r="E51" s="50">
        <v>0</v>
      </c>
      <c r="F51" s="50">
        <v>9</v>
      </c>
      <c r="G51" s="50">
        <v>0</v>
      </c>
      <c r="H51" s="50">
        <v>0</v>
      </c>
      <c r="I51" s="50">
        <v>1</v>
      </c>
      <c r="J51" s="50">
        <v>0</v>
      </c>
      <c r="K51" s="50">
        <v>2</v>
      </c>
      <c r="L51" s="50">
        <v>0</v>
      </c>
      <c r="M51" s="50">
        <v>95</v>
      </c>
      <c r="N51" s="50">
        <v>0</v>
      </c>
      <c r="O51" s="15">
        <f t="shared" si="0"/>
        <v>66</v>
      </c>
      <c r="P51" s="15">
        <f t="shared" si="1"/>
        <v>161</v>
      </c>
      <c r="R51" s="8"/>
      <c r="T51"/>
    </row>
    <row r="52" spans="2:20" ht="23.1" customHeight="1" x14ac:dyDescent="0.25">
      <c r="B52" s="24" t="s">
        <v>79</v>
      </c>
      <c r="C52" s="50">
        <v>31</v>
      </c>
      <c r="D52" s="50">
        <v>16</v>
      </c>
      <c r="E52" s="50">
        <v>0</v>
      </c>
      <c r="F52" s="50">
        <v>16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88</v>
      </c>
      <c r="N52" s="50">
        <v>0</v>
      </c>
      <c r="O52" s="15">
        <f t="shared" si="0"/>
        <v>65</v>
      </c>
      <c r="P52" s="15">
        <f t="shared" si="1"/>
        <v>153</v>
      </c>
      <c r="R52" s="8"/>
      <c r="T52"/>
    </row>
    <row r="53" spans="2:20" ht="23.1" customHeight="1" x14ac:dyDescent="0.25">
      <c r="B53" s="23" t="s">
        <v>80</v>
      </c>
      <c r="C53" s="50">
        <v>45</v>
      </c>
      <c r="D53" s="50">
        <v>30</v>
      </c>
      <c r="E53" s="50">
        <v>3</v>
      </c>
      <c r="F53" s="50">
        <v>6</v>
      </c>
      <c r="G53" s="50">
        <v>0</v>
      </c>
      <c r="H53" s="50">
        <v>0</v>
      </c>
      <c r="I53" s="50">
        <v>2</v>
      </c>
      <c r="J53" s="50">
        <v>0</v>
      </c>
      <c r="K53" s="50">
        <v>1</v>
      </c>
      <c r="L53" s="50">
        <v>0</v>
      </c>
      <c r="M53" s="50">
        <v>103</v>
      </c>
      <c r="N53" s="50">
        <v>0</v>
      </c>
      <c r="O53" s="15">
        <f t="shared" si="0"/>
        <v>87</v>
      </c>
      <c r="P53" s="15">
        <f t="shared" si="1"/>
        <v>190</v>
      </c>
      <c r="R53" s="8"/>
      <c r="T53"/>
    </row>
    <row r="54" spans="2:20" ht="23.1" customHeight="1" x14ac:dyDescent="0.25">
      <c r="B54" s="23" t="s">
        <v>81</v>
      </c>
      <c r="C54" s="50">
        <v>30</v>
      </c>
      <c r="D54" s="50">
        <v>22</v>
      </c>
      <c r="E54" s="50">
        <v>1</v>
      </c>
      <c r="F54" s="50">
        <v>8</v>
      </c>
      <c r="G54" s="50">
        <v>0</v>
      </c>
      <c r="H54" s="50">
        <v>0</v>
      </c>
      <c r="I54" s="50">
        <v>4</v>
      </c>
      <c r="J54" s="50">
        <v>2</v>
      </c>
      <c r="K54" s="50">
        <v>0</v>
      </c>
      <c r="L54" s="50">
        <v>0</v>
      </c>
      <c r="M54" s="50">
        <v>106</v>
      </c>
      <c r="N54" s="50">
        <v>0</v>
      </c>
      <c r="O54" s="15">
        <f t="shared" si="0"/>
        <v>67</v>
      </c>
      <c r="P54" s="15">
        <f t="shared" si="1"/>
        <v>173</v>
      </c>
      <c r="R54" s="8"/>
      <c r="T54"/>
    </row>
    <row r="55" spans="2:20" ht="23.1" customHeight="1" x14ac:dyDescent="0.25">
      <c r="B55" s="23" t="s">
        <v>82</v>
      </c>
      <c r="C55" s="50">
        <v>46</v>
      </c>
      <c r="D55" s="50">
        <v>21</v>
      </c>
      <c r="E55" s="50">
        <v>1</v>
      </c>
      <c r="F55" s="50">
        <v>10</v>
      </c>
      <c r="G55" s="50">
        <v>1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98</v>
      </c>
      <c r="N55" s="50">
        <v>0</v>
      </c>
      <c r="O55" s="15">
        <f t="shared" si="0"/>
        <v>81</v>
      </c>
      <c r="P55" s="15">
        <f t="shared" si="1"/>
        <v>179</v>
      </c>
      <c r="R55" s="8"/>
      <c r="T55"/>
    </row>
    <row r="56" spans="2:20" ht="23.1" customHeight="1" x14ac:dyDescent="0.25">
      <c r="B56" s="23" t="s">
        <v>83</v>
      </c>
      <c r="C56" s="50">
        <v>33</v>
      </c>
      <c r="D56" s="50">
        <v>12</v>
      </c>
      <c r="E56" s="50">
        <v>4</v>
      </c>
      <c r="F56" s="50">
        <v>13</v>
      </c>
      <c r="G56" s="50">
        <v>2</v>
      </c>
      <c r="H56" s="50">
        <v>0</v>
      </c>
      <c r="I56" s="50">
        <v>4</v>
      </c>
      <c r="J56" s="50">
        <v>0</v>
      </c>
      <c r="K56" s="50">
        <v>0</v>
      </c>
      <c r="L56" s="50">
        <v>0</v>
      </c>
      <c r="M56" s="50">
        <v>110</v>
      </c>
      <c r="N56" s="50">
        <v>0</v>
      </c>
      <c r="O56" s="15">
        <f t="shared" si="0"/>
        <v>68</v>
      </c>
      <c r="P56" s="15">
        <f t="shared" si="1"/>
        <v>178</v>
      </c>
      <c r="R56" s="8"/>
      <c r="T56"/>
    </row>
    <row r="57" spans="2:20" ht="23.1" customHeight="1" x14ac:dyDescent="0.25">
      <c r="B57" s="23" t="s">
        <v>84</v>
      </c>
      <c r="C57" s="50">
        <v>27</v>
      </c>
      <c r="D57" s="50">
        <v>15</v>
      </c>
      <c r="E57" s="50">
        <v>2</v>
      </c>
      <c r="F57" s="50">
        <v>8</v>
      </c>
      <c r="G57" s="50">
        <v>1</v>
      </c>
      <c r="H57" s="50">
        <v>0</v>
      </c>
      <c r="I57" s="50">
        <v>4</v>
      </c>
      <c r="J57" s="50">
        <v>0</v>
      </c>
      <c r="K57" s="50">
        <v>0</v>
      </c>
      <c r="L57" s="50">
        <v>0</v>
      </c>
      <c r="M57" s="50">
        <v>73</v>
      </c>
      <c r="N57" s="50">
        <v>0</v>
      </c>
      <c r="O57" s="15">
        <f t="shared" si="0"/>
        <v>57</v>
      </c>
      <c r="P57" s="15">
        <f t="shared" si="1"/>
        <v>130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2301</v>
      </c>
      <c r="D58" s="16">
        <f t="shared" si="21"/>
        <v>1309</v>
      </c>
      <c r="E58" s="16">
        <f t="shared" si="21"/>
        <v>62</v>
      </c>
      <c r="F58" s="16">
        <f t="shared" si="21"/>
        <v>495</v>
      </c>
      <c r="G58" s="16">
        <f t="shared" si="21"/>
        <v>6</v>
      </c>
      <c r="H58" s="16">
        <f t="shared" si="21"/>
        <v>0</v>
      </c>
      <c r="I58" s="16">
        <f t="shared" si="21"/>
        <v>121</v>
      </c>
      <c r="J58" s="16">
        <f t="shared" si="21"/>
        <v>13</v>
      </c>
      <c r="K58" s="16">
        <f t="shared" si="21"/>
        <v>27</v>
      </c>
      <c r="L58" s="16">
        <f t="shared" si="21"/>
        <v>0</v>
      </c>
      <c r="M58" s="16">
        <f t="shared" si="21"/>
        <v>4006</v>
      </c>
      <c r="N58" s="16">
        <f t="shared" si="21"/>
        <v>0</v>
      </c>
      <c r="O58" s="16">
        <f t="shared" si="21"/>
        <v>4334</v>
      </c>
      <c r="P58" s="16">
        <f t="shared" si="21"/>
        <v>8340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0.27589928057553958</v>
      </c>
      <c r="D59" s="43">
        <f t="shared" si="22"/>
        <v>0.15695443645083934</v>
      </c>
      <c r="E59" s="43">
        <f t="shared" si="22"/>
        <v>7.4340527577937653E-3</v>
      </c>
      <c r="F59" s="43">
        <f t="shared" si="22"/>
        <v>5.935251798561151E-2</v>
      </c>
      <c r="G59" s="43">
        <f t="shared" si="22"/>
        <v>7.1942446043165469E-4</v>
      </c>
      <c r="H59" s="43">
        <f t="shared" si="22"/>
        <v>0</v>
      </c>
      <c r="I59" s="43">
        <f t="shared" si="22"/>
        <v>1.4508393285371703E-2</v>
      </c>
      <c r="J59" s="43">
        <f t="shared" si="22"/>
        <v>1.5587529976019184E-3</v>
      </c>
      <c r="K59" s="43">
        <f t="shared" si="22"/>
        <v>3.237410071942446E-3</v>
      </c>
      <c r="L59" s="43">
        <f t="shared" si="22"/>
        <v>0</v>
      </c>
      <c r="M59" s="43">
        <f t="shared" si="22"/>
        <v>0.48033573141486813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0.53091832025842178</v>
      </c>
      <c r="D60" s="44">
        <f t="shared" ref="D60:N60" si="23">D58/$O$58</f>
        <v>0.3020304568527919</v>
      </c>
      <c r="E60" s="44">
        <f t="shared" si="23"/>
        <v>1.430549146285187E-2</v>
      </c>
      <c r="F60" s="44">
        <f t="shared" si="23"/>
        <v>0.11421319796954314</v>
      </c>
      <c r="G60" s="44">
        <f t="shared" si="23"/>
        <v>1.3844023996308261E-3</v>
      </c>
      <c r="H60" s="44">
        <f t="shared" si="23"/>
        <v>0</v>
      </c>
      <c r="I60" s="44">
        <f t="shared" si="23"/>
        <v>2.7918781725888325E-2</v>
      </c>
      <c r="J60" s="44">
        <f t="shared" si="23"/>
        <v>2.9995385325334565E-3</v>
      </c>
      <c r="K60" s="44">
        <f t="shared" si="23"/>
        <v>6.2298107983387169E-3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7" zoomScale="40" zoomScaleSheetLayoutView="40" workbookViewId="0">
      <selection activeCell="M54" sqref="M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Bukoto-Kisasi'!C3:G3</f>
        <v>MCC - C1 - STN32 - BUKOTO KISASI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'02.08 Kisasi-Bukoto'!D5</f>
        <v>02.08.19</v>
      </c>
      <c r="E5" s="3"/>
      <c r="F5" s="41" t="s">
        <v>1</v>
      </c>
      <c r="G5" s="63" t="str">
        <f>'02.08 Kisasi-Bukoto'!G5:H5</f>
        <v>KISASI</v>
      </c>
      <c r="H5" s="64"/>
      <c r="I5" s="14"/>
      <c r="J5" s="2" t="s">
        <v>5</v>
      </c>
      <c r="K5" s="63" t="str">
        <f>'02.08 Kisasi-Bukoto'!K5:L5</f>
        <v>RWAMBITITO J./NICHOL A./GEORGE W.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'29.07 Bukoto-Kisasi'!D6:E6</f>
        <v>BUKOTO</v>
      </c>
      <c r="E6" s="64"/>
      <c r="F6" s="2" t="s">
        <v>2</v>
      </c>
      <c r="G6" s="63" t="str">
        <f>'29.07 Bukoto-Kisasi'!G6:H6</f>
        <v>KISASI</v>
      </c>
      <c r="H6" s="64"/>
      <c r="J6" s="2" t="s">
        <v>21</v>
      </c>
      <c r="K6" s="63" t="str">
        <f>'02.08 Kisasi-Bukoto'!K6:L6</f>
        <v>SALIMA L.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17</v>
      </c>
      <c r="D10" s="50">
        <v>11</v>
      </c>
      <c r="E10" s="50">
        <v>8</v>
      </c>
      <c r="F10" s="50">
        <v>6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42</v>
      </c>
      <c r="N10" s="50">
        <v>0</v>
      </c>
      <c r="O10" s="15">
        <f t="shared" ref="O10:O57" si="0">SUM(C10:L10,N10)</f>
        <v>42</v>
      </c>
      <c r="P10" s="15">
        <f t="shared" ref="P10:P57" si="1">SUM(C10:N10)</f>
        <v>84</v>
      </c>
      <c r="R10" s="1" t="s">
        <v>6</v>
      </c>
      <c r="S10" s="17">
        <f t="shared" ref="S10:AF10" si="2">SUM(C10:C13)</f>
        <v>82</v>
      </c>
      <c r="T10" s="17">
        <f t="shared" si="2"/>
        <v>47</v>
      </c>
      <c r="U10" s="17">
        <f t="shared" si="2"/>
        <v>28</v>
      </c>
      <c r="V10" s="17">
        <f t="shared" si="2"/>
        <v>39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177</v>
      </c>
      <c r="AD10" s="17">
        <f t="shared" si="2"/>
        <v>0</v>
      </c>
      <c r="AE10" s="31">
        <f t="shared" si="2"/>
        <v>198</v>
      </c>
      <c r="AF10" s="31">
        <f t="shared" si="2"/>
        <v>375</v>
      </c>
    </row>
    <row r="11" spans="2:32" s="6" customFormat="1" ht="23.1" customHeight="1" x14ac:dyDescent="0.25">
      <c r="B11" s="23" t="s">
        <v>38</v>
      </c>
      <c r="C11" s="50">
        <v>14</v>
      </c>
      <c r="D11" s="50">
        <v>9</v>
      </c>
      <c r="E11" s="50">
        <v>5</v>
      </c>
      <c r="F11" s="50">
        <v>9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39</v>
      </c>
      <c r="N11" s="50">
        <v>0</v>
      </c>
      <c r="O11" s="15">
        <f t="shared" si="0"/>
        <v>37</v>
      </c>
      <c r="P11" s="15">
        <f t="shared" si="1"/>
        <v>76</v>
      </c>
      <c r="R11" s="1" t="s">
        <v>7</v>
      </c>
      <c r="S11" s="17">
        <f t="shared" ref="S11:AF11" si="3">SUM(C14:C17)</f>
        <v>113</v>
      </c>
      <c r="T11" s="17">
        <f t="shared" si="3"/>
        <v>95</v>
      </c>
      <c r="U11" s="17">
        <f t="shared" si="3"/>
        <v>37</v>
      </c>
      <c r="V11" s="17">
        <f t="shared" si="3"/>
        <v>71</v>
      </c>
      <c r="W11" s="17">
        <f t="shared" si="3"/>
        <v>1</v>
      </c>
      <c r="X11" s="17">
        <f t="shared" si="3"/>
        <v>0</v>
      </c>
      <c r="Y11" s="17">
        <f t="shared" si="3"/>
        <v>10</v>
      </c>
      <c r="Z11" s="17">
        <f t="shared" si="3"/>
        <v>2</v>
      </c>
      <c r="AA11" s="17">
        <f t="shared" si="3"/>
        <v>5</v>
      </c>
      <c r="AB11" s="17">
        <f t="shared" si="3"/>
        <v>0</v>
      </c>
      <c r="AC11" s="17">
        <f t="shared" si="3"/>
        <v>227</v>
      </c>
      <c r="AD11" s="17">
        <f t="shared" si="3"/>
        <v>0</v>
      </c>
      <c r="AE11" s="31">
        <f t="shared" si="3"/>
        <v>334</v>
      </c>
      <c r="AF11" s="31">
        <f t="shared" si="3"/>
        <v>561</v>
      </c>
    </row>
    <row r="12" spans="2:32" ht="23.1" customHeight="1" x14ac:dyDescent="0.25">
      <c r="B12" s="23" t="s">
        <v>39</v>
      </c>
      <c r="C12" s="50">
        <v>23</v>
      </c>
      <c r="D12" s="50">
        <v>14</v>
      </c>
      <c r="E12" s="50">
        <v>9</v>
      </c>
      <c r="F12" s="50">
        <v>11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47</v>
      </c>
      <c r="N12" s="50">
        <v>0</v>
      </c>
      <c r="O12" s="15">
        <f t="shared" si="0"/>
        <v>57</v>
      </c>
      <c r="P12" s="15">
        <f t="shared" si="1"/>
        <v>104</v>
      </c>
      <c r="R12" s="1" t="s">
        <v>8</v>
      </c>
      <c r="S12" s="17">
        <f t="shared" ref="S12:AF12" si="4">SUM(C18:C21)</f>
        <v>159</v>
      </c>
      <c r="T12" s="17">
        <f t="shared" si="4"/>
        <v>74</v>
      </c>
      <c r="U12" s="17">
        <f t="shared" si="4"/>
        <v>36</v>
      </c>
      <c r="V12" s="17">
        <f t="shared" si="4"/>
        <v>70</v>
      </c>
      <c r="W12" s="17">
        <f t="shared" si="4"/>
        <v>0</v>
      </c>
      <c r="X12" s="17">
        <f t="shared" si="4"/>
        <v>0</v>
      </c>
      <c r="Y12" s="17">
        <f t="shared" si="4"/>
        <v>10</v>
      </c>
      <c r="Z12" s="17">
        <f t="shared" si="4"/>
        <v>8</v>
      </c>
      <c r="AA12" s="17">
        <f t="shared" si="4"/>
        <v>3</v>
      </c>
      <c r="AB12" s="17">
        <f t="shared" si="4"/>
        <v>0</v>
      </c>
      <c r="AC12" s="17">
        <f t="shared" si="4"/>
        <v>237</v>
      </c>
      <c r="AD12" s="17">
        <f t="shared" si="4"/>
        <v>0</v>
      </c>
      <c r="AE12" s="31">
        <f t="shared" si="4"/>
        <v>360</v>
      </c>
      <c r="AF12" s="31">
        <f t="shared" si="4"/>
        <v>597</v>
      </c>
    </row>
    <row r="13" spans="2:32" ht="23.1" customHeight="1" x14ac:dyDescent="0.25">
      <c r="B13" s="23" t="s">
        <v>40</v>
      </c>
      <c r="C13" s="50">
        <v>28</v>
      </c>
      <c r="D13" s="50">
        <v>13</v>
      </c>
      <c r="E13" s="50">
        <v>6</v>
      </c>
      <c r="F13" s="50">
        <v>13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49</v>
      </c>
      <c r="N13" s="50">
        <v>0</v>
      </c>
      <c r="O13" s="15">
        <f t="shared" si="0"/>
        <v>62</v>
      </c>
      <c r="P13" s="15">
        <f t="shared" si="1"/>
        <v>111</v>
      </c>
      <c r="R13" s="1" t="s">
        <v>9</v>
      </c>
      <c r="S13" s="17">
        <f t="shared" ref="S13:AF13" si="5">SUM(C22:C25)</f>
        <v>128</v>
      </c>
      <c r="T13" s="17">
        <f t="shared" si="5"/>
        <v>58</v>
      </c>
      <c r="U13" s="17">
        <f t="shared" si="5"/>
        <v>41</v>
      </c>
      <c r="V13" s="17">
        <f t="shared" si="5"/>
        <v>41</v>
      </c>
      <c r="W13" s="17">
        <f t="shared" si="5"/>
        <v>0</v>
      </c>
      <c r="X13" s="17">
        <f t="shared" si="5"/>
        <v>0</v>
      </c>
      <c r="Y13" s="17">
        <f t="shared" si="5"/>
        <v>10</v>
      </c>
      <c r="Z13" s="17">
        <f t="shared" si="5"/>
        <v>1</v>
      </c>
      <c r="AA13" s="17">
        <f t="shared" si="5"/>
        <v>3</v>
      </c>
      <c r="AB13" s="17">
        <f t="shared" si="5"/>
        <v>0</v>
      </c>
      <c r="AC13" s="17">
        <f t="shared" si="5"/>
        <v>274</v>
      </c>
      <c r="AD13" s="17">
        <f t="shared" si="5"/>
        <v>0</v>
      </c>
      <c r="AE13" s="31">
        <f t="shared" si="5"/>
        <v>282</v>
      </c>
      <c r="AF13" s="31">
        <f t="shared" si="5"/>
        <v>556</v>
      </c>
    </row>
    <row r="14" spans="2:32" ht="23.1" customHeight="1" x14ac:dyDescent="0.25">
      <c r="B14" s="23" t="s">
        <v>41</v>
      </c>
      <c r="C14" s="50">
        <v>33</v>
      </c>
      <c r="D14" s="50">
        <v>26</v>
      </c>
      <c r="E14" s="50">
        <v>9</v>
      </c>
      <c r="F14" s="50">
        <v>17</v>
      </c>
      <c r="G14" s="50">
        <v>0</v>
      </c>
      <c r="H14" s="50">
        <v>0</v>
      </c>
      <c r="I14" s="50">
        <v>2</v>
      </c>
      <c r="J14" s="50">
        <v>0</v>
      </c>
      <c r="K14" s="50">
        <v>3</v>
      </c>
      <c r="L14" s="50">
        <v>0</v>
      </c>
      <c r="M14" s="50">
        <v>49</v>
      </c>
      <c r="N14" s="50">
        <v>0</v>
      </c>
      <c r="O14" s="15">
        <f t="shared" si="0"/>
        <v>90</v>
      </c>
      <c r="P14" s="15">
        <f t="shared" si="1"/>
        <v>139</v>
      </c>
      <c r="R14" s="1" t="s">
        <v>10</v>
      </c>
      <c r="S14" s="17">
        <f t="shared" ref="S14:AF14" si="6">SUM(C26:C29)</f>
        <v>152</v>
      </c>
      <c r="T14" s="17">
        <f t="shared" si="6"/>
        <v>80</v>
      </c>
      <c r="U14" s="17">
        <f t="shared" si="6"/>
        <v>42</v>
      </c>
      <c r="V14" s="17">
        <f t="shared" si="6"/>
        <v>49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2</v>
      </c>
      <c r="AA14" s="17">
        <f t="shared" si="6"/>
        <v>4</v>
      </c>
      <c r="AB14" s="17">
        <f t="shared" si="6"/>
        <v>0</v>
      </c>
      <c r="AC14" s="17">
        <f t="shared" si="6"/>
        <v>313</v>
      </c>
      <c r="AD14" s="17">
        <f t="shared" si="6"/>
        <v>0</v>
      </c>
      <c r="AE14" s="31">
        <f t="shared" si="6"/>
        <v>332</v>
      </c>
      <c r="AF14" s="31">
        <f t="shared" si="6"/>
        <v>645</v>
      </c>
    </row>
    <row r="15" spans="2:32" ht="23.1" customHeight="1" x14ac:dyDescent="0.25">
      <c r="B15" s="23" t="s">
        <v>42</v>
      </c>
      <c r="C15" s="50">
        <v>28</v>
      </c>
      <c r="D15" s="50">
        <v>30</v>
      </c>
      <c r="E15" s="50">
        <v>12</v>
      </c>
      <c r="F15" s="50">
        <v>15</v>
      </c>
      <c r="G15" s="50">
        <v>0</v>
      </c>
      <c r="H15" s="50">
        <v>0</v>
      </c>
      <c r="I15" s="50">
        <v>3</v>
      </c>
      <c r="J15" s="50">
        <v>1</v>
      </c>
      <c r="K15" s="50">
        <v>2</v>
      </c>
      <c r="L15" s="50">
        <v>0</v>
      </c>
      <c r="M15" s="50">
        <v>51</v>
      </c>
      <c r="N15" s="50">
        <v>0</v>
      </c>
      <c r="O15" s="15">
        <f t="shared" si="0"/>
        <v>91</v>
      </c>
      <c r="P15" s="15">
        <f t="shared" si="1"/>
        <v>142</v>
      </c>
      <c r="R15" s="1" t="s">
        <v>11</v>
      </c>
      <c r="S15" s="17">
        <f t="shared" ref="S15:AF15" si="7">SUM(C30:C33)</f>
        <v>173</v>
      </c>
      <c r="T15" s="17">
        <f t="shared" si="7"/>
        <v>98</v>
      </c>
      <c r="U15" s="17">
        <f t="shared" si="7"/>
        <v>48</v>
      </c>
      <c r="V15" s="17">
        <f t="shared" si="7"/>
        <v>57</v>
      </c>
      <c r="W15" s="17">
        <f t="shared" si="7"/>
        <v>0</v>
      </c>
      <c r="X15" s="17">
        <f t="shared" si="7"/>
        <v>0</v>
      </c>
      <c r="Y15" s="17">
        <f t="shared" si="7"/>
        <v>11</v>
      </c>
      <c r="Z15" s="17">
        <f t="shared" si="7"/>
        <v>0</v>
      </c>
      <c r="AA15" s="17">
        <f t="shared" si="7"/>
        <v>7</v>
      </c>
      <c r="AB15" s="17">
        <f t="shared" si="7"/>
        <v>0</v>
      </c>
      <c r="AC15" s="17">
        <f t="shared" si="7"/>
        <v>315</v>
      </c>
      <c r="AD15" s="17">
        <f t="shared" si="7"/>
        <v>0</v>
      </c>
      <c r="AE15" s="31">
        <f t="shared" si="7"/>
        <v>394</v>
      </c>
      <c r="AF15" s="31">
        <f t="shared" si="7"/>
        <v>709</v>
      </c>
    </row>
    <row r="16" spans="2:32" ht="23.1" customHeight="1" x14ac:dyDescent="0.25">
      <c r="B16" s="23" t="s">
        <v>43</v>
      </c>
      <c r="C16" s="50">
        <v>24</v>
      </c>
      <c r="D16" s="50">
        <v>22</v>
      </c>
      <c r="E16" s="50">
        <v>9</v>
      </c>
      <c r="F16" s="50">
        <v>21</v>
      </c>
      <c r="G16" s="50">
        <v>0</v>
      </c>
      <c r="H16" s="50">
        <v>0</v>
      </c>
      <c r="I16" s="50">
        <v>5</v>
      </c>
      <c r="J16" s="50">
        <v>0</v>
      </c>
      <c r="K16" s="50">
        <v>0</v>
      </c>
      <c r="L16" s="50">
        <v>0</v>
      </c>
      <c r="M16" s="50">
        <v>71</v>
      </c>
      <c r="N16" s="50">
        <v>0</v>
      </c>
      <c r="O16" s="15">
        <f t="shared" si="0"/>
        <v>81</v>
      </c>
      <c r="P16" s="15">
        <f t="shared" si="1"/>
        <v>152</v>
      </c>
      <c r="R16" s="1" t="s">
        <v>12</v>
      </c>
      <c r="S16" s="17">
        <f t="shared" ref="S16:AF16" si="8">SUM(C34:C37)</f>
        <v>187</v>
      </c>
      <c r="T16" s="17">
        <f t="shared" si="8"/>
        <v>92</v>
      </c>
      <c r="U16" s="17">
        <f t="shared" si="8"/>
        <v>33</v>
      </c>
      <c r="V16" s="17">
        <f t="shared" si="8"/>
        <v>47</v>
      </c>
      <c r="W16" s="17">
        <f t="shared" si="8"/>
        <v>0</v>
      </c>
      <c r="X16" s="17">
        <f t="shared" si="8"/>
        <v>0</v>
      </c>
      <c r="Y16" s="17">
        <f t="shared" si="8"/>
        <v>16</v>
      </c>
      <c r="Z16" s="17">
        <f t="shared" si="8"/>
        <v>0</v>
      </c>
      <c r="AA16" s="17">
        <f t="shared" si="8"/>
        <v>4</v>
      </c>
      <c r="AB16" s="17">
        <f t="shared" si="8"/>
        <v>0</v>
      </c>
      <c r="AC16" s="17">
        <f t="shared" si="8"/>
        <v>323</v>
      </c>
      <c r="AD16" s="17">
        <f t="shared" si="8"/>
        <v>0</v>
      </c>
      <c r="AE16" s="31">
        <f t="shared" si="8"/>
        <v>379</v>
      </c>
      <c r="AF16" s="31">
        <f t="shared" si="8"/>
        <v>702</v>
      </c>
    </row>
    <row r="17" spans="2:32" ht="23.1" customHeight="1" x14ac:dyDescent="0.25">
      <c r="B17" s="23" t="s">
        <v>44</v>
      </c>
      <c r="C17" s="50">
        <v>28</v>
      </c>
      <c r="D17" s="50">
        <v>17</v>
      </c>
      <c r="E17" s="50">
        <v>7</v>
      </c>
      <c r="F17" s="50">
        <v>18</v>
      </c>
      <c r="G17" s="50">
        <v>1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56</v>
      </c>
      <c r="N17" s="50">
        <v>0</v>
      </c>
      <c r="O17" s="15">
        <f t="shared" si="0"/>
        <v>72</v>
      </c>
      <c r="P17" s="15">
        <f t="shared" si="1"/>
        <v>128</v>
      </c>
      <c r="R17" s="1" t="s">
        <v>13</v>
      </c>
      <c r="S17" s="17">
        <f t="shared" ref="S17:AF17" si="9">SUM(C38:C41)</f>
        <v>234</v>
      </c>
      <c r="T17" s="17">
        <f t="shared" si="9"/>
        <v>89</v>
      </c>
      <c r="U17" s="17">
        <f t="shared" si="9"/>
        <v>39</v>
      </c>
      <c r="V17" s="17">
        <f t="shared" si="9"/>
        <v>59</v>
      </c>
      <c r="W17" s="17">
        <f t="shared" si="9"/>
        <v>0</v>
      </c>
      <c r="X17" s="17">
        <f t="shared" si="9"/>
        <v>3</v>
      </c>
      <c r="Y17" s="17">
        <f t="shared" si="9"/>
        <v>3</v>
      </c>
      <c r="Z17" s="17">
        <f t="shared" si="9"/>
        <v>1</v>
      </c>
      <c r="AA17" s="17">
        <f t="shared" si="9"/>
        <v>0</v>
      </c>
      <c r="AB17" s="17">
        <f t="shared" si="9"/>
        <v>1</v>
      </c>
      <c r="AC17" s="17">
        <f t="shared" si="9"/>
        <v>304</v>
      </c>
      <c r="AD17" s="17">
        <f t="shared" si="9"/>
        <v>0</v>
      </c>
      <c r="AE17" s="31">
        <f t="shared" si="9"/>
        <v>429</v>
      </c>
      <c r="AF17" s="31">
        <f t="shared" si="9"/>
        <v>733</v>
      </c>
    </row>
    <row r="18" spans="2:32" ht="23.1" customHeight="1" x14ac:dyDescent="0.25">
      <c r="B18" s="23" t="s">
        <v>45</v>
      </c>
      <c r="C18" s="50">
        <v>38</v>
      </c>
      <c r="D18" s="50">
        <v>17</v>
      </c>
      <c r="E18" s="50">
        <v>7</v>
      </c>
      <c r="F18" s="50">
        <v>13</v>
      </c>
      <c r="G18" s="50">
        <v>0</v>
      </c>
      <c r="H18" s="50">
        <v>0</v>
      </c>
      <c r="I18" s="50">
        <v>4</v>
      </c>
      <c r="J18" s="50">
        <v>3</v>
      </c>
      <c r="K18" s="50">
        <v>1</v>
      </c>
      <c r="L18" s="50">
        <v>0</v>
      </c>
      <c r="M18" s="50">
        <v>54</v>
      </c>
      <c r="N18" s="50">
        <v>0</v>
      </c>
      <c r="O18" s="15">
        <f t="shared" si="0"/>
        <v>83</v>
      </c>
      <c r="P18" s="15">
        <f t="shared" si="1"/>
        <v>137</v>
      </c>
      <c r="R18" s="1" t="s">
        <v>14</v>
      </c>
      <c r="S18" s="17">
        <f t="shared" ref="S18:AF18" si="10">SUM(C42:C45)</f>
        <v>260</v>
      </c>
      <c r="T18" s="17">
        <f t="shared" si="10"/>
        <v>80</v>
      </c>
      <c r="U18" s="17">
        <f t="shared" si="10"/>
        <v>51</v>
      </c>
      <c r="V18" s="17">
        <f t="shared" si="10"/>
        <v>49</v>
      </c>
      <c r="W18" s="17">
        <f t="shared" si="10"/>
        <v>0</v>
      </c>
      <c r="X18" s="17">
        <f t="shared" si="10"/>
        <v>0</v>
      </c>
      <c r="Y18" s="17">
        <f t="shared" si="10"/>
        <v>10</v>
      </c>
      <c r="Z18" s="17">
        <f t="shared" si="10"/>
        <v>1</v>
      </c>
      <c r="AA18" s="17">
        <f t="shared" si="10"/>
        <v>2</v>
      </c>
      <c r="AB18" s="17">
        <f t="shared" si="10"/>
        <v>0</v>
      </c>
      <c r="AC18" s="17">
        <f t="shared" si="10"/>
        <v>318</v>
      </c>
      <c r="AD18" s="17">
        <f t="shared" si="10"/>
        <v>0</v>
      </c>
      <c r="AE18" s="31">
        <f t="shared" si="10"/>
        <v>453</v>
      </c>
      <c r="AF18" s="31">
        <f t="shared" si="10"/>
        <v>771</v>
      </c>
    </row>
    <row r="19" spans="2:32" ht="23.1" customHeight="1" x14ac:dyDescent="0.25">
      <c r="B19" s="23" t="s">
        <v>46</v>
      </c>
      <c r="C19" s="50">
        <v>41</v>
      </c>
      <c r="D19" s="50">
        <v>22</v>
      </c>
      <c r="E19" s="50">
        <v>11</v>
      </c>
      <c r="F19" s="50">
        <v>26</v>
      </c>
      <c r="G19" s="50">
        <v>0</v>
      </c>
      <c r="H19" s="50">
        <v>0</v>
      </c>
      <c r="I19" s="50">
        <v>5</v>
      </c>
      <c r="J19" s="50">
        <v>2</v>
      </c>
      <c r="K19" s="50">
        <v>1</v>
      </c>
      <c r="L19" s="50">
        <v>0</v>
      </c>
      <c r="M19" s="50">
        <v>67</v>
      </c>
      <c r="N19" s="50">
        <v>0</v>
      </c>
      <c r="O19" s="15">
        <f t="shared" si="0"/>
        <v>108</v>
      </c>
      <c r="P19" s="15">
        <f t="shared" si="1"/>
        <v>175</v>
      </c>
      <c r="R19" s="1" t="s">
        <v>15</v>
      </c>
      <c r="S19" s="17">
        <f t="shared" ref="S19:AF19" si="11">SUM(C46:C49)</f>
        <v>228</v>
      </c>
      <c r="T19" s="17">
        <f t="shared" si="11"/>
        <v>92</v>
      </c>
      <c r="U19" s="17">
        <f t="shared" si="11"/>
        <v>52</v>
      </c>
      <c r="V19" s="17">
        <f t="shared" si="11"/>
        <v>46</v>
      </c>
      <c r="W19" s="17">
        <f t="shared" si="11"/>
        <v>3</v>
      </c>
      <c r="X19" s="17">
        <f t="shared" si="11"/>
        <v>0</v>
      </c>
      <c r="Y19" s="17">
        <f t="shared" si="11"/>
        <v>8</v>
      </c>
      <c r="Z19" s="17">
        <f t="shared" si="11"/>
        <v>0</v>
      </c>
      <c r="AA19" s="17">
        <f t="shared" si="11"/>
        <v>4</v>
      </c>
      <c r="AB19" s="17">
        <f t="shared" si="11"/>
        <v>0</v>
      </c>
      <c r="AC19" s="17">
        <f t="shared" si="11"/>
        <v>312</v>
      </c>
      <c r="AD19" s="17">
        <f t="shared" si="11"/>
        <v>0</v>
      </c>
      <c r="AE19" s="31">
        <f t="shared" si="11"/>
        <v>433</v>
      </c>
      <c r="AF19" s="31">
        <f t="shared" si="11"/>
        <v>745</v>
      </c>
    </row>
    <row r="20" spans="2:32" ht="23.1" customHeight="1" x14ac:dyDescent="0.25">
      <c r="B20" s="23" t="s">
        <v>47</v>
      </c>
      <c r="C20" s="50">
        <v>38</v>
      </c>
      <c r="D20" s="50">
        <v>19</v>
      </c>
      <c r="E20" s="50">
        <v>10</v>
      </c>
      <c r="F20" s="50">
        <v>17</v>
      </c>
      <c r="G20" s="50">
        <v>0</v>
      </c>
      <c r="H20" s="50">
        <v>0</v>
      </c>
      <c r="I20" s="50">
        <v>1</v>
      </c>
      <c r="J20" s="50">
        <v>1</v>
      </c>
      <c r="K20" s="50">
        <v>1</v>
      </c>
      <c r="L20" s="50">
        <v>0</v>
      </c>
      <c r="M20" s="50">
        <v>62</v>
      </c>
      <c r="N20" s="50">
        <v>0</v>
      </c>
      <c r="O20" s="15">
        <f t="shared" si="0"/>
        <v>87</v>
      </c>
      <c r="P20" s="15">
        <f t="shared" si="1"/>
        <v>149</v>
      </c>
      <c r="R20" s="1" t="s">
        <v>16</v>
      </c>
      <c r="S20" s="17">
        <f t="shared" ref="S20:AF20" si="12">SUM(C50:C53)</f>
        <v>406</v>
      </c>
      <c r="T20" s="17">
        <f t="shared" si="12"/>
        <v>149</v>
      </c>
      <c r="U20" s="17">
        <f t="shared" si="12"/>
        <v>79</v>
      </c>
      <c r="V20" s="17">
        <f t="shared" si="12"/>
        <v>86</v>
      </c>
      <c r="W20" s="17">
        <f t="shared" si="12"/>
        <v>1</v>
      </c>
      <c r="X20" s="17">
        <f t="shared" si="12"/>
        <v>0</v>
      </c>
      <c r="Y20" s="17">
        <f t="shared" si="12"/>
        <v>6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427</v>
      </c>
      <c r="AD20" s="17">
        <f t="shared" si="12"/>
        <v>0</v>
      </c>
      <c r="AE20" s="31">
        <f t="shared" si="12"/>
        <v>727</v>
      </c>
      <c r="AF20" s="31">
        <f t="shared" si="12"/>
        <v>1154</v>
      </c>
    </row>
    <row r="21" spans="2:32" ht="23.1" customHeight="1" x14ac:dyDescent="0.25">
      <c r="B21" s="23" t="s">
        <v>48</v>
      </c>
      <c r="C21" s="50">
        <v>42</v>
      </c>
      <c r="D21" s="50">
        <v>16</v>
      </c>
      <c r="E21" s="50">
        <v>8</v>
      </c>
      <c r="F21" s="50">
        <v>14</v>
      </c>
      <c r="G21" s="50">
        <v>0</v>
      </c>
      <c r="H21" s="50">
        <v>0</v>
      </c>
      <c r="I21" s="50">
        <v>0</v>
      </c>
      <c r="J21" s="50">
        <v>2</v>
      </c>
      <c r="K21" s="50">
        <v>0</v>
      </c>
      <c r="L21" s="50">
        <v>0</v>
      </c>
      <c r="M21" s="50">
        <v>54</v>
      </c>
      <c r="N21" s="50">
        <v>0</v>
      </c>
      <c r="O21" s="15">
        <f t="shared" si="0"/>
        <v>82</v>
      </c>
      <c r="P21" s="15">
        <f t="shared" si="1"/>
        <v>136</v>
      </c>
      <c r="R21" s="36" t="s">
        <v>20</v>
      </c>
      <c r="S21" s="34">
        <f t="shared" ref="S21:AF21" si="13">SUM(C54:C57)</f>
        <v>405</v>
      </c>
      <c r="T21" s="17">
        <f t="shared" si="13"/>
        <v>141</v>
      </c>
      <c r="U21" s="17">
        <f t="shared" si="13"/>
        <v>67</v>
      </c>
      <c r="V21" s="17">
        <f t="shared" si="13"/>
        <v>90</v>
      </c>
      <c r="W21" s="17">
        <f t="shared" si="13"/>
        <v>1</v>
      </c>
      <c r="X21" s="17">
        <f t="shared" si="13"/>
        <v>0</v>
      </c>
      <c r="Y21" s="17">
        <f t="shared" si="13"/>
        <v>15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404</v>
      </c>
      <c r="AD21" s="17">
        <f t="shared" si="13"/>
        <v>0</v>
      </c>
      <c r="AE21" s="31">
        <f t="shared" si="13"/>
        <v>720</v>
      </c>
      <c r="AF21" s="31">
        <f t="shared" si="13"/>
        <v>1124</v>
      </c>
    </row>
    <row r="22" spans="2:32" ht="23.1" customHeight="1" x14ac:dyDescent="0.25">
      <c r="B22" s="23" t="s">
        <v>49</v>
      </c>
      <c r="C22" s="50">
        <v>33</v>
      </c>
      <c r="D22" s="50">
        <v>19</v>
      </c>
      <c r="E22" s="50">
        <v>8</v>
      </c>
      <c r="F22" s="50">
        <v>13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63</v>
      </c>
      <c r="N22" s="50">
        <v>0</v>
      </c>
      <c r="O22" s="15">
        <f t="shared" si="0"/>
        <v>74</v>
      </c>
      <c r="P22" s="15">
        <f t="shared" si="1"/>
        <v>137</v>
      </c>
      <c r="R22" s="38" t="s">
        <v>90</v>
      </c>
      <c r="S22" s="39">
        <f>MAX(S10:S12)</f>
        <v>159</v>
      </c>
      <c r="T22" s="39">
        <f t="shared" ref="T22:AF22" si="14">MAX(T10:T12)</f>
        <v>95</v>
      </c>
      <c r="U22" s="39">
        <f t="shared" si="14"/>
        <v>37</v>
      </c>
      <c r="V22" s="39">
        <f t="shared" si="14"/>
        <v>71</v>
      </c>
      <c r="W22" s="39">
        <f t="shared" si="14"/>
        <v>1</v>
      </c>
      <c r="X22" s="39">
        <f t="shared" si="14"/>
        <v>0</v>
      </c>
      <c r="Y22" s="39">
        <f t="shared" si="14"/>
        <v>10</v>
      </c>
      <c r="Z22" s="39">
        <f t="shared" si="14"/>
        <v>8</v>
      </c>
      <c r="AA22" s="39">
        <f t="shared" si="14"/>
        <v>5</v>
      </c>
      <c r="AB22" s="39">
        <f t="shared" si="14"/>
        <v>0</v>
      </c>
      <c r="AC22" s="39">
        <f t="shared" si="14"/>
        <v>237</v>
      </c>
      <c r="AD22" s="39">
        <f t="shared" si="14"/>
        <v>0</v>
      </c>
      <c r="AE22" s="40">
        <f t="shared" si="14"/>
        <v>360</v>
      </c>
      <c r="AF22" s="40">
        <f t="shared" si="14"/>
        <v>597</v>
      </c>
    </row>
    <row r="23" spans="2:32" ht="23.1" customHeight="1" x14ac:dyDescent="0.25">
      <c r="B23" s="23" t="s">
        <v>50</v>
      </c>
      <c r="C23" s="50">
        <v>27</v>
      </c>
      <c r="D23" s="50">
        <v>13</v>
      </c>
      <c r="E23" s="50">
        <v>6</v>
      </c>
      <c r="F23" s="50">
        <v>9</v>
      </c>
      <c r="G23" s="50">
        <v>0</v>
      </c>
      <c r="H23" s="50">
        <v>0</v>
      </c>
      <c r="I23" s="50">
        <v>5</v>
      </c>
      <c r="J23" s="50">
        <v>0</v>
      </c>
      <c r="K23" s="50">
        <v>2</v>
      </c>
      <c r="L23" s="50">
        <v>0</v>
      </c>
      <c r="M23" s="50">
        <v>60</v>
      </c>
      <c r="N23" s="50">
        <v>0</v>
      </c>
      <c r="O23" s="15">
        <f t="shared" si="0"/>
        <v>62</v>
      </c>
      <c r="P23" s="15">
        <f t="shared" si="1"/>
        <v>122</v>
      </c>
      <c r="R23" s="38" t="s">
        <v>91</v>
      </c>
      <c r="S23" s="39">
        <f>MAX(S13:S18)</f>
        <v>260</v>
      </c>
      <c r="T23" s="39">
        <f t="shared" ref="T23:AF23" si="15">MAX(T13:T18)</f>
        <v>98</v>
      </c>
      <c r="U23" s="39">
        <f t="shared" si="15"/>
        <v>51</v>
      </c>
      <c r="V23" s="39">
        <f t="shared" si="15"/>
        <v>59</v>
      </c>
      <c r="W23" s="39">
        <f t="shared" si="15"/>
        <v>0</v>
      </c>
      <c r="X23" s="39">
        <f t="shared" si="15"/>
        <v>3</v>
      </c>
      <c r="Y23" s="39">
        <f t="shared" si="15"/>
        <v>16</v>
      </c>
      <c r="Z23" s="39">
        <f t="shared" si="15"/>
        <v>2</v>
      </c>
      <c r="AA23" s="39">
        <f t="shared" si="15"/>
        <v>7</v>
      </c>
      <c r="AB23" s="39">
        <f t="shared" si="15"/>
        <v>1</v>
      </c>
      <c r="AC23" s="39">
        <f t="shared" si="15"/>
        <v>323</v>
      </c>
      <c r="AD23" s="39">
        <f t="shared" si="15"/>
        <v>0</v>
      </c>
      <c r="AE23" s="40">
        <f t="shared" si="15"/>
        <v>453</v>
      </c>
      <c r="AF23" s="40">
        <f t="shared" si="15"/>
        <v>771</v>
      </c>
    </row>
    <row r="24" spans="2:32" ht="23.1" customHeight="1" x14ac:dyDescent="0.25">
      <c r="B24" s="23" t="s">
        <v>51</v>
      </c>
      <c r="C24" s="50">
        <v>31</v>
      </c>
      <c r="D24" s="50">
        <v>9</v>
      </c>
      <c r="E24" s="50">
        <v>12</v>
      </c>
      <c r="F24" s="50">
        <v>11</v>
      </c>
      <c r="G24" s="50">
        <v>0</v>
      </c>
      <c r="H24" s="50">
        <v>0</v>
      </c>
      <c r="I24" s="50">
        <v>3</v>
      </c>
      <c r="J24" s="50">
        <v>0</v>
      </c>
      <c r="K24" s="50">
        <v>1</v>
      </c>
      <c r="L24" s="50">
        <v>0</v>
      </c>
      <c r="M24" s="50">
        <v>73</v>
      </c>
      <c r="N24" s="50">
        <v>0</v>
      </c>
      <c r="O24" s="15">
        <f t="shared" si="0"/>
        <v>67</v>
      </c>
      <c r="P24" s="15">
        <f t="shared" si="1"/>
        <v>140</v>
      </c>
      <c r="R24" s="38" t="s">
        <v>92</v>
      </c>
      <c r="S24" s="39">
        <f>MAX(S19:S21)</f>
        <v>406</v>
      </c>
      <c r="T24" s="39">
        <f t="shared" ref="T24:AF24" si="16">MAX(T19:T21)</f>
        <v>149</v>
      </c>
      <c r="U24" s="39">
        <f t="shared" si="16"/>
        <v>79</v>
      </c>
      <c r="V24" s="39">
        <f t="shared" si="16"/>
        <v>90</v>
      </c>
      <c r="W24" s="39">
        <f t="shared" si="16"/>
        <v>3</v>
      </c>
      <c r="X24" s="39">
        <f t="shared" si="16"/>
        <v>0</v>
      </c>
      <c r="Y24" s="39">
        <f t="shared" si="16"/>
        <v>15</v>
      </c>
      <c r="Z24" s="39">
        <f t="shared" si="16"/>
        <v>0</v>
      </c>
      <c r="AA24" s="39">
        <f t="shared" si="16"/>
        <v>4</v>
      </c>
      <c r="AB24" s="39">
        <f t="shared" si="16"/>
        <v>0</v>
      </c>
      <c r="AC24" s="39">
        <f t="shared" si="16"/>
        <v>427</v>
      </c>
      <c r="AD24" s="39">
        <f t="shared" si="16"/>
        <v>0</v>
      </c>
      <c r="AE24" s="40">
        <f t="shared" si="16"/>
        <v>727</v>
      </c>
      <c r="AF24" s="40">
        <f t="shared" si="16"/>
        <v>1154</v>
      </c>
    </row>
    <row r="25" spans="2:32" ht="23.1" customHeight="1" x14ac:dyDescent="0.25">
      <c r="B25" s="23" t="s">
        <v>52</v>
      </c>
      <c r="C25" s="50">
        <v>37</v>
      </c>
      <c r="D25" s="50">
        <v>17</v>
      </c>
      <c r="E25" s="50">
        <v>15</v>
      </c>
      <c r="F25" s="50">
        <v>8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78</v>
      </c>
      <c r="N25" s="50">
        <v>0</v>
      </c>
      <c r="O25" s="15">
        <f t="shared" si="0"/>
        <v>79</v>
      </c>
      <c r="P25" s="15">
        <f t="shared" si="1"/>
        <v>157</v>
      </c>
      <c r="R25" s="37" t="s">
        <v>85</v>
      </c>
      <c r="S25" s="35">
        <f t="shared" ref="S25:AF25" si="17">SUM(S10:S12)</f>
        <v>354</v>
      </c>
      <c r="T25" s="16">
        <f t="shared" si="17"/>
        <v>216</v>
      </c>
      <c r="U25" s="16">
        <f t="shared" si="17"/>
        <v>101</v>
      </c>
      <c r="V25" s="16">
        <f t="shared" si="17"/>
        <v>180</v>
      </c>
      <c r="W25" s="16">
        <f t="shared" si="17"/>
        <v>1</v>
      </c>
      <c r="X25" s="16">
        <f t="shared" si="17"/>
        <v>0</v>
      </c>
      <c r="Y25" s="16">
        <f t="shared" si="17"/>
        <v>22</v>
      </c>
      <c r="Z25" s="16">
        <f t="shared" si="17"/>
        <v>10</v>
      </c>
      <c r="AA25" s="16">
        <f t="shared" si="17"/>
        <v>8</v>
      </c>
      <c r="AB25" s="16">
        <f t="shared" si="17"/>
        <v>0</v>
      </c>
      <c r="AC25" s="16">
        <f t="shared" si="17"/>
        <v>641</v>
      </c>
      <c r="AD25" s="16">
        <f t="shared" si="17"/>
        <v>0</v>
      </c>
      <c r="AE25" s="32">
        <f t="shared" si="17"/>
        <v>892</v>
      </c>
      <c r="AF25" s="32">
        <f t="shared" si="17"/>
        <v>1533</v>
      </c>
    </row>
    <row r="26" spans="2:32" ht="23.1" customHeight="1" x14ac:dyDescent="0.25">
      <c r="B26" s="23" t="s">
        <v>53</v>
      </c>
      <c r="C26" s="50">
        <v>27</v>
      </c>
      <c r="D26" s="50">
        <v>16</v>
      </c>
      <c r="E26" s="50">
        <v>8</v>
      </c>
      <c r="F26" s="50">
        <v>7</v>
      </c>
      <c r="G26" s="50">
        <v>0</v>
      </c>
      <c r="H26" s="50">
        <v>0</v>
      </c>
      <c r="I26" s="50">
        <v>1</v>
      </c>
      <c r="J26" s="50">
        <v>0</v>
      </c>
      <c r="K26" s="50">
        <v>2</v>
      </c>
      <c r="L26" s="50">
        <v>0</v>
      </c>
      <c r="M26" s="50">
        <v>74</v>
      </c>
      <c r="N26" s="50">
        <v>0</v>
      </c>
      <c r="O26" s="15">
        <f t="shared" si="0"/>
        <v>61</v>
      </c>
      <c r="P26" s="15">
        <f t="shared" si="1"/>
        <v>135</v>
      </c>
      <c r="R26" s="28" t="s">
        <v>86</v>
      </c>
      <c r="S26" s="16">
        <f t="shared" ref="S26:AF26" si="18">SUM(S13:S18)</f>
        <v>1134</v>
      </c>
      <c r="T26" s="16">
        <f t="shared" si="18"/>
        <v>497</v>
      </c>
      <c r="U26" s="16">
        <f t="shared" si="18"/>
        <v>254</v>
      </c>
      <c r="V26" s="16">
        <f t="shared" si="18"/>
        <v>302</v>
      </c>
      <c r="W26" s="16">
        <f t="shared" si="18"/>
        <v>0</v>
      </c>
      <c r="X26" s="16">
        <f t="shared" si="18"/>
        <v>3</v>
      </c>
      <c r="Y26" s="16">
        <f t="shared" si="18"/>
        <v>53</v>
      </c>
      <c r="Z26" s="16">
        <f t="shared" si="18"/>
        <v>5</v>
      </c>
      <c r="AA26" s="16">
        <f t="shared" si="18"/>
        <v>20</v>
      </c>
      <c r="AB26" s="16">
        <f t="shared" si="18"/>
        <v>1</v>
      </c>
      <c r="AC26" s="16">
        <f t="shared" si="18"/>
        <v>1847</v>
      </c>
      <c r="AD26" s="16">
        <f t="shared" si="18"/>
        <v>0</v>
      </c>
      <c r="AE26" s="32">
        <f t="shared" si="18"/>
        <v>2269</v>
      </c>
      <c r="AF26" s="32">
        <f t="shared" si="18"/>
        <v>4116</v>
      </c>
    </row>
    <row r="27" spans="2:32" ht="23.1" customHeight="1" x14ac:dyDescent="0.25">
      <c r="B27" s="23" t="s">
        <v>54</v>
      </c>
      <c r="C27" s="50">
        <v>36</v>
      </c>
      <c r="D27" s="50">
        <v>22</v>
      </c>
      <c r="E27" s="50">
        <v>7</v>
      </c>
      <c r="F27" s="50">
        <v>18</v>
      </c>
      <c r="G27" s="50">
        <v>0</v>
      </c>
      <c r="H27" s="50">
        <v>0</v>
      </c>
      <c r="I27" s="50">
        <v>2</v>
      </c>
      <c r="J27" s="50">
        <v>1</v>
      </c>
      <c r="K27" s="50">
        <v>0</v>
      </c>
      <c r="L27" s="50">
        <v>0</v>
      </c>
      <c r="M27" s="50">
        <v>79</v>
      </c>
      <c r="N27" s="50">
        <v>0</v>
      </c>
      <c r="O27" s="15">
        <f t="shared" si="0"/>
        <v>86</v>
      </c>
      <c r="P27" s="15">
        <f t="shared" si="1"/>
        <v>165</v>
      </c>
      <c r="R27" s="29" t="s">
        <v>87</v>
      </c>
      <c r="S27" s="16">
        <f t="shared" ref="S27:AF27" si="19">SUM(S19:S21)</f>
        <v>1039</v>
      </c>
      <c r="T27" s="16">
        <f t="shared" si="19"/>
        <v>382</v>
      </c>
      <c r="U27" s="16">
        <f t="shared" si="19"/>
        <v>198</v>
      </c>
      <c r="V27" s="16">
        <f t="shared" si="19"/>
        <v>222</v>
      </c>
      <c r="W27" s="16">
        <f t="shared" si="19"/>
        <v>5</v>
      </c>
      <c r="X27" s="16">
        <f t="shared" si="19"/>
        <v>0</v>
      </c>
      <c r="Y27" s="16">
        <f t="shared" si="19"/>
        <v>29</v>
      </c>
      <c r="Z27" s="16">
        <f t="shared" si="19"/>
        <v>0</v>
      </c>
      <c r="AA27" s="16">
        <f t="shared" si="19"/>
        <v>5</v>
      </c>
      <c r="AB27" s="16">
        <f t="shared" si="19"/>
        <v>0</v>
      </c>
      <c r="AC27" s="16">
        <f t="shared" si="19"/>
        <v>1143</v>
      </c>
      <c r="AD27" s="16">
        <f t="shared" si="19"/>
        <v>0</v>
      </c>
      <c r="AE27" s="32">
        <f t="shared" si="19"/>
        <v>1880</v>
      </c>
      <c r="AF27" s="32">
        <f t="shared" si="19"/>
        <v>3023</v>
      </c>
    </row>
    <row r="28" spans="2:32" ht="23.1" customHeight="1" x14ac:dyDescent="0.25">
      <c r="B28" s="23" t="s">
        <v>55</v>
      </c>
      <c r="C28" s="50">
        <v>42</v>
      </c>
      <c r="D28" s="50">
        <v>19</v>
      </c>
      <c r="E28" s="50">
        <v>11</v>
      </c>
      <c r="F28" s="50">
        <v>13</v>
      </c>
      <c r="G28" s="50">
        <v>0</v>
      </c>
      <c r="H28" s="50">
        <v>0</v>
      </c>
      <c r="I28" s="50">
        <v>0</v>
      </c>
      <c r="J28" s="50">
        <v>1</v>
      </c>
      <c r="K28" s="50">
        <v>2</v>
      </c>
      <c r="L28" s="50">
        <v>0</v>
      </c>
      <c r="M28" s="50">
        <v>81</v>
      </c>
      <c r="N28" s="50">
        <v>0</v>
      </c>
      <c r="O28" s="15">
        <f t="shared" si="0"/>
        <v>88</v>
      </c>
      <c r="P28" s="15">
        <f t="shared" si="1"/>
        <v>169</v>
      </c>
      <c r="R28" s="5" t="s">
        <v>17</v>
      </c>
      <c r="S28" s="16">
        <f t="shared" ref="S28:AF28" si="20">SUM(S10:S21)</f>
        <v>2527</v>
      </c>
      <c r="T28" s="16">
        <f t="shared" si="20"/>
        <v>1095</v>
      </c>
      <c r="U28" s="16">
        <f t="shared" si="20"/>
        <v>553</v>
      </c>
      <c r="V28" s="16">
        <f t="shared" si="20"/>
        <v>704</v>
      </c>
      <c r="W28" s="16">
        <f t="shared" si="20"/>
        <v>6</v>
      </c>
      <c r="X28" s="16">
        <f t="shared" si="20"/>
        <v>3</v>
      </c>
      <c r="Y28" s="16">
        <f t="shared" si="20"/>
        <v>104</v>
      </c>
      <c r="Z28" s="16">
        <f t="shared" si="20"/>
        <v>15</v>
      </c>
      <c r="AA28" s="16">
        <f t="shared" si="20"/>
        <v>33</v>
      </c>
      <c r="AB28" s="16">
        <f t="shared" si="20"/>
        <v>1</v>
      </c>
      <c r="AC28" s="16">
        <f t="shared" si="20"/>
        <v>3631</v>
      </c>
      <c r="AD28" s="16">
        <f t="shared" si="20"/>
        <v>0</v>
      </c>
      <c r="AE28" s="32">
        <f t="shared" si="20"/>
        <v>5041</v>
      </c>
      <c r="AF28" s="32">
        <f t="shared" si="20"/>
        <v>8672</v>
      </c>
    </row>
    <row r="29" spans="2:32" ht="23.1" customHeight="1" x14ac:dyDescent="0.25">
      <c r="B29" s="23" t="s">
        <v>56</v>
      </c>
      <c r="C29" s="50">
        <v>47</v>
      </c>
      <c r="D29" s="50">
        <v>23</v>
      </c>
      <c r="E29" s="50">
        <v>16</v>
      </c>
      <c r="F29" s="50">
        <v>11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79</v>
      </c>
      <c r="N29" s="50">
        <v>0</v>
      </c>
      <c r="O29" s="15">
        <f t="shared" si="0"/>
        <v>97</v>
      </c>
      <c r="P29" s="15">
        <f t="shared" si="1"/>
        <v>176</v>
      </c>
      <c r="R29"/>
      <c r="S29" s="20"/>
      <c r="T29" s="19"/>
    </row>
    <row r="30" spans="2:32" ht="23.1" customHeight="1" x14ac:dyDescent="0.25">
      <c r="B30" s="23" t="s">
        <v>57</v>
      </c>
      <c r="C30" s="50">
        <v>38</v>
      </c>
      <c r="D30" s="50">
        <v>22</v>
      </c>
      <c r="E30" s="50">
        <v>7</v>
      </c>
      <c r="F30" s="50">
        <v>13</v>
      </c>
      <c r="G30" s="50">
        <v>0</v>
      </c>
      <c r="H30" s="50">
        <v>0</v>
      </c>
      <c r="I30" s="50">
        <v>2</v>
      </c>
      <c r="J30" s="50">
        <v>0</v>
      </c>
      <c r="K30" s="50">
        <v>1</v>
      </c>
      <c r="L30" s="50">
        <v>0</v>
      </c>
      <c r="M30" s="50">
        <v>78</v>
      </c>
      <c r="N30" s="50">
        <v>0</v>
      </c>
      <c r="O30" s="15">
        <f t="shared" si="0"/>
        <v>83</v>
      </c>
      <c r="P30" s="15">
        <f t="shared" si="1"/>
        <v>161</v>
      </c>
    </row>
    <row r="31" spans="2:32" ht="23.1" customHeight="1" x14ac:dyDescent="0.25">
      <c r="B31" s="24" t="s">
        <v>58</v>
      </c>
      <c r="C31" s="50">
        <v>43</v>
      </c>
      <c r="D31" s="50">
        <v>27</v>
      </c>
      <c r="E31" s="50">
        <v>11</v>
      </c>
      <c r="F31" s="50">
        <v>10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82</v>
      </c>
      <c r="N31" s="50">
        <v>0</v>
      </c>
      <c r="O31" s="15">
        <f t="shared" si="0"/>
        <v>92</v>
      </c>
      <c r="P31" s="15">
        <f t="shared" si="1"/>
        <v>174</v>
      </c>
    </row>
    <row r="32" spans="2:32" ht="23.1" customHeight="1" x14ac:dyDescent="0.25">
      <c r="B32" s="24" t="s">
        <v>59</v>
      </c>
      <c r="C32" s="50">
        <v>44</v>
      </c>
      <c r="D32" s="50">
        <v>23</v>
      </c>
      <c r="E32" s="50">
        <v>14</v>
      </c>
      <c r="F32" s="50">
        <v>19</v>
      </c>
      <c r="G32" s="50">
        <v>0</v>
      </c>
      <c r="H32" s="50">
        <v>0</v>
      </c>
      <c r="I32" s="50">
        <v>5</v>
      </c>
      <c r="J32" s="50">
        <v>0</v>
      </c>
      <c r="K32" s="50">
        <v>4</v>
      </c>
      <c r="L32" s="50">
        <v>0</v>
      </c>
      <c r="M32" s="50">
        <v>79</v>
      </c>
      <c r="N32" s="50">
        <v>0</v>
      </c>
      <c r="O32" s="15">
        <f t="shared" si="0"/>
        <v>109</v>
      </c>
      <c r="P32" s="15">
        <f t="shared" si="1"/>
        <v>188</v>
      </c>
    </row>
    <row r="33" spans="2:20" ht="23.1" customHeight="1" x14ac:dyDescent="0.25">
      <c r="B33" s="23" t="s">
        <v>60</v>
      </c>
      <c r="C33" s="50">
        <v>48</v>
      </c>
      <c r="D33" s="50">
        <v>26</v>
      </c>
      <c r="E33" s="50">
        <v>16</v>
      </c>
      <c r="F33" s="50">
        <v>15</v>
      </c>
      <c r="G33" s="50">
        <v>0</v>
      </c>
      <c r="H33" s="50">
        <v>0</v>
      </c>
      <c r="I33" s="50">
        <v>3</v>
      </c>
      <c r="J33" s="50">
        <v>0</v>
      </c>
      <c r="K33" s="50">
        <v>2</v>
      </c>
      <c r="L33" s="50">
        <v>0</v>
      </c>
      <c r="M33" s="50">
        <v>76</v>
      </c>
      <c r="N33" s="50">
        <v>0</v>
      </c>
      <c r="O33" s="15">
        <f t="shared" si="0"/>
        <v>110</v>
      </c>
      <c r="P33" s="15">
        <f t="shared" si="1"/>
        <v>186</v>
      </c>
    </row>
    <row r="34" spans="2:20" ht="23.1" customHeight="1" x14ac:dyDescent="0.25">
      <c r="B34" s="24" t="s">
        <v>61</v>
      </c>
      <c r="C34" s="50">
        <v>41</v>
      </c>
      <c r="D34" s="50">
        <v>17</v>
      </c>
      <c r="E34" s="50">
        <v>9</v>
      </c>
      <c r="F34" s="50">
        <v>12</v>
      </c>
      <c r="G34" s="50">
        <v>0</v>
      </c>
      <c r="H34" s="50">
        <v>0</v>
      </c>
      <c r="I34" s="50">
        <v>3</v>
      </c>
      <c r="J34" s="50">
        <v>0</v>
      </c>
      <c r="K34" s="50">
        <v>1</v>
      </c>
      <c r="L34" s="50">
        <v>0</v>
      </c>
      <c r="M34" s="50">
        <v>78</v>
      </c>
      <c r="N34" s="50">
        <v>0</v>
      </c>
      <c r="O34" s="15">
        <f t="shared" si="0"/>
        <v>83</v>
      </c>
      <c r="P34" s="15">
        <f t="shared" si="1"/>
        <v>161</v>
      </c>
    </row>
    <row r="35" spans="2:20" ht="23.1" customHeight="1" x14ac:dyDescent="0.25">
      <c r="B35" s="24" t="s">
        <v>62</v>
      </c>
      <c r="C35" s="50">
        <v>48</v>
      </c>
      <c r="D35" s="50">
        <v>22</v>
      </c>
      <c r="E35" s="50">
        <v>6</v>
      </c>
      <c r="F35" s="50">
        <v>10</v>
      </c>
      <c r="G35" s="50">
        <v>0</v>
      </c>
      <c r="H35" s="50">
        <v>0</v>
      </c>
      <c r="I35" s="50">
        <v>4</v>
      </c>
      <c r="J35" s="50">
        <v>0</v>
      </c>
      <c r="K35" s="50">
        <v>2</v>
      </c>
      <c r="L35" s="50">
        <v>0</v>
      </c>
      <c r="M35" s="50">
        <v>79</v>
      </c>
      <c r="N35" s="50">
        <v>0</v>
      </c>
      <c r="O35" s="15">
        <f t="shared" si="0"/>
        <v>92</v>
      </c>
      <c r="P35" s="15">
        <f t="shared" si="1"/>
        <v>171</v>
      </c>
    </row>
    <row r="36" spans="2:20" ht="23.1" customHeight="1" x14ac:dyDescent="0.25">
      <c r="B36" s="24" t="s">
        <v>63</v>
      </c>
      <c r="C36" s="50">
        <v>50</v>
      </c>
      <c r="D36" s="50">
        <v>27</v>
      </c>
      <c r="E36" s="50">
        <v>11</v>
      </c>
      <c r="F36" s="50">
        <v>10</v>
      </c>
      <c r="G36" s="50">
        <v>0</v>
      </c>
      <c r="H36" s="50">
        <v>0</v>
      </c>
      <c r="I36" s="50">
        <v>8</v>
      </c>
      <c r="J36" s="50">
        <v>0</v>
      </c>
      <c r="K36" s="50">
        <v>0</v>
      </c>
      <c r="L36" s="50">
        <v>0</v>
      </c>
      <c r="M36" s="50">
        <v>76</v>
      </c>
      <c r="N36" s="50">
        <v>0</v>
      </c>
      <c r="O36" s="15">
        <f t="shared" si="0"/>
        <v>106</v>
      </c>
      <c r="P36" s="15">
        <f t="shared" si="1"/>
        <v>182</v>
      </c>
    </row>
    <row r="37" spans="2:20" ht="23.1" customHeight="1" x14ac:dyDescent="0.25">
      <c r="B37" s="23" t="s">
        <v>64</v>
      </c>
      <c r="C37" s="50">
        <v>48</v>
      </c>
      <c r="D37" s="50">
        <v>26</v>
      </c>
      <c r="E37" s="50">
        <v>7</v>
      </c>
      <c r="F37" s="50">
        <v>15</v>
      </c>
      <c r="G37" s="50">
        <v>0</v>
      </c>
      <c r="H37" s="50">
        <v>0</v>
      </c>
      <c r="I37" s="50">
        <v>1</v>
      </c>
      <c r="J37" s="50">
        <v>0</v>
      </c>
      <c r="K37" s="50">
        <v>1</v>
      </c>
      <c r="L37" s="50">
        <v>0</v>
      </c>
      <c r="M37" s="50">
        <v>90</v>
      </c>
      <c r="N37" s="50">
        <v>0</v>
      </c>
      <c r="O37" s="15">
        <f t="shared" si="0"/>
        <v>98</v>
      </c>
      <c r="P37" s="15">
        <f t="shared" si="1"/>
        <v>188</v>
      </c>
    </row>
    <row r="38" spans="2:20" ht="23.1" customHeight="1" x14ac:dyDescent="0.25">
      <c r="B38" s="24" t="s">
        <v>65</v>
      </c>
      <c r="C38" s="50">
        <v>43</v>
      </c>
      <c r="D38" s="50">
        <v>17</v>
      </c>
      <c r="E38" s="50">
        <v>9</v>
      </c>
      <c r="F38" s="50">
        <v>19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84</v>
      </c>
      <c r="N38" s="50">
        <v>0</v>
      </c>
      <c r="O38" s="15">
        <f t="shared" si="0"/>
        <v>88</v>
      </c>
      <c r="P38" s="15">
        <f t="shared" si="1"/>
        <v>172</v>
      </c>
    </row>
    <row r="39" spans="2:20" ht="23.1" customHeight="1" x14ac:dyDescent="0.25">
      <c r="B39" s="24" t="s">
        <v>66</v>
      </c>
      <c r="C39" s="50">
        <v>70</v>
      </c>
      <c r="D39" s="50">
        <v>25</v>
      </c>
      <c r="E39" s="50">
        <v>11</v>
      </c>
      <c r="F39" s="50">
        <v>17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1</v>
      </c>
      <c r="M39" s="50">
        <v>78</v>
      </c>
      <c r="N39" s="50">
        <v>0</v>
      </c>
      <c r="O39" s="15">
        <f t="shared" si="0"/>
        <v>124</v>
      </c>
      <c r="P39" s="15">
        <f t="shared" si="1"/>
        <v>202</v>
      </c>
    </row>
    <row r="40" spans="2:20" ht="23.1" customHeight="1" x14ac:dyDescent="0.25">
      <c r="B40" s="24" t="s">
        <v>67</v>
      </c>
      <c r="C40" s="50">
        <v>65</v>
      </c>
      <c r="D40" s="50">
        <v>27</v>
      </c>
      <c r="E40" s="50">
        <v>9</v>
      </c>
      <c r="F40" s="50">
        <v>15</v>
      </c>
      <c r="G40" s="50">
        <v>0</v>
      </c>
      <c r="H40" s="50">
        <v>3</v>
      </c>
      <c r="I40" s="50">
        <v>1</v>
      </c>
      <c r="J40" s="50">
        <v>1</v>
      </c>
      <c r="K40" s="50">
        <v>0</v>
      </c>
      <c r="L40" s="50">
        <v>0</v>
      </c>
      <c r="M40" s="50">
        <v>74</v>
      </c>
      <c r="N40" s="50">
        <v>0</v>
      </c>
      <c r="O40" s="15">
        <f t="shared" si="0"/>
        <v>121</v>
      </c>
      <c r="P40" s="15">
        <f t="shared" si="1"/>
        <v>195</v>
      </c>
    </row>
    <row r="41" spans="2:20" ht="23.1" customHeight="1" x14ac:dyDescent="0.25">
      <c r="B41" s="23" t="s">
        <v>68</v>
      </c>
      <c r="C41" s="50">
        <v>56</v>
      </c>
      <c r="D41" s="50">
        <v>20</v>
      </c>
      <c r="E41" s="50">
        <v>10</v>
      </c>
      <c r="F41" s="50">
        <v>8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68</v>
      </c>
      <c r="N41" s="50">
        <v>0</v>
      </c>
      <c r="O41" s="15">
        <f t="shared" si="0"/>
        <v>96</v>
      </c>
      <c r="P41" s="15">
        <f t="shared" si="1"/>
        <v>164</v>
      </c>
    </row>
    <row r="42" spans="2:20" ht="23.1" customHeight="1" x14ac:dyDescent="0.25">
      <c r="B42" s="24" t="s">
        <v>69</v>
      </c>
      <c r="C42" s="50">
        <v>68</v>
      </c>
      <c r="D42" s="50">
        <v>20</v>
      </c>
      <c r="E42" s="50">
        <v>16</v>
      </c>
      <c r="F42" s="50">
        <v>13</v>
      </c>
      <c r="G42" s="50">
        <v>0</v>
      </c>
      <c r="H42" s="50">
        <v>0</v>
      </c>
      <c r="I42" s="50">
        <v>4</v>
      </c>
      <c r="J42" s="50">
        <v>1</v>
      </c>
      <c r="K42" s="50">
        <v>1</v>
      </c>
      <c r="L42" s="50">
        <v>0</v>
      </c>
      <c r="M42" s="50">
        <v>73</v>
      </c>
      <c r="N42" s="50">
        <v>0</v>
      </c>
      <c r="O42" s="15">
        <f t="shared" si="0"/>
        <v>123</v>
      </c>
      <c r="P42" s="15">
        <f t="shared" si="1"/>
        <v>196</v>
      </c>
    </row>
    <row r="43" spans="2:20" ht="23.1" customHeight="1" x14ac:dyDescent="0.25">
      <c r="B43" s="23" t="s">
        <v>70</v>
      </c>
      <c r="C43" s="50">
        <v>70</v>
      </c>
      <c r="D43" s="50">
        <v>22</v>
      </c>
      <c r="E43" s="50">
        <v>12</v>
      </c>
      <c r="F43" s="50">
        <v>10</v>
      </c>
      <c r="G43" s="50">
        <v>0</v>
      </c>
      <c r="H43" s="50">
        <v>0</v>
      </c>
      <c r="I43" s="50">
        <v>2</v>
      </c>
      <c r="J43" s="50">
        <v>0</v>
      </c>
      <c r="K43" s="50">
        <v>1</v>
      </c>
      <c r="L43" s="50">
        <v>0</v>
      </c>
      <c r="M43" s="50">
        <v>75</v>
      </c>
      <c r="N43" s="50">
        <v>0</v>
      </c>
      <c r="O43" s="15">
        <f t="shared" si="0"/>
        <v>117</v>
      </c>
      <c r="P43" s="15">
        <f t="shared" si="1"/>
        <v>192</v>
      </c>
    </row>
    <row r="44" spans="2:20" ht="23.1" customHeight="1" x14ac:dyDescent="0.25">
      <c r="B44" s="25" t="s">
        <v>71</v>
      </c>
      <c r="C44" s="50">
        <v>67</v>
      </c>
      <c r="D44" s="50">
        <v>18</v>
      </c>
      <c r="E44" s="50">
        <v>14</v>
      </c>
      <c r="F44" s="50">
        <v>10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83</v>
      </c>
      <c r="N44" s="50">
        <v>0</v>
      </c>
      <c r="O44" s="15">
        <f t="shared" si="0"/>
        <v>112</v>
      </c>
      <c r="P44" s="15">
        <f t="shared" si="1"/>
        <v>195</v>
      </c>
    </row>
    <row r="45" spans="2:20" ht="23.1" customHeight="1" x14ac:dyDescent="0.25">
      <c r="B45" s="23" t="s">
        <v>72</v>
      </c>
      <c r="C45" s="50">
        <v>55</v>
      </c>
      <c r="D45" s="50">
        <v>20</v>
      </c>
      <c r="E45" s="50">
        <v>9</v>
      </c>
      <c r="F45" s="50">
        <v>16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87</v>
      </c>
      <c r="N45" s="50">
        <v>0</v>
      </c>
      <c r="O45" s="15">
        <f t="shared" si="0"/>
        <v>101</v>
      </c>
      <c r="P45" s="15">
        <f t="shared" si="1"/>
        <v>188</v>
      </c>
    </row>
    <row r="46" spans="2:20" ht="23.1" customHeight="1" x14ac:dyDescent="0.25">
      <c r="B46" s="24" t="s">
        <v>73</v>
      </c>
      <c r="C46" s="50">
        <v>47</v>
      </c>
      <c r="D46" s="50">
        <v>28</v>
      </c>
      <c r="E46" s="50">
        <v>13</v>
      </c>
      <c r="F46" s="50">
        <v>16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72</v>
      </c>
      <c r="N46" s="50">
        <v>0</v>
      </c>
      <c r="O46" s="15">
        <f t="shared" si="0"/>
        <v>107</v>
      </c>
      <c r="P46" s="15">
        <f t="shared" si="1"/>
        <v>179</v>
      </c>
      <c r="R46" s="8"/>
      <c r="T46"/>
    </row>
    <row r="47" spans="2:20" ht="23.1" customHeight="1" x14ac:dyDescent="0.25">
      <c r="B47" s="24" t="s">
        <v>74</v>
      </c>
      <c r="C47" s="50">
        <v>58</v>
      </c>
      <c r="D47" s="50">
        <v>21</v>
      </c>
      <c r="E47" s="50">
        <v>10</v>
      </c>
      <c r="F47" s="50">
        <v>11</v>
      </c>
      <c r="G47" s="50">
        <v>0</v>
      </c>
      <c r="H47" s="50">
        <v>0</v>
      </c>
      <c r="I47" s="50">
        <v>0</v>
      </c>
      <c r="J47" s="50">
        <v>0</v>
      </c>
      <c r="K47" s="50">
        <v>1</v>
      </c>
      <c r="L47" s="50">
        <v>0</v>
      </c>
      <c r="M47" s="50">
        <v>79</v>
      </c>
      <c r="N47" s="50">
        <v>0</v>
      </c>
      <c r="O47" s="15">
        <f t="shared" si="0"/>
        <v>101</v>
      </c>
      <c r="P47" s="15">
        <f t="shared" si="1"/>
        <v>180</v>
      </c>
      <c r="R47" s="8"/>
      <c r="T47"/>
    </row>
    <row r="48" spans="2:20" ht="23.1" customHeight="1" x14ac:dyDescent="0.25">
      <c r="B48" s="24" t="s">
        <v>75</v>
      </c>
      <c r="C48" s="50">
        <v>58</v>
      </c>
      <c r="D48" s="50">
        <v>20</v>
      </c>
      <c r="E48" s="50">
        <v>13</v>
      </c>
      <c r="F48" s="50">
        <v>9</v>
      </c>
      <c r="G48" s="50">
        <v>2</v>
      </c>
      <c r="H48" s="50">
        <v>0</v>
      </c>
      <c r="I48" s="50">
        <v>5</v>
      </c>
      <c r="J48" s="50">
        <v>0</v>
      </c>
      <c r="K48" s="50">
        <v>2</v>
      </c>
      <c r="L48" s="50">
        <v>0</v>
      </c>
      <c r="M48" s="50">
        <v>78</v>
      </c>
      <c r="N48" s="50">
        <v>0</v>
      </c>
      <c r="O48" s="15">
        <f t="shared" si="0"/>
        <v>109</v>
      </c>
      <c r="P48" s="15">
        <f t="shared" si="1"/>
        <v>187</v>
      </c>
      <c r="R48" s="8"/>
      <c r="T48"/>
    </row>
    <row r="49" spans="2:20" ht="23.1" customHeight="1" x14ac:dyDescent="0.25">
      <c r="B49" s="23" t="s">
        <v>76</v>
      </c>
      <c r="C49" s="50">
        <v>65</v>
      </c>
      <c r="D49" s="50">
        <v>23</v>
      </c>
      <c r="E49" s="50">
        <v>16</v>
      </c>
      <c r="F49" s="50">
        <v>10</v>
      </c>
      <c r="G49" s="50">
        <v>1</v>
      </c>
      <c r="H49" s="50">
        <v>0</v>
      </c>
      <c r="I49" s="50">
        <v>0</v>
      </c>
      <c r="J49" s="50">
        <v>0</v>
      </c>
      <c r="K49" s="50">
        <v>1</v>
      </c>
      <c r="L49" s="50">
        <v>0</v>
      </c>
      <c r="M49" s="50">
        <v>83</v>
      </c>
      <c r="N49" s="50">
        <v>0</v>
      </c>
      <c r="O49" s="15">
        <f t="shared" si="0"/>
        <v>116</v>
      </c>
      <c r="P49" s="15">
        <f t="shared" si="1"/>
        <v>199</v>
      </c>
      <c r="R49" s="8"/>
      <c r="T49"/>
    </row>
    <row r="50" spans="2:20" ht="23.1" customHeight="1" x14ac:dyDescent="0.25">
      <c r="B50" s="24" t="s">
        <v>77</v>
      </c>
      <c r="C50" s="50">
        <v>92</v>
      </c>
      <c r="D50" s="50">
        <v>35</v>
      </c>
      <c r="E50" s="50">
        <v>17</v>
      </c>
      <c r="F50" s="50">
        <v>19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107</v>
      </c>
      <c r="N50" s="50">
        <v>0</v>
      </c>
      <c r="O50" s="15">
        <f t="shared" si="0"/>
        <v>165</v>
      </c>
      <c r="P50" s="15">
        <f t="shared" si="1"/>
        <v>272</v>
      </c>
      <c r="R50" s="8"/>
      <c r="T50"/>
    </row>
    <row r="51" spans="2:20" ht="23.1" customHeight="1" x14ac:dyDescent="0.25">
      <c r="B51" s="24" t="s">
        <v>78</v>
      </c>
      <c r="C51" s="50">
        <v>98</v>
      </c>
      <c r="D51" s="50">
        <v>42</v>
      </c>
      <c r="E51" s="50">
        <v>18</v>
      </c>
      <c r="F51" s="50">
        <v>27</v>
      </c>
      <c r="G51" s="50">
        <v>0</v>
      </c>
      <c r="H51" s="50">
        <v>0</v>
      </c>
      <c r="I51" s="50">
        <v>3</v>
      </c>
      <c r="J51" s="50">
        <v>0</v>
      </c>
      <c r="K51" s="50">
        <v>0</v>
      </c>
      <c r="L51" s="50">
        <v>0</v>
      </c>
      <c r="M51" s="50">
        <v>112</v>
      </c>
      <c r="N51" s="50">
        <v>0</v>
      </c>
      <c r="O51" s="15">
        <f t="shared" si="0"/>
        <v>188</v>
      </c>
      <c r="P51" s="15">
        <f t="shared" si="1"/>
        <v>300</v>
      </c>
      <c r="R51" s="8"/>
      <c r="T51"/>
    </row>
    <row r="52" spans="2:20" ht="23.1" customHeight="1" x14ac:dyDescent="0.25">
      <c r="B52" s="24" t="s">
        <v>79</v>
      </c>
      <c r="C52" s="50">
        <v>101</v>
      </c>
      <c r="D52" s="50">
        <v>35</v>
      </c>
      <c r="E52" s="50">
        <v>14</v>
      </c>
      <c r="F52" s="50">
        <v>18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109</v>
      </c>
      <c r="N52" s="50">
        <v>0</v>
      </c>
      <c r="O52" s="15">
        <f t="shared" si="0"/>
        <v>168</v>
      </c>
      <c r="P52" s="15">
        <f t="shared" si="1"/>
        <v>277</v>
      </c>
      <c r="R52" s="8"/>
      <c r="T52"/>
    </row>
    <row r="53" spans="2:20" ht="23.1" customHeight="1" x14ac:dyDescent="0.25">
      <c r="B53" s="23" t="s">
        <v>80</v>
      </c>
      <c r="C53" s="50">
        <v>115</v>
      </c>
      <c r="D53" s="50">
        <v>37</v>
      </c>
      <c r="E53" s="50">
        <v>30</v>
      </c>
      <c r="F53" s="50">
        <v>22</v>
      </c>
      <c r="G53" s="50">
        <v>1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99</v>
      </c>
      <c r="N53" s="50">
        <v>0</v>
      </c>
      <c r="O53" s="15">
        <f t="shared" si="0"/>
        <v>206</v>
      </c>
      <c r="P53" s="15">
        <f t="shared" si="1"/>
        <v>305</v>
      </c>
      <c r="R53" s="8"/>
      <c r="T53"/>
    </row>
    <row r="54" spans="2:20" ht="23.1" customHeight="1" x14ac:dyDescent="0.25">
      <c r="B54" s="23" t="s">
        <v>81</v>
      </c>
      <c r="C54" s="50">
        <v>98</v>
      </c>
      <c r="D54" s="50">
        <v>31</v>
      </c>
      <c r="E54" s="50">
        <v>15</v>
      </c>
      <c r="F54" s="50">
        <v>18</v>
      </c>
      <c r="G54" s="50">
        <v>0</v>
      </c>
      <c r="H54" s="50">
        <v>0</v>
      </c>
      <c r="I54" s="50">
        <v>5</v>
      </c>
      <c r="J54" s="50">
        <v>0</v>
      </c>
      <c r="K54" s="50">
        <v>0</v>
      </c>
      <c r="L54" s="50">
        <v>0</v>
      </c>
      <c r="M54" s="50">
        <v>97</v>
      </c>
      <c r="N54" s="50">
        <v>0</v>
      </c>
      <c r="O54" s="15">
        <f t="shared" si="0"/>
        <v>167</v>
      </c>
      <c r="P54" s="15">
        <f t="shared" si="1"/>
        <v>264</v>
      </c>
      <c r="R54" s="8"/>
      <c r="T54"/>
    </row>
    <row r="55" spans="2:20" ht="23.1" customHeight="1" x14ac:dyDescent="0.25">
      <c r="B55" s="23" t="s">
        <v>82</v>
      </c>
      <c r="C55" s="50">
        <v>101</v>
      </c>
      <c r="D55" s="50">
        <v>35</v>
      </c>
      <c r="E55" s="50">
        <v>18</v>
      </c>
      <c r="F55" s="50">
        <v>25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104</v>
      </c>
      <c r="N55" s="50">
        <v>0</v>
      </c>
      <c r="O55" s="15">
        <f t="shared" si="0"/>
        <v>181</v>
      </c>
      <c r="P55" s="15">
        <f t="shared" si="1"/>
        <v>285</v>
      </c>
      <c r="R55" s="8"/>
      <c r="T55"/>
    </row>
    <row r="56" spans="2:20" ht="23.1" customHeight="1" x14ac:dyDescent="0.25">
      <c r="B56" s="23" t="s">
        <v>83</v>
      </c>
      <c r="C56" s="50">
        <v>98</v>
      </c>
      <c r="D56" s="50">
        <v>32</v>
      </c>
      <c r="E56" s="50">
        <v>13</v>
      </c>
      <c r="F56" s="50">
        <v>28</v>
      </c>
      <c r="G56" s="50">
        <v>1</v>
      </c>
      <c r="H56" s="50">
        <v>0</v>
      </c>
      <c r="I56" s="50">
        <v>2</v>
      </c>
      <c r="J56" s="50">
        <v>0</v>
      </c>
      <c r="K56" s="50">
        <v>1</v>
      </c>
      <c r="L56" s="50">
        <v>0</v>
      </c>
      <c r="M56" s="50">
        <v>99</v>
      </c>
      <c r="N56" s="50">
        <v>0</v>
      </c>
      <c r="O56" s="15">
        <f t="shared" si="0"/>
        <v>175</v>
      </c>
      <c r="P56" s="15">
        <f t="shared" si="1"/>
        <v>274</v>
      </c>
      <c r="R56" s="8"/>
      <c r="T56"/>
    </row>
    <row r="57" spans="2:20" ht="23.1" customHeight="1" x14ac:dyDescent="0.25">
      <c r="B57" s="23" t="s">
        <v>84</v>
      </c>
      <c r="C57" s="50">
        <v>108</v>
      </c>
      <c r="D57" s="50">
        <v>43</v>
      </c>
      <c r="E57" s="50">
        <v>21</v>
      </c>
      <c r="F57" s="50">
        <v>19</v>
      </c>
      <c r="G57" s="50">
        <v>0</v>
      </c>
      <c r="H57" s="50">
        <v>0</v>
      </c>
      <c r="I57" s="50">
        <v>6</v>
      </c>
      <c r="J57" s="50">
        <v>0</v>
      </c>
      <c r="K57" s="50">
        <v>0</v>
      </c>
      <c r="L57" s="50">
        <v>0</v>
      </c>
      <c r="M57" s="50">
        <v>104</v>
      </c>
      <c r="N57" s="50">
        <v>0</v>
      </c>
      <c r="O57" s="15">
        <f t="shared" si="0"/>
        <v>197</v>
      </c>
      <c r="P57" s="15">
        <f t="shared" si="1"/>
        <v>301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2527</v>
      </c>
      <c r="D58" s="16">
        <f t="shared" si="21"/>
        <v>1095</v>
      </c>
      <c r="E58" s="16">
        <f t="shared" si="21"/>
        <v>553</v>
      </c>
      <c r="F58" s="16">
        <f t="shared" si="21"/>
        <v>704</v>
      </c>
      <c r="G58" s="16">
        <f t="shared" si="21"/>
        <v>6</v>
      </c>
      <c r="H58" s="16">
        <f t="shared" si="21"/>
        <v>3</v>
      </c>
      <c r="I58" s="16">
        <f t="shared" si="21"/>
        <v>104</v>
      </c>
      <c r="J58" s="16">
        <f t="shared" si="21"/>
        <v>15</v>
      </c>
      <c r="K58" s="16">
        <f t="shared" si="21"/>
        <v>33</v>
      </c>
      <c r="L58" s="16">
        <f t="shared" si="21"/>
        <v>1</v>
      </c>
      <c r="M58" s="16">
        <f t="shared" si="21"/>
        <v>3631</v>
      </c>
      <c r="N58" s="16">
        <f t="shared" si="21"/>
        <v>0</v>
      </c>
      <c r="O58" s="16">
        <f t="shared" si="21"/>
        <v>5041</v>
      </c>
      <c r="P58" s="16">
        <f t="shared" si="21"/>
        <v>8672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0.29139760147601473</v>
      </c>
      <c r="D59" s="43">
        <f t="shared" si="22"/>
        <v>0.12626845018450183</v>
      </c>
      <c r="E59" s="43">
        <f t="shared" si="22"/>
        <v>6.3768450184501849E-2</v>
      </c>
      <c r="F59" s="43">
        <f t="shared" si="22"/>
        <v>8.1180811808118078E-2</v>
      </c>
      <c r="G59" s="43">
        <f t="shared" si="22"/>
        <v>6.9188191881918814E-4</v>
      </c>
      <c r="H59" s="43">
        <f t="shared" si="22"/>
        <v>3.4594095940959407E-4</v>
      </c>
      <c r="I59" s="43">
        <f t="shared" si="22"/>
        <v>1.1992619926199263E-2</v>
      </c>
      <c r="J59" s="43">
        <f t="shared" si="22"/>
        <v>1.7297047970479705E-3</v>
      </c>
      <c r="K59" s="43">
        <f t="shared" si="22"/>
        <v>3.8053505535055351E-3</v>
      </c>
      <c r="L59" s="43">
        <f t="shared" si="22"/>
        <v>1.1531365313653136E-4</v>
      </c>
      <c r="M59" s="43">
        <f t="shared" si="22"/>
        <v>0.41870387453874541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0.50128942670105137</v>
      </c>
      <c r="D60" s="44">
        <f t="shared" ref="D60:N60" si="23">D58/$O$58</f>
        <v>0.2172188057925015</v>
      </c>
      <c r="E60" s="44">
        <f t="shared" si="23"/>
        <v>0.10970045625867883</v>
      </c>
      <c r="F60" s="44">
        <f t="shared" si="23"/>
        <v>0.13965483039079549</v>
      </c>
      <c r="G60" s="44">
        <f t="shared" si="23"/>
        <v>1.1902400317397343E-3</v>
      </c>
      <c r="H60" s="44">
        <f t="shared" si="23"/>
        <v>5.9512001586986714E-4</v>
      </c>
      <c r="I60" s="44">
        <f t="shared" si="23"/>
        <v>2.0630827216822058E-2</v>
      </c>
      <c r="J60" s="44">
        <f t="shared" si="23"/>
        <v>2.9756000793493354E-3</v>
      </c>
      <c r="K60" s="44">
        <f t="shared" si="23"/>
        <v>6.546320174568538E-3</v>
      </c>
      <c r="L60" s="44">
        <f t="shared" si="23"/>
        <v>1.9837333862328903E-4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zoomScale="60" workbookViewId="0">
      <pane ySplit="8" topLeftCell="A48" activePane="bottomLeft" state="frozen"/>
      <selection pane="bottomLeft" activeCell="S23" sqref="S2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Kisasi-Bukoto'!C3:G3</f>
        <v>MCC - C1 - STN32 - BUKOTO KISASI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63" t="str">
        <f>'01.08 Bukoto-Kisasi'!G5:H5</f>
        <v>KISASI</v>
      </c>
      <c r="H5" s="64"/>
      <c r="I5" s="14"/>
      <c r="J5" s="2" t="s">
        <v>5</v>
      </c>
      <c r="K5" s="63" t="str">
        <f>'01.08 Bukoto-Kisasi'!K5:L5</f>
        <v>RWAMBITITO J./NICHOL A./GEORGE W.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'29.07 Kisasi-Bukoto'!D6:E6</f>
        <v>KISASI</v>
      </c>
      <c r="E6" s="64"/>
      <c r="F6" s="2" t="s">
        <v>2</v>
      </c>
      <c r="G6" s="63" t="str">
        <f>'29.07 Kisasi-Bukoto'!G6:H6</f>
        <v>BUKOTO</v>
      </c>
      <c r="H6" s="64"/>
      <c r="J6" s="2" t="s">
        <v>21</v>
      </c>
      <c r="K6" s="63" t="str">
        <f>'01.08 Bukoto-Kisasi'!K6:L6</f>
        <v>SALIMA L.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14</v>
      </c>
      <c r="D10" s="50">
        <v>8</v>
      </c>
      <c r="E10" s="50">
        <v>0</v>
      </c>
      <c r="F10" s="50">
        <v>10</v>
      </c>
      <c r="G10" s="50">
        <v>0</v>
      </c>
      <c r="H10" s="50">
        <v>0</v>
      </c>
      <c r="I10" s="50">
        <v>2</v>
      </c>
      <c r="J10" s="50">
        <v>1</v>
      </c>
      <c r="K10" s="50">
        <v>0</v>
      </c>
      <c r="L10" s="50">
        <v>0</v>
      </c>
      <c r="M10" s="50">
        <v>93</v>
      </c>
      <c r="N10" s="50">
        <v>0</v>
      </c>
      <c r="O10" s="15">
        <f t="shared" ref="O10:O57" si="0">SUM(C10:L10,N10)</f>
        <v>35</v>
      </c>
      <c r="P10" s="15">
        <f t="shared" ref="P10:P57" si="1">SUM(C10:N10)</f>
        <v>128</v>
      </c>
      <c r="R10" s="1" t="s">
        <v>6</v>
      </c>
      <c r="S10" s="17">
        <f>SUM(C10:C13)</f>
        <v>147</v>
      </c>
      <c r="T10" s="17">
        <f>SUM(D10:D13)</f>
        <v>61</v>
      </c>
      <c r="U10" s="17">
        <f>SUM(E10:E13)</f>
        <v>4</v>
      </c>
      <c r="V10" s="17">
        <f>SUM(F10:F13)</f>
        <v>38</v>
      </c>
      <c r="W10" s="17">
        <f>SUM(G10:G13)</f>
        <v>0</v>
      </c>
      <c r="X10" s="17">
        <f t="shared" ref="X10:AF10" si="2">SUM(H10:H13)</f>
        <v>0</v>
      </c>
      <c r="Y10" s="17">
        <f t="shared" si="2"/>
        <v>15</v>
      </c>
      <c r="Z10" s="17">
        <f t="shared" si="2"/>
        <v>2</v>
      </c>
      <c r="AA10" s="17">
        <f t="shared" si="2"/>
        <v>1</v>
      </c>
      <c r="AB10" s="17">
        <f t="shared" si="2"/>
        <v>0</v>
      </c>
      <c r="AC10" s="17">
        <f t="shared" si="2"/>
        <v>432</v>
      </c>
      <c r="AD10" s="17">
        <f t="shared" si="2"/>
        <v>0</v>
      </c>
      <c r="AE10" s="31">
        <f t="shared" si="2"/>
        <v>268</v>
      </c>
      <c r="AF10" s="31">
        <f t="shared" si="2"/>
        <v>700</v>
      </c>
    </row>
    <row r="11" spans="2:32" s="6" customFormat="1" ht="23.1" customHeight="1" x14ac:dyDescent="0.25">
      <c r="B11" s="45" t="s">
        <v>38</v>
      </c>
      <c r="C11" s="50">
        <v>34</v>
      </c>
      <c r="D11" s="50">
        <v>12</v>
      </c>
      <c r="E11" s="50">
        <v>0</v>
      </c>
      <c r="F11" s="50">
        <v>7</v>
      </c>
      <c r="G11" s="50">
        <v>0</v>
      </c>
      <c r="H11" s="50">
        <v>0</v>
      </c>
      <c r="I11" s="50">
        <v>3</v>
      </c>
      <c r="J11" s="50">
        <v>0</v>
      </c>
      <c r="K11" s="50">
        <v>0</v>
      </c>
      <c r="L11" s="50">
        <v>0</v>
      </c>
      <c r="M11" s="50">
        <v>110</v>
      </c>
      <c r="N11" s="50">
        <v>0</v>
      </c>
      <c r="O11" s="15">
        <f t="shared" si="0"/>
        <v>56</v>
      </c>
      <c r="P11" s="15">
        <f t="shared" si="1"/>
        <v>166</v>
      </c>
      <c r="R11" s="1" t="s">
        <v>7</v>
      </c>
      <c r="S11" s="17">
        <f>SUM(C14:C17)</f>
        <v>266</v>
      </c>
      <c r="T11" s="17">
        <f>SUM(D14:D17)</f>
        <v>153</v>
      </c>
      <c r="U11" s="17">
        <f>SUM(E14:E17)</f>
        <v>6</v>
      </c>
      <c r="V11" s="17">
        <f>SUM(F14:F17)</f>
        <v>53</v>
      </c>
      <c r="W11" s="17">
        <f>SUM(G14:G17)</f>
        <v>0</v>
      </c>
      <c r="X11" s="17">
        <f t="shared" ref="X11:AF11" si="3">SUM(H14:H17)</f>
        <v>0</v>
      </c>
      <c r="Y11" s="17">
        <f t="shared" si="3"/>
        <v>20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463</v>
      </c>
      <c r="AD11" s="17">
        <f t="shared" si="3"/>
        <v>0</v>
      </c>
      <c r="AE11" s="31">
        <f t="shared" si="3"/>
        <v>498</v>
      </c>
      <c r="AF11" s="31">
        <f t="shared" si="3"/>
        <v>961</v>
      </c>
    </row>
    <row r="12" spans="2:32" ht="23.1" customHeight="1" x14ac:dyDescent="0.25">
      <c r="B12" s="45" t="s">
        <v>39</v>
      </c>
      <c r="C12" s="50">
        <v>39</v>
      </c>
      <c r="D12" s="50">
        <v>20</v>
      </c>
      <c r="E12" s="50">
        <v>1</v>
      </c>
      <c r="F12" s="50">
        <v>4</v>
      </c>
      <c r="G12" s="50">
        <v>0</v>
      </c>
      <c r="H12" s="50">
        <v>0</v>
      </c>
      <c r="I12" s="50">
        <v>4</v>
      </c>
      <c r="J12" s="50">
        <v>0</v>
      </c>
      <c r="K12" s="50">
        <v>1</v>
      </c>
      <c r="L12" s="50">
        <v>0</v>
      </c>
      <c r="M12" s="50">
        <v>105</v>
      </c>
      <c r="N12" s="50">
        <v>0</v>
      </c>
      <c r="O12" s="15">
        <f t="shared" si="0"/>
        <v>69</v>
      </c>
      <c r="P12" s="15">
        <f t="shared" si="1"/>
        <v>174</v>
      </c>
      <c r="R12" s="1" t="s">
        <v>8</v>
      </c>
      <c r="S12" s="17">
        <f>SUM(C18:C21)</f>
        <v>265</v>
      </c>
      <c r="T12" s="17">
        <f>SUM(D18:D21)</f>
        <v>145</v>
      </c>
      <c r="U12" s="17">
        <f>SUM(E18:E21)</f>
        <v>8</v>
      </c>
      <c r="V12" s="17">
        <f>SUM(F18:F21)</f>
        <v>50</v>
      </c>
      <c r="W12" s="17">
        <f>SUM(G18:G21)</f>
        <v>0</v>
      </c>
      <c r="X12" s="17">
        <f t="shared" ref="X12:AF12" si="4">SUM(H18:H21)</f>
        <v>0</v>
      </c>
      <c r="Y12" s="17">
        <f t="shared" si="4"/>
        <v>16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391</v>
      </c>
      <c r="AD12" s="17">
        <f t="shared" si="4"/>
        <v>0</v>
      </c>
      <c r="AE12" s="31">
        <f t="shared" si="4"/>
        <v>485</v>
      </c>
      <c r="AF12" s="31">
        <f t="shared" si="4"/>
        <v>876</v>
      </c>
    </row>
    <row r="13" spans="2:32" ht="23.1" customHeight="1" x14ac:dyDescent="0.25">
      <c r="B13" s="45" t="s">
        <v>40</v>
      </c>
      <c r="C13" s="50">
        <v>60</v>
      </c>
      <c r="D13" s="50">
        <v>21</v>
      </c>
      <c r="E13" s="50">
        <v>3</v>
      </c>
      <c r="F13" s="50">
        <v>17</v>
      </c>
      <c r="G13" s="50">
        <v>0</v>
      </c>
      <c r="H13" s="50">
        <v>0</v>
      </c>
      <c r="I13" s="50">
        <v>6</v>
      </c>
      <c r="J13" s="50">
        <v>1</v>
      </c>
      <c r="K13" s="50">
        <v>0</v>
      </c>
      <c r="L13" s="50">
        <v>0</v>
      </c>
      <c r="M13" s="50">
        <v>124</v>
      </c>
      <c r="N13" s="50">
        <v>0</v>
      </c>
      <c r="O13" s="15">
        <f t="shared" si="0"/>
        <v>108</v>
      </c>
      <c r="P13" s="15">
        <f t="shared" si="1"/>
        <v>232</v>
      </c>
      <c r="R13" s="1" t="s">
        <v>9</v>
      </c>
      <c r="S13" s="17">
        <f>SUM(C22:C25)</f>
        <v>339</v>
      </c>
      <c r="T13" s="17">
        <f>SUM(D22:D25)</f>
        <v>185</v>
      </c>
      <c r="U13" s="17">
        <f>SUM(E22:E25)</f>
        <v>13</v>
      </c>
      <c r="V13" s="17">
        <f>SUM(F22:F25)</f>
        <v>47</v>
      </c>
      <c r="W13" s="17">
        <f>SUM(G22:G25)</f>
        <v>0</v>
      </c>
      <c r="X13" s="17">
        <f t="shared" ref="X13:AF13" si="5">SUM(H22:H25)</f>
        <v>0</v>
      </c>
      <c r="Y13" s="17">
        <f t="shared" si="5"/>
        <v>15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374</v>
      </c>
      <c r="AD13" s="17">
        <f t="shared" si="5"/>
        <v>0</v>
      </c>
      <c r="AE13" s="31">
        <f t="shared" si="5"/>
        <v>599</v>
      </c>
      <c r="AF13" s="31">
        <f t="shared" si="5"/>
        <v>973</v>
      </c>
    </row>
    <row r="14" spans="2:32" ht="23.1" customHeight="1" x14ac:dyDescent="0.25">
      <c r="B14" s="45" t="s">
        <v>41</v>
      </c>
      <c r="C14" s="50">
        <v>60</v>
      </c>
      <c r="D14" s="50">
        <v>39</v>
      </c>
      <c r="E14" s="50">
        <v>2</v>
      </c>
      <c r="F14" s="50">
        <v>14</v>
      </c>
      <c r="G14" s="50">
        <v>0</v>
      </c>
      <c r="H14" s="50">
        <v>0</v>
      </c>
      <c r="I14" s="50">
        <v>4</v>
      </c>
      <c r="J14" s="50">
        <v>0</v>
      </c>
      <c r="K14" s="50">
        <v>0</v>
      </c>
      <c r="L14" s="50">
        <v>0</v>
      </c>
      <c r="M14" s="50">
        <v>130</v>
      </c>
      <c r="N14" s="50">
        <v>0</v>
      </c>
      <c r="O14" s="15">
        <f t="shared" si="0"/>
        <v>119</v>
      </c>
      <c r="P14" s="15">
        <f t="shared" si="1"/>
        <v>249</v>
      </c>
      <c r="R14" s="1" t="s">
        <v>10</v>
      </c>
      <c r="S14" s="17">
        <f>SUM(C26:C29)</f>
        <v>322</v>
      </c>
      <c r="T14" s="17">
        <f>SUM(D26:D29)</f>
        <v>177</v>
      </c>
      <c r="U14" s="17">
        <f>SUM(E26:E29)</f>
        <v>7</v>
      </c>
      <c r="V14" s="17">
        <f>SUM(F26:F29)</f>
        <v>50</v>
      </c>
      <c r="W14" s="17">
        <f>SUM(G26:G29)</f>
        <v>0</v>
      </c>
      <c r="X14" s="17">
        <f t="shared" ref="X14:AF14" si="6">SUM(H26:H29)</f>
        <v>0</v>
      </c>
      <c r="Y14" s="17">
        <f t="shared" si="6"/>
        <v>12</v>
      </c>
      <c r="Z14" s="17">
        <f t="shared" si="6"/>
        <v>1</v>
      </c>
      <c r="AA14" s="17">
        <f t="shared" si="6"/>
        <v>2</v>
      </c>
      <c r="AB14" s="17">
        <f t="shared" si="6"/>
        <v>0</v>
      </c>
      <c r="AC14" s="17">
        <f t="shared" si="6"/>
        <v>364</v>
      </c>
      <c r="AD14" s="17">
        <f t="shared" si="6"/>
        <v>0</v>
      </c>
      <c r="AE14" s="31">
        <f t="shared" si="6"/>
        <v>571</v>
      </c>
      <c r="AF14" s="31">
        <f t="shared" si="6"/>
        <v>935</v>
      </c>
    </row>
    <row r="15" spans="2:32" ht="23.1" customHeight="1" x14ac:dyDescent="0.25">
      <c r="B15" s="45" t="s">
        <v>42</v>
      </c>
      <c r="C15" s="50">
        <v>66</v>
      </c>
      <c r="D15" s="50">
        <v>35</v>
      </c>
      <c r="E15" s="50">
        <v>1</v>
      </c>
      <c r="F15" s="50">
        <v>16</v>
      </c>
      <c r="G15" s="50">
        <v>0</v>
      </c>
      <c r="H15" s="50">
        <v>0</v>
      </c>
      <c r="I15" s="50">
        <v>7</v>
      </c>
      <c r="J15" s="50">
        <v>0</v>
      </c>
      <c r="K15" s="50">
        <v>0</v>
      </c>
      <c r="L15" s="50">
        <v>0</v>
      </c>
      <c r="M15" s="50">
        <v>125</v>
      </c>
      <c r="N15" s="50">
        <v>0</v>
      </c>
      <c r="O15" s="15">
        <f t="shared" si="0"/>
        <v>125</v>
      </c>
      <c r="P15" s="15">
        <f t="shared" si="1"/>
        <v>250</v>
      </c>
      <c r="R15" s="1" t="s">
        <v>11</v>
      </c>
      <c r="S15" s="17">
        <f>SUM(C30:C33)</f>
        <v>284</v>
      </c>
      <c r="T15" s="17">
        <f>SUM(D30:D33)</f>
        <v>156</v>
      </c>
      <c r="U15" s="17">
        <f>SUM(E30:E33)</f>
        <v>11</v>
      </c>
      <c r="V15" s="17">
        <f>SUM(F30:F33)</f>
        <v>43</v>
      </c>
      <c r="W15" s="17">
        <f>SUM(G30:G33)</f>
        <v>0</v>
      </c>
      <c r="X15" s="17">
        <f t="shared" ref="X15:AF15" si="7">SUM(H30:H33)</f>
        <v>0</v>
      </c>
      <c r="Y15" s="17">
        <f t="shared" si="7"/>
        <v>14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359</v>
      </c>
      <c r="AD15" s="17">
        <f t="shared" si="7"/>
        <v>0</v>
      </c>
      <c r="AE15" s="31">
        <f t="shared" si="7"/>
        <v>509</v>
      </c>
      <c r="AF15" s="31">
        <f t="shared" si="7"/>
        <v>868</v>
      </c>
    </row>
    <row r="16" spans="2:32" ht="23.1" customHeight="1" x14ac:dyDescent="0.25">
      <c r="B16" s="45" t="s">
        <v>43</v>
      </c>
      <c r="C16" s="50">
        <v>80</v>
      </c>
      <c r="D16" s="50">
        <v>58</v>
      </c>
      <c r="E16" s="50">
        <v>1</v>
      </c>
      <c r="F16" s="50">
        <v>10</v>
      </c>
      <c r="G16" s="50">
        <v>0</v>
      </c>
      <c r="H16" s="50">
        <v>0</v>
      </c>
      <c r="I16" s="50">
        <v>4</v>
      </c>
      <c r="J16" s="50">
        <v>0</v>
      </c>
      <c r="K16" s="50">
        <v>0</v>
      </c>
      <c r="L16" s="50">
        <v>0</v>
      </c>
      <c r="M16" s="50">
        <v>98</v>
      </c>
      <c r="N16" s="50">
        <v>0</v>
      </c>
      <c r="O16" s="15">
        <f t="shared" si="0"/>
        <v>153</v>
      </c>
      <c r="P16" s="15">
        <f t="shared" si="1"/>
        <v>251</v>
      </c>
      <c r="R16" s="1" t="s">
        <v>12</v>
      </c>
      <c r="S16" s="17">
        <f>SUM(C34:C37)</f>
        <v>242</v>
      </c>
      <c r="T16" s="17">
        <f>SUM(D34:D37)</f>
        <v>123</v>
      </c>
      <c r="U16" s="17">
        <f>SUM(E34:E37)</f>
        <v>9</v>
      </c>
      <c r="V16" s="17">
        <f>SUM(F34:F37)</f>
        <v>39</v>
      </c>
      <c r="W16" s="17">
        <f>SUM(G34:G37)</f>
        <v>0</v>
      </c>
      <c r="X16" s="17">
        <f t="shared" ref="X16:AF16" si="8">SUM(H34:H37)</f>
        <v>0</v>
      </c>
      <c r="Y16" s="17">
        <f t="shared" si="8"/>
        <v>13</v>
      </c>
      <c r="Z16" s="17">
        <f t="shared" si="8"/>
        <v>2</v>
      </c>
      <c r="AA16" s="17">
        <f t="shared" si="8"/>
        <v>1</v>
      </c>
      <c r="AB16" s="17">
        <f t="shared" si="8"/>
        <v>0</v>
      </c>
      <c r="AC16" s="17">
        <f t="shared" si="8"/>
        <v>229</v>
      </c>
      <c r="AD16" s="17">
        <f t="shared" si="8"/>
        <v>0</v>
      </c>
      <c r="AE16" s="31">
        <f t="shared" si="8"/>
        <v>429</v>
      </c>
      <c r="AF16" s="31">
        <f t="shared" si="8"/>
        <v>658</v>
      </c>
    </row>
    <row r="17" spans="2:32" ht="23.1" customHeight="1" x14ac:dyDescent="0.25">
      <c r="B17" s="45" t="s">
        <v>44</v>
      </c>
      <c r="C17" s="50">
        <v>60</v>
      </c>
      <c r="D17" s="50">
        <v>21</v>
      </c>
      <c r="E17" s="50">
        <v>2</v>
      </c>
      <c r="F17" s="50">
        <v>13</v>
      </c>
      <c r="G17" s="50">
        <v>0</v>
      </c>
      <c r="H17" s="50">
        <v>0</v>
      </c>
      <c r="I17" s="50">
        <v>5</v>
      </c>
      <c r="J17" s="50">
        <v>0</v>
      </c>
      <c r="K17" s="50">
        <v>0</v>
      </c>
      <c r="L17" s="50">
        <v>0</v>
      </c>
      <c r="M17" s="50">
        <v>110</v>
      </c>
      <c r="N17" s="50">
        <v>0</v>
      </c>
      <c r="O17" s="15">
        <f t="shared" si="0"/>
        <v>101</v>
      </c>
      <c r="P17" s="15">
        <f t="shared" si="1"/>
        <v>211</v>
      </c>
      <c r="R17" s="1" t="s">
        <v>13</v>
      </c>
      <c r="S17" s="17">
        <f>SUM(C38:C41)</f>
        <v>171</v>
      </c>
      <c r="T17" s="17">
        <f>SUM(D38:D41)</f>
        <v>131</v>
      </c>
      <c r="U17" s="17">
        <f>SUM(E38:E41)</f>
        <v>4</v>
      </c>
      <c r="V17" s="17">
        <f>SUM(F38:F41)</f>
        <v>30</v>
      </c>
      <c r="W17" s="17">
        <f>SUM(G38:G41)</f>
        <v>0</v>
      </c>
      <c r="X17" s="17">
        <f t="shared" ref="X17:AF17" si="9">SUM(H38:H41)</f>
        <v>0</v>
      </c>
      <c r="Y17" s="17">
        <f t="shared" si="9"/>
        <v>10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354</v>
      </c>
      <c r="AD17" s="17">
        <f t="shared" si="9"/>
        <v>0</v>
      </c>
      <c r="AE17" s="31">
        <f t="shared" si="9"/>
        <v>348</v>
      </c>
      <c r="AF17" s="31">
        <f t="shared" si="9"/>
        <v>702</v>
      </c>
    </row>
    <row r="18" spans="2:32" ht="23.1" customHeight="1" x14ac:dyDescent="0.25">
      <c r="B18" s="45" t="s">
        <v>45</v>
      </c>
      <c r="C18" s="50">
        <v>67</v>
      </c>
      <c r="D18" s="50">
        <v>45</v>
      </c>
      <c r="E18" s="50">
        <v>2</v>
      </c>
      <c r="F18" s="50">
        <v>14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83</v>
      </c>
      <c r="N18" s="50">
        <v>0</v>
      </c>
      <c r="O18" s="15">
        <f t="shared" si="0"/>
        <v>131</v>
      </c>
      <c r="P18" s="15">
        <f t="shared" si="1"/>
        <v>214</v>
      </c>
      <c r="R18" s="1" t="s">
        <v>14</v>
      </c>
      <c r="S18" s="17">
        <f>SUM(C42:C45)</f>
        <v>193</v>
      </c>
      <c r="T18" s="17">
        <f>SUM(D42:D45)</f>
        <v>147</v>
      </c>
      <c r="U18" s="17">
        <f>SUM(E42:E45)</f>
        <v>7</v>
      </c>
      <c r="V18" s="17">
        <f>SUM(F42:F45)</f>
        <v>29</v>
      </c>
      <c r="W18" s="17">
        <f>SUM(G42:G45)</f>
        <v>0</v>
      </c>
      <c r="X18" s="17">
        <f t="shared" ref="X18:AF18" si="10">SUM(H42:H45)</f>
        <v>0</v>
      </c>
      <c r="Y18" s="17">
        <f t="shared" si="10"/>
        <v>13</v>
      </c>
      <c r="Z18" s="17">
        <f t="shared" si="10"/>
        <v>1</v>
      </c>
      <c r="AA18" s="17">
        <f t="shared" si="10"/>
        <v>1</v>
      </c>
      <c r="AB18" s="17">
        <f t="shared" si="10"/>
        <v>0</v>
      </c>
      <c r="AC18" s="17">
        <f t="shared" si="10"/>
        <v>367</v>
      </c>
      <c r="AD18" s="17">
        <f t="shared" si="10"/>
        <v>0</v>
      </c>
      <c r="AE18" s="31">
        <f t="shared" si="10"/>
        <v>391</v>
      </c>
      <c r="AF18" s="31">
        <f t="shared" si="10"/>
        <v>758</v>
      </c>
    </row>
    <row r="19" spans="2:32" ht="23.1" customHeight="1" x14ac:dyDescent="0.25">
      <c r="B19" s="45" t="s">
        <v>46</v>
      </c>
      <c r="C19" s="50">
        <v>61</v>
      </c>
      <c r="D19" s="50">
        <v>48</v>
      </c>
      <c r="E19" s="50">
        <v>2</v>
      </c>
      <c r="F19" s="50">
        <v>11</v>
      </c>
      <c r="G19" s="50">
        <v>0</v>
      </c>
      <c r="H19" s="50">
        <v>0</v>
      </c>
      <c r="I19" s="50">
        <v>7</v>
      </c>
      <c r="J19" s="50">
        <v>1</v>
      </c>
      <c r="K19" s="50">
        <v>0</v>
      </c>
      <c r="L19" s="50">
        <v>0</v>
      </c>
      <c r="M19" s="50">
        <v>105</v>
      </c>
      <c r="N19" s="50">
        <v>0</v>
      </c>
      <c r="O19" s="15">
        <f t="shared" si="0"/>
        <v>130</v>
      </c>
      <c r="P19" s="15">
        <f t="shared" si="1"/>
        <v>235</v>
      </c>
      <c r="R19" s="1" t="s">
        <v>15</v>
      </c>
      <c r="S19" s="17">
        <f>SUM(C46:C49)</f>
        <v>167</v>
      </c>
      <c r="T19" s="17">
        <f>SUM(D46:D49)</f>
        <v>104</v>
      </c>
      <c r="U19" s="17">
        <f>SUM(E46:E49)</f>
        <v>5</v>
      </c>
      <c r="V19" s="17">
        <f>SUM(F46:F49)</f>
        <v>32</v>
      </c>
      <c r="W19" s="17">
        <f>SUM(G46:G49)</f>
        <v>0</v>
      </c>
      <c r="X19" s="17">
        <f t="shared" ref="X19:AF19" si="11">SUM(H46:H49)</f>
        <v>0</v>
      </c>
      <c r="Y19" s="17">
        <f t="shared" si="11"/>
        <v>18</v>
      </c>
      <c r="Z19" s="17">
        <f t="shared" si="11"/>
        <v>0</v>
      </c>
      <c r="AA19" s="17">
        <f t="shared" si="11"/>
        <v>3</v>
      </c>
      <c r="AB19" s="17">
        <f t="shared" si="11"/>
        <v>0</v>
      </c>
      <c r="AC19" s="17">
        <f t="shared" si="11"/>
        <v>370</v>
      </c>
      <c r="AD19" s="17">
        <f t="shared" si="11"/>
        <v>0</v>
      </c>
      <c r="AE19" s="31">
        <f t="shared" si="11"/>
        <v>329</v>
      </c>
      <c r="AF19" s="31">
        <f t="shared" si="11"/>
        <v>699</v>
      </c>
    </row>
    <row r="20" spans="2:32" ht="23.1" customHeight="1" x14ac:dyDescent="0.25">
      <c r="B20" s="45" t="s">
        <v>47</v>
      </c>
      <c r="C20" s="50">
        <v>61</v>
      </c>
      <c r="D20" s="50">
        <v>32</v>
      </c>
      <c r="E20" s="50">
        <v>1</v>
      </c>
      <c r="F20" s="50">
        <v>15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105</v>
      </c>
      <c r="N20" s="50">
        <v>0</v>
      </c>
      <c r="O20" s="15">
        <f t="shared" si="0"/>
        <v>111</v>
      </c>
      <c r="P20" s="15">
        <f t="shared" si="1"/>
        <v>216</v>
      </c>
      <c r="R20" s="1" t="s">
        <v>16</v>
      </c>
      <c r="S20" s="17">
        <f>SUM(C50:C53)</f>
        <v>165</v>
      </c>
      <c r="T20" s="17">
        <f>SUM(D50:D53)</f>
        <v>99</v>
      </c>
      <c r="U20" s="17">
        <f>SUM(E50:E53)</f>
        <v>4</v>
      </c>
      <c r="V20" s="17">
        <f>SUM(F50:F53)</f>
        <v>29</v>
      </c>
      <c r="W20" s="17">
        <f>SUM(G50:G53)</f>
        <v>0</v>
      </c>
      <c r="X20" s="17">
        <f t="shared" ref="X20:AF20" si="12">SUM(H50:H53)</f>
        <v>0</v>
      </c>
      <c r="Y20" s="17">
        <f t="shared" si="12"/>
        <v>10</v>
      </c>
      <c r="Z20" s="17">
        <f t="shared" si="12"/>
        <v>2</v>
      </c>
      <c r="AA20" s="17">
        <f t="shared" si="12"/>
        <v>1</v>
      </c>
      <c r="AB20" s="17">
        <f t="shared" si="12"/>
        <v>0</v>
      </c>
      <c r="AC20" s="17">
        <f t="shared" si="12"/>
        <v>356</v>
      </c>
      <c r="AD20" s="17">
        <f t="shared" si="12"/>
        <v>0</v>
      </c>
      <c r="AE20" s="31">
        <f t="shared" si="12"/>
        <v>310</v>
      </c>
      <c r="AF20" s="31">
        <f t="shared" si="12"/>
        <v>666</v>
      </c>
    </row>
    <row r="21" spans="2:32" ht="23.1" customHeight="1" x14ac:dyDescent="0.25">
      <c r="B21" s="45" t="s">
        <v>48</v>
      </c>
      <c r="C21" s="50">
        <v>76</v>
      </c>
      <c r="D21" s="50">
        <v>20</v>
      </c>
      <c r="E21" s="50">
        <v>3</v>
      </c>
      <c r="F21" s="50">
        <v>10</v>
      </c>
      <c r="G21" s="50">
        <v>0</v>
      </c>
      <c r="H21" s="50">
        <v>0</v>
      </c>
      <c r="I21" s="50">
        <v>4</v>
      </c>
      <c r="J21" s="50">
        <v>0</v>
      </c>
      <c r="K21" s="50">
        <v>0</v>
      </c>
      <c r="L21" s="50">
        <v>0</v>
      </c>
      <c r="M21" s="50">
        <v>98</v>
      </c>
      <c r="N21" s="50">
        <v>0</v>
      </c>
      <c r="O21" s="15">
        <f t="shared" si="0"/>
        <v>113</v>
      </c>
      <c r="P21" s="15">
        <f t="shared" si="1"/>
        <v>211</v>
      </c>
      <c r="R21" s="36" t="s">
        <v>20</v>
      </c>
      <c r="S21" s="34">
        <f>SUM(C54:C57)</f>
        <v>128</v>
      </c>
      <c r="T21" s="17">
        <f>SUM(D54:D57)</f>
        <v>70</v>
      </c>
      <c r="U21" s="17">
        <f>SUM(E54:E57)</f>
        <v>7</v>
      </c>
      <c r="V21" s="17">
        <f>SUM(F54:F57)</f>
        <v>34</v>
      </c>
      <c r="W21" s="17">
        <f>SUM(G54:G57)</f>
        <v>1</v>
      </c>
      <c r="X21" s="17">
        <f t="shared" ref="X21:AF21" si="13">SUM(H54:H57)</f>
        <v>0</v>
      </c>
      <c r="Y21" s="17">
        <f t="shared" si="13"/>
        <v>6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269</v>
      </c>
      <c r="AD21" s="17">
        <f t="shared" si="13"/>
        <v>0</v>
      </c>
      <c r="AE21" s="31">
        <f t="shared" si="13"/>
        <v>247</v>
      </c>
      <c r="AF21" s="31">
        <f t="shared" si="13"/>
        <v>516</v>
      </c>
    </row>
    <row r="22" spans="2:32" ht="23.1" customHeight="1" x14ac:dyDescent="0.25">
      <c r="B22" s="45" t="s">
        <v>49</v>
      </c>
      <c r="C22" s="50">
        <v>84</v>
      </c>
      <c r="D22" s="50">
        <v>50</v>
      </c>
      <c r="E22" s="50">
        <v>3</v>
      </c>
      <c r="F22" s="50">
        <v>15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93</v>
      </c>
      <c r="N22" s="50">
        <v>0</v>
      </c>
      <c r="O22" s="15">
        <f t="shared" si="0"/>
        <v>154</v>
      </c>
      <c r="P22" s="15">
        <f t="shared" si="1"/>
        <v>247</v>
      </c>
      <c r="R22" s="36" t="s">
        <v>146</v>
      </c>
      <c r="S22" s="34">
        <f>SUM(C58:C61)</f>
        <v>202</v>
      </c>
      <c r="T22" s="34">
        <f t="shared" ref="T22:AF22" si="14">SUM(D58:D61)</f>
        <v>145</v>
      </c>
      <c r="U22" s="34">
        <f t="shared" si="14"/>
        <v>3</v>
      </c>
      <c r="V22" s="34">
        <f t="shared" si="14"/>
        <v>36</v>
      </c>
      <c r="W22" s="34">
        <f t="shared" si="14"/>
        <v>1</v>
      </c>
      <c r="X22" s="34">
        <f t="shared" si="14"/>
        <v>0</v>
      </c>
      <c r="Y22" s="34">
        <f t="shared" si="14"/>
        <v>18</v>
      </c>
      <c r="Z22" s="34">
        <f t="shared" si="14"/>
        <v>0</v>
      </c>
      <c r="AA22" s="34">
        <f t="shared" si="14"/>
        <v>1</v>
      </c>
      <c r="AB22" s="34">
        <f t="shared" si="14"/>
        <v>0</v>
      </c>
      <c r="AC22" s="34">
        <f t="shared" si="14"/>
        <v>275</v>
      </c>
      <c r="AD22" s="34">
        <f t="shared" si="14"/>
        <v>0</v>
      </c>
      <c r="AE22" s="31">
        <f t="shared" si="14"/>
        <v>406</v>
      </c>
      <c r="AF22" s="31">
        <f t="shared" si="14"/>
        <v>681</v>
      </c>
    </row>
    <row r="23" spans="2:32" ht="23.1" customHeight="1" x14ac:dyDescent="0.25">
      <c r="B23" s="45" t="s">
        <v>50</v>
      </c>
      <c r="C23" s="50">
        <v>92</v>
      </c>
      <c r="D23" s="50">
        <v>55</v>
      </c>
      <c r="E23" s="50">
        <v>5</v>
      </c>
      <c r="F23" s="50">
        <v>12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92</v>
      </c>
      <c r="N23" s="50">
        <v>0</v>
      </c>
      <c r="O23" s="15">
        <f t="shared" si="0"/>
        <v>166</v>
      </c>
      <c r="P23" s="15">
        <f t="shared" si="1"/>
        <v>258</v>
      </c>
      <c r="R23" s="36" t="s">
        <v>147</v>
      </c>
      <c r="S23" s="34">
        <f>'01.08 Kisasi-Bukoto'!P60</f>
        <v>116</v>
      </c>
      <c r="T23" s="34">
        <f t="shared" ref="T23:AF23" si="15">SUM(D62:D65)</f>
        <v>105</v>
      </c>
      <c r="U23" s="34">
        <f t="shared" si="15"/>
        <v>0</v>
      </c>
      <c r="V23" s="34">
        <f t="shared" si="15"/>
        <v>24</v>
      </c>
      <c r="W23" s="34">
        <f t="shared" si="15"/>
        <v>0</v>
      </c>
      <c r="X23" s="34">
        <f t="shared" si="15"/>
        <v>0</v>
      </c>
      <c r="Y23" s="34">
        <f t="shared" si="15"/>
        <v>4</v>
      </c>
      <c r="Z23" s="34">
        <f t="shared" si="15"/>
        <v>1</v>
      </c>
      <c r="AA23" s="34">
        <f t="shared" si="15"/>
        <v>1</v>
      </c>
      <c r="AB23" s="34">
        <f t="shared" si="15"/>
        <v>0</v>
      </c>
      <c r="AC23" s="34">
        <f t="shared" si="15"/>
        <v>160</v>
      </c>
      <c r="AD23" s="34">
        <f t="shared" si="15"/>
        <v>0</v>
      </c>
      <c r="AE23" s="31">
        <f t="shared" si="15"/>
        <v>302</v>
      </c>
      <c r="AF23" s="31">
        <f t="shared" si="15"/>
        <v>462</v>
      </c>
    </row>
    <row r="24" spans="2:32" ht="23.1" customHeight="1" x14ac:dyDescent="0.25">
      <c r="B24" s="45" t="s">
        <v>51</v>
      </c>
      <c r="C24" s="50">
        <v>90</v>
      </c>
      <c r="D24" s="50">
        <v>42</v>
      </c>
      <c r="E24" s="50">
        <v>1</v>
      </c>
      <c r="F24" s="50">
        <v>8</v>
      </c>
      <c r="G24" s="50">
        <v>0</v>
      </c>
      <c r="H24" s="50">
        <v>0</v>
      </c>
      <c r="I24" s="50">
        <v>4</v>
      </c>
      <c r="J24" s="50">
        <v>0</v>
      </c>
      <c r="K24" s="50">
        <v>0</v>
      </c>
      <c r="L24" s="50">
        <v>0</v>
      </c>
      <c r="M24" s="50">
        <v>89</v>
      </c>
      <c r="N24" s="50">
        <v>0</v>
      </c>
      <c r="O24" s="15">
        <f t="shared" si="0"/>
        <v>145</v>
      </c>
      <c r="P24" s="15">
        <f t="shared" si="1"/>
        <v>234</v>
      </c>
      <c r="R24" s="36" t="s">
        <v>148</v>
      </c>
      <c r="S24" s="34">
        <f>SUM(C66:C69)</f>
        <v>186</v>
      </c>
      <c r="T24" s="34">
        <f t="shared" ref="T24:AF24" si="16">SUM(D66:D69)</f>
        <v>116</v>
      </c>
      <c r="U24" s="34">
        <f t="shared" si="16"/>
        <v>2</v>
      </c>
      <c r="V24" s="34">
        <f t="shared" si="16"/>
        <v>28</v>
      </c>
      <c r="W24" s="34">
        <f t="shared" si="16"/>
        <v>0</v>
      </c>
      <c r="X24" s="34">
        <f t="shared" si="16"/>
        <v>0</v>
      </c>
      <c r="Y24" s="34">
        <f t="shared" si="16"/>
        <v>7</v>
      </c>
      <c r="Z24" s="34">
        <f t="shared" si="16"/>
        <v>0</v>
      </c>
      <c r="AA24" s="34">
        <f t="shared" si="16"/>
        <v>1</v>
      </c>
      <c r="AB24" s="34">
        <f t="shared" si="16"/>
        <v>0</v>
      </c>
      <c r="AC24" s="34">
        <f t="shared" si="16"/>
        <v>156</v>
      </c>
      <c r="AD24" s="34">
        <f t="shared" si="16"/>
        <v>0</v>
      </c>
      <c r="AE24" s="31">
        <f t="shared" si="16"/>
        <v>340</v>
      </c>
      <c r="AF24" s="31">
        <f t="shared" si="16"/>
        <v>496</v>
      </c>
    </row>
    <row r="25" spans="2:32" ht="23.1" customHeight="1" x14ac:dyDescent="0.25">
      <c r="B25" s="45" t="s">
        <v>52</v>
      </c>
      <c r="C25" s="50">
        <v>73</v>
      </c>
      <c r="D25" s="50">
        <v>38</v>
      </c>
      <c r="E25" s="50">
        <v>4</v>
      </c>
      <c r="F25" s="50">
        <v>12</v>
      </c>
      <c r="G25" s="50">
        <v>0</v>
      </c>
      <c r="H25" s="50">
        <v>0</v>
      </c>
      <c r="I25" s="50">
        <v>7</v>
      </c>
      <c r="J25" s="50">
        <v>0</v>
      </c>
      <c r="K25" s="50">
        <v>0</v>
      </c>
      <c r="L25" s="50">
        <v>0</v>
      </c>
      <c r="M25" s="50">
        <v>100</v>
      </c>
      <c r="N25" s="50">
        <v>0</v>
      </c>
      <c r="O25" s="15">
        <f t="shared" si="0"/>
        <v>134</v>
      </c>
      <c r="P25" s="15">
        <f t="shared" si="1"/>
        <v>234</v>
      </c>
      <c r="R25" s="36" t="s">
        <v>149</v>
      </c>
      <c r="S25" s="34">
        <f>SUM(C70:C73)</f>
        <v>153</v>
      </c>
      <c r="T25" s="34">
        <f t="shared" ref="T25:AF25" si="17">SUM(D70:D73)</f>
        <v>79</v>
      </c>
      <c r="U25" s="34">
        <f t="shared" si="17"/>
        <v>0</v>
      </c>
      <c r="V25" s="34">
        <f t="shared" si="17"/>
        <v>31</v>
      </c>
      <c r="W25" s="34">
        <f t="shared" si="17"/>
        <v>0</v>
      </c>
      <c r="X25" s="34">
        <f t="shared" si="17"/>
        <v>0</v>
      </c>
      <c r="Y25" s="34">
        <f t="shared" si="17"/>
        <v>13</v>
      </c>
      <c r="Z25" s="34">
        <f t="shared" si="17"/>
        <v>0</v>
      </c>
      <c r="AA25" s="34">
        <f t="shared" si="17"/>
        <v>1</v>
      </c>
      <c r="AB25" s="34">
        <f t="shared" si="17"/>
        <v>0</v>
      </c>
      <c r="AC25" s="34">
        <f t="shared" si="17"/>
        <v>137</v>
      </c>
      <c r="AD25" s="34">
        <f t="shared" si="17"/>
        <v>0</v>
      </c>
      <c r="AE25" s="31">
        <f t="shared" si="17"/>
        <v>277</v>
      </c>
      <c r="AF25" s="31">
        <f t="shared" si="17"/>
        <v>414</v>
      </c>
    </row>
    <row r="26" spans="2:32" ht="23.1" customHeight="1" x14ac:dyDescent="0.25">
      <c r="B26" s="45" t="s">
        <v>53</v>
      </c>
      <c r="C26" s="50">
        <v>90</v>
      </c>
      <c r="D26" s="50">
        <v>56</v>
      </c>
      <c r="E26" s="50">
        <v>2</v>
      </c>
      <c r="F26" s="50">
        <v>16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97</v>
      </c>
      <c r="N26" s="50">
        <v>0</v>
      </c>
      <c r="O26" s="15">
        <f t="shared" si="0"/>
        <v>166</v>
      </c>
      <c r="P26" s="15">
        <f t="shared" si="1"/>
        <v>263</v>
      </c>
      <c r="R26" s="36" t="s">
        <v>150</v>
      </c>
      <c r="S26" s="34">
        <f>SUM(C74:C77)</f>
        <v>65</v>
      </c>
      <c r="T26" s="34">
        <f t="shared" ref="T26:AF26" si="18">SUM(D74:D77)</f>
        <v>48</v>
      </c>
      <c r="U26" s="34">
        <f t="shared" si="18"/>
        <v>0</v>
      </c>
      <c r="V26" s="34">
        <f t="shared" si="18"/>
        <v>3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97</v>
      </c>
      <c r="AD26" s="34">
        <f t="shared" si="18"/>
        <v>0</v>
      </c>
      <c r="AE26" s="31">
        <f t="shared" si="18"/>
        <v>118</v>
      </c>
      <c r="AF26" s="31">
        <f t="shared" si="18"/>
        <v>215</v>
      </c>
    </row>
    <row r="27" spans="2:32" ht="23.1" customHeight="1" x14ac:dyDescent="0.25">
      <c r="B27" s="45" t="s">
        <v>54</v>
      </c>
      <c r="C27" s="50">
        <v>87</v>
      </c>
      <c r="D27" s="50">
        <v>38</v>
      </c>
      <c r="E27" s="50">
        <v>3</v>
      </c>
      <c r="F27" s="50">
        <v>11</v>
      </c>
      <c r="G27" s="50">
        <v>0</v>
      </c>
      <c r="H27" s="50">
        <v>0</v>
      </c>
      <c r="I27" s="50">
        <v>3</v>
      </c>
      <c r="J27" s="50">
        <v>0</v>
      </c>
      <c r="K27" s="50">
        <v>0</v>
      </c>
      <c r="L27" s="50">
        <v>0</v>
      </c>
      <c r="M27" s="50">
        <v>79</v>
      </c>
      <c r="N27" s="50">
        <v>0</v>
      </c>
      <c r="O27" s="15">
        <f t="shared" si="0"/>
        <v>142</v>
      </c>
      <c r="P27" s="15">
        <f t="shared" si="1"/>
        <v>221</v>
      </c>
      <c r="R27" s="36" t="s">
        <v>151</v>
      </c>
      <c r="S27" s="34">
        <f>SUM(C78:C81)</f>
        <v>63</v>
      </c>
      <c r="T27" s="34">
        <f t="shared" ref="T27:AF27" si="19">SUM(D78:D81)</f>
        <v>33</v>
      </c>
      <c r="U27" s="34">
        <f t="shared" si="19"/>
        <v>0</v>
      </c>
      <c r="V27" s="34">
        <f t="shared" si="19"/>
        <v>4</v>
      </c>
      <c r="W27" s="34">
        <f t="shared" si="19"/>
        <v>1</v>
      </c>
      <c r="X27" s="34">
        <f t="shared" si="19"/>
        <v>0</v>
      </c>
      <c r="Y27" s="34">
        <f t="shared" si="19"/>
        <v>1</v>
      </c>
      <c r="Z27" s="34">
        <f t="shared" si="19"/>
        <v>1</v>
      </c>
      <c r="AA27" s="34">
        <f t="shared" si="19"/>
        <v>0</v>
      </c>
      <c r="AB27" s="34">
        <f t="shared" si="19"/>
        <v>0</v>
      </c>
      <c r="AC27" s="34">
        <f t="shared" si="19"/>
        <v>43</v>
      </c>
      <c r="AD27" s="34">
        <f t="shared" si="19"/>
        <v>0</v>
      </c>
      <c r="AE27" s="31">
        <f t="shared" si="19"/>
        <v>103</v>
      </c>
      <c r="AF27" s="31">
        <f t="shared" si="19"/>
        <v>146</v>
      </c>
    </row>
    <row r="28" spans="2:32" ht="23.1" customHeight="1" x14ac:dyDescent="0.25">
      <c r="B28" s="45" t="s">
        <v>55</v>
      </c>
      <c r="C28" s="50">
        <v>75</v>
      </c>
      <c r="D28" s="50">
        <v>44</v>
      </c>
      <c r="E28" s="50">
        <v>1</v>
      </c>
      <c r="F28" s="50">
        <v>10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85</v>
      </c>
      <c r="N28" s="50">
        <v>0</v>
      </c>
      <c r="O28" s="15">
        <f t="shared" si="0"/>
        <v>133</v>
      </c>
      <c r="P28" s="15">
        <f t="shared" si="1"/>
        <v>218</v>
      </c>
      <c r="R28" s="36" t="s">
        <v>152</v>
      </c>
      <c r="S28" s="34">
        <f>SUM(C82:C85)</f>
        <v>24</v>
      </c>
      <c r="T28" s="34">
        <f t="shared" ref="T28:AF28" si="20">SUM(D82:D85)</f>
        <v>6</v>
      </c>
      <c r="U28" s="34">
        <f t="shared" si="20"/>
        <v>0</v>
      </c>
      <c r="V28" s="34">
        <f t="shared" si="20"/>
        <v>3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18</v>
      </c>
      <c r="AD28" s="34">
        <f t="shared" si="20"/>
        <v>0</v>
      </c>
      <c r="AE28" s="31">
        <f t="shared" si="20"/>
        <v>35</v>
      </c>
      <c r="AF28" s="31">
        <f t="shared" si="20"/>
        <v>53</v>
      </c>
    </row>
    <row r="29" spans="2:32" ht="23.1" customHeight="1" x14ac:dyDescent="0.25">
      <c r="B29" s="45" t="s">
        <v>56</v>
      </c>
      <c r="C29" s="50">
        <v>70</v>
      </c>
      <c r="D29" s="50">
        <v>39</v>
      </c>
      <c r="E29" s="50">
        <v>1</v>
      </c>
      <c r="F29" s="50">
        <v>13</v>
      </c>
      <c r="G29" s="50">
        <v>0</v>
      </c>
      <c r="H29" s="50">
        <v>0</v>
      </c>
      <c r="I29" s="50">
        <v>4</v>
      </c>
      <c r="J29" s="50">
        <v>1</v>
      </c>
      <c r="K29" s="50">
        <v>2</v>
      </c>
      <c r="L29" s="50">
        <v>0</v>
      </c>
      <c r="M29" s="50">
        <v>103</v>
      </c>
      <c r="N29" s="50">
        <v>0</v>
      </c>
      <c r="O29" s="15">
        <f t="shared" si="0"/>
        <v>130</v>
      </c>
      <c r="P29" s="15">
        <f t="shared" si="1"/>
        <v>233</v>
      </c>
      <c r="R29" s="36" t="s">
        <v>153</v>
      </c>
      <c r="S29" s="34">
        <f>SUM(C86:C89)</f>
        <v>23</v>
      </c>
      <c r="T29" s="34">
        <f t="shared" ref="T29:AF29" si="21">SUM(D86:D89)</f>
        <v>14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19</v>
      </c>
      <c r="AD29" s="34">
        <f t="shared" si="21"/>
        <v>0</v>
      </c>
      <c r="AE29" s="31">
        <f t="shared" si="21"/>
        <v>37</v>
      </c>
      <c r="AF29" s="31">
        <f t="shared" si="21"/>
        <v>56</v>
      </c>
    </row>
    <row r="30" spans="2:32" ht="23.1" customHeight="1" x14ac:dyDescent="0.25">
      <c r="B30" s="45" t="s">
        <v>57</v>
      </c>
      <c r="C30" s="50">
        <v>92</v>
      </c>
      <c r="D30" s="50">
        <v>56</v>
      </c>
      <c r="E30" s="50">
        <v>3</v>
      </c>
      <c r="F30" s="50">
        <v>12</v>
      </c>
      <c r="G30" s="50">
        <v>0</v>
      </c>
      <c r="H30" s="50">
        <v>0</v>
      </c>
      <c r="I30" s="50">
        <v>4</v>
      </c>
      <c r="J30" s="50">
        <v>0</v>
      </c>
      <c r="K30" s="50">
        <v>0</v>
      </c>
      <c r="L30" s="50">
        <v>0</v>
      </c>
      <c r="M30" s="50">
        <v>95</v>
      </c>
      <c r="N30" s="50">
        <v>0</v>
      </c>
      <c r="O30" s="15">
        <f t="shared" si="0"/>
        <v>167</v>
      </c>
      <c r="P30" s="15">
        <f t="shared" si="1"/>
        <v>262</v>
      </c>
      <c r="R30" s="36" t="s">
        <v>154</v>
      </c>
      <c r="S30" s="34">
        <f>SUM(C90:C93)</f>
        <v>36</v>
      </c>
      <c r="T30" s="34">
        <f t="shared" ref="T30:AF30" si="22">SUM(D90:D93)</f>
        <v>5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18</v>
      </c>
      <c r="AD30" s="34">
        <f t="shared" si="22"/>
        <v>0</v>
      </c>
      <c r="AE30" s="31">
        <f t="shared" si="22"/>
        <v>41</v>
      </c>
      <c r="AF30" s="31">
        <f t="shared" si="22"/>
        <v>59</v>
      </c>
    </row>
    <row r="31" spans="2:32" ht="23.1" customHeight="1" x14ac:dyDescent="0.25">
      <c r="B31" s="46" t="s">
        <v>58</v>
      </c>
      <c r="C31" s="50">
        <v>62</v>
      </c>
      <c r="D31" s="50">
        <v>42</v>
      </c>
      <c r="E31" s="50">
        <v>2</v>
      </c>
      <c r="F31" s="50">
        <v>10</v>
      </c>
      <c r="G31" s="50">
        <v>0</v>
      </c>
      <c r="H31" s="50">
        <v>0</v>
      </c>
      <c r="I31" s="50">
        <v>4</v>
      </c>
      <c r="J31" s="50">
        <v>0</v>
      </c>
      <c r="K31" s="50">
        <v>0</v>
      </c>
      <c r="L31" s="50">
        <v>0</v>
      </c>
      <c r="M31" s="50">
        <v>78</v>
      </c>
      <c r="N31" s="50">
        <v>0</v>
      </c>
      <c r="O31" s="15">
        <f t="shared" si="0"/>
        <v>120</v>
      </c>
      <c r="P31" s="15">
        <f t="shared" si="1"/>
        <v>198</v>
      </c>
      <c r="R31" s="36" t="s">
        <v>155</v>
      </c>
      <c r="S31" s="34">
        <f>SUM(C94:C97)</f>
        <v>34</v>
      </c>
      <c r="T31" s="34">
        <f t="shared" ref="T31:AF31" si="23">SUM(D94:D97)</f>
        <v>6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3</v>
      </c>
      <c r="AD31" s="34">
        <f t="shared" si="23"/>
        <v>0</v>
      </c>
      <c r="AE31" s="31">
        <f t="shared" si="23"/>
        <v>40</v>
      </c>
      <c r="AF31" s="31">
        <f t="shared" si="23"/>
        <v>43</v>
      </c>
    </row>
    <row r="32" spans="2:32" ht="23.1" customHeight="1" x14ac:dyDescent="0.25">
      <c r="B32" s="46" t="s">
        <v>59</v>
      </c>
      <c r="C32" s="50">
        <v>75</v>
      </c>
      <c r="D32" s="50">
        <v>32</v>
      </c>
      <c r="E32" s="50">
        <v>2</v>
      </c>
      <c r="F32" s="50">
        <v>9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67</v>
      </c>
      <c r="N32" s="50">
        <v>0</v>
      </c>
      <c r="O32" s="15">
        <f t="shared" si="0"/>
        <v>121</v>
      </c>
      <c r="P32" s="15">
        <f t="shared" si="1"/>
        <v>188</v>
      </c>
      <c r="R32" s="33" t="s">
        <v>156</v>
      </c>
      <c r="S32" s="34">
        <f>SUM(C98:C101)</f>
        <v>27</v>
      </c>
      <c r="T32" s="34">
        <f t="shared" ref="T32:AF32" si="24">SUM(D98:D101)</f>
        <v>13</v>
      </c>
      <c r="U32" s="34">
        <f t="shared" si="24"/>
        <v>0</v>
      </c>
      <c r="V32" s="34">
        <f t="shared" si="24"/>
        <v>4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72</v>
      </c>
      <c r="AD32" s="34">
        <f t="shared" si="24"/>
        <v>0</v>
      </c>
      <c r="AE32" s="31">
        <f t="shared" si="24"/>
        <v>44</v>
      </c>
      <c r="AF32" s="31">
        <f t="shared" si="24"/>
        <v>116</v>
      </c>
    </row>
    <row r="33" spans="2:32" ht="23.1" customHeight="1" x14ac:dyDescent="0.25">
      <c r="B33" s="45" t="s">
        <v>60</v>
      </c>
      <c r="C33" s="50">
        <v>55</v>
      </c>
      <c r="D33" s="50">
        <v>26</v>
      </c>
      <c r="E33" s="50">
        <v>4</v>
      </c>
      <c r="F33" s="50">
        <v>12</v>
      </c>
      <c r="G33" s="50">
        <v>0</v>
      </c>
      <c r="H33" s="50">
        <v>0</v>
      </c>
      <c r="I33" s="50">
        <v>3</v>
      </c>
      <c r="J33" s="50">
        <v>1</v>
      </c>
      <c r="K33" s="50">
        <v>0</v>
      </c>
      <c r="L33" s="50">
        <v>0</v>
      </c>
      <c r="M33" s="50">
        <v>119</v>
      </c>
      <c r="N33" s="50">
        <v>0</v>
      </c>
      <c r="O33" s="15">
        <f t="shared" si="0"/>
        <v>101</v>
      </c>
      <c r="P33" s="15">
        <f t="shared" si="1"/>
        <v>220</v>
      </c>
      <c r="R33" s="33" t="s">
        <v>157</v>
      </c>
      <c r="S33" s="34">
        <f>SUM(C102:C105)</f>
        <v>38</v>
      </c>
      <c r="T33" s="34">
        <f t="shared" ref="T33:AF33" si="25">SUM(D102:D105)</f>
        <v>16</v>
      </c>
      <c r="U33" s="34">
        <f t="shared" si="25"/>
        <v>0</v>
      </c>
      <c r="V33" s="34">
        <f t="shared" si="25"/>
        <v>14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25</v>
      </c>
      <c r="AD33" s="34">
        <f t="shared" si="25"/>
        <v>0</v>
      </c>
      <c r="AE33" s="31">
        <f t="shared" si="25"/>
        <v>68</v>
      </c>
      <c r="AF33" s="31">
        <f t="shared" si="25"/>
        <v>93</v>
      </c>
    </row>
    <row r="34" spans="2:32" ht="23.1" customHeight="1" x14ac:dyDescent="0.25">
      <c r="B34" s="46" t="s">
        <v>61</v>
      </c>
      <c r="C34" s="50">
        <v>65</v>
      </c>
      <c r="D34" s="50">
        <v>33</v>
      </c>
      <c r="E34" s="50">
        <v>3</v>
      </c>
      <c r="F34" s="50">
        <v>11</v>
      </c>
      <c r="G34" s="50">
        <v>0</v>
      </c>
      <c r="H34" s="50">
        <v>0</v>
      </c>
      <c r="I34" s="50">
        <v>4</v>
      </c>
      <c r="J34" s="50">
        <v>0</v>
      </c>
      <c r="K34" s="50">
        <v>0</v>
      </c>
      <c r="L34" s="50">
        <v>0</v>
      </c>
      <c r="M34" s="50">
        <v>73</v>
      </c>
      <c r="N34" s="50">
        <v>0</v>
      </c>
      <c r="O34" s="15">
        <f t="shared" si="0"/>
        <v>116</v>
      </c>
      <c r="P34" s="15">
        <f t="shared" si="1"/>
        <v>189</v>
      </c>
      <c r="R34" s="38" t="s">
        <v>90</v>
      </c>
      <c r="S34" s="39">
        <f t="shared" ref="S34:AF34" si="26">MAX(S10:S12)</f>
        <v>266</v>
      </c>
      <c r="T34" s="39">
        <f t="shared" si="26"/>
        <v>153</v>
      </c>
      <c r="U34" s="39">
        <f t="shared" si="26"/>
        <v>8</v>
      </c>
      <c r="V34" s="39">
        <f t="shared" si="26"/>
        <v>53</v>
      </c>
      <c r="W34" s="39">
        <f t="shared" si="26"/>
        <v>0</v>
      </c>
      <c r="X34" s="39">
        <f t="shared" si="26"/>
        <v>0</v>
      </c>
      <c r="Y34" s="39">
        <f t="shared" si="26"/>
        <v>20</v>
      </c>
      <c r="Z34" s="39">
        <f t="shared" si="26"/>
        <v>2</v>
      </c>
      <c r="AA34" s="39">
        <f t="shared" si="26"/>
        <v>1</v>
      </c>
      <c r="AB34" s="39">
        <f t="shared" si="26"/>
        <v>0</v>
      </c>
      <c r="AC34" s="39">
        <f t="shared" si="26"/>
        <v>463</v>
      </c>
      <c r="AD34" s="39">
        <f t="shared" si="26"/>
        <v>0</v>
      </c>
      <c r="AE34" s="40">
        <f t="shared" si="26"/>
        <v>498</v>
      </c>
      <c r="AF34" s="40">
        <f t="shared" si="26"/>
        <v>961</v>
      </c>
    </row>
    <row r="35" spans="2:32" ht="23.1" customHeight="1" x14ac:dyDescent="0.25">
      <c r="B35" s="46" t="s">
        <v>62</v>
      </c>
      <c r="C35" s="50">
        <v>43</v>
      </c>
      <c r="D35" s="50">
        <v>31</v>
      </c>
      <c r="E35" s="50">
        <v>2</v>
      </c>
      <c r="F35" s="50">
        <v>8</v>
      </c>
      <c r="G35" s="50">
        <v>0</v>
      </c>
      <c r="H35" s="50">
        <v>0</v>
      </c>
      <c r="I35" s="50">
        <v>4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15">
        <f t="shared" si="0"/>
        <v>88</v>
      </c>
      <c r="P35" s="15">
        <f t="shared" si="1"/>
        <v>88</v>
      </c>
      <c r="R35" s="38" t="s">
        <v>91</v>
      </c>
      <c r="S35" s="39">
        <f t="shared" ref="S35:AF35" si="27">MAX(S13:S18)</f>
        <v>339</v>
      </c>
      <c r="T35" s="39">
        <f t="shared" si="27"/>
        <v>185</v>
      </c>
      <c r="U35" s="39">
        <f t="shared" si="27"/>
        <v>13</v>
      </c>
      <c r="V35" s="39">
        <f t="shared" si="27"/>
        <v>50</v>
      </c>
      <c r="W35" s="39">
        <f t="shared" si="27"/>
        <v>0</v>
      </c>
      <c r="X35" s="39">
        <f t="shared" si="27"/>
        <v>0</v>
      </c>
      <c r="Y35" s="39">
        <f t="shared" si="27"/>
        <v>15</v>
      </c>
      <c r="Z35" s="39">
        <f t="shared" si="27"/>
        <v>2</v>
      </c>
      <c r="AA35" s="39">
        <f t="shared" si="27"/>
        <v>2</v>
      </c>
      <c r="AB35" s="39">
        <f t="shared" si="27"/>
        <v>0</v>
      </c>
      <c r="AC35" s="39">
        <f t="shared" si="27"/>
        <v>374</v>
      </c>
      <c r="AD35" s="39">
        <f t="shared" si="27"/>
        <v>0</v>
      </c>
      <c r="AE35" s="40">
        <f t="shared" si="27"/>
        <v>599</v>
      </c>
      <c r="AF35" s="40">
        <f t="shared" si="27"/>
        <v>973</v>
      </c>
    </row>
    <row r="36" spans="2:32" ht="23.1" customHeight="1" x14ac:dyDescent="0.25">
      <c r="B36" s="46" t="s">
        <v>63</v>
      </c>
      <c r="C36" s="50">
        <v>75</v>
      </c>
      <c r="D36" s="50">
        <v>33</v>
      </c>
      <c r="E36" s="50">
        <v>1</v>
      </c>
      <c r="F36" s="50">
        <v>11</v>
      </c>
      <c r="G36" s="50">
        <v>0</v>
      </c>
      <c r="H36" s="50">
        <v>0</v>
      </c>
      <c r="I36" s="50">
        <v>3</v>
      </c>
      <c r="J36" s="50">
        <v>1</v>
      </c>
      <c r="K36" s="50">
        <v>1</v>
      </c>
      <c r="L36" s="50">
        <v>0</v>
      </c>
      <c r="M36" s="50">
        <v>72</v>
      </c>
      <c r="N36" s="50">
        <v>0</v>
      </c>
      <c r="O36" s="15">
        <f t="shared" si="0"/>
        <v>125</v>
      </c>
      <c r="P36" s="15">
        <f t="shared" si="1"/>
        <v>197</v>
      </c>
      <c r="R36" s="38" t="s">
        <v>92</v>
      </c>
      <c r="S36" s="39">
        <f t="shared" ref="S36:AF36" si="28">MAX(S19:S21)</f>
        <v>167</v>
      </c>
      <c r="T36" s="39">
        <f t="shared" si="28"/>
        <v>104</v>
      </c>
      <c r="U36" s="39">
        <f t="shared" si="28"/>
        <v>7</v>
      </c>
      <c r="V36" s="39">
        <f t="shared" si="28"/>
        <v>34</v>
      </c>
      <c r="W36" s="39">
        <f t="shared" si="28"/>
        <v>1</v>
      </c>
      <c r="X36" s="39">
        <f t="shared" si="28"/>
        <v>0</v>
      </c>
      <c r="Y36" s="39">
        <f t="shared" si="28"/>
        <v>18</v>
      </c>
      <c r="Z36" s="39">
        <f t="shared" si="28"/>
        <v>2</v>
      </c>
      <c r="AA36" s="39">
        <f t="shared" si="28"/>
        <v>3</v>
      </c>
      <c r="AB36" s="39">
        <f t="shared" si="28"/>
        <v>0</v>
      </c>
      <c r="AC36" s="39">
        <f t="shared" si="28"/>
        <v>370</v>
      </c>
      <c r="AD36" s="39">
        <f t="shared" si="28"/>
        <v>0</v>
      </c>
      <c r="AE36" s="40">
        <f t="shared" si="28"/>
        <v>329</v>
      </c>
      <c r="AF36" s="40">
        <f t="shared" si="28"/>
        <v>699</v>
      </c>
    </row>
    <row r="37" spans="2:32" ht="23.1" customHeight="1" x14ac:dyDescent="0.25">
      <c r="B37" s="45" t="s">
        <v>64</v>
      </c>
      <c r="C37" s="50">
        <v>59</v>
      </c>
      <c r="D37" s="50">
        <v>26</v>
      </c>
      <c r="E37" s="50">
        <v>3</v>
      </c>
      <c r="F37" s="50">
        <v>9</v>
      </c>
      <c r="G37" s="50">
        <v>0</v>
      </c>
      <c r="H37" s="50">
        <v>0</v>
      </c>
      <c r="I37" s="50">
        <v>2</v>
      </c>
      <c r="J37" s="50">
        <v>1</v>
      </c>
      <c r="K37" s="50">
        <v>0</v>
      </c>
      <c r="L37" s="50">
        <v>0</v>
      </c>
      <c r="M37" s="50">
        <v>84</v>
      </c>
      <c r="N37" s="50">
        <v>0</v>
      </c>
      <c r="O37" s="15">
        <f t="shared" si="0"/>
        <v>100</v>
      </c>
      <c r="P37" s="15">
        <f t="shared" si="1"/>
        <v>184</v>
      </c>
      <c r="R37" s="37" t="s">
        <v>85</v>
      </c>
      <c r="S37" s="35">
        <f t="shared" ref="S37:AF37" si="29">SUM(S10:S12)</f>
        <v>678</v>
      </c>
      <c r="T37" s="16">
        <f t="shared" si="29"/>
        <v>359</v>
      </c>
      <c r="U37" s="16">
        <f t="shared" si="29"/>
        <v>18</v>
      </c>
      <c r="V37" s="16">
        <f t="shared" si="29"/>
        <v>141</v>
      </c>
      <c r="W37" s="16">
        <f t="shared" si="29"/>
        <v>0</v>
      </c>
      <c r="X37" s="16">
        <f t="shared" si="29"/>
        <v>0</v>
      </c>
      <c r="Y37" s="16">
        <f t="shared" si="29"/>
        <v>51</v>
      </c>
      <c r="Z37" s="16">
        <f t="shared" si="29"/>
        <v>3</v>
      </c>
      <c r="AA37" s="16">
        <f t="shared" si="29"/>
        <v>1</v>
      </c>
      <c r="AB37" s="16">
        <f t="shared" si="29"/>
        <v>0</v>
      </c>
      <c r="AC37" s="16">
        <f t="shared" si="29"/>
        <v>1286</v>
      </c>
      <c r="AD37" s="16">
        <f t="shared" si="29"/>
        <v>0</v>
      </c>
      <c r="AE37" s="32">
        <f t="shared" si="29"/>
        <v>1251</v>
      </c>
      <c r="AF37" s="32">
        <f t="shared" si="29"/>
        <v>2537</v>
      </c>
    </row>
    <row r="38" spans="2:32" ht="23.1" customHeight="1" x14ac:dyDescent="0.25">
      <c r="B38" s="46" t="s">
        <v>65</v>
      </c>
      <c r="C38" s="50">
        <v>47</v>
      </c>
      <c r="D38" s="50">
        <v>37</v>
      </c>
      <c r="E38" s="50">
        <v>2</v>
      </c>
      <c r="F38" s="50">
        <v>8</v>
      </c>
      <c r="G38" s="50">
        <v>0</v>
      </c>
      <c r="H38" s="50">
        <v>0</v>
      </c>
      <c r="I38" s="50">
        <v>2</v>
      </c>
      <c r="J38" s="50">
        <v>1</v>
      </c>
      <c r="K38" s="50">
        <v>0</v>
      </c>
      <c r="L38" s="50">
        <v>0</v>
      </c>
      <c r="M38" s="50">
        <v>88</v>
      </c>
      <c r="N38" s="50">
        <v>0</v>
      </c>
      <c r="O38" s="15">
        <f t="shared" si="0"/>
        <v>97</v>
      </c>
      <c r="P38" s="15">
        <f t="shared" si="1"/>
        <v>185</v>
      </c>
      <c r="R38" s="28" t="s">
        <v>86</v>
      </c>
      <c r="S38" s="16">
        <f t="shared" ref="S38:AF38" si="30">SUM(S13:S18)</f>
        <v>1551</v>
      </c>
      <c r="T38" s="16">
        <f t="shared" si="30"/>
        <v>919</v>
      </c>
      <c r="U38" s="16">
        <f t="shared" si="30"/>
        <v>51</v>
      </c>
      <c r="V38" s="16">
        <f t="shared" si="30"/>
        <v>238</v>
      </c>
      <c r="W38" s="16">
        <f t="shared" si="30"/>
        <v>0</v>
      </c>
      <c r="X38" s="16">
        <f t="shared" si="30"/>
        <v>0</v>
      </c>
      <c r="Y38" s="16">
        <f t="shared" si="30"/>
        <v>77</v>
      </c>
      <c r="Z38" s="16">
        <f t="shared" si="30"/>
        <v>7</v>
      </c>
      <c r="AA38" s="16">
        <f t="shared" si="30"/>
        <v>4</v>
      </c>
      <c r="AB38" s="16">
        <f t="shared" si="30"/>
        <v>0</v>
      </c>
      <c r="AC38" s="16">
        <f t="shared" si="30"/>
        <v>2047</v>
      </c>
      <c r="AD38" s="16">
        <f t="shared" si="30"/>
        <v>0</v>
      </c>
      <c r="AE38" s="32">
        <f t="shared" si="30"/>
        <v>2847</v>
      </c>
      <c r="AF38" s="32">
        <f t="shared" si="30"/>
        <v>4894</v>
      </c>
    </row>
    <row r="39" spans="2:32" ht="23.1" customHeight="1" x14ac:dyDescent="0.25">
      <c r="B39" s="46" t="s">
        <v>66</v>
      </c>
      <c r="C39" s="50">
        <v>49</v>
      </c>
      <c r="D39" s="50">
        <v>35</v>
      </c>
      <c r="E39" s="50">
        <v>0</v>
      </c>
      <c r="F39" s="50">
        <v>9</v>
      </c>
      <c r="G39" s="50">
        <v>0</v>
      </c>
      <c r="H39" s="50">
        <v>0</v>
      </c>
      <c r="I39" s="50">
        <v>2</v>
      </c>
      <c r="J39" s="50">
        <v>1</v>
      </c>
      <c r="K39" s="50">
        <v>0</v>
      </c>
      <c r="L39" s="50">
        <v>0</v>
      </c>
      <c r="M39" s="50">
        <v>99</v>
      </c>
      <c r="N39" s="50">
        <v>0</v>
      </c>
      <c r="O39" s="15">
        <f t="shared" si="0"/>
        <v>96</v>
      </c>
      <c r="P39" s="15">
        <f t="shared" si="1"/>
        <v>195</v>
      </c>
      <c r="R39" s="29" t="s">
        <v>87</v>
      </c>
      <c r="S39" s="16">
        <f t="shared" ref="S39:AF39" si="31">SUM(S19:S21)</f>
        <v>460</v>
      </c>
      <c r="T39" s="16">
        <f t="shared" si="31"/>
        <v>273</v>
      </c>
      <c r="U39" s="16">
        <f t="shared" si="31"/>
        <v>16</v>
      </c>
      <c r="V39" s="16">
        <f t="shared" si="31"/>
        <v>95</v>
      </c>
      <c r="W39" s="16">
        <f t="shared" si="31"/>
        <v>1</v>
      </c>
      <c r="X39" s="16">
        <f t="shared" si="31"/>
        <v>0</v>
      </c>
      <c r="Y39" s="16">
        <f t="shared" si="31"/>
        <v>34</v>
      </c>
      <c r="Z39" s="16">
        <f t="shared" si="31"/>
        <v>3</v>
      </c>
      <c r="AA39" s="16">
        <f t="shared" si="31"/>
        <v>4</v>
      </c>
      <c r="AB39" s="16">
        <f t="shared" si="31"/>
        <v>0</v>
      </c>
      <c r="AC39" s="16">
        <f t="shared" si="31"/>
        <v>995</v>
      </c>
      <c r="AD39" s="16">
        <f t="shared" si="31"/>
        <v>0</v>
      </c>
      <c r="AE39" s="32">
        <f t="shared" si="31"/>
        <v>886</v>
      </c>
      <c r="AF39" s="32">
        <f t="shared" si="31"/>
        <v>1881</v>
      </c>
    </row>
    <row r="40" spans="2:32" ht="23.1" customHeight="1" x14ac:dyDescent="0.25">
      <c r="B40" s="46" t="s">
        <v>67</v>
      </c>
      <c r="C40" s="50">
        <v>36</v>
      </c>
      <c r="D40" s="50">
        <v>30</v>
      </c>
      <c r="E40" s="50">
        <v>0</v>
      </c>
      <c r="F40" s="50">
        <v>7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100</v>
      </c>
      <c r="N40" s="50">
        <v>0</v>
      </c>
      <c r="O40" s="15">
        <f t="shared" si="0"/>
        <v>75</v>
      </c>
      <c r="P40" s="15">
        <f t="shared" si="1"/>
        <v>175</v>
      </c>
      <c r="R40" s="5" t="s">
        <v>17</v>
      </c>
      <c r="S40" s="16">
        <f t="shared" ref="S40:AF40" si="32">SUM(S10:S21)</f>
        <v>2689</v>
      </c>
      <c r="T40" s="16">
        <f t="shared" si="32"/>
        <v>1551</v>
      </c>
      <c r="U40" s="16">
        <f t="shared" si="32"/>
        <v>85</v>
      </c>
      <c r="V40" s="16">
        <f t="shared" si="32"/>
        <v>474</v>
      </c>
      <c r="W40" s="16">
        <f t="shared" si="32"/>
        <v>1</v>
      </c>
      <c r="X40" s="16">
        <f t="shared" si="32"/>
        <v>0</v>
      </c>
      <c r="Y40" s="16">
        <f t="shared" si="32"/>
        <v>162</v>
      </c>
      <c r="Z40" s="16">
        <f t="shared" si="32"/>
        <v>13</v>
      </c>
      <c r="AA40" s="16">
        <f t="shared" si="32"/>
        <v>9</v>
      </c>
      <c r="AB40" s="16">
        <f t="shared" si="32"/>
        <v>0</v>
      </c>
      <c r="AC40" s="16">
        <f t="shared" si="32"/>
        <v>4328</v>
      </c>
      <c r="AD40" s="16">
        <f t="shared" si="32"/>
        <v>0</v>
      </c>
      <c r="AE40" s="32">
        <f t="shared" si="32"/>
        <v>4984</v>
      </c>
      <c r="AF40" s="32">
        <f t="shared" si="32"/>
        <v>9312</v>
      </c>
    </row>
    <row r="41" spans="2:32" ht="23.1" customHeight="1" x14ac:dyDescent="0.25">
      <c r="B41" s="45" t="s">
        <v>68</v>
      </c>
      <c r="C41" s="50">
        <v>39</v>
      </c>
      <c r="D41" s="50">
        <v>29</v>
      </c>
      <c r="E41" s="50">
        <v>2</v>
      </c>
      <c r="F41" s="50">
        <v>6</v>
      </c>
      <c r="G41" s="50">
        <v>0</v>
      </c>
      <c r="H41" s="50">
        <v>0</v>
      </c>
      <c r="I41" s="50">
        <v>4</v>
      </c>
      <c r="J41" s="50">
        <v>0</v>
      </c>
      <c r="K41" s="50">
        <v>0</v>
      </c>
      <c r="L41" s="50">
        <v>0</v>
      </c>
      <c r="M41" s="50">
        <v>67</v>
      </c>
      <c r="N41" s="50">
        <v>0</v>
      </c>
      <c r="O41" s="15">
        <f t="shared" si="0"/>
        <v>80</v>
      </c>
      <c r="P41" s="15">
        <f t="shared" si="1"/>
        <v>147</v>
      </c>
      <c r="R41" s="5" t="s">
        <v>159</v>
      </c>
      <c r="S41" s="16">
        <f>SUM(S10:S33)</f>
        <v>3656</v>
      </c>
      <c r="T41" s="16">
        <f t="shared" ref="T41:AF41" si="33">SUM(T10:T33)</f>
        <v>2137</v>
      </c>
      <c r="U41" s="16">
        <f t="shared" si="33"/>
        <v>90</v>
      </c>
      <c r="V41" s="16">
        <f t="shared" si="33"/>
        <v>621</v>
      </c>
      <c r="W41" s="16">
        <f t="shared" si="33"/>
        <v>3</v>
      </c>
      <c r="X41" s="16">
        <f t="shared" si="33"/>
        <v>0</v>
      </c>
      <c r="Y41" s="16">
        <f t="shared" si="33"/>
        <v>208</v>
      </c>
      <c r="Z41" s="16">
        <f t="shared" si="33"/>
        <v>16</v>
      </c>
      <c r="AA41" s="16">
        <f t="shared" si="33"/>
        <v>13</v>
      </c>
      <c r="AB41" s="16">
        <f t="shared" si="33"/>
        <v>0</v>
      </c>
      <c r="AC41" s="16">
        <f t="shared" si="33"/>
        <v>5351</v>
      </c>
      <c r="AD41" s="16">
        <f t="shared" si="33"/>
        <v>0</v>
      </c>
      <c r="AE41" s="32">
        <f t="shared" si="33"/>
        <v>6795</v>
      </c>
      <c r="AF41" s="32">
        <f t="shared" si="33"/>
        <v>12146</v>
      </c>
    </row>
    <row r="42" spans="2:32" ht="23.1" customHeight="1" x14ac:dyDescent="0.25">
      <c r="B42" s="46" t="s">
        <v>69</v>
      </c>
      <c r="C42" s="50">
        <v>48</v>
      </c>
      <c r="D42" s="50">
        <v>41</v>
      </c>
      <c r="E42" s="50">
        <v>1</v>
      </c>
      <c r="F42" s="50">
        <v>7</v>
      </c>
      <c r="G42" s="50">
        <v>0</v>
      </c>
      <c r="H42" s="50">
        <v>0</v>
      </c>
      <c r="I42" s="50">
        <v>4</v>
      </c>
      <c r="J42" s="50">
        <v>1</v>
      </c>
      <c r="K42" s="50">
        <v>0</v>
      </c>
      <c r="L42" s="50">
        <v>0</v>
      </c>
      <c r="M42" s="50">
        <v>93</v>
      </c>
      <c r="N42" s="50">
        <v>0</v>
      </c>
      <c r="O42" s="15">
        <f t="shared" si="0"/>
        <v>102</v>
      </c>
      <c r="P42" s="15">
        <f t="shared" si="1"/>
        <v>195</v>
      </c>
      <c r="R42" s="5" t="s">
        <v>160</v>
      </c>
      <c r="S42" s="48">
        <f>S41/S40</f>
        <v>1.3596132391223503</v>
      </c>
      <c r="T42" s="48">
        <f t="shared" ref="T42:AF42" si="34">T41/T40</f>
        <v>1.3778207607994841</v>
      </c>
      <c r="U42" s="48">
        <f t="shared" si="34"/>
        <v>1.0588235294117647</v>
      </c>
      <c r="V42" s="48">
        <f t="shared" si="34"/>
        <v>1.3101265822784811</v>
      </c>
      <c r="W42" s="48">
        <f t="shared" si="34"/>
        <v>3</v>
      </c>
      <c r="X42" s="48" t="e">
        <f t="shared" si="34"/>
        <v>#DIV/0!</v>
      </c>
      <c r="Y42" s="48">
        <f t="shared" si="34"/>
        <v>1.2839506172839505</v>
      </c>
      <c r="Z42" s="48">
        <f t="shared" si="34"/>
        <v>1.2307692307692308</v>
      </c>
      <c r="AA42" s="48">
        <f t="shared" si="34"/>
        <v>1.4444444444444444</v>
      </c>
      <c r="AB42" s="48" t="e">
        <f t="shared" si="34"/>
        <v>#DIV/0!</v>
      </c>
      <c r="AC42" s="48">
        <f t="shared" si="34"/>
        <v>1.2363678373382625</v>
      </c>
      <c r="AD42" s="48" t="e">
        <f t="shared" si="34"/>
        <v>#DIV/0!</v>
      </c>
      <c r="AE42" s="48">
        <f t="shared" si="34"/>
        <v>1.363362760834671</v>
      </c>
      <c r="AF42" s="48">
        <f t="shared" si="34"/>
        <v>1.3043384879725086</v>
      </c>
    </row>
    <row r="43" spans="2:32" ht="23.1" customHeight="1" x14ac:dyDescent="0.25">
      <c r="B43" s="45" t="s">
        <v>70</v>
      </c>
      <c r="C43" s="50">
        <v>57</v>
      </c>
      <c r="D43" s="50">
        <v>33</v>
      </c>
      <c r="E43" s="50">
        <v>3</v>
      </c>
      <c r="F43" s="50">
        <v>5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93</v>
      </c>
      <c r="N43" s="50">
        <v>0</v>
      </c>
      <c r="O43" s="15">
        <f t="shared" si="0"/>
        <v>101</v>
      </c>
      <c r="P43" s="15">
        <f t="shared" si="1"/>
        <v>194</v>
      </c>
    </row>
    <row r="44" spans="2:32" ht="23.1" customHeight="1" x14ac:dyDescent="0.25">
      <c r="B44" s="47" t="s">
        <v>71</v>
      </c>
      <c r="C44" s="50">
        <v>46</v>
      </c>
      <c r="D44" s="50">
        <v>39</v>
      </c>
      <c r="E44" s="50">
        <v>2</v>
      </c>
      <c r="F44" s="50">
        <v>12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96</v>
      </c>
      <c r="N44" s="50">
        <v>0</v>
      </c>
      <c r="O44" s="15">
        <f t="shared" si="0"/>
        <v>99</v>
      </c>
      <c r="P44" s="15">
        <f t="shared" si="1"/>
        <v>195</v>
      </c>
    </row>
    <row r="45" spans="2:32" ht="23.1" customHeight="1" x14ac:dyDescent="0.25">
      <c r="B45" s="45" t="s">
        <v>72</v>
      </c>
      <c r="C45" s="50">
        <v>42</v>
      </c>
      <c r="D45" s="50">
        <v>34</v>
      </c>
      <c r="E45" s="50">
        <v>1</v>
      </c>
      <c r="F45" s="50">
        <v>5</v>
      </c>
      <c r="G45" s="50">
        <v>0</v>
      </c>
      <c r="H45" s="50">
        <v>0</v>
      </c>
      <c r="I45" s="50">
        <v>6</v>
      </c>
      <c r="J45" s="50">
        <v>0</v>
      </c>
      <c r="K45" s="50">
        <v>1</v>
      </c>
      <c r="L45" s="50">
        <v>0</v>
      </c>
      <c r="M45" s="50">
        <v>85</v>
      </c>
      <c r="N45" s="50">
        <v>0</v>
      </c>
      <c r="O45" s="15">
        <f t="shared" si="0"/>
        <v>89</v>
      </c>
      <c r="P45" s="15">
        <f t="shared" si="1"/>
        <v>174</v>
      </c>
    </row>
    <row r="46" spans="2:32" ht="23.1" customHeight="1" x14ac:dyDescent="0.25">
      <c r="B46" s="46" t="s">
        <v>73</v>
      </c>
      <c r="C46" s="50">
        <v>51</v>
      </c>
      <c r="D46" s="50">
        <v>32</v>
      </c>
      <c r="E46" s="50">
        <v>2</v>
      </c>
      <c r="F46" s="50">
        <v>6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99</v>
      </c>
      <c r="N46" s="50">
        <v>0</v>
      </c>
      <c r="O46" s="15">
        <f t="shared" si="0"/>
        <v>93</v>
      </c>
      <c r="P46" s="15">
        <f t="shared" si="1"/>
        <v>192</v>
      </c>
      <c r="R46" s="8"/>
      <c r="T46"/>
    </row>
    <row r="47" spans="2:32" ht="23.1" customHeight="1" x14ac:dyDescent="0.25">
      <c r="B47" s="46" t="s">
        <v>74</v>
      </c>
      <c r="C47" s="50">
        <v>35</v>
      </c>
      <c r="D47" s="50">
        <v>18</v>
      </c>
      <c r="E47" s="50">
        <v>0</v>
      </c>
      <c r="F47" s="50">
        <v>9</v>
      </c>
      <c r="G47" s="50">
        <v>0</v>
      </c>
      <c r="H47" s="50">
        <v>0</v>
      </c>
      <c r="I47" s="50">
        <v>7</v>
      </c>
      <c r="J47" s="50">
        <v>0</v>
      </c>
      <c r="K47" s="50">
        <v>2</v>
      </c>
      <c r="L47" s="50">
        <v>0</v>
      </c>
      <c r="M47" s="50">
        <v>82</v>
      </c>
      <c r="N47" s="50">
        <v>0</v>
      </c>
      <c r="O47" s="15">
        <f t="shared" si="0"/>
        <v>71</v>
      </c>
      <c r="P47" s="15">
        <f t="shared" si="1"/>
        <v>153</v>
      </c>
      <c r="R47" s="8"/>
      <c r="T47"/>
    </row>
    <row r="48" spans="2:32" ht="23.1" customHeight="1" x14ac:dyDescent="0.25">
      <c r="B48" s="46" t="s">
        <v>75</v>
      </c>
      <c r="C48" s="50">
        <v>41</v>
      </c>
      <c r="D48" s="50">
        <v>30</v>
      </c>
      <c r="E48" s="50">
        <v>0</v>
      </c>
      <c r="F48" s="50">
        <v>5</v>
      </c>
      <c r="G48" s="50">
        <v>0</v>
      </c>
      <c r="H48" s="50">
        <v>0</v>
      </c>
      <c r="I48" s="50">
        <v>7</v>
      </c>
      <c r="J48" s="50">
        <v>0</v>
      </c>
      <c r="K48" s="50">
        <v>1</v>
      </c>
      <c r="L48" s="50">
        <v>0</v>
      </c>
      <c r="M48" s="50">
        <v>84</v>
      </c>
      <c r="N48" s="50">
        <v>0</v>
      </c>
      <c r="O48" s="15">
        <f t="shared" si="0"/>
        <v>84</v>
      </c>
      <c r="P48" s="15">
        <f t="shared" si="1"/>
        <v>168</v>
      </c>
      <c r="R48" s="8"/>
      <c r="T48"/>
    </row>
    <row r="49" spans="2:20" ht="23.1" customHeight="1" x14ac:dyDescent="0.25">
      <c r="B49" s="45" t="s">
        <v>76</v>
      </c>
      <c r="C49" s="50">
        <v>40</v>
      </c>
      <c r="D49" s="50">
        <v>24</v>
      </c>
      <c r="E49" s="50">
        <v>3</v>
      </c>
      <c r="F49" s="50">
        <v>12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105</v>
      </c>
      <c r="N49" s="50">
        <v>0</v>
      </c>
      <c r="O49" s="15">
        <f t="shared" si="0"/>
        <v>81</v>
      </c>
      <c r="P49" s="15">
        <f t="shared" si="1"/>
        <v>186</v>
      </c>
      <c r="R49" s="8"/>
      <c r="T49"/>
    </row>
    <row r="50" spans="2:20" ht="23.1" customHeight="1" x14ac:dyDescent="0.25">
      <c r="B50" s="46" t="s">
        <v>77</v>
      </c>
      <c r="C50" s="50">
        <v>35</v>
      </c>
      <c r="D50" s="50">
        <v>23</v>
      </c>
      <c r="E50" s="50">
        <v>1</v>
      </c>
      <c r="F50" s="50">
        <v>3</v>
      </c>
      <c r="G50" s="50">
        <v>0</v>
      </c>
      <c r="H50" s="50">
        <v>0</v>
      </c>
      <c r="I50" s="50">
        <v>2</v>
      </c>
      <c r="J50" s="50">
        <v>1</v>
      </c>
      <c r="K50" s="50">
        <v>0</v>
      </c>
      <c r="L50" s="50">
        <v>0</v>
      </c>
      <c r="M50" s="50">
        <v>105</v>
      </c>
      <c r="N50" s="50">
        <v>0</v>
      </c>
      <c r="O50" s="15">
        <f t="shared" si="0"/>
        <v>65</v>
      </c>
      <c r="P50" s="15">
        <f t="shared" si="1"/>
        <v>170</v>
      </c>
      <c r="R50" s="8"/>
      <c r="T50"/>
    </row>
    <row r="51" spans="2:20" ht="23.1" customHeight="1" x14ac:dyDescent="0.25">
      <c r="B51" s="46" t="s">
        <v>78</v>
      </c>
      <c r="C51" s="50">
        <v>37</v>
      </c>
      <c r="D51" s="50">
        <v>27</v>
      </c>
      <c r="E51" s="50">
        <v>1</v>
      </c>
      <c r="F51" s="50">
        <v>8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98</v>
      </c>
      <c r="N51" s="50">
        <v>0</v>
      </c>
      <c r="O51" s="15">
        <f t="shared" si="0"/>
        <v>75</v>
      </c>
      <c r="P51" s="15">
        <f t="shared" si="1"/>
        <v>173</v>
      </c>
      <c r="R51" s="8"/>
      <c r="T51"/>
    </row>
    <row r="52" spans="2:20" ht="23.1" customHeight="1" x14ac:dyDescent="0.25">
      <c r="B52" s="46" t="s">
        <v>79</v>
      </c>
      <c r="C52" s="50">
        <v>43</v>
      </c>
      <c r="D52" s="50">
        <v>17</v>
      </c>
      <c r="E52" s="50">
        <v>1</v>
      </c>
      <c r="F52" s="50">
        <v>12</v>
      </c>
      <c r="G52" s="50">
        <v>0</v>
      </c>
      <c r="H52" s="50">
        <v>0</v>
      </c>
      <c r="I52" s="50">
        <v>3</v>
      </c>
      <c r="J52" s="50">
        <v>1</v>
      </c>
      <c r="K52" s="50">
        <v>1</v>
      </c>
      <c r="L52" s="50">
        <v>0</v>
      </c>
      <c r="M52" s="50">
        <v>78</v>
      </c>
      <c r="N52" s="50">
        <v>0</v>
      </c>
      <c r="O52" s="15">
        <f t="shared" si="0"/>
        <v>78</v>
      </c>
      <c r="P52" s="15">
        <f t="shared" si="1"/>
        <v>156</v>
      </c>
      <c r="R52" s="8"/>
      <c r="T52"/>
    </row>
    <row r="53" spans="2:20" ht="23.1" customHeight="1" x14ac:dyDescent="0.25">
      <c r="B53" s="45" t="s">
        <v>80</v>
      </c>
      <c r="C53" s="50">
        <v>50</v>
      </c>
      <c r="D53" s="50">
        <v>32</v>
      </c>
      <c r="E53" s="50">
        <v>1</v>
      </c>
      <c r="F53" s="50">
        <v>6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75</v>
      </c>
      <c r="N53" s="50">
        <v>0</v>
      </c>
      <c r="O53" s="15">
        <f t="shared" si="0"/>
        <v>92</v>
      </c>
      <c r="P53" s="15">
        <f t="shared" si="1"/>
        <v>167</v>
      </c>
      <c r="R53" s="8"/>
      <c r="T53"/>
    </row>
    <row r="54" spans="2:20" ht="23.1" customHeight="1" x14ac:dyDescent="0.25">
      <c r="B54" s="45" t="s">
        <v>81</v>
      </c>
      <c r="C54" s="50">
        <v>30</v>
      </c>
      <c r="D54" s="50">
        <v>18</v>
      </c>
      <c r="E54" s="50">
        <v>3</v>
      </c>
      <c r="F54" s="50">
        <v>9</v>
      </c>
      <c r="G54" s="50">
        <v>0</v>
      </c>
      <c r="H54" s="50">
        <v>0</v>
      </c>
      <c r="I54" s="50">
        <v>3</v>
      </c>
      <c r="J54" s="50">
        <v>1</v>
      </c>
      <c r="K54" s="50">
        <v>0</v>
      </c>
      <c r="L54" s="50">
        <v>0</v>
      </c>
      <c r="M54" s="50">
        <v>73</v>
      </c>
      <c r="N54" s="50">
        <v>0</v>
      </c>
      <c r="O54" s="15">
        <f t="shared" si="0"/>
        <v>64</v>
      </c>
      <c r="P54" s="15">
        <f t="shared" si="1"/>
        <v>137</v>
      </c>
      <c r="R54" s="8"/>
      <c r="T54"/>
    </row>
    <row r="55" spans="2:20" ht="23.1" customHeight="1" x14ac:dyDescent="0.25">
      <c r="B55" s="45" t="s">
        <v>82</v>
      </c>
      <c r="C55" s="50">
        <v>44</v>
      </c>
      <c r="D55" s="50">
        <v>22</v>
      </c>
      <c r="E55" s="50">
        <v>3</v>
      </c>
      <c r="F55" s="50">
        <v>6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91</v>
      </c>
      <c r="N55" s="50">
        <v>0</v>
      </c>
      <c r="O55" s="15">
        <f t="shared" si="0"/>
        <v>78</v>
      </c>
      <c r="P55" s="15">
        <f t="shared" si="1"/>
        <v>169</v>
      </c>
      <c r="R55" s="8"/>
      <c r="T55"/>
    </row>
    <row r="56" spans="2:20" ht="23.1" customHeight="1" x14ac:dyDescent="0.25">
      <c r="B56" s="45" t="s">
        <v>83</v>
      </c>
      <c r="C56" s="50">
        <v>27</v>
      </c>
      <c r="D56" s="50">
        <v>21</v>
      </c>
      <c r="E56" s="50">
        <v>1</v>
      </c>
      <c r="F56" s="50">
        <v>12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60</v>
      </c>
      <c r="N56" s="50">
        <v>0</v>
      </c>
      <c r="O56" s="15">
        <f t="shared" si="0"/>
        <v>61</v>
      </c>
      <c r="P56" s="15">
        <f t="shared" si="1"/>
        <v>121</v>
      </c>
      <c r="R56" s="8"/>
      <c r="T56"/>
    </row>
    <row r="57" spans="2:20" ht="23.1" customHeight="1" x14ac:dyDescent="0.25">
      <c r="B57" s="45" t="s">
        <v>84</v>
      </c>
      <c r="C57" s="50">
        <v>27</v>
      </c>
      <c r="D57" s="50">
        <v>9</v>
      </c>
      <c r="E57" s="50">
        <v>0</v>
      </c>
      <c r="F57" s="50">
        <v>7</v>
      </c>
      <c r="G57" s="50">
        <v>1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45</v>
      </c>
      <c r="N57" s="50">
        <v>0</v>
      </c>
      <c r="O57" s="15">
        <f t="shared" si="0"/>
        <v>44</v>
      </c>
      <c r="P57" s="15">
        <f t="shared" si="1"/>
        <v>89</v>
      </c>
      <c r="R57" s="8"/>
      <c r="T57"/>
    </row>
    <row r="58" spans="2:20" ht="23.1" customHeight="1" x14ac:dyDescent="0.25">
      <c r="B58" s="45" t="s">
        <v>99</v>
      </c>
      <c r="C58" s="50">
        <v>54</v>
      </c>
      <c r="D58" s="50">
        <v>32</v>
      </c>
      <c r="E58" s="50">
        <v>0</v>
      </c>
      <c r="F58" s="50">
        <v>11</v>
      </c>
      <c r="G58" s="50">
        <v>1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70</v>
      </c>
      <c r="N58" s="50">
        <v>0</v>
      </c>
      <c r="O58" s="15">
        <f t="shared" ref="O58:O73" si="35">SUM(C58:L58,N58)</f>
        <v>99</v>
      </c>
      <c r="P58" s="15">
        <f t="shared" ref="P58:P73" si="36">SUM(C58:N58)</f>
        <v>169</v>
      </c>
      <c r="R58" s="8"/>
      <c r="T58"/>
    </row>
    <row r="59" spans="2:20" ht="23.1" customHeight="1" x14ac:dyDescent="0.25">
      <c r="B59" s="45" t="s">
        <v>100</v>
      </c>
      <c r="C59" s="50">
        <v>54</v>
      </c>
      <c r="D59" s="50">
        <v>39</v>
      </c>
      <c r="E59" s="50" t="s">
        <v>174</v>
      </c>
      <c r="F59" s="50">
        <v>11</v>
      </c>
      <c r="G59" s="50">
        <v>0</v>
      </c>
      <c r="H59" s="50">
        <v>0</v>
      </c>
      <c r="I59" s="50">
        <v>4</v>
      </c>
      <c r="J59" s="50">
        <v>0</v>
      </c>
      <c r="K59" s="50">
        <v>0</v>
      </c>
      <c r="L59" s="50">
        <v>0</v>
      </c>
      <c r="M59" s="50">
        <v>85</v>
      </c>
      <c r="N59" s="50">
        <v>0</v>
      </c>
      <c r="O59" s="15">
        <f t="shared" si="35"/>
        <v>108</v>
      </c>
      <c r="P59" s="15">
        <f t="shared" si="36"/>
        <v>193</v>
      </c>
      <c r="R59" s="8"/>
      <c r="T59"/>
    </row>
    <row r="60" spans="2:20" ht="23.1" customHeight="1" x14ac:dyDescent="0.25">
      <c r="B60" s="45" t="s">
        <v>101</v>
      </c>
      <c r="C60" s="50">
        <v>53</v>
      </c>
      <c r="D60" s="50">
        <v>49</v>
      </c>
      <c r="E60" s="50">
        <v>1</v>
      </c>
      <c r="F60" s="50">
        <v>6</v>
      </c>
      <c r="G60" s="50">
        <v>0</v>
      </c>
      <c r="H60" s="50">
        <v>0</v>
      </c>
      <c r="I60" s="50">
        <v>3</v>
      </c>
      <c r="J60" s="50">
        <v>0</v>
      </c>
      <c r="K60" s="50">
        <v>1</v>
      </c>
      <c r="L60" s="50">
        <v>0</v>
      </c>
      <c r="M60" s="50">
        <v>55</v>
      </c>
      <c r="N60" s="50">
        <v>0</v>
      </c>
      <c r="O60" s="15">
        <f t="shared" si="35"/>
        <v>113</v>
      </c>
      <c r="P60" s="15">
        <f t="shared" si="36"/>
        <v>168</v>
      </c>
      <c r="R60" s="8"/>
      <c r="T60"/>
    </row>
    <row r="61" spans="2:20" ht="23.1" customHeight="1" x14ac:dyDescent="0.25">
      <c r="B61" s="45" t="s">
        <v>102</v>
      </c>
      <c r="C61" s="50">
        <v>41</v>
      </c>
      <c r="D61" s="50">
        <v>25</v>
      </c>
      <c r="E61" s="50">
        <v>2</v>
      </c>
      <c r="F61" s="50">
        <v>8</v>
      </c>
      <c r="G61" s="50">
        <v>0</v>
      </c>
      <c r="H61" s="50">
        <v>0</v>
      </c>
      <c r="I61" s="50">
        <v>10</v>
      </c>
      <c r="J61" s="50">
        <v>0</v>
      </c>
      <c r="K61" s="50">
        <v>0</v>
      </c>
      <c r="L61" s="50">
        <v>0</v>
      </c>
      <c r="M61" s="50">
        <v>65</v>
      </c>
      <c r="N61" s="50">
        <v>0</v>
      </c>
      <c r="O61" s="15">
        <f t="shared" si="35"/>
        <v>86</v>
      </c>
      <c r="P61" s="15">
        <f t="shared" si="36"/>
        <v>151</v>
      </c>
      <c r="R61" s="8"/>
      <c r="T61"/>
    </row>
    <row r="62" spans="2:20" ht="23.1" customHeight="1" x14ac:dyDescent="0.25">
      <c r="B62" s="45" t="s">
        <v>107</v>
      </c>
      <c r="C62" s="50">
        <v>38</v>
      </c>
      <c r="D62" s="50">
        <v>31</v>
      </c>
      <c r="E62" s="50">
        <v>0</v>
      </c>
      <c r="F62" s="50">
        <v>5</v>
      </c>
      <c r="G62" s="50">
        <v>0</v>
      </c>
      <c r="H62" s="50">
        <v>0</v>
      </c>
      <c r="I62" s="50">
        <v>3</v>
      </c>
      <c r="J62" s="50">
        <v>0</v>
      </c>
      <c r="K62" s="50">
        <v>1</v>
      </c>
      <c r="L62" s="50">
        <v>0</v>
      </c>
      <c r="M62" s="50">
        <v>30</v>
      </c>
      <c r="N62" s="50">
        <v>0</v>
      </c>
      <c r="O62" s="15">
        <f t="shared" si="35"/>
        <v>78</v>
      </c>
      <c r="P62" s="15">
        <f t="shared" si="36"/>
        <v>108</v>
      </c>
      <c r="R62" s="8"/>
      <c r="T62"/>
    </row>
    <row r="63" spans="2:20" ht="23.1" customHeight="1" x14ac:dyDescent="0.25">
      <c r="B63" s="45" t="s">
        <v>108</v>
      </c>
      <c r="C63" s="50">
        <v>39</v>
      </c>
      <c r="D63" s="50">
        <v>33</v>
      </c>
      <c r="E63" s="50">
        <v>0</v>
      </c>
      <c r="F63" s="50">
        <v>13</v>
      </c>
      <c r="G63" s="50">
        <v>0</v>
      </c>
      <c r="H63" s="50">
        <v>0</v>
      </c>
      <c r="I63" s="50">
        <v>0</v>
      </c>
      <c r="J63" s="50">
        <v>1</v>
      </c>
      <c r="K63" s="50">
        <v>0</v>
      </c>
      <c r="L63" s="50">
        <v>0</v>
      </c>
      <c r="M63" s="50">
        <v>55</v>
      </c>
      <c r="N63" s="50">
        <v>0</v>
      </c>
      <c r="O63" s="15">
        <f t="shared" si="35"/>
        <v>86</v>
      </c>
      <c r="P63" s="15">
        <f t="shared" si="36"/>
        <v>141</v>
      </c>
      <c r="R63" s="8"/>
      <c r="T63"/>
    </row>
    <row r="64" spans="2:20" ht="23.1" customHeight="1" x14ac:dyDescent="0.25">
      <c r="B64" s="45" t="s">
        <v>109</v>
      </c>
      <c r="C64" s="50">
        <v>44</v>
      </c>
      <c r="D64" s="50">
        <v>18</v>
      </c>
      <c r="E64" s="50">
        <v>0</v>
      </c>
      <c r="F64" s="50">
        <v>3</v>
      </c>
      <c r="G64" s="50">
        <v>0</v>
      </c>
      <c r="H64" s="50">
        <v>0</v>
      </c>
      <c r="I64" s="50">
        <v>1</v>
      </c>
      <c r="J64" s="50">
        <v>0</v>
      </c>
      <c r="K64" s="50">
        <v>0</v>
      </c>
      <c r="L64" s="50">
        <v>0</v>
      </c>
      <c r="M64" s="50">
        <v>40</v>
      </c>
      <c r="N64" s="50">
        <v>0</v>
      </c>
      <c r="O64" s="15">
        <f t="shared" si="35"/>
        <v>66</v>
      </c>
      <c r="P64" s="15">
        <f t="shared" si="36"/>
        <v>106</v>
      </c>
      <c r="R64" s="8"/>
      <c r="T64"/>
    </row>
    <row r="65" spans="2:20" ht="23.1" customHeight="1" x14ac:dyDescent="0.25">
      <c r="B65" s="45" t="s">
        <v>158</v>
      </c>
      <c r="C65" s="50">
        <v>46</v>
      </c>
      <c r="D65" s="50">
        <v>23</v>
      </c>
      <c r="E65" s="50">
        <v>0</v>
      </c>
      <c r="F65" s="50">
        <v>3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35</v>
      </c>
      <c r="N65" s="50">
        <v>0</v>
      </c>
      <c r="O65" s="15">
        <f t="shared" si="35"/>
        <v>72</v>
      </c>
      <c r="P65" s="15">
        <f t="shared" si="36"/>
        <v>107</v>
      </c>
      <c r="R65" s="8"/>
      <c r="T65"/>
    </row>
    <row r="66" spans="2:20" ht="23.1" customHeight="1" x14ac:dyDescent="0.25">
      <c r="B66" s="45" t="s">
        <v>103</v>
      </c>
      <c r="C66" s="50">
        <v>46</v>
      </c>
      <c r="D66" s="50">
        <v>33</v>
      </c>
      <c r="E66" s="50">
        <v>0</v>
      </c>
      <c r="F66" s="50">
        <v>7</v>
      </c>
      <c r="G66" s="50">
        <v>0</v>
      </c>
      <c r="H66" s="50">
        <v>0</v>
      </c>
      <c r="I66" s="50">
        <v>1</v>
      </c>
      <c r="J66" s="50">
        <v>0</v>
      </c>
      <c r="K66" s="50">
        <v>0</v>
      </c>
      <c r="L66" s="50">
        <v>0</v>
      </c>
      <c r="M66" s="50">
        <v>50</v>
      </c>
      <c r="N66" s="50">
        <v>0</v>
      </c>
      <c r="O66" s="15">
        <f t="shared" si="35"/>
        <v>87</v>
      </c>
      <c r="P66" s="15">
        <f t="shared" si="36"/>
        <v>137</v>
      </c>
      <c r="R66" s="8"/>
      <c r="T66"/>
    </row>
    <row r="67" spans="2:20" ht="23.1" customHeight="1" x14ac:dyDescent="0.25">
      <c r="B67" s="45" t="s">
        <v>104</v>
      </c>
      <c r="C67" s="50">
        <v>47</v>
      </c>
      <c r="D67" s="50">
        <v>27</v>
      </c>
      <c r="E67" s="50">
        <v>1</v>
      </c>
      <c r="F67" s="50">
        <v>8</v>
      </c>
      <c r="G67" s="50">
        <v>0</v>
      </c>
      <c r="H67" s="50">
        <v>0</v>
      </c>
      <c r="I67" s="50">
        <v>3</v>
      </c>
      <c r="J67" s="50">
        <v>0</v>
      </c>
      <c r="K67" s="50">
        <v>0</v>
      </c>
      <c r="L67" s="50">
        <v>0</v>
      </c>
      <c r="M67" s="50">
        <v>46</v>
      </c>
      <c r="N67" s="50">
        <v>0</v>
      </c>
      <c r="O67" s="15">
        <f t="shared" si="35"/>
        <v>86</v>
      </c>
      <c r="P67" s="15">
        <f t="shared" si="36"/>
        <v>132</v>
      </c>
      <c r="R67" s="8"/>
      <c r="T67"/>
    </row>
    <row r="68" spans="2:20" ht="23.1" customHeight="1" x14ac:dyDescent="0.25">
      <c r="B68" s="45" t="s">
        <v>105</v>
      </c>
      <c r="C68" s="50">
        <v>44</v>
      </c>
      <c r="D68" s="50">
        <v>28</v>
      </c>
      <c r="E68" s="50">
        <v>0</v>
      </c>
      <c r="F68" s="50">
        <v>8</v>
      </c>
      <c r="G68" s="50">
        <v>0</v>
      </c>
      <c r="H68" s="50">
        <v>0</v>
      </c>
      <c r="I68" s="50">
        <v>3</v>
      </c>
      <c r="J68" s="50">
        <v>0</v>
      </c>
      <c r="K68" s="50">
        <v>1</v>
      </c>
      <c r="L68" s="50">
        <v>0</v>
      </c>
      <c r="M68" s="50">
        <v>20</v>
      </c>
      <c r="N68" s="50">
        <v>0</v>
      </c>
      <c r="O68" s="15">
        <f t="shared" si="35"/>
        <v>84</v>
      </c>
      <c r="P68" s="15">
        <f t="shared" si="36"/>
        <v>104</v>
      </c>
      <c r="R68" s="8"/>
      <c r="T68"/>
    </row>
    <row r="69" spans="2:20" ht="23.1" customHeight="1" x14ac:dyDescent="0.25">
      <c r="B69" s="45" t="s">
        <v>106</v>
      </c>
      <c r="C69" s="50">
        <v>49</v>
      </c>
      <c r="D69" s="50">
        <v>28</v>
      </c>
      <c r="E69" s="50">
        <v>1</v>
      </c>
      <c r="F69" s="50">
        <v>5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40</v>
      </c>
      <c r="N69" s="50">
        <v>0</v>
      </c>
      <c r="O69" s="15">
        <f t="shared" si="35"/>
        <v>83</v>
      </c>
      <c r="P69" s="15">
        <f t="shared" si="36"/>
        <v>123</v>
      </c>
      <c r="R69" s="8"/>
      <c r="T69"/>
    </row>
    <row r="70" spans="2:20" ht="23.1" customHeight="1" x14ac:dyDescent="0.25">
      <c r="B70" s="45" t="s">
        <v>110</v>
      </c>
      <c r="C70" s="50">
        <v>40</v>
      </c>
      <c r="D70" s="50">
        <v>14</v>
      </c>
      <c r="E70" s="50">
        <v>0</v>
      </c>
      <c r="F70" s="50">
        <v>9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42</v>
      </c>
      <c r="N70" s="50">
        <v>0</v>
      </c>
      <c r="O70" s="15">
        <f t="shared" si="35"/>
        <v>63</v>
      </c>
      <c r="P70" s="15">
        <f t="shared" si="36"/>
        <v>105</v>
      </c>
      <c r="R70" s="8"/>
      <c r="T70"/>
    </row>
    <row r="71" spans="2:20" ht="23.1" customHeight="1" x14ac:dyDescent="0.25">
      <c r="B71" s="45" t="s">
        <v>111</v>
      </c>
      <c r="C71" s="50">
        <v>41</v>
      </c>
      <c r="D71" s="50">
        <v>25</v>
      </c>
      <c r="E71" s="50">
        <v>0</v>
      </c>
      <c r="F71" s="50">
        <v>11</v>
      </c>
      <c r="G71" s="50">
        <v>0</v>
      </c>
      <c r="H71" s="50">
        <v>0</v>
      </c>
      <c r="I71" s="50">
        <v>10</v>
      </c>
      <c r="J71" s="50">
        <v>0</v>
      </c>
      <c r="K71" s="50">
        <v>0</v>
      </c>
      <c r="L71" s="50">
        <v>0</v>
      </c>
      <c r="M71" s="50">
        <v>40</v>
      </c>
      <c r="N71" s="50">
        <v>0</v>
      </c>
      <c r="O71" s="15">
        <f t="shared" si="35"/>
        <v>87</v>
      </c>
      <c r="P71" s="15">
        <f t="shared" si="36"/>
        <v>127</v>
      </c>
      <c r="R71" s="8"/>
      <c r="T71"/>
    </row>
    <row r="72" spans="2:20" ht="23.1" customHeight="1" x14ac:dyDescent="0.25">
      <c r="B72" s="45" t="s">
        <v>112</v>
      </c>
      <c r="C72" s="50">
        <v>31</v>
      </c>
      <c r="D72" s="50">
        <v>17</v>
      </c>
      <c r="E72" s="50">
        <v>0</v>
      </c>
      <c r="F72" s="50">
        <v>4</v>
      </c>
      <c r="G72" s="50">
        <v>0</v>
      </c>
      <c r="H72" s="50">
        <v>0</v>
      </c>
      <c r="I72" s="50">
        <v>2</v>
      </c>
      <c r="J72" s="50">
        <v>0</v>
      </c>
      <c r="K72" s="50">
        <v>0</v>
      </c>
      <c r="L72" s="50">
        <v>0</v>
      </c>
      <c r="M72" s="50">
        <v>35</v>
      </c>
      <c r="N72" s="50">
        <v>0</v>
      </c>
      <c r="O72" s="15">
        <f t="shared" si="35"/>
        <v>54</v>
      </c>
      <c r="P72" s="15">
        <f t="shared" si="36"/>
        <v>89</v>
      </c>
      <c r="R72" s="8"/>
      <c r="T72"/>
    </row>
    <row r="73" spans="2:20" ht="23.1" customHeight="1" x14ac:dyDescent="0.25">
      <c r="B73" s="45" t="s">
        <v>113</v>
      </c>
      <c r="C73" s="50">
        <v>41</v>
      </c>
      <c r="D73" s="50">
        <v>23</v>
      </c>
      <c r="E73" s="50">
        <v>0</v>
      </c>
      <c r="F73" s="50">
        <v>7</v>
      </c>
      <c r="G73" s="50">
        <v>0</v>
      </c>
      <c r="H73" s="50">
        <v>0</v>
      </c>
      <c r="I73" s="50">
        <v>1</v>
      </c>
      <c r="J73" s="50">
        <v>0</v>
      </c>
      <c r="K73" s="50">
        <v>1</v>
      </c>
      <c r="L73" s="50">
        <v>0</v>
      </c>
      <c r="M73" s="50">
        <v>20</v>
      </c>
      <c r="N73" s="50">
        <v>0</v>
      </c>
      <c r="O73" s="15">
        <f t="shared" si="35"/>
        <v>73</v>
      </c>
      <c r="P73" s="15">
        <f t="shared" si="36"/>
        <v>93</v>
      </c>
      <c r="R73" s="8"/>
      <c r="T73"/>
    </row>
    <row r="74" spans="2:20" ht="23.1" customHeight="1" x14ac:dyDescent="0.25">
      <c r="B74" s="45" t="s">
        <v>114</v>
      </c>
      <c r="C74" s="50">
        <v>29</v>
      </c>
      <c r="D74" s="50">
        <v>23</v>
      </c>
      <c r="E74" s="50">
        <v>0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45</v>
      </c>
      <c r="N74" s="50">
        <v>0</v>
      </c>
      <c r="O74" s="15">
        <f t="shared" ref="O74:O105" si="37">SUM(C74:L74,N74)</f>
        <v>53</v>
      </c>
      <c r="P74" s="15">
        <f t="shared" ref="P74:P105" si="38">SUM(C74:N74)</f>
        <v>98</v>
      </c>
      <c r="R74" s="8"/>
      <c r="T74"/>
    </row>
    <row r="75" spans="2:20" ht="23.1" customHeight="1" x14ac:dyDescent="0.25">
      <c r="B75" s="45" t="s">
        <v>115</v>
      </c>
      <c r="C75" s="50">
        <v>14</v>
      </c>
      <c r="D75" s="50">
        <v>12</v>
      </c>
      <c r="E75" s="50">
        <v>0</v>
      </c>
      <c r="F75" s="50">
        <v>1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20</v>
      </c>
      <c r="N75" s="50">
        <v>0</v>
      </c>
      <c r="O75" s="15">
        <f t="shared" si="37"/>
        <v>27</v>
      </c>
      <c r="P75" s="15">
        <f t="shared" si="38"/>
        <v>47</v>
      </c>
      <c r="R75" s="8"/>
      <c r="T75"/>
    </row>
    <row r="76" spans="2:20" ht="23.1" customHeight="1" x14ac:dyDescent="0.25">
      <c r="B76" s="45" t="s">
        <v>116</v>
      </c>
      <c r="C76" s="50">
        <v>11</v>
      </c>
      <c r="D76" s="50">
        <v>9</v>
      </c>
      <c r="E76" s="50">
        <v>0</v>
      </c>
      <c r="F76" s="50">
        <v>1</v>
      </c>
      <c r="G76" s="50">
        <v>0</v>
      </c>
      <c r="H76" s="50">
        <v>0</v>
      </c>
      <c r="I76" s="50">
        <v>2</v>
      </c>
      <c r="J76" s="50">
        <v>0</v>
      </c>
      <c r="K76" s="50">
        <v>0</v>
      </c>
      <c r="L76" s="50">
        <v>0</v>
      </c>
      <c r="M76" s="50">
        <v>17</v>
      </c>
      <c r="N76" s="50">
        <v>0</v>
      </c>
      <c r="O76" s="15">
        <f t="shared" si="37"/>
        <v>23</v>
      </c>
      <c r="P76" s="15">
        <f t="shared" si="38"/>
        <v>40</v>
      </c>
      <c r="R76" s="8"/>
      <c r="T76"/>
    </row>
    <row r="77" spans="2:20" ht="23.1" customHeight="1" x14ac:dyDescent="0.25">
      <c r="B77" s="45" t="s">
        <v>117</v>
      </c>
      <c r="C77" s="50">
        <v>11</v>
      </c>
      <c r="D77" s="50">
        <v>4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15</v>
      </c>
      <c r="N77" s="50">
        <v>0</v>
      </c>
      <c r="O77" s="15">
        <f t="shared" si="37"/>
        <v>15</v>
      </c>
      <c r="P77" s="15">
        <f t="shared" si="38"/>
        <v>30</v>
      </c>
      <c r="R77" s="8"/>
      <c r="T77"/>
    </row>
    <row r="78" spans="2:20" ht="23.1" customHeight="1" x14ac:dyDescent="0.25">
      <c r="B78" s="46" t="s">
        <v>118</v>
      </c>
      <c r="C78" s="50">
        <v>15</v>
      </c>
      <c r="D78" s="50">
        <v>6</v>
      </c>
      <c r="E78" s="50">
        <v>0</v>
      </c>
      <c r="F78" s="50">
        <v>1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17</v>
      </c>
      <c r="N78" s="50">
        <v>0</v>
      </c>
      <c r="O78" s="15">
        <f t="shared" si="37"/>
        <v>22</v>
      </c>
      <c r="P78" s="15">
        <f t="shared" si="38"/>
        <v>39</v>
      </c>
      <c r="R78" s="8"/>
      <c r="T78"/>
    </row>
    <row r="79" spans="2:20" ht="23.1" customHeight="1" x14ac:dyDescent="0.25">
      <c r="B79" s="45" t="s">
        <v>119</v>
      </c>
      <c r="C79" s="50">
        <v>14</v>
      </c>
      <c r="D79" s="50">
        <v>5</v>
      </c>
      <c r="E79" s="50">
        <v>0</v>
      </c>
      <c r="F79" s="50">
        <v>2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2</v>
      </c>
      <c r="N79" s="50">
        <v>0</v>
      </c>
      <c r="O79" s="15">
        <f t="shared" si="37"/>
        <v>21</v>
      </c>
      <c r="P79" s="15">
        <f t="shared" si="38"/>
        <v>23</v>
      </c>
      <c r="R79" s="8"/>
      <c r="T79"/>
    </row>
    <row r="80" spans="2:20" ht="23.1" customHeight="1" x14ac:dyDescent="0.25">
      <c r="B80" s="47" t="s">
        <v>120</v>
      </c>
      <c r="C80" s="50">
        <v>13</v>
      </c>
      <c r="D80" s="50">
        <v>6</v>
      </c>
      <c r="E80" s="50">
        <v>0</v>
      </c>
      <c r="F80" s="50">
        <v>0</v>
      </c>
      <c r="G80" s="50">
        <v>0</v>
      </c>
      <c r="H80" s="50">
        <v>0</v>
      </c>
      <c r="I80" s="50">
        <v>1</v>
      </c>
      <c r="J80" s="50">
        <v>1</v>
      </c>
      <c r="K80" s="50">
        <v>0</v>
      </c>
      <c r="L80" s="50">
        <v>0</v>
      </c>
      <c r="M80" s="50">
        <v>16</v>
      </c>
      <c r="N80" s="50">
        <v>0</v>
      </c>
      <c r="O80" s="15">
        <f t="shared" si="37"/>
        <v>21</v>
      </c>
      <c r="P80" s="15">
        <f t="shared" si="38"/>
        <v>37</v>
      </c>
      <c r="R80" s="8"/>
      <c r="T80"/>
    </row>
    <row r="81" spans="2:20" ht="23.1" customHeight="1" x14ac:dyDescent="0.25">
      <c r="B81" s="45" t="s">
        <v>121</v>
      </c>
      <c r="C81" s="50">
        <v>21</v>
      </c>
      <c r="D81" s="50">
        <v>16</v>
      </c>
      <c r="E81" s="50">
        <v>0</v>
      </c>
      <c r="F81" s="50">
        <v>1</v>
      </c>
      <c r="G81" s="50">
        <v>1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8</v>
      </c>
      <c r="N81" s="50">
        <v>0</v>
      </c>
      <c r="O81" s="15">
        <f t="shared" si="37"/>
        <v>39</v>
      </c>
      <c r="P81" s="15">
        <f t="shared" si="38"/>
        <v>47</v>
      </c>
      <c r="R81" s="8"/>
      <c r="T81"/>
    </row>
    <row r="82" spans="2:20" ht="23.1" customHeight="1" x14ac:dyDescent="0.25">
      <c r="B82" s="46" t="s">
        <v>122</v>
      </c>
      <c r="C82" s="50">
        <v>6</v>
      </c>
      <c r="D82" s="50">
        <v>3</v>
      </c>
      <c r="E82" s="50">
        <v>0</v>
      </c>
      <c r="F82" s="50">
        <v>0</v>
      </c>
      <c r="G82" s="50">
        <v>0</v>
      </c>
      <c r="H82" s="50">
        <v>0</v>
      </c>
      <c r="I82" s="50">
        <v>1</v>
      </c>
      <c r="J82" s="50">
        <v>1</v>
      </c>
      <c r="K82" s="50">
        <v>0</v>
      </c>
      <c r="L82" s="50">
        <v>0</v>
      </c>
      <c r="M82" s="50">
        <v>4</v>
      </c>
      <c r="N82" s="50">
        <v>0</v>
      </c>
      <c r="O82" s="15">
        <f t="shared" si="37"/>
        <v>11</v>
      </c>
      <c r="P82" s="15">
        <f t="shared" si="38"/>
        <v>15</v>
      </c>
      <c r="R82" s="8"/>
      <c r="T82"/>
    </row>
    <row r="83" spans="2:20" ht="23.1" customHeight="1" x14ac:dyDescent="0.25">
      <c r="B83" s="45" t="s">
        <v>123</v>
      </c>
      <c r="C83" s="50">
        <v>5</v>
      </c>
      <c r="D83" s="50">
        <v>2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6</v>
      </c>
      <c r="N83" s="50">
        <v>0</v>
      </c>
      <c r="O83" s="15">
        <f t="shared" si="37"/>
        <v>7</v>
      </c>
      <c r="P83" s="15">
        <f t="shared" si="38"/>
        <v>13</v>
      </c>
      <c r="R83" s="8"/>
      <c r="T83"/>
    </row>
    <row r="84" spans="2:20" ht="23.1" customHeight="1" x14ac:dyDescent="0.25">
      <c r="B84" s="47" t="s">
        <v>124</v>
      </c>
      <c r="C84" s="50">
        <v>7</v>
      </c>
      <c r="D84" s="50">
        <v>0</v>
      </c>
      <c r="E84" s="50">
        <v>0</v>
      </c>
      <c r="F84" s="50">
        <v>2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5</v>
      </c>
      <c r="N84" s="50">
        <v>0</v>
      </c>
      <c r="O84" s="15">
        <f t="shared" si="37"/>
        <v>9</v>
      </c>
      <c r="P84" s="15">
        <f t="shared" si="38"/>
        <v>14</v>
      </c>
      <c r="R84" s="8"/>
      <c r="T84"/>
    </row>
    <row r="85" spans="2:20" ht="23.1" customHeight="1" x14ac:dyDescent="0.25">
      <c r="B85" s="45" t="s">
        <v>125</v>
      </c>
      <c r="C85" s="50">
        <v>6</v>
      </c>
      <c r="D85" s="50">
        <v>1</v>
      </c>
      <c r="E85" s="50">
        <v>0</v>
      </c>
      <c r="F85" s="50">
        <v>1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3</v>
      </c>
      <c r="N85" s="50">
        <v>0</v>
      </c>
      <c r="O85" s="15">
        <f t="shared" si="37"/>
        <v>8</v>
      </c>
      <c r="P85" s="15">
        <f t="shared" si="38"/>
        <v>11</v>
      </c>
      <c r="R85" s="8"/>
      <c r="T85"/>
    </row>
    <row r="86" spans="2:20" ht="23.1" customHeight="1" x14ac:dyDescent="0.25">
      <c r="B86" s="46" t="s">
        <v>126</v>
      </c>
      <c r="C86" s="50">
        <v>6</v>
      </c>
      <c r="D86" s="50">
        <v>3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6</v>
      </c>
      <c r="N86" s="50">
        <v>0</v>
      </c>
      <c r="O86" s="15">
        <f t="shared" si="37"/>
        <v>9</v>
      </c>
      <c r="P86" s="15">
        <f t="shared" si="38"/>
        <v>15</v>
      </c>
      <c r="R86" s="8"/>
      <c r="T86"/>
    </row>
    <row r="87" spans="2:20" ht="23.1" customHeight="1" x14ac:dyDescent="0.25">
      <c r="B87" s="45" t="s">
        <v>127</v>
      </c>
      <c r="C87" s="50">
        <v>9</v>
      </c>
      <c r="D87" s="50">
        <v>6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2</v>
      </c>
      <c r="N87" s="50">
        <v>0</v>
      </c>
      <c r="O87" s="15">
        <f t="shared" si="37"/>
        <v>15</v>
      </c>
      <c r="P87" s="15">
        <f t="shared" si="38"/>
        <v>17</v>
      </c>
      <c r="R87" s="8"/>
      <c r="T87"/>
    </row>
    <row r="88" spans="2:20" ht="23.1" customHeight="1" x14ac:dyDescent="0.25">
      <c r="B88" s="47" t="s">
        <v>128</v>
      </c>
      <c r="C88" s="50">
        <v>5</v>
      </c>
      <c r="D88" s="50">
        <v>3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4</v>
      </c>
      <c r="N88" s="50">
        <v>0</v>
      </c>
      <c r="O88" s="15">
        <f t="shared" si="37"/>
        <v>8</v>
      </c>
      <c r="P88" s="15">
        <f t="shared" si="38"/>
        <v>12</v>
      </c>
      <c r="R88" s="8"/>
      <c r="T88"/>
    </row>
    <row r="89" spans="2:20" ht="23.1" customHeight="1" x14ac:dyDescent="0.25">
      <c r="B89" s="45" t="s">
        <v>129</v>
      </c>
      <c r="C89" s="50">
        <v>3</v>
      </c>
      <c r="D89" s="50">
        <v>2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7</v>
      </c>
      <c r="N89" s="50">
        <v>0</v>
      </c>
      <c r="O89" s="15">
        <f t="shared" si="37"/>
        <v>5</v>
      </c>
      <c r="P89" s="15">
        <f t="shared" si="38"/>
        <v>12</v>
      </c>
      <c r="R89" s="8"/>
      <c r="T89"/>
    </row>
    <row r="90" spans="2:20" ht="23.1" customHeight="1" x14ac:dyDescent="0.25">
      <c r="B90" s="46" t="s">
        <v>130</v>
      </c>
      <c r="C90" s="50">
        <v>9</v>
      </c>
      <c r="D90" s="50">
        <v>1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10</v>
      </c>
      <c r="N90" s="50">
        <v>0</v>
      </c>
      <c r="O90" s="15">
        <f t="shared" si="37"/>
        <v>10</v>
      </c>
      <c r="P90" s="15">
        <f t="shared" si="38"/>
        <v>20</v>
      </c>
      <c r="R90" s="8"/>
      <c r="T90"/>
    </row>
    <row r="91" spans="2:20" ht="23.1" customHeight="1" x14ac:dyDescent="0.25">
      <c r="B91" s="45" t="s">
        <v>131</v>
      </c>
      <c r="C91" s="50">
        <v>7</v>
      </c>
      <c r="D91" s="50">
        <v>1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3</v>
      </c>
      <c r="N91" s="50">
        <v>0</v>
      </c>
      <c r="O91" s="15">
        <f t="shared" si="37"/>
        <v>8</v>
      </c>
      <c r="P91" s="15">
        <f t="shared" si="38"/>
        <v>11</v>
      </c>
      <c r="R91" s="8"/>
      <c r="T91"/>
    </row>
    <row r="92" spans="2:20" ht="23.1" customHeight="1" x14ac:dyDescent="0.25">
      <c r="B92" s="47" t="s">
        <v>132</v>
      </c>
      <c r="C92" s="50">
        <v>12</v>
      </c>
      <c r="D92" s="50">
        <v>2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3</v>
      </c>
      <c r="N92" s="50">
        <v>0</v>
      </c>
      <c r="O92" s="15">
        <f t="shared" si="37"/>
        <v>14</v>
      </c>
      <c r="P92" s="15">
        <f t="shared" si="38"/>
        <v>17</v>
      </c>
      <c r="R92" s="8"/>
      <c r="T92"/>
    </row>
    <row r="93" spans="2:20" ht="23.1" customHeight="1" x14ac:dyDescent="0.25">
      <c r="B93" s="45" t="s">
        <v>133</v>
      </c>
      <c r="C93" s="50">
        <v>8</v>
      </c>
      <c r="D93" s="50">
        <v>1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2</v>
      </c>
      <c r="N93" s="50">
        <v>0</v>
      </c>
      <c r="O93" s="15">
        <f t="shared" si="37"/>
        <v>9</v>
      </c>
      <c r="P93" s="15">
        <f t="shared" si="38"/>
        <v>11</v>
      </c>
      <c r="R93" s="8"/>
      <c r="T93"/>
    </row>
    <row r="94" spans="2:20" ht="23.1" customHeight="1" x14ac:dyDescent="0.25">
      <c r="B94" s="46" t="s">
        <v>134</v>
      </c>
      <c r="C94" s="50">
        <v>8</v>
      </c>
      <c r="D94" s="50">
        <v>3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7"/>
        <v>11</v>
      </c>
      <c r="P94" s="15">
        <f t="shared" si="38"/>
        <v>11</v>
      </c>
      <c r="R94" s="8"/>
      <c r="T94"/>
    </row>
    <row r="95" spans="2:20" ht="23.1" customHeight="1" x14ac:dyDescent="0.25">
      <c r="B95" s="45" t="s">
        <v>135</v>
      </c>
      <c r="C95" s="50">
        <v>9</v>
      </c>
      <c r="D95" s="50">
        <v>1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2</v>
      </c>
      <c r="N95" s="50">
        <v>0</v>
      </c>
      <c r="O95" s="15">
        <f t="shared" si="37"/>
        <v>10</v>
      </c>
      <c r="P95" s="15">
        <f t="shared" si="38"/>
        <v>12</v>
      </c>
      <c r="R95" s="8"/>
      <c r="T95"/>
    </row>
    <row r="96" spans="2:20" ht="23.1" customHeight="1" x14ac:dyDescent="0.25">
      <c r="B96" s="47" t="s">
        <v>136</v>
      </c>
      <c r="C96" s="50">
        <v>6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7"/>
        <v>6</v>
      </c>
      <c r="P96" s="15">
        <f t="shared" si="38"/>
        <v>6</v>
      </c>
      <c r="R96" s="8"/>
      <c r="T96"/>
    </row>
    <row r="97" spans="2:20" ht="23.1" customHeight="1" x14ac:dyDescent="0.25">
      <c r="B97" s="45" t="s">
        <v>137</v>
      </c>
      <c r="C97" s="50">
        <v>11</v>
      </c>
      <c r="D97" s="50">
        <v>2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1</v>
      </c>
      <c r="N97" s="50">
        <v>0</v>
      </c>
      <c r="O97" s="15">
        <f t="shared" si="37"/>
        <v>13</v>
      </c>
      <c r="P97" s="15">
        <f t="shared" si="38"/>
        <v>14</v>
      </c>
      <c r="R97" s="8"/>
      <c r="T97"/>
    </row>
    <row r="98" spans="2:20" ht="23.1" customHeight="1" x14ac:dyDescent="0.25">
      <c r="B98" s="46" t="s">
        <v>138</v>
      </c>
      <c r="C98" s="50">
        <v>9</v>
      </c>
      <c r="D98" s="50">
        <v>2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4</v>
      </c>
      <c r="N98" s="50">
        <v>0</v>
      </c>
      <c r="O98" s="15">
        <f t="shared" si="37"/>
        <v>11</v>
      </c>
      <c r="P98" s="15">
        <f t="shared" si="38"/>
        <v>15</v>
      </c>
      <c r="R98" s="8"/>
      <c r="T98"/>
    </row>
    <row r="99" spans="2:20" ht="23.1" customHeight="1" x14ac:dyDescent="0.25">
      <c r="B99" s="45" t="s">
        <v>139</v>
      </c>
      <c r="C99" s="50">
        <v>7</v>
      </c>
      <c r="D99" s="50">
        <v>2</v>
      </c>
      <c r="E99" s="50">
        <v>0</v>
      </c>
      <c r="F99" s="50">
        <v>1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5</v>
      </c>
      <c r="N99" s="50">
        <v>0</v>
      </c>
      <c r="O99" s="15">
        <f t="shared" si="37"/>
        <v>10</v>
      </c>
      <c r="P99" s="15">
        <f t="shared" si="38"/>
        <v>15</v>
      </c>
      <c r="R99" s="8"/>
      <c r="T99"/>
    </row>
    <row r="100" spans="2:20" ht="23.1" customHeight="1" x14ac:dyDescent="0.25">
      <c r="B100" s="47" t="s">
        <v>140</v>
      </c>
      <c r="C100" s="50">
        <v>5</v>
      </c>
      <c r="D100" s="50">
        <v>5</v>
      </c>
      <c r="E100" s="50">
        <v>0</v>
      </c>
      <c r="F100" s="50">
        <v>3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7</v>
      </c>
      <c r="N100" s="50">
        <v>0</v>
      </c>
      <c r="O100" s="15">
        <f t="shared" si="37"/>
        <v>13</v>
      </c>
      <c r="P100" s="15">
        <f t="shared" si="38"/>
        <v>20</v>
      </c>
      <c r="R100" s="8"/>
      <c r="T100"/>
    </row>
    <row r="101" spans="2:20" ht="23.1" customHeight="1" x14ac:dyDescent="0.25">
      <c r="B101" s="45" t="s">
        <v>141</v>
      </c>
      <c r="C101" s="50">
        <v>6</v>
      </c>
      <c r="D101" s="50">
        <v>4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56</v>
      </c>
      <c r="N101" s="50">
        <v>0</v>
      </c>
      <c r="O101" s="15">
        <f t="shared" si="37"/>
        <v>10</v>
      </c>
      <c r="P101" s="15">
        <f t="shared" si="38"/>
        <v>66</v>
      </c>
      <c r="R101" s="8"/>
      <c r="T101"/>
    </row>
    <row r="102" spans="2:20" ht="23.1" customHeight="1" x14ac:dyDescent="0.25">
      <c r="B102" s="46" t="s">
        <v>142</v>
      </c>
      <c r="C102" s="50">
        <v>5</v>
      </c>
      <c r="D102" s="50">
        <v>4</v>
      </c>
      <c r="E102" s="50">
        <v>0</v>
      </c>
      <c r="F102" s="50">
        <v>2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9</v>
      </c>
      <c r="N102" s="50">
        <v>0</v>
      </c>
      <c r="O102" s="15">
        <f t="shared" si="37"/>
        <v>11</v>
      </c>
      <c r="P102" s="15">
        <f t="shared" si="38"/>
        <v>20</v>
      </c>
      <c r="R102" s="8"/>
      <c r="T102"/>
    </row>
    <row r="103" spans="2:20" ht="23.1" customHeight="1" x14ac:dyDescent="0.25">
      <c r="B103" s="45" t="s">
        <v>143</v>
      </c>
      <c r="C103" s="50">
        <v>8</v>
      </c>
      <c r="D103" s="50">
        <v>3</v>
      </c>
      <c r="E103" s="50">
        <v>0</v>
      </c>
      <c r="F103" s="50">
        <v>3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3</v>
      </c>
      <c r="N103" s="50">
        <v>0</v>
      </c>
      <c r="O103" s="15">
        <f t="shared" si="37"/>
        <v>14</v>
      </c>
      <c r="P103" s="15">
        <f t="shared" si="38"/>
        <v>17</v>
      </c>
      <c r="R103" s="8"/>
      <c r="T103"/>
    </row>
    <row r="104" spans="2:20" ht="23.1" customHeight="1" x14ac:dyDescent="0.25">
      <c r="B104" s="47" t="s">
        <v>144</v>
      </c>
      <c r="C104" s="50">
        <v>12</v>
      </c>
      <c r="D104" s="50">
        <v>5</v>
      </c>
      <c r="E104" s="50">
        <v>0</v>
      </c>
      <c r="F104" s="50">
        <v>4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9</v>
      </c>
      <c r="N104" s="50">
        <v>0</v>
      </c>
      <c r="O104" s="15">
        <f t="shared" si="37"/>
        <v>21</v>
      </c>
      <c r="P104" s="15">
        <f t="shared" si="38"/>
        <v>30</v>
      </c>
      <c r="R104" s="8"/>
      <c r="T104"/>
    </row>
    <row r="105" spans="2:20" ht="23.1" customHeight="1" x14ac:dyDescent="0.25">
      <c r="B105" s="45" t="s">
        <v>145</v>
      </c>
      <c r="C105" s="50">
        <v>13</v>
      </c>
      <c r="D105" s="50">
        <v>4</v>
      </c>
      <c r="E105" s="50">
        <v>0</v>
      </c>
      <c r="F105" s="50">
        <v>5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4</v>
      </c>
      <c r="N105" s="50">
        <v>0</v>
      </c>
      <c r="O105" s="15">
        <f t="shared" si="37"/>
        <v>22</v>
      </c>
      <c r="P105" s="15">
        <f t="shared" si="38"/>
        <v>26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3707</v>
      </c>
      <c r="D106" s="16">
        <f>SUM(D10:D105)</f>
        <v>2137</v>
      </c>
      <c r="E106" s="16">
        <f>SUM(E10:E105)</f>
        <v>90</v>
      </c>
      <c r="F106" s="16">
        <f>SUM(F10:F105)</f>
        <v>621</v>
      </c>
      <c r="G106" s="16">
        <f>SUM(G10:G105)</f>
        <v>3</v>
      </c>
      <c r="H106" s="16">
        <f t="shared" ref="H106:P106" si="39">SUM(H10:H105)</f>
        <v>0</v>
      </c>
      <c r="I106" s="16">
        <f t="shared" si="39"/>
        <v>208</v>
      </c>
      <c r="J106" s="16">
        <f t="shared" si="39"/>
        <v>16</v>
      </c>
      <c r="K106" s="16">
        <f t="shared" si="39"/>
        <v>13</v>
      </c>
      <c r="L106" s="16">
        <f t="shared" si="39"/>
        <v>0</v>
      </c>
      <c r="M106" s="16">
        <f t="shared" si="39"/>
        <v>5351</v>
      </c>
      <c r="N106" s="16">
        <f t="shared" si="39"/>
        <v>0</v>
      </c>
      <c r="O106" s="16">
        <f t="shared" si="39"/>
        <v>6795</v>
      </c>
      <c r="P106" s="16">
        <f t="shared" si="39"/>
        <v>12146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40">C106/$P$106</f>
        <v>0.30520335913057794</v>
      </c>
      <c r="D107" s="43">
        <f t="shared" si="40"/>
        <v>0.1759426971842582</v>
      </c>
      <c r="E107" s="43">
        <f t="shared" si="40"/>
        <v>7.4098468631648281E-3</v>
      </c>
      <c r="F107" s="43">
        <f t="shared" si="40"/>
        <v>5.1127943355837313E-2</v>
      </c>
      <c r="G107" s="43">
        <f t="shared" si="40"/>
        <v>2.4699489543882758E-4</v>
      </c>
      <c r="H107" s="43">
        <f t="shared" si="40"/>
        <v>0</v>
      </c>
      <c r="I107" s="43">
        <f t="shared" si="40"/>
        <v>1.7124979417092047E-2</v>
      </c>
      <c r="J107" s="43">
        <f t="shared" si="40"/>
        <v>1.3173061090070806E-3</v>
      </c>
      <c r="K107" s="43">
        <f t="shared" si="40"/>
        <v>1.0703112135682529E-3</v>
      </c>
      <c r="L107" s="43">
        <f t="shared" si="40"/>
        <v>0</v>
      </c>
      <c r="M107" s="43">
        <f t="shared" si="40"/>
        <v>0.44055656183105552</v>
      </c>
      <c r="N107" s="43">
        <f t="shared" si="40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0.5455481972038263</v>
      </c>
      <c r="D108" s="44">
        <f t="shared" ref="D108:N108" si="41">D106/$O$106</f>
        <v>0.31449595290654891</v>
      </c>
      <c r="E108" s="44">
        <f t="shared" si="41"/>
        <v>1.3245033112582781E-2</v>
      </c>
      <c r="F108" s="44">
        <f t="shared" si="41"/>
        <v>9.1390728476821198E-2</v>
      </c>
      <c r="G108" s="44">
        <f t="shared" si="41"/>
        <v>4.4150110375275938E-4</v>
      </c>
      <c r="H108" s="44">
        <f t="shared" si="41"/>
        <v>0</v>
      </c>
      <c r="I108" s="44">
        <f t="shared" si="41"/>
        <v>3.061074319352465E-2</v>
      </c>
      <c r="J108" s="44">
        <f t="shared" si="41"/>
        <v>2.35467255334805E-3</v>
      </c>
      <c r="K108" s="44">
        <f t="shared" si="41"/>
        <v>1.9131714495952907E-3</v>
      </c>
      <c r="L108" s="44">
        <f t="shared" si="41"/>
        <v>0</v>
      </c>
      <c r="M108" s="44"/>
      <c r="N108" s="44">
        <f t="shared" si="41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54" zoomScale="60" workbookViewId="0">
      <selection activeCell="M102" sqref="M10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Kisasi-Bukoto'!C3:G3</f>
        <v>MCC - C1 - STN32 - BUKOTO KISASI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'03.08 Kisasi-Bukoto'!D5</f>
        <v>03.08.19</v>
      </c>
      <c r="E5" s="3"/>
      <c r="F5" s="41" t="s">
        <v>1</v>
      </c>
      <c r="G5" s="63" t="str">
        <f>'03.08 Kisasi-Bukoto'!G5:H5</f>
        <v>KISASI</v>
      </c>
      <c r="H5" s="64"/>
      <c r="I5" s="14"/>
      <c r="J5" s="2" t="s">
        <v>5</v>
      </c>
      <c r="K5" s="63" t="str">
        <f>'03.08 Kisasi-Bukoto'!K5:L5</f>
        <v>RWAMBITITO J./NICHOL A./GEORGE W.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'29.07 Bukoto-Kisasi'!D6:E6</f>
        <v>BUKOTO</v>
      </c>
      <c r="E6" s="64"/>
      <c r="F6" s="2" t="s">
        <v>2</v>
      </c>
      <c r="G6" s="63" t="str">
        <f>'29.07 Bukoto-Kisasi'!G6:H6</f>
        <v>KISASI</v>
      </c>
      <c r="H6" s="64"/>
      <c r="J6" s="2" t="s">
        <v>21</v>
      </c>
      <c r="K6" s="63" t="str">
        <f>'03.08 Kisasi-Bukoto'!K6:L6</f>
        <v>SALIMA L.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8</v>
      </c>
      <c r="D10" s="50">
        <v>6</v>
      </c>
      <c r="E10" s="50">
        <v>3</v>
      </c>
      <c r="F10" s="50">
        <v>5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23</v>
      </c>
      <c r="N10" s="50">
        <v>0</v>
      </c>
      <c r="O10" s="15">
        <f t="shared" ref="O10:O73" si="0">SUM(C10:L10,N10)</f>
        <v>22</v>
      </c>
      <c r="P10" s="15">
        <f t="shared" ref="P10:P73" si="1">SUM(C10:N10)</f>
        <v>45</v>
      </c>
      <c r="R10" s="1" t="s">
        <v>6</v>
      </c>
      <c r="S10" s="17">
        <f t="shared" ref="S10:AF10" si="2">SUM(C10:C13)</f>
        <v>45</v>
      </c>
      <c r="T10" s="17">
        <f t="shared" si="2"/>
        <v>33</v>
      </c>
      <c r="U10" s="17">
        <f t="shared" si="2"/>
        <v>19</v>
      </c>
      <c r="V10" s="17">
        <f t="shared" si="2"/>
        <v>19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112</v>
      </c>
      <c r="AD10" s="17">
        <f t="shared" si="2"/>
        <v>0</v>
      </c>
      <c r="AE10" s="31">
        <f t="shared" si="2"/>
        <v>118</v>
      </c>
      <c r="AF10" s="31">
        <f t="shared" si="2"/>
        <v>230</v>
      </c>
    </row>
    <row r="11" spans="2:32" s="6" customFormat="1" ht="23.1" customHeight="1" x14ac:dyDescent="0.25">
      <c r="B11" s="45" t="s">
        <v>38</v>
      </c>
      <c r="C11" s="50">
        <v>11</v>
      </c>
      <c r="D11" s="50">
        <v>7</v>
      </c>
      <c r="E11" s="50">
        <v>5</v>
      </c>
      <c r="F11" s="50">
        <v>7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28</v>
      </c>
      <c r="N11" s="50">
        <v>0</v>
      </c>
      <c r="O11" s="15">
        <f t="shared" si="0"/>
        <v>30</v>
      </c>
      <c r="P11" s="15">
        <f t="shared" si="1"/>
        <v>58</v>
      </c>
      <c r="R11" s="1" t="s">
        <v>7</v>
      </c>
      <c r="S11" s="17">
        <f t="shared" ref="S11:AF11" si="3">SUM(C14:C17)</f>
        <v>52</v>
      </c>
      <c r="T11" s="17">
        <f t="shared" si="3"/>
        <v>27</v>
      </c>
      <c r="U11" s="17">
        <f t="shared" si="3"/>
        <v>15</v>
      </c>
      <c r="V11" s="17">
        <f t="shared" si="3"/>
        <v>21</v>
      </c>
      <c r="W11" s="17">
        <f t="shared" si="3"/>
        <v>0</v>
      </c>
      <c r="X11" s="17">
        <f t="shared" si="3"/>
        <v>0</v>
      </c>
      <c r="Y11" s="17">
        <f t="shared" si="3"/>
        <v>8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155</v>
      </c>
      <c r="AD11" s="17">
        <f t="shared" si="3"/>
        <v>0</v>
      </c>
      <c r="AE11" s="31">
        <f t="shared" si="3"/>
        <v>124</v>
      </c>
      <c r="AF11" s="31">
        <f t="shared" si="3"/>
        <v>279</v>
      </c>
    </row>
    <row r="12" spans="2:32" ht="23.1" customHeight="1" x14ac:dyDescent="0.25">
      <c r="B12" s="45" t="s">
        <v>39</v>
      </c>
      <c r="C12" s="50">
        <v>14</v>
      </c>
      <c r="D12" s="50">
        <v>11</v>
      </c>
      <c r="E12" s="50">
        <v>7</v>
      </c>
      <c r="F12" s="50">
        <v>4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0</v>
      </c>
      <c r="M12" s="50">
        <v>32</v>
      </c>
      <c r="N12" s="50">
        <v>0</v>
      </c>
      <c r="O12" s="15">
        <f t="shared" si="0"/>
        <v>37</v>
      </c>
      <c r="P12" s="15">
        <f t="shared" si="1"/>
        <v>69</v>
      </c>
      <c r="R12" s="1" t="s">
        <v>8</v>
      </c>
      <c r="S12" s="17">
        <f t="shared" ref="S12:AF12" si="4">SUM(C18:C21)</f>
        <v>102</v>
      </c>
      <c r="T12" s="17">
        <f t="shared" si="4"/>
        <v>56</v>
      </c>
      <c r="U12" s="17">
        <f t="shared" si="4"/>
        <v>23</v>
      </c>
      <c r="V12" s="17">
        <f t="shared" si="4"/>
        <v>28</v>
      </c>
      <c r="W12" s="17">
        <f t="shared" si="4"/>
        <v>0</v>
      </c>
      <c r="X12" s="17">
        <f t="shared" si="4"/>
        <v>0</v>
      </c>
      <c r="Y12" s="17">
        <f t="shared" si="4"/>
        <v>12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260</v>
      </c>
      <c r="AD12" s="17">
        <f t="shared" si="4"/>
        <v>0</v>
      </c>
      <c r="AE12" s="31">
        <f t="shared" si="4"/>
        <v>222</v>
      </c>
      <c r="AF12" s="31">
        <f t="shared" si="4"/>
        <v>482</v>
      </c>
    </row>
    <row r="13" spans="2:32" ht="23.1" customHeight="1" x14ac:dyDescent="0.25">
      <c r="B13" s="45" t="s">
        <v>40</v>
      </c>
      <c r="C13" s="50">
        <v>12</v>
      </c>
      <c r="D13" s="50">
        <v>9</v>
      </c>
      <c r="E13" s="50">
        <v>4</v>
      </c>
      <c r="F13" s="50">
        <v>3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29</v>
      </c>
      <c r="N13" s="50">
        <v>0</v>
      </c>
      <c r="O13" s="15">
        <f t="shared" si="0"/>
        <v>29</v>
      </c>
      <c r="P13" s="15">
        <f t="shared" si="1"/>
        <v>58</v>
      </c>
      <c r="R13" s="1" t="s">
        <v>9</v>
      </c>
      <c r="S13" s="17">
        <f t="shared" ref="S13:AF13" si="5">SUM(C22:C25)</f>
        <v>167</v>
      </c>
      <c r="T13" s="17">
        <f t="shared" si="5"/>
        <v>81</v>
      </c>
      <c r="U13" s="17">
        <f t="shared" si="5"/>
        <v>26</v>
      </c>
      <c r="V13" s="17">
        <f t="shared" si="5"/>
        <v>43</v>
      </c>
      <c r="W13" s="17">
        <f t="shared" si="5"/>
        <v>0</v>
      </c>
      <c r="X13" s="17">
        <f t="shared" si="5"/>
        <v>0</v>
      </c>
      <c r="Y13" s="17">
        <f t="shared" si="5"/>
        <v>14</v>
      </c>
      <c r="Z13" s="17">
        <f t="shared" si="5"/>
        <v>13</v>
      </c>
      <c r="AA13" s="17">
        <f t="shared" si="5"/>
        <v>0</v>
      </c>
      <c r="AB13" s="17">
        <f t="shared" si="5"/>
        <v>0</v>
      </c>
      <c r="AC13" s="17">
        <f t="shared" si="5"/>
        <v>307</v>
      </c>
      <c r="AD13" s="17">
        <f t="shared" si="5"/>
        <v>0</v>
      </c>
      <c r="AE13" s="31">
        <f t="shared" si="5"/>
        <v>344</v>
      </c>
      <c r="AF13" s="31">
        <f t="shared" si="5"/>
        <v>651</v>
      </c>
    </row>
    <row r="14" spans="2:32" ht="23.1" customHeight="1" x14ac:dyDescent="0.25">
      <c r="B14" s="45" t="s">
        <v>41</v>
      </c>
      <c r="C14" s="50">
        <v>11</v>
      </c>
      <c r="D14" s="50">
        <v>7</v>
      </c>
      <c r="E14" s="50">
        <v>4</v>
      </c>
      <c r="F14" s="50">
        <v>3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31</v>
      </c>
      <c r="N14" s="50">
        <v>0</v>
      </c>
      <c r="O14" s="15">
        <f t="shared" si="0"/>
        <v>27</v>
      </c>
      <c r="P14" s="15">
        <f t="shared" si="1"/>
        <v>58</v>
      </c>
      <c r="R14" s="1" t="s">
        <v>10</v>
      </c>
      <c r="S14" s="17">
        <f t="shared" ref="S14:AF14" si="6">SUM(C26:C29)</f>
        <v>187</v>
      </c>
      <c r="T14" s="17">
        <f t="shared" si="6"/>
        <v>88</v>
      </c>
      <c r="U14" s="17">
        <f t="shared" si="6"/>
        <v>26</v>
      </c>
      <c r="V14" s="17">
        <f t="shared" si="6"/>
        <v>46</v>
      </c>
      <c r="W14" s="17">
        <f t="shared" si="6"/>
        <v>1</v>
      </c>
      <c r="X14" s="17">
        <f t="shared" si="6"/>
        <v>0</v>
      </c>
      <c r="Y14" s="17">
        <f t="shared" si="6"/>
        <v>15</v>
      </c>
      <c r="Z14" s="17">
        <f t="shared" si="6"/>
        <v>3</v>
      </c>
      <c r="AA14" s="17">
        <f t="shared" si="6"/>
        <v>1</v>
      </c>
      <c r="AB14" s="17">
        <f t="shared" si="6"/>
        <v>0</v>
      </c>
      <c r="AC14" s="17">
        <f t="shared" si="6"/>
        <v>314</v>
      </c>
      <c r="AD14" s="17">
        <f t="shared" si="6"/>
        <v>1</v>
      </c>
      <c r="AE14" s="31">
        <f t="shared" si="6"/>
        <v>368</v>
      </c>
      <c r="AF14" s="31">
        <f t="shared" si="6"/>
        <v>682</v>
      </c>
    </row>
    <row r="15" spans="2:32" ht="23.1" customHeight="1" x14ac:dyDescent="0.25">
      <c r="B15" s="45" t="s">
        <v>42</v>
      </c>
      <c r="C15" s="50">
        <v>9</v>
      </c>
      <c r="D15" s="50">
        <v>5</v>
      </c>
      <c r="E15" s="50">
        <v>3</v>
      </c>
      <c r="F15" s="50">
        <v>4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36</v>
      </c>
      <c r="N15" s="50">
        <v>0</v>
      </c>
      <c r="O15" s="15">
        <f t="shared" si="0"/>
        <v>22</v>
      </c>
      <c r="P15" s="15">
        <f t="shared" si="1"/>
        <v>58</v>
      </c>
      <c r="R15" s="1" t="s">
        <v>11</v>
      </c>
      <c r="S15" s="17">
        <f t="shared" ref="S15:AF15" si="7">SUM(C30:C33)</f>
        <v>219</v>
      </c>
      <c r="T15" s="17">
        <f t="shared" si="7"/>
        <v>94</v>
      </c>
      <c r="U15" s="17">
        <f t="shared" si="7"/>
        <v>39</v>
      </c>
      <c r="V15" s="17">
        <f t="shared" si="7"/>
        <v>57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314</v>
      </c>
      <c r="AD15" s="17">
        <f t="shared" si="7"/>
        <v>0</v>
      </c>
      <c r="AE15" s="31">
        <f t="shared" si="7"/>
        <v>414</v>
      </c>
      <c r="AF15" s="31">
        <f t="shared" si="7"/>
        <v>728</v>
      </c>
    </row>
    <row r="16" spans="2:32" ht="23.1" customHeight="1" x14ac:dyDescent="0.25">
      <c r="B16" s="45" t="s">
        <v>43</v>
      </c>
      <c r="C16" s="50">
        <v>18</v>
      </c>
      <c r="D16" s="50">
        <v>8</v>
      </c>
      <c r="E16" s="50">
        <v>5</v>
      </c>
      <c r="F16" s="50">
        <v>6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42</v>
      </c>
      <c r="N16" s="50">
        <v>0</v>
      </c>
      <c r="O16" s="15">
        <f t="shared" si="0"/>
        <v>39</v>
      </c>
      <c r="P16" s="15">
        <f t="shared" si="1"/>
        <v>81</v>
      </c>
      <c r="R16" s="1" t="s">
        <v>12</v>
      </c>
      <c r="S16" s="17">
        <f t="shared" ref="S16:AF16" si="8">SUM(C34:C37)</f>
        <v>214</v>
      </c>
      <c r="T16" s="17">
        <f t="shared" si="8"/>
        <v>147</v>
      </c>
      <c r="U16" s="17">
        <f t="shared" si="8"/>
        <v>55</v>
      </c>
      <c r="V16" s="17">
        <f t="shared" si="8"/>
        <v>67</v>
      </c>
      <c r="W16" s="17">
        <f t="shared" si="8"/>
        <v>0</v>
      </c>
      <c r="X16" s="17">
        <f t="shared" si="8"/>
        <v>0</v>
      </c>
      <c r="Y16" s="17">
        <f t="shared" si="8"/>
        <v>10</v>
      </c>
      <c r="Z16" s="17">
        <f t="shared" si="8"/>
        <v>1</v>
      </c>
      <c r="AA16" s="17">
        <f t="shared" si="8"/>
        <v>1</v>
      </c>
      <c r="AB16" s="17">
        <f t="shared" si="8"/>
        <v>0</v>
      </c>
      <c r="AC16" s="17">
        <f t="shared" si="8"/>
        <v>310</v>
      </c>
      <c r="AD16" s="17">
        <f t="shared" si="8"/>
        <v>0</v>
      </c>
      <c r="AE16" s="31">
        <f t="shared" si="8"/>
        <v>495</v>
      </c>
      <c r="AF16" s="31">
        <f t="shared" si="8"/>
        <v>805</v>
      </c>
    </row>
    <row r="17" spans="2:32" ht="23.1" customHeight="1" x14ac:dyDescent="0.25">
      <c r="B17" s="45" t="s">
        <v>44</v>
      </c>
      <c r="C17" s="50">
        <v>14</v>
      </c>
      <c r="D17" s="50">
        <v>7</v>
      </c>
      <c r="E17" s="50">
        <v>3</v>
      </c>
      <c r="F17" s="50">
        <v>8</v>
      </c>
      <c r="G17" s="50">
        <v>0</v>
      </c>
      <c r="H17" s="50">
        <v>0</v>
      </c>
      <c r="I17" s="50">
        <v>3</v>
      </c>
      <c r="J17" s="50">
        <v>1</v>
      </c>
      <c r="K17" s="50">
        <v>0</v>
      </c>
      <c r="L17" s="50">
        <v>0</v>
      </c>
      <c r="M17" s="50">
        <v>46</v>
      </c>
      <c r="N17" s="50">
        <v>0</v>
      </c>
      <c r="O17" s="15">
        <f t="shared" si="0"/>
        <v>36</v>
      </c>
      <c r="P17" s="15">
        <f t="shared" si="1"/>
        <v>82</v>
      </c>
      <c r="R17" s="1" t="s">
        <v>13</v>
      </c>
      <c r="S17" s="17">
        <f t="shared" ref="S17:AF17" si="9">SUM(C38:C41)</f>
        <v>298</v>
      </c>
      <c r="T17" s="17">
        <f t="shared" si="9"/>
        <v>170</v>
      </c>
      <c r="U17" s="17">
        <f t="shared" si="9"/>
        <v>60</v>
      </c>
      <c r="V17" s="17">
        <f t="shared" si="9"/>
        <v>120</v>
      </c>
      <c r="W17" s="17">
        <f t="shared" si="9"/>
        <v>0</v>
      </c>
      <c r="X17" s="17">
        <f t="shared" si="9"/>
        <v>0</v>
      </c>
      <c r="Y17" s="17">
        <f t="shared" si="9"/>
        <v>12</v>
      </c>
      <c r="Z17" s="17">
        <f t="shared" si="9"/>
        <v>7</v>
      </c>
      <c r="AA17" s="17">
        <f t="shared" si="9"/>
        <v>0</v>
      </c>
      <c r="AB17" s="17">
        <f t="shared" si="9"/>
        <v>0</v>
      </c>
      <c r="AC17" s="17">
        <f t="shared" si="9"/>
        <v>321</v>
      </c>
      <c r="AD17" s="17">
        <f t="shared" si="9"/>
        <v>0</v>
      </c>
      <c r="AE17" s="31">
        <f t="shared" si="9"/>
        <v>667</v>
      </c>
      <c r="AF17" s="31">
        <f t="shared" si="9"/>
        <v>988</v>
      </c>
    </row>
    <row r="18" spans="2:32" ht="23.1" customHeight="1" x14ac:dyDescent="0.25">
      <c r="B18" s="45" t="s">
        <v>45</v>
      </c>
      <c r="C18" s="50">
        <v>21</v>
      </c>
      <c r="D18" s="50">
        <v>12</v>
      </c>
      <c r="E18" s="50">
        <v>4</v>
      </c>
      <c r="F18" s="50">
        <v>6</v>
      </c>
      <c r="G18" s="50">
        <v>0</v>
      </c>
      <c r="H18" s="50">
        <v>0</v>
      </c>
      <c r="I18" s="50">
        <v>3</v>
      </c>
      <c r="J18" s="50">
        <v>1</v>
      </c>
      <c r="K18" s="50">
        <v>0</v>
      </c>
      <c r="L18" s="50">
        <v>0</v>
      </c>
      <c r="M18" s="50">
        <v>61</v>
      </c>
      <c r="N18" s="50">
        <v>0</v>
      </c>
      <c r="O18" s="15">
        <f t="shared" si="0"/>
        <v>47</v>
      </c>
      <c r="P18" s="15">
        <f t="shared" si="1"/>
        <v>108</v>
      </c>
      <c r="R18" s="1" t="s">
        <v>14</v>
      </c>
      <c r="S18" s="17">
        <f t="shared" ref="S18:AF18" si="10">SUM(C42:C45)</f>
        <v>279</v>
      </c>
      <c r="T18" s="17">
        <f t="shared" si="10"/>
        <v>141</v>
      </c>
      <c r="U18" s="17">
        <f t="shared" si="10"/>
        <v>99</v>
      </c>
      <c r="V18" s="17">
        <f t="shared" si="10"/>
        <v>108</v>
      </c>
      <c r="W18" s="17">
        <f t="shared" si="10"/>
        <v>1</v>
      </c>
      <c r="X18" s="17">
        <f t="shared" si="10"/>
        <v>0</v>
      </c>
      <c r="Y18" s="17">
        <f t="shared" si="10"/>
        <v>12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330</v>
      </c>
      <c r="AD18" s="17">
        <f t="shared" si="10"/>
        <v>0</v>
      </c>
      <c r="AE18" s="31">
        <f t="shared" si="10"/>
        <v>644</v>
      </c>
      <c r="AF18" s="31">
        <f t="shared" si="10"/>
        <v>974</v>
      </c>
    </row>
    <row r="19" spans="2:32" ht="23.1" customHeight="1" x14ac:dyDescent="0.25">
      <c r="B19" s="45" t="s">
        <v>46</v>
      </c>
      <c r="C19" s="50">
        <v>24</v>
      </c>
      <c r="D19" s="50">
        <v>10</v>
      </c>
      <c r="E19" s="50">
        <v>6</v>
      </c>
      <c r="F19" s="50">
        <v>8</v>
      </c>
      <c r="G19" s="50">
        <v>0</v>
      </c>
      <c r="H19" s="50">
        <v>0</v>
      </c>
      <c r="I19" s="50">
        <v>4</v>
      </c>
      <c r="J19" s="50">
        <v>0</v>
      </c>
      <c r="K19" s="50">
        <v>0</v>
      </c>
      <c r="L19" s="50">
        <v>0</v>
      </c>
      <c r="M19" s="50">
        <v>68</v>
      </c>
      <c r="N19" s="50">
        <v>0</v>
      </c>
      <c r="O19" s="15">
        <f t="shared" si="0"/>
        <v>52</v>
      </c>
      <c r="P19" s="15">
        <f t="shared" si="1"/>
        <v>120</v>
      </c>
      <c r="R19" s="1" t="s">
        <v>15</v>
      </c>
      <c r="S19" s="17">
        <f t="shared" ref="S19:AF19" si="11">SUM(C46:C49)</f>
        <v>237</v>
      </c>
      <c r="T19" s="17">
        <f t="shared" si="11"/>
        <v>114</v>
      </c>
      <c r="U19" s="17">
        <f t="shared" si="11"/>
        <v>43</v>
      </c>
      <c r="V19" s="17">
        <f t="shared" si="11"/>
        <v>61</v>
      </c>
      <c r="W19" s="17">
        <f t="shared" si="11"/>
        <v>0</v>
      </c>
      <c r="X19" s="17">
        <f t="shared" si="11"/>
        <v>0</v>
      </c>
      <c r="Y19" s="17">
        <f t="shared" si="11"/>
        <v>11</v>
      </c>
      <c r="Z19" s="17">
        <f t="shared" si="11"/>
        <v>8</v>
      </c>
      <c r="AA19" s="17">
        <f t="shared" si="11"/>
        <v>2</v>
      </c>
      <c r="AB19" s="17">
        <f t="shared" si="11"/>
        <v>0</v>
      </c>
      <c r="AC19" s="17">
        <f t="shared" si="11"/>
        <v>233</v>
      </c>
      <c r="AD19" s="17">
        <f t="shared" si="11"/>
        <v>0</v>
      </c>
      <c r="AE19" s="31">
        <f t="shared" si="11"/>
        <v>476</v>
      </c>
      <c r="AF19" s="31">
        <f t="shared" si="11"/>
        <v>709</v>
      </c>
    </row>
    <row r="20" spans="2:32" ht="23.1" customHeight="1" x14ac:dyDescent="0.25">
      <c r="B20" s="45" t="s">
        <v>47</v>
      </c>
      <c r="C20" s="50">
        <v>26</v>
      </c>
      <c r="D20" s="50">
        <v>18</v>
      </c>
      <c r="E20" s="50">
        <v>5</v>
      </c>
      <c r="F20" s="50">
        <v>3</v>
      </c>
      <c r="G20" s="50">
        <v>0</v>
      </c>
      <c r="H20" s="50">
        <v>0</v>
      </c>
      <c r="I20" s="50">
        <v>5</v>
      </c>
      <c r="J20" s="50">
        <v>0</v>
      </c>
      <c r="K20" s="50">
        <v>0</v>
      </c>
      <c r="L20" s="50">
        <v>0</v>
      </c>
      <c r="M20" s="50">
        <v>67</v>
      </c>
      <c r="N20" s="50">
        <v>0</v>
      </c>
      <c r="O20" s="15">
        <f t="shared" si="0"/>
        <v>57</v>
      </c>
      <c r="P20" s="15">
        <f t="shared" si="1"/>
        <v>124</v>
      </c>
      <c r="R20" s="1" t="s">
        <v>16</v>
      </c>
      <c r="S20" s="17">
        <f t="shared" ref="S20:AF20" si="12">SUM(C50:C53)</f>
        <v>244</v>
      </c>
      <c r="T20" s="17">
        <f t="shared" si="12"/>
        <v>132</v>
      </c>
      <c r="U20" s="17">
        <f t="shared" si="12"/>
        <v>48</v>
      </c>
      <c r="V20" s="17">
        <f t="shared" si="12"/>
        <v>93</v>
      </c>
      <c r="W20" s="17">
        <f t="shared" si="12"/>
        <v>0</v>
      </c>
      <c r="X20" s="17">
        <f t="shared" si="12"/>
        <v>0</v>
      </c>
      <c r="Y20" s="17">
        <f t="shared" si="12"/>
        <v>10</v>
      </c>
      <c r="Z20" s="17">
        <f t="shared" si="12"/>
        <v>3</v>
      </c>
      <c r="AA20" s="17">
        <f t="shared" si="12"/>
        <v>0</v>
      </c>
      <c r="AB20" s="17">
        <f t="shared" si="12"/>
        <v>0</v>
      </c>
      <c r="AC20" s="17">
        <f t="shared" si="12"/>
        <v>259</v>
      </c>
      <c r="AD20" s="17">
        <f t="shared" si="12"/>
        <v>0</v>
      </c>
      <c r="AE20" s="31">
        <f t="shared" si="12"/>
        <v>530</v>
      </c>
      <c r="AF20" s="31">
        <f t="shared" si="12"/>
        <v>789</v>
      </c>
    </row>
    <row r="21" spans="2:32" ht="23.1" customHeight="1" x14ac:dyDescent="0.25">
      <c r="B21" s="45" t="s">
        <v>48</v>
      </c>
      <c r="C21" s="50">
        <v>31</v>
      </c>
      <c r="D21" s="50">
        <v>16</v>
      </c>
      <c r="E21" s="50">
        <v>8</v>
      </c>
      <c r="F21" s="50">
        <v>11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64</v>
      </c>
      <c r="N21" s="50">
        <v>0</v>
      </c>
      <c r="O21" s="15">
        <f t="shared" si="0"/>
        <v>66</v>
      </c>
      <c r="P21" s="15">
        <f t="shared" si="1"/>
        <v>130</v>
      </c>
      <c r="R21" s="36" t="s">
        <v>20</v>
      </c>
      <c r="S21" s="34">
        <f t="shared" ref="S21:AF21" si="13">SUM(C54:C57)</f>
        <v>267</v>
      </c>
      <c r="T21" s="17">
        <f t="shared" si="13"/>
        <v>171</v>
      </c>
      <c r="U21" s="17">
        <f t="shared" si="13"/>
        <v>50</v>
      </c>
      <c r="V21" s="17">
        <f t="shared" si="13"/>
        <v>84</v>
      </c>
      <c r="W21" s="17">
        <f t="shared" si="13"/>
        <v>0</v>
      </c>
      <c r="X21" s="17">
        <f t="shared" si="13"/>
        <v>0</v>
      </c>
      <c r="Y21" s="17">
        <f t="shared" si="13"/>
        <v>11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332</v>
      </c>
      <c r="AD21" s="17">
        <f t="shared" si="13"/>
        <v>0</v>
      </c>
      <c r="AE21" s="31">
        <f t="shared" si="13"/>
        <v>583</v>
      </c>
      <c r="AF21" s="31">
        <f t="shared" si="13"/>
        <v>915</v>
      </c>
    </row>
    <row r="22" spans="2:32" ht="23.1" customHeight="1" x14ac:dyDescent="0.25">
      <c r="B22" s="45" t="s">
        <v>49</v>
      </c>
      <c r="C22" s="50">
        <v>38</v>
      </c>
      <c r="D22" s="50">
        <v>23</v>
      </c>
      <c r="E22" s="50">
        <v>6</v>
      </c>
      <c r="F22" s="50">
        <v>13</v>
      </c>
      <c r="G22" s="50">
        <v>0</v>
      </c>
      <c r="H22" s="50">
        <v>0</v>
      </c>
      <c r="I22" s="50">
        <v>4</v>
      </c>
      <c r="J22" s="50">
        <v>2</v>
      </c>
      <c r="K22" s="50">
        <v>0</v>
      </c>
      <c r="L22" s="50">
        <v>0</v>
      </c>
      <c r="M22" s="50">
        <v>71</v>
      </c>
      <c r="N22" s="50">
        <v>0</v>
      </c>
      <c r="O22" s="15">
        <f t="shared" si="0"/>
        <v>86</v>
      </c>
      <c r="P22" s="15">
        <f t="shared" si="1"/>
        <v>157</v>
      </c>
      <c r="R22" s="36" t="s">
        <v>146</v>
      </c>
      <c r="S22" s="34">
        <f>SUM(C58:C61)</f>
        <v>360</v>
      </c>
      <c r="T22" s="34">
        <f t="shared" ref="T22:AF22" si="14">SUM(D58:D61)</f>
        <v>272</v>
      </c>
      <c r="U22" s="34">
        <f t="shared" si="14"/>
        <v>26</v>
      </c>
      <c r="V22" s="34">
        <f t="shared" si="14"/>
        <v>41</v>
      </c>
      <c r="W22" s="34">
        <f t="shared" si="14"/>
        <v>0</v>
      </c>
      <c r="X22" s="34">
        <f t="shared" si="14"/>
        <v>0</v>
      </c>
      <c r="Y22" s="34">
        <f t="shared" si="14"/>
        <v>16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429</v>
      </c>
      <c r="AD22" s="34">
        <f t="shared" si="14"/>
        <v>0</v>
      </c>
      <c r="AE22" s="31">
        <f t="shared" si="14"/>
        <v>716</v>
      </c>
      <c r="AF22" s="31">
        <f t="shared" si="14"/>
        <v>1145</v>
      </c>
    </row>
    <row r="23" spans="2:32" ht="23.1" customHeight="1" x14ac:dyDescent="0.25">
      <c r="B23" s="45" t="s">
        <v>50</v>
      </c>
      <c r="C23" s="50">
        <v>43</v>
      </c>
      <c r="D23" s="50">
        <v>21</v>
      </c>
      <c r="E23" s="50">
        <v>4</v>
      </c>
      <c r="F23" s="50">
        <v>10</v>
      </c>
      <c r="G23" s="50">
        <v>0</v>
      </c>
      <c r="H23" s="50">
        <v>0</v>
      </c>
      <c r="I23" s="50">
        <v>5</v>
      </c>
      <c r="J23" s="50">
        <v>8</v>
      </c>
      <c r="K23" s="50">
        <v>0</v>
      </c>
      <c r="L23" s="50">
        <v>0</v>
      </c>
      <c r="M23" s="50">
        <v>76</v>
      </c>
      <c r="N23" s="50">
        <v>0</v>
      </c>
      <c r="O23" s="15">
        <f t="shared" si="0"/>
        <v>91</v>
      </c>
      <c r="P23" s="15">
        <f t="shared" si="1"/>
        <v>167</v>
      </c>
      <c r="R23" s="36" t="s">
        <v>147</v>
      </c>
      <c r="S23" s="34">
        <f>SUM(C62:C65)</f>
        <v>405</v>
      </c>
      <c r="T23" s="34">
        <f t="shared" ref="T23:AF23" si="15">SUM(D62:D65)</f>
        <v>332</v>
      </c>
      <c r="U23" s="34">
        <f t="shared" si="15"/>
        <v>12</v>
      </c>
      <c r="V23" s="34">
        <f t="shared" si="15"/>
        <v>22</v>
      </c>
      <c r="W23" s="34">
        <f t="shared" si="15"/>
        <v>0</v>
      </c>
      <c r="X23" s="34">
        <f t="shared" si="15"/>
        <v>0</v>
      </c>
      <c r="Y23" s="34">
        <f t="shared" si="15"/>
        <v>8</v>
      </c>
      <c r="Z23" s="34">
        <f t="shared" si="15"/>
        <v>0</v>
      </c>
      <c r="AA23" s="34">
        <f t="shared" si="15"/>
        <v>2</v>
      </c>
      <c r="AB23" s="34">
        <f t="shared" si="15"/>
        <v>0</v>
      </c>
      <c r="AC23" s="34">
        <f t="shared" si="15"/>
        <v>427</v>
      </c>
      <c r="AD23" s="34">
        <f t="shared" si="15"/>
        <v>0</v>
      </c>
      <c r="AE23" s="31">
        <f t="shared" si="15"/>
        <v>781</v>
      </c>
      <c r="AF23" s="31">
        <f t="shared" si="15"/>
        <v>1208</v>
      </c>
    </row>
    <row r="24" spans="2:32" ht="23.1" customHeight="1" x14ac:dyDescent="0.25">
      <c r="B24" s="45" t="s">
        <v>51</v>
      </c>
      <c r="C24" s="50">
        <v>41</v>
      </c>
      <c r="D24" s="50">
        <v>18</v>
      </c>
      <c r="E24" s="50">
        <v>8</v>
      </c>
      <c r="F24" s="50">
        <v>11</v>
      </c>
      <c r="G24" s="50">
        <v>0</v>
      </c>
      <c r="H24" s="50">
        <v>0</v>
      </c>
      <c r="I24" s="50">
        <v>4</v>
      </c>
      <c r="J24" s="50">
        <v>3</v>
      </c>
      <c r="K24" s="50">
        <v>0</v>
      </c>
      <c r="L24" s="50">
        <v>0</v>
      </c>
      <c r="M24" s="50">
        <v>79</v>
      </c>
      <c r="N24" s="50">
        <v>0</v>
      </c>
      <c r="O24" s="15">
        <f t="shared" si="0"/>
        <v>85</v>
      </c>
      <c r="P24" s="15">
        <f t="shared" si="1"/>
        <v>164</v>
      </c>
      <c r="R24" s="36" t="s">
        <v>148</v>
      </c>
      <c r="S24" s="34">
        <f>SUM(C66:C69)</f>
        <v>406</v>
      </c>
      <c r="T24" s="34">
        <f t="shared" ref="T24:AF24" si="16">SUM(D66:D69)</f>
        <v>264</v>
      </c>
      <c r="U24" s="34">
        <f t="shared" si="16"/>
        <v>11</v>
      </c>
      <c r="V24" s="34">
        <f t="shared" si="16"/>
        <v>16</v>
      </c>
      <c r="W24" s="34">
        <f t="shared" si="16"/>
        <v>0</v>
      </c>
      <c r="X24" s="34">
        <f t="shared" si="16"/>
        <v>0</v>
      </c>
      <c r="Y24" s="34">
        <f t="shared" si="16"/>
        <v>7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380</v>
      </c>
      <c r="AD24" s="34">
        <f t="shared" si="16"/>
        <v>0</v>
      </c>
      <c r="AE24" s="31">
        <f t="shared" si="16"/>
        <v>704</v>
      </c>
      <c r="AF24" s="31">
        <f t="shared" si="16"/>
        <v>1084</v>
      </c>
    </row>
    <row r="25" spans="2:32" ht="23.1" customHeight="1" x14ac:dyDescent="0.25">
      <c r="B25" s="45" t="s">
        <v>52</v>
      </c>
      <c r="C25" s="50">
        <v>45</v>
      </c>
      <c r="D25" s="50">
        <v>19</v>
      </c>
      <c r="E25" s="50">
        <v>8</v>
      </c>
      <c r="F25" s="50">
        <v>9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81</v>
      </c>
      <c r="N25" s="50">
        <v>0</v>
      </c>
      <c r="O25" s="15">
        <f t="shared" si="0"/>
        <v>82</v>
      </c>
      <c r="P25" s="15">
        <f t="shared" si="1"/>
        <v>163</v>
      </c>
      <c r="R25" s="36" t="s">
        <v>149</v>
      </c>
      <c r="S25" s="34">
        <f>SUM(C70:C73)</f>
        <v>390</v>
      </c>
      <c r="T25" s="34">
        <f t="shared" ref="T25:AF25" si="17">SUM(D70:D73)</f>
        <v>305</v>
      </c>
      <c r="U25" s="34">
        <f t="shared" si="17"/>
        <v>3</v>
      </c>
      <c r="V25" s="34">
        <f t="shared" si="17"/>
        <v>9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315</v>
      </c>
      <c r="AD25" s="34">
        <f t="shared" si="17"/>
        <v>0</v>
      </c>
      <c r="AE25" s="31">
        <f t="shared" si="17"/>
        <v>708</v>
      </c>
      <c r="AF25" s="31">
        <f t="shared" si="17"/>
        <v>1023</v>
      </c>
    </row>
    <row r="26" spans="2:32" ht="23.1" customHeight="1" x14ac:dyDescent="0.25">
      <c r="B26" s="45" t="s">
        <v>53</v>
      </c>
      <c r="C26" s="50">
        <v>43</v>
      </c>
      <c r="D26" s="50">
        <v>18</v>
      </c>
      <c r="E26" s="50">
        <v>4</v>
      </c>
      <c r="F26" s="50">
        <v>11</v>
      </c>
      <c r="G26" s="50">
        <v>1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79</v>
      </c>
      <c r="N26" s="50">
        <v>0</v>
      </c>
      <c r="O26" s="15">
        <f t="shared" si="0"/>
        <v>80</v>
      </c>
      <c r="P26" s="15">
        <f t="shared" si="1"/>
        <v>159</v>
      </c>
      <c r="R26" s="36" t="s">
        <v>150</v>
      </c>
      <c r="S26" s="34">
        <f>SUM(C74:C77)</f>
        <v>262</v>
      </c>
      <c r="T26" s="34">
        <f t="shared" ref="T26:AF26" si="18">SUM(D74:D77)</f>
        <v>167</v>
      </c>
      <c r="U26" s="34">
        <f t="shared" si="18"/>
        <v>3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3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298</v>
      </c>
      <c r="AD26" s="34">
        <f t="shared" si="18"/>
        <v>0</v>
      </c>
      <c r="AE26" s="31">
        <f t="shared" si="18"/>
        <v>435</v>
      </c>
      <c r="AF26" s="31">
        <f t="shared" si="18"/>
        <v>733</v>
      </c>
    </row>
    <row r="27" spans="2:32" ht="23.1" customHeight="1" x14ac:dyDescent="0.25">
      <c r="B27" s="45" t="s">
        <v>54</v>
      </c>
      <c r="C27" s="50">
        <v>47</v>
      </c>
      <c r="D27" s="50">
        <v>21</v>
      </c>
      <c r="E27" s="50">
        <v>7</v>
      </c>
      <c r="F27" s="50">
        <v>13</v>
      </c>
      <c r="G27" s="50">
        <v>0</v>
      </c>
      <c r="H27" s="50">
        <v>0</v>
      </c>
      <c r="I27" s="50">
        <v>5</v>
      </c>
      <c r="J27" s="50">
        <v>1</v>
      </c>
      <c r="K27" s="50">
        <v>0</v>
      </c>
      <c r="L27" s="50">
        <v>0</v>
      </c>
      <c r="M27" s="50">
        <v>74</v>
      </c>
      <c r="N27" s="50">
        <v>0</v>
      </c>
      <c r="O27" s="15">
        <f t="shared" si="0"/>
        <v>94</v>
      </c>
      <c r="P27" s="15">
        <f t="shared" si="1"/>
        <v>168</v>
      </c>
      <c r="R27" s="36" t="s">
        <v>151</v>
      </c>
      <c r="S27" s="34">
        <f>SUM(C78:C81)</f>
        <v>156</v>
      </c>
      <c r="T27" s="34">
        <f t="shared" ref="T27:AF27" si="19">SUM(D78:D81)</f>
        <v>101</v>
      </c>
      <c r="U27" s="34">
        <f t="shared" si="19"/>
        <v>3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229</v>
      </c>
      <c r="AD27" s="34">
        <f t="shared" si="19"/>
        <v>0</v>
      </c>
      <c r="AE27" s="31">
        <f t="shared" si="19"/>
        <v>261</v>
      </c>
      <c r="AF27" s="31">
        <f t="shared" si="19"/>
        <v>490</v>
      </c>
    </row>
    <row r="28" spans="2:32" ht="23.1" customHeight="1" x14ac:dyDescent="0.25">
      <c r="B28" s="45" t="s">
        <v>55</v>
      </c>
      <c r="C28" s="50">
        <v>45</v>
      </c>
      <c r="D28" s="50">
        <v>25</v>
      </c>
      <c r="E28" s="50">
        <v>8</v>
      </c>
      <c r="F28" s="50">
        <v>12</v>
      </c>
      <c r="G28" s="50">
        <v>0</v>
      </c>
      <c r="H28" s="50">
        <v>0</v>
      </c>
      <c r="I28" s="50">
        <v>6</v>
      </c>
      <c r="J28" s="50">
        <v>0</v>
      </c>
      <c r="K28" s="50">
        <v>0</v>
      </c>
      <c r="L28" s="50">
        <v>0</v>
      </c>
      <c r="M28" s="50">
        <v>82</v>
      </c>
      <c r="N28" s="50">
        <v>1</v>
      </c>
      <c r="O28" s="15">
        <f t="shared" si="0"/>
        <v>97</v>
      </c>
      <c r="P28" s="15">
        <f t="shared" si="1"/>
        <v>179</v>
      </c>
      <c r="R28" s="36" t="s">
        <v>152</v>
      </c>
      <c r="S28" s="34">
        <f>SUM(C82:C85)</f>
        <v>71</v>
      </c>
      <c r="T28" s="34">
        <f t="shared" ref="T28:AF28" si="20">SUM(D82:D85)</f>
        <v>32</v>
      </c>
      <c r="U28" s="34">
        <f t="shared" si="20"/>
        <v>4</v>
      </c>
      <c r="V28" s="34">
        <f t="shared" si="20"/>
        <v>1</v>
      </c>
      <c r="W28" s="34">
        <f t="shared" si="20"/>
        <v>1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79</v>
      </c>
      <c r="AD28" s="34">
        <f t="shared" si="20"/>
        <v>0</v>
      </c>
      <c r="AE28" s="31">
        <f t="shared" si="20"/>
        <v>109</v>
      </c>
      <c r="AF28" s="31">
        <f t="shared" si="20"/>
        <v>188</v>
      </c>
    </row>
    <row r="29" spans="2:32" ht="23.1" customHeight="1" x14ac:dyDescent="0.25">
      <c r="B29" s="45" t="s">
        <v>56</v>
      </c>
      <c r="C29" s="50">
        <v>52</v>
      </c>
      <c r="D29" s="50">
        <v>24</v>
      </c>
      <c r="E29" s="50">
        <v>7</v>
      </c>
      <c r="F29" s="50">
        <v>10</v>
      </c>
      <c r="G29" s="50">
        <v>0</v>
      </c>
      <c r="H29" s="50">
        <v>0</v>
      </c>
      <c r="I29" s="50">
        <v>1</v>
      </c>
      <c r="J29" s="50">
        <v>2</v>
      </c>
      <c r="K29" s="50">
        <v>1</v>
      </c>
      <c r="L29" s="50">
        <v>0</v>
      </c>
      <c r="M29" s="50">
        <v>79</v>
      </c>
      <c r="N29" s="50">
        <v>0</v>
      </c>
      <c r="O29" s="15">
        <f t="shared" si="0"/>
        <v>97</v>
      </c>
      <c r="P29" s="15">
        <f t="shared" si="1"/>
        <v>176</v>
      </c>
      <c r="R29" s="36" t="s">
        <v>153</v>
      </c>
      <c r="S29" s="34">
        <f>SUM(C86:C89)</f>
        <v>71</v>
      </c>
      <c r="T29" s="34">
        <f t="shared" ref="T29:AF29" si="21">SUM(D86:D89)</f>
        <v>32</v>
      </c>
      <c r="U29" s="34">
        <f t="shared" si="21"/>
        <v>2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63</v>
      </c>
      <c r="AD29" s="34">
        <f t="shared" si="21"/>
        <v>0</v>
      </c>
      <c r="AE29" s="31">
        <f t="shared" si="21"/>
        <v>107</v>
      </c>
      <c r="AF29" s="31">
        <f t="shared" si="21"/>
        <v>170</v>
      </c>
    </row>
    <row r="30" spans="2:32" ht="23.1" customHeight="1" x14ac:dyDescent="0.25">
      <c r="B30" s="45" t="s">
        <v>57</v>
      </c>
      <c r="C30" s="50">
        <v>49</v>
      </c>
      <c r="D30" s="50">
        <v>22</v>
      </c>
      <c r="E30" s="50">
        <v>9</v>
      </c>
      <c r="F30" s="50">
        <v>14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73</v>
      </c>
      <c r="N30" s="50">
        <v>0</v>
      </c>
      <c r="O30" s="15">
        <f t="shared" si="0"/>
        <v>95</v>
      </c>
      <c r="P30" s="15">
        <f t="shared" si="1"/>
        <v>168</v>
      </c>
      <c r="R30" s="36" t="s">
        <v>154</v>
      </c>
      <c r="S30" s="34">
        <f>SUM(C90:C93)</f>
        <v>38</v>
      </c>
      <c r="T30" s="34">
        <f t="shared" ref="T30:AF30" si="22">SUM(D90:D93)</f>
        <v>11</v>
      </c>
      <c r="U30" s="34">
        <f t="shared" si="22"/>
        <v>3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31</v>
      </c>
      <c r="AD30" s="34">
        <f t="shared" si="22"/>
        <v>0</v>
      </c>
      <c r="AE30" s="31">
        <f t="shared" si="22"/>
        <v>54</v>
      </c>
      <c r="AF30" s="31">
        <f t="shared" si="22"/>
        <v>85</v>
      </c>
    </row>
    <row r="31" spans="2:32" ht="23.1" customHeight="1" x14ac:dyDescent="0.25">
      <c r="B31" s="46" t="s">
        <v>58</v>
      </c>
      <c r="C31" s="50">
        <v>53</v>
      </c>
      <c r="D31" s="50">
        <v>27</v>
      </c>
      <c r="E31" s="50">
        <v>11</v>
      </c>
      <c r="F31" s="50">
        <v>17</v>
      </c>
      <c r="G31" s="50">
        <v>0</v>
      </c>
      <c r="H31" s="50">
        <v>0</v>
      </c>
      <c r="I31" s="50">
        <v>2</v>
      </c>
      <c r="J31" s="50">
        <v>1</v>
      </c>
      <c r="K31" s="50">
        <v>0</v>
      </c>
      <c r="L31" s="50">
        <v>0</v>
      </c>
      <c r="M31" s="50">
        <v>82</v>
      </c>
      <c r="N31" s="50">
        <v>0</v>
      </c>
      <c r="O31" s="15">
        <f t="shared" si="0"/>
        <v>111</v>
      </c>
      <c r="P31" s="15">
        <f t="shared" si="1"/>
        <v>193</v>
      </c>
      <c r="R31" s="36" t="s">
        <v>155</v>
      </c>
      <c r="S31" s="34">
        <f>SUM(C94:C97)</f>
        <v>37</v>
      </c>
      <c r="T31" s="34">
        <f t="shared" ref="T31:AF31" si="23">SUM(D94:D97)</f>
        <v>15</v>
      </c>
      <c r="U31" s="34">
        <f t="shared" si="23"/>
        <v>0</v>
      </c>
      <c r="V31" s="34">
        <f t="shared" si="23"/>
        <v>3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29</v>
      </c>
      <c r="AD31" s="34">
        <f t="shared" si="23"/>
        <v>0</v>
      </c>
      <c r="AE31" s="31">
        <f t="shared" si="23"/>
        <v>55</v>
      </c>
      <c r="AF31" s="31">
        <f t="shared" si="23"/>
        <v>84</v>
      </c>
    </row>
    <row r="32" spans="2:32" ht="23.1" customHeight="1" x14ac:dyDescent="0.25">
      <c r="B32" s="46" t="s">
        <v>59</v>
      </c>
      <c r="C32" s="50">
        <v>50</v>
      </c>
      <c r="D32" s="50">
        <v>24</v>
      </c>
      <c r="E32" s="50">
        <v>7</v>
      </c>
      <c r="F32" s="50">
        <v>14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78</v>
      </c>
      <c r="N32" s="50">
        <v>0</v>
      </c>
      <c r="O32" s="15">
        <f t="shared" si="0"/>
        <v>95</v>
      </c>
      <c r="P32" s="15">
        <f t="shared" si="1"/>
        <v>173</v>
      </c>
      <c r="R32" s="33" t="s">
        <v>156</v>
      </c>
      <c r="S32" s="34">
        <f>SUM(C98:C101)</f>
        <v>74</v>
      </c>
      <c r="T32" s="34">
        <f t="shared" ref="T32:AF32" si="24">SUM(D98:D101)</f>
        <v>40</v>
      </c>
      <c r="U32" s="34">
        <f t="shared" si="24"/>
        <v>1</v>
      </c>
      <c r="V32" s="34">
        <f t="shared" si="24"/>
        <v>3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59</v>
      </c>
      <c r="AD32" s="34">
        <f t="shared" si="24"/>
        <v>0</v>
      </c>
      <c r="AE32" s="31">
        <f t="shared" si="24"/>
        <v>119</v>
      </c>
      <c r="AF32" s="31">
        <f t="shared" si="24"/>
        <v>178</v>
      </c>
    </row>
    <row r="33" spans="2:32" ht="23.1" customHeight="1" x14ac:dyDescent="0.25">
      <c r="B33" s="45" t="s">
        <v>60</v>
      </c>
      <c r="C33" s="50">
        <v>67</v>
      </c>
      <c r="D33" s="50">
        <v>21</v>
      </c>
      <c r="E33" s="50">
        <v>12</v>
      </c>
      <c r="F33" s="50">
        <v>12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81</v>
      </c>
      <c r="N33" s="50">
        <v>0</v>
      </c>
      <c r="O33" s="15">
        <f t="shared" si="0"/>
        <v>113</v>
      </c>
      <c r="P33" s="15">
        <f t="shared" si="1"/>
        <v>194</v>
      </c>
      <c r="R33" s="33" t="s">
        <v>157</v>
      </c>
      <c r="S33" s="34">
        <f>SUM(C102:C105)</f>
        <v>80</v>
      </c>
      <c r="T33" s="34">
        <f t="shared" ref="T33:AF33" si="25">SUM(D102:D105)</f>
        <v>43</v>
      </c>
      <c r="U33" s="34">
        <f t="shared" si="25"/>
        <v>3</v>
      </c>
      <c r="V33" s="34">
        <f t="shared" si="25"/>
        <v>6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91</v>
      </c>
      <c r="AD33" s="34">
        <f t="shared" si="25"/>
        <v>0</v>
      </c>
      <c r="AE33" s="31">
        <f t="shared" si="25"/>
        <v>133</v>
      </c>
      <c r="AF33" s="31">
        <f t="shared" si="25"/>
        <v>224</v>
      </c>
    </row>
    <row r="34" spans="2:32" ht="23.1" customHeight="1" x14ac:dyDescent="0.25">
      <c r="B34" s="46" t="s">
        <v>61</v>
      </c>
      <c r="C34" s="50">
        <v>48</v>
      </c>
      <c r="D34" s="50">
        <v>32</v>
      </c>
      <c r="E34" s="50">
        <v>10</v>
      </c>
      <c r="F34" s="50">
        <v>12</v>
      </c>
      <c r="G34" s="50">
        <v>0</v>
      </c>
      <c r="H34" s="50">
        <v>0</v>
      </c>
      <c r="I34" s="50">
        <v>2</v>
      </c>
      <c r="J34" s="50">
        <v>1</v>
      </c>
      <c r="K34" s="50">
        <v>0</v>
      </c>
      <c r="L34" s="50">
        <v>0</v>
      </c>
      <c r="M34" s="50">
        <v>76</v>
      </c>
      <c r="N34" s="50">
        <v>0</v>
      </c>
      <c r="O34" s="15">
        <f t="shared" si="0"/>
        <v>105</v>
      </c>
      <c r="P34" s="15">
        <f t="shared" si="1"/>
        <v>181</v>
      </c>
      <c r="R34" s="38" t="s">
        <v>90</v>
      </c>
      <c r="S34" s="39">
        <f t="shared" ref="S34:AF34" si="26">MAX(S10:S12)</f>
        <v>102</v>
      </c>
      <c r="T34" s="39">
        <f t="shared" si="26"/>
        <v>56</v>
      </c>
      <c r="U34" s="39">
        <f t="shared" si="26"/>
        <v>23</v>
      </c>
      <c r="V34" s="39">
        <f t="shared" si="26"/>
        <v>28</v>
      </c>
      <c r="W34" s="39">
        <f t="shared" si="26"/>
        <v>0</v>
      </c>
      <c r="X34" s="39">
        <f t="shared" si="26"/>
        <v>0</v>
      </c>
      <c r="Y34" s="39">
        <f t="shared" si="26"/>
        <v>12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260</v>
      </c>
      <c r="AD34" s="39">
        <f t="shared" si="26"/>
        <v>0</v>
      </c>
      <c r="AE34" s="40">
        <f t="shared" si="26"/>
        <v>222</v>
      </c>
      <c r="AF34" s="40">
        <f t="shared" si="26"/>
        <v>482</v>
      </c>
    </row>
    <row r="35" spans="2:32" ht="23.1" customHeight="1" x14ac:dyDescent="0.25">
      <c r="B35" s="46" t="s">
        <v>62</v>
      </c>
      <c r="C35" s="50">
        <v>53</v>
      </c>
      <c r="D35" s="50">
        <v>38</v>
      </c>
      <c r="E35" s="50">
        <v>19</v>
      </c>
      <c r="F35" s="50">
        <v>21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0</v>
      </c>
      <c r="M35" s="50">
        <v>81</v>
      </c>
      <c r="N35" s="50">
        <v>0</v>
      </c>
      <c r="O35" s="15">
        <f t="shared" si="0"/>
        <v>134</v>
      </c>
      <c r="P35" s="15">
        <f t="shared" si="1"/>
        <v>215</v>
      </c>
      <c r="R35" s="38" t="s">
        <v>91</v>
      </c>
      <c r="S35" s="39">
        <f t="shared" ref="S35:AF35" si="27">MAX(S13:S18)</f>
        <v>298</v>
      </c>
      <c r="T35" s="39">
        <f t="shared" si="27"/>
        <v>170</v>
      </c>
      <c r="U35" s="39">
        <f t="shared" si="27"/>
        <v>99</v>
      </c>
      <c r="V35" s="39">
        <f t="shared" si="27"/>
        <v>120</v>
      </c>
      <c r="W35" s="39">
        <f t="shared" si="27"/>
        <v>1</v>
      </c>
      <c r="X35" s="39">
        <f t="shared" si="27"/>
        <v>0</v>
      </c>
      <c r="Y35" s="39">
        <f t="shared" si="27"/>
        <v>15</v>
      </c>
      <c r="Z35" s="39">
        <f t="shared" si="27"/>
        <v>13</v>
      </c>
      <c r="AA35" s="39">
        <f t="shared" si="27"/>
        <v>1</v>
      </c>
      <c r="AB35" s="39">
        <f t="shared" si="27"/>
        <v>0</v>
      </c>
      <c r="AC35" s="39">
        <f t="shared" si="27"/>
        <v>330</v>
      </c>
      <c r="AD35" s="39">
        <f t="shared" si="27"/>
        <v>1</v>
      </c>
      <c r="AE35" s="40">
        <f t="shared" si="27"/>
        <v>667</v>
      </c>
      <c r="AF35" s="40">
        <f t="shared" si="27"/>
        <v>988</v>
      </c>
    </row>
    <row r="36" spans="2:32" ht="23.1" customHeight="1" x14ac:dyDescent="0.25">
      <c r="B36" s="46" t="s">
        <v>63</v>
      </c>
      <c r="C36" s="50">
        <v>51</v>
      </c>
      <c r="D36" s="50">
        <v>36</v>
      </c>
      <c r="E36" s="50">
        <v>14</v>
      </c>
      <c r="F36" s="50">
        <v>18</v>
      </c>
      <c r="G36" s="50">
        <v>0</v>
      </c>
      <c r="H36" s="50">
        <v>0</v>
      </c>
      <c r="I36" s="50">
        <v>2</v>
      </c>
      <c r="J36" s="50">
        <v>0</v>
      </c>
      <c r="K36" s="50">
        <v>1</v>
      </c>
      <c r="L36" s="50">
        <v>0</v>
      </c>
      <c r="M36" s="50">
        <v>80</v>
      </c>
      <c r="N36" s="50">
        <v>0</v>
      </c>
      <c r="O36" s="15">
        <f t="shared" si="0"/>
        <v>122</v>
      </c>
      <c r="P36" s="15">
        <f t="shared" si="1"/>
        <v>202</v>
      </c>
      <c r="R36" s="38" t="s">
        <v>92</v>
      </c>
      <c r="S36" s="39">
        <f t="shared" ref="S36:AF36" si="28">MAX(S19:S21)</f>
        <v>267</v>
      </c>
      <c r="T36" s="39">
        <f t="shared" si="28"/>
        <v>171</v>
      </c>
      <c r="U36" s="39">
        <f t="shared" si="28"/>
        <v>50</v>
      </c>
      <c r="V36" s="39">
        <f t="shared" si="28"/>
        <v>93</v>
      </c>
      <c r="W36" s="39">
        <f t="shared" si="28"/>
        <v>0</v>
      </c>
      <c r="X36" s="39">
        <f t="shared" si="28"/>
        <v>0</v>
      </c>
      <c r="Y36" s="39">
        <f t="shared" si="28"/>
        <v>11</v>
      </c>
      <c r="Z36" s="39">
        <f t="shared" si="28"/>
        <v>8</v>
      </c>
      <c r="AA36" s="39">
        <f t="shared" si="28"/>
        <v>2</v>
      </c>
      <c r="AB36" s="39">
        <f t="shared" si="28"/>
        <v>0</v>
      </c>
      <c r="AC36" s="39">
        <f t="shared" si="28"/>
        <v>332</v>
      </c>
      <c r="AD36" s="39">
        <f t="shared" si="28"/>
        <v>0</v>
      </c>
      <c r="AE36" s="40">
        <f t="shared" si="28"/>
        <v>583</v>
      </c>
      <c r="AF36" s="40">
        <f t="shared" si="28"/>
        <v>915</v>
      </c>
    </row>
    <row r="37" spans="2:32" ht="23.1" customHeight="1" x14ac:dyDescent="0.25">
      <c r="B37" s="45" t="s">
        <v>64</v>
      </c>
      <c r="C37" s="50">
        <v>62</v>
      </c>
      <c r="D37" s="50">
        <v>41</v>
      </c>
      <c r="E37" s="50">
        <v>12</v>
      </c>
      <c r="F37" s="50">
        <v>16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73</v>
      </c>
      <c r="N37" s="50">
        <v>0</v>
      </c>
      <c r="O37" s="15">
        <f t="shared" si="0"/>
        <v>134</v>
      </c>
      <c r="P37" s="15">
        <f t="shared" si="1"/>
        <v>207</v>
      </c>
      <c r="R37" s="37" t="s">
        <v>85</v>
      </c>
      <c r="S37" s="35">
        <f t="shared" ref="S37:AF37" si="29">SUM(S10:S12)</f>
        <v>199</v>
      </c>
      <c r="T37" s="16">
        <f t="shared" si="29"/>
        <v>116</v>
      </c>
      <c r="U37" s="16">
        <f t="shared" si="29"/>
        <v>57</v>
      </c>
      <c r="V37" s="16">
        <f t="shared" si="29"/>
        <v>68</v>
      </c>
      <c r="W37" s="16">
        <f t="shared" si="29"/>
        <v>0</v>
      </c>
      <c r="X37" s="16">
        <f t="shared" si="29"/>
        <v>0</v>
      </c>
      <c r="Y37" s="16">
        <f t="shared" si="29"/>
        <v>21</v>
      </c>
      <c r="Z37" s="16">
        <f t="shared" si="29"/>
        <v>3</v>
      </c>
      <c r="AA37" s="16">
        <f t="shared" si="29"/>
        <v>0</v>
      </c>
      <c r="AB37" s="16">
        <f t="shared" si="29"/>
        <v>0</v>
      </c>
      <c r="AC37" s="16">
        <f t="shared" si="29"/>
        <v>527</v>
      </c>
      <c r="AD37" s="16">
        <f t="shared" si="29"/>
        <v>0</v>
      </c>
      <c r="AE37" s="32">
        <f t="shared" si="29"/>
        <v>464</v>
      </c>
      <c r="AF37" s="32">
        <f t="shared" si="29"/>
        <v>991</v>
      </c>
    </row>
    <row r="38" spans="2:32" ht="23.1" customHeight="1" x14ac:dyDescent="0.25">
      <c r="B38" s="46" t="s">
        <v>65</v>
      </c>
      <c r="C38" s="50">
        <v>78</v>
      </c>
      <c r="D38" s="50">
        <v>45</v>
      </c>
      <c r="E38" s="50">
        <v>13</v>
      </c>
      <c r="F38" s="50">
        <v>27</v>
      </c>
      <c r="G38" s="50">
        <v>0</v>
      </c>
      <c r="H38" s="50">
        <v>0</v>
      </c>
      <c r="I38" s="50">
        <v>4</v>
      </c>
      <c r="J38" s="50">
        <v>0</v>
      </c>
      <c r="K38" s="50">
        <v>0</v>
      </c>
      <c r="L38" s="50">
        <v>0</v>
      </c>
      <c r="M38" s="50">
        <v>83</v>
      </c>
      <c r="N38" s="50">
        <v>0</v>
      </c>
      <c r="O38" s="15">
        <f t="shared" si="0"/>
        <v>167</v>
      </c>
      <c r="P38" s="15">
        <f t="shared" si="1"/>
        <v>250</v>
      </c>
      <c r="R38" s="28" t="s">
        <v>86</v>
      </c>
      <c r="S38" s="16">
        <f t="shared" ref="S38:AF38" si="30">SUM(S13:S18)</f>
        <v>1364</v>
      </c>
      <c r="T38" s="16">
        <f t="shared" si="30"/>
        <v>721</v>
      </c>
      <c r="U38" s="16">
        <f t="shared" si="30"/>
        <v>305</v>
      </c>
      <c r="V38" s="16">
        <f t="shared" si="30"/>
        <v>441</v>
      </c>
      <c r="W38" s="16">
        <f t="shared" si="30"/>
        <v>2</v>
      </c>
      <c r="X38" s="16">
        <f t="shared" si="30"/>
        <v>0</v>
      </c>
      <c r="Y38" s="16">
        <f t="shared" si="30"/>
        <v>67</v>
      </c>
      <c r="Z38" s="16">
        <f t="shared" si="30"/>
        <v>29</v>
      </c>
      <c r="AA38" s="16">
        <f t="shared" si="30"/>
        <v>2</v>
      </c>
      <c r="AB38" s="16">
        <f t="shared" si="30"/>
        <v>0</v>
      </c>
      <c r="AC38" s="16">
        <f t="shared" si="30"/>
        <v>1896</v>
      </c>
      <c r="AD38" s="16">
        <f t="shared" si="30"/>
        <v>1</v>
      </c>
      <c r="AE38" s="32">
        <f t="shared" si="30"/>
        <v>2932</v>
      </c>
      <c r="AF38" s="32">
        <f t="shared" si="30"/>
        <v>4828</v>
      </c>
    </row>
    <row r="39" spans="2:32" ht="23.1" customHeight="1" x14ac:dyDescent="0.25">
      <c r="B39" s="46" t="s">
        <v>66</v>
      </c>
      <c r="C39" s="50">
        <v>72</v>
      </c>
      <c r="D39" s="50">
        <v>43</v>
      </c>
      <c r="E39" s="50">
        <v>17</v>
      </c>
      <c r="F39" s="50">
        <v>31</v>
      </c>
      <c r="G39" s="50">
        <v>0</v>
      </c>
      <c r="H39" s="50">
        <v>0</v>
      </c>
      <c r="I39" s="50">
        <v>3</v>
      </c>
      <c r="J39" s="50">
        <v>2</v>
      </c>
      <c r="K39" s="50">
        <v>0</v>
      </c>
      <c r="L39" s="50">
        <v>0</v>
      </c>
      <c r="M39" s="50">
        <v>78</v>
      </c>
      <c r="N39" s="50">
        <v>0</v>
      </c>
      <c r="O39" s="15">
        <f t="shared" si="0"/>
        <v>168</v>
      </c>
      <c r="P39" s="15">
        <f t="shared" si="1"/>
        <v>246</v>
      </c>
      <c r="R39" s="29" t="s">
        <v>87</v>
      </c>
      <c r="S39" s="16">
        <f t="shared" ref="S39:AF39" si="31">SUM(S19:S21)</f>
        <v>748</v>
      </c>
      <c r="T39" s="16">
        <f t="shared" si="31"/>
        <v>417</v>
      </c>
      <c r="U39" s="16">
        <f t="shared" si="31"/>
        <v>141</v>
      </c>
      <c r="V39" s="16">
        <f t="shared" si="31"/>
        <v>238</v>
      </c>
      <c r="W39" s="16">
        <f t="shared" si="31"/>
        <v>0</v>
      </c>
      <c r="X39" s="16">
        <f t="shared" si="31"/>
        <v>0</v>
      </c>
      <c r="Y39" s="16">
        <f t="shared" si="31"/>
        <v>32</v>
      </c>
      <c r="Z39" s="16">
        <f t="shared" si="31"/>
        <v>11</v>
      </c>
      <c r="AA39" s="16">
        <f t="shared" si="31"/>
        <v>2</v>
      </c>
      <c r="AB39" s="16">
        <f t="shared" si="31"/>
        <v>0</v>
      </c>
      <c r="AC39" s="16">
        <f t="shared" si="31"/>
        <v>824</v>
      </c>
      <c r="AD39" s="16">
        <f t="shared" si="31"/>
        <v>0</v>
      </c>
      <c r="AE39" s="32">
        <f t="shared" si="31"/>
        <v>1589</v>
      </c>
      <c r="AF39" s="32">
        <f t="shared" si="31"/>
        <v>2413</v>
      </c>
    </row>
    <row r="40" spans="2:32" ht="23.1" customHeight="1" x14ac:dyDescent="0.25">
      <c r="B40" s="46" t="s">
        <v>67</v>
      </c>
      <c r="C40" s="50">
        <v>70</v>
      </c>
      <c r="D40" s="50">
        <v>39</v>
      </c>
      <c r="E40" s="50">
        <v>16</v>
      </c>
      <c r="F40" s="50">
        <v>33</v>
      </c>
      <c r="G40" s="50">
        <v>0</v>
      </c>
      <c r="H40" s="50">
        <v>0</v>
      </c>
      <c r="I40" s="50">
        <v>3</v>
      </c>
      <c r="J40" s="50">
        <v>2</v>
      </c>
      <c r="K40" s="50">
        <v>0</v>
      </c>
      <c r="L40" s="50">
        <v>0</v>
      </c>
      <c r="M40" s="50">
        <v>82</v>
      </c>
      <c r="N40" s="50">
        <v>0</v>
      </c>
      <c r="O40" s="15">
        <f t="shared" si="0"/>
        <v>163</v>
      </c>
      <c r="P40" s="15">
        <f t="shared" si="1"/>
        <v>245</v>
      </c>
      <c r="R40" s="5" t="s">
        <v>17</v>
      </c>
      <c r="S40" s="16">
        <f t="shared" ref="S40:AF40" si="32">SUM(S10:S21)</f>
        <v>2311</v>
      </c>
      <c r="T40" s="16">
        <f t="shared" si="32"/>
        <v>1254</v>
      </c>
      <c r="U40" s="16">
        <f t="shared" si="32"/>
        <v>503</v>
      </c>
      <c r="V40" s="16">
        <f t="shared" si="32"/>
        <v>747</v>
      </c>
      <c r="W40" s="16">
        <f t="shared" si="32"/>
        <v>2</v>
      </c>
      <c r="X40" s="16">
        <f t="shared" si="32"/>
        <v>0</v>
      </c>
      <c r="Y40" s="16">
        <f t="shared" si="32"/>
        <v>120</v>
      </c>
      <c r="Z40" s="16">
        <f t="shared" si="32"/>
        <v>43</v>
      </c>
      <c r="AA40" s="16">
        <f t="shared" si="32"/>
        <v>4</v>
      </c>
      <c r="AB40" s="16">
        <f t="shared" si="32"/>
        <v>0</v>
      </c>
      <c r="AC40" s="16">
        <f t="shared" si="32"/>
        <v>3247</v>
      </c>
      <c r="AD40" s="16">
        <f t="shared" si="32"/>
        <v>1</v>
      </c>
      <c r="AE40" s="32">
        <f t="shared" si="32"/>
        <v>4985</v>
      </c>
      <c r="AF40" s="32">
        <f t="shared" si="32"/>
        <v>8232</v>
      </c>
    </row>
    <row r="41" spans="2:32" ht="23.1" customHeight="1" x14ac:dyDescent="0.25">
      <c r="B41" s="45" t="s">
        <v>68</v>
      </c>
      <c r="C41" s="50">
        <v>78</v>
      </c>
      <c r="D41" s="50">
        <v>43</v>
      </c>
      <c r="E41" s="50">
        <v>14</v>
      </c>
      <c r="F41" s="50">
        <v>29</v>
      </c>
      <c r="G41" s="50">
        <v>0</v>
      </c>
      <c r="H41" s="50">
        <v>0</v>
      </c>
      <c r="I41" s="50">
        <v>2</v>
      </c>
      <c r="J41" s="50">
        <v>3</v>
      </c>
      <c r="K41" s="50">
        <v>0</v>
      </c>
      <c r="L41" s="50">
        <v>0</v>
      </c>
      <c r="M41" s="50">
        <v>78</v>
      </c>
      <c r="N41" s="50">
        <v>0</v>
      </c>
      <c r="O41" s="15">
        <f t="shared" si="0"/>
        <v>169</v>
      </c>
      <c r="P41" s="15">
        <f t="shared" si="1"/>
        <v>247</v>
      </c>
      <c r="R41" s="5" t="s">
        <v>159</v>
      </c>
      <c r="S41" s="16">
        <f>SUM(S10:S33)</f>
        <v>4661</v>
      </c>
      <c r="T41" s="16">
        <f t="shared" ref="T41:AF41" si="33">SUM(T10:T33)</f>
        <v>2868</v>
      </c>
      <c r="U41" s="16">
        <f t="shared" si="33"/>
        <v>574</v>
      </c>
      <c r="V41" s="16">
        <f t="shared" si="33"/>
        <v>851</v>
      </c>
      <c r="W41" s="16">
        <f t="shared" si="33"/>
        <v>3</v>
      </c>
      <c r="X41" s="16">
        <f t="shared" si="33"/>
        <v>0</v>
      </c>
      <c r="Y41" s="16">
        <f t="shared" si="33"/>
        <v>159</v>
      </c>
      <c r="Z41" s="16">
        <f t="shared" si="33"/>
        <v>44</v>
      </c>
      <c r="AA41" s="16">
        <f t="shared" si="33"/>
        <v>6</v>
      </c>
      <c r="AB41" s="16">
        <f t="shared" si="33"/>
        <v>0</v>
      </c>
      <c r="AC41" s="16">
        <f t="shared" si="33"/>
        <v>5677</v>
      </c>
      <c r="AD41" s="16">
        <f t="shared" si="33"/>
        <v>1</v>
      </c>
      <c r="AE41" s="32">
        <f t="shared" si="33"/>
        <v>9167</v>
      </c>
      <c r="AF41" s="32">
        <f t="shared" si="33"/>
        <v>14844</v>
      </c>
    </row>
    <row r="42" spans="2:32" ht="23.1" customHeight="1" x14ac:dyDescent="0.25">
      <c r="B42" s="46" t="s">
        <v>69</v>
      </c>
      <c r="C42" s="50">
        <v>88</v>
      </c>
      <c r="D42" s="50">
        <v>34</v>
      </c>
      <c r="E42" s="50">
        <v>17</v>
      </c>
      <c r="F42" s="50">
        <v>29</v>
      </c>
      <c r="G42" s="50">
        <v>0</v>
      </c>
      <c r="H42" s="50">
        <v>0</v>
      </c>
      <c r="I42" s="50">
        <v>2</v>
      </c>
      <c r="J42" s="50">
        <v>2</v>
      </c>
      <c r="K42" s="50">
        <v>0</v>
      </c>
      <c r="L42" s="50">
        <v>0</v>
      </c>
      <c r="M42" s="50">
        <v>87</v>
      </c>
      <c r="N42" s="50">
        <v>0</v>
      </c>
      <c r="O42" s="15">
        <f t="shared" si="0"/>
        <v>172</v>
      </c>
      <c r="P42" s="15">
        <f t="shared" si="1"/>
        <v>259</v>
      </c>
      <c r="R42" s="5" t="s">
        <v>160</v>
      </c>
      <c r="S42" s="48">
        <f>S41/S40</f>
        <v>2.0168758113370835</v>
      </c>
      <c r="T42" s="48">
        <f t="shared" ref="T42:AF42" si="34">T41/T40</f>
        <v>2.2870813397129188</v>
      </c>
      <c r="U42" s="48">
        <f t="shared" si="34"/>
        <v>1.1411530815109343</v>
      </c>
      <c r="V42" s="48">
        <f t="shared" si="34"/>
        <v>1.1392235609103079</v>
      </c>
      <c r="W42" s="48">
        <f t="shared" si="34"/>
        <v>1.5</v>
      </c>
      <c r="X42" s="48" t="e">
        <f t="shared" si="34"/>
        <v>#DIV/0!</v>
      </c>
      <c r="Y42" s="48">
        <f t="shared" si="34"/>
        <v>1.325</v>
      </c>
      <c r="Z42" s="48">
        <f t="shared" si="34"/>
        <v>1.0232558139534884</v>
      </c>
      <c r="AA42" s="48">
        <f t="shared" si="34"/>
        <v>1.5</v>
      </c>
      <c r="AB42" s="48" t="e">
        <f t="shared" si="34"/>
        <v>#DIV/0!</v>
      </c>
      <c r="AC42" s="48">
        <f t="shared" si="34"/>
        <v>1.748383122882661</v>
      </c>
      <c r="AD42" s="48">
        <f t="shared" si="34"/>
        <v>1</v>
      </c>
      <c r="AE42" s="48">
        <f t="shared" si="34"/>
        <v>1.8389167502507522</v>
      </c>
      <c r="AF42" s="48">
        <f t="shared" si="34"/>
        <v>1.8032069970845481</v>
      </c>
    </row>
    <row r="43" spans="2:32" ht="23.1" customHeight="1" x14ac:dyDescent="0.25">
      <c r="B43" s="45" t="s">
        <v>70</v>
      </c>
      <c r="C43" s="50">
        <v>64</v>
      </c>
      <c r="D43" s="50">
        <v>31</v>
      </c>
      <c r="E43" s="50">
        <v>43</v>
      </c>
      <c r="F43" s="50">
        <v>31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81</v>
      </c>
      <c r="N43" s="50">
        <v>0</v>
      </c>
      <c r="O43" s="15">
        <f t="shared" si="0"/>
        <v>170</v>
      </c>
      <c r="P43" s="15">
        <f t="shared" si="1"/>
        <v>251</v>
      </c>
    </row>
    <row r="44" spans="2:32" ht="23.1" customHeight="1" x14ac:dyDescent="0.25">
      <c r="B44" s="47" t="s">
        <v>71</v>
      </c>
      <c r="C44" s="50">
        <v>58</v>
      </c>
      <c r="D44" s="50">
        <v>39</v>
      </c>
      <c r="E44" s="50">
        <v>23</v>
      </c>
      <c r="F44" s="50">
        <v>27</v>
      </c>
      <c r="G44" s="50">
        <v>0</v>
      </c>
      <c r="H44" s="50">
        <v>0</v>
      </c>
      <c r="I44" s="50">
        <v>6</v>
      </c>
      <c r="J44" s="50">
        <v>0</v>
      </c>
      <c r="K44" s="50">
        <v>0</v>
      </c>
      <c r="L44" s="50">
        <v>0</v>
      </c>
      <c r="M44" s="50">
        <v>78</v>
      </c>
      <c r="N44" s="50">
        <v>0</v>
      </c>
      <c r="O44" s="15">
        <f t="shared" si="0"/>
        <v>153</v>
      </c>
      <c r="P44" s="15">
        <f t="shared" si="1"/>
        <v>231</v>
      </c>
    </row>
    <row r="45" spans="2:32" ht="23.1" customHeight="1" x14ac:dyDescent="0.25">
      <c r="B45" s="45" t="s">
        <v>72</v>
      </c>
      <c r="C45" s="50">
        <v>69</v>
      </c>
      <c r="D45" s="50">
        <v>37</v>
      </c>
      <c r="E45" s="50">
        <v>16</v>
      </c>
      <c r="F45" s="50">
        <v>21</v>
      </c>
      <c r="G45" s="50">
        <v>1</v>
      </c>
      <c r="H45" s="50">
        <v>0</v>
      </c>
      <c r="I45" s="50">
        <v>3</v>
      </c>
      <c r="J45" s="50">
        <v>2</v>
      </c>
      <c r="K45" s="50">
        <v>0</v>
      </c>
      <c r="L45" s="50">
        <v>0</v>
      </c>
      <c r="M45" s="50">
        <v>84</v>
      </c>
      <c r="N45" s="50">
        <v>0</v>
      </c>
      <c r="O45" s="15">
        <f t="shared" si="0"/>
        <v>149</v>
      </c>
      <c r="P45" s="15">
        <f t="shared" si="1"/>
        <v>233</v>
      </c>
    </row>
    <row r="46" spans="2:32" ht="23.1" customHeight="1" x14ac:dyDescent="0.25">
      <c r="B46" s="46" t="s">
        <v>73</v>
      </c>
      <c r="C46" s="50">
        <v>65</v>
      </c>
      <c r="D46" s="50">
        <v>29</v>
      </c>
      <c r="E46" s="50">
        <v>11</v>
      </c>
      <c r="F46" s="50">
        <v>17</v>
      </c>
      <c r="G46" s="50">
        <v>0</v>
      </c>
      <c r="H46" s="50">
        <v>0</v>
      </c>
      <c r="I46" s="50">
        <v>2</v>
      </c>
      <c r="J46" s="50">
        <v>3</v>
      </c>
      <c r="K46" s="50">
        <v>0</v>
      </c>
      <c r="L46" s="50">
        <v>0</v>
      </c>
      <c r="M46" s="50">
        <v>61</v>
      </c>
      <c r="N46" s="50">
        <v>0</v>
      </c>
      <c r="O46" s="15">
        <f t="shared" si="0"/>
        <v>127</v>
      </c>
      <c r="P46" s="15">
        <f t="shared" si="1"/>
        <v>188</v>
      </c>
      <c r="R46" s="8"/>
      <c r="T46"/>
    </row>
    <row r="47" spans="2:32" ht="23.1" customHeight="1" x14ac:dyDescent="0.25">
      <c r="B47" s="46" t="s">
        <v>74</v>
      </c>
      <c r="C47" s="50">
        <v>56</v>
      </c>
      <c r="D47" s="50">
        <v>35</v>
      </c>
      <c r="E47" s="50">
        <v>8</v>
      </c>
      <c r="F47" s="50">
        <v>10</v>
      </c>
      <c r="G47" s="50">
        <v>0</v>
      </c>
      <c r="H47" s="50">
        <v>0</v>
      </c>
      <c r="I47" s="50">
        <v>3</v>
      </c>
      <c r="J47" s="50">
        <v>2</v>
      </c>
      <c r="K47" s="50">
        <v>1</v>
      </c>
      <c r="L47" s="50">
        <v>0</v>
      </c>
      <c r="M47" s="50">
        <v>56</v>
      </c>
      <c r="N47" s="50">
        <v>0</v>
      </c>
      <c r="O47" s="15">
        <f t="shared" si="0"/>
        <v>115</v>
      </c>
      <c r="P47" s="15">
        <f t="shared" si="1"/>
        <v>171</v>
      </c>
      <c r="R47" s="8"/>
      <c r="T47"/>
    </row>
    <row r="48" spans="2:32" ht="23.1" customHeight="1" x14ac:dyDescent="0.25">
      <c r="B48" s="46" t="s">
        <v>75</v>
      </c>
      <c r="C48" s="50">
        <v>59</v>
      </c>
      <c r="D48" s="50">
        <v>27</v>
      </c>
      <c r="E48" s="50">
        <v>11</v>
      </c>
      <c r="F48" s="50">
        <v>15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53</v>
      </c>
      <c r="N48" s="50">
        <v>0</v>
      </c>
      <c r="O48" s="15">
        <f t="shared" si="0"/>
        <v>114</v>
      </c>
      <c r="P48" s="15">
        <f t="shared" si="1"/>
        <v>167</v>
      </c>
      <c r="R48" s="8"/>
      <c r="T48"/>
    </row>
    <row r="49" spans="2:20" ht="23.1" customHeight="1" x14ac:dyDescent="0.25">
      <c r="B49" s="45" t="s">
        <v>76</v>
      </c>
      <c r="C49" s="50">
        <v>57</v>
      </c>
      <c r="D49" s="50">
        <v>23</v>
      </c>
      <c r="E49" s="50">
        <v>13</v>
      </c>
      <c r="F49" s="50">
        <v>19</v>
      </c>
      <c r="G49" s="50">
        <v>0</v>
      </c>
      <c r="H49" s="50">
        <v>0</v>
      </c>
      <c r="I49" s="50">
        <v>4</v>
      </c>
      <c r="J49" s="50">
        <v>3</v>
      </c>
      <c r="K49" s="50">
        <v>1</v>
      </c>
      <c r="L49" s="50">
        <v>0</v>
      </c>
      <c r="M49" s="50">
        <v>63</v>
      </c>
      <c r="N49" s="50">
        <v>0</v>
      </c>
      <c r="O49" s="15">
        <f t="shared" si="0"/>
        <v>120</v>
      </c>
      <c r="P49" s="15">
        <f t="shared" si="1"/>
        <v>183</v>
      </c>
      <c r="R49" s="8"/>
      <c r="T49"/>
    </row>
    <row r="50" spans="2:20" ht="23.1" customHeight="1" x14ac:dyDescent="0.25">
      <c r="B50" s="46" t="s">
        <v>77</v>
      </c>
      <c r="C50" s="50">
        <v>58</v>
      </c>
      <c r="D50" s="50">
        <v>36</v>
      </c>
      <c r="E50" s="50">
        <v>13</v>
      </c>
      <c r="F50" s="50">
        <v>31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62</v>
      </c>
      <c r="N50" s="50">
        <v>0</v>
      </c>
      <c r="O50" s="15">
        <f t="shared" si="0"/>
        <v>140</v>
      </c>
      <c r="P50" s="15">
        <f t="shared" si="1"/>
        <v>202</v>
      </c>
      <c r="R50" s="8"/>
      <c r="T50"/>
    </row>
    <row r="51" spans="2:20" ht="23.1" customHeight="1" x14ac:dyDescent="0.25">
      <c r="B51" s="46" t="s">
        <v>78</v>
      </c>
      <c r="C51" s="50">
        <v>53</v>
      </c>
      <c r="D51" s="50">
        <v>31</v>
      </c>
      <c r="E51" s="50">
        <v>11</v>
      </c>
      <c r="F51" s="50">
        <v>24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58</v>
      </c>
      <c r="N51" s="50">
        <v>0</v>
      </c>
      <c r="O51" s="15">
        <f t="shared" si="0"/>
        <v>121</v>
      </c>
      <c r="P51" s="15">
        <f t="shared" si="1"/>
        <v>179</v>
      </c>
      <c r="R51" s="8"/>
      <c r="T51"/>
    </row>
    <row r="52" spans="2:20" ht="23.1" customHeight="1" x14ac:dyDescent="0.25">
      <c r="B52" s="46" t="s">
        <v>79</v>
      </c>
      <c r="C52" s="50">
        <v>63</v>
      </c>
      <c r="D52" s="50">
        <v>30</v>
      </c>
      <c r="E52" s="50">
        <v>13</v>
      </c>
      <c r="F52" s="50">
        <v>20</v>
      </c>
      <c r="G52" s="50">
        <v>0</v>
      </c>
      <c r="H52" s="50">
        <v>0</v>
      </c>
      <c r="I52" s="50">
        <v>4</v>
      </c>
      <c r="J52" s="50">
        <v>3</v>
      </c>
      <c r="K52" s="50">
        <v>0</v>
      </c>
      <c r="L52" s="50">
        <v>0</v>
      </c>
      <c r="M52" s="50">
        <v>62</v>
      </c>
      <c r="N52" s="50">
        <v>0</v>
      </c>
      <c r="O52" s="15">
        <f t="shared" si="0"/>
        <v>133</v>
      </c>
      <c r="P52" s="15">
        <f t="shared" si="1"/>
        <v>195</v>
      </c>
      <c r="R52" s="8"/>
      <c r="T52"/>
    </row>
    <row r="53" spans="2:20" ht="23.1" customHeight="1" x14ac:dyDescent="0.25">
      <c r="B53" s="45" t="s">
        <v>80</v>
      </c>
      <c r="C53" s="50">
        <v>70</v>
      </c>
      <c r="D53" s="50">
        <v>35</v>
      </c>
      <c r="E53" s="50">
        <v>11</v>
      </c>
      <c r="F53" s="50">
        <v>18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77</v>
      </c>
      <c r="N53" s="50">
        <v>0</v>
      </c>
      <c r="O53" s="15">
        <f t="shared" si="0"/>
        <v>136</v>
      </c>
      <c r="P53" s="15">
        <f t="shared" si="1"/>
        <v>213</v>
      </c>
      <c r="R53" s="8"/>
      <c r="T53"/>
    </row>
    <row r="54" spans="2:20" ht="23.1" customHeight="1" x14ac:dyDescent="0.25">
      <c r="B54" s="45" t="s">
        <v>81</v>
      </c>
      <c r="C54" s="50">
        <v>68</v>
      </c>
      <c r="D54" s="50">
        <v>45</v>
      </c>
      <c r="E54" s="50">
        <v>9</v>
      </c>
      <c r="F54" s="50">
        <v>19</v>
      </c>
      <c r="G54" s="50">
        <v>0</v>
      </c>
      <c r="H54" s="50">
        <v>0</v>
      </c>
      <c r="I54" s="50">
        <v>5</v>
      </c>
      <c r="J54" s="50">
        <v>0</v>
      </c>
      <c r="K54" s="50">
        <v>0</v>
      </c>
      <c r="L54" s="50">
        <v>0</v>
      </c>
      <c r="M54" s="50">
        <v>88</v>
      </c>
      <c r="N54" s="50">
        <v>0</v>
      </c>
      <c r="O54" s="15">
        <f t="shared" si="0"/>
        <v>146</v>
      </c>
      <c r="P54" s="15">
        <f t="shared" si="1"/>
        <v>234</v>
      </c>
      <c r="R54" s="8"/>
      <c r="T54"/>
    </row>
    <row r="55" spans="2:20" ht="23.1" customHeight="1" x14ac:dyDescent="0.25">
      <c r="B55" s="45" t="s">
        <v>82</v>
      </c>
      <c r="C55" s="50">
        <v>59</v>
      </c>
      <c r="D55" s="50">
        <v>37</v>
      </c>
      <c r="E55" s="50">
        <v>13</v>
      </c>
      <c r="F55" s="50">
        <v>16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79</v>
      </c>
      <c r="N55" s="50">
        <v>0</v>
      </c>
      <c r="O55" s="15">
        <f t="shared" si="0"/>
        <v>126</v>
      </c>
      <c r="P55" s="15">
        <f t="shared" si="1"/>
        <v>205</v>
      </c>
      <c r="R55" s="8"/>
      <c r="T55"/>
    </row>
    <row r="56" spans="2:20" ht="23.1" customHeight="1" x14ac:dyDescent="0.25">
      <c r="B56" s="45" t="s">
        <v>83</v>
      </c>
      <c r="C56" s="50">
        <v>72</v>
      </c>
      <c r="D56" s="50">
        <v>50</v>
      </c>
      <c r="E56" s="50">
        <v>15</v>
      </c>
      <c r="F56" s="50">
        <v>22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87</v>
      </c>
      <c r="N56" s="50">
        <v>0</v>
      </c>
      <c r="O56" s="15">
        <f t="shared" si="0"/>
        <v>161</v>
      </c>
      <c r="P56" s="15">
        <f t="shared" si="1"/>
        <v>248</v>
      </c>
      <c r="R56" s="8"/>
      <c r="T56"/>
    </row>
    <row r="57" spans="2:20" ht="23.1" customHeight="1" x14ac:dyDescent="0.25">
      <c r="B57" s="45" t="s">
        <v>84</v>
      </c>
      <c r="C57" s="50">
        <v>68</v>
      </c>
      <c r="D57" s="50">
        <v>39</v>
      </c>
      <c r="E57" s="50">
        <v>13</v>
      </c>
      <c r="F57" s="50">
        <v>27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78</v>
      </c>
      <c r="N57" s="50">
        <v>0</v>
      </c>
      <c r="O57" s="15">
        <f t="shared" si="0"/>
        <v>150</v>
      </c>
      <c r="P57" s="15">
        <f t="shared" si="1"/>
        <v>228</v>
      </c>
      <c r="R57" s="8"/>
      <c r="T57"/>
    </row>
    <row r="58" spans="2:20" ht="23.1" customHeight="1" x14ac:dyDescent="0.25">
      <c r="B58" s="45" t="s">
        <v>99</v>
      </c>
      <c r="C58" s="50">
        <v>82</v>
      </c>
      <c r="D58" s="50">
        <v>60</v>
      </c>
      <c r="E58" s="50">
        <v>10</v>
      </c>
      <c r="F58" s="50">
        <v>7</v>
      </c>
      <c r="G58" s="50">
        <v>0</v>
      </c>
      <c r="H58" s="50">
        <v>0</v>
      </c>
      <c r="I58" s="50">
        <v>4</v>
      </c>
      <c r="J58" s="50">
        <v>1</v>
      </c>
      <c r="K58" s="50">
        <v>0</v>
      </c>
      <c r="L58" s="50">
        <v>0</v>
      </c>
      <c r="M58" s="50">
        <v>80</v>
      </c>
      <c r="N58" s="50">
        <v>0</v>
      </c>
      <c r="O58" s="15">
        <f t="shared" si="0"/>
        <v>164</v>
      </c>
      <c r="P58" s="15">
        <f t="shared" si="1"/>
        <v>244</v>
      </c>
      <c r="R58" s="8"/>
      <c r="T58"/>
    </row>
    <row r="59" spans="2:20" ht="23.1" customHeight="1" x14ac:dyDescent="0.25">
      <c r="B59" s="45" t="s">
        <v>100</v>
      </c>
      <c r="C59" s="50">
        <v>105</v>
      </c>
      <c r="D59" s="50">
        <v>67</v>
      </c>
      <c r="E59" s="50">
        <v>5</v>
      </c>
      <c r="F59" s="50">
        <v>7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90</v>
      </c>
      <c r="N59" s="50">
        <v>0</v>
      </c>
      <c r="O59" s="15">
        <f t="shared" si="0"/>
        <v>184</v>
      </c>
      <c r="P59" s="15">
        <f t="shared" si="1"/>
        <v>274</v>
      </c>
      <c r="R59" s="8"/>
      <c r="T59"/>
    </row>
    <row r="60" spans="2:20" ht="23.1" customHeight="1" x14ac:dyDescent="0.25">
      <c r="B60" s="45" t="s">
        <v>101</v>
      </c>
      <c r="C60" s="50">
        <v>80</v>
      </c>
      <c r="D60" s="50">
        <v>70</v>
      </c>
      <c r="E60" s="50">
        <v>3</v>
      </c>
      <c r="F60" s="50">
        <v>11</v>
      </c>
      <c r="G60" s="50">
        <v>0</v>
      </c>
      <c r="H60" s="50">
        <v>0</v>
      </c>
      <c r="I60" s="50">
        <v>11</v>
      </c>
      <c r="J60" s="50">
        <v>0</v>
      </c>
      <c r="K60" s="50">
        <v>0</v>
      </c>
      <c r="L60" s="50">
        <v>0</v>
      </c>
      <c r="M60" s="50">
        <v>140</v>
      </c>
      <c r="N60" s="50">
        <v>0</v>
      </c>
      <c r="O60" s="15">
        <f t="shared" si="0"/>
        <v>175</v>
      </c>
      <c r="P60" s="15">
        <f t="shared" si="1"/>
        <v>315</v>
      </c>
      <c r="R60" s="8"/>
      <c r="T60"/>
    </row>
    <row r="61" spans="2:20" ht="23.1" customHeight="1" x14ac:dyDescent="0.25">
      <c r="B61" s="45" t="s">
        <v>102</v>
      </c>
      <c r="C61" s="50">
        <v>93</v>
      </c>
      <c r="D61" s="50">
        <v>75</v>
      </c>
      <c r="E61" s="50">
        <v>8</v>
      </c>
      <c r="F61" s="50">
        <v>16</v>
      </c>
      <c r="G61" s="50">
        <v>0</v>
      </c>
      <c r="H61" s="50">
        <v>0</v>
      </c>
      <c r="I61" s="50">
        <v>1</v>
      </c>
      <c r="J61" s="50">
        <v>0</v>
      </c>
      <c r="K61" s="50">
        <v>0</v>
      </c>
      <c r="L61" s="50">
        <v>0</v>
      </c>
      <c r="M61" s="50">
        <v>119</v>
      </c>
      <c r="N61" s="50">
        <v>0</v>
      </c>
      <c r="O61" s="15">
        <f t="shared" si="0"/>
        <v>193</v>
      </c>
      <c r="P61" s="15">
        <f t="shared" si="1"/>
        <v>312</v>
      </c>
      <c r="R61" s="8"/>
      <c r="T61"/>
    </row>
    <row r="62" spans="2:20" ht="23.1" customHeight="1" x14ac:dyDescent="0.25">
      <c r="B62" s="45" t="s">
        <v>107</v>
      </c>
      <c r="C62" s="50">
        <v>87</v>
      </c>
      <c r="D62" s="50">
        <v>89</v>
      </c>
      <c r="E62" s="50">
        <v>4</v>
      </c>
      <c r="F62" s="50">
        <v>4</v>
      </c>
      <c r="G62" s="50">
        <v>0</v>
      </c>
      <c r="H62" s="50">
        <v>0</v>
      </c>
      <c r="I62" s="50">
        <v>1</v>
      </c>
      <c r="J62" s="50">
        <v>0</v>
      </c>
      <c r="K62" s="50">
        <v>0</v>
      </c>
      <c r="L62" s="50">
        <v>0</v>
      </c>
      <c r="M62" s="50">
        <v>105</v>
      </c>
      <c r="N62" s="50">
        <v>0</v>
      </c>
      <c r="O62" s="15">
        <f t="shared" si="0"/>
        <v>185</v>
      </c>
      <c r="P62" s="15">
        <f t="shared" si="1"/>
        <v>290</v>
      </c>
      <c r="R62" s="8"/>
      <c r="T62"/>
    </row>
    <row r="63" spans="2:20" ht="23.1" customHeight="1" x14ac:dyDescent="0.25">
      <c r="B63" s="45" t="s">
        <v>108</v>
      </c>
      <c r="C63" s="50">
        <v>125</v>
      </c>
      <c r="D63" s="50">
        <v>90</v>
      </c>
      <c r="E63" s="50">
        <v>1</v>
      </c>
      <c r="F63" s="50">
        <v>3</v>
      </c>
      <c r="G63" s="50">
        <v>0</v>
      </c>
      <c r="H63" s="50">
        <v>0</v>
      </c>
      <c r="I63" s="50">
        <v>2</v>
      </c>
      <c r="J63" s="50">
        <v>0</v>
      </c>
      <c r="K63" s="50">
        <v>0</v>
      </c>
      <c r="L63" s="50">
        <v>0</v>
      </c>
      <c r="M63" s="50">
        <v>100</v>
      </c>
      <c r="N63" s="50">
        <v>0</v>
      </c>
      <c r="O63" s="15">
        <f t="shared" si="0"/>
        <v>221</v>
      </c>
      <c r="P63" s="15">
        <f t="shared" si="1"/>
        <v>321</v>
      </c>
      <c r="R63" s="8"/>
      <c r="T63"/>
    </row>
    <row r="64" spans="2:20" ht="23.1" customHeight="1" x14ac:dyDescent="0.25">
      <c r="B64" s="45" t="s">
        <v>109</v>
      </c>
      <c r="C64" s="50">
        <v>80</v>
      </c>
      <c r="D64" s="50">
        <v>63</v>
      </c>
      <c r="E64" s="50">
        <v>7</v>
      </c>
      <c r="F64" s="50">
        <v>7</v>
      </c>
      <c r="G64" s="50">
        <v>0</v>
      </c>
      <c r="H64" s="50">
        <v>0</v>
      </c>
      <c r="I64" s="50">
        <v>4</v>
      </c>
      <c r="J64" s="50">
        <v>0</v>
      </c>
      <c r="K64" s="50">
        <v>0</v>
      </c>
      <c r="L64" s="50">
        <v>0</v>
      </c>
      <c r="M64" s="50">
        <v>112</v>
      </c>
      <c r="N64" s="50">
        <v>0</v>
      </c>
      <c r="O64" s="15">
        <f t="shared" si="0"/>
        <v>161</v>
      </c>
      <c r="P64" s="15">
        <f t="shared" si="1"/>
        <v>273</v>
      </c>
      <c r="R64" s="8"/>
      <c r="T64"/>
    </row>
    <row r="65" spans="2:20" ht="23.1" customHeight="1" x14ac:dyDescent="0.25">
      <c r="B65" s="45" t="s">
        <v>158</v>
      </c>
      <c r="C65" s="50">
        <v>113</v>
      </c>
      <c r="D65" s="50">
        <v>90</v>
      </c>
      <c r="E65" s="50">
        <v>0</v>
      </c>
      <c r="F65" s="50">
        <v>8</v>
      </c>
      <c r="G65" s="50">
        <v>0</v>
      </c>
      <c r="H65" s="50">
        <v>0</v>
      </c>
      <c r="I65" s="50">
        <v>1</v>
      </c>
      <c r="J65" s="50">
        <v>0</v>
      </c>
      <c r="K65" s="50">
        <v>2</v>
      </c>
      <c r="L65" s="50">
        <v>0</v>
      </c>
      <c r="M65" s="50">
        <v>110</v>
      </c>
      <c r="N65" s="50">
        <v>0</v>
      </c>
      <c r="O65" s="15">
        <f t="shared" si="0"/>
        <v>214</v>
      </c>
      <c r="P65" s="15">
        <f t="shared" si="1"/>
        <v>324</v>
      </c>
      <c r="R65" s="8"/>
      <c r="T65"/>
    </row>
    <row r="66" spans="2:20" ht="23.1" customHeight="1" x14ac:dyDescent="0.25">
      <c r="B66" s="45" t="s">
        <v>103</v>
      </c>
      <c r="C66" s="50">
        <v>130</v>
      </c>
      <c r="D66" s="50">
        <v>65</v>
      </c>
      <c r="E66" s="50">
        <v>3</v>
      </c>
      <c r="F66" s="50">
        <v>7</v>
      </c>
      <c r="G66" s="50">
        <v>0</v>
      </c>
      <c r="H66" s="50">
        <v>0</v>
      </c>
      <c r="I66" s="50">
        <v>2</v>
      </c>
      <c r="J66" s="50">
        <v>0</v>
      </c>
      <c r="K66" s="50">
        <v>0</v>
      </c>
      <c r="L66" s="50">
        <v>0</v>
      </c>
      <c r="M66" s="50">
        <v>123</v>
      </c>
      <c r="N66" s="50">
        <v>0</v>
      </c>
      <c r="O66" s="15">
        <f t="shared" si="0"/>
        <v>207</v>
      </c>
      <c r="P66" s="15">
        <f t="shared" si="1"/>
        <v>330</v>
      </c>
      <c r="R66" s="8"/>
      <c r="T66"/>
    </row>
    <row r="67" spans="2:20" ht="23.1" customHeight="1" x14ac:dyDescent="0.25">
      <c r="B67" s="45" t="s">
        <v>104</v>
      </c>
      <c r="C67" s="50">
        <v>86</v>
      </c>
      <c r="D67" s="50">
        <v>70</v>
      </c>
      <c r="E67" s="50">
        <v>5</v>
      </c>
      <c r="F67" s="50">
        <v>6</v>
      </c>
      <c r="G67" s="50">
        <v>0</v>
      </c>
      <c r="H67" s="50">
        <v>0</v>
      </c>
      <c r="I67" s="50">
        <v>2</v>
      </c>
      <c r="J67" s="50">
        <v>0</v>
      </c>
      <c r="K67" s="50">
        <v>0</v>
      </c>
      <c r="L67" s="50">
        <v>0</v>
      </c>
      <c r="M67" s="50">
        <v>69</v>
      </c>
      <c r="N67" s="50">
        <v>0</v>
      </c>
      <c r="O67" s="15">
        <f t="shared" si="0"/>
        <v>169</v>
      </c>
      <c r="P67" s="15">
        <f t="shared" si="1"/>
        <v>238</v>
      </c>
      <c r="R67" s="8"/>
      <c r="T67"/>
    </row>
    <row r="68" spans="2:20" ht="23.1" customHeight="1" x14ac:dyDescent="0.25">
      <c r="B68" s="45" t="s">
        <v>105</v>
      </c>
      <c r="C68" s="50">
        <v>95</v>
      </c>
      <c r="D68" s="50">
        <v>75</v>
      </c>
      <c r="E68" s="50">
        <v>1</v>
      </c>
      <c r="F68" s="50">
        <v>2</v>
      </c>
      <c r="G68" s="50">
        <v>0</v>
      </c>
      <c r="H68" s="50">
        <v>0</v>
      </c>
      <c r="I68" s="50">
        <v>2</v>
      </c>
      <c r="J68" s="50">
        <v>0</v>
      </c>
      <c r="K68" s="50">
        <v>0</v>
      </c>
      <c r="L68" s="50">
        <v>0</v>
      </c>
      <c r="M68" s="50">
        <v>93</v>
      </c>
      <c r="N68" s="50">
        <v>0</v>
      </c>
      <c r="O68" s="15">
        <f t="shared" si="0"/>
        <v>175</v>
      </c>
      <c r="P68" s="15">
        <f t="shared" si="1"/>
        <v>268</v>
      </c>
      <c r="R68" s="8"/>
      <c r="T68"/>
    </row>
    <row r="69" spans="2:20" ht="23.1" customHeight="1" x14ac:dyDescent="0.25">
      <c r="B69" s="45" t="s">
        <v>106</v>
      </c>
      <c r="C69" s="50">
        <v>95</v>
      </c>
      <c r="D69" s="50">
        <v>54</v>
      </c>
      <c r="E69" s="50">
        <v>2</v>
      </c>
      <c r="F69" s="50">
        <v>1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95</v>
      </c>
      <c r="N69" s="50">
        <v>0</v>
      </c>
      <c r="O69" s="15">
        <f t="shared" si="0"/>
        <v>153</v>
      </c>
      <c r="P69" s="15">
        <f t="shared" si="1"/>
        <v>248</v>
      </c>
      <c r="R69" s="8"/>
      <c r="T69"/>
    </row>
    <row r="70" spans="2:20" ht="23.1" customHeight="1" x14ac:dyDescent="0.25">
      <c r="B70" s="45" t="s">
        <v>110</v>
      </c>
      <c r="C70" s="50">
        <v>125</v>
      </c>
      <c r="D70" s="50">
        <v>105</v>
      </c>
      <c r="E70" s="50">
        <v>1</v>
      </c>
      <c r="F70" s="50">
        <v>3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113</v>
      </c>
      <c r="N70" s="50">
        <v>0</v>
      </c>
      <c r="O70" s="15">
        <f t="shared" si="0"/>
        <v>235</v>
      </c>
      <c r="P70" s="15">
        <f t="shared" si="1"/>
        <v>348</v>
      </c>
      <c r="R70" s="8"/>
      <c r="T70"/>
    </row>
    <row r="71" spans="2:20" ht="23.1" customHeight="1" x14ac:dyDescent="0.25">
      <c r="B71" s="45" t="s">
        <v>111</v>
      </c>
      <c r="C71" s="50">
        <v>110</v>
      </c>
      <c r="D71" s="50">
        <v>75</v>
      </c>
      <c r="E71" s="50">
        <v>2</v>
      </c>
      <c r="F71" s="50">
        <v>6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85</v>
      </c>
      <c r="N71" s="50">
        <v>0</v>
      </c>
      <c r="O71" s="15">
        <f t="shared" si="0"/>
        <v>193</v>
      </c>
      <c r="P71" s="15">
        <f t="shared" si="1"/>
        <v>278</v>
      </c>
      <c r="R71" s="8"/>
      <c r="T71"/>
    </row>
    <row r="72" spans="2:20" ht="23.1" customHeight="1" x14ac:dyDescent="0.25">
      <c r="B72" s="45" t="s">
        <v>112</v>
      </c>
      <c r="C72" s="50">
        <v>80</v>
      </c>
      <c r="D72" s="50">
        <v>65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60</v>
      </c>
      <c r="N72" s="50">
        <v>0</v>
      </c>
      <c r="O72" s="15">
        <f t="shared" si="0"/>
        <v>145</v>
      </c>
      <c r="P72" s="15">
        <f t="shared" si="1"/>
        <v>205</v>
      </c>
      <c r="R72" s="8"/>
      <c r="T72"/>
    </row>
    <row r="73" spans="2:20" ht="23.1" customHeight="1" x14ac:dyDescent="0.25">
      <c r="B73" s="45" t="s">
        <v>113</v>
      </c>
      <c r="C73" s="50">
        <v>75</v>
      </c>
      <c r="D73" s="50">
        <v>60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57</v>
      </c>
      <c r="N73" s="50">
        <v>0</v>
      </c>
      <c r="O73" s="15">
        <f t="shared" si="0"/>
        <v>135</v>
      </c>
      <c r="P73" s="15">
        <f t="shared" si="1"/>
        <v>192</v>
      </c>
      <c r="R73" s="8"/>
      <c r="T73"/>
    </row>
    <row r="74" spans="2:20" ht="23.1" customHeight="1" x14ac:dyDescent="0.25">
      <c r="B74" s="45" t="s">
        <v>114</v>
      </c>
      <c r="C74" s="50">
        <v>80</v>
      </c>
      <c r="D74" s="50">
        <v>50</v>
      </c>
      <c r="E74" s="50">
        <v>0</v>
      </c>
      <c r="F74" s="50">
        <v>0</v>
      </c>
      <c r="G74" s="50">
        <v>0</v>
      </c>
      <c r="H74" s="50">
        <v>0</v>
      </c>
      <c r="I74" s="50">
        <v>2</v>
      </c>
      <c r="J74" s="50">
        <v>0</v>
      </c>
      <c r="K74" s="50">
        <v>0</v>
      </c>
      <c r="L74" s="50">
        <v>0</v>
      </c>
      <c r="M74" s="50">
        <v>80</v>
      </c>
      <c r="N74" s="50">
        <v>0</v>
      </c>
      <c r="O74" s="15">
        <f t="shared" ref="O74:O105" si="35">SUM(C74:L74,N74)</f>
        <v>132</v>
      </c>
      <c r="P74" s="15">
        <f t="shared" ref="P74:P105" si="36">SUM(C74:N74)</f>
        <v>212</v>
      </c>
      <c r="R74" s="8"/>
      <c r="T74"/>
    </row>
    <row r="75" spans="2:20" ht="23.1" customHeight="1" x14ac:dyDescent="0.25">
      <c r="B75" s="45" t="s">
        <v>115</v>
      </c>
      <c r="C75" s="50">
        <v>73</v>
      </c>
      <c r="D75" s="50">
        <v>47</v>
      </c>
      <c r="E75" s="50">
        <v>2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60</v>
      </c>
      <c r="N75" s="50">
        <v>0</v>
      </c>
      <c r="O75" s="15">
        <f t="shared" si="35"/>
        <v>122</v>
      </c>
      <c r="P75" s="15">
        <f t="shared" si="36"/>
        <v>182</v>
      </c>
      <c r="R75" s="8"/>
      <c r="T75"/>
    </row>
    <row r="76" spans="2:20" ht="23.1" customHeight="1" x14ac:dyDescent="0.25">
      <c r="B76" s="45" t="s">
        <v>116</v>
      </c>
      <c r="C76" s="50">
        <v>56</v>
      </c>
      <c r="D76" s="50">
        <v>40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73</v>
      </c>
      <c r="N76" s="50">
        <v>0</v>
      </c>
      <c r="O76" s="15">
        <f t="shared" si="35"/>
        <v>96</v>
      </c>
      <c r="P76" s="15">
        <f t="shared" si="36"/>
        <v>169</v>
      </c>
      <c r="R76" s="8"/>
      <c r="T76"/>
    </row>
    <row r="77" spans="2:20" ht="23.1" customHeight="1" x14ac:dyDescent="0.25">
      <c r="B77" s="45" t="s">
        <v>117</v>
      </c>
      <c r="C77" s="50">
        <v>53</v>
      </c>
      <c r="D77" s="50">
        <v>30</v>
      </c>
      <c r="E77" s="50">
        <v>1</v>
      </c>
      <c r="F77" s="50">
        <v>0</v>
      </c>
      <c r="G77" s="50">
        <v>0</v>
      </c>
      <c r="H77" s="50">
        <v>0</v>
      </c>
      <c r="I77" s="50">
        <v>1</v>
      </c>
      <c r="J77" s="50">
        <v>0</v>
      </c>
      <c r="K77" s="50">
        <v>0</v>
      </c>
      <c r="L77" s="50">
        <v>0</v>
      </c>
      <c r="M77" s="50">
        <v>85</v>
      </c>
      <c r="N77" s="50">
        <v>0</v>
      </c>
      <c r="O77" s="15">
        <f t="shared" si="35"/>
        <v>85</v>
      </c>
      <c r="P77" s="15">
        <f t="shared" si="36"/>
        <v>170</v>
      </c>
      <c r="R77" s="8"/>
      <c r="T77"/>
    </row>
    <row r="78" spans="2:20" ht="23.1" customHeight="1" x14ac:dyDescent="0.25">
      <c r="B78" s="46" t="s">
        <v>118</v>
      </c>
      <c r="C78" s="50">
        <v>45</v>
      </c>
      <c r="D78" s="50">
        <v>33</v>
      </c>
      <c r="E78" s="50">
        <v>2</v>
      </c>
      <c r="F78" s="50">
        <v>0</v>
      </c>
      <c r="G78" s="50">
        <v>0</v>
      </c>
      <c r="H78" s="50">
        <v>0</v>
      </c>
      <c r="I78" s="50">
        <v>1</v>
      </c>
      <c r="J78" s="50">
        <v>0</v>
      </c>
      <c r="K78" s="50">
        <v>0</v>
      </c>
      <c r="L78" s="50">
        <v>0</v>
      </c>
      <c r="M78" s="50">
        <v>65</v>
      </c>
      <c r="N78" s="50">
        <v>0</v>
      </c>
      <c r="O78" s="15">
        <f t="shared" si="35"/>
        <v>81</v>
      </c>
      <c r="P78" s="15">
        <f t="shared" si="36"/>
        <v>146</v>
      </c>
      <c r="R78" s="8"/>
      <c r="T78"/>
    </row>
    <row r="79" spans="2:20" ht="23.1" customHeight="1" x14ac:dyDescent="0.25">
      <c r="B79" s="45" t="s">
        <v>119</v>
      </c>
      <c r="C79" s="50">
        <v>42</v>
      </c>
      <c r="D79" s="50">
        <v>34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58</v>
      </c>
      <c r="N79" s="50">
        <v>0</v>
      </c>
      <c r="O79" s="15">
        <f t="shared" si="35"/>
        <v>76</v>
      </c>
      <c r="P79" s="15">
        <f t="shared" si="36"/>
        <v>134</v>
      </c>
      <c r="R79" s="8"/>
      <c r="T79"/>
    </row>
    <row r="80" spans="2:20" ht="23.1" customHeight="1" x14ac:dyDescent="0.25">
      <c r="B80" s="47" t="s">
        <v>120</v>
      </c>
      <c r="C80" s="50">
        <v>31</v>
      </c>
      <c r="D80" s="50">
        <v>15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50</v>
      </c>
      <c r="N80" s="50">
        <v>0</v>
      </c>
      <c r="O80" s="15">
        <f t="shared" si="35"/>
        <v>46</v>
      </c>
      <c r="P80" s="15">
        <f t="shared" si="36"/>
        <v>96</v>
      </c>
      <c r="R80" s="8"/>
      <c r="T80"/>
    </row>
    <row r="81" spans="2:20" ht="23.1" customHeight="1" x14ac:dyDescent="0.25">
      <c r="B81" s="45" t="s">
        <v>121</v>
      </c>
      <c r="C81" s="50">
        <v>38</v>
      </c>
      <c r="D81" s="50">
        <v>19</v>
      </c>
      <c r="E81" s="50">
        <v>1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56</v>
      </c>
      <c r="N81" s="50">
        <v>0</v>
      </c>
      <c r="O81" s="15">
        <f t="shared" si="35"/>
        <v>58</v>
      </c>
      <c r="P81" s="15">
        <f t="shared" si="36"/>
        <v>114</v>
      </c>
      <c r="R81" s="8"/>
      <c r="T81"/>
    </row>
    <row r="82" spans="2:20" ht="23.1" customHeight="1" x14ac:dyDescent="0.25">
      <c r="B82" s="46" t="s">
        <v>122</v>
      </c>
      <c r="C82" s="50">
        <v>22</v>
      </c>
      <c r="D82" s="50">
        <v>12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28</v>
      </c>
      <c r="N82" s="50">
        <v>0</v>
      </c>
      <c r="O82" s="15">
        <f t="shared" si="35"/>
        <v>34</v>
      </c>
      <c r="P82" s="15">
        <f t="shared" si="36"/>
        <v>62</v>
      </c>
      <c r="R82" s="8"/>
      <c r="T82"/>
    </row>
    <row r="83" spans="2:20" ht="23.1" customHeight="1" x14ac:dyDescent="0.25">
      <c r="B83" s="45" t="s">
        <v>123</v>
      </c>
      <c r="C83" s="50">
        <v>19</v>
      </c>
      <c r="D83" s="50">
        <v>8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25</v>
      </c>
      <c r="N83" s="50">
        <v>0</v>
      </c>
      <c r="O83" s="15">
        <f t="shared" si="35"/>
        <v>27</v>
      </c>
      <c r="P83" s="15">
        <f t="shared" si="36"/>
        <v>52</v>
      </c>
      <c r="R83" s="8"/>
      <c r="T83"/>
    </row>
    <row r="84" spans="2:20" ht="23.1" customHeight="1" x14ac:dyDescent="0.25">
      <c r="B84" s="47" t="s">
        <v>124</v>
      </c>
      <c r="C84" s="50">
        <v>16</v>
      </c>
      <c r="D84" s="50">
        <v>4</v>
      </c>
      <c r="E84" s="50">
        <v>1</v>
      </c>
      <c r="F84" s="50">
        <v>1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15</v>
      </c>
      <c r="N84" s="50">
        <v>0</v>
      </c>
      <c r="O84" s="15">
        <f t="shared" si="35"/>
        <v>22</v>
      </c>
      <c r="P84" s="15">
        <f t="shared" si="36"/>
        <v>37</v>
      </c>
      <c r="R84" s="8"/>
      <c r="T84"/>
    </row>
    <row r="85" spans="2:20" ht="23.1" customHeight="1" x14ac:dyDescent="0.25">
      <c r="B85" s="45" t="s">
        <v>125</v>
      </c>
      <c r="C85" s="50">
        <v>14</v>
      </c>
      <c r="D85" s="50">
        <v>8</v>
      </c>
      <c r="E85" s="50">
        <v>3</v>
      </c>
      <c r="F85" s="50">
        <v>0</v>
      </c>
      <c r="G85" s="50">
        <v>1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11</v>
      </c>
      <c r="N85" s="50">
        <v>0</v>
      </c>
      <c r="O85" s="15">
        <f t="shared" si="35"/>
        <v>26</v>
      </c>
      <c r="P85" s="15">
        <f t="shared" si="36"/>
        <v>37</v>
      </c>
      <c r="R85" s="8"/>
      <c r="T85"/>
    </row>
    <row r="86" spans="2:20" ht="23.1" customHeight="1" x14ac:dyDescent="0.25">
      <c r="B86" s="46" t="s">
        <v>126</v>
      </c>
      <c r="C86" s="50">
        <v>15</v>
      </c>
      <c r="D86" s="50">
        <v>8</v>
      </c>
      <c r="E86" s="50">
        <v>1</v>
      </c>
      <c r="F86" s="50">
        <v>1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16</v>
      </c>
      <c r="N86" s="50">
        <v>0</v>
      </c>
      <c r="O86" s="15">
        <f t="shared" si="35"/>
        <v>25</v>
      </c>
      <c r="P86" s="15">
        <f t="shared" si="36"/>
        <v>41</v>
      </c>
      <c r="R86" s="8"/>
      <c r="T86"/>
    </row>
    <row r="87" spans="2:20" ht="23.1" customHeight="1" x14ac:dyDescent="0.25">
      <c r="B87" s="45" t="s">
        <v>127</v>
      </c>
      <c r="C87" s="50">
        <v>18</v>
      </c>
      <c r="D87" s="50">
        <v>8</v>
      </c>
      <c r="E87" s="50">
        <v>0</v>
      </c>
      <c r="F87" s="50">
        <v>1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22</v>
      </c>
      <c r="N87" s="50">
        <v>0</v>
      </c>
      <c r="O87" s="15">
        <f t="shared" si="35"/>
        <v>27</v>
      </c>
      <c r="P87" s="15">
        <f t="shared" si="36"/>
        <v>49</v>
      </c>
      <c r="R87" s="8"/>
      <c r="T87"/>
    </row>
    <row r="88" spans="2:20" ht="23.1" customHeight="1" x14ac:dyDescent="0.25">
      <c r="B88" s="47" t="s">
        <v>128</v>
      </c>
      <c r="C88" s="50">
        <v>20</v>
      </c>
      <c r="D88" s="50">
        <v>11</v>
      </c>
      <c r="E88" s="50">
        <v>1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12</v>
      </c>
      <c r="N88" s="50">
        <v>0</v>
      </c>
      <c r="O88" s="15">
        <f t="shared" si="35"/>
        <v>32</v>
      </c>
      <c r="P88" s="15">
        <f t="shared" si="36"/>
        <v>44</v>
      </c>
      <c r="R88" s="8"/>
      <c r="T88"/>
    </row>
    <row r="89" spans="2:20" ht="23.1" customHeight="1" x14ac:dyDescent="0.25">
      <c r="B89" s="45" t="s">
        <v>129</v>
      </c>
      <c r="C89" s="50">
        <v>18</v>
      </c>
      <c r="D89" s="50">
        <v>5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13</v>
      </c>
      <c r="N89" s="50">
        <v>0</v>
      </c>
      <c r="O89" s="15">
        <f t="shared" si="35"/>
        <v>23</v>
      </c>
      <c r="P89" s="15">
        <f t="shared" si="36"/>
        <v>36</v>
      </c>
      <c r="R89" s="8"/>
      <c r="T89"/>
    </row>
    <row r="90" spans="2:20" ht="23.1" customHeight="1" x14ac:dyDescent="0.25">
      <c r="B90" s="46" t="s">
        <v>130</v>
      </c>
      <c r="C90" s="50">
        <v>14</v>
      </c>
      <c r="D90" s="50">
        <v>3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6</v>
      </c>
      <c r="N90" s="50">
        <v>0</v>
      </c>
      <c r="O90" s="15">
        <f t="shared" si="35"/>
        <v>17</v>
      </c>
      <c r="P90" s="15">
        <f t="shared" si="36"/>
        <v>23</v>
      </c>
      <c r="R90" s="8"/>
      <c r="T90"/>
    </row>
    <row r="91" spans="2:20" ht="23.1" customHeight="1" x14ac:dyDescent="0.25">
      <c r="B91" s="45" t="s">
        <v>131</v>
      </c>
      <c r="C91" s="50">
        <v>11</v>
      </c>
      <c r="D91" s="50">
        <v>4</v>
      </c>
      <c r="E91" s="50">
        <v>1</v>
      </c>
      <c r="F91" s="50">
        <v>1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7</v>
      </c>
      <c r="N91" s="50">
        <v>0</v>
      </c>
      <c r="O91" s="15">
        <f t="shared" si="35"/>
        <v>17</v>
      </c>
      <c r="P91" s="15">
        <f t="shared" si="36"/>
        <v>24</v>
      </c>
      <c r="R91" s="8"/>
      <c r="T91"/>
    </row>
    <row r="92" spans="2:20" ht="23.1" customHeight="1" x14ac:dyDescent="0.25">
      <c r="B92" s="47" t="s">
        <v>132</v>
      </c>
      <c r="C92" s="50">
        <v>9</v>
      </c>
      <c r="D92" s="50">
        <v>1</v>
      </c>
      <c r="E92" s="50">
        <v>1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10</v>
      </c>
      <c r="N92" s="50">
        <v>0</v>
      </c>
      <c r="O92" s="15">
        <f t="shared" si="35"/>
        <v>11</v>
      </c>
      <c r="P92" s="15">
        <f t="shared" si="36"/>
        <v>21</v>
      </c>
      <c r="R92" s="8"/>
      <c r="T92"/>
    </row>
    <row r="93" spans="2:20" ht="23.1" customHeight="1" x14ac:dyDescent="0.25">
      <c r="B93" s="45" t="s">
        <v>133</v>
      </c>
      <c r="C93" s="50">
        <v>4</v>
      </c>
      <c r="D93" s="50">
        <v>3</v>
      </c>
      <c r="E93" s="50">
        <v>1</v>
      </c>
      <c r="F93" s="50">
        <v>0</v>
      </c>
      <c r="G93" s="50">
        <v>0</v>
      </c>
      <c r="H93" s="50">
        <v>0</v>
      </c>
      <c r="I93" s="50">
        <v>1</v>
      </c>
      <c r="J93" s="50">
        <v>0</v>
      </c>
      <c r="K93" s="50">
        <v>0</v>
      </c>
      <c r="L93" s="50">
        <v>0</v>
      </c>
      <c r="M93" s="50">
        <v>8</v>
      </c>
      <c r="N93" s="50">
        <v>0</v>
      </c>
      <c r="O93" s="15">
        <f t="shared" si="35"/>
        <v>9</v>
      </c>
      <c r="P93" s="15">
        <f t="shared" si="36"/>
        <v>17</v>
      </c>
      <c r="R93" s="8"/>
      <c r="T93"/>
    </row>
    <row r="94" spans="2:20" ht="23.1" customHeight="1" x14ac:dyDescent="0.25">
      <c r="B94" s="46" t="s">
        <v>134</v>
      </c>
      <c r="C94" s="50">
        <v>14</v>
      </c>
      <c r="D94" s="50">
        <v>3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8</v>
      </c>
      <c r="N94" s="50">
        <v>0</v>
      </c>
      <c r="O94" s="15">
        <f t="shared" si="35"/>
        <v>17</v>
      </c>
      <c r="P94" s="15">
        <f t="shared" si="36"/>
        <v>25</v>
      </c>
      <c r="R94" s="8"/>
      <c r="T94"/>
    </row>
    <row r="95" spans="2:20" ht="23.1" customHeight="1" x14ac:dyDescent="0.25">
      <c r="B95" s="45" t="s">
        <v>135</v>
      </c>
      <c r="C95" s="50">
        <v>13</v>
      </c>
      <c r="D95" s="50">
        <v>7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5</v>
      </c>
      <c r="N95" s="50">
        <v>0</v>
      </c>
      <c r="O95" s="15">
        <f t="shared" si="35"/>
        <v>20</v>
      </c>
      <c r="P95" s="15">
        <f t="shared" si="36"/>
        <v>25</v>
      </c>
      <c r="R95" s="8"/>
      <c r="T95"/>
    </row>
    <row r="96" spans="2:20" ht="23.1" customHeight="1" x14ac:dyDescent="0.25">
      <c r="B96" s="47" t="s">
        <v>136</v>
      </c>
      <c r="C96" s="50">
        <v>5</v>
      </c>
      <c r="D96" s="50">
        <v>2</v>
      </c>
      <c r="E96" s="50">
        <v>0</v>
      </c>
      <c r="F96" s="50">
        <v>2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9</v>
      </c>
      <c r="N96" s="50">
        <v>0</v>
      </c>
      <c r="O96" s="15">
        <f t="shared" si="35"/>
        <v>9</v>
      </c>
      <c r="P96" s="15">
        <f t="shared" si="36"/>
        <v>18</v>
      </c>
      <c r="R96" s="8"/>
      <c r="T96"/>
    </row>
    <row r="97" spans="2:20" ht="23.1" customHeight="1" x14ac:dyDescent="0.25">
      <c r="B97" s="45" t="s">
        <v>137</v>
      </c>
      <c r="C97" s="50">
        <v>5</v>
      </c>
      <c r="D97" s="50">
        <v>3</v>
      </c>
      <c r="E97" s="50">
        <v>0</v>
      </c>
      <c r="F97" s="50">
        <v>1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7</v>
      </c>
      <c r="N97" s="50">
        <v>0</v>
      </c>
      <c r="O97" s="15">
        <f t="shared" si="35"/>
        <v>9</v>
      </c>
      <c r="P97" s="15">
        <f t="shared" si="36"/>
        <v>16</v>
      </c>
      <c r="R97" s="8"/>
      <c r="T97"/>
    </row>
    <row r="98" spans="2:20" ht="23.1" customHeight="1" x14ac:dyDescent="0.25">
      <c r="B98" s="46" t="s">
        <v>138</v>
      </c>
      <c r="C98" s="50">
        <v>18</v>
      </c>
      <c r="D98" s="50">
        <v>8</v>
      </c>
      <c r="E98" s="50">
        <v>0</v>
      </c>
      <c r="F98" s="50">
        <v>3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17</v>
      </c>
      <c r="N98" s="50">
        <v>0</v>
      </c>
      <c r="O98" s="15">
        <f t="shared" si="35"/>
        <v>30</v>
      </c>
      <c r="P98" s="15">
        <f t="shared" si="36"/>
        <v>47</v>
      </c>
      <c r="R98" s="8"/>
      <c r="T98"/>
    </row>
    <row r="99" spans="2:20" ht="23.1" customHeight="1" x14ac:dyDescent="0.25">
      <c r="B99" s="45" t="s">
        <v>139</v>
      </c>
      <c r="C99" s="50">
        <v>16</v>
      </c>
      <c r="D99" s="50">
        <v>13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5</v>
      </c>
      <c r="N99" s="50">
        <v>0</v>
      </c>
      <c r="O99" s="15">
        <f t="shared" si="35"/>
        <v>29</v>
      </c>
      <c r="P99" s="15">
        <f t="shared" si="36"/>
        <v>34</v>
      </c>
      <c r="R99" s="8"/>
      <c r="T99"/>
    </row>
    <row r="100" spans="2:20" ht="23.1" customHeight="1" x14ac:dyDescent="0.25">
      <c r="B100" s="47" t="s">
        <v>140</v>
      </c>
      <c r="C100" s="50">
        <v>19</v>
      </c>
      <c r="D100" s="50">
        <v>7</v>
      </c>
      <c r="E100" s="50">
        <v>1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20</v>
      </c>
      <c r="N100" s="50">
        <v>0</v>
      </c>
      <c r="O100" s="15">
        <f t="shared" si="35"/>
        <v>27</v>
      </c>
      <c r="P100" s="15">
        <f t="shared" si="36"/>
        <v>47</v>
      </c>
      <c r="R100" s="8"/>
      <c r="T100"/>
    </row>
    <row r="101" spans="2:20" ht="23.1" customHeight="1" x14ac:dyDescent="0.25">
      <c r="B101" s="45" t="s">
        <v>141</v>
      </c>
      <c r="C101" s="50">
        <v>21</v>
      </c>
      <c r="D101" s="50">
        <v>12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17</v>
      </c>
      <c r="N101" s="50">
        <v>0</v>
      </c>
      <c r="O101" s="15">
        <f t="shared" si="35"/>
        <v>33</v>
      </c>
      <c r="P101" s="15">
        <f t="shared" si="36"/>
        <v>50</v>
      </c>
      <c r="R101" s="8"/>
      <c r="T101"/>
    </row>
    <row r="102" spans="2:20" ht="23.1" customHeight="1" x14ac:dyDescent="0.25">
      <c r="B102" s="46" t="s">
        <v>142</v>
      </c>
      <c r="C102" s="50">
        <v>16</v>
      </c>
      <c r="D102" s="50">
        <v>8</v>
      </c>
      <c r="E102" s="50">
        <v>1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27</v>
      </c>
      <c r="N102" s="50">
        <v>0</v>
      </c>
      <c r="O102" s="15">
        <f t="shared" si="35"/>
        <v>25</v>
      </c>
      <c r="P102" s="15">
        <f t="shared" si="36"/>
        <v>52</v>
      </c>
      <c r="R102" s="8"/>
      <c r="T102"/>
    </row>
    <row r="103" spans="2:20" ht="23.1" customHeight="1" x14ac:dyDescent="0.25">
      <c r="B103" s="45" t="s">
        <v>143</v>
      </c>
      <c r="C103" s="50">
        <v>22</v>
      </c>
      <c r="D103" s="50">
        <v>10</v>
      </c>
      <c r="E103" s="50">
        <v>1</v>
      </c>
      <c r="F103" s="50">
        <v>1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18</v>
      </c>
      <c r="N103" s="50">
        <v>0</v>
      </c>
      <c r="O103" s="15">
        <f t="shared" si="35"/>
        <v>34</v>
      </c>
      <c r="P103" s="15">
        <f t="shared" si="36"/>
        <v>52</v>
      </c>
      <c r="R103" s="8"/>
      <c r="T103"/>
    </row>
    <row r="104" spans="2:20" ht="23.1" customHeight="1" x14ac:dyDescent="0.25">
      <c r="B104" s="47" t="s">
        <v>144</v>
      </c>
      <c r="C104" s="50">
        <v>10</v>
      </c>
      <c r="D104" s="50">
        <v>6</v>
      </c>
      <c r="E104" s="50">
        <v>0</v>
      </c>
      <c r="F104" s="50">
        <v>2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20</v>
      </c>
      <c r="N104" s="50">
        <v>0</v>
      </c>
      <c r="O104" s="15">
        <f t="shared" si="35"/>
        <v>18</v>
      </c>
      <c r="P104" s="15">
        <f t="shared" si="36"/>
        <v>38</v>
      </c>
      <c r="R104" s="8"/>
      <c r="T104"/>
    </row>
    <row r="105" spans="2:20" ht="23.1" customHeight="1" x14ac:dyDescent="0.25">
      <c r="B105" s="45" t="s">
        <v>145</v>
      </c>
      <c r="C105" s="50">
        <v>32</v>
      </c>
      <c r="D105" s="50">
        <v>19</v>
      </c>
      <c r="E105" s="50">
        <v>1</v>
      </c>
      <c r="F105" s="50">
        <v>3</v>
      </c>
      <c r="G105" s="50">
        <v>0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26</v>
      </c>
      <c r="N105" s="50">
        <v>0</v>
      </c>
      <c r="O105" s="15">
        <f t="shared" si="35"/>
        <v>56</v>
      </c>
      <c r="P105" s="15">
        <f t="shared" si="36"/>
        <v>82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4661</v>
      </c>
      <c r="D106" s="16">
        <f t="shared" ref="D106:P106" si="37">SUM(D10:D105)</f>
        <v>2868</v>
      </c>
      <c r="E106" s="16">
        <f t="shared" si="37"/>
        <v>574</v>
      </c>
      <c r="F106" s="16">
        <f t="shared" si="37"/>
        <v>851</v>
      </c>
      <c r="G106" s="16">
        <f t="shared" si="37"/>
        <v>3</v>
      </c>
      <c r="H106" s="16">
        <f t="shared" si="37"/>
        <v>0</v>
      </c>
      <c r="I106" s="16">
        <f t="shared" si="37"/>
        <v>159</v>
      </c>
      <c r="J106" s="16">
        <f t="shared" si="37"/>
        <v>44</v>
      </c>
      <c r="K106" s="16">
        <f t="shared" si="37"/>
        <v>6</v>
      </c>
      <c r="L106" s="16">
        <f t="shared" si="37"/>
        <v>0</v>
      </c>
      <c r="M106" s="16">
        <f t="shared" si="37"/>
        <v>5677</v>
      </c>
      <c r="N106" s="16">
        <f t="shared" si="37"/>
        <v>1</v>
      </c>
      <c r="O106" s="16">
        <f t="shared" si="37"/>
        <v>9167</v>
      </c>
      <c r="P106" s="16">
        <f t="shared" si="37"/>
        <v>14844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0.31399892212341685</v>
      </c>
      <c r="D107" s="43">
        <f t="shared" si="38"/>
        <v>0.19320937752627323</v>
      </c>
      <c r="E107" s="43">
        <f t="shared" si="38"/>
        <v>3.8668822419832931E-2</v>
      </c>
      <c r="F107" s="43">
        <f t="shared" si="38"/>
        <v>5.7329560765292373E-2</v>
      </c>
      <c r="G107" s="43">
        <f t="shared" si="38"/>
        <v>2.0210185933710589E-4</v>
      </c>
      <c r="H107" s="43">
        <f t="shared" si="38"/>
        <v>0</v>
      </c>
      <c r="I107" s="43">
        <f t="shared" si="38"/>
        <v>1.0711398544866612E-2</v>
      </c>
      <c r="J107" s="43">
        <f t="shared" si="38"/>
        <v>2.9641606036108865E-3</v>
      </c>
      <c r="K107" s="43">
        <f t="shared" si="38"/>
        <v>4.0420371867421178E-4</v>
      </c>
      <c r="L107" s="43">
        <f t="shared" si="38"/>
        <v>0</v>
      </c>
      <c r="M107" s="43">
        <f t="shared" si="38"/>
        <v>0.38244408515225009</v>
      </c>
      <c r="N107" s="43">
        <f t="shared" si="38"/>
        <v>6.7367286445701964E-5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0.50845423802770806</v>
      </c>
      <c r="D108" s="44">
        <f t="shared" ref="D108:N108" si="39">D106/$O$106</f>
        <v>0.31286135049634561</v>
      </c>
      <c r="E108" s="44">
        <f t="shared" si="39"/>
        <v>6.2615904876186318E-2</v>
      </c>
      <c r="F108" s="44">
        <f t="shared" si="39"/>
        <v>9.2832987891349403E-2</v>
      </c>
      <c r="G108" s="44">
        <f t="shared" si="39"/>
        <v>3.2726082687902256E-4</v>
      </c>
      <c r="H108" s="44">
        <f t="shared" si="39"/>
        <v>0</v>
      </c>
      <c r="I108" s="44">
        <f t="shared" si="39"/>
        <v>1.7344823824588195E-2</v>
      </c>
      <c r="J108" s="44">
        <f t="shared" si="39"/>
        <v>4.799825460892331E-3</v>
      </c>
      <c r="K108" s="44">
        <f t="shared" si="39"/>
        <v>6.5452165375804513E-4</v>
      </c>
      <c r="L108" s="44">
        <f t="shared" si="39"/>
        <v>0</v>
      </c>
      <c r="M108" s="44"/>
      <c r="N108" s="44">
        <f t="shared" si="39"/>
        <v>1.0908694229300753E-4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2" zoomScale="40" zoomScaleSheetLayoutView="40" workbookViewId="0">
      <selection activeCell="M54" sqref="M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Kisasi-Bukoto'!C3:G3</f>
        <v>MCC - C1 - STN32 - BUKOTO KISASI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63" t="str">
        <f>'03.08 Bukoto-Kisasi'!G5:H5</f>
        <v>KISASI</v>
      </c>
      <c r="H5" s="64"/>
      <c r="I5" s="14"/>
      <c r="J5" s="2" t="s">
        <v>5</v>
      </c>
      <c r="K5" s="63" t="str">
        <f>'03.08 Bukoto-Kisasi'!K5:L5</f>
        <v>RWAMBITITO J./NICHOL A./GEORGE W.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'29.07 Kisasi-Bukoto'!D6:E6</f>
        <v>KISASI</v>
      </c>
      <c r="E6" s="64"/>
      <c r="F6" s="2" t="s">
        <v>2</v>
      </c>
      <c r="G6" s="63" t="str">
        <f>'29.07 Kisasi-Bukoto'!G6:H6</f>
        <v>BUKOTO</v>
      </c>
      <c r="H6" s="64"/>
      <c r="J6" s="2" t="s">
        <v>21</v>
      </c>
      <c r="K6" s="63" t="str">
        <f>'03.08 Bukoto-Kisasi'!K6:L6</f>
        <v>SALIMA L.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25</v>
      </c>
      <c r="D10" s="50">
        <v>4</v>
      </c>
      <c r="E10" s="50">
        <v>1</v>
      </c>
      <c r="F10" s="50">
        <v>7</v>
      </c>
      <c r="G10" s="50">
        <v>1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42</v>
      </c>
      <c r="N10" s="50">
        <v>0</v>
      </c>
      <c r="O10" s="15">
        <f t="shared" ref="O10:O57" si="0">SUM(C10:L10,N10)</f>
        <v>41</v>
      </c>
      <c r="P10" s="15">
        <f t="shared" ref="P10:P57" si="1">SUM(C10:N10)</f>
        <v>83</v>
      </c>
      <c r="R10" s="1" t="s">
        <v>6</v>
      </c>
      <c r="S10" s="17">
        <f t="shared" ref="S10:AF10" si="2">SUM(C10:C13)</f>
        <v>94</v>
      </c>
      <c r="T10" s="17">
        <f t="shared" si="2"/>
        <v>45</v>
      </c>
      <c r="U10" s="17">
        <f t="shared" si="2"/>
        <v>4</v>
      </c>
      <c r="V10" s="17">
        <f t="shared" si="2"/>
        <v>31</v>
      </c>
      <c r="W10" s="17">
        <f t="shared" si="2"/>
        <v>1</v>
      </c>
      <c r="X10" s="17">
        <f t="shared" si="2"/>
        <v>0</v>
      </c>
      <c r="Y10" s="17">
        <f t="shared" si="2"/>
        <v>9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208</v>
      </c>
      <c r="AD10" s="17">
        <f t="shared" si="2"/>
        <v>0</v>
      </c>
      <c r="AE10" s="31">
        <f t="shared" si="2"/>
        <v>184</v>
      </c>
      <c r="AF10" s="31">
        <f t="shared" si="2"/>
        <v>392</v>
      </c>
    </row>
    <row r="11" spans="2:32" s="6" customFormat="1" ht="23.1" customHeight="1" x14ac:dyDescent="0.25">
      <c r="B11" s="23" t="s">
        <v>38</v>
      </c>
      <c r="C11" s="50">
        <v>16</v>
      </c>
      <c r="D11" s="50">
        <v>15</v>
      </c>
      <c r="E11" s="50">
        <v>1</v>
      </c>
      <c r="F11" s="50">
        <v>7</v>
      </c>
      <c r="G11" s="50">
        <v>0</v>
      </c>
      <c r="H11" s="50">
        <v>0</v>
      </c>
      <c r="I11" s="50">
        <v>3</v>
      </c>
      <c r="J11" s="50">
        <v>0</v>
      </c>
      <c r="K11" s="50">
        <v>0</v>
      </c>
      <c r="L11" s="50">
        <v>0</v>
      </c>
      <c r="M11" s="50">
        <v>53</v>
      </c>
      <c r="N11" s="50">
        <v>0</v>
      </c>
      <c r="O11" s="15">
        <f t="shared" si="0"/>
        <v>42</v>
      </c>
      <c r="P11" s="15">
        <f t="shared" si="1"/>
        <v>95</v>
      </c>
      <c r="R11" s="1" t="s">
        <v>7</v>
      </c>
      <c r="S11" s="17">
        <f t="shared" ref="S11:AF11" si="3">SUM(C14:C17)</f>
        <v>153</v>
      </c>
      <c r="T11" s="17">
        <f t="shared" si="3"/>
        <v>74</v>
      </c>
      <c r="U11" s="17">
        <f t="shared" si="3"/>
        <v>4</v>
      </c>
      <c r="V11" s="17">
        <f t="shared" si="3"/>
        <v>38</v>
      </c>
      <c r="W11" s="17">
        <f t="shared" si="3"/>
        <v>0</v>
      </c>
      <c r="X11" s="17">
        <f t="shared" si="3"/>
        <v>0</v>
      </c>
      <c r="Y11" s="17">
        <f t="shared" si="3"/>
        <v>11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224</v>
      </c>
      <c r="AD11" s="17">
        <f t="shared" si="3"/>
        <v>0</v>
      </c>
      <c r="AE11" s="31">
        <f t="shared" si="3"/>
        <v>280</v>
      </c>
      <c r="AF11" s="31">
        <f t="shared" si="3"/>
        <v>504</v>
      </c>
    </row>
    <row r="12" spans="2:32" ht="23.1" customHeight="1" x14ac:dyDescent="0.25">
      <c r="B12" s="23" t="s">
        <v>39</v>
      </c>
      <c r="C12" s="50">
        <v>33</v>
      </c>
      <c r="D12" s="50">
        <v>16</v>
      </c>
      <c r="E12" s="50">
        <v>1</v>
      </c>
      <c r="F12" s="50">
        <v>9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48</v>
      </c>
      <c r="N12" s="50">
        <v>0</v>
      </c>
      <c r="O12" s="15">
        <f t="shared" si="0"/>
        <v>61</v>
      </c>
      <c r="P12" s="15">
        <f t="shared" si="1"/>
        <v>109</v>
      </c>
      <c r="R12" s="1" t="s">
        <v>8</v>
      </c>
      <c r="S12" s="17">
        <f t="shared" ref="S12:AF12" si="4">SUM(C18:C21)</f>
        <v>184</v>
      </c>
      <c r="T12" s="17">
        <f t="shared" si="4"/>
        <v>102</v>
      </c>
      <c r="U12" s="17">
        <f t="shared" si="4"/>
        <v>5</v>
      </c>
      <c r="V12" s="17">
        <f t="shared" si="4"/>
        <v>34</v>
      </c>
      <c r="W12" s="17">
        <f t="shared" si="4"/>
        <v>0</v>
      </c>
      <c r="X12" s="17">
        <f t="shared" si="4"/>
        <v>0</v>
      </c>
      <c r="Y12" s="17">
        <f t="shared" si="4"/>
        <v>7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263</v>
      </c>
      <c r="AD12" s="17">
        <f t="shared" si="4"/>
        <v>0</v>
      </c>
      <c r="AE12" s="31">
        <f t="shared" si="4"/>
        <v>334</v>
      </c>
      <c r="AF12" s="31">
        <f t="shared" si="4"/>
        <v>597</v>
      </c>
    </row>
    <row r="13" spans="2:32" ht="23.1" customHeight="1" x14ac:dyDescent="0.25">
      <c r="B13" s="23" t="s">
        <v>40</v>
      </c>
      <c r="C13" s="50">
        <v>20</v>
      </c>
      <c r="D13" s="50">
        <v>10</v>
      </c>
      <c r="E13" s="50">
        <v>1</v>
      </c>
      <c r="F13" s="50">
        <v>8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65</v>
      </c>
      <c r="N13" s="50">
        <v>0</v>
      </c>
      <c r="O13" s="15">
        <f t="shared" si="0"/>
        <v>40</v>
      </c>
      <c r="P13" s="15">
        <f t="shared" si="1"/>
        <v>105</v>
      </c>
      <c r="R13" s="1" t="s">
        <v>9</v>
      </c>
      <c r="S13" s="17">
        <f t="shared" ref="S13:AF13" si="5">SUM(C22:C25)</f>
        <v>203</v>
      </c>
      <c r="T13" s="17">
        <f t="shared" si="5"/>
        <v>148</v>
      </c>
      <c r="U13" s="17">
        <f t="shared" si="5"/>
        <v>4</v>
      </c>
      <c r="V13" s="17">
        <f t="shared" si="5"/>
        <v>44</v>
      </c>
      <c r="W13" s="17">
        <f t="shared" si="5"/>
        <v>0</v>
      </c>
      <c r="X13" s="17">
        <f t="shared" si="5"/>
        <v>0</v>
      </c>
      <c r="Y13" s="17">
        <f t="shared" si="5"/>
        <v>12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329</v>
      </c>
      <c r="AD13" s="17">
        <f t="shared" si="5"/>
        <v>0</v>
      </c>
      <c r="AE13" s="31">
        <f t="shared" si="5"/>
        <v>411</v>
      </c>
      <c r="AF13" s="31">
        <f t="shared" si="5"/>
        <v>740</v>
      </c>
    </row>
    <row r="14" spans="2:32" ht="23.1" customHeight="1" x14ac:dyDescent="0.25">
      <c r="B14" s="23" t="s">
        <v>41</v>
      </c>
      <c r="C14" s="50">
        <v>25</v>
      </c>
      <c r="D14" s="50">
        <v>17</v>
      </c>
      <c r="E14" s="50">
        <v>1</v>
      </c>
      <c r="F14" s="50">
        <v>7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62</v>
      </c>
      <c r="N14" s="50">
        <v>0</v>
      </c>
      <c r="O14" s="15">
        <f t="shared" si="0"/>
        <v>52</v>
      </c>
      <c r="P14" s="15">
        <f t="shared" si="1"/>
        <v>114</v>
      </c>
      <c r="R14" s="1" t="s">
        <v>10</v>
      </c>
      <c r="S14" s="17">
        <f t="shared" ref="S14:AF14" si="6">SUM(C26:C29)</f>
        <v>213</v>
      </c>
      <c r="T14" s="17">
        <f t="shared" si="6"/>
        <v>135</v>
      </c>
      <c r="U14" s="17">
        <f t="shared" si="6"/>
        <v>5</v>
      </c>
      <c r="V14" s="17">
        <f t="shared" si="6"/>
        <v>44</v>
      </c>
      <c r="W14" s="17">
        <f t="shared" si="6"/>
        <v>0</v>
      </c>
      <c r="X14" s="17">
        <f t="shared" si="6"/>
        <v>0</v>
      </c>
      <c r="Y14" s="17">
        <f t="shared" si="6"/>
        <v>12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318</v>
      </c>
      <c r="AD14" s="17">
        <f t="shared" si="6"/>
        <v>0</v>
      </c>
      <c r="AE14" s="31">
        <f t="shared" si="6"/>
        <v>411</v>
      </c>
      <c r="AF14" s="31">
        <f t="shared" si="6"/>
        <v>729</v>
      </c>
    </row>
    <row r="15" spans="2:32" ht="23.1" customHeight="1" x14ac:dyDescent="0.25">
      <c r="B15" s="23" t="s">
        <v>42</v>
      </c>
      <c r="C15" s="50">
        <v>32</v>
      </c>
      <c r="D15" s="50">
        <v>17</v>
      </c>
      <c r="E15" s="50">
        <v>1</v>
      </c>
      <c r="F15" s="50">
        <v>11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0</v>
      </c>
      <c r="M15" s="50">
        <v>50</v>
      </c>
      <c r="N15" s="50">
        <v>0</v>
      </c>
      <c r="O15" s="15">
        <f t="shared" si="0"/>
        <v>65</v>
      </c>
      <c r="P15" s="15">
        <f t="shared" si="1"/>
        <v>115</v>
      </c>
      <c r="R15" s="1" t="s">
        <v>11</v>
      </c>
      <c r="S15" s="17">
        <f t="shared" ref="S15:AF15" si="7">SUM(C30:C33)</f>
        <v>111</v>
      </c>
      <c r="T15" s="17">
        <f t="shared" si="7"/>
        <v>90</v>
      </c>
      <c r="U15" s="17">
        <f t="shared" si="7"/>
        <v>4</v>
      </c>
      <c r="V15" s="17">
        <f t="shared" si="7"/>
        <v>37</v>
      </c>
      <c r="W15" s="17">
        <f t="shared" si="7"/>
        <v>0</v>
      </c>
      <c r="X15" s="17">
        <f t="shared" si="7"/>
        <v>0</v>
      </c>
      <c r="Y15" s="17">
        <f t="shared" si="7"/>
        <v>6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312</v>
      </c>
      <c r="AD15" s="17">
        <f t="shared" si="7"/>
        <v>0</v>
      </c>
      <c r="AE15" s="31">
        <f t="shared" si="7"/>
        <v>248</v>
      </c>
      <c r="AF15" s="31">
        <f t="shared" si="7"/>
        <v>560</v>
      </c>
    </row>
    <row r="16" spans="2:32" ht="23.1" customHeight="1" x14ac:dyDescent="0.25">
      <c r="B16" s="23" t="s">
        <v>43</v>
      </c>
      <c r="C16" s="50">
        <v>48</v>
      </c>
      <c r="D16" s="50">
        <v>19</v>
      </c>
      <c r="E16" s="50">
        <v>1</v>
      </c>
      <c r="F16" s="50">
        <v>9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47</v>
      </c>
      <c r="N16" s="50">
        <v>0</v>
      </c>
      <c r="O16" s="15">
        <f t="shared" si="0"/>
        <v>80</v>
      </c>
      <c r="P16" s="15">
        <f t="shared" si="1"/>
        <v>127</v>
      </c>
      <c r="R16" s="1" t="s">
        <v>12</v>
      </c>
      <c r="S16" s="17">
        <f t="shared" ref="S16:AF16" si="8">SUM(C34:C37)</f>
        <v>136</v>
      </c>
      <c r="T16" s="17">
        <f t="shared" si="8"/>
        <v>76</v>
      </c>
      <c r="U16" s="17">
        <f t="shared" si="8"/>
        <v>3</v>
      </c>
      <c r="V16" s="17">
        <f t="shared" si="8"/>
        <v>23</v>
      </c>
      <c r="W16" s="17">
        <f t="shared" si="8"/>
        <v>0</v>
      </c>
      <c r="X16" s="17">
        <f t="shared" si="8"/>
        <v>0</v>
      </c>
      <c r="Y16" s="17">
        <f t="shared" si="8"/>
        <v>9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335</v>
      </c>
      <c r="AD16" s="17">
        <f t="shared" si="8"/>
        <v>0</v>
      </c>
      <c r="AE16" s="31">
        <f t="shared" si="8"/>
        <v>248</v>
      </c>
      <c r="AF16" s="31">
        <f t="shared" si="8"/>
        <v>583</v>
      </c>
    </row>
    <row r="17" spans="2:32" ht="23.1" customHeight="1" x14ac:dyDescent="0.25">
      <c r="B17" s="23" t="s">
        <v>44</v>
      </c>
      <c r="C17" s="50">
        <v>48</v>
      </c>
      <c r="D17" s="50">
        <v>21</v>
      </c>
      <c r="E17" s="50">
        <v>1</v>
      </c>
      <c r="F17" s="50">
        <v>11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65</v>
      </c>
      <c r="N17" s="50">
        <v>0</v>
      </c>
      <c r="O17" s="15">
        <f t="shared" si="0"/>
        <v>83</v>
      </c>
      <c r="P17" s="15">
        <f t="shared" si="1"/>
        <v>148</v>
      </c>
      <c r="R17" s="1" t="s">
        <v>13</v>
      </c>
      <c r="S17" s="17">
        <f t="shared" ref="S17:AF17" si="9">SUM(C38:C41)</f>
        <v>166</v>
      </c>
      <c r="T17" s="17">
        <f t="shared" si="9"/>
        <v>112</v>
      </c>
      <c r="U17" s="17">
        <f t="shared" si="9"/>
        <v>2</v>
      </c>
      <c r="V17" s="17">
        <f t="shared" si="9"/>
        <v>38</v>
      </c>
      <c r="W17" s="17">
        <f t="shared" si="9"/>
        <v>0</v>
      </c>
      <c r="X17" s="17">
        <f t="shared" si="9"/>
        <v>0</v>
      </c>
      <c r="Y17" s="17">
        <f t="shared" si="9"/>
        <v>9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316</v>
      </c>
      <c r="AD17" s="17">
        <f t="shared" si="9"/>
        <v>0</v>
      </c>
      <c r="AE17" s="31">
        <f t="shared" si="9"/>
        <v>327</v>
      </c>
      <c r="AF17" s="31">
        <f t="shared" si="9"/>
        <v>643</v>
      </c>
    </row>
    <row r="18" spans="2:32" ht="23.1" customHeight="1" x14ac:dyDescent="0.25">
      <c r="B18" s="23" t="s">
        <v>45</v>
      </c>
      <c r="C18" s="50">
        <v>59</v>
      </c>
      <c r="D18" s="50">
        <v>31</v>
      </c>
      <c r="E18" s="50">
        <v>3</v>
      </c>
      <c r="F18" s="50">
        <v>7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65</v>
      </c>
      <c r="N18" s="50">
        <v>0</v>
      </c>
      <c r="O18" s="15">
        <f t="shared" si="0"/>
        <v>102</v>
      </c>
      <c r="P18" s="15">
        <f t="shared" si="1"/>
        <v>167</v>
      </c>
      <c r="R18" s="1" t="s">
        <v>14</v>
      </c>
      <c r="S18" s="17">
        <f t="shared" ref="S18:AF18" si="10">SUM(C42:C45)</f>
        <v>200</v>
      </c>
      <c r="T18" s="17">
        <f t="shared" si="10"/>
        <v>101</v>
      </c>
      <c r="U18" s="17">
        <f t="shared" si="10"/>
        <v>2</v>
      </c>
      <c r="V18" s="17">
        <f t="shared" si="10"/>
        <v>24</v>
      </c>
      <c r="W18" s="17">
        <f t="shared" si="10"/>
        <v>0</v>
      </c>
      <c r="X18" s="17">
        <f t="shared" si="10"/>
        <v>0</v>
      </c>
      <c r="Y18" s="17">
        <f t="shared" si="10"/>
        <v>8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306</v>
      </c>
      <c r="AD18" s="17">
        <f t="shared" si="10"/>
        <v>0</v>
      </c>
      <c r="AE18" s="31">
        <f t="shared" si="10"/>
        <v>335</v>
      </c>
      <c r="AF18" s="31">
        <f t="shared" si="10"/>
        <v>641</v>
      </c>
    </row>
    <row r="19" spans="2:32" ht="23.1" customHeight="1" x14ac:dyDescent="0.25">
      <c r="B19" s="23" t="s">
        <v>46</v>
      </c>
      <c r="C19" s="50">
        <v>38</v>
      </c>
      <c r="D19" s="50">
        <v>22</v>
      </c>
      <c r="E19" s="50">
        <v>0</v>
      </c>
      <c r="F19" s="50">
        <v>6</v>
      </c>
      <c r="G19" s="50">
        <v>0</v>
      </c>
      <c r="H19" s="50">
        <v>0</v>
      </c>
      <c r="I19" s="50">
        <v>2</v>
      </c>
      <c r="J19" s="50">
        <v>1</v>
      </c>
      <c r="K19" s="50">
        <v>0</v>
      </c>
      <c r="L19" s="50">
        <v>0</v>
      </c>
      <c r="M19" s="50">
        <v>67</v>
      </c>
      <c r="N19" s="50">
        <v>0</v>
      </c>
      <c r="O19" s="15">
        <f t="shared" si="0"/>
        <v>69</v>
      </c>
      <c r="P19" s="15">
        <f t="shared" si="1"/>
        <v>136</v>
      </c>
      <c r="R19" s="1" t="s">
        <v>15</v>
      </c>
      <c r="S19" s="17">
        <f t="shared" ref="S19:AF19" si="11">SUM(C46:C49)</f>
        <v>223</v>
      </c>
      <c r="T19" s="17">
        <f t="shared" si="11"/>
        <v>105</v>
      </c>
      <c r="U19" s="17">
        <f t="shared" si="11"/>
        <v>2</v>
      </c>
      <c r="V19" s="17">
        <f t="shared" si="11"/>
        <v>34</v>
      </c>
      <c r="W19" s="17">
        <f t="shared" si="11"/>
        <v>0</v>
      </c>
      <c r="X19" s="17">
        <f t="shared" si="11"/>
        <v>0</v>
      </c>
      <c r="Y19" s="17">
        <f t="shared" si="11"/>
        <v>10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329</v>
      </c>
      <c r="AD19" s="17">
        <f t="shared" si="11"/>
        <v>0</v>
      </c>
      <c r="AE19" s="31">
        <f t="shared" si="11"/>
        <v>376</v>
      </c>
      <c r="AF19" s="31">
        <f t="shared" si="11"/>
        <v>705</v>
      </c>
    </row>
    <row r="20" spans="2:32" ht="23.1" customHeight="1" x14ac:dyDescent="0.25">
      <c r="B20" s="23" t="s">
        <v>47</v>
      </c>
      <c r="C20" s="50">
        <v>39</v>
      </c>
      <c r="D20" s="50">
        <v>23</v>
      </c>
      <c r="E20" s="50">
        <v>1</v>
      </c>
      <c r="F20" s="50">
        <v>9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68</v>
      </c>
      <c r="N20" s="50">
        <v>0</v>
      </c>
      <c r="O20" s="15">
        <f t="shared" si="0"/>
        <v>73</v>
      </c>
      <c r="P20" s="15">
        <f t="shared" si="1"/>
        <v>141</v>
      </c>
      <c r="R20" s="1" t="s">
        <v>16</v>
      </c>
      <c r="S20" s="17">
        <f t="shared" ref="S20:AF20" si="12">SUM(C50:C53)</f>
        <v>208</v>
      </c>
      <c r="T20" s="17">
        <f t="shared" si="12"/>
        <v>128</v>
      </c>
      <c r="U20" s="17">
        <f t="shared" si="12"/>
        <v>1</v>
      </c>
      <c r="V20" s="17">
        <f t="shared" si="12"/>
        <v>34</v>
      </c>
      <c r="W20" s="17">
        <f t="shared" si="12"/>
        <v>0</v>
      </c>
      <c r="X20" s="17">
        <f t="shared" si="12"/>
        <v>0</v>
      </c>
      <c r="Y20" s="17">
        <f t="shared" si="12"/>
        <v>6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331</v>
      </c>
      <c r="AD20" s="17">
        <f t="shared" si="12"/>
        <v>0</v>
      </c>
      <c r="AE20" s="31">
        <f t="shared" si="12"/>
        <v>377</v>
      </c>
      <c r="AF20" s="31">
        <f t="shared" si="12"/>
        <v>708</v>
      </c>
    </row>
    <row r="21" spans="2:32" ht="23.1" customHeight="1" x14ac:dyDescent="0.25">
      <c r="B21" s="23" t="s">
        <v>48</v>
      </c>
      <c r="C21" s="50">
        <v>48</v>
      </c>
      <c r="D21" s="50">
        <v>26</v>
      </c>
      <c r="E21" s="50">
        <v>1</v>
      </c>
      <c r="F21" s="50">
        <v>12</v>
      </c>
      <c r="G21" s="50">
        <v>0</v>
      </c>
      <c r="H21" s="50">
        <v>0</v>
      </c>
      <c r="I21" s="50">
        <v>2</v>
      </c>
      <c r="J21" s="50">
        <v>1</v>
      </c>
      <c r="K21" s="50">
        <v>0</v>
      </c>
      <c r="L21" s="50">
        <v>0</v>
      </c>
      <c r="M21" s="50">
        <v>63</v>
      </c>
      <c r="N21" s="50">
        <v>0</v>
      </c>
      <c r="O21" s="15">
        <f t="shared" si="0"/>
        <v>90</v>
      </c>
      <c r="P21" s="15">
        <f t="shared" si="1"/>
        <v>153</v>
      </c>
      <c r="R21" s="36" t="s">
        <v>20</v>
      </c>
      <c r="S21" s="34">
        <f t="shared" ref="S21:AF21" si="13">SUM(C54:C57)</f>
        <v>208</v>
      </c>
      <c r="T21" s="17">
        <f t="shared" si="13"/>
        <v>110</v>
      </c>
      <c r="U21" s="17">
        <f t="shared" si="13"/>
        <v>3</v>
      </c>
      <c r="V21" s="17">
        <f t="shared" si="13"/>
        <v>35</v>
      </c>
      <c r="W21" s="17">
        <f t="shared" si="13"/>
        <v>0</v>
      </c>
      <c r="X21" s="17">
        <f t="shared" si="13"/>
        <v>0</v>
      </c>
      <c r="Y21" s="17">
        <f t="shared" si="13"/>
        <v>9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349</v>
      </c>
      <c r="AD21" s="17">
        <f t="shared" si="13"/>
        <v>0</v>
      </c>
      <c r="AE21" s="31">
        <f t="shared" si="13"/>
        <v>365</v>
      </c>
      <c r="AF21" s="31">
        <f t="shared" si="13"/>
        <v>714</v>
      </c>
    </row>
    <row r="22" spans="2:32" ht="23.1" customHeight="1" x14ac:dyDescent="0.25">
      <c r="B22" s="23" t="s">
        <v>49</v>
      </c>
      <c r="C22" s="50">
        <v>42</v>
      </c>
      <c r="D22" s="50">
        <v>28</v>
      </c>
      <c r="E22" s="50">
        <v>2</v>
      </c>
      <c r="F22" s="50">
        <v>8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77</v>
      </c>
      <c r="N22" s="50">
        <v>0</v>
      </c>
      <c r="O22" s="15">
        <f t="shared" si="0"/>
        <v>83</v>
      </c>
      <c r="P22" s="15">
        <f t="shared" si="1"/>
        <v>160</v>
      </c>
      <c r="R22" s="38" t="s">
        <v>90</v>
      </c>
      <c r="S22" s="39">
        <f>MAX(S10:S12)</f>
        <v>184</v>
      </c>
      <c r="T22" s="39">
        <f t="shared" ref="T22:AF22" si="14">MAX(T10:T12)</f>
        <v>102</v>
      </c>
      <c r="U22" s="39">
        <f t="shared" si="14"/>
        <v>5</v>
      </c>
      <c r="V22" s="39">
        <f t="shared" si="14"/>
        <v>38</v>
      </c>
      <c r="W22" s="39">
        <f t="shared" si="14"/>
        <v>1</v>
      </c>
      <c r="X22" s="39">
        <f t="shared" si="14"/>
        <v>0</v>
      </c>
      <c r="Y22" s="39">
        <f t="shared" si="14"/>
        <v>11</v>
      </c>
      <c r="Z22" s="39">
        <f t="shared" si="14"/>
        <v>2</v>
      </c>
      <c r="AA22" s="39">
        <f t="shared" si="14"/>
        <v>0</v>
      </c>
      <c r="AB22" s="39">
        <f t="shared" si="14"/>
        <v>0</v>
      </c>
      <c r="AC22" s="39">
        <f t="shared" si="14"/>
        <v>263</v>
      </c>
      <c r="AD22" s="39">
        <f t="shared" si="14"/>
        <v>0</v>
      </c>
      <c r="AE22" s="40">
        <f t="shared" si="14"/>
        <v>334</v>
      </c>
      <c r="AF22" s="40">
        <f t="shared" si="14"/>
        <v>597</v>
      </c>
    </row>
    <row r="23" spans="2:32" ht="23.1" customHeight="1" x14ac:dyDescent="0.25">
      <c r="B23" s="23" t="s">
        <v>50</v>
      </c>
      <c r="C23" s="50">
        <v>55</v>
      </c>
      <c r="D23" s="50">
        <v>41</v>
      </c>
      <c r="E23" s="50">
        <v>1</v>
      </c>
      <c r="F23" s="50">
        <v>15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95</v>
      </c>
      <c r="N23" s="50">
        <v>0</v>
      </c>
      <c r="O23" s="15">
        <f t="shared" si="0"/>
        <v>115</v>
      </c>
      <c r="P23" s="15">
        <f t="shared" si="1"/>
        <v>210</v>
      </c>
      <c r="R23" s="38" t="s">
        <v>91</v>
      </c>
      <c r="S23" s="39">
        <f>MAX(S13:S18)</f>
        <v>213</v>
      </c>
      <c r="T23" s="39">
        <f t="shared" ref="T23:AF23" si="15">MAX(T13:T18)</f>
        <v>148</v>
      </c>
      <c r="U23" s="39">
        <f t="shared" si="15"/>
        <v>5</v>
      </c>
      <c r="V23" s="39">
        <f t="shared" si="15"/>
        <v>44</v>
      </c>
      <c r="W23" s="39">
        <f t="shared" si="15"/>
        <v>0</v>
      </c>
      <c r="X23" s="39">
        <f t="shared" si="15"/>
        <v>0</v>
      </c>
      <c r="Y23" s="39">
        <f t="shared" si="15"/>
        <v>12</v>
      </c>
      <c r="Z23" s="39">
        <f t="shared" si="15"/>
        <v>2</v>
      </c>
      <c r="AA23" s="39">
        <f t="shared" si="15"/>
        <v>0</v>
      </c>
      <c r="AB23" s="39">
        <f t="shared" si="15"/>
        <v>0</v>
      </c>
      <c r="AC23" s="39">
        <f t="shared" si="15"/>
        <v>335</v>
      </c>
      <c r="AD23" s="39">
        <f t="shared" si="15"/>
        <v>0</v>
      </c>
      <c r="AE23" s="40">
        <f t="shared" si="15"/>
        <v>411</v>
      </c>
      <c r="AF23" s="40">
        <f t="shared" si="15"/>
        <v>740</v>
      </c>
    </row>
    <row r="24" spans="2:32" ht="23.1" customHeight="1" x14ac:dyDescent="0.25">
      <c r="B24" s="23" t="s">
        <v>51</v>
      </c>
      <c r="C24" s="50">
        <v>53</v>
      </c>
      <c r="D24" s="50">
        <v>45</v>
      </c>
      <c r="E24" s="50">
        <v>1</v>
      </c>
      <c r="F24" s="50">
        <v>12</v>
      </c>
      <c r="G24" s="50">
        <v>0</v>
      </c>
      <c r="H24" s="50">
        <v>0</v>
      </c>
      <c r="I24" s="50">
        <v>4</v>
      </c>
      <c r="J24" s="50">
        <v>0</v>
      </c>
      <c r="K24" s="50">
        <v>0</v>
      </c>
      <c r="L24" s="50">
        <v>0</v>
      </c>
      <c r="M24" s="50">
        <v>95</v>
      </c>
      <c r="N24" s="50">
        <v>0</v>
      </c>
      <c r="O24" s="15">
        <f t="shared" si="0"/>
        <v>115</v>
      </c>
      <c r="P24" s="15">
        <f t="shared" si="1"/>
        <v>210</v>
      </c>
      <c r="R24" s="38" t="s">
        <v>92</v>
      </c>
      <c r="S24" s="39">
        <f>MAX(S19:S21)</f>
        <v>223</v>
      </c>
      <c r="T24" s="39">
        <f t="shared" ref="T24:AF24" si="16">MAX(T19:T21)</f>
        <v>128</v>
      </c>
      <c r="U24" s="39">
        <f t="shared" si="16"/>
        <v>3</v>
      </c>
      <c r="V24" s="39">
        <f t="shared" si="16"/>
        <v>35</v>
      </c>
      <c r="W24" s="39">
        <f t="shared" si="16"/>
        <v>0</v>
      </c>
      <c r="X24" s="39">
        <f t="shared" si="16"/>
        <v>0</v>
      </c>
      <c r="Y24" s="39">
        <f t="shared" si="16"/>
        <v>10</v>
      </c>
      <c r="Z24" s="39">
        <f t="shared" si="16"/>
        <v>2</v>
      </c>
      <c r="AA24" s="39">
        <f t="shared" si="16"/>
        <v>0</v>
      </c>
      <c r="AB24" s="39">
        <f t="shared" si="16"/>
        <v>0</v>
      </c>
      <c r="AC24" s="39">
        <f t="shared" si="16"/>
        <v>349</v>
      </c>
      <c r="AD24" s="39">
        <f t="shared" si="16"/>
        <v>0</v>
      </c>
      <c r="AE24" s="40">
        <f t="shared" si="16"/>
        <v>377</v>
      </c>
      <c r="AF24" s="40">
        <f t="shared" si="16"/>
        <v>714</v>
      </c>
    </row>
    <row r="25" spans="2:32" ht="23.1" customHeight="1" x14ac:dyDescent="0.25">
      <c r="B25" s="23" t="s">
        <v>52</v>
      </c>
      <c r="C25" s="50">
        <v>53</v>
      </c>
      <c r="D25" s="50">
        <v>34</v>
      </c>
      <c r="E25" s="50">
        <v>0</v>
      </c>
      <c r="F25" s="50">
        <v>9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62</v>
      </c>
      <c r="N25" s="50">
        <v>0</v>
      </c>
      <c r="O25" s="15">
        <f t="shared" si="0"/>
        <v>98</v>
      </c>
      <c r="P25" s="15">
        <f t="shared" si="1"/>
        <v>160</v>
      </c>
      <c r="R25" s="37" t="s">
        <v>85</v>
      </c>
      <c r="S25" s="35">
        <f t="shared" ref="S25:AF25" si="17">SUM(S10:S12)</f>
        <v>431</v>
      </c>
      <c r="T25" s="16">
        <f t="shared" si="17"/>
        <v>221</v>
      </c>
      <c r="U25" s="16">
        <f t="shared" si="17"/>
        <v>13</v>
      </c>
      <c r="V25" s="16">
        <f t="shared" si="17"/>
        <v>103</v>
      </c>
      <c r="W25" s="16">
        <f t="shared" si="17"/>
        <v>1</v>
      </c>
      <c r="X25" s="16">
        <f t="shared" si="17"/>
        <v>0</v>
      </c>
      <c r="Y25" s="16">
        <f t="shared" si="17"/>
        <v>27</v>
      </c>
      <c r="Z25" s="16">
        <f t="shared" si="17"/>
        <v>2</v>
      </c>
      <c r="AA25" s="16">
        <f t="shared" si="17"/>
        <v>0</v>
      </c>
      <c r="AB25" s="16">
        <f t="shared" si="17"/>
        <v>0</v>
      </c>
      <c r="AC25" s="16">
        <f t="shared" si="17"/>
        <v>695</v>
      </c>
      <c r="AD25" s="16">
        <f t="shared" si="17"/>
        <v>0</v>
      </c>
      <c r="AE25" s="32">
        <f t="shared" si="17"/>
        <v>798</v>
      </c>
      <c r="AF25" s="32">
        <f t="shared" si="17"/>
        <v>1493</v>
      </c>
    </row>
    <row r="26" spans="2:32" ht="23.1" customHeight="1" x14ac:dyDescent="0.25">
      <c r="B26" s="23" t="s">
        <v>53</v>
      </c>
      <c r="C26" s="50">
        <v>53</v>
      </c>
      <c r="D26" s="50">
        <v>36</v>
      </c>
      <c r="E26" s="50">
        <v>3</v>
      </c>
      <c r="F26" s="50">
        <v>13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74</v>
      </c>
      <c r="N26" s="50">
        <v>0</v>
      </c>
      <c r="O26" s="15">
        <f t="shared" si="0"/>
        <v>108</v>
      </c>
      <c r="P26" s="15">
        <f t="shared" si="1"/>
        <v>182</v>
      </c>
      <c r="R26" s="28" t="s">
        <v>86</v>
      </c>
      <c r="S26" s="16">
        <f t="shared" ref="S26:AF26" si="18">SUM(S13:S18)</f>
        <v>1029</v>
      </c>
      <c r="T26" s="16">
        <f t="shared" si="18"/>
        <v>662</v>
      </c>
      <c r="U26" s="16">
        <f t="shared" si="18"/>
        <v>20</v>
      </c>
      <c r="V26" s="16">
        <f t="shared" si="18"/>
        <v>210</v>
      </c>
      <c r="W26" s="16">
        <f t="shared" si="18"/>
        <v>0</v>
      </c>
      <c r="X26" s="16">
        <f t="shared" si="18"/>
        <v>0</v>
      </c>
      <c r="Y26" s="16">
        <f t="shared" si="18"/>
        <v>56</v>
      </c>
      <c r="Z26" s="16">
        <f t="shared" si="18"/>
        <v>3</v>
      </c>
      <c r="AA26" s="16">
        <f t="shared" si="18"/>
        <v>0</v>
      </c>
      <c r="AB26" s="16">
        <f t="shared" si="18"/>
        <v>0</v>
      </c>
      <c r="AC26" s="16">
        <f t="shared" si="18"/>
        <v>1916</v>
      </c>
      <c r="AD26" s="16">
        <f t="shared" si="18"/>
        <v>0</v>
      </c>
      <c r="AE26" s="32">
        <f t="shared" si="18"/>
        <v>1980</v>
      </c>
      <c r="AF26" s="32">
        <f t="shared" si="18"/>
        <v>3896</v>
      </c>
    </row>
    <row r="27" spans="2:32" ht="23.1" customHeight="1" x14ac:dyDescent="0.25">
      <c r="B27" s="23" t="s">
        <v>54</v>
      </c>
      <c r="C27" s="50">
        <v>55</v>
      </c>
      <c r="D27" s="50">
        <v>39</v>
      </c>
      <c r="E27" s="50">
        <v>2</v>
      </c>
      <c r="F27" s="50">
        <v>8</v>
      </c>
      <c r="G27" s="50">
        <v>0</v>
      </c>
      <c r="H27" s="50">
        <v>0</v>
      </c>
      <c r="I27" s="50">
        <v>4</v>
      </c>
      <c r="J27" s="50">
        <v>0</v>
      </c>
      <c r="K27" s="50">
        <v>0</v>
      </c>
      <c r="L27" s="50">
        <v>0</v>
      </c>
      <c r="M27" s="50">
        <v>80</v>
      </c>
      <c r="N27" s="50">
        <v>0</v>
      </c>
      <c r="O27" s="15">
        <f t="shared" si="0"/>
        <v>108</v>
      </c>
      <c r="P27" s="15">
        <f t="shared" si="1"/>
        <v>188</v>
      </c>
      <c r="R27" s="29" t="s">
        <v>87</v>
      </c>
      <c r="S27" s="16">
        <f t="shared" ref="S27:AF27" si="19">SUM(S19:S21)</f>
        <v>639</v>
      </c>
      <c r="T27" s="16">
        <f t="shared" si="19"/>
        <v>343</v>
      </c>
      <c r="U27" s="16">
        <f t="shared" si="19"/>
        <v>6</v>
      </c>
      <c r="V27" s="16">
        <f t="shared" si="19"/>
        <v>103</v>
      </c>
      <c r="W27" s="16">
        <f t="shared" si="19"/>
        <v>0</v>
      </c>
      <c r="X27" s="16">
        <f t="shared" si="19"/>
        <v>0</v>
      </c>
      <c r="Y27" s="16">
        <f t="shared" si="19"/>
        <v>25</v>
      </c>
      <c r="Z27" s="16">
        <f t="shared" si="19"/>
        <v>2</v>
      </c>
      <c r="AA27" s="16">
        <f t="shared" si="19"/>
        <v>0</v>
      </c>
      <c r="AB27" s="16">
        <f t="shared" si="19"/>
        <v>0</v>
      </c>
      <c r="AC27" s="16">
        <f t="shared" si="19"/>
        <v>1009</v>
      </c>
      <c r="AD27" s="16">
        <f t="shared" si="19"/>
        <v>0</v>
      </c>
      <c r="AE27" s="32">
        <f t="shared" si="19"/>
        <v>1118</v>
      </c>
      <c r="AF27" s="32">
        <f t="shared" si="19"/>
        <v>2127</v>
      </c>
    </row>
    <row r="28" spans="2:32" ht="23.1" customHeight="1" x14ac:dyDescent="0.25">
      <c r="B28" s="23" t="s">
        <v>55</v>
      </c>
      <c r="C28" s="50">
        <v>55</v>
      </c>
      <c r="D28" s="50">
        <v>32</v>
      </c>
      <c r="E28" s="50">
        <v>0</v>
      </c>
      <c r="F28" s="50">
        <v>13</v>
      </c>
      <c r="G28" s="50">
        <v>0</v>
      </c>
      <c r="H28" s="50">
        <v>0</v>
      </c>
      <c r="I28" s="50">
        <v>2</v>
      </c>
      <c r="J28" s="50">
        <v>2</v>
      </c>
      <c r="K28" s="50">
        <v>0</v>
      </c>
      <c r="L28" s="50">
        <v>0</v>
      </c>
      <c r="M28" s="50">
        <v>77</v>
      </c>
      <c r="N28" s="50">
        <v>0</v>
      </c>
      <c r="O28" s="15">
        <f t="shared" si="0"/>
        <v>104</v>
      </c>
      <c r="P28" s="15">
        <f t="shared" si="1"/>
        <v>181</v>
      </c>
      <c r="R28" s="5" t="s">
        <v>17</v>
      </c>
      <c r="S28" s="16">
        <f t="shared" ref="S28:AF28" si="20">SUM(S10:S21)</f>
        <v>2099</v>
      </c>
      <c r="T28" s="16">
        <f t="shared" si="20"/>
        <v>1226</v>
      </c>
      <c r="U28" s="16">
        <f t="shared" si="20"/>
        <v>39</v>
      </c>
      <c r="V28" s="16">
        <f t="shared" si="20"/>
        <v>416</v>
      </c>
      <c r="W28" s="16">
        <f t="shared" si="20"/>
        <v>1</v>
      </c>
      <c r="X28" s="16">
        <f t="shared" si="20"/>
        <v>0</v>
      </c>
      <c r="Y28" s="16">
        <f t="shared" si="20"/>
        <v>108</v>
      </c>
      <c r="Z28" s="16">
        <f t="shared" si="20"/>
        <v>7</v>
      </c>
      <c r="AA28" s="16">
        <f t="shared" si="20"/>
        <v>0</v>
      </c>
      <c r="AB28" s="16">
        <f t="shared" si="20"/>
        <v>0</v>
      </c>
      <c r="AC28" s="16">
        <f t="shared" si="20"/>
        <v>3620</v>
      </c>
      <c r="AD28" s="16">
        <f t="shared" si="20"/>
        <v>0</v>
      </c>
      <c r="AE28" s="32">
        <f t="shared" si="20"/>
        <v>3896</v>
      </c>
      <c r="AF28" s="32">
        <f t="shared" si="20"/>
        <v>7516</v>
      </c>
    </row>
    <row r="29" spans="2:32" ht="23.1" customHeight="1" x14ac:dyDescent="0.25">
      <c r="B29" s="23" t="s">
        <v>56</v>
      </c>
      <c r="C29" s="50">
        <v>50</v>
      </c>
      <c r="D29" s="50">
        <v>28</v>
      </c>
      <c r="E29" s="50">
        <v>0</v>
      </c>
      <c r="F29" s="50">
        <v>10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87</v>
      </c>
      <c r="N29" s="50">
        <v>0</v>
      </c>
      <c r="O29" s="15">
        <f t="shared" si="0"/>
        <v>91</v>
      </c>
      <c r="P29" s="15">
        <f t="shared" si="1"/>
        <v>178</v>
      </c>
      <c r="R29"/>
      <c r="S29" s="20"/>
      <c r="T29" s="19"/>
    </row>
    <row r="30" spans="2:32" ht="23.1" customHeight="1" x14ac:dyDescent="0.25">
      <c r="B30" s="23" t="s">
        <v>57</v>
      </c>
      <c r="C30" s="50">
        <v>22</v>
      </c>
      <c r="D30" s="50">
        <v>27</v>
      </c>
      <c r="E30" s="50">
        <v>0</v>
      </c>
      <c r="F30" s="50">
        <v>13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78</v>
      </c>
      <c r="N30" s="50">
        <v>0</v>
      </c>
      <c r="O30" s="15">
        <f t="shared" si="0"/>
        <v>64</v>
      </c>
      <c r="P30" s="15">
        <f t="shared" si="1"/>
        <v>142</v>
      </c>
    </row>
    <row r="31" spans="2:32" ht="23.1" customHeight="1" x14ac:dyDescent="0.25">
      <c r="B31" s="24" t="s">
        <v>58</v>
      </c>
      <c r="C31" s="50">
        <v>26</v>
      </c>
      <c r="D31" s="50">
        <v>16</v>
      </c>
      <c r="E31" s="50">
        <v>3</v>
      </c>
      <c r="F31" s="50">
        <v>5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72</v>
      </c>
      <c r="N31" s="50">
        <v>0</v>
      </c>
      <c r="O31" s="15">
        <f t="shared" si="0"/>
        <v>52</v>
      </c>
      <c r="P31" s="15">
        <f t="shared" si="1"/>
        <v>124</v>
      </c>
    </row>
    <row r="32" spans="2:32" ht="23.1" customHeight="1" x14ac:dyDescent="0.25">
      <c r="B32" s="24" t="s">
        <v>59</v>
      </c>
      <c r="C32" s="50">
        <v>36</v>
      </c>
      <c r="D32" s="50">
        <v>19</v>
      </c>
      <c r="E32" s="50">
        <v>0</v>
      </c>
      <c r="F32" s="50">
        <v>10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79</v>
      </c>
      <c r="N32" s="50">
        <v>0</v>
      </c>
      <c r="O32" s="15">
        <f t="shared" si="0"/>
        <v>66</v>
      </c>
      <c r="P32" s="15">
        <f t="shared" si="1"/>
        <v>145</v>
      </c>
    </row>
    <row r="33" spans="2:20" ht="23.1" customHeight="1" x14ac:dyDescent="0.25">
      <c r="B33" s="23" t="s">
        <v>60</v>
      </c>
      <c r="C33" s="50">
        <v>27</v>
      </c>
      <c r="D33" s="50">
        <v>28</v>
      </c>
      <c r="E33" s="50">
        <v>1</v>
      </c>
      <c r="F33" s="50">
        <v>9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83</v>
      </c>
      <c r="N33" s="50">
        <v>0</v>
      </c>
      <c r="O33" s="15">
        <f t="shared" si="0"/>
        <v>66</v>
      </c>
      <c r="P33" s="15">
        <f t="shared" si="1"/>
        <v>149</v>
      </c>
    </row>
    <row r="34" spans="2:20" ht="23.1" customHeight="1" x14ac:dyDescent="0.25">
      <c r="B34" s="24" t="s">
        <v>61</v>
      </c>
      <c r="C34" s="50">
        <v>32</v>
      </c>
      <c r="D34" s="50">
        <v>17</v>
      </c>
      <c r="E34" s="50">
        <v>0</v>
      </c>
      <c r="F34" s="50">
        <v>5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100</v>
      </c>
      <c r="N34" s="50">
        <v>0</v>
      </c>
      <c r="O34" s="15">
        <f t="shared" si="0"/>
        <v>57</v>
      </c>
      <c r="P34" s="15">
        <f t="shared" si="1"/>
        <v>157</v>
      </c>
    </row>
    <row r="35" spans="2:20" ht="23.1" customHeight="1" x14ac:dyDescent="0.25">
      <c r="B35" s="24" t="s">
        <v>62</v>
      </c>
      <c r="C35" s="50">
        <v>38</v>
      </c>
      <c r="D35" s="50">
        <v>23</v>
      </c>
      <c r="E35" s="50">
        <v>1</v>
      </c>
      <c r="F35" s="50">
        <v>7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0</v>
      </c>
      <c r="M35" s="50">
        <v>82</v>
      </c>
      <c r="N35" s="50">
        <v>0</v>
      </c>
      <c r="O35" s="15">
        <f t="shared" si="0"/>
        <v>72</v>
      </c>
      <c r="P35" s="15">
        <f t="shared" si="1"/>
        <v>154</v>
      </c>
    </row>
    <row r="36" spans="2:20" ht="23.1" customHeight="1" x14ac:dyDescent="0.25">
      <c r="B36" s="24" t="s">
        <v>63</v>
      </c>
      <c r="C36" s="50">
        <v>38</v>
      </c>
      <c r="D36" s="50">
        <v>21</v>
      </c>
      <c r="E36" s="50">
        <v>2</v>
      </c>
      <c r="F36" s="50">
        <v>6</v>
      </c>
      <c r="G36" s="50">
        <v>0</v>
      </c>
      <c r="H36" s="50">
        <v>0</v>
      </c>
      <c r="I36" s="50">
        <v>3</v>
      </c>
      <c r="J36" s="50">
        <v>1</v>
      </c>
      <c r="K36" s="50">
        <v>0</v>
      </c>
      <c r="L36" s="50">
        <v>0</v>
      </c>
      <c r="M36" s="50">
        <v>75</v>
      </c>
      <c r="N36" s="50">
        <v>0</v>
      </c>
      <c r="O36" s="15">
        <f t="shared" si="0"/>
        <v>71</v>
      </c>
      <c r="P36" s="15">
        <f t="shared" si="1"/>
        <v>146</v>
      </c>
    </row>
    <row r="37" spans="2:20" ht="23.1" customHeight="1" x14ac:dyDescent="0.25">
      <c r="B37" s="23" t="s">
        <v>64</v>
      </c>
      <c r="C37" s="50">
        <v>28</v>
      </c>
      <c r="D37" s="50">
        <v>15</v>
      </c>
      <c r="E37" s="50">
        <v>0</v>
      </c>
      <c r="F37" s="50">
        <v>5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78</v>
      </c>
      <c r="N37" s="50">
        <v>0</v>
      </c>
      <c r="O37" s="15">
        <f t="shared" si="0"/>
        <v>48</v>
      </c>
      <c r="P37" s="15">
        <f t="shared" si="1"/>
        <v>126</v>
      </c>
    </row>
    <row r="38" spans="2:20" ht="23.1" customHeight="1" x14ac:dyDescent="0.25">
      <c r="B38" s="24" t="s">
        <v>65</v>
      </c>
      <c r="C38" s="50">
        <v>39</v>
      </c>
      <c r="D38" s="50">
        <v>29</v>
      </c>
      <c r="E38" s="50">
        <v>1</v>
      </c>
      <c r="F38" s="50">
        <v>9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92</v>
      </c>
      <c r="N38" s="50">
        <v>0</v>
      </c>
      <c r="O38" s="15">
        <f t="shared" si="0"/>
        <v>80</v>
      </c>
      <c r="P38" s="15">
        <f t="shared" si="1"/>
        <v>172</v>
      </c>
    </row>
    <row r="39" spans="2:20" ht="23.1" customHeight="1" x14ac:dyDescent="0.25">
      <c r="B39" s="24" t="s">
        <v>66</v>
      </c>
      <c r="C39" s="50">
        <v>43</v>
      </c>
      <c r="D39" s="50">
        <v>30</v>
      </c>
      <c r="E39" s="50">
        <v>1</v>
      </c>
      <c r="F39" s="50">
        <v>8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78</v>
      </c>
      <c r="N39" s="50">
        <v>0</v>
      </c>
      <c r="O39" s="15">
        <f t="shared" si="0"/>
        <v>84</v>
      </c>
      <c r="P39" s="15">
        <f t="shared" si="1"/>
        <v>162</v>
      </c>
    </row>
    <row r="40" spans="2:20" ht="23.1" customHeight="1" x14ac:dyDescent="0.25">
      <c r="B40" s="24" t="s">
        <v>67</v>
      </c>
      <c r="C40" s="50">
        <v>46</v>
      </c>
      <c r="D40" s="50">
        <v>32</v>
      </c>
      <c r="E40" s="50">
        <v>0</v>
      </c>
      <c r="F40" s="50">
        <v>12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84</v>
      </c>
      <c r="N40" s="50">
        <v>0</v>
      </c>
      <c r="O40" s="15">
        <f t="shared" si="0"/>
        <v>93</v>
      </c>
      <c r="P40" s="15">
        <f t="shared" si="1"/>
        <v>177</v>
      </c>
    </row>
    <row r="41" spans="2:20" ht="23.1" customHeight="1" x14ac:dyDescent="0.25">
      <c r="B41" s="23" t="s">
        <v>68</v>
      </c>
      <c r="C41" s="50">
        <v>38</v>
      </c>
      <c r="D41" s="50">
        <v>21</v>
      </c>
      <c r="E41" s="50">
        <v>0</v>
      </c>
      <c r="F41" s="50">
        <v>9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62</v>
      </c>
      <c r="N41" s="50">
        <v>0</v>
      </c>
      <c r="O41" s="15">
        <f t="shared" si="0"/>
        <v>70</v>
      </c>
      <c r="P41" s="15">
        <f t="shared" si="1"/>
        <v>132</v>
      </c>
    </row>
    <row r="42" spans="2:20" ht="23.1" customHeight="1" x14ac:dyDescent="0.25">
      <c r="B42" s="24" t="s">
        <v>69</v>
      </c>
      <c r="C42" s="50">
        <v>41</v>
      </c>
      <c r="D42" s="50">
        <v>27</v>
      </c>
      <c r="E42" s="50">
        <v>1</v>
      </c>
      <c r="F42" s="50">
        <v>6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73</v>
      </c>
      <c r="N42" s="50">
        <v>0</v>
      </c>
      <c r="O42" s="15">
        <f t="shared" si="0"/>
        <v>77</v>
      </c>
      <c r="P42" s="15">
        <f t="shared" si="1"/>
        <v>150</v>
      </c>
    </row>
    <row r="43" spans="2:20" ht="23.1" customHeight="1" x14ac:dyDescent="0.25">
      <c r="B43" s="23" t="s">
        <v>70</v>
      </c>
      <c r="C43" s="50">
        <v>42</v>
      </c>
      <c r="D43" s="50">
        <v>16</v>
      </c>
      <c r="E43" s="50">
        <v>0</v>
      </c>
      <c r="F43" s="50">
        <v>6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73</v>
      </c>
      <c r="N43" s="50">
        <v>0</v>
      </c>
      <c r="O43" s="15">
        <f t="shared" si="0"/>
        <v>67</v>
      </c>
      <c r="P43" s="15">
        <f t="shared" si="1"/>
        <v>140</v>
      </c>
    </row>
    <row r="44" spans="2:20" ht="23.1" customHeight="1" x14ac:dyDescent="0.25">
      <c r="B44" s="25" t="s">
        <v>71</v>
      </c>
      <c r="C44" s="50">
        <v>55</v>
      </c>
      <c r="D44" s="50">
        <v>34</v>
      </c>
      <c r="E44" s="50">
        <v>0</v>
      </c>
      <c r="F44" s="50">
        <v>5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78</v>
      </c>
      <c r="N44" s="50">
        <v>0</v>
      </c>
      <c r="O44" s="15">
        <f t="shared" si="0"/>
        <v>96</v>
      </c>
      <c r="P44" s="15">
        <f t="shared" si="1"/>
        <v>174</v>
      </c>
    </row>
    <row r="45" spans="2:20" ht="23.1" customHeight="1" x14ac:dyDescent="0.25">
      <c r="B45" s="23" t="s">
        <v>72</v>
      </c>
      <c r="C45" s="50">
        <v>62</v>
      </c>
      <c r="D45" s="50">
        <v>24</v>
      </c>
      <c r="E45" s="50">
        <v>1</v>
      </c>
      <c r="F45" s="50">
        <v>7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82</v>
      </c>
      <c r="N45" s="50">
        <v>0</v>
      </c>
      <c r="O45" s="15">
        <f t="shared" si="0"/>
        <v>95</v>
      </c>
      <c r="P45" s="15">
        <f t="shared" si="1"/>
        <v>177</v>
      </c>
    </row>
    <row r="46" spans="2:20" ht="23.1" customHeight="1" x14ac:dyDescent="0.25">
      <c r="B46" s="24" t="s">
        <v>73</v>
      </c>
      <c r="C46" s="50">
        <v>68</v>
      </c>
      <c r="D46" s="50">
        <v>27</v>
      </c>
      <c r="E46" s="50">
        <v>0</v>
      </c>
      <c r="F46" s="50">
        <v>8</v>
      </c>
      <c r="G46" s="50">
        <v>0</v>
      </c>
      <c r="H46" s="50">
        <v>0</v>
      </c>
      <c r="I46" s="50">
        <v>4</v>
      </c>
      <c r="J46" s="50">
        <v>0</v>
      </c>
      <c r="K46" s="50">
        <v>0</v>
      </c>
      <c r="L46" s="50">
        <v>0</v>
      </c>
      <c r="M46" s="50">
        <v>82</v>
      </c>
      <c r="N46" s="50">
        <v>0</v>
      </c>
      <c r="O46" s="15">
        <f t="shared" si="0"/>
        <v>107</v>
      </c>
      <c r="P46" s="15">
        <f t="shared" si="1"/>
        <v>189</v>
      </c>
      <c r="R46" s="8"/>
      <c r="T46"/>
    </row>
    <row r="47" spans="2:20" ht="23.1" customHeight="1" x14ac:dyDescent="0.25">
      <c r="B47" s="24" t="s">
        <v>74</v>
      </c>
      <c r="C47" s="50">
        <v>55</v>
      </c>
      <c r="D47" s="50">
        <v>29</v>
      </c>
      <c r="E47" s="50">
        <v>1</v>
      </c>
      <c r="F47" s="50">
        <v>8</v>
      </c>
      <c r="G47" s="50">
        <v>0</v>
      </c>
      <c r="H47" s="50">
        <v>0</v>
      </c>
      <c r="I47" s="50">
        <v>2</v>
      </c>
      <c r="J47" s="50">
        <v>1</v>
      </c>
      <c r="K47" s="50">
        <v>0</v>
      </c>
      <c r="L47" s="50">
        <v>0</v>
      </c>
      <c r="M47" s="50">
        <v>84</v>
      </c>
      <c r="N47" s="50">
        <v>0</v>
      </c>
      <c r="O47" s="15">
        <f t="shared" si="0"/>
        <v>96</v>
      </c>
      <c r="P47" s="15">
        <f t="shared" si="1"/>
        <v>180</v>
      </c>
      <c r="R47" s="8"/>
      <c r="T47"/>
    </row>
    <row r="48" spans="2:20" ht="23.1" customHeight="1" x14ac:dyDescent="0.25">
      <c r="B48" s="24" t="s">
        <v>75</v>
      </c>
      <c r="C48" s="50">
        <v>40</v>
      </c>
      <c r="D48" s="50">
        <v>14</v>
      </c>
      <c r="E48" s="50">
        <v>0</v>
      </c>
      <c r="F48" s="50">
        <v>8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85</v>
      </c>
      <c r="N48" s="50">
        <v>0</v>
      </c>
      <c r="O48" s="15">
        <f t="shared" si="0"/>
        <v>64</v>
      </c>
      <c r="P48" s="15">
        <f t="shared" si="1"/>
        <v>149</v>
      </c>
      <c r="R48" s="8"/>
      <c r="T48"/>
    </row>
    <row r="49" spans="2:20" ht="23.1" customHeight="1" x14ac:dyDescent="0.25">
      <c r="B49" s="23" t="s">
        <v>76</v>
      </c>
      <c r="C49" s="50">
        <v>60</v>
      </c>
      <c r="D49" s="50">
        <v>35</v>
      </c>
      <c r="E49" s="50">
        <v>1</v>
      </c>
      <c r="F49" s="50">
        <v>10</v>
      </c>
      <c r="G49" s="50">
        <v>0</v>
      </c>
      <c r="H49" s="50">
        <v>0</v>
      </c>
      <c r="I49" s="50">
        <v>2</v>
      </c>
      <c r="J49" s="50">
        <v>1</v>
      </c>
      <c r="K49" s="50">
        <v>0</v>
      </c>
      <c r="L49" s="50">
        <v>0</v>
      </c>
      <c r="M49" s="50">
        <v>78</v>
      </c>
      <c r="N49" s="50">
        <v>0</v>
      </c>
      <c r="O49" s="15">
        <f t="shared" si="0"/>
        <v>109</v>
      </c>
      <c r="P49" s="15">
        <f t="shared" si="1"/>
        <v>187</v>
      </c>
      <c r="R49" s="8"/>
      <c r="T49"/>
    </row>
    <row r="50" spans="2:20" ht="23.1" customHeight="1" x14ac:dyDescent="0.25">
      <c r="B50" s="24" t="s">
        <v>77</v>
      </c>
      <c r="C50" s="50">
        <v>55</v>
      </c>
      <c r="D50" s="50">
        <v>32</v>
      </c>
      <c r="E50" s="50">
        <v>1</v>
      </c>
      <c r="F50" s="50">
        <v>8</v>
      </c>
      <c r="G50" s="50">
        <v>0</v>
      </c>
      <c r="H50" s="50">
        <v>0</v>
      </c>
      <c r="I50" s="50">
        <v>3</v>
      </c>
      <c r="J50" s="50">
        <v>0</v>
      </c>
      <c r="K50" s="50">
        <v>0</v>
      </c>
      <c r="L50" s="50">
        <v>0</v>
      </c>
      <c r="M50" s="50">
        <v>88</v>
      </c>
      <c r="N50" s="50">
        <v>0</v>
      </c>
      <c r="O50" s="15">
        <f t="shared" si="0"/>
        <v>99</v>
      </c>
      <c r="P50" s="15">
        <f t="shared" si="1"/>
        <v>187</v>
      </c>
      <c r="R50" s="8"/>
      <c r="T50"/>
    </row>
    <row r="51" spans="2:20" ht="23.1" customHeight="1" x14ac:dyDescent="0.25">
      <c r="B51" s="24" t="s">
        <v>78</v>
      </c>
      <c r="C51" s="50">
        <v>48</v>
      </c>
      <c r="D51" s="50">
        <v>42</v>
      </c>
      <c r="E51" s="50">
        <v>0</v>
      </c>
      <c r="F51" s="50">
        <v>9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72</v>
      </c>
      <c r="N51" s="50">
        <v>0</v>
      </c>
      <c r="O51" s="15">
        <f t="shared" si="0"/>
        <v>100</v>
      </c>
      <c r="P51" s="15">
        <f t="shared" si="1"/>
        <v>172</v>
      </c>
      <c r="R51" s="8"/>
      <c r="T51"/>
    </row>
    <row r="52" spans="2:20" ht="23.1" customHeight="1" x14ac:dyDescent="0.25">
      <c r="B52" s="24" t="s">
        <v>79</v>
      </c>
      <c r="C52" s="50">
        <v>50</v>
      </c>
      <c r="D52" s="50">
        <v>26</v>
      </c>
      <c r="E52" s="50">
        <v>0</v>
      </c>
      <c r="F52" s="50">
        <v>10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83</v>
      </c>
      <c r="N52" s="50">
        <v>0</v>
      </c>
      <c r="O52" s="15">
        <f t="shared" si="0"/>
        <v>88</v>
      </c>
      <c r="P52" s="15">
        <f t="shared" si="1"/>
        <v>171</v>
      </c>
      <c r="R52" s="8"/>
      <c r="T52"/>
    </row>
    <row r="53" spans="2:20" ht="23.1" customHeight="1" x14ac:dyDescent="0.25">
      <c r="B53" s="23" t="s">
        <v>80</v>
      </c>
      <c r="C53" s="50">
        <v>55</v>
      </c>
      <c r="D53" s="50">
        <v>28</v>
      </c>
      <c r="E53" s="50">
        <v>0</v>
      </c>
      <c r="F53" s="50">
        <v>7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88</v>
      </c>
      <c r="N53" s="50">
        <v>0</v>
      </c>
      <c r="O53" s="15">
        <f t="shared" si="0"/>
        <v>90</v>
      </c>
      <c r="P53" s="15">
        <f t="shared" si="1"/>
        <v>178</v>
      </c>
      <c r="R53" s="8"/>
      <c r="T53"/>
    </row>
    <row r="54" spans="2:20" ht="23.1" customHeight="1" x14ac:dyDescent="0.25">
      <c r="B54" s="23" t="s">
        <v>81</v>
      </c>
      <c r="C54" s="50">
        <v>45</v>
      </c>
      <c r="D54" s="50">
        <v>28</v>
      </c>
      <c r="E54" s="50">
        <v>1</v>
      </c>
      <c r="F54" s="50">
        <v>10</v>
      </c>
      <c r="G54" s="50">
        <v>0</v>
      </c>
      <c r="H54" s="50">
        <v>0</v>
      </c>
      <c r="I54" s="50">
        <v>3</v>
      </c>
      <c r="J54" s="50">
        <v>0</v>
      </c>
      <c r="K54" s="50">
        <v>0</v>
      </c>
      <c r="L54" s="50">
        <v>0</v>
      </c>
      <c r="M54" s="50">
        <v>92</v>
      </c>
      <c r="N54" s="50">
        <v>0</v>
      </c>
      <c r="O54" s="15">
        <f t="shared" si="0"/>
        <v>87</v>
      </c>
      <c r="P54" s="15">
        <f t="shared" si="1"/>
        <v>179</v>
      </c>
      <c r="R54" s="8"/>
      <c r="T54"/>
    </row>
    <row r="55" spans="2:20" ht="23.1" customHeight="1" x14ac:dyDescent="0.25">
      <c r="B55" s="23" t="s">
        <v>82</v>
      </c>
      <c r="C55" s="50">
        <v>55</v>
      </c>
      <c r="D55" s="50">
        <v>26</v>
      </c>
      <c r="E55" s="50">
        <v>0</v>
      </c>
      <c r="F55" s="50">
        <v>8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83</v>
      </c>
      <c r="N55" s="50">
        <v>0</v>
      </c>
      <c r="O55" s="15">
        <f t="shared" si="0"/>
        <v>91</v>
      </c>
      <c r="P55" s="15">
        <f t="shared" si="1"/>
        <v>174</v>
      </c>
      <c r="R55" s="8"/>
      <c r="T55"/>
    </row>
    <row r="56" spans="2:20" ht="23.1" customHeight="1" x14ac:dyDescent="0.25">
      <c r="B56" s="23" t="s">
        <v>83</v>
      </c>
      <c r="C56" s="50">
        <v>57</v>
      </c>
      <c r="D56" s="50">
        <v>31</v>
      </c>
      <c r="E56" s="50">
        <v>0</v>
      </c>
      <c r="F56" s="50">
        <v>6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84</v>
      </c>
      <c r="N56" s="50">
        <v>0</v>
      </c>
      <c r="O56" s="15">
        <f t="shared" si="0"/>
        <v>95</v>
      </c>
      <c r="P56" s="15">
        <f t="shared" si="1"/>
        <v>179</v>
      </c>
      <c r="R56" s="8"/>
      <c r="T56"/>
    </row>
    <row r="57" spans="2:20" ht="23.1" customHeight="1" x14ac:dyDescent="0.25">
      <c r="B57" s="23" t="s">
        <v>84</v>
      </c>
      <c r="C57" s="50">
        <v>51</v>
      </c>
      <c r="D57" s="50">
        <v>25</v>
      </c>
      <c r="E57" s="50">
        <v>2</v>
      </c>
      <c r="F57" s="50">
        <v>11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90</v>
      </c>
      <c r="N57" s="50">
        <v>0</v>
      </c>
      <c r="O57" s="15">
        <f t="shared" si="0"/>
        <v>92</v>
      </c>
      <c r="P57" s="15">
        <f t="shared" si="1"/>
        <v>182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2099</v>
      </c>
      <c r="D58" s="16">
        <f t="shared" si="21"/>
        <v>1226</v>
      </c>
      <c r="E58" s="16">
        <f t="shared" si="21"/>
        <v>39</v>
      </c>
      <c r="F58" s="16">
        <f t="shared" si="21"/>
        <v>416</v>
      </c>
      <c r="G58" s="16">
        <f t="shared" si="21"/>
        <v>1</v>
      </c>
      <c r="H58" s="16">
        <f t="shared" si="21"/>
        <v>0</v>
      </c>
      <c r="I58" s="16">
        <f t="shared" si="21"/>
        <v>108</v>
      </c>
      <c r="J58" s="16">
        <f t="shared" si="21"/>
        <v>7</v>
      </c>
      <c r="K58" s="16">
        <f t="shared" si="21"/>
        <v>0</v>
      </c>
      <c r="L58" s="16">
        <f t="shared" si="21"/>
        <v>0</v>
      </c>
      <c r="M58" s="16">
        <f t="shared" si="21"/>
        <v>3620</v>
      </c>
      <c r="N58" s="16">
        <f t="shared" si="21"/>
        <v>0</v>
      </c>
      <c r="O58" s="16">
        <f t="shared" si="21"/>
        <v>3896</v>
      </c>
      <c r="P58" s="16">
        <f t="shared" si="21"/>
        <v>7516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0.27927088877062267</v>
      </c>
      <c r="D59" s="43">
        <f t="shared" si="22"/>
        <v>0.16311868014901543</v>
      </c>
      <c r="E59" s="43">
        <f t="shared" si="22"/>
        <v>5.1889302820649283E-3</v>
      </c>
      <c r="F59" s="43">
        <f t="shared" si="22"/>
        <v>5.534858967535923E-2</v>
      </c>
      <c r="G59" s="43">
        <f t="shared" si="22"/>
        <v>1.3304949441192123E-4</v>
      </c>
      <c r="H59" s="43">
        <f t="shared" si="22"/>
        <v>0</v>
      </c>
      <c r="I59" s="43">
        <f t="shared" si="22"/>
        <v>1.4369345396487493E-2</v>
      </c>
      <c r="J59" s="43">
        <f t="shared" si="22"/>
        <v>9.3134646088344859E-4</v>
      </c>
      <c r="K59" s="43">
        <f t="shared" si="22"/>
        <v>0</v>
      </c>
      <c r="L59" s="43">
        <f t="shared" si="22"/>
        <v>0</v>
      </c>
      <c r="M59" s="43">
        <f t="shared" si="22"/>
        <v>0.4816391697711549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0.53875770020533886</v>
      </c>
      <c r="D60" s="44">
        <f t="shared" ref="D60:N60" si="23">D58/$O$58</f>
        <v>0.31468172484599588</v>
      </c>
      <c r="E60" s="44">
        <f t="shared" si="23"/>
        <v>1.0010266940451745E-2</v>
      </c>
      <c r="F60" s="44">
        <f t="shared" si="23"/>
        <v>0.10677618069815195</v>
      </c>
      <c r="G60" s="44">
        <f t="shared" si="23"/>
        <v>2.5667351129363451E-4</v>
      </c>
      <c r="H60" s="44">
        <f t="shared" si="23"/>
        <v>0</v>
      </c>
      <c r="I60" s="44">
        <f t="shared" si="23"/>
        <v>2.7720739219712527E-2</v>
      </c>
      <c r="J60" s="44">
        <f t="shared" si="23"/>
        <v>1.7967145790554414E-3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30" zoomScaleSheetLayoutView="3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Bukoto-Kisasi'!C3:G3</f>
        <v>MCC - C1 - STN32 - BUKOTO KISASI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'04.08 Kisasi-Bukoto'!D5</f>
        <v>04.08.19</v>
      </c>
      <c r="E5" s="3"/>
      <c r="F5" s="41" t="s">
        <v>1</v>
      </c>
      <c r="G5" s="63" t="str">
        <f>'04.08 Kisasi-Bukoto'!G5:H5</f>
        <v>KISASI</v>
      </c>
      <c r="H5" s="64"/>
      <c r="I5" s="14"/>
      <c r="J5" s="2" t="s">
        <v>5</v>
      </c>
      <c r="K5" s="63" t="str">
        <f>'04.08 Kisasi-Bukoto'!K5:L5</f>
        <v>RWAMBITITO J./NICHOL A./GEORGE W.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'29.07 Bukoto-Kisasi'!D6:E6</f>
        <v>BUKOTO</v>
      </c>
      <c r="E6" s="64"/>
      <c r="F6" s="2" t="s">
        <v>2</v>
      </c>
      <c r="G6" s="63" t="str">
        <f>'29.07 Bukoto-Kisasi'!G6:H6</f>
        <v>KISASI</v>
      </c>
      <c r="H6" s="64"/>
      <c r="J6" s="2" t="s">
        <v>21</v>
      </c>
      <c r="K6" s="63" t="str">
        <f>'04.08 Kisasi-Bukoto'!K6:L6</f>
        <v>SALIMA L.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4</v>
      </c>
      <c r="E10" s="50">
        <v>1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12</v>
      </c>
      <c r="N10" s="50">
        <v>0</v>
      </c>
      <c r="O10" s="15">
        <f t="shared" ref="O10:O57" si="0">SUM(C10:L10,N10)</f>
        <v>9</v>
      </c>
      <c r="P10" s="15">
        <f t="shared" ref="P10:P57" si="1">SUM(C10:N10)</f>
        <v>21</v>
      </c>
      <c r="R10" s="1" t="s">
        <v>6</v>
      </c>
      <c r="S10" s="17">
        <f t="shared" ref="S10:AF10" si="2">SUM(C10:C13)</f>
        <v>27</v>
      </c>
      <c r="T10" s="17">
        <f t="shared" si="2"/>
        <v>19</v>
      </c>
      <c r="U10" s="17">
        <f t="shared" si="2"/>
        <v>1</v>
      </c>
      <c r="V10" s="17">
        <f t="shared" si="2"/>
        <v>8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74</v>
      </c>
      <c r="AD10" s="17">
        <f t="shared" si="2"/>
        <v>0</v>
      </c>
      <c r="AE10" s="31">
        <f t="shared" si="2"/>
        <v>60</v>
      </c>
      <c r="AF10" s="31">
        <f t="shared" si="2"/>
        <v>134</v>
      </c>
    </row>
    <row r="11" spans="2:32" s="6" customFormat="1" ht="23.1" customHeight="1" x14ac:dyDescent="0.25">
      <c r="B11" s="23" t="s">
        <v>38</v>
      </c>
      <c r="C11" s="50">
        <v>7</v>
      </c>
      <c r="D11" s="50">
        <v>3</v>
      </c>
      <c r="E11" s="50">
        <v>0</v>
      </c>
      <c r="F11" s="50">
        <v>3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18</v>
      </c>
      <c r="N11" s="50">
        <v>0</v>
      </c>
      <c r="O11" s="15">
        <f t="shared" si="0"/>
        <v>14</v>
      </c>
      <c r="P11" s="15">
        <f t="shared" si="1"/>
        <v>32</v>
      </c>
      <c r="R11" s="1" t="s">
        <v>7</v>
      </c>
      <c r="S11" s="17">
        <f t="shared" ref="S11:AF11" si="3">SUM(C14:C17)</f>
        <v>50</v>
      </c>
      <c r="T11" s="17">
        <f t="shared" si="3"/>
        <v>18</v>
      </c>
      <c r="U11" s="17">
        <f t="shared" si="3"/>
        <v>5</v>
      </c>
      <c r="V11" s="17">
        <f t="shared" si="3"/>
        <v>11</v>
      </c>
      <c r="W11" s="17">
        <f t="shared" si="3"/>
        <v>0</v>
      </c>
      <c r="X11" s="17">
        <f t="shared" si="3"/>
        <v>0</v>
      </c>
      <c r="Y11" s="17">
        <f t="shared" si="3"/>
        <v>9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130</v>
      </c>
      <c r="AD11" s="17">
        <f t="shared" si="3"/>
        <v>0</v>
      </c>
      <c r="AE11" s="31">
        <f t="shared" si="3"/>
        <v>94</v>
      </c>
      <c r="AF11" s="31">
        <f t="shared" si="3"/>
        <v>224</v>
      </c>
    </row>
    <row r="12" spans="2:32" ht="23.1" customHeight="1" x14ac:dyDescent="0.25">
      <c r="B12" s="23" t="s">
        <v>39</v>
      </c>
      <c r="C12" s="50">
        <v>4</v>
      </c>
      <c r="D12" s="50">
        <v>5</v>
      </c>
      <c r="E12" s="50">
        <v>0</v>
      </c>
      <c r="F12" s="50">
        <v>2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16</v>
      </c>
      <c r="N12" s="50">
        <v>0</v>
      </c>
      <c r="O12" s="15">
        <f t="shared" si="0"/>
        <v>11</v>
      </c>
      <c r="P12" s="15">
        <f t="shared" si="1"/>
        <v>27</v>
      </c>
      <c r="R12" s="1" t="s">
        <v>8</v>
      </c>
      <c r="S12" s="17">
        <f t="shared" ref="S12:AF12" si="4">SUM(C18:C21)</f>
        <v>85</v>
      </c>
      <c r="T12" s="17">
        <f t="shared" si="4"/>
        <v>35</v>
      </c>
      <c r="U12" s="17">
        <f t="shared" si="4"/>
        <v>9</v>
      </c>
      <c r="V12" s="17">
        <f t="shared" si="4"/>
        <v>21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0</v>
      </c>
      <c r="AA12" s="17">
        <f t="shared" si="4"/>
        <v>1</v>
      </c>
      <c r="AB12" s="17">
        <f t="shared" si="4"/>
        <v>0</v>
      </c>
      <c r="AC12" s="17">
        <f t="shared" si="4"/>
        <v>156</v>
      </c>
      <c r="AD12" s="17">
        <f t="shared" si="4"/>
        <v>0</v>
      </c>
      <c r="AE12" s="31">
        <f t="shared" si="4"/>
        <v>157</v>
      </c>
      <c r="AF12" s="31">
        <f t="shared" si="4"/>
        <v>313</v>
      </c>
    </row>
    <row r="13" spans="2:32" ht="23.1" customHeight="1" x14ac:dyDescent="0.25">
      <c r="B13" s="23" t="s">
        <v>40</v>
      </c>
      <c r="C13" s="50">
        <v>13</v>
      </c>
      <c r="D13" s="50">
        <v>7</v>
      </c>
      <c r="E13" s="50">
        <v>0</v>
      </c>
      <c r="F13" s="50">
        <v>3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50">
        <v>28</v>
      </c>
      <c r="N13" s="50">
        <v>0</v>
      </c>
      <c r="O13" s="15">
        <f t="shared" si="0"/>
        <v>26</v>
      </c>
      <c r="P13" s="15">
        <f t="shared" si="1"/>
        <v>54</v>
      </c>
      <c r="R13" s="1" t="s">
        <v>9</v>
      </c>
      <c r="S13" s="17">
        <f t="shared" ref="S13:AF13" si="5">SUM(C22:C25)</f>
        <v>82</v>
      </c>
      <c r="T13" s="17">
        <f t="shared" si="5"/>
        <v>45</v>
      </c>
      <c r="U13" s="17">
        <f t="shared" si="5"/>
        <v>15</v>
      </c>
      <c r="V13" s="17">
        <f t="shared" si="5"/>
        <v>22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1</v>
      </c>
      <c r="AA13" s="17">
        <f t="shared" si="5"/>
        <v>1</v>
      </c>
      <c r="AB13" s="17">
        <f t="shared" si="5"/>
        <v>0</v>
      </c>
      <c r="AC13" s="17">
        <f t="shared" si="5"/>
        <v>155</v>
      </c>
      <c r="AD13" s="17">
        <f t="shared" si="5"/>
        <v>0</v>
      </c>
      <c r="AE13" s="31">
        <f t="shared" si="5"/>
        <v>172</v>
      </c>
      <c r="AF13" s="31">
        <f t="shared" si="5"/>
        <v>327</v>
      </c>
    </row>
    <row r="14" spans="2:32" ht="23.1" customHeight="1" x14ac:dyDescent="0.25">
      <c r="B14" s="23" t="s">
        <v>41</v>
      </c>
      <c r="C14" s="50">
        <v>10</v>
      </c>
      <c r="D14" s="50">
        <v>3</v>
      </c>
      <c r="E14" s="50">
        <v>0</v>
      </c>
      <c r="F14" s="50">
        <v>4</v>
      </c>
      <c r="G14" s="50">
        <v>0</v>
      </c>
      <c r="H14" s="50">
        <v>0</v>
      </c>
      <c r="I14" s="50">
        <v>1</v>
      </c>
      <c r="J14" s="50">
        <v>0</v>
      </c>
      <c r="K14" s="50">
        <v>1</v>
      </c>
      <c r="L14" s="50">
        <v>0</v>
      </c>
      <c r="M14" s="50">
        <v>27</v>
      </c>
      <c r="N14" s="50">
        <v>0</v>
      </c>
      <c r="O14" s="15">
        <f t="shared" si="0"/>
        <v>19</v>
      </c>
      <c r="P14" s="15">
        <f t="shared" si="1"/>
        <v>46</v>
      </c>
      <c r="R14" s="1" t="s">
        <v>10</v>
      </c>
      <c r="S14" s="17">
        <f t="shared" ref="S14:AF14" si="6">SUM(C26:C29)</f>
        <v>132</v>
      </c>
      <c r="T14" s="17">
        <f t="shared" si="6"/>
        <v>105</v>
      </c>
      <c r="U14" s="17">
        <f t="shared" si="6"/>
        <v>25</v>
      </c>
      <c r="V14" s="17">
        <f t="shared" si="6"/>
        <v>32</v>
      </c>
      <c r="W14" s="17">
        <f t="shared" si="6"/>
        <v>0</v>
      </c>
      <c r="X14" s="17">
        <f t="shared" si="6"/>
        <v>0</v>
      </c>
      <c r="Y14" s="17">
        <f t="shared" si="6"/>
        <v>9</v>
      </c>
      <c r="Z14" s="17">
        <f t="shared" si="6"/>
        <v>6</v>
      </c>
      <c r="AA14" s="17">
        <f t="shared" si="6"/>
        <v>0</v>
      </c>
      <c r="AB14" s="17">
        <f t="shared" si="6"/>
        <v>0</v>
      </c>
      <c r="AC14" s="17">
        <f t="shared" si="6"/>
        <v>184</v>
      </c>
      <c r="AD14" s="17">
        <f t="shared" si="6"/>
        <v>0</v>
      </c>
      <c r="AE14" s="31">
        <f t="shared" si="6"/>
        <v>309</v>
      </c>
      <c r="AF14" s="31">
        <f t="shared" si="6"/>
        <v>493</v>
      </c>
    </row>
    <row r="15" spans="2:32" ht="23.1" customHeight="1" x14ac:dyDescent="0.25">
      <c r="B15" s="23" t="s">
        <v>42</v>
      </c>
      <c r="C15" s="50">
        <v>13</v>
      </c>
      <c r="D15" s="50">
        <v>2</v>
      </c>
      <c r="E15" s="50">
        <v>3</v>
      </c>
      <c r="F15" s="50">
        <v>2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36</v>
      </c>
      <c r="N15" s="50">
        <v>0</v>
      </c>
      <c r="O15" s="15">
        <f t="shared" si="0"/>
        <v>22</v>
      </c>
      <c r="P15" s="15">
        <f t="shared" si="1"/>
        <v>58</v>
      </c>
      <c r="R15" s="1" t="s">
        <v>11</v>
      </c>
      <c r="S15" s="17">
        <f t="shared" ref="S15:AF15" si="7">SUM(C30:C33)</f>
        <v>141</v>
      </c>
      <c r="T15" s="17">
        <f t="shared" si="7"/>
        <v>103</v>
      </c>
      <c r="U15" s="17">
        <f t="shared" si="7"/>
        <v>17</v>
      </c>
      <c r="V15" s="17">
        <f t="shared" si="7"/>
        <v>30</v>
      </c>
      <c r="W15" s="17">
        <f t="shared" si="7"/>
        <v>0</v>
      </c>
      <c r="X15" s="17">
        <f t="shared" si="7"/>
        <v>0</v>
      </c>
      <c r="Y15" s="17">
        <f t="shared" si="7"/>
        <v>7</v>
      </c>
      <c r="Z15" s="17">
        <f t="shared" si="7"/>
        <v>1</v>
      </c>
      <c r="AA15" s="17">
        <f t="shared" si="7"/>
        <v>1</v>
      </c>
      <c r="AB15" s="17">
        <f t="shared" si="7"/>
        <v>0</v>
      </c>
      <c r="AC15" s="17">
        <f t="shared" si="7"/>
        <v>196</v>
      </c>
      <c r="AD15" s="17">
        <f t="shared" si="7"/>
        <v>0</v>
      </c>
      <c r="AE15" s="31">
        <f t="shared" si="7"/>
        <v>300</v>
      </c>
      <c r="AF15" s="31">
        <f t="shared" si="7"/>
        <v>496</v>
      </c>
    </row>
    <row r="16" spans="2:32" ht="23.1" customHeight="1" x14ac:dyDescent="0.25">
      <c r="B16" s="23" t="s">
        <v>43</v>
      </c>
      <c r="C16" s="50">
        <v>11</v>
      </c>
      <c r="D16" s="50">
        <v>5</v>
      </c>
      <c r="E16" s="50">
        <v>1</v>
      </c>
      <c r="F16" s="50">
        <v>3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31</v>
      </c>
      <c r="N16" s="50">
        <v>0</v>
      </c>
      <c r="O16" s="15">
        <f t="shared" si="0"/>
        <v>21</v>
      </c>
      <c r="P16" s="15">
        <f t="shared" si="1"/>
        <v>52</v>
      </c>
      <c r="R16" s="1" t="s">
        <v>12</v>
      </c>
      <c r="S16" s="17">
        <f t="shared" ref="S16:AF16" si="8">SUM(C34:C37)</f>
        <v>157</v>
      </c>
      <c r="T16" s="17">
        <f t="shared" si="8"/>
        <v>131</v>
      </c>
      <c r="U16" s="17">
        <f t="shared" si="8"/>
        <v>27</v>
      </c>
      <c r="V16" s="17">
        <f t="shared" si="8"/>
        <v>18</v>
      </c>
      <c r="W16" s="17">
        <f t="shared" si="8"/>
        <v>0</v>
      </c>
      <c r="X16" s="17">
        <f t="shared" si="8"/>
        <v>0</v>
      </c>
      <c r="Y16" s="17">
        <f t="shared" si="8"/>
        <v>10</v>
      </c>
      <c r="Z16" s="17">
        <f t="shared" si="8"/>
        <v>0</v>
      </c>
      <c r="AA16" s="17">
        <f t="shared" si="8"/>
        <v>1</v>
      </c>
      <c r="AB16" s="17">
        <f t="shared" si="8"/>
        <v>0</v>
      </c>
      <c r="AC16" s="17">
        <f t="shared" si="8"/>
        <v>228</v>
      </c>
      <c r="AD16" s="17">
        <f t="shared" si="8"/>
        <v>0</v>
      </c>
      <c r="AE16" s="31">
        <f t="shared" si="8"/>
        <v>344</v>
      </c>
      <c r="AF16" s="31">
        <f t="shared" si="8"/>
        <v>572</v>
      </c>
    </row>
    <row r="17" spans="2:32" ht="23.1" customHeight="1" x14ac:dyDescent="0.25">
      <c r="B17" s="23" t="s">
        <v>44</v>
      </c>
      <c r="C17" s="50">
        <v>16</v>
      </c>
      <c r="D17" s="50">
        <v>8</v>
      </c>
      <c r="E17" s="50">
        <v>1</v>
      </c>
      <c r="F17" s="50">
        <v>2</v>
      </c>
      <c r="G17" s="50">
        <v>0</v>
      </c>
      <c r="H17" s="50">
        <v>0</v>
      </c>
      <c r="I17" s="50">
        <v>5</v>
      </c>
      <c r="J17" s="50">
        <v>0</v>
      </c>
      <c r="K17" s="50">
        <v>0</v>
      </c>
      <c r="L17" s="50">
        <v>0</v>
      </c>
      <c r="M17" s="50">
        <v>36</v>
      </c>
      <c r="N17" s="50">
        <v>0</v>
      </c>
      <c r="O17" s="15">
        <f t="shared" si="0"/>
        <v>32</v>
      </c>
      <c r="P17" s="15">
        <f t="shared" si="1"/>
        <v>68</v>
      </c>
      <c r="R17" s="1" t="s">
        <v>13</v>
      </c>
      <c r="S17" s="17">
        <f t="shared" ref="S17:AF17" si="9">SUM(C38:C41)</f>
        <v>202</v>
      </c>
      <c r="T17" s="17">
        <f t="shared" si="9"/>
        <v>140</v>
      </c>
      <c r="U17" s="17">
        <f t="shared" si="9"/>
        <v>44</v>
      </c>
      <c r="V17" s="17">
        <f t="shared" si="9"/>
        <v>34</v>
      </c>
      <c r="W17" s="17">
        <f t="shared" si="9"/>
        <v>0</v>
      </c>
      <c r="X17" s="17">
        <f t="shared" si="9"/>
        <v>0</v>
      </c>
      <c r="Y17" s="17">
        <f t="shared" si="9"/>
        <v>9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204</v>
      </c>
      <c r="AD17" s="17">
        <f t="shared" si="9"/>
        <v>0</v>
      </c>
      <c r="AE17" s="31">
        <f t="shared" si="9"/>
        <v>429</v>
      </c>
      <c r="AF17" s="31">
        <f t="shared" si="9"/>
        <v>633</v>
      </c>
    </row>
    <row r="18" spans="2:32" ht="23.1" customHeight="1" x14ac:dyDescent="0.25">
      <c r="B18" s="23" t="s">
        <v>45</v>
      </c>
      <c r="C18" s="50">
        <v>27</v>
      </c>
      <c r="D18" s="50">
        <v>9</v>
      </c>
      <c r="E18" s="50">
        <v>0</v>
      </c>
      <c r="F18" s="50">
        <v>6</v>
      </c>
      <c r="G18" s="50">
        <v>0</v>
      </c>
      <c r="H18" s="50">
        <v>0</v>
      </c>
      <c r="I18" s="50">
        <v>1</v>
      </c>
      <c r="J18" s="50">
        <v>0</v>
      </c>
      <c r="K18" s="50">
        <v>1</v>
      </c>
      <c r="L18" s="50">
        <v>0</v>
      </c>
      <c r="M18" s="50">
        <v>47</v>
      </c>
      <c r="N18" s="50">
        <v>0</v>
      </c>
      <c r="O18" s="15">
        <f t="shared" si="0"/>
        <v>44</v>
      </c>
      <c r="P18" s="15">
        <f t="shared" si="1"/>
        <v>91</v>
      </c>
      <c r="R18" s="1" t="s">
        <v>14</v>
      </c>
      <c r="S18" s="17">
        <f t="shared" ref="S18:AF18" si="10">SUM(C42:C45)</f>
        <v>168</v>
      </c>
      <c r="T18" s="17">
        <f t="shared" si="10"/>
        <v>112</v>
      </c>
      <c r="U18" s="17">
        <f t="shared" si="10"/>
        <v>29</v>
      </c>
      <c r="V18" s="17">
        <f t="shared" si="10"/>
        <v>31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202</v>
      </c>
      <c r="AD18" s="17">
        <f t="shared" si="10"/>
        <v>0</v>
      </c>
      <c r="AE18" s="31">
        <f t="shared" si="10"/>
        <v>348</v>
      </c>
      <c r="AF18" s="31">
        <f t="shared" si="10"/>
        <v>550</v>
      </c>
    </row>
    <row r="19" spans="2:32" ht="23.1" customHeight="1" x14ac:dyDescent="0.25">
      <c r="B19" s="23" t="s">
        <v>46</v>
      </c>
      <c r="C19" s="50">
        <v>19</v>
      </c>
      <c r="D19" s="50">
        <v>7</v>
      </c>
      <c r="E19" s="50">
        <v>2</v>
      </c>
      <c r="F19" s="50">
        <v>4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38</v>
      </c>
      <c r="N19" s="50">
        <v>0</v>
      </c>
      <c r="O19" s="15">
        <f t="shared" si="0"/>
        <v>32</v>
      </c>
      <c r="P19" s="15">
        <f t="shared" si="1"/>
        <v>70</v>
      </c>
      <c r="R19" s="1" t="s">
        <v>15</v>
      </c>
      <c r="S19" s="17">
        <f t="shared" ref="S19:AF19" si="11">SUM(C46:C49)</f>
        <v>188</v>
      </c>
      <c r="T19" s="17">
        <f t="shared" si="11"/>
        <v>120</v>
      </c>
      <c r="U19" s="17">
        <f t="shared" si="11"/>
        <v>22</v>
      </c>
      <c r="V19" s="17">
        <f t="shared" si="11"/>
        <v>31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241</v>
      </c>
      <c r="AD19" s="17">
        <f t="shared" si="11"/>
        <v>0</v>
      </c>
      <c r="AE19" s="31">
        <f t="shared" si="11"/>
        <v>367</v>
      </c>
      <c r="AF19" s="31">
        <f t="shared" si="11"/>
        <v>608</v>
      </c>
    </row>
    <row r="20" spans="2:32" ht="23.1" customHeight="1" x14ac:dyDescent="0.25">
      <c r="B20" s="23" t="s">
        <v>47</v>
      </c>
      <c r="C20" s="50">
        <v>21</v>
      </c>
      <c r="D20" s="50">
        <v>10</v>
      </c>
      <c r="E20" s="50">
        <v>4</v>
      </c>
      <c r="F20" s="50">
        <v>5</v>
      </c>
      <c r="G20" s="50">
        <v>0</v>
      </c>
      <c r="H20" s="50">
        <v>0</v>
      </c>
      <c r="I20" s="50">
        <v>3</v>
      </c>
      <c r="J20" s="50">
        <v>0</v>
      </c>
      <c r="K20" s="50">
        <v>0</v>
      </c>
      <c r="L20" s="50">
        <v>0</v>
      </c>
      <c r="M20" s="50">
        <v>33</v>
      </c>
      <c r="N20" s="50">
        <v>0</v>
      </c>
      <c r="O20" s="15">
        <f t="shared" si="0"/>
        <v>43</v>
      </c>
      <c r="P20" s="15">
        <f t="shared" si="1"/>
        <v>76</v>
      </c>
      <c r="R20" s="1" t="s">
        <v>16</v>
      </c>
      <c r="S20" s="17">
        <f t="shared" ref="S20:AF20" si="12">SUM(C50:C53)</f>
        <v>161</v>
      </c>
      <c r="T20" s="17">
        <f t="shared" si="12"/>
        <v>88</v>
      </c>
      <c r="U20" s="17">
        <f t="shared" si="12"/>
        <v>29</v>
      </c>
      <c r="V20" s="17">
        <f t="shared" si="12"/>
        <v>32</v>
      </c>
      <c r="W20" s="17">
        <f t="shared" si="12"/>
        <v>0</v>
      </c>
      <c r="X20" s="17">
        <f t="shared" si="12"/>
        <v>0</v>
      </c>
      <c r="Y20" s="17">
        <f t="shared" si="12"/>
        <v>6</v>
      </c>
      <c r="Z20" s="17">
        <f t="shared" si="12"/>
        <v>3</v>
      </c>
      <c r="AA20" s="17">
        <f t="shared" si="12"/>
        <v>0</v>
      </c>
      <c r="AB20" s="17">
        <f t="shared" si="12"/>
        <v>0</v>
      </c>
      <c r="AC20" s="17">
        <f t="shared" si="12"/>
        <v>234</v>
      </c>
      <c r="AD20" s="17">
        <f t="shared" si="12"/>
        <v>0</v>
      </c>
      <c r="AE20" s="31">
        <f t="shared" si="12"/>
        <v>319</v>
      </c>
      <c r="AF20" s="31">
        <f t="shared" si="12"/>
        <v>553</v>
      </c>
    </row>
    <row r="21" spans="2:32" ht="23.1" customHeight="1" x14ac:dyDescent="0.25">
      <c r="B21" s="23" t="s">
        <v>48</v>
      </c>
      <c r="C21" s="50">
        <v>18</v>
      </c>
      <c r="D21" s="50">
        <v>9</v>
      </c>
      <c r="E21" s="50">
        <v>3</v>
      </c>
      <c r="F21" s="50">
        <v>6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38</v>
      </c>
      <c r="N21" s="50">
        <v>0</v>
      </c>
      <c r="O21" s="15">
        <f t="shared" si="0"/>
        <v>38</v>
      </c>
      <c r="P21" s="15">
        <f t="shared" si="1"/>
        <v>76</v>
      </c>
      <c r="R21" s="36" t="s">
        <v>20</v>
      </c>
      <c r="S21" s="34">
        <f t="shared" ref="S21:AF21" si="13">SUM(C54:C57)</f>
        <v>211</v>
      </c>
      <c r="T21" s="17">
        <f t="shared" si="13"/>
        <v>138</v>
      </c>
      <c r="U21" s="17">
        <f t="shared" si="13"/>
        <v>30</v>
      </c>
      <c r="V21" s="17">
        <f t="shared" si="13"/>
        <v>23</v>
      </c>
      <c r="W21" s="17">
        <f t="shared" si="13"/>
        <v>0</v>
      </c>
      <c r="X21" s="17">
        <f t="shared" si="13"/>
        <v>0</v>
      </c>
      <c r="Y21" s="17">
        <f t="shared" si="13"/>
        <v>12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255</v>
      </c>
      <c r="AD21" s="17">
        <f t="shared" si="13"/>
        <v>0</v>
      </c>
      <c r="AE21" s="31">
        <f t="shared" si="13"/>
        <v>417</v>
      </c>
      <c r="AF21" s="31">
        <f t="shared" si="13"/>
        <v>672</v>
      </c>
    </row>
    <row r="22" spans="2:32" ht="23.1" customHeight="1" x14ac:dyDescent="0.25">
      <c r="B22" s="23" t="s">
        <v>49</v>
      </c>
      <c r="C22" s="50">
        <v>24</v>
      </c>
      <c r="D22" s="50">
        <v>7</v>
      </c>
      <c r="E22" s="50">
        <v>2</v>
      </c>
      <c r="F22" s="50">
        <v>5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41</v>
      </c>
      <c r="N22" s="50">
        <v>0</v>
      </c>
      <c r="O22" s="15">
        <f t="shared" si="0"/>
        <v>40</v>
      </c>
      <c r="P22" s="15">
        <f t="shared" si="1"/>
        <v>81</v>
      </c>
      <c r="R22" s="38" t="s">
        <v>90</v>
      </c>
      <c r="S22" s="39">
        <f>MAX(S10:S12)</f>
        <v>85</v>
      </c>
      <c r="T22" s="39">
        <f t="shared" ref="T22:AF22" si="14">MAX(T10:T12)</f>
        <v>35</v>
      </c>
      <c r="U22" s="39">
        <f t="shared" si="14"/>
        <v>9</v>
      </c>
      <c r="V22" s="39">
        <f t="shared" si="14"/>
        <v>21</v>
      </c>
      <c r="W22" s="39">
        <f t="shared" si="14"/>
        <v>0</v>
      </c>
      <c r="X22" s="39">
        <f t="shared" si="14"/>
        <v>0</v>
      </c>
      <c r="Y22" s="39">
        <f t="shared" si="14"/>
        <v>9</v>
      </c>
      <c r="Z22" s="39">
        <f t="shared" si="14"/>
        <v>0</v>
      </c>
      <c r="AA22" s="39">
        <f t="shared" si="14"/>
        <v>1</v>
      </c>
      <c r="AB22" s="39">
        <f t="shared" si="14"/>
        <v>0</v>
      </c>
      <c r="AC22" s="39">
        <f t="shared" si="14"/>
        <v>156</v>
      </c>
      <c r="AD22" s="39">
        <f t="shared" si="14"/>
        <v>0</v>
      </c>
      <c r="AE22" s="40">
        <f t="shared" si="14"/>
        <v>157</v>
      </c>
      <c r="AF22" s="40">
        <f t="shared" si="14"/>
        <v>313</v>
      </c>
    </row>
    <row r="23" spans="2:32" ht="23.1" customHeight="1" x14ac:dyDescent="0.25">
      <c r="B23" s="23" t="s">
        <v>50</v>
      </c>
      <c r="C23" s="50">
        <v>19</v>
      </c>
      <c r="D23" s="50">
        <v>11</v>
      </c>
      <c r="E23" s="50">
        <v>4</v>
      </c>
      <c r="F23" s="50">
        <v>3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40</v>
      </c>
      <c r="N23" s="50">
        <v>0</v>
      </c>
      <c r="O23" s="15">
        <f t="shared" si="0"/>
        <v>38</v>
      </c>
      <c r="P23" s="15">
        <f t="shared" si="1"/>
        <v>78</v>
      </c>
      <c r="R23" s="38" t="s">
        <v>91</v>
      </c>
      <c r="S23" s="39">
        <f>MAX(S13:S18)</f>
        <v>202</v>
      </c>
      <c r="T23" s="39">
        <f t="shared" ref="T23:AF23" si="15">MAX(T13:T18)</f>
        <v>140</v>
      </c>
      <c r="U23" s="39">
        <f t="shared" si="15"/>
        <v>44</v>
      </c>
      <c r="V23" s="39">
        <f t="shared" si="15"/>
        <v>34</v>
      </c>
      <c r="W23" s="39">
        <f t="shared" si="15"/>
        <v>0</v>
      </c>
      <c r="X23" s="39">
        <f t="shared" si="15"/>
        <v>0</v>
      </c>
      <c r="Y23" s="39">
        <f t="shared" si="15"/>
        <v>10</v>
      </c>
      <c r="Z23" s="39">
        <f t="shared" si="15"/>
        <v>6</v>
      </c>
      <c r="AA23" s="39">
        <f t="shared" si="15"/>
        <v>1</v>
      </c>
      <c r="AB23" s="39">
        <f t="shared" si="15"/>
        <v>0</v>
      </c>
      <c r="AC23" s="39">
        <f t="shared" si="15"/>
        <v>228</v>
      </c>
      <c r="AD23" s="39">
        <f t="shared" si="15"/>
        <v>0</v>
      </c>
      <c r="AE23" s="40">
        <f t="shared" si="15"/>
        <v>429</v>
      </c>
      <c r="AF23" s="40">
        <f t="shared" si="15"/>
        <v>633</v>
      </c>
    </row>
    <row r="24" spans="2:32" ht="23.1" customHeight="1" x14ac:dyDescent="0.25">
      <c r="B24" s="23" t="s">
        <v>51</v>
      </c>
      <c r="C24" s="50">
        <v>23</v>
      </c>
      <c r="D24" s="50">
        <v>16</v>
      </c>
      <c r="E24" s="50">
        <v>6</v>
      </c>
      <c r="F24" s="50">
        <v>8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0</v>
      </c>
      <c r="M24" s="50">
        <v>38</v>
      </c>
      <c r="N24" s="50">
        <v>0</v>
      </c>
      <c r="O24" s="15">
        <f t="shared" si="0"/>
        <v>56</v>
      </c>
      <c r="P24" s="15">
        <f t="shared" si="1"/>
        <v>94</v>
      </c>
      <c r="R24" s="38" t="s">
        <v>92</v>
      </c>
      <c r="S24" s="39">
        <f>MAX(S19:S21)</f>
        <v>211</v>
      </c>
      <c r="T24" s="39">
        <f t="shared" ref="T24:AF24" si="16">MAX(T19:T21)</f>
        <v>138</v>
      </c>
      <c r="U24" s="39">
        <f t="shared" si="16"/>
        <v>30</v>
      </c>
      <c r="V24" s="39">
        <f t="shared" si="16"/>
        <v>32</v>
      </c>
      <c r="W24" s="39">
        <f t="shared" si="16"/>
        <v>0</v>
      </c>
      <c r="X24" s="39">
        <f t="shared" si="16"/>
        <v>0</v>
      </c>
      <c r="Y24" s="39">
        <f t="shared" si="16"/>
        <v>12</v>
      </c>
      <c r="Z24" s="39">
        <f t="shared" si="16"/>
        <v>3</v>
      </c>
      <c r="AA24" s="39">
        <f t="shared" si="16"/>
        <v>0</v>
      </c>
      <c r="AB24" s="39">
        <f t="shared" si="16"/>
        <v>0</v>
      </c>
      <c r="AC24" s="39">
        <f t="shared" si="16"/>
        <v>255</v>
      </c>
      <c r="AD24" s="39">
        <f t="shared" si="16"/>
        <v>0</v>
      </c>
      <c r="AE24" s="40">
        <f t="shared" si="16"/>
        <v>417</v>
      </c>
      <c r="AF24" s="40">
        <f t="shared" si="16"/>
        <v>672</v>
      </c>
    </row>
    <row r="25" spans="2:32" ht="23.1" customHeight="1" x14ac:dyDescent="0.25">
      <c r="B25" s="23" t="s">
        <v>52</v>
      </c>
      <c r="C25" s="50">
        <v>16</v>
      </c>
      <c r="D25" s="50">
        <v>11</v>
      </c>
      <c r="E25" s="50">
        <v>3</v>
      </c>
      <c r="F25" s="50">
        <v>6</v>
      </c>
      <c r="G25" s="50">
        <v>0</v>
      </c>
      <c r="H25" s="50">
        <v>0</v>
      </c>
      <c r="I25" s="50">
        <v>0</v>
      </c>
      <c r="J25" s="50">
        <v>1</v>
      </c>
      <c r="K25" s="50">
        <v>1</v>
      </c>
      <c r="L25" s="50">
        <v>0</v>
      </c>
      <c r="M25" s="50">
        <v>36</v>
      </c>
      <c r="N25" s="50">
        <v>0</v>
      </c>
      <c r="O25" s="15">
        <f t="shared" si="0"/>
        <v>38</v>
      </c>
      <c r="P25" s="15">
        <f t="shared" si="1"/>
        <v>74</v>
      </c>
      <c r="R25" s="37" t="s">
        <v>85</v>
      </c>
      <c r="S25" s="35">
        <f t="shared" ref="S25:AF25" si="17">SUM(S10:S12)</f>
        <v>162</v>
      </c>
      <c r="T25" s="16">
        <f t="shared" si="17"/>
        <v>72</v>
      </c>
      <c r="U25" s="16">
        <f t="shared" si="17"/>
        <v>15</v>
      </c>
      <c r="V25" s="16">
        <f t="shared" si="17"/>
        <v>40</v>
      </c>
      <c r="W25" s="16">
        <f t="shared" si="17"/>
        <v>0</v>
      </c>
      <c r="X25" s="16">
        <f t="shared" si="17"/>
        <v>0</v>
      </c>
      <c r="Y25" s="16">
        <f t="shared" si="17"/>
        <v>20</v>
      </c>
      <c r="Z25" s="16">
        <f t="shared" si="17"/>
        <v>0</v>
      </c>
      <c r="AA25" s="16">
        <f t="shared" si="17"/>
        <v>2</v>
      </c>
      <c r="AB25" s="16">
        <f t="shared" si="17"/>
        <v>0</v>
      </c>
      <c r="AC25" s="16">
        <f t="shared" si="17"/>
        <v>360</v>
      </c>
      <c r="AD25" s="16">
        <f t="shared" si="17"/>
        <v>0</v>
      </c>
      <c r="AE25" s="32">
        <f t="shared" si="17"/>
        <v>311</v>
      </c>
      <c r="AF25" s="32">
        <f t="shared" si="17"/>
        <v>671</v>
      </c>
    </row>
    <row r="26" spans="2:32" ht="23.1" customHeight="1" x14ac:dyDescent="0.25">
      <c r="B26" s="23" t="s">
        <v>53</v>
      </c>
      <c r="C26" s="50">
        <v>33</v>
      </c>
      <c r="D26" s="50">
        <v>27</v>
      </c>
      <c r="E26" s="50">
        <v>3</v>
      </c>
      <c r="F26" s="50">
        <v>6</v>
      </c>
      <c r="G26" s="50">
        <v>0</v>
      </c>
      <c r="H26" s="50">
        <v>0</v>
      </c>
      <c r="I26" s="50">
        <v>1</v>
      </c>
      <c r="J26" s="50">
        <v>1</v>
      </c>
      <c r="K26" s="50">
        <v>0</v>
      </c>
      <c r="L26" s="50">
        <v>0</v>
      </c>
      <c r="M26" s="50">
        <v>47</v>
      </c>
      <c r="N26" s="50">
        <v>0</v>
      </c>
      <c r="O26" s="15">
        <f t="shared" si="0"/>
        <v>71</v>
      </c>
      <c r="P26" s="15">
        <f t="shared" si="1"/>
        <v>118</v>
      </c>
      <c r="R26" s="28" t="s">
        <v>86</v>
      </c>
      <c r="S26" s="16">
        <f t="shared" ref="S26:AF26" si="18">SUM(S13:S18)</f>
        <v>882</v>
      </c>
      <c r="T26" s="16">
        <f t="shared" si="18"/>
        <v>636</v>
      </c>
      <c r="U26" s="16">
        <f t="shared" si="18"/>
        <v>157</v>
      </c>
      <c r="V26" s="16">
        <f t="shared" si="18"/>
        <v>167</v>
      </c>
      <c r="W26" s="16">
        <f t="shared" si="18"/>
        <v>0</v>
      </c>
      <c r="X26" s="16">
        <f t="shared" si="18"/>
        <v>0</v>
      </c>
      <c r="Y26" s="16">
        <f t="shared" si="18"/>
        <v>48</v>
      </c>
      <c r="Z26" s="16">
        <f t="shared" si="18"/>
        <v>9</v>
      </c>
      <c r="AA26" s="16">
        <f t="shared" si="18"/>
        <v>3</v>
      </c>
      <c r="AB26" s="16">
        <f t="shared" si="18"/>
        <v>0</v>
      </c>
      <c r="AC26" s="16">
        <f t="shared" si="18"/>
        <v>1169</v>
      </c>
      <c r="AD26" s="16">
        <f t="shared" si="18"/>
        <v>0</v>
      </c>
      <c r="AE26" s="32">
        <f t="shared" si="18"/>
        <v>1902</v>
      </c>
      <c r="AF26" s="32">
        <f t="shared" si="18"/>
        <v>3071</v>
      </c>
    </row>
    <row r="27" spans="2:32" ht="23.1" customHeight="1" x14ac:dyDescent="0.25">
      <c r="B27" s="23" t="s">
        <v>54</v>
      </c>
      <c r="C27" s="50">
        <v>28</v>
      </c>
      <c r="D27" s="50">
        <v>22</v>
      </c>
      <c r="E27" s="50">
        <v>6</v>
      </c>
      <c r="F27" s="50">
        <v>8</v>
      </c>
      <c r="G27" s="50">
        <v>0</v>
      </c>
      <c r="H27" s="50">
        <v>0</v>
      </c>
      <c r="I27" s="50">
        <v>2</v>
      </c>
      <c r="J27" s="50">
        <v>3</v>
      </c>
      <c r="K27" s="50">
        <v>0</v>
      </c>
      <c r="L27" s="50">
        <v>0</v>
      </c>
      <c r="M27" s="50">
        <v>43</v>
      </c>
      <c r="N27" s="50">
        <v>0</v>
      </c>
      <c r="O27" s="15">
        <f t="shared" si="0"/>
        <v>69</v>
      </c>
      <c r="P27" s="15">
        <f t="shared" si="1"/>
        <v>112</v>
      </c>
      <c r="R27" s="29" t="s">
        <v>87</v>
      </c>
      <c r="S27" s="16">
        <f t="shared" ref="S27:AF27" si="19">SUM(S19:S21)</f>
        <v>560</v>
      </c>
      <c r="T27" s="16">
        <f t="shared" si="19"/>
        <v>346</v>
      </c>
      <c r="U27" s="16">
        <f t="shared" si="19"/>
        <v>81</v>
      </c>
      <c r="V27" s="16">
        <f t="shared" si="19"/>
        <v>86</v>
      </c>
      <c r="W27" s="16">
        <f t="shared" si="19"/>
        <v>0</v>
      </c>
      <c r="X27" s="16">
        <f t="shared" si="19"/>
        <v>0</v>
      </c>
      <c r="Y27" s="16">
        <f t="shared" si="19"/>
        <v>23</v>
      </c>
      <c r="Z27" s="16">
        <f t="shared" si="19"/>
        <v>7</v>
      </c>
      <c r="AA27" s="16">
        <f t="shared" si="19"/>
        <v>0</v>
      </c>
      <c r="AB27" s="16">
        <f t="shared" si="19"/>
        <v>0</v>
      </c>
      <c r="AC27" s="16">
        <f t="shared" si="19"/>
        <v>730</v>
      </c>
      <c r="AD27" s="16">
        <f t="shared" si="19"/>
        <v>0</v>
      </c>
      <c r="AE27" s="32">
        <f t="shared" si="19"/>
        <v>1103</v>
      </c>
      <c r="AF27" s="32">
        <f t="shared" si="19"/>
        <v>1833</v>
      </c>
    </row>
    <row r="28" spans="2:32" ht="23.1" customHeight="1" x14ac:dyDescent="0.25">
      <c r="B28" s="23" t="s">
        <v>55</v>
      </c>
      <c r="C28" s="50">
        <v>33</v>
      </c>
      <c r="D28" s="50">
        <v>26</v>
      </c>
      <c r="E28" s="50">
        <v>4</v>
      </c>
      <c r="F28" s="50">
        <v>7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48</v>
      </c>
      <c r="N28" s="50">
        <v>0</v>
      </c>
      <c r="O28" s="15">
        <f t="shared" si="0"/>
        <v>73</v>
      </c>
      <c r="P28" s="15">
        <f t="shared" si="1"/>
        <v>121</v>
      </c>
      <c r="R28" s="5" t="s">
        <v>17</v>
      </c>
      <c r="S28" s="16">
        <f t="shared" ref="S28:AF28" si="20">SUM(S10:S21)</f>
        <v>1604</v>
      </c>
      <c r="T28" s="16">
        <f t="shared" si="20"/>
        <v>1054</v>
      </c>
      <c r="U28" s="16">
        <f t="shared" si="20"/>
        <v>253</v>
      </c>
      <c r="V28" s="16">
        <f t="shared" si="20"/>
        <v>293</v>
      </c>
      <c r="W28" s="16">
        <f t="shared" si="20"/>
        <v>0</v>
      </c>
      <c r="X28" s="16">
        <f t="shared" si="20"/>
        <v>0</v>
      </c>
      <c r="Y28" s="16">
        <f t="shared" si="20"/>
        <v>91</v>
      </c>
      <c r="Z28" s="16">
        <f t="shared" si="20"/>
        <v>16</v>
      </c>
      <c r="AA28" s="16">
        <f t="shared" si="20"/>
        <v>5</v>
      </c>
      <c r="AB28" s="16">
        <f t="shared" si="20"/>
        <v>0</v>
      </c>
      <c r="AC28" s="16">
        <f t="shared" si="20"/>
        <v>2259</v>
      </c>
      <c r="AD28" s="16">
        <f t="shared" si="20"/>
        <v>0</v>
      </c>
      <c r="AE28" s="32">
        <f t="shared" si="20"/>
        <v>3316</v>
      </c>
      <c r="AF28" s="32">
        <f t="shared" si="20"/>
        <v>5575</v>
      </c>
    </row>
    <row r="29" spans="2:32" ht="23.1" customHeight="1" x14ac:dyDescent="0.25">
      <c r="B29" s="23" t="s">
        <v>56</v>
      </c>
      <c r="C29" s="50">
        <v>38</v>
      </c>
      <c r="D29" s="50">
        <v>30</v>
      </c>
      <c r="E29" s="50">
        <v>12</v>
      </c>
      <c r="F29" s="50">
        <v>11</v>
      </c>
      <c r="G29" s="50">
        <v>0</v>
      </c>
      <c r="H29" s="50">
        <v>0</v>
      </c>
      <c r="I29" s="50">
        <v>3</v>
      </c>
      <c r="J29" s="50">
        <v>2</v>
      </c>
      <c r="K29" s="50">
        <v>0</v>
      </c>
      <c r="L29" s="50">
        <v>0</v>
      </c>
      <c r="M29" s="50">
        <v>46</v>
      </c>
      <c r="N29" s="50">
        <v>0</v>
      </c>
      <c r="O29" s="15">
        <f t="shared" si="0"/>
        <v>96</v>
      </c>
      <c r="P29" s="15">
        <f t="shared" si="1"/>
        <v>142</v>
      </c>
      <c r="R29"/>
      <c r="S29" s="20"/>
      <c r="T29" s="19"/>
    </row>
    <row r="30" spans="2:32" ht="23.1" customHeight="1" x14ac:dyDescent="0.25">
      <c r="B30" s="23" t="s">
        <v>57</v>
      </c>
      <c r="C30" s="50">
        <v>33</v>
      </c>
      <c r="D30" s="50">
        <v>27</v>
      </c>
      <c r="E30" s="50">
        <v>4</v>
      </c>
      <c r="F30" s="50">
        <v>8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48</v>
      </c>
      <c r="N30" s="50">
        <v>0</v>
      </c>
      <c r="O30" s="15">
        <f t="shared" si="0"/>
        <v>75</v>
      </c>
      <c r="P30" s="15">
        <f t="shared" si="1"/>
        <v>123</v>
      </c>
    </row>
    <row r="31" spans="2:32" ht="23.1" customHeight="1" x14ac:dyDescent="0.25">
      <c r="B31" s="24" t="s">
        <v>58</v>
      </c>
      <c r="C31" s="50">
        <v>29</v>
      </c>
      <c r="D31" s="50">
        <v>22</v>
      </c>
      <c r="E31" s="50">
        <v>2</v>
      </c>
      <c r="F31" s="50">
        <v>6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46</v>
      </c>
      <c r="N31" s="50">
        <v>0</v>
      </c>
      <c r="O31" s="15">
        <f t="shared" si="0"/>
        <v>59</v>
      </c>
      <c r="P31" s="15">
        <f t="shared" si="1"/>
        <v>105</v>
      </c>
    </row>
    <row r="32" spans="2:32" ht="23.1" customHeight="1" x14ac:dyDescent="0.25">
      <c r="B32" s="24" t="s">
        <v>59</v>
      </c>
      <c r="C32" s="50">
        <v>39</v>
      </c>
      <c r="D32" s="50">
        <v>28</v>
      </c>
      <c r="E32" s="50">
        <v>3</v>
      </c>
      <c r="F32" s="50">
        <v>9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52</v>
      </c>
      <c r="N32" s="50">
        <v>0</v>
      </c>
      <c r="O32" s="15">
        <f t="shared" si="0"/>
        <v>81</v>
      </c>
      <c r="P32" s="15">
        <f t="shared" si="1"/>
        <v>133</v>
      </c>
    </row>
    <row r="33" spans="2:20" ht="23.1" customHeight="1" x14ac:dyDescent="0.25">
      <c r="B33" s="23" t="s">
        <v>60</v>
      </c>
      <c r="C33" s="50">
        <v>40</v>
      </c>
      <c r="D33" s="50">
        <v>26</v>
      </c>
      <c r="E33" s="50">
        <v>8</v>
      </c>
      <c r="F33" s="50">
        <v>7</v>
      </c>
      <c r="G33" s="50">
        <v>0</v>
      </c>
      <c r="H33" s="50">
        <v>0</v>
      </c>
      <c r="I33" s="50">
        <v>2</v>
      </c>
      <c r="J33" s="50">
        <v>1</v>
      </c>
      <c r="K33" s="50">
        <v>1</v>
      </c>
      <c r="L33" s="50">
        <v>0</v>
      </c>
      <c r="M33" s="50">
        <v>50</v>
      </c>
      <c r="N33" s="50">
        <v>0</v>
      </c>
      <c r="O33" s="15">
        <f t="shared" si="0"/>
        <v>85</v>
      </c>
      <c r="P33" s="15">
        <f t="shared" si="1"/>
        <v>135</v>
      </c>
    </row>
    <row r="34" spans="2:20" ht="23.1" customHeight="1" x14ac:dyDescent="0.25">
      <c r="B34" s="24" t="s">
        <v>61</v>
      </c>
      <c r="C34" s="50">
        <v>36</v>
      </c>
      <c r="D34" s="50">
        <v>37</v>
      </c>
      <c r="E34" s="50">
        <v>6</v>
      </c>
      <c r="F34" s="50">
        <v>4</v>
      </c>
      <c r="G34" s="50">
        <v>0</v>
      </c>
      <c r="H34" s="50">
        <v>0</v>
      </c>
      <c r="I34" s="50">
        <v>1</v>
      </c>
      <c r="J34" s="50">
        <v>0</v>
      </c>
      <c r="K34" s="50">
        <v>1</v>
      </c>
      <c r="L34" s="50">
        <v>0</v>
      </c>
      <c r="M34" s="50">
        <v>53</v>
      </c>
      <c r="N34" s="50">
        <v>0</v>
      </c>
      <c r="O34" s="15">
        <f t="shared" si="0"/>
        <v>85</v>
      </c>
      <c r="P34" s="15">
        <f t="shared" si="1"/>
        <v>138</v>
      </c>
    </row>
    <row r="35" spans="2:20" ht="23.1" customHeight="1" x14ac:dyDescent="0.25">
      <c r="B35" s="24" t="s">
        <v>62</v>
      </c>
      <c r="C35" s="50">
        <v>38</v>
      </c>
      <c r="D35" s="50">
        <v>31</v>
      </c>
      <c r="E35" s="50">
        <v>9</v>
      </c>
      <c r="F35" s="50">
        <v>7</v>
      </c>
      <c r="G35" s="50">
        <v>0</v>
      </c>
      <c r="H35" s="50">
        <v>0</v>
      </c>
      <c r="I35" s="50">
        <v>4</v>
      </c>
      <c r="J35" s="50">
        <v>0</v>
      </c>
      <c r="K35" s="50">
        <v>0</v>
      </c>
      <c r="L35" s="50">
        <v>0</v>
      </c>
      <c r="M35" s="50">
        <v>58</v>
      </c>
      <c r="N35" s="50">
        <v>0</v>
      </c>
      <c r="O35" s="15">
        <f t="shared" si="0"/>
        <v>89</v>
      </c>
      <c r="P35" s="15">
        <f t="shared" si="1"/>
        <v>147</v>
      </c>
    </row>
    <row r="36" spans="2:20" ht="23.1" customHeight="1" x14ac:dyDescent="0.25">
      <c r="B36" s="24" t="s">
        <v>63</v>
      </c>
      <c r="C36" s="50">
        <v>45</v>
      </c>
      <c r="D36" s="50">
        <v>35</v>
      </c>
      <c r="E36" s="50">
        <v>7</v>
      </c>
      <c r="F36" s="50">
        <v>5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55</v>
      </c>
      <c r="N36" s="50">
        <v>0</v>
      </c>
      <c r="O36" s="15">
        <f t="shared" si="0"/>
        <v>94</v>
      </c>
      <c r="P36" s="15">
        <f t="shared" si="1"/>
        <v>149</v>
      </c>
    </row>
    <row r="37" spans="2:20" ht="23.1" customHeight="1" x14ac:dyDescent="0.25">
      <c r="B37" s="23" t="s">
        <v>64</v>
      </c>
      <c r="C37" s="50">
        <v>38</v>
      </c>
      <c r="D37" s="50">
        <v>28</v>
      </c>
      <c r="E37" s="50">
        <v>5</v>
      </c>
      <c r="F37" s="50">
        <v>2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62</v>
      </c>
      <c r="N37" s="50">
        <v>0</v>
      </c>
      <c r="O37" s="15">
        <f t="shared" si="0"/>
        <v>76</v>
      </c>
      <c r="P37" s="15">
        <f t="shared" si="1"/>
        <v>138</v>
      </c>
    </row>
    <row r="38" spans="2:20" ht="23.1" customHeight="1" x14ac:dyDescent="0.25">
      <c r="B38" s="24" t="s">
        <v>65</v>
      </c>
      <c r="C38" s="50">
        <v>63</v>
      </c>
      <c r="D38" s="50">
        <v>45</v>
      </c>
      <c r="E38" s="50">
        <v>7</v>
      </c>
      <c r="F38" s="50">
        <v>8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66</v>
      </c>
      <c r="N38" s="50">
        <v>0</v>
      </c>
      <c r="O38" s="15">
        <f t="shared" si="0"/>
        <v>126</v>
      </c>
      <c r="P38" s="15">
        <f t="shared" si="1"/>
        <v>192</v>
      </c>
    </row>
    <row r="39" spans="2:20" ht="23.1" customHeight="1" x14ac:dyDescent="0.25">
      <c r="B39" s="24" t="s">
        <v>66</v>
      </c>
      <c r="C39" s="50">
        <v>52</v>
      </c>
      <c r="D39" s="50">
        <v>42</v>
      </c>
      <c r="E39" s="50">
        <v>17</v>
      </c>
      <c r="F39" s="50">
        <v>9</v>
      </c>
      <c r="G39" s="50">
        <v>0</v>
      </c>
      <c r="H39" s="50">
        <v>0</v>
      </c>
      <c r="I39" s="50">
        <v>4</v>
      </c>
      <c r="J39" s="50">
        <v>0</v>
      </c>
      <c r="K39" s="50">
        <v>0</v>
      </c>
      <c r="L39" s="50">
        <v>0</v>
      </c>
      <c r="M39" s="50">
        <v>35</v>
      </c>
      <c r="N39" s="50">
        <v>0</v>
      </c>
      <c r="O39" s="15">
        <f t="shared" si="0"/>
        <v>124</v>
      </c>
      <c r="P39" s="15">
        <f t="shared" si="1"/>
        <v>159</v>
      </c>
    </row>
    <row r="40" spans="2:20" ht="23.1" customHeight="1" x14ac:dyDescent="0.25">
      <c r="B40" s="24" t="s">
        <v>67</v>
      </c>
      <c r="C40" s="50">
        <v>47</v>
      </c>
      <c r="D40" s="50">
        <v>29</v>
      </c>
      <c r="E40" s="50">
        <v>11</v>
      </c>
      <c r="F40" s="50">
        <v>6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51</v>
      </c>
      <c r="N40" s="50">
        <v>0</v>
      </c>
      <c r="O40" s="15">
        <f t="shared" si="0"/>
        <v>95</v>
      </c>
      <c r="P40" s="15">
        <f t="shared" si="1"/>
        <v>146</v>
      </c>
    </row>
    <row r="41" spans="2:20" ht="23.1" customHeight="1" x14ac:dyDescent="0.25">
      <c r="B41" s="23" t="s">
        <v>68</v>
      </c>
      <c r="C41" s="50">
        <v>40</v>
      </c>
      <c r="D41" s="50">
        <v>24</v>
      </c>
      <c r="E41" s="50">
        <v>9</v>
      </c>
      <c r="F41" s="50">
        <v>11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52</v>
      </c>
      <c r="N41" s="50">
        <v>0</v>
      </c>
      <c r="O41" s="15">
        <f t="shared" si="0"/>
        <v>84</v>
      </c>
      <c r="P41" s="15">
        <f t="shared" si="1"/>
        <v>136</v>
      </c>
    </row>
    <row r="42" spans="2:20" ht="23.1" customHeight="1" x14ac:dyDescent="0.25">
      <c r="B42" s="24" t="s">
        <v>69</v>
      </c>
      <c r="C42" s="50">
        <v>36</v>
      </c>
      <c r="D42" s="50">
        <v>27</v>
      </c>
      <c r="E42" s="50">
        <v>6</v>
      </c>
      <c r="F42" s="50">
        <v>8</v>
      </c>
      <c r="G42" s="50">
        <v>0</v>
      </c>
      <c r="H42" s="50">
        <v>0</v>
      </c>
      <c r="I42" s="50">
        <v>4</v>
      </c>
      <c r="J42" s="50">
        <v>0</v>
      </c>
      <c r="K42" s="50">
        <v>0</v>
      </c>
      <c r="L42" s="50">
        <v>0</v>
      </c>
      <c r="M42" s="50">
        <v>47</v>
      </c>
      <c r="N42" s="50">
        <v>0</v>
      </c>
      <c r="O42" s="15">
        <f t="shared" si="0"/>
        <v>81</v>
      </c>
      <c r="P42" s="15">
        <f t="shared" si="1"/>
        <v>128</v>
      </c>
    </row>
    <row r="43" spans="2:20" ht="23.1" customHeight="1" x14ac:dyDescent="0.25">
      <c r="B43" s="23" t="s">
        <v>70</v>
      </c>
      <c r="C43" s="50">
        <v>45</v>
      </c>
      <c r="D43" s="50">
        <v>23</v>
      </c>
      <c r="E43" s="50">
        <v>5</v>
      </c>
      <c r="F43" s="50">
        <v>5</v>
      </c>
      <c r="G43" s="50">
        <v>0</v>
      </c>
      <c r="H43" s="50">
        <v>0</v>
      </c>
      <c r="I43" s="50">
        <v>1</v>
      </c>
      <c r="J43" s="50">
        <v>1</v>
      </c>
      <c r="K43" s="50">
        <v>0</v>
      </c>
      <c r="L43" s="50">
        <v>0</v>
      </c>
      <c r="M43" s="50">
        <v>45</v>
      </c>
      <c r="N43" s="50">
        <v>0</v>
      </c>
      <c r="O43" s="15">
        <f t="shared" si="0"/>
        <v>80</v>
      </c>
      <c r="P43" s="15">
        <f t="shared" si="1"/>
        <v>125</v>
      </c>
    </row>
    <row r="44" spans="2:20" ht="23.1" customHeight="1" x14ac:dyDescent="0.25">
      <c r="B44" s="25" t="s">
        <v>71</v>
      </c>
      <c r="C44" s="50">
        <v>39</v>
      </c>
      <c r="D44" s="50">
        <v>32</v>
      </c>
      <c r="E44" s="50">
        <v>8</v>
      </c>
      <c r="F44" s="50">
        <v>10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52</v>
      </c>
      <c r="N44" s="50">
        <v>0</v>
      </c>
      <c r="O44" s="15">
        <f t="shared" si="0"/>
        <v>91</v>
      </c>
      <c r="P44" s="15">
        <f t="shared" si="1"/>
        <v>143</v>
      </c>
    </row>
    <row r="45" spans="2:20" ht="23.1" customHeight="1" x14ac:dyDescent="0.25">
      <c r="B45" s="23" t="s">
        <v>72</v>
      </c>
      <c r="C45" s="50">
        <v>48</v>
      </c>
      <c r="D45" s="50">
        <v>30</v>
      </c>
      <c r="E45" s="50">
        <v>10</v>
      </c>
      <c r="F45" s="50">
        <v>8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58</v>
      </c>
      <c r="N45" s="50">
        <v>0</v>
      </c>
      <c r="O45" s="15">
        <f t="shared" si="0"/>
        <v>96</v>
      </c>
      <c r="P45" s="15">
        <f t="shared" si="1"/>
        <v>154</v>
      </c>
    </row>
    <row r="46" spans="2:20" ht="23.1" customHeight="1" x14ac:dyDescent="0.25">
      <c r="B46" s="24" t="s">
        <v>73</v>
      </c>
      <c r="C46" s="50">
        <v>42</v>
      </c>
      <c r="D46" s="50">
        <v>28</v>
      </c>
      <c r="E46" s="50">
        <v>8</v>
      </c>
      <c r="F46" s="50">
        <v>7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66</v>
      </c>
      <c r="N46" s="50">
        <v>0</v>
      </c>
      <c r="O46" s="15">
        <f t="shared" si="0"/>
        <v>85</v>
      </c>
      <c r="P46" s="15">
        <f t="shared" si="1"/>
        <v>151</v>
      </c>
      <c r="R46" s="8"/>
      <c r="T46"/>
    </row>
    <row r="47" spans="2:20" ht="23.1" customHeight="1" x14ac:dyDescent="0.25">
      <c r="B47" s="24" t="s">
        <v>74</v>
      </c>
      <c r="C47" s="50">
        <v>55</v>
      </c>
      <c r="D47" s="50">
        <v>34</v>
      </c>
      <c r="E47" s="50">
        <v>6</v>
      </c>
      <c r="F47" s="50">
        <v>10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58</v>
      </c>
      <c r="N47" s="50">
        <v>0</v>
      </c>
      <c r="O47" s="15">
        <f t="shared" si="0"/>
        <v>108</v>
      </c>
      <c r="P47" s="15">
        <f t="shared" si="1"/>
        <v>166</v>
      </c>
      <c r="R47" s="8"/>
      <c r="T47"/>
    </row>
    <row r="48" spans="2:20" ht="23.1" customHeight="1" x14ac:dyDescent="0.25">
      <c r="B48" s="24" t="s">
        <v>75</v>
      </c>
      <c r="C48" s="50">
        <v>48</v>
      </c>
      <c r="D48" s="50">
        <v>30</v>
      </c>
      <c r="E48" s="50">
        <v>5</v>
      </c>
      <c r="F48" s="50">
        <v>8</v>
      </c>
      <c r="G48" s="50">
        <v>0</v>
      </c>
      <c r="H48" s="50">
        <v>0</v>
      </c>
      <c r="I48" s="50">
        <v>2</v>
      </c>
      <c r="J48" s="50">
        <v>1</v>
      </c>
      <c r="K48" s="50">
        <v>0</v>
      </c>
      <c r="L48" s="50">
        <v>0</v>
      </c>
      <c r="M48" s="50">
        <v>55</v>
      </c>
      <c r="N48" s="50">
        <v>0</v>
      </c>
      <c r="O48" s="15">
        <f t="shared" si="0"/>
        <v>94</v>
      </c>
      <c r="P48" s="15">
        <f t="shared" si="1"/>
        <v>149</v>
      </c>
      <c r="R48" s="8"/>
      <c r="T48"/>
    </row>
    <row r="49" spans="2:20" ht="23.1" customHeight="1" x14ac:dyDescent="0.25">
      <c r="B49" s="23" t="s">
        <v>76</v>
      </c>
      <c r="C49" s="50">
        <v>43</v>
      </c>
      <c r="D49" s="50">
        <v>28</v>
      </c>
      <c r="E49" s="50">
        <v>3</v>
      </c>
      <c r="F49" s="50">
        <v>6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62</v>
      </c>
      <c r="N49" s="50">
        <v>0</v>
      </c>
      <c r="O49" s="15">
        <f t="shared" si="0"/>
        <v>80</v>
      </c>
      <c r="P49" s="15">
        <f t="shared" si="1"/>
        <v>142</v>
      </c>
      <c r="R49" s="8"/>
      <c r="T49"/>
    </row>
    <row r="50" spans="2:20" ht="23.1" customHeight="1" x14ac:dyDescent="0.25">
      <c r="B50" s="24" t="s">
        <v>77</v>
      </c>
      <c r="C50" s="50">
        <v>48</v>
      </c>
      <c r="D50" s="50">
        <v>28</v>
      </c>
      <c r="E50" s="50">
        <v>7</v>
      </c>
      <c r="F50" s="50">
        <v>8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57</v>
      </c>
      <c r="N50" s="50">
        <v>0</v>
      </c>
      <c r="O50" s="15">
        <f t="shared" si="0"/>
        <v>93</v>
      </c>
      <c r="P50" s="15">
        <f t="shared" si="1"/>
        <v>150</v>
      </c>
      <c r="R50" s="8"/>
      <c r="T50"/>
    </row>
    <row r="51" spans="2:20" ht="23.1" customHeight="1" x14ac:dyDescent="0.25">
      <c r="B51" s="24" t="s">
        <v>78</v>
      </c>
      <c r="C51" s="50">
        <v>35</v>
      </c>
      <c r="D51" s="50">
        <v>20</v>
      </c>
      <c r="E51" s="50">
        <v>4</v>
      </c>
      <c r="F51" s="50">
        <v>6</v>
      </c>
      <c r="G51" s="50">
        <v>0</v>
      </c>
      <c r="H51" s="50">
        <v>0</v>
      </c>
      <c r="I51" s="50">
        <v>3</v>
      </c>
      <c r="J51" s="50">
        <v>2</v>
      </c>
      <c r="K51" s="50">
        <v>0</v>
      </c>
      <c r="L51" s="50">
        <v>0</v>
      </c>
      <c r="M51" s="50">
        <v>52</v>
      </c>
      <c r="N51" s="50">
        <v>0</v>
      </c>
      <c r="O51" s="15">
        <f t="shared" si="0"/>
        <v>70</v>
      </c>
      <c r="P51" s="15">
        <f t="shared" si="1"/>
        <v>122</v>
      </c>
      <c r="R51" s="8"/>
      <c r="T51"/>
    </row>
    <row r="52" spans="2:20" ht="23.1" customHeight="1" x14ac:dyDescent="0.25">
      <c r="B52" s="24" t="s">
        <v>79</v>
      </c>
      <c r="C52" s="50">
        <v>34</v>
      </c>
      <c r="D52" s="50">
        <v>21</v>
      </c>
      <c r="E52" s="50">
        <v>7</v>
      </c>
      <c r="F52" s="50">
        <v>5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0</v>
      </c>
      <c r="M52" s="50">
        <v>58</v>
      </c>
      <c r="N52" s="50">
        <v>0</v>
      </c>
      <c r="O52" s="15">
        <f t="shared" si="0"/>
        <v>68</v>
      </c>
      <c r="P52" s="15">
        <f t="shared" si="1"/>
        <v>126</v>
      </c>
      <c r="R52" s="8"/>
      <c r="T52"/>
    </row>
    <row r="53" spans="2:20" ht="23.1" customHeight="1" x14ac:dyDescent="0.25">
      <c r="B53" s="23" t="s">
        <v>80</v>
      </c>
      <c r="C53" s="50">
        <v>44</v>
      </c>
      <c r="D53" s="50">
        <v>19</v>
      </c>
      <c r="E53" s="50">
        <v>11</v>
      </c>
      <c r="F53" s="50">
        <v>13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67</v>
      </c>
      <c r="N53" s="50">
        <v>0</v>
      </c>
      <c r="O53" s="15">
        <f t="shared" si="0"/>
        <v>88</v>
      </c>
      <c r="P53" s="15">
        <f t="shared" si="1"/>
        <v>155</v>
      </c>
      <c r="R53" s="8"/>
      <c r="T53"/>
    </row>
    <row r="54" spans="2:20" ht="23.1" customHeight="1" x14ac:dyDescent="0.25">
      <c r="B54" s="23" t="s">
        <v>81</v>
      </c>
      <c r="C54" s="50">
        <v>46</v>
      </c>
      <c r="D54" s="50">
        <v>28</v>
      </c>
      <c r="E54" s="50">
        <v>7</v>
      </c>
      <c r="F54" s="50">
        <v>3</v>
      </c>
      <c r="G54" s="50">
        <v>0</v>
      </c>
      <c r="H54" s="50">
        <v>0</v>
      </c>
      <c r="I54" s="50">
        <v>2</v>
      </c>
      <c r="J54" s="50">
        <v>1</v>
      </c>
      <c r="K54" s="50">
        <v>0</v>
      </c>
      <c r="L54" s="50">
        <v>0</v>
      </c>
      <c r="M54" s="50">
        <v>64</v>
      </c>
      <c r="N54" s="50">
        <v>0</v>
      </c>
      <c r="O54" s="15">
        <f t="shared" si="0"/>
        <v>87</v>
      </c>
      <c r="P54" s="15">
        <f t="shared" si="1"/>
        <v>151</v>
      </c>
      <c r="R54" s="8"/>
      <c r="T54"/>
    </row>
    <row r="55" spans="2:20" ht="23.1" customHeight="1" x14ac:dyDescent="0.25">
      <c r="B55" s="23" t="s">
        <v>82</v>
      </c>
      <c r="C55" s="50">
        <v>38</v>
      </c>
      <c r="D55" s="50">
        <v>32</v>
      </c>
      <c r="E55" s="50">
        <v>5</v>
      </c>
      <c r="F55" s="50">
        <v>8</v>
      </c>
      <c r="G55" s="50">
        <v>0</v>
      </c>
      <c r="H55" s="50">
        <v>0</v>
      </c>
      <c r="I55" s="50">
        <v>6</v>
      </c>
      <c r="J55" s="50">
        <v>0</v>
      </c>
      <c r="K55" s="50">
        <v>0</v>
      </c>
      <c r="L55" s="50">
        <v>0</v>
      </c>
      <c r="M55" s="50">
        <v>58</v>
      </c>
      <c r="N55" s="50">
        <v>0</v>
      </c>
      <c r="O55" s="15">
        <f t="shared" si="0"/>
        <v>89</v>
      </c>
      <c r="P55" s="15">
        <f t="shared" si="1"/>
        <v>147</v>
      </c>
      <c r="R55" s="8"/>
      <c r="T55"/>
    </row>
    <row r="56" spans="2:20" ht="23.1" customHeight="1" x14ac:dyDescent="0.25">
      <c r="B56" s="23" t="s">
        <v>83</v>
      </c>
      <c r="C56" s="50">
        <v>60</v>
      </c>
      <c r="D56" s="50">
        <v>36</v>
      </c>
      <c r="E56" s="50">
        <v>6</v>
      </c>
      <c r="F56" s="50">
        <v>7</v>
      </c>
      <c r="G56" s="50">
        <v>0</v>
      </c>
      <c r="H56" s="50">
        <v>0</v>
      </c>
      <c r="I56" s="50">
        <v>3</v>
      </c>
      <c r="J56" s="50">
        <v>2</v>
      </c>
      <c r="K56" s="50">
        <v>0</v>
      </c>
      <c r="L56" s="50">
        <v>0</v>
      </c>
      <c r="M56" s="50">
        <v>64</v>
      </c>
      <c r="N56" s="50">
        <v>0</v>
      </c>
      <c r="O56" s="15">
        <f t="shared" si="0"/>
        <v>114</v>
      </c>
      <c r="P56" s="15">
        <f t="shared" si="1"/>
        <v>178</v>
      </c>
      <c r="R56" s="8"/>
      <c r="T56"/>
    </row>
    <row r="57" spans="2:20" ht="23.1" customHeight="1" x14ac:dyDescent="0.25">
      <c r="B57" s="23" t="s">
        <v>84</v>
      </c>
      <c r="C57" s="50">
        <v>67</v>
      </c>
      <c r="D57" s="50">
        <v>42</v>
      </c>
      <c r="E57" s="50">
        <v>12</v>
      </c>
      <c r="F57" s="50">
        <v>5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69</v>
      </c>
      <c r="N57" s="50">
        <v>0</v>
      </c>
      <c r="O57" s="15">
        <f t="shared" si="0"/>
        <v>127</v>
      </c>
      <c r="P57" s="15">
        <f t="shared" si="1"/>
        <v>196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1604</v>
      </c>
      <c r="D58" s="16">
        <f t="shared" si="21"/>
        <v>1054</v>
      </c>
      <c r="E58" s="16">
        <f t="shared" si="21"/>
        <v>253</v>
      </c>
      <c r="F58" s="16">
        <f t="shared" si="21"/>
        <v>293</v>
      </c>
      <c r="G58" s="16">
        <f t="shared" si="21"/>
        <v>0</v>
      </c>
      <c r="H58" s="16">
        <f t="shared" si="21"/>
        <v>0</v>
      </c>
      <c r="I58" s="16">
        <f t="shared" si="21"/>
        <v>91</v>
      </c>
      <c r="J58" s="16">
        <f t="shared" si="21"/>
        <v>16</v>
      </c>
      <c r="K58" s="16">
        <f t="shared" si="21"/>
        <v>5</v>
      </c>
      <c r="L58" s="16">
        <f t="shared" si="21"/>
        <v>0</v>
      </c>
      <c r="M58" s="16">
        <f t="shared" si="21"/>
        <v>2259</v>
      </c>
      <c r="N58" s="16">
        <f t="shared" si="21"/>
        <v>0</v>
      </c>
      <c r="O58" s="16">
        <f t="shared" si="21"/>
        <v>3316</v>
      </c>
      <c r="P58" s="16">
        <f t="shared" si="21"/>
        <v>5575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0.28771300448430492</v>
      </c>
      <c r="D59" s="43">
        <f t="shared" si="22"/>
        <v>0.18905829596412557</v>
      </c>
      <c r="E59" s="43">
        <f t="shared" si="22"/>
        <v>4.5381165919282512E-2</v>
      </c>
      <c r="F59" s="43">
        <f t="shared" si="22"/>
        <v>5.255605381165919E-2</v>
      </c>
      <c r="G59" s="43">
        <f t="shared" si="22"/>
        <v>0</v>
      </c>
      <c r="H59" s="43">
        <f t="shared" si="22"/>
        <v>0</v>
      </c>
      <c r="I59" s="43">
        <f t="shared" si="22"/>
        <v>1.632286995515695E-2</v>
      </c>
      <c r="J59" s="43">
        <f t="shared" si="22"/>
        <v>2.8699551569506725E-3</v>
      </c>
      <c r="K59" s="43">
        <f t="shared" si="22"/>
        <v>8.9686098654708521E-4</v>
      </c>
      <c r="L59" s="43">
        <f t="shared" si="22"/>
        <v>0</v>
      </c>
      <c r="M59" s="43">
        <f t="shared" si="22"/>
        <v>0.40520179372197307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0.48371531966224368</v>
      </c>
      <c r="D60" s="44">
        <f t="shared" ref="D60:N60" si="23">D58/$O$58</f>
        <v>0.3178528347406514</v>
      </c>
      <c r="E60" s="44">
        <f t="shared" si="23"/>
        <v>7.6296743063932443E-2</v>
      </c>
      <c r="F60" s="44">
        <f t="shared" si="23"/>
        <v>8.8359469240048255E-2</v>
      </c>
      <c r="G60" s="44">
        <f t="shared" si="23"/>
        <v>0</v>
      </c>
      <c r="H60" s="44">
        <f t="shared" si="23"/>
        <v>0</v>
      </c>
      <c r="I60" s="44">
        <f t="shared" si="23"/>
        <v>2.7442702050663449E-2</v>
      </c>
      <c r="J60" s="44">
        <f t="shared" si="23"/>
        <v>4.8250904704463205E-3</v>
      </c>
      <c r="K60" s="44">
        <f t="shared" si="23"/>
        <v>1.5078407720144752E-3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G86" zoomScale="60" workbookViewId="0">
      <selection activeCell="AD57" sqref="AD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'04.08 Bukoto-Kisasi'!C3:G3</f>
        <v>MCC - C1 - STN32 - BUKOTO KISASI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162</v>
      </c>
      <c r="E5" s="66"/>
      <c r="F5" s="41" t="s">
        <v>1</v>
      </c>
      <c r="G5" s="63" t="str">
        <f>'04.08 Kisasi-Bukoto'!G5:H5</f>
        <v>KISASI</v>
      </c>
      <c r="H5" s="64"/>
      <c r="I5" s="14"/>
      <c r="J5" s="2" t="s">
        <v>5</v>
      </c>
      <c r="K5" s="63" t="str">
        <f>'04.08 Kisasi-Bukoto'!K5:L5</f>
        <v>RWAMBITITO J./NICHOL A./GEORGE W.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'04.08 Kisasi-Bukoto'!D6:E6</f>
        <v>KISASI</v>
      </c>
      <c r="E6" s="64"/>
      <c r="F6" s="2" t="s">
        <v>2</v>
      </c>
      <c r="G6" s="63" t="str">
        <f>'04.08 Kisasi-Bukoto'!G6:H6</f>
        <v>BUKOTO</v>
      </c>
      <c r="H6" s="64"/>
      <c r="J6" s="2" t="s">
        <v>21</v>
      </c>
      <c r="K6" s="63" t="str">
        <f>'04.08 Kisasi-Bukoto'!K6:L6</f>
        <v>SALIMA L.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AVERAGE('29.07 Kisasi-Bukoto'!C10,'30.07 Kisasi-Bukoto'!C10,'31.07 Kisasi-Bukoto'!C10,'02.08 Kisasi-Bukoto'!C10,'01.08 Kisasi-Bukoto'!C10,'03.08 Kisasi-Bukoto'!C10,'04.08 Kisasi-Bukoto'!C10)</f>
        <v>61.285714285714285</v>
      </c>
      <c r="D10" s="49">
        <f>AVERAGE('29.07 Kisasi-Bukoto'!D10,'30.07 Kisasi-Bukoto'!D10,'31.07 Kisasi-Bukoto'!D10,'02.08 Kisasi-Bukoto'!D10,'01.08 Kisasi-Bukoto'!D10,'03.08 Kisasi-Bukoto'!D10,'04.08 Kisasi-Bukoto'!D10)</f>
        <v>27.571428571428573</v>
      </c>
      <c r="E10" s="49">
        <f>AVERAGE('29.07 Kisasi-Bukoto'!E10,'30.07 Kisasi-Bukoto'!E10,'31.07 Kisasi-Bukoto'!E10,'02.08 Kisasi-Bukoto'!E10,'01.08 Kisasi-Bukoto'!E10,'03.08 Kisasi-Bukoto'!E10,'04.08 Kisasi-Bukoto'!E10)</f>
        <v>2.1428571428571428</v>
      </c>
      <c r="F10" s="49">
        <f>AVERAGE('29.07 Kisasi-Bukoto'!F10,'30.07 Kisasi-Bukoto'!F10,'31.07 Kisasi-Bukoto'!F10,'02.08 Kisasi-Bukoto'!F10,'01.08 Kisasi-Bukoto'!F10,'03.08 Kisasi-Bukoto'!F10,'04.08 Kisasi-Bukoto'!F10)</f>
        <v>14.142857142857142</v>
      </c>
      <c r="G10" s="49">
        <f>AVERAGE('29.07 Kisasi-Bukoto'!G10,'30.07 Kisasi-Bukoto'!G10,'31.07 Kisasi-Bukoto'!G10,'02.08 Kisasi-Bukoto'!G10,'01.08 Kisasi-Bukoto'!G10,'03.08 Kisasi-Bukoto'!G10,'04.08 Kisasi-Bukoto'!G10)</f>
        <v>0.7142857142857143</v>
      </c>
      <c r="H10" s="49">
        <f>AVERAGE('29.07 Kisasi-Bukoto'!H10,'30.07 Kisasi-Bukoto'!H10,'31.07 Kisasi-Bukoto'!H10,'02.08 Kisasi-Bukoto'!H10,'01.08 Kisasi-Bukoto'!H10,'03.08 Kisasi-Bukoto'!H10,'04.08 Kisasi-Bukoto'!H10)</f>
        <v>0</v>
      </c>
      <c r="I10" s="49">
        <f>AVERAGE('29.07 Kisasi-Bukoto'!I10,'30.07 Kisasi-Bukoto'!I10,'31.07 Kisasi-Bukoto'!I10,'02.08 Kisasi-Bukoto'!I10,'01.08 Kisasi-Bukoto'!I10,'03.08 Kisasi-Bukoto'!I10,'04.08 Kisasi-Bukoto'!I10)</f>
        <v>2.5714285714285716</v>
      </c>
      <c r="J10" s="49">
        <f>AVERAGE('29.07 Kisasi-Bukoto'!J10,'30.07 Kisasi-Bukoto'!J10,'31.07 Kisasi-Bukoto'!J10,'02.08 Kisasi-Bukoto'!J10,'01.08 Kisasi-Bukoto'!J10,'03.08 Kisasi-Bukoto'!J10,'04.08 Kisasi-Bukoto'!J10)</f>
        <v>0.2857142857142857</v>
      </c>
      <c r="K10" s="49">
        <f>AVERAGE('29.07 Kisasi-Bukoto'!K10,'30.07 Kisasi-Bukoto'!K10,'31.07 Kisasi-Bukoto'!K10,'02.08 Kisasi-Bukoto'!K10,'01.08 Kisasi-Bukoto'!K10,'03.08 Kisasi-Bukoto'!K10,'04.08 Kisasi-Bukoto'!K10)</f>
        <v>0</v>
      </c>
      <c r="L10" s="49">
        <f>AVERAGE('29.07 Kisasi-Bukoto'!L10,'30.07 Kisasi-Bukoto'!L10,'31.07 Kisasi-Bukoto'!L10,'02.08 Kisasi-Bukoto'!L10,'01.08 Kisasi-Bukoto'!L10,'03.08 Kisasi-Bukoto'!L10,'04.08 Kisasi-Bukoto'!L10)</f>
        <v>0</v>
      </c>
      <c r="M10" s="49">
        <f>AVERAGE('29.07 Kisasi-Bukoto'!M10,'30.07 Kisasi-Bukoto'!M10,'31.07 Kisasi-Bukoto'!M10,'02.08 Kisasi-Bukoto'!M10,'01.08 Kisasi-Bukoto'!M10,'03.08 Kisasi-Bukoto'!M10,'04.08 Kisasi-Bukoto'!M10)</f>
        <v>88</v>
      </c>
      <c r="N10" s="49">
        <f>AVERAGE('29.07 Kisasi-Bukoto'!N10,'30.07 Kisasi-Bukoto'!N10,'31.07 Kisasi-Bukoto'!N10,'02.08 Kisasi-Bukoto'!N10,'01.08 Kisasi-Bukoto'!N10,'03.08 Kisasi-Bukoto'!N10,'04.08 Kisasi-Bukoto'!N10)</f>
        <v>0</v>
      </c>
      <c r="O10" s="15">
        <f t="shared" ref="O10:O73" si="0">SUM(C10:L10,N10)</f>
        <v>108.71428571428571</v>
      </c>
      <c r="P10" s="15">
        <f t="shared" ref="P10:P73" si="1">SUM(C10:N10)</f>
        <v>196.71428571428572</v>
      </c>
      <c r="R10" s="1" t="s">
        <v>6</v>
      </c>
      <c r="S10" s="17">
        <f t="shared" ref="S10:AF10" si="2">SUM(C10:C13)</f>
        <v>254.85714285714283</v>
      </c>
      <c r="T10" s="17">
        <f t="shared" si="2"/>
        <v>123.42857142857143</v>
      </c>
      <c r="U10" s="17">
        <f t="shared" si="2"/>
        <v>9.2857142857142847</v>
      </c>
      <c r="V10" s="17">
        <f t="shared" si="2"/>
        <v>50.285714285714285</v>
      </c>
      <c r="W10" s="17">
        <f t="shared" si="2"/>
        <v>0.7142857142857143</v>
      </c>
      <c r="X10" s="17">
        <f t="shared" si="2"/>
        <v>0</v>
      </c>
      <c r="Y10" s="17">
        <f t="shared" si="2"/>
        <v>11</v>
      </c>
      <c r="Z10" s="17">
        <f t="shared" si="2"/>
        <v>1</v>
      </c>
      <c r="AA10" s="17">
        <f t="shared" si="2"/>
        <v>0.14285714285714285</v>
      </c>
      <c r="AB10" s="17">
        <f t="shared" si="2"/>
        <v>0</v>
      </c>
      <c r="AC10" s="17">
        <f t="shared" si="2"/>
        <v>354</v>
      </c>
      <c r="AD10" s="17">
        <f t="shared" si="2"/>
        <v>0</v>
      </c>
      <c r="AE10" s="31">
        <f t="shared" si="2"/>
        <v>450.71428571428578</v>
      </c>
      <c r="AF10" s="31">
        <f t="shared" si="2"/>
        <v>804.71428571428578</v>
      </c>
    </row>
    <row r="11" spans="2:32" s="6" customFormat="1" ht="23.1" customHeight="1" x14ac:dyDescent="0.25">
      <c r="B11" s="23" t="s">
        <v>38</v>
      </c>
      <c r="C11" s="49">
        <f>AVERAGE('29.07 Kisasi-Bukoto'!C11,'30.07 Kisasi-Bukoto'!C11,'31.07 Kisasi-Bukoto'!C11,'02.08 Kisasi-Bukoto'!C11,'01.08 Kisasi-Bukoto'!C11,'03.08 Kisasi-Bukoto'!C11,'04.08 Kisasi-Bukoto'!C11)</f>
        <v>58.142857142857146</v>
      </c>
      <c r="D11" s="49">
        <f>AVERAGE('29.07 Kisasi-Bukoto'!D11,'30.07 Kisasi-Bukoto'!D11,'31.07 Kisasi-Bukoto'!D11,'02.08 Kisasi-Bukoto'!D11,'01.08 Kisasi-Bukoto'!D11,'03.08 Kisasi-Bukoto'!D11,'04.08 Kisasi-Bukoto'!D11)</f>
        <v>30.285714285714285</v>
      </c>
      <c r="E11" s="49">
        <f>AVERAGE('29.07 Kisasi-Bukoto'!E11,'30.07 Kisasi-Bukoto'!E11,'31.07 Kisasi-Bukoto'!E11,'02.08 Kisasi-Bukoto'!E11,'01.08 Kisasi-Bukoto'!E11,'03.08 Kisasi-Bukoto'!E11,'04.08 Kisasi-Bukoto'!E11)</f>
        <v>2.8571428571428572</v>
      </c>
      <c r="F11" s="49">
        <f>AVERAGE('29.07 Kisasi-Bukoto'!F11,'30.07 Kisasi-Bukoto'!F11,'31.07 Kisasi-Bukoto'!F11,'02.08 Kisasi-Bukoto'!F11,'01.08 Kisasi-Bukoto'!F11,'03.08 Kisasi-Bukoto'!F11,'04.08 Kisasi-Bukoto'!F11)</f>
        <v>12.571428571428571</v>
      </c>
      <c r="G11" s="49">
        <f>AVERAGE('29.07 Kisasi-Bukoto'!G11,'30.07 Kisasi-Bukoto'!G11,'31.07 Kisasi-Bukoto'!G11,'02.08 Kisasi-Bukoto'!G11,'01.08 Kisasi-Bukoto'!G11,'03.08 Kisasi-Bukoto'!G11,'04.08 Kisasi-Bukoto'!G11)</f>
        <v>0</v>
      </c>
      <c r="H11" s="49">
        <f>AVERAGE('29.07 Kisasi-Bukoto'!H11,'30.07 Kisasi-Bukoto'!H11,'31.07 Kisasi-Bukoto'!H11,'02.08 Kisasi-Bukoto'!H11,'01.08 Kisasi-Bukoto'!H11,'03.08 Kisasi-Bukoto'!H11,'04.08 Kisasi-Bukoto'!H11)</f>
        <v>0</v>
      </c>
      <c r="I11" s="49">
        <f>AVERAGE('29.07 Kisasi-Bukoto'!I11,'30.07 Kisasi-Bukoto'!I11,'31.07 Kisasi-Bukoto'!I11,'02.08 Kisasi-Bukoto'!I11,'01.08 Kisasi-Bukoto'!I11,'03.08 Kisasi-Bukoto'!I11,'04.08 Kisasi-Bukoto'!I11)</f>
        <v>2.7142857142857144</v>
      </c>
      <c r="J11" s="49">
        <f>AVERAGE('29.07 Kisasi-Bukoto'!J11,'30.07 Kisasi-Bukoto'!J11,'31.07 Kisasi-Bukoto'!J11,'02.08 Kisasi-Bukoto'!J11,'01.08 Kisasi-Bukoto'!J11,'03.08 Kisasi-Bukoto'!J11,'04.08 Kisasi-Bukoto'!J11)</f>
        <v>0</v>
      </c>
      <c r="K11" s="49">
        <f>AVERAGE('29.07 Kisasi-Bukoto'!K11,'30.07 Kisasi-Bukoto'!K11,'31.07 Kisasi-Bukoto'!K11,'02.08 Kisasi-Bukoto'!K11,'01.08 Kisasi-Bukoto'!K11,'03.08 Kisasi-Bukoto'!K11,'04.08 Kisasi-Bukoto'!K11)</f>
        <v>0</v>
      </c>
      <c r="L11" s="49">
        <f>AVERAGE('29.07 Kisasi-Bukoto'!L11,'30.07 Kisasi-Bukoto'!L11,'31.07 Kisasi-Bukoto'!L11,'02.08 Kisasi-Bukoto'!L11,'01.08 Kisasi-Bukoto'!L11,'03.08 Kisasi-Bukoto'!L11,'04.08 Kisasi-Bukoto'!L11)</f>
        <v>0</v>
      </c>
      <c r="M11" s="49">
        <f>AVERAGE('29.07 Kisasi-Bukoto'!M11,'30.07 Kisasi-Bukoto'!M11,'31.07 Kisasi-Bukoto'!M11,'02.08 Kisasi-Bukoto'!M11,'01.08 Kisasi-Bukoto'!M11,'03.08 Kisasi-Bukoto'!M11,'04.08 Kisasi-Bukoto'!M11)</f>
        <v>85.857142857142861</v>
      </c>
      <c r="N11" s="49">
        <f>AVERAGE('29.07 Kisasi-Bukoto'!N11,'30.07 Kisasi-Bukoto'!N11,'31.07 Kisasi-Bukoto'!N11,'02.08 Kisasi-Bukoto'!N11,'01.08 Kisasi-Bukoto'!N11,'03.08 Kisasi-Bukoto'!N11,'04.08 Kisasi-Bukoto'!N11)</f>
        <v>0</v>
      </c>
      <c r="O11" s="15">
        <f t="shared" si="0"/>
        <v>106.57142857142857</v>
      </c>
      <c r="P11" s="15">
        <f t="shared" si="1"/>
        <v>192.42857142857144</v>
      </c>
      <c r="R11" s="1" t="s">
        <v>7</v>
      </c>
      <c r="S11" s="17">
        <f t="shared" ref="S11:AF11" si="3">SUM(C14:C17)</f>
        <v>228.14285714285717</v>
      </c>
      <c r="T11" s="17">
        <f t="shared" si="3"/>
        <v>128.42857142857144</v>
      </c>
      <c r="U11" s="17">
        <f t="shared" si="3"/>
        <v>7.8571428571428577</v>
      </c>
      <c r="V11" s="17">
        <f t="shared" si="3"/>
        <v>46.857142857142861</v>
      </c>
      <c r="W11" s="17">
        <f t="shared" si="3"/>
        <v>0.14285714285714285</v>
      </c>
      <c r="X11" s="17">
        <f t="shared" si="3"/>
        <v>0</v>
      </c>
      <c r="Y11" s="17">
        <f t="shared" si="3"/>
        <v>12.714285714285715</v>
      </c>
      <c r="Z11" s="17">
        <f t="shared" si="3"/>
        <v>0.8571428571428571</v>
      </c>
      <c r="AA11" s="17">
        <f t="shared" si="3"/>
        <v>0</v>
      </c>
      <c r="AB11" s="17">
        <f t="shared" si="3"/>
        <v>0</v>
      </c>
      <c r="AC11" s="17">
        <f t="shared" si="3"/>
        <v>357.14285714285711</v>
      </c>
      <c r="AD11" s="17">
        <f t="shared" si="3"/>
        <v>0</v>
      </c>
      <c r="AE11" s="31">
        <f t="shared" si="3"/>
        <v>424.99999999999994</v>
      </c>
      <c r="AF11" s="31">
        <f t="shared" si="3"/>
        <v>782.14285714285711</v>
      </c>
    </row>
    <row r="12" spans="2:32" ht="23.1" customHeight="1" x14ac:dyDescent="0.25">
      <c r="B12" s="23" t="s">
        <v>39</v>
      </c>
      <c r="C12" s="49">
        <f>AVERAGE('29.07 Kisasi-Bukoto'!C12,'30.07 Kisasi-Bukoto'!C12,'31.07 Kisasi-Bukoto'!C12,'02.08 Kisasi-Bukoto'!C12,'01.08 Kisasi-Bukoto'!C12,'03.08 Kisasi-Bukoto'!C12,'04.08 Kisasi-Bukoto'!C12)</f>
        <v>62.857142857142854</v>
      </c>
      <c r="D12" s="49">
        <f>AVERAGE('29.07 Kisasi-Bukoto'!D12,'30.07 Kisasi-Bukoto'!D12,'31.07 Kisasi-Bukoto'!D12,'02.08 Kisasi-Bukoto'!D12,'01.08 Kisasi-Bukoto'!D12,'03.08 Kisasi-Bukoto'!D12,'04.08 Kisasi-Bukoto'!D12)</f>
        <v>28.571428571428573</v>
      </c>
      <c r="E12" s="49">
        <f>AVERAGE('29.07 Kisasi-Bukoto'!E12,'30.07 Kisasi-Bukoto'!E12,'31.07 Kisasi-Bukoto'!E12,'02.08 Kisasi-Bukoto'!E12,'01.08 Kisasi-Bukoto'!E12,'03.08 Kisasi-Bukoto'!E12,'04.08 Kisasi-Bukoto'!E12)</f>
        <v>2.2857142857142856</v>
      </c>
      <c r="F12" s="49">
        <f>AVERAGE('29.07 Kisasi-Bukoto'!F12,'30.07 Kisasi-Bukoto'!F12,'31.07 Kisasi-Bukoto'!F12,'02.08 Kisasi-Bukoto'!F12,'01.08 Kisasi-Bukoto'!F12,'03.08 Kisasi-Bukoto'!F12,'04.08 Kisasi-Bukoto'!F12)</f>
        <v>9.2857142857142865</v>
      </c>
      <c r="G12" s="49">
        <f>AVERAGE('29.07 Kisasi-Bukoto'!G12,'30.07 Kisasi-Bukoto'!G12,'31.07 Kisasi-Bukoto'!G12,'02.08 Kisasi-Bukoto'!G12,'01.08 Kisasi-Bukoto'!G12,'03.08 Kisasi-Bukoto'!G12,'04.08 Kisasi-Bukoto'!G12)</f>
        <v>0</v>
      </c>
      <c r="H12" s="49">
        <f>AVERAGE('29.07 Kisasi-Bukoto'!H12,'30.07 Kisasi-Bukoto'!H12,'31.07 Kisasi-Bukoto'!H12,'02.08 Kisasi-Bukoto'!H12,'01.08 Kisasi-Bukoto'!H12,'03.08 Kisasi-Bukoto'!H12,'04.08 Kisasi-Bukoto'!H12)</f>
        <v>0</v>
      </c>
      <c r="I12" s="49">
        <f>AVERAGE('29.07 Kisasi-Bukoto'!I12,'30.07 Kisasi-Bukoto'!I12,'31.07 Kisasi-Bukoto'!I12,'02.08 Kisasi-Bukoto'!I12,'01.08 Kisasi-Bukoto'!I12,'03.08 Kisasi-Bukoto'!I12,'04.08 Kisasi-Bukoto'!I12)</f>
        <v>3.1428571428571428</v>
      </c>
      <c r="J12" s="49">
        <f>AVERAGE('29.07 Kisasi-Bukoto'!J12,'30.07 Kisasi-Bukoto'!J12,'31.07 Kisasi-Bukoto'!J12,'02.08 Kisasi-Bukoto'!J12,'01.08 Kisasi-Bukoto'!J12,'03.08 Kisasi-Bukoto'!J12,'04.08 Kisasi-Bukoto'!J12)</f>
        <v>0.14285714285714285</v>
      </c>
      <c r="K12" s="49">
        <f>AVERAGE('29.07 Kisasi-Bukoto'!K12,'30.07 Kisasi-Bukoto'!K12,'31.07 Kisasi-Bukoto'!K12,'02.08 Kisasi-Bukoto'!K12,'01.08 Kisasi-Bukoto'!K12,'03.08 Kisasi-Bukoto'!K12,'04.08 Kisasi-Bukoto'!K12)</f>
        <v>0.14285714285714285</v>
      </c>
      <c r="L12" s="49">
        <f>AVERAGE('29.07 Kisasi-Bukoto'!L12,'30.07 Kisasi-Bukoto'!L12,'31.07 Kisasi-Bukoto'!L12,'02.08 Kisasi-Bukoto'!L12,'01.08 Kisasi-Bukoto'!L12,'03.08 Kisasi-Bukoto'!L12,'04.08 Kisasi-Bukoto'!L12)</f>
        <v>0</v>
      </c>
      <c r="M12" s="49">
        <f>AVERAGE('29.07 Kisasi-Bukoto'!M12,'30.07 Kisasi-Bukoto'!M12,'31.07 Kisasi-Bukoto'!M12,'02.08 Kisasi-Bukoto'!M12,'01.08 Kisasi-Bukoto'!M12,'03.08 Kisasi-Bukoto'!M12,'04.08 Kisasi-Bukoto'!M12)</f>
        <v>82.428571428571431</v>
      </c>
      <c r="N12" s="49">
        <f>AVERAGE('29.07 Kisasi-Bukoto'!N12,'30.07 Kisasi-Bukoto'!N12,'31.07 Kisasi-Bukoto'!N12,'02.08 Kisasi-Bukoto'!N12,'01.08 Kisasi-Bukoto'!N12,'03.08 Kisasi-Bukoto'!N12,'04.08 Kisasi-Bukoto'!N12)</f>
        <v>0</v>
      </c>
      <c r="O12" s="15">
        <f t="shared" si="0"/>
        <v>106.42857142857143</v>
      </c>
      <c r="P12" s="15">
        <f t="shared" si="1"/>
        <v>188.85714285714286</v>
      </c>
      <c r="R12" s="1" t="s">
        <v>8</v>
      </c>
      <c r="S12" s="17">
        <f t="shared" ref="S12:AF12" si="4">SUM(C18:C21)</f>
        <v>194.42857142857142</v>
      </c>
      <c r="T12" s="17">
        <f t="shared" si="4"/>
        <v>108.14285714285714</v>
      </c>
      <c r="U12" s="17">
        <f t="shared" si="4"/>
        <v>5.2857142857142856</v>
      </c>
      <c r="V12" s="17">
        <f t="shared" si="4"/>
        <v>44.571428571428569</v>
      </c>
      <c r="W12" s="17">
        <f t="shared" si="4"/>
        <v>0.2857142857142857</v>
      </c>
      <c r="X12" s="17">
        <f t="shared" si="4"/>
        <v>0.5714285714285714</v>
      </c>
      <c r="Y12" s="17">
        <f t="shared" si="4"/>
        <v>11.285714285714286</v>
      </c>
      <c r="Z12" s="17">
        <f t="shared" si="4"/>
        <v>1.1428571428571428</v>
      </c>
      <c r="AA12" s="17">
        <f t="shared" si="4"/>
        <v>0.14285714285714285</v>
      </c>
      <c r="AB12" s="17">
        <f t="shared" si="4"/>
        <v>0</v>
      </c>
      <c r="AC12" s="17">
        <f t="shared" si="4"/>
        <v>300.28571428571428</v>
      </c>
      <c r="AD12" s="17">
        <f t="shared" si="4"/>
        <v>0</v>
      </c>
      <c r="AE12" s="31">
        <f t="shared" si="4"/>
        <v>365.85714285714289</v>
      </c>
      <c r="AF12" s="31">
        <f t="shared" si="4"/>
        <v>666.14285714285711</v>
      </c>
    </row>
    <row r="13" spans="2:32" ht="23.1" customHeight="1" x14ac:dyDescent="0.25">
      <c r="B13" s="23" t="s">
        <v>40</v>
      </c>
      <c r="C13" s="49">
        <f>AVERAGE('29.07 Kisasi-Bukoto'!C13,'30.07 Kisasi-Bukoto'!C13,'31.07 Kisasi-Bukoto'!C13,'02.08 Kisasi-Bukoto'!C13,'01.08 Kisasi-Bukoto'!C13,'03.08 Kisasi-Bukoto'!C13,'04.08 Kisasi-Bukoto'!C13)</f>
        <v>72.571428571428569</v>
      </c>
      <c r="D13" s="49">
        <f>AVERAGE('29.07 Kisasi-Bukoto'!D13,'30.07 Kisasi-Bukoto'!D13,'31.07 Kisasi-Bukoto'!D13,'02.08 Kisasi-Bukoto'!D13,'01.08 Kisasi-Bukoto'!D13,'03.08 Kisasi-Bukoto'!D13,'04.08 Kisasi-Bukoto'!D13)</f>
        <v>37</v>
      </c>
      <c r="E13" s="49">
        <f>AVERAGE('29.07 Kisasi-Bukoto'!E13,'30.07 Kisasi-Bukoto'!E13,'31.07 Kisasi-Bukoto'!E13,'02.08 Kisasi-Bukoto'!E13,'01.08 Kisasi-Bukoto'!E13,'03.08 Kisasi-Bukoto'!E13,'04.08 Kisasi-Bukoto'!E13)</f>
        <v>2</v>
      </c>
      <c r="F13" s="49">
        <f>AVERAGE('29.07 Kisasi-Bukoto'!F13,'30.07 Kisasi-Bukoto'!F13,'31.07 Kisasi-Bukoto'!F13,'02.08 Kisasi-Bukoto'!F13,'01.08 Kisasi-Bukoto'!F13,'03.08 Kisasi-Bukoto'!F13,'04.08 Kisasi-Bukoto'!F13)</f>
        <v>14.285714285714286</v>
      </c>
      <c r="G13" s="49">
        <f>AVERAGE('29.07 Kisasi-Bukoto'!G13,'30.07 Kisasi-Bukoto'!G13,'31.07 Kisasi-Bukoto'!G13,'02.08 Kisasi-Bukoto'!G13,'01.08 Kisasi-Bukoto'!G13,'03.08 Kisasi-Bukoto'!G13,'04.08 Kisasi-Bukoto'!G13)</f>
        <v>0</v>
      </c>
      <c r="H13" s="49">
        <f>AVERAGE('29.07 Kisasi-Bukoto'!H13,'30.07 Kisasi-Bukoto'!H13,'31.07 Kisasi-Bukoto'!H13,'02.08 Kisasi-Bukoto'!H13,'01.08 Kisasi-Bukoto'!H13,'03.08 Kisasi-Bukoto'!H13,'04.08 Kisasi-Bukoto'!H13)</f>
        <v>0</v>
      </c>
      <c r="I13" s="49">
        <f>AVERAGE('29.07 Kisasi-Bukoto'!I13,'30.07 Kisasi-Bukoto'!I13,'31.07 Kisasi-Bukoto'!I13,'02.08 Kisasi-Bukoto'!I13,'01.08 Kisasi-Bukoto'!I13,'03.08 Kisasi-Bukoto'!I13,'04.08 Kisasi-Bukoto'!I13)</f>
        <v>2.5714285714285716</v>
      </c>
      <c r="J13" s="49">
        <f>AVERAGE('29.07 Kisasi-Bukoto'!J13,'30.07 Kisasi-Bukoto'!J13,'31.07 Kisasi-Bukoto'!J13,'02.08 Kisasi-Bukoto'!J13,'01.08 Kisasi-Bukoto'!J13,'03.08 Kisasi-Bukoto'!J13,'04.08 Kisasi-Bukoto'!J13)</f>
        <v>0.5714285714285714</v>
      </c>
      <c r="K13" s="49">
        <f>AVERAGE('29.07 Kisasi-Bukoto'!K13,'30.07 Kisasi-Bukoto'!K13,'31.07 Kisasi-Bukoto'!K13,'02.08 Kisasi-Bukoto'!K13,'01.08 Kisasi-Bukoto'!K13,'03.08 Kisasi-Bukoto'!K13,'04.08 Kisasi-Bukoto'!K13)</f>
        <v>0</v>
      </c>
      <c r="L13" s="49">
        <f>AVERAGE('29.07 Kisasi-Bukoto'!L13,'30.07 Kisasi-Bukoto'!L13,'31.07 Kisasi-Bukoto'!L13,'02.08 Kisasi-Bukoto'!L13,'01.08 Kisasi-Bukoto'!L13,'03.08 Kisasi-Bukoto'!L13,'04.08 Kisasi-Bukoto'!L13)</f>
        <v>0</v>
      </c>
      <c r="M13" s="49">
        <f>AVERAGE('29.07 Kisasi-Bukoto'!M13,'30.07 Kisasi-Bukoto'!M13,'31.07 Kisasi-Bukoto'!M13,'02.08 Kisasi-Bukoto'!M13,'01.08 Kisasi-Bukoto'!M13,'03.08 Kisasi-Bukoto'!M13,'04.08 Kisasi-Bukoto'!M13)</f>
        <v>97.714285714285708</v>
      </c>
      <c r="N13" s="49">
        <f>AVERAGE('29.07 Kisasi-Bukoto'!N13,'30.07 Kisasi-Bukoto'!N13,'31.07 Kisasi-Bukoto'!N13,'02.08 Kisasi-Bukoto'!N13,'01.08 Kisasi-Bukoto'!N13,'03.08 Kisasi-Bukoto'!N13,'04.08 Kisasi-Bukoto'!N13)</f>
        <v>0</v>
      </c>
      <c r="O13" s="15">
        <f t="shared" si="0"/>
        <v>129.00000000000003</v>
      </c>
      <c r="P13" s="15">
        <f t="shared" si="1"/>
        <v>226.71428571428572</v>
      </c>
      <c r="R13" s="1" t="s">
        <v>9</v>
      </c>
      <c r="S13" s="17">
        <f t="shared" ref="S13:AF13" si="5">SUM(C22:C25)</f>
        <v>181.85714285714286</v>
      </c>
      <c r="T13" s="17">
        <f t="shared" si="5"/>
        <v>102.14285714285715</v>
      </c>
      <c r="U13" s="17">
        <f t="shared" si="5"/>
        <v>6.4285714285714279</v>
      </c>
      <c r="V13" s="17">
        <f t="shared" si="5"/>
        <v>43.714285714285715</v>
      </c>
      <c r="W13" s="17">
        <f t="shared" si="5"/>
        <v>0.5714285714285714</v>
      </c>
      <c r="X13" s="17">
        <f t="shared" si="5"/>
        <v>0</v>
      </c>
      <c r="Y13" s="17">
        <f t="shared" si="5"/>
        <v>12</v>
      </c>
      <c r="Z13" s="17">
        <f t="shared" si="5"/>
        <v>0.5714285714285714</v>
      </c>
      <c r="AA13" s="17">
        <f t="shared" si="5"/>
        <v>0.5714285714285714</v>
      </c>
      <c r="AB13" s="17">
        <f t="shared" si="5"/>
        <v>0</v>
      </c>
      <c r="AC13" s="17">
        <f t="shared" si="5"/>
        <v>313.14285714285717</v>
      </c>
      <c r="AD13" s="17">
        <f t="shared" si="5"/>
        <v>0</v>
      </c>
      <c r="AE13" s="31">
        <f t="shared" si="5"/>
        <v>347.85714285714283</v>
      </c>
      <c r="AF13" s="31">
        <f t="shared" si="5"/>
        <v>661</v>
      </c>
    </row>
    <row r="14" spans="2:32" ht="23.1" customHeight="1" x14ac:dyDescent="0.25">
      <c r="B14" s="23" t="s">
        <v>41</v>
      </c>
      <c r="C14" s="49">
        <f>AVERAGE('29.07 Kisasi-Bukoto'!C14,'30.07 Kisasi-Bukoto'!C14,'31.07 Kisasi-Bukoto'!C14,'02.08 Kisasi-Bukoto'!C14,'01.08 Kisasi-Bukoto'!C14,'03.08 Kisasi-Bukoto'!C14,'04.08 Kisasi-Bukoto'!C14)</f>
        <v>70.857142857142861</v>
      </c>
      <c r="D14" s="49">
        <f>AVERAGE('29.07 Kisasi-Bukoto'!D14,'30.07 Kisasi-Bukoto'!D14,'31.07 Kisasi-Bukoto'!D14,'02.08 Kisasi-Bukoto'!D14,'01.08 Kisasi-Bukoto'!D14,'03.08 Kisasi-Bukoto'!D14,'04.08 Kisasi-Bukoto'!D14)</f>
        <v>41.285714285714285</v>
      </c>
      <c r="E14" s="49">
        <f>AVERAGE('29.07 Kisasi-Bukoto'!E14,'30.07 Kisasi-Bukoto'!E14,'31.07 Kisasi-Bukoto'!E14,'02.08 Kisasi-Bukoto'!E14,'01.08 Kisasi-Bukoto'!E14,'03.08 Kisasi-Bukoto'!E14,'04.08 Kisasi-Bukoto'!E14)</f>
        <v>2.1428571428571428</v>
      </c>
      <c r="F14" s="49">
        <f>AVERAGE('29.07 Kisasi-Bukoto'!F14,'30.07 Kisasi-Bukoto'!F14,'31.07 Kisasi-Bukoto'!F14,'02.08 Kisasi-Bukoto'!F14,'01.08 Kisasi-Bukoto'!F14,'03.08 Kisasi-Bukoto'!F14,'04.08 Kisasi-Bukoto'!F14)</f>
        <v>13.857142857142858</v>
      </c>
      <c r="G14" s="49">
        <f>AVERAGE('29.07 Kisasi-Bukoto'!G14,'30.07 Kisasi-Bukoto'!G14,'31.07 Kisasi-Bukoto'!G14,'02.08 Kisasi-Bukoto'!G14,'01.08 Kisasi-Bukoto'!G14,'03.08 Kisasi-Bukoto'!G14,'04.08 Kisasi-Bukoto'!G14)</f>
        <v>0</v>
      </c>
      <c r="H14" s="49">
        <f>AVERAGE('29.07 Kisasi-Bukoto'!H14,'30.07 Kisasi-Bukoto'!H14,'31.07 Kisasi-Bukoto'!H14,'02.08 Kisasi-Bukoto'!H14,'01.08 Kisasi-Bukoto'!H14,'03.08 Kisasi-Bukoto'!H14,'04.08 Kisasi-Bukoto'!H14)</f>
        <v>0</v>
      </c>
      <c r="I14" s="49">
        <f>AVERAGE('29.07 Kisasi-Bukoto'!I14,'30.07 Kisasi-Bukoto'!I14,'31.07 Kisasi-Bukoto'!I14,'02.08 Kisasi-Bukoto'!I14,'01.08 Kisasi-Bukoto'!I14,'03.08 Kisasi-Bukoto'!I14,'04.08 Kisasi-Bukoto'!I14)</f>
        <v>3</v>
      </c>
      <c r="J14" s="49">
        <f>AVERAGE('29.07 Kisasi-Bukoto'!J14,'30.07 Kisasi-Bukoto'!J14,'31.07 Kisasi-Bukoto'!J14,'02.08 Kisasi-Bukoto'!J14,'01.08 Kisasi-Bukoto'!J14,'03.08 Kisasi-Bukoto'!J14,'04.08 Kisasi-Bukoto'!J14)</f>
        <v>0</v>
      </c>
      <c r="K14" s="49">
        <f>AVERAGE('29.07 Kisasi-Bukoto'!K14,'30.07 Kisasi-Bukoto'!K14,'31.07 Kisasi-Bukoto'!K14,'02.08 Kisasi-Bukoto'!K14,'01.08 Kisasi-Bukoto'!K14,'03.08 Kisasi-Bukoto'!K14,'04.08 Kisasi-Bukoto'!K14)</f>
        <v>0</v>
      </c>
      <c r="L14" s="49">
        <f>AVERAGE('29.07 Kisasi-Bukoto'!L14,'30.07 Kisasi-Bukoto'!L14,'31.07 Kisasi-Bukoto'!L14,'02.08 Kisasi-Bukoto'!L14,'01.08 Kisasi-Bukoto'!L14,'03.08 Kisasi-Bukoto'!L14,'04.08 Kisasi-Bukoto'!L14)</f>
        <v>0</v>
      </c>
      <c r="M14" s="49">
        <f>AVERAGE('29.07 Kisasi-Bukoto'!M14,'30.07 Kisasi-Bukoto'!M14,'31.07 Kisasi-Bukoto'!M14,'02.08 Kisasi-Bukoto'!M14,'01.08 Kisasi-Bukoto'!M14,'03.08 Kisasi-Bukoto'!M14,'04.08 Kisasi-Bukoto'!M14)</f>
        <v>98.285714285714292</v>
      </c>
      <c r="N14" s="49">
        <f>AVERAGE('29.07 Kisasi-Bukoto'!N14,'30.07 Kisasi-Bukoto'!N14,'31.07 Kisasi-Bukoto'!N14,'02.08 Kisasi-Bukoto'!N14,'01.08 Kisasi-Bukoto'!N14,'03.08 Kisasi-Bukoto'!N14,'04.08 Kisasi-Bukoto'!N14)</f>
        <v>0</v>
      </c>
      <c r="O14" s="15">
        <f t="shared" si="0"/>
        <v>131.14285714285714</v>
      </c>
      <c r="P14" s="15">
        <f t="shared" si="1"/>
        <v>229.42857142857144</v>
      </c>
      <c r="R14" s="1" t="s">
        <v>10</v>
      </c>
      <c r="S14" s="17">
        <f t="shared" ref="S14:AF14" si="6">SUM(C26:C29)</f>
        <v>172.14285714285714</v>
      </c>
      <c r="T14" s="17">
        <f t="shared" si="6"/>
        <v>94.714285714285722</v>
      </c>
      <c r="U14" s="17">
        <f t="shared" si="6"/>
        <v>5.4285714285714288</v>
      </c>
      <c r="V14" s="17">
        <f t="shared" si="6"/>
        <v>43.571428571428569</v>
      </c>
      <c r="W14" s="17">
        <f t="shared" si="6"/>
        <v>0</v>
      </c>
      <c r="X14" s="17">
        <f t="shared" si="6"/>
        <v>0</v>
      </c>
      <c r="Y14" s="17">
        <f t="shared" si="6"/>
        <v>9.2857142857142865</v>
      </c>
      <c r="Z14" s="17">
        <f t="shared" si="6"/>
        <v>1.2857142857142856</v>
      </c>
      <c r="AA14" s="17">
        <f t="shared" si="6"/>
        <v>1</v>
      </c>
      <c r="AB14" s="17">
        <f t="shared" si="6"/>
        <v>0</v>
      </c>
      <c r="AC14" s="17">
        <f t="shared" si="6"/>
        <v>290.71428571428572</v>
      </c>
      <c r="AD14" s="17">
        <f t="shared" si="6"/>
        <v>0</v>
      </c>
      <c r="AE14" s="31">
        <f t="shared" si="6"/>
        <v>327.42857142857144</v>
      </c>
      <c r="AF14" s="31">
        <f t="shared" si="6"/>
        <v>618.14285714285711</v>
      </c>
    </row>
    <row r="15" spans="2:32" ht="23.1" customHeight="1" x14ac:dyDescent="0.25">
      <c r="B15" s="23" t="s">
        <v>42</v>
      </c>
      <c r="C15" s="49">
        <f>AVERAGE('29.07 Kisasi-Bukoto'!C15,'30.07 Kisasi-Bukoto'!C15,'31.07 Kisasi-Bukoto'!C15,'02.08 Kisasi-Bukoto'!C15,'01.08 Kisasi-Bukoto'!C15,'03.08 Kisasi-Bukoto'!C15,'04.08 Kisasi-Bukoto'!C15)</f>
        <v>64.285714285714292</v>
      </c>
      <c r="D15" s="49">
        <f>AVERAGE('29.07 Kisasi-Bukoto'!D15,'30.07 Kisasi-Bukoto'!D15,'31.07 Kisasi-Bukoto'!D15,'02.08 Kisasi-Bukoto'!D15,'01.08 Kisasi-Bukoto'!D15,'03.08 Kisasi-Bukoto'!D15,'04.08 Kisasi-Bukoto'!D15)</f>
        <v>32.142857142857146</v>
      </c>
      <c r="E15" s="49">
        <f>AVERAGE('29.07 Kisasi-Bukoto'!E15,'30.07 Kisasi-Bukoto'!E15,'31.07 Kisasi-Bukoto'!E15,'02.08 Kisasi-Bukoto'!E15,'01.08 Kisasi-Bukoto'!E15,'03.08 Kisasi-Bukoto'!E15,'04.08 Kisasi-Bukoto'!E15)</f>
        <v>2.2857142857142856</v>
      </c>
      <c r="F15" s="49">
        <f>AVERAGE('29.07 Kisasi-Bukoto'!F15,'30.07 Kisasi-Bukoto'!F15,'31.07 Kisasi-Bukoto'!F15,'02.08 Kisasi-Bukoto'!F15,'01.08 Kisasi-Bukoto'!F15,'03.08 Kisasi-Bukoto'!F15,'04.08 Kisasi-Bukoto'!F15)</f>
        <v>12.571428571428571</v>
      </c>
      <c r="G15" s="49">
        <f>AVERAGE('29.07 Kisasi-Bukoto'!G15,'30.07 Kisasi-Bukoto'!G15,'31.07 Kisasi-Bukoto'!G15,'02.08 Kisasi-Bukoto'!G15,'01.08 Kisasi-Bukoto'!G15,'03.08 Kisasi-Bukoto'!G15,'04.08 Kisasi-Bukoto'!G15)</f>
        <v>0</v>
      </c>
      <c r="H15" s="49">
        <f>AVERAGE('29.07 Kisasi-Bukoto'!H15,'30.07 Kisasi-Bukoto'!H15,'31.07 Kisasi-Bukoto'!H15,'02.08 Kisasi-Bukoto'!H15,'01.08 Kisasi-Bukoto'!H15,'03.08 Kisasi-Bukoto'!H15,'04.08 Kisasi-Bukoto'!H15)</f>
        <v>0</v>
      </c>
      <c r="I15" s="49">
        <f>AVERAGE('29.07 Kisasi-Bukoto'!I15,'30.07 Kisasi-Bukoto'!I15,'31.07 Kisasi-Bukoto'!I15,'02.08 Kisasi-Bukoto'!I15,'01.08 Kisasi-Bukoto'!I15,'03.08 Kisasi-Bukoto'!I15,'04.08 Kisasi-Bukoto'!I15)</f>
        <v>3.7142857142857144</v>
      </c>
      <c r="J15" s="49">
        <f>AVERAGE('29.07 Kisasi-Bukoto'!J15,'30.07 Kisasi-Bukoto'!J15,'31.07 Kisasi-Bukoto'!J15,'02.08 Kisasi-Bukoto'!J15,'01.08 Kisasi-Bukoto'!J15,'03.08 Kisasi-Bukoto'!J15,'04.08 Kisasi-Bukoto'!J15)</f>
        <v>0.14285714285714285</v>
      </c>
      <c r="K15" s="49">
        <f>AVERAGE('29.07 Kisasi-Bukoto'!K15,'30.07 Kisasi-Bukoto'!K15,'31.07 Kisasi-Bukoto'!K15,'02.08 Kisasi-Bukoto'!K15,'01.08 Kisasi-Bukoto'!K15,'03.08 Kisasi-Bukoto'!K15,'04.08 Kisasi-Bukoto'!K15)</f>
        <v>0</v>
      </c>
      <c r="L15" s="49">
        <f>AVERAGE('29.07 Kisasi-Bukoto'!L15,'30.07 Kisasi-Bukoto'!L15,'31.07 Kisasi-Bukoto'!L15,'02.08 Kisasi-Bukoto'!L15,'01.08 Kisasi-Bukoto'!L15,'03.08 Kisasi-Bukoto'!L15,'04.08 Kisasi-Bukoto'!L15)</f>
        <v>0</v>
      </c>
      <c r="M15" s="49">
        <f>AVERAGE('29.07 Kisasi-Bukoto'!M15,'30.07 Kisasi-Bukoto'!M15,'31.07 Kisasi-Bukoto'!M15,'02.08 Kisasi-Bukoto'!M15,'01.08 Kisasi-Bukoto'!M15,'03.08 Kisasi-Bukoto'!M15,'04.08 Kisasi-Bukoto'!M15)</f>
        <v>80.428571428571431</v>
      </c>
      <c r="N15" s="49">
        <f>AVERAGE('29.07 Kisasi-Bukoto'!N15,'30.07 Kisasi-Bukoto'!N15,'31.07 Kisasi-Bukoto'!N15,'02.08 Kisasi-Bukoto'!N15,'01.08 Kisasi-Bukoto'!N15,'03.08 Kisasi-Bukoto'!N15,'04.08 Kisasi-Bukoto'!N15)</f>
        <v>0</v>
      </c>
      <c r="O15" s="15">
        <f t="shared" si="0"/>
        <v>115.14285714285715</v>
      </c>
      <c r="P15" s="15">
        <f t="shared" si="1"/>
        <v>195.57142857142858</v>
      </c>
      <c r="R15" s="1" t="s">
        <v>11</v>
      </c>
      <c r="S15" s="17">
        <f t="shared" ref="S15:AF15" si="7">SUM(C30:C33)</f>
        <v>152.14285714285714</v>
      </c>
      <c r="T15" s="17">
        <f t="shared" si="7"/>
        <v>81.857142857142861</v>
      </c>
      <c r="U15" s="17">
        <f t="shared" si="7"/>
        <v>6.4285714285714288</v>
      </c>
      <c r="V15" s="17">
        <f t="shared" si="7"/>
        <v>36.714285714285715</v>
      </c>
      <c r="W15" s="17">
        <f t="shared" si="7"/>
        <v>0.14285714285714285</v>
      </c>
      <c r="X15" s="17">
        <f t="shared" si="7"/>
        <v>0</v>
      </c>
      <c r="Y15" s="17">
        <f t="shared" si="7"/>
        <v>9.2857142857142847</v>
      </c>
      <c r="Z15" s="17">
        <f t="shared" si="7"/>
        <v>0.5714285714285714</v>
      </c>
      <c r="AA15" s="17">
        <f t="shared" si="7"/>
        <v>0.42857142857142855</v>
      </c>
      <c r="AB15" s="17">
        <f t="shared" si="7"/>
        <v>0</v>
      </c>
      <c r="AC15" s="17">
        <f t="shared" si="7"/>
        <v>263.57142857142856</v>
      </c>
      <c r="AD15" s="17">
        <f t="shared" si="7"/>
        <v>0</v>
      </c>
      <c r="AE15" s="31">
        <f t="shared" si="7"/>
        <v>287.57142857142856</v>
      </c>
      <c r="AF15" s="31">
        <f t="shared" si="7"/>
        <v>551.14285714285711</v>
      </c>
    </row>
    <row r="16" spans="2:32" ht="23.1" customHeight="1" x14ac:dyDescent="0.25">
      <c r="B16" s="23" t="s">
        <v>43</v>
      </c>
      <c r="C16" s="49">
        <f>AVERAGE('29.07 Kisasi-Bukoto'!C16,'30.07 Kisasi-Bukoto'!C16,'31.07 Kisasi-Bukoto'!C16,'02.08 Kisasi-Bukoto'!C16,'01.08 Kisasi-Bukoto'!C16,'03.08 Kisasi-Bukoto'!C16,'04.08 Kisasi-Bukoto'!C16)</f>
        <v>52.285714285714285</v>
      </c>
      <c r="D16" s="49">
        <f>AVERAGE('29.07 Kisasi-Bukoto'!D16,'30.07 Kisasi-Bukoto'!D16,'31.07 Kisasi-Bukoto'!D16,'02.08 Kisasi-Bukoto'!D16,'01.08 Kisasi-Bukoto'!D16,'03.08 Kisasi-Bukoto'!D16,'04.08 Kisasi-Bukoto'!D16)</f>
        <v>28.285714285714285</v>
      </c>
      <c r="E16" s="49">
        <f>AVERAGE('29.07 Kisasi-Bukoto'!E16,'30.07 Kisasi-Bukoto'!E16,'31.07 Kisasi-Bukoto'!E16,'02.08 Kisasi-Bukoto'!E16,'01.08 Kisasi-Bukoto'!E16,'03.08 Kisasi-Bukoto'!E16,'04.08 Kisasi-Bukoto'!E16)</f>
        <v>1.7142857142857142</v>
      </c>
      <c r="F16" s="49">
        <f>AVERAGE('29.07 Kisasi-Bukoto'!F16,'30.07 Kisasi-Bukoto'!F16,'31.07 Kisasi-Bukoto'!F16,'02.08 Kisasi-Bukoto'!F16,'01.08 Kisasi-Bukoto'!F16,'03.08 Kisasi-Bukoto'!F16,'04.08 Kisasi-Bukoto'!F16)</f>
        <v>11</v>
      </c>
      <c r="G16" s="49">
        <f>AVERAGE('29.07 Kisasi-Bukoto'!G16,'30.07 Kisasi-Bukoto'!G16,'31.07 Kisasi-Bukoto'!G16,'02.08 Kisasi-Bukoto'!G16,'01.08 Kisasi-Bukoto'!G16,'03.08 Kisasi-Bukoto'!G16,'04.08 Kisasi-Bukoto'!G16)</f>
        <v>0.14285714285714285</v>
      </c>
      <c r="H16" s="49">
        <f>AVERAGE('29.07 Kisasi-Bukoto'!H16,'30.07 Kisasi-Bukoto'!H16,'31.07 Kisasi-Bukoto'!H16,'02.08 Kisasi-Bukoto'!H16,'01.08 Kisasi-Bukoto'!H16,'03.08 Kisasi-Bukoto'!H16,'04.08 Kisasi-Bukoto'!H16)</f>
        <v>0</v>
      </c>
      <c r="I16" s="49">
        <f>AVERAGE('29.07 Kisasi-Bukoto'!I16,'30.07 Kisasi-Bukoto'!I16,'31.07 Kisasi-Bukoto'!I16,'02.08 Kisasi-Bukoto'!I16,'01.08 Kisasi-Bukoto'!I16,'03.08 Kisasi-Bukoto'!I16,'04.08 Kisasi-Bukoto'!I16)</f>
        <v>2.7142857142857144</v>
      </c>
      <c r="J16" s="49">
        <f>AVERAGE('29.07 Kisasi-Bukoto'!J16,'30.07 Kisasi-Bukoto'!J16,'31.07 Kisasi-Bukoto'!J16,'02.08 Kisasi-Bukoto'!J16,'01.08 Kisasi-Bukoto'!J16,'03.08 Kisasi-Bukoto'!J16,'04.08 Kisasi-Bukoto'!J16)</f>
        <v>0.2857142857142857</v>
      </c>
      <c r="K16" s="49">
        <f>AVERAGE('29.07 Kisasi-Bukoto'!K16,'30.07 Kisasi-Bukoto'!K16,'31.07 Kisasi-Bukoto'!K16,'02.08 Kisasi-Bukoto'!K16,'01.08 Kisasi-Bukoto'!K16,'03.08 Kisasi-Bukoto'!K16,'04.08 Kisasi-Bukoto'!K16)</f>
        <v>0</v>
      </c>
      <c r="L16" s="49">
        <f>AVERAGE('29.07 Kisasi-Bukoto'!L16,'30.07 Kisasi-Bukoto'!L16,'31.07 Kisasi-Bukoto'!L16,'02.08 Kisasi-Bukoto'!L16,'01.08 Kisasi-Bukoto'!L16,'03.08 Kisasi-Bukoto'!L16,'04.08 Kisasi-Bukoto'!L16)</f>
        <v>0</v>
      </c>
      <c r="M16" s="49">
        <f>AVERAGE('29.07 Kisasi-Bukoto'!M16,'30.07 Kisasi-Bukoto'!M16,'31.07 Kisasi-Bukoto'!M16,'02.08 Kisasi-Bukoto'!M16,'01.08 Kisasi-Bukoto'!M16,'03.08 Kisasi-Bukoto'!M16,'04.08 Kisasi-Bukoto'!M16)</f>
        <v>84.857142857142861</v>
      </c>
      <c r="N16" s="49">
        <f>AVERAGE('29.07 Kisasi-Bukoto'!N16,'30.07 Kisasi-Bukoto'!N16,'31.07 Kisasi-Bukoto'!N16,'02.08 Kisasi-Bukoto'!N16,'01.08 Kisasi-Bukoto'!N16,'03.08 Kisasi-Bukoto'!N16,'04.08 Kisasi-Bukoto'!N16)</f>
        <v>0</v>
      </c>
      <c r="O16" s="15">
        <f t="shared" si="0"/>
        <v>96.428571428571416</v>
      </c>
      <c r="P16" s="15">
        <f t="shared" si="1"/>
        <v>181.28571428571428</v>
      </c>
      <c r="R16" s="1" t="s">
        <v>12</v>
      </c>
      <c r="S16" s="17">
        <f t="shared" ref="S16:AF16" si="8">SUM(C34:C37)</f>
        <v>125.42857142857143</v>
      </c>
      <c r="T16" s="17">
        <f t="shared" si="8"/>
        <v>64.428571428571431</v>
      </c>
      <c r="U16" s="17">
        <f t="shared" si="8"/>
        <v>5</v>
      </c>
      <c r="V16" s="17">
        <f t="shared" si="8"/>
        <v>31.142857142857142</v>
      </c>
      <c r="W16" s="17">
        <f t="shared" si="8"/>
        <v>0</v>
      </c>
      <c r="X16" s="17">
        <f t="shared" si="8"/>
        <v>0</v>
      </c>
      <c r="Y16" s="17">
        <f t="shared" si="8"/>
        <v>9</v>
      </c>
      <c r="Z16" s="17">
        <f t="shared" si="8"/>
        <v>1.1428571428571428</v>
      </c>
      <c r="AA16" s="17">
        <f t="shared" si="8"/>
        <v>1.1428571428571428</v>
      </c>
      <c r="AB16" s="17">
        <f t="shared" si="8"/>
        <v>0</v>
      </c>
      <c r="AC16" s="17">
        <f t="shared" si="8"/>
        <v>260.42857142857144</v>
      </c>
      <c r="AD16" s="17">
        <f t="shared" si="8"/>
        <v>0</v>
      </c>
      <c r="AE16" s="31">
        <f t="shared" si="8"/>
        <v>237.28571428571431</v>
      </c>
      <c r="AF16" s="31">
        <f t="shared" si="8"/>
        <v>497.71428571428578</v>
      </c>
    </row>
    <row r="17" spans="2:32" ht="23.1" customHeight="1" x14ac:dyDescent="0.25">
      <c r="B17" s="23" t="s">
        <v>44</v>
      </c>
      <c r="C17" s="49">
        <f>AVERAGE('29.07 Kisasi-Bukoto'!C17,'30.07 Kisasi-Bukoto'!C17,'31.07 Kisasi-Bukoto'!C17,'02.08 Kisasi-Bukoto'!C17,'01.08 Kisasi-Bukoto'!C17,'03.08 Kisasi-Bukoto'!C17,'04.08 Kisasi-Bukoto'!C17)</f>
        <v>40.714285714285715</v>
      </c>
      <c r="D17" s="49">
        <f>AVERAGE('29.07 Kisasi-Bukoto'!D17,'30.07 Kisasi-Bukoto'!D17,'31.07 Kisasi-Bukoto'!D17,'02.08 Kisasi-Bukoto'!D17,'01.08 Kisasi-Bukoto'!D17,'03.08 Kisasi-Bukoto'!D17,'04.08 Kisasi-Bukoto'!D17)</f>
        <v>26.714285714285715</v>
      </c>
      <c r="E17" s="49">
        <f>AVERAGE('29.07 Kisasi-Bukoto'!E17,'30.07 Kisasi-Bukoto'!E17,'31.07 Kisasi-Bukoto'!E17,'02.08 Kisasi-Bukoto'!E17,'01.08 Kisasi-Bukoto'!E17,'03.08 Kisasi-Bukoto'!E17,'04.08 Kisasi-Bukoto'!E17)</f>
        <v>1.7142857142857142</v>
      </c>
      <c r="F17" s="49">
        <f>AVERAGE('29.07 Kisasi-Bukoto'!F17,'30.07 Kisasi-Bukoto'!F17,'31.07 Kisasi-Bukoto'!F17,'02.08 Kisasi-Bukoto'!F17,'01.08 Kisasi-Bukoto'!F17,'03.08 Kisasi-Bukoto'!F17,'04.08 Kisasi-Bukoto'!F17)</f>
        <v>9.4285714285714288</v>
      </c>
      <c r="G17" s="49">
        <f>AVERAGE('29.07 Kisasi-Bukoto'!G17,'30.07 Kisasi-Bukoto'!G17,'31.07 Kisasi-Bukoto'!G17,'02.08 Kisasi-Bukoto'!G17,'01.08 Kisasi-Bukoto'!G17,'03.08 Kisasi-Bukoto'!G17,'04.08 Kisasi-Bukoto'!G17)</f>
        <v>0</v>
      </c>
      <c r="H17" s="49">
        <f>AVERAGE('29.07 Kisasi-Bukoto'!H17,'30.07 Kisasi-Bukoto'!H17,'31.07 Kisasi-Bukoto'!H17,'02.08 Kisasi-Bukoto'!H17,'01.08 Kisasi-Bukoto'!H17,'03.08 Kisasi-Bukoto'!H17,'04.08 Kisasi-Bukoto'!H17)</f>
        <v>0</v>
      </c>
      <c r="I17" s="49">
        <f>AVERAGE('29.07 Kisasi-Bukoto'!I17,'30.07 Kisasi-Bukoto'!I17,'31.07 Kisasi-Bukoto'!I17,'02.08 Kisasi-Bukoto'!I17,'01.08 Kisasi-Bukoto'!I17,'03.08 Kisasi-Bukoto'!I17,'04.08 Kisasi-Bukoto'!I17)</f>
        <v>3.2857142857142856</v>
      </c>
      <c r="J17" s="49">
        <f>AVERAGE('29.07 Kisasi-Bukoto'!J17,'30.07 Kisasi-Bukoto'!J17,'31.07 Kisasi-Bukoto'!J17,'02.08 Kisasi-Bukoto'!J17,'01.08 Kisasi-Bukoto'!J17,'03.08 Kisasi-Bukoto'!J17,'04.08 Kisasi-Bukoto'!J17)</f>
        <v>0.42857142857142855</v>
      </c>
      <c r="K17" s="49">
        <f>AVERAGE('29.07 Kisasi-Bukoto'!K17,'30.07 Kisasi-Bukoto'!K17,'31.07 Kisasi-Bukoto'!K17,'02.08 Kisasi-Bukoto'!K17,'01.08 Kisasi-Bukoto'!K17,'03.08 Kisasi-Bukoto'!K17,'04.08 Kisasi-Bukoto'!K17)</f>
        <v>0</v>
      </c>
      <c r="L17" s="49">
        <f>AVERAGE('29.07 Kisasi-Bukoto'!L17,'30.07 Kisasi-Bukoto'!L17,'31.07 Kisasi-Bukoto'!L17,'02.08 Kisasi-Bukoto'!L17,'01.08 Kisasi-Bukoto'!L17,'03.08 Kisasi-Bukoto'!L17,'04.08 Kisasi-Bukoto'!L17)</f>
        <v>0</v>
      </c>
      <c r="M17" s="49">
        <f>AVERAGE('29.07 Kisasi-Bukoto'!M17,'30.07 Kisasi-Bukoto'!M17,'31.07 Kisasi-Bukoto'!M17,'02.08 Kisasi-Bukoto'!M17,'01.08 Kisasi-Bukoto'!M17,'03.08 Kisasi-Bukoto'!M17,'04.08 Kisasi-Bukoto'!M17)</f>
        <v>93.571428571428569</v>
      </c>
      <c r="N17" s="49">
        <f>AVERAGE('29.07 Kisasi-Bukoto'!N17,'30.07 Kisasi-Bukoto'!N17,'31.07 Kisasi-Bukoto'!N17,'02.08 Kisasi-Bukoto'!N17,'01.08 Kisasi-Bukoto'!N17,'03.08 Kisasi-Bukoto'!N17,'04.08 Kisasi-Bukoto'!N17)</f>
        <v>0</v>
      </c>
      <c r="O17" s="15">
        <f t="shared" si="0"/>
        <v>82.285714285714292</v>
      </c>
      <c r="P17" s="15">
        <f t="shared" si="1"/>
        <v>175.85714285714286</v>
      </c>
      <c r="R17" s="1" t="s">
        <v>13</v>
      </c>
      <c r="S17" s="17">
        <f t="shared" ref="S17:AF17" si="9">SUM(C38:C41)</f>
        <v>126.00000000000001</v>
      </c>
      <c r="T17" s="17">
        <f t="shared" si="9"/>
        <v>75</v>
      </c>
      <c r="U17" s="17">
        <f t="shared" si="9"/>
        <v>4.8571428571428577</v>
      </c>
      <c r="V17" s="17">
        <f t="shared" si="9"/>
        <v>33.571428571428577</v>
      </c>
      <c r="W17" s="17">
        <f t="shared" si="9"/>
        <v>0.14285714285714285</v>
      </c>
      <c r="X17" s="17">
        <f t="shared" si="9"/>
        <v>0</v>
      </c>
      <c r="Y17" s="17">
        <f t="shared" si="9"/>
        <v>8.7142857142857135</v>
      </c>
      <c r="Z17" s="17">
        <f t="shared" si="9"/>
        <v>1.1428571428571428</v>
      </c>
      <c r="AA17" s="17">
        <f t="shared" si="9"/>
        <v>1.1428571428571428</v>
      </c>
      <c r="AB17" s="17">
        <f t="shared" si="9"/>
        <v>0</v>
      </c>
      <c r="AC17" s="17">
        <f t="shared" si="9"/>
        <v>285.57142857142856</v>
      </c>
      <c r="AD17" s="17">
        <f t="shared" si="9"/>
        <v>0</v>
      </c>
      <c r="AE17" s="31">
        <f t="shared" si="9"/>
        <v>250.57142857142856</v>
      </c>
      <c r="AF17" s="31">
        <f t="shared" si="9"/>
        <v>536.14285714285711</v>
      </c>
    </row>
    <row r="18" spans="2:32" ht="23.1" customHeight="1" x14ac:dyDescent="0.25">
      <c r="B18" s="23" t="s">
        <v>45</v>
      </c>
      <c r="C18" s="49">
        <f>AVERAGE('29.07 Kisasi-Bukoto'!C18,'30.07 Kisasi-Bukoto'!C18,'31.07 Kisasi-Bukoto'!C18,'02.08 Kisasi-Bukoto'!C18,'01.08 Kisasi-Bukoto'!C18,'03.08 Kisasi-Bukoto'!C18,'04.08 Kisasi-Bukoto'!C18)</f>
        <v>49.857142857142854</v>
      </c>
      <c r="D18" s="49">
        <f>AVERAGE('29.07 Kisasi-Bukoto'!D18,'30.07 Kisasi-Bukoto'!D18,'31.07 Kisasi-Bukoto'!D18,'02.08 Kisasi-Bukoto'!D18,'01.08 Kisasi-Bukoto'!D18,'03.08 Kisasi-Bukoto'!D18,'04.08 Kisasi-Bukoto'!D18)</f>
        <v>32.714285714285715</v>
      </c>
      <c r="E18" s="49">
        <f>AVERAGE('29.07 Kisasi-Bukoto'!E18,'30.07 Kisasi-Bukoto'!E18,'31.07 Kisasi-Bukoto'!E18,'02.08 Kisasi-Bukoto'!E18,'01.08 Kisasi-Bukoto'!E18,'03.08 Kisasi-Bukoto'!E18,'04.08 Kisasi-Bukoto'!E18)</f>
        <v>1.8571428571428572</v>
      </c>
      <c r="F18" s="49">
        <f>AVERAGE('29.07 Kisasi-Bukoto'!F18,'30.07 Kisasi-Bukoto'!F18,'31.07 Kisasi-Bukoto'!F18,'02.08 Kisasi-Bukoto'!F18,'01.08 Kisasi-Bukoto'!F18,'03.08 Kisasi-Bukoto'!F18,'04.08 Kisasi-Bukoto'!F18)</f>
        <v>12.142857142857142</v>
      </c>
      <c r="G18" s="49">
        <f>AVERAGE('29.07 Kisasi-Bukoto'!G18,'30.07 Kisasi-Bukoto'!G18,'31.07 Kisasi-Bukoto'!G18,'02.08 Kisasi-Bukoto'!G18,'01.08 Kisasi-Bukoto'!G18,'03.08 Kisasi-Bukoto'!G18,'04.08 Kisasi-Bukoto'!G18)</f>
        <v>0</v>
      </c>
      <c r="H18" s="49">
        <f>AVERAGE('29.07 Kisasi-Bukoto'!H18,'30.07 Kisasi-Bukoto'!H18,'31.07 Kisasi-Bukoto'!H18,'02.08 Kisasi-Bukoto'!H18,'01.08 Kisasi-Bukoto'!H18,'03.08 Kisasi-Bukoto'!H18,'04.08 Kisasi-Bukoto'!H18)</f>
        <v>0.42857142857142855</v>
      </c>
      <c r="I18" s="49">
        <f>AVERAGE('29.07 Kisasi-Bukoto'!I18,'30.07 Kisasi-Bukoto'!I18,'31.07 Kisasi-Bukoto'!I18,'02.08 Kisasi-Bukoto'!I18,'01.08 Kisasi-Bukoto'!I18,'03.08 Kisasi-Bukoto'!I18,'04.08 Kisasi-Bukoto'!I18)</f>
        <v>3</v>
      </c>
      <c r="J18" s="49">
        <f>AVERAGE('29.07 Kisasi-Bukoto'!J18,'30.07 Kisasi-Bukoto'!J18,'31.07 Kisasi-Bukoto'!J18,'02.08 Kisasi-Bukoto'!J18,'01.08 Kisasi-Bukoto'!J18,'03.08 Kisasi-Bukoto'!J18,'04.08 Kisasi-Bukoto'!J18)</f>
        <v>0.14285714285714285</v>
      </c>
      <c r="K18" s="49">
        <f>AVERAGE('29.07 Kisasi-Bukoto'!K18,'30.07 Kisasi-Bukoto'!K18,'31.07 Kisasi-Bukoto'!K18,'02.08 Kisasi-Bukoto'!K18,'01.08 Kisasi-Bukoto'!K18,'03.08 Kisasi-Bukoto'!K18,'04.08 Kisasi-Bukoto'!K18)</f>
        <v>0</v>
      </c>
      <c r="L18" s="49">
        <f>AVERAGE('29.07 Kisasi-Bukoto'!L18,'30.07 Kisasi-Bukoto'!L18,'31.07 Kisasi-Bukoto'!L18,'02.08 Kisasi-Bukoto'!L18,'01.08 Kisasi-Bukoto'!L18,'03.08 Kisasi-Bukoto'!L18,'04.08 Kisasi-Bukoto'!L18)</f>
        <v>0</v>
      </c>
      <c r="M18" s="49">
        <f>AVERAGE('29.07 Kisasi-Bukoto'!M18,'30.07 Kisasi-Bukoto'!M18,'31.07 Kisasi-Bukoto'!M18,'02.08 Kisasi-Bukoto'!M18,'01.08 Kisasi-Bukoto'!M18,'03.08 Kisasi-Bukoto'!M18,'04.08 Kisasi-Bukoto'!M18)</f>
        <v>82.285714285714292</v>
      </c>
      <c r="N18" s="49">
        <f>AVERAGE('29.07 Kisasi-Bukoto'!N18,'30.07 Kisasi-Bukoto'!N18,'31.07 Kisasi-Bukoto'!N18,'02.08 Kisasi-Bukoto'!N18,'01.08 Kisasi-Bukoto'!N18,'03.08 Kisasi-Bukoto'!N18,'04.08 Kisasi-Bukoto'!N18)</f>
        <v>0</v>
      </c>
      <c r="O18" s="15">
        <f t="shared" si="0"/>
        <v>100.14285714285714</v>
      </c>
      <c r="P18" s="15">
        <f t="shared" si="1"/>
        <v>182.42857142857144</v>
      </c>
      <c r="R18" s="1" t="s">
        <v>14</v>
      </c>
      <c r="S18" s="17">
        <f t="shared" ref="S18:AF18" si="10">SUM(C42:C45)</f>
        <v>137.14285714285717</v>
      </c>
      <c r="T18" s="17">
        <f t="shared" si="10"/>
        <v>82.142857142857153</v>
      </c>
      <c r="U18" s="17">
        <f t="shared" si="10"/>
        <v>4.5714285714285712</v>
      </c>
      <c r="V18" s="17">
        <f t="shared" si="10"/>
        <v>31.714285714285715</v>
      </c>
      <c r="W18" s="17">
        <f t="shared" si="10"/>
        <v>0.2857142857142857</v>
      </c>
      <c r="X18" s="17">
        <f t="shared" si="10"/>
        <v>0</v>
      </c>
      <c r="Y18" s="17">
        <f t="shared" si="10"/>
        <v>9.2857142857142847</v>
      </c>
      <c r="Z18" s="17">
        <f t="shared" si="10"/>
        <v>1.1428571428571428</v>
      </c>
      <c r="AA18" s="17">
        <f t="shared" si="10"/>
        <v>0.85714285714285698</v>
      </c>
      <c r="AB18" s="17">
        <f t="shared" si="10"/>
        <v>0</v>
      </c>
      <c r="AC18" s="17">
        <f t="shared" si="10"/>
        <v>278.71428571428572</v>
      </c>
      <c r="AD18" s="17">
        <f t="shared" si="10"/>
        <v>0</v>
      </c>
      <c r="AE18" s="31">
        <f t="shared" si="10"/>
        <v>267.14285714285717</v>
      </c>
      <c r="AF18" s="31">
        <f t="shared" si="10"/>
        <v>545.85714285714289</v>
      </c>
    </row>
    <row r="19" spans="2:32" ht="23.1" customHeight="1" x14ac:dyDescent="0.25">
      <c r="B19" s="23" t="s">
        <v>46</v>
      </c>
      <c r="C19" s="49">
        <f>AVERAGE('29.07 Kisasi-Bukoto'!C19,'30.07 Kisasi-Bukoto'!C19,'31.07 Kisasi-Bukoto'!C19,'02.08 Kisasi-Bukoto'!C19,'01.08 Kisasi-Bukoto'!C19,'03.08 Kisasi-Bukoto'!C19,'04.08 Kisasi-Bukoto'!C19)</f>
        <v>48.571428571428569</v>
      </c>
      <c r="D19" s="49">
        <f>AVERAGE('29.07 Kisasi-Bukoto'!D19,'30.07 Kisasi-Bukoto'!D19,'31.07 Kisasi-Bukoto'!D19,'02.08 Kisasi-Bukoto'!D19,'01.08 Kisasi-Bukoto'!D19,'03.08 Kisasi-Bukoto'!D19,'04.08 Kisasi-Bukoto'!D19)</f>
        <v>28.428571428571427</v>
      </c>
      <c r="E19" s="49">
        <f>AVERAGE('29.07 Kisasi-Bukoto'!E19,'30.07 Kisasi-Bukoto'!E19,'31.07 Kisasi-Bukoto'!E19,'02.08 Kisasi-Bukoto'!E19,'01.08 Kisasi-Bukoto'!E19,'03.08 Kisasi-Bukoto'!E19,'04.08 Kisasi-Bukoto'!E19)</f>
        <v>0.42857142857142855</v>
      </c>
      <c r="F19" s="49">
        <f>AVERAGE('29.07 Kisasi-Bukoto'!F19,'30.07 Kisasi-Bukoto'!F19,'31.07 Kisasi-Bukoto'!F19,'02.08 Kisasi-Bukoto'!F19,'01.08 Kisasi-Bukoto'!F19,'03.08 Kisasi-Bukoto'!F19,'04.08 Kisasi-Bukoto'!F19)</f>
        <v>9.7142857142857135</v>
      </c>
      <c r="G19" s="49">
        <f>AVERAGE('29.07 Kisasi-Bukoto'!G19,'30.07 Kisasi-Bukoto'!G19,'31.07 Kisasi-Bukoto'!G19,'02.08 Kisasi-Bukoto'!G19,'01.08 Kisasi-Bukoto'!G19,'03.08 Kisasi-Bukoto'!G19,'04.08 Kisasi-Bukoto'!G19)</f>
        <v>0.2857142857142857</v>
      </c>
      <c r="H19" s="49">
        <f>AVERAGE('29.07 Kisasi-Bukoto'!H19,'30.07 Kisasi-Bukoto'!H19,'31.07 Kisasi-Bukoto'!H19,'02.08 Kisasi-Bukoto'!H19,'01.08 Kisasi-Bukoto'!H19,'03.08 Kisasi-Bukoto'!H19,'04.08 Kisasi-Bukoto'!H19)</f>
        <v>0.14285714285714285</v>
      </c>
      <c r="I19" s="49">
        <f>AVERAGE('29.07 Kisasi-Bukoto'!I19,'30.07 Kisasi-Bukoto'!I19,'31.07 Kisasi-Bukoto'!I19,'02.08 Kisasi-Bukoto'!I19,'01.08 Kisasi-Bukoto'!I19,'03.08 Kisasi-Bukoto'!I19,'04.08 Kisasi-Bukoto'!I19)</f>
        <v>2.5714285714285716</v>
      </c>
      <c r="J19" s="49">
        <f>AVERAGE('29.07 Kisasi-Bukoto'!J19,'30.07 Kisasi-Bukoto'!J19,'31.07 Kisasi-Bukoto'!J19,'02.08 Kisasi-Bukoto'!J19,'01.08 Kisasi-Bukoto'!J19,'03.08 Kisasi-Bukoto'!J19,'04.08 Kisasi-Bukoto'!J19)</f>
        <v>0.5714285714285714</v>
      </c>
      <c r="K19" s="49">
        <f>AVERAGE('29.07 Kisasi-Bukoto'!K19,'30.07 Kisasi-Bukoto'!K19,'31.07 Kisasi-Bukoto'!K19,'02.08 Kisasi-Bukoto'!K19,'01.08 Kisasi-Bukoto'!K19,'03.08 Kisasi-Bukoto'!K19,'04.08 Kisasi-Bukoto'!K19)</f>
        <v>0</v>
      </c>
      <c r="L19" s="49">
        <f>AVERAGE('29.07 Kisasi-Bukoto'!L19,'30.07 Kisasi-Bukoto'!L19,'31.07 Kisasi-Bukoto'!L19,'02.08 Kisasi-Bukoto'!L19,'01.08 Kisasi-Bukoto'!L19,'03.08 Kisasi-Bukoto'!L19,'04.08 Kisasi-Bukoto'!L19)</f>
        <v>0</v>
      </c>
      <c r="M19" s="49">
        <f>AVERAGE('29.07 Kisasi-Bukoto'!M19,'30.07 Kisasi-Bukoto'!M19,'31.07 Kisasi-Bukoto'!M19,'02.08 Kisasi-Bukoto'!M19,'01.08 Kisasi-Bukoto'!M19,'03.08 Kisasi-Bukoto'!M19,'04.08 Kisasi-Bukoto'!M19)</f>
        <v>77.571428571428569</v>
      </c>
      <c r="N19" s="49">
        <f>AVERAGE('29.07 Kisasi-Bukoto'!N19,'30.07 Kisasi-Bukoto'!N19,'31.07 Kisasi-Bukoto'!N19,'02.08 Kisasi-Bukoto'!N19,'01.08 Kisasi-Bukoto'!N19,'03.08 Kisasi-Bukoto'!N19,'04.08 Kisasi-Bukoto'!N19)</f>
        <v>0</v>
      </c>
      <c r="O19" s="15">
        <f t="shared" si="0"/>
        <v>90.714285714285708</v>
      </c>
      <c r="P19" s="15">
        <f t="shared" si="1"/>
        <v>168.28571428571428</v>
      </c>
      <c r="R19" s="1" t="s">
        <v>15</v>
      </c>
      <c r="S19" s="17">
        <f t="shared" ref="S19:AF19" si="11">SUM(C46:C49)</f>
        <v>146.71428571428572</v>
      </c>
      <c r="T19" s="17">
        <f t="shared" si="11"/>
        <v>83.428571428571416</v>
      </c>
      <c r="U19" s="17">
        <f t="shared" si="11"/>
        <v>5.2857142857142856</v>
      </c>
      <c r="V19" s="17">
        <f t="shared" si="11"/>
        <v>32.857142857142861</v>
      </c>
      <c r="W19" s="17">
        <f t="shared" si="11"/>
        <v>0.71428571428571419</v>
      </c>
      <c r="X19" s="17">
        <f t="shared" si="11"/>
        <v>0</v>
      </c>
      <c r="Y19" s="17">
        <f t="shared" si="11"/>
        <v>10.857142857142858</v>
      </c>
      <c r="Z19" s="17">
        <f t="shared" si="11"/>
        <v>1.1428571428571428</v>
      </c>
      <c r="AA19" s="17">
        <f t="shared" si="11"/>
        <v>1.4285714285714284</v>
      </c>
      <c r="AB19" s="17">
        <f t="shared" si="11"/>
        <v>0</v>
      </c>
      <c r="AC19" s="17">
        <f t="shared" si="11"/>
        <v>292.14285714285711</v>
      </c>
      <c r="AD19" s="17">
        <f t="shared" si="11"/>
        <v>0</v>
      </c>
      <c r="AE19" s="31">
        <f t="shared" si="11"/>
        <v>282.42857142857144</v>
      </c>
      <c r="AF19" s="31">
        <f t="shared" si="11"/>
        <v>574.57142857142867</v>
      </c>
    </row>
    <row r="20" spans="2:32" ht="23.1" customHeight="1" x14ac:dyDescent="0.25">
      <c r="B20" s="23" t="s">
        <v>47</v>
      </c>
      <c r="C20" s="49">
        <f>AVERAGE('29.07 Kisasi-Bukoto'!C20,'30.07 Kisasi-Bukoto'!C20,'31.07 Kisasi-Bukoto'!C20,'02.08 Kisasi-Bukoto'!C20,'01.08 Kisasi-Bukoto'!C20,'03.08 Kisasi-Bukoto'!C20,'04.08 Kisasi-Bukoto'!C20)</f>
        <v>48.857142857142854</v>
      </c>
      <c r="D20" s="49">
        <f>AVERAGE('29.07 Kisasi-Bukoto'!D20,'30.07 Kisasi-Bukoto'!D20,'31.07 Kisasi-Bukoto'!D20,'02.08 Kisasi-Bukoto'!D20,'01.08 Kisasi-Bukoto'!D20,'03.08 Kisasi-Bukoto'!D20,'04.08 Kisasi-Bukoto'!D20)</f>
        <v>22.428571428571427</v>
      </c>
      <c r="E20" s="49">
        <f>AVERAGE('29.07 Kisasi-Bukoto'!E20,'30.07 Kisasi-Bukoto'!E20,'31.07 Kisasi-Bukoto'!E20,'02.08 Kisasi-Bukoto'!E20,'01.08 Kisasi-Bukoto'!E20,'03.08 Kisasi-Bukoto'!E20,'04.08 Kisasi-Bukoto'!E20)</f>
        <v>1.2857142857142858</v>
      </c>
      <c r="F20" s="49">
        <f>AVERAGE('29.07 Kisasi-Bukoto'!F20,'30.07 Kisasi-Bukoto'!F20,'31.07 Kisasi-Bukoto'!F20,'02.08 Kisasi-Bukoto'!F20,'01.08 Kisasi-Bukoto'!F20,'03.08 Kisasi-Bukoto'!F20,'04.08 Kisasi-Bukoto'!F20)</f>
        <v>12.857142857142858</v>
      </c>
      <c r="G20" s="49">
        <f>AVERAGE('29.07 Kisasi-Bukoto'!G20,'30.07 Kisasi-Bukoto'!G20,'31.07 Kisasi-Bukoto'!G20,'02.08 Kisasi-Bukoto'!G20,'01.08 Kisasi-Bukoto'!G20,'03.08 Kisasi-Bukoto'!G20,'04.08 Kisasi-Bukoto'!G20)</f>
        <v>0</v>
      </c>
      <c r="H20" s="49">
        <f>AVERAGE('29.07 Kisasi-Bukoto'!H20,'30.07 Kisasi-Bukoto'!H20,'31.07 Kisasi-Bukoto'!H20,'02.08 Kisasi-Bukoto'!H20,'01.08 Kisasi-Bukoto'!H20,'03.08 Kisasi-Bukoto'!H20,'04.08 Kisasi-Bukoto'!H20)</f>
        <v>0</v>
      </c>
      <c r="I20" s="49">
        <f>AVERAGE('29.07 Kisasi-Bukoto'!I20,'30.07 Kisasi-Bukoto'!I20,'31.07 Kisasi-Bukoto'!I20,'02.08 Kisasi-Bukoto'!I20,'01.08 Kisasi-Bukoto'!I20,'03.08 Kisasi-Bukoto'!I20,'04.08 Kisasi-Bukoto'!I20)</f>
        <v>2.8571428571428572</v>
      </c>
      <c r="J20" s="49">
        <f>AVERAGE('29.07 Kisasi-Bukoto'!J20,'30.07 Kisasi-Bukoto'!J20,'31.07 Kisasi-Bukoto'!J20,'02.08 Kisasi-Bukoto'!J20,'01.08 Kisasi-Bukoto'!J20,'03.08 Kisasi-Bukoto'!J20,'04.08 Kisasi-Bukoto'!J20)</f>
        <v>0</v>
      </c>
      <c r="K20" s="49">
        <f>AVERAGE('29.07 Kisasi-Bukoto'!K20,'30.07 Kisasi-Bukoto'!K20,'31.07 Kisasi-Bukoto'!K20,'02.08 Kisasi-Bukoto'!K20,'01.08 Kisasi-Bukoto'!K20,'03.08 Kisasi-Bukoto'!K20,'04.08 Kisasi-Bukoto'!K20)</f>
        <v>0.14285714285714285</v>
      </c>
      <c r="L20" s="49">
        <f>AVERAGE('29.07 Kisasi-Bukoto'!L20,'30.07 Kisasi-Bukoto'!L20,'31.07 Kisasi-Bukoto'!L20,'02.08 Kisasi-Bukoto'!L20,'01.08 Kisasi-Bukoto'!L20,'03.08 Kisasi-Bukoto'!L20,'04.08 Kisasi-Bukoto'!L20)</f>
        <v>0</v>
      </c>
      <c r="M20" s="49">
        <f>AVERAGE('29.07 Kisasi-Bukoto'!M20,'30.07 Kisasi-Bukoto'!M20,'31.07 Kisasi-Bukoto'!M20,'02.08 Kisasi-Bukoto'!M20,'01.08 Kisasi-Bukoto'!M20,'03.08 Kisasi-Bukoto'!M20,'04.08 Kisasi-Bukoto'!M20)</f>
        <v>69</v>
      </c>
      <c r="N20" s="49">
        <f>AVERAGE('29.07 Kisasi-Bukoto'!N20,'30.07 Kisasi-Bukoto'!N20,'31.07 Kisasi-Bukoto'!N20,'02.08 Kisasi-Bukoto'!N20,'01.08 Kisasi-Bukoto'!N20,'03.08 Kisasi-Bukoto'!N20,'04.08 Kisasi-Bukoto'!N20)</f>
        <v>0</v>
      </c>
      <c r="O20" s="15">
        <f t="shared" si="0"/>
        <v>88.428571428571431</v>
      </c>
      <c r="P20" s="15">
        <f t="shared" si="1"/>
        <v>157.42857142857144</v>
      </c>
      <c r="R20" s="1" t="s">
        <v>16</v>
      </c>
      <c r="S20" s="17">
        <f t="shared" ref="S20:AF20" si="12">SUM(C50:C53)</f>
        <v>139.14285714285714</v>
      </c>
      <c r="T20" s="17">
        <f t="shared" si="12"/>
        <v>79</v>
      </c>
      <c r="U20" s="17">
        <f t="shared" si="12"/>
        <v>6.1428571428571432</v>
      </c>
      <c r="V20" s="17">
        <f t="shared" si="12"/>
        <v>36.142857142857139</v>
      </c>
      <c r="W20" s="17">
        <f t="shared" si="12"/>
        <v>0.2857142857142857</v>
      </c>
      <c r="X20" s="17">
        <f t="shared" si="12"/>
        <v>0</v>
      </c>
      <c r="Y20" s="17">
        <f t="shared" si="12"/>
        <v>7.4285714285714279</v>
      </c>
      <c r="Z20" s="17">
        <f t="shared" si="12"/>
        <v>1.8571428571428572</v>
      </c>
      <c r="AA20" s="17">
        <f t="shared" si="12"/>
        <v>1.1428571428571428</v>
      </c>
      <c r="AB20" s="17">
        <f t="shared" si="12"/>
        <v>0.14285714285714285</v>
      </c>
      <c r="AC20" s="17">
        <f t="shared" si="12"/>
        <v>332.42857142857139</v>
      </c>
      <c r="AD20" s="17">
        <f t="shared" si="12"/>
        <v>0</v>
      </c>
      <c r="AE20" s="31">
        <f t="shared" si="12"/>
        <v>271.28571428571433</v>
      </c>
      <c r="AF20" s="31">
        <f t="shared" si="12"/>
        <v>603.71428571428578</v>
      </c>
    </row>
    <row r="21" spans="2:32" ht="23.1" customHeight="1" x14ac:dyDescent="0.25">
      <c r="B21" s="23" t="s">
        <v>48</v>
      </c>
      <c r="C21" s="49">
        <f>AVERAGE('29.07 Kisasi-Bukoto'!C21,'30.07 Kisasi-Bukoto'!C21,'31.07 Kisasi-Bukoto'!C21,'02.08 Kisasi-Bukoto'!C21,'01.08 Kisasi-Bukoto'!C21,'03.08 Kisasi-Bukoto'!C21,'04.08 Kisasi-Bukoto'!C21)</f>
        <v>47.142857142857146</v>
      </c>
      <c r="D21" s="49">
        <f>AVERAGE('29.07 Kisasi-Bukoto'!D21,'30.07 Kisasi-Bukoto'!D21,'31.07 Kisasi-Bukoto'!D21,'02.08 Kisasi-Bukoto'!D21,'01.08 Kisasi-Bukoto'!D21,'03.08 Kisasi-Bukoto'!D21,'04.08 Kisasi-Bukoto'!D21)</f>
        <v>24.571428571428573</v>
      </c>
      <c r="E21" s="49">
        <f>AVERAGE('29.07 Kisasi-Bukoto'!E21,'30.07 Kisasi-Bukoto'!E21,'31.07 Kisasi-Bukoto'!E21,'02.08 Kisasi-Bukoto'!E21,'01.08 Kisasi-Bukoto'!E21,'03.08 Kisasi-Bukoto'!E21,'04.08 Kisasi-Bukoto'!E21)</f>
        <v>1.7142857142857142</v>
      </c>
      <c r="F21" s="49">
        <f>AVERAGE('29.07 Kisasi-Bukoto'!F21,'30.07 Kisasi-Bukoto'!F21,'31.07 Kisasi-Bukoto'!F21,'02.08 Kisasi-Bukoto'!F21,'01.08 Kisasi-Bukoto'!F21,'03.08 Kisasi-Bukoto'!F21,'04.08 Kisasi-Bukoto'!F21)</f>
        <v>9.8571428571428577</v>
      </c>
      <c r="G21" s="49">
        <f>AVERAGE('29.07 Kisasi-Bukoto'!G21,'30.07 Kisasi-Bukoto'!G21,'31.07 Kisasi-Bukoto'!G21,'02.08 Kisasi-Bukoto'!G21,'01.08 Kisasi-Bukoto'!G21,'03.08 Kisasi-Bukoto'!G21,'04.08 Kisasi-Bukoto'!G21)</f>
        <v>0</v>
      </c>
      <c r="H21" s="49">
        <f>AVERAGE('29.07 Kisasi-Bukoto'!H21,'30.07 Kisasi-Bukoto'!H21,'31.07 Kisasi-Bukoto'!H21,'02.08 Kisasi-Bukoto'!H21,'01.08 Kisasi-Bukoto'!H21,'03.08 Kisasi-Bukoto'!H21,'04.08 Kisasi-Bukoto'!H21)</f>
        <v>0</v>
      </c>
      <c r="I21" s="49">
        <f>AVERAGE('29.07 Kisasi-Bukoto'!I21,'30.07 Kisasi-Bukoto'!I21,'31.07 Kisasi-Bukoto'!I21,'02.08 Kisasi-Bukoto'!I21,'01.08 Kisasi-Bukoto'!I21,'03.08 Kisasi-Bukoto'!I21,'04.08 Kisasi-Bukoto'!I21)</f>
        <v>2.8571428571428572</v>
      </c>
      <c r="J21" s="49">
        <f>AVERAGE('29.07 Kisasi-Bukoto'!J21,'30.07 Kisasi-Bukoto'!J21,'31.07 Kisasi-Bukoto'!J21,'02.08 Kisasi-Bukoto'!J21,'01.08 Kisasi-Bukoto'!J21,'03.08 Kisasi-Bukoto'!J21,'04.08 Kisasi-Bukoto'!J21)</f>
        <v>0.42857142857142855</v>
      </c>
      <c r="K21" s="49">
        <f>AVERAGE('29.07 Kisasi-Bukoto'!K21,'30.07 Kisasi-Bukoto'!K21,'31.07 Kisasi-Bukoto'!K21,'02.08 Kisasi-Bukoto'!K21,'01.08 Kisasi-Bukoto'!K21,'03.08 Kisasi-Bukoto'!K21,'04.08 Kisasi-Bukoto'!K21)</f>
        <v>0</v>
      </c>
      <c r="L21" s="49">
        <f>AVERAGE('29.07 Kisasi-Bukoto'!L21,'30.07 Kisasi-Bukoto'!L21,'31.07 Kisasi-Bukoto'!L21,'02.08 Kisasi-Bukoto'!L21,'01.08 Kisasi-Bukoto'!L21,'03.08 Kisasi-Bukoto'!L21,'04.08 Kisasi-Bukoto'!L21)</f>
        <v>0</v>
      </c>
      <c r="M21" s="49">
        <f>AVERAGE('29.07 Kisasi-Bukoto'!M21,'30.07 Kisasi-Bukoto'!M21,'31.07 Kisasi-Bukoto'!M21,'02.08 Kisasi-Bukoto'!M21,'01.08 Kisasi-Bukoto'!M21,'03.08 Kisasi-Bukoto'!M21,'04.08 Kisasi-Bukoto'!M21)</f>
        <v>71.428571428571431</v>
      </c>
      <c r="N21" s="49">
        <f>AVERAGE('29.07 Kisasi-Bukoto'!N21,'30.07 Kisasi-Bukoto'!N21,'31.07 Kisasi-Bukoto'!N21,'02.08 Kisasi-Bukoto'!N21,'01.08 Kisasi-Bukoto'!N21,'03.08 Kisasi-Bukoto'!N21,'04.08 Kisasi-Bukoto'!N21)</f>
        <v>0</v>
      </c>
      <c r="O21" s="15">
        <f t="shared" si="0"/>
        <v>86.571428571428584</v>
      </c>
      <c r="P21" s="15">
        <f t="shared" si="1"/>
        <v>158</v>
      </c>
      <c r="R21" s="36" t="s">
        <v>20</v>
      </c>
      <c r="S21" s="34">
        <f t="shared" ref="S21:AF21" si="13">SUM(C54:C57)</f>
        <v>116.85714285714286</v>
      </c>
      <c r="T21" s="17">
        <f t="shared" si="13"/>
        <v>65.571428571428569</v>
      </c>
      <c r="U21" s="17">
        <f t="shared" si="13"/>
        <v>6</v>
      </c>
      <c r="V21" s="17">
        <f t="shared" si="13"/>
        <v>35.571428571428569</v>
      </c>
      <c r="W21" s="17">
        <f t="shared" si="13"/>
        <v>2</v>
      </c>
      <c r="X21" s="17">
        <f t="shared" si="13"/>
        <v>0</v>
      </c>
      <c r="Y21" s="17">
        <f t="shared" si="13"/>
        <v>9.1428571428571423</v>
      </c>
      <c r="Z21" s="17">
        <f t="shared" si="13"/>
        <v>2.1428571428571428</v>
      </c>
      <c r="AA21" s="17">
        <f t="shared" si="13"/>
        <v>0.42857142857142855</v>
      </c>
      <c r="AB21" s="17">
        <f t="shared" si="13"/>
        <v>0.14285714285714285</v>
      </c>
      <c r="AC21" s="17">
        <f t="shared" si="13"/>
        <v>326.71428571428572</v>
      </c>
      <c r="AD21" s="17">
        <f t="shared" si="13"/>
        <v>0</v>
      </c>
      <c r="AE21" s="31">
        <f t="shared" si="13"/>
        <v>237.85714285714286</v>
      </c>
      <c r="AF21" s="31">
        <f t="shared" si="13"/>
        <v>564.57142857142856</v>
      </c>
    </row>
    <row r="22" spans="2:32" ht="23.1" customHeight="1" x14ac:dyDescent="0.25">
      <c r="B22" s="23" t="s">
        <v>49</v>
      </c>
      <c r="C22" s="49">
        <f>AVERAGE('29.07 Kisasi-Bukoto'!C22,'30.07 Kisasi-Bukoto'!C22,'31.07 Kisasi-Bukoto'!C22,'02.08 Kisasi-Bukoto'!C22,'01.08 Kisasi-Bukoto'!C22,'03.08 Kisasi-Bukoto'!C22,'04.08 Kisasi-Bukoto'!C22)</f>
        <v>47.571428571428569</v>
      </c>
      <c r="D22" s="49">
        <f>AVERAGE('29.07 Kisasi-Bukoto'!D22,'30.07 Kisasi-Bukoto'!D22,'31.07 Kisasi-Bukoto'!D22,'02.08 Kisasi-Bukoto'!D22,'01.08 Kisasi-Bukoto'!D22,'03.08 Kisasi-Bukoto'!D22,'04.08 Kisasi-Bukoto'!D22)</f>
        <v>26.571428571428573</v>
      </c>
      <c r="E22" s="49">
        <f>AVERAGE('29.07 Kisasi-Bukoto'!E22,'30.07 Kisasi-Bukoto'!E22,'31.07 Kisasi-Bukoto'!E22,'02.08 Kisasi-Bukoto'!E22,'01.08 Kisasi-Bukoto'!E22,'03.08 Kisasi-Bukoto'!E22,'04.08 Kisasi-Bukoto'!E22)</f>
        <v>2.1428571428571428</v>
      </c>
      <c r="F22" s="49">
        <f>AVERAGE('29.07 Kisasi-Bukoto'!F22,'30.07 Kisasi-Bukoto'!F22,'31.07 Kisasi-Bukoto'!F22,'02.08 Kisasi-Bukoto'!F22,'01.08 Kisasi-Bukoto'!F22,'03.08 Kisasi-Bukoto'!F22,'04.08 Kisasi-Bukoto'!F22)</f>
        <v>12.142857142857142</v>
      </c>
      <c r="G22" s="49">
        <f>AVERAGE('29.07 Kisasi-Bukoto'!G22,'30.07 Kisasi-Bukoto'!G22,'31.07 Kisasi-Bukoto'!G22,'02.08 Kisasi-Bukoto'!G22,'01.08 Kisasi-Bukoto'!G22,'03.08 Kisasi-Bukoto'!G22,'04.08 Kisasi-Bukoto'!G22)</f>
        <v>0</v>
      </c>
      <c r="H22" s="49">
        <f>AVERAGE('29.07 Kisasi-Bukoto'!H22,'30.07 Kisasi-Bukoto'!H22,'31.07 Kisasi-Bukoto'!H22,'02.08 Kisasi-Bukoto'!H22,'01.08 Kisasi-Bukoto'!H22,'03.08 Kisasi-Bukoto'!H22,'04.08 Kisasi-Bukoto'!H22)</f>
        <v>0</v>
      </c>
      <c r="I22" s="49">
        <f>AVERAGE('29.07 Kisasi-Bukoto'!I22,'30.07 Kisasi-Bukoto'!I22,'31.07 Kisasi-Bukoto'!I22,'02.08 Kisasi-Bukoto'!I22,'01.08 Kisasi-Bukoto'!I22,'03.08 Kisasi-Bukoto'!I22,'04.08 Kisasi-Bukoto'!I22)</f>
        <v>2.4285714285714284</v>
      </c>
      <c r="J22" s="49">
        <f>AVERAGE('29.07 Kisasi-Bukoto'!J22,'30.07 Kisasi-Bukoto'!J22,'31.07 Kisasi-Bukoto'!J22,'02.08 Kisasi-Bukoto'!J22,'01.08 Kisasi-Bukoto'!J22,'03.08 Kisasi-Bukoto'!J22,'04.08 Kisasi-Bukoto'!J22)</f>
        <v>0.14285714285714285</v>
      </c>
      <c r="K22" s="49">
        <f>AVERAGE('29.07 Kisasi-Bukoto'!K22,'30.07 Kisasi-Bukoto'!K22,'31.07 Kisasi-Bukoto'!K22,'02.08 Kisasi-Bukoto'!K22,'01.08 Kisasi-Bukoto'!K22,'03.08 Kisasi-Bukoto'!K22,'04.08 Kisasi-Bukoto'!K22)</f>
        <v>0.14285714285714285</v>
      </c>
      <c r="L22" s="49">
        <f>AVERAGE('29.07 Kisasi-Bukoto'!L22,'30.07 Kisasi-Bukoto'!L22,'31.07 Kisasi-Bukoto'!L22,'02.08 Kisasi-Bukoto'!L22,'01.08 Kisasi-Bukoto'!L22,'03.08 Kisasi-Bukoto'!L22,'04.08 Kisasi-Bukoto'!L22)</f>
        <v>0</v>
      </c>
      <c r="M22" s="49">
        <f>AVERAGE('29.07 Kisasi-Bukoto'!M22,'30.07 Kisasi-Bukoto'!M22,'31.07 Kisasi-Bukoto'!M22,'02.08 Kisasi-Bukoto'!M22,'01.08 Kisasi-Bukoto'!M22,'03.08 Kisasi-Bukoto'!M22,'04.08 Kisasi-Bukoto'!M22)</f>
        <v>79.142857142857139</v>
      </c>
      <c r="N22" s="49">
        <f>AVERAGE('29.07 Kisasi-Bukoto'!N22,'30.07 Kisasi-Bukoto'!N22,'31.07 Kisasi-Bukoto'!N22,'02.08 Kisasi-Bukoto'!N22,'01.08 Kisasi-Bukoto'!N22,'03.08 Kisasi-Bukoto'!N22,'04.08 Kisasi-Bukoto'!N22)</f>
        <v>0</v>
      </c>
      <c r="O22" s="15">
        <f t="shared" si="0"/>
        <v>91.142857142857125</v>
      </c>
      <c r="P22" s="15">
        <f t="shared" si="1"/>
        <v>170.28571428571428</v>
      </c>
      <c r="R22" s="1" t="s">
        <v>146</v>
      </c>
      <c r="S22" s="34">
        <f>SUM(C58:C61)</f>
        <v>150</v>
      </c>
      <c r="T22" s="34">
        <f t="shared" ref="T22:AF22" si="14">SUM(D58:D61)</f>
        <v>109.5</v>
      </c>
      <c r="U22" s="34">
        <f t="shared" si="14"/>
        <v>2</v>
      </c>
      <c r="V22" s="34">
        <f t="shared" si="14"/>
        <v>39</v>
      </c>
      <c r="W22" s="34">
        <f t="shared" si="14"/>
        <v>0.5</v>
      </c>
      <c r="X22" s="34">
        <f t="shared" si="14"/>
        <v>0</v>
      </c>
      <c r="Y22" s="34">
        <f t="shared" si="14"/>
        <v>11.5</v>
      </c>
      <c r="Z22" s="34">
        <f t="shared" si="14"/>
        <v>0</v>
      </c>
      <c r="AA22" s="34">
        <f t="shared" si="14"/>
        <v>0.5</v>
      </c>
      <c r="AB22" s="34">
        <f t="shared" si="14"/>
        <v>1</v>
      </c>
      <c r="AC22" s="34">
        <f t="shared" si="14"/>
        <v>267.5</v>
      </c>
      <c r="AD22" s="34">
        <f t="shared" si="14"/>
        <v>0</v>
      </c>
      <c r="AE22" s="31">
        <f t="shared" si="14"/>
        <v>314</v>
      </c>
      <c r="AF22" s="31">
        <f t="shared" si="14"/>
        <v>581.5</v>
      </c>
    </row>
    <row r="23" spans="2:32" ht="23.1" customHeight="1" x14ac:dyDescent="0.25">
      <c r="B23" s="23" t="s">
        <v>50</v>
      </c>
      <c r="C23" s="49">
        <f>AVERAGE('29.07 Kisasi-Bukoto'!C23,'30.07 Kisasi-Bukoto'!C23,'31.07 Kisasi-Bukoto'!C23,'02.08 Kisasi-Bukoto'!C23,'01.08 Kisasi-Bukoto'!C23,'03.08 Kisasi-Bukoto'!C23,'04.08 Kisasi-Bukoto'!C23)</f>
        <v>49.714285714285715</v>
      </c>
      <c r="D23" s="49">
        <f>AVERAGE('29.07 Kisasi-Bukoto'!D23,'30.07 Kisasi-Bukoto'!D23,'31.07 Kisasi-Bukoto'!D23,'02.08 Kisasi-Bukoto'!D23,'01.08 Kisasi-Bukoto'!D23,'03.08 Kisasi-Bukoto'!D23,'04.08 Kisasi-Bukoto'!D23)</f>
        <v>28.571428571428573</v>
      </c>
      <c r="E23" s="49">
        <f>AVERAGE('29.07 Kisasi-Bukoto'!E23,'30.07 Kisasi-Bukoto'!E23,'31.07 Kisasi-Bukoto'!E23,'02.08 Kisasi-Bukoto'!E23,'01.08 Kisasi-Bukoto'!E23,'03.08 Kisasi-Bukoto'!E23,'04.08 Kisasi-Bukoto'!E23)</f>
        <v>1.4285714285714286</v>
      </c>
      <c r="F23" s="49">
        <f>AVERAGE('29.07 Kisasi-Bukoto'!F23,'30.07 Kisasi-Bukoto'!F23,'31.07 Kisasi-Bukoto'!F23,'02.08 Kisasi-Bukoto'!F23,'01.08 Kisasi-Bukoto'!F23,'03.08 Kisasi-Bukoto'!F23,'04.08 Kisasi-Bukoto'!F23)</f>
        <v>11.857142857142858</v>
      </c>
      <c r="G23" s="49">
        <f>AVERAGE('29.07 Kisasi-Bukoto'!G23,'30.07 Kisasi-Bukoto'!G23,'31.07 Kisasi-Bukoto'!G23,'02.08 Kisasi-Bukoto'!G23,'01.08 Kisasi-Bukoto'!G23,'03.08 Kisasi-Bukoto'!G23,'04.08 Kisasi-Bukoto'!G23)</f>
        <v>0.2857142857142857</v>
      </c>
      <c r="H23" s="49">
        <f>AVERAGE('29.07 Kisasi-Bukoto'!H23,'30.07 Kisasi-Bukoto'!H23,'31.07 Kisasi-Bukoto'!H23,'02.08 Kisasi-Bukoto'!H23,'01.08 Kisasi-Bukoto'!H23,'03.08 Kisasi-Bukoto'!H23,'04.08 Kisasi-Bukoto'!H23)</f>
        <v>0</v>
      </c>
      <c r="I23" s="49">
        <f>AVERAGE('29.07 Kisasi-Bukoto'!I23,'30.07 Kisasi-Bukoto'!I23,'31.07 Kisasi-Bukoto'!I23,'02.08 Kisasi-Bukoto'!I23,'01.08 Kisasi-Bukoto'!I23,'03.08 Kisasi-Bukoto'!I23,'04.08 Kisasi-Bukoto'!I23)</f>
        <v>2.8571428571428572</v>
      </c>
      <c r="J23" s="49">
        <f>AVERAGE('29.07 Kisasi-Bukoto'!J23,'30.07 Kisasi-Bukoto'!J23,'31.07 Kisasi-Bukoto'!J23,'02.08 Kisasi-Bukoto'!J23,'01.08 Kisasi-Bukoto'!J23,'03.08 Kisasi-Bukoto'!J23,'04.08 Kisasi-Bukoto'!J23)</f>
        <v>0.14285714285714285</v>
      </c>
      <c r="K23" s="49">
        <f>AVERAGE('29.07 Kisasi-Bukoto'!K23,'30.07 Kisasi-Bukoto'!K23,'31.07 Kisasi-Bukoto'!K23,'02.08 Kisasi-Bukoto'!K23,'01.08 Kisasi-Bukoto'!K23,'03.08 Kisasi-Bukoto'!K23,'04.08 Kisasi-Bukoto'!K23)</f>
        <v>0</v>
      </c>
      <c r="L23" s="49">
        <f>AVERAGE('29.07 Kisasi-Bukoto'!L23,'30.07 Kisasi-Bukoto'!L23,'31.07 Kisasi-Bukoto'!L23,'02.08 Kisasi-Bukoto'!L23,'01.08 Kisasi-Bukoto'!L23,'03.08 Kisasi-Bukoto'!L23,'04.08 Kisasi-Bukoto'!L23)</f>
        <v>0</v>
      </c>
      <c r="M23" s="49">
        <f>AVERAGE('29.07 Kisasi-Bukoto'!M23,'30.07 Kisasi-Bukoto'!M23,'31.07 Kisasi-Bukoto'!M23,'02.08 Kisasi-Bukoto'!M23,'01.08 Kisasi-Bukoto'!M23,'03.08 Kisasi-Bukoto'!M23,'04.08 Kisasi-Bukoto'!M23)</f>
        <v>78.571428571428569</v>
      </c>
      <c r="N23" s="49">
        <f>AVERAGE('29.07 Kisasi-Bukoto'!N23,'30.07 Kisasi-Bukoto'!N23,'31.07 Kisasi-Bukoto'!N23,'02.08 Kisasi-Bukoto'!N23,'01.08 Kisasi-Bukoto'!N23,'03.08 Kisasi-Bukoto'!N23,'04.08 Kisasi-Bukoto'!N23)</f>
        <v>0</v>
      </c>
      <c r="O23" s="15">
        <f t="shared" si="0"/>
        <v>94.857142857142875</v>
      </c>
      <c r="P23" s="15">
        <f t="shared" si="1"/>
        <v>173.42857142857144</v>
      </c>
      <c r="R23" s="1" t="s">
        <v>147</v>
      </c>
      <c r="S23" s="34">
        <f>SUM(C62:C65)</f>
        <v>133.5</v>
      </c>
      <c r="T23" s="34">
        <f t="shared" ref="T23:AF23" si="15">SUM(D62:D65)</f>
        <v>88</v>
      </c>
      <c r="U23" s="34">
        <f t="shared" si="15"/>
        <v>1.5</v>
      </c>
      <c r="V23" s="34">
        <f t="shared" si="15"/>
        <v>32.5</v>
      </c>
      <c r="W23" s="34">
        <f t="shared" si="15"/>
        <v>1</v>
      </c>
      <c r="X23" s="34">
        <f t="shared" si="15"/>
        <v>0</v>
      </c>
      <c r="Y23" s="34">
        <f t="shared" si="15"/>
        <v>4</v>
      </c>
      <c r="Z23" s="34">
        <f t="shared" si="15"/>
        <v>0.5</v>
      </c>
      <c r="AA23" s="34">
        <f t="shared" si="15"/>
        <v>0.5</v>
      </c>
      <c r="AB23" s="34">
        <f t="shared" si="15"/>
        <v>0</v>
      </c>
      <c r="AC23" s="34">
        <f t="shared" si="15"/>
        <v>220</v>
      </c>
      <c r="AD23" s="34">
        <f t="shared" si="15"/>
        <v>0</v>
      </c>
      <c r="AE23" s="31">
        <f t="shared" si="15"/>
        <v>261.5</v>
      </c>
      <c r="AF23" s="31">
        <f t="shared" si="15"/>
        <v>481.5</v>
      </c>
    </row>
    <row r="24" spans="2:32" ht="23.1" customHeight="1" x14ac:dyDescent="0.25">
      <c r="B24" s="23" t="s">
        <v>51</v>
      </c>
      <c r="C24" s="49">
        <f>AVERAGE('29.07 Kisasi-Bukoto'!C24,'30.07 Kisasi-Bukoto'!C24,'31.07 Kisasi-Bukoto'!C24,'02.08 Kisasi-Bukoto'!C24,'01.08 Kisasi-Bukoto'!C24,'03.08 Kisasi-Bukoto'!C24,'04.08 Kisasi-Bukoto'!C24)</f>
        <v>41.428571428571431</v>
      </c>
      <c r="D24" s="49">
        <f>AVERAGE('29.07 Kisasi-Bukoto'!D24,'30.07 Kisasi-Bukoto'!D24,'31.07 Kisasi-Bukoto'!D24,'02.08 Kisasi-Bukoto'!D24,'01.08 Kisasi-Bukoto'!D24,'03.08 Kisasi-Bukoto'!D24,'04.08 Kisasi-Bukoto'!D24)</f>
        <v>25.571428571428573</v>
      </c>
      <c r="E24" s="49">
        <f>AVERAGE('29.07 Kisasi-Bukoto'!E24,'30.07 Kisasi-Bukoto'!E24,'31.07 Kisasi-Bukoto'!E24,'02.08 Kisasi-Bukoto'!E24,'01.08 Kisasi-Bukoto'!E24,'03.08 Kisasi-Bukoto'!E24,'04.08 Kisasi-Bukoto'!E24)</f>
        <v>0.8571428571428571</v>
      </c>
      <c r="F24" s="49">
        <f>AVERAGE('29.07 Kisasi-Bukoto'!F24,'30.07 Kisasi-Bukoto'!F24,'31.07 Kisasi-Bukoto'!F24,'02.08 Kisasi-Bukoto'!F24,'01.08 Kisasi-Bukoto'!F24,'03.08 Kisasi-Bukoto'!F24,'04.08 Kisasi-Bukoto'!F24)</f>
        <v>8.4285714285714288</v>
      </c>
      <c r="G24" s="49">
        <f>AVERAGE('29.07 Kisasi-Bukoto'!G24,'30.07 Kisasi-Bukoto'!G24,'31.07 Kisasi-Bukoto'!G24,'02.08 Kisasi-Bukoto'!G24,'01.08 Kisasi-Bukoto'!G24,'03.08 Kisasi-Bukoto'!G24,'04.08 Kisasi-Bukoto'!G24)</f>
        <v>0.14285714285714285</v>
      </c>
      <c r="H24" s="49">
        <f>AVERAGE('29.07 Kisasi-Bukoto'!H24,'30.07 Kisasi-Bukoto'!H24,'31.07 Kisasi-Bukoto'!H24,'02.08 Kisasi-Bukoto'!H24,'01.08 Kisasi-Bukoto'!H24,'03.08 Kisasi-Bukoto'!H24,'04.08 Kisasi-Bukoto'!H24)</f>
        <v>0</v>
      </c>
      <c r="I24" s="49">
        <f>AVERAGE('29.07 Kisasi-Bukoto'!I24,'30.07 Kisasi-Bukoto'!I24,'31.07 Kisasi-Bukoto'!I24,'02.08 Kisasi-Bukoto'!I24,'01.08 Kisasi-Bukoto'!I24,'03.08 Kisasi-Bukoto'!I24,'04.08 Kisasi-Bukoto'!I24)</f>
        <v>3</v>
      </c>
      <c r="J24" s="49">
        <f>AVERAGE('29.07 Kisasi-Bukoto'!J24,'30.07 Kisasi-Bukoto'!J24,'31.07 Kisasi-Bukoto'!J24,'02.08 Kisasi-Bukoto'!J24,'01.08 Kisasi-Bukoto'!J24,'03.08 Kisasi-Bukoto'!J24,'04.08 Kisasi-Bukoto'!J24)</f>
        <v>0.14285714285714285</v>
      </c>
      <c r="K24" s="49">
        <f>AVERAGE('29.07 Kisasi-Bukoto'!K24,'30.07 Kisasi-Bukoto'!K24,'31.07 Kisasi-Bukoto'!K24,'02.08 Kisasi-Bukoto'!K24,'01.08 Kisasi-Bukoto'!K24,'03.08 Kisasi-Bukoto'!K24,'04.08 Kisasi-Bukoto'!K24)</f>
        <v>0</v>
      </c>
      <c r="L24" s="49">
        <f>AVERAGE('29.07 Kisasi-Bukoto'!L24,'30.07 Kisasi-Bukoto'!L24,'31.07 Kisasi-Bukoto'!L24,'02.08 Kisasi-Bukoto'!L24,'01.08 Kisasi-Bukoto'!L24,'03.08 Kisasi-Bukoto'!L24,'04.08 Kisasi-Bukoto'!L24)</f>
        <v>0</v>
      </c>
      <c r="M24" s="49">
        <f>AVERAGE('29.07 Kisasi-Bukoto'!M24,'30.07 Kisasi-Bukoto'!M24,'31.07 Kisasi-Bukoto'!M24,'02.08 Kisasi-Bukoto'!M24,'01.08 Kisasi-Bukoto'!M24,'03.08 Kisasi-Bukoto'!M24,'04.08 Kisasi-Bukoto'!M24)</f>
        <v>83</v>
      </c>
      <c r="N24" s="49">
        <f>AVERAGE('29.07 Kisasi-Bukoto'!N24,'30.07 Kisasi-Bukoto'!N24,'31.07 Kisasi-Bukoto'!N24,'02.08 Kisasi-Bukoto'!N24,'01.08 Kisasi-Bukoto'!N24,'03.08 Kisasi-Bukoto'!N24,'04.08 Kisasi-Bukoto'!N24)</f>
        <v>0</v>
      </c>
      <c r="O24" s="15">
        <f t="shared" si="0"/>
        <v>79.571428571428569</v>
      </c>
      <c r="P24" s="15">
        <f t="shared" si="1"/>
        <v>162.57142857142856</v>
      </c>
      <c r="R24" s="1" t="s">
        <v>148</v>
      </c>
      <c r="S24" s="34">
        <f>SUM(C66:C69)</f>
        <v>138.5</v>
      </c>
      <c r="T24" s="34">
        <f t="shared" ref="T24:AF24" si="16">SUM(D66:D69)</f>
        <v>81</v>
      </c>
      <c r="U24" s="34">
        <f t="shared" si="16"/>
        <v>1</v>
      </c>
      <c r="V24" s="34">
        <f t="shared" si="16"/>
        <v>25.5</v>
      </c>
      <c r="W24" s="34">
        <f t="shared" si="16"/>
        <v>0</v>
      </c>
      <c r="X24" s="34">
        <f t="shared" si="16"/>
        <v>0</v>
      </c>
      <c r="Y24" s="34">
        <f t="shared" si="16"/>
        <v>4.5</v>
      </c>
      <c r="Z24" s="34">
        <f t="shared" si="16"/>
        <v>0</v>
      </c>
      <c r="AA24" s="34">
        <f t="shared" si="16"/>
        <v>1</v>
      </c>
      <c r="AB24" s="34">
        <f t="shared" si="16"/>
        <v>0</v>
      </c>
      <c r="AC24" s="34">
        <f t="shared" si="16"/>
        <v>183</v>
      </c>
      <c r="AD24" s="34">
        <f t="shared" si="16"/>
        <v>0</v>
      </c>
      <c r="AE24" s="31">
        <f t="shared" si="16"/>
        <v>251.5</v>
      </c>
      <c r="AF24" s="31">
        <f t="shared" si="16"/>
        <v>434.5</v>
      </c>
    </row>
    <row r="25" spans="2:32" ht="23.1" customHeight="1" x14ac:dyDescent="0.25">
      <c r="B25" s="23" t="s">
        <v>52</v>
      </c>
      <c r="C25" s="49">
        <f>AVERAGE('29.07 Kisasi-Bukoto'!C25,'30.07 Kisasi-Bukoto'!C25,'31.07 Kisasi-Bukoto'!C25,'02.08 Kisasi-Bukoto'!C25,'01.08 Kisasi-Bukoto'!C25,'03.08 Kisasi-Bukoto'!C25,'04.08 Kisasi-Bukoto'!C25)</f>
        <v>43.142857142857146</v>
      </c>
      <c r="D25" s="49">
        <f>AVERAGE('29.07 Kisasi-Bukoto'!D25,'30.07 Kisasi-Bukoto'!D25,'31.07 Kisasi-Bukoto'!D25,'02.08 Kisasi-Bukoto'!D25,'01.08 Kisasi-Bukoto'!D25,'03.08 Kisasi-Bukoto'!D25,'04.08 Kisasi-Bukoto'!D25)</f>
        <v>21.428571428571427</v>
      </c>
      <c r="E25" s="49">
        <f>AVERAGE('29.07 Kisasi-Bukoto'!E25,'30.07 Kisasi-Bukoto'!E25,'31.07 Kisasi-Bukoto'!E25,'02.08 Kisasi-Bukoto'!E25,'01.08 Kisasi-Bukoto'!E25,'03.08 Kisasi-Bukoto'!E25,'04.08 Kisasi-Bukoto'!E25)</f>
        <v>2</v>
      </c>
      <c r="F25" s="49">
        <f>AVERAGE('29.07 Kisasi-Bukoto'!F25,'30.07 Kisasi-Bukoto'!F25,'31.07 Kisasi-Bukoto'!F25,'02.08 Kisasi-Bukoto'!F25,'01.08 Kisasi-Bukoto'!F25,'03.08 Kisasi-Bukoto'!F25,'04.08 Kisasi-Bukoto'!F25)</f>
        <v>11.285714285714286</v>
      </c>
      <c r="G25" s="49">
        <f>AVERAGE('29.07 Kisasi-Bukoto'!G25,'30.07 Kisasi-Bukoto'!G25,'31.07 Kisasi-Bukoto'!G25,'02.08 Kisasi-Bukoto'!G25,'01.08 Kisasi-Bukoto'!G25,'03.08 Kisasi-Bukoto'!G25,'04.08 Kisasi-Bukoto'!G25)</f>
        <v>0.14285714285714285</v>
      </c>
      <c r="H25" s="49">
        <f>AVERAGE('29.07 Kisasi-Bukoto'!H25,'30.07 Kisasi-Bukoto'!H25,'31.07 Kisasi-Bukoto'!H25,'02.08 Kisasi-Bukoto'!H25,'01.08 Kisasi-Bukoto'!H25,'03.08 Kisasi-Bukoto'!H25,'04.08 Kisasi-Bukoto'!H25)</f>
        <v>0</v>
      </c>
      <c r="I25" s="49">
        <f>AVERAGE('29.07 Kisasi-Bukoto'!I25,'30.07 Kisasi-Bukoto'!I25,'31.07 Kisasi-Bukoto'!I25,'02.08 Kisasi-Bukoto'!I25,'01.08 Kisasi-Bukoto'!I25,'03.08 Kisasi-Bukoto'!I25,'04.08 Kisasi-Bukoto'!I25)</f>
        <v>3.7142857142857144</v>
      </c>
      <c r="J25" s="49">
        <f>AVERAGE('29.07 Kisasi-Bukoto'!J25,'30.07 Kisasi-Bukoto'!J25,'31.07 Kisasi-Bukoto'!J25,'02.08 Kisasi-Bukoto'!J25,'01.08 Kisasi-Bukoto'!J25,'03.08 Kisasi-Bukoto'!J25,'04.08 Kisasi-Bukoto'!J25)</f>
        <v>0.14285714285714285</v>
      </c>
      <c r="K25" s="49">
        <f>AVERAGE('29.07 Kisasi-Bukoto'!K25,'30.07 Kisasi-Bukoto'!K25,'31.07 Kisasi-Bukoto'!K25,'02.08 Kisasi-Bukoto'!K25,'01.08 Kisasi-Bukoto'!K25,'03.08 Kisasi-Bukoto'!K25,'04.08 Kisasi-Bukoto'!K25)</f>
        <v>0.42857142857142855</v>
      </c>
      <c r="L25" s="49">
        <f>AVERAGE('29.07 Kisasi-Bukoto'!L25,'30.07 Kisasi-Bukoto'!L25,'31.07 Kisasi-Bukoto'!L25,'02.08 Kisasi-Bukoto'!L25,'01.08 Kisasi-Bukoto'!L25,'03.08 Kisasi-Bukoto'!L25,'04.08 Kisasi-Bukoto'!L25)</f>
        <v>0</v>
      </c>
      <c r="M25" s="49">
        <f>AVERAGE('29.07 Kisasi-Bukoto'!M25,'30.07 Kisasi-Bukoto'!M25,'31.07 Kisasi-Bukoto'!M25,'02.08 Kisasi-Bukoto'!M25,'01.08 Kisasi-Bukoto'!M25,'03.08 Kisasi-Bukoto'!M25,'04.08 Kisasi-Bukoto'!M25)</f>
        <v>72.428571428571431</v>
      </c>
      <c r="N25" s="49">
        <f>AVERAGE('29.07 Kisasi-Bukoto'!N25,'30.07 Kisasi-Bukoto'!N25,'31.07 Kisasi-Bukoto'!N25,'02.08 Kisasi-Bukoto'!N25,'01.08 Kisasi-Bukoto'!N25,'03.08 Kisasi-Bukoto'!N25,'04.08 Kisasi-Bukoto'!N25)</f>
        <v>0</v>
      </c>
      <c r="O25" s="15">
        <f t="shared" si="0"/>
        <v>82.285714285714278</v>
      </c>
      <c r="P25" s="15">
        <f t="shared" si="1"/>
        <v>154.71428571428572</v>
      </c>
      <c r="R25" s="1" t="s">
        <v>149</v>
      </c>
      <c r="S25" s="34">
        <f>SUM(C70:C73)</f>
        <v>108.5</v>
      </c>
      <c r="T25" s="34">
        <f t="shared" ref="T25:AF25" si="17">SUM(D70:D73)</f>
        <v>59.5</v>
      </c>
      <c r="U25" s="34">
        <f t="shared" si="17"/>
        <v>0</v>
      </c>
      <c r="V25" s="34">
        <f t="shared" si="17"/>
        <v>19.5</v>
      </c>
      <c r="W25" s="34">
        <f t="shared" si="17"/>
        <v>0</v>
      </c>
      <c r="X25" s="34">
        <f t="shared" si="17"/>
        <v>0</v>
      </c>
      <c r="Y25" s="34">
        <f t="shared" si="17"/>
        <v>6.5</v>
      </c>
      <c r="Z25" s="34">
        <f t="shared" si="17"/>
        <v>0</v>
      </c>
      <c r="AA25" s="34">
        <f t="shared" si="17"/>
        <v>0.5</v>
      </c>
      <c r="AB25" s="34">
        <f t="shared" si="17"/>
        <v>0</v>
      </c>
      <c r="AC25" s="34">
        <f t="shared" si="17"/>
        <v>109.5</v>
      </c>
      <c r="AD25" s="34">
        <f t="shared" si="17"/>
        <v>0</v>
      </c>
      <c r="AE25" s="31">
        <f t="shared" si="17"/>
        <v>194.5</v>
      </c>
      <c r="AF25" s="31">
        <f t="shared" si="17"/>
        <v>304</v>
      </c>
    </row>
    <row r="26" spans="2:32" ht="23.1" customHeight="1" x14ac:dyDescent="0.25">
      <c r="B26" s="23" t="s">
        <v>53</v>
      </c>
      <c r="C26" s="49">
        <f>AVERAGE('29.07 Kisasi-Bukoto'!C26,'30.07 Kisasi-Bukoto'!C26,'31.07 Kisasi-Bukoto'!C26,'02.08 Kisasi-Bukoto'!C26,'01.08 Kisasi-Bukoto'!C26,'03.08 Kisasi-Bukoto'!C26,'04.08 Kisasi-Bukoto'!C26)</f>
        <v>48</v>
      </c>
      <c r="D26" s="49">
        <f>AVERAGE('29.07 Kisasi-Bukoto'!D26,'30.07 Kisasi-Bukoto'!D26,'31.07 Kisasi-Bukoto'!D26,'02.08 Kisasi-Bukoto'!D26,'01.08 Kisasi-Bukoto'!D26,'03.08 Kisasi-Bukoto'!D26,'04.08 Kisasi-Bukoto'!D26)</f>
        <v>27</v>
      </c>
      <c r="E26" s="49">
        <f>AVERAGE('29.07 Kisasi-Bukoto'!E26,'30.07 Kisasi-Bukoto'!E26,'31.07 Kisasi-Bukoto'!E26,'02.08 Kisasi-Bukoto'!E26,'01.08 Kisasi-Bukoto'!E26,'03.08 Kisasi-Bukoto'!E26,'04.08 Kisasi-Bukoto'!E26)</f>
        <v>1.5714285714285714</v>
      </c>
      <c r="F26" s="49">
        <f>AVERAGE('29.07 Kisasi-Bukoto'!F26,'30.07 Kisasi-Bukoto'!F26,'31.07 Kisasi-Bukoto'!F26,'02.08 Kisasi-Bukoto'!F26,'01.08 Kisasi-Bukoto'!F26,'03.08 Kisasi-Bukoto'!F26,'04.08 Kisasi-Bukoto'!F26)</f>
        <v>12</v>
      </c>
      <c r="G26" s="49">
        <f>AVERAGE('29.07 Kisasi-Bukoto'!G26,'30.07 Kisasi-Bukoto'!G26,'31.07 Kisasi-Bukoto'!G26,'02.08 Kisasi-Bukoto'!G26,'01.08 Kisasi-Bukoto'!G26,'03.08 Kisasi-Bukoto'!G26,'04.08 Kisasi-Bukoto'!G26)</f>
        <v>0</v>
      </c>
      <c r="H26" s="49">
        <f>AVERAGE('29.07 Kisasi-Bukoto'!H26,'30.07 Kisasi-Bukoto'!H26,'31.07 Kisasi-Bukoto'!H26,'02.08 Kisasi-Bukoto'!H26,'01.08 Kisasi-Bukoto'!H26,'03.08 Kisasi-Bukoto'!H26,'04.08 Kisasi-Bukoto'!H26)</f>
        <v>0</v>
      </c>
      <c r="I26" s="49">
        <f>AVERAGE('29.07 Kisasi-Bukoto'!I26,'30.07 Kisasi-Bukoto'!I26,'31.07 Kisasi-Bukoto'!I26,'02.08 Kisasi-Bukoto'!I26,'01.08 Kisasi-Bukoto'!I26,'03.08 Kisasi-Bukoto'!I26,'04.08 Kisasi-Bukoto'!I26)</f>
        <v>1.8571428571428572</v>
      </c>
      <c r="J26" s="49">
        <f>AVERAGE('29.07 Kisasi-Bukoto'!J26,'30.07 Kisasi-Bukoto'!J26,'31.07 Kisasi-Bukoto'!J26,'02.08 Kisasi-Bukoto'!J26,'01.08 Kisasi-Bukoto'!J26,'03.08 Kisasi-Bukoto'!J26,'04.08 Kisasi-Bukoto'!J26)</f>
        <v>0.5714285714285714</v>
      </c>
      <c r="K26" s="49">
        <f>AVERAGE('29.07 Kisasi-Bukoto'!K26,'30.07 Kisasi-Bukoto'!K26,'31.07 Kisasi-Bukoto'!K26,'02.08 Kisasi-Bukoto'!K26,'01.08 Kisasi-Bukoto'!K26,'03.08 Kisasi-Bukoto'!K26,'04.08 Kisasi-Bukoto'!K26)</f>
        <v>0.42857142857142855</v>
      </c>
      <c r="L26" s="49">
        <f>AVERAGE('29.07 Kisasi-Bukoto'!L26,'30.07 Kisasi-Bukoto'!L26,'31.07 Kisasi-Bukoto'!L26,'02.08 Kisasi-Bukoto'!L26,'01.08 Kisasi-Bukoto'!L26,'03.08 Kisasi-Bukoto'!L26,'04.08 Kisasi-Bukoto'!L26)</f>
        <v>0</v>
      </c>
      <c r="M26" s="49">
        <f>AVERAGE('29.07 Kisasi-Bukoto'!M26,'30.07 Kisasi-Bukoto'!M26,'31.07 Kisasi-Bukoto'!M26,'02.08 Kisasi-Bukoto'!M26,'01.08 Kisasi-Bukoto'!M26,'03.08 Kisasi-Bukoto'!M26,'04.08 Kisasi-Bukoto'!M26)</f>
        <v>73.142857142857139</v>
      </c>
      <c r="N26" s="49">
        <f>AVERAGE('29.07 Kisasi-Bukoto'!N26,'30.07 Kisasi-Bukoto'!N26,'31.07 Kisasi-Bukoto'!N26,'02.08 Kisasi-Bukoto'!N26,'01.08 Kisasi-Bukoto'!N26,'03.08 Kisasi-Bukoto'!N26,'04.08 Kisasi-Bukoto'!N26)</f>
        <v>0</v>
      </c>
      <c r="O26" s="15">
        <f t="shared" si="0"/>
        <v>91.428571428571431</v>
      </c>
      <c r="P26" s="15">
        <f t="shared" si="1"/>
        <v>164.57142857142856</v>
      </c>
      <c r="R26" s="1" t="s">
        <v>150</v>
      </c>
      <c r="S26" s="34">
        <f>SUM(C74:C77)</f>
        <v>53.5</v>
      </c>
      <c r="T26" s="34">
        <f t="shared" ref="T26:AF26" si="18">SUM(D74:D77)</f>
        <v>33.5</v>
      </c>
      <c r="U26" s="34">
        <f t="shared" si="18"/>
        <v>0</v>
      </c>
      <c r="V26" s="34">
        <f t="shared" si="18"/>
        <v>3</v>
      </c>
      <c r="W26" s="34">
        <f t="shared" si="18"/>
        <v>0</v>
      </c>
      <c r="X26" s="34">
        <f t="shared" si="18"/>
        <v>0</v>
      </c>
      <c r="Y26" s="34">
        <f t="shared" si="18"/>
        <v>1.5</v>
      </c>
      <c r="Z26" s="34">
        <f t="shared" si="18"/>
        <v>0.5</v>
      </c>
      <c r="AA26" s="34">
        <f t="shared" si="18"/>
        <v>0</v>
      </c>
      <c r="AB26" s="34">
        <f t="shared" si="18"/>
        <v>0</v>
      </c>
      <c r="AC26" s="34">
        <f t="shared" si="18"/>
        <v>81</v>
      </c>
      <c r="AD26" s="34">
        <f t="shared" si="18"/>
        <v>0</v>
      </c>
      <c r="AE26" s="31">
        <f t="shared" si="18"/>
        <v>92</v>
      </c>
      <c r="AF26" s="31">
        <f t="shared" si="18"/>
        <v>173</v>
      </c>
    </row>
    <row r="27" spans="2:32" ht="23.1" customHeight="1" x14ac:dyDescent="0.25">
      <c r="B27" s="23" t="s">
        <v>54</v>
      </c>
      <c r="C27" s="49">
        <f>AVERAGE('29.07 Kisasi-Bukoto'!C27,'30.07 Kisasi-Bukoto'!C27,'31.07 Kisasi-Bukoto'!C27,'02.08 Kisasi-Bukoto'!C27,'01.08 Kisasi-Bukoto'!C27,'03.08 Kisasi-Bukoto'!C27,'04.08 Kisasi-Bukoto'!C27)</f>
        <v>46.285714285714285</v>
      </c>
      <c r="D27" s="49">
        <f>AVERAGE('29.07 Kisasi-Bukoto'!D27,'30.07 Kisasi-Bukoto'!D27,'31.07 Kisasi-Bukoto'!D27,'02.08 Kisasi-Bukoto'!D27,'01.08 Kisasi-Bukoto'!D27,'03.08 Kisasi-Bukoto'!D27,'04.08 Kisasi-Bukoto'!D27)</f>
        <v>22.571428571428573</v>
      </c>
      <c r="E27" s="49">
        <f>AVERAGE('29.07 Kisasi-Bukoto'!E27,'30.07 Kisasi-Bukoto'!E27,'31.07 Kisasi-Bukoto'!E27,'02.08 Kisasi-Bukoto'!E27,'01.08 Kisasi-Bukoto'!E27,'03.08 Kisasi-Bukoto'!E27,'04.08 Kisasi-Bukoto'!E27)</f>
        <v>1.4285714285714286</v>
      </c>
      <c r="F27" s="49">
        <f>AVERAGE('29.07 Kisasi-Bukoto'!F27,'30.07 Kisasi-Bukoto'!F27,'31.07 Kisasi-Bukoto'!F27,'02.08 Kisasi-Bukoto'!F27,'01.08 Kisasi-Bukoto'!F27,'03.08 Kisasi-Bukoto'!F27,'04.08 Kisasi-Bukoto'!F27)</f>
        <v>9.8571428571428577</v>
      </c>
      <c r="G27" s="49">
        <f>AVERAGE('29.07 Kisasi-Bukoto'!G27,'30.07 Kisasi-Bukoto'!G27,'31.07 Kisasi-Bukoto'!G27,'02.08 Kisasi-Bukoto'!G27,'01.08 Kisasi-Bukoto'!G27,'03.08 Kisasi-Bukoto'!G27,'04.08 Kisasi-Bukoto'!G27)</f>
        <v>0</v>
      </c>
      <c r="H27" s="49">
        <f>AVERAGE('29.07 Kisasi-Bukoto'!H27,'30.07 Kisasi-Bukoto'!H27,'31.07 Kisasi-Bukoto'!H27,'02.08 Kisasi-Bukoto'!H27,'01.08 Kisasi-Bukoto'!H27,'03.08 Kisasi-Bukoto'!H27,'04.08 Kisasi-Bukoto'!H27)</f>
        <v>0</v>
      </c>
      <c r="I27" s="49">
        <f>AVERAGE('29.07 Kisasi-Bukoto'!I27,'30.07 Kisasi-Bukoto'!I27,'31.07 Kisasi-Bukoto'!I27,'02.08 Kisasi-Bukoto'!I27,'01.08 Kisasi-Bukoto'!I27,'03.08 Kisasi-Bukoto'!I27,'04.08 Kisasi-Bukoto'!I27)</f>
        <v>2.4285714285714284</v>
      </c>
      <c r="J27" s="49">
        <f>AVERAGE('29.07 Kisasi-Bukoto'!J27,'30.07 Kisasi-Bukoto'!J27,'31.07 Kisasi-Bukoto'!J27,'02.08 Kisasi-Bukoto'!J27,'01.08 Kisasi-Bukoto'!J27,'03.08 Kisasi-Bukoto'!J27,'04.08 Kisasi-Bukoto'!J27)</f>
        <v>0</v>
      </c>
      <c r="K27" s="49">
        <f>AVERAGE('29.07 Kisasi-Bukoto'!K27,'30.07 Kisasi-Bukoto'!K27,'31.07 Kisasi-Bukoto'!K27,'02.08 Kisasi-Bukoto'!K27,'01.08 Kisasi-Bukoto'!K27,'03.08 Kisasi-Bukoto'!K27,'04.08 Kisasi-Bukoto'!K27)</f>
        <v>0</v>
      </c>
      <c r="L27" s="49">
        <f>AVERAGE('29.07 Kisasi-Bukoto'!L27,'30.07 Kisasi-Bukoto'!L27,'31.07 Kisasi-Bukoto'!L27,'02.08 Kisasi-Bukoto'!L27,'01.08 Kisasi-Bukoto'!L27,'03.08 Kisasi-Bukoto'!L27,'04.08 Kisasi-Bukoto'!L27)</f>
        <v>0</v>
      </c>
      <c r="M27" s="49">
        <f>AVERAGE('29.07 Kisasi-Bukoto'!M27,'30.07 Kisasi-Bukoto'!M27,'31.07 Kisasi-Bukoto'!M27,'02.08 Kisasi-Bukoto'!M27,'01.08 Kisasi-Bukoto'!M27,'03.08 Kisasi-Bukoto'!M27,'04.08 Kisasi-Bukoto'!M27)</f>
        <v>69.571428571428569</v>
      </c>
      <c r="N27" s="49">
        <f>AVERAGE('29.07 Kisasi-Bukoto'!N27,'30.07 Kisasi-Bukoto'!N27,'31.07 Kisasi-Bukoto'!N27,'02.08 Kisasi-Bukoto'!N27,'01.08 Kisasi-Bukoto'!N27,'03.08 Kisasi-Bukoto'!N27,'04.08 Kisasi-Bukoto'!N27)</f>
        <v>0</v>
      </c>
      <c r="O27" s="15">
        <f t="shared" si="0"/>
        <v>82.571428571428584</v>
      </c>
      <c r="P27" s="15">
        <f t="shared" si="1"/>
        <v>152.14285714285717</v>
      </c>
      <c r="R27" s="1" t="s">
        <v>151</v>
      </c>
      <c r="S27" s="34">
        <f>SUM(C78:C81)</f>
        <v>46.5</v>
      </c>
      <c r="T27" s="34">
        <f t="shared" ref="T27:AF27" si="19">SUM(D78:D81)</f>
        <v>22</v>
      </c>
      <c r="U27" s="34">
        <f t="shared" si="19"/>
        <v>0</v>
      </c>
      <c r="V27" s="34">
        <f t="shared" si="19"/>
        <v>7</v>
      </c>
      <c r="W27" s="34">
        <f t="shared" si="19"/>
        <v>0.5</v>
      </c>
      <c r="X27" s="34">
        <f t="shared" si="19"/>
        <v>0</v>
      </c>
      <c r="Y27" s="34">
        <f t="shared" si="19"/>
        <v>0.5</v>
      </c>
      <c r="Z27" s="34">
        <f t="shared" si="19"/>
        <v>0.5</v>
      </c>
      <c r="AA27" s="34">
        <f t="shared" si="19"/>
        <v>0</v>
      </c>
      <c r="AB27" s="34">
        <f t="shared" si="19"/>
        <v>0</v>
      </c>
      <c r="AC27" s="34">
        <f t="shared" si="19"/>
        <v>47</v>
      </c>
      <c r="AD27" s="34">
        <f t="shared" si="19"/>
        <v>0</v>
      </c>
      <c r="AE27" s="31">
        <f t="shared" si="19"/>
        <v>77</v>
      </c>
      <c r="AF27" s="31">
        <f t="shared" si="19"/>
        <v>124</v>
      </c>
    </row>
    <row r="28" spans="2:32" ht="23.1" customHeight="1" x14ac:dyDescent="0.25">
      <c r="B28" s="23" t="s">
        <v>55</v>
      </c>
      <c r="C28" s="49">
        <f>AVERAGE('29.07 Kisasi-Bukoto'!C28,'30.07 Kisasi-Bukoto'!C28,'31.07 Kisasi-Bukoto'!C28,'02.08 Kisasi-Bukoto'!C28,'01.08 Kisasi-Bukoto'!C28,'03.08 Kisasi-Bukoto'!C28,'04.08 Kisasi-Bukoto'!C28)</f>
        <v>38.714285714285715</v>
      </c>
      <c r="D28" s="49">
        <f>AVERAGE('29.07 Kisasi-Bukoto'!D28,'30.07 Kisasi-Bukoto'!D28,'31.07 Kisasi-Bukoto'!D28,'02.08 Kisasi-Bukoto'!D28,'01.08 Kisasi-Bukoto'!D28,'03.08 Kisasi-Bukoto'!D28,'04.08 Kisasi-Bukoto'!D28)</f>
        <v>23.285714285714285</v>
      </c>
      <c r="E28" s="49">
        <f>AVERAGE('29.07 Kisasi-Bukoto'!E28,'30.07 Kisasi-Bukoto'!E28,'31.07 Kisasi-Bukoto'!E28,'02.08 Kisasi-Bukoto'!E28,'01.08 Kisasi-Bukoto'!E28,'03.08 Kisasi-Bukoto'!E28,'04.08 Kisasi-Bukoto'!E28)</f>
        <v>0.8571428571428571</v>
      </c>
      <c r="F28" s="49">
        <f>AVERAGE('29.07 Kisasi-Bukoto'!F28,'30.07 Kisasi-Bukoto'!F28,'31.07 Kisasi-Bukoto'!F28,'02.08 Kisasi-Bukoto'!F28,'01.08 Kisasi-Bukoto'!F28,'03.08 Kisasi-Bukoto'!F28,'04.08 Kisasi-Bukoto'!F28)</f>
        <v>10.428571428571429</v>
      </c>
      <c r="G28" s="49">
        <f>AVERAGE('29.07 Kisasi-Bukoto'!G28,'30.07 Kisasi-Bukoto'!G28,'31.07 Kisasi-Bukoto'!G28,'02.08 Kisasi-Bukoto'!G28,'01.08 Kisasi-Bukoto'!G28,'03.08 Kisasi-Bukoto'!G28,'04.08 Kisasi-Bukoto'!G28)</f>
        <v>0</v>
      </c>
      <c r="H28" s="49">
        <f>AVERAGE('29.07 Kisasi-Bukoto'!H28,'30.07 Kisasi-Bukoto'!H28,'31.07 Kisasi-Bukoto'!H28,'02.08 Kisasi-Bukoto'!H28,'01.08 Kisasi-Bukoto'!H28,'03.08 Kisasi-Bukoto'!H28,'04.08 Kisasi-Bukoto'!H28)</f>
        <v>0</v>
      </c>
      <c r="I28" s="49">
        <f>AVERAGE('29.07 Kisasi-Bukoto'!I28,'30.07 Kisasi-Bukoto'!I28,'31.07 Kisasi-Bukoto'!I28,'02.08 Kisasi-Bukoto'!I28,'01.08 Kisasi-Bukoto'!I28,'03.08 Kisasi-Bukoto'!I28,'04.08 Kisasi-Bukoto'!I28)</f>
        <v>2.1428571428571428</v>
      </c>
      <c r="J28" s="49">
        <f>AVERAGE('29.07 Kisasi-Bukoto'!J28,'30.07 Kisasi-Bukoto'!J28,'31.07 Kisasi-Bukoto'!J28,'02.08 Kisasi-Bukoto'!J28,'01.08 Kisasi-Bukoto'!J28,'03.08 Kisasi-Bukoto'!J28,'04.08 Kisasi-Bukoto'!J28)</f>
        <v>0.42857142857142855</v>
      </c>
      <c r="K28" s="49">
        <f>AVERAGE('29.07 Kisasi-Bukoto'!K28,'30.07 Kisasi-Bukoto'!K28,'31.07 Kisasi-Bukoto'!K28,'02.08 Kisasi-Bukoto'!K28,'01.08 Kisasi-Bukoto'!K28,'03.08 Kisasi-Bukoto'!K28,'04.08 Kisasi-Bukoto'!K28)</f>
        <v>0</v>
      </c>
      <c r="L28" s="49">
        <f>AVERAGE('29.07 Kisasi-Bukoto'!L28,'30.07 Kisasi-Bukoto'!L28,'31.07 Kisasi-Bukoto'!L28,'02.08 Kisasi-Bukoto'!L28,'01.08 Kisasi-Bukoto'!L28,'03.08 Kisasi-Bukoto'!L28,'04.08 Kisasi-Bukoto'!L28)</f>
        <v>0</v>
      </c>
      <c r="M28" s="49">
        <f>AVERAGE('29.07 Kisasi-Bukoto'!M28,'30.07 Kisasi-Bukoto'!M28,'31.07 Kisasi-Bukoto'!M28,'02.08 Kisasi-Bukoto'!M28,'01.08 Kisasi-Bukoto'!M28,'03.08 Kisasi-Bukoto'!M28,'04.08 Kisasi-Bukoto'!M28)</f>
        <v>74.571428571428569</v>
      </c>
      <c r="N28" s="49">
        <f>AVERAGE('29.07 Kisasi-Bukoto'!N28,'30.07 Kisasi-Bukoto'!N28,'31.07 Kisasi-Bukoto'!N28,'02.08 Kisasi-Bukoto'!N28,'01.08 Kisasi-Bukoto'!N28,'03.08 Kisasi-Bukoto'!N28,'04.08 Kisasi-Bukoto'!N28)</f>
        <v>0</v>
      </c>
      <c r="O28" s="15">
        <f t="shared" si="0"/>
        <v>75.857142857142847</v>
      </c>
      <c r="P28" s="15">
        <f t="shared" si="1"/>
        <v>150.42857142857142</v>
      </c>
      <c r="R28" s="1" t="s">
        <v>152</v>
      </c>
      <c r="S28" s="34">
        <f>SUM(C82:C85)</f>
        <v>23.5</v>
      </c>
      <c r="T28" s="34">
        <f t="shared" ref="T28:AF28" si="20">SUM(D82:D85)</f>
        <v>8</v>
      </c>
      <c r="U28" s="34">
        <f t="shared" si="20"/>
        <v>0</v>
      </c>
      <c r="V28" s="34">
        <f t="shared" si="20"/>
        <v>5</v>
      </c>
      <c r="W28" s="34">
        <f t="shared" si="20"/>
        <v>0</v>
      </c>
      <c r="X28" s="34">
        <f t="shared" si="20"/>
        <v>0</v>
      </c>
      <c r="Y28" s="34">
        <f t="shared" si="20"/>
        <v>0.5</v>
      </c>
      <c r="Z28" s="34">
        <f t="shared" si="20"/>
        <v>0.5</v>
      </c>
      <c r="AA28" s="34">
        <f t="shared" si="20"/>
        <v>0</v>
      </c>
      <c r="AB28" s="34">
        <f t="shared" si="20"/>
        <v>0</v>
      </c>
      <c r="AC28" s="34">
        <f t="shared" si="20"/>
        <v>37.5</v>
      </c>
      <c r="AD28" s="34">
        <f t="shared" si="20"/>
        <v>0</v>
      </c>
      <c r="AE28" s="31">
        <f t="shared" si="20"/>
        <v>37.5</v>
      </c>
      <c r="AF28" s="31">
        <f t="shared" si="20"/>
        <v>75</v>
      </c>
    </row>
    <row r="29" spans="2:32" ht="23.1" customHeight="1" x14ac:dyDescent="0.25">
      <c r="B29" s="23" t="s">
        <v>56</v>
      </c>
      <c r="C29" s="49">
        <f>AVERAGE('29.07 Kisasi-Bukoto'!C29,'30.07 Kisasi-Bukoto'!C29,'31.07 Kisasi-Bukoto'!C29,'02.08 Kisasi-Bukoto'!C29,'01.08 Kisasi-Bukoto'!C29,'03.08 Kisasi-Bukoto'!C29,'04.08 Kisasi-Bukoto'!C29)</f>
        <v>39.142857142857146</v>
      </c>
      <c r="D29" s="49">
        <f>AVERAGE('29.07 Kisasi-Bukoto'!D29,'30.07 Kisasi-Bukoto'!D29,'31.07 Kisasi-Bukoto'!D29,'02.08 Kisasi-Bukoto'!D29,'01.08 Kisasi-Bukoto'!D29,'03.08 Kisasi-Bukoto'!D29,'04.08 Kisasi-Bukoto'!D29)</f>
        <v>21.857142857142858</v>
      </c>
      <c r="E29" s="49">
        <f>AVERAGE('29.07 Kisasi-Bukoto'!E29,'30.07 Kisasi-Bukoto'!E29,'31.07 Kisasi-Bukoto'!E29,'02.08 Kisasi-Bukoto'!E29,'01.08 Kisasi-Bukoto'!E29,'03.08 Kisasi-Bukoto'!E29,'04.08 Kisasi-Bukoto'!E29)</f>
        <v>1.5714285714285714</v>
      </c>
      <c r="F29" s="49">
        <f>AVERAGE('29.07 Kisasi-Bukoto'!F29,'30.07 Kisasi-Bukoto'!F29,'31.07 Kisasi-Bukoto'!F29,'02.08 Kisasi-Bukoto'!F29,'01.08 Kisasi-Bukoto'!F29,'03.08 Kisasi-Bukoto'!F29,'04.08 Kisasi-Bukoto'!F29)</f>
        <v>11.285714285714286</v>
      </c>
      <c r="G29" s="49">
        <f>AVERAGE('29.07 Kisasi-Bukoto'!G29,'30.07 Kisasi-Bukoto'!G29,'31.07 Kisasi-Bukoto'!G29,'02.08 Kisasi-Bukoto'!G29,'01.08 Kisasi-Bukoto'!G29,'03.08 Kisasi-Bukoto'!G29,'04.08 Kisasi-Bukoto'!G29)</f>
        <v>0</v>
      </c>
      <c r="H29" s="49">
        <f>AVERAGE('29.07 Kisasi-Bukoto'!H29,'30.07 Kisasi-Bukoto'!H29,'31.07 Kisasi-Bukoto'!H29,'02.08 Kisasi-Bukoto'!H29,'01.08 Kisasi-Bukoto'!H29,'03.08 Kisasi-Bukoto'!H29,'04.08 Kisasi-Bukoto'!H29)</f>
        <v>0</v>
      </c>
      <c r="I29" s="49">
        <f>AVERAGE('29.07 Kisasi-Bukoto'!I29,'30.07 Kisasi-Bukoto'!I29,'31.07 Kisasi-Bukoto'!I29,'02.08 Kisasi-Bukoto'!I29,'01.08 Kisasi-Bukoto'!I29,'03.08 Kisasi-Bukoto'!I29,'04.08 Kisasi-Bukoto'!I29)</f>
        <v>2.8571428571428572</v>
      </c>
      <c r="J29" s="49">
        <f>AVERAGE('29.07 Kisasi-Bukoto'!J29,'30.07 Kisasi-Bukoto'!J29,'31.07 Kisasi-Bukoto'!J29,'02.08 Kisasi-Bukoto'!J29,'01.08 Kisasi-Bukoto'!J29,'03.08 Kisasi-Bukoto'!J29,'04.08 Kisasi-Bukoto'!J29)</f>
        <v>0.2857142857142857</v>
      </c>
      <c r="K29" s="49">
        <f>AVERAGE('29.07 Kisasi-Bukoto'!K29,'30.07 Kisasi-Bukoto'!K29,'31.07 Kisasi-Bukoto'!K29,'02.08 Kisasi-Bukoto'!K29,'01.08 Kisasi-Bukoto'!K29,'03.08 Kisasi-Bukoto'!K29,'04.08 Kisasi-Bukoto'!K29)</f>
        <v>0.5714285714285714</v>
      </c>
      <c r="L29" s="49">
        <f>AVERAGE('29.07 Kisasi-Bukoto'!L29,'30.07 Kisasi-Bukoto'!L29,'31.07 Kisasi-Bukoto'!L29,'02.08 Kisasi-Bukoto'!L29,'01.08 Kisasi-Bukoto'!L29,'03.08 Kisasi-Bukoto'!L29,'04.08 Kisasi-Bukoto'!L29)</f>
        <v>0</v>
      </c>
      <c r="M29" s="49">
        <f>AVERAGE('29.07 Kisasi-Bukoto'!M29,'30.07 Kisasi-Bukoto'!M29,'31.07 Kisasi-Bukoto'!M29,'02.08 Kisasi-Bukoto'!M29,'01.08 Kisasi-Bukoto'!M29,'03.08 Kisasi-Bukoto'!M29,'04.08 Kisasi-Bukoto'!M29)</f>
        <v>73.428571428571431</v>
      </c>
      <c r="N29" s="49">
        <f>AVERAGE('29.07 Kisasi-Bukoto'!N29,'30.07 Kisasi-Bukoto'!N29,'31.07 Kisasi-Bukoto'!N29,'02.08 Kisasi-Bukoto'!N29,'01.08 Kisasi-Bukoto'!N29,'03.08 Kisasi-Bukoto'!N29,'04.08 Kisasi-Bukoto'!N29)</f>
        <v>0</v>
      </c>
      <c r="O29" s="15">
        <f t="shared" si="0"/>
        <v>77.571428571428584</v>
      </c>
      <c r="P29" s="15">
        <f t="shared" si="1"/>
        <v>151</v>
      </c>
      <c r="R29" s="1" t="s">
        <v>153</v>
      </c>
      <c r="S29" s="34">
        <f>SUM(C86:C89)</f>
        <v>18.5</v>
      </c>
      <c r="T29" s="34">
        <f t="shared" ref="T29:AF29" si="21">SUM(D86:D89)</f>
        <v>10.5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21</v>
      </c>
      <c r="AD29" s="34">
        <f t="shared" si="21"/>
        <v>0</v>
      </c>
      <c r="AE29" s="31">
        <f t="shared" si="21"/>
        <v>29</v>
      </c>
      <c r="AF29" s="31">
        <f t="shared" si="21"/>
        <v>50</v>
      </c>
    </row>
    <row r="30" spans="2:32" ht="23.1" customHeight="1" x14ac:dyDescent="0.25">
      <c r="B30" s="23" t="s">
        <v>57</v>
      </c>
      <c r="C30" s="49">
        <f>AVERAGE('29.07 Kisasi-Bukoto'!C30,'30.07 Kisasi-Bukoto'!C30,'31.07 Kisasi-Bukoto'!C30,'02.08 Kisasi-Bukoto'!C30,'01.08 Kisasi-Bukoto'!C30,'03.08 Kisasi-Bukoto'!C30,'04.08 Kisasi-Bukoto'!C30)</f>
        <v>35.142857142857146</v>
      </c>
      <c r="D30" s="49">
        <f>AVERAGE('29.07 Kisasi-Bukoto'!D30,'30.07 Kisasi-Bukoto'!D30,'31.07 Kisasi-Bukoto'!D30,'02.08 Kisasi-Bukoto'!D30,'01.08 Kisasi-Bukoto'!D30,'03.08 Kisasi-Bukoto'!D30,'04.08 Kisasi-Bukoto'!D30)</f>
        <v>22.285714285714285</v>
      </c>
      <c r="E30" s="49">
        <f>AVERAGE('29.07 Kisasi-Bukoto'!E30,'30.07 Kisasi-Bukoto'!E30,'31.07 Kisasi-Bukoto'!E30,'02.08 Kisasi-Bukoto'!E30,'01.08 Kisasi-Bukoto'!E30,'03.08 Kisasi-Bukoto'!E30,'04.08 Kisasi-Bukoto'!E30)</f>
        <v>1.5714285714285714</v>
      </c>
      <c r="F30" s="49">
        <f>AVERAGE('29.07 Kisasi-Bukoto'!F30,'30.07 Kisasi-Bukoto'!F30,'31.07 Kisasi-Bukoto'!F30,'02.08 Kisasi-Bukoto'!F30,'01.08 Kisasi-Bukoto'!F30,'03.08 Kisasi-Bukoto'!F30,'04.08 Kisasi-Bukoto'!F30)</f>
        <v>10.857142857142858</v>
      </c>
      <c r="G30" s="49">
        <f>AVERAGE('29.07 Kisasi-Bukoto'!G30,'30.07 Kisasi-Bukoto'!G30,'31.07 Kisasi-Bukoto'!G30,'02.08 Kisasi-Bukoto'!G30,'01.08 Kisasi-Bukoto'!G30,'03.08 Kisasi-Bukoto'!G30,'04.08 Kisasi-Bukoto'!G30)</f>
        <v>0</v>
      </c>
      <c r="H30" s="49">
        <f>AVERAGE('29.07 Kisasi-Bukoto'!H30,'30.07 Kisasi-Bukoto'!H30,'31.07 Kisasi-Bukoto'!H30,'02.08 Kisasi-Bukoto'!H30,'01.08 Kisasi-Bukoto'!H30,'03.08 Kisasi-Bukoto'!H30,'04.08 Kisasi-Bukoto'!H30)</f>
        <v>0</v>
      </c>
      <c r="I30" s="49">
        <f>AVERAGE('29.07 Kisasi-Bukoto'!I30,'30.07 Kisasi-Bukoto'!I30,'31.07 Kisasi-Bukoto'!I30,'02.08 Kisasi-Bukoto'!I30,'01.08 Kisasi-Bukoto'!I30,'03.08 Kisasi-Bukoto'!I30,'04.08 Kisasi-Bukoto'!I30)</f>
        <v>2.2857142857142856</v>
      </c>
      <c r="J30" s="49">
        <f>AVERAGE('29.07 Kisasi-Bukoto'!J30,'30.07 Kisasi-Bukoto'!J30,'31.07 Kisasi-Bukoto'!J30,'02.08 Kisasi-Bukoto'!J30,'01.08 Kisasi-Bukoto'!J30,'03.08 Kisasi-Bukoto'!J30,'04.08 Kisasi-Bukoto'!J30)</f>
        <v>0.14285714285714285</v>
      </c>
      <c r="K30" s="49">
        <f>AVERAGE('29.07 Kisasi-Bukoto'!K30,'30.07 Kisasi-Bukoto'!K30,'31.07 Kisasi-Bukoto'!K30,'02.08 Kisasi-Bukoto'!K30,'01.08 Kisasi-Bukoto'!K30,'03.08 Kisasi-Bukoto'!K30,'04.08 Kisasi-Bukoto'!K30)</f>
        <v>0.14285714285714285</v>
      </c>
      <c r="L30" s="49">
        <f>AVERAGE('29.07 Kisasi-Bukoto'!L30,'30.07 Kisasi-Bukoto'!L30,'31.07 Kisasi-Bukoto'!L30,'02.08 Kisasi-Bukoto'!L30,'01.08 Kisasi-Bukoto'!L30,'03.08 Kisasi-Bukoto'!L30,'04.08 Kisasi-Bukoto'!L30)</f>
        <v>0</v>
      </c>
      <c r="M30" s="49">
        <f>AVERAGE('29.07 Kisasi-Bukoto'!M30,'30.07 Kisasi-Bukoto'!M30,'31.07 Kisasi-Bukoto'!M30,'02.08 Kisasi-Bukoto'!M30,'01.08 Kisasi-Bukoto'!M30,'03.08 Kisasi-Bukoto'!M30,'04.08 Kisasi-Bukoto'!M30)</f>
        <v>69.285714285714292</v>
      </c>
      <c r="N30" s="49">
        <f>AVERAGE('29.07 Kisasi-Bukoto'!N30,'30.07 Kisasi-Bukoto'!N30,'31.07 Kisasi-Bukoto'!N30,'02.08 Kisasi-Bukoto'!N30,'01.08 Kisasi-Bukoto'!N30,'03.08 Kisasi-Bukoto'!N30,'04.08 Kisasi-Bukoto'!N30)</f>
        <v>0</v>
      </c>
      <c r="O30" s="15">
        <f t="shared" si="0"/>
        <v>72.428571428571431</v>
      </c>
      <c r="P30" s="15">
        <f t="shared" si="1"/>
        <v>141.71428571428572</v>
      </c>
      <c r="R30" s="1" t="s">
        <v>154</v>
      </c>
      <c r="S30" s="34">
        <f>SUM(C90:C93)</f>
        <v>24</v>
      </c>
      <c r="T30" s="34">
        <f t="shared" ref="T30:AF30" si="22">SUM(D90:D93)</f>
        <v>5.5</v>
      </c>
      <c r="U30" s="34">
        <f t="shared" si="22"/>
        <v>0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26</v>
      </c>
      <c r="AD30" s="34">
        <f t="shared" si="22"/>
        <v>0</v>
      </c>
      <c r="AE30" s="31">
        <f t="shared" si="22"/>
        <v>31.5</v>
      </c>
      <c r="AF30" s="31">
        <f t="shared" si="22"/>
        <v>57.5</v>
      </c>
    </row>
    <row r="31" spans="2:32" ht="23.1" customHeight="1" x14ac:dyDescent="0.25">
      <c r="B31" s="24" t="s">
        <v>58</v>
      </c>
      <c r="C31" s="49">
        <f>AVERAGE('29.07 Kisasi-Bukoto'!C31,'30.07 Kisasi-Bukoto'!C31,'31.07 Kisasi-Bukoto'!C31,'02.08 Kisasi-Bukoto'!C31,'01.08 Kisasi-Bukoto'!C31,'03.08 Kisasi-Bukoto'!C31,'04.08 Kisasi-Bukoto'!C31)</f>
        <v>38.285714285714285</v>
      </c>
      <c r="D31" s="49">
        <f>AVERAGE('29.07 Kisasi-Bukoto'!D31,'30.07 Kisasi-Bukoto'!D31,'31.07 Kisasi-Bukoto'!D31,'02.08 Kisasi-Bukoto'!D31,'01.08 Kisasi-Bukoto'!D31,'03.08 Kisasi-Bukoto'!D31,'04.08 Kisasi-Bukoto'!D31)</f>
        <v>18.857142857142858</v>
      </c>
      <c r="E31" s="49">
        <f>AVERAGE('29.07 Kisasi-Bukoto'!E31,'30.07 Kisasi-Bukoto'!E31,'31.07 Kisasi-Bukoto'!E31,'02.08 Kisasi-Bukoto'!E31,'01.08 Kisasi-Bukoto'!E31,'03.08 Kisasi-Bukoto'!E31,'04.08 Kisasi-Bukoto'!E31)</f>
        <v>1.7142857142857142</v>
      </c>
      <c r="F31" s="49">
        <f>AVERAGE('29.07 Kisasi-Bukoto'!F31,'30.07 Kisasi-Bukoto'!F31,'31.07 Kisasi-Bukoto'!F31,'02.08 Kisasi-Bukoto'!F31,'01.08 Kisasi-Bukoto'!F31,'03.08 Kisasi-Bukoto'!F31,'04.08 Kisasi-Bukoto'!F31)</f>
        <v>8.1428571428571423</v>
      </c>
      <c r="G31" s="49">
        <f>AVERAGE('29.07 Kisasi-Bukoto'!G31,'30.07 Kisasi-Bukoto'!G31,'31.07 Kisasi-Bukoto'!G31,'02.08 Kisasi-Bukoto'!G31,'01.08 Kisasi-Bukoto'!G31,'03.08 Kisasi-Bukoto'!G31,'04.08 Kisasi-Bukoto'!G31)</f>
        <v>0</v>
      </c>
      <c r="H31" s="49">
        <f>AVERAGE('29.07 Kisasi-Bukoto'!H31,'30.07 Kisasi-Bukoto'!H31,'31.07 Kisasi-Bukoto'!H31,'02.08 Kisasi-Bukoto'!H31,'01.08 Kisasi-Bukoto'!H31,'03.08 Kisasi-Bukoto'!H31,'04.08 Kisasi-Bukoto'!H31)</f>
        <v>0</v>
      </c>
      <c r="I31" s="49">
        <f>AVERAGE('29.07 Kisasi-Bukoto'!I31,'30.07 Kisasi-Bukoto'!I31,'31.07 Kisasi-Bukoto'!I31,'02.08 Kisasi-Bukoto'!I31,'01.08 Kisasi-Bukoto'!I31,'03.08 Kisasi-Bukoto'!I31,'04.08 Kisasi-Bukoto'!I31)</f>
        <v>3</v>
      </c>
      <c r="J31" s="49">
        <f>AVERAGE('29.07 Kisasi-Bukoto'!J31,'30.07 Kisasi-Bukoto'!J31,'31.07 Kisasi-Bukoto'!J31,'02.08 Kisasi-Bukoto'!J31,'01.08 Kisasi-Bukoto'!J31,'03.08 Kisasi-Bukoto'!J31,'04.08 Kisasi-Bukoto'!J31)</f>
        <v>0</v>
      </c>
      <c r="K31" s="49">
        <f>AVERAGE('29.07 Kisasi-Bukoto'!K31,'30.07 Kisasi-Bukoto'!K31,'31.07 Kisasi-Bukoto'!K31,'02.08 Kisasi-Bukoto'!K31,'01.08 Kisasi-Bukoto'!K31,'03.08 Kisasi-Bukoto'!K31,'04.08 Kisasi-Bukoto'!K31)</f>
        <v>0.14285714285714285</v>
      </c>
      <c r="L31" s="49">
        <f>AVERAGE('29.07 Kisasi-Bukoto'!L31,'30.07 Kisasi-Bukoto'!L31,'31.07 Kisasi-Bukoto'!L31,'02.08 Kisasi-Bukoto'!L31,'01.08 Kisasi-Bukoto'!L31,'03.08 Kisasi-Bukoto'!L31,'04.08 Kisasi-Bukoto'!L31)</f>
        <v>0</v>
      </c>
      <c r="M31" s="49">
        <f>AVERAGE('29.07 Kisasi-Bukoto'!M31,'30.07 Kisasi-Bukoto'!M31,'31.07 Kisasi-Bukoto'!M31,'02.08 Kisasi-Bukoto'!M31,'01.08 Kisasi-Bukoto'!M31,'03.08 Kisasi-Bukoto'!M31,'04.08 Kisasi-Bukoto'!M31)</f>
        <v>60.571428571428569</v>
      </c>
      <c r="N31" s="49">
        <f>AVERAGE('29.07 Kisasi-Bukoto'!N31,'30.07 Kisasi-Bukoto'!N31,'31.07 Kisasi-Bukoto'!N31,'02.08 Kisasi-Bukoto'!N31,'01.08 Kisasi-Bukoto'!N31,'03.08 Kisasi-Bukoto'!N31,'04.08 Kisasi-Bukoto'!N31)</f>
        <v>0</v>
      </c>
      <c r="O31" s="15">
        <f t="shared" si="0"/>
        <v>70.142857142857139</v>
      </c>
      <c r="P31" s="15">
        <f t="shared" si="1"/>
        <v>130.71428571428572</v>
      </c>
      <c r="R31" s="1" t="s">
        <v>155</v>
      </c>
      <c r="S31" s="34">
        <f>SUM(C94:C97)</f>
        <v>23</v>
      </c>
      <c r="T31" s="34">
        <f t="shared" ref="T31:AF31" si="23">SUM(D94:D97)</f>
        <v>8</v>
      </c>
      <c r="U31" s="34">
        <f t="shared" si="23"/>
        <v>0</v>
      </c>
      <c r="V31" s="34">
        <f t="shared" si="23"/>
        <v>2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17</v>
      </c>
      <c r="AD31" s="34">
        <f t="shared" si="23"/>
        <v>0</v>
      </c>
      <c r="AE31" s="31">
        <f t="shared" si="23"/>
        <v>33</v>
      </c>
      <c r="AF31" s="31">
        <f t="shared" si="23"/>
        <v>50</v>
      </c>
    </row>
    <row r="32" spans="2:32" ht="23.1" customHeight="1" x14ac:dyDescent="0.25">
      <c r="B32" s="24" t="s">
        <v>59</v>
      </c>
      <c r="C32" s="49">
        <f>AVERAGE('29.07 Kisasi-Bukoto'!C32,'30.07 Kisasi-Bukoto'!C32,'31.07 Kisasi-Bukoto'!C32,'02.08 Kisasi-Bukoto'!C32,'01.08 Kisasi-Bukoto'!C32,'03.08 Kisasi-Bukoto'!C32,'04.08 Kisasi-Bukoto'!C32)</f>
        <v>39.571428571428569</v>
      </c>
      <c r="D32" s="49">
        <f>AVERAGE('29.07 Kisasi-Bukoto'!D32,'30.07 Kisasi-Bukoto'!D32,'31.07 Kisasi-Bukoto'!D32,'02.08 Kisasi-Bukoto'!D32,'01.08 Kisasi-Bukoto'!D32,'03.08 Kisasi-Bukoto'!D32,'04.08 Kisasi-Bukoto'!D32)</f>
        <v>20.714285714285715</v>
      </c>
      <c r="E32" s="49">
        <f>AVERAGE('29.07 Kisasi-Bukoto'!E32,'30.07 Kisasi-Bukoto'!E32,'31.07 Kisasi-Bukoto'!E32,'02.08 Kisasi-Bukoto'!E32,'01.08 Kisasi-Bukoto'!E32,'03.08 Kisasi-Bukoto'!E32,'04.08 Kisasi-Bukoto'!E32)</f>
        <v>1.1428571428571428</v>
      </c>
      <c r="F32" s="49">
        <f>AVERAGE('29.07 Kisasi-Bukoto'!F32,'30.07 Kisasi-Bukoto'!F32,'31.07 Kisasi-Bukoto'!F32,'02.08 Kisasi-Bukoto'!F32,'01.08 Kisasi-Bukoto'!F32,'03.08 Kisasi-Bukoto'!F32,'04.08 Kisasi-Bukoto'!F32)</f>
        <v>9.2857142857142865</v>
      </c>
      <c r="G32" s="49">
        <f>AVERAGE('29.07 Kisasi-Bukoto'!G32,'30.07 Kisasi-Bukoto'!G32,'31.07 Kisasi-Bukoto'!G32,'02.08 Kisasi-Bukoto'!G32,'01.08 Kisasi-Bukoto'!G32,'03.08 Kisasi-Bukoto'!G32,'04.08 Kisasi-Bukoto'!G32)</f>
        <v>0.14285714285714285</v>
      </c>
      <c r="H32" s="49">
        <f>AVERAGE('29.07 Kisasi-Bukoto'!H32,'30.07 Kisasi-Bukoto'!H32,'31.07 Kisasi-Bukoto'!H32,'02.08 Kisasi-Bukoto'!H32,'01.08 Kisasi-Bukoto'!H32,'03.08 Kisasi-Bukoto'!H32,'04.08 Kisasi-Bukoto'!H32)</f>
        <v>0</v>
      </c>
      <c r="I32" s="49">
        <f>AVERAGE('29.07 Kisasi-Bukoto'!I32,'30.07 Kisasi-Bukoto'!I32,'31.07 Kisasi-Bukoto'!I32,'02.08 Kisasi-Bukoto'!I32,'01.08 Kisasi-Bukoto'!I32,'03.08 Kisasi-Bukoto'!I32,'04.08 Kisasi-Bukoto'!I32)</f>
        <v>2.2857142857142856</v>
      </c>
      <c r="J32" s="49">
        <f>AVERAGE('29.07 Kisasi-Bukoto'!J32,'30.07 Kisasi-Bukoto'!J32,'31.07 Kisasi-Bukoto'!J32,'02.08 Kisasi-Bukoto'!J32,'01.08 Kisasi-Bukoto'!J32,'03.08 Kisasi-Bukoto'!J32,'04.08 Kisasi-Bukoto'!J32)</f>
        <v>0.14285714285714285</v>
      </c>
      <c r="K32" s="49">
        <f>AVERAGE('29.07 Kisasi-Bukoto'!K32,'30.07 Kisasi-Bukoto'!K32,'31.07 Kisasi-Bukoto'!K32,'02.08 Kisasi-Bukoto'!K32,'01.08 Kisasi-Bukoto'!K32,'03.08 Kisasi-Bukoto'!K32,'04.08 Kisasi-Bukoto'!K32)</f>
        <v>0</v>
      </c>
      <c r="L32" s="49">
        <f>AVERAGE('29.07 Kisasi-Bukoto'!L32,'30.07 Kisasi-Bukoto'!L32,'31.07 Kisasi-Bukoto'!L32,'02.08 Kisasi-Bukoto'!L32,'01.08 Kisasi-Bukoto'!L32,'03.08 Kisasi-Bukoto'!L32,'04.08 Kisasi-Bukoto'!L32)</f>
        <v>0</v>
      </c>
      <c r="M32" s="49">
        <f>AVERAGE('29.07 Kisasi-Bukoto'!M32,'30.07 Kisasi-Bukoto'!M32,'31.07 Kisasi-Bukoto'!M32,'02.08 Kisasi-Bukoto'!M32,'01.08 Kisasi-Bukoto'!M32,'03.08 Kisasi-Bukoto'!M32,'04.08 Kisasi-Bukoto'!M32)</f>
        <v>64</v>
      </c>
      <c r="N32" s="49">
        <f>AVERAGE('29.07 Kisasi-Bukoto'!N32,'30.07 Kisasi-Bukoto'!N32,'31.07 Kisasi-Bukoto'!N32,'02.08 Kisasi-Bukoto'!N32,'01.08 Kisasi-Bukoto'!N32,'03.08 Kisasi-Bukoto'!N32,'04.08 Kisasi-Bukoto'!N32)</f>
        <v>0</v>
      </c>
      <c r="O32" s="15">
        <f t="shared" si="0"/>
        <v>73.285714285714292</v>
      </c>
      <c r="P32" s="15">
        <f t="shared" si="1"/>
        <v>137.28571428571428</v>
      </c>
      <c r="R32" s="1" t="s">
        <v>156</v>
      </c>
      <c r="S32" s="34">
        <f>SUM(C98:C101)</f>
        <v>30.5</v>
      </c>
      <c r="T32" s="34">
        <f t="shared" ref="T32:AF32" si="24">SUM(D98:D101)</f>
        <v>13.5</v>
      </c>
      <c r="U32" s="34">
        <f t="shared" si="24"/>
        <v>0</v>
      </c>
      <c r="V32" s="34">
        <f t="shared" si="24"/>
        <v>9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54.5</v>
      </c>
      <c r="AD32" s="34">
        <f t="shared" si="24"/>
        <v>0</v>
      </c>
      <c r="AE32" s="31">
        <f t="shared" si="24"/>
        <v>53</v>
      </c>
      <c r="AF32" s="31">
        <f t="shared" si="24"/>
        <v>107.5</v>
      </c>
    </row>
    <row r="33" spans="2:32" ht="23.1" customHeight="1" x14ac:dyDescent="0.25">
      <c r="B33" s="23" t="s">
        <v>60</v>
      </c>
      <c r="C33" s="49">
        <f>AVERAGE('29.07 Kisasi-Bukoto'!C33,'30.07 Kisasi-Bukoto'!C33,'31.07 Kisasi-Bukoto'!C33,'02.08 Kisasi-Bukoto'!C33,'01.08 Kisasi-Bukoto'!C33,'03.08 Kisasi-Bukoto'!C33,'04.08 Kisasi-Bukoto'!C33)</f>
        <v>39.142857142857146</v>
      </c>
      <c r="D33" s="49">
        <f>AVERAGE('29.07 Kisasi-Bukoto'!D33,'30.07 Kisasi-Bukoto'!D33,'31.07 Kisasi-Bukoto'!D33,'02.08 Kisasi-Bukoto'!D33,'01.08 Kisasi-Bukoto'!D33,'03.08 Kisasi-Bukoto'!D33,'04.08 Kisasi-Bukoto'!D33)</f>
        <v>20</v>
      </c>
      <c r="E33" s="49">
        <f>AVERAGE('29.07 Kisasi-Bukoto'!E33,'30.07 Kisasi-Bukoto'!E33,'31.07 Kisasi-Bukoto'!E33,'02.08 Kisasi-Bukoto'!E33,'01.08 Kisasi-Bukoto'!E33,'03.08 Kisasi-Bukoto'!E33,'04.08 Kisasi-Bukoto'!E33)</f>
        <v>2</v>
      </c>
      <c r="F33" s="49">
        <f>AVERAGE('29.07 Kisasi-Bukoto'!F33,'30.07 Kisasi-Bukoto'!F33,'31.07 Kisasi-Bukoto'!F33,'02.08 Kisasi-Bukoto'!F33,'01.08 Kisasi-Bukoto'!F33,'03.08 Kisasi-Bukoto'!F33,'04.08 Kisasi-Bukoto'!F33)</f>
        <v>8.4285714285714288</v>
      </c>
      <c r="G33" s="49">
        <f>AVERAGE('29.07 Kisasi-Bukoto'!G33,'30.07 Kisasi-Bukoto'!G33,'31.07 Kisasi-Bukoto'!G33,'02.08 Kisasi-Bukoto'!G33,'01.08 Kisasi-Bukoto'!G33,'03.08 Kisasi-Bukoto'!G33,'04.08 Kisasi-Bukoto'!G33)</f>
        <v>0</v>
      </c>
      <c r="H33" s="49">
        <f>AVERAGE('29.07 Kisasi-Bukoto'!H33,'30.07 Kisasi-Bukoto'!H33,'31.07 Kisasi-Bukoto'!H33,'02.08 Kisasi-Bukoto'!H33,'01.08 Kisasi-Bukoto'!H33,'03.08 Kisasi-Bukoto'!H33,'04.08 Kisasi-Bukoto'!H33)</f>
        <v>0</v>
      </c>
      <c r="I33" s="49">
        <f>AVERAGE('29.07 Kisasi-Bukoto'!I33,'30.07 Kisasi-Bukoto'!I33,'31.07 Kisasi-Bukoto'!I33,'02.08 Kisasi-Bukoto'!I33,'01.08 Kisasi-Bukoto'!I33,'03.08 Kisasi-Bukoto'!I33,'04.08 Kisasi-Bukoto'!I33)</f>
        <v>1.7142857142857142</v>
      </c>
      <c r="J33" s="49">
        <f>AVERAGE('29.07 Kisasi-Bukoto'!J33,'30.07 Kisasi-Bukoto'!J33,'31.07 Kisasi-Bukoto'!J33,'02.08 Kisasi-Bukoto'!J33,'01.08 Kisasi-Bukoto'!J33,'03.08 Kisasi-Bukoto'!J33,'04.08 Kisasi-Bukoto'!J33)</f>
        <v>0.2857142857142857</v>
      </c>
      <c r="K33" s="49">
        <f>AVERAGE('29.07 Kisasi-Bukoto'!K33,'30.07 Kisasi-Bukoto'!K33,'31.07 Kisasi-Bukoto'!K33,'02.08 Kisasi-Bukoto'!K33,'01.08 Kisasi-Bukoto'!K33,'03.08 Kisasi-Bukoto'!K33,'04.08 Kisasi-Bukoto'!K33)</f>
        <v>0.14285714285714285</v>
      </c>
      <c r="L33" s="49">
        <f>AVERAGE('29.07 Kisasi-Bukoto'!L33,'30.07 Kisasi-Bukoto'!L33,'31.07 Kisasi-Bukoto'!L33,'02.08 Kisasi-Bukoto'!L33,'01.08 Kisasi-Bukoto'!L33,'03.08 Kisasi-Bukoto'!L33,'04.08 Kisasi-Bukoto'!L33)</f>
        <v>0</v>
      </c>
      <c r="M33" s="49">
        <f>AVERAGE('29.07 Kisasi-Bukoto'!M33,'30.07 Kisasi-Bukoto'!M33,'31.07 Kisasi-Bukoto'!M33,'02.08 Kisasi-Bukoto'!M33,'01.08 Kisasi-Bukoto'!M33,'03.08 Kisasi-Bukoto'!M33,'04.08 Kisasi-Bukoto'!M33)</f>
        <v>69.714285714285708</v>
      </c>
      <c r="N33" s="49">
        <f>AVERAGE('29.07 Kisasi-Bukoto'!N33,'30.07 Kisasi-Bukoto'!N33,'31.07 Kisasi-Bukoto'!N33,'02.08 Kisasi-Bukoto'!N33,'01.08 Kisasi-Bukoto'!N33,'03.08 Kisasi-Bukoto'!N33,'04.08 Kisasi-Bukoto'!N33)</f>
        <v>0</v>
      </c>
      <c r="O33" s="15">
        <f t="shared" si="0"/>
        <v>71.714285714285708</v>
      </c>
      <c r="P33" s="15">
        <f t="shared" si="1"/>
        <v>141.42857142857142</v>
      </c>
      <c r="R33" s="1" t="s">
        <v>157</v>
      </c>
      <c r="S33" s="34">
        <f>SUM(C102:C105)</f>
        <v>212.5</v>
      </c>
      <c r="T33" s="34">
        <f t="shared" ref="T33:AF33" si="25">SUM(D102:D105)</f>
        <v>188</v>
      </c>
      <c r="U33" s="34">
        <f t="shared" si="25"/>
        <v>1</v>
      </c>
      <c r="V33" s="34">
        <f t="shared" si="25"/>
        <v>38.5</v>
      </c>
      <c r="W33" s="34">
        <f t="shared" si="25"/>
        <v>0</v>
      </c>
      <c r="X33" s="34">
        <f t="shared" si="25"/>
        <v>0</v>
      </c>
      <c r="Y33" s="34">
        <f t="shared" si="25"/>
        <v>0.5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31.5</v>
      </c>
      <c r="AD33" s="34">
        <f t="shared" si="25"/>
        <v>0</v>
      </c>
      <c r="AE33" s="31">
        <f t="shared" si="25"/>
        <v>440.5</v>
      </c>
      <c r="AF33" s="31">
        <f t="shared" si="25"/>
        <v>472</v>
      </c>
    </row>
    <row r="34" spans="2:32" ht="23.1" customHeight="1" x14ac:dyDescent="0.25">
      <c r="B34" s="24" t="s">
        <v>61</v>
      </c>
      <c r="C34" s="49">
        <f>AVERAGE('29.07 Kisasi-Bukoto'!C34,'30.07 Kisasi-Bukoto'!C34,'31.07 Kisasi-Bukoto'!C34,'02.08 Kisasi-Bukoto'!C34,'01.08 Kisasi-Bukoto'!C34,'03.08 Kisasi-Bukoto'!C34,'04.08 Kisasi-Bukoto'!C34)</f>
        <v>32.428571428571431</v>
      </c>
      <c r="D34" s="49">
        <f>AVERAGE('29.07 Kisasi-Bukoto'!D34,'30.07 Kisasi-Bukoto'!D34,'31.07 Kisasi-Bukoto'!D34,'02.08 Kisasi-Bukoto'!D34,'01.08 Kisasi-Bukoto'!D34,'03.08 Kisasi-Bukoto'!D34,'04.08 Kisasi-Bukoto'!D34)</f>
        <v>16.571428571428573</v>
      </c>
      <c r="E34" s="49">
        <f>AVERAGE('29.07 Kisasi-Bukoto'!E34,'30.07 Kisasi-Bukoto'!E34,'31.07 Kisasi-Bukoto'!E34,'02.08 Kisasi-Bukoto'!E34,'01.08 Kisasi-Bukoto'!E34,'03.08 Kisasi-Bukoto'!E34,'04.08 Kisasi-Bukoto'!E34)</f>
        <v>1.1428571428571428</v>
      </c>
      <c r="F34" s="49">
        <f>AVERAGE('29.07 Kisasi-Bukoto'!F34,'30.07 Kisasi-Bukoto'!F34,'31.07 Kisasi-Bukoto'!F34,'02.08 Kisasi-Bukoto'!F34,'01.08 Kisasi-Bukoto'!F34,'03.08 Kisasi-Bukoto'!F34,'04.08 Kisasi-Bukoto'!F34)</f>
        <v>7.4285714285714288</v>
      </c>
      <c r="G34" s="49">
        <f>AVERAGE('29.07 Kisasi-Bukoto'!G34,'30.07 Kisasi-Bukoto'!G34,'31.07 Kisasi-Bukoto'!G34,'02.08 Kisasi-Bukoto'!G34,'01.08 Kisasi-Bukoto'!G34,'03.08 Kisasi-Bukoto'!G34,'04.08 Kisasi-Bukoto'!G34)</f>
        <v>0</v>
      </c>
      <c r="H34" s="49">
        <f>AVERAGE('29.07 Kisasi-Bukoto'!H34,'30.07 Kisasi-Bukoto'!H34,'31.07 Kisasi-Bukoto'!H34,'02.08 Kisasi-Bukoto'!H34,'01.08 Kisasi-Bukoto'!H34,'03.08 Kisasi-Bukoto'!H34,'04.08 Kisasi-Bukoto'!H34)</f>
        <v>0</v>
      </c>
      <c r="I34" s="49">
        <f>AVERAGE('29.07 Kisasi-Bukoto'!I34,'30.07 Kisasi-Bukoto'!I34,'31.07 Kisasi-Bukoto'!I34,'02.08 Kisasi-Bukoto'!I34,'01.08 Kisasi-Bukoto'!I34,'03.08 Kisasi-Bukoto'!I34,'04.08 Kisasi-Bukoto'!I34)</f>
        <v>2.7142857142857144</v>
      </c>
      <c r="J34" s="49">
        <f>AVERAGE('29.07 Kisasi-Bukoto'!J34,'30.07 Kisasi-Bukoto'!J34,'31.07 Kisasi-Bukoto'!J34,'02.08 Kisasi-Bukoto'!J34,'01.08 Kisasi-Bukoto'!J34,'03.08 Kisasi-Bukoto'!J34,'04.08 Kisasi-Bukoto'!J34)</f>
        <v>0.5714285714285714</v>
      </c>
      <c r="K34" s="49">
        <f>AVERAGE('29.07 Kisasi-Bukoto'!K34,'30.07 Kisasi-Bukoto'!K34,'31.07 Kisasi-Bukoto'!K34,'02.08 Kisasi-Bukoto'!K34,'01.08 Kisasi-Bukoto'!K34,'03.08 Kisasi-Bukoto'!K34,'04.08 Kisasi-Bukoto'!K34)</f>
        <v>0.14285714285714285</v>
      </c>
      <c r="L34" s="49">
        <f>AVERAGE('29.07 Kisasi-Bukoto'!L34,'30.07 Kisasi-Bukoto'!L34,'31.07 Kisasi-Bukoto'!L34,'02.08 Kisasi-Bukoto'!L34,'01.08 Kisasi-Bukoto'!L34,'03.08 Kisasi-Bukoto'!L34,'04.08 Kisasi-Bukoto'!L34)</f>
        <v>0</v>
      </c>
      <c r="M34" s="49">
        <f>AVERAGE('29.07 Kisasi-Bukoto'!M34,'30.07 Kisasi-Bukoto'!M34,'31.07 Kisasi-Bukoto'!M34,'02.08 Kisasi-Bukoto'!M34,'01.08 Kisasi-Bukoto'!M34,'03.08 Kisasi-Bukoto'!M34,'04.08 Kisasi-Bukoto'!M34)</f>
        <v>74.571428571428569</v>
      </c>
      <c r="N34" s="49">
        <f>AVERAGE('29.07 Kisasi-Bukoto'!N34,'30.07 Kisasi-Bukoto'!N34,'31.07 Kisasi-Bukoto'!N34,'02.08 Kisasi-Bukoto'!N34,'01.08 Kisasi-Bukoto'!N34,'03.08 Kisasi-Bukoto'!N34,'04.08 Kisasi-Bukoto'!N34)</f>
        <v>0</v>
      </c>
      <c r="O34" s="15">
        <f t="shared" si="0"/>
        <v>61.000000000000007</v>
      </c>
      <c r="P34" s="15">
        <f t="shared" si="1"/>
        <v>135.57142857142858</v>
      </c>
      <c r="R34" s="38" t="s">
        <v>90</v>
      </c>
      <c r="S34" s="39">
        <f t="shared" ref="S34:AF34" si="26">MAX(S10:S12)</f>
        <v>254.85714285714283</v>
      </c>
      <c r="T34" s="39">
        <f t="shared" si="26"/>
        <v>128.42857142857144</v>
      </c>
      <c r="U34" s="39">
        <f t="shared" si="26"/>
        <v>9.2857142857142847</v>
      </c>
      <c r="V34" s="39">
        <f t="shared" si="26"/>
        <v>50.285714285714285</v>
      </c>
      <c r="W34" s="39">
        <f t="shared" si="26"/>
        <v>0.7142857142857143</v>
      </c>
      <c r="X34" s="39">
        <f t="shared" si="26"/>
        <v>0.5714285714285714</v>
      </c>
      <c r="Y34" s="39">
        <f t="shared" si="26"/>
        <v>12.714285714285715</v>
      </c>
      <c r="Z34" s="39">
        <f t="shared" si="26"/>
        <v>1.1428571428571428</v>
      </c>
      <c r="AA34" s="39">
        <f t="shared" si="26"/>
        <v>0.14285714285714285</v>
      </c>
      <c r="AB34" s="39">
        <f t="shared" si="26"/>
        <v>0</v>
      </c>
      <c r="AC34" s="39">
        <f t="shared" si="26"/>
        <v>357.14285714285711</v>
      </c>
      <c r="AD34" s="39">
        <f t="shared" si="26"/>
        <v>0</v>
      </c>
      <c r="AE34" s="40">
        <f t="shared" si="26"/>
        <v>450.71428571428578</v>
      </c>
      <c r="AF34" s="40">
        <f t="shared" si="26"/>
        <v>804.71428571428578</v>
      </c>
    </row>
    <row r="35" spans="2:32" ht="23.1" customHeight="1" x14ac:dyDescent="0.25">
      <c r="B35" s="24" t="s">
        <v>62</v>
      </c>
      <c r="C35" s="49">
        <f>AVERAGE('29.07 Kisasi-Bukoto'!C35,'30.07 Kisasi-Bukoto'!C35,'31.07 Kisasi-Bukoto'!C35,'02.08 Kisasi-Bukoto'!C35,'01.08 Kisasi-Bukoto'!C35,'03.08 Kisasi-Bukoto'!C35,'04.08 Kisasi-Bukoto'!C35)</f>
        <v>31.142857142857142</v>
      </c>
      <c r="D35" s="49">
        <f>AVERAGE('29.07 Kisasi-Bukoto'!D35,'30.07 Kisasi-Bukoto'!D35,'31.07 Kisasi-Bukoto'!D35,'02.08 Kisasi-Bukoto'!D35,'01.08 Kisasi-Bukoto'!D35,'03.08 Kisasi-Bukoto'!D35,'04.08 Kisasi-Bukoto'!D35)</f>
        <v>16.428571428571427</v>
      </c>
      <c r="E35" s="49">
        <f>AVERAGE('29.07 Kisasi-Bukoto'!E35,'30.07 Kisasi-Bukoto'!E35,'31.07 Kisasi-Bukoto'!E35,'02.08 Kisasi-Bukoto'!E35,'01.08 Kisasi-Bukoto'!E35,'03.08 Kisasi-Bukoto'!E35,'04.08 Kisasi-Bukoto'!E35)</f>
        <v>1.2857142857142858</v>
      </c>
      <c r="F35" s="49">
        <f>AVERAGE('29.07 Kisasi-Bukoto'!F35,'30.07 Kisasi-Bukoto'!F35,'31.07 Kisasi-Bukoto'!F35,'02.08 Kisasi-Bukoto'!F35,'01.08 Kisasi-Bukoto'!F35,'03.08 Kisasi-Bukoto'!F35,'04.08 Kisasi-Bukoto'!F35)</f>
        <v>7.7142857142857144</v>
      </c>
      <c r="G35" s="49">
        <f>AVERAGE('29.07 Kisasi-Bukoto'!G35,'30.07 Kisasi-Bukoto'!G35,'31.07 Kisasi-Bukoto'!G35,'02.08 Kisasi-Bukoto'!G35,'01.08 Kisasi-Bukoto'!G35,'03.08 Kisasi-Bukoto'!G35,'04.08 Kisasi-Bukoto'!G35)</f>
        <v>0</v>
      </c>
      <c r="H35" s="49">
        <f>AVERAGE('29.07 Kisasi-Bukoto'!H35,'30.07 Kisasi-Bukoto'!H35,'31.07 Kisasi-Bukoto'!H35,'02.08 Kisasi-Bukoto'!H35,'01.08 Kisasi-Bukoto'!H35,'03.08 Kisasi-Bukoto'!H35,'04.08 Kisasi-Bukoto'!H35)</f>
        <v>0</v>
      </c>
      <c r="I35" s="49">
        <f>AVERAGE('29.07 Kisasi-Bukoto'!I35,'30.07 Kisasi-Bukoto'!I35,'31.07 Kisasi-Bukoto'!I35,'02.08 Kisasi-Bukoto'!I35,'01.08 Kisasi-Bukoto'!I35,'03.08 Kisasi-Bukoto'!I35,'04.08 Kisasi-Bukoto'!I35)</f>
        <v>2.5714285714285716</v>
      </c>
      <c r="J35" s="49">
        <f>AVERAGE('29.07 Kisasi-Bukoto'!J35,'30.07 Kisasi-Bukoto'!J35,'31.07 Kisasi-Bukoto'!J35,'02.08 Kisasi-Bukoto'!J35,'01.08 Kisasi-Bukoto'!J35,'03.08 Kisasi-Bukoto'!J35,'04.08 Kisasi-Bukoto'!J35)</f>
        <v>0.14285714285714285</v>
      </c>
      <c r="K35" s="49">
        <f>AVERAGE('29.07 Kisasi-Bukoto'!K35,'30.07 Kisasi-Bukoto'!K35,'31.07 Kisasi-Bukoto'!K35,'02.08 Kisasi-Bukoto'!K35,'01.08 Kisasi-Bukoto'!K35,'03.08 Kisasi-Bukoto'!K35,'04.08 Kisasi-Bukoto'!K35)</f>
        <v>0.42857142857142855</v>
      </c>
      <c r="L35" s="49">
        <f>AVERAGE('29.07 Kisasi-Bukoto'!L35,'30.07 Kisasi-Bukoto'!L35,'31.07 Kisasi-Bukoto'!L35,'02.08 Kisasi-Bukoto'!L35,'01.08 Kisasi-Bukoto'!L35,'03.08 Kisasi-Bukoto'!L35,'04.08 Kisasi-Bukoto'!L35)</f>
        <v>0</v>
      </c>
      <c r="M35" s="49">
        <f>AVERAGE('29.07 Kisasi-Bukoto'!M35,'30.07 Kisasi-Bukoto'!M35,'31.07 Kisasi-Bukoto'!M35,'02.08 Kisasi-Bukoto'!M35,'01.08 Kisasi-Bukoto'!M35,'03.08 Kisasi-Bukoto'!M35,'04.08 Kisasi-Bukoto'!M35)</f>
        <v>59.142857142857146</v>
      </c>
      <c r="N35" s="49">
        <f>AVERAGE('29.07 Kisasi-Bukoto'!N35,'30.07 Kisasi-Bukoto'!N35,'31.07 Kisasi-Bukoto'!N35,'02.08 Kisasi-Bukoto'!N35,'01.08 Kisasi-Bukoto'!N35,'03.08 Kisasi-Bukoto'!N35,'04.08 Kisasi-Bukoto'!N35)</f>
        <v>0</v>
      </c>
      <c r="O35" s="15">
        <f t="shared" si="0"/>
        <v>59.714285714285715</v>
      </c>
      <c r="P35" s="15">
        <f t="shared" si="1"/>
        <v>118.85714285714286</v>
      </c>
      <c r="R35" s="38" t="s">
        <v>91</v>
      </c>
      <c r="S35" s="39">
        <f t="shared" ref="S35:AF35" si="27">MAX(S13:S18)</f>
        <v>181.85714285714286</v>
      </c>
      <c r="T35" s="39">
        <f t="shared" si="27"/>
        <v>102.14285714285715</v>
      </c>
      <c r="U35" s="39">
        <f t="shared" si="27"/>
        <v>6.4285714285714288</v>
      </c>
      <c r="V35" s="39">
        <f t="shared" si="27"/>
        <v>43.714285714285715</v>
      </c>
      <c r="W35" s="39">
        <f t="shared" si="27"/>
        <v>0.5714285714285714</v>
      </c>
      <c r="X35" s="39">
        <f t="shared" si="27"/>
        <v>0</v>
      </c>
      <c r="Y35" s="39">
        <f t="shared" si="27"/>
        <v>12</v>
      </c>
      <c r="Z35" s="39">
        <f t="shared" si="27"/>
        <v>1.2857142857142856</v>
      </c>
      <c r="AA35" s="39">
        <f t="shared" si="27"/>
        <v>1.1428571428571428</v>
      </c>
      <c r="AB35" s="39">
        <f t="shared" si="27"/>
        <v>0</v>
      </c>
      <c r="AC35" s="39">
        <f t="shared" si="27"/>
        <v>313.14285714285717</v>
      </c>
      <c r="AD35" s="39">
        <f t="shared" si="27"/>
        <v>0</v>
      </c>
      <c r="AE35" s="40">
        <f t="shared" si="27"/>
        <v>347.85714285714283</v>
      </c>
      <c r="AF35" s="40">
        <f t="shared" si="27"/>
        <v>661</v>
      </c>
    </row>
    <row r="36" spans="2:32" ht="23.1" customHeight="1" x14ac:dyDescent="0.25">
      <c r="B36" s="24" t="s">
        <v>63</v>
      </c>
      <c r="C36" s="49">
        <f>AVERAGE('29.07 Kisasi-Bukoto'!C36,'30.07 Kisasi-Bukoto'!C36,'31.07 Kisasi-Bukoto'!C36,'02.08 Kisasi-Bukoto'!C36,'01.08 Kisasi-Bukoto'!C36,'03.08 Kisasi-Bukoto'!C36,'04.08 Kisasi-Bukoto'!C36)</f>
        <v>31.428571428571427</v>
      </c>
      <c r="D36" s="49">
        <f>AVERAGE('29.07 Kisasi-Bukoto'!D36,'30.07 Kisasi-Bukoto'!D36,'31.07 Kisasi-Bukoto'!D36,'02.08 Kisasi-Bukoto'!D36,'01.08 Kisasi-Bukoto'!D36,'03.08 Kisasi-Bukoto'!D36,'04.08 Kisasi-Bukoto'!D36)</f>
        <v>16</v>
      </c>
      <c r="E36" s="49">
        <f>AVERAGE('29.07 Kisasi-Bukoto'!E36,'30.07 Kisasi-Bukoto'!E36,'31.07 Kisasi-Bukoto'!E36,'02.08 Kisasi-Bukoto'!E36,'01.08 Kisasi-Bukoto'!E36,'03.08 Kisasi-Bukoto'!E36,'04.08 Kisasi-Bukoto'!E36)</f>
        <v>1.4285714285714286</v>
      </c>
      <c r="F36" s="49">
        <f>AVERAGE('29.07 Kisasi-Bukoto'!F36,'30.07 Kisasi-Bukoto'!F36,'31.07 Kisasi-Bukoto'!F36,'02.08 Kisasi-Bukoto'!F36,'01.08 Kisasi-Bukoto'!F36,'03.08 Kisasi-Bukoto'!F36,'04.08 Kisasi-Bukoto'!F36)</f>
        <v>7.8571428571428568</v>
      </c>
      <c r="G36" s="49">
        <f>AVERAGE('29.07 Kisasi-Bukoto'!G36,'30.07 Kisasi-Bukoto'!G36,'31.07 Kisasi-Bukoto'!G36,'02.08 Kisasi-Bukoto'!G36,'01.08 Kisasi-Bukoto'!G36,'03.08 Kisasi-Bukoto'!G36,'04.08 Kisasi-Bukoto'!G36)</f>
        <v>0</v>
      </c>
      <c r="H36" s="49">
        <f>AVERAGE('29.07 Kisasi-Bukoto'!H36,'30.07 Kisasi-Bukoto'!H36,'31.07 Kisasi-Bukoto'!H36,'02.08 Kisasi-Bukoto'!H36,'01.08 Kisasi-Bukoto'!H36,'03.08 Kisasi-Bukoto'!H36,'04.08 Kisasi-Bukoto'!H36)</f>
        <v>0</v>
      </c>
      <c r="I36" s="49">
        <f>AVERAGE('29.07 Kisasi-Bukoto'!I36,'30.07 Kisasi-Bukoto'!I36,'31.07 Kisasi-Bukoto'!I36,'02.08 Kisasi-Bukoto'!I36,'01.08 Kisasi-Bukoto'!I36,'03.08 Kisasi-Bukoto'!I36,'04.08 Kisasi-Bukoto'!I36)</f>
        <v>2.2857142857142856</v>
      </c>
      <c r="J36" s="49">
        <f>AVERAGE('29.07 Kisasi-Bukoto'!J36,'30.07 Kisasi-Bukoto'!J36,'31.07 Kisasi-Bukoto'!J36,'02.08 Kisasi-Bukoto'!J36,'01.08 Kisasi-Bukoto'!J36,'03.08 Kisasi-Bukoto'!J36,'04.08 Kisasi-Bukoto'!J36)</f>
        <v>0.2857142857142857</v>
      </c>
      <c r="K36" s="49">
        <f>AVERAGE('29.07 Kisasi-Bukoto'!K36,'30.07 Kisasi-Bukoto'!K36,'31.07 Kisasi-Bukoto'!K36,'02.08 Kisasi-Bukoto'!K36,'01.08 Kisasi-Bukoto'!K36,'03.08 Kisasi-Bukoto'!K36,'04.08 Kisasi-Bukoto'!K36)</f>
        <v>0.42857142857142855</v>
      </c>
      <c r="L36" s="49">
        <f>AVERAGE('29.07 Kisasi-Bukoto'!L36,'30.07 Kisasi-Bukoto'!L36,'31.07 Kisasi-Bukoto'!L36,'02.08 Kisasi-Bukoto'!L36,'01.08 Kisasi-Bukoto'!L36,'03.08 Kisasi-Bukoto'!L36,'04.08 Kisasi-Bukoto'!L36)</f>
        <v>0</v>
      </c>
      <c r="M36" s="49">
        <f>AVERAGE('29.07 Kisasi-Bukoto'!M36,'30.07 Kisasi-Bukoto'!M36,'31.07 Kisasi-Bukoto'!M36,'02.08 Kisasi-Bukoto'!M36,'01.08 Kisasi-Bukoto'!M36,'03.08 Kisasi-Bukoto'!M36,'04.08 Kisasi-Bukoto'!M36)</f>
        <v>63.142857142857146</v>
      </c>
      <c r="N36" s="49">
        <f>AVERAGE('29.07 Kisasi-Bukoto'!N36,'30.07 Kisasi-Bukoto'!N36,'31.07 Kisasi-Bukoto'!N36,'02.08 Kisasi-Bukoto'!N36,'01.08 Kisasi-Bukoto'!N36,'03.08 Kisasi-Bukoto'!N36,'04.08 Kisasi-Bukoto'!N36)</f>
        <v>0</v>
      </c>
      <c r="O36" s="15">
        <f t="shared" si="0"/>
        <v>59.714285714285715</v>
      </c>
      <c r="P36" s="15">
        <f t="shared" si="1"/>
        <v>122.85714285714286</v>
      </c>
      <c r="R36" s="38" t="s">
        <v>92</v>
      </c>
      <c r="S36" s="39">
        <f t="shared" ref="S36:AF36" si="28">MAX(S19:S21)</f>
        <v>146.71428571428572</v>
      </c>
      <c r="T36" s="39">
        <f t="shared" si="28"/>
        <v>83.428571428571416</v>
      </c>
      <c r="U36" s="39">
        <f t="shared" si="28"/>
        <v>6.1428571428571432</v>
      </c>
      <c r="V36" s="39">
        <f t="shared" si="28"/>
        <v>36.142857142857139</v>
      </c>
      <c r="W36" s="39">
        <f t="shared" si="28"/>
        <v>2</v>
      </c>
      <c r="X36" s="39">
        <f t="shared" si="28"/>
        <v>0</v>
      </c>
      <c r="Y36" s="39">
        <f t="shared" si="28"/>
        <v>10.857142857142858</v>
      </c>
      <c r="Z36" s="39">
        <f t="shared" si="28"/>
        <v>2.1428571428571428</v>
      </c>
      <c r="AA36" s="39">
        <f t="shared" si="28"/>
        <v>1.4285714285714284</v>
      </c>
      <c r="AB36" s="39">
        <f t="shared" si="28"/>
        <v>0.14285714285714285</v>
      </c>
      <c r="AC36" s="39">
        <f t="shared" si="28"/>
        <v>332.42857142857139</v>
      </c>
      <c r="AD36" s="39">
        <f t="shared" si="28"/>
        <v>0</v>
      </c>
      <c r="AE36" s="40">
        <f t="shared" si="28"/>
        <v>282.42857142857144</v>
      </c>
      <c r="AF36" s="40">
        <f t="shared" si="28"/>
        <v>603.71428571428578</v>
      </c>
    </row>
    <row r="37" spans="2:32" ht="23.1" customHeight="1" x14ac:dyDescent="0.25">
      <c r="B37" s="23" t="s">
        <v>64</v>
      </c>
      <c r="C37" s="49">
        <f>AVERAGE('29.07 Kisasi-Bukoto'!C37,'30.07 Kisasi-Bukoto'!C37,'31.07 Kisasi-Bukoto'!C37,'02.08 Kisasi-Bukoto'!C37,'01.08 Kisasi-Bukoto'!C37,'03.08 Kisasi-Bukoto'!C37,'04.08 Kisasi-Bukoto'!C37)</f>
        <v>30.428571428571427</v>
      </c>
      <c r="D37" s="49">
        <f>AVERAGE('29.07 Kisasi-Bukoto'!D37,'30.07 Kisasi-Bukoto'!D37,'31.07 Kisasi-Bukoto'!D37,'02.08 Kisasi-Bukoto'!D37,'01.08 Kisasi-Bukoto'!D37,'03.08 Kisasi-Bukoto'!D37,'04.08 Kisasi-Bukoto'!D37)</f>
        <v>15.428571428571429</v>
      </c>
      <c r="E37" s="49">
        <f>AVERAGE('29.07 Kisasi-Bukoto'!E37,'30.07 Kisasi-Bukoto'!E37,'31.07 Kisasi-Bukoto'!E37,'02.08 Kisasi-Bukoto'!E37,'01.08 Kisasi-Bukoto'!E37,'03.08 Kisasi-Bukoto'!E37,'04.08 Kisasi-Bukoto'!E37)</f>
        <v>1.1428571428571428</v>
      </c>
      <c r="F37" s="49">
        <f>AVERAGE('29.07 Kisasi-Bukoto'!F37,'30.07 Kisasi-Bukoto'!F37,'31.07 Kisasi-Bukoto'!F37,'02.08 Kisasi-Bukoto'!F37,'01.08 Kisasi-Bukoto'!F37,'03.08 Kisasi-Bukoto'!F37,'04.08 Kisasi-Bukoto'!F37)</f>
        <v>8.1428571428571423</v>
      </c>
      <c r="G37" s="49">
        <f>AVERAGE('29.07 Kisasi-Bukoto'!G37,'30.07 Kisasi-Bukoto'!G37,'31.07 Kisasi-Bukoto'!G37,'02.08 Kisasi-Bukoto'!G37,'01.08 Kisasi-Bukoto'!G37,'03.08 Kisasi-Bukoto'!G37,'04.08 Kisasi-Bukoto'!G37)</f>
        <v>0</v>
      </c>
      <c r="H37" s="49">
        <f>AVERAGE('29.07 Kisasi-Bukoto'!H37,'30.07 Kisasi-Bukoto'!H37,'31.07 Kisasi-Bukoto'!H37,'02.08 Kisasi-Bukoto'!H37,'01.08 Kisasi-Bukoto'!H37,'03.08 Kisasi-Bukoto'!H37,'04.08 Kisasi-Bukoto'!H37)</f>
        <v>0</v>
      </c>
      <c r="I37" s="49">
        <f>AVERAGE('29.07 Kisasi-Bukoto'!I37,'30.07 Kisasi-Bukoto'!I37,'31.07 Kisasi-Bukoto'!I37,'02.08 Kisasi-Bukoto'!I37,'01.08 Kisasi-Bukoto'!I37,'03.08 Kisasi-Bukoto'!I37,'04.08 Kisasi-Bukoto'!I37)</f>
        <v>1.4285714285714286</v>
      </c>
      <c r="J37" s="49">
        <f>AVERAGE('29.07 Kisasi-Bukoto'!J37,'30.07 Kisasi-Bukoto'!J37,'31.07 Kisasi-Bukoto'!J37,'02.08 Kisasi-Bukoto'!J37,'01.08 Kisasi-Bukoto'!J37,'03.08 Kisasi-Bukoto'!J37,'04.08 Kisasi-Bukoto'!J37)</f>
        <v>0.14285714285714285</v>
      </c>
      <c r="K37" s="49">
        <f>AVERAGE('29.07 Kisasi-Bukoto'!K37,'30.07 Kisasi-Bukoto'!K37,'31.07 Kisasi-Bukoto'!K37,'02.08 Kisasi-Bukoto'!K37,'01.08 Kisasi-Bukoto'!K37,'03.08 Kisasi-Bukoto'!K37,'04.08 Kisasi-Bukoto'!K37)</f>
        <v>0.14285714285714285</v>
      </c>
      <c r="L37" s="49">
        <f>AVERAGE('29.07 Kisasi-Bukoto'!L37,'30.07 Kisasi-Bukoto'!L37,'31.07 Kisasi-Bukoto'!L37,'02.08 Kisasi-Bukoto'!L37,'01.08 Kisasi-Bukoto'!L37,'03.08 Kisasi-Bukoto'!L37,'04.08 Kisasi-Bukoto'!L37)</f>
        <v>0</v>
      </c>
      <c r="M37" s="49">
        <f>AVERAGE('29.07 Kisasi-Bukoto'!M37,'30.07 Kisasi-Bukoto'!M37,'31.07 Kisasi-Bukoto'!M37,'02.08 Kisasi-Bukoto'!M37,'01.08 Kisasi-Bukoto'!M37,'03.08 Kisasi-Bukoto'!M37,'04.08 Kisasi-Bukoto'!M37)</f>
        <v>63.571428571428569</v>
      </c>
      <c r="N37" s="49">
        <f>AVERAGE('29.07 Kisasi-Bukoto'!N37,'30.07 Kisasi-Bukoto'!N37,'31.07 Kisasi-Bukoto'!N37,'02.08 Kisasi-Bukoto'!N37,'01.08 Kisasi-Bukoto'!N37,'03.08 Kisasi-Bukoto'!N37,'04.08 Kisasi-Bukoto'!N37)</f>
        <v>0</v>
      </c>
      <c r="O37" s="15">
        <f t="shared" si="0"/>
        <v>56.857142857142861</v>
      </c>
      <c r="P37" s="15">
        <f t="shared" si="1"/>
        <v>120.42857142857143</v>
      </c>
      <c r="R37" s="37" t="s">
        <v>85</v>
      </c>
      <c r="S37" s="35">
        <f t="shared" ref="S37:AF37" si="29">SUM(S10:S12)</f>
        <v>677.42857142857144</v>
      </c>
      <c r="T37" s="16">
        <f t="shared" si="29"/>
        <v>360</v>
      </c>
      <c r="U37" s="16">
        <f t="shared" si="29"/>
        <v>22.428571428571427</v>
      </c>
      <c r="V37" s="16">
        <f t="shared" si="29"/>
        <v>141.71428571428572</v>
      </c>
      <c r="W37" s="16">
        <f t="shared" si="29"/>
        <v>1.1428571428571428</v>
      </c>
      <c r="X37" s="16">
        <f t="shared" si="29"/>
        <v>0.5714285714285714</v>
      </c>
      <c r="Y37" s="16">
        <f t="shared" si="29"/>
        <v>35</v>
      </c>
      <c r="Z37" s="16">
        <f t="shared" si="29"/>
        <v>3</v>
      </c>
      <c r="AA37" s="16">
        <f t="shared" si="29"/>
        <v>0.2857142857142857</v>
      </c>
      <c r="AB37" s="16">
        <f t="shared" si="29"/>
        <v>0</v>
      </c>
      <c r="AC37" s="16">
        <f t="shared" si="29"/>
        <v>1011.4285714285713</v>
      </c>
      <c r="AD37" s="16">
        <f t="shared" si="29"/>
        <v>0</v>
      </c>
      <c r="AE37" s="32">
        <f t="shared" si="29"/>
        <v>1241.5714285714287</v>
      </c>
      <c r="AF37" s="32">
        <f t="shared" si="29"/>
        <v>2253</v>
      </c>
    </row>
    <row r="38" spans="2:32" ht="23.1" customHeight="1" x14ac:dyDescent="0.25">
      <c r="B38" s="24" t="s">
        <v>65</v>
      </c>
      <c r="C38" s="49">
        <f>AVERAGE('29.07 Kisasi-Bukoto'!C38,'30.07 Kisasi-Bukoto'!C38,'31.07 Kisasi-Bukoto'!C38,'02.08 Kisasi-Bukoto'!C38,'01.08 Kisasi-Bukoto'!C38,'03.08 Kisasi-Bukoto'!C38,'04.08 Kisasi-Bukoto'!C38)</f>
        <v>28.571428571428573</v>
      </c>
      <c r="D38" s="49">
        <f>AVERAGE('29.07 Kisasi-Bukoto'!D38,'30.07 Kisasi-Bukoto'!D38,'31.07 Kisasi-Bukoto'!D38,'02.08 Kisasi-Bukoto'!D38,'01.08 Kisasi-Bukoto'!D38,'03.08 Kisasi-Bukoto'!D38,'04.08 Kisasi-Bukoto'!D38)</f>
        <v>17.714285714285715</v>
      </c>
      <c r="E38" s="49">
        <f>AVERAGE('29.07 Kisasi-Bukoto'!E38,'30.07 Kisasi-Bukoto'!E38,'31.07 Kisasi-Bukoto'!E38,'02.08 Kisasi-Bukoto'!E38,'01.08 Kisasi-Bukoto'!E38,'03.08 Kisasi-Bukoto'!E38,'04.08 Kisasi-Bukoto'!E38)</f>
        <v>0.7142857142857143</v>
      </c>
      <c r="F38" s="49">
        <f>AVERAGE('29.07 Kisasi-Bukoto'!F38,'30.07 Kisasi-Bukoto'!F38,'31.07 Kisasi-Bukoto'!F38,'02.08 Kisasi-Bukoto'!F38,'01.08 Kisasi-Bukoto'!F38,'03.08 Kisasi-Bukoto'!F38,'04.08 Kisasi-Bukoto'!F38)</f>
        <v>8.8571428571428577</v>
      </c>
      <c r="G38" s="49">
        <f>AVERAGE('29.07 Kisasi-Bukoto'!G38,'30.07 Kisasi-Bukoto'!G38,'31.07 Kisasi-Bukoto'!G38,'02.08 Kisasi-Bukoto'!G38,'01.08 Kisasi-Bukoto'!G38,'03.08 Kisasi-Bukoto'!G38,'04.08 Kisasi-Bukoto'!G38)</f>
        <v>0.14285714285714285</v>
      </c>
      <c r="H38" s="49">
        <f>AVERAGE('29.07 Kisasi-Bukoto'!H38,'30.07 Kisasi-Bukoto'!H38,'31.07 Kisasi-Bukoto'!H38,'02.08 Kisasi-Bukoto'!H38,'01.08 Kisasi-Bukoto'!H38,'03.08 Kisasi-Bukoto'!H38,'04.08 Kisasi-Bukoto'!H38)</f>
        <v>0</v>
      </c>
      <c r="I38" s="49">
        <f>AVERAGE('29.07 Kisasi-Bukoto'!I38,'30.07 Kisasi-Bukoto'!I38,'31.07 Kisasi-Bukoto'!I38,'02.08 Kisasi-Bukoto'!I38,'01.08 Kisasi-Bukoto'!I38,'03.08 Kisasi-Bukoto'!I38,'04.08 Kisasi-Bukoto'!I38)</f>
        <v>1.7142857142857142</v>
      </c>
      <c r="J38" s="49">
        <f>AVERAGE('29.07 Kisasi-Bukoto'!J38,'30.07 Kisasi-Bukoto'!J38,'31.07 Kisasi-Bukoto'!J38,'02.08 Kisasi-Bukoto'!J38,'01.08 Kisasi-Bukoto'!J38,'03.08 Kisasi-Bukoto'!J38,'04.08 Kisasi-Bukoto'!J38)</f>
        <v>0.14285714285714285</v>
      </c>
      <c r="K38" s="49">
        <f>AVERAGE('29.07 Kisasi-Bukoto'!K38,'30.07 Kisasi-Bukoto'!K38,'31.07 Kisasi-Bukoto'!K38,'02.08 Kisasi-Bukoto'!K38,'01.08 Kisasi-Bukoto'!K38,'03.08 Kisasi-Bukoto'!K38,'04.08 Kisasi-Bukoto'!K38)</f>
        <v>0</v>
      </c>
      <c r="L38" s="49">
        <f>AVERAGE('29.07 Kisasi-Bukoto'!L38,'30.07 Kisasi-Bukoto'!L38,'31.07 Kisasi-Bukoto'!L38,'02.08 Kisasi-Bukoto'!L38,'01.08 Kisasi-Bukoto'!L38,'03.08 Kisasi-Bukoto'!L38,'04.08 Kisasi-Bukoto'!L38)</f>
        <v>0</v>
      </c>
      <c r="M38" s="49">
        <f>AVERAGE('29.07 Kisasi-Bukoto'!M38,'30.07 Kisasi-Bukoto'!M38,'31.07 Kisasi-Bukoto'!M38,'02.08 Kisasi-Bukoto'!M38,'01.08 Kisasi-Bukoto'!M38,'03.08 Kisasi-Bukoto'!M38,'04.08 Kisasi-Bukoto'!M38)</f>
        <v>86.142857142857139</v>
      </c>
      <c r="N38" s="49">
        <f>AVERAGE('29.07 Kisasi-Bukoto'!N38,'30.07 Kisasi-Bukoto'!N38,'31.07 Kisasi-Bukoto'!N38,'02.08 Kisasi-Bukoto'!N38,'01.08 Kisasi-Bukoto'!N38,'03.08 Kisasi-Bukoto'!N38,'04.08 Kisasi-Bukoto'!N38)</f>
        <v>0</v>
      </c>
      <c r="O38" s="15">
        <f t="shared" si="0"/>
        <v>57.857142857142868</v>
      </c>
      <c r="P38" s="15">
        <f t="shared" si="1"/>
        <v>144</v>
      </c>
      <c r="R38" s="28" t="s">
        <v>86</v>
      </c>
      <c r="S38" s="16">
        <f t="shared" ref="S38:AF38" si="30">SUM(S13:S18)</f>
        <v>894.71428571428578</v>
      </c>
      <c r="T38" s="16">
        <f t="shared" si="30"/>
        <v>500.28571428571439</v>
      </c>
      <c r="U38" s="16">
        <f t="shared" si="30"/>
        <v>32.714285714285715</v>
      </c>
      <c r="V38" s="16">
        <f t="shared" si="30"/>
        <v>220.42857142857144</v>
      </c>
      <c r="W38" s="16">
        <f t="shared" si="30"/>
        <v>1.1428571428571428</v>
      </c>
      <c r="X38" s="16">
        <f t="shared" si="30"/>
        <v>0</v>
      </c>
      <c r="Y38" s="16">
        <f t="shared" si="30"/>
        <v>57.571428571428569</v>
      </c>
      <c r="Z38" s="16">
        <f t="shared" si="30"/>
        <v>5.8571428571428559</v>
      </c>
      <c r="AA38" s="16">
        <f t="shared" si="30"/>
        <v>5.1428571428571423</v>
      </c>
      <c r="AB38" s="16">
        <f t="shared" si="30"/>
        <v>0</v>
      </c>
      <c r="AC38" s="16">
        <f t="shared" si="30"/>
        <v>1692.1428571428573</v>
      </c>
      <c r="AD38" s="16">
        <f t="shared" si="30"/>
        <v>0</v>
      </c>
      <c r="AE38" s="32">
        <f t="shared" si="30"/>
        <v>1717.8571428571429</v>
      </c>
      <c r="AF38" s="32">
        <f t="shared" si="30"/>
        <v>3410</v>
      </c>
    </row>
    <row r="39" spans="2:32" ht="23.1" customHeight="1" x14ac:dyDescent="0.25">
      <c r="B39" s="24" t="s">
        <v>66</v>
      </c>
      <c r="C39" s="49">
        <f>AVERAGE('29.07 Kisasi-Bukoto'!C39,'30.07 Kisasi-Bukoto'!C39,'31.07 Kisasi-Bukoto'!C39,'02.08 Kisasi-Bukoto'!C39,'01.08 Kisasi-Bukoto'!C39,'03.08 Kisasi-Bukoto'!C39,'04.08 Kisasi-Bukoto'!C39)</f>
        <v>32.142857142857146</v>
      </c>
      <c r="D39" s="49">
        <f>AVERAGE('29.07 Kisasi-Bukoto'!D39,'30.07 Kisasi-Bukoto'!D39,'31.07 Kisasi-Bukoto'!D39,'02.08 Kisasi-Bukoto'!D39,'01.08 Kisasi-Bukoto'!D39,'03.08 Kisasi-Bukoto'!D39,'04.08 Kisasi-Bukoto'!D39)</f>
        <v>20.428571428571427</v>
      </c>
      <c r="E39" s="49">
        <f>AVERAGE('29.07 Kisasi-Bukoto'!E39,'30.07 Kisasi-Bukoto'!E39,'31.07 Kisasi-Bukoto'!E39,'02.08 Kisasi-Bukoto'!E39,'01.08 Kisasi-Bukoto'!E39,'03.08 Kisasi-Bukoto'!E39,'04.08 Kisasi-Bukoto'!E39)</f>
        <v>2</v>
      </c>
      <c r="F39" s="49">
        <f>AVERAGE('29.07 Kisasi-Bukoto'!F39,'30.07 Kisasi-Bukoto'!F39,'31.07 Kisasi-Bukoto'!F39,'02.08 Kisasi-Bukoto'!F39,'01.08 Kisasi-Bukoto'!F39,'03.08 Kisasi-Bukoto'!F39,'04.08 Kisasi-Bukoto'!F39)</f>
        <v>8</v>
      </c>
      <c r="G39" s="49">
        <f>AVERAGE('29.07 Kisasi-Bukoto'!G39,'30.07 Kisasi-Bukoto'!G39,'31.07 Kisasi-Bukoto'!G39,'02.08 Kisasi-Bukoto'!G39,'01.08 Kisasi-Bukoto'!G39,'03.08 Kisasi-Bukoto'!G39,'04.08 Kisasi-Bukoto'!G39)</f>
        <v>0</v>
      </c>
      <c r="H39" s="49">
        <f>AVERAGE('29.07 Kisasi-Bukoto'!H39,'30.07 Kisasi-Bukoto'!H39,'31.07 Kisasi-Bukoto'!H39,'02.08 Kisasi-Bukoto'!H39,'01.08 Kisasi-Bukoto'!H39,'03.08 Kisasi-Bukoto'!H39,'04.08 Kisasi-Bukoto'!H39)</f>
        <v>0</v>
      </c>
      <c r="I39" s="49">
        <f>AVERAGE('29.07 Kisasi-Bukoto'!I39,'30.07 Kisasi-Bukoto'!I39,'31.07 Kisasi-Bukoto'!I39,'02.08 Kisasi-Bukoto'!I39,'01.08 Kisasi-Bukoto'!I39,'03.08 Kisasi-Bukoto'!I39,'04.08 Kisasi-Bukoto'!I39)</f>
        <v>2</v>
      </c>
      <c r="J39" s="49">
        <f>AVERAGE('29.07 Kisasi-Bukoto'!J39,'30.07 Kisasi-Bukoto'!J39,'31.07 Kisasi-Bukoto'!J39,'02.08 Kisasi-Bukoto'!J39,'01.08 Kisasi-Bukoto'!J39,'03.08 Kisasi-Bukoto'!J39,'04.08 Kisasi-Bukoto'!J39)</f>
        <v>0.14285714285714285</v>
      </c>
      <c r="K39" s="49">
        <f>AVERAGE('29.07 Kisasi-Bukoto'!K39,'30.07 Kisasi-Bukoto'!K39,'31.07 Kisasi-Bukoto'!K39,'02.08 Kisasi-Bukoto'!K39,'01.08 Kisasi-Bukoto'!K39,'03.08 Kisasi-Bukoto'!K39,'04.08 Kisasi-Bukoto'!K39)</f>
        <v>0.2857142857142857</v>
      </c>
      <c r="L39" s="49">
        <f>AVERAGE('29.07 Kisasi-Bukoto'!L39,'30.07 Kisasi-Bukoto'!L39,'31.07 Kisasi-Bukoto'!L39,'02.08 Kisasi-Bukoto'!L39,'01.08 Kisasi-Bukoto'!L39,'03.08 Kisasi-Bukoto'!L39,'04.08 Kisasi-Bukoto'!L39)</f>
        <v>0</v>
      </c>
      <c r="M39" s="49">
        <f>AVERAGE('29.07 Kisasi-Bukoto'!M39,'30.07 Kisasi-Bukoto'!M39,'31.07 Kisasi-Bukoto'!M39,'02.08 Kisasi-Bukoto'!M39,'01.08 Kisasi-Bukoto'!M39,'03.08 Kisasi-Bukoto'!M39,'04.08 Kisasi-Bukoto'!M39)</f>
        <v>66.571428571428569</v>
      </c>
      <c r="N39" s="49">
        <f>AVERAGE('29.07 Kisasi-Bukoto'!N39,'30.07 Kisasi-Bukoto'!N39,'31.07 Kisasi-Bukoto'!N39,'02.08 Kisasi-Bukoto'!N39,'01.08 Kisasi-Bukoto'!N39,'03.08 Kisasi-Bukoto'!N39,'04.08 Kisasi-Bukoto'!N39)</f>
        <v>0</v>
      </c>
      <c r="O39" s="15">
        <f t="shared" si="0"/>
        <v>65</v>
      </c>
      <c r="P39" s="15">
        <f t="shared" si="1"/>
        <v>131.57142857142856</v>
      </c>
      <c r="R39" s="29" t="s">
        <v>87</v>
      </c>
      <c r="S39" s="16">
        <f t="shared" ref="S39:AF39" si="31">SUM(S19:S21)</f>
        <v>402.71428571428578</v>
      </c>
      <c r="T39" s="16">
        <f t="shared" si="31"/>
        <v>228</v>
      </c>
      <c r="U39" s="16">
        <f t="shared" si="31"/>
        <v>17.428571428571431</v>
      </c>
      <c r="V39" s="16">
        <f t="shared" si="31"/>
        <v>104.57142857142857</v>
      </c>
      <c r="W39" s="16">
        <f t="shared" si="31"/>
        <v>3</v>
      </c>
      <c r="X39" s="16">
        <f t="shared" si="31"/>
        <v>0</v>
      </c>
      <c r="Y39" s="16">
        <f t="shared" si="31"/>
        <v>27.428571428571427</v>
      </c>
      <c r="Z39" s="16">
        <f t="shared" si="31"/>
        <v>5.1428571428571423</v>
      </c>
      <c r="AA39" s="16">
        <f t="shared" si="31"/>
        <v>2.9999999999999996</v>
      </c>
      <c r="AB39" s="16">
        <f t="shared" si="31"/>
        <v>0.2857142857142857</v>
      </c>
      <c r="AC39" s="16">
        <f t="shared" si="31"/>
        <v>951.28571428571422</v>
      </c>
      <c r="AD39" s="16">
        <f t="shared" si="31"/>
        <v>0</v>
      </c>
      <c r="AE39" s="32">
        <f t="shared" si="31"/>
        <v>791.57142857142867</v>
      </c>
      <c r="AF39" s="32">
        <f t="shared" si="31"/>
        <v>1742.8571428571431</v>
      </c>
    </row>
    <row r="40" spans="2:32" ht="23.1" customHeight="1" x14ac:dyDescent="0.25">
      <c r="B40" s="24" t="s">
        <v>67</v>
      </c>
      <c r="C40" s="49">
        <f>AVERAGE('29.07 Kisasi-Bukoto'!C40,'30.07 Kisasi-Bukoto'!C40,'31.07 Kisasi-Bukoto'!C40,'02.08 Kisasi-Bukoto'!C40,'01.08 Kisasi-Bukoto'!C40,'03.08 Kisasi-Bukoto'!C40,'04.08 Kisasi-Bukoto'!C40)</f>
        <v>32.857142857142854</v>
      </c>
      <c r="D40" s="49">
        <f>AVERAGE('29.07 Kisasi-Bukoto'!D40,'30.07 Kisasi-Bukoto'!D40,'31.07 Kisasi-Bukoto'!D40,'02.08 Kisasi-Bukoto'!D40,'01.08 Kisasi-Bukoto'!D40,'03.08 Kisasi-Bukoto'!D40,'04.08 Kisasi-Bukoto'!D40)</f>
        <v>18.857142857142858</v>
      </c>
      <c r="E40" s="49">
        <f>AVERAGE('29.07 Kisasi-Bukoto'!E40,'30.07 Kisasi-Bukoto'!E40,'31.07 Kisasi-Bukoto'!E40,'02.08 Kisasi-Bukoto'!E40,'01.08 Kisasi-Bukoto'!E40,'03.08 Kisasi-Bukoto'!E40,'04.08 Kisasi-Bukoto'!E40)</f>
        <v>1</v>
      </c>
      <c r="F40" s="49">
        <f>AVERAGE('29.07 Kisasi-Bukoto'!F40,'30.07 Kisasi-Bukoto'!F40,'31.07 Kisasi-Bukoto'!F40,'02.08 Kisasi-Bukoto'!F40,'01.08 Kisasi-Bukoto'!F40,'03.08 Kisasi-Bukoto'!F40,'04.08 Kisasi-Bukoto'!F40)</f>
        <v>8.2857142857142865</v>
      </c>
      <c r="G40" s="49">
        <f>AVERAGE('29.07 Kisasi-Bukoto'!G40,'30.07 Kisasi-Bukoto'!G40,'31.07 Kisasi-Bukoto'!G40,'02.08 Kisasi-Bukoto'!G40,'01.08 Kisasi-Bukoto'!G40,'03.08 Kisasi-Bukoto'!G40,'04.08 Kisasi-Bukoto'!G40)</f>
        <v>0</v>
      </c>
      <c r="H40" s="49">
        <f>AVERAGE('29.07 Kisasi-Bukoto'!H40,'30.07 Kisasi-Bukoto'!H40,'31.07 Kisasi-Bukoto'!H40,'02.08 Kisasi-Bukoto'!H40,'01.08 Kisasi-Bukoto'!H40,'03.08 Kisasi-Bukoto'!H40,'04.08 Kisasi-Bukoto'!H40)</f>
        <v>0</v>
      </c>
      <c r="I40" s="49">
        <f>AVERAGE('29.07 Kisasi-Bukoto'!I40,'30.07 Kisasi-Bukoto'!I40,'31.07 Kisasi-Bukoto'!I40,'02.08 Kisasi-Bukoto'!I40,'01.08 Kisasi-Bukoto'!I40,'03.08 Kisasi-Bukoto'!I40,'04.08 Kisasi-Bukoto'!I40)</f>
        <v>1.8571428571428572</v>
      </c>
      <c r="J40" s="49">
        <f>AVERAGE('29.07 Kisasi-Bukoto'!J40,'30.07 Kisasi-Bukoto'!J40,'31.07 Kisasi-Bukoto'!J40,'02.08 Kisasi-Bukoto'!J40,'01.08 Kisasi-Bukoto'!J40,'03.08 Kisasi-Bukoto'!J40,'04.08 Kisasi-Bukoto'!J40)</f>
        <v>0.2857142857142857</v>
      </c>
      <c r="K40" s="49">
        <f>AVERAGE('29.07 Kisasi-Bukoto'!K40,'30.07 Kisasi-Bukoto'!K40,'31.07 Kisasi-Bukoto'!K40,'02.08 Kisasi-Bukoto'!K40,'01.08 Kisasi-Bukoto'!K40,'03.08 Kisasi-Bukoto'!K40,'04.08 Kisasi-Bukoto'!K40)</f>
        <v>0.2857142857142857</v>
      </c>
      <c r="L40" s="49">
        <f>AVERAGE('29.07 Kisasi-Bukoto'!L40,'30.07 Kisasi-Bukoto'!L40,'31.07 Kisasi-Bukoto'!L40,'02.08 Kisasi-Bukoto'!L40,'01.08 Kisasi-Bukoto'!L40,'03.08 Kisasi-Bukoto'!L40,'04.08 Kisasi-Bukoto'!L40)</f>
        <v>0</v>
      </c>
      <c r="M40" s="49">
        <f>AVERAGE('29.07 Kisasi-Bukoto'!M40,'30.07 Kisasi-Bukoto'!M40,'31.07 Kisasi-Bukoto'!M40,'02.08 Kisasi-Bukoto'!M40,'01.08 Kisasi-Bukoto'!M40,'03.08 Kisasi-Bukoto'!M40,'04.08 Kisasi-Bukoto'!M40)</f>
        <v>69.571428571428569</v>
      </c>
      <c r="N40" s="49">
        <f>AVERAGE('29.07 Kisasi-Bukoto'!N40,'30.07 Kisasi-Bukoto'!N40,'31.07 Kisasi-Bukoto'!N40,'02.08 Kisasi-Bukoto'!N40,'01.08 Kisasi-Bukoto'!N40,'03.08 Kisasi-Bukoto'!N40,'04.08 Kisasi-Bukoto'!N40)</f>
        <v>0</v>
      </c>
      <c r="O40" s="15">
        <f t="shared" si="0"/>
        <v>63.428571428571416</v>
      </c>
      <c r="P40" s="15">
        <f t="shared" si="1"/>
        <v>133</v>
      </c>
      <c r="R40" s="5" t="s">
        <v>17</v>
      </c>
      <c r="S40" s="16">
        <f t="shared" ref="S40:AF40" si="32">SUM(S10:S21)</f>
        <v>1974.8571428571429</v>
      </c>
      <c r="T40" s="16">
        <f t="shared" si="32"/>
        <v>1088.2857142857144</v>
      </c>
      <c r="U40" s="16">
        <f t="shared" si="32"/>
        <v>72.571428571428569</v>
      </c>
      <c r="V40" s="16">
        <f t="shared" si="32"/>
        <v>466.71428571428567</v>
      </c>
      <c r="W40" s="16">
        <f t="shared" si="32"/>
        <v>5.2857142857142856</v>
      </c>
      <c r="X40" s="16">
        <f t="shared" si="32"/>
        <v>0.5714285714285714</v>
      </c>
      <c r="Y40" s="16">
        <f t="shared" si="32"/>
        <v>119.99999999999999</v>
      </c>
      <c r="Z40" s="16">
        <f t="shared" si="32"/>
        <v>13.999999999999998</v>
      </c>
      <c r="AA40" s="16">
        <f t="shared" si="32"/>
        <v>8.428571428571427</v>
      </c>
      <c r="AB40" s="16">
        <f t="shared" si="32"/>
        <v>0.2857142857142857</v>
      </c>
      <c r="AC40" s="16">
        <f t="shared" si="32"/>
        <v>3654.8571428571427</v>
      </c>
      <c r="AD40" s="16">
        <f t="shared" si="32"/>
        <v>0</v>
      </c>
      <c r="AE40" s="32">
        <f t="shared" si="32"/>
        <v>3751</v>
      </c>
      <c r="AF40" s="32">
        <f t="shared" si="32"/>
        <v>7405.8571428571422</v>
      </c>
    </row>
    <row r="41" spans="2:32" ht="23.1" customHeight="1" x14ac:dyDescent="0.25">
      <c r="B41" s="23" t="s">
        <v>68</v>
      </c>
      <c r="C41" s="49">
        <f>AVERAGE('29.07 Kisasi-Bukoto'!C41,'30.07 Kisasi-Bukoto'!C41,'31.07 Kisasi-Bukoto'!C41,'02.08 Kisasi-Bukoto'!C41,'01.08 Kisasi-Bukoto'!C41,'03.08 Kisasi-Bukoto'!C41,'04.08 Kisasi-Bukoto'!C41)</f>
        <v>32.428571428571431</v>
      </c>
      <c r="D41" s="49">
        <f>AVERAGE('29.07 Kisasi-Bukoto'!D41,'30.07 Kisasi-Bukoto'!D41,'31.07 Kisasi-Bukoto'!D41,'02.08 Kisasi-Bukoto'!D41,'01.08 Kisasi-Bukoto'!D41,'03.08 Kisasi-Bukoto'!D41,'04.08 Kisasi-Bukoto'!D41)</f>
        <v>18</v>
      </c>
      <c r="E41" s="49">
        <f>AVERAGE('29.07 Kisasi-Bukoto'!E41,'30.07 Kisasi-Bukoto'!E41,'31.07 Kisasi-Bukoto'!E41,'02.08 Kisasi-Bukoto'!E41,'01.08 Kisasi-Bukoto'!E41,'03.08 Kisasi-Bukoto'!E41,'04.08 Kisasi-Bukoto'!E41)</f>
        <v>1.1428571428571428</v>
      </c>
      <c r="F41" s="49">
        <f>AVERAGE('29.07 Kisasi-Bukoto'!F41,'30.07 Kisasi-Bukoto'!F41,'31.07 Kisasi-Bukoto'!F41,'02.08 Kisasi-Bukoto'!F41,'01.08 Kisasi-Bukoto'!F41,'03.08 Kisasi-Bukoto'!F41,'04.08 Kisasi-Bukoto'!F41)</f>
        <v>8.4285714285714288</v>
      </c>
      <c r="G41" s="49">
        <f>AVERAGE('29.07 Kisasi-Bukoto'!G41,'30.07 Kisasi-Bukoto'!G41,'31.07 Kisasi-Bukoto'!G41,'02.08 Kisasi-Bukoto'!G41,'01.08 Kisasi-Bukoto'!G41,'03.08 Kisasi-Bukoto'!G41,'04.08 Kisasi-Bukoto'!G41)</f>
        <v>0</v>
      </c>
      <c r="H41" s="49">
        <f>AVERAGE('29.07 Kisasi-Bukoto'!H41,'30.07 Kisasi-Bukoto'!H41,'31.07 Kisasi-Bukoto'!H41,'02.08 Kisasi-Bukoto'!H41,'01.08 Kisasi-Bukoto'!H41,'03.08 Kisasi-Bukoto'!H41,'04.08 Kisasi-Bukoto'!H41)</f>
        <v>0</v>
      </c>
      <c r="I41" s="49">
        <f>AVERAGE('29.07 Kisasi-Bukoto'!I41,'30.07 Kisasi-Bukoto'!I41,'31.07 Kisasi-Bukoto'!I41,'02.08 Kisasi-Bukoto'!I41,'01.08 Kisasi-Bukoto'!I41,'03.08 Kisasi-Bukoto'!I41,'04.08 Kisasi-Bukoto'!I41)</f>
        <v>3.1428571428571428</v>
      </c>
      <c r="J41" s="49">
        <f>AVERAGE('29.07 Kisasi-Bukoto'!J41,'30.07 Kisasi-Bukoto'!J41,'31.07 Kisasi-Bukoto'!J41,'02.08 Kisasi-Bukoto'!J41,'01.08 Kisasi-Bukoto'!J41,'03.08 Kisasi-Bukoto'!J41,'04.08 Kisasi-Bukoto'!J41)</f>
        <v>0.5714285714285714</v>
      </c>
      <c r="K41" s="49">
        <f>AVERAGE('29.07 Kisasi-Bukoto'!K41,'30.07 Kisasi-Bukoto'!K41,'31.07 Kisasi-Bukoto'!K41,'02.08 Kisasi-Bukoto'!K41,'01.08 Kisasi-Bukoto'!K41,'03.08 Kisasi-Bukoto'!K41,'04.08 Kisasi-Bukoto'!K41)</f>
        <v>0.5714285714285714</v>
      </c>
      <c r="L41" s="49">
        <f>AVERAGE('29.07 Kisasi-Bukoto'!L41,'30.07 Kisasi-Bukoto'!L41,'31.07 Kisasi-Bukoto'!L41,'02.08 Kisasi-Bukoto'!L41,'01.08 Kisasi-Bukoto'!L41,'03.08 Kisasi-Bukoto'!L41,'04.08 Kisasi-Bukoto'!L41)</f>
        <v>0</v>
      </c>
      <c r="M41" s="49">
        <f>AVERAGE('29.07 Kisasi-Bukoto'!M41,'30.07 Kisasi-Bukoto'!M41,'31.07 Kisasi-Bukoto'!M41,'02.08 Kisasi-Bukoto'!M41,'01.08 Kisasi-Bukoto'!M41,'03.08 Kisasi-Bukoto'!M41,'04.08 Kisasi-Bukoto'!M41)</f>
        <v>63.285714285714285</v>
      </c>
      <c r="N41" s="49">
        <f>AVERAGE('29.07 Kisasi-Bukoto'!N41,'30.07 Kisasi-Bukoto'!N41,'31.07 Kisasi-Bukoto'!N41,'02.08 Kisasi-Bukoto'!N41,'01.08 Kisasi-Bukoto'!N41,'03.08 Kisasi-Bukoto'!N41,'04.08 Kisasi-Bukoto'!N41)</f>
        <v>0</v>
      </c>
      <c r="O41" s="15">
        <f t="shared" si="0"/>
        <v>64.285714285714292</v>
      </c>
      <c r="P41" s="15">
        <f t="shared" si="1"/>
        <v>127.57142857142858</v>
      </c>
      <c r="R41" s="5" t="s">
        <v>176</v>
      </c>
      <c r="S41" s="51">
        <f>SUM(S10:S33)</f>
        <v>2937.3571428571431</v>
      </c>
      <c r="T41" s="51">
        <f t="shared" ref="T41:AD41" si="33">SUM(T10:T33)</f>
        <v>1715.2857142857144</v>
      </c>
      <c r="U41" s="51">
        <f t="shared" si="33"/>
        <v>78.071428571428569</v>
      </c>
      <c r="V41" s="51">
        <f t="shared" si="33"/>
        <v>649.71428571428567</v>
      </c>
      <c r="W41" s="51">
        <f t="shared" si="33"/>
        <v>7.2857142857142856</v>
      </c>
      <c r="X41" s="51">
        <f t="shared" si="33"/>
        <v>0.5714285714285714</v>
      </c>
      <c r="Y41" s="51">
        <f t="shared" si="33"/>
        <v>149.5</v>
      </c>
      <c r="Z41" s="51">
        <f t="shared" si="33"/>
        <v>15.999999999999998</v>
      </c>
      <c r="AA41" s="51">
        <f t="shared" si="33"/>
        <v>10.928571428571427</v>
      </c>
      <c r="AB41" s="51">
        <f t="shared" si="33"/>
        <v>1.2857142857142856</v>
      </c>
      <c r="AC41" s="51">
        <f t="shared" si="33"/>
        <v>4750.3571428571431</v>
      </c>
      <c r="AD41" s="51">
        <f t="shared" si="33"/>
        <v>0</v>
      </c>
      <c r="AE41" s="52">
        <f>SUM(AE10:AE33)</f>
        <v>5566</v>
      </c>
      <c r="AF41" s="52">
        <f>SUM(AF10:AF33)</f>
        <v>10316.357142857141</v>
      </c>
    </row>
    <row r="42" spans="2:32" ht="23.1" customHeight="1" x14ac:dyDescent="0.25">
      <c r="B42" s="24" t="s">
        <v>69</v>
      </c>
      <c r="C42" s="49">
        <f>AVERAGE('29.07 Kisasi-Bukoto'!C42,'30.07 Kisasi-Bukoto'!C42,'31.07 Kisasi-Bukoto'!C42,'02.08 Kisasi-Bukoto'!C42,'01.08 Kisasi-Bukoto'!C42,'03.08 Kisasi-Bukoto'!C42,'04.08 Kisasi-Bukoto'!C42)</f>
        <v>33.142857142857146</v>
      </c>
      <c r="D42" s="49">
        <f>AVERAGE('29.07 Kisasi-Bukoto'!D42,'30.07 Kisasi-Bukoto'!D42,'31.07 Kisasi-Bukoto'!D42,'02.08 Kisasi-Bukoto'!D42,'01.08 Kisasi-Bukoto'!D42,'03.08 Kisasi-Bukoto'!D42,'04.08 Kisasi-Bukoto'!D42)</f>
        <v>17.857142857142858</v>
      </c>
      <c r="E42" s="49">
        <f>AVERAGE('29.07 Kisasi-Bukoto'!E42,'30.07 Kisasi-Bukoto'!E42,'31.07 Kisasi-Bukoto'!E42,'02.08 Kisasi-Bukoto'!E42,'01.08 Kisasi-Bukoto'!E42,'03.08 Kisasi-Bukoto'!E42,'04.08 Kisasi-Bukoto'!E42)</f>
        <v>1.1428571428571428</v>
      </c>
      <c r="F42" s="49">
        <f>AVERAGE('29.07 Kisasi-Bukoto'!F42,'30.07 Kisasi-Bukoto'!F42,'31.07 Kisasi-Bukoto'!F42,'02.08 Kisasi-Bukoto'!F42,'01.08 Kisasi-Bukoto'!F42,'03.08 Kisasi-Bukoto'!F42,'04.08 Kisasi-Bukoto'!F42)</f>
        <v>7.1428571428571432</v>
      </c>
      <c r="G42" s="49">
        <f>AVERAGE('29.07 Kisasi-Bukoto'!G42,'30.07 Kisasi-Bukoto'!G42,'31.07 Kisasi-Bukoto'!G42,'02.08 Kisasi-Bukoto'!G42,'01.08 Kisasi-Bukoto'!G42,'03.08 Kisasi-Bukoto'!G42,'04.08 Kisasi-Bukoto'!G42)</f>
        <v>0</v>
      </c>
      <c r="H42" s="49">
        <f>AVERAGE('29.07 Kisasi-Bukoto'!H42,'30.07 Kisasi-Bukoto'!H42,'31.07 Kisasi-Bukoto'!H42,'02.08 Kisasi-Bukoto'!H42,'01.08 Kisasi-Bukoto'!H42,'03.08 Kisasi-Bukoto'!H42,'04.08 Kisasi-Bukoto'!H42)</f>
        <v>0</v>
      </c>
      <c r="I42" s="49">
        <f>AVERAGE('29.07 Kisasi-Bukoto'!I42,'30.07 Kisasi-Bukoto'!I42,'31.07 Kisasi-Bukoto'!I42,'02.08 Kisasi-Bukoto'!I42,'01.08 Kisasi-Bukoto'!I42,'03.08 Kisasi-Bukoto'!I42,'04.08 Kisasi-Bukoto'!I42)</f>
        <v>2.4285714285714284</v>
      </c>
      <c r="J42" s="49">
        <f>AVERAGE('29.07 Kisasi-Bukoto'!J42,'30.07 Kisasi-Bukoto'!J42,'31.07 Kisasi-Bukoto'!J42,'02.08 Kisasi-Bukoto'!J42,'01.08 Kisasi-Bukoto'!J42,'03.08 Kisasi-Bukoto'!J42,'04.08 Kisasi-Bukoto'!J42)</f>
        <v>0.7142857142857143</v>
      </c>
      <c r="K42" s="49">
        <f>AVERAGE('29.07 Kisasi-Bukoto'!K42,'30.07 Kisasi-Bukoto'!K42,'31.07 Kisasi-Bukoto'!K42,'02.08 Kisasi-Bukoto'!K42,'01.08 Kisasi-Bukoto'!K42,'03.08 Kisasi-Bukoto'!K42,'04.08 Kisasi-Bukoto'!K42)</f>
        <v>0</v>
      </c>
      <c r="L42" s="49">
        <f>AVERAGE('29.07 Kisasi-Bukoto'!L42,'30.07 Kisasi-Bukoto'!L42,'31.07 Kisasi-Bukoto'!L42,'02.08 Kisasi-Bukoto'!L42,'01.08 Kisasi-Bukoto'!L42,'03.08 Kisasi-Bukoto'!L42,'04.08 Kisasi-Bukoto'!L42)</f>
        <v>0</v>
      </c>
      <c r="M42" s="49">
        <f>AVERAGE('29.07 Kisasi-Bukoto'!M42,'30.07 Kisasi-Bukoto'!M42,'31.07 Kisasi-Bukoto'!M42,'02.08 Kisasi-Bukoto'!M42,'01.08 Kisasi-Bukoto'!M42,'03.08 Kisasi-Bukoto'!M42,'04.08 Kisasi-Bukoto'!M42)</f>
        <v>74.571428571428569</v>
      </c>
      <c r="N42" s="49">
        <f>AVERAGE('29.07 Kisasi-Bukoto'!N42,'30.07 Kisasi-Bukoto'!N42,'31.07 Kisasi-Bukoto'!N42,'02.08 Kisasi-Bukoto'!N42,'01.08 Kisasi-Bukoto'!N42,'03.08 Kisasi-Bukoto'!N42,'04.08 Kisasi-Bukoto'!N42)</f>
        <v>0</v>
      </c>
      <c r="O42" s="15">
        <f t="shared" si="0"/>
        <v>62.428571428571438</v>
      </c>
      <c r="P42" s="15">
        <f t="shared" si="1"/>
        <v>137</v>
      </c>
      <c r="R42" s="5" t="s">
        <v>160</v>
      </c>
      <c r="S42" s="48">
        <f>S41/S40</f>
        <v>1.487377025462963</v>
      </c>
      <c r="T42" s="48">
        <f t="shared" ref="T42:AF42" si="34">T41/T40</f>
        <v>1.5761354686269362</v>
      </c>
      <c r="U42" s="48">
        <f t="shared" si="34"/>
        <v>1.0757874015748032</v>
      </c>
      <c r="V42" s="48">
        <f t="shared" si="34"/>
        <v>1.3921028466483012</v>
      </c>
      <c r="W42" s="48">
        <f t="shared" si="34"/>
        <v>1.3783783783783783</v>
      </c>
      <c r="X42" s="48">
        <f t="shared" si="34"/>
        <v>1</v>
      </c>
      <c r="Y42" s="48">
        <f t="shared" si="34"/>
        <v>1.2458333333333336</v>
      </c>
      <c r="Z42" s="48">
        <f t="shared" si="34"/>
        <v>1.1428571428571428</v>
      </c>
      <c r="AA42" s="48">
        <f t="shared" si="34"/>
        <v>1.2966101694915255</v>
      </c>
      <c r="AB42" s="48">
        <f t="shared" si="34"/>
        <v>4.5</v>
      </c>
      <c r="AC42" s="48">
        <f t="shared" si="34"/>
        <v>1.2997381175734837</v>
      </c>
      <c r="AD42" s="48" t="e">
        <f t="shared" si="34"/>
        <v>#DIV/0!</v>
      </c>
      <c r="AE42" s="53">
        <f t="shared" si="34"/>
        <v>1.4838709677419355</v>
      </c>
      <c r="AF42" s="53">
        <f t="shared" si="34"/>
        <v>1.3929997492332322</v>
      </c>
    </row>
    <row r="43" spans="2:32" ht="23.1" customHeight="1" x14ac:dyDescent="0.25">
      <c r="B43" s="23" t="s">
        <v>70</v>
      </c>
      <c r="C43" s="49">
        <f>AVERAGE('29.07 Kisasi-Bukoto'!C43,'30.07 Kisasi-Bukoto'!C43,'31.07 Kisasi-Bukoto'!C43,'02.08 Kisasi-Bukoto'!C43,'01.08 Kisasi-Bukoto'!C43,'03.08 Kisasi-Bukoto'!C43,'04.08 Kisasi-Bukoto'!C43)</f>
        <v>30.714285714285715</v>
      </c>
      <c r="D43" s="49">
        <f>AVERAGE('29.07 Kisasi-Bukoto'!D43,'30.07 Kisasi-Bukoto'!D43,'31.07 Kisasi-Bukoto'!D43,'02.08 Kisasi-Bukoto'!D43,'01.08 Kisasi-Bukoto'!D43,'03.08 Kisasi-Bukoto'!D43,'04.08 Kisasi-Bukoto'!D43)</f>
        <v>20</v>
      </c>
      <c r="E43" s="49">
        <f>AVERAGE('29.07 Kisasi-Bukoto'!E43,'30.07 Kisasi-Bukoto'!E43,'31.07 Kisasi-Bukoto'!E43,'02.08 Kisasi-Bukoto'!E43,'01.08 Kisasi-Bukoto'!E43,'03.08 Kisasi-Bukoto'!E43,'04.08 Kisasi-Bukoto'!E43)</f>
        <v>1.2857142857142858</v>
      </c>
      <c r="F43" s="49">
        <f>AVERAGE('29.07 Kisasi-Bukoto'!F43,'30.07 Kisasi-Bukoto'!F43,'31.07 Kisasi-Bukoto'!F43,'02.08 Kisasi-Bukoto'!F43,'01.08 Kisasi-Bukoto'!F43,'03.08 Kisasi-Bukoto'!F43,'04.08 Kisasi-Bukoto'!F43)</f>
        <v>8.5714285714285712</v>
      </c>
      <c r="G43" s="49">
        <f>AVERAGE('29.07 Kisasi-Bukoto'!G43,'30.07 Kisasi-Bukoto'!G43,'31.07 Kisasi-Bukoto'!G43,'02.08 Kisasi-Bukoto'!G43,'01.08 Kisasi-Bukoto'!G43,'03.08 Kisasi-Bukoto'!G43,'04.08 Kisasi-Bukoto'!G43)</f>
        <v>0</v>
      </c>
      <c r="H43" s="49">
        <f>AVERAGE('29.07 Kisasi-Bukoto'!H43,'30.07 Kisasi-Bukoto'!H43,'31.07 Kisasi-Bukoto'!H43,'02.08 Kisasi-Bukoto'!H43,'01.08 Kisasi-Bukoto'!H43,'03.08 Kisasi-Bukoto'!H43,'04.08 Kisasi-Bukoto'!H43)</f>
        <v>0</v>
      </c>
      <c r="I43" s="49">
        <f>AVERAGE('29.07 Kisasi-Bukoto'!I43,'30.07 Kisasi-Bukoto'!I43,'31.07 Kisasi-Bukoto'!I43,'02.08 Kisasi-Bukoto'!I43,'01.08 Kisasi-Bukoto'!I43,'03.08 Kisasi-Bukoto'!I43,'04.08 Kisasi-Bukoto'!I43)</f>
        <v>2.4285714285714284</v>
      </c>
      <c r="J43" s="49">
        <f>AVERAGE('29.07 Kisasi-Bukoto'!J43,'30.07 Kisasi-Bukoto'!J43,'31.07 Kisasi-Bukoto'!J43,'02.08 Kisasi-Bukoto'!J43,'01.08 Kisasi-Bukoto'!J43,'03.08 Kisasi-Bukoto'!J43,'04.08 Kisasi-Bukoto'!J43)</f>
        <v>0.14285714285714285</v>
      </c>
      <c r="K43" s="49">
        <f>AVERAGE('29.07 Kisasi-Bukoto'!K43,'30.07 Kisasi-Bukoto'!K43,'31.07 Kisasi-Bukoto'!K43,'02.08 Kisasi-Bukoto'!K43,'01.08 Kisasi-Bukoto'!K43,'03.08 Kisasi-Bukoto'!K43,'04.08 Kisasi-Bukoto'!K43)</f>
        <v>0.14285714285714285</v>
      </c>
      <c r="L43" s="49">
        <f>AVERAGE('29.07 Kisasi-Bukoto'!L43,'30.07 Kisasi-Bukoto'!L43,'31.07 Kisasi-Bukoto'!L43,'02.08 Kisasi-Bukoto'!L43,'01.08 Kisasi-Bukoto'!L43,'03.08 Kisasi-Bukoto'!L43,'04.08 Kisasi-Bukoto'!L43)</f>
        <v>0</v>
      </c>
      <c r="M43" s="49">
        <f>AVERAGE('29.07 Kisasi-Bukoto'!M43,'30.07 Kisasi-Bukoto'!M43,'31.07 Kisasi-Bukoto'!M43,'02.08 Kisasi-Bukoto'!M43,'01.08 Kisasi-Bukoto'!M43,'03.08 Kisasi-Bukoto'!M43,'04.08 Kisasi-Bukoto'!M43)</f>
        <v>70.428571428571431</v>
      </c>
      <c r="N43" s="49">
        <f>AVERAGE('29.07 Kisasi-Bukoto'!N43,'30.07 Kisasi-Bukoto'!N43,'31.07 Kisasi-Bukoto'!N43,'02.08 Kisasi-Bukoto'!N43,'01.08 Kisasi-Bukoto'!N43,'03.08 Kisasi-Bukoto'!N43,'04.08 Kisasi-Bukoto'!N43)</f>
        <v>0</v>
      </c>
      <c r="O43" s="15">
        <f t="shared" si="0"/>
        <v>63.285714285714292</v>
      </c>
      <c r="P43" s="15">
        <f t="shared" si="1"/>
        <v>133.71428571428572</v>
      </c>
    </row>
    <row r="44" spans="2:32" ht="23.1" customHeight="1" x14ac:dyDescent="0.25">
      <c r="B44" s="25" t="s">
        <v>71</v>
      </c>
      <c r="C44" s="49">
        <f>AVERAGE('29.07 Kisasi-Bukoto'!C44,'30.07 Kisasi-Bukoto'!C44,'31.07 Kisasi-Bukoto'!C44,'02.08 Kisasi-Bukoto'!C44,'01.08 Kisasi-Bukoto'!C44,'03.08 Kisasi-Bukoto'!C44,'04.08 Kisasi-Bukoto'!C44)</f>
        <v>36.857142857142854</v>
      </c>
      <c r="D44" s="49">
        <f>AVERAGE('29.07 Kisasi-Bukoto'!D44,'30.07 Kisasi-Bukoto'!D44,'31.07 Kisasi-Bukoto'!D44,'02.08 Kisasi-Bukoto'!D44,'01.08 Kisasi-Bukoto'!D44,'03.08 Kisasi-Bukoto'!D44,'04.08 Kisasi-Bukoto'!D44)</f>
        <v>22.857142857142858</v>
      </c>
      <c r="E44" s="49">
        <f>AVERAGE('29.07 Kisasi-Bukoto'!E44,'30.07 Kisasi-Bukoto'!E44,'31.07 Kisasi-Bukoto'!E44,'02.08 Kisasi-Bukoto'!E44,'01.08 Kisasi-Bukoto'!E44,'03.08 Kisasi-Bukoto'!E44,'04.08 Kisasi-Bukoto'!E44)</f>
        <v>1.1428571428571428</v>
      </c>
      <c r="F44" s="49">
        <f>AVERAGE('29.07 Kisasi-Bukoto'!F44,'30.07 Kisasi-Bukoto'!F44,'31.07 Kisasi-Bukoto'!F44,'02.08 Kisasi-Bukoto'!F44,'01.08 Kisasi-Bukoto'!F44,'03.08 Kisasi-Bukoto'!F44,'04.08 Kisasi-Bukoto'!F44)</f>
        <v>7.2857142857142856</v>
      </c>
      <c r="G44" s="49">
        <f>AVERAGE('29.07 Kisasi-Bukoto'!G44,'30.07 Kisasi-Bukoto'!G44,'31.07 Kisasi-Bukoto'!G44,'02.08 Kisasi-Bukoto'!G44,'01.08 Kisasi-Bukoto'!G44,'03.08 Kisasi-Bukoto'!G44,'04.08 Kisasi-Bukoto'!G44)</f>
        <v>0.2857142857142857</v>
      </c>
      <c r="H44" s="49">
        <f>AVERAGE('29.07 Kisasi-Bukoto'!H44,'30.07 Kisasi-Bukoto'!H44,'31.07 Kisasi-Bukoto'!H44,'02.08 Kisasi-Bukoto'!H44,'01.08 Kisasi-Bukoto'!H44,'03.08 Kisasi-Bukoto'!H44,'04.08 Kisasi-Bukoto'!H44)</f>
        <v>0</v>
      </c>
      <c r="I44" s="49">
        <f>AVERAGE('29.07 Kisasi-Bukoto'!I44,'30.07 Kisasi-Bukoto'!I44,'31.07 Kisasi-Bukoto'!I44,'02.08 Kisasi-Bukoto'!I44,'01.08 Kisasi-Bukoto'!I44,'03.08 Kisasi-Bukoto'!I44,'04.08 Kisasi-Bukoto'!I44)</f>
        <v>1.4285714285714286</v>
      </c>
      <c r="J44" s="49">
        <f>AVERAGE('29.07 Kisasi-Bukoto'!J44,'30.07 Kisasi-Bukoto'!J44,'31.07 Kisasi-Bukoto'!J44,'02.08 Kisasi-Bukoto'!J44,'01.08 Kisasi-Bukoto'!J44,'03.08 Kisasi-Bukoto'!J44,'04.08 Kisasi-Bukoto'!J44)</f>
        <v>0</v>
      </c>
      <c r="K44" s="49">
        <f>AVERAGE('29.07 Kisasi-Bukoto'!K44,'30.07 Kisasi-Bukoto'!K44,'31.07 Kisasi-Bukoto'!K44,'02.08 Kisasi-Bukoto'!K44,'01.08 Kisasi-Bukoto'!K44,'03.08 Kisasi-Bukoto'!K44,'04.08 Kisasi-Bukoto'!K44)</f>
        <v>0.5714285714285714</v>
      </c>
      <c r="L44" s="49">
        <f>AVERAGE('29.07 Kisasi-Bukoto'!L44,'30.07 Kisasi-Bukoto'!L44,'31.07 Kisasi-Bukoto'!L44,'02.08 Kisasi-Bukoto'!L44,'01.08 Kisasi-Bukoto'!L44,'03.08 Kisasi-Bukoto'!L44,'04.08 Kisasi-Bukoto'!L44)</f>
        <v>0</v>
      </c>
      <c r="M44" s="49">
        <f>AVERAGE('29.07 Kisasi-Bukoto'!M44,'30.07 Kisasi-Bukoto'!M44,'31.07 Kisasi-Bukoto'!M44,'02.08 Kisasi-Bukoto'!M44,'01.08 Kisasi-Bukoto'!M44,'03.08 Kisasi-Bukoto'!M44,'04.08 Kisasi-Bukoto'!M44)</f>
        <v>66.142857142857139</v>
      </c>
      <c r="N44" s="49">
        <f>AVERAGE('29.07 Kisasi-Bukoto'!N44,'30.07 Kisasi-Bukoto'!N44,'31.07 Kisasi-Bukoto'!N44,'02.08 Kisasi-Bukoto'!N44,'01.08 Kisasi-Bukoto'!N44,'03.08 Kisasi-Bukoto'!N44,'04.08 Kisasi-Bukoto'!N44)</f>
        <v>0</v>
      </c>
      <c r="O44" s="15">
        <f t="shared" si="0"/>
        <v>70.428571428571431</v>
      </c>
      <c r="P44" s="15">
        <f t="shared" si="1"/>
        <v>136.57142857142856</v>
      </c>
    </row>
    <row r="45" spans="2:32" ht="23.1" customHeight="1" x14ac:dyDescent="0.25">
      <c r="B45" s="23" t="s">
        <v>72</v>
      </c>
      <c r="C45" s="49">
        <f>AVERAGE('29.07 Kisasi-Bukoto'!C45,'30.07 Kisasi-Bukoto'!C45,'31.07 Kisasi-Bukoto'!C45,'02.08 Kisasi-Bukoto'!C45,'01.08 Kisasi-Bukoto'!C45,'03.08 Kisasi-Bukoto'!C45,'04.08 Kisasi-Bukoto'!C45)</f>
        <v>36.428571428571431</v>
      </c>
      <c r="D45" s="49">
        <f>AVERAGE('29.07 Kisasi-Bukoto'!D45,'30.07 Kisasi-Bukoto'!D45,'31.07 Kisasi-Bukoto'!D45,'02.08 Kisasi-Bukoto'!D45,'01.08 Kisasi-Bukoto'!D45,'03.08 Kisasi-Bukoto'!D45,'04.08 Kisasi-Bukoto'!D45)</f>
        <v>21.428571428571427</v>
      </c>
      <c r="E45" s="49">
        <f>AVERAGE('29.07 Kisasi-Bukoto'!E45,'30.07 Kisasi-Bukoto'!E45,'31.07 Kisasi-Bukoto'!E45,'02.08 Kisasi-Bukoto'!E45,'01.08 Kisasi-Bukoto'!E45,'03.08 Kisasi-Bukoto'!E45,'04.08 Kisasi-Bukoto'!E45)</f>
        <v>1</v>
      </c>
      <c r="F45" s="49">
        <f>AVERAGE('29.07 Kisasi-Bukoto'!F45,'30.07 Kisasi-Bukoto'!F45,'31.07 Kisasi-Bukoto'!F45,'02.08 Kisasi-Bukoto'!F45,'01.08 Kisasi-Bukoto'!F45,'03.08 Kisasi-Bukoto'!F45,'04.08 Kisasi-Bukoto'!F45)</f>
        <v>8.7142857142857135</v>
      </c>
      <c r="G45" s="49">
        <f>AVERAGE('29.07 Kisasi-Bukoto'!G45,'30.07 Kisasi-Bukoto'!G45,'31.07 Kisasi-Bukoto'!G45,'02.08 Kisasi-Bukoto'!G45,'01.08 Kisasi-Bukoto'!G45,'03.08 Kisasi-Bukoto'!G45,'04.08 Kisasi-Bukoto'!G45)</f>
        <v>0</v>
      </c>
      <c r="H45" s="49">
        <f>AVERAGE('29.07 Kisasi-Bukoto'!H45,'30.07 Kisasi-Bukoto'!H45,'31.07 Kisasi-Bukoto'!H45,'02.08 Kisasi-Bukoto'!H45,'01.08 Kisasi-Bukoto'!H45,'03.08 Kisasi-Bukoto'!H45,'04.08 Kisasi-Bukoto'!H45)</f>
        <v>0</v>
      </c>
      <c r="I45" s="49">
        <f>AVERAGE('29.07 Kisasi-Bukoto'!I45,'30.07 Kisasi-Bukoto'!I45,'31.07 Kisasi-Bukoto'!I45,'02.08 Kisasi-Bukoto'!I45,'01.08 Kisasi-Bukoto'!I45,'03.08 Kisasi-Bukoto'!I45,'04.08 Kisasi-Bukoto'!I45)</f>
        <v>3</v>
      </c>
      <c r="J45" s="49">
        <f>AVERAGE('29.07 Kisasi-Bukoto'!J45,'30.07 Kisasi-Bukoto'!J45,'31.07 Kisasi-Bukoto'!J45,'02.08 Kisasi-Bukoto'!J45,'01.08 Kisasi-Bukoto'!J45,'03.08 Kisasi-Bukoto'!J45,'04.08 Kisasi-Bukoto'!J45)</f>
        <v>0.2857142857142857</v>
      </c>
      <c r="K45" s="49">
        <f>AVERAGE('29.07 Kisasi-Bukoto'!K45,'30.07 Kisasi-Bukoto'!K45,'31.07 Kisasi-Bukoto'!K45,'02.08 Kisasi-Bukoto'!K45,'01.08 Kisasi-Bukoto'!K45,'03.08 Kisasi-Bukoto'!K45,'04.08 Kisasi-Bukoto'!K45)</f>
        <v>0.14285714285714285</v>
      </c>
      <c r="L45" s="49">
        <f>AVERAGE('29.07 Kisasi-Bukoto'!L45,'30.07 Kisasi-Bukoto'!L45,'31.07 Kisasi-Bukoto'!L45,'02.08 Kisasi-Bukoto'!L45,'01.08 Kisasi-Bukoto'!L45,'03.08 Kisasi-Bukoto'!L45,'04.08 Kisasi-Bukoto'!L45)</f>
        <v>0</v>
      </c>
      <c r="M45" s="49">
        <f>AVERAGE('29.07 Kisasi-Bukoto'!M45,'30.07 Kisasi-Bukoto'!M45,'31.07 Kisasi-Bukoto'!M45,'02.08 Kisasi-Bukoto'!M45,'01.08 Kisasi-Bukoto'!M45,'03.08 Kisasi-Bukoto'!M45,'04.08 Kisasi-Bukoto'!M45)</f>
        <v>67.571428571428569</v>
      </c>
      <c r="N45" s="49">
        <f>AVERAGE('29.07 Kisasi-Bukoto'!N45,'30.07 Kisasi-Bukoto'!N45,'31.07 Kisasi-Bukoto'!N45,'02.08 Kisasi-Bukoto'!N45,'01.08 Kisasi-Bukoto'!N45,'03.08 Kisasi-Bukoto'!N45,'04.08 Kisasi-Bukoto'!N45)</f>
        <v>0</v>
      </c>
      <c r="O45" s="15">
        <f t="shared" si="0"/>
        <v>71</v>
      </c>
      <c r="P45" s="15">
        <f t="shared" si="1"/>
        <v>138.57142857142856</v>
      </c>
    </row>
    <row r="46" spans="2:32" ht="23.1" customHeight="1" x14ac:dyDescent="0.25">
      <c r="B46" s="24" t="s">
        <v>73</v>
      </c>
      <c r="C46" s="49">
        <f>AVERAGE('29.07 Kisasi-Bukoto'!C46,'30.07 Kisasi-Bukoto'!C46,'31.07 Kisasi-Bukoto'!C46,'02.08 Kisasi-Bukoto'!C46,'01.08 Kisasi-Bukoto'!C50,'03.08 Kisasi-Bukoto'!C46,'04.08 Kisasi-Bukoto'!C46)</f>
        <v>38.285714285714285</v>
      </c>
      <c r="D46" s="49">
        <f>AVERAGE('29.07 Kisasi-Bukoto'!D46,'30.07 Kisasi-Bukoto'!D46,'31.07 Kisasi-Bukoto'!D46,'02.08 Kisasi-Bukoto'!D46,'01.08 Kisasi-Bukoto'!D50,'03.08 Kisasi-Bukoto'!D46,'04.08 Kisasi-Bukoto'!D46)</f>
        <v>21.714285714285715</v>
      </c>
      <c r="E46" s="49">
        <f>AVERAGE('29.07 Kisasi-Bukoto'!E46,'30.07 Kisasi-Bukoto'!E46,'31.07 Kisasi-Bukoto'!E46,'02.08 Kisasi-Bukoto'!E46,'01.08 Kisasi-Bukoto'!E50,'03.08 Kisasi-Bukoto'!E46,'04.08 Kisasi-Bukoto'!E46)</f>
        <v>1.1428571428571428</v>
      </c>
      <c r="F46" s="49">
        <f>AVERAGE('29.07 Kisasi-Bukoto'!F46,'30.07 Kisasi-Bukoto'!F46,'31.07 Kisasi-Bukoto'!F46,'02.08 Kisasi-Bukoto'!F46,'01.08 Kisasi-Bukoto'!F50,'03.08 Kisasi-Bukoto'!F46,'04.08 Kisasi-Bukoto'!F46)</f>
        <v>9.1428571428571423</v>
      </c>
      <c r="G46" s="49">
        <f>AVERAGE('29.07 Kisasi-Bukoto'!G46,'30.07 Kisasi-Bukoto'!G46,'31.07 Kisasi-Bukoto'!G46,'02.08 Kisasi-Bukoto'!G46,'01.08 Kisasi-Bukoto'!G50,'03.08 Kisasi-Bukoto'!G46,'04.08 Kisasi-Bukoto'!G46)</f>
        <v>0</v>
      </c>
      <c r="H46" s="49">
        <f>AVERAGE('29.07 Kisasi-Bukoto'!H46,'30.07 Kisasi-Bukoto'!H46,'31.07 Kisasi-Bukoto'!H46,'02.08 Kisasi-Bukoto'!H46,'01.08 Kisasi-Bukoto'!H46,'03.08 Kisasi-Bukoto'!H46,'04.08 Kisasi-Bukoto'!H46)</f>
        <v>0</v>
      </c>
      <c r="I46" s="49">
        <f>AVERAGE('29.07 Kisasi-Bukoto'!I46,'30.07 Kisasi-Bukoto'!I46,'31.07 Kisasi-Bukoto'!I46,'02.08 Kisasi-Bukoto'!I46,'01.08 Kisasi-Bukoto'!I46,'03.08 Kisasi-Bukoto'!I46,'04.08 Kisasi-Bukoto'!I46)</f>
        <v>2.2857142857142856</v>
      </c>
      <c r="J46" s="49">
        <f>AVERAGE('29.07 Kisasi-Bukoto'!J46,'30.07 Kisasi-Bukoto'!J46,'31.07 Kisasi-Bukoto'!J46,'02.08 Kisasi-Bukoto'!J46,'01.08 Kisasi-Bukoto'!J46,'03.08 Kisasi-Bukoto'!J46,'04.08 Kisasi-Bukoto'!J46)</f>
        <v>0.2857142857142857</v>
      </c>
      <c r="K46" s="49">
        <f>AVERAGE('29.07 Kisasi-Bukoto'!K46,'30.07 Kisasi-Bukoto'!K46,'31.07 Kisasi-Bukoto'!K46,'02.08 Kisasi-Bukoto'!K46,'01.08 Kisasi-Bukoto'!K46,'03.08 Kisasi-Bukoto'!K46,'04.08 Kisasi-Bukoto'!K46)</f>
        <v>0</v>
      </c>
      <c r="L46" s="49">
        <f>AVERAGE('29.07 Kisasi-Bukoto'!L46,'30.07 Kisasi-Bukoto'!L46,'31.07 Kisasi-Bukoto'!L46,'02.08 Kisasi-Bukoto'!L46,'01.08 Kisasi-Bukoto'!L46,'03.08 Kisasi-Bukoto'!L46,'04.08 Kisasi-Bukoto'!L46)</f>
        <v>0</v>
      </c>
      <c r="M46" s="49">
        <f>AVERAGE('29.07 Kisasi-Bukoto'!M46,'30.07 Kisasi-Bukoto'!M46,'31.07 Kisasi-Bukoto'!M46,'02.08 Kisasi-Bukoto'!M46,'01.08 Kisasi-Bukoto'!M46,'03.08 Kisasi-Bukoto'!M46,'04.08 Kisasi-Bukoto'!M46)</f>
        <v>72.571428571428569</v>
      </c>
      <c r="N46" s="49">
        <f>AVERAGE('29.07 Kisasi-Bukoto'!N46,'30.07 Kisasi-Bukoto'!N46,'31.07 Kisasi-Bukoto'!N46,'02.08 Kisasi-Bukoto'!N46,'01.08 Kisasi-Bukoto'!N46,'03.08 Kisasi-Bukoto'!N46,'04.08 Kisasi-Bukoto'!N46)</f>
        <v>0</v>
      </c>
      <c r="O46" s="15">
        <f t="shared" si="0"/>
        <v>72.857142857142875</v>
      </c>
      <c r="P46" s="15">
        <f t="shared" si="1"/>
        <v>145.42857142857144</v>
      </c>
      <c r="R46" s="8"/>
      <c r="T46"/>
    </row>
    <row r="47" spans="2:32" ht="23.1" customHeight="1" x14ac:dyDescent="0.25">
      <c r="B47" s="24" t="s">
        <v>74</v>
      </c>
      <c r="C47" s="49">
        <f>AVERAGE('29.07 Kisasi-Bukoto'!C47,'30.07 Kisasi-Bukoto'!C47,'31.07 Kisasi-Bukoto'!C47,'02.08 Kisasi-Bukoto'!C47,'01.08 Kisasi-Bukoto'!C51,'03.08 Kisasi-Bukoto'!C47,'04.08 Kisasi-Bukoto'!C47)</f>
        <v>33.857142857142854</v>
      </c>
      <c r="D47" s="49">
        <f>AVERAGE('29.07 Kisasi-Bukoto'!D47,'30.07 Kisasi-Bukoto'!D47,'31.07 Kisasi-Bukoto'!D47,'02.08 Kisasi-Bukoto'!D47,'01.08 Kisasi-Bukoto'!D51,'03.08 Kisasi-Bukoto'!D47,'04.08 Kisasi-Bukoto'!D47)</f>
        <v>17</v>
      </c>
      <c r="E47" s="49">
        <f>AVERAGE('29.07 Kisasi-Bukoto'!E47,'30.07 Kisasi-Bukoto'!E47,'31.07 Kisasi-Bukoto'!E47,'02.08 Kisasi-Bukoto'!E47,'01.08 Kisasi-Bukoto'!E51,'03.08 Kisasi-Bukoto'!E47,'04.08 Kisasi-Bukoto'!E47)</f>
        <v>1.4285714285714286</v>
      </c>
      <c r="F47" s="49">
        <f>AVERAGE('29.07 Kisasi-Bukoto'!F47,'30.07 Kisasi-Bukoto'!F47,'31.07 Kisasi-Bukoto'!F47,'02.08 Kisasi-Bukoto'!F47,'01.08 Kisasi-Bukoto'!F51,'03.08 Kisasi-Bukoto'!F47,'04.08 Kisasi-Bukoto'!F47)</f>
        <v>7</v>
      </c>
      <c r="G47" s="49">
        <f>AVERAGE('29.07 Kisasi-Bukoto'!G47,'30.07 Kisasi-Bukoto'!G47,'31.07 Kisasi-Bukoto'!G47,'02.08 Kisasi-Bukoto'!G47,'01.08 Kisasi-Bukoto'!G51,'03.08 Kisasi-Bukoto'!G47,'04.08 Kisasi-Bukoto'!G47)</f>
        <v>0</v>
      </c>
      <c r="H47" s="49">
        <f>AVERAGE('29.07 Kisasi-Bukoto'!H47,'30.07 Kisasi-Bukoto'!H47,'31.07 Kisasi-Bukoto'!H47,'02.08 Kisasi-Bukoto'!H47,'01.08 Kisasi-Bukoto'!H47,'03.08 Kisasi-Bukoto'!H47,'04.08 Kisasi-Bukoto'!H47)</f>
        <v>0</v>
      </c>
      <c r="I47" s="49">
        <f>AVERAGE('29.07 Kisasi-Bukoto'!I47,'30.07 Kisasi-Bukoto'!I47,'31.07 Kisasi-Bukoto'!I47,'02.08 Kisasi-Bukoto'!I47,'01.08 Kisasi-Bukoto'!I47,'03.08 Kisasi-Bukoto'!I47,'04.08 Kisasi-Bukoto'!I47)</f>
        <v>3.1428571428571428</v>
      </c>
      <c r="J47" s="49">
        <f>AVERAGE('29.07 Kisasi-Bukoto'!J47,'30.07 Kisasi-Bukoto'!J47,'31.07 Kisasi-Bukoto'!J47,'02.08 Kisasi-Bukoto'!J47,'01.08 Kisasi-Bukoto'!J47,'03.08 Kisasi-Bukoto'!J47,'04.08 Kisasi-Bukoto'!J47)</f>
        <v>0.42857142857142855</v>
      </c>
      <c r="K47" s="49">
        <f>AVERAGE('29.07 Kisasi-Bukoto'!K47,'30.07 Kisasi-Bukoto'!K47,'31.07 Kisasi-Bukoto'!K47,'02.08 Kisasi-Bukoto'!K47,'01.08 Kisasi-Bukoto'!K47,'03.08 Kisasi-Bukoto'!K47,'04.08 Kisasi-Bukoto'!K47)</f>
        <v>0.2857142857142857</v>
      </c>
      <c r="L47" s="49">
        <f>AVERAGE('29.07 Kisasi-Bukoto'!L47,'30.07 Kisasi-Bukoto'!L47,'31.07 Kisasi-Bukoto'!L47,'02.08 Kisasi-Bukoto'!L47,'01.08 Kisasi-Bukoto'!L47,'03.08 Kisasi-Bukoto'!L47,'04.08 Kisasi-Bukoto'!L47)</f>
        <v>0</v>
      </c>
      <c r="M47" s="49">
        <f>AVERAGE('29.07 Kisasi-Bukoto'!M47,'30.07 Kisasi-Bukoto'!M47,'31.07 Kisasi-Bukoto'!M47,'02.08 Kisasi-Bukoto'!M47,'01.08 Kisasi-Bukoto'!M47,'03.08 Kisasi-Bukoto'!M47,'04.08 Kisasi-Bukoto'!M47)</f>
        <v>68.571428571428569</v>
      </c>
      <c r="N47" s="49">
        <f>AVERAGE('29.07 Kisasi-Bukoto'!N47,'30.07 Kisasi-Bukoto'!N47,'31.07 Kisasi-Bukoto'!N47,'02.08 Kisasi-Bukoto'!N47,'01.08 Kisasi-Bukoto'!N47,'03.08 Kisasi-Bukoto'!N47,'04.08 Kisasi-Bukoto'!N47)</f>
        <v>0</v>
      </c>
      <c r="O47" s="15">
        <f t="shared" si="0"/>
        <v>63.142857142857146</v>
      </c>
      <c r="P47" s="15">
        <f t="shared" si="1"/>
        <v>131.71428571428572</v>
      </c>
      <c r="R47" s="8"/>
      <c r="T47"/>
    </row>
    <row r="48" spans="2:32" ht="23.1" customHeight="1" x14ac:dyDescent="0.25">
      <c r="B48" s="24" t="s">
        <v>75</v>
      </c>
      <c r="C48" s="49">
        <f>AVERAGE('29.07 Kisasi-Bukoto'!C48,'30.07 Kisasi-Bukoto'!C48,'31.07 Kisasi-Bukoto'!C48,'02.08 Kisasi-Bukoto'!C48,'01.08 Kisasi-Bukoto'!C52,'03.08 Kisasi-Bukoto'!C48,'04.08 Kisasi-Bukoto'!C48)</f>
        <v>36.714285714285715</v>
      </c>
      <c r="D48" s="49">
        <f>AVERAGE('29.07 Kisasi-Bukoto'!D48,'30.07 Kisasi-Bukoto'!D48,'31.07 Kisasi-Bukoto'!D48,'02.08 Kisasi-Bukoto'!D48,'01.08 Kisasi-Bukoto'!D52,'03.08 Kisasi-Bukoto'!D48,'04.08 Kisasi-Bukoto'!D48)</f>
        <v>22.428571428571427</v>
      </c>
      <c r="E48" s="49">
        <f>AVERAGE('29.07 Kisasi-Bukoto'!E48,'30.07 Kisasi-Bukoto'!E48,'31.07 Kisasi-Bukoto'!E48,'02.08 Kisasi-Bukoto'!E48,'01.08 Kisasi-Bukoto'!E52,'03.08 Kisasi-Bukoto'!E48,'04.08 Kisasi-Bukoto'!E48)</f>
        <v>1.1428571428571428</v>
      </c>
      <c r="F48" s="49">
        <f>AVERAGE('29.07 Kisasi-Bukoto'!F48,'30.07 Kisasi-Bukoto'!F48,'31.07 Kisasi-Bukoto'!F48,'02.08 Kisasi-Bukoto'!F48,'01.08 Kisasi-Bukoto'!F52,'03.08 Kisasi-Bukoto'!F48,'04.08 Kisasi-Bukoto'!F48)</f>
        <v>7.7142857142857144</v>
      </c>
      <c r="G48" s="49">
        <f>AVERAGE('29.07 Kisasi-Bukoto'!G48,'30.07 Kisasi-Bukoto'!G48,'31.07 Kisasi-Bukoto'!G48,'02.08 Kisasi-Bukoto'!G48,'01.08 Kisasi-Bukoto'!G52,'03.08 Kisasi-Bukoto'!G48,'04.08 Kisasi-Bukoto'!G48)</f>
        <v>0.14285714285714285</v>
      </c>
      <c r="H48" s="49">
        <f>AVERAGE('29.07 Kisasi-Bukoto'!H48,'30.07 Kisasi-Bukoto'!H48,'31.07 Kisasi-Bukoto'!H48,'02.08 Kisasi-Bukoto'!H48,'01.08 Kisasi-Bukoto'!H48,'03.08 Kisasi-Bukoto'!H48,'04.08 Kisasi-Bukoto'!H48)</f>
        <v>0</v>
      </c>
      <c r="I48" s="49">
        <f>AVERAGE('29.07 Kisasi-Bukoto'!I48,'30.07 Kisasi-Bukoto'!I48,'31.07 Kisasi-Bukoto'!I48,'02.08 Kisasi-Bukoto'!I48,'01.08 Kisasi-Bukoto'!I48,'03.08 Kisasi-Bukoto'!I48,'04.08 Kisasi-Bukoto'!I48)</f>
        <v>2.5714285714285716</v>
      </c>
      <c r="J48" s="49">
        <f>AVERAGE('29.07 Kisasi-Bukoto'!J48,'30.07 Kisasi-Bukoto'!J48,'31.07 Kisasi-Bukoto'!J48,'02.08 Kisasi-Bukoto'!J48,'01.08 Kisasi-Bukoto'!J48,'03.08 Kisasi-Bukoto'!J48,'04.08 Kisasi-Bukoto'!J48)</f>
        <v>0.2857142857142857</v>
      </c>
      <c r="K48" s="49">
        <f>AVERAGE('29.07 Kisasi-Bukoto'!K48,'30.07 Kisasi-Bukoto'!K48,'31.07 Kisasi-Bukoto'!K48,'02.08 Kisasi-Bukoto'!K48,'01.08 Kisasi-Bukoto'!K48,'03.08 Kisasi-Bukoto'!K48,'04.08 Kisasi-Bukoto'!K48)</f>
        <v>0.5714285714285714</v>
      </c>
      <c r="L48" s="49">
        <f>AVERAGE('29.07 Kisasi-Bukoto'!L48,'30.07 Kisasi-Bukoto'!L48,'31.07 Kisasi-Bukoto'!L48,'02.08 Kisasi-Bukoto'!L48,'01.08 Kisasi-Bukoto'!L48,'03.08 Kisasi-Bukoto'!L48,'04.08 Kisasi-Bukoto'!L48)</f>
        <v>0</v>
      </c>
      <c r="M48" s="49">
        <f>AVERAGE('29.07 Kisasi-Bukoto'!M48,'30.07 Kisasi-Bukoto'!M48,'31.07 Kisasi-Bukoto'!M48,'02.08 Kisasi-Bukoto'!M48,'01.08 Kisasi-Bukoto'!M48,'03.08 Kisasi-Bukoto'!M48,'04.08 Kisasi-Bukoto'!M48)</f>
        <v>73.142857142857139</v>
      </c>
      <c r="N48" s="49">
        <f>AVERAGE('29.07 Kisasi-Bukoto'!N48,'30.07 Kisasi-Bukoto'!N48,'31.07 Kisasi-Bukoto'!N48,'02.08 Kisasi-Bukoto'!N48,'01.08 Kisasi-Bukoto'!N48,'03.08 Kisasi-Bukoto'!N48,'04.08 Kisasi-Bukoto'!N48)</f>
        <v>0</v>
      </c>
      <c r="O48" s="15">
        <f t="shared" si="0"/>
        <v>71.571428571428569</v>
      </c>
      <c r="P48" s="15">
        <f t="shared" si="1"/>
        <v>144.71428571428572</v>
      </c>
      <c r="R48" s="8"/>
      <c r="T48"/>
    </row>
    <row r="49" spans="2:20" ht="23.1" customHeight="1" x14ac:dyDescent="0.25">
      <c r="B49" s="23" t="s">
        <v>76</v>
      </c>
      <c r="C49" s="49">
        <f>AVERAGE('29.07 Kisasi-Bukoto'!C49,'30.07 Kisasi-Bukoto'!C49,'31.07 Kisasi-Bukoto'!C49,'02.08 Kisasi-Bukoto'!C49,'01.08 Kisasi-Bukoto'!C53,'03.08 Kisasi-Bukoto'!C49,'04.08 Kisasi-Bukoto'!C49)</f>
        <v>37.857142857142854</v>
      </c>
      <c r="D49" s="49">
        <f>AVERAGE('29.07 Kisasi-Bukoto'!D49,'30.07 Kisasi-Bukoto'!D49,'31.07 Kisasi-Bukoto'!D49,'02.08 Kisasi-Bukoto'!D49,'01.08 Kisasi-Bukoto'!D53,'03.08 Kisasi-Bukoto'!D49,'04.08 Kisasi-Bukoto'!D49)</f>
        <v>22.285714285714285</v>
      </c>
      <c r="E49" s="49">
        <f>AVERAGE('29.07 Kisasi-Bukoto'!E49,'30.07 Kisasi-Bukoto'!E49,'31.07 Kisasi-Bukoto'!E49,'02.08 Kisasi-Bukoto'!E49,'01.08 Kisasi-Bukoto'!E53,'03.08 Kisasi-Bukoto'!E49,'04.08 Kisasi-Bukoto'!E49)</f>
        <v>1.5714285714285714</v>
      </c>
      <c r="F49" s="49">
        <f>AVERAGE('29.07 Kisasi-Bukoto'!F49,'30.07 Kisasi-Bukoto'!F49,'31.07 Kisasi-Bukoto'!F49,'02.08 Kisasi-Bukoto'!F49,'01.08 Kisasi-Bukoto'!F53,'03.08 Kisasi-Bukoto'!F49,'04.08 Kisasi-Bukoto'!F49)</f>
        <v>9</v>
      </c>
      <c r="G49" s="49">
        <f>AVERAGE('29.07 Kisasi-Bukoto'!G49,'30.07 Kisasi-Bukoto'!G49,'31.07 Kisasi-Bukoto'!G49,'02.08 Kisasi-Bukoto'!G49,'01.08 Kisasi-Bukoto'!G53,'03.08 Kisasi-Bukoto'!G49,'04.08 Kisasi-Bukoto'!G49)</f>
        <v>0.5714285714285714</v>
      </c>
      <c r="H49" s="49">
        <f>AVERAGE('29.07 Kisasi-Bukoto'!H49,'30.07 Kisasi-Bukoto'!H49,'31.07 Kisasi-Bukoto'!H49,'02.08 Kisasi-Bukoto'!H49,'01.08 Kisasi-Bukoto'!H49,'03.08 Kisasi-Bukoto'!H49,'04.08 Kisasi-Bukoto'!H49)</f>
        <v>0</v>
      </c>
      <c r="I49" s="49">
        <f>AVERAGE('29.07 Kisasi-Bukoto'!I49,'30.07 Kisasi-Bukoto'!I49,'31.07 Kisasi-Bukoto'!I49,'02.08 Kisasi-Bukoto'!I49,'01.08 Kisasi-Bukoto'!I49,'03.08 Kisasi-Bukoto'!I49,'04.08 Kisasi-Bukoto'!I49)</f>
        <v>2.8571428571428572</v>
      </c>
      <c r="J49" s="49">
        <f>AVERAGE('29.07 Kisasi-Bukoto'!J49,'30.07 Kisasi-Bukoto'!J49,'31.07 Kisasi-Bukoto'!J49,'02.08 Kisasi-Bukoto'!J49,'01.08 Kisasi-Bukoto'!J49,'03.08 Kisasi-Bukoto'!J49,'04.08 Kisasi-Bukoto'!J49)</f>
        <v>0.14285714285714285</v>
      </c>
      <c r="K49" s="49">
        <f>AVERAGE('29.07 Kisasi-Bukoto'!K49,'30.07 Kisasi-Bukoto'!K49,'31.07 Kisasi-Bukoto'!K49,'02.08 Kisasi-Bukoto'!K49,'01.08 Kisasi-Bukoto'!K49,'03.08 Kisasi-Bukoto'!K49,'04.08 Kisasi-Bukoto'!K49)</f>
        <v>0.5714285714285714</v>
      </c>
      <c r="L49" s="49">
        <f>AVERAGE('29.07 Kisasi-Bukoto'!L49,'30.07 Kisasi-Bukoto'!L49,'31.07 Kisasi-Bukoto'!L49,'02.08 Kisasi-Bukoto'!L49,'01.08 Kisasi-Bukoto'!L49,'03.08 Kisasi-Bukoto'!L49,'04.08 Kisasi-Bukoto'!L49)</f>
        <v>0</v>
      </c>
      <c r="M49" s="49">
        <f>AVERAGE('29.07 Kisasi-Bukoto'!M49,'30.07 Kisasi-Bukoto'!M49,'31.07 Kisasi-Bukoto'!M49,'02.08 Kisasi-Bukoto'!M49,'01.08 Kisasi-Bukoto'!M49,'03.08 Kisasi-Bukoto'!M49,'04.08 Kisasi-Bukoto'!M49)</f>
        <v>77.857142857142861</v>
      </c>
      <c r="N49" s="49">
        <f>AVERAGE('29.07 Kisasi-Bukoto'!N49,'30.07 Kisasi-Bukoto'!N49,'31.07 Kisasi-Bukoto'!N49,'02.08 Kisasi-Bukoto'!N49,'01.08 Kisasi-Bukoto'!N49,'03.08 Kisasi-Bukoto'!N49,'04.08 Kisasi-Bukoto'!N49)</f>
        <v>0</v>
      </c>
      <c r="O49" s="15">
        <f t="shared" si="0"/>
        <v>74.857142857142847</v>
      </c>
      <c r="P49" s="15">
        <f t="shared" si="1"/>
        <v>152.71428571428572</v>
      </c>
    </row>
    <row r="50" spans="2:20" ht="23.1" customHeight="1" x14ac:dyDescent="0.25">
      <c r="B50" s="24" t="s">
        <v>77</v>
      </c>
      <c r="C50" s="49">
        <f>AVERAGE('29.07 Kisasi-Bukoto'!C50,'30.07 Kisasi-Bukoto'!C50,'31.07 Kisasi-Bukoto'!C50,'02.08 Kisasi-Bukoto'!C50,'01.08 Kisasi-Bukoto'!C54,'03.08 Kisasi-Bukoto'!C50,'04.08 Kisasi-Bukoto'!C50)</f>
        <v>41</v>
      </c>
      <c r="D50" s="49">
        <f>AVERAGE('29.07 Kisasi-Bukoto'!D50,'30.07 Kisasi-Bukoto'!D50,'31.07 Kisasi-Bukoto'!D50,'02.08 Kisasi-Bukoto'!D50,'01.08 Kisasi-Bukoto'!D54,'03.08 Kisasi-Bukoto'!D50,'04.08 Kisasi-Bukoto'!D50)</f>
        <v>20.714285714285715</v>
      </c>
      <c r="E50" s="49">
        <f>AVERAGE('29.07 Kisasi-Bukoto'!E50,'30.07 Kisasi-Bukoto'!E50,'31.07 Kisasi-Bukoto'!E50,'02.08 Kisasi-Bukoto'!E50,'01.08 Kisasi-Bukoto'!E54,'03.08 Kisasi-Bukoto'!E50,'04.08 Kisasi-Bukoto'!E50)</f>
        <v>1.2857142857142858</v>
      </c>
      <c r="F50" s="49">
        <f>AVERAGE('29.07 Kisasi-Bukoto'!F50,'30.07 Kisasi-Bukoto'!F50,'31.07 Kisasi-Bukoto'!F50,'02.08 Kisasi-Bukoto'!F50,'01.08 Kisasi-Bukoto'!F54,'03.08 Kisasi-Bukoto'!F50,'04.08 Kisasi-Bukoto'!F50)</f>
        <v>9</v>
      </c>
      <c r="G50" s="49">
        <f>AVERAGE('29.07 Kisasi-Bukoto'!G50,'30.07 Kisasi-Bukoto'!G50,'31.07 Kisasi-Bukoto'!G50,'02.08 Kisasi-Bukoto'!G50,'01.08 Kisasi-Bukoto'!G54,'03.08 Kisasi-Bukoto'!G50,'04.08 Kisasi-Bukoto'!G50)</f>
        <v>0</v>
      </c>
      <c r="H50" s="49">
        <f>AVERAGE('29.07 Kisasi-Bukoto'!H50,'30.07 Kisasi-Bukoto'!H50,'31.07 Kisasi-Bukoto'!H50,'02.08 Kisasi-Bukoto'!H50,'01.08 Kisasi-Bukoto'!H50,'03.08 Kisasi-Bukoto'!H50,'04.08 Kisasi-Bukoto'!H50)</f>
        <v>0</v>
      </c>
      <c r="I50" s="49">
        <f>AVERAGE('29.07 Kisasi-Bukoto'!I50,'30.07 Kisasi-Bukoto'!I50,'31.07 Kisasi-Bukoto'!I50,'02.08 Kisasi-Bukoto'!I50,'01.08 Kisasi-Bukoto'!I50,'03.08 Kisasi-Bukoto'!I50,'04.08 Kisasi-Bukoto'!I50)</f>
        <v>2.1428571428571428</v>
      </c>
      <c r="J50" s="49">
        <f>AVERAGE('29.07 Kisasi-Bukoto'!J50,'30.07 Kisasi-Bukoto'!J50,'31.07 Kisasi-Bukoto'!J50,'02.08 Kisasi-Bukoto'!J50,'01.08 Kisasi-Bukoto'!J50,'03.08 Kisasi-Bukoto'!J50,'04.08 Kisasi-Bukoto'!J50)</f>
        <v>0.42857142857142855</v>
      </c>
      <c r="K50" s="49">
        <f>AVERAGE('29.07 Kisasi-Bukoto'!K50,'30.07 Kisasi-Bukoto'!K50,'31.07 Kisasi-Bukoto'!K50,'02.08 Kisasi-Bukoto'!K50,'01.08 Kisasi-Bukoto'!K50,'03.08 Kisasi-Bukoto'!K50,'04.08 Kisasi-Bukoto'!K50)</f>
        <v>0.42857142857142855</v>
      </c>
      <c r="L50" s="49">
        <f>AVERAGE('29.07 Kisasi-Bukoto'!L50,'30.07 Kisasi-Bukoto'!L50,'31.07 Kisasi-Bukoto'!L50,'02.08 Kisasi-Bukoto'!L50,'01.08 Kisasi-Bukoto'!L50,'03.08 Kisasi-Bukoto'!L50,'04.08 Kisasi-Bukoto'!L50)</f>
        <v>0</v>
      </c>
      <c r="M50" s="49">
        <f>AVERAGE('29.07 Kisasi-Bukoto'!M50,'30.07 Kisasi-Bukoto'!M50,'31.07 Kisasi-Bukoto'!M50,'02.08 Kisasi-Bukoto'!M50,'01.08 Kisasi-Bukoto'!M50,'03.08 Kisasi-Bukoto'!M50,'04.08 Kisasi-Bukoto'!M50)</f>
        <v>82</v>
      </c>
      <c r="N50" s="49">
        <f>AVERAGE('29.07 Kisasi-Bukoto'!N50,'30.07 Kisasi-Bukoto'!N50,'31.07 Kisasi-Bukoto'!N50,'02.08 Kisasi-Bukoto'!N50,'01.08 Kisasi-Bukoto'!N50,'03.08 Kisasi-Bukoto'!N50,'04.08 Kisasi-Bukoto'!N50)</f>
        <v>0</v>
      </c>
      <c r="O50" s="15">
        <f t="shared" si="0"/>
        <v>75</v>
      </c>
      <c r="P50" s="15">
        <f t="shared" si="1"/>
        <v>157</v>
      </c>
    </row>
    <row r="51" spans="2:20" ht="23.1" customHeight="1" x14ac:dyDescent="0.25">
      <c r="B51" s="24" t="s">
        <v>78</v>
      </c>
      <c r="C51" s="49">
        <f>AVERAGE('29.07 Kisasi-Bukoto'!C51,'30.07 Kisasi-Bukoto'!C51,'31.07 Kisasi-Bukoto'!C51,'02.08 Kisasi-Bukoto'!C51,'01.08 Kisasi-Bukoto'!C55,'03.08 Kisasi-Bukoto'!C51,'04.08 Kisasi-Bukoto'!C51)</f>
        <v>30.142857142857142</v>
      </c>
      <c r="D51" s="49">
        <f>AVERAGE('29.07 Kisasi-Bukoto'!D51,'30.07 Kisasi-Bukoto'!D51,'31.07 Kisasi-Bukoto'!D51,'02.08 Kisasi-Bukoto'!D51,'01.08 Kisasi-Bukoto'!D55,'03.08 Kisasi-Bukoto'!D51,'04.08 Kisasi-Bukoto'!D51)</f>
        <v>22.571428571428573</v>
      </c>
      <c r="E51" s="49">
        <f>AVERAGE('29.07 Kisasi-Bukoto'!E51,'30.07 Kisasi-Bukoto'!E51,'31.07 Kisasi-Bukoto'!E51,'02.08 Kisasi-Bukoto'!E51,'01.08 Kisasi-Bukoto'!E55,'03.08 Kisasi-Bukoto'!E51,'04.08 Kisasi-Bukoto'!E51)</f>
        <v>1.5714285714285714</v>
      </c>
      <c r="F51" s="49">
        <f>AVERAGE('29.07 Kisasi-Bukoto'!F51,'30.07 Kisasi-Bukoto'!F51,'31.07 Kisasi-Bukoto'!F51,'02.08 Kisasi-Bukoto'!F51,'01.08 Kisasi-Bukoto'!F55,'03.08 Kisasi-Bukoto'!F51,'04.08 Kisasi-Bukoto'!F51)</f>
        <v>9.5714285714285712</v>
      </c>
      <c r="G51" s="49">
        <f>AVERAGE('29.07 Kisasi-Bukoto'!G51,'30.07 Kisasi-Bukoto'!G51,'31.07 Kisasi-Bukoto'!G51,'02.08 Kisasi-Bukoto'!G51,'01.08 Kisasi-Bukoto'!G55,'03.08 Kisasi-Bukoto'!G51,'04.08 Kisasi-Bukoto'!G51)</f>
        <v>0.2857142857142857</v>
      </c>
      <c r="H51" s="49">
        <f>AVERAGE('29.07 Kisasi-Bukoto'!H51,'30.07 Kisasi-Bukoto'!H51,'31.07 Kisasi-Bukoto'!H51,'02.08 Kisasi-Bukoto'!H51,'01.08 Kisasi-Bukoto'!H51,'03.08 Kisasi-Bukoto'!H51,'04.08 Kisasi-Bukoto'!H51)</f>
        <v>0</v>
      </c>
      <c r="I51" s="49">
        <f>AVERAGE('29.07 Kisasi-Bukoto'!I51,'30.07 Kisasi-Bukoto'!I51,'31.07 Kisasi-Bukoto'!I51,'02.08 Kisasi-Bukoto'!I51,'01.08 Kisasi-Bukoto'!I51,'03.08 Kisasi-Bukoto'!I51,'04.08 Kisasi-Bukoto'!I51)</f>
        <v>1.4285714285714286</v>
      </c>
      <c r="J51" s="49">
        <f>AVERAGE('29.07 Kisasi-Bukoto'!J51,'30.07 Kisasi-Bukoto'!J51,'31.07 Kisasi-Bukoto'!J51,'02.08 Kisasi-Bukoto'!J51,'01.08 Kisasi-Bukoto'!J51,'03.08 Kisasi-Bukoto'!J51,'04.08 Kisasi-Bukoto'!J51)</f>
        <v>0.2857142857142857</v>
      </c>
      <c r="K51" s="49">
        <f>AVERAGE('29.07 Kisasi-Bukoto'!K51,'30.07 Kisasi-Bukoto'!K51,'31.07 Kisasi-Bukoto'!K51,'02.08 Kisasi-Bukoto'!K51,'01.08 Kisasi-Bukoto'!K51,'03.08 Kisasi-Bukoto'!K51,'04.08 Kisasi-Bukoto'!K51)</f>
        <v>0.2857142857142857</v>
      </c>
      <c r="L51" s="49">
        <f>AVERAGE('29.07 Kisasi-Bukoto'!L51,'30.07 Kisasi-Bukoto'!L51,'31.07 Kisasi-Bukoto'!L51,'02.08 Kisasi-Bukoto'!L51,'01.08 Kisasi-Bukoto'!L51,'03.08 Kisasi-Bukoto'!L51,'04.08 Kisasi-Bukoto'!L51)</f>
        <v>0</v>
      </c>
      <c r="M51" s="49">
        <f>AVERAGE('29.07 Kisasi-Bukoto'!M51,'30.07 Kisasi-Bukoto'!M51,'31.07 Kisasi-Bukoto'!M51,'02.08 Kisasi-Bukoto'!M51,'01.08 Kisasi-Bukoto'!M51,'03.08 Kisasi-Bukoto'!M51,'04.08 Kisasi-Bukoto'!M51)</f>
        <v>83.571428571428569</v>
      </c>
      <c r="N51" s="49">
        <f>AVERAGE('29.07 Kisasi-Bukoto'!N51,'30.07 Kisasi-Bukoto'!N51,'31.07 Kisasi-Bukoto'!N51,'02.08 Kisasi-Bukoto'!N51,'01.08 Kisasi-Bukoto'!N51,'03.08 Kisasi-Bukoto'!N51,'04.08 Kisasi-Bukoto'!N51)</f>
        <v>0</v>
      </c>
      <c r="O51" s="15">
        <f t="shared" si="0"/>
        <v>66.142857142857153</v>
      </c>
      <c r="P51" s="15">
        <f t="shared" si="1"/>
        <v>149.71428571428572</v>
      </c>
    </row>
    <row r="52" spans="2:20" ht="23.1" customHeight="1" x14ac:dyDescent="0.25">
      <c r="B52" s="24" t="s">
        <v>79</v>
      </c>
      <c r="C52" s="49">
        <f>AVERAGE('29.07 Kisasi-Bukoto'!C52,'30.07 Kisasi-Bukoto'!C52,'31.07 Kisasi-Bukoto'!C52,'02.08 Kisasi-Bukoto'!C52,'01.08 Kisasi-Bukoto'!C56,'03.08 Kisasi-Bukoto'!C52,'04.08 Kisasi-Bukoto'!C52)</f>
        <v>32.571428571428569</v>
      </c>
      <c r="D52" s="49">
        <f>AVERAGE('29.07 Kisasi-Bukoto'!D52,'30.07 Kisasi-Bukoto'!D52,'31.07 Kisasi-Bukoto'!D52,'02.08 Kisasi-Bukoto'!D52,'01.08 Kisasi-Bukoto'!D56,'03.08 Kisasi-Bukoto'!D52,'04.08 Kisasi-Bukoto'!D52)</f>
        <v>16.142857142857142</v>
      </c>
      <c r="E52" s="49">
        <f>AVERAGE('29.07 Kisasi-Bukoto'!E52,'30.07 Kisasi-Bukoto'!E52,'31.07 Kisasi-Bukoto'!E52,'02.08 Kisasi-Bukoto'!E52,'01.08 Kisasi-Bukoto'!E56,'03.08 Kisasi-Bukoto'!E52,'04.08 Kisasi-Bukoto'!E52)</f>
        <v>1.2857142857142858</v>
      </c>
      <c r="F52" s="49">
        <f>AVERAGE('29.07 Kisasi-Bukoto'!F52,'30.07 Kisasi-Bukoto'!F52,'31.07 Kisasi-Bukoto'!F52,'02.08 Kisasi-Bukoto'!F52,'01.08 Kisasi-Bukoto'!F56,'03.08 Kisasi-Bukoto'!F52,'04.08 Kisasi-Bukoto'!F52)</f>
        <v>9.5714285714285712</v>
      </c>
      <c r="G52" s="49">
        <f>AVERAGE('29.07 Kisasi-Bukoto'!G52,'30.07 Kisasi-Bukoto'!G52,'31.07 Kisasi-Bukoto'!G52,'02.08 Kisasi-Bukoto'!G52,'01.08 Kisasi-Bukoto'!G56,'03.08 Kisasi-Bukoto'!G52,'04.08 Kisasi-Bukoto'!G52)</f>
        <v>0</v>
      </c>
      <c r="H52" s="49">
        <f>AVERAGE('29.07 Kisasi-Bukoto'!H52,'30.07 Kisasi-Bukoto'!H52,'31.07 Kisasi-Bukoto'!H52,'02.08 Kisasi-Bukoto'!H52,'01.08 Kisasi-Bukoto'!H52,'03.08 Kisasi-Bukoto'!H52,'04.08 Kisasi-Bukoto'!H52)</f>
        <v>0</v>
      </c>
      <c r="I52" s="49">
        <f>AVERAGE('29.07 Kisasi-Bukoto'!I52,'30.07 Kisasi-Bukoto'!I52,'31.07 Kisasi-Bukoto'!I52,'02.08 Kisasi-Bukoto'!I52,'01.08 Kisasi-Bukoto'!I52,'03.08 Kisasi-Bukoto'!I52,'04.08 Kisasi-Bukoto'!I52)</f>
        <v>1.5714285714285714</v>
      </c>
      <c r="J52" s="49">
        <f>AVERAGE('29.07 Kisasi-Bukoto'!J52,'30.07 Kisasi-Bukoto'!J52,'31.07 Kisasi-Bukoto'!J52,'02.08 Kisasi-Bukoto'!J52,'01.08 Kisasi-Bukoto'!J52,'03.08 Kisasi-Bukoto'!J52,'04.08 Kisasi-Bukoto'!J52)</f>
        <v>0.42857142857142855</v>
      </c>
      <c r="K52" s="49">
        <f>AVERAGE('29.07 Kisasi-Bukoto'!K52,'30.07 Kisasi-Bukoto'!K52,'31.07 Kisasi-Bukoto'!K52,'02.08 Kisasi-Bukoto'!K52,'01.08 Kisasi-Bukoto'!K52,'03.08 Kisasi-Bukoto'!K52,'04.08 Kisasi-Bukoto'!K52)</f>
        <v>0.14285714285714285</v>
      </c>
      <c r="L52" s="49">
        <f>AVERAGE('29.07 Kisasi-Bukoto'!L52,'30.07 Kisasi-Bukoto'!L52,'31.07 Kisasi-Bukoto'!L52,'02.08 Kisasi-Bukoto'!L52,'01.08 Kisasi-Bukoto'!L52,'03.08 Kisasi-Bukoto'!L52,'04.08 Kisasi-Bukoto'!L52)</f>
        <v>0.14285714285714285</v>
      </c>
      <c r="M52" s="49">
        <f>AVERAGE('29.07 Kisasi-Bukoto'!M52,'30.07 Kisasi-Bukoto'!M52,'31.07 Kisasi-Bukoto'!M52,'02.08 Kisasi-Bukoto'!M52,'01.08 Kisasi-Bukoto'!M52,'03.08 Kisasi-Bukoto'!M52,'04.08 Kisasi-Bukoto'!M52)</f>
        <v>82.285714285714292</v>
      </c>
      <c r="N52" s="49">
        <f>AVERAGE('29.07 Kisasi-Bukoto'!N52,'30.07 Kisasi-Bukoto'!N52,'31.07 Kisasi-Bukoto'!N52,'02.08 Kisasi-Bukoto'!N52,'01.08 Kisasi-Bukoto'!N52,'03.08 Kisasi-Bukoto'!N52,'04.08 Kisasi-Bukoto'!N52)</f>
        <v>0</v>
      </c>
      <c r="O52" s="15">
        <f t="shared" si="0"/>
        <v>61.857142857142854</v>
      </c>
      <c r="P52" s="15">
        <f t="shared" si="1"/>
        <v>144.14285714285714</v>
      </c>
    </row>
    <row r="53" spans="2:20" ht="23.1" customHeight="1" x14ac:dyDescent="0.25">
      <c r="B53" s="23" t="s">
        <v>80</v>
      </c>
      <c r="C53" s="49">
        <f>AVERAGE('29.07 Kisasi-Bukoto'!C53,'30.07 Kisasi-Bukoto'!C53,'31.07 Kisasi-Bukoto'!C53,'02.08 Kisasi-Bukoto'!C53,'01.08 Kisasi-Bukoto'!C57,'03.08 Kisasi-Bukoto'!C53,'04.08 Kisasi-Bukoto'!C53)</f>
        <v>35.428571428571431</v>
      </c>
      <c r="D53" s="49">
        <f>AVERAGE('29.07 Kisasi-Bukoto'!D53,'30.07 Kisasi-Bukoto'!D53,'31.07 Kisasi-Bukoto'!D53,'02.08 Kisasi-Bukoto'!D53,'01.08 Kisasi-Bukoto'!D57,'03.08 Kisasi-Bukoto'!D53,'04.08 Kisasi-Bukoto'!D53)</f>
        <v>19.571428571428573</v>
      </c>
      <c r="E53" s="49">
        <f>AVERAGE('29.07 Kisasi-Bukoto'!E53,'30.07 Kisasi-Bukoto'!E53,'31.07 Kisasi-Bukoto'!E53,'02.08 Kisasi-Bukoto'!E53,'01.08 Kisasi-Bukoto'!E57,'03.08 Kisasi-Bukoto'!E53,'04.08 Kisasi-Bukoto'!E53)</f>
        <v>2</v>
      </c>
      <c r="F53" s="49">
        <f>AVERAGE('29.07 Kisasi-Bukoto'!F53,'30.07 Kisasi-Bukoto'!F53,'31.07 Kisasi-Bukoto'!F53,'02.08 Kisasi-Bukoto'!F53,'01.08 Kisasi-Bukoto'!F57,'03.08 Kisasi-Bukoto'!F53,'04.08 Kisasi-Bukoto'!F53)</f>
        <v>8</v>
      </c>
      <c r="G53" s="49">
        <f>AVERAGE('29.07 Kisasi-Bukoto'!G53,'30.07 Kisasi-Bukoto'!G53,'31.07 Kisasi-Bukoto'!G53,'02.08 Kisasi-Bukoto'!G53,'01.08 Kisasi-Bukoto'!G57,'03.08 Kisasi-Bukoto'!G53,'04.08 Kisasi-Bukoto'!G53)</f>
        <v>0</v>
      </c>
      <c r="H53" s="49">
        <f>AVERAGE('29.07 Kisasi-Bukoto'!H53,'30.07 Kisasi-Bukoto'!H53,'31.07 Kisasi-Bukoto'!H53,'02.08 Kisasi-Bukoto'!H53,'01.08 Kisasi-Bukoto'!H53,'03.08 Kisasi-Bukoto'!H53,'04.08 Kisasi-Bukoto'!H53)</f>
        <v>0</v>
      </c>
      <c r="I53" s="49">
        <f>AVERAGE('29.07 Kisasi-Bukoto'!I53,'30.07 Kisasi-Bukoto'!I53,'31.07 Kisasi-Bukoto'!I53,'02.08 Kisasi-Bukoto'!I53,'01.08 Kisasi-Bukoto'!I53,'03.08 Kisasi-Bukoto'!I53,'04.08 Kisasi-Bukoto'!I53)</f>
        <v>2.2857142857142856</v>
      </c>
      <c r="J53" s="49">
        <f>AVERAGE('29.07 Kisasi-Bukoto'!J53,'30.07 Kisasi-Bukoto'!J53,'31.07 Kisasi-Bukoto'!J53,'02.08 Kisasi-Bukoto'!J53,'01.08 Kisasi-Bukoto'!J53,'03.08 Kisasi-Bukoto'!J53,'04.08 Kisasi-Bukoto'!J53)</f>
        <v>0.7142857142857143</v>
      </c>
      <c r="K53" s="49">
        <f>AVERAGE('29.07 Kisasi-Bukoto'!K53,'30.07 Kisasi-Bukoto'!K53,'31.07 Kisasi-Bukoto'!K53,'02.08 Kisasi-Bukoto'!K53,'01.08 Kisasi-Bukoto'!K53,'03.08 Kisasi-Bukoto'!K53,'04.08 Kisasi-Bukoto'!K53)</f>
        <v>0.2857142857142857</v>
      </c>
      <c r="L53" s="49">
        <f>AVERAGE('29.07 Kisasi-Bukoto'!L53,'30.07 Kisasi-Bukoto'!L53,'31.07 Kisasi-Bukoto'!L53,'02.08 Kisasi-Bukoto'!L53,'01.08 Kisasi-Bukoto'!L53,'03.08 Kisasi-Bukoto'!L53,'04.08 Kisasi-Bukoto'!L53)</f>
        <v>0</v>
      </c>
      <c r="M53" s="49">
        <f>AVERAGE('29.07 Kisasi-Bukoto'!M53,'30.07 Kisasi-Bukoto'!M53,'31.07 Kisasi-Bukoto'!M53,'02.08 Kisasi-Bukoto'!M53,'01.08 Kisasi-Bukoto'!M53,'03.08 Kisasi-Bukoto'!M53,'04.08 Kisasi-Bukoto'!M53)</f>
        <v>84.571428571428569</v>
      </c>
      <c r="N53" s="49">
        <f>AVERAGE('29.07 Kisasi-Bukoto'!N53,'30.07 Kisasi-Bukoto'!N53,'31.07 Kisasi-Bukoto'!N53,'02.08 Kisasi-Bukoto'!N53,'01.08 Kisasi-Bukoto'!N53,'03.08 Kisasi-Bukoto'!N53,'04.08 Kisasi-Bukoto'!N53)</f>
        <v>0</v>
      </c>
      <c r="O53" s="15">
        <f t="shared" si="0"/>
        <v>68.285714285714292</v>
      </c>
      <c r="P53" s="15">
        <f t="shared" si="1"/>
        <v>152.85714285714286</v>
      </c>
    </row>
    <row r="54" spans="2:20" ht="23.1" customHeight="1" x14ac:dyDescent="0.25">
      <c r="B54" s="23" t="s">
        <v>81</v>
      </c>
      <c r="C54" s="49">
        <f>AVERAGE('29.07 Kisasi-Bukoto'!C54,'30.07 Kisasi-Bukoto'!C54,'31.07 Kisasi-Bukoto'!C54,'02.08 Kisasi-Bukoto'!C54,'01.08 Kisasi-Bukoto'!C58,'03.08 Kisasi-Bukoto'!C54,'04.08 Kisasi-Bukoto'!C54)</f>
        <v>28.142857142857142</v>
      </c>
      <c r="D54" s="49">
        <f>AVERAGE('29.07 Kisasi-Bukoto'!D54,'30.07 Kisasi-Bukoto'!D54,'31.07 Kisasi-Bukoto'!D54,'02.08 Kisasi-Bukoto'!D54,'01.08 Kisasi-Bukoto'!D58,'03.08 Kisasi-Bukoto'!D54,'04.08 Kisasi-Bukoto'!D54)</f>
        <v>18.714285714285715</v>
      </c>
      <c r="E54" s="49">
        <f>AVERAGE('29.07 Kisasi-Bukoto'!E54,'30.07 Kisasi-Bukoto'!E54,'31.07 Kisasi-Bukoto'!E54,'02.08 Kisasi-Bukoto'!E54,'01.08 Kisasi-Bukoto'!E58,'03.08 Kisasi-Bukoto'!E54,'04.08 Kisasi-Bukoto'!E54)</f>
        <v>1.5714285714285714</v>
      </c>
      <c r="F54" s="49">
        <f>AVERAGE('29.07 Kisasi-Bukoto'!F54,'30.07 Kisasi-Bukoto'!F54,'31.07 Kisasi-Bukoto'!F54,'02.08 Kisasi-Bukoto'!F54,'01.08 Kisasi-Bukoto'!F58,'03.08 Kisasi-Bukoto'!F54,'04.08 Kisasi-Bukoto'!F54)</f>
        <v>8.4285714285714288</v>
      </c>
      <c r="G54" s="49">
        <f>AVERAGE('29.07 Kisasi-Bukoto'!G54,'30.07 Kisasi-Bukoto'!G54,'31.07 Kisasi-Bukoto'!G54,'02.08 Kisasi-Bukoto'!G54,'01.08 Kisasi-Bukoto'!G58,'03.08 Kisasi-Bukoto'!G54,'04.08 Kisasi-Bukoto'!G54)</f>
        <v>0.14285714285714285</v>
      </c>
      <c r="H54" s="49">
        <f>AVERAGE('29.07 Kisasi-Bukoto'!H54,'30.07 Kisasi-Bukoto'!H54,'31.07 Kisasi-Bukoto'!H54,'02.08 Kisasi-Bukoto'!H54,'01.08 Kisasi-Bukoto'!H54,'03.08 Kisasi-Bukoto'!H54,'04.08 Kisasi-Bukoto'!H54)</f>
        <v>0</v>
      </c>
      <c r="I54" s="49">
        <f>AVERAGE('29.07 Kisasi-Bukoto'!I54,'30.07 Kisasi-Bukoto'!I54,'31.07 Kisasi-Bukoto'!I54,'02.08 Kisasi-Bukoto'!I54,'01.08 Kisasi-Bukoto'!I54,'03.08 Kisasi-Bukoto'!I54,'04.08 Kisasi-Bukoto'!I54)</f>
        <v>2.5714285714285716</v>
      </c>
      <c r="J54" s="49">
        <f>AVERAGE('29.07 Kisasi-Bukoto'!J54,'30.07 Kisasi-Bukoto'!J54,'31.07 Kisasi-Bukoto'!J54,'02.08 Kisasi-Bukoto'!J54,'01.08 Kisasi-Bukoto'!J54,'03.08 Kisasi-Bukoto'!J54,'04.08 Kisasi-Bukoto'!J54)</f>
        <v>0.7142857142857143</v>
      </c>
      <c r="K54" s="49">
        <f>AVERAGE('29.07 Kisasi-Bukoto'!K54,'30.07 Kisasi-Bukoto'!K54,'31.07 Kisasi-Bukoto'!K54,'02.08 Kisasi-Bukoto'!K54,'01.08 Kisasi-Bukoto'!K54,'03.08 Kisasi-Bukoto'!K54,'04.08 Kisasi-Bukoto'!K54)</f>
        <v>0.2857142857142857</v>
      </c>
      <c r="L54" s="49">
        <f>AVERAGE('29.07 Kisasi-Bukoto'!L54,'30.07 Kisasi-Bukoto'!L54,'31.07 Kisasi-Bukoto'!L54,'02.08 Kisasi-Bukoto'!L54,'01.08 Kisasi-Bukoto'!L54,'03.08 Kisasi-Bukoto'!L54,'04.08 Kisasi-Bukoto'!L54)</f>
        <v>0</v>
      </c>
      <c r="M54" s="49">
        <f>AVERAGE('29.07 Kisasi-Bukoto'!M54,'30.07 Kisasi-Bukoto'!M54,'31.07 Kisasi-Bukoto'!M54,'02.08 Kisasi-Bukoto'!M54,'01.08 Kisasi-Bukoto'!M54,'03.08 Kisasi-Bukoto'!M54,'04.08 Kisasi-Bukoto'!M54)</f>
        <v>86.571428571428569</v>
      </c>
      <c r="N54" s="49">
        <f>AVERAGE('29.07 Kisasi-Bukoto'!N54,'30.07 Kisasi-Bukoto'!N54,'31.07 Kisasi-Bukoto'!N54,'02.08 Kisasi-Bukoto'!N54,'01.08 Kisasi-Bukoto'!N54,'03.08 Kisasi-Bukoto'!N54,'04.08 Kisasi-Bukoto'!N54)</f>
        <v>0</v>
      </c>
      <c r="O54" s="15">
        <f t="shared" si="0"/>
        <v>60.571428571428577</v>
      </c>
      <c r="P54" s="15">
        <f t="shared" si="1"/>
        <v>147.14285714285714</v>
      </c>
    </row>
    <row r="55" spans="2:20" ht="23.1" customHeight="1" x14ac:dyDescent="0.25">
      <c r="B55" s="23" t="s">
        <v>82</v>
      </c>
      <c r="C55" s="49">
        <f>AVERAGE('29.07 Kisasi-Bukoto'!C55,'30.07 Kisasi-Bukoto'!C55,'31.07 Kisasi-Bukoto'!C55,'02.08 Kisasi-Bukoto'!C55,'01.08 Kisasi-Bukoto'!C59,'03.08 Kisasi-Bukoto'!C55,'04.08 Kisasi-Bukoto'!C55)</f>
        <v>32.714285714285715</v>
      </c>
      <c r="D55" s="49">
        <f>AVERAGE('29.07 Kisasi-Bukoto'!D55,'30.07 Kisasi-Bukoto'!D55,'31.07 Kisasi-Bukoto'!D55,'02.08 Kisasi-Bukoto'!D55,'01.08 Kisasi-Bukoto'!D59,'03.08 Kisasi-Bukoto'!D55,'04.08 Kisasi-Bukoto'!D55)</f>
        <v>18.857142857142858</v>
      </c>
      <c r="E55" s="49">
        <f>AVERAGE('29.07 Kisasi-Bukoto'!E55,'30.07 Kisasi-Bukoto'!E55,'31.07 Kisasi-Bukoto'!E55,'02.08 Kisasi-Bukoto'!E55,'01.08 Kisasi-Bukoto'!E59,'03.08 Kisasi-Bukoto'!E55,'04.08 Kisasi-Bukoto'!E55)</f>
        <v>1.2857142857142858</v>
      </c>
      <c r="F55" s="49">
        <f>AVERAGE('29.07 Kisasi-Bukoto'!F55,'30.07 Kisasi-Bukoto'!F55,'31.07 Kisasi-Bukoto'!F55,'02.08 Kisasi-Bukoto'!F55,'01.08 Kisasi-Bukoto'!F59,'03.08 Kisasi-Bukoto'!F55,'04.08 Kisasi-Bukoto'!F55)</f>
        <v>7</v>
      </c>
      <c r="G55" s="49">
        <f>AVERAGE('29.07 Kisasi-Bukoto'!G55,'30.07 Kisasi-Bukoto'!G55,'31.07 Kisasi-Bukoto'!G55,'02.08 Kisasi-Bukoto'!G55,'01.08 Kisasi-Bukoto'!G59,'03.08 Kisasi-Bukoto'!G55,'04.08 Kisasi-Bukoto'!G55)</f>
        <v>1</v>
      </c>
      <c r="H55" s="49">
        <f>AVERAGE('29.07 Kisasi-Bukoto'!H55,'30.07 Kisasi-Bukoto'!H55,'31.07 Kisasi-Bukoto'!H55,'02.08 Kisasi-Bukoto'!H55,'01.08 Kisasi-Bukoto'!H55,'03.08 Kisasi-Bukoto'!H55,'04.08 Kisasi-Bukoto'!H55)</f>
        <v>0</v>
      </c>
      <c r="I55" s="49">
        <f>AVERAGE('29.07 Kisasi-Bukoto'!I55,'30.07 Kisasi-Bukoto'!I55,'31.07 Kisasi-Bukoto'!I55,'02.08 Kisasi-Bukoto'!I55,'01.08 Kisasi-Bukoto'!I55,'03.08 Kisasi-Bukoto'!I55,'04.08 Kisasi-Bukoto'!I55)</f>
        <v>2.4285714285714284</v>
      </c>
      <c r="J55" s="49">
        <f>AVERAGE('29.07 Kisasi-Bukoto'!J55,'30.07 Kisasi-Bukoto'!J55,'31.07 Kisasi-Bukoto'!J55,'02.08 Kisasi-Bukoto'!J55,'01.08 Kisasi-Bukoto'!J55,'03.08 Kisasi-Bukoto'!J55,'04.08 Kisasi-Bukoto'!J55)</f>
        <v>0.14285714285714285</v>
      </c>
      <c r="K55" s="49">
        <f>AVERAGE('29.07 Kisasi-Bukoto'!K55,'30.07 Kisasi-Bukoto'!K55,'31.07 Kisasi-Bukoto'!K55,'02.08 Kisasi-Bukoto'!K55,'01.08 Kisasi-Bukoto'!K55,'03.08 Kisasi-Bukoto'!K55,'04.08 Kisasi-Bukoto'!K55)</f>
        <v>0</v>
      </c>
      <c r="L55" s="49">
        <f>AVERAGE('29.07 Kisasi-Bukoto'!L55,'30.07 Kisasi-Bukoto'!L55,'31.07 Kisasi-Bukoto'!L55,'02.08 Kisasi-Bukoto'!L55,'01.08 Kisasi-Bukoto'!L55,'03.08 Kisasi-Bukoto'!L55,'04.08 Kisasi-Bukoto'!L55)</f>
        <v>0</v>
      </c>
      <c r="M55" s="49">
        <f>AVERAGE('29.07 Kisasi-Bukoto'!M55,'30.07 Kisasi-Bukoto'!M55,'31.07 Kisasi-Bukoto'!M55,'02.08 Kisasi-Bukoto'!M55,'01.08 Kisasi-Bukoto'!M55,'03.08 Kisasi-Bukoto'!M55,'04.08 Kisasi-Bukoto'!M55)</f>
        <v>84.571428571428569</v>
      </c>
      <c r="N55" s="49">
        <f>AVERAGE('29.07 Kisasi-Bukoto'!N55,'30.07 Kisasi-Bukoto'!N55,'31.07 Kisasi-Bukoto'!N55,'02.08 Kisasi-Bukoto'!N55,'01.08 Kisasi-Bukoto'!N55,'03.08 Kisasi-Bukoto'!N55,'04.08 Kisasi-Bukoto'!N55)</f>
        <v>0</v>
      </c>
      <c r="O55" s="15">
        <f t="shared" si="0"/>
        <v>63.428571428571431</v>
      </c>
      <c r="P55" s="15">
        <f t="shared" si="1"/>
        <v>148</v>
      </c>
    </row>
    <row r="56" spans="2:20" ht="23.1" customHeight="1" x14ac:dyDescent="0.25">
      <c r="B56" s="23" t="s">
        <v>83</v>
      </c>
      <c r="C56" s="49">
        <f>AVERAGE('29.07 Kisasi-Bukoto'!C56,'30.07 Kisasi-Bukoto'!C56,'31.07 Kisasi-Bukoto'!C56,'02.08 Kisasi-Bukoto'!C56,'01.08 Kisasi-Bukoto'!C60,'03.08 Kisasi-Bukoto'!C56,'04.08 Kisasi-Bukoto'!C56)</f>
        <v>30</v>
      </c>
      <c r="D56" s="49">
        <f>AVERAGE('29.07 Kisasi-Bukoto'!D56,'30.07 Kisasi-Bukoto'!D56,'31.07 Kisasi-Bukoto'!D56,'02.08 Kisasi-Bukoto'!D56,'01.08 Kisasi-Bukoto'!D60,'03.08 Kisasi-Bukoto'!D56,'04.08 Kisasi-Bukoto'!D56)</f>
        <v>16.142857142857142</v>
      </c>
      <c r="E56" s="49">
        <f>AVERAGE('29.07 Kisasi-Bukoto'!E56,'30.07 Kisasi-Bukoto'!E56,'31.07 Kisasi-Bukoto'!E56,'02.08 Kisasi-Bukoto'!E56,'01.08 Kisasi-Bukoto'!E60,'03.08 Kisasi-Bukoto'!E56,'04.08 Kisasi-Bukoto'!E56)</f>
        <v>1.5714285714285714</v>
      </c>
      <c r="F56" s="49">
        <f>AVERAGE('29.07 Kisasi-Bukoto'!F56,'30.07 Kisasi-Bukoto'!F56,'31.07 Kisasi-Bukoto'!F56,'02.08 Kisasi-Bukoto'!F56,'01.08 Kisasi-Bukoto'!F60,'03.08 Kisasi-Bukoto'!F56,'04.08 Kisasi-Bukoto'!F56)</f>
        <v>11.285714285714286</v>
      </c>
      <c r="G56" s="49">
        <f>AVERAGE('29.07 Kisasi-Bukoto'!G56,'30.07 Kisasi-Bukoto'!G56,'31.07 Kisasi-Bukoto'!G56,'02.08 Kisasi-Bukoto'!G56,'01.08 Kisasi-Bukoto'!G60,'03.08 Kisasi-Bukoto'!G56,'04.08 Kisasi-Bukoto'!G56)</f>
        <v>0.5714285714285714</v>
      </c>
      <c r="H56" s="49">
        <f>AVERAGE('29.07 Kisasi-Bukoto'!H56,'30.07 Kisasi-Bukoto'!H56,'31.07 Kisasi-Bukoto'!H56,'02.08 Kisasi-Bukoto'!H56,'01.08 Kisasi-Bukoto'!H56,'03.08 Kisasi-Bukoto'!H56,'04.08 Kisasi-Bukoto'!H56)</f>
        <v>0</v>
      </c>
      <c r="I56" s="49">
        <f>AVERAGE('29.07 Kisasi-Bukoto'!I56,'30.07 Kisasi-Bukoto'!I56,'31.07 Kisasi-Bukoto'!I56,'02.08 Kisasi-Bukoto'!I56,'01.08 Kisasi-Bukoto'!I56,'03.08 Kisasi-Bukoto'!I56,'04.08 Kisasi-Bukoto'!I56)</f>
        <v>1.8571428571428572</v>
      </c>
      <c r="J56" s="49">
        <f>AVERAGE('29.07 Kisasi-Bukoto'!J56,'30.07 Kisasi-Bukoto'!J56,'31.07 Kisasi-Bukoto'!J56,'02.08 Kisasi-Bukoto'!J56,'01.08 Kisasi-Bukoto'!J56,'03.08 Kisasi-Bukoto'!J56,'04.08 Kisasi-Bukoto'!J56)</f>
        <v>0.2857142857142857</v>
      </c>
      <c r="K56" s="49">
        <f>AVERAGE('29.07 Kisasi-Bukoto'!K56,'30.07 Kisasi-Bukoto'!K56,'31.07 Kisasi-Bukoto'!K56,'02.08 Kisasi-Bukoto'!K56,'01.08 Kisasi-Bukoto'!K56,'03.08 Kisasi-Bukoto'!K56,'04.08 Kisasi-Bukoto'!K56)</f>
        <v>0.14285714285714285</v>
      </c>
      <c r="L56" s="49">
        <f>AVERAGE('29.07 Kisasi-Bukoto'!L56,'30.07 Kisasi-Bukoto'!L56,'31.07 Kisasi-Bukoto'!L56,'02.08 Kisasi-Bukoto'!L56,'01.08 Kisasi-Bukoto'!L56,'03.08 Kisasi-Bukoto'!L56,'04.08 Kisasi-Bukoto'!L56)</f>
        <v>0.14285714285714285</v>
      </c>
      <c r="M56" s="49">
        <f>AVERAGE('29.07 Kisasi-Bukoto'!M56,'30.07 Kisasi-Bukoto'!M56,'31.07 Kisasi-Bukoto'!M56,'02.08 Kisasi-Bukoto'!M56,'01.08 Kisasi-Bukoto'!M56,'03.08 Kisasi-Bukoto'!M56,'04.08 Kisasi-Bukoto'!M56)</f>
        <v>80.285714285714292</v>
      </c>
      <c r="N56" s="49">
        <f>AVERAGE('29.07 Kisasi-Bukoto'!N56,'30.07 Kisasi-Bukoto'!N56,'31.07 Kisasi-Bukoto'!N56,'02.08 Kisasi-Bukoto'!N56,'01.08 Kisasi-Bukoto'!N56,'03.08 Kisasi-Bukoto'!N56,'04.08 Kisasi-Bukoto'!N56)</f>
        <v>0</v>
      </c>
      <c r="O56" s="15">
        <f t="shared" si="0"/>
        <v>61.999999999999993</v>
      </c>
      <c r="P56" s="15">
        <f t="shared" si="1"/>
        <v>142.28571428571428</v>
      </c>
      <c r="R56" s="8"/>
      <c r="T56"/>
    </row>
    <row r="57" spans="2:20" ht="23.1" customHeight="1" x14ac:dyDescent="0.25">
      <c r="B57" s="23" t="s">
        <v>84</v>
      </c>
      <c r="C57" s="49">
        <f>AVERAGE('29.07 Kisasi-Bukoto'!C57,'30.07 Kisasi-Bukoto'!C57,'31.07 Kisasi-Bukoto'!C57,'02.08 Kisasi-Bukoto'!C57,'01.08 Kisasi-Bukoto'!C61,'03.08 Kisasi-Bukoto'!C57,'04.08 Kisasi-Bukoto'!C57)</f>
        <v>26</v>
      </c>
      <c r="D57" s="49">
        <f>AVERAGE('29.07 Kisasi-Bukoto'!D57,'30.07 Kisasi-Bukoto'!D57,'31.07 Kisasi-Bukoto'!D57,'02.08 Kisasi-Bukoto'!D57,'01.08 Kisasi-Bukoto'!D61,'03.08 Kisasi-Bukoto'!D57,'04.08 Kisasi-Bukoto'!D57)</f>
        <v>11.857142857142858</v>
      </c>
      <c r="E57" s="49">
        <f>AVERAGE('29.07 Kisasi-Bukoto'!E57,'30.07 Kisasi-Bukoto'!E57,'31.07 Kisasi-Bukoto'!E57,'02.08 Kisasi-Bukoto'!E57,'01.08 Kisasi-Bukoto'!E61,'03.08 Kisasi-Bukoto'!E57,'04.08 Kisasi-Bukoto'!E57)</f>
        <v>1.5714285714285714</v>
      </c>
      <c r="F57" s="49">
        <f>AVERAGE('29.07 Kisasi-Bukoto'!F57,'30.07 Kisasi-Bukoto'!F57,'31.07 Kisasi-Bukoto'!F57,'02.08 Kisasi-Bukoto'!F57,'01.08 Kisasi-Bukoto'!F61,'03.08 Kisasi-Bukoto'!F57,'04.08 Kisasi-Bukoto'!F57)</f>
        <v>8.8571428571428577</v>
      </c>
      <c r="G57" s="49">
        <f>AVERAGE('29.07 Kisasi-Bukoto'!G57,'30.07 Kisasi-Bukoto'!G57,'31.07 Kisasi-Bukoto'!G57,'02.08 Kisasi-Bukoto'!G57,'01.08 Kisasi-Bukoto'!G61,'03.08 Kisasi-Bukoto'!G57,'04.08 Kisasi-Bukoto'!G57)</f>
        <v>0.2857142857142857</v>
      </c>
      <c r="H57" s="49">
        <f>AVERAGE('29.07 Kisasi-Bukoto'!H57,'30.07 Kisasi-Bukoto'!H57,'31.07 Kisasi-Bukoto'!H57,'02.08 Kisasi-Bukoto'!H57,'01.08 Kisasi-Bukoto'!H57,'03.08 Kisasi-Bukoto'!H57,'04.08 Kisasi-Bukoto'!H57)</f>
        <v>0</v>
      </c>
      <c r="I57" s="49">
        <f>AVERAGE('29.07 Kisasi-Bukoto'!I57,'30.07 Kisasi-Bukoto'!I57,'31.07 Kisasi-Bukoto'!I57,'02.08 Kisasi-Bukoto'!I57,'01.08 Kisasi-Bukoto'!I57,'03.08 Kisasi-Bukoto'!I57,'04.08 Kisasi-Bukoto'!I57)</f>
        <v>2.2857142857142856</v>
      </c>
      <c r="J57" s="49">
        <f>AVERAGE('29.07 Kisasi-Bukoto'!J57,'30.07 Kisasi-Bukoto'!J57,'31.07 Kisasi-Bukoto'!J57,'02.08 Kisasi-Bukoto'!J57,'01.08 Kisasi-Bukoto'!J57,'03.08 Kisasi-Bukoto'!J57,'04.08 Kisasi-Bukoto'!J57)</f>
        <v>1</v>
      </c>
      <c r="K57" s="49">
        <f>AVERAGE('29.07 Kisasi-Bukoto'!K57,'30.07 Kisasi-Bukoto'!K57,'31.07 Kisasi-Bukoto'!K57,'02.08 Kisasi-Bukoto'!K57,'01.08 Kisasi-Bukoto'!K57,'03.08 Kisasi-Bukoto'!K57,'04.08 Kisasi-Bukoto'!K57)</f>
        <v>0</v>
      </c>
      <c r="L57" s="49">
        <f>AVERAGE('29.07 Kisasi-Bukoto'!L57,'30.07 Kisasi-Bukoto'!L57,'31.07 Kisasi-Bukoto'!L57,'02.08 Kisasi-Bukoto'!L57,'01.08 Kisasi-Bukoto'!L57,'03.08 Kisasi-Bukoto'!L57,'04.08 Kisasi-Bukoto'!L57)</f>
        <v>0</v>
      </c>
      <c r="M57" s="49">
        <f>AVERAGE('29.07 Kisasi-Bukoto'!M57,'30.07 Kisasi-Bukoto'!M57,'31.07 Kisasi-Bukoto'!M57,'02.08 Kisasi-Bukoto'!M57,'01.08 Kisasi-Bukoto'!M57,'03.08 Kisasi-Bukoto'!M57,'04.08 Kisasi-Bukoto'!M57)</f>
        <v>75.285714285714292</v>
      </c>
      <c r="N57" s="49">
        <f>AVERAGE('29.07 Kisasi-Bukoto'!N57,'30.07 Kisasi-Bukoto'!N57,'31.07 Kisasi-Bukoto'!N57,'02.08 Kisasi-Bukoto'!N57,'01.08 Kisasi-Bukoto'!N57,'03.08 Kisasi-Bukoto'!N57,'04.08 Kisasi-Bukoto'!N57)</f>
        <v>0</v>
      </c>
      <c r="O57" s="15">
        <f t="shared" si="0"/>
        <v>51.857142857142861</v>
      </c>
      <c r="P57" s="15">
        <f t="shared" si="1"/>
        <v>127.14285714285715</v>
      </c>
      <c r="R57" s="8"/>
      <c r="T57"/>
    </row>
    <row r="58" spans="2:20" ht="23.1" customHeight="1" x14ac:dyDescent="0.25">
      <c r="B58" s="23" t="s">
        <v>99</v>
      </c>
      <c r="C58" s="49">
        <f>AVERAGE('01.08 Kisasi-Bukoto'!C58,'03.08 Kisasi-Bukoto'!C58)</f>
        <v>36</v>
      </c>
      <c r="D58" s="49">
        <f>AVERAGE('01.08 Kisasi-Bukoto'!D58,'03.08 Kisasi-Bukoto'!D58)</f>
        <v>26.5</v>
      </c>
      <c r="E58" s="49">
        <f>AVERAGE('01.08 Kisasi-Bukoto'!E58,'03.08 Kisasi-Bukoto'!E58)</f>
        <v>0</v>
      </c>
      <c r="F58" s="49">
        <f>AVERAGE('01.08 Kisasi-Bukoto'!F58,'03.08 Kisasi-Bukoto'!F58)</f>
        <v>9</v>
      </c>
      <c r="G58" s="49">
        <f>AVERAGE('01.08 Kisasi-Bukoto'!G58,'03.08 Kisasi-Bukoto'!G58)</f>
        <v>0.5</v>
      </c>
      <c r="H58" s="49">
        <f>AVERAGE('01.08 Kisasi-Bukoto'!H58,'03.08 Kisasi-Bukoto'!H58)</f>
        <v>0</v>
      </c>
      <c r="I58" s="49">
        <f>AVERAGE('01.08 Kisasi-Bukoto'!I58,'03.08 Kisasi-Bukoto'!I58)</f>
        <v>1</v>
      </c>
      <c r="J58" s="49">
        <f>AVERAGE('01.08 Kisasi-Bukoto'!J58,'03.08 Kisasi-Bukoto'!J58)</f>
        <v>0</v>
      </c>
      <c r="K58" s="49">
        <f>AVERAGE('01.08 Kisasi-Bukoto'!K58,'03.08 Kisasi-Bukoto'!K58)</f>
        <v>0</v>
      </c>
      <c r="L58" s="49">
        <f>AVERAGE('01.08 Kisasi-Bukoto'!L58,'03.08 Kisasi-Bukoto'!L58)</f>
        <v>0</v>
      </c>
      <c r="M58" s="49">
        <f>AVERAGE('01.08 Kisasi-Bukoto'!M58,'03.08 Kisasi-Bukoto'!M58)</f>
        <v>77.5</v>
      </c>
      <c r="N58" s="49">
        <f>AVERAGE('01.08 Kisasi-Bukoto'!N58,'03.08 Kisasi-Bukoto'!N58)</f>
        <v>0</v>
      </c>
      <c r="O58" s="15">
        <f t="shared" si="0"/>
        <v>73</v>
      </c>
      <c r="P58" s="15">
        <f t="shared" si="1"/>
        <v>150.5</v>
      </c>
      <c r="R58" s="8"/>
      <c r="T58"/>
    </row>
    <row r="59" spans="2:20" ht="23.1" customHeight="1" x14ac:dyDescent="0.25">
      <c r="B59" s="23" t="s">
        <v>100</v>
      </c>
      <c r="C59" s="49">
        <f>AVERAGE('01.08 Kisasi-Bukoto'!C59,'03.08 Kisasi-Bukoto'!C59)</f>
        <v>39.5</v>
      </c>
      <c r="D59" s="49">
        <f>AVERAGE('01.08 Kisasi-Bukoto'!D59,'03.08 Kisasi-Bukoto'!D59)</f>
        <v>34.5</v>
      </c>
      <c r="E59" s="49">
        <f>AVERAGE('01.08 Kisasi-Bukoto'!E59,'03.08 Kisasi-Bukoto'!E59)</f>
        <v>0</v>
      </c>
      <c r="F59" s="49">
        <f>AVERAGE('01.08 Kisasi-Bukoto'!F59,'03.08 Kisasi-Bukoto'!F59)</f>
        <v>8.5</v>
      </c>
      <c r="G59" s="49">
        <f>AVERAGE('01.08 Kisasi-Bukoto'!G59,'03.08 Kisasi-Bukoto'!G59)</f>
        <v>0</v>
      </c>
      <c r="H59" s="49">
        <f>AVERAGE('01.08 Kisasi-Bukoto'!H59,'03.08 Kisasi-Bukoto'!H59)</f>
        <v>0</v>
      </c>
      <c r="I59" s="49">
        <f>AVERAGE('01.08 Kisasi-Bukoto'!I59,'03.08 Kisasi-Bukoto'!I59)</f>
        <v>2</v>
      </c>
      <c r="J59" s="49">
        <f>AVERAGE('01.08 Kisasi-Bukoto'!J59,'03.08 Kisasi-Bukoto'!J59)</f>
        <v>0</v>
      </c>
      <c r="K59" s="49">
        <f>AVERAGE('01.08 Kisasi-Bukoto'!K59,'03.08 Kisasi-Bukoto'!K59)</f>
        <v>0</v>
      </c>
      <c r="L59" s="49">
        <f>AVERAGE('01.08 Kisasi-Bukoto'!L59,'03.08 Kisasi-Bukoto'!L59)</f>
        <v>1</v>
      </c>
      <c r="M59" s="49">
        <f>AVERAGE('01.08 Kisasi-Bukoto'!M59,'03.08 Kisasi-Bukoto'!M59)</f>
        <v>72.5</v>
      </c>
      <c r="N59" s="49">
        <f>AVERAGE('01.08 Kisasi-Bukoto'!N59,'03.08 Kisasi-Bukoto'!N59)</f>
        <v>0</v>
      </c>
      <c r="O59" s="15">
        <f t="shared" si="0"/>
        <v>85.5</v>
      </c>
      <c r="P59" s="15">
        <f t="shared" si="1"/>
        <v>158</v>
      </c>
      <c r="R59" s="8"/>
      <c r="T59"/>
    </row>
    <row r="60" spans="2:20" ht="23.1" customHeight="1" x14ac:dyDescent="0.25">
      <c r="B60" s="23" t="s">
        <v>101</v>
      </c>
      <c r="C60" s="49">
        <f>AVERAGE('01.08 Kisasi-Bukoto'!C60,'03.08 Kisasi-Bukoto'!C60)</f>
        <v>42.5</v>
      </c>
      <c r="D60" s="49">
        <f>AVERAGE('01.08 Kisasi-Bukoto'!D60,'03.08 Kisasi-Bukoto'!D60)</f>
        <v>30</v>
      </c>
      <c r="E60" s="49">
        <f>AVERAGE('01.08 Kisasi-Bukoto'!E60,'03.08 Kisasi-Bukoto'!E60)</f>
        <v>1</v>
      </c>
      <c r="F60" s="49">
        <f>AVERAGE('01.08 Kisasi-Bukoto'!F60,'03.08 Kisasi-Bukoto'!F60)</f>
        <v>10</v>
      </c>
      <c r="G60" s="49">
        <f>AVERAGE('01.08 Kisasi-Bukoto'!G60,'03.08 Kisasi-Bukoto'!G60)</f>
        <v>0</v>
      </c>
      <c r="H60" s="49">
        <f>AVERAGE('01.08 Kisasi-Bukoto'!H60,'03.08 Kisasi-Bukoto'!H60)</f>
        <v>0</v>
      </c>
      <c r="I60" s="49">
        <f>AVERAGE('01.08 Kisasi-Bukoto'!I60,'03.08 Kisasi-Bukoto'!I60)</f>
        <v>3</v>
      </c>
      <c r="J60" s="49">
        <f>AVERAGE('01.08 Kisasi-Bukoto'!J60,'03.08 Kisasi-Bukoto'!J60)</f>
        <v>0</v>
      </c>
      <c r="K60" s="49">
        <f>AVERAGE('01.08 Kisasi-Bukoto'!K60,'03.08 Kisasi-Bukoto'!K60)</f>
        <v>0.5</v>
      </c>
      <c r="L60" s="49">
        <f>AVERAGE('01.08 Kisasi-Bukoto'!L60,'03.08 Kisasi-Bukoto'!L60)</f>
        <v>0</v>
      </c>
      <c r="M60" s="49">
        <f>AVERAGE('01.08 Kisasi-Bukoto'!M60,'03.08 Kisasi-Bukoto'!M60)</f>
        <v>55</v>
      </c>
      <c r="N60" s="49">
        <f>AVERAGE('01.08 Kisasi-Bukoto'!N60,'03.08 Kisasi-Bukoto'!N60)</f>
        <v>0</v>
      </c>
      <c r="O60" s="15">
        <f t="shared" si="0"/>
        <v>87</v>
      </c>
      <c r="P60" s="15">
        <f t="shared" si="1"/>
        <v>142</v>
      </c>
      <c r="R60" s="8"/>
      <c r="T60"/>
    </row>
    <row r="61" spans="2:20" ht="23.1" customHeight="1" x14ac:dyDescent="0.25">
      <c r="B61" s="23" t="s">
        <v>102</v>
      </c>
      <c r="C61" s="49">
        <f>AVERAGE('01.08 Kisasi-Bukoto'!C61,'03.08 Kisasi-Bukoto'!C61)</f>
        <v>32</v>
      </c>
      <c r="D61" s="49">
        <f>AVERAGE('01.08 Kisasi-Bukoto'!D61,'03.08 Kisasi-Bukoto'!D61)</f>
        <v>18.5</v>
      </c>
      <c r="E61" s="49">
        <f>AVERAGE('01.08 Kisasi-Bukoto'!E61,'03.08 Kisasi-Bukoto'!E61)</f>
        <v>1</v>
      </c>
      <c r="F61" s="49">
        <f>AVERAGE('01.08 Kisasi-Bukoto'!F61,'03.08 Kisasi-Bukoto'!F61)</f>
        <v>11.5</v>
      </c>
      <c r="G61" s="49">
        <f>AVERAGE('01.08 Kisasi-Bukoto'!G61,'03.08 Kisasi-Bukoto'!G61)</f>
        <v>0</v>
      </c>
      <c r="H61" s="49">
        <f>AVERAGE('01.08 Kisasi-Bukoto'!H61,'03.08 Kisasi-Bukoto'!H61)</f>
        <v>0</v>
      </c>
      <c r="I61" s="49">
        <f>AVERAGE('01.08 Kisasi-Bukoto'!I61,'03.08 Kisasi-Bukoto'!I61)</f>
        <v>5.5</v>
      </c>
      <c r="J61" s="49">
        <f>AVERAGE('01.08 Kisasi-Bukoto'!J61,'03.08 Kisasi-Bukoto'!J61)</f>
        <v>0</v>
      </c>
      <c r="K61" s="49">
        <f>AVERAGE('01.08 Kisasi-Bukoto'!K61,'03.08 Kisasi-Bukoto'!K61)</f>
        <v>0</v>
      </c>
      <c r="L61" s="49">
        <f>AVERAGE('01.08 Kisasi-Bukoto'!L61,'03.08 Kisasi-Bukoto'!L61)</f>
        <v>0</v>
      </c>
      <c r="M61" s="49">
        <f>AVERAGE('01.08 Kisasi-Bukoto'!M61,'03.08 Kisasi-Bukoto'!M61)</f>
        <v>62.5</v>
      </c>
      <c r="N61" s="49">
        <f>AVERAGE('01.08 Kisasi-Bukoto'!N61,'03.08 Kisasi-Bukoto'!N61)</f>
        <v>0</v>
      </c>
      <c r="O61" s="15">
        <f t="shared" si="0"/>
        <v>68.5</v>
      </c>
      <c r="P61" s="15">
        <f t="shared" si="1"/>
        <v>131</v>
      </c>
      <c r="R61" s="8"/>
      <c r="T61"/>
    </row>
    <row r="62" spans="2:20" ht="23.1" customHeight="1" x14ac:dyDescent="0.25">
      <c r="B62" s="23" t="s">
        <v>107</v>
      </c>
      <c r="C62" s="49">
        <f>AVERAGE('01.08 Kisasi-Bukoto'!C62,'03.08 Kisasi-Bukoto'!C62)</f>
        <v>33</v>
      </c>
      <c r="D62" s="49">
        <f>AVERAGE('01.08 Kisasi-Bukoto'!D62,'03.08 Kisasi-Bukoto'!D62)</f>
        <v>27</v>
      </c>
      <c r="E62" s="49">
        <f>AVERAGE('01.08 Kisasi-Bukoto'!E62,'03.08 Kisasi-Bukoto'!E62)</f>
        <v>0</v>
      </c>
      <c r="F62" s="49">
        <f>AVERAGE('01.08 Kisasi-Bukoto'!F62,'03.08 Kisasi-Bukoto'!F62)</f>
        <v>8.5</v>
      </c>
      <c r="G62" s="49">
        <f>AVERAGE('01.08 Kisasi-Bukoto'!G62,'03.08 Kisasi-Bukoto'!G62)</f>
        <v>1</v>
      </c>
      <c r="H62" s="49">
        <f>AVERAGE('01.08 Kisasi-Bukoto'!H62,'03.08 Kisasi-Bukoto'!H62)</f>
        <v>0</v>
      </c>
      <c r="I62" s="49">
        <f>AVERAGE('01.08 Kisasi-Bukoto'!I62,'03.08 Kisasi-Bukoto'!I62)</f>
        <v>2</v>
      </c>
      <c r="J62" s="49">
        <f>AVERAGE('01.08 Kisasi-Bukoto'!J62,'03.08 Kisasi-Bukoto'!J62)</f>
        <v>0</v>
      </c>
      <c r="K62" s="49">
        <f>AVERAGE('01.08 Kisasi-Bukoto'!K62,'03.08 Kisasi-Bukoto'!K62)</f>
        <v>0.5</v>
      </c>
      <c r="L62" s="49">
        <f>AVERAGE('01.08 Kisasi-Bukoto'!L62,'03.08 Kisasi-Bukoto'!L62)</f>
        <v>0</v>
      </c>
      <c r="M62" s="49">
        <f>AVERAGE('01.08 Kisasi-Bukoto'!M62,'03.08 Kisasi-Bukoto'!M62)</f>
        <v>42.5</v>
      </c>
      <c r="N62" s="49">
        <f>AVERAGE('01.08 Kisasi-Bukoto'!N62,'03.08 Kisasi-Bukoto'!N62)</f>
        <v>0</v>
      </c>
      <c r="O62" s="15">
        <f t="shared" si="0"/>
        <v>72</v>
      </c>
      <c r="P62" s="15">
        <f t="shared" si="1"/>
        <v>114.5</v>
      </c>
      <c r="R62" s="8"/>
      <c r="T62"/>
    </row>
    <row r="63" spans="2:20" ht="23.1" customHeight="1" x14ac:dyDescent="0.25">
      <c r="B63" s="23" t="s">
        <v>108</v>
      </c>
      <c r="C63" s="49">
        <f>AVERAGE('01.08 Kisasi-Bukoto'!C63,'03.08 Kisasi-Bukoto'!C63)</f>
        <v>35.5</v>
      </c>
      <c r="D63" s="49">
        <f>AVERAGE('01.08 Kisasi-Bukoto'!D63,'03.08 Kisasi-Bukoto'!D63)</f>
        <v>23</v>
      </c>
      <c r="E63" s="49">
        <f>AVERAGE('01.08 Kisasi-Bukoto'!E63,'03.08 Kisasi-Bukoto'!E63)</f>
        <v>0.5</v>
      </c>
      <c r="F63" s="49">
        <f>AVERAGE('01.08 Kisasi-Bukoto'!F63,'03.08 Kisasi-Bukoto'!F63)</f>
        <v>11.5</v>
      </c>
      <c r="G63" s="49">
        <f>AVERAGE('01.08 Kisasi-Bukoto'!G63,'03.08 Kisasi-Bukoto'!G63)</f>
        <v>0</v>
      </c>
      <c r="H63" s="49">
        <f>AVERAGE('01.08 Kisasi-Bukoto'!H63,'03.08 Kisasi-Bukoto'!H63)</f>
        <v>0</v>
      </c>
      <c r="I63" s="49">
        <f>AVERAGE('01.08 Kisasi-Bukoto'!I63,'03.08 Kisasi-Bukoto'!I63)</f>
        <v>1</v>
      </c>
      <c r="J63" s="49">
        <f>AVERAGE('01.08 Kisasi-Bukoto'!J63,'03.08 Kisasi-Bukoto'!J63)</f>
        <v>0.5</v>
      </c>
      <c r="K63" s="49">
        <f>AVERAGE('01.08 Kisasi-Bukoto'!K63,'03.08 Kisasi-Bukoto'!K63)</f>
        <v>0</v>
      </c>
      <c r="L63" s="49">
        <f>AVERAGE('01.08 Kisasi-Bukoto'!L63,'03.08 Kisasi-Bukoto'!L63)</f>
        <v>0</v>
      </c>
      <c r="M63" s="49">
        <f>AVERAGE('01.08 Kisasi-Bukoto'!M63,'03.08 Kisasi-Bukoto'!M63)</f>
        <v>65</v>
      </c>
      <c r="N63" s="49">
        <f>AVERAGE('01.08 Kisasi-Bukoto'!N63,'03.08 Kisasi-Bukoto'!N63)</f>
        <v>0</v>
      </c>
      <c r="O63" s="15">
        <f t="shared" si="0"/>
        <v>72</v>
      </c>
      <c r="P63" s="15">
        <f t="shared" si="1"/>
        <v>137</v>
      </c>
      <c r="R63" s="8"/>
      <c r="T63"/>
    </row>
    <row r="64" spans="2:20" ht="23.1" customHeight="1" x14ac:dyDescent="0.25">
      <c r="B64" s="23" t="s">
        <v>109</v>
      </c>
      <c r="C64" s="49">
        <f>AVERAGE('01.08 Kisasi-Bukoto'!C64,'03.08 Kisasi-Bukoto'!C64)</f>
        <v>29</v>
      </c>
      <c r="D64" s="49">
        <f>AVERAGE('01.08 Kisasi-Bukoto'!D64,'03.08 Kisasi-Bukoto'!D64)</f>
        <v>15</v>
      </c>
      <c r="E64" s="49">
        <f>AVERAGE('01.08 Kisasi-Bukoto'!E64,'03.08 Kisasi-Bukoto'!E64)</f>
        <v>0.5</v>
      </c>
      <c r="F64" s="49">
        <f>AVERAGE('01.08 Kisasi-Bukoto'!F64,'03.08 Kisasi-Bukoto'!F64)</f>
        <v>6.5</v>
      </c>
      <c r="G64" s="49">
        <f>AVERAGE('01.08 Kisasi-Bukoto'!G64,'03.08 Kisasi-Bukoto'!G64)</f>
        <v>0</v>
      </c>
      <c r="H64" s="49">
        <f>AVERAGE('01.08 Kisasi-Bukoto'!H64,'03.08 Kisasi-Bukoto'!H64)</f>
        <v>0</v>
      </c>
      <c r="I64" s="49">
        <f>AVERAGE('01.08 Kisasi-Bukoto'!I64,'03.08 Kisasi-Bukoto'!I64)</f>
        <v>0.5</v>
      </c>
      <c r="J64" s="49">
        <f>AVERAGE('01.08 Kisasi-Bukoto'!J64,'03.08 Kisasi-Bukoto'!J64)</f>
        <v>0</v>
      </c>
      <c r="K64" s="49">
        <f>AVERAGE('01.08 Kisasi-Bukoto'!K64,'03.08 Kisasi-Bukoto'!K64)</f>
        <v>0</v>
      </c>
      <c r="L64" s="49">
        <f>AVERAGE('01.08 Kisasi-Bukoto'!L64,'03.08 Kisasi-Bukoto'!L64)</f>
        <v>0</v>
      </c>
      <c r="M64" s="49">
        <f>AVERAGE('01.08 Kisasi-Bukoto'!M64,'03.08 Kisasi-Bukoto'!M64)</f>
        <v>60</v>
      </c>
      <c r="N64" s="49">
        <f>AVERAGE('01.08 Kisasi-Bukoto'!N64,'03.08 Kisasi-Bukoto'!N64)</f>
        <v>0</v>
      </c>
      <c r="O64" s="15">
        <f t="shared" si="0"/>
        <v>51.5</v>
      </c>
      <c r="P64" s="15">
        <f t="shared" si="1"/>
        <v>111.5</v>
      </c>
      <c r="R64" s="8"/>
      <c r="T64"/>
    </row>
    <row r="65" spans="2:20" ht="23.1" customHeight="1" x14ac:dyDescent="0.25">
      <c r="B65" s="23" t="s">
        <v>158</v>
      </c>
      <c r="C65" s="49">
        <f>AVERAGE('01.08 Kisasi-Bukoto'!C65,'03.08 Kisasi-Bukoto'!C65)</f>
        <v>36</v>
      </c>
      <c r="D65" s="49">
        <f>AVERAGE('01.08 Kisasi-Bukoto'!D65,'03.08 Kisasi-Bukoto'!D65)</f>
        <v>23</v>
      </c>
      <c r="E65" s="49">
        <f>AVERAGE('01.08 Kisasi-Bukoto'!E65,'03.08 Kisasi-Bukoto'!E65)</f>
        <v>0.5</v>
      </c>
      <c r="F65" s="49">
        <f>AVERAGE('01.08 Kisasi-Bukoto'!F65,'03.08 Kisasi-Bukoto'!F65)</f>
        <v>6</v>
      </c>
      <c r="G65" s="49">
        <f>AVERAGE('01.08 Kisasi-Bukoto'!G65,'03.08 Kisasi-Bukoto'!G65)</f>
        <v>0</v>
      </c>
      <c r="H65" s="49">
        <f>AVERAGE('01.08 Kisasi-Bukoto'!H65,'03.08 Kisasi-Bukoto'!H65)</f>
        <v>0</v>
      </c>
      <c r="I65" s="49">
        <f>AVERAGE('01.08 Kisasi-Bukoto'!I65,'03.08 Kisasi-Bukoto'!I65)</f>
        <v>0.5</v>
      </c>
      <c r="J65" s="49">
        <f>AVERAGE('01.08 Kisasi-Bukoto'!J65,'03.08 Kisasi-Bukoto'!J65)</f>
        <v>0</v>
      </c>
      <c r="K65" s="49">
        <f>AVERAGE('01.08 Kisasi-Bukoto'!K65,'03.08 Kisasi-Bukoto'!K65)</f>
        <v>0</v>
      </c>
      <c r="L65" s="49">
        <f>AVERAGE('01.08 Kisasi-Bukoto'!L65,'03.08 Kisasi-Bukoto'!L65)</f>
        <v>0</v>
      </c>
      <c r="M65" s="49">
        <f>AVERAGE('01.08 Kisasi-Bukoto'!M65,'03.08 Kisasi-Bukoto'!M65)</f>
        <v>52.5</v>
      </c>
      <c r="N65" s="49">
        <f>AVERAGE('01.08 Kisasi-Bukoto'!N65,'03.08 Kisasi-Bukoto'!N65)</f>
        <v>0</v>
      </c>
      <c r="O65" s="15">
        <f t="shared" si="0"/>
        <v>66</v>
      </c>
      <c r="P65" s="15">
        <f t="shared" si="1"/>
        <v>118.5</v>
      </c>
      <c r="R65" s="8"/>
      <c r="T65"/>
    </row>
    <row r="66" spans="2:20" ht="23.1" customHeight="1" x14ac:dyDescent="0.25">
      <c r="B66" s="23" t="s">
        <v>103</v>
      </c>
      <c r="C66" s="49">
        <f>AVERAGE('01.08 Kisasi-Bukoto'!C66,'03.08 Kisasi-Bukoto'!C66)</f>
        <v>36</v>
      </c>
      <c r="D66" s="49">
        <f>AVERAGE('01.08 Kisasi-Bukoto'!D66,'03.08 Kisasi-Bukoto'!D66)</f>
        <v>23</v>
      </c>
      <c r="E66" s="49">
        <f>AVERAGE('01.08 Kisasi-Bukoto'!E66,'03.08 Kisasi-Bukoto'!E66)</f>
        <v>0</v>
      </c>
      <c r="F66" s="49">
        <f>AVERAGE('01.08 Kisasi-Bukoto'!F66,'03.08 Kisasi-Bukoto'!F66)</f>
        <v>6.5</v>
      </c>
      <c r="G66" s="49">
        <f>AVERAGE('01.08 Kisasi-Bukoto'!G66,'03.08 Kisasi-Bukoto'!G66)</f>
        <v>0</v>
      </c>
      <c r="H66" s="49">
        <f>AVERAGE('01.08 Kisasi-Bukoto'!H66,'03.08 Kisasi-Bukoto'!H66)</f>
        <v>0</v>
      </c>
      <c r="I66" s="49">
        <f>AVERAGE('01.08 Kisasi-Bukoto'!I66,'03.08 Kisasi-Bukoto'!I66)</f>
        <v>1</v>
      </c>
      <c r="J66" s="49">
        <f>AVERAGE('01.08 Kisasi-Bukoto'!J66,'03.08 Kisasi-Bukoto'!J66)</f>
        <v>0</v>
      </c>
      <c r="K66" s="49">
        <f>AVERAGE('01.08 Kisasi-Bukoto'!K66,'03.08 Kisasi-Bukoto'!K66)</f>
        <v>0</v>
      </c>
      <c r="L66" s="49">
        <f>AVERAGE('01.08 Kisasi-Bukoto'!L66,'03.08 Kisasi-Bukoto'!L66)</f>
        <v>0</v>
      </c>
      <c r="M66" s="49">
        <f>AVERAGE('01.08 Kisasi-Bukoto'!M66,'03.08 Kisasi-Bukoto'!M66)</f>
        <v>50</v>
      </c>
      <c r="N66" s="49">
        <f>AVERAGE('01.08 Kisasi-Bukoto'!N66,'03.08 Kisasi-Bukoto'!N66)</f>
        <v>0</v>
      </c>
      <c r="O66" s="15">
        <f t="shared" si="0"/>
        <v>66.5</v>
      </c>
      <c r="P66" s="15">
        <f t="shared" si="1"/>
        <v>116.5</v>
      </c>
      <c r="R66" s="8"/>
      <c r="T66"/>
    </row>
    <row r="67" spans="2:20" ht="23.1" customHeight="1" x14ac:dyDescent="0.25">
      <c r="B67" s="23" t="s">
        <v>104</v>
      </c>
      <c r="C67" s="49">
        <f>AVERAGE('01.08 Kisasi-Bukoto'!C67,'03.08 Kisasi-Bukoto'!C67)</f>
        <v>34.5</v>
      </c>
      <c r="D67" s="49">
        <f>AVERAGE('01.08 Kisasi-Bukoto'!D67,'03.08 Kisasi-Bukoto'!D67)</f>
        <v>16</v>
      </c>
      <c r="E67" s="49">
        <f>AVERAGE('01.08 Kisasi-Bukoto'!E67,'03.08 Kisasi-Bukoto'!E67)</f>
        <v>0.5</v>
      </c>
      <c r="F67" s="49">
        <f>AVERAGE('01.08 Kisasi-Bukoto'!F67,'03.08 Kisasi-Bukoto'!F67)</f>
        <v>6.5</v>
      </c>
      <c r="G67" s="49">
        <f>AVERAGE('01.08 Kisasi-Bukoto'!G67,'03.08 Kisasi-Bukoto'!G67)</f>
        <v>0</v>
      </c>
      <c r="H67" s="49">
        <f>AVERAGE('01.08 Kisasi-Bukoto'!H67,'03.08 Kisasi-Bukoto'!H67)</f>
        <v>0</v>
      </c>
      <c r="I67" s="49">
        <f>AVERAGE('01.08 Kisasi-Bukoto'!I67,'03.08 Kisasi-Bukoto'!I67)</f>
        <v>1.5</v>
      </c>
      <c r="J67" s="49">
        <f>AVERAGE('01.08 Kisasi-Bukoto'!J67,'03.08 Kisasi-Bukoto'!J67)</f>
        <v>0</v>
      </c>
      <c r="K67" s="49">
        <f>AVERAGE('01.08 Kisasi-Bukoto'!K67,'03.08 Kisasi-Bukoto'!K67)</f>
        <v>0.5</v>
      </c>
      <c r="L67" s="49">
        <f>AVERAGE('01.08 Kisasi-Bukoto'!L67,'03.08 Kisasi-Bukoto'!L67)</f>
        <v>0</v>
      </c>
      <c r="M67" s="49">
        <f>AVERAGE('01.08 Kisasi-Bukoto'!M67,'03.08 Kisasi-Bukoto'!M67)</f>
        <v>38</v>
      </c>
      <c r="N67" s="49">
        <f>AVERAGE('01.08 Kisasi-Bukoto'!N67,'03.08 Kisasi-Bukoto'!N67)</f>
        <v>0</v>
      </c>
      <c r="O67" s="15">
        <f t="shared" si="0"/>
        <v>59.5</v>
      </c>
      <c r="P67" s="15">
        <f t="shared" si="1"/>
        <v>97.5</v>
      </c>
      <c r="R67" s="8"/>
      <c r="T67"/>
    </row>
    <row r="68" spans="2:20" ht="23.1" customHeight="1" x14ac:dyDescent="0.25">
      <c r="B68" s="23" t="s">
        <v>105</v>
      </c>
      <c r="C68" s="49">
        <f>AVERAGE('01.08 Kisasi-Bukoto'!C68,'03.08 Kisasi-Bukoto'!C68)</f>
        <v>35</v>
      </c>
      <c r="D68" s="49">
        <f>AVERAGE('01.08 Kisasi-Bukoto'!D68,'03.08 Kisasi-Bukoto'!D68)</f>
        <v>24.5</v>
      </c>
      <c r="E68" s="49">
        <f>AVERAGE('01.08 Kisasi-Bukoto'!E68,'03.08 Kisasi-Bukoto'!E68)</f>
        <v>0</v>
      </c>
      <c r="F68" s="49">
        <f>AVERAGE('01.08 Kisasi-Bukoto'!F68,'03.08 Kisasi-Bukoto'!F68)</f>
        <v>8</v>
      </c>
      <c r="G68" s="49">
        <f>AVERAGE('01.08 Kisasi-Bukoto'!G68,'03.08 Kisasi-Bukoto'!G68)</f>
        <v>0</v>
      </c>
      <c r="H68" s="49">
        <f>AVERAGE('01.08 Kisasi-Bukoto'!H68,'03.08 Kisasi-Bukoto'!H68)</f>
        <v>0</v>
      </c>
      <c r="I68" s="49">
        <f>AVERAGE('01.08 Kisasi-Bukoto'!I68,'03.08 Kisasi-Bukoto'!I68)</f>
        <v>2</v>
      </c>
      <c r="J68" s="49">
        <f>AVERAGE('01.08 Kisasi-Bukoto'!J68,'03.08 Kisasi-Bukoto'!J68)</f>
        <v>0</v>
      </c>
      <c r="K68" s="49">
        <f>AVERAGE('01.08 Kisasi-Bukoto'!K68,'03.08 Kisasi-Bukoto'!K68)</f>
        <v>0.5</v>
      </c>
      <c r="L68" s="49">
        <f>AVERAGE('01.08 Kisasi-Bukoto'!L68,'03.08 Kisasi-Bukoto'!L68)</f>
        <v>0</v>
      </c>
      <c r="M68" s="49">
        <f>AVERAGE('01.08 Kisasi-Bukoto'!M68,'03.08 Kisasi-Bukoto'!M68)</f>
        <v>40</v>
      </c>
      <c r="N68" s="49">
        <f>AVERAGE('01.08 Kisasi-Bukoto'!N68,'03.08 Kisasi-Bukoto'!N68)</f>
        <v>0</v>
      </c>
      <c r="O68" s="15">
        <f t="shared" si="0"/>
        <v>70</v>
      </c>
      <c r="P68" s="15">
        <f t="shared" si="1"/>
        <v>110</v>
      </c>
      <c r="R68" s="8"/>
      <c r="T68"/>
    </row>
    <row r="69" spans="2:20" ht="23.1" customHeight="1" x14ac:dyDescent="0.25">
      <c r="B69" s="23" t="s">
        <v>106</v>
      </c>
      <c r="C69" s="49">
        <f>AVERAGE('01.08 Kisasi-Bukoto'!C69,'03.08 Kisasi-Bukoto'!C69)</f>
        <v>33</v>
      </c>
      <c r="D69" s="49">
        <f>AVERAGE('01.08 Kisasi-Bukoto'!D69,'03.08 Kisasi-Bukoto'!D69)</f>
        <v>17.5</v>
      </c>
      <c r="E69" s="49">
        <f>AVERAGE('01.08 Kisasi-Bukoto'!E69,'03.08 Kisasi-Bukoto'!E69)</f>
        <v>0.5</v>
      </c>
      <c r="F69" s="49">
        <f>AVERAGE('01.08 Kisasi-Bukoto'!F69,'03.08 Kisasi-Bukoto'!F69)</f>
        <v>4.5</v>
      </c>
      <c r="G69" s="49">
        <f>AVERAGE('01.08 Kisasi-Bukoto'!G69,'03.08 Kisasi-Bukoto'!G69)</f>
        <v>0</v>
      </c>
      <c r="H69" s="49">
        <f>AVERAGE('01.08 Kisasi-Bukoto'!H69,'03.08 Kisasi-Bukoto'!H69)</f>
        <v>0</v>
      </c>
      <c r="I69" s="49">
        <f>AVERAGE('01.08 Kisasi-Bukoto'!I69,'03.08 Kisasi-Bukoto'!I69)</f>
        <v>0</v>
      </c>
      <c r="J69" s="49">
        <f>AVERAGE('01.08 Kisasi-Bukoto'!J69,'03.08 Kisasi-Bukoto'!J69)</f>
        <v>0</v>
      </c>
      <c r="K69" s="49">
        <f>AVERAGE('01.08 Kisasi-Bukoto'!K69,'03.08 Kisasi-Bukoto'!K69)</f>
        <v>0</v>
      </c>
      <c r="L69" s="49">
        <f>AVERAGE('01.08 Kisasi-Bukoto'!L69,'03.08 Kisasi-Bukoto'!L69)</f>
        <v>0</v>
      </c>
      <c r="M69" s="49">
        <f>AVERAGE('01.08 Kisasi-Bukoto'!M69,'03.08 Kisasi-Bukoto'!M69)</f>
        <v>55</v>
      </c>
      <c r="N69" s="49">
        <f>AVERAGE('01.08 Kisasi-Bukoto'!N69,'03.08 Kisasi-Bukoto'!N69)</f>
        <v>0</v>
      </c>
      <c r="O69" s="15">
        <f t="shared" si="0"/>
        <v>55.5</v>
      </c>
      <c r="P69" s="15">
        <f t="shared" si="1"/>
        <v>110.5</v>
      </c>
      <c r="R69" s="8"/>
      <c r="T69"/>
    </row>
    <row r="70" spans="2:20" ht="23.1" customHeight="1" x14ac:dyDescent="0.25">
      <c r="B70" s="23" t="s">
        <v>110</v>
      </c>
      <c r="C70" s="49">
        <f>AVERAGE('01.08 Kisasi-Bukoto'!C70,'03.08 Kisasi-Bukoto'!C70)</f>
        <v>28.5</v>
      </c>
      <c r="D70" s="49">
        <f>AVERAGE('01.08 Kisasi-Bukoto'!D70,'03.08 Kisasi-Bukoto'!D70)</f>
        <v>13.5</v>
      </c>
      <c r="E70" s="49">
        <f>AVERAGE('01.08 Kisasi-Bukoto'!E70,'03.08 Kisasi-Bukoto'!E70)</f>
        <v>0</v>
      </c>
      <c r="F70" s="49">
        <f>AVERAGE('01.08 Kisasi-Bukoto'!F70,'03.08 Kisasi-Bukoto'!F70)</f>
        <v>6</v>
      </c>
      <c r="G70" s="49">
        <f>AVERAGE('01.08 Kisasi-Bukoto'!G70,'03.08 Kisasi-Bukoto'!G70)</f>
        <v>0</v>
      </c>
      <c r="H70" s="49">
        <f>AVERAGE('01.08 Kisasi-Bukoto'!H70,'03.08 Kisasi-Bukoto'!H70)</f>
        <v>0</v>
      </c>
      <c r="I70" s="49">
        <f>AVERAGE('01.08 Kisasi-Bukoto'!I70,'03.08 Kisasi-Bukoto'!I70)</f>
        <v>0</v>
      </c>
      <c r="J70" s="49">
        <f>AVERAGE('01.08 Kisasi-Bukoto'!J70,'03.08 Kisasi-Bukoto'!J70)</f>
        <v>0</v>
      </c>
      <c r="K70" s="49">
        <f>AVERAGE('01.08 Kisasi-Bukoto'!K70,'03.08 Kisasi-Bukoto'!K70)</f>
        <v>0</v>
      </c>
      <c r="L70" s="49">
        <f>AVERAGE('01.08 Kisasi-Bukoto'!L70,'03.08 Kisasi-Bukoto'!L70)</f>
        <v>0</v>
      </c>
      <c r="M70" s="49">
        <f>AVERAGE('01.08 Kisasi-Bukoto'!M70,'03.08 Kisasi-Bukoto'!M70)</f>
        <v>31</v>
      </c>
      <c r="N70" s="49">
        <f>AVERAGE('01.08 Kisasi-Bukoto'!N70,'03.08 Kisasi-Bukoto'!N70)</f>
        <v>0</v>
      </c>
      <c r="O70" s="15">
        <f t="shared" si="0"/>
        <v>48</v>
      </c>
      <c r="P70" s="15">
        <f t="shared" si="1"/>
        <v>79</v>
      </c>
      <c r="R70" s="8"/>
      <c r="T70"/>
    </row>
    <row r="71" spans="2:20" ht="23.1" customHeight="1" x14ac:dyDescent="0.25">
      <c r="B71" s="23" t="s">
        <v>111</v>
      </c>
      <c r="C71" s="49">
        <f>AVERAGE('01.08 Kisasi-Bukoto'!C71,'03.08 Kisasi-Bukoto'!C71)</f>
        <v>27</v>
      </c>
      <c r="D71" s="49">
        <f>AVERAGE('01.08 Kisasi-Bukoto'!D71,'03.08 Kisasi-Bukoto'!D71)</f>
        <v>17.5</v>
      </c>
      <c r="E71" s="49">
        <f>AVERAGE('01.08 Kisasi-Bukoto'!E71,'03.08 Kisasi-Bukoto'!E71)</f>
        <v>0</v>
      </c>
      <c r="F71" s="49">
        <f>AVERAGE('01.08 Kisasi-Bukoto'!F71,'03.08 Kisasi-Bukoto'!F71)</f>
        <v>7</v>
      </c>
      <c r="G71" s="49">
        <f>AVERAGE('01.08 Kisasi-Bukoto'!G71,'03.08 Kisasi-Bukoto'!G71)</f>
        <v>0</v>
      </c>
      <c r="H71" s="49">
        <f>AVERAGE('01.08 Kisasi-Bukoto'!H71,'03.08 Kisasi-Bukoto'!H71)</f>
        <v>0</v>
      </c>
      <c r="I71" s="49">
        <f>AVERAGE('01.08 Kisasi-Bukoto'!I71,'03.08 Kisasi-Bukoto'!I71)</f>
        <v>5</v>
      </c>
      <c r="J71" s="49">
        <f>AVERAGE('01.08 Kisasi-Bukoto'!J71,'03.08 Kisasi-Bukoto'!J71)</f>
        <v>0</v>
      </c>
      <c r="K71" s="49">
        <f>AVERAGE('01.08 Kisasi-Bukoto'!K71,'03.08 Kisasi-Bukoto'!K71)</f>
        <v>0</v>
      </c>
      <c r="L71" s="49">
        <f>AVERAGE('01.08 Kisasi-Bukoto'!L71,'03.08 Kisasi-Bukoto'!L71)</f>
        <v>0</v>
      </c>
      <c r="M71" s="49">
        <f>AVERAGE('01.08 Kisasi-Bukoto'!M71,'03.08 Kisasi-Bukoto'!M71)</f>
        <v>32.5</v>
      </c>
      <c r="N71" s="49">
        <f>AVERAGE('01.08 Kisasi-Bukoto'!N71,'03.08 Kisasi-Bukoto'!N71)</f>
        <v>0</v>
      </c>
      <c r="O71" s="15">
        <f t="shared" si="0"/>
        <v>56.5</v>
      </c>
      <c r="P71" s="15">
        <f t="shared" si="1"/>
        <v>89</v>
      </c>
      <c r="R71" s="8"/>
      <c r="T71"/>
    </row>
    <row r="72" spans="2:20" ht="23.1" customHeight="1" x14ac:dyDescent="0.25">
      <c r="B72" s="23" t="s">
        <v>112</v>
      </c>
      <c r="C72" s="49">
        <f>AVERAGE('01.08 Kisasi-Bukoto'!C72,'03.08 Kisasi-Bukoto'!C72)</f>
        <v>24.5</v>
      </c>
      <c r="D72" s="49">
        <f>AVERAGE('01.08 Kisasi-Bukoto'!D72,'03.08 Kisasi-Bukoto'!D72)</f>
        <v>10</v>
      </c>
      <c r="E72" s="49">
        <f>AVERAGE('01.08 Kisasi-Bukoto'!E72,'03.08 Kisasi-Bukoto'!E72)</f>
        <v>0</v>
      </c>
      <c r="F72" s="49">
        <f>AVERAGE('01.08 Kisasi-Bukoto'!F72,'03.08 Kisasi-Bukoto'!F72)</f>
        <v>3</v>
      </c>
      <c r="G72" s="49">
        <f>AVERAGE('01.08 Kisasi-Bukoto'!G72,'03.08 Kisasi-Bukoto'!G72)</f>
        <v>0</v>
      </c>
      <c r="H72" s="49">
        <f>AVERAGE('01.08 Kisasi-Bukoto'!H72,'03.08 Kisasi-Bukoto'!H72)</f>
        <v>0</v>
      </c>
      <c r="I72" s="49">
        <f>AVERAGE('01.08 Kisasi-Bukoto'!I72,'03.08 Kisasi-Bukoto'!I72)</f>
        <v>1</v>
      </c>
      <c r="J72" s="49">
        <f>AVERAGE('01.08 Kisasi-Bukoto'!J72,'03.08 Kisasi-Bukoto'!J72)</f>
        <v>0</v>
      </c>
      <c r="K72" s="49">
        <f>AVERAGE('01.08 Kisasi-Bukoto'!K72,'03.08 Kisasi-Bukoto'!K72)</f>
        <v>0</v>
      </c>
      <c r="L72" s="49">
        <f>AVERAGE('01.08 Kisasi-Bukoto'!L72,'03.08 Kisasi-Bukoto'!L72)</f>
        <v>0</v>
      </c>
      <c r="M72" s="49">
        <f>AVERAGE('01.08 Kisasi-Bukoto'!M72,'03.08 Kisasi-Bukoto'!M72)</f>
        <v>27.5</v>
      </c>
      <c r="N72" s="49">
        <f>AVERAGE('01.08 Kisasi-Bukoto'!N72,'03.08 Kisasi-Bukoto'!N72)</f>
        <v>0</v>
      </c>
      <c r="O72" s="15">
        <f t="shared" si="0"/>
        <v>38.5</v>
      </c>
      <c r="P72" s="15">
        <f t="shared" si="1"/>
        <v>66</v>
      </c>
      <c r="R72" s="8"/>
      <c r="T72"/>
    </row>
    <row r="73" spans="2:20" ht="23.1" customHeight="1" x14ac:dyDescent="0.25">
      <c r="B73" s="23" t="s">
        <v>113</v>
      </c>
      <c r="C73" s="49">
        <f>AVERAGE('01.08 Kisasi-Bukoto'!C73,'03.08 Kisasi-Bukoto'!C73)</f>
        <v>28.5</v>
      </c>
      <c r="D73" s="49">
        <f>AVERAGE('01.08 Kisasi-Bukoto'!D73,'03.08 Kisasi-Bukoto'!D73)</f>
        <v>18.5</v>
      </c>
      <c r="E73" s="49">
        <f>AVERAGE('01.08 Kisasi-Bukoto'!E73,'03.08 Kisasi-Bukoto'!E73)</f>
        <v>0</v>
      </c>
      <c r="F73" s="49">
        <f>AVERAGE('01.08 Kisasi-Bukoto'!F73,'03.08 Kisasi-Bukoto'!F73)</f>
        <v>3.5</v>
      </c>
      <c r="G73" s="49">
        <f>AVERAGE('01.08 Kisasi-Bukoto'!G73,'03.08 Kisasi-Bukoto'!G73)</f>
        <v>0</v>
      </c>
      <c r="H73" s="49">
        <f>AVERAGE('01.08 Kisasi-Bukoto'!H73,'03.08 Kisasi-Bukoto'!H73)</f>
        <v>0</v>
      </c>
      <c r="I73" s="49">
        <f>AVERAGE('01.08 Kisasi-Bukoto'!I73,'03.08 Kisasi-Bukoto'!I73)</f>
        <v>0.5</v>
      </c>
      <c r="J73" s="49">
        <f>AVERAGE('01.08 Kisasi-Bukoto'!J73,'03.08 Kisasi-Bukoto'!J73)</f>
        <v>0</v>
      </c>
      <c r="K73" s="49">
        <f>AVERAGE('01.08 Kisasi-Bukoto'!K73,'03.08 Kisasi-Bukoto'!K73)</f>
        <v>0.5</v>
      </c>
      <c r="L73" s="49">
        <f>AVERAGE('01.08 Kisasi-Bukoto'!L73,'03.08 Kisasi-Bukoto'!L73)</f>
        <v>0</v>
      </c>
      <c r="M73" s="49">
        <f>AVERAGE('01.08 Kisasi-Bukoto'!M73,'03.08 Kisasi-Bukoto'!M73)</f>
        <v>18.5</v>
      </c>
      <c r="N73" s="49">
        <f>AVERAGE('01.08 Kisasi-Bukoto'!N73,'03.08 Kisasi-Bukoto'!N73)</f>
        <v>0</v>
      </c>
      <c r="O73" s="15">
        <f t="shared" si="0"/>
        <v>51.5</v>
      </c>
      <c r="P73" s="15">
        <f t="shared" si="1"/>
        <v>70</v>
      </c>
      <c r="R73" s="8"/>
      <c r="T73"/>
    </row>
    <row r="74" spans="2:20" ht="23.1" customHeight="1" x14ac:dyDescent="0.25">
      <c r="B74" s="23" t="s">
        <v>114</v>
      </c>
      <c r="C74" s="49">
        <f>AVERAGE('01.08 Kisasi-Bukoto'!C74,'03.08 Kisasi-Bukoto'!C74)</f>
        <v>20.5</v>
      </c>
      <c r="D74" s="49">
        <f>AVERAGE('01.08 Kisasi-Bukoto'!D74,'03.08 Kisasi-Bukoto'!D74)</f>
        <v>13.5</v>
      </c>
      <c r="E74" s="49">
        <f>AVERAGE('01.08 Kisasi-Bukoto'!E74,'03.08 Kisasi-Bukoto'!E74)</f>
        <v>0</v>
      </c>
      <c r="F74" s="49">
        <f>AVERAGE('01.08 Kisasi-Bukoto'!F74,'03.08 Kisasi-Bukoto'!F74)</f>
        <v>0.5</v>
      </c>
      <c r="G74" s="49">
        <f>AVERAGE('01.08 Kisasi-Bukoto'!G74,'03.08 Kisasi-Bukoto'!G74)</f>
        <v>0</v>
      </c>
      <c r="H74" s="49">
        <f>AVERAGE('01.08 Kisasi-Bukoto'!H74,'03.08 Kisasi-Bukoto'!H74)</f>
        <v>0</v>
      </c>
      <c r="I74" s="49">
        <f>AVERAGE('01.08 Kisasi-Bukoto'!I74,'03.08 Kisasi-Bukoto'!I74)</f>
        <v>0.5</v>
      </c>
      <c r="J74" s="49">
        <f>AVERAGE('01.08 Kisasi-Bukoto'!J74,'03.08 Kisasi-Bukoto'!J74)</f>
        <v>0.5</v>
      </c>
      <c r="K74" s="49">
        <f>AVERAGE('01.08 Kisasi-Bukoto'!K74,'03.08 Kisasi-Bukoto'!K74)</f>
        <v>0</v>
      </c>
      <c r="L74" s="49">
        <f>AVERAGE('01.08 Kisasi-Bukoto'!L74,'03.08 Kisasi-Bukoto'!L74)</f>
        <v>0</v>
      </c>
      <c r="M74" s="49">
        <f>AVERAGE('01.08 Kisasi-Bukoto'!M74,'03.08 Kisasi-Bukoto'!M74)</f>
        <v>30</v>
      </c>
      <c r="N74" s="49">
        <f>AVERAGE('01.08 Kisasi-Bukoto'!N74,'03.08 Kisasi-Bukoto'!N74)</f>
        <v>0</v>
      </c>
      <c r="O74" s="15">
        <f t="shared" ref="O74:O105" si="35">SUM(C74:L74,N74)</f>
        <v>35.5</v>
      </c>
      <c r="P74" s="15">
        <f t="shared" ref="P74:P105" si="36">SUM(C74:N74)</f>
        <v>65.5</v>
      </c>
      <c r="R74" s="8"/>
      <c r="T74"/>
    </row>
    <row r="75" spans="2:20" ht="23.1" customHeight="1" x14ac:dyDescent="0.25">
      <c r="B75" s="23" t="s">
        <v>115</v>
      </c>
      <c r="C75" s="49">
        <f>AVERAGE('01.08 Kisasi-Bukoto'!C75,'03.08 Kisasi-Bukoto'!C75)</f>
        <v>12.5</v>
      </c>
      <c r="D75" s="49">
        <f>AVERAGE('01.08 Kisasi-Bukoto'!D75,'03.08 Kisasi-Bukoto'!D75)</f>
        <v>8</v>
      </c>
      <c r="E75" s="49">
        <f>AVERAGE('01.08 Kisasi-Bukoto'!E75,'03.08 Kisasi-Bukoto'!E75)</f>
        <v>0</v>
      </c>
      <c r="F75" s="49">
        <f>AVERAGE('01.08 Kisasi-Bukoto'!F75,'03.08 Kisasi-Bukoto'!F75)</f>
        <v>1.5</v>
      </c>
      <c r="G75" s="49">
        <f>AVERAGE('01.08 Kisasi-Bukoto'!G75,'03.08 Kisasi-Bukoto'!G75)</f>
        <v>0</v>
      </c>
      <c r="H75" s="49">
        <f>AVERAGE('01.08 Kisasi-Bukoto'!H75,'03.08 Kisasi-Bukoto'!H75)</f>
        <v>0</v>
      </c>
      <c r="I75" s="49">
        <f>AVERAGE('01.08 Kisasi-Bukoto'!I75,'03.08 Kisasi-Bukoto'!I75)</f>
        <v>0</v>
      </c>
      <c r="J75" s="49">
        <f>AVERAGE('01.08 Kisasi-Bukoto'!J75,'03.08 Kisasi-Bukoto'!J75)</f>
        <v>0</v>
      </c>
      <c r="K75" s="49">
        <f>AVERAGE('01.08 Kisasi-Bukoto'!K75,'03.08 Kisasi-Bukoto'!K75)</f>
        <v>0</v>
      </c>
      <c r="L75" s="49">
        <f>AVERAGE('01.08 Kisasi-Bukoto'!L75,'03.08 Kisasi-Bukoto'!L75)</f>
        <v>0</v>
      </c>
      <c r="M75" s="49">
        <f>AVERAGE('01.08 Kisasi-Bukoto'!M75,'03.08 Kisasi-Bukoto'!M75)</f>
        <v>18.5</v>
      </c>
      <c r="N75" s="49">
        <f>AVERAGE('01.08 Kisasi-Bukoto'!N75,'03.08 Kisasi-Bukoto'!N75)</f>
        <v>0</v>
      </c>
      <c r="O75" s="15">
        <f t="shared" si="35"/>
        <v>22</v>
      </c>
      <c r="P75" s="15">
        <f t="shared" si="36"/>
        <v>40.5</v>
      </c>
      <c r="R75" s="8"/>
      <c r="T75"/>
    </row>
    <row r="76" spans="2:20" ht="23.1" customHeight="1" x14ac:dyDescent="0.25">
      <c r="B76" s="23" t="s">
        <v>116</v>
      </c>
      <c r="C76" s="49">
        <f>AVERAGE('01.08 Kisasi-Bukoto'!C76,'03.08 Kisasi-Bukoto'!C76)</f>
        <v>10</v>
      </c>
      <c r="D76" s="49">
        <f>AVERAGE('01.08 Kisasi-Bukoto'!D76,'03.08 Kisasi-Bukoto'!D76)</f>
        <v>7.5</v>
      </c>
      <c r="E76" s="49">
        <f>AVERAGE('01.08 Kisasi-Bukoto'!E76,'03.08 Kisasi-Bukoto'!E76)</f>
        <v>0</v>
      </c>
      <c r="F76" s="49">
        <f>AVERAGE('01.08 Kisasi-Bukoto'!F76,'03.08 Kisasi-Bukoto'!F76)</f>
        <v>0.5</v>
      </c>
      <c r="G76" s="49">
        <f>AVERAGE('01.08 Kisasi-Bukoto'!G76,'03.08 Kisasi-Bukoto'!G76)</f>
        <v>0</v>
      </c>
      <c r="H76" s="49">
        <f>AVERAGE('01.08 Kisasi-Bukoto'!H76,'03.08 Kisasi-Bukoto'!H76)</f>
        <v>0</v>
      </c>
      <c r="I76" s="49">
        <f>AVERAGE('01.08 Kisasi-Bukoto'!I76,'03.08 Kisasi-Bukoto'!I76)</f>
        <v>1</v>
      </c>
      <c r="J76" s="49">
        <f>AVERAGE('01.08 Kisasi-Bukoto'!J76,'03.08 Kisasi-Bukoto'!J76)</f>
        <v>0</v>
      </c>
      <c r="K76" s="49">
        <f>AVERAGE('01.08 Kisasi-Bukoto'!K76,'03.08 Kisasi-Bukoto'!K76)</f>
        <v>0</v>
      </c>
      <c r="L76" s="49">
        <f>AVERAGE('01.08 Kisasi-Bukoto'!L76,'03.08 Kisasi-Bukoto'!L76)</f>
        <v>0</v>
      </c>
      <c r="M76" s="49">
        <f>AVERAGE('01.08 Kisasi-Bukoto'!M76,'03.08 Kisasi-Bukoto'!M76)</f>
        <v>14</v>
      </c>
      <c r="N76" s="49">
        <f>AVERAGE('01.08 Kisasi-Bukoto'!N76,'03.08 Kisasi-Bukoto'!N76)</f>
        <v>0</v>
      </c>
      <c r="O76" s="15">
        <f t="shared" si="35"/>
        <v>19</v>
      </c>
      <c r="P76" s="15">
        <f t="shared" si="36"/>
        <v>33</v>
      </c>
      <c r="R76" s="8"/>
      <c r="T76"/>
    </row>
    <row r="77" spans="2:20" ht="23.1" customHeight="1" x14ac:dyDescent="0.25">
      <c r="B77" s="23" t="s">
        <v>117</v>
      </c>
      <c r="C77" s="49">
        <f>AVERAGE('01.08 Kisasi-Bukoto'!C77,'03.08 Kisasi-Bukoto'!C77)</f>
        <v>10.5</v>
      </c>
      <c r="D77" s="49">
        <f>AVERAGE('01.08 Kisasi-Bukoto'!D77,'03.08 Kisasi-Bukoto'!D77)</f>
        <v>4.5</v>
      </c>
      <c r="E77" s="49">
        <f>AVERAGE('01.08 Kisasi-Bukoto'!E77,'03.08 Kisasi-Bukoto'!E77)</f>
        <v>0</v>
      </c>
      <c r="F77" s="49">
        <f>AVERAGE('01.08 Kisasi-Bukoto'!F77,'03.08 Kisasi-Bukoto'!F77)</f>
        <v>0.5</v>
      </c>
      <c r="G77" s="49">
        <f>AVERAGE('01.08 Kisasi-Bukoto'!G77,'03.08 Kisasi-Bukoto'!G77)</f>
        <v>0</v>
      </c>
      <c r="H77" s="49">
        <f>AVERAGE('01.08 Kisasi-Bukoto'!H77,'03.08 Kisasi-Bukoto'!H77)</f>
        <v>0</v>
      </c>
      <c r="I77" s="49">
        <f>AVERAGE('01.08 Kisasi-Bukoto'!I77,'03.08 Kisasi-Bukoto'!I77)</f>
        <v>0</v>
      </c>
      <c r="J77" s="49">
        <f>AVERAGE('01.08 Kisasi-Bukoto'!J77,'03.08 Kisasi-Bukoto'!J77)</f>
        <v>0</v>
      </c>
      <c r="K77" s="49">
        <f>AVERAGE('01.08 Kisasi-Bukoto'!K77,'03.08 Kisasi-Bukoto'!K77)</f>
        <v>0</v>
      </c>
      <c r="L77" s="49">
        <f>AVERAGE('01.08 Kisasi-Bukoto'!L77,'03.08 Kisasi-Bukoto'!L77)</f>
        <v>0</v>
      </c>
      <c r="M77" s="49">
        <f>AVERAGE('01.08 Kisasi-Bukoto'!M77,'03.08 Kisasi-Bukoto'!M77)</f>
        <v>18.5</v>
      </c>
      <c r="N77" s="49">
        <f>AVERAGE('01.08 Kisasi-Bukoto'!N77,'03.08 Kisasi-Bukoto'!N77)</f>
        <v>0</v>
      </c>
      <c r="O77" s="15">
        <f t="shared" si="35"/>
        <v>15.5</v>
      </c>
      <c r="P77" s="15">
        <f t="shared" si="36"/>
        <v>34</v>
      </c>
      <c r="R77" s="8"/>
      <c r="T77"/>
    </row>
    <row r="78" spans="2:20" ht="23.1" customHeight="1" x14ac:dyDescent="0.25">
      <c r="B78" s="24" t="s">
        <v>118</v>
      </c>
      <c r="C78" s="49">
        <f>AVERAGE('01.08 Kisasi-Bukoto'!C78,'03.08 Kisasi-Bukoto'!C78)</f>
        <v>12</v>
      </c>
      <c r="D78" s="49">
        <f>AVERAGE('01.08 Kisasi-Bukoto'!D78,'03.08 Kisasi-Bukoto'!D78)</f>
        <v>4.5</v>
      </c>
      <c r="E78" s="49">
        <f>AVERAGE('01.08 Kisasi-Bukoto'!E78,'03.08 Kisasi-Bukoto'!E78)</f>
        <v>0</v>
      </c>
      <c r="F78" s="49">
        <f>AVERAGE('01.08 Kisasi-Bukoto'!F78,'03.08 Kisasi-Bukoto'!F78)</f>
        <v>1.5</v>
      </c>
      <c r="G78" s="49">
        <f>AVERAGE('01.08 Kisasi-Bukoto'!G78,'03.08 Kisasi-Bukoto'!G78)</f>
        <v>0</v>
      </c>
      <c r="H78" s="49">
        <f>AVERAGE('01.08 Kisasi-Bukoto'!H78,'03.08 Kisasi-Bukoto'!H78)</f>
        <v>0</v>
      </c>
      <c r="I78" s="49">
        <f>AVERAGE('01.08 Kisasi-Bukoto'!I78,'03.08 Kisasi-Bukoto'!I78)</f>
        <v>0</v>
      </c>
      <c r="J78" s="49">
        <f>AVERAGE('01.08 Kisasi-Bukoto'!J78,'03.08 Kisasi-Bukoto'!J78)</f>
        <v>0</v>
      </c>
      <c r="K78" s="49">
        <f>AVERAGE('01.08 Kisasi-Bukoto'!K78,'03.08 Kisasi-Bukoto'!K78)</f>
        <v>0</v>
      </c>
      <c r="L78" s="49">
        <f>AVERAGE('01.08 Kisasi-Bukoto'!L78,'03.08 Kisasi-Bukoto'!L78)</f>
        <v>0</v>
      </c>
      <c r="M78" s="49">
        <f>AVERAGE('01.08 Kisasi-Bukoto'!M78,'03.08 Kisasi-Bukoto'!M78)</f>
        <v>13.5</v>
      </c>
      <c r="N78" s="49">
        <f>AVERAGE('01.08 Kisasi-Bukoto'!N78,'03.08 Kisasi-Bukoto'!N78)</f>
        <v>0</v>
      </c>
      <c r="O78" s="15">
        <f t="shared" si="35"/>
        <v>18</v>
      </c>
      <c r="P78" s="15">
        <f t="shared" si="36"/>
        <v>31.5</v>
      </c>
      <c r="R78" s="8"/>
      <c r="T78"/>
    </row>
    <row r="79" spans="2:20" ht="23.1" customHeight="1" x14ac:dyDescent="0.25">
      <c r="B79" s="23" t="s">
        <v>119</v>
      </c>
      <c r="C79" s="49">
        <f>AVERAGE('01.08 Kisasi-Bukoto'!C79,'03.08 Kisasi-Bukoto'!C79)</f>
        <v>9.5</v>
      </c>
      <c r="D79" s="49">
        <f>AVERAGE('01.08 Kisasi-Bukoto'!D79,'03.08 Kisasi-Bukoto'!D79)</f>
        <v>3.5</v>
      </c>
      <c r="E79" s="49">
        <f>AVERAGE('01.08 Kisasi-Bukoto'!E79,'03.08 Kisasi-Bukoto'!E79)</f>
        <v>0</v>
      </c>
      <c r="F79" s="49">
        <f>AVERAGE('01.08 Kisasi-Bukoto'!F79,'03.08 Kisasi-Bukoto'!F79)</f>
        <v>2.5</v>
      </c>
      <c r="G79" s="49">
        <f>AVERAGE('01.08 Kisasi-Bukoto'!G79,'03.08 Kisasi-Bukoto'!G79)</f>
        <v>0</v>
      </c>
      <c r="H79" s="49">
        <f>AVERAGE('01.08 Kisasi-Bukoto'!H79,'03.08 Kisasi-Bukoto'!H79)</f>
        <v>0</v>
      </c>
      <c r="I79" s="49">
        <f>AVERAGE('01.08 Kisasi-Bukoto'!I79,'03.08 Kisasi-Bukoto'!I79)</f>
        <v>0</v>
      </c>
      <c r="J79" s="49">
        <f>AVERAGE('01.08 Kisasi-Bukoto'!J79,'03.08 Kisasi-Bukoto'!J79)</f>
        <v>0</v>
      </c>
      <c r="K79" s="49">
        <f>AVERAGE('01.08 Kisasi-Bukoto'!K79,'03.08 Kisasi-Bukoto'!K79)</f>
        <v>0</v>
      </c>
      <c r="L79" s="49">
        <f>AVERAGE('01.08 Kisasi-Bukoto'!L79,'03.08 Kisasi-Bukoto'!L79)</f>
        <v>0</v>
      </c>
      <c r="M79" s="49">
        <f>AVERAGE('01.08 Kisasi-Bukoto'!M79,'03.08 Kisasi-Bukoto'!M79)</f>
        <v>4</v>
      </c>
      <c r="N79" s="49">
        <f>AVERAGE('01.08 Kisasi-Bukoto'!N79,'03.08 Kisasi-Bukoto'!N79)</f>
        <v>0</v>
      </c>
      <c r="O79" s="15">
        <f t="shared" si="35"/>
        <v>15.5</v>
      </c>
      <c r="P79" s="15">
        <f t="shared" si="36"/>
        <v>19.5</v>
      </c>
      <c r="R79" s="8"/>
      <c r="T79"/>
    </row>
    <row r="80" spans="2:20" ht="23.1" customHeight="1" x14ac:dyDescent="0.25">
      <c r="B80" s="25" t="s">
        <v>120</v>
      </c>
      <c r="C80" s="49">
        <f>AVERAGE('01.08 Kisasi-Bukoto'!C80,'03.08 Kisasi-Bukoto'!C80)</f>
        <v>10</v>
      </c>
      <c r="D80" s="49">
        <f>AVERAGE('01.08 Kisasi-Bukoto'!D80,'03.08 Kisasi-Bukoto'!D80)</f>
        <v>4</v>
      </c>
      <c r="E80" s="49">
        <f>AVERAGE('01.08 Kisasi-Bukoto'!E80,'03.08 Kisasi-Bukoto'!E80)</f>
        <v>0</v>
      </c>
      <c r="F80" s="49">
        <f>AVERAGE('01.08 Kisasi-Bukoto'!F80,'03.08 Kisasi-Bukoto'!F80)</f>
        <v>1.5</v>
      </c>
      <c r="G80" s="49">
        <f>AVERAGE('01.08 Kisasi-Bukoto'!G80,'03.08 Kisasi-Bukoto'!G80)</f>
        <v>0</v>
      </c>
      <c r="H80" s="49">
        <f>AVERAGE('01.08 Kisasi-Bukoto'!H80,'03.08 Kisasi-Bukoto'!H80)</f>
        <v>0</v>
      </c>
      <c r="I80" s="49">
        <f>AVERAGE('01.08 Kisasi-Bukoto'!I80,'03.08 Kisasi-Bukoto'!I80)</f>
        <v>0.5</v>
      </c>
      <c r="J80" s="49">
        <f>AVERAGE('01.08 Kisasi-Bukoto'!J80,'03.08 Kisasi-Bukoto'!J80)</f>
        <v>0.5</v>
      </c>
      <c r="K80" s="49">
        <f>AVERAGE('01.08 Kisasi-Bukoto'!K80,'03.08 Kisasi-Bukoto'!K80)</f>
        <v>0</v>
      </c>
      <c r="L80" s="49">
        <f>AVERAGE('01.08 Kisasi-Bukoto'!L80,'03.08 Kisasi-Bukoto'!L80)</f>
        <v>0</v>
      </c>
      <c r="M80" s="49">
        <f>AVERAGE('01.08 Kisasi-Bukoto'!M80,'03.08 Kisasi-Bukoto'!M80)</f>
        <v>20.5</v>
      </c>
      <c r="N80" s="49">
        <f>AVERAGE('01.08 Kisasi-Bukoto'!N80,'03.08 Kisasi-Bukoto'!N80)</f>
        <v>0</v>
      </c>
      <c r="O80" s="15">
        <f t="shared" si="35"/>
        <v>16.5</v>
      </c>
      <c r="P80" s="15">
        <f t="shared" si="36"/>
        <v>37</v>
      </c>
      <c r="R80" s="8"/>
      <c r="T80"/>
    </row>
    <row r="81" spans="2:20" ht="23.1" customHeight="1" x14ac:dyDescent="0.25">
      <c r="B81" s="23" t="s">
        <v>121</v>
      </c>
      <c r="C81" s="49">
        <f>AVERAGE('01.08 Kisasi-Bukoto'!C81,'03.08 Kisasi-Bukoto'!C81)</f>
        <v>15</v>
      </c>
      <c r="D81" s="49">
        <f>AVERAGE('01.08 Kisasi-Bukoto'!D81,'03.08 Kisasi-Bukoto'!D81)</f>
        <v>10</v>
      </c>
      <c r="E81" s="49">
        <f>AVERAGE('01.08 Kisasi-Bukoto'!E81,'03.08 Kisasi-Bukoto'!E81)</f>
        <v>0</v>
      </c>
      <c r="F81" s="49">
        <f>AVERAGE('01.08 Kisasi-Bukoto'!F81,'03.08 Kisasi-Bukoto'!F81)</f>
        <v>1.5</v>
      </c>
      <c r="G81" s="49">
        <f>AVERAGE('01.08 Kisasi-Bukoto'!G81,'03.08 Kisasi-Bukoto'!G81)</f>
        <v>0.5</v>
      </c>
      <c r="H81" s="49">
        <f>AVERAGE('01.08 Kisasi-Bukoto'!H81,'03.08 Kisasi-Bukoto'!H81)</f>
        <v>0</v>
      </c>
      <c r="I81" s="49">
        <f>AVERAGE('01.08 Kisasi-Bukoto'!I81,'03.08 Kisasi-Bukoto'!I81)</f>
        <v>0</v>
      </c>
      <c r="J81" s="49">
        <f>AVERAGE('01.08 Kisasi-Bukoto'!J81,'03.08 Kisasi-Bukoto'!J81)</f>
        <v>0</v>
      </c>
      <c r="K81" s="49">
        <f>AVERAGE('01.08 Kisasi-Bukoto'!K81,'03.08 Kisasi-Bukoto'!K81)</f>
        <v>0</v>
      </c>
      <c r="L81" s="49">
        <f>AVERAGE('01.08 Kisasi-Bukoto'!L81,'03.08 Kisasi-Bukoto'!L81)</f>
        <v>0</v>
      </c>
      <c r="M81" s="49">
        <f>AVERAGE('01.08 Kisasi-Bukoto'!M81,'03.08 Kisasi-Bukoto'!M81)</f>
        <v>9</v>
      </c>
      <c r="N81" s="49">
        <f>AVERAGE('01.08 Kisasi-Bukoto'!N81,'03.08 Kisasi-Bukoto'!N81)</f>
        <v>0</v>
      </c>
      <c r="O81" s="15">
        <f t="shared" si="35"/>
        <v>27</v>
      </c>
      <c r="P81" s="15">
        <f t="shared" si="36"/>
        <v>36</v>
      </c>
      <c r="R81" s="8"/>
      <c r="T81"/>
    </row>
    <row r="82" spans="2:20" ht="23.1" customHeight="1" x14ac:dyDescent="0.25">
      <c r="B82" s="24" t="s">
        <v>122</v>
      </c>
      <c r="C82" s="49">
        <f>AVERAGE('01.08 Kisasi-Bukoto'!C82,'03.08 Kisasi-Bukoto'!C82)</f>
        <v>5</v>
      </c>
      <c r="D82" s="49">
        <f>AVERAGE('01.08 Kisasi-Bukoto'!D82,'03.08 Kisasi-Bukoto'!D82)</f>
        <v>2</v>
      </c>
      <c r="E82" s="49">
        <f>AVERAGE('01.08 Kisasi-Bukoto'!E82,'03.08 Kisasi-Bukoto'!E82)</f>
        <v>0</v>
      </c>
      <c r="F82" s="49">
        <f>AVERAGE('01.08 Kisasi-Bukoto'!F82,'03.08 Kisasi-Bukoto'!F82)</f>
        <v>0</v>
      </c>
      <c r="G82" s="49">
        <f>AVERAGE('01.08 Kisasi-Bukoto'!G82,'03.08 Kisasi-Bukoto'!G82)</f>
        <v>0</v>
      </c>
      <c r="H82" s="49">
        <f>AVERAGE('01.08 Kisasi-Bukoto'!H82,'03.08 Kisasi-Bukoto'!H82)</f>
        <v>0</v>
      </c>
      <c r="I82" s="49">
        <f>AVERAGE('01.08 Kisasi-Bukoto'!I82,'03.08 Kisasi-Bukoto'!I82)</f>
        <v>0.5</v>
      </c>
      <c r="J82" s="49">
        <f>AVERAGE('01.08 Kisasi-Bukoto'!J82,'03.08 Kisasi-Bukoto'!J82)</f>
        <v>0.5</v>
      </c>
      <c r="K82" s="49">
        <f>AVERAGE('01.08 Kisasi-Bukoto'!K82,'03.08 Kisasi-Bukoto'!K82)</f>
        <v>0</v>
      </c>
      <c r="L82" s="49">
        <f>AVERAGE('01.08 Kisasi-Bukoto'!L82,'03.08 Kisasi-Bukoto'!L82)</f>
        <v>0</v>
      </c>
      <c r="M82" s="49">
        <f>AVERAGE('01.08 Kisasi-Bukoto'!M82,'03.08 Kisasi-Bukoto'!M82)</f>
        <v>14.5</v>
      </c>
      <c r="N82" s="49">
        <f>AVERAGE('01.08 Kisasi-Bukoto'!N82,'03.08 Kisasi-Bukoto'!N82)</f>
        <v>0</v>
      </c>
      <c r="O82" s="15">
        <f t="shared" si="35"/>
        <v>8</v>
      </c>
      <c r="P82" s="15">
        <f t="shared" si="36"/>
        <v>22.5</v>
      </c>
      <c r="R82" s="8"/>
      <c r="T82"/>
    </row>
    <row r="83" spans="2:20" ht="23.1" customHeight="1" x14ac:dyDescent="0.25">
      <c r="B83" s="23" t="s">
        <v>123</v>
      </c>
      <c r="C83" s="49">
        <f>AVERAGE('01.08 Kisasi-Bukoto'!C83,'03.08 Kisasi-Bukoto'!C83)</f>
        <v>6.5</v>
      </c>
      <c r="D83" s="49">
        <f>AVERAGE('01.08 Kisasi-Bukoto'!D83,'03.08 Kisasi-Bukoto'!D83)</f>
        <v>2</v>
      </c>
      <c r="E83" s="49">
        <f>AVERAGE('01.08 Kisasi-Bukoto'!E83,'03.08 Kisasi-Bukoto'!E83)</f>
        <v>0</v>
      </c>
      <c r="F83" s="49">
        <f>AVERAGE('01.08 Kisasi-Bukoto'!F83,'03.08 Kisasi-Bukoto'!F83)</f>
        <v>1</v>
      </c>
      <c r="G83" s="49">
        <f>AVERAGE('01.08 Kisasi-Bukoto'!G83,'03.08 Kisasi-Bukoto'!G83)</f>
        <v>0</v>
      </c>
      <c r="H83" s="49">
        <f>AVERAGE('01.08 Kisasi-Bukoto'!H83,'03.08 Kisasi-Bukoto'!H83)</f>
        <v>0</v>
      </c>
      <c r="I83" s="49">
        <f>AVERAGE('01.08 Kisasi-Bukoto'!I83,'03.08 Kisasi-Bukoto'!I83)</f>
        <v>0</v>
      </c>
      <c r="J83" s="49">
        <f>AVERAGE('01.08 Kisasi-Bukoto'!J83,'03.08 Kisasi-Bukoto'!J83)</f>
        <v>0</v>
      </c>
      <c r="K83" s="49">
        <f>AVERAGE('01.08 Kisasi-Bukoto'!K83,'03.08 Kisasi-Bukoto'!K83)</f>
        <v>0</v>
      </c>
      <c r="L83" s="49">
        <f>AVERAGE('01.08 Kisasi-Bukoto'!L83,'03.08 Kisasi-Bukoto'!L83)</f>
        <v>0</v>
      </c>
      <c r="M83" s="49">
        <f>AVERAGE('01.08 Kisasi-Bukoto'!M83,'03.08 Kisasi-Bukoto'!M83)</f>
        <v>8</v>
      </c>
      <c r="N83" s="49">
        <f>AVERAGE('01.08 Kisasi-Bukoto'!N83,'03.08 Kisasi-Bukoto'!N83)</f>
        <v>0</v>
      </c>
      <c r="O83" s="15">
        <f t="shared" si="35"/>
        <v>9.5</v>
      </c>
      <c r="P83" s="15">
        <f t="shared" si="36"/>
        <v>17.5</v>
      </c>
      <c r="R83" s="8"/>
      <c r="T83"/>
    </row>
    <row r="84" spans="2:20" ht="23.1" customHeight="1" x14ac:dyDescent="0.25">
      <c r="B84" s="25" t="s">
        <v>124</v>
      </c>
      <c r="C84" s="49">
        <f>AVERAGE('01.08 Kisasi-Bukoto'!C84,'03.08 Kisasi-Bukoto'!C84)</f>
        <v>7</v>
      </c>
      <c r="D84" s="49">
        <f>AVERAGE('01.08 Kisasi-Bukoto'!D84,'03.08 Kisasi-Bukoto'!D84)</f>
        <v>2</v>
      </c>
      <c r="E84" s="49">
        <f>AVERAGE('01.08 Kisasi-Bukoto'!E84,'03.08 Kisasi-Bukoto'!E84)</f>
        <v>0</v>
      </c>
      <c r="F84" s="49">
        <f>AVERAGE('01.08 Kisasi-Bukoto'!F84,'03.08 Kisasi-Bukoto'!F84)</f>
        <v>2</v>
      </c>
      <c r="G84" s="49">
        <f>AVERAGE('01.08 Kisasi-Bukoto'!G84,'03.08 Kisasi-Bukoto'!G84)</f>
        <v>0</v>
      </c>
      <c r="H84" s="49">
        <f>AVERAGE('01.08 Kisasi-Bukoto'!H84,'03.08 Kisasi-Bukoto'!H84)</f>
        <v>0</v>
      </c>
      <c r="I84" s="49">
        <f>AVERAGE('01.08 Kisasi-Bukoto'!I84,'03.08 Kisasi-Bukoto'!I84)</f>
        <v>0</v>
      </c>
      <c r="J84" s="49">
        <f>AVERAGE('01.08 Kisasi-Bukoto'!J84,'03.08 Kisasi-Bukoto'!J84)</f>
        <v>0</v>
      </c>
      <c r="K84" s="49">
        <f>AVERAGE('01.08 Kisasi-Bukoto'!K84,'03.08 Kisasi-Bukoto'!K84)</f>
        <v>0</v>
      </c>
      <c r="L84" s="49">
        <f>AVERAGE('01.08 Kisasi-Bukoto'!L84,'03.08 Kisasi-Bukoto'!L84)</f>
        <v>0</v>
      </c>
      <c r="M84" s="49">
        <f>AVERAGE('01.08 Kisasi-Bukoto'!M84,'03.08 Kisasi-Bukoto'!M84)</f>
        <v>6</v>
      </c>
      <c r="N84" s="49">
        <f>AVERAGE('01.08 Kisasi-Bukoto'!N84,'03.08 Kisasi-Bukoto'!N84)</f>
        <v>0</v>
      </c>
      <c r="O84" s="15">
        <f t="shared" si="35"/>
        <v>11</v>
      </c>
      <c r="P84" s="15">
        <f t="shared" si="36"/>
        <v>17</v>
      </c>
      <c r="R84" s="8"/>
      <c r="T84"/>
    </row>
    <row r="85" spans="2:20" ht="23.1" customHeight="1" x14ac:dyDescent="0.25">
      <c r="B85" s="23" t="s">
        <v>125</v>
      </c>
      <c r="C85" s="49">
        <f>AVERAGE('01.08 Kisasi-Bukoto'!C85,'03.08 Kisasi-Bukoto'!C85)</f>
        <v>5</v>
      </c>
      <c r="D85" s="49">
        <f>AVERAGE('01.08 Kisasi-Bukoto'!D85,'03.08 Kisasi-Bukoto'!D85)</f>
        <v>2</v>
      </c>
      <c r="E85" s="49">
        <f>AVERAGE('01.08 Kisasi-Bukoto'!E85,'03.08 Kisasi-Bukoto'!E85)</f>
        <v>0</v>
      </c>
      <c r="F85" s="49">
        <f>AVERAGE('01.08 Kisasi-Bukoto'!F85,'03.08 Kisasi-Bukoto'!F85)</f>
        <v>2</v>
      </c>
      <c r="G85" s="49">
        <f>AVERAGE('01.08 Kisasi-Bukoto'!G85,'03.08 Kisasi-Bukoto'!G85)</f>
        <v>0</v>
      </c>
      <c r="H85" s="49">
        <f>AVERAGE('01.08 Kisasi-Bukoto'!H85,'03.08 Kisasi-Bukoto'!H85)</f>
        <v>0</v>
      </c>
      <c r="I85" s="49">
        <f>AVERAGE('01.08 Kisasi-Bukoto'!I85,'03.08 Kisasi-Bukoto'!I85)</f>
        <v>0</v>
      </c>
      <c r="J85" s="49">
        <f>AVERAGE('01.08 Kisasi-Bukoto'!J85,'03.08 Kisasi-Bukoto'!J85)</f>
        <v>0</v>
      </c>
      <c r="K85" s="49">
        <f>AVERAGE('01.08 Kisasi-Bukoto'!K85,'03.08 Kisasi-Bukoto'!K85)</f>
        <v>0</v>
      </c>
      <c r="L85" s="49">
        <f>AVERAGE('01.08 Kisasi-Bukoto'!L85,'03.08 Kisasi-Bukoto'!L85)</f>
        <v>0</v>
      </c>
      <c r="M85" s="49">
        <f>AVERAGE('01.08 Kisasi-Bukoto'!M85,'03.08 Kisasi-Bukoto'!M85)</f>
        <v>9</v>
      </c>
      <c r="N85" s="49">
        <f>AVERAGE('01.08 Kisasi-Bukoto'!N85,'03.08 Kisasi-Bukoto'!N85)</f>
        <v>0</v>
      </c>
      <c r="O85" s="15">
        <f t="shared" si="35"/>
        <v>9</v>
      </c>
      <c r="P85" s="15">
        <f t="shared" si="36"/>
        <v>18</v>
      </c>
      <c r="R85" s="8"/>
      <c r="T85"/>
    </row>
    <row r="86" spans="2:20" ht="23.1" customHeight="1" x14ac:dyDescent="0.25">
      <c r="B86" s="24" t="s">
        <v>126</v>
      </c>
      <c r="C86" s="49">
        <f>AVERAGE('01.08 Kisasi-Bukoto'!C86,'03.08 Kisasi-Bukoto'!C86)</f>
        <v>4.5</v>
      </c>
      <c r="D86" s="49">
        <f>AVERAGE('01.08 Kisasi-Bukoto'!D86,'03.08 Kisasi-Bukoto'!D86)</f>
        <v>2</v>
      </c>
      <c r="E86" s="49">
        <f>AVERAGE('01.08 Kisasi-Bukoto'!E86,'03.08 Kisasi-Bukoto'!E86)</f>
        <v>0</v>
      </c>
      <c r="F86" s="49">
        <f>AVERAGE('01.08 Kisasi-Bukoto'!F86,'03.08 Kisasi-Bukoto'!F86)</f>
        <v>0</v>
      </c>
      <c r="G86" s="49">
        <f>AVERAGE('01.08 Kisasi-Bukoto'!G86,'03.08 Kisasi-Bukoto'!G86)</f>
        <v>0</v>
      </c>
      <c r="H86" s="49">
        <f>AVERAGE('01.08 Kisasi-Bukoto'!H86,'03.08 Kisasi-Bukoto'!H86)</f>
        <v>0</v>
      </c>
      <c r="I86" s="49">
        <f>AVERAGE('01.08 Kisasi-Bukoto'!I86,'03.08 Kisasi-Bukoto'!I86)</f>
        <v>0</v>
      </c>
      <c r="J86" s="49">
        <f>AVERAGE('01.08 Kisasi-Bukoto'!J86,'03.08 Kisasi-Bukoto'!J86)</f>
        <v>0</v>
      </c>
      <c r="K86" s="49">
        <f>AVERAGE('01.08 Kisasi-Bukoto'!K86,'03.08 Kisasi-Bukoto'!K86)</f>
        <v>0</v>
      </c>
      <c r="L86" s="49">
        <f>AVERAGE('01.08 Kisasi-Bukoto'!L86,'03.08 Kisasi-Bukoto'!L86)</f>
        <v>0</v>
      </c>
      <c r="M86" s="49">
        <f>AVERAGE('01.08 Kisasi-Bukoto'!M86,'03.08 Kisasi-Bukoto'!M86)</f>
        <v>6.5</v>
      </c>
      <c r="N86" s="49">
        <f>AVERAGE('01.08 Kisasi-Bukoto'!N86,'03.08 Kisasi-Bukoto'!N86)</f>
        <v>0</v>
      </c>
      <c r="O86" s="15">
        <f t="shared" si="35"/>
        <v>6.5</v>
      </c>
      <c r="P86" s="15">
        <f t="shared" si="36"/>
        <v>13</v>
      </c>
      <c r="R86" s="8"/>
      <c r="T86"/>
    </row>
    <row r="87" spans="2:20" ht="23.1" customHeight="1" x14ac:dyDescent="0.25">
      <c r="B87" s="23" t="s">
        <v>127</v>
      </c>
      <c r="C87" s="49">
        <f>AVERAGE('01.08 Kisasi-Bukoto'!C87,'03.08 Kisasi-Bukoto'!C87)</f>
        <v>7</v>
      </c>
      <c r="D87" s="49">
        <f>AVERAGE('01.08 Kisasi-Bukoto'!D87,'03.08 Kisasi-Bukoto'!D87)</f>
        <v>3.5</v>
      </c>
      <c r="E87" s="49">
        <f>AVERAGE('01.08 Kisasi-Bukoto'!E87,'03.08 Kisasi-Bukoto'!E87)</f>
        <v>0</v>
      </c>
      <c r="F87" s="49">
        <f>AVERAGE('01.08 Kisasi-Bukoto'!F87,'03.08 Kisasi-Bukoto'!F87)</f>
        <v>0</v>
      </c>
      <c r="G87" s="49">
        <f>AVERAGE('01.08 Kisasi-Bukoto'!G87,'03.08 Kisasi-Bukoto'!G87)</f>
        <v>0</v>
      </c>
      <c r="H87" s="49">
        <f>AVERAGE('01.08 Kisasi-Bukoto'!H87,'03.08 Kisasi-Bukoto'!H87)</f>
        <v>0</v>
      </c>
      <c r="I87" s="49">
        <f>AVERAGE('01.08 Kisasi-Bukoto'!I87,'03.08 Kisasi-Bukoto'!I87)</f>
        <v>0</v>
      </c>
      <c r="J87" s="49">
        <f>AVERAGE('01.08 Kisasi-Bukoto'!J87,'03.08 Kisasi-Bukoto'!J87)</f>
        <v>0</v>
      </c>
      <c r="K87" s="49">
        <f>AVERAGE('01.08 Kisasi-Bukoto'!K87,'03.08 Kisasi-Bukoto'!K87)</f>
        <v>0</v>
      </c>
      <c r="L87" s="49">
        <f>AVERAGE('01.08 Kisasi-Bukoto'!L87,'03.08 Kisasi-Bukoto'!L87)</f>
        <v>0</v>
      </c>
      <c r="M87" s="49">
        <f>AVERAGE('01.08 Kisasi-Bukoto'!M87,'03.08 Kisasi-Bukoto'!M87)</f>
        <v>5</v>
      </c>
      <c r="N87" s="49">
        <f>AVERAGE('01.08 Kisasi-Bukoto'!N87,'03.08 Kisasi-Bukoto'!N87)</f>
        <v>0</v>
      </c>
      <c r="O87" s="15">
        <f t="shared" si="35"/>
        <v>10.5</v>
      </c>
      <c r="P87" s="15">
        <f t="shared" si="36"/>
        <v>15.5</v>
      </c>
      <c r="R87" s="8"/>
      <c r="T87"/>
    </row>
    <row r="88" spans="2:20" ht="23.1" customHeight="1" x14ac:dyDescent="0.25">
      <c r="B88" s="25" t="s">
        <v>128</v>
      </c>
      <c r="C88" s="49">
        <f>AVERAGE('01.08 Kisasi-Bukoto'!C88,'03.08 Kisasi-Bukoto'!C88)</f>
        <v>3.5</v>
      </c>
      <c r="D88" s="49">
        <f>AVERAGE('01.08 Kisasi-Bukoto'!D88,'03.08 Kisasi-Bukoto'!D88)</f>
        <v>3</v>
      </c>
      <c r="E88" s="49">
        <f>AVERAGE('01.08 Kisasi-Bukoto'!E88,'03.08 Kisasi-Bukoto'!E88)</f>
        <v>0</v>
      </c>
      <c r="F88" s="49">
        <f>AVERAGE('01.08 Kisasi-Bukoto'!F88,'03.08 Kisasi-Bukoto'!F88)</f>
        <v>0</v>
      </c>
      <c r="G88" s="49">
        <f>AVERAGE('01.08 Kisasi-Bukoto'!G88,'03.08 Kisasi-Bukoto'!G88)</f>
        <v>0</v>
      </c>
      <c r="H88" s="49">
        <f>AVERAGE('01.08 Kisasi-Bukoto'!H88,'03.08 Kisasi-Bukoto'!H88)</f>
        <v>0</v>
      </c>
      <c r="I88" s="49">
        <f>AVERAGE('01.08 Kisasi-Bukoto'!I88,'03.08 Kisasi-Bukoto'!I88)</f>
        <v>0</v>
      </c>
      <c r="J88" s="49">
        <f>AVERAGE('01.08 Kisasi-Bukoto'!J88,'03.08 Kisasi-Bukoto'!J88)</f>
        <v>0</v>
      </c>
      <c r="K88" s="49">
        <f>AVERAGE('01.08 Kisasi-Bukoto'!K88,'03.08 Kisasi-Bukoto'!K88)</f>
        <v>0</v>
      </c>
      <c r="L88" s="49">
        <f>AVERAGE('01.08 Kisasi-Bukoto'!L88,'03.08 Kisasi-Bukoto'!L88)</f>
        <v>0</v>
      </c>
      <c r="M88" s="49">
        <f>AVERAGE('01.08 Kisasi-Bukoto'!M88,'03.08 Kisasi-Bukoto'!M88)</f>
        <v>3.5</v>
      </c>
      <c r="N88" s="49">
        <f>AVERAGE('01.08 Kisasi-Bukoto'!N88,'03.08 Kisasi-Bukoto'!N88)</f>
        <v>0</v>
      </c>
      <c r="O88" s="15">
        <f t="shared" si="35"/>
        <v>6.5</v>
      </c>
      <c r="P88" s="15">
        <f t="shared" si="36"/>
        <v>10</v>
      </c>
      <c r="R88" s="8"/>
      <c r="T88"/>
    </row>
    <row r="89" spans="2:20" ht="23.1" customHeight="1" x14ac:dyDescent="0.25">
      <c r="B89" s="23" t="s">
        <v>129</v>
      </c>
      <c r="C89" s="49">
        <f>AVERAGE('01.08 Kisasi-Bukoto'!C89,'03.08 Kisasi-Bukoto'!C89)</f>
        <v>3.5</v>
      </c>
      <c r="D89" s="49">
        <f>AVERAGE('01.08 Kisasi-Bukoto'!D89,'03.08 Kisasi-Bukoto'!D89)</f>
        <v>2</v>
      </c>
      <c r="E89" s="49">
        <f>AVERAGE('01.08 Kisasi-Bukoto'!E89,'03.08 Kisasi-Bukoto'!E89)</f>
        <v>0</v>
      </c>
      <c r="F89" s="49">
        <f>AVERAGE('01.08 Kisasi-Bukoto'!F89,'03.08 Kisasi-Bukoto'!F89)</f>
        <v>0</v>
      </c>
      <c r="G89" s="49">
        <f>AVERAGE('01.08 Kisasi-Bukoto'!G89,'03.08 Kisasi-Bukoto'!G89)</f>
        <v>0</v>
      </c>
      <c r="H89" s="49">
        <f>AVERAGE('01.08 Kisasi-Bukoto'!H89,'03.08 Kisasi-Bukoto'!H89)</f>
        <v>0</v>
      </c>
      <c r="I89" s="49">
        <f>AVERAGE('01.08 Kisasi-Bukoto'!I89,'03.08 Kisasi-Bukoto'!I89)</f>
        <v>0</v>
      </c>
      <c r="J89" s="49">
        <f>AVERAGE('01.08 Kisasi-Bukoto'!J89,'03.08 Kisasi-Bukoto'!J89)</f>
        <v>0</v>
      </c>
      <c r="K89" s="49">
        <f>AVERAGE('01.08 Kisasi-Bukoto'!K89,'03.08 Kisasi-Bukoto'!K89)</f>
        <v>0</v>
      </c>
      <c r="L89" s="49">
        <f>AVERAGE('01.08 Kisasi-Bukoto'!L89,'03.08 Kisasi-Bukoto'!L89)</f>
        <v>0</v>
      </c>
      <c r="M89" s="49">
        <f>AVERAGE('01.08 Kisasi-Bukoto'!M89,'03.08 Kisasi-Bukoto'!M89)</f>
        <v>6</v>
      </c>
      <c r="N89" s="49">
        <f>AVERAGE('01.08 Kisasi-Bukoto'!N89,'03.08 Kisasi-Bukoto'!N89)</f>
        <v>0</v>
      </c>
      <c r="O89" s="15">
        <f t="shared" si="35"/>
        <v>5.5</v>
      </c>
      <c r="P89" s="15">
        <f t="shared" si="36"/>
        <v>11.5</v>
      </c>
      <c r="R89" s="8"/>
      <c r="T89"/>
    </row>
    <row r="90" spans="2:20" ht="23.1" customHeight="1" x14ac:dyDescent="0.25">
      <c r="B90" s="24" t="s">
        <v>130</v>
      </c>
      <c r="C90" s="49">
        <f>AVERAGE('01.08 Kisasi-Bukoto'!C90,'03.08 Kisasi-Bukoto'!C90)</f>
        <v>6.5</v>
      </c>
      <c r="D90" s="49">
        <f>AVERAGE('01.08 Kisasi-Bukoto'!D90,'03.08 Kisasi-Bukoto'!D90)</f>
        <v>1.5</v>
      </c>
      <c r="E90" s="49">
        <f>AVERAGE('01.08 Kisasi-Bukoto'!E90,'03.08 Kisasi-Bukoto'!E90)</f>
        <v>0</v>
      </c>
      <c r="F90" s="49">
        <f>AVERAGE('01.08 Kisasi-Bukoto'!F90,'03.08 Kisasi-Bukoto'!F90)</f>
        <v>0.5</v>
      </c>
      <c r="G90" s="49">
        <f>AVERAGE('01.08 Kisasi-Bukoto'!G90,'03.08 Kisasi-Bukoto'!G90)</f>
        <v>0</v>
      </c>
      <c r="H90" s="49">
        <f>AVERAGE('01.08 Kisasi-Bukoto'!H90,'03.08 Kisasi-Bukoto'!H90)</f>
        <v>0</v>
      </c>
      <c r="I90" s="49">
        <f>AVERAGE('01.08 Kisasi-Bukoto'!I90,'03.08 Kisasi-Bukoto'!I90)</f>
        <v>0</v>
      </c>
      <c r="J90" s="49">
        <f>AVERAGE('01.08 Kisasi-Bukoto'!J90,'03.08 Kisasi-Bukoto'!J90)</f>
        <v>0</v>
      </c>
      <c r="K90" s="49">
        <f>AVERAGE('01.08 Kisasi-Bukoto'!K90,'03.08 Kisasi-Bukoto'!K90)</f>
        <v>0</v>
      </c>
      <c r="L90" s="49">
        <f>AVERAGE('01.08 Kisasi-Bukoto'!L90,'03.08 Kisasi-Bukoto'!L90)</f>
        <v>0</v>
      </c>
      <c r="M90" s="49">
        <f>AVERAGE('01.08 Kisasi-Bukoto'!M90,'03.08 Kisasi-Bukoto'!M90)</f>
        <v>15</v>
      </c>
      <c r="N90" s="49">
        <f>AVERAGE('01.08 Kisasi-Bukoto'!N90,'03.08 Kisasi-Bukoto'!N90)</f>
        <v>0</v>
      </c>
      <c r="O90" s="15">
        <f t="shared" si="35"/>
        <v>8.5</v>
      </c>
      <c r="P90" s="15">
        <f t="shared" si="36"/>
        <v>23.5</v>
      </c>
      <c r="R90" s="8"/>
      <c r="T90"/>
    </row>
    <row r="91" spans="2:20" ht="23.1" customHeight="1" x14ac:dyDescent="0.25">
      <c r="B91" s="23" t="s">
        <v>131</v>
      </c>
      <c r="C91" s="49">
        <f>AVERAGE('01.08 Kisasi-Bukoto'!C91,'03.08 Kisasi-Bukoto'!C91)</f>
        <v>5</v>
      </c>
      <c r="D91" s="49">
        <f>AVERAGE('01.08 Kisasi-Bukoto'!D91,'03.08 Kisasi-Bukoto'!D91)</f>
        <v>1</v>
      </c>
      <c r="E91" s="49">
        <f>AVERAGE('01.08 Kisasi-Bukoto'!E91,'03.08 Kisasi-Bukoto'!E91)</f>
        <v>0</v>
      </c>
      <c r="F91" s="49">
        <f>AVERAGE('01.08 Kisasi-Bukoto'!F91,'03.08 Kisasi-Bukoto'!F91)</f>
        <v>0</v>
      </c>
      <c r="G91" s="49">
        <f>AVERAGE('01.08 Kisasi-Bukoto'!G91,'03.08 Kisasi-Bukoto'!G91)</f>
        <v>0</v>
      </c>
      <c r="H91" s="49">
        <f>AVERAGE('01.08 Kisasi-Bukoto'!H91,'03.08 Kisasi-Bukoto'!H91)</f>
        <v>0</v>
      </c>
      <c r="I91" s="49">
        <f>AVERAGE('01.08 Kisasi-Bukoto'!I91,'03.08 Kisasi-Bukoto'!I91)</f>
        <v>0</v>
      </c>
      <c r="J91" s="49">
        <f>AVERAGE('01.08 Kisasi-Bukoto'!J91,'03.08 Kisasi-Bukoto'!J91)</f>
        <v>0</v>
      </c>
      <c r="K91" s="49">
        <f>AVERAGE('01.08 Kisasi-Bukoto'!K91,'03.08 Kisasi-Bukoto'!K91)</f>
        <v>0</v>
      </c>
      <c r="L91" s="49">
        <f>AVERAGE('01.08 Kisasi-Bukoto'!L91,'03.08 Kisasi-Bukoto'!L91)</f>
        <v>0</v>
      </c>
      <c r="M91" s="49">
        <f>AVERAGE('01.08 Kisasi-Bukoto'!M91,'03.08 Kisasi-Bukoto'!M91)</f>
        <v>3.5</v>
      </c>
      <c r="N91" s="49">
        <f>AVERAGE('01.08 Kisasi-Bukoto'!N91,'03.08 Kisasi-Bukoto'!N91)</f>
        <v>0</v>
      </c>
      <c r="O91" s="15">
        <f t="shared" si="35"/>
        <v>6</v>
      </c>
      <c r="P91" s="15">
        <f t="shared" si="36"/>
        <v>9.5</v>
      </c>
      <c r="R91" s="8"/>
      <c r="T91"/>
    </row>
    <row r="92" spans="2:20" ht="23.1" customHeight="1" x14ac:dyDescent="0.25">
      <c r="B92" s="25" t="s">
        <v>132</v>
      </c>
      <c r="C92" s="49">
        <f>AVERAGE('01.08 Kisasi-Bukoto'!C92,'03.08 Kisasi-Bukoto'!C92)</f>
        <v>7</v>
      </c>
      <c r="D92" s="49">
        <f>AVERAGE('01.08 Kisasi-Bukoto'!D92,'03.08 Kisasi-Bukoto'!D92)</f>
        <v>1.5</v>
      </c>
      <c r="E92" s="49">
        <f>AVERAGE('01.08 Kisasi-Bukoto'!E92,'03.08 Kisasi-Bukoto'!E92)</f>
        <v>0</v>
      </c>
      <c r="F92" s="49">
        <f>AVERAGE('01.08 Kisasi-Bukoto'!F92,'03.08 Kisasi-Bukoto'!F92)</f>
        <v>0</v>
      </c>
      <c r="G92" s="49">
        <f>AVERAGE('01.08 Kisasi-Bukoto'!G92,'03.08 Kisasi-Bukoto'!G92)</f>
        <v>0</v>
      </c>
      <c r="H92" s="49">
        <f>AVERAGE('01.08 Kisasi-Bukoto'!H92,'03.08 Kisasi-Bukoto'!H92)</f>
        <v>0</v>
      </c>
      <c r="I92" s="49">
        <f>AVERAGE('01.08 Kisasi-Bukoto'!I92,'03.08 Kisasi-Bukoto'!I92)</f>
        <v>0</v>
      </c>
      <c r="J92" s="49">
        <f>AVERAGE('01.08 Kisasi-Bukoto'!J92,'03.08 Kisasi-Bukoto'!J92)</f>
        <v>0</v>
      </c>
      <c r="K92" s="49">
        <f>AVERAGE('01.08 Kisasi-Bukoto'!K92,'03.08 Kisasi-Bukoto'!K92)</f>
        <v>0</v>
      </c>
      <c r="L92" s="49">
        <f>AVERAGE('01.08 Kisasi-Bukoto'!L92,'03.08 Kisasi-Bukoto'!L92)</f>
        <v>0</v>
      </c>
      <c r="M92" s="49">
        <f>AVERAGE('01.08 Kisasi-Bukoto'!M92,'03.08 Kisasi-Bukoto'!M92)</f>
        <v>4.5</v>
      </c>
      <c r="N92" s="49">
        <f>AVERAGE('01.08 Kisasi-Bukoto'!N92,'03.08 Kisasi-Bukoto'!N92)</f>
        <v>0</v>
      </c>
      <c r="O92" s="15">
        <f t="shared" si="35"/>
        <v>8.5</v>
      </c>
      <c r="P92" s="15">
        <f t="shared" si="36"/>
        <v>13</v>
      </c>
      <c r="R92" s="8"/>
      <c r="T92"/>
    </row>
    <row r="93" spans="2:20" ht="23.1" customHeight="1" x14ac:dyDescent="0.25">
      <c r="B93" s="23" t="s">
        <v>133</v>
      </c>
      <c r="C93" s="49">
        <f>AVERAGE('01.08 Kisasi-Bukoto'!C93,'03.08 Kisasi-Bukoto'!C93)</f>
        <v>5.5</v>
      </c>
      <c r="D93" s="49">
        <f>AVERAGE('01.08 Kisasi-Bukoto'!D93,'03.08 Kisasi-Bukoto'!D93)</f>
        <v>1.5</v>
      </c>
      <c r="E93" s="49">
        <f>AVERAGE('01.08 Kisasi-Bukoto'!E93,'03.08 Kisasi-Bukoto'!E93)</f>
        <v>0</v>
      </c>
      <c r="F93" s="49">
        <f>AVERAGE('01.08 Kisasi-Bukoto'!F93,'03.08 Kisasi-Bukoto'!F93)</f>
        <v>1.5</v>
      </c>
      <c r="G93" s="49">
        <f>AVERAGE('01.08 Kisasi-Bukoto'!G93,'03.08 Kisasi-Bukoto'!G93)</f>
        <v>0</v>
      </c>
      <c r="H93" s="49">
        <f>AVERAGE('01.08 Kisasi-Bukoto'!H93,'03.08 Kisasi-Bukoto'!H93)</f>
        <v>0</v>
      </c>
      <c r="I93" s="49">
        <f>AVERAGE('01.08 Kisasi-Bukoto'!I93,'03.08 Kisasi-Bukoto'!I93)</f>
        <v>0</v>
      </c>
      <c r="J93" s="49">
        <f>AVERAGE('01.08 Kisasi-Bukoto'!J93,'03.08 Kisasi-Bukoto'!J93)</f>
        <v>0</v>
      </c>
      <c r="K93" s="49">
        <f>AVERAGE('01.08 Kisasi-Bukoto'!K93,'03.08 Kisasi-Bukoto'!K93)</f>
        <v>0</v>
      </c>
      <c r="L93" s="49">
        <f>AVERAGE('01.08 Kisasi-Bukoto'!L93,'03.08 Kisasi-Bukoto'!L93)</f>
        <v>0</v>
      </c>
      <c r="M93" s="49">
        <f>AVERAGE('01.08 Kisasi-Bukoto'!M93,'03.08 Kisasi-Bukoto'!M93)</f>
        <v>3</v>
      </c>
      <c r="N93" s="49">
        <f>AVERAGE('01.08 Kisasi-Bukoto'!N93,'03.08 Kisasi-Bukoto'!N93)</f>
        <v>0</v>
      </c>
      <c r="O93" s="15">
        <f t="shared" si="35"/>
        <v>8.5</v>
      </c>
      <c r="P93" s="15">
        <f t="shared" si="36"/>
        <v>11.5</v>
      </c>
      <c r="R93" s="8"/>
      <c r="T93"/>
    </row>
    <row r="94" spans="2:20" ht="23.1" customHeight="1" x14ac:dyDescent="0.25">
      <c r="B94" s="24" t="s">
        <v>134</v>
      </c>
      <c r="C94" s="49">
        <f>AVERAGE('01.08 Kisasi-Bukoto'!C94,'03.08 Kisasi-Bukoto'!C94)</f>
        <v>5</v>
      </c>
      <c r="D94" s="49">
        <f>AVERAGE('01.08 Kisasi-Bukoto'!D94,'03.08 Kisasi-Bukoto'!D94)</f>
        <v>2.5</v>
      </c>
      <c r="E94" s="49">
        <f>AVERAGE('01.08 Kisasi-Bukoto'!E94,'03.08 Kisasi-Bukoto'!E94)</f>
        <v>0</v>
      </c>
      <c r="F94" s="49">
        <f>AVERAGE('01.08 Kisasi-Bukoto'!F94,'03.08 Kisasi-Bukoto'!F94)</f>
        <v>0.5</v>
      </c>
      <c r="G94" s="49">
        <f>AVERAGE('01.08 Kisasi-Bukoto'!G94,'03.08 Kisasi-Bukoto'!G94)</f>
        <v>0</v>
      </c>
      <c r="H94" s="49">
        <f>AVERAGE('01.08 Kisasi-Bukoto'!H94,'03.08 Kisasi-Bukoto'!H94)</f>
        <v>0</v>
      </c>
      <c r="I94" s="49">
        <f>AVERAGE('01.08 Kisasi-Bukoto'!I94,'03.08 Kisasi-Bukoto'!I94)</f>
        <v>0</v>
      </c>
      <c r="J94" s="49">
        <f>AVERAGE('01.08 Kisasi-Bukoto'!J94,'03.08 Kisasi-Bukoto'!J94)</f>
        <v>0</v>
      </c>
      <c r="K94" s="49">
        <f>AVERAGE('01.08 Kisasi-Bukoto'!K94,'03.08 Kisasi-Bukoto'!K94)</f>
        <v>0</v>
      </c>
      <c r="L94" s="49">
        <f>AVERAGE('01.08 Kisasi-Bukoto'!L94,'03.08 Kisasi-Bukoto'!L94)</f>
        <v>0</v>
      </c>
      <c r="M94" s="49">
        <f>AVERAGE('01.08 Kisasi-Bukoto'!M94,'03.08 Kisasi-Bukoto'!M94)</f>
        <v>1</v>
      </c>
      <c r="N94" s="49">
        <f>AVERAGE('01.08 Kisasi-Bukoto'!N94,'03.08 Kisasi-Bukoto'!N94)</f>
        <v>0</v>
      </c>
      <c r="O94" s="15">
        <f t="shared" si="35"/>
        <v>8</v>
      </c>
      <c r="P94" s="15">
        <f t="shared" si="36"/>
        <v>9</v>
      </c>
      <c r="R94" s="8"/>
      <c r="T94"/>
    </row>
    <row r="95" spans="2:20" ht="23.1" customHeight="1" x14ac:dyDescent="0.25">
      <c r="B95" s="23" t="s">
        <v>135</v>
      </c>
      <c r="C95" s="49">
        <f>AVERAGE('01.08 Kisasi-Bukoto'!C95,'03.08 Kisasi-Bukoto'!C95)</f>
        <v>6</v>
      </c>
      <c r="D95" s="49">
        <f>AVERAGE('01.08 Kisasi-Bukoto'!D95,'03.08 Kisasi-Bukoto'!D95)</f>
        <v>1</v>
      </c>
      <c r="E95" s="49">
        <f>AVERAGE('01.08 Kisasi-Bukoto'!E95,'03.08 Kisasi-Bukoto'!E95)</f>
        <v>0</v>
      </c>
      <c r="F95" s="49">
        <f>AVERAGE('01.08 Kisasi-Bukoto'!F95,'03.08 Kisasi-Bukoto'!F95)</f>
        <v>1</v>
      </c>
      <c r="G95" s="49">
        <f>AVERAGE('01.08 Kisasi-Bukoto'!G95,'03.08 Kisasi-Bukoto'!G95)</f>
        <v>0</v>
      </c>
      <c r="H95" s="49">
        <f>AVERAGE('01.08 Kisasi-Bukoto'!H95,'03.08 Kisasi-Bukoto'!H95)</f>
        <v>0</v>
      </c>
      <c r="I95" s="49">
        <f>AVERAGE('01.08 Kisasi-Bukoto'!I95,'03.08 Kisasi-Bukoto'!I95)</f>
        <v>0</v>
      </c>
      <c r="J95" s="49">
        <f>AVERAGE('01.08 Kisasi-Bukoto'!J95,'03.08 Kisasi-Bukoto'!J95)</f>
        <v>0</v>
      </c>
      <c r="K95" s="49">
        <f>AVERAGE('01.08 Kisasi-Bukoto'!K95,'03.08 Kisasi-Bukoto'!K95)</f>
        <v>0</v>
      </c>
      <c r="L95" s="49">
        <f>AVERAGE('01.08 Kisasi-Bukoto'!L95,'03.08 Kisasi-Bukoto'!L95)</f>
        <v>0</v>
      </c>
      <c r="M95" s="49">
        <f>AVERAGE('01.08 Kisasi-Bukoto'!M95,'03.08 Kisasi-Bukoto'!M95)</f>
        <v>4</v>
      </c>
      <c r="N95" s="49">
        <f>AVERAGE('01.08 Kisasi-Bukoto'!N95,'03.08 Kisasi-Bukoto'!N95)</f>
        <v>0</v>
      </c>
      <c r="O95" s="15">
        <f t="shared" si="35"/>
        <v>8</v>
      </c>
      <c r="P95" s="15">
        <f t="shared" si="36"/>
        <v>12</v>
      </c>
      <c r="R95" s="8"/>
      <c r="T95"/>
    </row>
    <row r="96" spans="2:20" ht="23.1" customHeight="1" x14ac:dyDescent="0.25">
      <c r="B96" s="25" t="s">
        <v>136</v>
      </c>
      <c r="C96" s="49">
        <f>AVERAGE('01.08 Kisasi-Bukoto'!C96,'03.08 Kisasi-Bukoto'!C96)</f>
        <v>5.5</v>
      </c>
      <c r="D96" s="49">
        <f>AVERAGE('01.08 Kisasi-Bukoto'!D96,'03.08 Kisasi-Bukoto'!D96)</f>
        <v>1</v>
      </c>
      <c r="E96" s="49">
        <f>AVERAGE('01.08 Kisasi-Bukoto'!E96,'03.08 Kisasi-Bukoto'!E96)</f>
        <v>0</v>
      </c>
      <c r="F96" s="49">
        <f>AVERAGE('01.08 Kisasi-Bukoto'!F96,'03.08 Kisasi-Bukoto'!F96)</f>
        <v>0.5</v>
      </c>
      <c r="G96" s="49">
        <f>AVERAGE('01.08 Kisasi-Bukoto'!G96,'03.08 Kisasi-Bukoto'!G96)</f>
        <v>0</v>
      </c>
      <c r="H96" s="49">
        <f>AVERAGE('01.08 Kisasi-Bukoto'!H96,'03.08 Kisasi-Bukoto'!H96)</f>
        <v>0</v>
      </c>
      <c r="I96" s="49">
        <f>AVERAGE('01.08 Kisasi-Bukoto'!I96,'03.08 Kisasi-Bukoto'!I96)</f>
        <v>0</v>
      </c>
      <c r="J96" s="49">
        <f>AVERAGE('01.08 Kisasi-Bukoto'!J96,'03.08 Kisasi-Bukoto'!J96)</f>
        <v>0</v>
      </c>
      <c r="K96" s="49">
        <f>AVERAGE('01.08 Kisasi-Bukoto'!K96,'03.08 Kisasi-Bukoto'!K96)</f>
        <v>0</v>
      </c>
      <c r="L96" s="49">
        <f>AVERAGE('01.08 Kisasi-Bukoto'!L96,'03.08 Kisasi-Bukoto'!L96)</f>
        <v>0</v>
      </c>
      <c r="M96" s="49">
        <f>AVERAGE('01.08 Kisasi-Bukoto'!M96,'03.08 Kisasi-Bukoto'!M96)</f>
        <v>9</v>
      </c>
      <c r="N96" s="49">
        <f>AVERAGE('01.08 Kisasi-Bukoto'!N96,'03.08 Kisasi-Bukoto'!N96)</f>
        <v>0</v>
      </c>
      <c r="O96" s="15">
        <f t="shared" si="35"/>
        <v>7</v>
      </c>
      <c r="P96" s="15">
        <f t="shared" si="36"/>
        <v>16</v>
      </c>
      <c r="R96" s="8"/>
      <c r="T96"/>
    </row>
    <row r="97" spans="2:20" ht="23.1" customHeight="1" x14ac:dyDescent="0.25">
      <c r="B97" s="23" t="s">
        <v>137</v>
      </c>
      <c r="C97" s="49">
        <f>AVERAGE('01.08 Kisasi-Bukoto'!C97,'03.08 Kisasi-Bukoto'!C97)</f>
        <v>6.5</v>
      </c>
      <c r="D97" s="49">
        <f>AVERAGE('01.08 Kisasi-Bukoto'!D97,'03.08 Kisasi-Bukoto'!D97)</f>
        <v>3.5</v>
      </c>
      <c r="E97" s="49">
        <f>AVERAGE('01.08 Kisasi-Bukoto'!E97,'03.08 Kisasi-Bukoto'!E97)</f>
        <v>0</v>
      </c>
      <c r="F97" s="49">
        <f>AVERAGE('01.08 Kisasi-Bukoto'!F97,'03.08 Kisasi-Bukoto'!F97)</f>
        <v>0</v>
      </c>
      <c r="G97" s="49">
        <f>AVERAGE('01.08 Kisasi-Bukoto'!G97,'03.08 Kisasi-Bukoto'!G97)</f>
        <v>0</v>
      </c>
      <c r="H97" s="49">
        <f>AVERAGE('01.08 Kisasi-Bukoto'!H97,'03.08 Kisasi-Bukoto'!H97)</f>
        <v>0</v>
      </c>
      <c r="I97" s="49">
        <f>AVERAGE('01.08 Kisasi-Bukoto'!I97,'03.08 Kisasi-Bukoto'!I97)</f>
        <v>0</v>
      </c>
      <c r="J97" s="49">
        <f>AVERAGE('01.08 Kisasi-Bukoto'!J97,'03.08 Kisasi-Bukoto'!J97)</f>
        <v>0</v>
      </c>
      <c r="K97" s="49">
        <f>AVERAGE('01.08 Kisasi-Bukoto'!K97,'03.08 Kisasi-Bukoto'!K97)</f>
        <v>0</v>
      </c>
      <c r="L97" s="49">
        <f>AVERAGE('01.08 Kisasi-Bukoto'!L97,'03.08 Kisasi-Bukoto'!L97)</f>
        <v>0</v>
      </c>
      <c r="M97" s="49">
        <f>AVERAGE('01.08 Kisasi-Bukoto'!M97,'03.08 Kisasi-Bukoto'!M97)</f>
        <v>3</v>
      </c>
      <c r="N97" s="49">
        <f>AVERAGE('01.08 Kisasi-Bukoto'!N97,'03.08 Kisasi-Bukoto'!N97)</f>
        <v>0</v>
      </c>
      <c r="O97" s="15">
        <f t="shared" si="35"/>
        <v>10</v>
      </c>
      <c r="P97" s="15">
        <f t="shared" si="36"/>
        <v>13</v>
      </c>
      <c r="R97" s="8"/>
      <c r="T97"/>
    </row>
    <row r="98" spans="2:20" ht="23.1" customHeight="1" x14ac:dyDescent="0.25">
      <c r="B98" s="24" t="s">
        <v>138</v>
      </c>
      <c r="C98" s="49">
        <f>AVERAGE('01.08 Kisasi-Bukoto'!C98,'03.08 Kisasi-Bukoto'!C98)</f>
        <v>7</v>
      </c>
      <c r="D98" s="49">
        <f>AVERAGE('01.08 Kisasi-Bukoto'!D98,'03.08 Kisasi-Bukoto'!D98)</f>
        <v>1</v>
      </c>
      <c r="E98" s="49">
        <f>AVERAGE('01.08 Kisasi-Bukoto'!E98,'03.08 Kisasi-Bukoto'!E98)</f>
        <v>0</v>
      </c>
      <c r="F98" s="49">
        <f>AVERAGE('01.08 Kisasi-Bukoto'!F98,'03.08 Kisasi-Bukoto'!F98)</f>
        <v>0</v>
      </c>
      <c r="G98" s="49">
        <f>AVERAGE('01.08 Kisasi-Bukoto'!G98,'03.08 Kisasi-Bukoto'!G98)</f>
        <v>0</v>
      </c>
      <c r="H98" s="49">
        <f>AVERAGE('01.08 Kisasi-Bukoto'!H98,'03.08 Kisasi-Bukoto'!H98)</f>
        <v>0</v>
      </c>
      <c r="I98" s="49">
        <f>AVERAGE('01.08 Kisasi-Bukoto'!I98,'03.08 Kisasi-Bukoto'!I98)</f>
        <v>0</v>
      </c>
      <c r="J98" s="49">
        <f>AVERAGE('01.08 Kisasi-Bukoto'!J98,'03.08 Kisasi-Bukoto'!J98)</f>
        <v>0</v>
      </c>
      <c r="K98" s="49">
        <f>AVERAGE('01.08 Kisasi-Bukoto'!K98,'03.08 Kisasi-Bukoto'!K98)</f>
        <v>0</v>
      </c>
      <c r="L98" s="49">
        <f>AVERAGE('01.08 Kisasi-Bukoto'!L98,'03.08 Kisasi-Bukoto'!L98)</f>
        <v>0</v>
      </c>
      <c r="M98" s="49">
        <f>AVERAGE('01.08 Kisasi-Bukoto'!M98,'03.08 Kisasi-Bukoto'!M98)</f>
        <v>14.5</v>
      </c>
      <c r="N98" s="49">
        <f>AVERAGE('01.08 Kisasi-Bukoto'!N98,'03.08 Kisasi-Bukoto'!N98)</f>
        <v>0</v>
      </c>
      <c r="O98" s="15">
        <f t="shared" si="35"/>
        <v>8</v>
      </c>
      <c r="P98" s="15">
        <f t="shared" si="36"/>
        <v>22.5</v>
      </c>
      <c r="R98" s="8"/>
      <c r="T98"/>
    </row>
    <row r="99" spans="2:20" ht="23.1" customHeight="1" x14ac:dyDescent="0.25">
      <c r="B99" s="23" t="s">
        <v>139</v>
      </c>
      <c r="C99" s="49">
        <f>AVERAGE('01.08 Kisasi-Bukoto'!C99,'03.08 Kisasi-Bukoto'!C99)</f>
        <v>5.5</v>
      </c>
      <c r="D99" s="49">
        <f>AVERAGE('01.08 Kisasi-Bukoto'!D99,'03.08 Kisasi-Bukoto'!D99)</f>
        <v>2.5</v>
      </c>
      <c r="E99" s="49">
        <f>AVERAGE('01.08 Kisasi-Bukoto'!E99,'03.08 Kisasi-Bukoto'!E99)</f>
        <v>0</v>
      </c>
      <c r="F99" s="49">
        <f>AVERAGE('01.08 Kisasi-Bukoto'!F99,'03.08 Kisasi-Bukoto'!F99)</f>
        <v>3</v>
      </c>
      <c r="G99" s="49">
        <f>AVERAGE('01.08 Kisasi-Bukoto'!G99,'03.08 Kisasi-Bukoto'!G99)</f>
        <v>0</v>
      </c>
      <c r="H99" s="49">
        <f>AVERAGE('01.08 Kisasi-Bukoto'!H99,'03.08 Kisasi-Bukoto'!H99)</f>
        <v>0</v>
      </c>
      <c r="I99" s="49">
        <f>AVERAGE('01.08 Kisasi-Bukoto'!I99,'03.08 Kisasi-Bukoto'!I99)</f>
        <v>0</v>
      </c>
      <c r="J99" s="49">
        <f>AVERAGE('01.08 Kisasi-Bukoto'!J99,'03.08 Kisasi-Bukoto'!J99)</f>
        <v>0</v>
      </c>
      <c r="K99" s="49">
        <f>AVERAGE('01.08 Kisasi-Bukoto'!K99,'03.08 Kisasi-Bukoto'!K99)</f>
        <v>0</v>
      </c>
      <c r="L99" s="49">
        <f>AVERAGE('01.08 Kisasi-Bukoto'!L99,'03.08 Kisasi-Bukoto'!L99)</f>
        <v>0</v>
      </c>
      <c r="M99" s="49">
        <f>AVERAGE('01.08 Kisasi-Bukoto'!M99,'03.08 Kisasi-Bukoto'!M99)</f>
        <v>4.5</v>
      </c>
      <c r="N99" s="49">
        <f>AVERAGE('01.08 Kisasi-Bukoto'!N99,'03.08 Kisasi-Bukoto'!N99)</f>
        <v>0</v>
      </c>
      <c r="O99" s="15">
        <f t="shared" si="35"/>
        <v>11</v>
      </c>
      <c r="P99" s="15">
        <f t="shared" si="36"/>
        <v>15.5</v>
      </c>
      <c r="R99" s="8"/>
      <c r="T99"/>
    </row>
    <row r="100" spans="2:20" ht="23.1" customHeight="1" x14ac:dyDescent="0.25">
      <c r="B100" s="25" t="s">
        <v>140</v>
      </c>
      <c r="C100" s="49">
        <f>AVERAGE('01.08 Kisasi-Bukoto'!C100,'03.08 Kisasi-Bukoto'!C100)</f>
        <v>9.5</v>
      </c>
      <c r="D100" s="49">
        <f>AVERAGE('01.08 Kisasi-Bukoto'!D100,'03.08 Kisasi-Bukoto'!D100)</f>
        <v>5.5</v>
      </c>
      <c r="E100" s="49">
        <f>AVERAGE('01.08 Kisasi-Bukoto'!E100,'03.08 Kisasi-Bukoto'!E100)</f>
        <v>0</v>
      </c>
      <c r="F100" s="49">
        <f>AVERAGE('01.08 Kisasi-Bukoto'!F100,'03.08 Kisasi-Bukoto'!F100)</f>
        <v>4.5</v>
      </c>
      <c r="G100" s="49">
        <f>AVERAGE('01.08 Kisasi-Bukoto'!G100,'03.08 Kisasi-Bukoto'!G100)</f>
        <v>0</v>
      </c>
      <c r="H100" s="49">
        <f>AVERAGE('01.08 Kisasi-Bukoto'!H100,'03.08 Kisasi-Bukoto'!H100)</f>
        <v>0</v>
      </c>
      <c r="I100" s="49">
        <f>AVERAGE('01.08 Kisasi-Bukoto'!I100,'03.08 Kisasi-Bukoto'!I100)</f>
        <v>0</v>
      </c>
      <c r="J100" s="49">
        <f>AVERAGE('01.08 Kisasi-Bukoto'!J100,'03.08 Kisasi-Bukoto'!J100)</f>
        <v>0</v>
      </c>
      <c r="K100" s="49">
        <f>AVERAGE('01.08 Kisasi-Bukoto'!K100,'03.08 Kisasi-Bukoto'!K100)</f>
        <v>0</v>
      </c>
      <c r="L100" s="49">
        <f>AVERAGE('01.08 Kisasi-Bukoto'!L100,'03.08 Kisasi-Bukoto'!L100)</f>
        <v>0</v>
      </c>
      <c r="M100" s="49">
        <f>AVERAGE('01.08 Kisasi-Bukoto'!M100,'03.08 Kisasi-Bukoto'!M100)</f>
        <v>4.5</v>
      </c>
      <c r="N100" s="49">
        <f>AVERAGE('01.08 Kisasi-Bukoto'!N100,'03.08 Kisasi-Bukoto'!N100)</f>
        <v>0</v>
      </c>
      <c r="O100" s="15">
        <f t="shared" si="35"/>
        <v>19.5</v>
      </c>
      <c r="P100" s="15">
        <f t="shared" si="36"/>
        <v>24</v>
      </c>
      <c r="R100" s="8"/>
      <c r="T100"/>
    </row>
    <row r="101" spans="2:20" ht="23.1" customHeight="1" x14ac:dyDescent="0.25">
      <c r="B101" s="23" t="s">
        <v>141</v>
      </c>
      <c r="C101" s="49">
        <f>AVERAGE('01.08 Kisasi-Bukoto'!C101,'03.08 Kisasi-Bukoto'!C101)</f>
        <v>8.5</v>
      </c>
      <c r="D101" s="49">
        <f>AVERAGE('01.08 Kisasi-Bukoto'!D101,'03.08 Kisasi-Bukoto'!D101)</f>
        <v>4.5</v>
      </c>
      <c r="E101" s="49">
        <f>AVERAGE('01.08 Kisasi-Bukoto'!E101,'03.08 Kisasi-Bukoto'!E101)</f>
        <v>0</v>
      </c>
      <c r="F101" s="49">
        <f>AVERAGE('01.08 Kisasi-Bukoto'!F101,'03.08 Kisasi-Bukoto'!F101)</f>
        <v>1.5</v>
      </c>
      <c r="G101" s="49">
        <f>AVERAGE('01.08 Kisasi-Bukoto'!G101,'03.08 Kisasi-Bukoto'!G101)</f>
        <v>0</v>
      </c>
      <c r="H101" s="49">
        <f>AVERAGE('01.08 Kisasi-Bukoto'!H101,'03.08 Kisasi-Bukoto'!H101)</f>
        <v>0</v>
      </c>
      <c r="I101" s="49">
        <f>AVERAGE('01.08 Kisasi-Bukoto'!I101,'03.08 Kisasi-Bukoto'!I101)</f>
        <v>0</v>
      </c>
      <c r="J101" s="49">
        <f>AVERAGE('01.08 Kisasi-Bukoto'!J101,'03.08 Kisasi-Bukoto'!J101)</f>
        <v>0</v>
      </c>
      <c r="K101" s="49">
        <f>AVERAGE('01.08 Kisasi-Bukoto'!K101,'03.08 Kisasi-Bukoto'!K101)</f>
        <v>0</v>
      </c>
      <c r="L101" s="49">
        <f>AVERAGE('01.08 Kisasi-Bukoto'!L101,'03.08 Kisasi-Bukoto'!L101)</f>
        <v>0</v>
      </c>
      <c r="M101" s="49">
        <f>AVERAGE('01.08 Kisasi-Bukoto'!M101,'03.08 Kisasi-Bukoto'!M101)</f>
        <v>31</v>
      </c>
      <c r="N101" s="49">
        <f>AVERAGE('01.08 Kisasi-Bukoto'!N101,'03.08 Kisasi-Bukoto'!N101)</f>
        <v>0</v>
      </c>
      <c r="O101" s="15">
        <f t="shared" si="35"/>
        <v>14.5</v>
      </c>
      <c r="P101" s="15">
        <f t="shared" si="36"/>
        <v>45.5</v>
      </c>
      <c r="R101" s="8"/>
      <c r="T101"/>
    </row>
    <row r="102" spans="2:20" ht="23.1" customHeight="1" x14ac:dyDescent="0.25">
      <c r="B102" s="24" t="s">
        <v>142</v>
      </c>
      <c r="C102" s="49">
        <f>AVERAGE('01.08 Kisasi-Bukoto'!C102,'03.08 Kisasi-Bukoto'!C102)</f>
        <v>39.5</v>
      </c>
      <c r="D102" s="49">
        <f>AVERAGE('01.08 Kisasi-Bukoto'!D102,'03.08 Kisasi-Bukoto'!D102)</f>
        <v>27</v>
      </c>
      <c r="E102" s="49">
        <f>AVERAGE('01.08 Kisasi-Bukoto'!E102,'03.08 Kisasi-Bukoto'!E102)</f>
        <v>0</v>
      </c>
      <c r="F102" s="49">
        <f>AVERAGE('01.08 Kisasi-Bukoto'!F102,'03.08 Kisasi-Bukoto'!F102)</f>
        <v>4.5</v>
      </c>
      <c r="G102" s="49">
        <f>AVERAGE('01.08 Kisasi-Bukoto'!G102,'03.08 Kisasi-Bukoto'!G102)</f>
        <v>0</v>
      </c>
      <c r="H102" s="49">
        <f>AVERAGE('01.08 Kisasi-Bukoto'!H102,'03.08 Kisasi-Bukoto'!H102)</f>
        <v>0</v>
      </c>
      <c r="I102" s="49">
        <f>AVERAGE('01.08 Kisasi-Bukoto'!I102,'03.08 Kisasi-Bukoto'!I102)</f>
        <v>0</v>
      </c>
      <c r="J102" s="49">
        <f>AVERAGE('01.08 Kisasi-Bukoto'!J102,'03.08 Kisasi-Bukoto'!J102)</f>
        <v>0</v>
      </c>
      <c r="K102" s="49">
        <f>AVERAGE('01.08 Kisasi-Bukoto'!K102,'03.08 Kisasi-Bukoto'!K102)</f>
        <v>0</v>
      </c>
      <c r="L102" s="49">
        <f>AVERAGE('01.08 Kisasi-Bukoto'!L102,'03.08 Kisasi-Bukoto'!L102)</f>
        <v>0</v>
      </c>
      <c r="M102" s="49">
        <f>AVERAGE('01.08 Kisasi-Bukoto'!M102,'03.08 Kisasi-Bukoto'!M102)</f>
        <v>9.5</v>
      </c>
      <c r="N102" s="49">
        <f>AVERAGE('01.08 Kisasi-Bukoto'!N102,'03.08 Kisasi-Bukoto'!N102)</f>
        <v>0</v>
      </c>
      <c r="O102" s="15">
        <f t="shared" si="35"/>
        <v>71</v>
      </c>
      <c r="P102" s="15">
        <f t="shared" si="36"/>
        <v>80.5</v>
      </c>
      <c r="R102" s="8"/>
      <c r="T102"/>
    </row>
    <row r="103" spans="2:20" ht="23.1" customHeight="1" x14ac:dyDescent="0.25">
      <c r="B103" s="23" t="s">
        <v>143</v>
      </c>
      <c r="C103" s="49">
        <f>AVERAGE('01.08 Kisasi-Bukoto'!C103,'03.08 Kisasi-Bukoto'!C103)</f>
        <v>46.5</v>
      </c>
      <c r="D103" s="49">
        <f>AVERAGE('01.08 Kisasi-Bukoto'!D103,'03.08 Kisasi-Bukoto'!D103)</f>
        <v>46.5</v>
      </c>
      <c r="E103" s="49">
        <f>AVERAGE('01.08 Kisasi-Bukoto'!E103,'03.08 Kisasi-Bukoto'!E103)</f>
        <v>0.5</v>
      </c>
      <c r="F103" s="49">
        <f>AVERAGE('01.08 Kisasi-Bukoto'!F103,'03.08 Kisasi-Bukoto'!F103)</f>
        <v>11</v>
      </c>
      <c r="G103" s="49">
        <f>AVERAGE('01.08 Kisasi-Bukoto'!G103,'03.08 Kisasi-Bukoto'!G103)</f>
        <v>0</v>
      </c>
      <c r="H103" s="49">
        <f>AVERAGE('01.08 Kisasi-Bukoto'!H103,'03.08 Kisasi-Bukoto'!H103)</f>
        <v>0</v>
      </c>
      <c r="I103" s="49">
        <f>AVERAGE('01.08 Kisasi-Bukoto'!I103,'03.08 Kisasi-Bukoto'!I103)</f>
        <v>0</v>
      </c>
      <c r="J103" s="49">
        <f>AVERAGE('01.08 Kisasi-Bukoto'!J103,'03.08 Kisasi-Bukoto'!J103)</f>
        <v>0</v>
      </c>
      <c r="K103" s="49">
        <f>AVERAGE('01.08 Kisasi-Bukoto'!K103,'03.08 Kisasi-Bukoto'!K103)</f>
        <v>0</v>
      </c>
      <c r="L103" s="49">
        <f>AVERAGE('01.08 Kisasi-Bukoto'!L103,'03.08 Kisasi-Bukoto'!L103)</f>
        <v>0</v>
      </c>
      <c r="M103" s="49">
        <f>AVERAGE('01.08 Kisasi-Bukoto'!M103,'03.08 Kisasi-Bukoto'!M103)</f>
        <v>5.5</v>
      </c>
      <c r="N103" s="49">
        <f>AVERAGE('01.08 Kisasi-Bukoto'!N103,'03.08 Kisasi-Bukoto'!N103)</f>
        <v>0</v>
      </c>
      <c r="O103" s="15">
        <f t="shared" si="35"/>
        <v>104.5</v>
      </c>
      <c r="P103" s="15">
        <f t="shared" si="36"/>
        <v>110</v>
      </c>
      <c r="R103" s="8"/>
      <c r="T103"/>
    </row>
    <row r="104" spans="2:20" ht="23.1" customHeight="1" x14ac:dyDescent="0.25">
      <c r="B104" s="25" t="s">
        <v>144</v>
      </c>
      <c r="C104" s="49">
        <f>AVERAGE('01.08 Kisasi-Bukoto'!C104,'03.08 Kisasi-Bukoto'!C104)</f>
        <v>52.5</v>
      </c>
      <c r="D104" s="49">
        <f>AVERAGE('01.08 Kisasi-Bukoto'!D104,'03.08 Kisasi-Bukoto'!D104)</f>
        <v>57.5</v>
      </c>
      <c r="E104" s="49">
        <f>AVERAGE('01.08 Kisasi-Bukoto'!E104,'03.08 Kisasi-Bukoto'!E104)</f>
        <v>0.5</v>
      </c>
      <c r="F104" s="49">
        <f>AVERAGE('01.08 Kisasi-Bukoto'!F104,'03.08 Kisasi-Bukoto'!F104)</f>
        <v>11.5</v>
      </c>
      <c r="G104" s="49">
        <f>AVERAGE('01.08 Kisasi-Bukoto'!G104,'03.08 Kisasi-Bukoto'!G104)</f>
        <v>0</v>
      </c>
      <c r="H104" s="49">
        <f>AVERAGE('01.08 Kisasi-Bukoto'!H104,'03.08 Kisasi-Bukoto'!H104)</f>
        <v>0</v>
      </c>
      <c r="I104" s="49">
        <f>AVERAGE('01.08 Kisasi-Bukoto'!I104,'03.08 Kisasi-Bukoto'!I104)</f>
        <v>0.5</v>
      </c>
      <c r="J104" s="49">
        <f>AVERAGE('01.08 Kisasi-Bukoto'!J104,'03.08 Kisasi-Bukoto'!J104)</f>
        <v>0</v>
      </c>
      <c r="K104" s="49">
        <f>AVERAGE('01.08 Kisasi-Bukoto'!K104,'03.08 Kisasi-Bukoto'!K104)</f>
        <v>0</v>
      </c>
      <c r="L104" s="49">
        <f>AVERAGE('01.08 Kisasi-Bukoto'!L104,'03.08 Kisasi-Bukoto'!L104)</f>
        <v>0</v>
      </c>
      <c r="M104" s="49">
        <f>AVERAGE('01.08 Kisasi-Bukoto'!M104,'03.08 Kisasi-Bukoto'!M104)</f>
        <v>7</v>
      </c>
      <c r="N104" s="49">
        <f>AVERAGE('01.08 Kisasi-Bukoto'!N104,'03.08 Kisasi-Bukoto'!N104)</f>
        <v>0</v>
      </c>
      <c r="O104" s="15">
        <f t="shared" si="35"/>
        <v>122.5</v>
      </c>
      <c r="P104" s="15">
        <f t="shared" si="36"/>
        <v>129.5</v>
      </c>
      <c r="R104" s="8"/>
      <c r="T104"/>
    </row>
    <row r="105" spans="2:20" ht="23.1" customHeight="1" x14ac:dyDescent="0.25">
      <c r="B105" s="23" t="s">
        <v>145</v>
      </c>
      <c r="C105" s="49">
        <f>AVERAGE('01.08 Kisasi-Bukoto'!C105,'03.08 Kisasi-Bukoto'!C105)</f>
        <v>74</v>
      </c>
      <c r="D105" s="49">
        <f>AVERAGE('01.08 Kisasi-Bukoto'!D105,'03.08 Kisasi-Bukoto'!D105)</f>
        <v>57</v>
      </c>
      <c r="E105" s="49">
        <f>AVERAGE('01.08 Kisasi-Bukoto'!E105,'03.08 Kisasi-Bukoto'!E105)</f>
        <v>0</v>
      </c>
      <c r="F105" s="49">
        <f>AVERAGE('01.08 Kisasi-Bukoto'!F105,'03.08 Kisasi-Bukoto'!F105)</f>
        <v>11.5</v>
      </c>
      <c r="G105" s="49">
        <f>AVERAGE('01.08 Kisasi-Bukoto'!G105,'03.08 Kisasi-Bukoto'!G105)</f>
        <v>0</v>
      </c>
      <c r="H105" s="49">
        <f>AVERAGE('01.08 Kisasi-Bukoto'!H105,'03.08 Kisasi-Bukoto'!H105)</f>
        <v>0</v>
      </c>
      <c r="I105" s="49">
        <f>AVERAGE('01.08 Kisasi-Bukoto'!I105,'03.08 Kisasi-Bukoto'!I105)</f>
        <v>0</v>
      </c>
      <c r="J105" s="49">
        <f>AVERAGE('01.08 Kisasi-Bukoto'!J105,'03.08 Kisasi-Bukoto'!J105)</f>
        <v>0</v>
      </c>
      <c r="K105" s="49">
        <f>AVERAGE('01.08 Kisasi-Bukoto'!K105,'03.08 Kisasi-Bukoto'!K105)</f>
        <v>0</v>
      </c>
      <c r="L105" s="49">
        <f>AVERAGE('01.08 Kisasi-Bukoto'!L105,'03.08 Kisasi-Bukoto'!L105)</f>
        <v>0</v>
      </c>
      <c r="M105" s="49">
        <f>AVERAGE('01.08 Kisasi-Bukoto'!M105,'03.08 Kisasi-Bukoto'!M105)</f>
        <v>9.5</v>
      </c>
      <c r="N105" s="49">
        <f>AVERAGE('01.08 Kisasi-Bukoto'!N105,'03.08 Kisasi-Bukoto'!N105)</f>
        <v>0</v>
      </c>
      <c r="O105" s="15">
        <f t="shared" si="35"/>
        <v>142.5</v>
      </c>
      <c r="P105" s="15">
        <f t="shared" si="36"/>
        <v>152</v>
      </c>
      <c r="R105" s="8"/>
      <c r="T105"/>
    </row>
    <row r="106" spans="2:20" ht="23.1" customHeight="1" x14ac:dyDescent="0.25">
      <c r="B106" s="26" t="s">
        <v>18</v>
      </c>
      <c r="C106" s="16">
        <f t="shared" ref="C106:P106" si="37">SUM(C10:C57)</f>
        <v>1974.8571428571424</v>
      </c>
      <c r="D106" s="16">
        <f t="shared" si="37"/>
        <v>1088.2857142857144</v>
      </c>
      <c r="E106" s="16">
        <f t="shared" si="37"/>
        <v>72.571428571428584</v>
      </c>
      <c r="F106" s="16">
        <f t="shared" si="37"/>
        <v>466.71428571428567</v>
      </c>
      <c r="G106" s="16">
        <f t="shared" si="37"/>
        <v>5.2857142857142838</v>
      </c>
      <c r="H106" s="16">
        <f t="shared" si="37"/>
        <v>0.5714285714285714</v>
      </c>
      <c r="I106" s="16">
        <f t="shared" si="37"/>
        <v>120.00000000000001</v>
      </c>
      <c r="J106" s="16">
        <f t="shared" si="37"/>
        <v>14.000000000000002</v>
      </c>
      <c r="K106" s="16">
        <f t="shared" si="37"/>
        <v>8.428571428571427</v>
      </c>
      <c r="L106" s="16">
        <f t="shared" si="37"/>
        <v>0.2857142857142857</v>
      </c>
      <c r="M106" s="16">
        <f t="shared" si="37"/>
        <v>3654.8571428571422</v>
      </c>
      <c r="N106" s="16">
        <f t="shared" si="37"/>
        <v>0</v>
      </c>
      <c r="O106" s="16">
        <f t="shared" si="37"/>
        <v>3750.9999999999995</v>
      </c>
      <c r="P106" s="16">
        <f t="shared" si="37"/>
        <v>7405.8571428571422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0.26666152273297195</v>
      </c>
      <c r="D107" s="43">
        <f t="shared" si="38"/>
        <v>0.14694932582319017</v>
      </c>
      <c r="E107" s="43">
        <f t="shared" si="38"/>
        <v>9.7991936883933591E-3</v>
      </c>
      <c r="F107" s="43">
        <f t="shared" si="38"/>
        <v>6.3019617677128145E-2</v>
      </c>
      <c r="G107" s="43">
        <f t="shared" si="38"/>
        <v>7.1372080013888597E-4</v>
      </c>
      <c r="H107" s="43">
        <f t="shared" si="38"/>
        <v>7.7159005420420133E-5</v>
      </c>
      <c r="I107" s="43">
        <f t="shared" si="38"/>
        <v>1.6203391138288229E-2</v>
      </c>
      <c r="J107" s="43">
        <f t="shared" si="38"/>
        <v>1.8903956328002935E-3</v>
      </c>
      <c r="K107" s="43">
        <f t="shared" si="38"/>
        <v>1.1380953299511968E-3</v>
      </c>
      <c r="L107" s="43">
        <f t="shared" si="38"/>
        <v>3.8579502710210066E-5</v>
      </c>
      <c r="M107" s="43">
        <f t="shared" si="38"/>
        <v>0.4935089986690071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 t="shared" ref="C108:L108" si="39">C106/$O$106</f>
        <v>0.52648817458201613</v>
      </c>
      <c r="D108" s="44">
        <f t="shared" si="39"/>
        <v>0.29013215523479463</v>
      </c>
      <c r="E108" s="44">
        <f t="shared" si="39"/>
        <v>1.9347221693262754E-2</v>
      </c>
      <c r="F108" s="44">
        <f t="shared" si="39"/>
        <v>0.12442396313364056</v>
      </c>
      <c r="G108" s="44">
        <f t="shared" si="39"/>
        <v>1.4091480367140188E-3</v>
      </c>
      <c r="H108" s="44">
        <f t="shared" si="39"/>
        <v>1.5234032829340748E-4</v>
      </c>
      <c r="I108" s="44">
        <f t="shared" si="39"/>
        <v>3.1991468941615579E-2</v>
      </c>
      <c r="J108" s="44">
        <f t="shared" si="39"/>
        <v>3.732338043188484E-3</v>
      </c>
      <c r="K108" s="44">
        <f t="shared" si="39"/>
        <v>2.2470198423277599E-3</v>
      </c>
      <c r="L108" s="44">
        <f t="shared" si="39"/>
        <v>7.6170164146703741E-5</v>
      </c>
      <c r="M108" s="44"/>
      <c r="N108" s="44">
        <f>N106/$O$106</f>
        <v>0</v>
      </c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  <c r="R111" s="8"/>
      <c r="T111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Q113" s="7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20" s="7" customFormat="1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/>
      <c r="P129"/>
      <c r="Q129"/>
      <c r="S129" s="8"/>
      <c r="T129" s="8"/>
    </row>
    <row r="130" spans="2:20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20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20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20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20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20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20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20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20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20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20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20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20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20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20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0.10000000000000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2.5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E86" zoomScale="60" workbookViewId="0">
      <selection activeCell="Y81" sqref="Y8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'04.08 Bukoto-Kisasi'!C3:G3</f>
        <v>MCC - C1 - STN32 - BUKOTO KISASI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162</v>
      </c>
      <c r="E5" s="66"/>
      <c r="F5" s="41" t="s">
        <v>1</v>
      </c>
      <c r="G5" s="63" t="str">
        <f>'04.08 Bukoto-Kisasi'!G5:H5</f>
        <v>KISASI</v>
      </c>
      <c r="H5" s="64"/>
      <c r="I5" s="14"/>
      <c r="J5" s="2" t="s">
        <v>5</v>
      </c>
      <c r="K5" s="63" t="str">
        <f>'04.08 Bukoto-Kisasi'!K5:L5</f>
        <v>RWAMBITITO J./NICHOL A./GEORGE W.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'04.08 Bukoto-Kisasi'!D6:E6</f>
        <v>BUKOTO</v>
      </c>
      <c r="E6" s="64"/>
      <c r="F6" s="2" t="s">
        <v>2</v>
      </c>
      <c r="G6" s="63" t="str">
        <f>'04.08 Bukoto-Kisasi'!G6:H6</f>
        <v>KISASI</v>
      </c>
      <c r="H6" s="64"/>
      <c r="J6" s="2" t="s">
        <v>21</v>
      </c>
      <c r="K6" s="63" t="str">
        <f>'04.08 Bukoto-Kisasi'!K6:L6</f>
        <v>SALIMA L.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AVERAGE('29.07 Bukoto-Kisasi'!C10,'30.07 Bukoto-Kisasi'!C10,'31.07 Bukoto-Kisasi'!C10,'02.08 Bukoto-Kisasi'!C10,'01.08 Bukoto-Kisasi'!C10,'03.08 Bukoto-Kisasi'!C10,'04.08 Bukoto-Kisasi'!C10)</f>
        <v>21.571428571428573</v>
      </c>
      <c r="D10" s="49">
        <f>AVERAGE('29.07 Bukoto-Kisasi'!D10,'30.07 Bukoto-Kisasi'!D10,'31.07 Bukoto-Kisasi'!D10,'02.08 Bukoto-Kisasi'!D10,'01.08 Bukoto-Kisasi'!D10,'03.08 Bukoto-Kisasi'!D10,'04.08 Bukoto-Kisasi'!D10)</f>
        <v>22</v>
      </c>
      <c r="E10" s="49">
        <f>AVERAGE('29.07 Bukoto-Kisasi'!E10,'30.07 Bukoto-Kisasi'!E10,'31.07 Bukoto-Kisasi'!E10,'02.08 Bukoto-Kisasi'!E10,'01.08 Bukoto-Kisasi'!E10,'03.08 Bukoto-Kisasi'!E10,'04.08 Bukoto-Kisasi'!E10)</f>
        <v>3.7142857142857144</v>
      </c>
      <c r="F10" s="49">
        <f>AVERAGE('29.07 Bukoto-Kisasi'!F10,'30.07 Bukoto-Kisasi'!F10,'31.07 Bukoto-Kisasi'!F10,'02.08 Bukoto-Kisasi'!F10,'01.08 Bukoto-Kisasi'!F10,'03.08 Bukoto-Kisasi'!F10,'04.08 Bukoto-Kisasi'!F10)</f>
        <v>5.5714285714285712</v>
      </c>
      <c r="G10" s="49">
        <f>AVERAGE('29.07 Bukoto-Kisasi'!G10,'30.07 Bukoto-Kisasi'!G10,'31.07 Bukoto-Kisasi'!G10,'02.08 Bukoto-Kisasi'!G10,'01.08 Bukoto-Kisasi'!G10,'03.08 Bukoto-Kisasi'!G10,'04.08 Bukoto-Kisasi'!G10)</f>
        <v>0</v>
      </c>
      <c r="H10" s="49">
        <f>AVERAGE('29.07 Bukoto-Kisasi'!H10,'30.07 Bukoto-Kisasi'!H10,'31.07 Bukoto-Kisasi'!H10,'02.08 Bukoto-Kisasi'!H10,'01.08 Bukoto-Kisasi'!H10,'03.08 Bukoto-Kisasi'!H10,'04.08 Bukoto-Kisasi'!H10)</f>
        <v>0</v>
      </c>
      <c r="I10" s="49">
        <f>AVERAGE('29.07 Bukoto-Kisasi'!I10,'30.07 Bukoto-Kisasi'!I10,'31.07 Bukoto-Kisasi'!I10,'02.08 Bukoto-Kisasi'!I10,'01.08 Bukoto-Kisasi'!I10,'03.08 Bukoto-Kisasi'!I10,'04.08 Bukoto-Kisasi'!I10)</f>
        <v>0.42857142857142855</v>
      </c>
      <c r="J10" s="49">
        <f>AVERAGE('29.07 Bukoto-Kisasi'!J10,'30.07 Bukoto-Kisasi'!J10,'31.07 Bukoto-Kisasi'!J10,'02.08 Bukoto-Kisasi'!J10,'01.08 Bukoto-Kisasi'!J10,'03.08 Bukoto-Kisasi'!J10,'04.08 Bukoto-Kisasi'!J10)</f>
        <v>0.14285714285714285</v>
      </c>
      <c r="K10" s="49">
        <f>AVERAGE('29.07 Bukoto-Kisasi'!K10,'30.07 Bukoto-Kisasi'!K10,'31.07 Bukoto-Kisasi'!K10,'02.08 Bukoto-Kisasi'!K10,'01.08 Bukoto-Kisasi'!K10,'03.08 Bukoto-Kisasi'!K10,'04.08 Bukoto-Kisasi'!K10)</f>
        <v>0</v>
      </c>
      <c r="L10" s="49">
        <f>AVERAGE('29.07 Bukoto-Kisasi'!L10,'30.07 Bukoto-Kisasi'!L10,'31.07 Bukoto-Kisasi'!L10,'02.08 Bukoto-Kisasi'!L10,'01.08 Bukoto-Kisasi'!L10,'03.08 Bukoto-Kisasi'!L10,'04.08 Bukoto-Kisasi'!L10)</f>
        <v>0</v>
      </c>
      <c r="M10" s="49">
        <f>AVERAGE('29.07 Bukoto-Kisasi'!M10,'30.07 Bukoto-Kisasi'!M10,'31.07 Bukoto-Kisasi'!M10,'02.08 Bukoto-Kisasi'!M10,'01.08 Bukoto-Kisasi'!M10,'03.08 Bukoto-Kisasi'!M10,'04.08 Bukoto-Kisasi'!M10)</f>
        <v>43</v>
      </c>
      <c r="N10" s="49">
        <f>AVERAGE('29.07 Bukoto-Kisasi'!N10,'30.07 Bukoto-Kisasi'!N10,'31.07 Bukoto-Kisasi'!N10,'02.08 Bukoto-Kisasi'!N10,'01.08 Bukoto-Kisasi'!N10,'03.08 Bukoto-Kisasi'!N10,'04.08 Bukoto-Kisasi'!N10)</f>
        <v>0</v>
      </c>
      <c r="O10" s="15">
        <f t="shared" ref="O10:O73" si="0">SUM(C10:L10,N10)</f>
        <v>53.428571428571431</v>
      </c>
      <c r="P10" s="15">
        <f t="shared" ref="P10:P73" si="1">SUM(C10:N10)</f>
        <v>96.428571428571431</v>
      </c>
      <c r="R10" s="1" t="s">
        <v>6</v>
      </c>
      <c r="S10" s="17">
        <f t="shared" ref="S10:AF10" si="2">SUM(C10:C13)</f>
        <v>122.57142857142858</v>
      </c>
      <c r="T10" s="17">
        <f t="shared" si="2"/>
        <v>118.42857142857142</v>
      </c>
      <c r="U10" s="17">
        <f t="shared" si="2"/>
        <v>15.428571428571429</v>
      </c>
      <c r="V10" s="17">
        <f t="shared" si="2"/>
        <v>26.285714285714285</v>
      </c>
      <c r="W10" s="17">
        <f t="shared" si="2"/>
        <v>0.14285714285714285</v>
      </c>
      <c r="X10" s="17">
        <f t="shared" si="2"/>
        <v>0.14285714285714285</v>
      </c>
      <c r="Y10" s="17">
        <f t="shared" si="2"/>
        <v>3.714285714285714</v>
      </c>
      <c r="Z10" s="17">
        <f t="shared" si="2"/>
        <v>0.42857142857142855</v>
      </c>
      <c r="AA10" s="17">
        <f t="shared" si="2"/>
        <v>0.14285714285714285</v>
      </c>
      <c r="AB10" s="17">
        <f t="shared" si="2"/>
        <v>0</v>
      </c>
      <c r="AC10" s="17">
        <f t="shared" si="2"/>
        <v>211.42857142857142</v>
      </c>
      <c r="AD10" s="17">
        <f t="shared" si="2"/>
        <v>0</v>
      </c>
      <c r="AE10" s="31">
        <f t="shared" si="2"/>
        <v>287.28571428571428</v>
      </c>
      <c r="AF10" s="31">
        <f t="shared" si="2"/>
        <v>498.71428571428572</v>
      </c>
    </row>
    <row r="11" spans="2:32" s="6" customFormat="1" ht="23.1" customHeight="1" x14ac:dyDescent="0.25">
      <c r="B11" s="23" t="s">
        <v>38</v>
      </c>
      <c r="C11" s="49">
        <f>AVERAGE('29.07 Bukoto-Kisasi'!C11,'30.07 Bukoto-Kisasi'!C11,'31.07 Bukoto-Kisasi'!C11,'02.08 Bukoto-Kisasi'!C11,'01.08 Bukoto-Kisasi'!C11,'03.08 Bukoto-Kisasi'!C11,'04.08 Bukoto-Kisasi'!C11)</f>
        <v>25.285714285714285</v>
      </c>
      <c r="D11" s="49">
        <f>AVERAGE('29.07 Bukoto-Kisasi'!D11,'30.07 Bukoto-Kisasi'!D11,'31.07 Bukoto-Kisasi'!D11,'02.08 Bukoto-Kisasi'!D11,'01.08 Bukoto-Kisasi'!D11,'03.08 Bukoto-Kisasi'!D11,'04.08 Bukoto-Kisasi'!D11)</f>
        <v>26.142857142857142</v>
      </c>
      <c r="E11" s="49">
        <f>AVERAGE('29.07 Bukoto-Kisasi'!E11,'30.07 Bukoto-Kisasi'!E11,'31.07 Bukoto-Kisasi'!E11,'02.08 Bukoto-Kisasi'!E11,'01.08 Bukoto-Kisasi'!E11,'03.08 Bukoto-Kisasi'!E11,'04.08 Bukoto-Kisasi'!E11)</f>
        <v>3.7142857142857144</v>
      </c>
      <c r="F11" s="49">
        <f>AVERAGE('29.07 Bukoto-Kisasi'!F11,'30.07 Bukoto-Kisasi'!F11,'31.07 Bukoto-Kisasi'!F11,'02.08 Bukoto-Kisasi'!F11,'01.08 Bukoto-Kisasi'!F11,'03.08 Bukoto-Kisasi'!F11,'04.08 Bukoto-Kisasi'!F11)</f>
        <v>8.5714285714285712</v>
      </c>
      <c r="G11" s="49">
        <f>AVERAGE('29.07 Bukoto-Kisasi'!G11,'30.07 Bukoto-Kisasi'!G11,'31.07 Bukoto-Kisasi'!G11,'02.08 Bukoto-Kisasi'!G11,'01.08 Bukoto-Kisasi'!G11,'03.08 Bukoto-Kisasi'!G11,'04.08 Bukoto-Kisasi'!G11)</f>
        <v>0</v>
      </c>
      <c r="H11" s="49">
        <f>AVERAGE('29.07 Bukoto-Kisasi'!H11,'30.07 Bukoto-Kisasi'!H11,'31.07 Bukoto-Kisasi'!H11,'02.08 Bukoto-Kisasi'!H11,'01.08 Bukoto-Kisasi'!H11,'03.08 Bukoto-Kisasi'!H11,'04.08 Bukoto-Kisasi'!H11)</f>
        <v>0.14285714285714285</v>
      </c>
      <c r="I11" s="49">
        <f>AVERAGE('29.07 Bukoto-Kisasi'!I11,'30.07 Bukoto-Kisasi'!I11,'31.07 Bukoto-Kisasi'!I11,'02.08 Bukoto-Kisasi'!I11,'01.08 Bukoto-Kisasi'!I11,'03.08 Bukoto-Kisasi'!I11,'04.08 Bukoto-Kisasi'!I11)</f>
        <v>1.1428571428571428</v>
      </c>
      <c r="J11" s="49">
        <f>AVERAGE('29.07 Bukoto-Kisasi'!J11,'30.07 Bukoto-Kisasi'!J11,'31.07 Bukoto-Kisasi'!J11,'02.08 Bukoto-Kisasi'!J11,'01.08 Bukoto-Kisasi'!J11,'03.08 Bukoto-Kisasi'!J11,'04.08 Bukoto-Kisasi'!J11)</f>
        <v>0</v>
      </c>
      <c r="K11" s="49">
        <f>AVERAGE('29.07 Bukoto-Kisasi'!K11,'30.07 Bukoto-Kisasi'!K11,'31.07 Bukoto-Kisasi'!K11,'02.08 Bukoto-Kisasi'!K11,'01.08 Bukoto-Kisasi'!K11,'03.08 Bukoto-Kisasi'!K11,'04.08 Bukoto-Kisasi'!K11)</f>
        <v>0</v>
      </c>
      <c r="L11" s="49">
        <f>AVERAGE('29.07 Bukoto-Kisasi'!L11,'30.07 Bukoto-Kisasi'!L11,'31.07 Bukoto-Kisasi'!L11,'02.08 Bukoto-Kisasi'!L11,'01.08 Bukoto-Kisasi'!L11,'03.08 Bukoto-Kisasi'!L11,'04.08 Bukoto-Kisasi'!L11)</f>
        <v>0</v>
      </c>
      <c r="M11" s="49">
        <f>AVERAGE('29.07 Bukoto-Kisasi'!M11,'30.07 Bukoto-Kisasi'!M11,'31.07 Bukoto-Kisasi'!M11,'02.08 Bukoto-Kisasi'!M11,'01.08 Bukoto-Kisasi'!M11,'03.08 Bukoto-Kisasi'!M11,'04.08 Bukoto-Kisasi'!M11)</f>
        <v>49.142857142857146</v>
      </c>
      <c r="N11" s="49">
        <f>AVERAGE('29.07 Bukoto-Kisasi'!N11,'30.07 Bukoto-Kisasi'!N11,'31.07 Bukoto-Kisasi'!N11,'02.08 Bukoto-Kisasi'!N11,'01.08 Bukoto-Kisasi'!N11,'03.08 Bukoto-Kisasi'!N11,'04.08 Bukoto-Kisasi'!N11)</f>
        <v>0</v>
      </c>
      <c r="O11" s="15">
        <f t="shared" si="0"/>
        <v>65</v>
      </c>
      <c r="P11" s="15">
        <f t="shared" si="1"/>
        <v>114.14285714285714</v>
      </c>
      <c r="R11" s="1" t="s">
        <v>7</v>
      </c>
      <c r="S11" s="17">
        <f t="shared" ref="S11:AF11" si="3">SUM(C14:C17)</f>
        <v>124.42857142857143</v>
      </c>
      <c r="T11" s="17">
        <f t="shared" si="3"/>
        <v>103.14285714285714</v>
      </c>
      <c r="U11" s="17">
        <f t="shared" si="3"/>
        <v>21.285714285714285</v>
      </c>
      <c r="V11" s="17">
        <f t="shared" si="3"/>
        <v>33.714285714285715</v>
      </c>
      <c r="W11" s="17">
        <f t="shared" si="3"/>
        <v>0.2857142857142857</v>
      </c>
      <c r="X11" s="17">
        <f t="shared" si="3"/>
        <v>0</v>
      </c>
      <c r="Y11" s="17">
        <f t="shared" si="3"/>
        <v>5.8571428571428568</v>
      </c>
      <c r="Z11" s="17">
        <f t="shared" si="3"/>
        <v>1</v>
      </c>
      <c r="AA11" s="17">
        <f t="shared" si="3"/>
        <v>1</v>
      </c>
      <c r="AB11" s="17">
        <f t="shared" si="3"/>
        <v>0</v>
      </c>
      <c r="AC11" s="17">
        <f t="shared" si="3"/>
        <v>239.42857142857144</v>
      </c>
      <c r="AD11" s="17">
        <f t="shared" si="3"/>
        <v>0</v>
      </c>
      <c r="AE11" s="31">
        <f t="shared" si="3"/>
        <v>290.71428571428572</v>
      </c>
      <c r="AF11" s="31">
        <f t="shared" si="3"/>
        <v>530.14285714285711</v>
      </c>
    </row>
    <row r="12" spans="2:32" ht="23.1" customHeight="1" x14ac:dyDescent="0.25">
      <c r="B12" s="23" t="s">
        <v>39</v>
      </c>
      <c r="C12" s="49">
        <f>AVERAGE('29.07 Bukoto-Kisasi'!C12,'30.07 Bukoto-Kisasi'!C12,'31.07 Bukoto-Kisasi'!C12,'02.08 Bukoto-Kisasi'!C12,'01.08 Bukoto-Kisasi'!C12,'03.08 Bukoto-Kisasi'!C12,'04.08 Bukoto-Kisasi'!C12)</f>
        <v>32</v>
      </c>
      <c r="D12" s="49">
        <f>AVERAGE('29.07 Bukoto-Kisasi'!D12,'30.07 Bukoto-Kisasi'!D12,'31.07 Bukoto-Kisasi'!D12,'02.08 Bukoto-Kisasi'!D12,'01.08 Bukoto-Kisasi'!D12,'03.08 Bukoto-Kisasi'!D12,'04.08 Bukoto-Kisasi'!D12)</f>
        <v>30.285714285714285</v>
      </c>
      <c r="E12" s="49">
        <f>AVERAGE('29.07 Bukoto-Kisasi'!E12,'30.07 Bukoto-Kisasi'!E12,'31.07 Bukoto-Kisasi'!E12,'02.08 Bukoto-Kisasi'!E12,'01.08 Bukoto-Kisasi'!E12,'03.08 Bukoto-Kisasi'!E12,'04.08 Bukoto-Kisasi'!E12)</f>
        <v>4.4285714285714288</v>
      </c>
      <c r="F12" s="49">
        <f>AVERAGE('29.07 Bukoto-Kisasi'!F12,'30.07 Bukoto-Kisasi'!F12,'31.07 Bukoto-Kisasi'!F12,'02.08 Bukoto-Kisasi'!F12,'01.08 Bukoto-Kisasi'!F12,'03.08 Bukoto-Kisasi'!F12,'04.08 Bukoto-Kisasi'!F12)</f>
        <v>6.1428571428571432</v>
      </c>
      <c r="G12" s="49">
        <f>AVERAGE('29.07 Bukoto-Kisasi'!G12,'30.07 Bukoto-Kisasi'!G12,'31.07 Bukoto-Kisasi'!G12,'02.08 Bukoto-Kisasi'!G12,'01.08 Bukoto-Kisasi'!G12,'03.08 Bukoto-Kisasi'!G12,'04.08 Bukoto-Kisasi'!G12)</f>
        <v>0.14285714285714285</v>
      </c>
      <c r="H12" s="49">
        <f>AVERAGE('29.07 Bukoto-Kisasi'!H12,'30.07 Bukoto-Kisasi'!H12,'31.07 Bukoto-Kisasi'!H12,'02.08 Bukoto-Kisasi'!H12,'01.08 Bukoto-Kisasi'!H12,'03.08 Bukoto-Kisasi'!H12,'04.08 Bukoto-Kisasi'!H12)</f>
        <v>0</v>
      </c>
      <c r="I12" s="49">
        <f>AVERAGE('29.07 Bukoto-Kisasi'!I12,'30.07 Bukoto-Kisasi'!I12,'31.07 Bukoto-Kisasi'!I12,'02.08 Bukoto-Kisasi'!I12,'01.08 Bukoto-Kisasi'!I12,'03.08 Bukoto-Kisasi'!I12,'04.08 Bukoto-Kisasi'!I12)</f>
        <v>1</v>
      </c>
      <c r="J12" s="49">
        <f>AVERAGE('29.07 Bukoto-Kisasi'!J12,'30.07 Bukoto-Kisasi'!J12,'31.07 Bukoto-Kisasi'!J12,'02.08 Bukoto-Kisasi'!J12,'01.08 Bukoto-Kisasi'!J12,'03.08 Bukoto-Kisasi'!J12,'04.08 Bukoto-Kisasi'!J12)</f>
        <v>0.14285714285714285</v>
      </c>
      <c r="K12" s="49">
        <f>AVERAGE('29.07 Bukoto-Kisasi'!K12,'30.07 Bukoto-Kisasi'!K12,'31.07 Bukoto-Kisasi'!K12,'02.08 Bukoto-Kisasi'!K12,'01.08 Bukoto-Kisasi'!K12,'03.08 Bukoto-Kisasi'!K12,'04.08 Bukoto-Kisasi'!K12)</f>
        <v>0.14285714285714285</v>
      </c>
      <c r="L12" s="49">
        <f>AVERAGE('29.07 Bukoto-Kisasi'!L12,'30.07 Bukoto-Kisasi'!L12,'31.07 Bukoto-Kisasi'!L12,'02.08 Bukoto-Kisasi'!L12,'01.08 Bukoto-Kisasi'!L12,'03.08 Bukoto-Kisasi'!L12,'04.08 Bukoto-Kisasi'!L12)</f>
        <v>0</v>
      </c>
      <c r="M12" s="49">
        <f>AVERAGE('29.07 Bukoto-Kisasi'!M12,'30.07 Bukoto-Kisasi'!M12,'31.07 Bukoto-Kisasi'!M12,'02.08 Bukoto-Kisasi'!M12,'01.08 Bukoto-Kisasi'!M12,'03.08 Bukoto-Kisasi'!M12,'04.08 Bukoto-Kisasi'!M12)</f>
        <v>57.142857142857146</v>
      </c>
      <c r="N12" s="49">
        <f>AVERAGE('29.07 Bukoto-Kisasi'!N12,'30.07 Bukoto-Kisasi'!N12,'31.07 Bukoto-Kisasi'!N12,'02.08 Bukoto-Kisasi'!N12,'01.08 Bukoto-Kisasi'!N12,'03.08 Bukoto-Kisasi'!N12,'04.08 Bukoto-Kisasi'!N12)</f>
        <v>0</v>
      </c>
      <c r="O12" s="15">
        <f t="shared" si="0"/>
        <v>74.285714285714263</v>
      </c>
      <c r="P12" s="15">
        <f t="shared" si="1"/>
        <v>131.42857142857142</v>
      </c>
      <c r="R12" s="1" t="s">
        <v>8</v>
      </c>
      <c r="S12" s="17">
        <f t="shared" ref="S12:AF12" si="4">SUM(C18:C21)</f>
        <v>135.57142857142856</v>
      </c>
      <c r="T12" s="17">
        <f t="shared" si="4"/>
        <v>95.142857142857139</v>
      </c>
      <c r="U12" s="17">
        <f t="shared" si="4"/>
        <v>21.571428571428569</v>
      </c>
      <c r="V12" s="17">
        <f t="shared" si="4"/>
        <v>29.714285714285715</v>
      </c>
      <c r="W12" s="17">
        <f t="shared" si="4"/>
        <v>0</v>
      </c>
      <c r="X12" s="17">
        <f t="shared" si="4"/>
        <v>0</v>
      </c>
      <c r="Y12" s="17">
        <f t="shared" si="4"/>
        <v>7.4285714285714288</v>
      </c>
      <c r="Z12" s="17">
        <f t="shared" si="4"/>
        <v>2</v>
      </c>
      <c r="AA12" s="17">
        <f t="shared" si="4"/>
        <v>0.71428571428571419</v>
      </c>
      <c r="AB12" s="17">
        <f t="shared" si="4"/>
        <v>0</v>
      </c>
      <c r="AC12" s="17">
        <f t="shared" si="4"/>
        <v>238.28571428571428</v>
      </c>
      <c r="AD12" s="17">
        <f t="shared" si="4"/>
        <v>0</v>
      </c>
      <c r="AE12" s="31">
        <f t="shared" si="4"/>
        <v>292.14285714285717</v>
      </c>
      <c r="AF12" s="31">
        <f t="shared" si="4"/>
        <v>530.42857142857144</v>
      </c>
    </row>
    <row r="13" spans="2:32" ht="23.1" customHeight="1" x14ac:dyDescent="0.25">
      <c r="B13" s="23" t="s">
        <v>40</v>
      </c>
      <c r="C13" s="49">
        <f>AVERAGE('29.07 Bukoto-Kisasi'!C13,'30.07 Bukoto-Kisasi'!C13,'31.07 Bukoto-Kisasi'!C13,'02.08 Bukoto-Kisasi'!C13,'01.08 Bukoto-Kisasi'!C13,'03.08 Bukoto-Kisasi'!C13,'04.08 Bukoto-Kisasi'!C13)</f>
        <v>43.714285714285715</v>
      </c>
      <c r="D13" s="49">
        <f>AVERAGE('29.07 Bukoto-Kisasi'!D13,'30.07 Bukoto-Kisasi'!D13,'31.07 Bukoto-Kisasi'!D13,'02.08 Bukoto-Kisasi'!D13,'01.08 Bukoto-Kisasi'!D13,'03.08 Bukoto-Kisasi'!D13,'04.08 Bukoto-Kisasi'!D13)</f>
        <v>40</v>
      </c>
      <c r="E13" s="49">
        <f>AVERAGE('29.07 Bukoto-Kisasi'!E13,'30.07 Bukoto-Kisasi'!E13,'31.07 Bukoto-Kisasi'!E13,'02.08 Bukoto-Kisasi'!E13,'01.08 Bukoto-Kisasi'!E13,'03.08 Bukoto-Kisasi'!E13,'04.08 Bukoto-Kisasi'!E13)</f>
        <v>3.5714285714285716</v>
      </c>
      <c r="F13" s="49">
        <f>AVERAGE('29.07 Bukoto-Kisasi'!F13,'30.07 Bukoto-Kisasi'!F13,'31.07 Bukoto-Kisasi'!F13,'02.08 Bukoto-Kisasi'!F13,'01.08 Bukoto-Kisasi'!F13,'03.08 Bukoto-Kisasi'!F13,'04.08 Bukoto-Kisasi'!F13)</f>
        <v>6</v>
      </c>
      <c r="G13" s="49">
        <f>AVERAGE('29.07 Bukoto-Kisasi'!G13,'30.07 Bukoto-Kisasi'!G13,'31.07 Bukoto-Kisasi'!G13,'02.08 Bukoto-Kisasi'!G13,'01.08 Bukoto-Kisasi'!G13,'03.08 Bukoto-Kisasi'!G13,'04.08 Bukoto-Kisasi'!G13)</f>
        <v>0</v>
      </c>
      <c r="H13" s="49">
        <f>AVERAGE('29.07 Bukoto-Kisasi'!H13,'30.07 Bukoto-Kisasi'!H13,'31.07 Bukoto-Kisasi'!H13,'02.08 Bukoto-Kisasi'!H13,'01.08 Bukoto-Kisasi'!H13,'03.08 Bukoto-Kisasi'!H13,'04.08 Bukoto-Kisasi'!H13)</f>
        <v>0</v>
      </c>
      <c r="I13" s="49">
        <f>AVERAGE('29.07 Bukoto-Kisasi'!I13,'30.07 Bukoto-Kisasi'!I13,'31.07 Bukoto-Kisasi'!I13,'02.08 Bukoto-Kisasi'!I13,'01.08 Bukoto-Kisasi'!I13,'03.08 Bukoto-Kisasi'!I13,'04.08 Bukoto-Kisasi'!I13)</f>
        <v>1.1428571428571428</v>
      </c>
      <c r="J13" s="49">
        <f>AVERAGE('29.07 Bukoto-Kisasi'!J13,'30.07 Bukoto-Kisasi'!J13,'31.07 Bukoto-Kisasi'!J13,'02.08 Bukoto-Kisasi'!J13,'01.08 Bukoto-Kisasi'!J13,'03.08 Bukoto-Kisasi'!J13,'04.08 Bukoto-Kisasi'!J13)</f>
        <v>0.14285714285714285</v>
      </c>
      <c r="K13" s="49">
        <f>AVERAGE('29.07 Bukoto-Kisasi'!K13,'30.07 Bukoto-Kisasi'!K13,'31.07 Bukoto-Kisasi'!K13,'02.08 Bukoto-Kisasi'!K13,'01.08 Bukoto-Kisasi'!K13,'03.08 Bukoto-Kisasi'!K13,'04.08 Bukoto-Kisasi'!K13)</f>
        <v>0</v>
      </c>
      <c r="L13" s="49">
        <f>AVERAGE('29.07 Bukoto-Kisasi'!L13,'30.07 Bukoto-Kisasi'!L13,'31.07 Bukoto-Kisasi'!L13,'02.08 Bukoto-Kisasi'!L13,'01.08 Bukoto-Kisasi'!L13,'03.08 Bukoto-Kisasi'!L13,'04.08 Bukoto-Kisasi'!L13)</f>
        <v>0</v>
      </c>
      <c r="M13" s="49">
        <f>AVERAGE('29.07 Bukoto-Kisasi'!M13,'30.07 Bukoto-Kisasi'!M13,'31.07 Bukoto-Kisasi'!M13,'02.08 Bukoto-Kisasi'!M13,'01.08 Bukoto-Kisasi'!M13,'03.08 Bukoto-Kisasi'!M13,'04.08 Bukoto-Kisasi'!M13)</f>
        <v>62.142857142857146</v>
      </c>
      <c r="N13" s="49">
        <f>AVERAGE('29.07 Bukoto-Kisasi'!N13,'30.07 Bukoto-Kisasi'!N13,'31.07 Bukoto-Kisasi'!N13,'02.08 Bukoto-Kisasi'!N13,'01.08 Bukoto-Kisasi'!N13,'03.08 Bukoto-Kisasi'!N13,'04.08 Bukoto-Kisasi'!N13)</f>
        <v>0</v>
      </c>
      <c r="O13" s="15">
        <f t="shared" si="0"/>
        <v>94.571428571428569</v>
      </c>
      <c r="P13" s="15">
        <f t="shared" si="1"/>
        <v>156.71428571428572</v>
      </c>
      <c r="R13" s="1" t="s">
        <v>9</v>
      </c>
      <c r="S13" s="17">
        <f t="shared" ref="S13:AF13" si="5">SUM(C22:C25)</f>
        <v>128.57142857142858</v>
      </c>
      <c r="T13" s="17">
        <f t="shared" si="5"/>
        <v>88.857142857142847</v>
      </c>
      <c r="U13" s="17">
        <f t="shared" si="5"/>
        <v>19.857142857142858</v>
      </c>
      <c r="V13" s="17">
        <f t="shared" si="5"/>
        <v>27.428571428571431</v>
      </c>
      <c r="W13" s="17">
        <f t="shared" si="5"/>
        <v>1.1428571428571428</v>
      </c>
      <c r="X13" s="17">
        <f t="shared" si="5"/>
        <v>0</v>
      </c>
      <c r="Y13" s="17">
        <f t="shared" si="5"/>
        <v>8.2857142857142847</v>
      </c>
      <c r="Z13" s="17">
        <f t="shared" si="5"/>
        <v>3.2857142857142856</v>
      </c>
      <c r="AA13" s="17">
        <f t="shared" si="5"/>
        <v>0.5714285714285714</v>
      </c>
      <c r="AB13" s="17">
        <f t="shared" si="5"/>
        <v>0</v>
      </c>
      <c r="AC13" s="17">
        <f t="shared" si="5"/>
        <v>239.57142857142858</v>
      </c>
      <c r="AD13" s="17">
        <f t="shared" si="5"/>
        <v>0</v>
      </c>
      <c r="AE13" s="31">
        <f t="shared" si="5"/>
        <v>278</v>
      </c>
      <c r="AF13" s="31">
        <f t="shared" si="5"/>
        <v>517.57142857142856</v>
      </c>
    </row>
    <row r="14" spans="2:32" ht="23.1" customHeight="1" x14ac:dyDescent="0.25">
      <c r="B14" s="23" t="s">
        <v>41</v>
      </c>
      <c r="C14" s="49">
        <f>AVERAGE('29.07 Bukoto-Kisasi'!C14,'30.07 Bukoto-Kisasi'!C14,'31.07 Bukoto-Kisasi'!C14,'02.08 Bukoto-Kisasi'!C14,'01.08 Bukoto-Kisasi'!C14,'03.08 Bukoto-Kisasi'!C14,'04.08 Bukoto-Kisasi'!C14)</f>
        <v>38.142857142857146</v>
      </c>
      <c r="D14" s="49">
        <f>AVERAGE('29.07 Bukoto-Kisasi'!D14,'30.07 Bukoto-Kisasi'!D14,'31.07 Bukoto-Kisasi'!D14,'02.08 Bukoto-Kisasi'!D14,'01.08 Bukoto-Kisasi'!D14,'03.08 Bukoto-Kisasi'!D14,'04.08 Bukoto-Kisasi'!D14)</f>
        <v>34</v>
      </c>
      <c r="E14" s="49">
        <f>AVERAGE('29.07 Bukoto-Kisasi'!E14,'30.07 Bukoto-Kisasi'!E14,'31.07 Bukoto-Kisasi'!E14,'02.08 Bukoto-Kisasi'!E14,'01.08 Bukoto-Kisasi'!E14,'03.08 Bukoto-Kisasi'!E14,'04.08 Bukoto-Kisasi'!E14)</f>
        <v>4.1428571428571432</v>
      </c>
      <c r="F14" s="49">
        <f>AVERAGE('29.07 Bukoto-Kisasi'!F14,'30.07 Bukoto-Kisasi'!F14,'31.07 Bukoto-Kisasi'!F14,'02.08 Bukoto-Kisasi'!F14,'01.08 Bukoto-Kisasi'!F14,'03.08 Bukoto-Kisasi'!F14,'04.08 Bukoto-Kisasi'!F14)</f>
        <v>7.2857142857142856</v>
      </c>
      <c r="G14" s="49">
        <f>AVERAGE('29.07 Bukoto-Kisasi'!G14,'30.07 Bukoto-Kisasi'!G14,'31.07 Bukoto-Kisasi'!G14,'02.08 Bukoto-Kisasi'!G14,'01.08 Bukoto-Kisasi'!G14,'03.08 Bukoto-Kisasi'!G14,'04.08 Bukoto-Kisasi'!G14)</f>
        <v>0</v>
      </c>
      <c r="H14" s="49">
        <f>AVERAGE('29.07 Bukoto-Kisasi'!H14,'30.07 Bukoto-Kisasi'!H14,'31.07 Bukoto-Kisasi'!H14,'02.08 Bukoto-Kisasi'!H14,'01.08 Bukoto-Kisasi'!H14,'03.08 Bukoto-Kisasi'!H14,'04.08 Bukoto-Kisasi'!H14)</f>
        <v>0</v>
      </c>
      <c r="I14" s="49">
        <f>AVERAGE('29.07 Bukoto-Kisasi'!I14,'30.07 Bukoto-Kisasi'!I14,'31.07 Bukoto-Kisasi'!I14,'02.08 Bukoto-Kisasi'!I14,'01.08 Bukoto-Kisasi'!I14,'03.08 Bukoto-Kisasi'!I14,'04.08 Bukoto-Kisasi'!I14)</f>
        <v>1.4285714285714286</v>
      </c>
      <c r="J14" s="49">
        <f>AVERAGE('29.07 Bukoto-Kisasi'!J14,'30.07 Bukoto-Kisasi'!J14,'31.07 Bukoto-Kisasi'!J14,'02.08 Bukoto-Kisasi'!J14,'01.08 Bukoto-Kisasi'!J14,'03.08 Bukoto-Kisasi'!J14,'04.08 Bukoto-Kisasi'!J14)</f>
        <v>0</v>
      </c>
      <c r="K14" s="49">
        <f>AVERAGE('29.07 Bukoto-Kisasi'!K14,'30.07 Bukoto-Kisasi'!K14,'31.07 Bukoto-Kisasi'!K14,'02.08 Bukoto-Kisasi'!K14,'01.08 Bukoto-Kisasi'!K14,'03.08 Bukoto-Kisasi'!K14,'04.08 Bukoto-Kisasi'!K14)</f>
        <v>0.7142857142857143</v>
      </c>
      <c r="L14" s="49">
        <f>AVERAGE('29.07 Bukoto-Kisasi'!L14,'30.07 Bukoto-Kisasi'!L14,'31.07 Bukoto-Kisasi'!L14,'02.08 Bukoto-Kisasi'!L14,'01.08 Bukoto-Kisasi'!L14,'03.08 Bukoto-Kisasi'!L14,'04.08 Bukoto-Kisasi'!L14)</f>
        <v>0</v>
      </c>
      <c r="M14" s="49">
        <f>AVERAGE('29.07 Bukoto-Kisasi'!M14,'30.07 Bukoto-Kisasi'!M14,'31.07 Bukoto-Kisasi'!M14,'02.08 Bukoto-Kisasi'!M14,'01.08 Bukoto-Kisasi'!M14,'03.08 Bukoto-Kisasi'!M14,'04.08 Bukoto-Kisasi'!M14)</f>
        <v>63.285714285714285</v>
      </c>
      <c r="N14" s="49">
        <f>AVERAGE('29.07 Bukoto-Kisasi'!N14,'30.07 Bukoto-Kisasi'!N14,'31.07 Bukoto-Kisasi'!N14,'02.08 Bukoto-Kisasi'!N14,'01.08 Bukoto-Kisasi'!N14,'03.08 Bukoto-Kisasi'!N14,'04.08 Bukoto-Kisasi'!N14)</f>
        <v>0</v>
      </c>
      <c r="O14" s="15">
        <f t="shared" si="0"/>
        <v>85.714285714285708</v>
      </c>
      <c r="P14" s="15">
        <f t="shared" si="1"/>
        <v>149</v>
      </c>
      <c r="R14" s="1" t="s">
        <v>10</v>
      </c>
      <c r="S14" s="17">
        <f t="shared" ref="S14:AF14" si="6">SUM(C26:C29)</f>
        <v>107</v>
      </c>
      <c r="T14" s="17">
        <f t="shared" si="6"/>
        <v>61.428571428571431</v>
      </c>
      <c r="U14" s="17">
        <f t="shared" si="6"/>
        <v>22.428571428571427</v>
      </c>
      <c r="V14" s="17">
        <f t="shared" si="6"/>
        <v>28</v>
      </c>
      <c r="W14" s="17">
        <f t="shared" si="6"/>
        <v>0.14285714285714285</v>
      </c>
      <c r="X14" s="17">
        <f t="shared" si="6"/>
        <v>0</v>
      </c>
      <c r="Y14" s="17">
        <f t="shared" si="6"/>
        <v>6.1428571428571423</v>
      </c>
      <c r="Z14" s="17">
        <f t="shared" si="6"/>
        <v>2.2857142857142856</v>
      </c>
      <c r="AA14" s="17">
        <f t="shared" si="6"/>
        <v>0.71428571428571419</v>
      </c>
      <c r="AB14" s="17">
        <f t="shared" si="6"/>
        <v>0</v>
      </c>
      <c r="AC14" s="17">
        <f t="shared" si="6"/>
        <v>203</v>
      </c>
      <c r="AD14" s="17">
        <f t="shared" si="6"/>
        <v>0.14285714285714285</v>
      </c>
      <c r="AE14" s="31">
        <f t="shared" si="6"/>
        <v>228.28571428571433</v>
      </c>
      <c r="AF14" s="31">
        <f t="shared" si="6"/>
        <v>431.28571428571433</v>
      </c>
    </row>
    <row r="15" spans="2:32" ht="23.1" customHeight="1" x14ac:dyDescent="0.25">
      <c r="B15" s="23" t="s">
        <v>42</v>
      </c>
      <c r="C15" s="49">
        <f>AVERAGE('29.07 Bukoto-Kisasi'!C15,'30.07 Bukoto-Kisasi'!C15,'31.07 Bukoto-Kisasi'!C15,'02.08 Bukoto-Kisasi'!C15,'01.08 Bukoto-Kisasi'!C15,'03.08 Bukoto-Kisasi'!C15,'04.08 Bukoto-Kisasi'!C15)</f>
        <v>31</v>
      </c>
      <c r="D15" s="49">
        <f>AVERAGE('29.07 Bukoto-Kisasi'!D15,'30.07 Bukoto-Kisasi'!D15,'31.07 Bukoto-Kisasi'!D15,'02.08 Bukoto-Kisasi'!D15,'01.08 Bukoto-Kisasi'!D15,'03.08 Bukoto-Kisasi'!D15,'04.08 Bukoto-Kisasi'!D15)</f>
        <v>26.285714285714285</v>
      </c>
      <c r="E15" s="49">
        <f>AVERAGE('29.07 Bukoto-Kisasi'!E15,'30.07 Bukoto-Kisasi'!E15,'31.07 Bukoto-Kisasi'!E15,'02.08 Bukoto-Kisasi'!E15,'01.08 Bukoto-Kisasi'!E15,'03.08 Bukoto-Kisasi'!E15,'04.08 Bukoto-Kisasi'!E15)</f>
        <v>6</v>
      </c>
      <c r="F15" s="49">
        <f>AVERAGE('29.07 Bukoto-Kisasi'!F15,'30.07 Bukoto-Kisasi'!F15,'31.07 Bukoto-Kisasi'!F15,'02.08 Bukoto-Kisasi'!F15,'01.08 Bukoto-Kisasi'!F15,'03.08 Bukoto-Kisasi'!F15,'04.08 Bukoto-Kisasi'!F15)</f>
        <v>8</v>
      </c>
      <c r="G15" s="49">
        <f>AVERAGE('29.07 Bukoto-Kisasi'!G15,'30.07 Bukoto-Kisasi'!G15,'31.07 Bukoto-Kisasi'!G15,'02.08 Bukoto-Kisasi'!G15,'01.08 Bukoto-Kisasi'!G15,'03.08 Bukoto-Kisasi'!G15,'04.08 Bukoto-Kisasi'!G15)</f>
        <v>0</v>
      </c>
      <c r="H15" s="49">
        <f>AVERAGE('29.07 Bukoto-Kisasi'!H15,'30.07 Bukoto-Kisasi'!H15,'31.07 Bukoto-Kisasi'!H15,'02.08 Bukoto-Kisasi'!H15,'01.08 Bukoto-Kisasi'!H15,'03.08 Bukoto-Kisasi'!H15,'04.08 Bukoto-Kisasi'!H15)</f>
        <v>0</v>
      </c>
      <c r="I15" s="49">
        <f>AVERAGE('29.07 Bukoto-Kisasi'!I15,'30.07 Bukoto-Kisasi'!I15,'31.07 Bukoto-Kisasi'!I15,'02.08 Bukoto-Kisasi'!I15,'01.08 Bukoto-Kisasi'!I15,'03.08 Bukoto-Kisasi'!I15,'04.08 Bukoto-Kisasi'!I15)</f>
        <v>1.5714285714285714</v>
      </c>
      <c r="J15" s="49">
        <f>AVERAGE('29.07 Bukoto-Kisasi'!J15,'30.07 Bukoto-Kisasi'!J15,'31.07 Bukoto-Kisasi'!J15,'02.08 Bukoto-Kisasi'!J15,'01.08 Bukoto-Kisasi'!J15,'03.08 Bukoto-Kisasi'!J15,'04.08 Bukoto-Kisasi'!J15)</f>
        <v>0.42857142857142855</v>
      </c>
      <c r="K15" s="49">
        <f>AVERAGE('29.07 Bukoto-Kisasi'!K15,'30.07 Bukoto-Kisasi'!K15,'31.07 Bukoto-Kisasi'!K15,'02.08 Bukoto-Kisasi'!K15,'01.08 Bukoto-Kisasi'!K15,'03.08 Bukoto-Kisasi'!K15,'04.08 Bukoto-Kisasi'!K15)</f>
        <v>0.2857142857142857</v>
      </c>
      <c r="L15" s="49">
        <f>AVERAGE('29.07 Bukoto-Kisasi'!L15,'30.07 Bukoto-Kisasi'!L15,'31.07 Bukoto-Kisasi'!L15,'02.08 Bukoto-Kisasi'!L15,'01.08 Bukoto-Kisasi'!L15,'03.08 Bukoto-Kisasi'!L15,'04.08 Bukoto-Kisasi'!L15)</f>
        <v>0</v>
      </c>
      <c r="M15" s="49">
        <f>AVERAGE('29.07 Bukoto-Kisasi'!M15,'30.07 Bukoto-Kisasi'!M15,'31.07 Bukoto-Kisasi'!M15,'02.08 Bukoto-Kisasi'!M15,'01.08 Bukoto-Kisasi'!M15,'03.08 Bukoto-Kisasi'!M15,'04.08 Bukoto-Kisasi'!M15)</f>
        <v>60.428571428571431</v>
      </c>
      <c r="N15" s="49">
        <f>AVERAGE('29.07 Bukoto-Kisasi'!N15,'30.07 Bukoto-Kisasi'!N15,'31.07 Bukoto-Kisasi'!N15,'02.08 Bukoto-Kisasi'!N15,'01.08 Bukoto-Kisasi'!N15,'03.08 Bukoto-Kisasi'!N15,'04.08 Bukoto-Kisasi'!N15)</f>
        <v>0</v>
      </c>
      <c r="O15" s="15">
        <f t="shared" si="0"/>
        <v>73.571428571428569</v>
      </c>
      <c r="P15" s="15">
        <f t="shared" si="1"/>
        <v>134</v>
      </c>
      <c r="R15" s="1" t="s">
        <v>11</v>
      </c>
      <c r="S15" s="17">
        <f t="shared" ref="S15:AF15" si="7">SUM(C30:C33)</f>
        <v>107.57142857142857</v>
      </c>
      <c r="T15" s="17">
        <f t="shared" si="7"/>
        <v>60.142857142857146</v>
      </c>
      <c r="U15" s="17">
        <f t="shared" si="7"/>
        <v>25</v>
      </c>
      <c r="V15" s="17">
        <f t="shared" si="7"/>
        <v>31.428571428571431</v>
      </c>
      <c r="W15" s="17">
        <f t="shared" si="7"/>
        <v>0</v>
      </c>
      <c r="X15" s="17">
        <f t="shared" si="7"/>
        <v>0</v>
      </c>
      <c r="Y15" s="17">
        <f t="shared" si="7"/>
        <v>6.8571428571428568</v>
      </c>
      <c r="Z15" s="17">
        <f t="shared" si="7"/>
        <v>0.99999999999999989</v>
      </c>
      <c r="AA15" s="17">
        <f t="shared" si="7"/>
        <v>1.1428571428571428</v>
      </c>
      <c r="AB15" s="17">
        <f t="shared" si="7"/>
        <v>0</v>
      </c>
      <c r="AC15" s="17">
        <f t="shared" si="7"/>
        <v>194.71428571428572</v>
      </c>
      <c r="AD15" s="17">
        <f t="shared" si="7"/>
        <v>0</v>
      </c>
      <c r="AE15" s="31">
        <f t="shared" si="7"/>
        <v>233.14285714285714</v>
      </c>
      <c r="AF15" s="31">
        <f t="shared" si="7"/>
        <v>427.85714285714289</v>
      </c>
    </row>
    <row r="16" spans="2:32" ht="23.1" customHeight="1" x14ac:dyDescent="0.25">
      <c r="B16" s="23" t="s">
        <v>43</v>
      </c>
      <c r="C16" s="49">
        <f>AVERAGE('29.07 Bukoto-Kisasi'!C16,'30.07 Bukoto-Kisasi'!C16,'31.07 Bukoto-Kisasi'!C16,'02.08 Bukoto-Kisasi'!C16,'01.08 Bukoto-Kisasi'!C16,'03.08 Bukoto-Kisasi'!C16,'04.08 Bukoto-Kisasi'!C16)</f>
        <v>29.857142857142858</v>
      </c>
      <c r="D16" s="49">
        <f>AVERAGE('29.07 Bukoto-Kisasi'!D16,'30.07 Bukoto-Kisasi'!D16,'31.07 Bukoto-Kisasi'!D16,'02.08 Bukoto-Kisasi'!D16,'01.08 Bukoto-Kisasi'!D16,'03.08 Bukoto-Kisasi'!D16,'04.08 Bukoto-Kisasi'!D16)</f>
        <v>23.714285714285715</v>
      </c>
      <c r="E16" s="49">
        <f>AVERAGE('29.07 Bukoto-Kisasi'!E16,'30.07 Bukoto-Kisasi'!E16,'31.07 Bukoto-Kisasi'!E16,'02.08 Bukoto-Kisasi'!E16,'01.08 Bukoto-Kisasi'!E16,'03.08 Bukoto-Kisasi'!E16,'04.08 Bukoto-Kisasi'!E16)</f>
        <v>5.4285714285714288</v>
      </c>
      <c r="F16" s="49">
        <f>AVERAGE('29.07 Bukoto-Kisasi'!F16,'30.07 Bukoto-Kisasi'!F16,'31.07 Bukoto-Kisasi'!F16,'02.08 Bukoto-Kisasi'!F16,'01.08 Bukoto-Kisasi'!F16,'03.08 Bukoto-Kisasi'!F16,'04.08 Bukoto-Kisasi'!F16)</f>
        <v>10</v>
      </c>
      <c r="G16" s="49">
        <f>AVERAGE('29.07 Bukoto-Kisasi'!G16,'30.07 Bukoto-Kisasi'!G16,'31.07 Bukoto-Kisasi'!G16,'02.08 Bukoto-Kisasi'!G16,'01.08 Bukoto-Kisasi'!G16,'03.08 Bukoto-Kisasi'!G16,'04.08 Bukoto-Kisasi'!G16)</f>
        <v>0</v>
      </c>
      <c r="H16" s="49">
        <f>AVERAGE('29.07 Bukoto-Kisasi'!H16,'30.07 Bukoto-Kisasi'!H16,'31.07 Bukoto-Kisasi'!H16,'02.08 Bukoto-Kisasi'!H16,'01.08 Bukoto-Kisasi'!H16,'03.08 Bukoto-Kisasi'!H16,'04.08 Bukoto-Kisasi'!H16)</f>
        <v>0</v>
      </c>
      <c r="I16" s="49">
        <f>AVERAGE('29.07 Bukoto-Kisasi'!I16,'30.07 Bukoto-Kisasi'!I16,'31.07 Bukoto-Kisasi'!I16,'02.08 Bukoto-Kisasi'!I16,'01.08 Bukoto-Kisasi'!I16,'03.08 Bukoto-Kisasi'!I16,'04.08 Bukoto-Kisasi'!I16)</f>
        <v>1.2857142857142858</v>
      </c>
      <c r="J16" s="49">
        <f>AVERAGE('29.07 Bukoto-Kisasi'!J16,'30.07 Bukoto-Kisasi'!J16,'31.07 Bukoto-Kisasi'!J16,'02.08 Bukoto-Kisasi'!J16,'01.08 Bukoto-Kisasi'!J16,'03.08 Bukoto-Kisasi'!J16,'04.08 Bukoto-Kisasi'!J16)</f>
        <v>0.14285714285714285</v>
      </c>
      <c r="K16" s="49">
        <f>AVERAGE('29.07 Bukoto-Kisasi'!K16,'30.07 Bukoto-Kisasi'!K16,'31.07 Bukoto-Kisasi'!K16,'02.08 Bukoto-Kisasi'!K16,'01.08 Bukoto-Kisasi'!K16,'03.08 Bukoto-Kisasi'!K16,'04.08 Bukoto-Kisasi'!K16)</f>
        <v>0</v>
      </c>
      <c r="L16" s="49">
        <f>AVERAGE('29.07 Bukoto-Kisasi'!L16,'30.07 Bukoto-Kisasi'!L16,'31.07 Bukoto-Kisasi'!L16,'02.08 Bukoto-Kisasi'!L16,'01.08 Bukoto-Kisasi'!L16,'03.08 Bukoto-Kisasi'!L16,'04.08 Bukoto-Kisasi'!L16)</f>
        <v>0</v>
      </c>
      <c r="M16" s="49">
        <f>AVERAGE('29.07 Bukoto-Kisasi'!M16,'30.07 Bukoto-Kisasi'!M16,'31.07 Bukoto-Kisasi'!M16,'02.08 Bukoto-Kisasi'!M16,'01.08 Bukoto-Kisasi'!M16,'03.08 Bukoto-Kisasi'!M16,'04.08 Bukoto-Kisasi'!M16)</f>
        <v>60.428571428571431</v>
      </c>
      <c r="N16" s="49">
        <f>AVERAGE('29.07 Bukoto-Kisasi'!N16,'30.07 Bukoto-Kisasi'!N16,'31.07 Bukoto-Kisasi'!N16,'02.08 Bukoto-Kisasi'!N16,'01.08 Bukoto-Kisasi'!N16,'03.08 Bukoto-Kisasi'!N16,'04.08 Bukoto-Kisasi'!N16)</f>
        <v>0</v>
      </c>
      <c r="O16" s="15">
        <f t="shared" si="0"/>
        <v>70.428571428571431</v>
      </c>
      <c r="P16" s="15">
        <f t="shared" si="1"/>
        <v>130.85714285714286</v>
      </c>
      <c r="R16" s="1" t="s">
        <v>12</v>
      </c>
      <c r="S16" s="17">
        <f t="shared" ref="S16:AF16" si="8">SUM(C34:C37)</f>
        <v>103.57142857142857</v>
      </c>
      <c r="T16" s="17">
        <f t="shared" si="8"/>
        <v>68.571428571428569</v>
      </c>
      <c r="U16" s="17">
        <f t="shared" si="8"/>
        <v>25</v>
      </c>
      <c r="V16" s="17">
        <f t="shared" si="8"/>
        <v>28.857142857142858</v>
      </c>
      <c r="W16" s="17">
        <f t="shared" si="8"/>
        <v>0</v>
      </c>
      <c r="X16" s="17">
        <f t="shared" si="8"/>
        <v>0</v>
      </c>
      <c r="Y16" s="17">
        <f t="shared" si="8"/>
        <v>8</v>
      </c>
      <c r="Z16" s="17">
        <f t="shared" si="8"/>
        <v>0.5714285714285714</v>
      </c>
      <c r="AA16" s="17">
        <f t="shared" si="8"/>
        <v>0.99999999999999978</v>
      </c>
      <c r="AB16" s="17">
        <f t="shared" si="8"/>
        <v>0</v>
      </c>
      <c r="AC16" s="17">
        <f t="shared" si="8"/>
        <v>185.14285714285717</v>
      </c>
      <c r="AD16" s="17">
        <f t="shared" si="8"/>
        <v>0</v>
      </c>
      <c r="AE16" s="31">
        <f t="shared" si="8"/>
        <v>235.57142857142858</v>
      </c>
      <c r="AF16" s="31">
        <f t="shared" si="8"/>
        <v>420.71428571428572</v>
      </c>
    </row>
    <row r="17" spans="2:32" ht="23.1" customHeight="1" x14ac:dyDescent="0.25">
      <c r="B17" s="23" t="s">
        <v>44</v>
      </c>
      <c r="C17" s="49">
        <f>AVERAGE('29.07 Bukoto-Kisasi'!C17,'30.07 Bukoto-Kisasi'!C17,'31.07 Bukoto-Kisasi'!C17,'02.08 Bukoto-Kisasi'!C17,'01.08 Bukoto-Kisasi'!C17,'03.08 Bukoto-Kisasi'!C17,'04.08 Bukoto-Kisasi'!C17)</f>
        <v>25.428571428571427</v>
      </c>
      <c r="D17" s="49">
        <f>AVERAGE('29.07 Bukoto-Kisasi'!D17,'30.07 Bukoto-Kisasi'!D17,'31.07 Bukoto-Kisasi'!D17,'02.08 Bukoto-Kisasi'!D17,'01.08 Bukoto-Kisasi'!D17,'03.08 Bukoto-Kisasi'!D17,'04.08 Bukoto-Kisasi'!D17)</f>
        <v>19.142857142857142</v>
      </c>
      <c r="E17" s="49">
        <f>AVERAGE('29.07 Bukoto-Kisasi'!E17,'30.07 Bukoto-Kisasi'!E17,'31.07 Bukoto-Kisasi'!E17,'02.08 Bukoto-Kisasi'!E17,'01.08 Bukoto-Kisasi'!E17,'03.08 Bukoto-Kisasi'!E17,'04.08 Bukoto-Kisasi'!E17)</f>
        <v>5.7142857142857144</v>
      </c>
      <c r="F17" s="49">
        <f>AVERAGE('29.07 Bukoto-Kisasi'!F17,'30.07 Bukoto-Kisasi'!F17,'31.07 Bukoto-Kisasi'!F17,'02.08 Bukoto-Kisasi'!F17,'01.08 Bukoto-Kisasi'!F17,'03.08 Bukoto-Kisasi'!F17,'04.08 Bukoto-Kisasi'!F17)</f>
        <v>8.4285714285714288</v>
      </c>
      <c r="G17" s="49">
        <f>AVERAGE('29.07 Bukoto-Kisasi'!G17,'30.07 Bukoto-Kisasi'!G17,'31.07 Bukoto-Kisasi'!G17,'02.08 Bukoto-Kisasi'!G17,'01.08 Bukoto-Kisasi'!G17,'03.08 Bukoto-Kisasi'!G17,'04.08 Bukoto-Kisasi'!G17)</f>
        <v>0.2857142857142857</v>
      </c>
      <c r="H17" s="49">
        <f>AVERAGE('29.07 Bukoto-Kisasi'!H17,'30.07 Bukoto-Kisasi'!H17,'31.07 Bukoto-Kisasi'!H17,'02.08 Bukoto-Kisasi'!H17,'01.08 Bukoto-Kisasi'!H17,'03.08 Bukoto-Kisasi'!H17,'04.08 Bukoto-Kisasi'!H17)</f>
        <v>0</v>
      </c>
      <c r="I17" s="49">
        <f>AVERAGE('29.07 Bukoto-Kisasi'!I17,'30.07 Bukoto-Kisasi'!I17,'31.07 Bukoto-Kisasi'!I17,'02.08 Bukoto-Kisasi'!I17,'01.08 Bukoto-Kisasi'!I17,'03.08 Bukoto-Kisasi'!I17,'04.08 Bukoto-Kisasi'!I17)</f>
        <v>1.5714285714285714</v>
      </c>
      <c r="J17" s="49">
        <f>AVERAGE('29.07 Bukoto-Kisasi'!J17,'30.07 Bukoto-Kisasi'!J17,'31.07 Bukoto-Kisasi'!J17,'02.08 Bukoto-Kisasi'!J17,'01.08 Bukoto-Kisasi'!J17,'03.08 Bukoto-Kisasi'!J17,'04.08 Bukoto-Kisasi'!J17)</f>
        <v>0.42857142857142855</v>
      </c>
      <c r="K17" s="49">
        <f>AVERAGE('29.07 Bukoto-Kisasi'!K17,'30.07 Bukoto-Kisasi'!K17,'31.07 Bukoto-Kisasi'!K17,'02.08 Bukoto-Kisasi'!K17,'01.08 Bukoto-Kisasi'!K17,'03.08 Bukoto-Kisasi'!K17,'04.08 Bukoto-Kisasi'!K17)</f>
        <v>0</v>
      </c>
      <c r="L17" s="49">
        <f>AVERAGE('29.07 Bukoto-Kisasi'!L17,'30.07 Bukoto-Kisasi'!L17,'31.07 Bukoto-Kisasi'!L17,'02.08 Bukoto-Kisasi'!L17,'01.08 Bukoto-Kisasi'!L17,'03.08 Bukoto-Kisasi'!L17,'04.08 Bukoto-Kisasi'!L17)</f>
        <v>0</v>
      </c>
      <c r="M17" s="49">
        <f>AVERAGE('29.07 Bukoto-Kisasi'!M17,'30.07 Bukoto-Kisasi'!M17,'31.07 Bukoto-Kisasi'!M17,'02.08 Bukoto-Kisasi'!M17,'01.08 Bukoto-Kisasi'!M17,'03.08 Bukoto-Kisasi'!M17,'04.08 Bukoto-Kisasi'!M17)</f>
        <v>55.285714285714285</v>
      </c>
      <c r="N17" s="49">
        <f>AVERAGE('29.07 Bukoto-Kisasi'!N17,'30.07 Bukoto-Kisasi'!N17,'31.07 Bukoto-Kisasi'!N17,'02.08 Bukoto-Kisasi'!N17,'01.08 Bukoto-Kisasi'!N17,'03.08 Bukoto-Kisasi'!N17,'04.08 Bukoto-Kisasi'!N17)</f>
        <v>0</v>
      </c>
      <c r="O17" s="15">
        <f t="shared" si="0"/>
        <v>61</v>
      </c>
      <c r="P17" s="15">
        <f t="shared" si="1"/>
        <v>116.28571428571428</v>
      </c>
      <c r="R17" s="1" t="s">
        <v>13</v>
      </c>
      <c r="S17" s="17">
        <f t="shared" ref="S17:AF17" si="9">SUM(C38:C41)</f>
        <v>130.57142857142858</v>
      </c>
      <c r="T17" s="17">
        <f t="shared" si="9"/>
        <v>68.285714285714292</v>
      </c>
      <c r="U17" s="17">
        <f t="shared" si="9"/>
        <v>29</v>
      </c>
      <c r="V17" s="17">
        <f t="shared" si="9"/>
        <v>40.571428571428569</v>
      </c>
      <c r="W17" s="17">
        <f t="shared" si="9"/>
        <v>0</v>
      </c>
      <c r="X17" s="17">
        <f t="shared" si="9"/>
        <v>0.42857142857142855</v>
      </c>
      <c r="Y17" s="17">
        <f t="shared" si="9"/>
        <v>5.5714285714285712</v>
      </c>
      <c r="Z17" s="17">
        <f t="shared" si="9"/>
        <v>2.1428571428571428</v>
      </c>
      <c r="AA17" s="17">
        <f t="shared" si="9"/>
        <v>0.14285714285714285</v>
      </c>
      <c r="AB17" s="17">
        <f t="shared" si="9"/>
        <v>0.2857142857142857</v>
      </c>
      <c r="AC17" s="17">
        <f t="shared" si="9"/>
        <v>186.14285714285711</v>
      </c>
      <c r="AD17" s="17">
        <f t="shared" si="9"/>
        <v>0</v>
      </c>
      <c r="AE17" s="31">
        <f t="shared" si="9"/>
        <v>277</v>
      </c>
      <c r="AF17" s="31">
        <f t="shared" si="9"/>
        <v>463.14285714285711</v>
      </c>
    </row>
    <row r="18" spans="2:32" ht="23.1" customHeight="1" x14ac:dyDescent="0.25">
      <c r="B18" s="23" t="s">
        <v>45</v>
      </c>
      <c r="C18" s="49">
        <f>AVERAGE('29.07 Bukoto-Kisasi'!C18,'30.07 Bukoto-Kisasi'!C18,'31.07 Bukoto-Kisasi'!C18,'02.08 Bukoto-Kisasi'!C18,'01.08 Bukoto-Kisasi'!C18,'03.08 Bukoto-Kisasi'!C18,'04.08 Bukoto-Kisasi'!C18)</f>
        <v>30</v>
      </c>
      <c r="D18" s="49">
        <f>AVERAGE('29.07 Bukoto-Kisasi'!D18,'30.07 Bukoto-Kisasi'!D18,'31.07 Bukoto-Kisasi'!D18,'02.08 Bukoto-Kisasi'!D18,'01.08 Bukoto-Kisasi'!D18,'03.08 Bukoto-Kisasi'!D18,'04.08 Bukoto-Kisasi'!D18)</f>
        <v>23.428571428571427</v>
      </c>
      <c r="E18" s="49">
        <f>AVERAGE('29.07 Bukoto-Kisasi'!E18,'30.07 Bukoto-Kisasi'!E18,'31.07 Bukoto-Kisasi'!E18,'02.08 Bukoto-Kisasi'!E18,'01.08 Bukoto-Kisasi'!E18,'03.08 Bukoto-Kisasi'!E18,'04.08 Bukoto-Kisasi'!E18)</f>
        <v>5.1428571428571432</v>
      </c>
      <c r="F18" s="49">
        <f>AVERAGE('29.07 Bukoto-Kisasi'!F18,'30.07 Bukoto-Kisasi'!F18,'31.07 Bukoto-Kisasi'!F18,'02.08 Bukoto-Kisasi'!F18,'01.08 Bukoto-Kisasi'!F18,'03.08 Bukoto-Kisasi'!F18,'04.08 Bukoto-Kisasi'!F18)</f>
        <v>7.1428571428571432</v>
      </c>
      <c r="G18" s="49">
        <f>AVERAGE('29.07 Bukoto-Kisasi'!G18,'30.07 Bukoto-Kisasi'!G18,'31.07 Bukoto-Kisasi'!G18,'02.08 Bukoto-Kisasi'!G18,'01.08 Bukoto-Kisasi'!G18,'03.08 Bukoto-Kisasi'!G18,'04.08 Bukoto-Kisasi'!G18)</f>
        <v>0</v>
      </c>
      <c r="H18" s="49">
        <f>AVERAGE('29.07 Bukoto-Kisasi'!H18,'30.07 Bukoto-Kisasi'!H18,'31.07 Bukoto-Kisasi'!H18,'02.08 Bukoto-Kisasi'!H18,'01.08 Bukoto-Kisasi'!H18,'03.08 Bukoto-Kisasi'!H18,'04.08 Bukoto-Kisasi'!H18)</f>
        <v>0</v>
      </c>
      <c r="I18" s="49">
        <f>AVERAGE('29.07 Bukoto-Kisasi'!I18,'30.07 Bukoto-Kisasi'!I18,'31.07 Bukoto-Kisasi'!I18,'02.08 Bukoto-Kisasi'!I18,'01.08 Bukoto-Kisasi'!I18,'03.08 Bukoto-Kisasi'!I18,'04.08 Bukoto-Kisasi'!I18)</f>
        <v>1.8571428571428572</v>
      </c>
      <c r="J18" s="49">
        <f>AVERAGE('29.07 Bukoto-Kisasi'!J18,'30.07 Bukoto-Kisasi'!J18,'31.07 Bukoto-Kisasi'!J18,'02.08 Bukoto-Kisasi'!J18,'01.08 Bukoto-Kisasi'!J18,'03.08 Bukoto-Kisasi'!J18,'04.08 Bukoto-Kisasi'!J18)</f>
        <v>0.5714285714285714</v>
      </c>
      <c r="K18" s="49">
        <f>AVERAGE('29.07 Bukoto-Kisasi'!K18,'30.07 Bukoto-Kisasi'!K18,'31.07 Bukoto-Kisasi'!K18,'02.08 Bukoto-Kisasi'!K18,'01.08 Bukoto-Kisasi'!K18,'03.08 Bukoto-Kisasi'!K18,'04.08 Bukoto-Kisasi'!K18)</f>
        <v>0.2857142857142857</v>
      </c>
      <c r="L18" s="49">
        <f>AVERAGE('29.07 Bukoto-Kisasi'!L18,'30.07 Bukoto-Kisasi'!L18,'31.07 Bukoto-Kisasi'!L18,'02.08 Bukoto-Kisasi'!L18,'01.08 Bukoto-Kisasi'!L18,'03.08 Bukoto-Kisasi'!L18,'04.08 Bukoto-Kisasi'!L18)</f>
        <v>0</v>
      </c>
      <c r="M18" s="49">
        <f>AVERAGE('29.07 Bukoto-Kisasi'!M18,'30.07 Bukoto-Kisasi'!M18,'31.07 Bukoto-Kisasi'!M18,'02.08 Bukoto-Kisasi'!M18,'01.08 Bukoto-Kisasi'!M18,'03.08 Bukoto-Kisasi'!M18,'04.08 Bukoto-Kisasi'!M18)</f>
        <v>60.142857142857146</v>
      </c>
      <c r="N18" s="49">
        <f>AVERAGE('29.07 Bukoto-Kisasi'!N18,'30.07 Bukoto-Kisasi'!N18,'31.07 Bukoto-Kisasi'!N18,'02.08 Bukoto-Kisasi'!N18,'01.08 Bukoto-Kisasi'!N18,'03.08 Bukoto-Kisasi'!N18,'04.08 Bukoto-Kisasi'!N18)</f>
        <v>0</v>
      </c>
      <c r="O18" s="15">
        <f t="shared" si="0"/>
        <v>68.428571428571445</v>
      </c>
      <c r="P18" s="15">
        <f t="shared" si="1"/>
        <v>128.57142857142858</v>
      </c>
      <c r="R18" s="1" t="s">
        <v>14</v>
      </c>
      <c r="S18" s="17">
        <f t="shared" ref="S18:AF18" si="10">SUM(C42:C45)</f>
        <v>131.71428571428572</v>
      </c>
      <c r="T18" s="17">
        <f t="shared" si="10"/>
        <v>63.857142857142861</v>
      </c>
      <c r="U18" s="17">
        <f t="shared" si="10"/>
        <v>36.857142857142861</v>
      </c>
      <c r="V18" s="17">
        <f t="shared" si="10"/>
        <v>37.285714285714285</v>
      </c>
      <c r="W18" s="17">
        <f t="shared" si="10"/>
        <v>0.2857142857142857</v>
      </c>
      <c r="X18" s="17">
        <f t="shared" si="10"/>
        <v>0</v>
      </c>
      <c r="Y18" s="17">
        <f t="shared" si="10"/>
        <v>7</v>
      </c>
      <c r="Z18" s="17">
        <f t="shared" si="10"/>
        <v>1.7142857142857142</v>
      </c>
      <c r="AA18" s="17">
        <f t="shared" si="10"/>
        <v>0.5714285714285714</v>
      </c>
      <c r="AB18" s="17">
        <f t="shared" si="10"/>
        <v>0</v>
      </c>
      <c r="AC18" s="17">
        <f t="shared" si="10"/>
        <v>186.85714285714286</v>
      </c>
      <c r="AD18" s="17">
        <f t="shared" si="10"/>
        <v>0</v>
      </c>
      <c r="AE18" s="31">
        <f t="shared" si="10"/>
        <v>279.28571428571428</v>
      </c>
      <c r="AF18" s="31">
        <f t="shared" si="10"/>
        <v>466.14285714285717</v>
      </c>
    </row>
    <row r="19" spans="2:32" ht="23.1" customHeight="1" x14ac:dyDescent="0.25">
      <c r="B19" s="23" t="s">
        <v>46</v>
      </c>
      <c r="C19" s="49">
        <f>AVERAGE('29.07 Bukoto-Kisasi'!C19,'30.07 Bukoto-Kisasi'!C19,'31.07 Bukoto-Kisasi'!C19,'02.08 Bukoto-Kisasi'!C19,'01.08 Bukoto-Kisasi'!C19,'03.08 Bukoto-Kisasi'!C19,'04.08 Bukoto-Kisasi'!C19)</f>
        <v>30.142857142857142</v>
      </c>
      <c r="D19" s="49">
        <f>AVERAGE('29.07 Bukoto-Kisasi'!D19,'30.07 Bukoto-Kisasi'!D19,'31.07 Bukoto-Kisasi'!D19,'02.08 Bukoto-Kisasi'!D19,'01.08 Bukoto-Kisasi'!D19,'03.08 Bukoto-Kisasi'!D19,'04.08 Bukoto-Kisasi'!D19)</f>
        <v>20.571428571428573</v>
      </c>
      <c r="E19" s="49">
        <f>AVERAGE('29.07 Bukoto-Kisasi'!E19,'30.07 Bukoto-Kisasi'!E19,'31.07 Bukoto-Kisasi'!E19,'02.08 Bukoto-Kisasi'!E19,'01.08 Bukoto-Kisasi'!E19,'03.08 Bukoto-Kisasi'!E19,'04.08 Bukoto-Kisasi'!E19)</f>
        <v>5.7142857142857144</v>
      </c>
      <c r="F19" s="49">
        <f>AVERAGE('29.07 Bukoto-Kisasi'!F19,'30.07 Bukoto-Kisasi'!F19,'31.07 Bukoto-Kisasi'!F19,'02.08 Bukoto-Kisasi'!F19,'01.08 Bukoto-Kisasi'!F19,'03.08 Bukoto-Kisasi'!F19,'04.08 Bukoto-Kisasi'!F19)</f>
        <v>8.7142857142857135</v>
      </c>
      <c r="G19" s="49">
        <f>AVERAGE('29.07 Bukoto-Kisasi'!G19,'30.07 Bukoto-Kisasi'!G19,'31.07 Bukoto-Kisasi'!G19,'02.08 Bukoto-Kisasi'!G19,'01.08 Bukoto-Kisasi'!G19,'03.08 Bukoto-Kisasi'!G19,'04.08 Bukoto-Kisasi'!G19)</f>
        <v>0</v>
      </c>
      <c r="H19" s="49">
        <f>AVERAGE('29.07 Bukoto-Kisasi'!H19,'30.07 Bukoto-Kisasi'!H19,'31.07 Bukoto-Kisasi'!H19,'02.08 Bukoto-Kisasi'!H19,'01.08 Bukoto-Kisasi'!H19,'03.08 Bukoto-Kisasi'!H19,'04.08 Bukoto-Kisasi'!H19)</f>
        <v>0</v>
      </c>
      <c r="I19" s="49">
        <f>AVERAGE('29.07 Bukoto-Kisasi'!I19,'30.07 Bukoto-Kisasi'!I19,'31.07 Bukoto-Kisasi'!I19,'02.08 Bukoto-Kisasi'!I19,'01.08 Bukoto-Kisasi'!I19,'03.08 Bukoto-Kisasi'!I19,'04.08 Bukoto-Kisasi'!I19)</f>
        <v>1.8571428571428572</v>
      </c>
      <c r="J19" s="49">
        <f>AVERAGE('29.07 Bukoto-Kisasi'!J19,'30.07 Bukoto-Kisasi'!J19,'31.07 Bukoto-Kisasi'!J19,'02.08 Bukoto-Kisasi'!J19,'01.08 Bukoto-Kisasi'!J19,'03.08 Bukoto-Kisasi'!J19,'04.08 Bukoto-Kisasi'!J19)</f>
        <v>0.5714285714285714</v>
      </c>
      <c r="K19" s="49">
        <f>AVERAGE('29.07 Bukoto-Kisasi'!K19,'30.07 Bukoto-Kisasi'!K19,'31.07 Bukoto-Kisasi'!K19,'02.08 Bukoto-Kisasi'!K19,'01.08 Bukoto-Kisasi'!K19,'03.08 Bukoto-Kisasi'!K19,'04.08 Bukoto-Kisasi'!K19)</f>
        <v>0.2857142857142857</v>
      </c>
      <c r="L19" s="49">
        <f>AVERAGE('29.07 Bukoto-Kisasi'!L19,'30.07 Bukoto-Kisasi'!L19,'31.07 Bukoto-Kisasi'!L19,'02.08 Bukoto-Kisasi'!L19,'01.08 Bukoto-Kisasi'!L19,'03.08 Bukoto-Kisasi'!L19,'04.08 Bukoto-Kisasi'!L19)</f>
        <v>0</v>
      </c>
      <c r="M19" s="49">
        <f>AVERAGE('29.07 Bukoto-Kisasi'!M19,'30.07 Bukoto-Kisasi'!M19,'31.07 Bukoto-Kisasi'!M19,'02.08 Bukoto-Kisasi'!M19,'01.08 Bukoto-Kisasi'!M19,'03.08 Bukoto-Kisasi'!M19,'04.08 Bukoto-Kisasi'!M19)</f>
        <v>60.285714285714285</v>
      </c>
      <c r="N19" s="49">
        <f>AVERAGE('29.07 Bukoto-Kisasi'!N19,'30.07 Bukoto-Kisasi'!N19,'31.07 Bukoto-Kisasi'!N19,'02.08 Bukoto-Kisasi'!N19,'01.08 Bukoto-Kisasi'!N19,'03.08 Bukoto-Kisasi'!N19,'04.08 Bukoto-Kisasi'!N19)</f>
        <v>0</v>
      </c>
      <c r="O19" s="15">
        <f t="shared" si="0"/>
        <v>67.857142857142861</v>
      </c>
      <c r="P19" s="15">
        <f t="shared" si="1"/>
        <v>128.14285714285714</v>
      </c>
      <c r="R19" s="1" t="s">
        <v>15</v>
      </c>
      <c r="S19" s="17">
        <f t="shared" ref="S19:AF19" si="11">SUM(C46:C49)</f>
        <v>171</v>
      </c>
      <c r="T19" s="17">
        <f t="shared" si="11"/>
        <v>80.571428571428569</v>
      </c>
      <c r="U19" s="17">
        <f t="shared" si="11"/>
        <v>38.142857142857139</v>
      </c>
      <c r="V19" s="17">
        <f t="shared" si="11"/>
        <v>38.428571428571423</v>
      </c>
      <c r="W19" s="17">
        <f t="shared" si="11"/>
        <v>1</v>
      </c>
      <c r="X19" s="17">
        <f t="shared" si="11"/>
        <v>0.42857142857142855</v>
      </c>
      <c r="Y19" s="17">
        <f t="shared" si="11"/>
        <v>7.4285714285714288</v>
      </c>
      <c r="Z19" s="17">
        <f t="shared" si="11"/>
        <v>3.714285714285714</v>
      </c>
      <c r="AA19" s="17">
        <f t="shared" si="11"/>
        <v>1</v>
      </c>
      <c r="AB19" s="17">
        <f t="shared" si="11"/>
        <v>0</v>
      </c>
      <c r="AC19" s="17">
        <f t="shared" si="11"/>
        <v>185.42857142857142</v>
      </c>
      <c r="AD19" s="17">
        <f t="shared" si="11"/>
        <v>0</v>
      </c>
      <c r="AE19" s="31">
        <f t="shared" si="11"/>
        <v>341.71428571428578</v>
      </c>
      <c r="AF19" s="31">
        <f t="shared" si="11"/>
        <v>527.14285714285722</v>
      </c>
    </row>
    <row r="20" spans="2:32" ht="23.1" customHeight="1" x14ac:dyDescent="0.25">
      <c r="B20" s="23" t="s">
        <v>47</v>
      </c>
      <c r="C20" s="49">
        <f>AVERAGE('29.07 Bukoto-Kisasi'!C20,'30.07 Bukoto-Kisasi'!C20,'31.07 Bukoto-Kisasi'!C20,'02.08 Bukoto-Kisasi'!C20,'01.08 Bukoto-Kisasi'!C20,'03.08 Bukoto-Kisasi'!C20,'04.08 Bukoto-Kisasi'!C20)</f>
        <v>37</v>
      </c>
      <c r="D20" s="49">
        <f>AVERAGE('29.07 Bukoto-Kisasi'!D20,'30.07 Bukoto-Kisasi'!D20,'31.07 Bukoto-Kisasi'!D20,'02.08 Bukoto-Kisasi'!D20,'01.08 Bukoto-Kisasi'!D20,'03.08 Bukoto-Kisasi'!D20,'04.08 Bukoto-Kisasi'!D20)</f>
        <v>25</v>
      </c>
      <c r="E20" s="49">
        <f>AVERAGE('29.07 Bukoto-Kisasi'!E20,'30.07 Bukoto-Kisasi'!E20,'31.07 Bukoto-Kisasi'!E20,'02.08 Bukoto-Kisasi'!E20,'01.08 Bukoto-Kisasi'!E20,'03.08 Bukoto-Kisasi'!E20,'04.08 Bukoto-Kisasi'!E20)</f>
        <v>5.4285714285714288</v>
      </c>
      <c r="F20" s="49">
        <f>AVERAGE('29.07 Bukoto-Kisasi'!F20,'30.07 Bukoto-Kisasi'!F20,'31.07 Bukoto-Kisasi'!F20,'02.08 Bukoto-Kisasi'!F20,'01.08 Bukoto-Kisasi'!F20,'03.08 Bukoto-Kisasi'!F20,'04.08 Bukoto-Kisasi'!F20)</f>
        <v>6.4285714285714288</v>
      </c>
      <c r="G20" s="49">
        <f>AVERAGE('29.07 Bukoto-Kisasi'!G20,'30.07 Bukoto-Kisasi'!G20,'31.07 Bukoto-Kisasi'!G20,'02.08 Bukoto-Kisasi'!G20,'01.08 Bukoto-Kisasi'!G20,'03.08 Bukoto-Kisasi'!G20,'04.08 Bukoto-Kisasi'!G20)</f>
        <v>0</v>
      </c>
      <c r="H20" s="49">
        <f>AVERAGE('29.07 Bukoto-Kisasi'!H20,'30.07 Bukoto-Kisasi'!H20,'31.07 Bukoto-Kisasi'!H20,'02.08 Bukoto-Kisasi'!H20,'01.08 Bukoto-Kisasi'!H20,'03.08 Bukoto-Kisasi'!H20,'04.08 Bukoto-Kisasi'!H20)</f>
        <v>0</v>
      </c>
      <c r="I20" s="49">
        <f>AVERAGE('29.07 Bukoto-Kisasi'!I20,'30.07 Bukoto-Kisasi'!I20,'31.07 Bukoto-Kisasi'!I20,'02.08 Bukoto-Kisasi'!I20,'01.08 Bukoto-Kisasi'!I20,'03.08 Bukoto-Kisasi'!I20,'04.08 Bukoto-Kisasi'!I20)</f>
        <v>2</v>
      </c>
      <c r="J20" s="49">
        <f>AVERAGE('29.07 Bukoto-Kisasi'!J20,'30.07 Bukoto-Kisasi'!J20,'31.07 Bukoto-Kisasi'!J20,'02.08 Bukoto-Kisasi'!J20,'01.08 Bukoto-Kisasi'!J20,'03.08 Bukoto-Kisasi'!J20,'04.08 Bukoto-Kisasi'!J20)</f>
        <v>0.42857142857142855</v>
      </c>
      <c r="K20" s="49">
        <f>AVERAGE('29.07 Bukoto-Kisasi'!K20,'30.07 Bukoto-Kisasi'!K20,'31.07 Bukoto-Kisasi'!K20,'02.08 Bukoto-Kisasi'!K20,'01.08 Bukoto-Kisasi'!K20,'03.08 Bukoto-Kisasi'!K20,'04.08 Bukoto-Kisasi'!K20)</f>
        <v>0.14285714285714285</v>
      </c>
      <c r="L20" s="49">
        <f>AVERAGE('29.07 Bukoto-Kisasi'!L20,'30.07 Bukoto-Kisasi'!L20,'31.07 Bukoto-Kisasi'!L20,'02.08 Bukoto-Kisasi'!L20,'01.08 Bukoto-Kisasi'!L20,'03.08 Bukoto-Kisasi'!L20,'04.08 Bukoto-Kisasi'!L20)</f>
        <v>0</v>
      </c>
      <c r="M20" s="49">
        <f>AVERAGE('29.07 Bukoto-Kisasi'!M20,'30.07 Bukoto-Kisasi'!M20,'31.07 Bukoto-Kisasi'!M20,'02.08 Bukoto-Kisasi'!M20,'01.08 Bukoto-Kisasi'!M20,'03.08 Bukoto-Kisasi'!M20,'04.08 Bukoto-Kisasi'!M20)</f>
        <v>58.714285714285715</v>
      </c>
      <c r="N20" s="49">
        <f>AVERAGE('29.07 Bukoto-Kisasi'!N20,'30.07 Bukoto-Kisasi'!N20,'31.07 Bukoto-Kisasi'!N20,'02.08 Bukoto-Kisasi'!N20,'01.08 Bukoto-Kisasi'!N20,'03.08 Bukoto-Kisasi'!N20,'04.08 Bukoto-Kisasi'!N20)</f>
        <v>0</v>
      </c>
      <c r="O20" s="15">
        <f t="shared" si="0"/>
        <v>76.428571428571431</v>
      </c>
      <c r="P20" s="15">
        <f t="shared" si="1"/>
        <v>135.14285714285714</v>
      </c>
      <c r="R20" s="1" t="s">
        <v>16</v>
      </c>
      <c r="S20" s="17">
        <f t="shared" ref="S20:AF20" si="12">SUM(C50:C53)</f>
        <v>272.57142857142856</v>
      </c>
      <c r="T20" s="17">
        <f t="shared" si="12"/>
        <v>115.42857142857143</v>
      </c>
      <c r="U20" s="17">
        <f t="shared" si="12"/>
        <v>49.428571428571431</v>
      </c>
      <c r="V20" s="17">
        <f t="shared" si="12"/>
        <v>52.571428571428569</v>
      </c>
      <c r="W20" s="17">
        <f t="shared" si="12"/>
        <v>0.71428571428571419</v>
      </c>
      <c r="X20" s="17">
        <f t="shared" si="12"/>
        <v>0</v>
      </c>
      <c r="Y20" s="17">
        <f t="shared" si="12"/>
        <v>7.2857142857142847</v>
      </c>
      <c r="Z20" s="17">
        <f t="shared" si="12"/>
        <v>2</v>
      </c>
      <c r="AA20" s="17">
        <f t="shared" si="12"/>
        <v>0.2857142857142857</v>
      </c>
      <c r="AB20" s="17">
        <f t="shared" si="12"/>
        <v>0</v>
      </c>
      <c r="AC20" s="17">
        <f t="shared" si="12"/>
        <v>211.42857142857144</v>
      </c>
      <c r="AD20" s="17">
        <f t="shared" si="12"/>
        <v>0</v>
      </c>
      <c r="AE20" s="31">
        <f t="shared" si="12"/>
        <v>500.28571428571428</v>
      </c>
      <c r="AF20" s="31">
        <f t="shared" si="12"/>
        <v>711.71428571428567</v>
      </c>
    </row>
    <row r="21" spans="2:32" ht="23.1" customHeight="1" x14ac:dyDescent="0.25">
      <c r="B21" s="23" t="s">
        <v>48</v>
      </c>
      <c r="C21" s="49">
        <f>AVERAGE('29.07 Bukoto-Kisasi'!C21,'30.07 Bukoto-Kisasi'!C21,'31.07 Bukoto-Kisasi'!C21,'02.08 Bukoto-Kisasi'!C21,'01.08 Bukoto-Kisasi'!C21,'03.08 Bukoto-Kisasi'!C21,'04.08 Bukoto-Kisasi'!C21)</f>
        <v>38.428571428571431</v>
      </c>
      <c r="D21" s="49">
        <f>AVERAGE('29.07 Bukoto-Kisasi'!D21,'30.07 Bukoto-Kisasi'!D21,'31.07 Bukoto-Kisasi'!D21,'02.08 Bukoto-Kisasi'!D21,'01.08 Bukoto-Kisasi'!D21,'03.08 Bukoto-Kisasi'!D21,'04.08 Bukoto-Kisasi'!D21)</f>
        <v>26.142857142857142</v>
      </c>
      <c r="E21" s="49">
        <f>AVERAGE('29.07 Bukoto-Kisasi'!E21,'30.07 Bukoto-Kisasi'!E21,'31.07 Bukoto-Kisasi'!E21,'02.08 Bukoto-Kisasi'!E21,'01.08 Bukoto-Kisasi'!E21,'03.08 Bukoto-Kisasi'!E21,'04.08 Bukoto-Kisasi'!E21)</f>
        <v>5.2857142857142856</v>
      </c>
      <c r="F21" s="49">
        <f>AVERAGE('29.07 Bukoto-Kisasi'!F21,'30.07 Bukoto-Kisasi'!F21,'31.07 Bukoto-Kisasi'!F21,'02.08 Bukoto-Kisasi'!F21,'01.08 Bukoto-Kisasi'!F21,'03.08 Bukoto-Kisasi'!F21,'04.08 Bukoto-Kisasi'!F21)</f>
        <v>7.4285714285714288</v>
      </c>
      <c r="G21" s="49">
        <f>AVERAGE('29.07 Bukoto-Kisasi'!G21,'30.07 Bukoto-Kisasi'!G21,'31.07 Bukoto-Kisasi'!G21,'02.08 Bukoto-Kisasi'!G21,'01.08 Bukoto-Kisasi'!G21,'03.08 Bukoto-Kisasi'!G21,'04.08 Bukoto-Kisasi'!G21)</f>
        <v>0</v>
      </c>
      <c r="H21" s="49">
        <f>AVERAGE('29.07 Bukoto-Kisasi'!H21,'30.07 Bukoto-Kisasi'!H21,'31.07 Bukoto-Kisasi'!H21,'02.08 Bukoto-Kisasi'!H21,'01.08 Bukoto-Kisasi'!H21,'03.08 Bukoto-Kisasi'!H21,'04.08 Bukoto-Kisasi'!H21)</f>
        <v>0</v>
      </c>
      <c r="I21" s="49">
        <f>AVERAGE('29.07 Bukoto-Kisasi'!I21,'30.07 Bukoto-Kisasi'!I21,'31.07 Bukoto-Kisasi'!I21,'02.08 Bukoto-Kisasi'!I21,'01.08 Bukoto-Kisasi'!I21,'03.08 Bukoto-Kisasi'!I21,'04.08 Bukoto-Kisasi'!I21)</f>
        <v>1.7142857142857142</v>
      </c>
      <c r="J21" s="49">
        <f>AVERAGE('29.07 Bukoto-Kisasi'!J21,'30.07 Bukoto-Kisasi'!J21,'31.07 Bukoto-Kisasi'!J21,'02.08 Bukoto-Kisasi'!J21,'01.08 Bukoto-Kisasi'!J21,'03.08 Bukoto-Kisasi'!J21,'04.08 Bukoto-Kisasi'!J21)</f>
        <v>0.42857142857142855</v>
      </c>
      <c r="K21" s="49">
        <f>AVERAGE('29.07 Bukoto-Kisasi'!K21,'30.07 Bukoto-Kisasi'!K21,'31.07 Bukoto-Kisasi'!K21,'02.08 Bukoto-Kisasi'!K21,'01.08 Bukoto-Kisasi'!K21,'03.08 Bukoto-Kisasi'!K21,'04.08 Bukoto-Kisasi'!K21)</f>
        <v>0</v>
      </c>
      <c r="L21" s="49">
        <f>AVERAGE('29.07 Bukoto-Kisasi'!L21,'30.07 Bukoto-Kisasi'!L21,'31.07 Bukoto-Kisasi'!L21,'02.08 Bukoto-Kisasi'!L21,'01.08 Bukoto-Kisasi'!L21,'03.08 Bukoto-Kisasi'!L21,'04.08 Bukoto-Kisasi'!L21)</f>
        <v>0</v>
      </c>
      <c r="M21" s="49">
        <f>AVERAGE('29.07 Bukoto-Kisasi'!M21,'30.07 Bukoto-Kisasi'!M21,'31.07 Bukoto-Kisasi'!M21,'02.08 Bukoto-Kisasi'!M21,'01.08 Bukoto-Kisasi'!M21,'03.08 Bukoto-Kisasi'!M21,'04.08 Bukoto-Kisasi'!M21)</f>
        <v>59.142857142857146</v>
      </c>
      <c r="N21" s="49">
        <f>AVERAGE('29.07 Bukoto-Kisasi'!N21,'30.07 Bukoto-Kisasi'!N21,'31.07 Bukoto-Kisasi'!N21,'02.08 Bukoto-Kisasi'!N21,'01.08 Bukoto-Kisasi'!N21,'03.08 Bukoto-Kisasi'!N21,'04.08 Bukoto-Kisasi'!N21)</f>
        <v>0</v>
      </c>
      <c r="O21" s="15">
        <f t="shared" si="0"/>
        <v>79.428571428571431</v>
      </c>
      <c r="P21" s="15">
        <f t="shared" si="1"/>
        <v>138.57142857142858</v>
      </c>
      <c r="R21" s="36" t="s">
        <v>20</v>
      </c>
      <c r="S21" s="34">
        <f t="shared" ref="S21:AF21" si="13">SUM(C54:C57)</f>
        <v>302.71428571428567</v>
      </c>
      <c r="T21" s="17">
        <f t="shared" si="13"/>
        <v>135.85714285714286</v>
      </c>
      <c r="U21" s="17">
        <f t="shared" si="13"/>
        <v>48.857142857142861</v>
      </c>
      <c r="V21" s="17">
        <f t="shared" si="13"/>
        <v>57.857142857142854</v>
      </c>
      <c r="W21" s="17">
        <f t="shared" si="13"/>
        <v>0.2857142857142857</v>
      </c>
      <c r="X21" s="17">
        <f t="shared" si="13"/>
        <v>0.2857142857142857</v>
      </c>
      <c r="Y21" s="17">
        <f t="shared" si="13"/>
        <v>8.5714285714285712</v>
      </c>
      <c r="Z21" s="17">
        <f t="shared" si="13"/>
        <v>1.2857142857142856</v>
      </c>
      <c r="AA21" s="17">
        <f t="shared" si="13"/>
        <v>0.14285714285714285</v>
      </c>
      <c r="AB21" s="17">
        <f t="shared" si="13"/>
        <v>0</v>
      </c>
      <c r="AC21" s="17">
        <f t="shared" si="13"/>
        <v>253.85714285714289</v>
      </c>
      <c r="AD21" s="17">
        <f t="shared" si="13"/>
        <v>0</v>
      </c>
      <c r="AE21" s="31">
        <f t="shared" si="13"/>
        <v>555.85714285714278</v>
      </c>
      <c r="AF21" s="31">
        <f t="shared" si="13"/>
        <v>809.71428571428555</v>
      </c>
    </row>
    <row r="22" spans="2:32" ht="23.1" customHeight="1" x14ac:dyDescent="0.25">
      <c r="B22" s="23" t="s">
        <v>49</v>
      </c>
      <c r="C22" s="49">
        <f>AVERAGE('29.07 Bukoto-Kisasi'!C22,'30.07 Bukoto-Kisasi'!C22,'31.07 Bukoto-Kisasi'!C22,'02.08 Bukoto-Kisasi'!C22,'01.08 Bukoto-Kisasi'!C22,'03.08 Bukoto-Kisasi'!C22,'04.08 Bukoto-Kisasi'!C22)</f>
        <v>38.428571428571431</v>
      </c>
      <c r="D22" s="49">
        <f>AVERAGE('29.07 Bukoto-Kisasi'!D22,'30.07 Bukoto-Kisasi'!D22,'31.07 Bukoto-Kisasi'!D22,'02.08 Bukoto-Kisasi'!D22,'01.08 Bukoto-Kisasi'!D22,'03.08 Bukoto-Kisasi'!D22,'04.08 Bukoto-Kisasi'!D22)</f>
        <v>29</v>
      </c>
      <c r="E22" s="49">
        <f>AVERAGE('29.07 Bukoto-Kisasi'!E22,'30.07 Bukoto-Kisasi'!E22,'31.07 Bukoto-Kisasi'!E22,'02.08 Bukoto-Kisasi'!E22,'01.08 Bukoto-Kisasi'!E22,'03.08 Bukoto-Kisasi'!E22,'04.08 Bukoto-Kisasi'!E22)</f>
        <v>4</v>
      </c>
      <c r="F22" s="49">
        <f>AVERAGE('29.07 Bukoto-Kisasi'!F22,'30.07 Bukoto-Kisasi'!F22,'31.07 Bukoto-Kisasi'!F22,'02.08 Bukoto-Kisasi'!F22,'01.08 Bukoto-Kisasi'!F22,'03.08 Bukoto-Kisasi'!F22,'04.08 Bukoto-Kisasi'!F22)</f>
        <v>7.1428571428571432</v>
      </c>
      <c r="G22" s="49">
        <f>AVERAGE('29.07 Bukoto-Kisasi'!G22,'30.07 Bukoto-Kisasi'!G22,'31.07 Bukoto-Kisasi'!G22,'02.08 Bukoto-Kisasi'!G22,'01.08 Bukoto-Kisasi'!G22,'03.08 Bukoto-Kisasi'!G22,'04.08 Bukoto-Kisasi'!G22)</f>
        <v>0</v>
      </c>
      <c r="H22" s="49">
        <f>AVERAGE('29.07 Bukoto-Kisasi'!H22,'30.07 Bukoto-Kisasi'!H22,'31.07 Bukoto-Kisasi'!H22,'02.08 Bukoto-Kisasi'!H22,'01.08 Bukoto-Kisasi'!H22,'03.08 Bukoto-Kisasi'!H22,'04.08 Bukoto-Kisasi'!H22)</f>
        <v>0</v>
      </c>
      <c r="I22" s="49">
        <f>AVERAGE('29.07 Bukoto-Kisasi'!I22,'30.07 Bukoto-Kisasi'!I22,'31.07 Bukoto-Kisasi'!I22,'02.08 Bukoto-Kisasi'!I22,'01.08 Bukoto-Kisasi'!I22,'03.08 Bukoto-Kisasi'!I22,'04.08 Bukoto-Kisasi'!I22)</f>
        <v>1.7142857142857142</v>
      </c>
      <c r="J22" s="49">
        <f>AVERAGE('29.07 Bukoto-Kisasi'!J22,'30.07 Bukoto-Kisasi'!J22,'31.07 Bukoto-Kisasi'!J22,'02.08 Bukoto-Kisasi'!J22,'01.08 Bukoto-Kisasi'!J22,'03.08 Bukoto-Kisasi'!J22,'04.08 Bukoto-Kisasi'!J22)</f>
        <v>0.8571428571428571</v>
      </c>
      <c r="K22" s="49">
        <f>AVERAGE('29.07 Bukoto-Kisasi'!K22,'30.07 Bukoto-Kisasi'!K22,'31.07 Bukoto-Kisasi'!K22,'02.08 Bukoto-Kisasi'!K22,'01.08 Bukoto-Kisasi'!K22,'03.08 Bukoto-Kisasi'!K22,'04.08 Bukoto-Kisasi'!K22)</f>
        <v>0</v>
      </c>
      <c r="L22" s="49">
        <f>AVERAGE('29.07 Bukoto-Kisasi'!L22,'30.07 Bukoto-Kisasi'!L22,'31.07 Bukoto-Kisasi'!L22,'02.08 Bukoto-Kisasi'!L22,'01.08 Bukoto-Kisasi'!L22,'03.08 Bukoto-Kisasi'!L22,'04.08 Bukoto-Kisasi'!L22)</f>
        <v>0</v>
      </c>
      <c r="M22" s="49">
        <f>AVERAGE('29.07 Bukoto-Kisasi'!M22,'30.07 Bukoto-Kisasi'!M22,'31.07 Bukoto-Kisasi'!M22,'02.08 Bukoto-Kisasi'!M22,'01.08 Bukoto-Kisasi'!M22,'03.08 Bukoto-Kisasi'!M22,'04.08 Bukoto-Kisasi'!M22)</f>
        <v>63.142857142857146</v>
      </c>
      <c r="N22" s="49">
        <f>AVERAGE('29.07 Bukoto-Kisasi'!N22,'30.07 Bukoto-Kisasi'!N22,'31.07 Bukoto-Kisasi'!N22,'02.08 Bukoto-Kisasi'!N22,'01.08 Bukoto-Kisasi'!N22,'03.08 Bukoto-Kisasi'!N22,'04.08 Bukoto-Kisasi'!N22)</f>
        <v>0</v>
      </c>
      <c r="O22" s="15">
        <f t="shared" si="0"/>
        <v>81.142857142857139</v>
      </c>
      <c r="P22" s="15">
        <f t="shared" si="1"/>
        <v>144.28571428571428</v>
      </c>
      <c r="R22" s="1" t="s">
        <v>146</v>
      </c>
      <c r="S22" s="34">
        <f>SUM(C58:C61)</f>
        <v>150</v>
      </c>
      <c r="T22" s="34">
        <f t="shared" ref="T22:AF22" si="14">SUM(D58:D61)</f>
        <v>109.5</v>
      </c>
      <c r="U22" s="34">
        <f t="shared" si="14"/>
        <v>2</v>
      </c>
      <c r="V22" s="34">
        <f t="shared" si="14"/>
        <v>39</v>
      </c>
      <c r="W22" s="34">
        <f t="shared" si="14"/>
        <v>0.5</v>
      </c>
      <c r="X22" s="34">
        <f t="shared" si="14"/>
        <v>0</v>
      </c>
      <c r="Y22" s="34">
        <f t="shared" si="14"/>
        <v>11.5</v>
      </c>
      <c r="Z22" s="34">
        <f t="shared" si="14"/>
        <v>0</v>
      </c>
      <c r="AA22" s="34">
        <f t="shared" si="14"/>
        <v>0.5</v>
      </c>
      <c r="AB22" s="34">
        <f t="shared" si="14"/>
        <v>1</v>
      </c>
      <c r="AC22" s="34">
        <f t="shared" si="14"/>
        <v>267.5</v>
      </c>
      <c r="AD22" s="34">
        <f t="shared" si="14"/>
        <v>0</v>
      </c>
      <c r="AE22" s="31">
        <f t="shared" si="14"/>
        <v>314</v>
      </c>
      <c r="AF22" s="31">
        <f t="shared" si="14"/>
        <v>581.5</v>
      </c>
    </row>
    <row r="23" spans="2:32" ht="23.1" customHeight="1" x14ac:dyDescent="0.25">
      <c r="B23" s="23" t="s">
        <v>50</v>
      </c>
      <c r="C23" s="49">
        <f>AVERAGE('29.07 Bukoto-Kisasi'!C23,'30.07 Bukoto-Kisasi'!C23,'31.07 Bukoto-Kisasi'!C23,'02.08 Bukoto-Kisasi'!C23,'01.08 Bukoto-Kisasi'!C23,'03.08 Bukoto-Kisasi'!C23,'04.08 Bukoto-Kisasi'!C23)</f>
        <v>29.714285714285715</v>
      </c>
      <c r="D23" s="49">
        <f>AVERAGE('29.07 Bukoto-Kisasi'!D23,'30.07 Bukoto-Kisasi'!D23,'31.07 Bukoto-Kisasi'!D23,'02.08 Bukoto-Kisasi'!D23,'01.08 Bukoto-Kisasi'!D23,'03.08 Bukoto-Kisasi'!D23,'04.08 Bukoto-Kisasi'!D23)</f>
        <v>24.285714285714285</v>
      </c>
      <c r="E23" s="49">
        <f>AVERAGE('29.07 Bukoto-Kisasi'!E23,'30.07 Bukoto-Kisasi'!E23,'31.07 Bukoto-Kisasi'!E23,'02.08 Bukoto-Kisasi'!E23,'01.08 Bukoto-Kisasi'!E23,'03.08 Bukoto-Kisasi'!E23,'04.08 Bukoto-Kisasi'!E23)</f>
        <v>4.2857142857142856</v>
      </c>
      <c r="F23" s="49">
        <f>AVERAGE('29.07 Bukoto-Kisasi'!F23,'30.07 Bukoto-Kisasi'!F23,'31.07 Bukoto-Kisasi'!F23,'02.08 Bukoto-Kisasi'!F23,'01.08 Bukoto-Kisasi'!F23,'03.08 Bukoto-Kisasi'!F23,'04.08 Bukoto-Kisasi'!F23)</f>
        <v>7</v>
      </c>
      <c r="G23" s="49">
        <f>AVERAGE('29.07 Bukoto-Kisasi'!G23,'30.07 Bukoto-Kisasi'!G23,'31.07 Bukoto-Kisasi'!G23,'02.08 Bukoto-Kisasi'!G23,'01.08 Bukoto-Kisasi'!G23,'03.08 Bukoto-Kisasi'!G23,'04.08 Bukoto-Kisasi'!G23)</f>
        <v>0.42857142857142855</v>
      </c>
      <c r="H23" s="49">
        <f>AVERAGE('29.07 Bukoto-Kisasi'!H23,'30.07 Bukoto-Kisasi'!H23,'31.07 Bukoto-Kisasi'!H23,'02.08 Bukoto-Kisasi'!H23,'01.08 Bukoto-Kisasi'!H23,'03.08 Bukoto-Kisasi'!H23,'04.08 Bukoto-Kisasi'!H23)</f>
        <v>0</v>
      </c>
      <c r="I23" s="49">
        <f>AVERAGE('29.07 Bukoto-Kisasi'!I23,'30.07 Bukoto-Kisasi'!I23,'31.07 Bukoto-Kisasi'!I23,'02.08 Bukoto-Kisasi'!I23,'01.08 Bukoto-Kisasi'!I23,'03.08 Bukoto-Kisasi'!I23,'04.08 Bukoto-Kisasi'!I23)</f>
        <v>2.1428571428571428</v>
      </c>
      <c r="J23" s="49">
        <f>AVERAGE('29.07 Bukoto-Kisasi'!J23,'30.07 Bukoto-Kisasi'!J23,'31.07 Bukoto-Kisasi'!J23,'02.08 Bukoto-Kisasi'!J23,'01.08 Bukoto-Kisasi'!J23,'03.08 Bukoto-Kisasi'!J23,'04.08 Bukoto-Kisasi'!J23)</f>
        <v>1.2857142857142858</v>
      </c>
      <c r="K23" s="49">
        <f>AVERAGE('29.07 Bukoto-Kisasi'!K23,'30.07 Bukoto-Kisasi'!K23,'31.07 Bukoto-Kisasi'!K23,'02.08 Bukoto-Kisasi'!K23,'01.08 Bukoto-Kisasi'!K23,'03.08 Bukoto-Kisasi'!K23,'04.08 Bukoto-Kisasi'!K23)</f>
        <v>0.2857142857142857</v>
      </c>
      <c r="L23" s="49">
        <f>AVERAGE('29.07 Bukoto-Kisasi'!L23,'30.07 Bukoto-Kisasi'!L23,'31.07 Bukoto-Kisasi'!L23,'02.08 Bukoto-Kisasi'!L23,'01.08 Bukoto-Kisasi'!L23,'03.08 Bukoto-Kisasi'!L23,'04.08 Bukoto-Kisasi'!L23)</f>
        <v>0</v>
      </c>
      <c r="M23" s="49">
        <f>AVERAGE('29.07 Bukoto-Kisasi'!M23,'30.07 Bukoto-Kisasi'!M23,'31.07 Bukoto-Kisasi'!M23,'02.08 Bukoto-Kisasi'!M23,'01.08 Bukoto-Kisasi'!M23,'03.08 Bukoto-Kisasi'!M23,'04.08 Bukoto-Kisasi'!M23)</f>
        <v>57.428571428571431</v>
      </c>
      <c r="N23" s="49">
        <f>AVERAGE('29.07 Bukoto-Kisasi'!N23,'30.07 Bukoto-Kisasi'!N23,'31.07 Bukoto-Kisasi'!N23,'02.08 Bukoto-Kisasi'!N23,'01.08 Bukoto-Kisasi'!N23,'03.08 Bukoto-Kisasi'!N23,'04.08 Bukoto-Kisasi'!N23)</f>
        <v>0</v>
      </c>
      <c r="O23" s="15">
        <f t="shared" si="0"/>
        <v>69.428571428571431</v>
      </c>
      <c r="P23" s="15">
        <f t="shared" si="1"/>
        <v>126.85714285714286</v>
      </c>
      <c r="R23" s="1" t="s">
        <v>147</v>
      </c>
      <c r="S23" s="34">
        <f>SUM(C62:C65)</f>
        <v>133.5</v>
      </c>
      <c r="T23" s="34">
        <f t="shared" ref="T23:AF23" si="15">SUM(D62:D65)</f>
        <v>88</v>
      </c>
      <c r="U23" s="34">
        <f t="shared" si="15"/>
        <v>1.5</v>
      </c>
      <c r="V23" s="34">
        <f t="shared" si="15"/>
        <v>32.5</v>
      </c>
      <c r="W23" s="34">
        <f t="shared" si="15"/>
        <v>1</v>
      </c>
      <c r="X23" s="34">
        <f t="shared" si="15"/>
        <v>0</v>
      </c>
      <c r="Y23" s="34">
        <f t="shared" si="15"/>
        <v>4</v>
      </c>
      <c r="Z23" s="34">
        <f t="shared" si="15"/>
        <v>0.5</v>
      </c>
      <c r="AA23" s="34">
        <f t="shared" si="15"/>
        <v>0.5</v>
      </c>
      <c r="AB23" s="34">
        <f t="shared" si="15"/>
        <v>0</v>
      </c>
      <c r="AC23" s="34">
        <f t="shared" si="15"/>
        <v>220</v>
      </c>
      <c r="AD23" s="34">
        <f t="shared" si="15"/>
        <v>0</v>
      </c>
      <c r="AE23" s="31">
        <f t="shared" si="15"/>
        <v>261.5</v>
      </c>
      <c r="AF23" s="31">
        <f t="shared" si="15"/>
        <v>481.5</v>
      </c>
    </row>
    <row r="24" spans="2:32" ht="23.1" customHeight="1" x14ac:dyDescent="0.25">
      <c r="B24" s="23" t="s">
        <v>51</v>
      </c>
      <c r="C24" s="49">
        <f>AVERAGE('29.07 Bukoto-Kisasi'!C24,'30.07 Bukoto-Kisasi'!C24,'31.07 Bukoto-Kisasi'!C24,'02.08 Bukoto-Kisasi'!C24,'01.08 Bukoto-Kisasi'!C24,'03.08 Bukoto-Kisasi'!C24,'04.08 Bukoto-Kisasi'!C24)</f>
        <v>31.714285714285715</v>
      </c>
      <c r="D24" s="49">
        <f>AVERAGE('29.07 Bukoto-Kisasi'!D24,'30.07 Bukoto-Kisasi'!D24,'31.07 Bukoto-Kisasi'!D24,'02.08 Bukoto-Kisasi'!D24,'01.08 Bukoto-Kisasi'!D24,'03.08 Bukoto-Kisasi'!D24,'04.08 Bukoto-Kisasi'!D24)</f>
        <v>22.428571428571427</v>
      </c>
      <c r="E24" s="49">
        <f>AVERAGE('29.07 Bukoto-Kisasi'!E24,'30.07 Bukoto-Kisasi'!E24,'31.07 Bukoto-Kisasi'!E24,'02.08 Bukoto-Kisasi'!E24,'01.08 Bukoto-Kisasi'!E24,'03.08 Bukoto-Kisasi'!E24,'04.08 Bukoto-Kisasi'!E24)</f>
        <v>5.8571428571428568</v>
      </c>
      <c r="F24" s="49">
        <f>AVERAGE('29.07 Bukoto-Kisasi'!F24,'30.07 Bukoto-Kisasi'!F24,'31.07 Bukoto-Kisasi'!F24,'02.08 Bukoto-Kisasi'!F24,'01.08 Bukoto-Kisasi'!F24,'03.08 Bukoto-Kisasi'!F24,'04.08 Bukoto-Kisasi'!F24)</f>
        <v>7.7142857142857144</v>
      </c>
      <c r="G24" s="49">
        <f>AVERAGE('29.07 Bukoto-Kisasi'!G24,'30.07 Bukoto-Kisasi'!G24,'31.07 Bukoto-Kisasi'!G24,'02.08 Bukoto-Kisasi'!G24,'01.08 Bukoto-Kisasi'!G24,'03.08 Bukoto-Kisasi'!G24,'04.08 Bukoto-Kisasi'!G24)</f>
        <v>0.14285714285714285</v>
      </c>
      <c r="H24" s="49">
        <f>AVERAGE('29.07 Bukoto-Kisasi'!H24,'30.07 Bukoto-Kisasi'!H24,'31.07 Bukoto-Kisasi'!H24,'02.08 Bukoto-Kisasi'!H24,'01.08 Bukoto-Kisasi'!H24,'03.08 Bukoto-Kisasi'!H24,'04.08 Bukoto-Kisasi'!H24)</f>
        <v>0</v>
      </c>
      <c r="I24" s="49">
        <f>AVERAGE('29.07 Bukoto-Kisasi'!I24,'30.07 Bukoto-Kisasi'!I24,'31.07 Bukoto-Kisasi'!I24,'02.08 Bukoto-Kisasi'!I24,'01.08 Bukoto-Kisasi'!I24,'03.08 Bukoto-Kisasi'!I24,'04.08 Bukoto-Kisasi'!I24)</f>
        <v>2.8571428571428572</v>
      </c>
      <c r="J24" s="49">
        <f>AVERAGE('29.07 Bukoto-Kisasi'!J24,'30.07 Bukoto-Kisasi'!J24,'31.07 Bukoto-Kisasi'!J24,'02.08 Bukoto-Kisasi'!J24,'01.08 Bukoto-Kisasi'!J24,'03.08 Bukoto-Kisasi'!J24,'04.08 Bukoto-Kisasi'!J24)</f>
        <v>0.8571428571428571</v>
      </c>
      <c r="K24" s="49">
        <f>AVERAGE('29.07 Bukoto-Kisasi'!K24,'30.07 Bukoto-Kisasi'!K24,'31.07 Bukoto-Kisasi'!K24,'02.08 Bukoto-Kisasi'!K24,'01.08 Bukoto-Kisasi'!K24,'03.08 Bukoto-Kisasi'!K24,'04.08 Bukoto-Kisasi'!K24)</f>
        <v>0.14285714285714285</v>
      </c>
      <c r="L24" s="49">
        <f>AVERAGE('29.07 Bukoto-Kisasi'!L24,'30.07 Bukoto-Kisasi'!L24,'31.07 Bukoto-Kisasi'!L24,'02.08 Bukoto-Kisasi'!L24,'01.08 Bukoto-Kisasi'!L24,'03.08 Bukoto-Kisasi'!L24,'04.08 Bukoto-Kisasi'!L24)</f>
        <v>0</v>
      </c>
      <c r="M24" s="49">
        <f>AVERAGE('29.07 Bukoto-Kisasi'!M24,'30.07 Bukoto-Kisasi'!M24,'31.07 Bukoto-Kisasi'!M24,'02.08 Bukoto-Kisasi'!M24,'01.08 Bukoto-Kisasi'!M24,'03.08 Bukoto-Kisasi'!M24,'04.08 Bukoto-Kisasi'!M24)</f>
        <v>58.857142857142854</v>
      </c>
      <c r="N24" s="49">
        <f>AVERAGE('29.07 Bukoto-Kisasi'!N24,'30.07 Bukoto-Kisasi'!N24,'31.07 Bukoto-Kisasi'!N24,'02.08 Bukoto-Kisasi'!N24,'01.08 Bukoto-Kisasi'!N24,'03.08 Bukoto-Kisasi'!N24,'04.08 Bukoto-Kisasi'!N24)</f>
        <v>0</v>
      </c>
      <c r="O24" s="15">
        <f t="shared" si="0"/>
        <v>71.714285714285708</v>
      </c>
      <c r="P24" s="15">
        <f t="shared" si="1"/>
        <v>130.57142857142856</v>
      </c>
      <c r="R24" s="1" t="s">
        <v>148</v>
      </c>
      <c r="S24" s="34">
        <f>SUM(C66:C69)</f>
        <v>138.5</v>
      </c>
      <c r="T24" s="34">
        <f t="shared" ref="T24:AF24" si="16">SUM(D66:D69)</f>
        <v>81</v>
      </c>
      <c r="U24" s="34">
        <f t="shared" si="16"/>
        <v>1</v>
      </c>
      <c r="V24" s="34">
        <f t="shared" si="16"/>
        <v>25.5</v>
      </c>
      <c r="W24" s="34">
        <f t="shared" si="16"/>
        <v>0</v>
      </c>
      <c r="X24" s="34">
        <f t="shared" si="16"/>
        <v>0</v>
      </c>
      <c r="Y24" s="34">
        <f t="shared" si="16"/>
        <v>4.5</v>
      </c>
      <c r="Z24" s="34">
        <f t="shared" si="16"/>
        <v>0</v>
      </c>
      <c r="AA24" s="34">
        <f t="shared" si="16"/>
        <v>1</v>
      </c>
      <c r="AB24" s="34">
        <f t="shared" si="16"/>
        <v>0</v>
      </c>
      <c r="AC24" s="34">
        <f t="shared" si="16"/>
        <v>183</v>
      </c>
      <c r="AD24" s="34">
        <f t="shared" si="16"/>
        <v>0</v>
      </c>
      <c r="AE24" s="31">
        <f t="shared" si="16"/>
        <v>251.5</v>
      </c>
      <c r="AF24" s="31">
        <f t="shared" si="16"/>
        <v>434.5</v>
      </c>
    </row>
    <row r="25" spans="2:32" ht="23.1" customHeight="1" x14ac:dyDescent="0.25">
      <c r="B25" s="23" t="s">
        <v>52</v>
      </c>
      <c r="C25" s="49">
        <f>AVERAGE('29.07 Bukoto-Kisasi'!C25,'30.07 Bukoto-Kisasi'!C25,'31.07 Bukoto-Kisasi'!C25,'02.08 Bukoto-Kisasi'!C25,'01.08 Bukoto-Kisasi'!C25,'03.08 Bukoto-Kisasi'!C25,'04.08 Bukoto-Kisasi'!C25)</f>
        <v>28.714285714285715</v>
      </c>
      <c r="D25" s="49">
        <f>AVERAGE('29.07 Bukoto-Kisasi'!D25,'30.07 Bukoto-Kisasi'!D25,'31.07 Bukoto-Kisasi'!D25,'02.08 Bukoto-Kisasi'!D25,'01.08 Bukoto-Kisasi'!D25,'03.08 Bukoto-Kisasi'!D25,'04.08 Bukoto-Kisasi'!D25)</f>
        <v>13.142857142857142</v>
      </c>
      <c r="E25" s="49">
        <f>AVERAGE('29.07 Bukoto-Kisasi'!E25,'30.07 Bukoto-Kisasi'!E25,'31.07 Bukoto-Kisasi'!E25,'02.08 Bukoto-Kisasi'!E25,'01.08 Bukoto-Kisasi'!E25,'03.08 Bukoto-Kisasi'!E25,'04.08 Bukoto-Kisasi'!E25)</f>
        <v>5.7142857142857144</v>
      </c>
      <c r="F25" s="49">
        <f>AVERAGE('29.07 Bukoto-Kisasi'!F25,'30.07 Bukoto-Kisasi'!F25,'31.07 Bukoto-Kisasi'!F25,'02.08 Bukoto-Kisasi'!F25,'01.08 Bukoto-Kisasi'!F25,'03.08 Bukoto-Kisasi'!F25,'04.08 Bukoto-Kisasi'!F25)</f>
        <v>5.5714285714285712</v>
      </c>
      <c r="G25" s="49">
        <f>AVERAGE('29.07 Bukoto-Kisasi'!G25,'30.07 Bukoto-Kisasi'!G25,'31.07 Bukoto-Kisasi'!G25,'02.08 Bukoto-Kisasi'!G25,'01.08 Bukoto-Kisasi'!G25,'03.08 Bukoto-Kisasi'!G25,'04.08 Bukoto-Kisasi'!G25)</f>
        <v>0.5714285714285714</v>
      </c>
      <c r="H25" s="49">
        <f>AVERAGE('29.07 Bukoto-Kisasi'!H25,'30.07 Bukoto-Kisasi'!H25,'31.07 Bukoto-Kisasi'!H25,'02.08 Bukoto-Kisasi'!H25,'01.08 Bukoto-Kisasi'!H25,'03.08 Bukoto-Kisasi'!H25,'04.08 Bukoto-Kisasi'!H25)</f>
        <v>0</v>
      </c>
      <c r="I25" s="49">
        <f>AVERAGE('29.07 Bukoto-Kisasi'!I25,'30.07 Bukoto-Kisasi'!I25,'31.07 Bukoto-Kisasi'!I25,'02.08 Bukoto-Kisasi'!I25,'01.08 Bukoto-Kisasi'!I25,'03.08 Bukoto-Kisasi'!I25,'04.08 Bukoto-Kisasi'!I25)</f>
        <v>1.5714285714285714</v>
      </c>
      <c r="J25" s="49">
        <f>AVERAGE('29.07 Bukoto-Kisasi'!J25,'30.07 Bukoto-Kisasi'!J25,'31.07 Bukoto-Kisasi'!J25,'02.08 Bukoto-Kisasi'!J25,'01.08 Bukoto-Kisasi'!J25,'03.08 Bukoto-Kisasi'!J25,'04.08 Bukoto-Kisasi'!J25)</f>
        <v>0.2857142857142857</v>
      </c>
      <c r="K25" s="49">
        <f>AVERAGE('29.07 Bukoto-Kisasi'!K25,'30.07 Bukoto-Kisasi'!K25,'31.07 Bukoto-Kisasi'!K25,'02.08 Bukoto-Kisasi'!K25,'01.08 Bukoto-Kisasi'!K25,'03.08 Bukoto-Kisasi'!K25,'04.08 Bukoto-Kisasi'!K25)</f>
        <v>0.14285714285714285</v>
      </c>
      <c r="L25" s="49">
        <f>AVERAGE('29.07 Bukoto-Kisasi'!L25,'30.07 Bukoto-Kisasi'!L25,'31.07 Bukoto-Kisasi'!L25,'02.08 Bukoto-Kisasi'!L25,'01.08 Bukoto-Kisasi'!L25,'03.08 Bukoto-Kisasi'!L25,'04.08 Bukoto-Kisasi'!L25)</f>
        <v>0</v>
      </c>
      <c r="M25" s="49">
        <f>AVERAGE('29.07 Bukoto-Kisasi'!M25,'30.07 Bukoto-Kisasi'!M25,'31.07 Bukoto-Kisasi'!M25,'02.08 Bukoto-Kisasi'!M25,'01.08 Bukoto-Kisasi'!M25,'03.08 Bukoto-Kisasi'!M25,'04.08 Bukoto-Kisasi'!M25)</f>
        <v>60.142857142857146</v>
      </c>
      <c r="N25" s="49">
        <f>AVERAGE('29.07 Bukoto-Kisasi'!N25,'30.07 Bukoto-Kisasi'!N25,'31.07 Bukoto-Kisasi'!N25,'02.08 Bukoto-Kisasi'!N25,'01.08 Bukoto-Kisasi'!N25,'03.08 Bukoto-Kisasi'!N25,'04.08 Bukoto-Kisasi'!N25)</f>
        <v>0</v>
      </c>
      <c r="O25" s="15">
        <f t="shared" si="0"/>
        <v>55.714285714285715</v>
      </c>
      <c r="P25" s="15">
        <f t="shared" si="1"/>
        <v>115.85714285714286</v>
      </c>
      <c r="R25" s="1" t="s">
        <v>149</v>
      </c>
      <c r="S25" s="34">
        <f>SUM(C70:C73)</f>
        <v>108.5</v>
      </c>
      <c r="T25" s="34">
        <f t="shared" ref="T25:AF25" si="17">SUM(D70:D73)</f>
        <v>59.5</v>
      </c>
      <c r="U25" s="34">
        <f t="shared" si="17"/>
        <v>0</v>
      </c>
      <c r="V25" s="34">
        <f t="shared" si="17"/>
        <v>19.5</v>
      </c>
      <c r="W25" s="34">
        <f t="shared" si="17"/>
        <v>0</v>
      </c>
      <c r="X25" s="34">
        <f t="shared" si="17"/>
        <v>0</v>
      </c>
      <c r="Y25" s="34">
        <f t="shared" si="17"/>
        <v>6.5</v>
      </c>
      <c r="Z25" s="34">
        <f t="shared" si="17"/>
        <v>0</v>
      </c>
      <c r="AA25" s="34">
        <f t="shared" si="17"/>
        <v>0.5</v>
      </c>
      <c r="AB25" s="34">
        <f t="shared" si="17"/>
        <v>0</v>
      </c>
      <c r="AC25" s="34">
        <f t="shared" si="17"/>
        <v>109.5</v>
      </c>
      <c r="AD25" s="34">
        <f t="shared" si="17"/>
        <v>0</v>
      </c>
      <c r="AE25" s="31">
        <f t="shared" si="17"/>
        <v>194.5</v>
      </c>
      <c r="AF25" s="31">
        <f t="shared" si="17"/>
        <v>304</v>
      </c>
    </row>
    <row r="26" spans="2:32" ht="23.1" customHeight="1" x14ac:dyDescent="0.25">
      <c r="B26" s="23" t="s">
        <v>53</v>
      </c>
      <c r="C26" s="49">
        <f>AVERAGE('29.07 Bukoto-Kisasi'!C26,'30.07 Bukoto-Kisasi'!C26,'31.07 Bukoto-Kisasi'!C26,'02.08 Bukoto-Kisasi'!C26,'01.08 Bukoto-Kisasi'!C26,'03.08 Bukoto-Kisasi'!C26,'04.08 Bukoto-Kisasi'!C26)</f>
        <v>25.428571428571427</v>
      </c>
      <c r="D26" s="49">
        <f>AVERAGE('29.07 Bukoto-Kisasi'!D26,'30.07 Bukoto-Kisasi'!D26,'31.07 Bukoto-Kisasi'!D26,'02.08 Bukoto-Kisasi'!D26,'01.08 Bukoto-Kisasi'!D26,'03.08 Bukoto-Kisasi'!D26,'04.08 Bukoto-Kisasi'!D26)</f>
        <v>15</v>
      </c>
      <c r="E26" s="49">
        <f>AVERAGE('29.07 Bukoto-Kisasi'!E26,'30.07 Bukoto-Kisasi'!E26,'31.07 Bukoto-Kisasi'!E26,'02.08 Bukoto-Kisasi'!E26,'01.08 Bukoto-Kisasi'!E26,'03.08 Bukoto-Kisasi'!E26,'04.08 Bukoto-Kisasi'!E26)</f>
        <v>4.2857142857142856</v>
      </c>
      <c r="F26" s="49">
        <f>AVERAGE('29.07 Bukoto-Kisasi'!F26,'30.07 Bukoto-Kisasi'!F26,'31.07 Bukoto-Kisasi'!F26,'02.08 Bukoto-Kisasi'!F26,'01.08 Bukoto-Kisasi'!F26,'03.08 Bukoto-Kisasi'!F26,'04.08 Bukoto-Kisasi'!F26)</f>
        <v>6.1428571428571432</v>
      </c>
      <c r="G26" s="49">
        <f>AVERAGE('29.07 Bukoto-Kisasi'!G26,'30.07 Bukoto-Kisasi'!G26,'31.07 Bukoto-Kisasi'!G26,'02.08 Bukoto-Kisasi'!G26,'01.08 Bukoto-Kisasi'!G26,'03.08 Bukoto-Kisasi'!G26,'04.08 Bukoto-Kisasi'!G26)</f>
        <v>0.14285714285714285</v>
      </c>
      <c r="H26" s="49">
        <f>AVERAGE('29.07 Bukoto-Kisasi'!H26,'30.07 Bukoto-Kisasi'!H26,'31.07 Bukoto-Kisasi'!H26,'02.08 Bukoto-Kisasi'!H26,'01.08 Bukoto-Kisasi'!H26,'03.08 Bukoto-Kisasi'!H26,'04.08 Bukoto-Kisasi'!H26)</f>
        <v>0</v>
      </c>
      <c r="I26" s="49">
        <f>AVERAGE('29.07 Bukoto-Kisasi'!I26,'30.07 Bukoto-Kisasi'!I26,'31.07 Bukoto-Kisasi'!I26,'02.08 Bukoto-Kisasi'!I26,'01.08 Bukoto-Kisasi'!I26,'03.08 Bukoto-Kisasi'!I26,'04.08 Bukoto-Kisasi'!I26)</f>
        <v>1.4285714285714286</v>
      </c>
      <c r="J26" s="49">
        <f>AVERAGE('29.07 Bukoto-Kisasi'!J26,'30.07 Bukoto-Kisasi'!J26,'31.07 Bukoto-Kisasi'!J26,'02.08 Bukoto-Kisasi'!J26,'01.08 Bukoto-Kisasi'!J26,'03.08 Bukoto-Kisasi'!J26,'04.08 Bukoto-Kisasi'!J26)</f>
        <v>0.42857142857142855</v>
      </c>
      <c r="K26" s="49">
        <f>AVERAGE('29.07 Bukoto-Kisasi'!K26,'30.07 Bukoto-Kisasi'!K26,'31.07 Bukoto-Kisasi'!K26,'02.08 Bukoto-Kisasi'!K26,'01.08 Bukoto-Kisasi'!K26,'03.08 Bukoto-Kisasi'!K26,'04.08 Bukoto-Kisasi'!K26)</f>
        <v>0.2857142857142857</v>
      </c>
      <c r="L26" s="49">
        <f>AVERAGE('29.07 Bukoto-Kisasi'!L26,'30.07 Bukoto-Kisasi'!L26,'31.07 Bukoto-Kisasi'!L26,'02.08 Bukoto-Kisasi'!L26,'01.08 Bukoto-Kisasi'!L26,'03.08 Bukoto-Kisasi'!L26,'04.08 Bukoto-Kisasi'!L26)</f>
        <v>0</v>
      </c>
      <c r="M26" s="49">
        <f>AVERAGE('29.07 Bukoto-Kisasi'!M26,'30.07 Bukoto-Kisasi'!M26,'31.07 Bukoto-Kisasi'!M26,'02.08 Bukoto-Kisasi'!M26,'01.08 Bukoto-Kisasi'!M26,'03.08 Bukoto-Kisasi'!M26,'04.08 Bukoto-Kisasi'!M26)</f>
        <v>51.285714285714285</v>
      </c>
      <c r="N26" s="49">
        <f>AVERAGE('29.07 Bukoto-Kisasi'!N26,'30.07 Bukoto-Kisasi'!N26,'31.07 Bukoto-Kisasi'!N26,'02.08 Bukoto-Kisasi'!N26,'01.08 Bukoto-Kisasi'!N26,'03.08 Bukoto-Kisasi'!N26,'04.08 Bukoto-Kisasi'!N26)</f>
        <v>0</v>
      </c>
      <c r="O26" s="15">
        <f t="shared" si="0"/>
        <v>53.142857142857153</v>
      </c>
      <c r="P26" s="15">
        <f t="shared" si="1"/>
        <v>104.42857142857144</v>
      </c>
      <c r="R26" s="1" t="s">
        <v>150</v>
      </c>
      <c r="S26" s="34">
        <f>SUM(C74:C77)</f>
        <v>53.5</v>
      </c>
      <c r="T26" s="34">
        <f t="shared" ref="T26:AF26" si="18">SUM(D74:D77)</f>
        <v>33.5</v>
      </c>
      <c r="U26" s="34">
        <f t="shared" si="18"/>
        <v>0</v>
      </c>
      <c r="V26" s="34">
        <f t="shared" si="18"/>
        <v>3</v>
      </c>
      <c r="W26" s="34">
        <f t="shared" si="18"/>
        <v>0</v>
      </c>
      <c r="X26" s="34">
        <f t="shared" si="18"/>
        <v>0</v>
      </c>
      <c r="Y26" s="34">
        <f t="shared" si="18"/>
        <v>1.5</v>
      </c>
      <c r="Z26" s="34">
        <f t="shared" si="18"/>
        <v>0.5</v>
      </c>
      <c r="AA26" s="34">
        <f t="shared" si="18"/>
        <v>0</v>
      </c>
      <c r="AB26" s="34">
        <f t="shared" si="18"/>
        <v>0</v>
      </c>
      <c r="AC26" s="34">
        <f t="shared" si="18"/>
        <v>81</v>
      </c>
      <c r="AD26" s="34">
        <f t="shared" si="18"/>
        <v>0</v>
      </c>
      <c r="AE26" s="31">
        <f t="shared" si="18"/>
        <v>92</v>
      </c>
      <c r="AF26" s="31">
        <f t="shared" si="18"/>
        <v>173</v>
      </c>
    </row>
    <row r="27" spans="2:32" ht="23.1" customHeight="1" x14ac:dyDescent="0.25">
      <c r="B27" s="23" t="s">
        <v>54</v>
      </c>
      <c r="C27" s="49">
        <f>AVERAGE('29.07 Bukoto-Kisasi'!C27,'30.07 Bukoto-Kisasi'!C27,'31.07 Bukoto-Kisasi'!C27,'02.08 Bukoto-Kisasi'!C27,'01.08 Bukoto-Kisasi'!C27,'03.08 Bukoto-Kisasi'!C27,'04.08 Bukoto-Kisasi'!C27)</f>
        <v>26</v>
      </c>
      <c r="D27" s="49">
        <f>AVERAGE('29.07 Bukoto-Kisasi'!D27,'30.07 Bukoto-Kisasi'!D27,'31.07 Bukoto-Kisasi'!D27,'02.08 Bukoto-Kisasi'!D27,'01.08 Bukoto-Kisasi'!D27,'03.08 Bukoto-Kisasi'!D27,'04.08 Bukoto-Kisasi'!D27)</f>
        <v>12.857142857142858</v>
      </c>
      <c r="E27" s="49">
        <f>AVERAGE('29.07 Bukoto-Kisasi'!E27,'30.07 Bukoto-Kisasi'!E27,'31.07 Bukoto-Kisasi'!E27,'02.08 Bukoto-Kisasi'!E27,'01.08 Bukoto-Kisasi'!E27,'03.08 Bukoto-Kisasi'!E27,'04.08 Bukoto-Kisasi'!E27)</f>
        <v>6.1428571428571432</v>
      </c>
      <c r="F27" s="49">
        <f>AVERAGE('29.07 Bukoto-Kisasi'!F27,'30.07 Bukoto-Kisasi'!F27,'31.07 Bukoto-Kisasi'!F27,'02.08 Bukoto-Kisasi'!F27,'01.08 Bukoto-Kisasi'!F27,'03.08 Bukoto-Kisasi'!F27,'04.08 Bukoto-Kisasi'!F27)</f>
        <v>8.2857142857142865</v>
      </c>
      <c r="G27" s="49">
        <f>AVERAGE('29.07 Bukoto-Kisasi'!G27,'30.07 Bukoto-Kisasi'!G27,'31.07 Bukoto-Kisasi'!G27,'02.08 Bukoto-Kisasi'!G27,'01.08 Bukoto-Kisasi'!G27,'03.08 Bukoto-Kisasi'!G27,'04.08 Bukoto-Kisasi'!G27)</f>
        <v>0</v>
      </c>
      <c r="H27" s="49">
        <f>AVERAGE('29.07 Bukoto-Kisasi'!H27,'30.07 Bukoto-Kisasi'!H27,'31.07 Bukoto-Kisasi'!H27,'02.08 Bukoto-Kisasi'!H27,'01.08 Bukoto-Kisasi'!H27,'03.08 Bukoto-Kisasi'!H27,'04.08 Bukoto-Kisasi'!H27)</f>
        <v>0</v>
      </c>
      <c r="I27" s="49">
        <f>AVERAGE('29.07 Bukoto-Kisasi'!I27,'30.07 Bukoto-Kisasi'!I27,'31.07 Bukoto-Kisasi'!I27,'02.08 Bukoto-Kisasi'!I27,'01.08 Bukoto-Kisasi'!I27,'03.08 Bukoto-Kisasi'!I27,'04.08 Bukoto-Kisasi'!I27)</f>
        <v>1.4285714285714286</v>
      </c>
      <c r="J27" s="49">
        <f>AVERAGE('29.07 Bukoto-Kisasi'!J27,'30.07 Bukoto-Kisasi'!J27,'31.07 Bukoto-Kisasi'!J27,'02.08 Bukoto-Kisasi'!J27,'01.08 Bukoto-Kisasi'!J27,'03.08 Bukoto-Kisasi'!J27,'04.08 Bukoto-Kisasi'!J27)</f>
        <v>1.1428571428571428</v>
      </c>
      <c r="K27" s="49">
        <f>AVERAGE('29.07 Bukoto-Kisasi'!K27,'30.07 Bukoto-Kisasi'!K27,'31.07 Bukoto-Kisasi'!K27,'02.08 Bukoto-Kisasi'!K27,'01.08 Bukoto-Kisasi'!K27,'03.08 Bukoto-Kisasi'!K27,'04.08 Bukoto-Kisasi'!K27)</f>
        <v>0</v>
      </c>
      <c r="L27" s="49">
        <f>AVERAGE('29.07 Bukoto-Kisasi'!L27,'30.07 Bukoto-Kisasi'!L27,'31.07 Bukoto-Kisasi'!L27,'02.08 Bukoto-Kisasi'!L27,'01.08 Bukoto-Kisasi'!L27,'03.08 Bukoto-Kisasi'!L27,'04.08 Bukoto-Kisasi'!L27)</f>
        <v>0</v>
      </c>
      <c r="M27" s="49">
        <f>AVERAGE('29.07 Bukoto-Kisasi'!M27,'30.07 Bukoto-Kisasi'!M27,'31.07 Bukoto-Kisasi'!M27,'02.08 Bukoto-Kisasi'!M27,'01.08 Bukoto-Kisasi'!M27,'03.08 Bukoto-Kisasi'!M27,'04.08 Bukoto-Kisasi'!M27)</f>
        <v>52</v>
      </c>
      <c r="N27" s="49">
        <f>AVERAGE('29.07 Bukoto-Kisasi'!N27,'30.07 Bukoto-Kisasi'!N27,'31.07 Bukoto-Kisasi'!N27,'02.08 Bukoto-Kisasi'!N27,'01.08 Bukoto-Kisasi'!N27,'03.08 Bukoto-Kisasi'!N27,'04.08 Bukoto-Kisasi'!N27)</f>
        <v>0</v>
      </c>
      <c r="O27" s="15">
        <f t="shared" si="0"/>
        <v>55.857142857142868</v>
      </c>
      <c r="P27" s="15">
        <f t="shared" si="1"/>
        <v>107.85714285714286</v>
      </c>
      <c r="R27" s="1" t="s">
        <v>151</v>
      </c>
      <c r="S27" s="34">
        <f>SUM(C78:C81)</f>
        <v>46.5</v>
      </c>
      <c r="T27" s="34">
        <f t="shared" ref="T27:AF27" si="19">SUM(D78:D81)</f>
        <v>22</v>
      </c>
      <c r="U27" s="34">
        <f t="shared" si="19"/>
        <v>0</v>
      </c>
      <c r="V27" s="34">
        <f t="shared" si="19"/>
        <v>7</v>
      </c>
      <c r="W27" s="34">
        <f t="shared" si="19"/>
        <v>0.5</v>
      </c>
      <c r="X27" s="34">
        <f t="shared" si="19"/>
        <v>0</v>
      </c>
      <c r="Y27" s="34">
        <f t="shared" si="19"/>
        <v>0.5</v>
      </c>
      <c r="Z27" s="34">
        <f t="shared" si="19"/>
        <v>0.5</v>
      </c>
      <c r="AA27" s="34">
        <f t="shared" si="19"/>
        <v>0</v>
      </c>
      <c r="AB27" s="34">
        <f t="shared" si="19"/>
        <v>0</v>
      </c>
      <c r="AC27" s="34">
        <f t="shared" si="19"/>
        <v>47</v>
      </c>
      <c r="AD27" s="34">
        <f t="shared" si="19"/>
        <v>0</v>
      </c>
      <c r="AE27" s="31">
        <f t="shared" si="19"/>
        <v>77</v>
      </c>
      <c r="AF27" s="31">
        <f t="shared" si="19"/>
        <v>124</v>
      </c>
    </row>
    <row r="28" spans="2:32" ht="23.1" customHeight="1" x14ac:dyDescent="0.25">
      <c r="B28" s="23" t="s">
        <v>55</v>
      </c>
      <c r="C28" s="49">
        <f>AVERAGE('29.07 Bukoto-Kisasi'!C28,'30.07 Bukoto-Kisasi'!C28,'31.07 Bukoto-Kisasi'!C28,'02.08 Bukoto-Kisasi'!C28,'01.08 Bukoto-Kisasi'!C28,'03.08 Bukoto-Kisasi'!C28,'04.08 Bukoto-Kisasi'!C28)</f>
        <v>28.571428571428573</v>
      </c>
      <c r="D28" s="49">
        <f>AVERAGE('29.07 Bukoto-Kisasi'!D28,'30.07 Bukoto-Kisasi'!D28,'31.07 Bukoto-Kisasi'!D28,'02.08 Bukoto-Kisasi'!D28,'01.08 Bukoto-Kisasi'!D28,'03.08 Bukoto-Kisasi'!D28,'04.08 Bukoto-Kisasi'!D28)</f>
        <v>18.142857142857142</v>
      </c>
      <c r="E28" s="49">
        <f>AVERAGE('29.07 Bukoto-Kisasi'!E28,'30.07 Bukoto-Kisasi'!E28,'31.07 Bukoto-Kisasi'!E28,'02.08 Bukoto-Kisasi'!E28,'01.08 Bukoto-Kisasi'!E28,'03.08 Bukoto-Kisasi'!E28,'04.08 Bukoto-Kisasi'!E28)</f>
        <v>4.8571428571428568</v>
      </c>
      <c r="F28" s="49">
        <f>AVERAGE('29.07 Bukoto-Kisasi'!F28,'30.07 Bukoto-Kisasi'!F28,'31.07 Bukoto-Kisasi'!F28,'02.08 Bukoto-Kisasi'!F28,'01.08 Bukoto-Kisasi'!F28,'03.08 Bukoto-Kisasi'!F28,'04.08 Bukoto-Kisasi'!F28)</f>
        <v>7.2857142857142856</v>
      </c>
      <c r="G28" s="49">
        <f>AVERAGE('29.07 Bukoto-Kisasi'!G28,'30.07 Bukoto-Kisasi'!G28,'31.07 Bukoto-Kisasi'!G28,'02.08 Bukoto-Kisasi'!G28,'01.08 Bukoto-Kisasi'!G28,'03.08 Bukoto-Kisasi'!G28,'04.08 Bukoto-Kisasi'!G28)</f>
        <v>0</v>
      </c>
      <c r="H28" s="49">
        <f>AVERAGE('29.07 Bukoto-Kisasi'!H28,'30.07 Bukoto-Kisasi'!H28,'31.07 Bukoto-Kisasi'!H28,'02.08 Bukoto-Kisasi'!H28,'01.08 Bukoto-Kisasi'!H28,'03.08 Bukoto-Kisasi'!H28,'04.08 Bukoto-Kisasi'!H28)</f>
        <v>0</v>
      </c>
      <c r="I28" s="49">
        <f>AVERAGE('29.07 Bukoto-Kisasi'!I28,'30.07 Bukoto-Kisasi'!I28,'31.07 Bukoto-Kisasi'!I28,'02.08 Bukoto-Kisasi'!I28,'01.08 Bukoto-Kisasi'!I28,'03.08 Bukoto-Kisasi'!I28,'04.08 Bukoto-Kisasi'!I28)</f>
        <v>2.2857142857142856</v>
      </c>
      <c r="J28" s="49">
        <f>AVERAGE('29.07 Bukoto-Kisasi'!J28,'30.07 Bukoto-Kisasi'!J28,'31.07 Bukoto-Kisasi'!J28,'02.08 Bukoto-Kisasi'!J28,'01.08 Bukoto-Kisasi'!J28,'03.08 Bukoto-Kisasi'!J28,'04.08 Bukoto-Kisasi'!J28)</f>
        <v>0.14285714285714285</v>
      </c>
      <c r="K28" s="49">
        <f>AVERAGE('29.07 Bukoto-Kisasi'!K28,'30.07 Bukoto-Kisasi'!K28,'31.07 Bukoto-Kisasi'!K28,'02.08 Bukoto-Kisasi'!K28,'01.08 Bukoto-Kisasi'!K28,'03.08 Bukoto-Kisasi'!K28,'04.08 Bukoto-Kisasi'!K28)</f>
        <v>0.2857142857142857</v>
      </c>
      <c r="L28" s="49">
        <f>AVERAGE('29.07 Bukoto-Kisasi'!L28,'30.07 Bukoto-Kisasi'!L28,'31.07 Bukoto-Kisasi'!L28,'02.08 Bukoto-Kisasi'!L28,'01.08 Bukoto-Kisasi'!L28,'03.08 Bukoto-Kisasi'!L28,'04.08 Bukoto-Kisasi'!L28)</f>
        <v>0</v>
      </c>
      <c r="M28" s="49">
        <f>AVERAGE('29.07 Bukoto-Kisasi'!M28,'30.07 Bukoto-Kisasi'!M28,'31.07 Bukoto-Kisasi'!M28,'02.08 Bukoto-Kisasi'!M28,'01.08 Bukoto-Kisasi'!M28,'03.08 Bukoto-Kisasi'!M28,'04.08 Bukoto-Kisasi'!M28)</f>
        <v>50.428571428571431</v>
      </c>
      <c r="N28" s="49">
        <f>AVERAGE('29.07 Bukoto-Kisasi'!N28,'30.07 Bukoto-Kisasi'!N28,'31.07 Bukoto-Kisasi'!N28,'02.08 Bukoto-Kisasi'!N28,'01.08 Bukoto-Kisasi'!N28,'03.08 Bukoto-Kisasi'!N28,'04.08 Bukoto-Kisasi'!N28)</f>
        <v>0.14285714285714285</v>
      </c>
      <c r="O28" s="15">
        <f t="shared" si="0"/>
        <v>61.714285714285715</v>
      </c>
      <c r="P28" s="15">
        <f t="shared" si="1"/>
        <v>112.14285714285714</v>
      </c>
      <c r="R28" s="1" t="s">
        <v>152</v>
      </c>
      <c r="S28" s="34">
        <f>SUM(C82:C85)</f>
        <v>23.5</v>
      </c>
      <c r="T28" s="34">
        <f t="shared" ref="T28:AF28" si="20">SUM(D82:D85)</f>
        <v>8</v>
      </c>
      <c r="U28" s="34">
        <f t="shared" si="20"/>
        <v>0</v>
      </c>
      <c r="V28" s="34">
        <f t="shared" si="20"/>
        <v>5</v>
      </c>
      <c r="W28" s="34">
        <f t="shared" si="20"/>
        <v>0</v>
      </c>
      <c r="X28" s="34">
        <f t="shared" si="20"/>
        <v>0</v>
      </c>
      <c r="Y28" s="34">
        <f t="shared" si="20"/>
        <v>0.5</v>
      </c>
      <c r="Z28" s="34">
        <f t="shared" si="20"/>
        <v>0.5</v>
      </c>
      <c r="AA28" s="34">
        <f t="shared" si="20"/>
        <v>0</v>
      </c>
      <c r="AB28" s="34">
        <f t="shared" si="20"/>
        <v>0</v>
      </c>
      <c r="AC28" s="34">
        <f t="shared" si="20"/>
        <v>37.5</v>
      </c>
      <c r="AD28" s="34">
        <f t="shared" si="20"/>
        <v>0</v>
      </c>
      <c r="AE28" s="31">
        <f t="shared" si="20"/>
        <v>37.5</v>
      </c>
      <c r="AF28" s="31">
        <f t="shared" si="20"/>
        <v>75</v>
      </c>
    </row>
    <row r="29" spans="2:32" ht="23.1" customHeight="1" x14ac:dyDescent="0.25">
      <c r="B29" s="23" t="s">
        <v>56</v>
      </c>
      <c r="C29" s="49">
        <f>AVERAGE('29.07 Bukoto-Kisasi'!C29,'30.07 Bukoto-Kisasi'!C29,'31.07 Bukoto-Kisasi'!C29,'02.08 Bukoto-Kisasi'!C29,'01.08 Bukoto-Kisasi'!C29,'03.08 Bukoto-Kisasi'!C29,'04.08 Bukoto-Kisasi'!C29)</f>
        <v>27</v>
      </c>
      <c r="D29" s="49">
        <f>AVERAGE('29.07 Bukoto-Kisasi'!D29,'30.07 Bukoto-Kisasi'!D29,'31.07 Bukoto-Kisasi'!D29,'02.08 Bukoto-Kisasi'!D29,'01.08 Bukoto-Kisasi'!D29,'03.08 Bukoto-Kisasi'!D29,'04.08 Bukoto-Kisasi'!D29)</f>
        <v>15.428571428571429</v>
      </c>
      <c r="E29" s="49">
        <f>AVERAGE('29.07 Bukoto-Kisasi'!E29,'30.07 Bukoto-Kisasi'!E29,'31.07 Bukoto-Kisasi'!E29,'02.08 Bukoto-Kisasi'!E29,'01.08 Bukoto-Kisasi'!E29,'03.08 Bukoto-Kisasi'!E29,'04.08 Bukoto-Kisasi'!E29)</f>
        <v>7.1428571428571432</v>
      </c>
      <c r="F29" s="49">
        <f>AVERAGE('29.07 Bukoto-Kisasi'!F29,'30.07 Bukoto-Kisasi'!F29,'31.07 Bukoto-Kisasi'!F29,'02.08 Bukoto-Kisasi'!F29,'01.08 Bukoto-Kisasi'!F29,'03.08 Bukoto-Kisasi'!F29,'04.08 Bukoto-Kisasi'!F29)</f>
        <v>6.2857142857142856</v>
      </c>
      <c r="G29" s="49">
        <f>AVERAGE('29.07 Bukoto-Kisasi'!G29,'30.07 Bukoto-Kisasi'!G29,'31.07 Bukoto-Kisasi'!G29,'02.08 Bukoto-Kisasi'!G29,'01.08 Bukoto-Kisasi'!G29,'03.08 Bukoto-Kisasi'!G29,'04.08 Bukoto-Kisasi'!G29)</f>
        <v>0</v>
      </c>
      <c r="H29" s="49">
        <f>AVERAGE('29.07 Bukoto-Kisasi'!H29,'30.07 Bukoto-Kisasi'!H29,'31.07 Bukoto-Kisasi'!H29,'02.08 Bukoto-Kisasi'!H29,'01.08 Bukoto-Kisasi'!H29,'03.08 Bukoto-Kisasi'!H29,'04.08 Bukoto-Kisasi'!H29)</f>
        <v>0</v>
      </c>
      <c r="I29" s="49">
        <f>AVERAGE('29.07 Bukoto-Kisasi'!I29,'30.07 Bukoto-Kisasi'!I29,'31.07 Bukoto-Kisasi'!I29,'02.08 Bukoto-Kisasi'!I29,'01.08 Bukoto-Kisasi'!I29,'03.08 Bukoto-Kisasi'!I29,'04.08 Bukoto-Kisasi'!I29)</f>
        <v>1</v>
      </c>
      <c r="J29" s="49">
        <f>AVERAGE('29.07 Bukoto-Kisasi'!J29,'30.07 Bukoto-Kisasi'!J29,'31.07 Bukoto-Kisasi'!J29,'02.08 Bukoto-Kisasi'!J29,'01.08 Bukoto-Kisasi'!J29,'03.08 Bukoto-Kisasi'!J29,'04.08 Bukoto-Kisasi'!J29)</f>
        <v>0.5714285714285714</v>
      </c>
      <c r="K29" s="49">
        <f>AVERAGE('29.07 Bukoto-Kisasi'!K29,'30.07 Bukoto-Kisasi'!K29,'31.07 Bukoto-Kisasi'!K29,'02.08 Bukoto-Kisasi'!K29,'01.08 Bukoto-Kisasi'!K29,'03.08 Bukoto-Kisasi'!K29,'04.08 Bukoto-Kisasi'!K29)</f>
        <v>0.14285714285714285</v>
      </c>
      <c r="L29" s="49">
        <f>AVERAGE('29.07 Bukoto-Kisasi'!L29,'30.07 Bukoto-Kisasi'!L29,'31.07 Bukoto-Kisasi'!L29,'02.08 Bukoto-Kisasi'!L29,'01.08 Bukoto-Kisasi'!L29,'03.08 Bukoto-Kisasi'!L29,'04.08 Bukoto-Kisasi'!L29)</f>
        <v>0</v>
      </c>
      <c r="M29" s="49">
        <f>AVERAGE('29.07 Bukoto-Kisasi'!M29,'30.07 Bukoto-Kisasi'!M29,'31.07 Bukoto-Kisasi'!M29,'02.08 Bukoto-Kisasi'!M29,'01.08 Bukoto-Kisasi'!M29,'03.08 Bukoto-Kisasi'!M29,'04.08 Bukoto-Kisasi'!M29)</f>
        <v>49.285714285714285</v>
      </c>
      <c r="N29" s="49">
        <f>AVERAGE('29.07 Bukoto-Kisasi'!N29,'30.07 Bukoto-Kisasi'!N29,'31.07 Bukoto-Kisasi'!N29,'02.08 Bukoto-Kisasi'!N29,'01.08 Bukoto-Kisasi'!N29,'03.08 Bukoto-Kisasi'!N29,'04.08 Bukoto-Kisasi'!N29)</f>
        <v>0</v>
      </c>
      <c r="O29" s="15">
        <f t="shared" si="0"/>
        <v>57.571428571428577</v>
      </c>
      <c r="P29" s="15">
        <f t="shared" si="1"/>
        <v>106.85714285714286</v>
      </c>
      <c r="R29" s="1" t="s">
        <v>153</v>
      </c>
      <c r="S29" s="34">
        <f>SUM(C86:C89)</f>
        <v>18.5</v>
      </c>
      <c r="T29" s="34">
        <f t="shared" ref="T29:AF29" si="21">SUM(D86:D89)</f>
        <v>10.5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21</v>
      </c>
      <c r="AD29" s="34">
        <f t="shared" si="21"/>
        <v>0</v>
      </c>
      <c r="AE29" s="31">
        <f t="shared" si="21"/>
        <v>29</v>
      </c>
      <c r="AF29" s="31">
        <f t="shared" si="21"/>
        <v>50</v>
      </c>
    </row>
    <row r="30" spans="2:32" ht="23.1" customHeight="1" x14ac:dyDescent="0.25">
      <c r="B30" s="23" t="s">
        <v>57</v>
      </c>
      <c r="C30" s="49">
        <f>AVERAGE('29.07 Bukoto-Kisasi'!C30,'30.07 Bukoto-Kisasi'!C30,'31.07 Bukoto-Kisasi'!C30,'02.08 Bukoto-Kisasi'!C30,'01.08 Bukoto-Kisasi'!C30,'03.08 Bukoto-Kisasi'!C30,'04.08 Bukoto-Kisasi'!C30)</f>
        <v>24.714285714285715</v>
      </c>
      <c r="D30" s="49">
        <f>AVERAGE('29.07 Bukoto-Kisasi'!D30,'30.07 Bukoto-Kisasi'!D30,'31.07 Bukoto-Kisasi'!D30,'02.08 Bukoto-Kisasi'!D30,'01.08 Bukoto-Kisasi'!D30,'03.08 Bukoto-Kisasi'!D30,'04.08 Bukoto-Kisasi'!D30)</f>
        <v>14</v>
      </c>
      <c r="E30" s="49">
        <f>AVERAGE('29.07 Bukoto-Kisasi'!E30,'30.07 Bukoto-Kisasi'!E30,'31.07 Bukoto-Kisasi'!E30,'02.08 Bukoto-Kisasi'!E30,'01.08 Bukoto-Kisasi'!E30,'03.08 Bukoto-Kisasi'!E30,'04.08 Bukoto-Kisasi'!E30)</f>
        <v>5.7142857142857144</v>
      </c>
      <c r="F30" s="49">
        <f>AVERAGE('29.07 Bukoto-Kisasi'!F30,'30.07 Bukoto-Kisasi'!F30,'31.07 Bukoto-Kisasi'!F30,'02.08 Bukoto-Kisasi'!F30,'01.08 Bukoto-Kisasi'!F30,'03.08 Bukoto-Kisasi'!F30,'04.08 Bukoto-Kisasi'!F30)</f>
        <v>7.1428571428571432</v>
      </c>
      <c r="G30" s="49">
        <f>AVERAGE('29.07 Bukoto-Kisasi'!G30,'30.07 Bukoto-Kisasi'!G30,'31.07 Bukoto-Kisasi'!G30,'02.08 Bukoto-Kisasi'!G30,'01.08 Bukoto-Kisasi'!G30,'03.08 Bukoto-Kisasi'!G30,'04.08 Bukoto-Kisasi'!G30)</f>
        <v>0</v>
      </c>
      <c r="H30" s="49">
        <f>AVERAGE('29.07 Bukoto-Kisasi'!H30,'30.07 Bukoto-Kisasi'!H30,'31.07 Bukoto-Kisasi'!H30,'02.08 Bukoto-Kisasi'!H30,'01.08 Bukoto-Kisasi'!H30,'03.08 Bukoto-Kisasi'!H30,'04.08 Bukoto-Kisasi'!H30)</f>
        <v>0</v>
      </c>
      <c r="I30" s="49">
        <f>AVERAGE('29.07 Bukoto-Kisasi'!I30,'30.07 Bukoto-Kisasi'!I30,'31.07 Bukoto-Kisasi'!I30,'02.08 Bukoto-Kisasi'!I30,'01.08 Bukoto-Kisasi'!I30,'03.08 Bukoto-Kisasi'!I30,'04.08 Bukoto-Kisasi'!I30)</f>
        <v>1.5714285714285714</v>
      </c>
      <c r="J30" s="49">
        <f>AVERAGE('29.07 Bukoto-Kisasi'!J30,'30.07 Bukoto-Kisasi'!J30,'31.07 Bukoto-Kisasi'!J30,'02.08 Bukoto-Kisasi'!J30,'01.08 Bukoto-Kisasi'!J30,'03.08 Bukoto-Kisasi'!J30,'04.08 Bukoto-Kisasi'!J30)</f>
        <v>0.42857142857142855</v>
      </c>
      <c r="K30" s="49">
        <f>AVERAGE('29.07 Bukoto-Kisasi'!K30,'30.07 Bukoto-Kisasi'!K30,'31.07 Bukoto-Kisasi'!K30,'02.08 Bukoto-Kisasi'!K30,'01.08 Bukoto-Kisasi'!K30,'03.08 Bukoto-Kisasi'!K30,'04.08 Bukoto-Kisasi'!K30)</f>
        <v>0.14285714285714285</v>
      </c>
      <c r="L30" s="49">
        <f>AVERAGE('29.07 Bukoto-Kisasi'!L30,'30.07 Bukoto-Kisasi'!L30,'31.07 Bukoto-Kisasi'!L30,'02.08 Bukoto-Kisasi'!L30,'01.08 Bukoto-Kisasi'!L30,'03.08 Bukoto-Kisasi'!L30,'04.08 Bukoto-Kisasi'!L30)</f>
        <v>0</v>
      </c>
      <c r="M30" s="49">
        <f>AVERAGE('29.07 Bukoto-Kisasi'!M30,'30.07 Bukoto-Kisasi'!M30,'31.07 Bukoto-Kisasi'!M30,'02.08 Bukoto-Kisasi'!M30,'01.08 Bukoto-Kisasi'!M30,'03.08 Bukoto-Kisasi'!M30,'04.08 Bukoto-Kisasi'!M30)</f>
        <v>46.857142857142854</v>
      </c>
      <c r="N30" s="49">
        <f>AVERAGE('29.07 Bukoto-Kisasi'!N30,'30.07 Bukoto-Kisasi'!N30,'31.07 Bukoto-Kisasi'!N30,'02.08 Bukoto-Kisasi'!N30,'01.08 Bukoto-Kisasi'!N30,'03.08 Bukoto-Kisasi'!N30,'04.08 Bukoto-Kisasi'!N30)</f>
        <v>0</v>
      </c>
      <c r="O30" s="15">
        <f t="shared" si="0"/>
        <v>53.714285714285722</v>
      </c>
      <c r="P30" s="15">
        <f t="shared" si="1"/>
        <v>100.57142857142858</v>
      </c>
      <c r="R30" s="1" t="s">
        <v>154</v>
      </c>
      <c r="S30" s="34">
        <f>SUM(C90:C93)</f>
        <v>24</v>
      </c>
      <c r="T30" s="34">
        <f t="shared" ref="T30:AF30" si="22">SUM(D90:D93)</f>
        <v>5.5</v>
      </c>
      <c r="U30" s="34">
        <f t="shared" si="22"/>
        <v>0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26</v>
      </c>
      <c r="AD30" s="34">
        <f t="shared" si="22"/>
        <v>0</v>
      </c>
      <c r="AE30" s="31">
        <f t="shared" si="22"/>
        <v>31.5</v>
      </c>
      <c r="AF30" s="31">
        <f t="shared" si="22"/>
        <v>57.5</v>
      </c>
    </row>
    <row r="31" spans="2:32" ht="23.1" customHeight="1" x14ac:dyDescent="0.25">
      <c r="B31" s="24" t="s">
        <v>58</v>
      </c>
      <c r="C31" s="49">
        <f>AVERAGE('29.07 Bukoto-Kisasi'!C31,'30.07 Bukoto-Kisasi'!C31,'31.07 Bukoto-Kisasi'!C31,'02.08 Bukoto-Kisasi'!C31,'01.08 Bukoto-Kisasi'!C31,'03.08 Bukoto-Kisasi'!C31,'04.08 Bukoto-Kisasi'!C31)</f>
        <v>26.714285714285715</v>
      </c>
      <c r="D31" s="49">
        <f>AVERAGE('29.07 Bukoto-Kisasi'!D31,'30.07 Bukoto-Kisasi'!D31,'31.07 Bukoto-Kisasi'!D31,'02.08 Bukoto-Kisasi'!D31,'01.08 Bukoto-Kisasi'!D31,'03.08 Bukoto-Kisasi'!D31,'04.08 Bukoto-Kisasi'!D31)</f>
        <v>16.142857142857142</v>
      </c>
      <c r="E31" s="49">
        <f>AVERAGE('29.07 Bukoto-Kisasi'!E31,'30.07 Bukoto-Kisasi'!E31,'31.07 Bukoto-Kisasi'!E31,'02.08 Bukoto-Kisasi'!E31,'01.08 Bukoto-Kisasi'!E31,'03.08 Bukoto-Kisasi'!E31,'04.08 Bukoto-Kisasi'!E31)</f>
        <v>5.8571428571428568</v>
      </c>
      <c r="F31" s="49">
        <f>AVERAGE('29.07 Bukoto-Kisasi'!F31,'30.07 Bukoto-Kisasi'!F31,'31.07 Bukoto-Kisasi'!F31,'02.08 Bukoto-Kisasi'!F31,'01.08 Bukoto-Kisasi'!F31,'03.08 Bukoto-Kisasi'!F31,'04.08 Bukoto-Kisasi'!F31)</f>
        <v>8</v>
      </c>
      <c r="G31" s="49">
        <f>AVERAGE('29.07 Bukoto-Kisasi'!G31,'30.07 Bukoto-Kisasi'!G31,'31.07 Bukoto-Kisasi'!G31,'02.08 Bukoto-Kisasi'!G31,'01.08 Bukoto-Kisasi'!G31,'03.08 Bukoto-Kisasi'!G31,'04.08 Bukoto-Kisasi'!G31)</f>
        <v>0</v>
      </c>
      <c r="H31" s="49">
        <f>AVERAGE('29.07 Bukoto-Kisasi'!H31,'30.07 Bukoto-Kisasi'!H31,'31.07 Bukoto-Kisasi'!H31,'02.08 Bukoto-Kisasi'!H31,'01.08 Bukoto-Kisasi'!H31,'03.08 Bukoto-Kisasi'!H31,'04.08 Bukoto-Kisasi'!H31)</f>
        <v>0</v>
      </c>
      <c r="I31" s="49">
        <f>AVERAGE('29.07 Bukoto-Kisasi'!I31,'30.07 Bukoto-Kisasi'!I31,'31.07 Bukoto-Kisasi'!I31,'02.08 Bukoto-Kisasi'!I31,'01.08 Bukoto-Kisasi'!I31,'03.08 Bukoto-Kisasi'!I31,'04.08 Bukoto-Kisasi'!I31)</f>
        <v>1.7142857142857142</v>
      </c>
      <c r="J31" s="49">
        <f>AVERAGE('29.07 Bukoto-Kisasi'!J31,'30.07 Bukoto-Kisasi'!J31,'31.07 Bukoto-Kisasi'!J31,'02.08 Bukoto-Kisasi'!J31,'01.08 Bukoto-Kisasi'!J31,'03.08 Bukoto-Kisasi'!J31,'04.08 Bukoto-Kisasi'!J31)</f>
        <v>0.14285714285714285</v>
      </c>
      <c r="K31" s="49">
        <f>AVERAGE('29.07 Bukoto-Kisasi'!K31,'30.07 Bukoto-Kisasi'!K31,'31.07 Bukoto-Kisasi'!K31,'02.08 Bukoto-Kisasi'!K31,'01.08 Bukoto-Kisasi'!K31,'03.08 Bukoto-Kisasi'!K31,'04.08 Bukoto-Kisasi'!K31)</f>
        <v>0</v>
      </c>
      <c r="L31" s="49">
        <f>AVERAGE('29.07 Bukoto-Kisasi'!L31,'30.07 Bukoto-Kisasi'!L31,'31.07 Bukoto-Kisasi'!L31,'02.08 Bukoto-Kisasi'!L31,'01.08 Bukoto-Kisasi'!L31,'03.08 Bukoto-Kisasi'!L31,'04.08 Bukoto-Kisasi'!L31)</f>
        <v>0</v>
      </c>
      <c r="M31" s="49">
        <f>AVERAGE('29.07 Bukoto-Kisasi'!M31,'30.07 Bukoto-Kisasi'!M31,'31.07 Bukoto-Kisasi'!M31,'02.08 Bukoto-Kisasi'!M31,'01.08 Bukoto-Kisasi'!M31,'03.08 Bukoto-Kisasi'!M31,'04.08 Bukoto-Kisasi'!M31)</f>
        <v>49</v>
      </c>
      <c r="N31" s="49">
        <f>AVERAGE('29.07 Bukoto-Kisasi'!N31,'30.07 Bukoto-Kisasi'!N31,'31.07 Bukoto-Kisasi'!N31,'02.08 Bukoto-Kisasi'!N31,'01.08 Bukoto-Kisasi'!N31,'03.08 Bukoto-Kisasi'!N31,'04.08 Bukoto-Kisasi'!N31)</f>
        <v>0</v>
      </c>
      <c r="O31" s="15">
        <f t="shared" si="0"/>
        <v>58.571428571428577</v>
      </c>
      <c r="P31" s="15">
        <f t="shared" si="1"/>
        <v>107.57142857142858</v>
      </c>
      <c r="R31" s="1" t="s">
        <v>155</v>
      </c>
      <c r="S31" s="34">
        <f>SUM(C94:C97)</f>
        <v>23</v>
      </c>
      <c r="T31" s="34">
        <f t="shared" ref="T31:AF31" si="23">SUM(D94:D97)</f>
        <v>8</v>
      </c>
      <c r="U31" s="34">
        <f t="shared" si="23"/>
        <v>0</v>
      </c>
      <c r="V31" s="34">
        <f t="shared" si="23"/>
        <v>2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17</v>
      </c>
      <c r="AD31" s="34">
        <f t="shared" si="23"/>
        <v>0</v>
      </c>
      <c r="AE31" s="31">
        <f t="shared" si="23"/>
        <v>33</v>
      </c>
      <c r="AF31" s="31">
        <f t="shared" si="23"/>
        <v>50</v>
      </c>
    </row>
    <row r="32" spans="2:32" ht="23.1" customHeight="1" x14ac:dyDescent="0.25">
      <c r="B32" s="24" t="s">
        <v>59</v>
      </c>
      <c r="C32" s="49">
        <f>AVERAGE('29.07 Bukoto-Kisasi'!C32,'30.07 Bukoto-Kisasi'!C32,'31.07 Bukoto-Kisasi'!C32,'02.08 Bukoto-Kisasi'!C32,'01.08 Bukoto-Kisasi'!C32,'03.08 Bukoto-Kisasi'!C32,'04.08 Bukoto-Kisasi'!C32)</f>
        <v>27</v>
      </c>
      <c r="D32" s="49">
        <f>AVERAGE('29.07 Bukoto-Kisasi'!D32,'30.07 Bukoto-Kisasi'!D32,'31.07 Bukoto-Kisasi'!D32,'02.08 Bukoto-Kisasi'!D32,'01.08 Bukoto-Kisasi'!D32,'03.08 Bukoto-Kisasi'!D32,'04.08 Bukoto-Kisasi'!D32)</f>
        <v>16.285714285714285</v>
      </c>
      <c r="E32" s="49">
        <f>AVERAGE('29.07 Bukoto-Kisasi'!E32,'30.07 Bukoto-Kisasi'!E32,'31.07 Bukoto-Kisasi'!E32,'02.08 Bukoto-Kisasi'!E32,'01.08 Bukoto-Kisasi'!E32,'03.08 Bukoto-Kisasi'!E32,'04.08 Bukoto-Kisasi'!E32)</f>
        <v>5.8571428571428568</v>
      </c>
      <c r="F32" s="49">
        <f>AVERAGE('29.07 Bukoto-Kisasi'!F32,'30.07 Bukoto-Kisasi'!F32,'31.07 Bukoto-Kisasi'!F32,'02.08 Bukoto-Kisasi'!F32,'01.08 Bukoto-Kisasi'!F32,'03.08 Bukoto-Kisasi'!F32,'04.08 Bukoto-Kisasi'!F32)</f>
        <v>9.2857142857142865</v>
      </c>
      <c r="G32" s="49">
        <f>AVERAGE('29.07 Bukoto-Kisasi'!G32,'30.07 Bukoto-Kisasi'!G32,'31.07 Bukoto-Kisasi'!G32,'02.08 Bukoto-Kisasi'!G32,'01.08 Bukoto-Kisasi'!G32,'03.08 Bukoto-Kisasi'!G32,'04.08 Bukoto-Kisasi'!G32)</f>
        <v>0</v>
      </c>
      <c r="H32" s="49">
        <f>AVERAGE('29.07 Bukoto-Kisasi'!H32,'30.07 Bukoto-Kisasi'!H32,'31.07 Bukoto-Kisasi'!H32,'02.08 Bukoto-Kisasi'!H32,'01.08 Bukoto-Kisasi'!H32,'03.08 Bukoto-Kisasi'!H32,'04.08 Bukoto-Kisasi'!H32)</f>
        <v>0</v>
      </c>
      <c r="I32" s="49">
        <f>AVERAGE('29.07 Bukoto-Kisasi'!I32,'30.07 Bukoto-Kisasi'!I32,'31.07 Bukoto-Kisasi'!I32,'02.08 Bukoto-Kisasi'!I32,'01.08 Bukoto-Kisasi'!I32,'03.08 Bukoto-Kisasi'!I32,'04.08 Bukoto-Kisasi'!I32)</f>
        <v>1.5714285714285714</v>
      </c>
      <c r="J32" s="49">
        <f>AVERAGE('29.07 Bukoto-Kisasi'!J32,'30.07 Bukoto-Kisasi'!J32,'31.07 Bukoto-Kisasi'!J32,'02.08 Bukoto-Kisasi'!J32,'01.08 Bukoto-Kisasi'!J32,'03.08 Bukoto-Kisasi'!J32,'04.08 Bukoto-Kisasi'!J32)</f>
        <v>0.14285714285714285</v>
      </c>
      <c r="K32" s="49">
        <f>AVERAGE('29.07 Bukoto-Kisasi'!K32,'30.07 Bukoto-Kisasi'!K32,'31.07 Bukoto-Kisasi'!K32,'02.08 Bukoto-Kisasi'!K32,'01.08 Bukoto-Kisasi'!K32,'03.08 Bukoto-Kisasi'!K32,'04.08 Bukoto-Kisasi'!K32)</f>
        <v>0.5714285714285714</v>
      </c>
      <c r="L32" s="49">
        <f>AVERAGE('29.07 Bukoto-Kisasi'!L32,'30.07 Bukoto-Kisasi'!L32,'31.07 Bukoto-Kisasi'!L32,'02.08 Bukoto-Kisasi'!L32,'01.08 Bukoto-Kisasi'!L32,'03.08 Bukoto-Kisasi'!L32,'04.08 Bukoto-Kisasi'!L32)</f>
        <v>0</v>
      </c>
      <c r="M32" s="49">
        <f>AVERAGE('29.07 Bukoto-Kisasi'!M32,'30.07 Bukoto-Kisasi'!M32,'31.07 Bukoto-Kisasi'!M32,'02.08 Bukoto-Kisasi'!M32,'01.08 Bukoto-Kisasi'!M32,'03.08 Bukoto-Kisasi'!M32,'04.08 Bukoto-Kisasi'!M32)</f>
        <v>50.428571428571431</v>
      </c>
      <c r="N32" s="49">
        <f>AVERAGE('29.07 Bukoto-Kisasi'!N32,'30.07 Bukoto-Kisasi'!N32,'31.07 Bukoto-Kisasi'!N32,'02.08 Bukoto-Kisasi'!N32,'01.08 Bukoto-Kisasi'!N32,'03.08 Bukoto-Kisasi'!N32,'04.08 Bukoto-Kisasi'!N32)</f>
        <v>0</v>
      </c>
      <c r="O32" s="15">
        <f t="shared" si="0"/>
        <v>60.714285714285708</v>
      </c>
      <c r="P32" s="15">
        <f t="shared" si="1"/>
        <v>111.14285714285714</v>
      </c>
      <c r="R32" s="1" t="s">
        <v>156</v>
      </c>
      <c r="S32" s="34">
        <f>SUM(C98:C101)</f>
        <v>30.5</v>
      </c>
      <c r="T32" s="34">
        <f t="shared" ref="T32:AF32" si="24">SUM(D98:D101)</f>
        <v>13.5</v>
      </c>
      <c r="U32" s="34">
        <f t="shared" si="24"/>
        <v>0</v>
      </c>
      <c r="V32" s="34">
        <f t="shared" si="24"/>
        <v>9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54.5</v>
      </c>
      <c r="AD32" s="34">
        <f t="shared" si="24"/>
        <v>0</v>
      </c>
      <c r="AE32" s="31">
        <f t="shared" si="24"/>
        <v>53</v>
      </c>
      <c r="AF32" s="31">
        <f t="shared" si="24"/>
        <v>107.5</v>
      </c>
    </row>
    <row r="33" spans="2:32" ht="23.1" customHeight="1" x14ac:dyDescent="0.25">
      <c r="B33" s="23" t="s">
        <v>60</v>
      </c>
      <c r="C33" s="49">
        <f>AVERAGE('29.07 Bukoto-Kisasi'!C33,'30.07 Bukoto-Kisasi'!C33,'31.07 Bukoto-Kisasi'!C33,'02.08 Bukoto-Kisasi'!C33,'01.08 Bukoto-Kisasi'!C33,'03.08 Bukoto-Kisasi'!C33,'04.08 Bukoto-Kisasi'!C33)</f>
        <v>29.142857142857142</v>
      </c>
      <c r="D33" s="49">
        <f>AVERAGE('29.07 Bukoto-Kisasi'!D33,'30.07 Bukoto-Kisasi'!D33,'31.07 Bukoto-Kisasi'!D33,'02.08 Bukoto-Kisasi'!D33,'01.08 Bukoto-Kisasi'!D33,'03.08 Bukoto-Kisasi'!D33,'04.08 Bukoto-Kisasi'!D33)</f>
        <v>13.714285714285714</v>
      </c>
      <c r="E33" s="49">
        <f>AVERAGE('29.07 Bukoto-Kisasi'!E33,'30.07 Bukoto-Kisasi'!E33,'31.07 Bukoto-Kisasi'!E33,'02.08 Bukoto-Kisasi'!E33,'01.08 Bukoto-Kisasi'!E33,'03.08 Bukoto-Kisasi'!E33,'04.08 Bukoto-Kisasi'!E33)</f>
        <v>7.5714285714285712</v>
      </c>
      <c r="F33" s="49">
        <f>AVERAGE('29.07 Bukoto-Kisasi'!F33,'30.07 Bukoto-Kisasi'!F33,'31.07 Bukoto-Kisasi'!F33,'02.08 Bukoto-Kisasi'!F33,'01.08 Bukoto-Kisasi'!F33,'03.08 Bukoto-Kisasi'!F33,'04.08 Bukoto-Kisasi'!F33)</f>
        <v>7</v>
      </c>
      <c r="G33" s="49">
        <f>AVERAGE('29.07 Bukoto-Kisasi'!G33,'30.07 Bukoto-Kisasi'!G33,'31.07 Bukoto-Kisasi'!G33,'02.08 Bukoto-Kisasi'!G33,'01.08 Bukoto-Kisasi'!G33,'03.08 Bukoto-Kisasi'!G33,'04.08 Bukoto-Kisasi'!G33)</f>
        <v>0</v>
      </c>
      <c r="H33" s="49">
        <f>AVERAGE('29.07 Bukoto-Kisasi'!H33,'30.07 Bukoto-Kisasi'!H33,'31.07 Bukoto-Kisasi'!H33,'02.08 Bukoto-Kisasi'!H33,'01.08 Bukoto-Kisasi'!H33,'03.08 Bukoto-Kisasi'!H33,'04.08 Bukoto-Kisasi'!H33)</f>
        <v>0</v>
      </c>
      <c r="I33" s="49">
        <f>AVERAGE('29.07 Bukoto-Kisasi'!I33,'30.07 Bukoto-Kisasi'!I33,'31.07 Bukoto-Kisasi'!I33,'02.08 Bukoto-Kisasi'!I33,'01.08 Bukoto-Kisasi'!I33,'03.08 Bukoto-Kisasi'!I33,'04.08 Bukoto-Kisasi'!I33)</f>
        <v>2</v>
      </c>
      <c r="J33" s="49">
        <f>AVERAGE('29.07 Bukoto-Kisasi'!J33,'30.07 Bukoto-Kisasi'!J33,'31.07 Bukoto-Kisasi'!J33,'02.08 Bukoto-Kisasi'!J33,'01.08 Bukoto-Kisasi'!J33,'03.08 Bukoto-Kisasi'!J33,'04.08 Bukoto-Kisasi'!J33)</f>
        <v>0.2857142857142857</v>
      </c>
      <c r="K33" s="49">
        <f>AVERAGE('29.07 Bukoto-Kisasi'!K33,'30.07 Bukoto-Kisasi'!K33,'31.07 Bukoto-Kisasi'!K33,'02.08 Bukoto-Kisasi'!K33,'01.08 Bukoto-Kisasi'!K33,'03.08 Bukoto-Kisasi'!K33,'04.08 Bukoto-Kisasi'!K33)</f>
        <v>0.42857142857142855</v>
      </c>
      <c r="L33" s="49">
        <f>AVERAGE('29.07 Bukoto-Kisasi'!L33,'30.07 Bukoto-Kisasi'!L33,'31.07 Bukoto-Kisasi'!L33,'02.08 Bukoto-Kisasi'!L33,'01.08 Bukoto-Kisasi'!L33,'03.08 Bukoto-Kisasi'!L33,'04.08 Bukoto-Kisasi'!L33)</f>
        <v>0</v>
      </c>
      <c r="M33" s="49">
        <f>AVERAGE('29.07 Bukoto-Kisasi'!M33,'30.07 Bukoto-Kisasi'!M33,'31.07 Bukoto-Kisasi'!M33,'02.08 Bukoto-Kisasi'!M33,'01.08 Bukoto-Kisasi'!M33,'03.08 Bukoto-Kisasi'!M33,'04.08 Bukoto-Kisasi'!M33)</f>
        <v>48.428571428571431</v>
      </c>
      <c r="N33" s="49">
        <f>AVERAGE('29.07 Bukoto-Kisasi'!N33,'30.07 Bukoto-Kisasi'!N33,'31.07 Bukoto-Kisasi'!N33,'02.08 Bukoto-Kisasi'!N33,'01.08 Bukoto-Kisasi'!N33,'03.08 Bukoto-Kisasi'!N33,'04.08 Bukoto-Kisasi'!N33)</f>
        <v>0</v>
      </c>
      <c r="O33" s="15">
        <f t="shared" si="0"/>
        <v>60.142857142857139</v>
      </c>
      <c r="P33" s="15">
        <f t="shared" si="1"/>
        <v>108.57142857142857</v>
      </c>
      <c r="R33" s="1" t="s">
        <v>157</v>
      </c>
      <c r="S33" s="34">
        <f>SUM(C102:C105)</f>
        <v>212.5</v>
      </c>
      <c r="T33" s="34">
        <f t="shared" ref="T33:AF33" si="25">SUM(D102:D105)</f>
        <v>188</v>
      </c>
      <c r="U33" s="34">
        <f t="shared" si="25"/>
        <v>1</v>
      </c>
      <c r="V33" s="34">
        <f t="shared" si="25"/>
        <v>38.5</v>
      </c>
      <c r="W33" s="34">
        <f t="shared" si="25"/>
        <v>0</v>
      </c>
      <c r="X33" s="34">
        <f t="shared" si="25"/>
        <v>0</v>
      </c>
      <c r="Y33" s="34">
        <f t="shared" si="25"/>
        <v>0.5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31.5</v>
      </c>
      <c r="AD33" s="34">
        <f t="shared" si="25"/>
        <v>0</v>
      </c>
      <c r="AE33" s="31">
        <f t="shared" si="25"/>
        <v>440.5</v>
      </c>
      <c r="AF33" s="31">
        <f t="shared" si="25"/>
        <v>472</v>
      </c>
    </row>
    <row r="34" spans="2:32" ht="23.1" customHeight="1" x14ac:dyDescent="0.25">
      <c r="B34" s="24" t="s">
        <v>61</v>
      </c>
      <c r="C34" s="49">
        <f>AVERAGE('29.07 Bukoto-Kisasi'!C34,'30.07 Bukoto-Kisasi'!C34,'31.07 Bukoto-Kisasi'!C34,'02.08 Bukoto-Kisasi'!C34,'01.08 Bukoto-Kisasi'!C34,'03.08 Bukoto-Kisasi'!C34,'04.08 Bukoto-Kisasi'!C34)</f>
        <v>23</v>
      </c>
      <c r="D34" s="49">
        <f>AVERAGE('29.07 Bukoto-Kisasi'!D34,'30.07 Bukoto-Kisasi'!D34,'31.07 Bukoto-Kisasi'!D34,'02.08 Bukoto-Kisasi'!D34,'01.08 Bukoto-Kisasi'!D34,'03.08 Bukoto-Kisasi'!D34,'04.08 Bukoto-Kisasi'!D34)</f>
        <v>15.571428571428571</v>
      </c>
      <c r="E34" s="49">
        <f>AVERAGE('29.07 Bukoto-Kisasi'!E34,'30.07 Bukoto-Kisasi'!E34,'31.07 Bukoto-Kisasi'!E34,'02.08 Bukoto-Kisasi'!E34,'01.08 Bukoto-Kisasi'!E34,'03.08 Bukoto-Kisasi'!E34,'04.08 Bukoto-Kisasi'!E34)</f>
        <v>5.2857142857142856</v>
      </c>
      <c r="F34" s="49">
        <f>AVERAGE('29.07 Bukoto-Kisasi'!F34,'30.07 Bukoto-Kisasi'!F34,'31.07 Bukoto-Kisasi'!F34,'02.08 Bukoto-Kisasi'!F34,'01.08 Bukoto-Kisasi'!F34,'03.08 Bukoto-Kisasi'!F34,'04.08 Bukoto-Kisasi'!F34)</f>
        <v>6.4285714285714288</v>
      </c>
      <c r="G34" s="49">
        <f>AVERAGE('29.07 Bukoto-Kisasi'!G34,'30.07 Bukoto-Kisasi'!G34,'31.07 Bukoto-Kisasi'!G34,'02.08 Bukoto-Kisasi'!G34,'01.08 Bukoto-Kisasi'!G34,'03.08 Bukoto-Kisasi'!G34,'04.08 Bukoto-Kisasi'!G34)</f>
        <v>0</v>
      </c>
      <c r="H34" s="49">
        <f>AVERAGE('29.07 Bukoto-Kisasi'!H34,'30.07 Bukoto-Kisasi'!H34,'31.07 Bukoto-Kisasi'!H34,'02.08 Bukoto-Kisasi'!H34,'01.08 Bukoto-Kisasi'!H34,'03.08 Bukoto-Kisasi'!H34,'04.08 Bukoto-Kisasi'!H34)</f>
        <v>0</v>
      </c>
      <c r="I34" s="49">
        <f>AVERAGE('29.07 Bukoto-Kisasi'!I34,'30.07 Bukoto-Kisasi'!I34,'31.07 Bukoto-Kisasi'!I34,'02.08 Bukoto-Kisasi'!I34,'01.08 Bukoto-Kisasi'!I34,'03.08 Bukoto-Kisasi'!I34,'04.08 Bukoto-Kisasi'!I34)</f>
        <v>1.8571428571428572</v>
      </c>
      <c r="J34" s="49">
        <f>AVERAGE('29.07 Bukoto-Kisasi'!J34,'30.07 Bukoto-Kisasi'!J34,'31.07 Bukoto-Kisasi'!J34,'02.08 Bukoto-Kisasi'!J34,'01.08 Bukoto-Kisasi'!J34,'03.08 Bukoto-Kisasi'!J34,'04.08 Bukoto-Kisasi'!J34)</f>
        <v>0.14285714285714285</v>
      </c>
      <c r="K34" s="49">
        <f>AVERAGE('29.07 Bukoto-Kisasi'!K34,'30.07 Bukoto-Kisasi'!K34,'31.07 Bukoto-Kisasi'!K34,'02.08 Bukoto-Kisasi'!K34,'01.08 Bukoto-Kisasi'!K34,'03.08 Bukoto-Kisasi'!K34,'04.08 Bukoto-Kisasi'!K34)</f>
        <v>0.42857142857142855</v>
      </c>
      <c r="L34" s="49">
        <f>AVERAGE('29.07 Bukoto-Kisasi'!L34,'30.07 Bukoto-Kisasi'!L34,'31.07 Bukoto-Kisasi'!L34,'02.08 Bukoto-Kisasi'!L34,'01.08 Bukoto-Kisasi'!L34,'03.08 Bukoto-Kisasi'!L34,'04.08 Bukoto-Kisasi'!L34)</f>
        <v>0</v>
      </c>
      <c r="M34" s="49">
        <f>AVERAGE('29.07 Bukoto-Kisasi'!M34,'30.07 Bukoto-Kisasi'!M34,'31.07 Bukoto-Kisasi'!M34,'02.08 Bukoto-Kisasi'!M34,'01.08 Bukoto-Kisasi'!M34,'03.08 Bukoto-Kisasi'!M34,'04.08 Bukoto-Kisasi'!M34)</f>
        <v>45</v>
      </c>
      <c r="N34" s="49">
        <f>AVERAGE('29.07 Bukoto-Kisasi'!N34,'30.07 Bukoto-Kisasi'!N34,'31.07 Bukoto-Kisasi'!N34,'02.08 Bukoto-Kisasi'!N34,'01.08 Bukoto-Kisasi'!N34,'03.08 Bukoto-Kisasi'!N34,'04.08 Bukoto-Kisasi'!N34)</f>
        <v>0</v>
      </c>
      <c r="O34" s="15">
        <f t="shared" si="0"/>
        <v>52.714285714285715</v>
      </c>
      <c r="P34" s="15">
        <f t="shared" si="1"/>
        <v>97.714285714285722</v>
      </c>
      <c r="R34" s="38" t="s">
        <v>90</v>
      </c>
      <c r="S34" s="39">
        <f t="shared" ref="S34:AF34" si="26">MAX(S10:S12)</f>
        <v>135.57142857142856</v>
      </c>
      <c r="T34" s="39">
        <f t="shared" si="26"/>
        <v>118.42857142857142</v>
      </c>
      <c r="U34" s="39">
        <f t="shared" si="26"/>
        <v>21.571428571428569</v>
      </c>
      <c r="V34" s="39">
        <f t="shared" si="26"/>
        <v>33.714285714285715</v>
      </c>
      <c r="W34" s="39">
        <f t="shared" si="26"/>
        <v>0.2857142857142857</v>
      </c>
      <c r="X34" s="39">
        <f t="shared" si="26"/>
        <v>0.14285714285714285</v>
      </c>
      <c r="Y34" s="39">
        <f t="shared" si="26"/>
        <v>7.4285714285714288</v>
      </c>
      <c r="Z34" s="39">
        <f t="shared" si="26"/>
        <v>2</v>
      </c>
      <c r="AA34" s="39">
        <f t="shared" si="26"/>
        <v>1</v>
      </c>
      <c r="AB34" s="39">
        <f t="shared" si="26"/>
        <v>0</v>
      </c>
      <c r="AC34" s="39">
        <f t="shared" si="26"/>
        <v>239.42857142857144</v>
      </c>
      <c r="AD34" s="39">
        <f t="shared" si="26"/>
        <v>0</v>
      </c>
      <c r="AE34" s="40">
        <f t="shared" si="26"/>
        <v>292.14285714285717</v>
      </c>
      <c r="AF34" s="40">
        <f t="shared" si="26"/>
        <v>530.42857142857144</v>
      </c>
    </row>
    <row r="35" spans="2:32" ht="23.1" customHeight="1" x14ac:dyDescent="0.25">
      <c r="B35" s="24" t="s">
        <v>62</v>
      </c>
      <c r="C35" s="49">
        <f>AVERAGE('29.07 Bukoto-Kisasi'!C35,'30.07 Bukoto-Kisasi'!C35,'31.07 Bukoto-Kisasi'!C35,'02.08 Bukoto-Kisasi'!C35,'01.08 Bukoto-Kisasi'!C35,'03.08 Bukoto-Kisasi'!C35,'04.08 Bukoto-Kisasi'!C35)</f>
        <v>26</v>
      </c>
      <c r="D35" s="49">
        <f>AVERAGE('29.07 Bukoto-Kisasi'!D35,'30.07 Bukoto-Kisasi'!D35,'31.07 Bukoto-Kisasi'!D35,'02.08 Bukoto-Kisasi'!D35,'01.08 Bukoto-Kisasi'!D35,'03.08 Bukoto-Kisasi'!D35,'04.08 Bukoto-Kisasi'!D35)</f>
        <v>17</v>
      </c>
      <c r="E35" s="49">
        <f>AVERAGE('29.07 Bukoto-Kisasi'!E35,'30.07 Bukoto-Kisasi'!E35,'31.07 Bukoto-Kisasi'!E35,'02.08 Bukoto-Kisasi'!E35,'01.08 Bukoto-Kisasi'!E35,'03.08 Bukoto-Kisasi'!E35,'04.08 Bukoto-Kisasi'!E35)</f>
        <v>7.4285714285714288</v>
      </c>
      <c r="F35" s="49">
        <f>AVERAGE('29.07 Bukoto-Kisasi'!F35,'30.07 Bukoto-Kisasi'!F35,'31.07 Bukoto-Kisasi'!F35,'02.08 Bukoto-Kisasi'!F35,'01.08 Bukoto-Kisasi'!F35,'03.08 Bukoto-Kisasi'!F35,'04.08 Bukoto-Kisasi'!F35)</f>
        <v>8.4285714285714288</v>
      </c>
      <c r="G35" s="49">
        <f>AVERAGE('29.07 Bukoto-Kisasi'!G35,'30.07 Bukoto-Kisasi'!G35,'31.07 Bukoto-Kisasi'!G35,'02.08 Bukoto-Kisasi'!G35,'01.08 Bukoto-Kisasi'!G35,'03.08 Bukoto-Kisasi'!G35,'04.08 Bukoto-Kisasi'!G35)</f>
        <v>0</v>
      </c>
      <c r="H35" s="49">
        <f>AVERAGE('29.07 Bukoto-Kisasi'!H35,'30.07 Bukoto-Kisasi'!H35,'31.07 Bukoto-Kisasi'!H35,'02.08 Bukoto-Kisasi'!H35,'01.08 Bukoto-Kisasi'!H35,'03.08 Bukoto-Kisasi'!H35,'04.08 Bukoto-Kisasi'!H35)</f>
        <v>0</v>
      </c>
      <c r="I35" s="49">
        <f>AVERAGE('29.07 Bukoto-Kisasi'!I35,'30.07 Bukoto-Kisasi'!I35,'31.07 Bukoto-Kisasi'!I35,'02.08 Bukoto-Kisasi'!I35,'01.08 Bukoto-Kisasi'!I35,'03.08 Bukoto-Kisasi'!I35,'04.08 Bukoto-Kisasi'!I35)</f>
        <v>2.7142857142857144</v>
      </c>
      <c r="J35" s="49">
        <f>AVERAGE('29.07 Bukoto-Kisasi'!J35,'30.07 Bukoto-Kisasi'!J35,'31.07 Bukoto-Kisasi'!J35,'02.08 Bukoto-Kisasi'!J35,'01.08 Bukoto-Kisasi'!J35,'03.08 Bukoto-Kisasi'!J35,'04.08 Bukoto-Kisasi'!J35)</f>
        <v>0.2857142857142857</v>
      </c>
      <c r="K35" s="49">
        <f>AVERAGE('29.07 Bukoto-Kisasi'!K35,'30.07 Bukoto-Kisasi'!K35,'31.07 Bukoto-Kisasi'!K35,'02.08 Bukoto-Kisasi'!K35,'01.08 Bukoto-Kisasi'!K35,'03.08 Bukoto-Kisasi'!K35,'04.08 Bukoto-Kisasi'!K35)</f>
        <v>0.2857142857142857</v>
      </c>
      <c r="L35" s="49">
        <f>AVERAGE('29.07 Bukoto-Kisasi'!L35,'30.07 Bukoto-Kisasi'!L35,'31.07 Bukoto-Kisasi'!L35,'02.08 Bukoto-Kisasi'!L35,'01.08 Bukoto-Kisasi'!L35,'03.08 Bukoto-Kisasi'!L35,'04.08 Bukoto-Kisasi'!L35)</f>
        <v>0</v>
      </c>
      <c r="M35" s="49">
        <f>AVERAGE('29.07 Bukoto-Kisasi'!M35,'30.07 Bukoto-Kisasi'!M35,'31.07 Bukoto-Kisasi'!M35,'02.08 Bukoto-Kisasi'!M35,'01.08 Bukoto-Kisasi'!M35,'03.08 Bukoto-Kisasi'!M35,'04.08 Bukoto-Kisasi'!M35)</f>
        <v>45.714285714285715</v>
      </c>
      <c r="N35" s="49">
        <f>AVERAGE('29.07 Bukoto-Kisasi'!N35,'30.07 Bukoto-Kisasi'!N35,'31.07 Bukoto-Kisasi'!N35,'02.08 Bukoto-Kisasi'!N35,'01.08 Bukoto-Kisasi'!N35,'03.08 Bukoto-Kisasi'!N35,'04.08 Bukoto-Kisasi'!N35)</f>
        <v>0</v>
      </c>
      <c r="O35" s="15">
        <f t="shared" si="0"/>
        <v>62.142857142857146</v>
      </c>
      <c r="P35" s="15">
        <f t="shared" si="1"/>
        <v>107.85714285714286</v>
      </c>
      <c r="R35" s="38" t="s">
        <v>91</v>
      </c>
      <c r="S35" s="39">
        <f t="shared" ref="S35:AF35" si="27">MAX(S13:S18)</f>
        <v>131.71428571428572</v>
      </c>
      <c r="T35" s="39">
        <f t="shared" si="27"/>
        <v>88.857142857142847</v>
      </c>
      <c r="U35" s="39">
        <f t="shared" si="27"/>
        <v>36.857142857142861</v>
      </c>
      <c r="V35" s="39">
        <f t="shared" si="27"/>
        <v>40.571428571428569</v>
      </c>
      <c r="W35" s="39">
        <f t="shared" si="27"/>
        <v>1.1428571428571428</v>
      </c>
      <c r="X35" s="39">
        <f t="shared" si="27"/>
        <v>0.42857142857142855</v>
      </c>
      <c r="Y35" s="39">
        <f t="shared" si="27"/>
        <v>8.2857142857142847</v>
      </c>
      <c r="Z35" s="39">
        <f t="shared" si="27"/>
        <v>3.2857142857142856</v>
      </c>
      <c r="AA35" s="39">
        <f t="shared" si="27"/>
        <v>1.1428571428571428</v>
      </c>
      <c r="AB35" s="39">
        <f t="shared" si="27"/>
        <v>0.2857142857142857</v>
      </c>
      <c r="AC35" s="39">
        <f t="shared" si="27"/>
        <v>239.57142857142858</v>
      </c>
      <c r="AD35" s="39">
        <f t="shared" si="27"/>
        <v>0.14285714285714285</v>
      </c>
      <c r="AE35" s="40">
        <f t="shared" si="27"/>
        <v>279.28571428571428</v>
      </c>
      <c r="AF35" s="40">
        <f t="shared" si="27"/>
        <v>517.57142857142856</v>
      </c>
    </row>
    <row r="36" spans="2:32" ht="23.1" customHeight="1" x14ac:dyDescent="0.25">
      <c r="B36" s="24" t="s">
        <v>63</v>
      </c>
      <c r="C36" s="49">
        <f>AVERAGE('29.07 Bukoto-Kisasi'!C36,'30.07 Bukoto-Kisasi'!C36,'31.07 Bukoto-Kisasi'!C36,'02.08 Bukoto-Kisasi'!C36,'01.08 Bukoto-Kisasi'!C36,'03.08 Bukoto-Kisasi'!C36,'04.08 Bukoto-Kisasi'!C36)</f>
        <v>28</v>
      </c>
      <c r="D36" s="49">
        <f>AVERAGE('29.07 Bukoto-Kisasi'!D36,'30.07 Bukoto-Kisasi'!D36,'31.07 Bukoto-Kisasi'!D36,'02.08 Bukoto-Kisasi'!D36,'01.08 Bukoto-Kisasi'!D36,'03.08 Bukoto-Kisasi'!D36,'04.08 Bukoto-Kisasi'!D36)</f>
        <v>18.714285714285715</v>
      </c>
      <c r="E36" s="49">
        <f>AVERAGE('29.07 Bukoto-Kisasi'!E36,'30.07 Bukoto-Kisasi'!E36,'31.07 Bukoto-Kisasi'!E36,'02.08 Bukoto-Kisasi'!E36,'01.08 Bukoto-Kisasi'!E36,'03.08 Bukoto-Kisasi'!E36,'04.08 Bukoto-Kisasi'!E36)</f>
        <v>7.1428571428571432</v>
      </c>
      <c r="F36" s="49">
        <f>AVERAGE('29.07 Bukoto-Kisasi'!F36,'30.07 Bukoto-Kisasi'!F36,'31.07 Bukoto-Kisasi'!F36,'02.08 Bukoto-Kisasi'!F36,'01.08 Bukoto-Kisasi'!F36,'03.08 Bukoto-Kisasi'!F36,'04.08 Bukoto-Kisasi'!F36)</f>
        <v>6.7142857142857144</v>
      </c>
      <c r="G36" s="49">
        <f>AVERAGE('29.07 Bukoto-Kisasi'!G36,'30.07 Bukoto-Kisasi'!G36,'31.07 Bukoto-Kisasi'!G36,'02.08 Bukoto-Kisasi'!G36,'01.08 Bukoto-Kisasi'!G36,'03.08 Bukoto-Kisasi'!G36,'04.08 Bukoto-Kisasi'!G36)</f>
        <v>0</v>
      </c>
      <c r="H36" s="49">
        <f>AVERAGE('29.07 Bukoto-Kisasi'!H36,'30.07 Bukoto-Kisasi'!H36,'31.07 Bukoto-Kisasi'!H36,'02.08 Bukoto-Kisasi'!H36,'01.08 Bukoto-Kisasi'!H36,'03.08 Bukoto-Kisasi'!H36,'04.08 Bukoto-Kisasi'!H36)</f>
        <v>0</v>
      </c>
      <c r="I36" s="49">
        <f>AVERAGE('29.07 Bukoto-Kisasi'!I36,'30.07 Bukoto-Kisasi'!I36,'31.07 Bukoto-Kisasi'!I36,'02.08 Bukoto-Kisasi'!I36,'01.08 Bukoto-Kisasi'!I36,'03.08 Bukoto-Kisasi'!I36,'04.08 Bukoto-Kisasi'!I36)</f>
        <v>2.2857142857142856</v>
      </c>
      <c r="J36" s="49">
        <f>AVERAGE('29.07 Bukoto-Kisasi'!J36,'30.07 Bukoto-Kisasi'!J36,'31.07 Bukoto-Kisasi'!J36,'02.08 Bukoto-Kisasi'!J36,'01.08 Bukoto-Kisasi'!J36,'03.08 Bukoto-Kisasi'!J36,'04.08 Bukoto-Kisasi'!J36)</f>
        <v>0.14285714285714285</v>
      </c>
      <c r="K36" s="49">
        <f>AVERAGE('29.07 Bukoto-Kisasi'!K36,'30.07 Bukoto-Kisasi'!K36,'31.07 Bukoto-Kisasi'!K36,'02.08 Bukoto-Kisasi'!K36,'01.08 Bukoto-Kisasi'!K36,'03.08 Bukoto-Kisasi'!K36,'04.08 Bukoto-Kisasi'!K36)</f>
        <v>0.14285714285714285</v>
      </c>
      <c r="L36" s="49">
        <f>AVERAGE('29.07 Bukoto-Kisasi'!L36,'30.07 Bukoto-Kisasi'!L36,'31.07 Bukoto-Kisasi'!L36,'02.08 Bukoto-Kisasi'!L36,'01.08 Bukoto-Kisasi'!L36,'03.08 Bukoto-Kisasi'!L36,'04.08 Bukoto-Kisasi'!L36)</f>
        <v>0</v>
      </c>
      <c r="M36" s="49">
        <f>AVERAGE('29.07 Bukoto-Kisasi'!M36,'30.07 Bukoto-Kisasi'!M36,'31.07 Bukoto-Kisasi'!M36,'02.08 Bukoto-Kisasi'!M36,'01.08 Bukoto-Kisasi'!M36,'03.08 Bukoto-Kisasi'!M36,'04.08 Bukoto-Kisasi'!M36)</f>
        <v>47</v>
      </c>
      <c r="N36" s="49">
        <f>AVERAGE('29.07 Bukoto-Kisasi'!N36,'30.07 Bukoto-Kisasi'!N36,'31.07 Bukoto-Kisasi'!N36,'02.08 Bukoto-Kisasi'!N36,'01.08 Bukoto-Kisasi'!N36,'03.08 Bukoto-Kisasi'!N36,'04.08 Bukoto-Kisasi'!N36)</f>
        <v>0</v>
      </c>
      <c r="O36" s="15">
        <f t="shared" si="0"/>
        <v>63.142857142857153</v>
      </c>
      <c r="P36" s="15">
        <f t="shared" si="1"/>
        <v>110.14285714285715</v>
      </c>
      <c r="R36" s="38" t="s">
        <v>92</v>
      </c>
      <c r="S36" s="39">
        <f t="shared" ref="S36:AF36" si="28">MAX(S19:S21)</f>
        <v>302.71428571428567</v>
      </c>
      <c r="T36" s="39">
        <f t="shared" si="28"/>
        <v>135.85714285714286</v>
      </c>
      <c r="U36" s="39">
        <f t="shared" si="28"/>
        <v>49.428571428571431</v>
      </c>
      <c r="V36" s="39">
        <f t="shared" si="28"/>
        <v>57.857142857142854</v>
      </c>
      <c r="W36" s="39">
        <f t="shared" si="28"/>
        <v>1</v>
      </c>
      <c r="X36" s="39">
        <f t="shared" si="28"/>
        <v>0.42857142857142855</v>
      </c>
      <c r="Y36" s="39">
        <f t="shared" si="28"/>
        <v>8.5714285714285712</v>
      </c>
      <c r="Z36" s="39">
        <f t="shared" si="28"/>
        <v>3.714285714285714</v>
      </c>
      <c r="AA36" s="39">
        <f t="shared" si="28"/>
        <v>1</v>
      </c>
      <c r="AB36" s="39">
        <f t="shared" si="28"/>
        <v>0</v>
      </c>
      <c r="AC36" s="39">
        <f t="shared" si="28"/>
        <v>253.85714285714289</v>
      </c>
      <c r="AD36" s="39">
        <f t="shared" si="28"/>
        <v>0</v>
      </c>
      <c r="AE36" s="40">
        <f t="shared" si="28"/>
        <v>555.85714285714278</v>
      </c>
      <c r="AF36" s="40">
        <f t="shared" si="28"/>
        <v>809.71428571428555</v>
      </c>
    </row>
    <row r="37" spans="2:32" ht="23.1" customHeight="1" x14ac:dyDescent="0.25">
      <c r="B37" s="23" t="s">
        <v>64</v>
      </c>
      <c r="C37" s="49">
        <f>AVERAGE('29.07 Bukoto-Kisasi'!C37,'30.07 Bukoto-Kisasi'!C37,'31.07 Bukoto-Kisasi'!C37,'02.08 Bukoto-Kisasi'!C37,'01.08 Bukoto-Kisasi'!C37,'03.08 Bukoto-Kisasi'!C37,'04.08 Bukoto-Kisasi'!C37)</f>
        <v>26.571428571428573</v>
      </c>
      <c r="D37" s="49">
        <f>AVERAGE('29.07 Bukoto-Kisasi'!D37,'30.07 Bukoto-Kisasi'!D37,'31.07 Bukoto-Kisasi'!D37,'02.08 Bukoto-Kisasi'!D37,'01.08 Bukoto-Kisasi'!D37,'03.08 Bukoto-Kisasi'!D37,'04.08 Bukoto-Kisasi'!D37)</f>
        <v>17.285714285714285</v>
      </c>
      <c r="E37" s="49">
        <f>AVERAGE('29.07 Bukoto-Kisasi'!E37,'30.07 Bukoto-Kisasi'!E37,'31.07 Bukoto-Kisasi'!E37,'02.08 Bukoto-Kisasi'!E37,'01.08 Bukoto-Kisasi'!E37,'03.08 Bukoto-Kisasi'!E37,'04.08 Bukoto-Kisasi'!E37)</f>
        <v>5.1428571428571432</v>
      </c>
      <c r="F37" s="49">
        <f>AVERAGE('29.07 Bukoto-Kisasi'!F37,'30.07 Bukoto-Kisasi'!F37,'31.07 Bukoto-Kisasi'!F37,'02.08 Bukoto-Kisasi'!F37,'01.08 Bukoto-Kisasi'!F37,'03.08 Bukoto-Kisasi'!F37,'04.08 Bukoto-Kisasi'!F37)</f>
        <v>7.2857142857142856</v>
      </c>
      <c r="G37" s="49">
        <f>AVERAGE('29.07 Bukoto-Kisasi'!G37,'30.07 Bukoto-Kisasi'!G37,'31.07 Bukoto-Kisasi'!G37,'02.08 Bukoto-Kisasi'!G37,'01.08 Bukoto-Kisasi'!G37,'03.08 Bukoto-Kisasi'!G37,'04.08 Bukoto-Kisasi'!G37)</f>
        <v>0</v>
      </c>
      <c r="H37" s="49">
        <f>AVERAGE('29.07 Bukoto-Kisasi'!H37,'30.07 Bukoto-Kisasi'!H37,'31.07 Bukoto-Kisasi'!H37,'02.08 Bukoto-Kisasi'!H37,'01.08 Bukoto-Kisasi'!H37,'03.08 Bukoto-Kisasi'!H37,'04.08 Bukoto-Kisasi'!H37)</f>
        <v>0</v>
      </c>
      <c r="I37" s="49">
        <f>AVERAGE('29.07 Bukoto-Kisasi'!I37,'30.07 Bukoto-Kisasi'!I37,'31.07 Bukoto-Kisasi'!I37,'02.08 Bukoto-Kisasi'!I37,'01.08 Bukoto-Kisasi'!I37,'03.08 Bukoto-Kisasi'!I37,'04.08 Bukoto-Kisasi'!I37)</f>
        <v>1.1428571428571428</v>
      </c>
      <c r="J37" s="49">
        <f>AVERAGE('29.07 Bukoto-Kisasi'!J37,'30.07 Bukoto-Kisasi'!J37,'31.07 Bukoto-Kisasi'!J37,'02.08 Bukoto-Kisasi'!J37,'01.08 Bukoto-Kisasi'!J37,'03.08 Bukoto-Kisasi'!J37,'04.08 Bukoto-Kisasi'!J37)</f>
        <v>0</v>
      </c>
      <c r="K37" s="49">
        <f>AVERAGE('29.07 Bukoto-Kisasi'!K37,'30.07 Bukoto-Kisasi'!K37,'31.07 Bukoto-Kisasi'!K37,'02.08 Bukoto-Kisasi'!K37,'01.08 Bukoto-Kisasi'!K37,'03.08 Bukoto-Kisasi'!K37,'04.08 Bukoto-Kisasi'!K37)</f>
        <v>0.14285714285714285</v>
      </c>
      <c r="L37" s="49">
        <f>AVERAGE('29.07 Bukoto-Kisasi'!L37,'30.07 Bukoto-Kisasi'!L37,'31.07 Bukoto-Kisasi'!L37,'02.08 Bukoto-Kisasi'!L37,'01.08 Bukoto-Kisasi'!L37,'03.08 Bukoto-Kisasi'!L37,'04.08 Bukoto-Kisasi'!L37)</f>
        <v>0</v>
      </c>
      <c r="M37" s="49">
        <f>AVERAGE('29.07 Bukoto-Kisasi'!M37,'30.07 Bukoto-Kisasi'!M37,'31.07 Bukoto-Kisasi'!M37,'02.08 Bukoto-Kisasi'!M37,'01.08 Bukoto-Kisasi'!M37,'03.08 Bukoto-Kisasi'!M37,'04.08 Bukoto-Kisasi'!M37)</f>
        <v>47.428571428571431</v>
      </c>
      <c r="N37" s="49">
        <f>AVERAGE('29.07 Bukoto-Kisasi'!N37,'30.07 Bukoto-Kisasi'!N37,'31.07 Bukoto-Kisasi'!N37,'02.08 Bukoto-Kisasi'!N37,'01.08 Bukoto-Kisasi'!N37,'03.08 Bukoto-Kisasi'!N37,'04.08 Bukoto-Kisasi'!N37)</f>
        <v>0</v>
      </c>
      <c r="O37" s="15">
        <f t="shared" si="0"/>
        <v>57.571428571428584</v>
      </c>
      <c r="P37" s="15">
        <f t="shared" si="1"/>
        <v>105.00000000000001</v>
      </c>
      <c r="R37" s="37" t="s">
        <v>85</v>
      </c>
      <c r="S37" s="35">
        <f t="shared" ref="S37:AF37" si="29">SUM(S10:S12)</f>
        <v>382.57142857142856</v>
      </c>
      <c r="T37" s="16">
        <f t="shared" si="29"/>
        <v>316.71428571428567</v>
      </c>
      <c r="U37" s="16">
        <f t="shared" si="29"/>
        <v>58.285714285714285</v>
      </c>
      <c r="V37" s="16">
        <f t="shared" si="29"/>
        <v>89.714285714285722</v>
      </c>
      <c r="W37" s="16">
        <f t="shared" si="29"/>
        <v>0.42857142857142855</v>
      </c>
      <c r="X37" s="16">
        <f t="shared" si="29"/>
        <v>0.14285714285714285</v>
      </c>
      <c r="Y37" s="16">
        <f t="shared" si="29"/>
        <v>17</v>
      </c>
      <c r="Z37" s="16">
        <f t="shared" si="29"/>
        <v>3.4285714285714288</v>
      </c>
      <c r="AA37" s="16">
        <f t="shared" si="29"/>
        <v>1.857142857142857</v>
      </c>
      <c r="AB37" s="16">
        <f t="shared" si="29"/>
        <v>0</v>
      </c>
      <c r="AC37" s="16">
        <f t="shared" si="29"/>
        <v>689.14285714285711</v>
      </c>
      <c r="AD37" s="16">
        <f t="shared" si="29"/>
        <v>0</v>
      </c>
      <c r="AE37" s="32">
        <f t="shared" si="29"/>
        <v>870.14285714285711</v>
      </c>
      <c r="AF37" s="32">
        <f t="shared" si="29"/>
        <v>1559.2857142857142</v>
      </c>
    </row>
    <row r="38" spans="2:32" ht="23.1" customHeight="1" x14ac:dyDescent="0.25">
      <c r="B38" s="24" t="s">
        <v>65</v>
      </c>
      <c r="C38" s="49">
        <f>AVERAGE('29.07 Bukoto-Kisasi'!C38,'30.07 Bukoto-Kisasi'!C38,'31.07 Bukoto-Kisasi'!C38,'02.08 Bukoto-Kisasi'!C38,'01.08 Bukoto-Kisasi'!C38,'03.08 Bukoto-Kisasi'!C38,'04.08 Bukoto-Kisasi'!C38)</f>
        <v>32.571428571428569</v>
      </c>
      <c r="D38" s="49">
        <f>AVERAGE('29.07 Bukoto-Kisasi'!D38,'30.07 Bukoto-Kisasi'!D38,'31.07 Bukoto-Kisasi'!D38,'02.08 Bukoto-Kisasi'!D38,'01.08 Bukoto-Kisasi'!D38,'03.08 Bukoto-Kisasi'!D38,'04.08 Bukoto-Kisasi'!D38)</f>
        <v>17.571428571428573</v>
      </c>
      <c r="E38" s="49">
        <f>AVERAGE('29.07 Bukoto-Kisasi'!E38,'30.07 Bukoto-Kisasi'!E38,'31.07 Bukoto-Kisasi'!E38,'02.08 Bukoto-Kisasi'!E38,'01.08 Bukoto-Kisasi'!E38,'03.08 Bukoto-Kisasi'!E38,'04.08 Bukoto-Kisasi'!E38)</f>
        <v>6.4285714285714288</v>
      </c>
      <c r="F38" s="49">
        <f>AVERAGE('29.07 Bukoto-Kisasi'!F38,'30.07 Bukoto-Kisasi'!F38,'31.07 Bukoto-Kisasi'!F38,'02.08 Bukoto-Kisasi'!F38,'01.08 Bukoto-Kisasi'!F38,'03.08 Bukoto-Kisasi'!F38,'04.08 Bukoto-Kisasi'!F38)</f>
        <v>10.857142857142858</v>
      </c>
      <c r="G38" s="49">
        <f>AVERAGE('29.07 Bukoto-Kisasi'!G38,'30.07 Bukoto-Kisasi'!G38,'31.07 Bukoto-Kisasi'!G38,'02.08 Bukoto-Kisasi'!G38,'01.08 Bukoto-Kisasi'!G38,'03.08 Bukoto-Kisasi'!G38,'04.08 Bukoto-Kisasi'!G38)</f>
        <v>0</v>
      </c>
      <c r="H38" s="49">
        <f>AVERAGE('29.07 Bukoto-Kisasi'!H38,'30.07 Bukoto-Kisasi'!H38,'31.07 Bukoto-Kisasi'!H38,'02.08 Bukoto-Kisasi'!H38,'01.08 Bukoto-Kisasi'!H38,'03.08 Bukoto-Kisasi'!H38,'04.08 Bukoto-Kisasi'!H38)</f>
        <v>0</v>
      </c>
      <c r="I38" s="49">
        <f>AVERAGE('29.07 Bukoto-Kisasi'!I38,'30.07 Bukoto-Kisasi'!I38,'31.07 Bukoto-Kisasi'!I38,'02.08 Bukoto-Kisasi'!I38,'01.08 Bukoto-Kisasi'!I38,'03.08 Bukoto-Kisasi'!I38,'04.08 Bukoto-Kisasi'!I38)</f>
        <v>1.5714285714285714</v>
      </c>
      <c r="J38" s="49">
        <f>AVERAGE('29.07 Bukoto-Kisasi'!J38,'30.07 Bukoto-Kisasi'!J38,'31.07 Bukoto-Kisasi'!J38,'02.08 Bukoto-Kisasi'!J38,'01.08 Bukoto-Kisasi'!J38,'03.08 Bukoto-Kisasi'!J38,'04.08 Bukoto-Kisasi'!J38)</f>
        <v>0.42857142857142855</v>
      </c>
      <c r="K38" s="49">
        <f>AVERAGE('29.07 Bukoto-Kisasi'!K38,'30.07 Bukoto-Kisasi'!K38,'31.07 Bukoto-Kisasi'!K38,'02.08 Bukoto-Kisasi'!K38,'01.08 Bukoto-Kisasi'!K38,'03.08 Bukoto-Kisasi'!K38,'04.08 Bukoto-Kisasi'!K38)</f>
        <v>0.14285714285714285</v>
      </c>
      <c r="L38" s="49">
        <f>AVERAGE('29.07 Bukoto-Kisasi'!L38,'30.07 Bukoto-Kisasi'!L38,'31.07 Bukoto-Kisasi'!L38,'02.08 Bukoto-Kisasi'!L38,'01.08 Bukoto-Kisasi'!L38,'03.08 Bukoto-Kisasi'!L38,'04.08 Bukoto-Kisasi'!L38)</f>
        <v>0</v>
      </c>
      <c r="M38" s="49">
        <f>AVERAGE('29.07 Bukoto-Kisasi'!M38,'30.07 Bukoto-Kisasi'!M38,'31.07 Bukoto-Kisasi'!M38,'02.08 Bukoto-Kisasi'!M38,'01.08 Bukoto-Kisasi'!M38,'03.08 Bukoto-Kisasi'!M38,'04.08 Bukoto-Kisasi'!M38)</f>
        <v>51.285714285714285</v>
      </c>
      <c r="N38" s="49">
        <f>AVERAGE('29.07 Bukoto-Kisasi'!N38,'30.07 Bukoto-Kisasi'!N38,'31.07 Bukoto-Kisasi'!N38,'02.08 Bukoto-Kisasi'!N38,'01.08 Bukoto-Kisasi'!N38,'03.08 Bukoto-Kisasi'!N38,'04.08 Bukoto-Kisasi'!N38)</f>
        <v>0</v>
      </c>
      <c r="O38" s="15">
        <f t="shared" si="0"/>
        <v>69.571428571428569</v>
      </c>
      <c r="P38" s="15">
        <f t="shared" si="1"/>
        <v>120.85714285714286</v>
      </c>
      <c r="R38" s="28" t="s">
        <v>86</v>
      </c>
      <c r="S38" s="16">
        <f t="shared" ref="S38:AF38" si="30">SUM(S13:S18)</f>
        <v>709</v>
      </c>
      <c r="T38" s="16">
        <f t="shared" si="30"/>
        <v>411.14285714285711</v>
      </c>
      <c r="U38" s="16">
        <f t="shared" si="30"/>
        <v>158.14285714285714</v>
      </c>
      <c r="V38" s="16">
        <f t="shared" si="30"/>
        <v>193.57142857142856</v>
      </c>
      <c r="W38" s="16">
        <f t="shared" si="30"/>
        <v>1.5714285714285712</v>
      </c>
      <c r="X38" s="16">
        <f t="shared" si="30"/>
        <v>0.42857142857142855</v>
      </c>
      <c r="Y38" s="16">
        <f t="shared" si="30"/>
        <v>41.857142857142854</v>
      </c>
      <c r="Z38" s="16">
        <f t="shared" si="30"/>
        <v>10.999999999999998</v>
      </c>
      <c r="AA38" s="16">
        <f t="shared" si="30"/>
        <v>4.1428571428571423</v>
      </c>
      <c r="AB38" s="16">
        <f t="shared" si="30"/>
        <v>0.2857142857142857</v>
      </c>
      <c r="AC38" s="16">
        <f t="shared" si="30"/>
        <v>1195.4285714285713</v>
      </c>
      <c r="AD38" s="16">
        <f t="shared" si="30"/>
        <v>0.14285714285714285</v>
      </c>
      <c r="AE38" s="32">
        <f t="shared" si="30"/>
        <v>1531.2857142857142</v>
      </c>
      <c r="AF38" s="32">
        <f t="shared" si="30"/>
        <v>2726.7142857142858</v>
      </c>
    </row>
    <row r="39" spans="2:32" ht="23.1" customHeight="1" x14ac:dyDescent="0.25">
      <c r="B39" s="24" t="s">
        <v>66</v>
      </c>
      <c r="C39" s="49">
        <f>AVERAGE('29.07 Bukoto-Kisasi'!C39,'30.07 Bukoto-Kisasi'!C39,'31.07 Bukoto-Kisasi'!C39,'02.08 Bukoto-Kisasi'!C39,'01.08 Bukoto-Kisasi'!C39,'03.08 Bukoto-Kisasi'!C39,'04.08 Bukoto-Kisasi'!C39)</f>
        <v>34.714285714285715</v>
      </c>
      <c r="D39" s="49">
        <f>AVERAGE('29.07 Bukoto-Kisasi'!D39,'30.07 Bukoto-Kisasi'!D39,'31.07 Bukoto-Kisasi'!D39,'02.08 Bukoto-Kisasi'!D39,'01.08 Bukoto-Kisasi'!D39,'03.08 Bukoto-Kisasi'!D39,'04.08 Bukoto-Kisasi'!D39)</f>
        <v>18.857142857142858</v>
      </c>
      <c r="E39" s="49">
        <f>AVERAGE('29.07 Bukoto-Kisasi'!E39,'30.07 Bukoto-Kisasi'!E39,'31.07 Bukoto-Kisasi'!E39,'02.08 Bukoto-Kisasi'!E39,'01.08 Bukoto-Kisasi'!E39,'03.08 Bukoto-Kisasi'!E39,'04.08 Bukoto-Kisasi'!E39)</f>
        <v>7.8571428571428568</v>
      </c>
      <c r="F39" s="49">
        <f>AVERAGE('29.07 Bukoto-Kisasi'!F39,'30.07 Bukoto-Kisasi'!F39,'31.07 Bukoto-Kisasi'!F39,'02.08 Bukoto-Kisasi'!F39,'01.08 Bukoto-Kisasi'!F39,'03.08 Bukoto-Kisasi'!F39,'04.08 Bukoto-Kisasi'!F39)</f>
        <v>10.142857142857142</v>
      </c>
      <c r="G39" s="49">
        <f>AVERAGE('29.07 Bukoto-Kisasi'!G39,'30.07 Bukoto-Kisasi'!G39,'31.07 Bukoto-Kisasi'!G39,'02.08 Bukoto-Kisasi'!G39,'01.08 Bukoto-Kisasi'!G39,'03.08 Bukoto-Kisasi'!G39,'04.08 Bukoto-Kisasi'!G39)</f>
        <v>0</v>
      </c>
      <c r="H39" s="49">
        <f>AVERAGE('29.07 Bukoto-Kisasi'!H39,'30.07 Bukoto-Kisasi'!H39,'31.07 Bukoto-Kisasi'!H39,'02.08 Bukoto-Kisasi'!H39,'01.08 Bukoto-Kisasi'!H39,'03.08 Bukoto-Kisasi'!H39,'04.08 Bukoto-Kisasi'!H39)</f>
        <v>0</v>
      </c>
      <c r="I39" s="49">
        <f>AVERAGE('29.07 Bukoto-Kisasi'!I39,'30.07 Bukoto-Kisasi'!I39,'31.07 Bukoto-Kisasi'!I39,'02.08 Bukoto-Kisasi'!I39,'01.08 Bukoto-Kisasi'!I39,'03.08 Bukoto-Kisasi'!I39,'04.08 Bukoto-Kisasi'!I39)</f>
        <v>1.2857142857142858</v>
      </c>
      <c r="J39" s="49">
        <f>AVERAGE('29.07 Bukoto-Kisasi'!J39,'30.07 Bukoto-Kisasi'!J39,'31.07 Bukoto-Kisasi'!J39,'02.08 Bukoto-Kisasi'!J39,'01.08 Bukoto-Kisasi'!J39,'03.08 Bukoto-Kisasi'!J39,'04.08 Bukoto-Kisasi'!J39)</f>
        <v>0.42857142857142855</v>
      </c>
      <c r="K39" s="49">
        <f>AVERAGE('29.07 Bukoto-Kisasi'!K39,'30.07 Bukoto-Kisasi'!K39,'31.07 Bukoto-Kisasi'!K39,'02.08 Bukoto-Kisasi'!K39,'01.08 Bukoto-Kisasi'!K39,'03.08 Bukoto-Kisasi'!K39,'04.08 Bukoto-Kisasi'!K39)</f>
        <v>0</v>
      </c>
      <c r="L39" s="49">
        <f>AVERAGE('29.07 Bukoto-Kisasi'!L39,'30.07 Bukoto-Kisasi'!L39,'31.07 Bukoto-Kisasi'!L39,'02.08 Bukoto-Kisasi'!L39,'01.08 Bukoto-Kisasi'!L39,'03.08 Bukoto-Kisasi'!L39,'04.08 Bukoto-Kisasi'!L39)</f>
        <v>0.2857142857142857</v>
      </c>
      <c r="M39" s="49">
        <f>AVERAGE('29.07 Bukoto-Kisasi'!M39,'30.07 Bukoto-Kisasi'!M39,'31.07 Bukoto-Kisasi'!M39,'02.08 Bukoto-Kisasi'!M39,'01.08 Bukoto-Kisasi'!M39,'03.08 Bukoto-Kisasi'!M39,'04.08 Bukoto-Kisasi'!M39)</f>
        <v>42.714285714285715</v>
      </c>
      <c r="N39" s="49">
        <f>AVERAGE('29.07 Bukoto-Kisasi'!N39,'30.07 Bukoto-Kisasi'!N39,'31.07 Bukoto-Kisasi'!N39,'02.08 Bukoto-Kisasi'!N39,'01.08 Bukoto-Kisasi'!N39,'03.08 Bukoto-Kisasi'!N39,'04.08 Bukoto-Kisasi'!N39)</f>
        <v>0</v>
      </c>
      <c r="O39" s="15">
        <f t="shared" si="0"/>
        <v>73.571428571428584</v>
      </c>
      <c r="P39" s="15">
        <f t="shared" si="1"/>
        <v>116.28571428571431</v>
      </c>
      <c r="R39" s="29" t="s">
        <v>87</v>
      </c>
      <c r="S39" s="16">
        <f t="shared" ref="S39:AF39" si="31">SUM(S19:S21)</f>
        <v>746.28571428571422</v>
      </c>
      <c r="T39" s="16">
        <f t="shared" si="31"/>
        <v>331.85714285714289</v>
      </c>
      <c r="U39" s="16">
        <f t="shared" si="31"/>
        <v>136.42857142857144</v>
      </c>
      <c r="V39" s="16">
        <f t="shared" si="31"/>
        <v>148.85714285714286</v>
      </c>
      <c r="W39" s="16">
        <f t="shared" si="31"/>
        <v>2</v>
      </c>
      <c r="X39" s="16">
        <f t="shared" si="31"/>
        <v>0.71428571428571419</v>
      </c>
      <c r="Y39" s="16">
        <f t="shared" si="31"/>
        <v>23.285714285714285</v>
      </c>
      <c r="Z39" s="16">
        <f t="shared" si="31"/>
        <v>6.9999999999999991</v>
      </c>
      <c r="AA39" s="16">
        <f t="shared" si="31"/>
        <v>1.4285714285714284</v>
      </c>
      <c r="AB39" s="16">
        <f t="shared" si="31"/>
        <v>0</v>
      </c>
      <c r="AC39" s="16">
        <f t="shared" si="31"/>
        <v>650.71428571428578</v>
      </c>
      <c r="AD39" s="16">
        <f t="shared" si="31"/>
        <v>0</v>
      </c>
      <c r="AE39" s="32">
        <f t="shared" si="31"/>
        <v>1397.8571428571427</v>
      </c>
      <c r="AF39" s="32">
        <f t="shared" si="31"/>
        <v>2048.5714285714284</v>
      </c>
    </row>
    <row r="40" spans="2:32" ht="23.1" customHeight="1" x14ac:dyDescent="0.25">
      <c r="B40" s="24" t="s">
        <v>67</v>
      </c>
      <c r="C40" s="49">
        <f>AVERAGE('29.07 Bukoto-Kisasi'!C40,'30.07 Bukoto-Kisasi'!C40,'31.07 Bukoto-Kisasi'!C40,'02.08 Bukoto-Kisasi'!C40,'01.08 Bukoto-Kisasi'!C40,'03.08 Bukoto-Kisasi'!C40,'04.08 Bukoto-Kisasi'!C40)</f>
        <v>32.714285714285715</v>
      </c>
      <c r="D40" s="49">
        <f>AVERAGE('29.07 Bukoto-Kisasi'!D40,'30.07 Bukoto-Kisasi'!D40,'31.07 Bukoto-Kisasi'!D40,'02.08 Bukoto-Kisasi'!D40,'01.08 Bukoto-Kisasi'!D40,'03.08 Bukoto-Kisasi'!D40,'04.08 Bukoto-Kisasi'!D40)</f>
        <v>16</v>
      </c>
      <c r="E40" s="49">
        <f>AVERAGE('29.07 Bukoto-Kisasi'!E40,'30.07 Bukoto-Kisasi'!E40,'31.07 Bukoto-Kisasi'!E40,'02.08 Bukoto-Kisasi'!E40,'01.08 Bukoto-Kisasi'!E40,'03.08 Bukoto-Kisasi'!E40,'04.08 Bukoto-Kisasi'!E40)</f>
        <v>7.8571428571428568</v>
      </c>
      <c r="F40" s="49">
        <f>AVERAGE('29.07 Bukoto-Kisasi'!F40,'30.07 Bukoto-Kisasi'!F40,'31.07 Bukoto-Kisasi'!F40,'02.08 Bukoto-Kisasi'!F40,'01.08 Bukoto-Kisasi'!F40,'03.08 Bukoto-Kisasi'!F40,'04.08 Bukoto-Kisasi'!F40)</f>
        <v>10.428571428571429</v>
      </c>
      <c r="G40" s="49">
        <f>AVERAGE('29.07 Bukoto-Kisasi'!G40,'30.07 Bukoto-Kisasi'!G40,'31.07 Bukoto-Kisasi'!G40,'02.08 Bukoto-Kisasi'!G40,'01.08 Bukoto-Kisasi'!G40,'03.08 Bukoto-Kisasi'!G40,'04.08 Bukoto-Kisasi'!G40)</f>
        <v>0</v>
      </c>
      <c r="H40" s="49">
        <f>AVERAGE('29.07 Bukoto-Kisasi'!H40,'30.07 Bukoto-Kisasi'!H40,'31.07 Bukoto-Kisasi'!H40,'02.08 Bukoto-Kisasi'!H40,'01.08 Bukoto-Kisasi'!H40,'03.08 Bukoto-Kisasi'!H40,'04.08 Bukoto-Kisasi'!H40)</f>
        <v>0.42857142857142855</v>
      </c>
      <c r="I40" s="49">
        <f>AVERAGE('29.07 Bukoto-Kisasi'!I40,'30.07 Bukoto-Kisasi'!I40,'31.07 Bukoto-Kisasi'!I40,'02.08 Bukoto-Kisasi'!I40,'01.08 Bukoto-Kisasi'!I40,'03.08 Bukoto-Kisasi'!I40,'04.08 Bukoto-Kisasi'!I40)</f>
        <v>1.8571428571428572</v>
      </c>
      <c r="J40" s="49">
        <f>AVERAGE('29.07 Bukoto-Kisasi'!J40,'30.07 Bukoto-Kisasi'!J40,'31.07 Bukoto-Kisasi'!J40,'02.08 Bukoto-Kisasi'!J40,'01.08 Bukoto-Kisasi'!J40,'03.08 Bukoto-Kisasi'!J40,'04.08 Bukoto-Kisasi'!J40)</f>
        <v>0.7142857142857143</v>
      </c>
      <c r="K40" s="49">
        <f>AVERAGE('29.07 Bukoto-Kisasi'!K40,'30.07 Bukoto-Kisasi'!K40,'31.07 Bukoto-Kisasi'!K40,'02.08 Bukoto-Kisasi'!K40,'01.08 Bukoto-Kisasi'!K40,'03.08 Bukoto-Kisasi'!K40,'04.08 Bukoto-Kisasi'!K40)</f>
        <v>0</v>
      </c>
      <c r="L40" s="49">
        <f>AVERAGE('29.07 Bukoto-Kisasi'!L40,'30.07 Bukoto-Kisasi'!L40,'31.07 Bukoto-Kisasi'!L40,'02.08 Bukoto-Kisasi'!L40,'01.08 Bukoto-Kisasi'!L40,'03.08 Bukoto-Kisasi'!L40,'04.08 Bukoto-Kisasi'!L40)</f>
        <v>0</v>
      </c>
      <c r="M40" s="49">
        <f>AVERAGE('29.07 Bukoto-Kisasi'!M40,'30.07 Bukoto-Kisasi'!M40,'31.07 Bukoto-Kisasi'!M40,'02.08 Bukoto-Kisasi'!M40,'01.08 Bukoto-Kisasi'!M40,'03.08 Bukoto-Kisasi'!M40,'04.08 Bukoto-Kisasi'!M40)</f>
        <v>46.571428571428569</v>
      </c>
      <c r="N40" s="49">
        <f>AVERAGE('29.07 Bukoto-Kisasi'!N40,'30.07 Bukoto-Kisasi'!N40,'31.07 Bukoto-Kisasi'!N40,'02.08 Bukoto-Kisasi'!N40,'01.08 Bukoto-Kisasi'!N40,'03.08 Bukoto-Kisasi'!N40,'04.08 Bukoto-Kisasi'!N40)</f>
        <v>0</v>
      </c>
      <c r="O40" s="15">
        <f t="shared" si="0"/>
        <v>70</v>
      </c>
      <c r="P40" s="15">
        <f t="shared" si="1"/>
        <v>116.57142857142857</v>
      </c>
      <c r="R40" s="5" t="s">
        <v>17</v>
      </c>
      <c r="S40" s="16">
        <f t="shared" ref="S40:AF40" si="32">SUM(S10:S21)</f>
        <v>1837.8571428571427</v>
      </c>
      <c r="T40" s="16">
        <f t="shared" si="32"/>
        <v>1059.7142857142858</v>
      </c>
      <c r="U40" s="16">
        <f t="shared" si="32"/>
        <v>352.85714285714289</v>
      </c>
      <c r="V40" s="16">
        <f t="shared" si="32"/>
        <v>432.14285714285717</v>
      </c>
      <c r="W40" s="16">
        <f t="shared" si="32"/>
        <v>4</v>
      </c>
      <c r="X40" s="16">
        <f t="shared" si="32"/>
        <v>1.2857142857142856</v>
      </c>
      <c r="Y40" s="16">
        <f t="shared" si="32"/>
        <v>82.142857142857125</v>
      </c>
      <c r="Z40" s="16">
        <f t="shared" si="32"/>
        <v>21.428571428571427</v>
      </c>
      <c r="AA40" s="16">
        <f t="shared" si="32"/>
        <v>7.4285714285714279</v>
      </c>
      <c r="AB40" s="16">
        <f t="shared" si="32"/>
        <v>0.2857142857142857</v>
      </c>
      <c r="AC40" s="16">
        <f t="shared" si="32"/>
        <v>2535.2857142857147</v>
      </c>
      <c r="AD40" s="16">
        <f t="shared" si="32"/>
        <v>0.14285714285714285</v>
      </c>
      <c r="AE40" s="32">
        <f t="shared" si="32"/>
        <v>3799.2857142857142</v>
      </c>
      <c r="AF40" s="32">
        <f t="shared" si="32"/>
        <v>6334.5714285714275</v>
      </c>
    </row>
    <row r="41" spans="2:32" ht="23.1" customHeight="1" x14ac:dyDescent="0.25">
      <c r="B41" s="23" t="s">
        <v>68</v>
      </c>
      <c r="C41" s="49">
        <f>AVERAGE('29.07 Bukoto-Kisasi'!C41,'30.07 Bukoto-Kisasi'!C41,'31.07 Bukoto-Kisasi'!C41,'02.08 Bukoto-Kisasi'!C41,'01.08 Bukoto-Kisasi'!C41,'03.08 Bukoto-Kisasi'!C41,'04.08 Bukoto-Kisasi'!C41)</f>
        <v>30.571428571428573</v>
      </c>
      <c r="D41" s="49">
        <f>AVERAGE('29.07 Bukoto-Kisasi'!D41,'30.07 Bukoto-Kisasi'!D41,'31.07 Bukoto-Kisasi'!D41,'02.08 Bukoto-Kisasi'!D41,'01.08 Bukoto-Kisasi'!D41,'03.08 Bukoto-Kisasi'!D41,'04.08 Bukoto-Kisasi'!D41)</f>
        <v>15.857142857142858</v>
      </c>
      <c r="E41" s="49">
        <f>AVERAGE('29.07 Bukoto-Kisasi'!E41,'30.07 Bukoto-Kisasi'!E41,'31.07 Bukoto-Kisasi'!E41,'02.08 Bukoto-Kisasi'!E41,'01.08 Bukoto-Kisasi'!E41,'03.08 Bukoto-Kisasi'!E41,'04.08 Bukoto-Kisasi'!E41)</f>
        <v>6.8571428571428568</v>
      </c>
      <c r="F41" s="49">
        <f>AVERAGE('29.07 Bukoto-Kisasi'!F41,'30.07 Bukoto-Kisasi'!F41,'31.07 Bukoto-Kisasi'!F41,'02.08 Bukoto-Kisasi'!F41,'01.08 Bukoto-Kisasi'!F41,'03.08 Bukoto-Kisasi'!F41,'04.08 Bukoto-Kisasi'!F41)</f>
        <v>9.1428571428571423</v>
      </c>
      <c r="G41" s="49">
        <f>AVERAGE('29.07 Bukoto-Kisasi'!G41,'30.07 Bukoto-Kisasi'!G41,'31.07 Bukoto-Kisasi'!G41,'02.08 Bukoto-Kisasi'!G41,'01.08 Bukoto-Kisasi'!G41,'03.08 Bukoto-Kisasi'!G41,'04.08 Bukoto-Kisasi'!G41)</f>
        <v>0</v>
      </c>
      <c r="H41" s="49">
        <f>AVERAGE('29.07 Bukoto-Kisasi'!H41,'30.07 Bukoto-Kisasi'!H41,'31.07 Bukoto-Kisasi'!H41,'02.08 Bukoto-Kisasi'!H41,'01.08 Bukoto-Kisasi'!H41,'03.08 Bukoto-Kisasi'!H41,'04.08 Bukoto-Kisasi'!H41)</f>
        <v>0</v>
      </c>
      <c r="I41" s="49">
        <f>AVERAGE('29.07 Bukoto-Kisasi'!I41,'30.07 Bukoto-Kisasi'!I41,'31.07 Bukoto-Kisasi'!I41,'02.08 Bukoto-Kisasi'!I41,'01.08 Bukoto-Kisasi'!I41,'03.08 Bukoto-Kisasi'!I41,'04.08 Bukoto-Kisasi'!I41)</f>
        <v>0.8571428571428571</v>
      </c>
      <c r="J41" s="49">
        <f>AVERAGE('29.07 Bukoto-Kisasi'!J41,'30.07 Bukoto-Kisasi'!J41,'31.07 Bukoto-Kisasi'!J41,'02.08 Bukoto-Kisasi'!J41,'01.08 Bukoto-Kisasi'!J41,'03.08 Bukoto-Kisasi'!J41,'04.08 Bukoto-Kisasi'!J41)</f>
        <v>0.5714285714285714</v>
      </c>
      <c r="K41" s="49">
        <f>AVERAGE('29.07 Bukoto-Kisasi'!K41,'30.07 Bukoto-Kisasi'!K41,'31.07 Bukoto-Kisasi'!K41,'02.08 Bukoto-Kisasi'!K41,'01.08 Bukoto-Kisasi'!K41,'03.08 Bukoto-Kisasi'!K41,'04.08 Bukoto-Kisasi'!K41)</f>
        <v>0</v>
      </c>
      <c r="L41" s="49">
        <f>AVERAGE('29.07 Bukoto-Kisasi'!L41,'30.07 Bukoto-Kisasi'!L41,'31.07 Bukoto-Kisasi'!L41,'02.08 Bukoto-Kisasi'!L41,'01.08 Bukoto-Kisasi'!L41,'03.08 Bukoto-Kisasi'!L41,'04.08 Bukoto-Kisasi'!L41)</f>
        <v>0</v>
      </c>
      <c r="M41" s="49">
        <f>AVERAGE('29.07 Bukoto-Kisasi'!M41,'30.07 Bukoto-Kisasi'!M41,'31.07 Bukoto-Kisasi'!M41,'02.08 Bukoto-Kisasi'!M41,'01.08 Bukoto-Kisasi'!M41,'03.08 Bukoto-Kisasi'!M41,'04.08 Bukoto-Kisasi'!M41)</f>
        <v>45.571428571428569</v>
      </c>
      <c r="N41" s="49">
        <f>AVERAGE('29.07 Bukoto-Kisasi'!N41,'30.07 Bukoto-Kisasi'!N41,'31.07 Bukoto-Kisasi'!N41,'02.08 Bukoto-Kisasi'!N41,'01.08 Bukoto-Kisasi'!N41,'03.08 Bukoto-Kisasi'!N41,'04.08 Bukoto-Kisasi'!N41)</f>
        <v>0</v>
      </c>
      <c r="O41" s="15">
        <f t="shared" si="0"/>
        <v>63.857142857142854</v>
      </c>
      <c r="P41" s="15">
        <f t="shared" si="1"/>
        <v>109.42857142857142</v>
      </c>
      <c r="R41" s="5" t="s">
        <v>176</v>
      </c>
      <c r="S41" s="51">
        <f>SUM(S10:S33)</f>
        <v>2800.3571428571427</v>
      </c>
      <c r="T41" s="51">
        <f t="shared" ref="T41:AD41" si="33">SUM(T10:T33)</f>
        <v>1686.7142857142858</v>
      </c>
      <c r="U41" s="51">
        <f t="shared" si="33"/>
        <v>358.35714285714289</v>
      </c>
      <c r="V41" s="51">
        <f t="shared" si="33"/>
        <v>615.14285714285711</v>
      </c>
      <c r="W41" s="51">
        <f t="shared" si="33"/>
        <v>6</v>
      </c>
      <c r="X41" s="51">
        <f t="shared" si="33"/>
        <v>1.2857142857142856</v>
      </c>
      <c r="Y41" s="51">
        <f t="shared" si="33"/>
        <v>111.64285714285712</v>
      </c>
      <c r="Z41" s="51">
        <f t="shared" si="33"/>
        <v>23.428571428571427</v>
      </c>
      <c r="AA41" s="51">
        <f t="shared" si="33"/>
        <v>9.928571428571427</v>
      </c>
      <c r="AB41" s="51">
        <f t="shared" si="33"/>
        <v>1.2857142857142856</v>
      </c>
      <c r="AC41" s="51">
        <f t="shared" si="33"/>
        <v>3630.7857142857147</v>
      </c>
      <c r="AD41" s="51">
        <f t="shared" si="33"/>
        <v>0.14285714285714285</v>
      </c>
      <c r="AE41" s="52">
        <f>SUM(AE10:AE33)</f>
        <v>5614.2857142857138</v>
      </c>
      <c r="AF41" s="52">
        <f>SUM(AF10:AF33)</f>
        <v>9245.0714285714275</v>
      </c>
    </row>
    <row r="42" spans="2:32" ht="23.1" customHeight="1" x14ac:dyDescent="0.25">
      <c r="B42" s="24" t="s">
        <v>69</v>
      </c>
      <c r="C42" s="49">
        <f>AVERAGE('29.07 Bukoto-Kisasi'!C42,'30.07 Bukoto-Kisasi'!C42,'31.07 Bukoto-Kisasi'!C42,'02.08 Bukoto-Kisasi'!C42,'01.08 Bukoto-Kisasi'!C42,'03.08 Bukoto-Kisasi'!C42,'04.08 Bukoto-Kisasi'!C42)</f>
        <v>33.714285714285715</v>
      </c>
      <c r="D42" s="49">
        <f>AVERAGE('29.07 Bukoto-Kisasi'!D42,'30.07 Bukoto-Kisasi'!D42,'31.07 Bukoto-Kisasi'!D42,'02.08 Bukoto-Kisasi'!D42,'01.08 Bukoto-Kisasi'!D42,'03.08 Bukoto-Kisasi'!D42,'04.08 Bukoto-Kisasi'!D42)</f>
        <v>14.714285714285714</v>
      </c>
      <c r="E42" s="49">
        <f>AVERAGE('29.07 Bukoto-Kisasi'!E42,'30.07 Bukoto-Kisasi'!E42,'31.07 Bukoto-Kisasi'!E42,'02.08 Bukoto-Kisasi'!E42,'01.08 Bukoto-Kisasi'!E42,'03.08 Bukoto-Kisasi'!E42,'04.08 Bukoto-Kisasi'!E42)</f>
        <v>7.8571428571428568</v>
      </c>
      <c r="F42" s="49">
        <f>AVERAGE('29.07 Bukoto-Kisasi'!F42,'30.07 Bukoto-Kisasi'!F42,'31.07 Bukoto-Kisasi'!F42,'02.08 Bukoto-Kisasi'!F42,'01.08 Bukoto-Kisasi'!F42,'03.08 Bukoto-Kisasi'!F42,'04.08 Bukoto-Kisasi'!F42)</f>
        <v>9.5714285714285712</v>
      </c>
      <c r="G42" s="49">
        <f>AVERAGE('29.07 Bukoto-Kisasi'!G42,'30.07 Bukoto-Kisasi'!G42,'31.07 Bukoto-Kisasi'!G42,'02.08 Bukoto-Kisasi'!G42,'01.08 Bukoto-Kisasi'!G42,'03.08 Bukoto-Kisasi'!G42,'04.08 Bukoto-Kisasi'!G42)</f>
        <v>0</v>
      </c>
      <c r="H42" s="49">
        <f>AVERAGE('29.07 Bukoto-Kisasi'!H42,'30.07 Bukoto-Kisasi'!H42,'31.07 Bukoto-Kisasi'!H42,'02.08 Bukoto-Kisasi'!H42,'01.08 Bukoto-Kisasi'!H42,'03.08 Bukoto-Kisasi'!H42,'04.08 Bukoto-Kisasi'!H42)</f>
        <v>0</v>
      </c>
      <c r="I42" s="49">
        <f>AVERAGE('29.07 Bukoto-Kisasi'!I42,'30.07 Bukoto-Kisasi'!I42,'31.07 Bukoto-Kisasi'!I42,'02.08 Bukoto-Kisasi'!I42,'01.08 Bukoto-Kisasi'!I42,'03.08 Bukoto-Kisasi'!I42,'04.08 Bukoto-Kisasi'!I42)</f>
        <v>2</v>
      </c>
      <c r="J42" s="49">
        <f>AVERAGE('29.07 Bukoto-Kisasi'!J42,'30.07 Bukoto-Kisasi'!J42,'31.07 Bukoto-Kisasi'!J42,'02.08 Bukoto-Kisasi'!J42,'01.08 Bukoto-Kisasi'!J42,'03.08 Bukoto-Kisasi'!J42,'04.08 Bukoto-Kisasi'!J42)</f>
        <v>0.7142857142857143</v>
      </c>
      <c r="K42" s="49">
        <f>AVERAGE('29.07 Bukoto-Kisasi'!K42,'30.07 Bukoto-Kisasi'!K42,'31.07 Bukoto-Kisasi'!K42,'02.08 Bukoto-Kisasi'!K42,'01.08 Bukoto-Kisasi'!K42,'03.08 Bukoto-Kisasi'!K42,'04.08 Bukoto-Kisasi'!K42)</f>
        <v>0.2857142857142857</v>
      </c>
      <c r="L42" s="49">
        <f>AVERAGE('29.07 Bukoto-Kisasi'!L42,'30.07 Bukoto-Kisasi'!L42,'31.07 Bukoto-Kisasi'!L42,'02.08 Bukoto-Kisasi'!L42,'01.08 Bukoto-Kisasi'!L42,'03.08 Bukoto-Kisasi'!L42,'04.08 Bukoto-Kisasi'!L42)</f>
        <v>0</v>
      </c>
      <c r="M42" s="49">
        <f>AVERAGE('29.07 Bukoto-Kisasi'!M42,'30.07 Bukoto-Kisasi'!M42,'31.07 Bukoto-Kisasi'!M42,'02.08 Bukoto-Kisasi'!M42,'01.08 Bukoto-Kisasi'!M42,'03.08 Bukoto-Kisasi'!M42,'04.08 Bukoto-Kisasi'!M42)</f>
        <v>46</v>
      </c>
      <c r="N42" s="49">
        <f>AVERAGE('29.07 Bukoto-Kisasi'!N42,'30.07 Bukoto-Kisasi'!N42,'31.07 Bukoto-Kisasi'!N42,'02.08 Bukoto-Kisasi'!N42,'01.08 Bukoto-Kisasi'!N42,'03.08 Bukoto-Kisasi'!N42,'04.08 Bukoto-Kisasi'!N42)</f>
        <v>0</v>
      </c>
      <c r="O42" s="15">
        <f t="shared" si="0"/>
        <v>68.857142857142861</v>
      </c>
      <c r="P42" s="15">
        <f t="shared" si="1"/>
        <v>114.85714285714286</v>
      </c>
      <c r="R42" s="5" t="s">
        <v>160</v>
      </c>
      <c r="S42" s="48">
        <f>S41/S40</f>
        <v>1.5237077341624563</v>
      </c>
      <c r="T42" s="48">
        <f t="shared" ref="T42:AF42" si="34">T41/T40</f>
        <v>1.5916689134537612</v>
      </c>
      <c r="U42" s="48">
        <f t="shared" si="34"/>
        <v>1.0155870445344131</v>
      </c>
      <c r="V42" s="48">
        <f t="shared" si="34"/>
        <v>1.4234710743801651</v>
      </c>
      <c r="W42" s="48">
        <f t="shared" si="34"/>
        <v>1.5</v>
      </c>
      <c r="X42" s="48">
        <f t="shared" si="34"/>
        <v>1</v>
      </c>
      <c r="Y42" s="48">
        <f t="shared" si="34"/>
        <v>1.3591304347826088</v>
      </c>
      <c r="Z42" s="48">
        <f t="shared" si="34"/>
        <v>1.0933333333333333</v>
      </c>
      <c r="AA42" s="48">
        <f t="shared" si="34"/>
        <v>1.3365384615384615</v>
      </c>
      <c r="AB42" s="48">
        <f t="shared" si="34"/>
        <v>4.5</v>
      </c>
      <c r="AC42" s="48">
        <f t="shared" si="34"/>
        <v>1.432101200202851</v>
      </c>
      <c r="AD42" s="48">
        <f t="shared" si="34"/>
        <v>1</v>
      </c>
      <c r="AE42" s="53">
        <f t="shared" si="34"/>
        <v>1.4777213761985335</v>
      </c>
      <c r="AF42" s="53">
        <f t="shared" si="34"/>
        <v>1.4594628117811557</v>
      </c>
    </row>
    <row r="43" spans="2:32" ht="23.1" customHeight="1" x14ac:dyDescent="0.25">
      <c r="B43" s="23" t="s">
        <v>70</v>
      </c>
      <c r="C43" s="49">
        <f>AVERAGE('29.07 Bukoto-Kisasi'!C43,'30.07 Bukoto-Kisasi'!C43,'31.07 Bukoto-Kisasi'!C43,'02.08 Bukoto-Kisasi'!C43,'01.08 Bukoto-Kisasi'!C43,'03.08 Bukoto-Kisasi'!C43,'04.08 Bukoto-Kisasi'!C43)</f>
        <v>33.857142857142854</v>
      </c>
      <c r="D43" s="49">
        <f>AVERAGE('29.07 Bukoto-Kisasi'!D43,'30.07 Bukoto-Kisasi'!D43,'31.07 Bukoto-Kisasi'!D43,'02.08 Bukoto-Kisasi'!D43,'01.08 Bukoto-Kisasi'!D43,'03.08 Bukoto-Kisasi'!D43,'04.08 Bukoto-Kisasi'!D43)</f>
        <v>15.571428571428571</v>
      </c>
      <c r="E43" s="49">
        <f>AVERAGE('29.07 Bukoto-Kisasi'!E43,'30.07 Bukoto-Kisasi'!E43,'31.07 Bukoto-Kisasi'!E43,'02.08 Bukoto-Kisasi'!E43,'01.08 Bukoto-Kisasi'!E43,'03.08 Bukoto-Kisasi'!E43,'04.08 Bukoto-Kisasi'!E43)</f>
        <v>11.285714285714286</v>
      </c>
      <c r="F43" s="49">
        <f>AVERAGE('29.07 Bukoto-Kisasi'!F43,'30.07 Bukoto-Kisasi'!F43,'31.07 Bukoto-Kisasi'!F43,'02.08 Bukoto-Kisasi'!F43,'01.08 Bukoto-Kisasi'!F43,'03.08 Bukoto-Kisasi'!F43,'04.08 Bukoto-Kisasi'!F43)</f>
        <v>9</v>
      </c>
      <c r="G43" s="49">
        <f>AVERAGE('29.07 Bukoto-Kisasi'!G43,'30.07 Bukoto-Kisasi'!G43,'31.07 Bukoto-Kisasi'!G43,'02.08 Bukoto-Kisasi'!G43,'01.08 Bukoto-Kisasi'!G43,'03.08 Bukoto-Kisasi'!G43,'04.08 Bukoto-Kisasi'!G43)</f>
        <v>0.14285714285714285</v>
      </c>
      <c r="H43" s="49">
        <f>AVERAGE('29.07 Bukoto-Kisasi'!H43,'30.07 Bukoto-Kisasi'!H43,'31.07 Bukoto-Kisasi'!H43,'02.08 Bukoto-Kisasi'!H43,'01.08 Bukoto-Kisasi'!H43,'03.08 Bukoto-Kisasi'!H43,'04.08 Bukoto-Kisasi'!H43)</f>
        <v>0</v>
      </c>
      <c r="I43" s="49">
        <f>AVERAGE('29.07 Bukoto-Kisasi'!I43,'30.07 Bukoto-Kisasi'!I43,'31.07 Bukoto-Kisasi'!I43,'02.08 Bukoto-Kisasi'!I43,'01.08 Bukoto-Kisasi'!I43,'03.08 Bukoto-Kisasi'!I43,'04.08 Bukoto-Kisasi'!I43)</f>
        <v>1.4285714285714286</v>
      </c>
      <c r="J43" s="49">
        <f>AVERAGE('29.07 Bukoto-Kisasi'!J43,'30.07 Bukoto-Kisasi'!J43,'31.07 Bukoto-Kisasi'!J43,'02.08 Bukoto-Kisasi'!J43,'01.08 Bukoto-Kisasi'!J43,'03.08 Bukoto-Kisasi'!J43,'04.08 Bukoto-Kisasi'!J43)</f>
        <v>0.2857142857142857</v>
      </c>
      <c r="K43" s="49">
        <f>AVERAGE('29.07 Bukoto-Kisasi'!K43,'30.07 Bukoto-Kisasi'!K43,'31.07 Bukoto-Kisasi'!K43,'02.08 Bukoto-Kisasi'!K43,'01.08 Bukoto-Kisasi'!K43,'03.08 Bukoto-Kisasi'!K43,'04.08 Bukoto-Kisasi'!K43)</f>
        <v>0.2857142857142857</v>
      </c>
      <c r="L43" s="49">
        <f>AVERAGE('29.07 Bukoto-Kisasi'!L43,'30.07 Bukoto-Kisasi'!L43,'31.07 Bukoto-Kisasi'!L43,'02.08 Bukoto-Kisasi'!L43,'01.08 Bukoto-Kisasi'!L43,'03.08 Bukoto-Kisasi'!L43,'04.08 Bukoto-Kisasi'!L43)</f>
        <v>0</v>
      </c>
      <c r="M43" s="49">
        <f>AVERAGE('29.07 Bukoto-Kisasi'!M43,'30.07 Bukoto-Kisasi'!M43,'31.07 Bukoto-Kisasi'!M43,'02.08 Bukoto-Kisasi'!M43,'01.08 Bukoto-Kisasi'!M43,'03.08 Bukoto-Kisasi'!M43,'04.08 Bukoto-Kisasi'!M43)</f>
        <v>45.857142857142854</v>
      </c>
      <c r="N43" s="49">
        <f>AVERAGE('29.07 Bukoto-Kisasi'!N43,'30.07 Bukoto-Kisasi'!N43,'31.07 Bukoto-Kisasi'!N43,'02.08 Bukoto-Kisasi'!N43,'01.08 Bukoto-Kisasi'!N43,'03.08 Bukoto-Kisasi'!N43,'04.08 Bukoto-Kisasi'!N43)</f>
        <v>0</v>
      </c>
      <c r="O43" s="15">
        <f t="shared" si="0"/>
        <v>71.857142857142861</v>
      </c>
      <c r="P43" s="15">
        <f t="shared" si="1"/>
        <v>117.71428571428572</v>
      </c>
    </row>
    <row r="44" spans="2:32" ht="23.1" customHeight="1" x14ac:dyDescent="0.25">
      <c r="B44" s="25" t="s">
        <v>71</v>
      </c>
      <c r="C44" s="49">
        <f>AVERAGE('29.07 Bukoto-Kisasi'!C44,'30.07 Bukoto-Kisasi'!C44,'31.07 Bukoto-Kisasi'!C44,'02.08 Bukoto-Kisasi'!C44,'01.08 Bukoto-Kisasi'!C44,'03.08 Bukoto-Kisasi'!C44,'04.08 Bukoto-Kisasi'!C44)</f>
        <v>30.857142857142858</v>
      </c>
      <c r="D44" s="49">
        <f>AVERAGE('29.07 Bukoto-Kisasi'!D44,'30.07 Bukoto-Kisasi'!D44,'31.07 Bukoto-Kisasi'!D44,'02.08 Bukoto-Kisasi'!D44,'01.08 Bukoto-Kisasi'!D44,'03.08 Bukoto-Kisasi'!D44,'04.08 Bukoto-Kisasi'!D44)</f>
        <v>16.571428571428573</v>
      </c>
      <c r="E44" s="49">
        <f>AVERAGE('29.07 Bukoto-Kisasi'!E44,'30.07 Bukoto-Kisasi'!E44,'31.07 Bukoto-Kisasi'!E44,'02.08 Bukoto-Kisasi'!E44,'01.08 Bukoto-Kisasi'!E44,'03.08 Bukoto-Kisasi'!E44,'04.08 Bukoto-Kisasi'!E44)</f>
        <v>9.2857142857142865</v>
      </c>
      <c r="F44" s="49">
        <f>AVERAGE('29.07 Bukoto-Kisasi'!F44,'30.07 Bukoto-Kisasi'!F44,'31.07 Bukoto-Kisasi'!F44,'02.08 Bukoto-Kisasi'!F44,'01.08 Bukoto-Kisasi'!F44,'03.08 Bukoto-Kisasi'!F44,'04.08 Bukoto-Kisasi'!F44)</f>
        <v>9.7142857142857135</v>
      </c>
      <c r="G44" s="49">
        <f>AVERAGE('29.07 Bukoto-Kisasi'!G44,'30.07 Bukoto-Kisasi'!G44,'31.07 Bukoto-Kisasi'!G44,'02.08 Bukoto-Kisasi'!G44,'01.08 Bukoto-Kisasi'!G44,'03.08 Bukoto-Kisasi'!G44,'04.08 Bukoto-Kisasi'!G44)</f>
        <v>0</v>
      </c>
      <c r="H44" s="49">
        <f>AVERAGE('29.07 Bukoto-Kisasi'!H44,'30.07 Bukoto-Kisasi'!H44,'31.07 Bukoto-Kisasi'!H44,'02.08 Bukoto-Kisasi'!H44,'01.08 Bukoto-Kisasi'!H44,'03.08 Bukoto-Kisasi'!H44,'04.08 Bukoto-Kisasi'!H44)</f>
        <v>0</v>
      </c>
      <c r="I44" s="49">
        <f>AVERAGE('29.07 Bukoto-Kisasi'!I44,'30.07 Bukoto-Kisasi'!I44,'31.07 Bukoto-Kisasi'!I44,'02.08 Bukoto-Kisasi'!I44,'01.08 Bukoto-Kisasi'!I44,'03.08 Bukoto-Kisasi'!I44,'04.08 Bukoto-Kisasi'!I44)</f>
        <v>2.5714285714285716</v>
      </c>
      <c r="J44" s="49">
        <f>AVERAGE('29.07 Bukoto-Kisasi'!J44,'30.07 Bukoto-Kisasi'!J44,'31.07 Bukoto-Kisasi'!J44,'02.08 Bukoto-Kisasi'!J44,'01.08 Bukoto-Kisasi'!J44,'03.08 Bukoto-Kisasi'!J44,'04.08 Bukoto-Kisasi'!J44)</f>
        <v>0.14285714285714285</v>
      </c>
      <c r="K44" s="49">
        <f>AVERAGE('29.07 Bukoto-Kisasi'!K44,'30.07 Bukoto-Kisasi'!K44,'31.07 Bukoto-Kisasi'!K44,'02.08 Bukoto-Kisasi'!K44,'01.08 Bukoto-Kisasi'!K44,'03.08 Bukoto-Kisasi'!K44,'04.08 Bukoto-Kisasi'!K44)</f>
        <v>0</v>
      </c>
      <c r="L44" s="49">
        <f>AVERAGE('29.07 Bukoto-Kisasi'!L44,'30.07 Bukoto-Kisasi'!L44,'31.07 Bukoto-Kisasi'!L44,'02.08 Bukoto-Kisasi'!L44,'01.08 Bukoto-Kisasi'!L44,'03.08 Bukoto-Kisasi'!L44,'04.08 Bukoto-Kisasi'!L44)</f>
        <v>0</v>
      </c>
      <c r="M44" s="49">
        <f>AVERAGE('29.07 Bukoto-Kisasi'!M44,'30.07 Bukoto-Kisasi'!M44,'31.07 Bukoto-Kisasi'!M44,'02.08 Bukoto-Kisasi'!M44,'01.08 Bukoto-Kisasi'!M44,'03.08 Bukoto-Kisasi'!M44,'04.08 Bukoto-Kisasi'!M44)</f>
        <v>46.142857142857146</v>
      </c>
      <c r="N44" s="49">
        <f>AVERAGE('29.07 Bukoto-Kisasi'!N44,'30.07 Bukoto-Kisasi'!N44,'31.07 Bukoto-Kisasi'!N44,'02.08 Bukoto-Kisasi'!N44,'01.08 Bukoto-Kisasi'!N44,'03.08 Bukoto-Kisasi'!N44,'04.08 Bukoto-Kisasi'!N44)</f>
        <v>0</v>
      </c>
      <c r="O44" s="15">
        <f t="shared" si="0"/>
        <v>69.142857142857139</v>
      </c>
      <c r="P44" s="15">
        <f t="shared" si="1"/>
        <v>115.28571428571428</v>
      </c>
    </row>
    <row r="45" spans="2:32" ht="23.1" customHeight="1" x14ac:dyDescent="0.25">
      <c r="B45" s="23" t="s">
        <v>72</v>
      </c>
      <c r="C45" s="49">
        <f>AVERAGE('29.07 Bukoto-Kisasi'!C45,'30.07 Bukoto-Kisasi'!C45,'31.07 Bukoto-Kisasi'!C45,'02.08 Bukoto-Kisasi'!C45,'01.08 Bukoto-Kisasi'!C45,'03.08 Bukoto-Kisasi'!C45,'04.08 Bukoto-Kisasi'!C45)</f>
        <v>33.285714285714285</v>
      </c>
      <c r="D45" s="49">
        <f>AVERAGE('29.07 Bukoto-Kisasi'!D45,'30.07 Bukoto-Kisasi'!D45,'31.07 Bukoto-Kisasi'!D45,'02.08 Bukoto-Kisasi'!D45,'01.08 Bukoto-Kisasi'!D45,'03.08 Bukoto-Kisasi'!D45,'04.08 Bukoto-Kisasi'!D45)</f>
        <v>17</v>
      </c>
      <c r="E45" s="49">
        <f>AVERAGE('29.07 Bukoto-Kisasi'!E45,'30.07 Bukoto-Kisasi'!E45,'31.07 Bukoto-Kisasi'!E45,'02.08 Bukoto-Kisasi'!E45,'01.08 Bukoto-Kisasi'!E45,'03.08 Bukoto-Kisasi'!E45,'04.08 Bukoto-Kisasi'!E45)</f>
        <v>8.4285714285714288</v>
      </c>
      <c r="F45" s="49">
        <f>AVERAGE('29.07 Bukoto-Kisasi'!F45,'30.07 Bukoto-Kisasi'!F45,'31.07 Bukoto-Kisasi'!F45,'02.08 Bukoto-Kisasi'!F45,'01.08 Bukoto-Kisasi'!F45,'03.08 Bukoto-Kisasi'!F45,'04.08 Bukoto-Kisasi'!F45)</f>
        <v>9</v>
      </c>
      <c r="G45" s="49">
        <f>AVERAGE('29.07 Bukoto-Kisasi'!G45,'30.07 Bukoto-Kisasi'!G45,'31.07 Bukoto-Kisasi'!G45,'02.08 Bukoto-Kisasi'!G45,'01.08 Bukoto-Kisasi'!G45,'03.08 Bukoto-Kisasi'!G45,'04.08 Bukoto-Kisasi'!G45)</f>
        <v>0.14285714285714285</v>
      </c>
      <c r="H45" s="49">
        <f>AVERAGE('29.07 Bukoto-Kisasi'!H45,'30.07 Bukoto-Kisasi'!H45,'31.07 Bukoto-Kisasi'!H45,'02.08 Bukoto-Kisasi'!H45,'01.08 Bukoto-Kisasi'!H45,'03.08 Bukoto-Kisasi'!H45,'04.08 Bukoto-Kisasi'!H45)</f>
        <v>0</v>
      </c>
      <c r="I45" s="49">
        <f>AVERAGE('29.07 Bukoto-Kisasi'!I45,'30.07 Bukoto-Kisasi'!I45,'31.07 Bukoto-Kisasi'!I45,'02.08 Bukoto-Kisasi'!I45,'01.08 Bukoto-Kisasi'!I45,'03.08 Bukoto-Kisasi'!I45,'04.08 Bukoto-Kisasi'!I45)</f>
        <v>1</v>
      </c>
      <c r="J45" s="49">
        <f>AVERAGE('29.07 Bukoto-Kisasi'!J45,'30.07 Bukoto-Kisasi'!J45,'31.07 Bukoto-Kisasi'!J45,'02.08 Bukoto-Kisasi'!J45,'01.08 Bukoto-Kisasi'!J45,'03.08 Bukoto-Kisasi'!J45,'04.08 Bukoto-Kisasi'!J45)</f>
        <v>0.5714285714285714</v>
      </c>
      <c r="K45" s="49">
        <f>AVERAGE('29.07 Bukoto-Kisasi'!K45,'30.07 Bukoto-Kisasi'!K45,'31.07 Bukoto-Kisasi'!K45,'02.08 Bukoto-Kisasi'!K45,'01.08 Bukoto-Kisasi'!K45,'03.08 Bukoto-Kisasi'!K45,'04.08 Bukoto-Kisasi'!K45)</f>
        <v>0</v>
      </c>
      <c r="L45" s="49">
        <f>AVERAGE('29.07 Bukoto-Kisasi'!L45,'30.07 Bukoto-Kisasi'!L45,'31.07 Bukoto-Kisasi'!L45,'02.08 Bukoto-Kisasi'!L45,'01.08 Bukoto-Kisasi'!L45,'03.08 Bukoto-Kisasi'!L45,'04.08 Bukoto-Kisasi'!L45)</f>
        <v>0</v>
      </c>
      <c r="M45" s="49">
        <f>AVERAGE('29.07 Bukoto-Kisasi'!M45,'30.07 Bukoto-Kisasi'!M45,'31.07 Bukoto-Kisasi'!M45,'02.08 Bukoto-Kisasi'!M45,'01.08 Bukoto-Kisasi'!M45,'03.08 Bukoto-Kisasi'!M45,'04.08 Bukoto-Kisasi'!M45)</f>
        <v>48.857142857142854</v>
      </c>
      <c r="N45" s="49">
        <f>AVERAGE('29.07 Bukoto-Kisasi'!N45,'30.07 Bukoto-Kisasi'!N45,'31.07 Bukoto-Kisasi'!N45,'02.08 Bukoto-Kisasi'!N45,'01.08 Bukoto-Kisasi'!N45,'03.08 Bukoto-Kisasi'!N45,'04.08 Bukoto-Kisasi'!N45)</f>
        <v>0</v>
      </c>
      <c r="O45" s="15">
        <f t="shared" si="0"/>
        <v>69.428571428571431</v>
      </c>
      <c r="P45" s="15">
        <f t="shared" si="1"/>
        <v>118.28571428571428</v>
      </c>
    </row>
    <row r="46" spans="2:32" ht="23.1" customHeight="1" x14ac:dyDescent="0.25">
      <c r="B46" s="24" t="s">
        <v>73</v>
      </c>
      <c r="C46" s="49">
        <f>AVERAGE('29.07 Bukoto-Kisasi'!C46,'30.07 Bukoto-Kisasi'!C46,'31.07 Bukoto-Kisasi'!C46,'02.08 Bukoto-Kisasi'!C46,'01.08 Bukoto-Kisasi'!C46,'03.08 Bukoto-Kisasi'!C46,'04.08 Bukoto-Kisasi'!C46)</f>
        <v>31.571428571428573</v>
      </c>
      <c r="D46" s="49">
        <f>AVERAGE('29.07 Bukoto-Kisasi'!D46,'30.07 Bukoto-Kisasi'!D46,'31.07 Bukoto-Kisasi'!D46,'02.08 Bukoto-Kisasi'!D46,'01.08 Bukoto-Kisasi'!D46,'03.08 Bukoto-Kisasi'!D46,'04.08 Bukoto-Kisasi'!D46)</f>
        <v>17.571428571428573</v>
      </c>
      <c r="E46" s="49">
        <f>AVERAGE('29.07 Bukoto-Kisasi'!E46,'30.07 Bukoto-Kisasi'!E46,'31.07 Bukoto-Kisasi'!E46,'02.08 Bukoto-Kisasi'!E46,'01.08 Bukoto-Kisasi'!E46,'03.08 Bukoto-Kisasi'!E46,'04.08 Bukoto-Kisasi'!E46)</f>
        <v>7.4285714285714288</v>
      </c>
      <c r="F46" s="49">
        <f>AVERAGE('29.07 Bukoto-Kisasi'!F46,'30.07 Bukoto-Kisasi'!F46,'31.07 Bukoto-Kisasi'!F46,'02.08 Bukoto-Kisasi'!F46,'01.08 Bukoto-Kisasi'!F46,'03.08 Bukoto-Kisasi'!F46,'04.08 Bukoto-Kisasi'!F46)</f>
        <v>9.7142857142857135</v>
      </c>
      <c r="G46" s="49">
        <f>AVERAGE('29.07 Bukoto-Kisasi'!G46,'30.07 Bukoto-Kisasi'!G46,'31.07 Bukoto-Kisasi'!G46,'02.08 Bukoto-Kisasi'!G46,'01.08 Bukoto-Kisasi'!G46,'03.08 Bukoto-Kisasi'!G46,'04.08 Bukoto-Kisasi'!G46)</f>
        <v>0</v>
      </c>
      <c r="H46" s="49">
        <f>AVERAGE('29.07 Bukoto-Kisasi'!H46,'30.07 Bukoto-Kisasi'!H46,'31.07 Bukoto-Kisasi'!H46,'02.08 Bukoto-Kisasi'!H46,'01.08 Bukoto-Kisasi'!H46,'03.08 Bukoto-Kisasi'!H46,'04.08 Bukoto-Kisasi'!H46)</f>
        <v>0</v>
      </c>
      <c r="I46" s="49">
        <f>AVERAGE('29.07 Bukoto-Kisasi'!I46,'30.07 Bukoto-Kisasi'!I46,'31.07 Bukoto-Kisasi'!I46,'02.08 Bukoto-Kisasi'!I46,'01.08 Bukoto-Kisasi'!I46,'03.08 Bukoto-Kisasi'!I46,'04.08 Bukoto-Kisasi'!I46)</f>
        <v>1.8571428571428572</v>
      </c>
      <c r="J46" s="49">
        <f>AVERAGE('29.07 Bukoto-Kisasi'!J46,'30.07 Bukoto-Kisasi'!J46,'31.07 Bukoto-Kisasi'!J46,'02.08 Bukoto-Kisasi'!J46,'01.08 Bukoto-Kisasi'!J46,'03.08 Bukoto-Kisasi'!J46,'04.08 Bukoto-Kisasi'!J46)</f>
        <v>1</v>
      </c>
      <c r="K46" s="49">
        <f>AVERAGE('29.07 Bukoto-Kisasi'!K46,'30.07 Bukoto-Kisasi'!K46,'31.07 Bukoto-Kisasi'!K46,'02.08 Bukoto-Kisasi'!K46,'01.08 Bukoto-Kisasi'!K46,'03.08 Bukoto-Kisasi'!K46,'04.08 Bukoto-Kisasi'!K46)</f>
        <v>0</v>
      </c>
      <c r="L46" s="49">
        <f>AVERAGE('29.07 Bukoto-Kisasi'!L46,'30.07 Bukoto-Kisasi'!L46,'31.07 Bukoto-Kisasi'!L46,'02.08 Bukoto-Kisasi'!L46,'01.08 Bukoto-Kisasi'!L46,'03.08 Bukoto-Kisasi'!L46,'04.08 Bukoto-Kisasi'!L46)</f>
        <v>0</v>
      </c>
      <c r="M46" s="49">
        <f>AVERAGE('29.07 Bukoto-Kisasi'!M46,'30.07 Bukoto-Kisasi'!M46,'31.07 Bukoto-Kisasi'!M46,'02.08 Bukoto-Kisasi'!M46,'01.08 Bukoto-Kisasi'!M46,'03.08 Bukoto-Kisasi'!M46,'04.08 Bukoto-Kisasi'!M46)</f>
        <v>44.857142857142854</v>
      </c>
      <c r="N46" s="49">
        <f>AVERAGE('29.07 Bukoto-Kisasi'!N46,'30.07 Bukoto-Kisasi'!N46,'31.07 Bukoto-Kisasi'!N46,'02.08 Bukoto-Kisasi'!N46,'01.08 Bukoto-Kisasi'!N46,'03.08 Bukoto-Kisasi'!N46,'04.08 Bukoto-Kisasi'!N46)</f>
        <v>0</v>
      </c>
      <c r="O46" s="15">
        <f t="shared" si="0"/>
        <v>69.142857142857153</v>
      </c>
      <c r="P46" s="15">
        <f t="shared" si="1"/>
        <v>114</v>
      </c>
      <c r="R46" s="8"/>
      <c r="T46"/>
    </row>
    <row r="47" spans="2:32" ht="23.1" customHeight="1" x14ac:dyDescent="0.25">
      <c r="B47" s="24" t="s">
        <v>74</v>
      </c>
      <c r="C47" s="49">
        <f>AVERAGE('29.07 Bukoto-Kisasi'!C47,'30.07 Bukoto-Kisasi'!C47,'31.07 Bukoto-Kisasi'!C47,'02.08 Bukoto-Kisasi'!C47,'01.08 Bukoto-Kisasi'!C47,'03.08 Bukoto-Kisasi'!C47,'04.08 Bukoto-Kisasi'!C47)</f>
        <v>38.714285714285715</v>
      </c>
      <c r="D47" s="49">
        <f>AVERAGE('29.07 Bukoto-Kisasi'!D47,'30.07 Bukoto-Kisasi'!D47,'31.07 Bukoto-Kisasi'!D47,'02.08 Bukoto-Kisasi'!D47,'01.08 Bukoto-Kisasi'!D47,'03.08 Bukoto-Kisasi'!D47,'04.08 Bukoto-Kisasi'!D47)</f>
        <v>19.571428571428573</v>
      </c>
      <c r="E47" s="49">
        <f>AVERAGE('29.07 Bukoto-Kisasi'!E47,'30.07 Bukoto-Kisasi'!E47,'31.07 Bukoto-Kisasi'!E47,'02.08 Bukoto-Kisasi'!E47,'01.08 Bukoto-Kisasi'!E47,'03.08 Bukoto-Kisasi'!E47,'04.08 Bukoto-Kisasi'!E47)</f>
        <v>8.7142857142857135</v>
      </c>
      <c r="F47" s="49">
        <f>AVERAGE('29.07 Bukoto-Kisasi'!F47,'30.07 Bukoto-Kisasi'!F47,'31.07 Bukoto-Kisasi'!F47,'02.08 Bukoto-Kisasi'!F47,'01.08 Bukoto-Kisasi'!F47,'03.08 Bukoto-Kisasi'!F47,'04.08 Bukoto-Kisasi'!F47)</f>
        <v>9.1428571428571423</v>
      </c>
      <c r="G47" s="49">
        <f>AVERAGE('29.07 Bukoto-Kisasi'!G47,'30.07 Bukoto-Kisasi'!G47,'31.07 Bukoto-Kisasi'!G47,'02.08 Bukoto-Kisasi'!G47,'01.08 Bukoto-Kisasi'!G47,'03.08 Bukoto-Kisasi'!G47,'04.08 Bukoto-Kisasi'!G47)</f>
        <v>0</v>
      </c>
      <c r="H47" s="49">
        <f>AVERAGE('29.07 Bukoto-Kisasi'!H47,'30.07 Bukoto-Kisasi'!H47,'31.07 Bukoto-Kisasi'!H47,'02.08 Bukoto-Kisasi'!H47,'01.08 Bukoto-Kisasi'!H47,'03.08 Bukoto-Kisasi'!H47,'04.08 Bukoto-Kisasi'!H47)</f>
        <v>0.14285714285714285</v>
      </c>
      <c r="I47" s="49">
        <f>AVERAGE('29.07 Bukoto-Kisasi'!I47,'30.07 Bukoto-Kisasi'!I47,'31.07 Bukoto-Kisasi'!I47,'02.08 Bukoto-Kisasi'!I47,'01.08 Bukoto-Kisasi'!I47,'03.08 Bukoto-Kisasi'!I47,'04.08 Bukoto-Kisasi'!I47)</f>
        <v>1.1428571428571428</v>
      </c>
      <c r="J47" s="49">
        <f>AVERAGE('29.07 Bukoto-Kisasi'!J47,'30.07 Bukoto-Kisasi'!J47,'31.07 Bukoto-Kisasi'!J47,'02.08 Bukoto-Kisasi'!J47,'01.08 Bukoto-Kisasi'!J47,'03.08 Bukoto-Kisasi'!J47,'04.08 Bukoto-Kisasi'!J47)</f>
        <v>1</v>
      </c>
      <c r="K47" s="49">
        <f>AVERAGE('29.07 Bukoto-Kisasi'!K47,'30.07 Bukoto-Kisasi'!K47,'31.07 Bukoto-Kisasi'!K47,'02.08 Bukoto-Kisasi'!K47,'01.08 Bukoto-Kisasi'!K47,'03.08 Bukoto-Kisasi'!K47,'04.08 Bukoto-Kisasi'!K47)</f>
        <v>0.2857142857142857</v>
      </c>
      <c r="L47" s="49">
        <f>AVERAGE('29.07 Bukoto-Kisasi'!L47,'30.07 Bukoto-Kisasi'!L47,'31.07 Bukoto-Kisasi'!L47,'02.08 Bukoto-Kisasi'!L47,'01.08 Bukoto-Kisasi'!L47,'03.08 Bukoto-Kisasi'!L47,'04.08 Bukoto-Kisasi'!L47)</f>
        <v>0</v>
      </c>
      <c r="M47" s="49">
        <f>AVERAGE('29.07 Bukoto-Kisasi'!M47,'30.07 Bukoto-Kisasi'!M47,'31.07 Bukoto-Kisasi'!M47,'02.08 Bukoto-Kisasi'!M47,'01.08 Bukoto-Kisasi'!M47,'03.08 Bukoto-Kisasi'!M47,'04.08 Bukoto-Kisasi'!M47)</f>
        <v>46.714285714285715</v>
      </c>
      <c r="N47" s="49">
        <f>AVERAGE('29.07 Bukoto-Kisasi'!N47,'30.07 Bukoto-Kisasi'!N47,'31.07 Bukoto-Kisasi'!N47,'02.08 Bukoto-Kisasi'!N47,'01.08 Bukoto-Kisasi'!N47,'03.08 Bukoto-Kisasi'!N47,'04.08 Bukoto-Kisasi'!N47)</f>
        <v>0</v>
      </c>
      <c r="O47" s="15">
        <f t="shared" si="0"/>
        <v>78.714285714285708</v>
      </c>
      <c r="P47" s="15">
        <f t="shared" si="1"/>
        <v>125.42857142857142</v>
      </c>
    </row>
    <row r="48" spans="2:32" ht="23.1" customHeight="1" x14ac:dyDescent="0.25">
      <c r="B48" s="24" t="s">
        <v>75</v>
      </c>
      <c r="C48" s="49">
        <f>AVERAGE('29.07 Bukoto-Kisasi'!C48,'30.07 Bukoto-Kisasi'!C48,'31.07 Bukoto-Kisasi'!C48,'02.08 Bukoto-Kisasi'!C48,'01.08 Bukoto-Kisasi'!C48,'03.08 Bukoto-Kisasi'!C48,'04.08 Bukoto-Kisasi'!C48)</f>
        <v>46</v>
      </c>
      <c r="D48" s="49">
        <f>AVERAGE('29.07 Bukoto-Kisasi'!D48,'30.07 Bukoto-Kisasi'!D48,'31.07 Bukoto-Kisasi'!D48,'02.08 Bukoto-Kisasi'!D48,'01.08 Bukoto-Kisasi'!D48,'03.08 Bukoto-Kisasi'!D48,'04.08 Bukoto-Kisasi'!D48)</f>
        <v>20.428571428571427</v>
      </c>
      <c r="E48" s="49">
        <f>AVERAGE('29.07 Bukoto-Kisasi'!E48,'30.07 Bukoto-Kisasi'!E48,'31.07 Bukoto-Kisasi'!E48,'02.08 Bukoto-Kisasi'!E48,'01.08 Bukoto-Kisasi'!E48,'03.08 Bukoto-Kisasi'!E48,'04.08 Bukoto-Kisasi'!E48)</f>
        <v>9.4285714285714288</v>
      </c>
      <c r="F48" s="49">
        <f>AVERAGE('29.07 Bukoto-Kisasi'!F48,'30.07 Bukoto-Kisasi'!F48,'31.07 Bukoto-Kisasi'!F48,'02.08 Bukoto-Kisasi'!F48,'01.08 Bukoto-Kisasi'!F48,'03.08 Bukoto-Kisasi'!F48,'04.08 Bukoto-Kisasi'!F48)</f>
        <v>9.2857142857142865</v>
      </c>
      <c r="G48" s="49">
        <f>AVERAGE('29.07 Bukoto-Kisasi'!G48,'30.07 Bukoto-Kisasi'!G48,'31.07 Bukoto-Kisasi'!G48,'02.08 Bukoto-Kisasi'!G48,'01.08 Bukoto-Kisasi'!G48,'03.08 Bukoto-Kisasi'!G48,'04.08 Bukoto-Kisasi'!G48)</f>
        <v>0.2857142857142857</v>
      </c>
      <c r="H48" s="49">
        <f>AVERAGE('29.07 Bukoto-Kisasi'!H48,'30.07 Bukoto-Kisasi'!H48,'31.07 Bukoto-Kisasi'!H48,'02.08 Bukoto-Kisasi'!H48,'01.08 Bukoto-Kisasi'!H48,'03.08 Bukoto-Kisasi'!H48,'04.08 Bukoto-Kisasi'!H48)</f>
        <v>0.2857142857142857</v>
      </c>
      <c r="I48" s="49">
        <f>AVERAGE('29.07 Bukoto-Kisasi'!I48,'30.07 Bukoto-Kisasi'!I48,'31.07 Bukoto-Kisasi'!I48,'02.08 Bukoto-Kisasi'!I48,'01.08 Bukoto-Kisasi'!I48,'03.08 Bukoto-Kisasi'!I48,'04.08 Bukoto-Kisasi'!I48)</f>
        <v>2.4285714285714284</v>
      </c>
      <c r="J48" s="49">
        <f>AVERAGE('29.07 Bukoto-Kisasi'!J48,'30.07 Bukoto-Kisasi'!J48,'31.07 Bukoto-Kisasi'!J48,'02.08 Bukoto-Kisasi'!J48,'01.08 Bukoto-Kisasi'!J48,'03.08 Bukoto-Kisasi'!J48,'04.08 Bukoto-Kisasi'!J48)</f>
        <v>0.5714285714285714</v>
      </c>
      <c r="K48" s="49">
        <f>AVERAGE('29.07 Bukoto-Kisasi'!K48,'30.07 Bukoto-Kisasi'!K48,'31.07 Bukoto-Kisasi'!K48,'02.08 Bukoto-Kisasi'!K48,'01.08 Bukoto-Kisasi'!K48,'03.08 Bukoto-Kisasi'!K48,'04.08 Bukoto-Kisasi'!K48)</f>
        <v>0.2857142857142857</v>
      </c>
      <c r="L48" s="49">
        <f>AVERAGE('29.07 Bukoto-Kisasi'!L48,'30.07 Bukoto-Kisasi'!L48,'31.07 Bukoto-Kisasi'!L48,'02.08 Bukoto-Kisasi'!L48,'01.08 Bukoto-Kisasi'!L48,'03.08 Bukoto-Kisasi'!L48,'04.08 Bukoto-Kisasi'!L48)</f>
        <v>0</v>
      </c>
      <c r="M48" s="49">
        <f>AVERAGE('29.07 Bukoto-Kisasi'!M48,'30.07 Bukoto-Kisasi'!M48,'31.07 Bukoto-Kisasi'!M48,'02.08 Bukoto-Kisasi'!M48,'01.08 Bukoto-Kisasi'!M48,'03.08 Bukoto-Kisasi'!M48,'04.08 Bukoto-Kisasi'!M48)</f>
        <v>45.857142857142854</v>
      </c>
      <c r="N48" s="49">
        <f>AVERAGE('29.07 Bukoto-Kisasi'!N48,'30.07 Bukoto-Kisasi'!N48,'31.07 Bukoto-Kisasi'!N48,'02.08 Bukoto-Kisasi'!N48,'01.08 Bukoto-Kisasi'!N48,'03.08 Bukoto-Kisasi'!N48,'04.08 Bukoto-Kisasi'!N48)</f>
        <v>0</v>
      </c>
      <c r="O48" s="15">
        <f t="shared" si="0"/>
        <v>89.000000000000028</v>
      </c>
      <c r="P48" s="15">
        <f t="shared" si="1"/>
        <v>134.85714285714289</v>
      </c>
    </row>
    <row r="49" spans="2:20" ht="23.1" customHeight="1" x14ac:dyDescent="0.25">
      <c r="B49" s="23" t="s">
        <v>76</v>
      </c>
      <c r="C49" s="49">
        <f>AVERAGE('29.07 Bukoto-Kisasi'!C49,'30.07 Bukoto-Kisasi'!C49,'31.07 Bukoto-Kisasi'!C49,'02.08 Bukoto-Kisasi'!C49,'01.08 Bukoto-Kisasi'!C49,'03.08 Bukoto-Kisasi'!C49,'04.08 Bukoto-Kisasi'!C49)</f>
        <v>54.714285714285715</v>
      </c>
      <c r="D49" s="49">
        <f>AVERAGE('29.07 Bukoto-Kisasi'!D49,'30.07 Bukoto-Kisasi'!D49,'31.07 Bukoto-Kisasi'!D49,'02.08 Bukoto-Kisasi'!D49,'01.08 Bukoto-Kisasi'!D49,'03.08 Bukoto-Kisasi'!D49,'04.08 Bukoto-Kisasi'!D49)</f>
        <v>23</v>
      </c>
      <c r="E49" s="49">
        <f>AVERAGE('29.07 Bukoto-Kisasi'!E49,'30.07 Bukoto-Kisasi'!E49,'31.07 Bukoto-Kisasi'!E49,'02.08 Bukoto-Kisasi'!E49,'01.08 Bukoto-Kisasi'!E49,'03.08 Bukoto-Kisasi'!E49,'04.08 Bukoto-Kisasi'!E49)</f>
        <v>12.571428571428571</v>
      </c>
      <c r="F49" s="49">
        <f>AVERAGE('29.07 Bukoto-Kisasi'!F49,'30.07 Bukoto-Kisasi'!F49,'31.07 Bukoto-Kisasi'!F49,'02.08 Bukoto-Kisasi'!F49,'01.08 Bukoto-Kisasi'!F49,'03.08 Bukoto-Kisasi'!F49,'04.08 Bukoto-Kisasi'!F49)</f>
        <v>10.285714285714286</v>
      </c>
      <c r="G49" s="49">
        <f>AVERAGE('29.07 Bukoto-Kisasi'!G49,'30.07 Bukoto-Kisasi'!G49,'31.07 Bukoto-Kisasi'!G49,'02.08 Bukoto-Kisasi'!G49,'01.08 Bukoto-Kisasi'!G49,'03.08 Bukoto-Kisasi'!G49,'04.08 Bukoto-Kisasi'!G49)</f>
        <v>0.7142857142857143</v>
      </c>
      <c r="H49" s="49">
        <f>AVERAGE('29.07 Bukoto-Kisasi'!H49,'30.07 Bukoto-Kisasi'!H49,'31.07 Bukoto-Kisasi'!H49,'02.08 Bukoto-Kisasi'!H49,'01.08 Bukoto-Kisasi'!H49,'03.08 Bukoto-Kisasi'!H49,'04.08 Bukoto-Kisasi'!H49)</f>
        <v>0</v>
      </c>
      <c r="I49" s="49">
        <f>AVERAGE('29.07 Bukoto-Kisasi'!I49,'30.07 Bukoto-Kisasi'!I49,'31.07 Bukoto-Kisasi'!I49,'02.08 Bukoto-Kisasi'!I49,'01.08 Bukoto-Kisasi'!I49,'03.08 Bukoto-Kisasi'!I49,'04.08 Bukoto-Kisasi'!I49)</f>
        <v>2</v>
      </c>
      <c r="J49" s="49">
        <f>AVERAGE('29.07 Bukoto-Kisasi'!J49,'30.07 Bukoto-Kisasi'!J49,'31.07 Bukoto-Kisasi'!J49,'02.08 Bukoto-Kisasi'!J49,'01.08 Bukoto-Kisasi'!J49,'03.08 Bukoto-Kisasi'!J49,'04.08 Bukoto-Kisasi'!J49)</f>
        <v>1.1428571428571428</v>
      </c>
      <c r="K49" s="49">
        <f>AVERAGE('29.07 Bukoto-Kisasi'!K49,'30.07 Bukoto-Kisasi'!K49,'31.07 Bukoto-Kisasi'!K49,'02.08 Bukoto-Kisasi'!K49,'01.08 Bukoto-Kisasi'!K49,'03.08 Bukoto-Kisasi'!K49,'04.08 Bukoto-Kisasi'!K49)</f>
        <v>0.42857142857142855</v>
      </c>
      <c r="L49" s="49">
        <f>AVERAGE('29.07 Bukoto-Kisasi'!L49,'30.07 Bukoto-Kisasi'!L49,'31.07 Bukoto-Kisasi'!L49,'02.08 Bukoto-Kisasi'!L49,'01.08 Bukoto-Kisasi'!L49,'03.08 Bukoto-Kisasi'!L49,'04.08 Bukoto-Kisasi'!L49)</f>
        <v>0</v>
      </c>
      <c r="M49" s="49">
        <f>AVERAGE('29.07 Bukoto-Kisasi'!M49,'30.07 Bukoto-Kisasi'!M49,'31.07 Bukoto-Kisasi'!M49,'02.08 Bukoto-Kisasi'!M49,'01.08 Bukoto-Kisasi'!M49,'03.08 Bukoto-Kisasi'!M49,'04.08 Bukoto-Kisasi'!M49)</f>
        <v>48</v>
      </c>
      <c r="N49" s="49">
        <f>AVERAGE('29.07 Bukoto-Kisasi'!N49,'30.07 Bukoto-Kisasi'!N49,'31.07 Bukoto-Kisasi'!N49,'02.08 Bukoto-Kisasi'!N49,'01.08 Bukoto-Kisasi'!N49,'03.08 Bukoto-Kisasi'!N49,'04.08 Bukoto-Kisasi'!N49)</f>
        <v>0</v>
      </c>
      <c r="O49" s="15">
        <f t="shared" si="0"/>
        <v>104.85714285714286</v>
      </c>
      <c r="P49" s="15">
        <f t="shared" si="1"/>
        <v>152.85714285714286</v>
      </c>
    </row>
    <row r="50" spans="2:20" ht="23.1" customHeight="1" x14ac:dyDescent="0.25">
      <c r="B50" s="24" t="s">
        <v>77</v>
      </c>
      <c r="C50" s="49">
        <f>AVERAGE('29.07 Bukoto-Kisasi'!C50,'30.07 Bukoto-Kisasi'!C50,'31.07 Bukoto-Kisasi'!C50,'02.08 Bukoto-Kisasi'!C50,'01.08 Bukoto-Kisasi'!C50,'03.08 Bukoto-Kisasi'!C50,'04.08 Bukoto-Kisasi'!C50)</f>
        <v>63.142857142857146</v>
      </c>
      <c r="D50" s="49">
        <f>AVERAGE('29.07 Bukoto-Kisasi'!D50,'30.07 Bukoto-Kisasi'!D50,'31.07 Bukoto-Kisasi'!D50,'02.08 Bukoto-Kisasi'!D50,'01.08 Bukoto-Kisasi'!D50,'03.08 Bukoto-Kisasi'!D50,'04.08 Bukoto-Kisasi'!D50)</f>
        <v>28.857142857142858</v>
      </c>
      <c r="E50" s="49">
        <f>AVERAGE('29.07 Bukoto-Kisasi'!E50,'30.07 Bukoto-Kisasi'!E50,'31.07 Bukoto-Kisasi'!E50,'02.08 Bukoto-Kisasi'!E50,'01.08 Bukoto-Kisasi'!E50,'03.08 Bukoto-Kisasi'!E50,'04.08 Bukoto-Kisasi'!E50)</f>
        <v>12.571428571428571</v>
      </c>
      <c r="F50" s="49">
        <f>AVERAGE('29.07 Bukoto-Kisasi'!F50,'30.07 Bukoto-Kisasi'!F50,'31.07 Bukoto-Kisasi'!F50,'02.08 Bukoto-Kisasi'!F50,'01.08 Bukoto-Kisasi'!F50,'03.08 Bukoto-Kisasi'!F50,'04.08 Bukoto-Kisasi'!F50)</f>
        <v>12.857142857142858</v>
      </c>
      <c r="G50" s="49">
        <f>AVERAGE('29.07 Bukoto-Kisasi'!G50,'30.07 Bukoto-Kisasi'!G50,'31.07 Bukoto-Kisasi'!G50,'02.08 Bukoto-Kisasi'!G50,'01.08 Bukoto-Kisasi'!G50,'03.08 Bukoto-Kisasi'!G50,'04.08 Bukoto-Kisasi'!G50)</f>
        <v>0.2857142857142857</v>
      </c>
      <c r="H50" s="49">
        <f>AVERAGE('29.07 Bukoto-Kisasi'!H50,'30.07 Bukoto-Kisasi'!H50,'31.07 Bukoto-Kisasi'!H50,'02.08 Bukoto-Kisasi'!H50,'01.08 Bukoto-Kisasi'!H50,'03.08 Bukoto-Kisasi'!H50,'04.08 Bukoto-Kisasi'!H50)</f>
        <v>0</v>
      </c>
      <c r="I50" s="49">
        <f>AVERAGE('29.07 Bukoto-Kisasi'!I50,'30.07 Bukoto-Kisasi'!I50,'31.07 Bukoto-Kisasi'!I50,'02.08 Bukoto-Kisasi'!I50,'01.08 Bukoto-Kisasi'!I50,'03.08 Bukoto-Kisasi'!I50,'04.08 Bukoto-Kisasi'!I50)</f>
        <v>1.4285714285714286</v>
      </c>
      <c r="J50" s="49">
        <f>AVERAGE('29.07 Bukoto-Kisasi'!J50,'30.07 Bukoto-Kisasi'!J50,'31.07 Bukoto-Kisasi'!J50,'02.08 Bukoto-Kisasi'!J50,'01.08 Bukoto-Kisasi'!J50,'03.08 Bukoto-Kisasi'!J50,'04.08 Bukoto-Kisasi'!J50)</f>
        <v>0.2857142857142857</v>
      </c>
      <c r="K50" s="49">
        <f>AVERAGE('29.07 Bukoto-Kisasi'!K50,'30.07 Bukoto-Kisasi'!K50,'31.07 Bukoto-Kisasi'!K50,'02.08 Bukoto-Kisasi'!K50,'01.08 Bukoto-Kisasi'!K50,'03.08 Bukoto-Kisasi'!K50,'04.08 Bukoto-Kisasi'!K50)</f>
        <v>0.14285714285714285</v>
      </c>
      <c r="L50" s="49">
        <f>AVERAGE('29.07 Bukoto-Kisasi'!L50,'30.07 Bukoto-Kisasi'!L50,'31.07 Bukoto-Kisasi'!L50,'02.08 Bukoto-Kisasi'!L50,'01.08 Bukoto-Kisasi'!L50,'03.08 Bukoto-Kisasi'!L50,'04.08 Bukoto-Kisasi'!L50)</f>
        <v>0</v>
      </c>
      <c r="M50" s="49">
        <f>AVERAGE('29.07 Bukoto-Kisasi'!M50,'30.07 Bukoto-Kisasi'!M50,'31.07 Bukoto-Kisasi'!M50,'02.08 Bukoto-Kisasi'!M50,'01.08 Bukoto-Kisasi'!M50,'03.08 Bukoto-Kisasi'!M50,'04.08 Bukoto-Kisasi'!M50)</f>
        <v>50.714285714285715</v>
      </c>
      <c r="N50" s="49">
        <f>AVERAGE('29.07 Bukoto-Kisasi'!N50,'30.07 Bukoto-Kisasi'!N50,'31.07 Bukoto-Kisasi'!N50,'02.08 Bukoto-Kisasi'!N50,'01.08 Bukoto-Kisasi'!N50,'03.08 Bukoto-Kisasi'!N50,'04.08 Bukoto-Kisasi'!N50)</f>
        <v>0</v>
      </c>
      <c r="O50" s="15">
        <f t="shared" si="0"/>
        <v>119.57142857142858</v>
      </c>
      <c r="P50" s="15">
        <f t="shared" si="1"/>
        <v>170.28571428571431</v>
      </c>
    </row>
    <row r="51" spans="2:20" ht="23.1" customHeight="1" x14ac:dyDescent="0.25">
      <c r="B51" s="24" t="s">
        <v>78</v>
      </c>
      <c r="C51" s="49">
        <f>AVERAGE('29.07 Bukoto-Kisasi'!C51,'30.07 Bukoto-Kisasi'!C51,'31.07 Bukoto-Kisasi'!C51,'02.08 Bukoto-Kisasi'!C51,'01.08 Bukoto-Kisasi'!C51,'03.08 Bukoto-Kisasi'!C51,'04.08 Bukoto-Kisasi'!C51)</f>
        <v>65.571428571428569</v>
      </c>
      <c r="D51" s="49">
        <f>AVERAGE('29.07 Bukoto-Kisasi'!D51,'30.07 Bukoto-Kisasi'!D51,'31.07 Bukoto-Kisasi'!D51,'02.08 Bukoto-Kisasi'!D51,'01.08 Bukoto-Kisasi'!D51,'03.08 Bukoto-Kisasi'!D51,'04.08 Bukoto-Kisasi'!D51)</f>
        <v>29.142857142857142</v>
      </c>
      <c r="E51" s="49">
        <f>AVERAGE('29.07 Bukoto-Kisasi'!E51,'30.07 Bukoto-Kisasi'!E51,'31.07 Bukoto-Kisasi'!E51,'02.08 Bukoto-Kisasi'!E51,'01.08 Bukoto-Kisasi'!E51,'03.08 Bukoto-Kisasi'!E51,'04.08 Bukoto-Kisasi'!E51)</f>
        <v>11.714285714285714</v>
      </c>
      <c r="F51" s="49">
        <f>AVERAGE('29.07 Bukoto-Kisasi'!F51,'30.07 Bukoto-Kisasi'!F51,'31.07 Bukoto-Kisasi'!F51,'02.08 Bukoto-Kisasi'!F51,'01.08 Bukoto-Kisasi'!F51,'03.08 Bukoto-Kisasi'!F51,'04.08 Bukoto-Kisasi'!F51)</f>
        <v>13.428571428571429</v>
      </c>
      <c r="G51" s="49">
        <f>AVERAGE('29.07 Bukoto-Kisasi'!G51,'30.07 Bukoto-Kisasi'!G51,'31.07 Bukoto-Kisasi'!G51,'02.08 Bukoto-Kisasi'!G51,'01.08 Bukoto-Kisasi'!G51,'03.08 Bukoto-Kisasi'!G51,'04.08 Bukoto-Kisasi'!G51)</f>
        <v>0</v>
      </c>
      <c r="H51" s="49">
        <f>AVERAGE('29.07 Bukoto-Kisasi'!H51,'30.07 Bukoto-Kisasi'!H51,'31.07 Bukoto-Kisasi'!H51,'02.08 Bukoto-Kisasi'!H51,'01.08 Bukoto-Kisasi'!H51,'03.08 Bukoto-Kisasi'!H51,'04.08 Bukoto-Kisasi'!H51)</f>
        <v>0</v>
      </c>
      <c r="I51" s="49">
        <f>AVERAGE('29.07 Bukoto-Kisasi'!I51,'30.07 Bukoto-Kisasi'!I51,'31.07 Bukoto-Kisasi'!I51,'02.08 Bukoto-Kisasi'!I51,'01.08 Bukoto-Kisasi'!I51,'03.08 Bukoto-Kisasi'!I51,'04.08 Bukoto-Kisasi'!I51)</f>
        <v>3.1428571428571428</v>
      </c>
      <c r="J51" s="49">
        <f>AVERAGE('29.07 Bukoto-Kisasi'!J51,'30.07 Bukoto-Kisasi'!J51,'31.07 Bukoto-Kisasi'!J51,'02.08 Bukoto-Kisasi'!J51,'01.08 Bukoto-Kisasi'!J51,'03.08 Bukoto-Kisasi'!J51,'04.08 Bukoto-Kisasi'!J51)</f>
        <v>0.5714285714285714</v>
      </c>
      <c r="K51" s="49">
        <f>AVERAGE('29.07 Bukoto-Kisasi'!K51,'30.07 Bukoto-Kisasi'!K51,'31.07 Bukoto-Kisasi'!K51,'02.08 Bukoto-Kisasi'!K51,'01.08 Bukoto-Kisasi'!K51,'03.08 Bukoto-Kisasi'!K51,'04.08 Bukoto-Kisasi'!K51)</f>
        <v>0</v>
      </c>
      <c r="L51" s="49">
        <f>AVERAGE('29.07 Bukoto-Kisasi'!L51,'30.07 Bukoto-Kisasi'!L51,'31.07 Bukoto-Kisasi'!L51,'02.08 Bukoto-Kisasi'!L51,'01.08 Bukoto-Kisasi'!L51,'03.08 Bukoto-Kisasi'!L51,'04.08 Bukoto-Kisasi'!L51)</f>
        <v>0</v>
      </c>
      <c r="M51" s="49">
        <f>AVERAGE('29.07 Bukoto-Kisasi'!M51,'30.07 Bukoto-Kisasi'!M51,'31.07 Bukoto-Kisasi'!M51,'02.08 Bukoto-Kisasi'!M51,'01.08 Bukoto-Kisasi'!M51,'03.08 Bukoto-Kisasi'!M51,'04.08 Bukoto-Kisasi'!M51)</f>
        <v>49.714285714285715</v>
      </c>
      <c r="N51" s="49">
        <f>AVERAGE('29.07 Bukoto-Kisasi'!N51,'30.07 Bukoto-Kisasi'!N51,'31.07 Bukoto-Kisasi'!N51,'02.08 Bukoto-Kisasi'!N51,'01.08 Bukoto-Kisasi'!N51,'03.08 Bukoto-Kisasi'!N51,'04.08 Bukoto-Kisasi'!N51)</f>
        <v>0</v>
      </c>
      <c r="O51" s="15">
        <f t="shared" si="0"/>
        <v>123.57142857142856</v>
      </c>
      <c r="P51" s="15">
        <f t="shared" si="1"/>
        <v>173.28571428571428</v>
      </c>
    </row>
    <row r="52" spans="2:20" ht="23.1" customHeight="1" x14ac:dyDescent="0.25">
      <c r="B52" s="24" t="s">
        <v>79</v>
      </c>
      <c r="C52" s="49">
        <f>AVERAGE('29.07 Bukoto-Kisasi'!C52,'30.07 Bukoto-Kisasi'!C52,'31.07 Bukoto-Kisasi'!C52,'02.08 Bukoto-Kisasi'!C52,'01.08 Bukoto-Kisasi'!C52,'03.08 Bukoto-Kisasi'!C52,'04.08 Bukoto-Kisasi'!C52)</f>
        <v>69.142857142857139</v>
      </c>
      <c r="D52" s="49">
        <f>AVERAGE('29.07 Bukoto-Kisasi'!D52,'30.07 Bukoto-Kisasi'!D52,'31.07 Bukoto-Kisasi'!D52,'02.08 Bukoto-Kisasi'!D52,'01.08 Bukoto-Kisasi'!D52,'03.08 Bukoto-Kisasi'!D52,'04.08 Bukoto-Kisasi'!D52)</f>
        <v>29.857142857142858</v>
      </c>
      <c r="E52" s="49">
        <f>AVERAGE('29.07 Bukoto-Kisasi'!E52,'30.07 Bukoto-Kisasi'!E52,'31.07 Bukoto-Kisasi'!E52,'02.08 Bukoto-Kisasi'!E52,'01.08 Bukoto-Kisasi'!E52,'03.08 Bukoto-Kisasi'!E52,'04.08 Bukoto-Kisasi'!E52)</f>
        <v>11.714285714285714</v>
      </c>
      <c r="F52" s="49">
        <f>AVERAGE('29.07 Bukoto-Kisasi'!F52,'30.07 Bukoto-Kisasi'!F52,'31.07 Bukoto-Kisasi'!F52,'02.08 Bukoto-Kisasi'!F52,'01.08 Bukoto-Kisasi'!F52,'03.08 Bukoto-Kisasi'!F52,'04.08 Bukoto-Kisasi'!F52)</f>
        <v>11.857142857142858</v>
      </c>
      <c r="G52" s="49">
        <f>AVERAGE('29.07 Bukoto-Kisasi'!G52,'30.07 Bukoto-Kisasi'!G52,'31.07 Bukoto-Kisasi'!G52,'02.08 Bukoto-Kisasi'!G52,'01.08 Bukoto-Kisasi'!G52,'03.08 Bukoto-Kisasi'!G52,'04.08 Bukoto-Kisasi'!G52)</f>
        <v>0.2857142857142857</v>
      </c>
      <c r="H52" s="49">
        <f>AVERAGE('29.07 Bukoto-Kisasi'!H52,'30.07 Bukoto-Kisasi'!H52,'31.07 Bukoto-Kisasi'!H52,'02.08 Bukoto-Kisasi'!H52,'01.08 Bukoto-Kisasi'!H52,'03.08 Bukoto-Kisasi'!H52,'04.08 Bukoto-Kisasi'!H52)</f>
        <v>0</v>
      </c>
      <c r="I52" s="49">
        <f>AVERAGE('29.07 Bukoto-Kisasi'!I52,'30.07 Bukoto-Kisasi'!I52,'31.07 Bukoto-Kisasi'!I52,'02.08 Bukoto-Kisasi'!I52,'01.08 Bukoto-Kisasi'!I52,'03.08 Bukoto-Kisasi'!I52,'04.08 Bukoto-Kisasi'!I52)</f>
        <v>1.5714285714285714</v>
      </c>
      <c r="J52" s="49">
        <f>AVERAGE('29.07 Bukoto-Kisasi'!J52,'30.07 Bukoto-Kisasi'!J52,'31.07 Bukoto-Kisasi'!J52,'02.08 Bukoto-Kisasi'!J52,'01.08 Bukoto-Kisasi'!J52,'03.08 Bukoto-Kisasi'!J52,'04.08 Bukoto-Kisasi'!J52)</f>
        <v>1</v>
      </c>
      <c r="K52" s="49">
        <f>AVERAGE('29.07 Bukoto-Kisasi'!K52,'30.07 Bukoto-Kisasi'!K52,'31.07 Bukoto-Kisasi'!K52,'02.08 Bukoto-Kisasi'!K52,'01.08 Bukoto-Kisasi'!K52,'03.08 Bukoto-Kisasi'!K52,'04.08 Bukoto-Kisasi'!K52)</f>
        <v>0.14285714285714285</v>
      </c>
      <c r="L52" s="49">
        <f>AVERAGE('29.07 Bukoto-Kisasi'!L52,'30.07 Bukoto-Kisasi'!L52,'31.07 Bukoto-Kisasi'!L52,'02.08 Bukoto-Kisasi'!L52,'01.08 Bukoto-Kisasi'!L52,'03.08 Bukoto-Kisasi'!L52,'04.08 Bukoto-Kisasi'!L52)</f>
        <v>0</v>
      </c>
      <c r="M52" s="49">
        <f>AVERAGE('29.07 Bukoto-Kisasi'!M52,'30.07 Bukoto-Kisasi'!M52,'31.07 Bukoto-Kisasi'!M52,'02.08 Bukoto-Kisasi'!M52,'01.08 Bukoto-Kisasi'!M52,'03.08 Bukoto-Kisasi'!M52,'04.08 Bukoto-Kisasi'!M52)</f>
        <v>54.571428571428569</v>
      </c>
      <c r="N52" s="49">
        <f>AVERAGE('29.07 Bukoto-Kisasi'!N52,'30.07 Bukoto-Kisasi'!N52,'31.07 Bukoto-Kisasi'!N52,'02.08 Bukoto-Kisasi'!N52,'01.08 Bukoto-Kisasi'!N52,'03.08 Bukoto-Kisasi'!N52,'04.08 Bukoto-Kisasi'!N52)</f>
        <v>0</v>
      </c>
      <c r="O52" s="15">
        <f t="shared" si="0"/>
        <v>125.57142857142857</v>
      </c>
      <c r="P52" s="15">
        <f t="shared" si="1"/>
        <v>180.14285714285714</v>
      </c>
    </row>
    <row r="53" spans="2:20" ht="23.1" customHeight="1" x14ac:dyDescent="0.25">
      <c r="B53" s="23" t="s">
        <v>80</v>
      </c>
      <c r="C53" s="49">
        <f>AVERAGE('29.07 Bukoto-Kisasi'!C53,'30.07 Bukoto-Kisasi'!C53,'31.07 Bukoto-Kisasi'!C53,'02.08 Bukoto-Kisasi'!C53,'01.08 Bukoto-Kisasi'!C53,'03.08 Bukoto-Kisasi'!C53,'04.08 Bukoto-Kisasi'!C53)</f>
        <v>74.714285714285708</v>
      </c>
      <c r="D53" s="49">
        <f>AVERAGE('29.07 Bukoto-Kisasi'!D53,'30.07 Bukoto-Kisasi'!D53,'31.07 Bukoto-Kisasi'!D53,'02.08 Bukoto-Kisasi'!D53,'01.08 Bukoto-Kisasi'!D53,'03.08 Bukoto-Kisasi'!D53,'04.08 Bukoto-Kisasi'!D53)</f>
        <v>27.571428571428573</v>
      </c>
      <c r="E53" s="49">
        <f>AVERAGE('29.07 Bukoto-Kisasi'!E53,'30.07 Bukoto-Kisasi'!E53,'31.07 Bukoto-Kisasi'!E53,'02.08 Bukoto-Kisasi'!E53,'01.08 Bukoto-Kisasi'!E53,'03.08 Bukoto-Kisasi'!E53,'04.08 Bukoto-Kisasi'!E53)</f>
        <v>13.428571428571429</v>
      </c>
      <c r="F53" s="49">
        <f>AVERAGE('29.07 Bukoto-Kisasi'!F53,'30.07 Bukoto-Kisasi'!F53,'31.07 Bukoto-Kisasi'!F53,'02.08 Bukoto-Kisasi'!F53,'01.08 Bukoto-Kisasi'!F53,'03.08 Bukoto-Kisasi'!F53,'04.08 Bukoto-Kisasi'!F53)</f>
        <v>14.428571428571429</v>
      </c>
      <c r="G53" s="49">
        <f>AVERAGE('29.07 Bukoto-Kisasi'!G53,'30.07 Bukoto-Kisasi'!G53,'31.07 Bukoto-Kisasi'!G53,'02.08 Bukoto-Kisasi'!G53,'01.08 Bukoto-Kisasi'!G53,'03.08 Bukoto-Kisasi'!G53,'04.08 Bukoto-Kisasi'!G53)</f>
        <v>0.14285714285714285</v>
      </c>
      <c r="H53" s="49">
        <f>AVERAGE('29.07 Bukoto-Kisasi'!H53,'30.07 Bukoto-Kisasi'!H53,'31.07 Bukoto-Kisasi'!H53,'02.08 Bukoto-Kisasi'!H53,'01.08 Bukoto-Kisasi'!H53,'03.08 Bukoto-Kisasi'!H53,'04.08 Bukoto-Kisasi'!H53)</f>
        <v>0</v>
      </c>
      <c r="I53" s="49">
        <f>AVERAGE('29.07 Bukoto-Kisasi'!I53,'30.07 Bukoto-Kisasi'!I53,'31.07 Bukoto-Kisasi'!I53,'02.08 Bukoto-Kisasi'!I53,'01.08 Bukoto-Kisasi'!I53,'03.08 Bukoto-Kisasi'!I53,'04.08 Bukoto-Kisasi'!I53)</f>
        <v>1.1428571428571428</v>
      </c>
      <c r="J53" s="49">
        <f>AVERAGE('29.07 Bukoto-Kisasi'!J53,'30.07 Bukoto-Kisasi'!J53,'31.07 Bukoto-Kisasi'!J53,'02.08 Bukoto-Kisasi'!J53,'01.08 Bukoto-Kisasi'!J53,'03.08 Bukoto-Kisasi'!J53,'04.08 Bukoto-Kisasi'!J53)</f>
        <v>0.14285714285714285</v>
      </c>
      <c r="K53" s="49">
        <f>AVERAGE('29.07 Bukoto-Kisasi'!K53,'30.07 Bukoto-Kisasi'!K53,'31.07 Bukoto-Kisasi'!K53,'02.08 Bukoto-Kisasi'!K53,'01.08 Bukoto-Kisasi'!K53,'03.08 Bukoto-Kisasi'!K53,'04.08 Bukoto-Kisasi'!K53)</f>
        <v>0</v>
      </c>
      <c r="L53" s="49">
        <f>AVERAGE('29.07 Bukoto-Kisasi'!L53,'30.07 Bukoto-Kisasi'!L53,'31.07 Bukoto-Kisasi'!L53,'02.08 Bukoto-Kisasi'!L53,'01.08 Bukoto-Kisasi'!L53,'03.08 Bukoto-Kisasi'!L53,'04.08 Bukoto-Kisasi'!L53)</f>
        <v>0</v>
      </c>
      <c r="M53" s="49">
        <f>AVERAGE('29.07 Bukoto-Kisasi'!M53,'30.07 Bukoto-Kisasi'!M53,'31.07 Bukoto-Kisasi'!M53,'02.08 Bukoto-Kisasi'!M53,'01.08 Bukoto-Kisasi'!M53,'03.08 Bukoto-Kisasi'!M53,'04.08 Bukoto-Kisasi'!M53)</f>
        <v>56.428571428571431</v>
      </c>
      <c r="N53" s="49">
        <f>AVERAGE('29.07 Bukoto-Kisasi'!N53,'30.07 Bukoto-Kisasi'!N53,'31.07 Bukoto-Kisasi'!N53,'02.08 Bukoto-Kisasi'!N53,'01.08 Bukoto-Kisasi'!N53,'03.08 Bukoto-Kisasi'!N53,'04.08 Bukoto-Kisasi'!N53)</f>
        <v>0</v>
      </c>
      <c r="O53" s="15">
        <f t="shared" si="0"/>
        <v>131.57142857142856</v>
      </c>
      <c r="P53" s="15">
        <f t="shared" si="1"/>
        <v>188</v>
      </c>
    </row>
    <row r="54" spans="2:20" ht="23.1" customHeight="1" x14ac:dyDescent="0.25">
      <c r="B54" s="23" t="s">
        <v>81</v>
      </c>
      <c r="C54" s="49">
        <f>AVERAGE('29.07 Bukoto-Kisasi'!C54,'30.07 Bukoto-Kisasi'!C54,'31.07 Bukoto-Kisasi'!C54,'02.08 Bukoto-Kisasi'!C54,'01.08 Bukoto-Kisasi'!C54,'03.08 Bukoto-Kisasi'!C54,'04.08 Bukoto-Kisasi'!C54)</f>
        <v>72.714285714285708</v>
      </c>
      <c r="D54" s="49">
        <f>AVERAGE('29.07 Bukoto-Kisasi'!D54,'30.07 Bukoto-Kisasi'!D54,'31.07 Bukoto-Kisasi'!D54,'02.08 Bukoto-Kisasi'!D54,'01.08 Bukoto-Kisasi'!D54,'03.08 Bukoto-Kisasi'!D54,'04.08 Bukoto-Kisasi'!D54)</f>
        <v>31.571428571428573</v>
      </c>
      <c r="E54" s="49">
        <f>AVERAGE('29.07 Bukoto-Kisasi'!E54,'30.07 Bukoto-Kisasi'!E54,'31.07 Bukoto-Kisasi'!E54,'02.08 Bukoto-Kisasi'!E54,'01.08 Bukoto-Kisasi'!E54,'03.08 Bukoto-Kisasi'!E54,'04.08 Bukoto-Kisasi'!E54)</f>
        <v>12.571428571428571</v>
      </c>
      <c r="F54" s="49">
        <f>AVERAGE('29.07 Bukoto-Kisasi'!F54,'30.07 Bukoto-Kisasi'!F54,'31.07 Bukoto-Kisasi'!F54,'02.08 Bukoto-Kisasi'!F54,'01.08 Bukoto-Kisasi'!F54,'03.08 Bukoto-Kisasi'!F54,'04.08 Bukoto-Kisasi'!F54)</f>
        <v>12</v>
      </c>
      <c r="G54" s="49">
        <f>AVERAGE('29.07 Bukoto-Kisasi'!G54,'30.07 Bukoto-Kisasi'!G54,'31.07 Bukoto-Kisasi'!G54,'02.08 Bukoto-Kisasi'!G54,'01.08 Bukoto-Kisasi'!G54,'03.08 Bukoto-Kisasi'!G54,'04.08 Bukoto-Kisasi'!G54)</f>
        <v>0.14285714285714285</v>
      </c>
      <c r="H54" s="49">
        <f>AVERAGE('29.07 Bukoto-Kisasi'!H54,'30.07 Bukoto-Kisasi'!H54,'31.07 Bukoto-Kisasi'!H54,'02.08 Bukoto-Kisasi'!H54,'01.08 Bukoto-Kisasi'!H54,'03.08 Bukoto-Kisasi'!H54,'04.08 Bukoto-Kisasi'!H54)</f>
        <v>0</v>
      </c>
      <c r="I54" s="49">
        <f>AVERAGE('29.07 Bukoto-Kisasi'!I54,'30.07 Bukoto-Kisasi'!I54,'31.07 Bukoto-Kisasi'!I54,'02.08 Bukoto-Kisasi'!I54,'01.08 Bukoto-Kisasi'!I54,'03.08 Bukoto-Kisasi'!I54,'04.08 Bukoto-Kisasi'!I54)</f>
        <v>2.4285714285714284</v>
      </c>
      <c r="J54" s="49">
        <f>AVERAGE('29.07 Bukoto-Kisasi'!J54,'30.07 Bukoto-Kisasi'!J54,'31.07 Bukoto-Kisasi'!J54,'02.08 Bukoto-Kisasi'!J54,'01.08 Bukoto-Kisasi'!J54,'03.08 Bukoto-Kisasi'!J54,'04.08 Bukoto-Kisasi'!J54)</f>
        <v>0.14285714285714285</v>
      </c>
      <c r="K54" s="49">
        <f>AVERAGE('29.07 Bukoto-Kisasi'!K54,'30.07 Bukoto-Kisasi'!K54,'31.07 Bukoto-Kisasi'!K54,'02.08 Bukoto-Kisasi'!K54,'01.08 Bukoto-Kisasi'!K54,'03.08 Bukoto-Kisasi'!K54,'04.08 Bukoto-Kisasi'!K54)</f>
        <v>0</v>
      </c>
      <c r="L54" s="49">
        <f>AVERAGE('29.07 Bukoto-Kisasi'!L54,'30.07 Bukoto-Kisasi'!L54,'31.07 Bukoto-Kisasi'!L54,'02.08 Bukoto-Kisasi'!L54,'01.08 Bukoto-Kisasi'!L54,'03.08 Bukoto-Kisasi'!L54,'04.08 Bukoto-Kisasi'!L54)</f>
        <v>0</v>
      </c>
      <c r="M54" s="49">
        <f>AVERAGE('29.07 Bukoto-Kisasi'!M54,'30.07 Bukoto-Kisasi'!M54,'31.07 Bukoto-Kisasi'!M54,'02.08 Bukoto-Kisasi'!M54,'01.08 Bukoto-Kisasi'!M54,'03.08 Bukoto-Kisasi'!M54,'04.08 Bukoto-Kisasi'!M54)</f>
        <v>58.142857142857146</v>
      </c>
      <c r="N54" s="49">
        <f>AVERAGE('29.07 Bukoto-Kisasi'!N54,'30.07 Bukoto-Kisasi'!N54,'31.07 Bukoto-Kisasi'!N54,'02.08 Bukoto-Kisasi'!N54,'01.08 Bukoto-Kisasi'!N54,'03.08 Bukoto-Kisasi'!N54,'04.08 Bukoto-Kisasi'!N54)</f>
        <v>0</v>
      </c>
      <c r="O54" s="15">
        <f t="shared" si="0"/>
        <v>131.57142857142853</v>
      </c>
      <c r="P54" s="15">
        <f t="shared" si="1"/>
        <v>189.71428571428567</v>
      </c>
      <c r="R54" s="8"/>
      <c r="T54"/>
    </row>
    <row r="55" spans="2:20" ht="23.1" customHeight="1" x14ac:dyDescent="0.25">
      <c r="B55" s="23" t="s">
        <v>82</v>
      </c>
      <c r="C55" s="49">
        <f>AVERAGE('29.07 Bukoto-Kisasi'!C55,'30.07 Bukoto-Kisasi'!C55,'31.07 Bukoto-Kisasi'!C55,'02.08 Bukoto-Kisasi'!C55,'01.08 Bukoto-Kisasi'!C55,'03.08 Bukoto-Kisasi'!C55,'04.08 Bukoto-Kisasi'!C55)</f>
        <v>70.857142857142861</v>
      </c>
      <c r="D55" s="49">
        <f>AVERAGE('29.07 Bukoto-Kisasi'!D55,'30.07 Bukoto-Kisasi'!D55,'31.07 Bukoto-Kisasi'!D55,'02.08 Bukoto-Kisasi'!D55,'01.08 Bukoto-Kisasi'!D55,'03.08 Bukoto-Kisasi'!D55,'04.08 Bukoto-Kisasi'!D55)</f>
        <v>33.142857142857146</v>
      </c>
      <c r="E55" s="49">
        <f>AVERAGE('29.07 Bukoto-Kisasi'!E55,'30.07 Bukoto-Kisasi'!E55,'31.07 Bukoto-Kisasi'!E55,'02.08 Bukoto-Kisasi'!E55,'01.08 Bukoto-Kisasi'!E55,'03.08 Bukoto-Kisasi'!E55,'04.08 Bukoto-Kisasi'!E55)</f>
        <v>12.428571428571429</v>
      </c>
      <c r="F55" s="49">
        <f>AVERAGE('29.07 Bukoto-Kisasi'!F55,'30.07 Bukoto-Kisasi'!F55,'31.07 Bukoto-Kisasi'!F55,'02.08 Bukoto-Kisasi'!F55,'01.08 Bukoto-Kisasi'!F55,'03.08 Bukoto-Kisasi'!F55,'04.08 Bukoto-Kisasi'!F55)</f>
        <v>16.285714285714285</v>
      </c>
      <c r="G55" s="49">
        <f>AVERAGE('29.07 Bukoto-Kisasi'!G55,'30.07 Bukoto-Kisasi'!G55,'31.07 Bukoto-Kisasi'!G55,'02.08 Bukoto-Kisasi'!G55,'01.08 Bukoto-Kisasi'!G55,'03.08 Bukoto-Kisasi'!G55,'04.08 Bukoto-Kisasi'!G55)</f>
        <v>0</v>
      </c>
      <c r="H55" s="49">
        <f>AVERAGE('29.07 Bukoto-Kisasi'!H55,'30.07 Bukoto-Kisasi'!H55,'31.07 Bukoto-Kisasi'!H55,'02.08 Bukoto-Kisasi'!H55,'01.08 Bukoto-Kisasi'!H55,'03.08 Bukoto-Kisasi'!H55,'04.08 Bukoto-Kisasi'!H55)</f>
        <v>0.2857142857142857</v>
      </c>
      <c r="I55" s="49">
        <f>AVERAGE('29.07 Bukoto-Kisasi'!I55,'30.07 Bukoto-Kisasi'!I55,'31.07 Bukoto-Kisasi'!I55,'02.08 Bukoto-Kisasi'!I55,'01.08 Bukoto-Kisasi'!I55,'03.08 Bukoto-Kisasi'!I55,'04.08 Bukoto-Kisasi'!I55)</f>
        <v>2.7142857142857144</v>
      </c>
      <c r="J55" s="49">
        <f>AVERAGE('29.07 Bukoto-Kisasi'!J55,'30.07 Bukoto-Kisasi'!J55,'31.07 Bukoto-Kisasi'!J55,'02.08 Bukoto-Kisasi'!J55,'01.08 Bukoto-Kisasi'!J55,'03.08 Bukoto-Kisasi'!J55,'04.08 Bukoto-Kisasi'!J55)</f>
        <v>0.2857142857142857</v>
      </c>
      <c r="K55" s="49">
        <f>AVERAGE('29.07 Bukoto-Kisasi'!K55,'30.07 Bukoto-Kisasi'!K55,'31.07 Bukoto-Kisasi'!K55,'02.08 Bukoto-Kisasi'!K55,'01.08 Bukoto-Kisasi'!K55,'03.08 Bukoto-Kisasi'!K55,'04.08 Bukoto-Kisasi'!K55)</f>
        <v>0</v>
      </c>
      <c r="L55" s="49">
        <f>AVERAGE('29.07 Bukoto-Kisasi'!L55,'30.07 Bukoto-Kisasi'!L55,'31.07 Bukoto-Kisasi'!L55,'02.08 Bukoto-Kisasi'!L55,'01.08 Bukoto-Kisasi'!L55,'03.08 Bukoto-Kisasi'!L55,'04.08 Bukoto-Kisasi'!L55)</f>
        <v>0</v>
      </c>
      <c r="M55" s="49">
        <f>AVERAGE('29.07 Bukoto-Kisasi'!M55,'30.07 Bukoto-Kisasi'!M55,'31.07 Bukoto-Kisasi'!M55,'02.08 Bukoto-Kisasi'!M55,'01.08 Bukoto-Kisasi'!M55,'03.08 Bukoto-Kisasi'!M55,'04.08 Bukoto-Kisasi'!M55)</f>
        <v>69.285714285714292</v>
      </c>
      <c r="N55" s="49">
        <f>AVERAGE('29.07 Bukoto-Kisasi'!N55,'30.07 Bukoto-Kisasi'!N55,'31.07 Bukoto-Kisasi'!N55,'02.08 Bukoto-Kisasi'!N55,'01.08 Bukoto-Kisasi'!N55,'03.08 Bukoto-Kisasi'!N55,'04.08 Bukoto-Kisasi'!N55)</f>
        <v>0</v>
      </c>
      <c r="O55" s="15">
        <f t="shared" si="0"/>
        <v>136</v>
      </c>
      <c r="P55" s="15">
        <f t="shared" si="1"/>
        <v>205.28571428571428</v>
      </c>
      <c r="R55" s="8"/>
      <c r="T55"/>
    </row>
    <row r="56" spans="2:20" ht="23.1" customHeight="1" x14ac:dyDescent="0.25">
      <c r="B56" s="23" t="s">
        <v>83</v>
      </c>
      <c r="C56" s="49">
        <f>AVERAGE('29.07 Bukoto-Kisasi'!C56,'30.07 Bukoto-Kisasi'!C56,'31.07 Bukoto-Kisasi'!C56,'02.08 Bukoto-Kisasi'!C56,'01.08 Bukoto-Kisasi'!C56,'03.08 Bukoto-Kisasi'!C56,'04.08 Bukoto-Kisasi'!C56)</f>
        <v>79.571428571428569</v>
      </c>
      <c r="D56" s="49">
        <f>AVERAGE('29.07 Bukoto-Kisasi'!D56,'30.07 Bukoto-Kisasi'!D56,'31.07 Bukoto-Kisasi'!D56,'02.08 Bukoto-Kisasi'!D56,'01.08 Bukoto-Kisasi'!D56,'03.08 Bukoto-Kisasi'!D56,'04.08 Bukoto-Kisasi'!D56)</f>
        <v>38.857142857142854</v>
      </c>
      <c r="E56" s="49">
        <f>AVERAGE('29.07 Bukoto-Kisasi'!E56,'30.07 Bukoto-Kisasi'!E56,'31.07 Bukoto-Kisasi'!E56,'02.08 Bukoto-Kisasi'!E56,'01.08 Bukoto-Kisasi'!E56,'03.08 Bukoto-Kisasi'!E56,'04.08 Bukoto-Kisasi'!E56)</f>
        <v>11.857142857142858</v>
      </c>
      <c r="F56" s="49">
        <f>AVERAGE('29.07 Bukoto-Kisasi'!F56,'30.07 Bukoto-Kisasi'!F56,'31.07 Bukoto-Kisasi'!F56,'02.08 Bukoto-Kisasi'!F56,'01.08 Bukoto-Kisasi'!F56,'03.08 Bukoto-Kisasi'!F56,'04.08 Bukoto-Kisasi'!F56)</f>
        <v>15.285714285714286</v>
      </c>
      <c r="G56" s="49">
        <f>AVERAGE('29.07 Bukoto-Kisasi'!G56,'30.07 Bukoto-Kisasi'!G56,'31.07 Bukoto-Kisasi'!G56,'02.08 Bukoto-Kisasi'!G56,'01.08 Bukoto-Kisasi'!G56,'03.08 Bukoto-Kisasi'!G56,'04.08 Bukoto-Kisasi'!G56)</f>
        <v>0.14285714285714285</v>
      </c>
      <c r="H56" s="49">
        <f>AVERAGE('29.07 Bukoto-Kisasi'!H56,'30.07 Bukoto-Kisasi'!H56,'31.07 Bukoto-Kisasi'!H56,'02.08 Bukoto-Kisasi'!H56,'01.08 Bukoto-Kisasi'!H56,'03.08 Bukoto-Kisasi'!H56,'04.08 Bukoto-Kisasi'!H56)</f>
        <v>0</v>
      </c>
      <c r="I56" s="49">
        <f>AVERAGE('29.07 Bukoto-Kisasi'!I56,'30.07 Bukoto-Kisasi'!I56,'31.07 Bukoto-Kisasi'!I56,'02.08 Bukoto-Kisasi'!I56,'01.08 Bukoto-Kisasi'!I56,'03.08 Bukoto-Kisasi'!I56,'04.08 Bukoto-Kisasi'!I56)</f>
        <v>1.4285714285714286</v>
      </c>
      <c r="J56" s="49">
        <f>AVERAGE('29.07 Bukoto-Kisasi'!J56,'30.07 Bukoto-Kisasi'!J56,'31.07 Bukoto-Kisasi'!J56,'02.08 Bukoto-Kisasi'!J56,'01.08 Bukoto-Kisasi'!J56,'03.08 Bukoto-Kisasi'!J56,'04.08 Bukoto-Kisasi'!J56)</f>
        <v>0.5714285714285714</v>
      </c>
      <c r="K56" s="49">
        <f>AVERAGE('29.07 Bukoto-Kisasi'!K56,'30.07 Bukoto-Kisasi'!K56,'31.07 Bukoto-Kisasi'!K56,'02.08 Bukoto-Kisasi'!K56,'01.08 Bukoto-Kisasi'!K56,'03.08 Bukoto-Kisasi'!K56,'04.08 Bukoto-Kisasi'!K56)</f>
        <v>0.14285714285714285</v>
      </c>
      <c r="L56" s="49">
        <f>AVERAGE('29.07 Bukoto-Kisasi'!L56,'30.07 Bukoto-Kisasi'!L56,'31.07 Bukoto-Kisasi'!L56,'02.08 Bukoto-Kisasi'!L56,'01.08 Bukoto-Kisasi'!L56,'03.08 Bukoto-Kisasi'!L56,'04.08 Bukoto-Kisasi'!L56)</f>
        <v>0</v>
      </c>
      <c r="M56" s="49">
        <f>AVERAGE('29.07 Bukoto-Kisasi'!M56,'30.07 Bukoto-Kisasi'!M56,'31.07 Bukoto-Kisasi'!M56,'02.08 Bukoto-Kisasi'!M56,'01.08 Bukoto-Kisasi'!M56,'03.08 Bukoto-Kisasi'!M56,'04.08 Bukoto-Kisasi'!M56)</f>
        <v>65</v>
      </c>
      <c r="N56" s="49">
        <f>AVERAGE('29.07 Bukoto-Kisasi'!N56,'30.07 Bukoto-Kisasi'!N56,'31.07 Bukoto-Kisasi'!N56,'02.08 Bukoto-Kisasi'!N56,'01.08 Bukoto-Kisasi'!N56,'03.08 Bukoto-Kisasi'!N56,'04.08 Bukoto-Kisasi'!N56)</f>
        <v>0</v>
      </c>
      <c r="O56" s="15">
        <f t="shared" si="0"/>
        <v>147.85714285714283</v>
      </c>
      <c r="P56" s="15">
        <f t="shared" si="1"/>
        <v>212.85714285714283</v>
      </c>
      <c r="R56" s="8"/>
      <c r="T56"/>
    </row>
    <row r="57" spans="2:20" ht="23.1" customHeight="1" x14ac:dyDescent="0.25">
      <c r="B57" s="23" t="s">
        <v>84</v>
      </c>
      <c r="C57" s="49">
        <f>AVERAGE('29.07 Bukoto-Kisasi'!C57,'30.07 Bukoto-Kisasi'!C57,'31.07 Bukoto-Kisasi'!C57,'02.08 Bukoto-Kisasi'!C57,'01.08 Bukoto-Kisasi'!C57,'03.08 Bukoto-Kisasi'!C57,'04.08 Bukoto-Kisasi'!C57)</f>
        <v>79.571428571428569</v>
      </c>
      <c r="D57" s="49">
        <f>AVERAGE('29.07 Bukoto-Kisasi'!D57,'30.07 Bukoto-Kisasi'!D57,'31.07 Bukoto-Kisasi'!D57,'02.08 Bukoto-Kisasi'!D57,'01.08 Bukoto-Kisasi'!D57,'03.08 Bukoto-Kisasi'!D57,'04.08 Bukoto-Kisasi'!D57)</f>
        <v>32.285714285714285</v>
      </c>
      <c r="E57" s="49">
        <f>AVERAGE('29.07 Bukoto-Kisasi'!E57,'30.07 Bukoto-Kisasi'!E57,'31.07 Bukoto-Kisasi'!E57,'02.08 Bukoto-Kisasi'!E57,'01.08 Bukoto-Kisasi'!E57,'03.08 Bukoto-Kisasi'!E57,'04.08 Bukoto-Kisasi'!E57)</f>
        <v>12</v>
      </c>
      <c r="F57" s="49">
        <f>AVERAGE('29.07 Bukoto-Kisasi'!F57,'30.07 Bukoto-Kisasi'!F57,'31.07 Bukoto-Kisasi'!F57,'02.08 Bukoto-Kisasi'!F57,'01.08 Bukoto-Kisasi'!F57,'03.08 Bukoto-Kisasi'!F57,'04.08 Bukoto-Kisasi'!F57)</f>
        <v>14.285714285714286</v>
      </c>
      <c r="G57" s="49">
        <f>AVERAGE('29.07 Bukoto-Kisasi'!G57,'30.07 Bukoto-Kisasi'!G57,'31.07 Bukoto-Kisasi'!G57,'02.08 Bukoto-Kisasi'!G57,'01.08 Bukoto-Kisasi'!G57,'03.08 Bukoto-Kisasi'!G57,'04.08 Bukoto-Kisasi'!G57)</f>
        <v>0</v>
      </c>
      <c r="H57" s="49">
        <f>AVERAGE('29.07 Bukoto-Kisasi'!H57,'30.07 Bukoto-Kisasi'!H57,'31.07 Bukoto-Kisasi'!H57,'02.08 Bukoto-Kisasi'!H57,'01.08 Bukoto-Kisasi'!H57,'03.08 Bukoto-Kisasi'!H57,'04.08 Bukoto-Kisasi'!H57)</f>
        <v>0</v>
      </c>
      <c r="I57" s="49">
        <f>AVERAGE('29.07 Bukoto-Kisasi'!I57,'30.07 Bukoto-Kisasi'!I57,'31.07 Bukoto-Kisasi'!I57,'02.08 Bukoto-Kisasi'!I57,'01.08 Bukoto-Kisasi'!I57,'03.08 Bukoto-Kisasi'!I57,'04.08 Bukoto-Kisasi'!I57)</f>
        <v>2</v>
      </c>
      <c r="J57" s="49">
        <f>AVERAGE('29.07 Bukoto-Kisasi'!J57,'30.07 Bukoto-Kisasi'!J57,'31.07 Bukoto-Kisasi'!J57,'02.08 Bukoto-Kisasi'!J57,'01.08 Bukoto-Kisasi'!J57,'03.08 Bukoto-Kisasi'!J57,'04.08 Bukoto-Kisasi'!J57)</f>
        <v>0.2857142857142857</v>
      </c>
      <c r="K57" s="49">
        <f>AVERAGE('29.07 Bukoto-Kisasi'!K57,'30.07 Bukoto-Kisasi'!K57,'31.07 Bukoto-Kisasi'!K57,'02.08 Bukoto-Kisasi'!K57,'01.08 Bukoto-Kisasi'!K57,'03.08 Bukoto-Kisasi'!K57,'04.08 Bukoto-Kisasi'!K57)</f>
        <v>0</v>
      </c>
      <c r="L57" s="49">
        <f>AVERAGE('29.07 Bukoto-Kisasi'!L57,'30.07 Bukoto-Kisasi'!L57,'31.07 Bukoto-Kisasi'!L57,'02.08 Bukoto-Kisasi'!L57,'01.08 Bukoto-Kisasi'!L57,'03.08 Bukoto-Kisasi'!L57,'04.08 Bukoto-Kisasi'!L57)</f>
        <v>0</v>
      </c>
      <c r="M57" s="49">
        <f>AVERAGE('29.07 Bukoto-Kisasi'!M57,'30.07 Bukoto-Kisasi'!M57,'31.07 Bukoto-Kisasi'!M57,'02.08 Bukoto-Kisasi'!M57,'01.08 Bukoto-Kisasi'!M57,'03.08 Bukoto-Kisasi'!M57,'04.08 Bukoto-Kisasi'!M57)</f>
        <v>61.428571428571431</v>
      </c>
      <c r="N57" s="49">
        <f>AVERAGE('29.07 Bukoto-Kisasi'!N57,'30.07 Bukoto-Kisasi'!N57,'31.07 Bukoto-Kisasi'!N57,'02.08 Bukoto-Kisasi'!N57,'01.08 Bukoto-Kisasi'!N57,'03.08 Bukoto-Kisasi'!N57,'04.08 Bukoto-Kisasi'!N57)</f>
        <v>0</v>
      </c>
      <c r="O57" s="15">
        <f t="shared" si="0"/>
        <v>140.42857142857142</v>
      </c>
      <c r="P57" s="15">
        <f t="shared" si="1"/>
        <v>201.85714285714283</v>
      </c>
      <c r="R57" s="8"/>
      <c r="T57"/>
    </row>
    <row r="58" spans="2:20" ht="23.1" customHeight="1" x14ac:dyDescent="0.25">
      <c r="B58" s="23" t="s">
        <v>99</v>
      </c>
      <c r="C58" s="49">
        <f>AVERAGE('01.08 Kisasi-Bukoto'!C58,'03.08 Kisasi-Bukoto'!C58)</f>
        <v>36</v>
      </c>
      <c r="D58" s="49">
        <f>AVERAGE('01.08 Kisasi-Bukoto'!D58,'03.08 Kisasi-Bukoto'!D58)</f>
        <v>26.5</v>
      </c>
      <c r="E58" s="49">
        <f>AVERAGE('01.08 Kisasi-Bukoto'!E58,'03.08 Kisasi-Bukoto'!E58)</f>
        <v>0</v>
      </c>
      <c r="F58" s="49">
        <f>AVERAGE('01.08 Kisasi-Bukoto'!F58,'03.08 Kisasi-Bukoto'!F58)</f>
        <v>9</v>
      </c>
      <c r="G58" s="49">
        <f>AVERAGE('01.08 Kisasi-Bukoto'!G58,'03.08 Kisasi-Bukoto'!G58)</f>
        <v>0.5</v>
      </c>
      <c r="H58" s="49">
        <f>AVERAGE('01.08 Kisasi-Bukoto'!H58,'03.08 Kisasi-Bukoto'!H58)</f>
        <v>0</v>
      </c>
      <c r="I58" s="49">
        <f>AVERAGE('01.08 Kisasi-Bukoto'!I58,'03.08 Kisasi-Bukoto'!I58)</f>
        <v>1</v>
      </c>
      <c r="J58" s="49">
        <f>AVERAGE('01.08 Kisasi-Bukoto'!J58,'03.08 Kisasi-Bukoto'!J58)</f>
        <v>0</v>
      </c>
      <c r="K58" s="49">
        <f>AVERAGE('01.08 Kisasi-Bukoto'!K58,'03.08 Kisasi-Bukoto'!K58)</f>
        <v>0</v>
      </c>
      <c r="L58" s="49">
        <f>AVERAGE('01.08 Kisasi-Bukoto'!L58,'03.08 Kisasi-Bukoto'!L58)</f>
        <v>0</v>
      </c>
      <c r="M58" s="49">
        <f>AVERAGE('01.08 Kisasi-Bukoto'!M58,'03.08 Kisasi-Bukoto'!M58)</f>
        <v>77.5</v>
      </c>
      <c r="N58" s="49">
        <f>AVERAGE('01.08 Kisasi-Bukoto'!N58,'03.08 Kisasi-Bukoto'!N58)</f>
        <v>0</v>
      </c>
      <c r="O58" s="15">
        <f t="shared" si="0"/>
        <v>73</v>
      </c>
      <c r="P58" s="15">
        <f t="shared" si="1"/>
        <v>150.5</v>
      </c>
      <c r="R58" s="8"/>
      <c r="T58"/>
    </row>
    <row r="59" spans="2:20" ht="23.1" customHeight="1" x14ac:dyDescent="0.25">
      <c r="B59" s="23" t="s">
        <v>100</v>
      </c>
      <c r="C59" s="49">
        <f>AVERAGE('01.08 Kisasi-Bukoto'!C59,'03.08 Kisasi-Bukoto'!C59)</f>
        <v>39.5</v>
      </c>
      <c r="D59" s="49">
        <f>AVERAGE('01.08 Kisasi-Bukoto'!D59,'03.08 Kisasi-Bukoto'!D59)</f>
        <v>34.5</v>
      </c>
      <c r="E59" s="49">
        <f>AVERAGE('01.08 Kisasi-Bukoto'!E59,'03.08 Kisasi-Bukoto'!E59)</f>
        <v>0</v>
      </c>
      <c r="F59" s="49">
        <f>AVERAGE('01.08 Kisasi-Bukoto'!F59,'03.08 Kisasi-Bukoto'!F59)</f>
        <v>8.5</v>
      </c>
      <c r="G59" s="49">
        <f>AVERAGE('01.08 Kisasi-Bukoto'!G59,'03.08 Kisasi-Bukoto'!G59)</f>
        <v>0</v>
      </c>
      <c r="H59" s="49">
        <f>AVERAGE('01.08 Kisasi-Bukoto'!H59,'03.08 Kisasi-Bukoto'!H59)</f>
        <v>0</v>
      </c>
      <c r="I59" s="49">
        <f>AVERAGE('01.08 Kisasi-Bukoto'!I59,'03.08 Kisasi-Bukoto'!I59)</f>
        <v>2</v>
      </c>
      <c r="J59" s="49">
        <f>AVERAGE('01.08 Kisasi-Bukoto'!J59,'03.08 Kisasi-Bukoto'!J59)</f>
        <v>0</v>
      </c>
      <c r="K59" s="49">
        <f>AVERAGE('01.08 Kisasi-Bukoto'!K59,'03.08 Kisasi-Bukoto'!K59)</f>
        <v>0</v>
      </c>
      <c r="L59" s="49">
        <f>AVERAGE('01.08 Kisasi-Bukoto'!L59,'03.08 Kisasi-Bukoto'!L59)</f>
        <v>1</v>
      </c>
      <c r="M59" s="49">
        <f>AVERAGE('01.08 Kisasi-Bukoto'!M59,'03.08 Kisasi-Bukoto'!M59)</f>
        <v>72.5</v>
      </c>
      <c r="N59" s="49">
        <f>AVERAGE('01.08 Kisasi-Bukoto'!N59,'03.08 Kisasi-Bukoto'!N59)</f>
        <v>0</v>
      </c>
      <c r="O59" s="15">
        <f t="shared" si="0"/>
        <v>85.5</v>
      </c>
      <c r="P59" s="15">
        <f t="shared" si="1"/>
        <v>158</v>
      </c>
      <c r="R59" s="8"/>
      <c r="T59"/>
    </row>
    <row r="60" spans="2:20" ht="23.1" customHeight="1" x14ac:dyDescent="0.25">
      <c r="B60" s="23" t="s">
        <v>101</v>
      </c>
      <c r="C60" s="49">
        <f>AVERAGE('01.08 Kisasi-Bukoto'!C60,'03.08 Kisasi-Bukoto'!C60)</f>
        <v>42.5</v>
      </c>
      <c r="D60" s="49">
        <f>AVERAGE('01.08 Kisasi-Bukoto'!D60,'03.08 Kisasi-Bukoto'!D60)</f>
        <v>30</v>
      </c>
      <c r="E60" s="49">
        <f>AVERAGE('01.08 Kisasi-Bukoto'!E60,'03.08 Kisasi-Bukoto'!E60)</f>
        <v>1</v>
      </c>
      <c r="F60" s="49">
        <f>AVERAGE('01.08 Kisasi-Bukoto'!F60,'03.08 Kisasi-Bukoto'!F60)</f>
        <v>10</v>
      </c>
      <c r="G60" s="49">
        <f>AVERAGE('01.08 Kisasi-Bukoto'!G60,'03.08 Kisasi-Bukoto'!G60)</f>
        <v>0</v>
      </c>
      <c r="H60" s="49">
        <f>AVERAGE('01.08 Kisasi-Bukoto'!H60,'03.08 Kisasi-Bukoto'!H60)</f>
        <v>0</v>
      </c>
      <c r="I60" s="49">
        <f>AVERAGE('01.08 Kisasi-Bukoto'!I60,'03.08 Kisasi-Bukoto'!I60)</f>
        <v>3</v>
      </c>
      <c r="J60" s="49">
        <f>AVERAGE('01.08 Kisasi-Bukoto'!J60,'03.08 Kisasi-Bukoto'!J60)</f>
        <v>0</v>
      </c>
      <c r="K60" s="49">
        <f>AVERAGE('01.08 Kisasi-Bukoto'!K60,'03.08 Kisasi-Bukoto'!K60)</f>
        <v>0.5</v>
      </c>
      <c r="L60" s="49">
        <f>AVERAGE('01.08 Kisasi-Bukoto'!L60,'03.08 Kisasi-Bukoto'!L60)</f>
        <v>0</v>
      </c>
      <c r="M60" s="49">
        <f>AVERAGE('01.08 Kisasi-Bukoto'!M60,'03.08 Kisasi-Bukoto'!M60)</f>
        <v>55</v>
      </c>
      <c r="N60" s="49">
        <f>AVERAGE('01.08 Kisasi-Bukoto'!N60,'03.08 Kisasi-Bukoto'!N60)</f>
        <v>0</v>
      </c>
      <c r="O60" s="15">
        <f t="shared" si="0"/>
        <v>87</v>
      </c>
      <c r="P60" s="15">
        <f t="shared" si="1"/>
        <v>142</v>
      </c>
      <c r="R60" s="8"/>
      <c r="T60"/>
    </row>
    <row r="61" spans="2:20" ht="23.1" customHeight="1" x14ac:dyDescent="0.25">
      <c r="B61" s="23" t="s">
        <v>102</v>
      </c>
      <c r="C61" s="49">
        <f>AVERAGE('01.08 Kisasi-Bukoto'!C61,'03.08 Kisasi-Bukoto'!C61)</f>
        <v>32</v>
      </c>
      <c r="D61" s="49">
        <f>AVERAGE('01.08 Kisasi-Bukoto'!D61,'03.08 Kisasi-Bukoto'!D61)</f>
        <v>18.5</v>
      </c>
      <c r="E61" s="49">
        <f>AVERAGE('01.08 Kisasi-Bukoto'!E61,'03.08 Kisasi-Bukoto'!E61)</f>
        <v>1</v>
      </c>
      <c r="F61" s="49">
        <f>AVERAGE('01.08 Kisasi-Bukoto'!F61,'03.08 Kisasi-Bukoto'!F61)</f>
        <v>11.5</v>
      </c>
      <c r="G61" s="49">
        <f>AVERAGE('01.08 Kisasi-Bukoto'!G61,'03.08 Kisasi-Bukoto'!G61)</f>
        <v>0</v>
      </c>
      <c r="H61" s="49">
        <f>AVERAGE('01.08 Kisasi-Bukoto'!H61,'03.08 Kisasi-Bukoto'!H61)</f>
        <v>0</v>
      </c>
      <c r="I61" s="49">
        <f>AVERAGE('01.08 Kisasi-Bukoto'!I61,'03.08 Kisasi-Bukoto'!I61)</f>
        <v>5.5</v>
      </c>
      <c r="J61" s="49">
        <f>AVERAGE('01.08 Kisasi-Bukoto'!J61,'03.08 Kisasi-Bukoto'!J61)</f>
        <v>0</v>
      </c>
      <c r="K61" s="49">
        <f>AVERAGE('01.08 Kisasi-Bukoto'!K61,'03.08 Kisasi-Bukoto'!K61)</f>
        <v>0</v>
      </c>
      <c r="L61" s="49">
        <f>AVERAGE('01.08 Kisasi-Bukoto'!L61,'03.08 Kisasi-Bukoto'!L61)</f>
        <v>0</v>
      </c>
      <c r="M61" s="49">
        <f>AVERAGE('01.08 Kisasi-Bukoto'!M61,'03.08 Kisasi-Bukoto'!M61)</f>
        <v>62.5</v>
      </c>
      <c r="N61" s="49">
        <f>AVERAGE('01.08 Kisasi-Bukoto'!N61,'03.08 Kisasi-Bukoto'!N61)</f>
        <v>0</v>
      </c>
      <c r="O61" s="15">
        <f t="shared" si="0"/>
        <v>68.5</v>
      </c>
      <c r="P61" s="15">
        <f t="shared" si="1"/>
        <v>131</v>
      </c>
      <c r="R61" s="8"/>
      <c r="T61"/>
    </row>
    <row r="62" spans="2:20" ht="23.1" customHeight="1" x14ac:dyDescent="0.25">
      <c r="B62" s="23" t="s">
        <v>107</v>
      </c>
      <c r="C62" s="49">
        <f>AVERAGE('01.08 Kisasi-Bukoto'!C62,'03.08 Kisasi-Bukoto'!C62)</f>
        <v>33</v>
      </c>
      <c r="D62" s="49">
        <f>AVERAGE('01.08 Kisasi-Bukoto'!D62,'03.08 Kisasi-Bukoto'!D62)</f>
        <v>27</v>
      </c>
      <c r="E62" s="49">
        <f>AVERAGE('01.08 Kisasi-Bukoto'!E62,'03.08 Kisasi-Bukoto'!E62)</f>
        <v>0</v>
      </c>
      <c r="F62" s="49">
        <f>AVERAGE('01.08 Kisasi-Bukoto'!F62,'03.08 Kisasi-Bukoto'!F62)</f>
        <v>8.5</v>
      </c>
      <c r="G62" s="49">
        <f>AVERAGE('01.08 Kisasi-Bukoto'!G62,'03.08 Kisasi-Bukoto'!G62)</f>
        <v>1</v>
      </c>
      <c r="H62" s="49">
        <f>AVERAGE('01.08 Kisasi-Bukoto'!H62,'03.08 Kisasi-Bukoto'!H62)</f>
        <v>0</v>
      </c>
      <c r="I62" s="49">
        <f>AVERAGE('01.08 Kisasi-Bukoto'!I62,'03.08 Kisasi-Bukoto'!I62)</f>
        <v>2</v>
      </c>
      <c r="J62" s="49">
        <f>AVERAGE('01.08 Kisasi-Bukoto'!J62,'03.08 Kisasi-Bukoto'!J62)</f>
        <v>0</v>
      </c>
      <c r="K62" s="49">
        <f>AVERAGE('01.08 Kisasi-Bukoto'!K62,'03.08 Kisasi-Bukoto'!K62)</f>
        <v>0.5</v>
      </c>
      <c r="L62" s="49">
        <f>AVERAGE('01.08 Kisasi-Bukoto'!L62,'03.08 Kisasi-Bukoto'!L62)</f>
        <v>0</v>
      </c>
      <c r="M62" s="49">
        <f>AVERAGE('01.08 Kisasi-Bukoto'!M62,'03.08 Kisasi-Bukoto'!M62)</f>
        <v>42.5</v>
      </c>
      <c r="N62" s="49">
        <f>AVERAGE('01.08 Kisasi-Bukoto'!N62,'03.08 Kisasi-Bukoto'!N62)</f>
        <v>0</v>
      </c>
      <c r="O62" s="15">
        <f t="shared" si="0"/>
        <v>72</v>
      </c>
      <c r="P62" s="15">
        <f t="shared" si="1"/>
        <v>114.5</v>
      </c>
      <c r="R62" s="8"/>
      <c r="T62"/>
    </row>
    <row r="63" spans="2:20" ht="23.1" customHeight="1" x14ac:dyDescent="0.25">
      <c r="B63" s="23" t="s">
        <v>108</v>
      </c>
      <c r="C63" s="49">
        <f>AVERAGE('01.08 Kisasi-Bukoto'!C63,'03.08 Kisasi-Bukoto'!C63)</f>
        <v>35.5</v>
      </c>
      <c r="D63" s="49">
        <f>AVERAGE('01.08 Kisasi-Bukoto'!D63,'03.08 Kisasi-Bukoto'!D63)</f>
        <v>23</v>
      </c>
      <c r="E63" s="49">
        <f>AVERAGE('01.08 Kisasi-Bukoto'!E63,'03.08 Kisasi-Bukoto'!E63)</f>
        <v>0.5</v>
      </c>
      <c r="F63" s="49">
        <f>AVERAGE('01.08 Kisasi-Bukoto'!F63,'03.08 Kisasi-Bukoto'!F63)</f>
        <v>11.5</v>
      </c>
      <c r="G63" s="49">
        <f>AVERAGE('01.08 Kisasi-Bukoto'!G63,'03.08 Kisasi-Bukoto'!G63)</f>
        <v>0</v>
      </c>
      <c r="H63" s="49">
        <f>AVERAGE('01.08 Kisasi-Bukoto'!H63,'03.08 Kisasi-Bukoto'!H63)</f>
        <v>0</v>
      </c>
      <c r="I63" s="49">
        <f>AVERAGE('01.08 Kisasi-Bukoto'!I63,'03.08 Kisasi-Bukoto'!I63)</f>
        <v>1</v>
      </c>
      <c r="J63" s="49">
        <f>AVERAGE('01.08 Kisasi-Bukoto'!J63,'03.08 Kisasi-Bukoto'!J63)</f>
        <v>0.5</v>
      </c>
      <c r="K63" s="49">
        <f>AVERAGE('01.08 Kisasi-Bukoto'!K63,'03.08 Kisasi-Bukoto'!K63)</f>
        <v>0</v>
      </c>
      <c r="L63" s="49">
        <f>AVERAGE('01.08 Kisasi-Bukoto'!L63,'03.08 Kisasi-Bukoto'!L63)</f>
        <v>0</v>
      </c>
      <c r="M63" s="49">
        <f>AVERAGE('01.08 Kisasi-Bukoto'!M63,'03.08 Kisasi-Bukoto'!M63)</f>
        <v>65</v>
      </c>
      <c r="N63" s="49">
        <f>AVERAGE('01.08 Kisasi-Bukoto'!N63,'03.08 Kisasi-Bukoto'!N63)</f>
        <v>0</v>
      </c>
      <c r="O63" s="15">
        <f t="shared" si="0"/>
        <v>72</v>
      </c>
      <c r="P63" s="15">
        <f t="shared" si="1"/>
        <v>137</v>
      </c>
      <c r="R63" s="8"/>
      <c r="T63"/>
    </row>
    <row r="64" spans="2:20" ht="23.1" customHeight="1" x14ac:dyDescent="0.25">
      <c r="B64" s="23" t="s">
        <v>109</v>
      </c>
      <c r="C64" s="49">
        <f>AVERAGE('01.08 Kisasi-Bukoto'!C64,'03.08 Kisasi-Bukoto'!C64)</f>
        <v>29</v>
      </c>
      <c r="D64" s="49">
        <f>AVERAGE('01.08 Kisasi-Bukoto'!D64,'03.08 Kisasi-Bukoto'!D64)</f>
        <v>15</v>
      </c>
      <c r="E64" s="49">
        <f>AVERAGE('01.08 Kisasi-Bukoto'!E64,'03.08 Kisasi-Bukoto'!E64)</f>
        <v>0.5</v>
      </c>
      <c r="F64" s="49">
        <f>AVERAGE('01.08 Kisasi-Bukoto'!F64,'03.08 Kisasi-Bukoto'!F64)</f>
        <v>6.5</v>
      </c>
      <c r="G64" s="49">
        <f>AVERAGE('01.08 Kisasi-Bukoto'!G64,'03.08 Kisasi-Bukoto'!G64)</f>
        <v>0</v>
      </c>
      <c r="H64" s="49">
        <f>AVERAGE('01.08 Kisasi-Bukoto'!H64,'03.08 Kisasi-Bukoto'!H64)</f>
        <v>0</v>
      </c>
      <c r="I64" s="49">
        <f>AVERAGE('01.08 Kisasi-Bukoto'!I64,'03.08 Kisasi-Bukoto'!I64)</f>
        <v>0.5</v>
      </c>
      <c r="J64" s="49">
        <f>AVERAGE('01.08 Kisasi-Bukoto'!J64,'03.08 Kisasi-Bukoto'!J64)</f>
        <v>0</v>
      </c>
      <c r="K64" s="49">
        <f>AVERAGE('01.08 Kisasi-Bukoto'!K64,'03.08 Kisasi-Bukoto'!K64)</f>
        <v>0</v>
      </c>
      <c r="L64" s="49">
        <f>AVERAGE('01.08 Kisasi-Bukoto'!L64,'03.08 Kisasi-Bukoto'!L64)</f>
        <v>0</v>
      </c>
      <c r="M64" s="49">
        <f>AVERAGE('01.08 Kisasi-Bukoto'!M64,'03.08 Kisasi-Bukoto'!M64)</f>
        <v>60</v>
      </c>
      <c r="N64" s="49">
        <f>AVERAGE('01.08 Kisasi-Bukoto'!N64,'03.08 Kisasi-Bukoto'!N64)</f>
        <v>0</v>
      </c>
      <c r="O64" s="15">
        <f t="shared" si="0"/>
        <v>51.5</v>
      </c>
      <c r="P64" s="15">
        <f t="shared" si="1"/>
        <v>111.5</v>
      </c>
      <c r="R64" s="8"/>
      <c r="T64"/>
    </row>
    <row r="65" spans="2:20" ht="23.1" customHeight="1" x14ac:dyDescent="0.25">
      <c r="B65" s="23" t="s">
        <v>158</v>
      </c>
      <c r="C65" s="49">
        <f>AVERAGE('01.08 Kisasi-Bukoto'!C65,'03.08 Kisasi-Bukoto'!C65)</f>
        <v>36</v>
      </c>
      <c r="D65" s="49">
        <f>AVERAGE('01.08 Kisasi-Bukoto'!D65,'03.08 Kisasi-Bukoto'!D65)</f>
        <v>23</v>
      </c>
      <c r="E65" s="49">
        <f>AVERAGE('01.08 Kisasi-Bukoto'!E65,'03.08 Kisasi-Bukoto'!E65)</f>
        <v>0.5</v>
      </c>
      <c r="F65" s="49">
        <f>AVERAGE('01.08 Kisasi-Bukoto'!F65,'03.08 Kisasi-Bukoto'!F65)</f>
        <v>6</v>
      </c>
      <c r="G65" s="49">
        <f>AVERAGE('01.08 Kisasi-Bukoto'!G65,'03.08 Kisasi-Bukoto'!G65)</f>
        <v>0</v>
      </c>
      <c r="H65" s="49">
        <f>AVERAGE('01.08 Kisasi-Bukoto'!H65,'03.08 Kisasi-Bukoto'!H65)</f>
        <v>0</v>
      </c>
      <c r="I65" s="49">
        <f>AVERAGE('01.08 Kisasi-Bukoto'!I65,'03.08 Kisasi-Bukoto'!I65)</f>
        <v>0.5</v>
      </c>
      <c r="J65" s="49">
        <f>AVERAGE('01.08 Kisasi-Bukoto'!J65,'03.08 Kisasi-Bukoto'!J65)</f>
        <v>0</v>
      </c>
      <c r="K65" s="49">
        <f>AVERAGE('01.08 Kisasi-Bukoto'!K65,'03.08 Kisasi-Bukoto'!K65)</f>
        <v>0</v>
      </c>
      <c r="L65" s="49">
        <f>AVERAGE('01.08 Kisasi-Bukoto'!L65,'03.08 Kisasi-Bukoto'!L65)</f>
        <v>0</v>
      </c>
      <c r="M65" s="49">
        <f>AVERAGE('01.08 Kisasi-Bukoto'!M65,'03.08 Kisasi-Bukoto'!M65)</f>
        <v>52.5</v>
      </c>
      <c r="N65" s="49">
        <f>AVERAGE('01.08 Kisasi-Bukoto'!N65,'03.08 Kisasi-Bukoto'!N65)</f>
        <v>0</v>
      </c>
      <c r="O65" s="15">
        <f t="shared" si="0"/>
        <v>66</v>
      </c>
      <c r="P65" s="15">
        <f t="shared" si="1"/>
        <v>118.5</v>
      </c>
      <c r="R65" s="8"/>
      <c r="T65"/>
    </row>
    <row r="66" spans="2:20" ht="23.1" customHeight="1" x14ac:dyDescent="0.25">
      <c r="B66" s="23" t="s">
        <v>103</v>
      </c>
      <c r="C66" s="49">
        <f>AVERAGE('01.08 Kisasi-Bukoto'!C66,'03.08 Kisasi-Bukoto'!C66)</f>
        <v>36</v>
      </c>
      <c r="D66" s="49">
        <f>AVERAGE('01.08 Kisasi-Bukoto'!D66,'03.08 Kisasi-Bukoto'!D66)</f>
        <v>23</v>
      </c>
      <c r="E66" s="49">
        <f>AVERAGE('01.08 Kisasi-Bukoto'!E66,'03.08 Kisasi-Bukoto'!E66)</f>
        <v>0</v>
      </c>
      <c r="F66" s="49">
        <f>AVERAGE('01.08 Kisasi-Bukoto'!F66,'03.08 Kisasi-Bukoto'!F66)</f>
        <v>6.5</v>
      </c>
      <c r="G66" s="49">
        <f>AVERAGE('01.08 Kisasi-Bukoto'!G66,'03.08 Kisasi-Bukoto'!G66)</f>
        <v>0</v>
      </c>
      <c r="H66" s="49">
        <f>AVERAGE('01.08 Kisasi-Bukoto'!H66,'03.08 Kisasi-Bukoto'!H66)</f>
        <v>0</v>
      </c>
      <c r="I66" s="49">
        <f>AVERAGE('01.08 Kisasi-Bukoto'!I66,'03.08 Kisasi-Bukoto'!I66)</f>
        <v>1</v>
      </c>
      <c r="J66" s="49">
        <f>AVERAGE('01.08 Kisasi-Bukoto'!J66,'03.08 Kisasi-Bukoto'!J66)</f>
        <v>0</v>
      </c>
      <c r="K66" s="49">
        <f>AVERAGE('01.08 Kisasi-Bukoto'!K66,'03.08 Kisasi-Bukoto'!K66)</f>
        <v>0</v>
      </c>
      <c r="L66" s="49">
        <f>AVERAGE('01.08 Kisasi-Bukoto'!L66,'03.08 Kisasi-Bukoto'!L66)</f>
        <v>0</v>
      </c>
      <c r="M66" s="49">
        <f>AVERAGE('01.08 Kisasi-Bukoto'!M66,'03.08 Kisasi-Bukoto'!M66)</f>
        <v>50</v>
      </c>
      <c r="N66" s="49">
        <f>AVERAGE('01.08 Kisasi-Bukoto'!N66,'03.08 Kisasi-Bukoto'!N66)</f>
        <v>0</v>
      </c>
      <c r="O66" s="15">
        <f t="shared" si="0"/>
        <v>66.5</v>
      </c>
      <c r="P66" s="15">
        <f t="shared" si="1"/>
        <v>116.5</v>
      </c>
      <c r="R66" s="8"/>
      <c r="T66"/>
    </row>
    <row r="67" spans="2:20" ht="23.1" customHeight="1" x14ac:dyDescent="0.25">
      <c r="B67" s="23" t="s">
        <v>104</v>
      </c>
      <c r="C67" s="49">
        <f>AVERAGE('01.08 Kisasi-Bukoto'!C67,'03.08 Kisasi-Bukoto'!C67)</f>
        <v>34.5</v>
      </c>
      <c r="D67" s="49">
        <f>AVERAGE('01.08 Kisasi-Bukoto'!D67,'03.08 Kisasi-Bukoto'!D67)</f>
        <v>16</v>
      </c>
      <c r="E67" s="49">
        <f>AVERAGE('01.08 Kisasi-Bukoto'!E67,'03.08 Kisasi-Bukoto'!E67)</f>
        <v>0.5</v>
      </c>
      <c r="F67" s="49">
        <f>AVERAGE('01.08 Kisasi-Bukoto'!F67,'03.08 Kisasi-Bukoto'!F67)</f>
        <v>6.5</v>
      </c>
      <c r="G67" s="49">
        <f>AVERAGE('01.08 Kisasi-Bukoto'!G67,'03.08 Kisasi-Bukoto'!G67)</f>
        <v>0</v>
      </c>
      <c r="H67" s="49">
        <f>AVERAGE('01.08 Kisasi-Bukoto'!H67,'03.08 Kisasi-Bukoto'!H67)</f>
        <v>0</v>
      </c>
      <c r="I67" s="49">
        <f>AVERAGE('01.08 Kisasi-Bukoto'!I67,'03.08 Kisasi-Bukoto'!I67)</f>
        <v>1.5</v>
      </c>
      <c r="J67" s="49">
        <f>AVERAGE('01.08 Kisasi-Bukoto'!J67,'03.08 Kisasi-Bukoto'!J67)</f>
        <v>0</v>
      </c>
      <c r="K67" s="49">
        <f>AVERAGE('01.08 Kisasi-Bukoto'!K67,'03.08 Kisasi-Bukoto'!K67)</f>
        <v>0.5</v>
      </c>
      <c r="L67" s="49">
        <f>AVERAGE('01.08 Kisasi-Bukoto'!L67,'03.08 Kisasi-Bukoto'!L67)</f>
        <v>0</v>
      </c>
      <c r="M67" s="49">
        <f>AVERAGE('01.08 Kisasi-Bukoto'!M67,'03.08 Kisasi-Bukoto'!M67)</f>
        <v>38</v>
      </c>
      <c r="N67" s="49">
        <f>AVERAGE('01.08 Kisasi-Bukoto'!N67,'03.08 Kisasi-Bukoto'!N67)</f>
        <v>0</v>
      </c>
      <c r="O67" s="15">
        <f t="shared" si="0"/>
        <v>59.5</v>
      </c>
      <c r="P67" s="15">
        <f t="shared" si="1"/>
        <v>97.5</v>
      </c>
      <c r="R67" s="8"/>
      <c r="T67"/>
    </row>
    <row r="68" spans="2:20" ht="23.1" customHeight="1" x14ac:dyDescent="0.25">
      <c r="B68" s="23" t="s">
        <v>105</v>
      </c>
      <c r="C68" s="49">
        <f>AVERAGE('01.08 Kisasi-Bukoto'!C68,'03.08 Kisasi-Bukoto'!C68)</f>
        <v>35</v>
      </c>
      <c r="D68" s="49">
        <f>AVERAGE('01.08 Kisasi-Bukoto'!D68,'03.08 Kisasi-Bukoto'!D68)</f>
        <v>24.5</v>
      </c>
      <c r="E68" s="49">
        <f>AVERAGE('01.08 Kisasi-Bukoto'!E68,'03.08 Kisasi-Bukoto'!E68)</f>
        <v>0</v>
      </c>
      <c r="F68" s="49">
        <f>AVERAGE('01.08 Kisasi-Bukoto'!F68,'03.08 Kisasi-Bukoto'!F68)</f>
        <v>8</v>
      </c>
      <c r="G68" s="49">
        <f>AVERAGE('01.08 Kisasi-Bukoto'!G68,'03.08 Kisasi-Bukoto'!G68)</f>
        <v>0</v>
      </c>
      <c r="H68" s="49">
        <f>AVERAGE('01.08 Kisasi-Bukoto'!H68,'03.08 Kisasi-Bukoto'!H68)</f>
        <v>0</v>
      </c>
      <c r="I68" s="49">
        <f>AVERAGE('01.08 Kisasi-Bukoto'!I68,'03.08 Kisasi-Bukoto'!I68)</f>
        <v>2</v>
      </c>
      <c r="J68" s="49">
        <f>AVERAGE('01.08 Kisasi-Bukoto'!J68,'03.08 Kisasi-Bukoto'!J68)</f>
        <v>0</v>
      </c>
      <c r="K68" s="49">
        <f>AVERAGE('01.08 Kisasi-Bukoto'!K68,'03.08 Kisasi-Bukoto'!K68)</f>
        <v>0.5</v>
      </c>
      <c r="L68" s="49">
        <f>AVERAGE('01.08 Kisasi-Bukoto'!L68,'03.08 Kisasi-Bukoto'!L68)</f>
        <v>0</v>
      </c>
      <c r="M68" s="49">
        <f>AVERAGE('01.08 Kisasi-Bukoto'!M68,'03.08 Kisasi-Bukoto'!M68)</f>
        <v>40</v>
      </c>
      <c r="N68" s="49">
        <f>AVERAGE('01.08 Kisasi-Bukoto'!N68,'03.08 Kisasi-Bukoto'!N68)</f>
        <v>0</v>
      </c>
      <c r="O68" s="15">
        <f t="shared" si="0"/>
        <v>70</v>
      </c>
      <c r="P68" s="15">
        <f t="shared" si="1"/>
        <v>110</v>
      </c>
      <c r="R68" s="8"/>
      <c r="T68"/>
    </row>
    <row r="69" spans="2:20" ht="23.1" customHeight="1" x14ac:dyDescent="0.25">
      <c r="B69" s="23" t="s">
        <v>106</v>
      </c>
      <c r="C69" s="49">
        <f>AVERAGE('01.08 Kisasi-Bukoto'!C69,'03.08 Kisasi-Bukoto'!C69)</f>
        <v>33</v>
      </c>
      <c r="D69" s="49">
        <f>AVERAGE('01.08 Kisasi-Bukoto'!D69,'03.08 Kisasi-Bukoto'!D69)</f>
        <v>17.5</v>
      </c>
      <c r="E69" s="49">
        <f>AVERAGE('01.08 Kisasi-Bukoto'!E69,'03.08 Kisasi-Bukoto'!E69)</f>
        <v>0.5</v>
      </c>
      <c r="F69" s="49">
        <f>AVERAGE('01.08 Kisasi-Bukoto'!F69,'03.08 Kisasi-Bukoto'!F69)</f>
        <v>4.5</v>
      </c>
      <c r="G69" s="49">
        <f>AVERAGE('01.08 Kisasi-Bukoto'!G69,'03.08 Kisasi-Bukoto'!G69)</f>
        <v>0</v>
      </c>
      <c r="H69" s="49">
        <f>AVERAGE('01.08 Kisasi-Bukoto'!H69,'03.08 Kisasi-Bukoto'!H69)</f>
        <v>0</v>
      </c>
      <c r="I69" s="49">
        <f>AVERAGE('01.08 Kisasi-Bukoto'!I69,'03.08 Kisasi-Bukoto'!I69)</f>
        <v>0</v>
      </c>
      <c r="J69" s="49">
        <f>AVERAGE('01.08 Kisasi-Bukoto'!J69,'03.08 Kisasi-Bukoto'!J69)</f>
        <v>0</v>
      </c>
      <c r="K69" s="49">
        <f>AVERAGE('01.08 Kisasi-Bukoto'!K69,'03.08 Kisasi-Bukoto'!K69)</f>
        <v>0</v>
      </c>
      <c r="L69" s="49">
        <f>AVERAGE('01.08 Kisasi-Bukoto'!L69,'03.08 Kisasi-Bukoto'!L69)</f>
        <v>0</v>
      </c>
      <c r="M69" s="49">
        <f>AVERAGE('01.08 Kisasi-Bukoto'!M69,'03.08 Kisasi-Bukoto'!M69)</f>
        <v>55</v>
      </c>
      <c r="N69" s="49">
        <f>AVERAGE('01.08 Kisasi-Bukoto'!N69,'03.08 Kisasi-Bukoto'!N69)</f>
        <v>0</v>
      </c>
      <c r="O69" s="15">
        <f t="shared" si="0"/>
        <v>55.5</v>
      </c>
      <c r="P69" s="15">
        <f t="shared" si="1"/>
        <v>110.5</v>
      </c>
      <c r="R69" s="8"/>
      <c r="T69"/>
    </row>
    <row r="70" spans="2:20" ht="23.1" customHeight="1" x14ac:dyDescent="0.25">
      <c r="B70" s="23" t="s">
        <v>110</v>
      </c>
      <c r="C70" s="49">
        <f>AVERAGE('01.08 Kisasi-Bukoto'!C70,'03.08 Kisasi-Bukoto'!C70)</f>
        <v>28.5</v>
      </c>
      <c r="D70" s="49">
        <f>AVERAGE('01.08 Kisasi-Bukoto'!D70,'03.08 Kisasi-Bukoto'!D70)</f>
        <v>13.5</v>
      </c>
      <c r="E70" s="49">
        <f>AVERAGE('01.08 Kisasi-Bukoto'!E70,'03.08 Kisasi-Bukoto'!E70)</f>
        <v>0</v>
      </c>
      <c r="F70" s="49">
        <f>AVERAGE('01.08 Kisasi-Bukoto'!F70,'03.08 Kisasi-Bukoto'!F70)</f>
        <v>6</v>
      </c>
      <c r="G70" s="49">
        <f>AVERAGE('01.08 Kisasi-Bukoto'!G70,'03.08 Kisasi-Bukoto'!G70)</f>
        <v>0</v>
      </c>
      <c r="H70" s="49">
        <f>AVERAGE('01.08 Kisasi-Bukoto'!H70,'03.08 Kisasi-Bukoto'!H70)</f>
        <v>0</v>
      </c>
      <c r="I70" s="49">
        <f>AVERAGE('01.08 Kisasi-Bukoto'!I70,'03.08 Kisasi-Bukoto'!I70)</f>
        <v>0</v>
      </c>
      <c r="J70" s="49">
        <f>AVERAGE('01.08 Kisasi-Bukoto'!J70,'03.08 Kisasi-Bukoto'!J70)</f>
        <v>0</v>
      </c>
      <c r="K70" s="49">
        <f>AVERAGE('01.08 Kisasi-Bukoto'!K70,'03.08 Kisasi-Bukoto'!K70)</f>
        <v>0</v>
      </c>
      <c r="L70" s="49">
        <f>AVERAGE('01.08 Kisasi-Bukoto'!L70,'03.08 Kisasi-Bukoto'!L70)</f>
        <v>0</v>
      </c>
      <c r="M70" s="49">
        <f>AVERAGE('01.08 Kisasi-Bukoto'!M70,'03.08 Kisasi-Bukoto'!M70)</f>
        <v>31</v>
      </c>
      <c r="N70" s="49">
        <f>AVERAGE('01.08 Kisasi-Bukoto'!N70,'03.08 Kisasi-Bukoto'!N70)</f>
        <v>0</v>
      </c>
      <c r="O70" s="15">
        <f t="shared" si="0"/>
        <v>48</v>
      </c>
      <c r="P70" s="15">
        <f t="shared" si="1"/>
        <v>79</v>
      </c>
      <c r="R70" s="8"/>
      <c r="T70"/>
    </row>
    <row r="71" spans="2:20" ht="23.1" customHeight="1" x14ac:dyDescent="0.25">
      <c r="B71" s="23" t="s">
        <v>111</v>
      </c>
      <c r="C71" s="49">
        <f>AVERAGE('01.08 Kisasi-Bukoto'!C71,'03.08 Kisasi-Bukoto'!C71)</f>
        <v>27</v>
      </c>
      <c r="D71" s="49">
        <f>AVERAGE('01.08 Kisasi-Bukoto'!D71,'03.08 Kisasi-Bukoto'!D71)</f>
        <v>17.5</v>
      </c>
      <c r="E71" s="49">
        <f>AVERAGE('01.08 Kisasi-Bukoto'!E71,'03.08 Kisasi-Bukoto'!E71)</f>
        <v>0</v>
      </c>
      <c r="F71" s="49">
        <f>AVERAGE('01.08 Kisasi-Bukoto'!F71,'03.08 Kisasi-Bukoto'!F71)</f>
        <v>7</v>
      </c>
      <c r="G71" s="49">
        <f>AVERAGE('01.08 Kisasi-Bukoto'!G71,'03.08 Kisasi-Bukoto'!G71)</f>
        <v>0</v>
      </c>
      <c r="H71" s="49">
        <f>AVERAGE('01.08 Kisasi-Bukoto'!H71,'03.08 Kisasi-Bukoto'!H71)</f>
        <v>0</v>
      </c>
      <c r="I71" s="49">
        <f>AVERAGE('01.08 Kisasi-Bukoto'!I71,'03.08 Kisasi-Bukoto'!I71)</f>
        <v>5</v>
      </c>
      <c r="J71" s="49">
        <f>AVERAGE('01.08 Kisasi-Bukoto'!J71,'03.08 Kisasi-Bukoto'!J71)</f>
        <v>0</v>
      </c>
      <c r="K71" s="49">
        <f>AVERAGE('01.08 Kisasi-Bukoto'!K71,'03.08 Kisasi-Bukoto'!K71)</f>
        <v>0</v>
      </c>
      <c r="L71" s="49">
        <f>AVERAGE('01.08 Kisasi-Bukoto'!L71,'03.08 Kisasi-Bukoto'!L71)</f>
        <v>0</v>
      </c>
      <c r="M71" s="49">
        <f>AVERAGE('01.08 Kisasi-Bukoto'!M71,'03.08 Kisasi-Bukoto'!M71)</f>
        <v>32.5</v>
      </c>
      <c r="N71" s="49">
        <f>AVERAGE('01.08 Kisasi-Bukoto'!N71,'03.08 Kisasi-Bukoto'!N71)</f>
        <v>0</v>
      </c>
      <c r="O71" s="15">
        <f t="shared" si="0"/>
        <v>56.5</v>
      </c>
      <c r="P71" s="15">
        <f t="shared" si="1"/>
        <v>89</v>
      </c>
      <c r="R71" s="8"/>
      <c r="T71"/>
    </row>
    <row r="72" spans="2:20" ht="23.1" customHeight="1" x14ac:dyDescent="0.25">
      <c r="B72" s="23" t="s">
        <v>112</v>
      </c>
      <c r="C72" s="49">
        <f>AVERAGE('01.08 Kisasi-Bukoto'!C72,'03.08 Kisasi-Bukoto'!C72)</f>
        <v>24.5</v>
      </c>
      <c r="D72" s="49">
        <f>AVERAGE('01.08 Kisasi-Bukoto'!D72,'03.08 Kisasi-Bukoto'!D72)</f>
        <v>10</v>
      </c>
      <c r="E72" s="49">
        <f>AVERAGE('01.08 Kisasi-Bukoto'!E72,'03.08 Kisasi-Bukoto'!E72)</f>
        <v>0</v>
      </c>
      <c r="F72" s="49">
        <f>AVERAGE('01.08 Kisasi-Bukoto'!F72,'03.08 Kisasi-Bukoto'!F72)</f>
        <v>3</v>
      </c>
      <c r="G72" s="49">
        <f>AVERAGE('01.08 Kisasi-Bukoto'!G72,'03.08 Kisasi-Bukoto'!G72)</f>
        <v>0</v>
      </c>
      <c r="H72" s="49">
        <f>AVERAGE('01.08 Kisasi-Bukoto'!H72,'03.08 Kisasi-Bukoto'!H72)</f>
        <v>0</v>
      </c>
      <c r="I72" s="49">
        <f>AVERAGE('01.08 Kisasi-Bukoto'!I72,'03.08 Kisasi-Bukoto'!I72)</f>
        <v>1</v>
      </c>
      <c r="J72" s="49">
        <f>AVERAGE('01.08 Kisasi-Bukoto'!J72,'03.08 Kisasi-Bukoto'!J72)</f>
        <v>0</v>
      </c>
      <c r="K72" s="49">
        <f>AVERAGE('01.08 Kisasi-Bukoto'!K72,'03.08 Kisasi-Bukoto'!K72)</f>
        <v>0</v>
      </c>
      <c r="L72" s="49">
        <f>AVERAGE('01.08 Kisasi-Bukoto'!L72,'03.08 Kisasi-Bukoto'!L72)</f>
        <v>0</v>
      </c>
      <c r="M72" s="49">
        <f>AVERAGE('01.08 Kisasi-Bukoto'!M72,'03.08 Kisasi-Bukoto'!M72)</f>
        <v>27.5</v>
      </c>
      <c r="N72" s="49">
        <f>AVERAGE('01.08 Kisasi-Bukoto'!N72,'03.08 Kisasi-Bukoto'!N72)</f>
        <v>0</v>
      </c>
      <c r="O72" s="15">
        <f t="shared" si="0"/>
        <v>38.5</v>
      </c>
      <c r="P72" s="15">
        <f t="shared" si="1"/>
        <v>66</v>
      </c>
      <c r="R72" s="8"/>
      <c r="T72"/>
    </row>
    <row r="73" spans="2:20" ht="23.1" customHeight="1" x14ac:dyDescent="0.25">
      <c r="B73" s="23" t="s">
        <v>113</v>
      </c>
      <c r="C73" s="49">
        <f>AVERAGE('01.08 Kisasi-Bukoto'!C73,'03.08 Kisasi-Bukoto'!C73)</f>
        <v>28.5</v>
      </c>
      <c r="D73" s="49">
        <f>AVERAGE('01.08 Kisasi-Bukoto'!D73,'03.08 Kisasi-Bukoto'!D73)</f>
        <v>18.5</v>
      </c>
      <c r="E73" s="49">
        <f>AVERAGE('01.08 Kisasi-Bukoto'!E73,'03.08 Kisasi-Bukoto'!E73)</f>
        <v>0</v>
      </c>
      <c r="F73" s="49">
        <f>AVERAGE('01.08 Kisasi-Bukoto'!F73,'03.08 Kisasi-Bukoto'!F73)</f>
        <v>3.5</v>
      </c>
      <c r="G73" s="49">
        <f>AVERAGE('01.08 Kisasi-Bukoto'!G73,'03.08 Kisasi-Bukoto'!G73)</f>
        <v>0</v>
      </c>
      <c r="H73" s="49">
        <f>AVERAGE('01.08 Kisasi-Bukoto'!H73,'03.08 Kisasi-Bukoto'!H73)</f>
        <v>0</v>
      </c>
      <c r="I73" s="49">
        <f>AVERAGE('01.08 Kisasi-Bukoto'!I73,'03.08 Kisasi-Bukoto'!I73)</f>
        <v>0.5</v>
      </c>
      <c r="J73" s="49">
        <f>AVERAGE('01.08 Kisasi-Bukoto'!J73,'03.08 Kisasi-Bukoto'!J73)</f>
        <v>0</v>
      </c>
      <c r="K73" s="49">
        <f>AVERAGE('01.08 Kisasi-Bukoto'!K73,'03.08 Kisasi-Bukoto'!K73)</f>
        <v>0.5</v>
      </c>
      <c r="L73" s="49">
        <f>AVERAGE('01.08 Kisasi-Bukoto'!L73,'03.08 Kisasi-Bukoto'!L73)</f>
        <v>0</v>
      </c>
      <c r="M73" s="49">
        <f>AVERAGE('01.08 Kisasi-Bukoto'!M73,'03.08 Kisasi-Bukoto'!M73)</f>
        <v>18.5</v>
      </c>
      <c r="N73" s="49">
        <f>AVERAGE('01.08 Kisasi-Bukoto'!N73,'03.08 Kisasi-Bukoto'!N73)</f>
        <v>0</v>
      </c>
      <c r="O73" s="15">
        <f t="shared" si="0"/>
        <v>51.5</v>
      </c>
      <c r="P73" s="15">
        <f t="shared" si="1"/>
        <v>70</v>
      </c>
      <c r="R73" s="8"/>
      <c r="T73"/>
    </row>
    <row r="74" spans="2:20" ht="23.1" customHeight="1" x14ac:dyDescent="0.25">
      <c r="B74" s="23" t="s">
        <v>114</v>
      </c>
      <c r="C74" s="49">
        <f>AVERAGE('01.08 Kisasi-Bukoto'!C74,'03.08 Kisasi-Bukoto'!C74)</f>
        <v>20.5</v>
      </c>
      <c r="D74" s="49">
        <f>AVERAGE('01.08 Kisasi-Bukoto'!D74,'03.08 Kisasi-Bukoto'!D74)</f>
        <v>13.5</v>
      </c>
      <c r="E74" s="49">
        <f>AVERAGE('01.08 Kisasi-Bukoto'!E74,'03.08 Kisasi-Bukoto'!E74)</f>
        <v>0</v>
      </c>
      <c r="F74" s="49">
        <f>AVERAGE('01.08 Kisasi-Bukoto'!F74,'03.08 Kisasi-Bukoto'!F74)</f>
        <v>0.5</v>
      </c>
      <c r="G74" s="49">
        <f>AVERAGE('01.08 Kisasi-Bukoto'!G74,'03.08 Kisasi-Bukoto'!G74)</f>
        <v>0</v>
      </c>
      <c r="H74" s="49">
        <f>AVERAGE('01.08 Kisasi-Bukoto'!H74,'03.08 Kisasi-Bukoto'!H74)</f>
        <v>0</v>
      </c>
      <c r="I74" s="49">
        <f>AVERAGE('01.08 Kisasi-Bukoto'!I74,'03.08 Kisasi-Bukoto'!I74)</f>
        <v>0.5</v>
      </c>
      <c r="J74" s="49">
        <f>AVERAGE('01.08 Kisasi-Bukoto'!J74,'03.08 Kisasi-Bukoto'!J74)</f>
        <v>0.5</v>
      </c>
      <c r="K74" s="49">
        <f>AVERAGE('01.08 Kisasi-Bukoto'!K74,'03.08 Kisasi-Bukoto'!K74)</f>
        <v>0</v>
      </c>
      <c r="L74" s="49">
        <f>AVERAGE('01.08 Kisasi-Bukoto'!L74,'03.08 Kisasi-Bukoto'!L74)</f>
        <v>0</v>
      </c>
      <c r="M74" s="49">
        <f>AVERAGE('01.08 Kisasi-Bukoto'!M74,'03.08 Kisasi-Bukoto'!M74)</f>
        <v>30</v>
      </c>
      <c r="N74" s="49">
        <f>AVERAGE('01.08 Kisasi-Bukoto'!N74,'03.08 Kisasi-Bukoto'!N74)</f>
        <v>0</v>
      </c>
      <c r="O74" s="15">
        <f t="shared" ref="O74:O105" si="35">SUM(C74:L74,N74)</f>
        <v>35.5</v>
      </c>
      <c r="P74" s="15">
        <f t="shared" ref="P74:P105" si="36">SUM(C74:N74)</f>
        <v>65.5</v>
      </c>
      <c r="R74" s="8"/>
      <c r="T74"/>
    </row>
    <row r="75" spans="2:20" ht="23.1" customHeight="1" x14ac:dyDescent="0.25">
      <c r="B75" s="23" t="s">
        <v>115</v>
      </c>
      <c r="C75" s="49">
        <f>AVERAGE('01.08 Kisasi-Bukoto'!C75,'03.08 Kisasi-Bukoto'!C75)</f>
        <v>12.5</v>
      </c>
      <c r="D75" s="49">
        <f>AVERAGE('01.08 Kisasi-Bukoto'!D75,'03.08 Kisasi-Bukoto'!D75)</f>
        <v>8</v>
      </c>
      <c r="E75" s="49">
        <f>AVERAGE('01.08 Kisasi-Bukoto'!E75,'03.08 Kisasi-Bukoto'!E75)</f>
        <v>0</v>
      </c>
      <c r="F75" s="49">
        <f>AVERAGE('01.08 Kisasi-Bukoto'!F75,'03.08 Kisasi-Bukoto'!F75)</f>
        <v>1.5</v>
      </c>
      <c r="G75" s="49">
        <f>AVERAGE('01.08 Kisasi-Bukoto'!G75,'03.08 Kisasi-Bukoto'!G75)</f>
        <v>0</v>
      </c>
      <c r="H75" s="49">
        <f>AVERAGE('01.08 Kisasi-Bukoto'!H75,'03.08 Kisasi-Bukoto'!H75)</f>
        <v>0</v>
      </c>
      <c r="I75" s="49">
        <f>AVERAGE('01.08 Kisasi-Bukoto'!I75,'03.08 Kisasi-Bukoto'!I75)</f>
        <v>0</v>
      </c>
      <c r="J75" s="49">
        <f>AVERAGE('01.08 Kisasi-Bukoto'!J75,'03.08 Kisasi-Bukoto'!J75)</f>
        <v>0</v>
      </c>
      <c r="K75" s="49">
        <f>AVERAGE('01.08 Kisasi-Bukoto'!K75,'03.08 Kisasi-Bukoto'!K75)</f>
        <v>0</v>
      </c>
      <c r="L75" s="49">
        <f>AVERAGE('01.08 Kisasi-Bukoto'!L75,'03.08 Kisasi-Bukoto'!L75)</f>
        <v>0</v>
      </c>
      <c r="M75" s="49">
        <f>AVERAGE('01.08 Kisasi-Bukoto'!M75,'03.08 Kisasi-Bukoto'!M75)</f>
        <v>18.5</v>
      </c>
      <c r="N75" s="49">
        <f>AVERAGE('01.08 Kisasi-Bukoto'!N75,'03.08 Kisasi-Bukoto'!N75)</f>
        <v>0</v>
      </c>
      <c r="O75" s="15">
        <f t="shared" si="35"/>
        <v>22</v>
      </c>
      <c r="P75" s="15">
        <f t="shared" si="36"/>
        <v>40.5</v>
      </c>
      <c r="R75" s="8"/>
      <c r="T75"/>
    </row>
    <row r="76" spans="2:20" ht="23.1" customHeight="1" x14ac:dyDescent="0.25">
      <c r="B76" s="23" t="s">
        <v>116</v>
      </c>
      <c r="C76" s="49">
        <f>AVERAGE('01.08 Kisasi-Bukoto'!C76,'03.08 Kisasi-Bukoto'!C76)</f>
        <v>10</v>
      </c>
      <c r="D76" s="49">
        <f>AVERAGE('01.08 Kisasi-Bukoto'!D76,'03.08 Kisasi-Bukoto'!D76)</f>
        <v>7.5</v>
      </c>
      <c r="E76" s="49">
        <f>AVERAGE('01.08 Kisasi-Bukoto'!E76,'03.08 Kisasi-Bukoto'!E76)</f>
        <v>0</v>
      </c>
      <c r="F76" s="49">
        <f>AVERAGE('01.08 Kisasi-Bukoto'!F76,'03.08 Kisasi-Bukoto'!F76)</f>
        <v>0.5</v>
      </c>
      <c r="G76" s="49">
        <f>AVERAGE('01.08 Kisasi-Bukoto'!G76,'03.08 Kisasi-Bukoto'!G76)</f>
        <v>0</v>
      </c>
      <c r="H76" s="49">
        <f>AVERAGE('01.08 Kisasi-Bukoto'!H76,'03.08 Kisasi-Bukoto'!H76)</f>
        <v>0</v>
      </c>
      <c r="I76" s="49">
        <f>AVERAGE('01.08 Kisasi-Bukoto'!I76,'03.08 Kisasi-Bukoto'!I76)</f>
        <v>1</v>
      </c>
      <c r="J76" s="49">
        <f>AVERAGE('01.08 Kisasi-Bukoto'!J76,'03.08 Kisasi-Bukoto'!J76)</f>
        <v>0</v>
      </c>
      <c r="K76" s="49">
        <f>AVERAGE('01.08 Kisasi-Bukoto'!K76,'03.08 Kisasi-Bukoto'!K76)</f>
        <v>0</v>
      </c>
      <c r="L76" s="49">
        <f>AVERAGE('01.08 Kisasi-Bukoto'!L76,'03.08 Kisasi-Bukoto'!L76)</f>
        <v>0</v>
      </c>
      <c r="M76" s="49">
        <f>AVERAGE('01.08 Kisasi-Bukoto'!M76,'03.08 Kisasi-Bukoto'!M76)</f>
        <v>14</v>
      </c>
      <c r="N76" s="49">
        <f>AVERAGE('01.08 Kisasi-Bukoto'!N76,'03.08 Kisasi-Bukoto'!N76)</f>
        <v>0</v>
      </c>
      <c r="O76" s="15">
        <f t="shared" si="35"/>
        <v>19</v>
      </c>
      <c r="P76" s="15">
        <f t="shared" si="36"/>
        <v>33</v>
      </c>
      <c r="R76" s="8"/>
      <c r="T76"/>
    </row>
    <row r="77" spans="2:20" ht="23.1" customHeight="1" x14ac:dyDescent="0.25">
      <c r="B77" s="23" t="s">
        <v>117</v>
      </c>
      <c r="C77" s="49">
        <f>AVERAGE('01.08 Kisasi-Bukoto'!C77,'03.08 Kisasi-Bukoto'!C77)</f>
        <v>10.5</v>
      </c>
      <c r="D77" s="49">
        <f>AVERAGE('01.08 Kisasi-Bukoto'!D77,'03.08 Kisasi-Bukoto'!D77)</f>
        <v>4.5</v>
      </c>
      <c r="E77" s="49">
        <f>AVERAGE('01.08 Kisasi-Bukoto'!E77,'03.08 Kisasi-Bukoto'!E77)</f>
        <v>0</v>
      </c>
      <c r="F77" s="49">
        <f>AVERAGE('01.08 Kisasi-Bukoto'!F77,'03.08 Kisasi-Bukoto'!F77)</f>
        <v>0.5</v>
      </c>
      <c r="G77" s="49">
        <f>AVERAGE('01.08 Kisasi-Bukoto'!G77,'03.08 Kisasi-Bukoto'!G77)</f>
        <v>0</v>
      </c>
      <c r="H77" s="49">
        <f>AVERAGE('01.08 Kisasi-Bukoto'!H77,'03.08 Kisasi-Bukoto'!H77)</f>
        <v>0</v>
      </c>
      <c r="I77" s="49">
        <f>AVERAGE('01.08 Kisasi-Bukoto'!I77,'03.08 Kisasi-Bukoto'!I77)</f>
        <v>0</v>
      </c>
      <c r="J77" s="49">
        <f>AVERAGE('01.08 Kisasi-Bukoto'!J77,'03.08 Kisasi-Bukoto'!J77)</f>
        <v>0</v>
      </c>
      <c r="K77" s="49">
        <f>AVERAGE('01.08 Kisasi-Bukoto'!K77,'03.08 Kisasi-Bukoto'!K77)</f>
        <v>0</v>
      </c>
      <c r="L77" s="49">
        <f>AVERAGE('01.08 Kisasi-Bukoto'!L77,'03.08 Kisasi-Bukoto'!L77)</f>
        <v>0</v>
      </c>
      <c r="M77" s="49">
        <f>AVERAGE('01.08 Kisasi-Bukoto'!M77,'03.08 Kisasi-Bukoto'!M77)</f>
        <v>18.5</v>
      </c>
      <c r="N77" s="49">
        <f>AVERAGE('01.08 Kisasi-Bukoto'!N77,'03.08 Kisasi-Bukoto'!N77)</f>
        <v>0</v>
      </c>
      <c r="O77" s="15">
        <f t="shared" si="35"/>
        <v>15.5</v>
      </c>
      <c r="P77" s="15">
        <f t="shared" si="36"/>
        <v>34</v>
      </c>
      <c r="R77" s="8"/>
      <c r="T77"/>
    </row>
    <row r="78" spans="2:20" ht="23.1" customHeight="1" x14ac:dyDescent="0.25">
      <c r="B78" s="24" t="s">
        <v>118</v>
      </c>
      <c r="C78" s="49">
        <f>AVERAGE('01.08 Kisasi-Bukoto'!C78,'03.08 Kisasi-Bukoto'!C78)</f>
        <v>12</v>
      </c>
      <c r="D78" s="49">
        <f>AVERAGE('01.08 Kisasi-Bukoto'!D78,'03.08 Kisasi-Bukoto'!D78)</f>
        <v>4.5</v>
      </c>
      <c r="E78" s="49">
        <f>AVERAGE('01.08 Kisasi-Bukoto'!E78,'03.08 Kisasi-Bukoto'!E78)</f>
        <v>0</v>
      </c>
      <c r="F78" s="49">
        <f>AVERAGE('01.08 Kisasi-Bukoto'!F78,'03.08 Kisasi-Bukoto'!F78)</f>
        <v>1.5</v>
      </c>
      <c r="G78" s="49">
        <f>AVERAGE('01.08 Kisasi-Bukoto'!G78,'03.08 Kisasi-Bukoto'!G78)</f>
        <v>0</v>
      </c>
      <c r="H78" s="49">
        <f>AVERAGE('01.08 Kisasi-Bukoto'!H78,'03.08 Kisasi-Bukoto'!H78)</f>
        <v>0</v>
      </c>
      <c r="I78" s="49">
        <f>AVERAGE('01.08 Kisasi-Bukoto'!I78,'03.08 Kisasi-Bukoto'!I78)</f>
        <v>0</v>
      </c>
      <c r="J78" s="49">
        <f>AVERAGE('01.08 Kisasi-Bukoto'!J78,'03.08 Kisasi-Bukoto'!J78)</f>
        <v>0</v>
      </c>
      <c r="K78" s="49">
        <f>AVERAGE('01.08 Kisasi-Bukoto'!K78,'03.08 Kisasi-Bukoto'!K78)</f>
        <v>0</v>
      </c>
      <c r="L78" s="49">
        <f>AVERAGE('01.08 Kisasi-Bukoto'!L78,'03.08 Kisasi-Bukoto'!L78)</f>
        <v>0</v>
      </c>
      <c r="M78" s="49">
        <f>AVERAGE('01.08 Kisasi-Bukoto'!M78,'03.08 Kisasi-Bukoto'!M78)</f>
        <v>13.5</v>
      </c>
      <c r="N78" s="49">
        <f>AVERAGE('01.08 Kisasi-Bukoto'!N78,'03.08 Kisasi-Bukoto'!N78)</f>
        <v>0</v>
      </c>
      <c r="O78" s="15">
        <f t="shared" si="35"/>
        <v>18</v>
      </c>
      <c r="P78" s="15">
        <f t="shared" si="36"/>
        <v>31.5</v>
      </c>
      <c r="R78" s="8"/>
      <c r="T78"/>
    </row>
    <row r="79" spans="2:20" ht="23.1" customHeight="1" x14ac:dyDescent="0.25">
      <c r="B79" s="23" t="s">
        <v>119</v>
      </c>
      <c r="C79" s="49">
        <f>AVERAGE('01.08 Kisasi-Bukoto'!C79,'03.08 Kisasi-Bukoto'!C79)</f>
        <v>9.5</v>
      </c>
      <c r="D79" s="49">
        <f>AVERAGE('01.08 Kisasi-Bukoto'!D79,'03.08 Kisasi-Bukoto'!D79)</f>
        <v>3.5</v>
      </c>
      <c r="E79" s="49">
        <f>AVERAGE('01.08 Kisasi-Bukoto'!E79,'03.08 Kisasi-Bukoto'!E79)</f>
        <v>0</v>
      </c>
      <c r="F79" s="49">
        <f>AVERAGE('01.08 Kisasi-Bukoto'!F79,'03.08 Kisasi-Bukoto'!F79)</f>
        <v>2.5</v>
      </c>
      <c r="G79" s="49">
        <f>AVERAGE('01.08 Kisasi-Bukoto'!G79,'03.08 Kisasi-Bukoto'!G79)</f>
        <v>0</v>
      </c>
      <c r="H79" s="49">
        <f>AVERAGE('01.08 Kisasi-Bukoto'!H79,'03.08 Kisasi-Bukoto'!H79)</f>
        <v>0</v>
      </c>
      <c r="I79" s="49">
        <f>AVERAGE('01.08 Kisasi-Bukoto'!I79,'03.08 Kisasi-Bukoto'!I79)</f>
        <v>0</v>
      </c>
      <c r="J79" s="49">
        <f>AVERAGE('01.08 Kisasi-Bukoto'!J79,'03.08 Kisasi-Bukoto'!J79)</f>
        <v>0</v>
      </c>
      <c r="K79" s="49">
        <f>AVERAGE('01.08 Kisasi-Bukoto'!K79,'03.08 Kisasi-Bukoto'!K79)</f>
        <v>0</v>
      </c>
      <c r="L79" s="49">
        <f>AVERAGE('01.08 Kisasi-Bukoto'!L79,'03.08 Kisasi-Bukoto'!L79)</f>
        <v>0</v>
      </c>
      <c r="M79" s="49">
        <f>AVERAGE('01.08 Kisasi-Bukoto'!M79,'03.08 Kisasi-Bukoto'!M79)</f>
        <v>4</v>
      </c>
      <c r="N79" s="49">
        <f>AVERAGE('01.08 Kisasi-Bukoto'!N79,'03.08 Kisasi-Bukoto'!N79)</f>
        <v>0</v>
      </c>
      <c r="O79" s="15">
        <f t="shared" si="35"/>
        <v>15.5</v>
      </c>
      <c r="P79" s="15">
        <f t="shared" si="36"/>
        <v>19.5</v>
      </c>
      <c r="R79" s="8"/>
      <c r="T79"/>
    </row>
    <row r="80" spans="2:20" ht="23.1" customHeight="1" x14ac:dyDescent="0.25">
      <c r="B80" s="25" t="s">
        <v>120</v>
      </c>
      <c r="C80" s="49">
        <f>AVERAGE('01.08 Kisasi-Bukoto'!C80,'03.08 Kisasi-Bukoto'!C80)</f>
        <v>10</v>
      </c>
      <c r="D80" s="49">
        <f>AVERAGE('01.08 Kisasi-Bukoto'!D80,'03.08 Kisasi-Bukoto'!D80)</f>
        <v>4</v>
      </c>
      <c r="E80" s="49">
        <f>AVERAGE('01.08 Kisasi-Bukoto'!E80,'03.08 Kisasi-Bukoto'!E80)</f>
        <v>0</v>
      </c>
      <c r="F80" s="49">
        <f>AVERAGE('01.08 Kisasi-Bukoto'!F80,'03.08 Kisasi-Bukoto'!F80)</f>
        <v>1.5</v>
      </c>
      <c r="G80" s="49">
        <f>AVERAGE('01.08 Kisasi-Bukoto'!G80,'03.08 Kisasi-Bukoto'!G80)</f>
        <v>0</v>
      </c>
      <c r="H80" s="49">
        <f>AVERAGE('01.08 Kisasi-Bukoto'!H80,'03.08 Kisasi-Bukoto'!H80)</f>
        <v>0</v>
      </c>
      <c r="I80" s="49">
        <f>AVERAGE('01.08 Kisasi-Bukoto'!I80,'03.08 Kisasi-Bukoto'!I80)</f>
        <v>0.5</v>
      </c>
      <c r="J80" s="49">
        <f>AVERAGE('01.08 Kisasi-Bukoto'!J80,'03.08 Kisasi-Bukoto'!J80)</f>
        <v>0.5</v>
      </c>
      <c r="K80" s="49">
        <f>AVERAGE('01.08 Kisasi-Bukoto'!K80,'03.08 Kisasi-Bukoto'!K80)</f>
        <v>0</v>
      </c>
      <c r="L80" s="49">
        <f>AVERAGE('01.08 Kisasi-Bukoto'!L80,'03.08 Kisasi-Bukoto'!L80)</f>
        <v>0</v>
      </c>
      <c r="M80" s="49">
        <f>AVERAGE('01.08 Kisasi-Bukoto'!M80,'03.08 Kisasi-Bukoto'!M80)</f>
        <v>20.5</v>
      </c>
      <c r="N80" s="49">
        <f>AVERAGE('01.08 Kisasi-Bukoto'!N80,'03.08 Kisasi-Bukoto'!N80)</f>
        <v>0</v>
      </c>
      <c r="O80" s="15">
        <f t="shared" si="35"/>
        <v>16.5</v>
      </c>
      <c r="P80" s="15">
        <f t="shared" si="36"/>
        <v>37</v>
      </c>
      <c r="R80" s="8"/>
      <c r="T80"/>
    </row>
    <row r="81" spans="2:20" ht="23.1" customHeight="1" x14ac:dyDescent="0.25">
      <c r="B81" s="23" t="s">
        <v>121</v>
      </c>
      <c r="C81" s="49">
        <f>AVERAGE('01.08 Kisasi-Bukoto'!C81,'03.08 Kisasi-Bukoto'!C81)</f>
        <v>15</v>
      </c>
      <c r="D81" s="49">
        <f>AVERAGE('01.08 Kisasi-Bukoto'!D81,'03.08 Kisasi-Bukoto'!D81)</f>
        <v>10</v>
      </c>
      <c r="E81" s="49">
        <f>AVERAGE('01.08 Kisasi-Bukoto'!E81,'03.08 Kisasi-Bukoto'!E81)</f>
        <v>0</v>
      </c>
      <c r="F81" s="49">
        <f>AVERAGE('01.08 Kisasi-Bukoto'!F81,'03.08 Kisasi-Bukoto'!F81)</f>
        <v>1.5</v>
      </c>
      <c r="G81" s="49">
        <f>AVERAGE('01.08 Kisasi-Bukoto'!G81,'03.08 Kisasi-Bukoto'!G81)</f>
        <v>0.5</v>
      </c>
      <c r="H81" s="49">
        <f>AVERAGE('01.08 Kisasi-Bukoto'!H81,'03.08 Kisasi-Bukoto'!H81)</f>
        <v>0</v>
      </c>
      <c r="I81" s="49">
        <f>AVERAGE('01.08 Kisasi-Bukoto'!I81,'03.08 Kisasi-Bukoto'!I81)</f>
        <v>0</v>
      </c>
      <c r="J81" s="49">
        <f>AVERAGE('01.08 Kisasi-Bukoto'!J81,'03.08 Kisasi-Bukoto'!J81)</f>
        <v>0</v>
      </c>
      <c r="K81" s="49">
        <f>AVERAGE('01.08 Kisasi-Bukoto'!K81,'03.08 Kisasi-Bukoto'!K81)</f>
        <v>0</v>
      </c>
      <c r="L81" s="49">
        <f>AVERAGE('01.08 Kisasi-Bukoto'!L81,'03.08 Kisasi-Bukoto'!L81)</f>
        <v>0</v>
      </c>
      <c r="M81" s="49">
        <f>AVERAGE('01.08 Kisasi-Bukoto'!M81,'03.08 Kisasi-Bukoto'!M81)</f>
        <v>9</v>
      </c>
      <c r="N81" s="49">
        <f>AVERAGE('01.08 Kisasi-Bukoto'!N81,'03.08 Kisasi-Bukoto'!N81)</f>
        <v>0</v>
      </c>
      <c r="O81" s="15">
        <f t="shared" si="35"/>
        <v>27</v>
      </c>
      <c r="P81" s="15">
        <f t="shared" si="36"/>
        <v>36</v>
      </c>
      <c r="R81" s="8"/>
      <c r="T81"/>
    </row>
    <row r="82" spans="2:20" ht="23.1" customHeight="1" x14ac:dyDescent="0.25">
      <c r="B82" s="24" t="s">
        <v>122</v>
      </c>
      <c r="C82" s="49">
        <f>AVERAGE('01.08 Kisasi-Bukoto'!C82,'03.08 Kisasi-Bukoto'!C82)</f>
        <v>5</v>
      </c>
      <c r="D82" s="49">
        <f>AVERAGE('01.08 Kisasi-Bukoto'!D82,'03.08 Kisasi-Bukoto'!D82)</f>
        <v>2</v>
      </c>
      <c r="E82" s="49">
        <f>AVERAGE('01.08 Kisasi-Bukoto'!E82,'03.08 Kisasi-Bukoto'!E82)</f>
        <v>0</v>
      </c>
      <c r="F82" s="49">
        <f>AVERAGE('01.08 Kisasi-Bukoto'!F82,'03.08 Kisasi-Bukoto'!F82)</f>
        <v>0</v>
      </c>
      <c r="G82" s="49">
        <f>AVERAGE('01.08 Kisasi-Bukoto'!G82,'03.08 Kisasi-Bukoto'!G82)</f>
        <v>0</v>
      </c>
      <c r="H82" s="49">
        <f>AVERAGE('01.08 Kisasi-Bukoto'!H82,'03.08 Kisasi-Bukoto'!H82)</f>
        <v>0</v>
      </c>
      <c r="I82" s="49">
        <f>AVERAGE('01.08 Kisasi-Bukoto'!I82,'03.08 Kisasi-Bukoto'!I82)</f>
        <v>0.5</v>
      </c>
      <c r="J82" s="49">
        <f>AVERAGE('01.08 Kisasi-Bukoto'!J82,'03.08 Kisasi-Bukoto'!J82)</f>
        <v>0.5</v>
      </c>
      <c r="K82" s="49">
        <f>AVERAGE('01.08 Kisasi-Bukoto'!K82,'03.08 Kisasi-Bukoto'!K82)</f>
        <v>0</v>
      </c>
      <c r="L82" s="49">
        <f>AVERAGE('01.08 Kisasi-Bukoto'!L82,'03.08 Kisasi-Bukoto'!L82)</f>
        <v>0</v>
      </c>
      <c r="M82" s="49">
        <f>AVERAGE('01.08 Kisasi-Bukoto'!M82,'03.08 Kisasi-Bukoto'!M82)</f>
        <v>14.5</v>
      </c>
      <c r="N82" s="49">
        <f>AVERAGE('01.08 Kisasi-Bukoto'!N82,'03.08 Kisasi-Bukoto'!N82)</f>
        <v>0</v>
      </c>
      <c r="O82" s="15">
        <f t="shared" si="35"/>
        <v>8</v>
      </c>
      <c r="P82" s="15">
        <f t="shared" si="36"/>
        <v>22.5</v>
      </c>
      <c r="R82" s="8"/>
      <c r="T82"/>
    </row>
    <row r="83" spans="2:20" ht="23.1" customHeight="1" x14ac:dyDescent="0.25">
      <c r="B83" s="23" t="s">
        <v>123</v>
      </c>
      <c r="C83" s="49">
        <f>AVERAGE('01.08 Kisasi-Bukoto'!C83,'03.08 Kisasi-Bukoto'!C83)</f>
        <v>6.5</v>
      </c>
      <c r="D83" s="49">
        <f>AVERAGE('01.08 Kisasi-Bukoto'!D83,'03.08 Kisasi-Bukoto'!D83)</f>
        <v>2</v>
      </c>
      <c r="E83" s="49">
        <f>AVERAGE('01.08 Kisasi-Bukoto'!E83,'03.08 Kisasi-Bukoto'!E83)</f>
        <v>0</v>
      </c>
      <c r="F83" s="49">
        <f>AVERAGE('01.08 Kisasi-Bukoto'!F83,'03.08 Kisasi-Bukoto'!F83)</f>
        <v>1</v>
      </c>
      <c r="G83" s="49">
        <f>AVERAGE('01.08 Kisasi-Bukoto'!G83,'03.08 Kisasi-Bukoto'!G83)</f>
        <v>0</v>
      </c>
      <c r="H83" s="49">
        <f>AVERAGE('01.08 Kisasi-Bukoto'!H83,'03.08 Kisasi-Bukoto'!H83)</f>
        <v>0</v>
      </c>
      <c r="I83" s="49">
        <f>AVERAGE('01.08 Kisasi-Bukoto'!I83,'03.08 Kisasi-Bukoto'!I83)</f>
        <v>0</v>
      </c>
      <c r="J83" s="49">
        <f>AVERAGE('01.08 Kisasi-Bukoto'!J83,'03.08 Kisasi-Bukoto'!J83)</f>
        <v>0</v>
      </c>
      <c r="K83" s="49">
        <f>AVERAGE('01.08 Kisasi-Bukoto'!K83,'03.08 Kisasi-Bukoto'!K83)</f>
        <v>0</v>
      </c>
      <c r="L83" s="49">
        <f>AVERAGE('01.08 Kisasi-Bukoto'!L83,'03.08 Kisasi-Bukoto'!L83)</f>
        <v>0</v>
      </c>
      <c r="M83" s="49">
        <f>AVERAGE('01.08 Kisasi-Bukoto'!M83,'03.08 Kisasi-Bukoto'!M83)</f>
        <v>8</v>
      </c>
      <c r="N83" s="49">
        <f>AVERAGE('01.08 Kisasi-Bukoto'!N83,'03.08 Kisasi-Bukoto'!N83)</f>
        <v>0</v>
      </c>
      <c r="O83" s="15">
        <f t="shared" si="35"/>
        <v>9.5</v>
      </c>
      <c r="P83" s="15">
        <f t="shared" si="36"/>
        <v>17.5</v>
      </c>
      <c r="R83" s="8"/>
      <c r="T83"/>
    </row>
    <row r="84" spans="2:20" ht="23.1" customHeight="1" x14ac:dyDescent="0.25">
      <c r="B84" s="25" t="s">
        <v>124</v>
      </c>
      <c r="C84" s="49">
        <f>AVERAGE('01.08 Kisasi-Bukoto'!C84,'03.08 Kisasi-Bukoto'!C84)</f>
        <v>7</v>
      </c>
      <c r="D84" s="49">
        <f>AVERAGE('01.08 Kisasi-Bukoto'!D84,'03.08 Kisasi-Bukoto'!D84)</f>
        <v>2</v>
      </c>
      <c r="E84" s="49">
        <f>AVERAGE('01.08 Kisasi-Bukoto'!E84,'03.08 Kisasi-Bukoto'!E84)</f>
        <v>0</v>
      </c>
      <c r="F84" s="49">
        <f>AVERAGE('01.08 Kisasi-Bukoto'!F84,'03.08 Kisasi-Bukoto'!F84)</f>
        <v>2</v>
      </c>
      <c r="G84" s="49">
        <f>AVERAGE('01.08 Kisasi-Bukoto'!G84,'03.08 Kisasi-Bukoto'!G84)</f>
        <v>0</v>
      </c>
      <c r="H84" s="49">
        <f>AVERAGE('01.08 Kisasi-Bukoto'!H84,'03.08 Kisasi-Bukoto'!H84)</f>
        <v>0</v>
      </c>
      <c r="I84" s="49">
        <f>AVERAGE('01.08 Kisasi-Bukoto'!I84,'03.08 Kisasi-Bukoto'!I84)</f>
        <v>0</v>
      </c>
      <c r="J84" s="49">
        <f>AVERAGE('01.08 Kisasi-Bukoto'!J84,'03.08 Kisasi-Bukoto'!J84)</f>
        <v>0</v>
      </c>
      <c r="K84" s="49">
        <f>AVERAGE('01.08 Kisasi-Bukoto'!K84,'03.08 Kisasi-Bukoto'!K84)</f>
        <v>0</v>
      </c>
      <c r="L84" s="49">
        <f>AVERAGE('01.08 Kisasi-Bukoto'!L84,'03.08 Kisasi-Bukoto'!L84)</f>
        <v>0</v>
      </c>
      <c r="M84" s="49">
        <f>AVERAGE('01.08 Kisasi-Bukoto'!M84,'03.08 Kisasi-Bukoto'!M84)</f>
        <v>6</v>
      </c>
      <c r="N84" s="49">
        <f>AVERAGE('01.08 Kisasi-Bukoto'!N84,'03.08 Kisasi-Bukoto'!N84)</f>
        <v>0</v>
      </c>
      <c r="O84" s="15">
        <f t="shared" si="35"/>
        <v>11</v>
      </c>
      <c r="P84" s="15">
        <f t="shared" si="36"/>
        <v>17</v>
      </c>
      <c r="R84" s="8"/>
      <c r="T84"/>
    </row>
    <row r="85" spans="2:20" ht="23.1" customHeight="1" x14ac:dyDescent="0.25">
      <c r="B85" s="23" t="s">
        <v>125</v>
      </c>
      <c r="C85" s="49">
        <f>AVERAGE('01.08 Kisasi-Bukoto'!C85,'03.08 Kisasi-Bukoto'!C85)</f>
        <v>5</v>
      </c>
      <c r="D85" s="49">
        <f>AVERAGE('01.08 Kisasi-Bukoto'!D85,'03.08 Kisasi-Bukoto'!D85)</f>
        <v>2</v>
      </c>
      <c r="E85" s="49">
        <f>AVERAGE('01.08 Kisasi-Bukoto'!E85,'03.08 Kisasi-Bukoto'!E85)</f>
        <v>0</v>
      </c>
      <c r="F85" s="49">
        <f>AVERAGE('01.08 Kisasi-Bukoto'!F85,'03.08 Kisasi-Bukoto'!F85)</f>
        <v>2</v>
      </c>
      <c r="G85" s="49">
        <f>AVERAGE('01.08 Kisasi-Bukoto'!G85,'03.08 Kisasi-Bukoto'!G85)</f>
        <v>0</v>
      </c>
      <c r="H85" s="49">
        <f>AVERAGE('01.08 Kisasi-Bukoto'!H85,'03.08 Kisasi-Bukoto'!H85)</f>
        <v>0</v>
      </c>
      <c r="I85" s="49">
        <f>AVERAGE('01.08 Kisasi-Bukoto'!I85,'03.08 Kisasi-Bukoto'!I85)</f>
        <v>0</v>
      </c>
      <c r="J85" s="49">
        <f>AVERAGE('01.08 Kisasi-Bukoto'!J85,'03.08 Kisasi-Bukoto'!J85)</f>
        <v>0</v>
      </c>
      <c r="K85" s="49">
        <f>AVERAGE('01.08 Kisasi-Bukoto'!K85,'03.08 Kisasi-Bukoto'!K85)</f>
        <v>0</v>
      </c>
      <c r="L85" s="49">
        <f>AVERAGE('01.08 Kisasi-Bukoto'!L85,'03.08 Kisasi-Bukoto'!L85)</f>
        <v>0</v>
      </c>
      <c r="M85" s="49">
        <f>AVERAGE('01.08 Kisasi-Bukoto'!M85,'03.08 Kisasi-Bukoto'!M85)</f>
        <v>9</v>
      </c>
      <c r="N85" s="49">
        <f>AVERAGE('01.08 Kisasi-Bukoto'!N85,'03.08 Kisasi-Bukoto'!N85)</f>
        <v>0</v>
      </c>
      <c r="O85" s="15">
        <f t="shared" si="35"/>
        <v>9</v>
      </c>
      <c r="P85" s="15">
        <f t="shared" si="36"/>
        <v>18</v>
      </c>
      <c r="R85" s="8"/>
      <c r="T85"/>
    </row>
    <row r="86" spans="2:20" ht="23.1" customHeight="1" x14ac:dyDescent="0.25">
      <c r="B86" s="24" t="s">
        <v>126</v>
      </c>
      <c r="C86" s="49">
        <f>AVERAGE('01.08 Kisasi-Bukoto'!C86,'03.08 Kisasi-Bukoto'!C86)</f>
        <v>4.5</v>
      </c>
      <c r="D86" s="49">
        <f>AVERAGE('01.08 Kisasi-Bukoto'!D86,'03.08 Kisasi-Bukoto'!D86)</f>
        <v>2</v>
      </c>
      <c r="E86" s="49">
        <f>AVERAGE('01.08 Kisasi-Bukoto'!E86,'03.08 Kisasi-Bukoto'!E86)</f>
        <v>0</v>
      </c>
      <c r="F86" s="49">
        <f>AVERAGE('01.08 Kisasi-Bukoto'!F86,'03.08 Kisasi-Bukoto'!F86)</f>
        <v>0</v>
      </c>
      <c r="G86" s="49">
        <f>AVERAGE('01.08 Kisasi-Bukoto'!G86,'03.08 Kisasi-Bukoto'!G86)</f>
        <v>0</v>
      </c>
      <c r="H86" s="49">
        <f>AVERAGE('01.08 Kisasi-Bukoto'!H86,'03.08 Kisasi-Bukoto'!H86)</f>
        <v>0</v>
      </c>
      <c r="I86" s="49">
        <f>AVERAGE('01.08 Kisasi-Bukoto'!I86,'03.08 Kisasi-Bukoto'!I86)</f>
        <v>0</v>
      </c>
      <c r="J86" s="49">
        <f>AVERAGE('01.08 Kisasi-Bukoto'!J86,'03.08 Kisasi-Bukoto'!J86)</f>
        <v>0</v>
      </c>
      <c r="K86" s="49">
        <f>AVERAGE('01.08 Kisasi-Bukoto'!K86,'03.08 Kisasi-Bukoto'!K86)</f>
        <v>0</v>
      </c>
      <c r="L86" s="49">
        <f>AVERAGE('01.08 Kisasi-Bukoto'!L86,'03.08 Kisasi-Bukoto'!L86)</f>
        <v>0</v>
      </c>
      <c r="M86" s="49">
        <f>AVERAGE('01.08 Kisasi-Bukoto'!M86,'03.08 Kisasi-Bukoto'!M86)</f>
        <v>6.5</v>
      </c>
      <c r="N86" s="49">
        <f>AVERAGE('01.08 Kisasi-Bukoto'!N86,'03.08 Kisasi-Bukoto'!N86)</f>
        <v>0</v>
      </c>
      <c r="O86" s="15">
        <f t="shared" si="35"/>
        <v>6.5</v>
      </c>
      <c r="P86" s="15">
        <f t="shared" si="36"/>
        <v>13</v>
      </c>
      <c r="R86" s="8"/>
      <c r="T86"/>
    </row>
    <row r="87" spans="2:20" ht="23.1" customHeight="1" x14ac:dyDescent="0.25">
      <c r="B87" s="23" t="s">
        <v>127</v>
      </c>
      <c r="C87" s="49">
        <f>AVERAGE('01.08 Kisasi-Bukoto'!C87,'03.08 Kisasi-Bukoto'!C87)</f>
        <v>7</v>
      </c>
      <c r="D87" s="49">
        <f>AVERAGE('01.08 Kisasi-Bukoto'!D87,'03.08 Kisasi-Bukoto'!D87)</f>
        <v>3.5</v>
      </c>
      <c r="E87" s="49">
        <f>AVERAGE('01.08 Kisasi-Bukoto'!E87,'03.08 Kisasi-Bukoto'!E87)</f>
        <v>0</v>
      </c>
      <c r="F87" s="49">
        <f>AVERAGE('01.08 Kisasi-Bukoto'!F87,'03.08 Kisasi-Bukoto'!F87)</f>
        <v>0</v>
      </c>
      <c r="G87" s="49">
        <f>AVERAGE('01.08 Kisasi-Bukoto'!G87,'03.08 Kisasi-Bukoto'!G87)</f>
        <v>0</v>
      </c>
      <c r="H87" s="49">
        <f>AVERAGE('01.08 Kisasi-Bukoto'!H87,'03.08 Kisasi-Bukoto'!H87)</f>
        <v>0</v>
      </c>
      <c r="I87" s="49">
        <f>AVERAGE('01.08 Kisasi-Bukoto'!I87,'03.08 Kisasi-Bukoto'!I87)</f>
        <v>0</v>
      </c>
      <c r="J87" s="49">
        <f>AVERAGE('01.08 Kisasi-Bukoto'!J87,'03.08 Kisasi-Bukoto'!J87)</f>
        <v>0</v>
      </c>
      <c r="K87" s="49">
        <f>AVERAGE('01.08 Kisasi-Bukoto'!K87,'03.08 Kisasi-Bukoto'!K87)</f>
        <v>0</v>
      </c>
      <c r="L87" s="49">
        <f>AVERAGE('01.08 Kisasi-Bukoto'!L87,'03.08 Kisasi-Bukoto'!L87)</f>
        <v>0</v>
      </c>
      <c r="M87" s="49">
        <f>AVERAGE('01.08 Kisasi-Bukoto'!M87,'03.08 Kisasi-Bukoto'!M87)</f>
        <v>5</v>
      </c>
      <c r="N87" s="49">
        <f>AVERAGE('01.08 Kisasi-Bukoto'!N87,'03.08 Kisasi-Bukoto'!N87)</f>
        <v>0</v>
      </c>
      <c r="O87" s="15">
        <f t="shared" si="35"/>
        <v>10.5</v>
      </c>
      <c r="P87" s="15">
        <f t="shared" si="36"/>
        <v>15.5</v>
      </c>
      <c r="R87" s="8"/>
      <c r="T87"/>
    </row>
    <row r="88" spans="2:20" ht="23.1" customHeight="1" x14ac:dyDescent="0.25">
      <c r="B88" s="25" t="s">
        <v>128</v>
      </c>
      <c r="C88" s="49">
        <f>AVERAGE('01.08 Kisasi-Bukoto'!C88,'03.08 Kisasi-Bukoto'!C88)</f>
        <v>3.5</v>
      </c>
      <c r="D88" s="49">
        <f>AVERAGE('01.08 Kisasi-Bukoto'!D88,'03.08 Kisasi-Bukoto'!D88)</f>
        <v>3</v>
      </c>
      <c r="E88" s="49">
        <f>AVERAGE('01.08 Kisasi-Bukoto'!E88,'03.08 Kisasi-Bukoto'!E88)</f>
        <v>0</v>
      </c>
      <c r="F88" s="49">
        <f>AVERAGE('01.08 Kisasi-Bukoto'!F88,'03.08 Kisasi-Bukoto'!F88)</f>
        <v>0</v>
      </c>
      <c r="G88" s="49">
        <f>AVERAGE('01.08 Kisasi-Bukoto'!G88,'03.08 Kisasi-Bukoto'!G88)</f>
        <v>0</v>
      </c>
      <c r="H88" s="49">
        <f>AVERAGE('01.08 Kisasi-Bukoto'!H88,'03.08 Kisasi-Bukoto'!H88)</f>
        <v>0</v>
      </c>
      <c r="I88" s="49">
        <f>AVERAGE('01.08 Kisasi-Bukoto'!I88,'03.08 Kisasi-Bukoto'!I88)</f>
        <v>0</v>
      </c>
      <c r="J88" s="49">
        <f>AVERAGE('01.08 Kisasi-Bukoto'!J88,'03.08 Kisasi-Bukoto'!J88)</f>
        <v>0</v>
      </c>
      <c r="K88" s="49">
        <f>AVERAGE('01.08 Kisasi-Bukoto'!K88,'03.08 Kisasi-Bukoto'!K88)</f>
        <v>0</v>
      </c>
      <c r="L88" s="49">
        <f>AVERAGE('01.08 Kisasi-Bukoto'!L88,'03.08 Kisasi-Bukoto'!L88)</f>
        <v>0</v>
      </c>
      <c r="M88" s="49">
        <f>AVERAGE('01.08 Kisasi-Bukoto'!M88,'03.08 Kisasi-Bukoto'!M88)</f>
        <v>3.5</v>
      </c>
      <c r="N88" s="49">
        <f>AVERAGE('01.08 Kisasi-Bukoto'!N88,'03.08 Kisasi-Bukoto'!N88)</f>
        <v>0</v>
      </c>
      <c r="O88" s="15">
        <f t="shared" si="35"/>
        <v>6.5</v>
      </c>
      <c r="P88" s="15">
        <f t="shared" si="36"/>
        <v>10</v>
      </c>
      <c r="R88" s="8"/>
      <c r="T88"/>
    </row>
    <row r="89" spans="2:20" ht="23.1" customHeight="1" x14ac:dyDescent="0.25">
      <c r="B89" s="23" t="s">
        <v>129</v>
      </c>
      <c r="C89" s="49">
        <f>AVERAGE('01.08 Kisasi-Bukoto'!C89,'03.08 Kisasi-Bukoto'!C89)</f>
        <v>3.5</v>
      </c>
      <c r="D89" s="49">
        <f>AVERAGE('01.08 Kisasi-Bukoto'!D89,'03.08 Kisasi-Bukoto'!D89)</f>
        <v>2</v>
      </c>
      <c r="E89" s="49">
        <f>AVERAGE('01.08 Kisasi-Bukoto'!E89,'03.08 Kisasi-Bukoto'!E89)</f>
        <v>0</v>
      </c>
      <c r="F89" s="49">
        <f>AVERAGE('01.08 Kisasi-Bukoto'!F89,'03.08 Kisasi-Bukoto'!F89)</f>
        <v>0</v>
      </c>
      <c r="G89" s="49">
        <f>AVERAGE('01.08 Kisasi-Bukoto'!G89,'03.08 Kisasi-Bukoto'!G89)</f>
        <v>0</v>
      </c>
      <c r="H89" s="49">
        <f>AVERAGE('01.08 Kisasi-Bukoto'!H89,'03.08 Kisasi-Bukoto'!H89)</f>
        <v>0</v>
      </c>
      <c r="I89" s="49">
        <f>AVERAGE('01.08 Kisasi-Bukoto'!I89,'03.08 Kisasi-Bukoto'!I89)</f>
        <v>0</v>
      </c>
      <c r="J89" s="49">
        <f>AVERAGE('01.08 Kisasi-Bukoto'!J89,'03.08 Kisasi-Bukoto'!J89)</f>
        <v>0</v>
      </c>
      <c r="K89" s="49">
        <f>AVERAGE('01.08 Kisasi-Bukoto'!K89,'03.08 Kisasi-Bukoto'!K89)</f>
        <v>0</v>
      </c>
      <c r="L89" s="49">
        <f>AVERAGE('01.08 Kisasi-Bukoto'!L89,'03.08 Kisasi-Bukoto'!L89)</f>
        <v>0</v>
      </c>
      <c r="M89" s="49">
        <f>AVERAGE('01.08 Kisasi-Bukoto'!M89,'03.08 Kisasi-Bukoto'!M89)</f>
        <v>6</v>
      </c>
      <c r="N89" s="49">
        <f>AVERAGE('01.08 Kisasi-Bukoto'!N89,'03.08 Kisasi-Bukoto'!N89)</f>
        <v>0</v>
      </c>
      <c r="O89" s="15">
        <f t="shared" si="35"/>
        <v>5.5</v>
      </c>
      <c r="P89" s="15">
        <f t="shared" si="36"/>
        <v>11.5</v>
      </c>
      <c r="R89" s="8"/>
      <c r="T89"/>
    </row>
    <row r="90" spans="2:20" ht="23.1" customHeight="1" x14ac:dyDescent="0.25">
      <c r="B90" s="24" t="s">
        <v>130</v>
      </c>
      <c r="C90" s="49">
        <f>AVERAGE('01.08 Kisasi-Bukoto'!C90,'03.08 Kisasi-Bukoto'!C90)</f>
        <v>6.5</v>
      </c>
      <c r="D90" s="49">
        <f>AVERAGE('01.08 Kisasi-Bukoto'!D90,'03.08 Kisasi-Bukoto'!D90)</f>
        <v>1.5</v>
      </c>
      <c r="E90" s="49">
        <f>AVERAGE('01.08 Kisasi-Bukoto'!E90,'03.08 Kisasi-Bukoto'!E90)</f>
        <v>0</v>
      </c>
      <c r="F90" s="49">
        <f>AVERAGE('01.08 Kisasi-Bukoto'!F90,'03.08 Kisasi-Bukoto'!F90)</f>
        <v>0.5</v>
      </c>
      <c r="G90" s="49">
        <f>AVERAGE('01.08 Kisasi-Bukoto'!G90,'03.08 Kisasi-Bukoto'!G90)</f>
        <v>0</v>
      </c>
      <c r="H90" s="49">
        <f>AVERAGE('01.08 Kisasi-Bukoto'!H90,'03.08 Kisasi-Bukoto'!H90)</f>
        <v>0</v>
      </c>
      <c r="I90" s="49">
        <f>AVERAGE('01.08 Kisasi-Bukoto'!I90,'03.08 Kisasi-Bukoto'!I90)</f>
        <v>0</v>
      </c>
      <c r="J90" s="49">
        <f>AVERAGE('01.08 Kisasi-Bukoto'!J90,'03.08 Kisasi-Bukoto'!J90)</f>
        <v>0</v>
      </c>
      <c r="K90" s="49">
        <f>AVERAGE('01.08 Kisasi-Bukoto'!K90,'03.08 Kisasi-Bukoto'!K90)</f>
        <v>0</v>
      </c>
      <c r="L90" s="49">
        <f>AVERAGE('01.08 Kisasi-Bukoto'!L90,'03.08 Kisasi-Bukoto'!L90)</f>
        <v>0</v>
      </c>
      <c r="M90" s="49">
        <f>AVERAGE('01.08 Kisasi-Bukoto'!M90,'03.08 Kisasi-Bukoto'!M90)</f>
        <v>15</v>
      </c>
      <c r="N90" s="49">
        <f>AVERAGE('01.08 Kisasi-Bukoto'!N90,'03.08 Kisasi-Bukoto'!N90)</f>
        <v>0</v>
      </c>
      <c r="O90" s="15">
        <f t="shared" si="35"/>
        <v>8.5</v>
      </c>
      <c r="P90" s="15">
        <f t="shared" si="36"/>
        <v>23.5</v>
      </c>
      <c r="R90" s="8"/>
      <c r="T90"/>
    </row>
    <row r="91" spans="2:20" ht="23.1" customHeight="1" x14ac:dyDescent="0.25">
      <c r="B91" s="23" t="s">
        <v>131</v>
      </c>
      <c r="C91" s="49">
        <f>AVERAGE('01.08 Kisasi-Bukoto'!C91,'03.08 Kisasi-Bukoto'!C91)</f>
        <v>5</v>
      </c>
      <c r="D91" s="49">
        <f>AVERAGE('01.08 Kisasi-Bukoto'!D91,'03.08 Kisasi-Bukoto'!D91)</f>
        <v>1</v>
      </c>
      <c r="E91" s="49">
        <f>AVERAGE('01.08 Kisasi-Bukoto'!E91,'03.08 Kisasi-Bukoto'!E91)</f>
        <v>0</v>
      </c>
      <c r="F91" s="49">
        <f>AVERAGE('01.08 Kisasi-Bukoto'!F91,'03.08 Kisasi-Bukoto'!F91)</f>
        <v>0</v>
      </c>
      <c r="G91" s="49">
        <f>AVERAGE('01.08 Kisasi-Bukoto'!G91,'03.08 Kisasi-Bukoto'!G91)</f>
        <v>0</v>
      </c>
      <c r="H91" s="49">
        <f>AVERAGE('01.08 Kisasi-Bukoto'!H91,'03.08 Kisasi-Bukoto'!H91)</f>
        <v>0</v>
      </c>
      <c r="I91" s="49">
        <f>AVERAGE('01.08 Kisasi-Bukoto'!I91,'03.08 Kisasi-Bukoto'!I91)</f>
        <v>0</v>
      </c>
      <c r="J91" s="49">
        <f>AVERAGE('01.08 Kisasi-Bukoto'!J91,'03.08 Kisasi-Bukoto'!J91)</f>
        <v>0</v>
      </c>
      <c r="K91" s="49">
        <f>AVERAGE('01.08 Kisasi-Bukoto'!K91,'03.08 Kisasi-Bukoto'!K91)</f>
        <v>0</v>
      </c>
      <c r="L91" s="49">
        <f>AVERAGE('01.08 Kisasi-Bukoto'!L91,'03.08 Kisasi-Bukoto'!L91)</f>
        <v>0</v>
      </c>
      <c r="M91" s="49">
        <f>AVERAGE('01.08 Kisasi-Bukoto'!M91,'03.08 Kisasi-Bukoto'!M91)</f>
        <v>3.5</v>
      </c>
      <c r="N91" s="49">
        <f>AVERAGE('01.08 Kisasi-Bukoto'!N91,'03.08 Kisasi-Bukoto'!N91)</f>
        <v>0</v>
      </c>
      <c r="O91" s="15">
        <f t="shared" si="35"/>
        <v>6</v>
      </c>
      <c r="P91" s="15">
        <f t="shared" si="36"/>
        <v>9.5</v>
      </c>
      <c r="R91" s="8"/>
      <c r="T91"/>
    </row>
    <row r="92" spans="2:20" ht="23.1" customHeight="1" x14ac:dyDescent="0.25">
      <c r="B92" s="25" t="s">
        <v>132</v>
      </c>
      <c r="C92" s="49">
        <f>AVERAGE('01.08 Kisasi-Bukoto'!C92,'03.08 Kisasi-Bukoto'!C92)</f>
        <v>7</v>
      </c>
      <c r="D92" s="49">
        <f>AVERAGE('01.08 Kisasi-Bukoto'!D92,'03.08 Kisasi-Bukoto'!D92)</f>
        <v>1.5</v>
      </c>
      <c r="E92" s="49">
        <f>AVERAGE('01.08 Kisasi-Bukoto'!E92,'03.08 Kisasi-Bukoto'!E92)</f>
        <v>0</v>
      </c>
      <c r="F92" s="49">
        <f>AVERAGE('01.08 Kisasi-Bukoto'!F92,'03.08 Kisasi-Bukoto'!F92)</f>
        <v>0</v>
      </c>
      <c r="G92" s="49">
        <f>AVERAGE('01.08 Kisasi-Bukoto'!G92,'03.08 Kisasi-Bukoto'!G92)</f>
        <v>0</v>
      </c>
      <c r="H92" s="49">
        <f>AVERAGE('01.08 Kisasi-Bukoto'!H92,'03.08 Kisasi-Bukoto'!H92)</f>
        <v>0</v>
      </c>
      <c r="I92" s="49">
        <f>AVERAGE('01.08 Kisasi-Bukoto'!I92,'03.08 Kisasi-Bukoto'!I92)</f>
        <v>0</v>
      </c>
      <c r="J92" s="49">
        <f>AVERAGE('01.08 Kisasi-Bukoto'!J92,'03.08 Kisasi-Bukoto'!J92)</f>
        <v>0</v>
      </c>
      <c r="K92" s="49">
        <f>AVERAGE('01.08 Kisasi-Bukoto'!K92,'03.08 Kisasi-Bukoto'!K92)</f>
        <v>0</v>
      </c>
      <c r="L92" s="49">
        <f>AVERAGE('01.08 Kisasi-Bukoto'!L92,'03.08 Kisasi-Bukoto'!L92)</f>
        <v>0</v>
      </c>
      <c r="M92" s="49">
        <f>AVERAGE('01.08 Kisasi-Bukoto'!M92,'03.08 Kisasi-Bukoto'!M92)</f>
        <v>4.5</v>
      </c>
      <c r="N92" s="49">
        <f>AVERAGE('01.08 Kisasi-Bukoto'!N92,'03.08 Kisasi-Bukoto'!N92)</f>
        <v>0</v>
      </c>
      <c r="O92" s="15">
        <f t="shared" si="35"/>
        <v>8.5</v>
      </c>
      <c r="P92" s="15">
        <f t="shared" si="36"/>
        <v>13</v>
      </c>
      <c r="R92" s="8"/>
      <c r="T92"/>
    </row>
    <row r="93" spans="2:20" ht="23.1" customHeight="1" x14ac:dyDescent="0.25">
      <c r="B93" s="23" t="s">
        <v>133</v>
      </c>
      <c r="C93" s="49">
        <f>AVERAGE('01.08 Kisasi-Bukoto'!C93,'03.08 Kisasi-Bukoto'!C93)</f>
        <v>5.5</v>
      </c>
      <c r="D93" s="49">
        <f>AVERAGE('01.08 Kisasi-Bukoto'!D93,'03.08 Kisasi-Bukoto'!D93)</f>
        <v>1.5</v>
      </c>
      <c r="E93" s="49">
        <f>AVERAGE('01.08 Kisasi-Bukoto'!E93,'03.08 Kisasi-Bukoto'!E93)</f>
        <v>0</v>
      </c>
      <c r="F93" s="49">
        <f>AVERAGE('01.08 Kisasi-Bukoto'!F93,'03.08 Kisasi-Bukoto'!F93)</f>
        <v>1.5</v>
      </c>
      <c r="G93" s="49">
        <f>AVERAGE('01.08 Kisasi-Bukoto'!G93,'03.08 Kisasi-Bukoto'!G93)</f>
        <v>0</v>
      </c>
      <c r="H93" s="49">
        <f>AVERAGE('01.08 Kisasi-Bukoto'!H93,'03.08 Kisasi-Bukoto'!H93)</f>
        <v>0</v>
      </c>
      <c r="I93" s="49">
        <f>AVERAGE('01.08 Kisasi-Bukoto'!I93,'03.08 Kisasi-Bukoto'!I93)</f>
        <v>0</v>
      </c>
      <c r="J93" s="49">
        <f>AVERAGE('01.08 Kisasi-Bukoto'!J93,'03.08 Kisasi-Bukoto'!J93)</f>
        <v>0</v>
      </c>
      <c r="K93" s="49">
        <f>AVERAGE('01.08 Kisasi-Bukoto'!K93,'03.08 Kisasi-Bukoto'!K93)</f>
        <v>0</v>
      </c>
      <c r="L93" s="49">
        <f>AVERAGE('01.08 Kisasi-Bukoto'!L93,'03.08 Kisasi-Bukoto'!L93)</f>
        <v>0</v>
      </c>
      <c r="M93" s="49">
        <f>AVERAGE('01.08 Kisasi-Bukoto'!M93,'03.08 Kisasi-Bukoto'!M93)</f>
        <v>3</v>
      </c>
      <c r="N93" s="49">
        <f>AVERAGE('01.08 Kisasi-Bukoto'!N93,'03.08 Kisasi-Bukoto'!N93)</f>
        <v>0</v>
      </c>
      <c r="O93" s="15">
        <f t="shared" si="35"/>
        <v>8.5</v>
      </c>
      <c r="P93" s="15">
        <f t="shared" si="36"/>
        <v>11.5</v>
      </c>
      <c r="R93" s="8"/>
      <c r="T93"/>
    </row>
    <row r="94" spans="2:20" ht="23.1" customHeight="1" x14ac:dyDescent="0.25">
      <c r="B94" s="24" t="s">
        <v>134</v>
      </c>
      <c r="C94" s="49">
        <f>AVERAGE('01.08 Kisasi-Bukoto'!C94,'03.08 Kisasi-Bukoto'!C94)</f>
        <v>5</v>
      </c>
      <c r="D94" s="49">
        <f>AVERAGE('01.08 Kisasi-Bukoto'!D94,'03.08 Kisasi-Bukoto'!D94)</f>
        <v>2.5</v>
      </c>
      <c r="E94" s="49">
        <f>AVERAGE('01.08 Kisasi-Bukoto'!E94,'03.08 Kisasi-Bukoto'!E94)</f>
        <v>0</v>
      </c>
      <c r="F94" s="49">
        <f>AVERAGE('01.08 Kisasi-Bukoto'!F94,'03.08 Kisasi-Bukoto'!F94)</f>
        <v>0.5</v>
      </c>
      <c r="G94" s="49">
        <f>AVERAGE('01.08 Kisasi-Bukoto'!G94,'03.08 Kisasi-Bukoto'!G94)</f>
        <v>0</v>
      </c>
      <c r="H94" s="49">
        <f>AVERAGE('01.08 Kisasi-Bukoto'!H94,'03.08 Kisasi-Bukoto'!H94)</f>
        <v>0</v>
      </c>
      <c r="I94" s="49">
        <f>AVERAGE('01.08 Kisasi-Bukoto'!I94,'03.08 Kisasi-Bukoto'!I94)</f>
        <v>0</v>
      </c>
      <c r="J94" s="49">
        <f>AVERAGE('01.08 Kisasi-Bukoto'!J94,'03.08 Kisasi-Bukoto'!J94)</f>
        <v>0</v>
      </c>
      <c r="K94" s="49">
        <f>AVERAGE('01.08 Kisasi-Bukoto'!K94,'03.08 Kisasi-Bukoto'!K94)</f>
        <v>0</v>
      </c>
      <c r="L94" s="49">
        <f>AVERAGE('01.08 Kisasi-Bukoto'!L94,'03.08 Kisasi-Bukoto'!L94)</f>
        <v>0</v>
      </c>
      <c r="M94" s="49">
        <f>AVERAGE('01.08 Kisasi-Bukoto'!M94,'03.08 Kisasi-Bukoto'!M94)</f>
        <v>1</v>
      </c>
      <c r="N94" s="49">
        <f>AVERAGE('01.08 Kisasi-Bukoto'!N94,'03.08 Kisasi-Bukoto'!N94)</f>
        <v>0</v>
      </c>
      <c r="O94" s="15">
        <f t="shared" si="35"/>
        <v>8</v>
      </c>
      <c r="P94" s="15">
        <f t="shared" si="36"/>
        <v>9</v>
      </c>
      <c r="R94" s="8"/>
      <c r="T94"/>
    </row>
    <row r="95" spans="2:20" ht="23.1" customHeight="1" x14ac:dyDescent="0.25">
      <c r="B95" s="23" t="s">
        <v>135</v>
      </c>
      <c r="C95" s="49">
        <f>AVERAGE('01.08 Kisasi-Bukoto'!C95,'03.08 Kisasi-Bukoto'!C95)</f>
        <v>6</v>
      </c>
      <c r="D95" s="49">
        <f>AVERAGE('01.08 Kisasi-Bukoto'!D95,'03.08 Kisasi-Bukoto'!D95)</f>
        <v>1</v>
      </c>
      <c r="E95" s="49">
        <f>AVERAGE('01.08 Kisasi-Bukoto'!E95,'03.08 Kisasi-Bukoto'!E95)</f>
        <v>0</v>
      </c>
      <c r="F95" s="49">
        <f>AVERAGE('01.08 Kisasi-Bukoto'!F95,'03.08 Kisasi-Bukoto'!F95)</f>
        <v>1</v>
      </c>
      <c r="G95" s="49">
        <f>AVERAGE('01.08 Kisasi-Bukoto'!G95,'03.08 Kisasi-Bukoto'!G95)</f>
        <v>0</v>
      </c>
      <c r="H95" s="49">
        <f>AVERAGE('01.08 Kisasi-Bukoto'!H95,'03.08 Kisasi-Bukoto'!H95)</f>
        <v>0</v>
      </c>
      <c r="I95" s="49">
        <f>AVERAGE('01.08 Kisasi-Bukoto'!I95,'03.08 Kisasi-Bukoto'!I95)</f>
        <v>0</v>
      </c>
      <c r="J95" s="49">
        <f>AVERAGE('01.08 Kisasi-Bukoto'!J95,'03.08 Kisasi-Bukoto'!J95)</f>
        <v>0</v>
      </c>
      <c r="K95" s="49">
        <f>AVERAGE('01.08 Kisasi-Bukoto'!K95,'03.08 Kisasi-Bukoto'!K95)</f>
        <v>0</v>
      </c>
      <c r="L95" s="49">
        <f>AVERAGE('01.08 Kisasi-Bukoto'!L95,'03.08 Kisasi-Bukoto'!L95)</f>
        <v>0</v>
      </c>
      <c r="M95" s="49">
        <f>AVERAGE('01.08 Kisasi-Bukoto'!M95,'03.08 Kisasi-Bukoto'!M95)</f>
        <v>4</v>
      </c>
      <c r="N95" s="49">
        <f>AVERAGE('01.08 Kisasi-Bukoto'!N95,'03.08 Kisasi-Bukoto'!N95)</f>
        <v>0</v>
      </c>
      <c r="O95" s="15">
        <f t="shared" si="35"/>
        <v>8</v>
      </c>
      <c r="P95" s="15">
        <f t="shared" si="36"/>
        <v>12</v>
      </c>
      <c r="R95" s="8"/>
      <c r="T95"/>
    </row>
    <row r="96" spans="2:20" ht="23.1" customHeight="1" x14ac:dyDescent="0.25">
      <c r="B96" s="25" t="s">
        <v>136</v>
      </c>
      <c r="C96" s="49">
        <f>AVERAGE('01.08 Kisasi-Bukoto'!C96,'03.08 Kisasi-Bukoto'!C96)</f>
        <v>5.5</v>
      </c>
      <c r="D96" s="49">
        <f>AVERAGE('01.08 Kisasi-Bukoto'!D96,'03.08 Kisasi-Bukoto'!D96)</f>
        <v>1</v>
      </c>
      <c r="E96" s="49">
        <f>AVERAGE('01.08 Kisasi-Bukoto'!E96,'03.08 Kisasi-Bukoto'!E96)</f>
        <v>0</v>
      </c>
      <c r="F96" s="49">
        <f>AVERAGE('01.08 Kisasi-Bukoto'!F96,'03.08 Kisasi-Bukoto'!F96)</f>
        <v>0.5</v>
      </c>
      <c r="G96" s="49">
        <f>AVERAGE('01.08 Kisasi-Bukoto'!G96,'03.08 Kisasi-Bukoto'!G96)</f>
        <v>0</v>
      </c>
      <c r="H96" s="49">
        <f>AVERAGE('01.08 Kisasi-Bukoto'!H96,'03.08 Kisasi-Bukoto'!H96)</f>
        <v>0</v>
      </c>
      <c r="I96" s="49">
        <f>AVERAGE('01.08 Kisasi-Bukoto'!I96,'03.08 Kisasi-Bukoto'!I96)</f>
        <v>0</v>
      </c>
      <c r="J96" s="49">
        <f>AVERAGE('01.08 Kisasi-Bukoto'!J96,'03.08 Kisasi-Bukoto'!J96)</f>
        <v>0</v>
      </c>
      <c r="K96" s="49">
        <f>AVERAGE('01.08 Kisasi-Bukoto'!K96,'03.08 Kisasi-Bukoto'!K96)</f>
        <v>0</v>
      </c>
      <c r="L96" s="49">
        <f>AVERAGE('01.08 Kisasi-Bukoto'!L96,'03.08 Kisasi-Bukoto'!L96)</f>
        <v>0</v>
      </c>
      <c r="M96" s="49">
        <f>AVERAGE('01.08 Kisasi-Bukoto'!M96,'03.08 Kisasi-Bukoto'!M96)</f>
        <v>9</v>
      </c>
      <c r="N96" s="49">
        <f>AVERAGE('01.08 Kisasi-Bukoto'!N96,'03.08 Kisasi-Bukoto'!N96)</f>
        <v>0</v>
      </c>
      <c r="O96" s="15">
        <f t="shared" si="35"/>
        <v>7</v>
      </c>
      <c r="P96" s="15">
        <f t="shared" si="36"/>
        <v>16</v>
      </c>
      <c r="R96" s="8"/>
      <c r="T96"/>
    </row>
    <row r="97" spans="2:20" ht="23.1" customHeight="1" x14ac:dyDescent="0.25">
      <c r="B97" s="23" t="s">
        <v>137</v>
      </c>
      <c r="C97" s="49">
        <f>AVERAGE('01.08 Kisasi-Bukoto'!C97,'03.08 Kisasi-Bukoto'!C97)</f>
        <v>6.5</v>
      </c>
      <c r="D97" s="49">
        <f>AVERAGE('01.08 Kisasi-Bukoto'!D97,'03.08 Kisasi-Bukoto'!D97)</f>
        <v>3.5</v>
      </c>
      <c r="E97" s="49">
        <f>AVERAGE('01.08 Kisasi-Bukoto'!E97,'03.08 Kisasi-Bukoto'!E97)</f>
        <v>0</v>
      </c>
      <c r="F97" s="49">
        <f>AVERAGE('01.08 Kisasi-Bukoto'!F97,'03.08 Kisasi-Bukoto'!F97)</f>
        <v>0</v>
      </c>
      <c r="G97" s="49">
        <f>AVERAGE('01.08 Kisasi-Bukoto'!G97,'03.08 Kisasi-Bukoto'!G97)</f>
        <v>0</v>
      </c>
      <c r="H97" s="49">
        <f>AVERAGE('01.08 Kisasi-Bukoto'!H97,'03.08 Kisasi-Bukoto'!H97)</f>
        <v>0</v>
      </c>
      <c r="I97" s="49">
        <f>AVERAGE('01.08 Kisasi-Bukoto'!I97,'03.08 Kisasi-Bukoto'!I97)</f>
        <v>0</v>
      </c>
      <c r="J97" s="49">
        <f>AVERAGE('01.08 Kisasi-Bukoto'!J97,'03.08 Kisasi-Bukoto'!J97)</f>
        <v>0</v>
      </c>
      <c r="K97" s="49">
        <f>AVERAGE('01.08 Kisasi-Bukoto'!K97,'03.08 Kisasi-Bukoto'!K97)</f>
        <v>0</v>
      </c>
      <c r="L97" s="49">
        <f>AVERAGE('01.08 Kisasi-Bukoto'!L97,'03.08 Kisasi-Bukoto'!L97)</f>
        <v>0</v>
      </c>
      <c r="M97" s="49">
        <f>AVERAGE('01.08 Kisasi-Bukoto'!M97,'03.08 Kisasi-Bukoto'!M97)</f>
        <v>3</v>
      </c>
      <c r="N97" s="49">
        <f>AVERAGE('01.08 Kisasi-Bukoto'!N97,'03.08 Kisasi-Bukoto'!N97)</f>
        <v>0</v>
      </c>
      <c r="O97" s="15">
        <f t="shared" si="35"/>
        <v>10</v>
      </c>
      <c r="P97" s="15">
        <f t="shared" si="36"/>
        <v>13</v>
      </c>
      <c r="R97" s="8"/>
      <c r="T97"/>
    </row>
    <row r="98" spans="2:20" ht="23.1" customHeight="1" x14ac:dyDescent="0.25">
      <c r="B98" s="24" t="s">
        <v>138</v>
      </c>
      <c r="C98" s="49">
        <f>AVERAGE('01.08 Kisasi-Bukoto'!C98,'03.08 Kisasi-Bukoto'!C98)</f>
        <v>7</v>
      </c>
      <c r="D98" s="49">
        <f>AVERAGE('01.08 Kisasi-Bukoto'!D98,'03.08 Kisasi-Bukoto'!D98)</f>
        <v>1</v>
      </c>
      <c r="E98" s="49">
        <f>AVERAGE('01.08 Kisasi-Bukoto'!E98,'03.08 Kisasi-Bukoto'!E98)</f>
        <v>0</v>
      </c>
      <c r="F98" s="49">
        <f>AVERAGE('01.08 Kisasi-Bukoto'!F98,'03.08 Kisasi-Bukoto'!F98)</f>
        <v>0</v>
      </c>
      <c r="G98" s="49">
        <f>AVERAGE('01.08 Kisasi-Bukoto'!G98,'03.08 Kisasi-Bukoto'!G98)</f>
        <v>0</v>
      </c>
      <c r="H98" s="49">
        <f>AVERAGE('01.08 Kisasi-Bukoto'!H98,'03.08 Kisasi-Bukoto'!H98)</f>
        <v>0</v>
      </c>
      <c r="I98" s="49">
        <f>AVERAGE('01.08 Kisasi-Bukoto'!I98,'03.08 Kisasi-Bukoto'!I98)</f>
        <v>0</v>
      </c>
      <c r="J98" s="49">
        <f>AVERAGE('01.08 Kisasi-Bukoto'!J98,'03.08 Kisasi-Bukoto'!J98)</f>
        <v>0</v>
      </c>
      <c r="K98" s="49">
        <f>AVERAGE('01.08 Kisasi-Bukoto'!K98,'03.08 Kisasi-Bukoto'!K98)</f>
        <v>0</v>
      </c>
      <c r="L98" s="49">
        <f>AVERAGE('01.08 Kisasi-Bukoto'!L98,'03.08 Kisasi-Bukoto'!L98)</f>
        <v>0</v>
      </c>
      <c r="M98" s="49">
        <f>AVERAGE('01.08 Kisasi-Bukoto'!M98,'03.08 Kisasi-Bukoto'!M98)</f>
        <v>14.5</v>
      </c>
      <c r="N98" s="49">
        <f>AVERAGE('01.08 Kisasi-Bukoto'!N98,'03.08 Kisasi-Bukoto'!N98)</f>
        <v>0</v>
      </c>
      <c r="O98" s="15">
        <f t="shared" si="35"/>
        <v>8</v>
      </c>
      <c r="P98" s="15">
        <f t="shared" si="36"/>
        <v>22.5</v>
      </c>
      <c r="R98" s="8"/>
      <c r="T98"/>
    </row>
    <row r="99" spans="2:20" ht="23.1" customHeight="1" x14ac:dyDescent="0.25">
      <c r="B99" s="23" t="s">
        <v>139</v>
      </c>
      <c r="C99" s="49">
        <f>AVERAGE('01.08 Kisasi-Bukoto'!C99,'03.08 Kisasi-Bukoto'!C99)</f>
        <v>5.5</v>
      </c>
      <c r="D99" s="49">
        <f>AVERAGE('01.08 Kisasi-Bukoto'!D99,'03.08 Kisasi-Bukoto'!D99)</f>
        <v>2.5</v>
      </c>
      <c r="E99" s="49">
        <f>AVERAGE('01.08 Kisasi-Bukoto'!E99,'03.08 Kisasi-Bukoto'!E99)</f>
        <v>0</v>
      </c>
      <c r="F99" s="49">
        <f>AVERAGE('01.08 Kisasi-Bukoto'!F99,'03.08 Kisasi-Bukoto'!F99)</f>
        <v>3</v>
      </c>
      <c r="G99" s="49">
        <f>AVERAGE('01.08 Kisasi-Bukoto'!G99,'03.08 Kisasi-Bukoto'!G99)</f>
        <v>0</v>
      </c>
      <c r="H99" s="49">
        <f>AVERAGE('01.08 Kisasi-Bukoto'!H99,'03.08 Kisasi-Bukoto'!H99)</f>
        <v>0</v>
      </c>
      <c r="I99" s="49">
        <f>AVERAGE('01.08 Kisasi-Bukoto'!I99,'03.08 Kisasi-Bukoto'!I99)</f>
        <v>0</v>
      </c>
      <c r="J99" s="49">
        <f>AVERAGE('01.08 Kisasi-Bukoto'!J99,'03.08 Kisasi-Bukoto'!J99)</f>
        <v>0</v>
      </c>
      <c r="K99" s="49">
        <f>AVERAGE('01.08 Kisasi-Bukoto'!K99,'03.08 Kisasi-Bukoto'!K99)</f>
        <v>0</v>
      </c>
      <c r="L99" s="49">
        <f>AVERAGE('01.08 Kisasi-Bukoto'!L99,'03.08 Kisasi-Bukoto'!L99)</f>
        <v>0</v>
      </c>
      <c r="M99" s="49">
        <f>AVERAGE('01.08 Kisasi-Bukoto'!M99,'03.08 Kisasi-Bukoto'!M99)</f>
        <v>4.5</v>
      </c>
      <c r="N99" s="49">
        <f>AVERAGE('01.08 Kisasi-Bukoto'!N99,'03.08 Kisasi-Bukoto'!N99)</f>
        <v>0</v>
      </c>
      <c r="O99" s="15">
        <f t="shared" si="35"/>
        <v>11</v>
      </c>
      <c r="P99" s="15">
        <f t="shared" si="36"/>
        <v>15.5</v>
      </c>
      <c r="R99" s="8"/>
      <c r="T99"/>
    </row>
    <row r="100" spans="2:20" ht="23.1" customHeight="1" x14ac:dyDescent="0.25">
      <c r="B100" s="25" t="s">
        <v>140</v>
      </c>
      <c r="C100" s="49">
        <f>AVERAGE('01.08 Kisasi-Bukoto'!C100,'03.08 Kisasi-Bukoto'!C100)</f>
        <v>9.5</v>
      </c>
      <c r="D100" s="49">
        <f>AVERAGE('01.08 Kisasi-Bukoto'!D100,'03.08 Kisasi-Bukoto'!D100)</f>
        <v>5.5</v>
      </c>
      <c r="E100" s="49">
        <f>AVERAGE('01.08 Kisasi-Bukoto'!E100,'03.08 Kisasi-Bukoto'!E100)</f>
        <v>0</v>
      </c>
      <c r="F100" s="49">
        <f>AVERAGE('01.08 Kisasi-Bukoto'!F100,'03.08 Kisasi-Bukoto'!F100)</f>
        <v>4.5</v>
      </c>
      <c r="G100" s="49">
        <f>AVERAGE('01.08 Kisasi-Bukoto'!G100,'03.08 Kisasi-Bukoto'!G100)</f>
        <v>0</v>
      </c>
      <c r="H100" s="49">
        <f>AVERAGE('01.08 Kisasi-Bukoto'!H100,'03.08 Kisasi-Bukoto'!H100)</f>
        <v>0</v>
      </c>
      <c r="I100" s="49">
        <f>AVERAGE('01.08 Kisasi-Bukoto'!I100,'03.08 Kisasi-Bukoto'!I100)</f>
        <v>0</v>
      </c>
      <c r="J100" s="49">
        <f>AVERAGE('01.08 Kisasi-Bukoto'!J100,'03.08 Kisasi-Bukoto'!J100)</f>
        <v>0</v>
      </c>
      <c r="K100" s="49">
        <f>AVERAGE('01.08 Kisasi-Bukoto'!K100,'03.08 Kisasi-Bukoto'!K100)</f>
        <v>0</v>
      </c>
      <c r="L100" s="49">
        <f>AVERAGE('01.08 Kisasi-Bukoto'!L100,'03.08 Kisasi-Bukoto'!L100)</f>
        <v>0</v>
      </c>
      <c r="M100" s="49">
        <f>AVERAGE('01.08 Kisasi-Bukoto'!M100,'03.08 Kisasi-Bukoto'!M100)</f>
        <v>4.5</v>
      </c>
      <c r="N100" s="49">
        <f>AVERAGE('01.08 Kisasi-Bukoto'!N100,'03.08 Kisasi-Bukoto'!N100)</f>
        <v>0</v>
      </c>
      <c r="O100" s="15">
        <f t="shared" si="35"/>
        <v>19.5</v>
      </c>
      <c r="P100" s="15">
        <f t="shared" si="36"/>
        <v>24</v>
      </c>
      <c r="R100" s="8"/>
      <c r="T100"/>
    </row>
    <row r="101" spans="2:20" ht="23.1" customHeight="1" x14ac:dyDescent="0.25">
      <c r="B101" s="23" t="s">
        <v>141</v>
      </c>
      <c r="C101" s="49">
        <f>AVERAGE('01.08 Kisasi-Bukoto'!C101,'03.08 Kisasi-Bukoto'!C101)</f>
        <v>8.5</v>
      </c>
      <c r="D101" s="49">
        <f>AVERAGE('01.08 Kisasi-Bukoto'!D101,'03.08 Kisasi-Bukoto'!D101)</f>
        <v>4.5</v>
      </c>
      <c r="E101" s="49">
        <f>AVERAGE('01.08 Kisasi-Bukoto'!E101,'03.08 Kisasi-Bukoto'!E101)</f>
        <v>0</v>
      </c>
      <c r="F101" s="49">
        <f>AVERAGE('01.08 Kisasi-Bukoto'!F101,'03.08 Kisasi-Bukoto'!F101)</f>
        <v>1.5</v>
      </c>
      <c r="G101" s="49">
        <f>AVERAGE('01.08 Kisasi-Bukoto'!G101,'03.08 Kisasi-Bukoto'!G101)</f>
        <v>0</v>
      </c>
      <c r="H101" s="49">
        <f>AVERAGE('01.08 Kisasi-Bukoto'!H101,'03.08 Kisasi-Bukoto'!H101)</f>
        <v>0</v>
      </c>
      <c r="I101" s="49">
        <f>AVERAGE('01.08 Kisasi-Bukoto'!I101,'03.08 Kisasi-Bukoto'!I101)</f>
        <v>0</v>
      </c>
      <c r="J101" s="49">
        <f>AVERAGE('01.08 Kisasi-Bukoto'!J101,'03.08 Kisasi-Bukoto'!J101)</f>
        <v>0</v>
      </c>
      <c r="K101" s="49">
        <f>AVERAGE('01.08 Kisasi-Bukoto'!K101,'03.08 Kisasi-Bukoto'!K101)</f>
        <v>0</v>
      </c>
      <c r="L101" s="49">
        <f>AVERAGE('01.08 Kisasi-Bukoto'!L101,'03.08 Kisasi-Bukoto'!L101)</f>
        <v>0</v>
      </c>
      <c r="M101" s="49">
        <f>AVERAGE('01.08 Kisasi-Bukoto'!M101,'03.08 Kisasi-Bukoto'!M101)</f>
        <v>31</v>
      </c>
      <c r="N101" s="49">
        <f>AVERAGE('01.08 Kisasi-Bukoto'!N101,'03.08 Kisasi-Bukoto'!N101)</f>
        <v>0</v>
      </c>
      <c r="O101" s="15">
        <f t="shared" si="35"/>
        <v>14.5</v>
      </c>
      <c r="P101" s="15">
        <f t="shared" si="36"/>
        <v>45.5</v>
      </c>
      <c r="R101" s="8"/>
      <c r="T101"/>
    </row>
    <row r="102" spans="2:20" ht="23.1" customHeight="1" x14ac:dyDescent="0.25">
      <c r="B102" s="24" t="s">
        <v>142</v>
      </c>
      <c r="C102" s="49">
        <f>AVERAGE('01.08 Kisasi-Bukoto'!C102,'03.08 Kisasi-Bukoto'!C102)</f>
        <v>39.5</v>
      </c>
      <c r="D102" s="49">
        <f>AVERAGE('01.08 Kisasi-Bukoto'!D102,'03.08 Kisasi-Bukoto'!D102)</f>
        <v>27</v>
      </c>
      <c r="E102" s="49">
        <f>AVERAGE('01.08 Kisasi-Bukoto'!E102,'03.08 Kisasi-Bukoto'!E102)</f>
        <v>0</v>
      </c>
      <c r="F102" s="49">
        <f>AVERAGE('01.08 Kisasi-Bukoto'!F102,'03.08 Kisasi-Bukoto'!F102)</f>
        <v>4.5</v>
      </c>
      <c r="G102" s="49">
        <f>AVERAGE('01.08 Kisasi-Bukoto'!G102,'03.08 Kisasi-Bukoto'!G102)</f>
        <v>0</v>
      </c>
      <c r="H102" s="49">
        <f>AVERAGE('01.08 Kisasi-Bukoto'!H102,'03.08 Kisasi-Bukoto'!H102)</f>
        <v>0</v>
      </c>
      <c r="I102" s="49">
        <f>AVERAGE('01.08 Kisasi-Bukoto'!I102,'03.08 Kisasi-Bukoto'!I102)</f>
        <v>0</v>
      </c>
      <c r="J102" s="49">
        <f>AVERAGE('01.08 Kisasi-Bukoto'!J102,'03.08 Kisasi-Bukoto'!J102)</f>
        <v>0</v>
      </c>
      <c r="K102" s="49">
        <f>AVERAGE('01.08 Kisasi-Bukoto'!K102,'03.08 Kisasi-Bukoto'!K102)</f>
        <v>0</v>
      </c>
      <c r="L102" s="49">
        <f>AVERAGE('01.08 Kisasi-Bukoto'!L102,'03.08 Kisasi-Bukoto'!L102)</f>
        <v>0</v>
      </c>
      <c r="M102" s="49">
        <f>AVERAGE('01.08 Kisasi-Bukoto'!M102,'03.08 Kisasi-Bukoto'!M102)</f>
        <v>9.5</v>
      </c>
      <c r="N102" s="49">
        <f>AVERAGE('01.08 Kisasi-Bukoto'!N102,'03.08 Kisasi-Bukoto'!N102)</f>
        <v>0</v>
      </c>
      <c r="O102" s="15">
        <f t="shared" si="35"/>
        <v>71</v>
      </c>
      <c r="P102" s="15">
        <f t="shared" si="36"/>
        <v>80.5</v>
      </c>
      <c r="R102" s="8"/>
      <c r="T102"/>
    </row>
    <row r="103" spans="2:20" ht="23.1" customHeight="1" x14ac:dyDescent="0.25">
      <c r="B103" s="23" t="s">
        <v>143</v>
      </c>
      <c r="C103" s="49">
        <f>AVERAGE('01.08 Kisasi-Bukoto'!C103,'03.08 Kisasi-Bukoto'!C103)</f>
        <v>46.5</v>
      </c>
      <c r="D103" s="49">
        <f>AVERAGE('01.08 Kisasi-Bukoto'!D103,'03.08 Kisasi-Bukoto'!D103)</f>
        <v>46.5</v>
      </c>
      <c r="E103" s="49">
        <f>AVERAGE('01.08 Kisasi-Bukoto'!E103,'03.08 Kisasi-Bukoto'!E103)</f>
        <v>0.5</v>
      </c>
      <c r="F103" s="49">
        <f>AVERAGE('01.08 Kisasi-Bukoto'!F103,'03.08 Kisasi-Bukoto'!F103)</f>
        <v>11</v>
      </c>
      <c r="G103" s="49">
        <f>AVERAGE('01.08 Kisasi-Bukoto'!G103,'03.08 Kisasi-Bukoto'!G103)</f>
        <v>0</v>
      </c>
      <c r="H103" s="49">
        <f>AVERAGE('01.08 Kisasi-Bukoto'!H103,'03.08 Kisasi-Bukoto'!H103)</f>
        <v>0</v>
      </c>
      <c r="I103" s="49">
        <f>AVERAGE('01.08 Kisasi-Bukoto'!I103,'03.08 Kisasi-Bukoto'!I103)</f>
        <v>0</v>
      </c>
      <c r="J103" s="49">
        <f>AVERAGE('01.08 Kisasi-Bukoto'!J103,'03.08 Kisasi-Bukoto'!J103)</f>
        <v>0</v>
      </c>
      <c r="K103" s="49">
        <f>AVERAGE('01.08 Kisasi-Bukoto'!K103,'03.08 Kisasi-Bukoto'!K103)</f>
        <v>0</v>
      </c>
      <c r="L103" s="49">
        <f>AVERAGE('01.08 Kisasi-Bukoto'!L103,'03.08 Kisasi-Bukoto'!L103)</f>
        <v>0</v>
      </c>
      <c r="M103" s="49">
        <f>AVERAGE('01.08 Kisasi-Bukoto'!M103,'03.08 Kisasi-Bukoto'!M103)</f>
        <v>5.5</v>
      </c>
      <c r="N103" s="49">
        <f>AVERAGE('01.08 Kisasi-Bukoto'!N103,'03.08 Kisasi-Bukoto'!N103)</f>
        <v>0</v>
      </c>
      <c r="O103" s="15">
        <f t="shared" si="35"/>
        <v>104.5</v>
      </c>
      <c r="P103" s="15">
        <f t="shared" si="36"/>
        <v>110</v>
      </c>
      <c r="R103" s="8"/>
      <c r="T103"/>
    </row>
    <row r="104" spans="2:20" ht="23.1" customHeight="1" x14ac:dyDescent="0.25">
      <c r="B104" s="25" t="s">
        <v>144</v>
      </c>
      <c r="C104" s="49">
        <f>AVERAGE('01.08 Kisasi-Bukoto'!C104,'03.08 Kisasi-Bukoto'!C104)</f>
        <v>52.5</v>
      </c>
      <c r="D104" s="49">
        <f>AVERAGE('01.08 Kisasi-Bukoto'!D104,'03.08 Kisasi-Bukoto'!D104)</f>
        <v>57.5</v>
      </c>
      <c r="E104" s="49">
        <f>AVERAGE('01.08 Kisasi-Bukoto'!E104,'03.08 Kisasi-Bukoto'!E104)</f>
        <v>0.5</v>
      </c>
      <c r="F104" s="49">
        <f>AVERAGE('01.08 Kisasi-Bukoto'!F104,'03.08 Kisasi-Bukoto'!F104)</f>
        <v>11.5</v>
      </c>
      <c r="G104" s="49">
        <f>AVERAGE('01.08 Kisasi-Bukoto'!G104,'03.08 Kisasi-Bukoto'!G104)</f>
        <v>0</v>
      </c>
      <c r="H104" s="49">
        <f>AVERAGE('01.08 Kisasi-Bukoto'!H104,'03.08 Kisasi-Bukoto'!H104)</f>
        <v>0</v>
      </c>
      <c r="I104" s="49">
        <f>AVERAGE('01.08 Kisasi-Bukoto'!I104,'03.08 Kisasi-Bukoto'!I104)</f>
        <v>0.5</v>
      </c>
      <c r="J104" s="49">
        <f>AVERAGE('01.08 Kisasi-Bukoto'!J104,'03.08 Kisasi-Bukoto'!J104)</f>
        <v>0</v>
      </c>
      <c r="K104" s="49">
        <f>AVERAGE('01.08 Kisasi-Bukoto'!K104,'03.08 Kisasi-Bukoto'!K104)</f>
        <v>0</v>
      </c>
      <c r="L104" s="49">
        <f>AVERAGE('01.08 Kisasi-Bukoto'!L104,'03.08 Kisasi-Bukoto'!L104)</f>
        <v>0</v>
      </c>
      <c r="M104" s="49">
        <f>AVERAGE('01.08 Kisasi-Bukoto'!M104,'03.08 Kisasi-Bukoto'!M104)</f>
        <v>7</v>
      </c>
      <c r="N104" s="49">
        <f>AVERAGE('01.08 Kisasi-Bukoto'!N104,'03.08 Kisasi-Bukoto'!N104)</f>
        <v>0</v>
      </c>
      <c r="O104" s="15">
        <f t="shared" si="35"/>
        <v>122.5</v>
      </c>
      <c r="P104" s="15">
        <f t="shared" si="36"/>
        <v>129.5</v>
      </c>
      <c r="R104" s="8"/>
      <c r="T104"/>
    </row>
    <row r="105" spans="2:20" ht="23.1" customHeight="1" x14ac:dyDescent="0.25">
      <c r="B105" s="23" t="s">
        <v>145</v>
      </c>
      <c r="C105" s="49">
        <f>AVERAGE('01.08 Kisasi-Bukoto'!C105,'03.08 Kisasi-Bukoto'!C105)</f>
        <v>74</v>
      </c>
      <c r="D105" s="49">
        <f>AVERAGE('01.08 Kisasi-Bukoto'!D105,'03.08 Kisasi-Bukoto'!D105)</f>
        <v>57</v>
      </c>
      <c r="E105" s="49">
        <f>AVERAGE('01.08 Kisasi-Bukoto'!E105,'03.08 Kisasi-Bukoto'!E105)</f>
        <v>0</v>
      </c>
      <c r="F105" s="49">
        <f>AVERAGE('01.08 Kisasi-Bukoto'!F105,'03.08 Kisasi-Bukoto'!F105)</f>
        <v>11.5</v>
      </c>
      <c r="G105" s="49">
        <f>AVERAGE('01.08 Kisasi-Bukoto'!G105,'03.08 Kisasi-Bukoto'!G105)</f>
        <v>0</v>
      </c>
      <c r="H105" s="49">
        <f>AVERAGE('01.08 Kisasi-Bukoto'!H105,'03.08 Kisasi-Bukoto'!H105)</f>
        <v>0</v>
      </c>
      <c r="I105" s="49">
        <f>AVERAGE('01.08 Kisasi-Bukoto'!I105,'03.08 Kisasi-Bukoto'!I105)</f>
        <v>0</v>
      </c>
      <c r="J105" s="49">
        <f>AVERAGE('01.08 Kisasi-Bukoto'!J105,'03.08 Kisasi-Bukoto'!J105)</f>
        <v>0</v>
      </c>
      <c r="K105" s="49">
        <f>AVERAGE('01.08 Kisasi-Bukoto'!K105,'03.08 Kisasi-Bukoto'!K105)</f>
        <v>0</v>
      </c>
      <c r="L105" s="49">
        <f>AVERAGE('01.08 Kisasi-Bukoto'!L105,'03.08 Kisasi-Bukoto'!L105)</f>
        <v>0</v>
      </c>
      <c r="M105" s="49">
        <f>AVERAGE('01.08 Kisasi-Bukoto'!M105,'03.08 Kisasi-Bukoto'!M105)</f>
        <v>9.5</v>
      </c>
      <c r="N105" s="49">
        <f>AVERAGE('01.08 Kisasi-Bukoto'!N105,'03.08 Kisasi-Bukoto'!N105)</f>
        <v>0</v>
      </c>
      <c r="O105" s="15">
        <f t="shared" si="35"/>
        <v>142.5</v>
      </c>
      <c r="P105" s="15">
        <f t="shared" si="36"/>
        <v>152</v>
      </c>
      <c r="R105" s="8"/>
      <c r="T105"/>
    </row>
    <row r="106" spans="2:20" ht="23.1" customHeight="1" x14ac:dyDescent="0.25">
      <c r="B106" s="26" t="s">
        <v>18</v>
      </c>
      <c r="C106" s="16">
        <f t="shared" ref="C106:P106" si="37">SUM(C10:C57)</f>
        <v>1837.8571428571431</v>
      </c>
      <c r="D106" s="16">
        <f t="shared" si="37"/>
        <v>1059.7142857142856</v>
      </c>
      <c r="E106" s="16">
        <f t="shared" si="37"/>
        <v>352.85714285714283</v>
      </c>
      <c r="F106" s="16">
        <f t="shared" si="37"/>
        <v>432.14285714285705</v>
      </c>
      <c r="G106" s="16">
        <f t="shared" si="37"/>
        <v>3.9999999999999996</v>
      </c>
      <c r="H106" s="16">
        <f t="shared" si="37"/>
        <v>1.2857142857142856</v>
      </c>
      <c r="I106" s="16">
        <f t="shared" si="37"/>
        <v>82.142857142857125</v>
      </c>
      <c r="J106" s="16">
        <f t="shared" si="37"/>
        <v>21.428571428571423</v>
      </c>
      <c r="K106" s="16">
        <f t="shared" si="37"/>
        <v>7.4285714285714297</v>
      </c>
      <c r="L106" s="16">
        <f t="shared" si="37"/>
        <v>0.2857142857142857</v>
      </c>
      <c r="M106" s="16">
        <f t="shared" si="37"/>
        <v>2535.2857142857147</v>
      </c>
      <c r="N106" s="16">
        <f t="shared" si="37"/>
        <v>0.14285714285714285</v>
      </c>
      <c r="O106" s="16">
        <f t="shared" si="37"/>
        <v>3799.2857142857142</v>
      </c>
      <c r="P106" s="16">
        <f t="shared" si="37"/>
        <v>6334.5714285714303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0.29013125253709798</v>
      </c>
      <c r="D107" s="43">
        <f t="shared" si="38"/>
        <v>0.16729060484416572</v>
      </c>
      <c r="E107" s="43">
        <f t="shared" si="38"/>
        <v>5.5703396328537262E-2</v>
      </c>
      <c r="F107" s="43">
        <f t="shared" si="38"/>
        <v>6.8219746515718702E-2</v>
      </c>
      <c r="G107" s="43">
        <f t="shared" si="38"/>
        <v>6.3145550493888384E-4</v>
      </c>
      <c r="H107" s="43">
        <f t="shared" si="38"/>
        <v>2.0296784087321269E-4</v>
      </c>
      <c r="I107" s="43">
        <f t="shared" si="38"/>
        <v>1.2967389833566365E-2</v>
      </c>
      <c r="J107" s="43">
        <f t="shared" si="38"/>
        <v>3.3827973478868776E-3</v>
      </c>
      <c r="K107" s="43">
        <f t="shared" si="38"/>
        <v>1.1727030806007847E-3</v>
      </c>
      <c r="L107" s="43">
        <f t="shared" si="38"/>
        <v>4.510396463849171E-5</v>
      </c>
      <c r="M107" s="43">
        <f t="shared" si="38"/>
        <v>0.40023003021965625</v>
      </c>
      <c r="N107" s="43">
        <f t="shared" si="38"/>
        <v>2.2551982319245855E-5</v>
      </c>
      <c r="R107" s="8"/>
      <c r="T107"/>
    </row>
    <row r="108" spans="2:20" ht="23.1" customHeight="1" x14ac:dyDescent="0.25">
      <c r="B108" s="42" t="s">
        <v>94</v>
      </c>
      <c r="C108" s="44">
        <f t="shared" ref="C108:L108" si="39">C106/$O$106</f>
        <v>0.4837375446512503</v>
      </c>
      <c r="D108" s="44">
        <f t="shared" si="39"/>
        <v>0.27892460988907686</v>
      </c>
      <c r="E108" s="44">
        <f t="shared" si="39"/>
        <v>9.2874600488813686E-2</v>
      </c>
      <c r="F108" s="44">
        <f t="shared" si="39"/>
        <v>0.11374318480917464</v>
      </c>
      <c r="G108" s="44">
        <f t="shared" si="39"/>
        <v>1.0528294792254182E-3</v>
      </c>
      <c r="H108" s="44">
        <f t="shared" si="39"/>
        <v>3.3840947546531303E-4</v>
      </c>
      <c r="I108" s="44">
        <f t="shared" si="39"/>
        <v>2.1620605376950552E-2</v>
      </c>
      <c r="J108" s="44">
        <f t="shared" si="39"/>
        <v>5.6401579244218826E-3</v>
      </c>
      <c r="K108" s="44">
        <f t="shared" si="39"/>
        <v>1.9552547471329202E-3</v>
      </c>
      <c r="L108" s="44">
        <f t="shared" si="39"/>
        <v>7.5202105658958446E-5</v>
      </c>
      <c r="M108" s="44"/>
      <c r="N108" s="44">
        <f>N106/$O$106</f>
        <v>3.7601052829479223E-5</v>
      </c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  <c r="R111" s="8"/>
      <c r="T111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Q113" s="7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20" s="7" customFormat="1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/>
      <c r="P129"/>
      <c r="Q129"/>
      <c r="S129" s="8"/>
      <c r="T129" s="8"/>
    </row>
    <row r="130" spans="2:20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20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20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20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20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20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20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20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20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20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20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20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20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20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20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0.10000000000000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2.5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F50" zoomScale="60" workbookViewId="0">
      <selection activeCell="AD54" sqref="AD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'04.08 Bukoto-Kisasi'!C3:G3</f>
        <v>MCC - C1 - STN32 - BUKOTO KISASI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162</v>
      </c>
      <c r="E5" s="66"/>
      <c r="F5" s="41" t="s">
        <v>1</v>
      </c>
      <c r="G5" s="63" t="str">
        <f>'Avg Week Bukoto-Kisasi'!G5:H5</f>
        <v>KISASI</v>
      </c>
      <c r="H5" s="64"/>
      <c r="I5" s="14"/>
      <c r="J5" s="2" t="s">
        <v>5</v>
      </c>
      <c r="K5" s="63" t="str">
        <f>'Avg Week Bukoto-Kisasi'!K5:L5</f>
        <v>RWAMBITITO J./NICHOL A./GEORGE W.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7" t="s">
        <v>161</v>
      </c>
      <c r="E6" s="68"/>
      <c r="F6" s="2" t="s">
        <v>2</v>
      </c>
      <c r="G6" s="67" t="s">
        <v>161</v>
      </c>
      <c r="H6" s="68"/>
      <c r="J6" s="2" t="s">
        <v>21</v>
      </c>
      <c r="K6" s="63" t="str">
        <f>'Avg Week Bukoto-Kisasi'!K6:L6</f>
        <v>SALIMA L.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Kisasi-Bukoto'!C10+'Avg Week Bukoto-Kisasi'!C10</f>
        <v>82.857142857142861</v>
      </c>
      <c r="D10" s="49">
        <f>'Avg Week Kisasi-Bukoto'!D10+'Avg Week Bukoto-Kisasi'!D10</f>
        <v>49.571428571428569</v>
      </c>
      <c r="E10" s="49">
        <f>'Avg Week Kisasi-Bukoto'!E10+'Avg Week Bukoto-Kisasi'!E10</f>
        <v>5.8571428571428577</v>
      </c>
      <c r="F10" s="49">
        <f>'Avg Week Kisasi-Bukoto'!F10+'Avg Week Bukoto-Kisasi'!F10</f>
        <v>19.714285714285715</v>
      </c>
      <c r="G10" s="49">
        <f>'Avg Week Kisasi-Bukoto'!G10+'Avg Week Bukoto-Kisasi'!G10</f>
        <v>0.7142857142857143</v>
      </c>
      <c r="H10" s="49">
        <f>'Avg Week Kisasi-Bukoto'!H10+'Avg Week Bukoto-Kisasi'!H10</f>
        <v>0</v>
      </c>
      <c r="I10" s="49">
        <f>'Avg Week Kisasi-Bukoto'!I10+'Avg Week Bukoto-Kisasi'!I10</f>
        <v>3</v>
      </c>
      <c r="J10" s="49">
        <f>'Avg Week Kisasi-Bukoto'!J10+'Avg Week Bukoto-Kisasi'!J10</f>
        <v>0.42857142857142855</v>
      </c>
      <c r="K10" s="49">
        <f>'Avg Week Kisasi-Bukoto'!K10+'Avg Week Bukoto-Kisasi'!K10</f>
        <v>0</v>
      </c>
      <c r="L10" s="49">
        <f>'Avg Week Kisasi-Bukoto'!L10+'Avg Week Bukoto-Kisasi'!L10</f>
        <v>0</v>
      </c>
      <c r="M10" s="49">
        <f>'Avg Week Kisasi-Bukoto'!M10+'Avg Week Bukoto-Kisasi'!M10</f>
        <v>131</v>
      </c>
      <c r="N10" s="49">
        <f>'Avg Week Kisasi-Bukoto'!N10+'Avg Week Bukoto-Kisasi'!N10</f>
        <v>0</v>
      </c>
      <c r="O10" s="15">
        <f t="shared" ref="O10:O73" si="0">SUM(C10:L10,N10)</f>
        <v>162.14285714285717</v>
      </c>
      <c r="P10" s="15">
        <f t="shared" ref="P10:P73" si="1">SUM(C10:N10)</f>
        <v>293.14285714285717</v>
      </c>
      <c r="R10" s="1" t="s">
        <v>6</v>
      </c>
      <c r="S10" s="17">
        <f t="shared" ref="S10:AF10" si="2">SUM(C10:C13)</f>
        <v>377.42857142857139</v>
      </c>
      <c r="T10" s="17">
        <f t="shared" si="2"/>
        <v>241.85714285714286</v>
      </c>
      <c r="U10" s="17">
        <f t="shared" si="2"/>
        <v>24.714285714285715</v>
      </c>
      <c r="V10" s="17">
        <f t="shared" si="2"/>
        <v>76.571428571428584</v>
      </c>
      <c r="W10" s="17">
        <f t="shared" si="2"/>
        <v>0.85714285714285721</v>
      </c>
      <c r="X10" s="17">
        <f t="shared" si="2"/>
        <v>0.14285714285714285</v>
      </c>
      <c r="Y10" s="17">
        <f t="shared" si="2"/>
        <v>14.714285714285715</v>
      </c>
      <c r="Z10" s="17">
        <f t="shared" si="2"/>
        <v>1.4285714285714284</v>
      </c>
      <c r="AA10" s="17">
        <f t="shared" si="2"/>
        <v>0.2857142857142857</v>
      </c>
      <c r="AB10" s="17">
        <f t="shared" si="2"/>
        <v>0</v>
      </c>
      <c r="AC10" s="17">
        <f t="shared" si="2"/>
        <v>565.42857142857144</v>
      </c>
      <c r="AD10" s="17">
        <f t="shared" si="2"/>
        <v>0</v>
      </c>
      <c r="AE10" s="31">
        <f t="shared" si="2"/>
        <v>738.00000000000011</v>
      </c>
      <c r="AF10" s="31">
        <f t="shared" si="2"/>
        <v>1303.4285714285716</v>
      </c>
    </row>
    <row r="11" spans="2:32" s="6" customFormat="1" ht="23.1" customHeight="1" x14ac:dyDescent="0.25">
      <c r="B11" s="23" t="s">
        <v>38</v>
      </c>
      <c r="C11" s="49">
        <f>'Avg Week Kisasi-Bukoto'!C11+'Avg Week Bukoto-Kisasi'!C11</f>
        <v>83.428571428571431</v>
      </c>
      <c r="D11" s="49">
        <f>'Avg Week Kisasi-Bukoto'!D11+'Avg Week Bukoto-Kisasi'!D11</f>
        <v>56.428571428571431</v>
      </c>
      <c r="E11" s="49">
        <f>'Avg Week Kisasi-Bukoto'!E11+'Avg Week Bukoto-Kisasi'!E11</f>
        <v>6.5714285714285712</v>
      </c>
      <c r="F11" s="49">
        <f>'Avg Week Kisasi-Bukoto'!F11+'Avg Week Bukoto-Kisasi'!F11</f>
        <v>21.142857142857142</v>
      </c>
      <c r="G11" s="49">
        <f>'Avg Week Kisasi-Bukoto'!G11+'Avg Week Bukoto-Kisasi'!G11</f>
        <v>0</v>
      </c>
      <c r="H11" s="49">
        <f>'Avg Week Kisasi-Bukoto'!H11+'Avg Week Bukoto-Kisasi'!H11</f>
        <v>0.14285714285714285</v>
      </c>
      <c r="I11" s="49">
        <f>'Avg Week Kisasi-Bukoto'!I11+'Avg Week Bukoto-Kisasi'!I11</f>
        <v>3.8571428571428572</v>
      </c>
      <c r="J11" s="49">
        <f>'Avg Week Kisasi-Bukoto'!J11+'Avg Week Bukoto-Kisasi'!J11</f>
        <v>0</v>
      </c>
      <c r="K11" s="49">
        <f>'Avg Week Kisasi-Bukoto'!K11+'Avg Week Bukoto-Kisasi'!K11</f>
        <v>0</v>
      </c>
      <c r="L11" s="49">
        <f>'Avg Week Kisasi-Bukoto'!L11+'Avg Week Bukoto-Kisasi'!L11</f>
        <v>0</v>
      </c>
      <c r="M11" s="49">
        <f>'Avg Week Kisasi-Bukoto'!M11+'Avg Week Bukoto-Kisasi'!M11</f>
        <v>135</v>
      </c>
      <c r="N11" s="49">
        <f>'Avg Week Kisasi-Bukoto'!N11+'Avg Week Bukoto-Kisasi'!N11</f>
        <v>0</v>
      </c>
      <c r="O11" s="15">
        <f t="shared" si="0"/>
        <v>171.57142857142858</v>
      </c>
      <c r="P11" s="15">
        <f t="shared" si="1"/>
        <v>306.57142857142856</v>
      </c>
      <c r="R11" s="1" t="s">
        <v>7</v>
      </c>
      <c r="S11" s="17">
        <f t="shared" ref="S11:AF11" si="3">SUM(C14:C17)</f>
        <v>352.57142857142856</v>
      </c>
      <c r="T11" s="17">
        <f t="shared" si="3"/>
        <v>231.57142857142858</v>
      </c>
      <c r="U11" s="17">
        <f t="shared" si="3"/>
        <v>29.142857142857146</v>
      </c>
      <c r="V11" s="17">
        <f t="shared" si="3"/>
        <v>80.571428571428569</v>
      </c>
      <c r="W11" s="17">
        <f t="shared" si="3"/>
        <v>0.42857142857142855</v>
      </c>
      <c r="X11" s="17">
        <f t="shared" si="3"/>
        <v>0</v>
      </c>
      <c r="Y11" s="17">
        <f t="shared" si="3"/>
        <v>18.571428571428573</v>
      </c>
      <c r="Z11" s="17">
        <f t="shared" si="3"/>
        <v>1.8571428571428572</v>
      </c>
      <c r="AA11" s="17">
        <f t="shared" si="3"/>
        <v>1</v>
      </c>
      <c r="AB11" s="17">
        <f t="shared" si="3"/>
        <v>0</v>
      </c>
      <c r="AC11" s="17">
        <f t="shared" si="3"/>
        <v>596.57142857142856</v>
      </c>
      <c r="AD11" s="17">
        <f t="shared" si="3"/>
        <v>0</v>
      </c>
      <c r="AE11" s="31">
        <f t="shared" si="3"/>
        <v>715.71428571428555</v>
      </c>
      <c r="AF11" s="31">
        <f t="shared" si="3"/>
        <v>1312.2857142857142</v>
      </c>
    </row>
    <row r="12" spans="2:32" ht="23.1" customHeight="1" x14ac:dyDescent="0.25">
      <c r="B12" s="23" t="s">
        <v>39</v>
      </c>
      <c r="C12" s="49">
        <f>'Avg Week Kisasi-Bukoto'!C12+'Avg Week Bukoto-Kisasi'!C12</f>
        <v>94.857142857142861</v>
      </c>
      <c r="D12" s="49">
        <f>'Avg Week Kisasi-Bukoto'!D12+'Avg Week Bukoto-Kisasi'!D12</f>
        <v>58.857142857142861</v>
      </c>
      <c r="E12" s="49">
        <f>'Avg Week Kisasi-Bukoto'!E12+'Avg Week Bukoto-Kisasi'!E12</f>
        <v>6.7142857142857144</v>
      </c>
      <c r="F12" s="49">
        <f>'Avg Week Kisasi-Bukoto'!F12+'Avg Week Bukoto-Kisasi'!F12</f>
        <v>15.428571428571431</v>
      </c>
      <c r="G12" s="49">
        <f>'Avg Week Kisasi-Bukoto'!G12+'Avg Week Bukoto-Kisasi'!G12</f>
        <v>0.14285714285714285</v>
      </c>
      <c r="H12" s="49">
        <f>'Avg Week Kisasi-Bukoto'!H12+'Avg Week Bukoto-Kisasi'!H12</f>
        <v>0</v>
      </c>
      <c r="I12" s="49">
        <f>'Avg Week Kisasi-Bukoto'!I12+'Avg Week Bukoto-Kisasi'!I12</f>
        <v>4.1428571428571423</v>
      </c>
      <c r="J12" s="49">
        <f>'Avg Week Kisasi-Bukoto'!J12+'Avg Week Bukoto-Kisasi'!J12</f>
        <v>0.2857142857142857</v>
      </c>
      <c r="K12" s="49">
        <f>'Avg Week Kisasi-Bukoto'!K12+'Avg Week Bukoto-Kisasi'!K12</f>
        <v>0.2857142857142857</v>
      </c>
      <c r="L12" s="49">
        <f>'Avg Week Kisasi-Bukoto'!L12+'Avg Week Bukoto-Kisasi'!L12</f>
        <v>0</v>
      </c>
      <c r="M12" s="49">
        <f>'Avg Week Kisasi-Bukoto'!M12+'Avg Week Bukoto-Kisasi'!M12</f>
        <v>139.57142857142858</v>
      </c>
      <c r="N12" s="49">
        <f>'Avg Week Kisasi-Bukoto'!N12+'Avg Week Bukoto-Kisasi'!N12</f>
        <v>0</v>
      </c>
      <c r="O12" s="15">
        <f t="shared" si="0"/>
        <v>180.71428571428572</v>
      </c>
      <c r="P12" s="15">
        <f t="shared" si="1"/>
        <v>320.28571428571433</v>
      </c>
      <c r="R12" s="1" t="s">
        <v>8</v>
      </c>
      <c r="S12" s="17">
        <f t="shared" ref="S12:AF12" si="4">SUM(C18:C21)</f>
        <v>330</v>
      </c>
      <c r="T12" s="17">
        <f t="shared" si="4"/>
        <v>203.28571428571428</v>
      </c>
      <c r="U12" s="17">
        <f t="shared" si="4"/>
        <v>26.857142857142858</v>
      </c>
      <c r="V12" s="17">
        <f t="shared" si="4"/>
        <v>74.285714285714278</v>
      </c>
      <c r="W12" s="17">
        <f t="shared" si="4"/>
        <v>0.2857142857142857</v>
      </c>
      <c r="X12" s="17">
        <f t="shared" si="4"/>
        <v>0.5714285714285714</v>
      </c>
      <c r="Y12" s="17">
        <f t="shared" si="4"/>
        <v>18.714285714285715</v>
      </c>
      <c r="Z12" s="17">
        <f t="shared" si="4"/>
        <v>3.1428571428571428</v>
      </c>
      <c r="AA12" s="17">
        <f t="shared" si="4"/>
        <v>0.8571428571428571</v>
      </c>
      <c r="AB12" s="17">
        <f t="shared" si="4"/>
        <v>0</v>
      </c>
      <c r="AC12" s="17">
        <f t="shared" si="4"/>
        <v>538.57142857142867</v>
      </c>
      <c r="AD12" s="17">
        <f t="shared" si="4"/>
        <v>0</v>
      </c>
      <c r="AE12" s="31">
        <f t="shared" si="4"/>
        <v>658</v>
      </c>
      <c r="AF12" s="31">
        <f t="shared" si="4"/>
        <v>1196.5714285714284</v>
      </c>
    </row>
    <row r="13" spans="2:32" ht="23.1" customHeight="1" x14ac:dyDescent="0.25">
      <c r="B13" s="23" t="s">
        <v>40</v>
      </c>
      <c r="C13" s="49">
        <f>'Avg Week Kisasi-Bukoto'!C13+'Avg Week Bukoto-Kisasi'!C13</f>
        <v>116.28571428571428</v>
      </c>
      <c r="D13" s="49">
        <f>'Avg Week Kisasi-Bukoto'!D13+'Avg Week Bukoto-Kisasi'!D13</f>
        <v>77</v>
      </c>
      <c r="E13" s="49">
        <f>'Avg Week Kisasi-Bukoto'!E13+'Avg Week Bukoto-Kisasi'!E13</f>
        <v>5.5714285714285712</v>
      </c>
      <c r="F13" s="49">
        <f>'Avg Week Kisasi-Bukoto'!F13+'Avg Week Bukoto-Kisasi'!F13</f>
        <v>20.285714285714285</v>
      </c>
      <c r="G13" s="49">
        <f>'Avg Week Kisasi-Bukoto'!G13+'Avg Week Bukoto-Kisasi'!G13</f>
        <v>0</v>
      </c>
      <c r="H13" s="49">
        <f>'Avg Week Kisasi-Bukoto'!H13+'Avg Week Bukoto-Kisasi'!H13</f>
        <v>0</v>
      </c>
      <c r="I13" s="49">
        <f>'Avg Week Kisasi-Bukoto'!I13+'Avg Week Bukoto-Kisasi'!I13</f>
        <v>3.7142857142857144</v>
      </c>
      <c r="J13" s="49">
        <f>'Avg Week Kisasi-Bukoto'!J13+'Avg Week Bukoto-Kisasi'!J13</f>
        <v>0.71428571428571419</v>
      </c>
      <c r="K13" s="49">
        <f>'Avg Week Kisasi-Bukoto'!K13+'Avg Week Bukoto-Kisasi'!K13</f>
        <v>0</v>
      </c>
      <c r="L13" s="49">
        <f>'Avg Week Kisasi-Bukoto'!L13+'Avg Week Bukoto-Kisasi'!L13</f>
        <v>0</v>
      </c>
      <c r="M13" s="49">
        <f>'Avg Week Kisasi-Bukoto'!M13+'Avg Week Bukoto-Kisasi'!M13</f>
        <v>159.85714285714286</v>
      </c>
      <c r="N13" s="49">
        <f>'Avg Week Kisasi-Bukoto'!N13+'Avg Week Bukoto-Kisasi'!N13</f>
        <v>0</v>
      </c>
      <c r="O13" s="15">
        <f t="shared" si="0"/>
        <v>223.57142857142858</v>
      </c>
      <c r="P13" s="15">
        <f t="shared" si="1"/>
        <v>383.42857142857144</v>
      </c>
      <c r="R13" s="1" t="s">
        <v>9</v>
      </c>
      <c r="S13" s="17">
        <f t="shared" ref="S13:AF13" si="5">SUM(C22:C25)</f>
        <v>310.42857142857144</v>
      </c>
      <c r="T13" s="17">
        <f t="shared" si="5"/>
        <v>191</v>
      </c>
      <c r="U13" s="17">
        <f t="shared" si="5"/>
        <v>26.285714285714285</v>
      </c>
      <c r="V13" s="17">
        <f t="shared" si="5"/>
        <v>71.142857142857139</v>
      </c>
      <c r="W13" s="17">
        <f t="shared" si="5"/>
        <v>1.714285714285714</v>
      </c>
      <c r="X13" s="17">
        <f t="shared" si="5"/>
        <v>0</v>
      </c>
      <c r="Y13" s="17">
        <f t="shared" si="5"/>
        <v>20.285714285714285</v>
      </c>
      <c r="Z13" s="17">
        <f t="shared" si="5"/>
        <v>3.8571428571428572</v>
      </c>
      <c r="AA13" s="17">
        <f t="shared" si="5"/>
        <v>1.1428571428571428</v>
      </c>
      <c r="AB13" s="17">
        <f t="shared" si="5"/>
        <v>0</v>
      </c>
      <c r="AC13" s="17">
        <f t="shared" si="5"/>
        <v>552.71428571428567</v>
      </c>
      <c r="AD13" s="17">
        <f t="shared" si="5"/>
        <v>0</v>
      </c>
      <c r="AE13" s="31">
        <f t="shared" si="5"/>
        <v>625.85714285714289</v>
      </c>
      <c r="AF13" s="31">
        <f t="shared" si="5"/>
        <v>1178.5714285714284</v>
      </c>
    </row>
    <row r="14" spans="2:32" ht="23.1" customHeight="1" x14ac:dyDescent="0.25">
      <c r="B14" s="23" t="s">
        <v>41</v>
      </c>
      <c r="C14" s="49">
        <f>'Avg Week Kisasi-Bukoto'!C14+'Avg Week Bukoto-Kisasi'!C14</f>
        <v>109</v>
      </c>
      <c r="D14" s="49">
        <f>'Avg Week Kisasi-Bukoto'!D14+'Avg Week Bukoto-Kisasi'!D14</f>
        <v>75.285714285714278</v>
      </c>
      <c r="E14" s="49">
        <f>'Avg Week Kisasi-Bukoto'!E14+'Avg Week Bukoto-Kisasi'!E14</f>
        <v>6.2857142857142865</v>
      </c>
      <c r="F14" s="49">
        <f>'Avg Week Kisasi-Bukoto'!F14+'Avg Week Bukoto-Kisasi'!F14</f>
        <v>21.142857142857142</v>
      </c>
      <c r="G14" s="49">
        <f>'Avg Week Kisasi-Bukoto'!G14+'Avg Week Bukoto-Kisasi'!G14</f>
        <v>0</v>
      </c>
      <c r="H14" s="49">
        <f>'Avg Week Kisasi-Bukoto'!H14+'Avg Week Bukoto-Kisasi'!H14</f>
        <v>0</v>
      </c>
      <c r="I14" s="49">
        <f>'Avg Week Kisasi-Bukoto'!I14+'Avg Week Bukoto-Kisasi'!I14</f>
        <v>4.4285714285714288</v>
      </c>
      <c r="J14" s="49">
        <f>'Avg Week Kisasi-Bukoto'!J14+'Avg Week Bukoto-Kisasi'!J14</f>
        <v>0</v>
      </c>
      <c r="K14" s="49">
        <f>'Avg Week Kisasi-Bukoto'!K14+'Avg Week Bukoto-Kisasi'!K14</f>
        <v>0.7142857142857143</v>
      </c>
      <c r="L14" s="49">
        <f>'Avg Week Kisasi-Bukoto'!L14+'Avg Week Bukoto-Kisasi'!L14</f>
        <v>0</v>
      </c>
      <c r="M14" s="49">
        <f>'Avg Week Kisasi-Bukoto'!M14+'Avg Week Bukoto-Kisasi'!M14</f>
        <v>161.57142857142858</v>
      </c>
      <c r="N14" s="49">
        <f>'Avg Week Kisasi-Bukoto'!N14+'Avg Week Bukoto-Kisasi'!N14</f>
        <v>0</v>
      </c>
      <c r="O14" s="15">
        <f t="shared" si="0"/>
        <v>216.85714285714283</v>
      </c>
      <c r="P14" s="15">
        <f t="shared" si="1"/>
        <v>378.42857142857144</v>
      </c>
      <c r="R14" s="1" t="s">
        <v>10</v>
      </c>
      <c r="S14" s="17">
        <f t="shared" ref="S14:AF14" si="6">SUM(C26:C29)</f>
        <v>279.14285714285711</v>
      </c>
      <c r="T14" s="17">
        <f t="shared" si="6"/>
        <v>156.14285714285714</v>
      </c>
      <c r="U14" s="17">
        <f t="shared" si="6"/>
        <v>27.857142857142858</v>
      </c>
      <c r="V14" s="17">
        <f t="shared" si="6"/>
        <v>71.571428571428584</v>
      </c>
      <c r="W14" s="17">
        <f t="shared" si="6"/>
        <v>0.14285714285714285</v>
      </c>
      <c r="X14" s="17">
        <f t="shared" si="6"/>
        <v>0</v>
      </c>
      <c r="Y14" s="17">
        <f t="shared" si="6"/>
        <v>15.428571428571429</v>
      </c>
      <c r="Z14" s="17">
        <f t="shared" si="6"/>
        <v>3.5714285714285716</v>
      </c>
      <c r="AA14" s="17">
        <f t="shared" si="6"/>
        <v>1.714285714285714</v>
      </c>
      <c r="AB14" s="17">
        <f t="shared" si="6"/>
        <v>0</v>
      </c>
      <c r="AC14" s="17">
        <f t="shared" si="6"/>
        <v>493.71428571428572</v>
      </c>
      <c r="AD14" s="17">
        <f t="shared" si="6"/>
        <v>0.14285714285714285</v>
      </c>
      <c r="AE14" s="31">
        <f t="shared" si="6"/>
        <v>555.71428571428578</v>
      </c>
      <c r="AF14" s="31">
        <f t="shared" si="6"/>
        <v>1049.4285714285716</v>
      </c>
    </row>
    <row r="15" spans="2:32" ht="23.1" customHeight="1" x14ac:dyDescent="0.25">
      <c r="B15" s="23" t="s">
        <v>42</v>
      </c>
      <c r="C15" s="49">
        <f>'Avg Week Kisasi-Bukoto'!C15+'Avg Week Bukoto-Kisasi'!C15</f>
        <v>95.285714285714292</v>
      </c>
      <c r="D15" s="49">
        <f>'Avg Week Kisasi-Bukoto'!D15+'Avg Week Bukoto-Kisasi'!D15</f>
        <v>58.428571428571431</v>
      </c>
      <c r="E15" s="49">
        <f>'Avg Week Kisasi-Bukoto'!E15+'Avg Week Bukoto-Kisasi'!E15</f>
        <v>8.2857142857142847</v>
      </c>
      <c r="F15" s="49">
        <f>'Avg Week Kisasi-Bukoto'!F15+'Avg Week Bukoto-Kisasi'!F15</f>
        <v>20.571428571428569</v>
      </c>
      <c r="G15" s="49">
        <f>'Avg Week Kisasi-Bukoto'!G15+'Avg Week Bukoto-Kisasi'!G15</f>
        <v>0</v>
      </c>
      <c r="H15" s="49">
        <f>'Avg Week Kisasi-Bukoto'!H15+'Avg Week Bukoto-Kisasi'!H15</f>
        <v>0</v>
      </c>
      <c r="I15" s="49">
        <f>'Avg Week Kisasi-Bukoto'!I15+'Avg Week Bukoto-Kisasi'!I15</f>
        <v>5.2857142857142856</v>
      </c>
      <c r="J15" s="49">
        <f>'Avg Week Kisasi-Bukoto'!J15+'Avg Week Bukoto-Kisasi'!J15</f>
        <v>0.5714285714285714</v>
      </c>
      <c r="K15" s="49">
        <f>'Avg Week Kisasi-Bukoto'!K15+'Avg Week Bukoto-Kisasi'!K15</f>
        <v>0.2857142857142857</v>
      </c>
      <c r="L15" s="49">
        <f>'Avg Week Kisasi-Bukoto'!L15+'Avg Week Bukoto-Kisasi'!L15</f>
        <v>0</v>
      </c>
      <c r="M15" s="49">
        <f>'Avg Week Kisasi-Bukoto'!M15+'Avg Week Bukoto-Kisasi'!M15</f>
        <v>140.85714285714286</v>
      </c>
      <c r="N15" s="49">
        <f>'Avg Week Kisasi-Bukoto'!N15+'Avg Week Bukoto-Kisasi'!N15</f>
        <v>0</v>
      </c>
      <c r="O15" s="15">
        <f t="shared" si="0"/>
        <v>188.71428571428569</v>
      </c>
      <c r="P15" s="15">
        <f t="shared" si="1"/>
        <v>329.57142857142856</v>
      </c>
      <c r="R15" s="1" t="s">
        <v>11</v>
      </c>
      <c r="S15" s="17">
        <f t="shared" ref="S15:AF15" si="7">SUM(C30:C33)</f>
        <v>259.71428571428572</v>
      </c>
      <c r="T15" s="17">
        <f t="shared" si="7"/>
        <v>142</v>
      </c>
      <c r="U15" s="17">
        <f t="shared" si="7"/>
        <v>31.428571428571431</v>
      </c>
      <c r="V15" s="17">
        <f t="shared" si="7"/>
        <v>68.142857142857139</v>
      </c>
      <c r="W15" s="17">
        <f t="shared" si="7"/>
        <v>0.14285714285714285</v>
      </c>
      <c r="X15" s="17">
        <f t="shared" si="7"/>
        <v>0</v>
      </c>
      <c r="Y15" s="17">
        <f t="shared" si="7"/>
        <v>16.142857142857142</v>
      </c>
      <c r="Z15" s="17">
        <f t="shared" si="7"/>
        <v>1.5714285714285712</v>
      </c>
      <c r="AA15" s="17">
        <f t="shared" si="7"/>
        <v>1.5714285714285714</v>
      </c>
      <c r="AB15" s="17">
        <f t="shared" si="7"/>
        <v>0</v>
      </c>
      <c r="AC15" s="17">
        <f t="shared" si="7"/>
        <v>458.28571428571433</v>
      </c>
      <c r="AD15" s="17">
        <f t="shared" si="7"/>
        <v>0</v>
      </c>
      <c r="AE15" s="31">
        <f t="shared" si="7"/>
        <v>520.71428571428578</v>
      </c>
      <c r="AF15" s="31">
        <f t="shared" si="7"/>
        <v>979</v>
      </c>
    </row>
    <row r="16" spans="2:32" ht="23.1" customHeight="1" x14ac:dyDescent="0.25">
      <c r="B16" s="23" t="s">
        <v>43</v>
      </c>
      <c r="C16" s="49">
        <f>'Avg Week Kisasi-Bukoto'!C16+'Avg Week Bukoto-Kisasi'!C16</f>
        <v>82.142857142857139</v>
      </c>
      <c r="D16" s="49">
        <f>'Avg Week Kisasi-Bukoto'!D16+'Avg Week Bukoto-Kisasi'!D16</f>
        <v>52</v>
      </c>
      <c r="E16" s="49">
        <f>'Avg Week Kisasi-Bukoto'!E16+'Avg Week Bukoto-Kisasi'!E16</f>
        <v>7.1428571428571432</v>
      </c>
      <c r="F16" s="49">
        <f>'Avg Week Kisasi-Bukoto'!F16+'Avg Week Bukoto-Kisasi'!F16</f>
        <v>21</v>
      </c>
      <c r="G16" s="49">
        <f>'Avg Week Kisasi-Bukoto'!G16+'Avg Week Bukoto-Kisasi'!G16</f>
        <v>0.14285714285714285</v>
      </c>
      <c r="H16" s="49">
        <f>'Avg Week Kisasi-Bukoto'!H16+'Avg Week Bukoto-Kisasi'!H16</f>
        <v>0</v>
      </c>
      <c r="I16" s="49">
        <f>'Avg Week Kisasi-Bukoto'!I16+'Avg Week Bukoto-Kisasi'!I16</f>
        <v>4</v>
      </c>
      <c r="J16" s="49">
        <f>'Avg Week Kisasi-Bukoto'!J16+'Avg Week Bukoto-Kisasi'!J16</f>
        <v>0.42857142857142855</v>
      </c>
      <c r="K16" s="49">
        <f>'Avg Week Kisasi-Bukoto'!K16+'Avg Week Bukoto-Kisasi'!K16</f>
        <v>0</v>
      </c>
      <c r="L16" s="49">
        <f>'Avg Week Kisasi-Bukoto'!L16+'Avg Week Bukoto-Kisasi'!L16</f>
        <v>0</v>
      </c>
      <c r="M16" s="49">
        <f>'Avg Week Kisasi-Bukoto'!M16+'Avg Week Bukoto-Kisasi'!M16</f>
        <v>145.28571428571428</v>
      </c>
      <c r="N16" s="49">
        <f>'Avg Week Kisasi-Bukoto'!N16+'Avg Week Bukoto-Kisasi'!N16</f>
        <v>0</v>
      </c>
      <c r="O16" s="15">
        <f t="shared" si="0"/>
        <v>166.85714285714283</v>
      </c>
      <c r="P16" s="15">
        <f t="shared" si="1"/>
        <v>312.14285714285711</v>
      </c>
      <c r="R16" s="1" t="s">
        <v>12</v>
      </c>
      <c r="S16" s="17">
        <f t="shared" ref="S16:AF16" si="8">SUM(C34:C37)</f>
        <v>229</v>
      </c>
      <c r="T16" s="17">
        <f t="shared" si="8"/>
        <v>133.00000000000003</v>
      </c>
      <c r="U16" s="17">
        <f t="shared" si="8"/>
        <v>30</v>
      </c>
      <c r="V16" s="17">
        <f t="shared" si="8"/>
        <v>60</v>
      </c>
      <c r="W16" s="17">
        <f t="shared" si="8"/>
        <v>0</v>
      </c>
      <c r="X16" s="17">
        <f t="shared" si="8"/>
        <v>0</v>
      </c>
      <c r="Y16" s="17">
        <f t="shared" si="8"/>
        <v>17</v>
      </c>
      <c r="Z16" s="17">
        <f t="shared" si="8"/>
        <v>1.7142857142857142</v>
      </c>
      <c r="AA16" s="17">
        <f t="shared" si="8"/>
        <v>2.1428571428571428</v>
      </c>
      <c r="AB16" s="17">
        <f t="shared" si="8"/>
        <v>0</v>
      </c>
      <c r="AC16" s="17">
        <f t="shared" si="8"/>
        <v>445.57142857142856</v>
      </c>
      <c r="AD16" s="17">
        <f t="shared" si="8"/>
        <v>0</v>
      </c>
      <c r="AE16" s="31">
        <f t="shared" si="8"/>
        <v>472.85714285714283</v>
      </c>
      <c r="AF16" s="31">
        <f t="shared" si="8"/>
        <v>918.42857142857144</v>
      </c>
    </row>
    <row r="17" spans="2:32" ht="23.1" customHeight="1" x14ac:dyDescent="0.25">
      <c r="B17" s="23" t="s">
        <v>44</v>
      </c>
      <c r="C17" s="49">
        <f>'Avg Week Kisasi-Bukoto'!C17+'Avg Week Bukoto-Kisasi'!C17</f>
        <v>66.142857142857139</v>
      </c>
      <c r="D17" s="49">
        <f>'Avg Week Kisasi-Bukoto'!D17+'Avg Week Bukoto-Kisasi'!D17</f>
        <v>45.857142857142861</v>
      </c>
      <c r="E17" s="49">
        <f>'Avg Week Kisasi-Bukoto'!E17+'Avg Week Bukoto-Kisasi'!E17</f>
        <v>7.4285714285714288</v>
      </c>
      <c r="F17" s="49">
        <f>'Avg Week Kisasi-Bukoto'!F17+'Avg Week Bukoto-Kisasi'!F17</f>
        <v>17.857142857142858</v>
      </c>
      <c r="G17" s="49">
        <f>'Avg Week Kisasi-Bukoto'!G17+'Avg Week Bukoto-Kisasi'!G17</f>
        <v>0.2857142857142857</v>
      </c>
      <c r="H17" s="49">
        <f>'Avg Week Kisasi-Bukoto'!H17+'Avg Week Bukoto-Kisasi'!H17</f>
        <v>0</v>
      </c>
      <c r="I17" s="49">
        <f>'Avg Week Kisasi-Bukoto'!I17+'Avg Week Bukoto-Kisasi'!I17</f>
        <v>4.8571428571428568</v>
      </c>
      <c r="J17" s="49">
        <f>'Avg Week Kisasi-Bukoto'!J17+'Avg Week Bukoto-Kisasi'!J17</f>
        <v>0.8571428571428571</v>
      </c>
      <c r="K17" s="49">
        <f>'Avg Week Kisasi-Bukoto'!K17+'Avg Week Bukoto-Kisasi'!K17</f>
        <v>0</v>
      </c>
      <c r="L17" s="49">
        <f>'Avg Week Kisasi-Bukoto'!L17+'Avg Week Bukoto-Kisasi'!L17</f>
        <v>0</v>
      </c>
      <c r="M17" s="49">
        <f>'Avg Week Kisasi-Bukoto'!M17+'Avg Week Bukoto-Kisasi'!M17</f>
        <v>148.85714285714286</v>
      </c>
      <c r="N17" s="49">
        <f>'Avg Week Kisasi-Bukoto'!N17+'Avg Week Bukoto-Kisasi'!N17</f>
        <v>0</v>
      </c>
      <c r="O17" s="15">
        <f t="shared" si="0"/>
        <v>143.28571428571428</v>
      </c>
      <c r="P17" s="15">
        <f t="shared" si="1"/>
        <v>292.14285714285711</v>
      </c>
      <c r="R17" s="1" t="s">
        <v>13</v>
      </c>
      <c r="S17" s="17">
        <f t="shared" ref="S17:AF17" si="9">SUM(C38:C41)</f>
        <v>256.57142857142856</v>
      </c>
      <c r="T17" s="17">
        <f t="shared" si="9"/>
        <v>143.28571428571431</v>
      </c>
      <c r="U17" s="17">
        <f t="shared" si="9"/>
        <v>33.857142857142861</v>
      </c>
      <c r="V17" s="17">
        <f t="shared" si="9"/>
        <v>74.142857142857139</v>
      </c>
      <c r="W17" s="17">
        <f t="shared" si="9"/>
        <v>0.14285714285714285</v>
      </c>
      <c r="X17" s="17">
        <f t="shared" si="9"/>
        <v>0.42857142857142855</v>
      </c>
      <c r="Y17" s="17">
        <f t="shared" si="9"/>
        <v>14.285714285714285</v>
      </c>
      <c r="Z17" s="17">
        <f t="shared" si="9"/>
        <v>3.2857142857142856</v>
      </c>
      <c r="AA17" s="17">
        <f t="shared" si="9"/>
        <v>1.2857142857142856</v>
      </c>
      <c r="AB17" s="17">
        <f t="shared" si="9"/>
        <v>0.2857142857142857</v>
      </c>
      <c r="AC17" s="17">
        <f t="shared" si="9"/>
        <v>471.71428571428567</v>
      </c>
      <c r="AD17" s="17">
        <f t="shared" si="9"/>
        <v>0</v>
      </c>
      <c r="AE17" s="31">
        <f t="shared" si="9"/>
        <v>527.57142857142856</v>
      </c>
      <c r="AF17" s="31">
        <f t="shared" si="9"/>
        <v>999.28571428571422</v>
      </c>
    </row>
    <row r="18" spans="2:32" ht="23.1" customHeight="1" x14ac:dyDescent="0.25">
      <c r="B18" s="23" t="s">
        <v>45</v>
      </c>
      <c r="C18" s="49">
        <f>'Avg Week Kisasi-Bukoto'!C18+'Avg Week Bukoto-Kisasi'!C18</f>
        <v>79.857142857142861</v>
      </c>
      <c r="D18" s="49">
        <f>'Avg Week Kisasi-Bukoto'!D18+'Avg Week Bukoto-Kisasi'!D18</f>
        <v>56.142857142857139</v>
      </c>
      <c r="E18" s="49">
        <f>'Avg Week Kisasi-Bukoto'!E18+'Avg Week Bukoto-Kisasi'!E18</f>
        <v>7</v>
      </c>
      <c r="F18" s="49">
        <f>'Avg Week Kisasi-Bukoto'!F18+'Avg Week Bukoto-Kisasi'!F18</f>
        <v>19.285714285714285</v>
      </c>
      <c r="G18" s="49">
        <f>'Avg Week Kisasi-Bukoto'!G18+'Avg Week Bukoto-Kisasi'!G18</f>
        <v>0</v>
      </c>
      <c r="H18" s="49">
        <f>'Avg Week Kisasi-Bukoto'!H18+'Avg Week Bukoto-Kisasi'!H18</f>
        <v>0.42857142857142855</v>
      </c>
      <c r="I18" s="49">
        <f>'Avg Week Kisasi-Bukoto'!I18+'Avg Week Bukoto-Kisasi'!I18</f>
        <v>4.8571428571428577</v>
      </c>
      <c r="J18" s="49">
        <f>'Avg Week Kisasi-Bukoto'!J18+'Avg Week Bukoto-Kisasi'!J18</f>
        <v>0.71428571428571419</v>
      </c>
      <c r="K18" s="49">
        <f>'Avg Week Kisasi-Bukoto'!K18+'Avg Week Bukoto-Kisasi'!K18</f>
        <v>0.2857142857142857</v>
      </c>
      <c r="L18" s="49">
        <f>'Avg Week Kisasi-Bukoto'!L18+'Avg Week Bukoto-Kisasi'!L18</f>
        <v>0</v>
      </c>
      <c r="M18" s="49">
        <f>'Avg Week Kisasi-Bukoto'!M18+'Avg Week Bukoto-Kisasi'!M18</f>
        <v>142.42857142857144</v>
      </c>
      <c r="N18" s="49">
        <f>'Avg Week Kisasi-Bukoto'!N18+'Avg Week Bukoto-Kisasi'!N18</f>
        <v>0</v>
      </c>
      <c r="O18" s="15">
        <f t="shared" si="0"/>
        <v>168.57142857142856</v>
      </c>
      <c r="P18" s="15">
        <f t="shared" si="1"/>
        <v>311</v>
      </c>
      <c r="R18" s="1" t="s">
        <v>14</v>
      </c>
      <c r="S18" s="17">
        <f t="shared" ref="S18:AF18" si="10">SUM(C42:C45)</f>
        <v>268.85714285714289</v>
      </c>
      <c r="T18" s="17">
        <f t="shared" si="10"/>
        <v>146</v>
      </c>
      <c r="U18" s="17">
        <f t="shared" si="10"/>
        <v>41.428571428571431</v>
      </c>
      <c r="V18" s="17">
        <f t="shared" si="10"/>
        <v>69</v>
      </c>
      <c r="W18" s="17">
        <f t="shared" si="10"/>
        <v>0.5714285714285714</v>
      </c>
      <c r="X18" s="17">
        <f t="shared" si="10"/>
        <v>0</v>
      </c>
      <c r="Y18" s="17">
        <f t="shared" si="10"/>
        <v>16.285714285714285</v>
      </c>
      <c r="Z18" s="17">
        <f t="shared" si="10"/>
        <v>2.8571428571428572</v>
      </c>
      <c r="AA18" s="17">
        <f t="shared" si="10"/>
        <v>1.4285714285714284</v>
      </c>
      <c r="AB18" s="17">
        <f t="shared" si="10"/>
        <v>0</v>
      </c>
      <c r="AC18" s="17">
        <f t="shared" si="10"/>
        <v>465.57142857142856</v>
      </c>
      <c r="AD18" s="17">
        <f t="shared" si="10"/>
        <v>0</v>
      </c>
      <c r="AE18" s="31">
        <f t="shared" si="10"/>
        <v>546.42857142857133</v>
      </c>
      <c r="AF18" s="31">
        <f t="shared" si="10"/>
        <v>1012</v>
      </c>
    </row>
    <row r="19" spans="2:32" ht="23.1" customHeight="1" x14ac:dyDescent="0.25">
      <c r="B19" s="23" t="s">
        <v>46</v>
      </c>
      <c r="C19" s="49">
        <f>'Avg Week Kisasi-Bukoto'!C19+'Avg Week Bukoto-Kisasi'!C19</f>
        <v>78.714285714285708</v>
      </c>
      <c r="D19" s="49">
        <f>'Avg Week Kisasi-Bukoto'!D19+'Avg Week Bukoto-Kisasi'!D19</f>
        <v>49</v>
      </c>
      <c r="E19" s="49">
        <f>'Avg Week Kisasi-Bukoto'!E19+'Avg Week Bukoto-Kisasi'!E19</f>
        <v>6.1428571428571432</v>
      </c>
      <c r="F19" s="49">
        <f>'Avg Week Kisasi-Bukoto'!F19+'Avg Week Bukoto-Kisasi'!F19</f>
        <v>18.428571428571427</v>
      </c>
      <c r="G19" s="49">
        <f>'Avg Week Kisasi-Bukoto'!G19+'Avg Week Bukoto-Kisasi'!G19</f>
        <v>0.2857142857142857</v>
      </c>
      <c r="H19" s="49">
        <f>'Avg Week Kisasi-Bukoto'!H19+'Avg Week Bukoto-Kisasi'!H19</f>
        <v>0.14285714285714285</v>
      </c>
      <c r="I19" s="49">
        <f>'Avg Week Kisasi-Bukoto'!I19+'Avg Week Bukoto-Kisasi'!I19</f>
        <v>4.4285714285714288</v>
      </c>
      <c r="J19" s="49">
        <f>'Avg Week Kisasi-Bukoto'!J19+'Avg Week Bukoto-Kisasi'!J19</f>
        <v>1.1428571428571428</v>
      </c>
      <c r="K19" s="49">
        <f>'Avg Week Kisasi-Bukoto'!K19+'Avg Week Bukoto-Kisasi'!K19</f>
        <v>0.2857142857142857</v>
      </c>
      <c r="L19" s="49">
        <f>'Avg Week Kisasi-Bukoto'!L19+'Avg Week Bukoto-Kisasi'!L19</f>
        <v>0</v>
      </c>
      <c r="M19" s="49">
        <f>'Avg Week Kisasi-Bukoto'!M19+'Avg Week Bukoto-Kisasi'!M19</f>
        <v>137.85714285714286</v>
      </c>
      <c r="N19" s="49">
        <f>'Avg Week Kisasi-Bukoto'!N19+'Avg Week Bukoto-Kisasi'!N19</f>
        <v>0</v>
      </c>
      <c r="O19" s="15">
        <f t="shared" si="0"/>
        <v>158.57142857142853</v>
      </c>
      <c r="P19" s="15">
        <f t="shared" si="1"/>
        <v>296.42857142857139</v>
      </c>
      <c r="R19" s="1" t="s">
        <v>15</v>
      </c>
      <c r="S19" s="17">
        <f t="shared" ref="S19:AF19" si="11">SUM(C46:C49)</f>
        <v>317.71428571428572</v>
      </c>
      <c r="T19" s="17">
        <f t="shared" si="11"/>
        <v>164</v>
      </c>
      <c r="U19" s="17">
        <f t="shared" si="11"/>
        <v>43.428571428571431</v>
      </c>
      <c r="V19" s="17">
        <f t="shared" si="11"/>
        <v>71.285714285714278</v>
      </c>
      <c r="W19" s="17">
        <f t="shared" si="11"/>
        <v>1.7142857142857142</v>
      </c>
      <c r="X19" s="17">
        <f t="shared" si="11"/>
        <v>0.42857142857142855</v>
      </c>
      <c r="Y19" s="17">
        <f t="shared" si="11"/>
        <v>18.285714285714285</v>
      </c>
      <c r="Z19" s="17">
        <f t="shared" si="11"/>
        <v>4.8571428571428577</v>
      </c>
      <c r="AA19" s="17">
        <f t="shared" si="11"/>
        <v>2.4285714285714284</v>
      </c>
      <c r="AB19" s="17">
        <f t="shared" si="11"/>
        <v>0</v>
      </c>
      <c r="AC19" s="17">
        <f t="shared" si="11"/>
        <v>477.57142857142856</v>
      </c>
      <c r="AD19" s="17">
        <f t="shared" si="11"/>
        <v>0</v>
      </c>
      <c r="AE19" s="31">
        <f t="shared" si="11"/>
        <v>624.14285714285711</v>
      </c>
      <c r="AF19" s="31">
        <f t="shared" si="11"/>
        <v>1101.7142857142858</v>
      </c>
    </row>
    <row r="20" spans="2:32" ht="23.1" customHeight="1" x14ac:dyDescent="0.25">
      <c r="B20" s="23" t="s">
        <v>47</v>
      </c>
      <c r="C20" s="49">
        <f>'Avg Week Kisasi-Bukoto'!C20+'Avg Week Bukoto-Kisasi'!C20</f>
        <v>85.857142857142861</v>
      </c>
      <c r="D20" s="49">
        <f>'Avg Week Kisasi-Bukoto'!D20+'Avg Week Bukoto-Kisasi'!D20</f>
        <v>47.428571428571431</v>
      </c>
      <c r="E20" s="49">
        <f>'Avg Week Kisasi-Bukoto'!E20+'Avg Week Bukoto-Kisasi'!E20</f>
        <v>6.7142857142857144</v>
      </c>
      <c r="F20" s="49">
        <f>'Avg Week Kisasi-Bukoto'!F20+'Avg Week Bukoto-Kisasi'!F20</f>
        <v>19.285714285714285</v>
      </c>
      <c r="G20" s="49">
        <f>'Avg Week Kisasi-Bukoto'!G20+'Avg Week Bukoto-Kisasi'!G20</f>
        <v>0</v>
      </c>
      <c r="H20" s="49">
        <f>'Avg Week Kisasi-Bukoto'!H20+'Avg Week Bukoto-Kisasi'!H20</f>
        <v>0</v>
      </c>
      <c r="I20" s="49">
        <f>'Avg Week Kisasi-Bukoto'!I20+'Avg Week Bukoto-Kisasi'!I20</f>
        <v>4.8571428571428577</v>
      </c>
      <c r="J20" s="49">
        <f>'Avg Week Kisasi-Bukoto'!J20+'Avg Week Bukoto-Kisasi'!J20</f>
        <v>0.42857142857142855</v>
      </c>
      <c r="K20" s="49">
        <f>'Avg Week Kisasi-Bukoto'!K20+'Avg Week Bukoto-Kisasi'!K20</f>
        <v>0.2857142857142857</v>
      </c>
      <c r="L20" s="49">
        <f>'Avg Week Kisasi-Bukoto'!L20+'Avg Week Bukoto-Kisasi'!L20</f>
        <v>0</v>
      </c>
      <c r="M20" s="49">
        <f>'Avg Week Kisasi-Bukoto'!M20+'Avg Week Bukoto-Kisasi'!M20</f>
        <v>127.71428571428572</v>
      </c>
      <c r="N20" s="49">
        <f>'Avg Week Kisasi-Bukoto'!N20+'Avg Week Bukoto-Kisasi'!N20</f>
        <v>0</v>
      </c>
      <c r="O20" s="15">
        <f t="shared" si="0"/>
        <v>164.85714285714283</v>
      </c>
      <c r="P20" s="15">
        <f t="shared" si="1"/>
        <v>292.57142857142856</v>
      </c>
      <c r="R20" s="1" t="s">
        <v>16</v>
      </c>
      <c r="S20" s="17">
        <f t="shared" ref="S20:AF20" si="12">SUM(C50:C53)</f>
        <v>411.71428571428567</v>
      </c>
      <c r="T20" s="17">
        <f t="shared" si="12"/>
        <v>194.42857142857142</v>
      </c>
      <c r="U20" s="17">
        <f t="shared" si="12"/>
        <v>55.571428571428569</v>
      </c>
      <c r="V20" s="17">
        <f t="shared" si="12"/>
        <v>88.714285714285722</v>
      </c>
      <c r="W20" s="17">
        <f t="shared" si="12"/>
        <v>1</v>
      </c>
      <c r="X20" s="17">
        <f t="shared" si="12"/>
        <v>0</v>
      </c>
      <c r="Y20" s="17">
        <f t="shared" si="12"/>
        <v>14.714285714285714</v>
      </c>
      <c r="Z20" s="17">
        <f t="shared" si="12"/>
        <v>3.8571428571428572</v>
      </c>
      <c r="AA20" s="17">
        <f t="shared" si="12"/>
        <v>1.4285714285714284</v>
      </c>
      <c r="AB20" s="17">
        <f t="shared" si="12"/>
        <v>0.14285714285714285</v>
      </c>
      <c r="AC20" s="17">
        <f t="shared" si="12"/>
        <v>543.85714285714289</v>
      </c>
      <c r="AD20" s="17">
        <f t="shared" si="12"/>
        <v>0</v>
      </c>
      <c r="AE20" s="31">
        <f t="shared" si="12"/>
        <v>771.57142857142856</v>
      </c>
      <c r="AF20" s="31">
        <f t="shared" si="12"/>
        <v>1315.4285714285716</v>
      </c>
    </row>
    <row r="21" spans="2:32" ht="23.1" customHeight="1" x14ac:dyDescent="0.25">
      <c r="B21" s="23" t="s">
        <v>48</v>
      </c>
      <c r="C21" s="49">
        <f>'Avg Week Kisasi-Bukoto'!C21+'Avg Week Bukoto-Kisasi'!C21</f>
        <v>85.571428571428584</v>
      </c>
      <c r="D21" s="49">
        <f>'Avg Week Kisasi-Bukoto'!D21+'Avg Week Bukoto-Kisasi'!D21</f>
        <v>50.714285714285715</v>
      </c>
      <c r="E21" s="49">
        <f>'Avg Week Kisasi-Bukoto'!E21+'Avg Week Bukoto-Kisasi'!E21</f>
        <v>7</v>
      </c>
      <c r="F21" s="49">
        <f>'Avg Week Kisasi-Bukoto'!F21+'Avg Week Bukoto-Kisasi'!F21</f>
        <v>17.285714285714285</v>
      </c>
      <c r="G21" s="49">
        <f>'Avg Week Kisasi-Bukoto'!G21+'Avg Week Bukoto-Kisasi'!G21</f>
        <v>0</v>
      </c>
      <c r="H21" s="49">
        <f>'Avg Week Kisasi-Bukoto'!H21+'Avg Week Bukoto-Kisasi'!H21</f>
        <v>0</v>
      </c>
      <c r="I21" s="49">
        <f>'Avg Week Kisasi-Bukoto'!I21+'Avg Week Bukoto-Kisasi'!I21</f>
        <v>4.5714285714285712</v>
      </c>
      <c r="J21" s="49">
        <f>'Avg Week Kisasi-Bukoto'!J21+'Avg Week Bukoto-Kisasi'!J21</f>
        <v>0.8571428571428571</v>
      </c>
      <c r="K21" s="49">
        <f>'Avg Week Kisasi-Bukoto'!K21+'Avg Week Bukoto-Kisasi'!K21</f>
        <v>0</v>
      </c>
      <c r="L21" s="49">
        <f>'Avg Week Kisasi-Bukoto'!L21+'Avg Week Bukoto-Kisasi'!L21</f>
        <v>0</v>
      </c>
      <c r="M21" s="49">
        <f>'Avg Week Kisasi-Bukoto'!M21+'Avg Week Bukoto-Kisasi'!M21</f>
        <v>130.57142857142858</v>
      </c>
      <c r="N21" s="49">
        <f>'Avg Week Kisasi-Bukoto'!N21+'Avg Week Bukoto-Kisasi'!N21</f>
        <v>0</v>
      </c>
      <c r="O21" s="15">
        <f t="shared" si="0"/>
        <v>166.00000000000003</v>
      </c>
      <c r="P21" s="15">
        <f t="shared" si="1"/>
        <v>296.57142857142861</v>
      </c>
      <c r="R21" s="36" t="s">
        <v>20</v>
      </c>
      <c r="S21" s="34">
        <f t="shared" ref="S21:AF21" si="13">SUM(C54:C57)</f>
        <v>419.57142857142856</v>
      </c>
      <c r="T21" s="17">
        <f t="shared" si="13"/>
        <v>201.42857142857142</v>
      </c>
      <c r="U21" s="17">
        <f t="shared" si="13"/>
        <v>54.857142857142854</v>
      </c>
      <c r="V21" s="17">
        <f t="shared" si="13"/>
        <v>93.428571428571445</v>
      </c>
      <c r="W21" s="17">
        <f t="shared" si="13"/>
        <v>2.2857142857142856</v>
      </c>
      <c r="X21" s="17">
        <f t="shared" si="13"/>
        <v>0.2857142857142857</v>
      </c>
      <c r="Y21" s="17">
        <f t="shared" si="13"/>
        <v>17.714285714285712</v>
      </c>
      <c r="Z21" s="17">
        <f t="shared" si="13"/>
        <v>3.4285714285714284</v>
      </c>
      <c r="AA21" s="17">
        <f t="shared" si="13"/>
        <v>0.5714285714285714</v>
      </c>
      <c r="AB21" s="17">
        <f t="shared" si="13"/>
        <v>0.14285714285714285</v>
      </c>
      <c r="AC21" s="17">
        <f t="shared" si="13"/>
        <v>580.57142857142856</v>
      </c>
      <c r="AD21" s="17">
        <f t="shared" si="13"/>
        <v>0</v>
      </c>
      <c r="AE21" s="31">
        <f t="shared" si="13"/>
        <v>793.71428571428555</v>
      </c>
      <c r="AF21" s="31">
        <f t="shared" si="13"/>
        <v>1374.2857142857142</v>
      </c>
    </row>
    <row r="22" spans="2:32" ht="23.1" customHeight="1" x14ac:dyDescent="0.25">
      <c r="B22" s="23" t="s">
        <v>49</v>
      </c>
      <c r="C22" s="49">
        <f>'Avg Week Kisasi-Bukoto'!C22+'Avg Week Bukoto-Kisasi'!C22</f>
        <v>86</v>
      </c>
      <c r="D22" s="49">
        <f>'Avg Week Kisasi-Bukoto'!D22+'Avg Week Bukoto-Kisasi'!D22</f>
        <v>55.571428571428569</v>
      </c>
      <c r="E22" s="49">
        <f>'Avg Week Kisasi-Bukoto'!E22+'Avg Week Bukoto-Kisasi'!E22</f>
        <v>6.1428571428571423</v>
      </c>
      <c r="F22" s="49">
        <f>'Avg Week Kisasi-Bukoto'!F22+'Avg Week Bukoto-Kisasi'!F22</f>
        <v>19.285714285714285</v>
      </c>
      <c r="G22" s="49">
        <f>'Avg Week Kisasi-Bukoto'!G22+'Avg Week Bukoto-Kisasi'!G22</f>
        <v>0</v>
      </c>
      <c r="H22" s="49">
        <f>'Avg Week Kisasi-Bukoto'!H22+'Avg Week Bukoto-Kisasi'!H22</f>
        <v>0</v>
      </c>
      <c r="I22" s="49">
        <f>'Avg Week Kisasi-Bukoto'!I22+'Avg Week Bukoto-Kisasi'!I22</f>
        <v>4.1428571428571423</v>
      </c>
      <c r="J22" s="49">
        <f>'Avg Week Kisasi-Bukoto'!J22+'Avg Week Bukoto-Kisasi'!J22</f>
        <v>1</v>
      </c>
      <c r="K22" s="49">
        <f>'Avg Week Kisasi-Bukoto'!K22+'Avg Week Bukoto-Kisasi'!K22</f>
        <v>0.14285714285714285</v>
      </c>
      <c r="L22" s="49">
        <f>'Avg Week Kisasi-Bukoto'!L22+'Avg Week Bukoto-Kisasi'!L22</f>
        <v>0</v>
      </c>
      <c r="M22" s="49">
        <f>'Avg Week Kisasi-Bukoto'!M22+'Avg Week Bukoto-Kisasi'!M22</f>
        <v>142.28571428571428</v>
      </c>
      <c r="N22" s="49">
        <f>'Avg Week Kisasi-Bukoto'!N22+'Avg Week Bukoto-Kisasi'!N22</f>
        <v>0</v>
      </c>
      <c r="O22" s="15">
        <f t="shared" si="0"/>
        <v>172.28571428571425</v>
      </c>
      <c r="P22" s="15">
        <f t="shared" si="1"/>
        <v>314.57142857142856</v>
      </c>
      <c r="R22" s="1" t="s">
        <v>146</v>
      </c>
      <c r="S22" s="34">
        <f>SUM(C58:C61)</f>
        <v>300</v>
      </c>
      <c r="T22" s="34">
        <f t="shared" ref="T22:AF22" si="14">SUM(D58:D61)</f>
        <v>219</v>
      </c>
      <c r="U22" s="34">
        <f t="shared" si="14"/>
        <v>4</v>
      </c>
      <c r="V22" s="34">
        <f t="shared" si="14"/>
        <v>78</v>
      </c>
      <c r="W22" s="34">
        <f t="shared" si="14"/>
        <v>1</v>
      </c>
      <c r="X22" s="34">
        <f t="shared" si="14"/>
        <v>0</v>
      </c>
      <c r="Y22" s="34">
        <f t="shared" si="14"/>
        <v>23</v>
      </c>
      <c r="Z22" s="34">
        <f t="shared" si="14"/>
        <v>0</v>
      </c>
      <c r="AA22" s="34">
        <f t="shared" si="14"/>
        <v>1</v>
      </c>
      <c r="AB22" s="34">
        <f t="shared" si="14"/>
        <v>2</v>
      </c>
      <c r="AC22" s="34">
        <f t="shared" si="14"/>
        <v>535</v>
      </c>
      <c r="AD22" s="34">
        <f t="shared" si="14"/>
        <v>0</v>
      </c>
      <c r="AE22" s="31">
        <f t="shared" si="14"/>
        <v>628</v>
      </c>
      <c r="AF22" s="31">
        <f t="shared" si="14"/>
        <v>1163</v>
      </c>
    </row>
    <row r="23" spans="2:32" ht="23.1" customHeight="1" x14ac:dyDescent="0.25">
      <c r="B23" s="23" t="s">
        <v>50</v>
      </c>
      <c r="C23" s="49">
        <f>'Avg Week Kisasi-Bukoto'!C23+'Avg Week Bukoto-Kisasi'!C23</f>
        <v>79.428571428571431</v>
      </c>
      <c r="D23" s="49">
        <f>'Avg Week Kisasi-Bukoto'!D23+'Avg Week Bukoto-Kisasi'!D23</f>
        <v>52.857142857142861</v>
      </c>
      <c r="E23" s="49">
        <f>'Avg Week Kisasi-Bukoto'!E23+'Avg Week Bukoto-Kisasi'!E23</f>
        <v>5.7142857142857144</v>
      </c>
      <c r="F23" s="49">
        <f>'Avg Week Kisasi-Bukoto'!F23+'Avg Week Bukoto-Kisasi'!F23</f>
        <v>18.857142857142858</v>
      </c>
      <c r="G23" s="49">
        <f>'Avg Week Kisasi-Bukoto'!G23+'Avg Week Bukoto-Kisasi'!G23</f>
        <v>0.71428571428571419</v>
      </c>
      <c r="H23" s="49">
        <f>'Avg Week Kisasi-Bukoto'!H23+'Avg Week Bukoto-Kisasi'!H23</f>
        <v>0</v>
      </c>
      <c r="I23" s="49">
        <f>'Avg Week Kisasi-Bukoto'!I23+'Avg Week Bukoto-Kisasi'!I23</f>
        <v>5</v>
      </c>
      <c r="J23" s="49">
        <f>'Avg Week Kisasi-Bukoto'!J23+'Avg Week Bukoto-Kisasi'!J23</f>
        <v>1.4285714285714286</v>
      </c>
      <c r="K23" s="49">
        <f>'Avg Week Kisasi-Bukoto'!K23+'Avg Week Bukoto-Kisasi'!K23</f>
        <v>0.2857142857142857</v>
      </c>
      <c r="L23" s="49">
        <f>'Avg Week Kisasi-Bukoto'!L23+'Avg Week Bukoto-Kisasi'!L23</f>
        <v>0</v>
      </c>
      <c r="M23" s="49">
        <f>'Avg Week Kisasi-Bukoto'!M23+'Avg Week Bukoto-Kisasi'!M23</f>
        <v>136</v>
      </c>
      <c r="N23" s="49">
        <f>'Avg Week Kisasi-Bukoto'!N23+'Avg Week Bukoto-Kisasi'!N23</f>
        <v>0</v>
      </c>
      <c r="O23" s="15">
        <f t="shared" si="0"/>
        <v>164.28571428571428</v>
      </c>
      <c r="P23" s="15">
        <f t="shared" si="1"/>
        <v>300.28571428571428</v>
      </c>
      <c r="R23" s="1" t="s">
        <v>147</v>
      </c>
      <c r="S23" s="34">
        <f>SUM(C62:C65)</f>
        <v>267</v>
      </c>
      <c r="T23" s="34">
        <f t="shared" ref="T23:AF23" si="15">SUM(D62:D65)</f>
        <v>176</v>
      </c>
      <c r="U23" s="34">
        <f t="shared" si="15"/>
        <v>3</v>
      </c>
      <c r="V23" s="34">
        <f t="shared" si="15"/>
        <v>65</v>
      </c>
      <c r="W23" s="34">
        <f t="shared" si="15"/>
        <v>2</v>
      </c>
      <c r="X23" s="34">
        <f t="shared" si="15"/>
        <v>0</v>
      </c>
      <c r="Y23" s="34">
        <f t="shared" si="15"/>
        <v>8</v>
      </c>
      <c r="Z23" s="34">
        <f t="shared" si="15"/>
        <v>1</v>
      </c>
      <c r="AA23" s="34">
        <f t="shared" si="15"/>
        <v>1</v>
      </c>
      <c r="AB23" s="34">
        <f t="shared" si="15"/>
        <v>0</v>
      </c>
      <c r="AC23" s="34">
        <f t="shared" si="15"/>
        <v>440</v>
      </c>
      <c r="AD23" s="34">
        <f t="shared" si="15"/>
        <v>0</v>
      </c>
      <c r="AE23" s="31">
        <f t="shared" si="15"/>
        <v>523</v>
      </c>
      <c r="AF23" s="31">
        <f t="shared" si="15"/>
        <v>963</v>
      </c>
    </row>
    <row r="24" spans="2:32" ht="23.1" customHeight="1" x14ac:dyDescent="0.25">
      <c r="B24" s="23" t="s">
        <v>51</v>
      </c>
      <c r="C24" s="49">
        <f>'Avg Week Kisasi-Bukoto'!C24+'Avg Week Bukoto-Kisasi'!C24</f>
        <v>73.142857142857139</v>
      </c>
      <c r="D24" s="49">
        <f>'Avg Week Kisasi-Bukoto'!D24+'Avg Week Bukoto-Kisasi'!D24</f>
        <v>48</v>
      </c>
      <c r="E24" s="49">
        <f>'Avg Week Kisasi-Bukoto'!E24+'Avg Week Bukoto-Kisasi'!E24</f>
        <v>6.7142857142857135</v>
      </c>
      <c r="F24" s="49">
        <f>'Avg Week Kisasi-Bukoto'!F24+'Avg Week Bukoto-Kisasi'!F24</f>
        <v>16.142857142857142</v>
      </c>
      <c r="G24" s="49">
        <f>'Avg Week Kisasi-Bukoto'!G24+'Avg Week Bukoto-Kisasi'!G24</f>
        <v>0.2857142857142857</v>
      </c>
      <c r="H24" s="49">
        <f>'Avg Week Kisasi-Bukoto'!H24+'Avg Week Bukoto-Kisasi'!H24</f>
        <v>0</v>
      </c>
      <c r="I24" s="49">
        <f>'Avg Week Kisasi-Bukoto'!I24+'Avg Week Bukoto-Kisasi'!I24</f>
        <v>5.8571428571428577</v>
      </c>
      <c r="J24" s="49">
        <f>'Avg Week Kisasi-Bukoto'!J24+'Avg Week Bukoto-Kisasi'!J24</f>
        <v>1</v>
      </c>
      <c r="K24" s="49">
        <f>'Avg Week Kisasi-Bukoto'!K24+'Avg Week Bukoto-Kisasi'!K24</f>
        <v>0.14285714285714285</v>
      </c>
      <c r="L24" s="49">
        <f>'Avg Week Kisasi-Bukoto'!L24+'Avg Week Bukoto-Kisasi'!L24</f>
        <v>0</v>
      </c>
      <c r="M24" s="49">
        <f>'Avg Week Kisasi-Bukoto'!M24+'Avg Week Bukoto-Kisasi'!M24</f>
        <v>141.85714285714286</v>
      </c>
      <c r="N24" s="49">
        <f>'Avg Week Kisasi-Bukoto'!N24+'Avg Week Bukoto-Kisasi'!N24</f>
        <v>0</v>
      </c>
      <c r="O24" s="15">
        <f t="shared" si="0"/>
        <v>151.28571428571428</v>
      </c>
      <c r="P24" s="15">
        <f t="shared" si="1"/>
        <v>293.14285714285711</v>
      </c>
      <c r="R24" s="1" t="s">
        <v>148</v>
      </c>
      <c r="S24" s="34">
        <f>SUM(C66:C69)</f>
        <v>277</v>
      </c>
      <c r="T24" s="34">
        <f t="shared" ref="T24:AF24" si="16">SUM(D66:D69)</f>
        <v>162</v>
      </c>
      <c r="U24" s="34">
        <f t="shared" si="16"/>
        <v>2</v>
      </c>
      <c r="V24" s="34">
        <f t="shared" si="16"/>
        <v>51</v>
      </c>
      <c r="W24" s="34">
        <f t="shared" si="16"/>
        <v>0</v>
      </c>
      <c r="X24" s="34">
        <f t="shared" si="16"/>
        <v>0</v>
      </c>
      <c r="Y24" s="34">
        <f t="shared" si="16"/>
        <v>9</v>
      </c>
      <c r="Z24" s="34">
        <f t="shared" si="16"/>
        <v>0</v>
      </c>
      <c r="AA24" s="34">
        <f t="shared" si="16"/>
        <v>2</v>
      </c>
      <c r="AB24" s="34">
        <f t="shared" si="16"/>
        <v>0</v>
      </c>
      <c r="AC24" s="34">
        <f t="shared" si="16"/>
        <v>366</v>
      </c>
      <c r="AD24" s="34">
        <f t="shared" si="16"/>
        <v>0</v>
      </c>
      <c r="AE24" s="31">
        <f t="shared" si="16"/>
        <v>503</v>
      </c>
      <c r="AF24" s="31">
        <f t="shared" si="16"/>
        <v>869</v>
      </c>
    </row>
    <row r="25" spans="2:32" ht="23.1" customHeight="1" x14ac:dyDescent="0.25">
      <c r="B25" s="23" t="s">
        <v>52</v>
      </c>
      <c r="C25" s="49">
        <f>'Avg Week Kisasi-Bukoto'!C25+'Avg Week Bukoto-Kisasi'!C25</f>
        <v>71.857142857142861</v>
      </c>
      <c r="D25" s="49">
        <f>'Avg Week Kisasi-Bukoto'!D25+'Avg Week Bukoto-Kisasi'!D25</f>
        <v>34.571428571428569</v>
      </c>
      <c r="E25" s="49">
        <f>'Avg Week Kisasi-Bukoto'!E25+'Avg Week Bukoto-Kisasi'!E25</f>
        <v>7.7142857142857144</v>
      </c>
      <c r="F25" s="49">
        <f>'Avg Week Kisasi-Bukoto'!F25+'Avg Week Bukoto-Kisasi'!F25</f>
        <v>16.857142857142858</v>
      </c>
      <c r="G25" s="49">
        <f>'Avg Week Kisasi-Bukoto'!G25+'Avg Week Bukoto-Kisasi'!G25</f>
        <v>0.71428571428571419</v>
      </c>
      <c r="H25" s="49">
        <f>'Avg Week Kisasi-Bukoto'!H25+'Avg Week Bukoto-Kisasi'!H25</f>
        <v>0</v>
      </c>
      <c r="I25" s="49">
        <f>'Avg Week Kisasi-Bukoto'!I25+'Avg Week Bukoto-Kisasi'!I25</f>
        <v>5.2857142857142856</v>
      </c>
      <c r="J25" s="49">
        <f>'Avg Week Kisasi-Bukoto'!J25+'Avg Week Bukoto-Kisasi'!J25</f>
        <v>0.42857142857142855</v>
      </c>
      <c r="K25" s="49">
        <f>'Avg Week Kisasi-Bukoto'!K25+'Avg Week Bukoto-Kisasi'!K25</f>
        <v>0.5714285714285714</v>
      </c>
      <c r="L25" s="49">
        <f>'Avg Week Kisasi-Bukoto'!L25+'Avg Week Bukoto-Kisasi'!L25</f>
        <v>0</v>
      </c>
      <c r="M25" s="49">
        <f>'Avg Week Kisasi-Bukoto'!M25+'Avg Week Bukoto-Kisasi'!M25</f>
        <v>132.57142857142858</v>
      </c>
      <c r="N25" s="49">
        <f>'Avg Week Kisasi-Bukoto'!N25+'Avg Week Bukoto-Kisasi'!N25</f>
        <v>0</v>
      </c>
      <c r="O25" s="15">
        <f t="shared" si="0"/>
        <v>138</v>
      </c>
      <c r="P25" s="15">
        <f t="shared" si="1"/>
        <v>270.57142857142856</v>
      </c>
      <c r="R25" s="1" t="s">
        <v>149</v>
      </c>
      <c r="S25" s="34">
        <f>SUM(C70:C73)</f>
        <v>217</v>
      </c>
      <c r="T25" s="34">
        <f t="shared" ref="T25:AF25" si="17">SUM(D70:D73)</f>
        <v>119</v>
      </c>
      <c r="U25" s="34">
        <f t="shared" si="17"/>
        <v>0</v>
      </c>
      <c r="V25" s="34">
        <f t="shared" si="17"/>
        <v>39</v>
      </c>
      <c r="W25" s="34">
        <f t="shared" si="17"/>
        <v>0</v>
      </c>
      <c r="X25" s="34">
        <f t="shared" si="17"/>
        <v>0</v>
      </c>
      <c r="Y25" s="34">
        <f t="shared" si="17"/>
        <v>13</v>
      </c>
      <c r="Z25" s="34">
        <f t="shared" si="17"/>
        <v>0</v>
      </c>
      <c r="AA25" s="34">
        <f t="shared" si="17"/>
        <v>1</v>
      </c>
      <c r="AB25" s="34">
        <f t="shared" si="17"/>
        <v>0</v>
      </c>
      <c r="AC25" s="34">
        <f t="shared" si="17"/>
        <v>219</v>
      </c>
      <c r="AD25" s="34">
        <f t="shared" si="17"/>
        <v>0</v>
      </c>
      <c r="AE25" s="31">
        <f t="shared" si="17"/>
        <v>389</v>
      </c>
      <c r="AF25" s="31">
        <f t="shared" si="17"/>
        <v>608</v>
      </c>
    </row>
    <row r="26" spans="2:32" ht="23.1" customHeight="1" x14ac:dyDescent="0.25">
      <c r="B26" s="23" t="s">
        <v>53</v>
      </c>
      <c r="C26" s="49">
        <f>'Avg Week Kisasi-Bukoto'!C26+'Avg Week Bukoto-Kisasi'!C26</f>
        <v>73.428571428571431</v>
      </c>
      <c r="D26" s="49">
        <f>'Avg Week Kisasi-Bukoto'!D26+'Avg Week Bukoto-Kisasi'!D26</f>
        <v>42</v>
      </c>
      <c r="E26" s="49">
        <f>'Avg Week Kisasi-Bukoto'!E26+'Avg Week Bukoto-Kisasi'!E26</f>
        <v>5.8571428571428568</v>
      </c>
      <c r="F26" s="49">
        <f>'Avg Week Kisasi-Bukoto'!F26+'Avg Week Bukoto-Kisasi'!F26</f>
        <v>18.142857142857142</v>
      </c>
      <c r="G26" s="49">
        <f>'Avg Week Kisasi-Bukoto'!G26+'Avg Week Bukoto-Kisasi'!G26</f>
        <v>0.14285714285714285</v>
      </c>
      <c r="H26" s="49">
        <f>'Avg Week Kisasi-Bukoto'!H26+'Avg Week Bukoto-Kisasi'!H26</f>
        <v>0</v>
      </c>
      <c r="I26" s="49">
        <f>'Avg Week Kisasi-Bukoto'!I26+'Avg Week Bukoto-Kisasi'!I26</f>
        <v>3.2857142857142856</v>
      </c>
      <c r="J26" s="49">
        <f>'Avg Week Kisasi-Bukoto'!J26+'Avg Week Bukoto-Kisasi'!J26</f>
        <v>1</v>
      </c>
      <c r="K26" s="49">
        <f>'Avg Week Kisasi-Bukoto'!K26+'Avg Week Bukoto-Kisasi'!K26</f>
        <v>0.71428571428571419</v>
      </c>
      <c r="L26" s="49">
        <f>'Avg Week Kisasi-Bukoto'!L26+'Avg Week Bukoto-Kisasi'!L26</f>
        <v>0</v>
      </c>
      <c r="M26" s="49">
        <f>'Avg Week Kisasi-Bukoto'!M26+'Avg Week Bukoto-Kisasi'!M26</f>
        <v>124.42857142857142</v>
      </c>
      <c r="N26" s="49">
        <f>'Avg Week Kisasi-Bukoto'!N26+'Avg Week Bukoto-Kisasi'!N26</f>
        <v>0</v>
      </c>
      <c r="O26" s="15">
        <f t="shared" si="0"/>
        <v>144.57142857142858</v>
      </c>
      <c r="P26" s="15">
        <f t="shared" si="1"/>
        <v>269</v>
      </c>
      <c r="R26" s="1" t="s">
        <v>150</v>
      </c>
      <c r="S26" s="34">
        <f>SUM(C74:C77)</f>
        <v>107</v>
      </c>
      <c r="T26" s="34">
        <f t="shared" ref="T26:AF26" si="18">SUM(D74:D77)</f>
        <v>67</v>
      </c>
      <c r="U26" s="34">
        <f t="shared" si="18"/>
        <v>0</v>
      </c>
      <c r="V26" s="34">
        <f t="shared" si="18"/>
        <v>6</v>
      </c>
      <c r="W26" s="34">
        <f t="shared" si="18"/>
        <v>0</v>
      </c>
      <c r="X26" s="34">
        <f t="shared" si="18"/>
        <v>0</v>
      </c>
      <c r="Y26" s="34">
        <f t="shared" si="18"/>
        <v>3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162</v>
      </c>
      <c r="AD26" s="34">
        <f t="shared" si="18"/>
        <v>0</v>
      </c>
      <c r="AE26" s="31">
        <f t="shared" si="18"/>
        <v>184</v>
      </c>
      <c r="AF26" s="31">
        <f t="shared" si="18"/>
        <v>346</v>
      </c>
    </row>
    <row r="27" spans="2:32" ht="23.1" customHeight="1" x14ac:dyDescent="0.25">
      <c r="B27" s="23" t="s">
        <v>54</v>
      </c>
      <c r="C27" s="49">
        <f>'Avg Week Kisasi-Bukoto'!C27+'Avg Week Bukoto-Kisasi'!C27</f>
        <v>72.285714285714278</v>
      </c>
      <c r="D27" s="49">
        <f>'Avg Week Kisasi-Bukoto'!D27+'Avg Week Bukoto-Kisasi'!D27</f>
        <v>35.428571428571431</v>
      </c>
      <c r="E27" s="49">
        <f>'Avg Week Kisasi-Bukoto'!E27+'Avg Week Bukoto-Kisasi'!E27</f>
        <v>7.5714285714285721</v>
      </c>
      <c r="F27" s="49">
        <f>'Avg Week Kisasi-Bukoto'!F27+'Avg Week Bukoto-Kisasi'!F27</f>
        <v>18.142857142857146</v>
      </c>
      <c r="G27" s="49">
        <f>'Avg Week Kisasi-Bukoto'!G27+'Avg Week Bukoto-Kisasi'!G27</f>
        <v>0</v>
      </c>
      <c r="H27" s="49">
        <f>'Avg Week Kisasi-Bukoto'!H27+'Avg Week Bukoto-Kisasi'!H27</f>
        <v>0</v>
      </c>
      <c r="I27" s="49">
        <f>'Avg Week Kisasi-Bukoto'!I27+'Avg Week Bukoto-Kisasi'!I27</f>
        <v>3.8571428571428568</v>
      </c>
      <c r="J27" s="49">
        <f>'Avg Week Kisasi-Bukoto'!J27+'Avg Week Bukoto-Kisasi'!J27</f>
        <v>1.1428571428571428</v>
      </c>
      <c r="K27" s="49">
        <f>'Avg Week Kisasi-Bukoto'!K27+'Avg Week Bukoto-Kisasi'!K27</f>
        <v>0</v>
      </c>
      <c r="L27" s="49">
        <f>'Avg Week Kisasi-Bukoto'!L27+'Avg Week Bukoto-Kisasi'!L27</f>
        <v>0</v>
      </c>
      <c r="M27" s="49">
        <f>'Avg Week Kisasi-Bukoto'!M27+'Avg Week Bukoto-Kisasi'!M27</f>
        <v>121.57142857142857</v>
      </c>
      <c r="N27" s="49">
        <f>'Avg Week Kisasi-Bukoto'!N27+'Avg Week Bukoto-Kisasi'!N27</f>
        <v>0</v>
      </c>
      <c r="O27" s="15">
        <f t="shared" si="0"/>
        <v>138.42857142857142</v>
      </c>
      <c r="P27" s="15">
        <f t="shared" si="1"/>
        <v>260</v>
      </c>
      <c r="R27" s="1" t="s">
        <v>151</v>
      </c>
      <c r="S27" s="34">
        <f>SUM(C78:C81)</f>
        <v>93</v>
      </c>
      <c r="T27" s="34">
        <f t="shared" ref="T27:AF27" si="19">SUM(D78:D81)</f>
        <v>44</v>
      </c>
      <c r="U27" s="34">
        <f t="shared" si="19"/>
        <v>0</v>
      </c>
      <c r="V27" s="34">
        <f t="shared" si="19"/>
        <v>14</v>
      </c>
      <c r="W27" s="34">
        <f t="shared" si="19"/>
        <v>1</v>
      </c>
      <c r="X27" s="34">
        <f t="shared" si="19"/>
        <v>0</v>
      </c>
      <c r="Y27" s="34">
        <f t="shared" si="19"/>
        <v>1</v>
      </c>
      <c r="Z27" s="34">
        <f t="shared" si="19"/>
        <v>1</v>
      </c>
      <c r="AA27" s="34">
        <f t="shared" si="19"/>
        <v>0</v>
      </c>
      <c r="AB27" s="34">
        <f t="shared" si="19"/>
        <v>0</v>
      </c>
      <c r="AC27" s="34">
        <f t="shared" si="19"/>
        <v>94</v>
      </c>
      <c r="AD27" s="34">
        <f t="shared" si="19"/>
        <v>0</v>
      </c>
      <c r="AE27" s="31">
        <f t="shared" si="19"/>
        <v>154</v>
      </c>
      <c r="AF27" s="31">
        <f t="shared" si="19"/>
        <v>248</v>
      </c>
    </row>
    <row r="28" spans="2:32" ht="23.1" customHeight="1" x14ac:dyDescent="0.25">
      <c r="B28" s="23" t="s">
        <v>55</v>
      </c>
      <c r="C28" s="49">
        <f>'Avg Week Kisasi-Bukoto'!C28+'Avg Week Bukoto-Kisasi'!C28</f>
        <v>67.285714285714292</v>
      </c>
      <c r="D28" s="49">
        <f>'Avg Week Kisasi-Bukoto'!D28+'Avg Week Bukoto-Kisasi'!D28</f>
        <v>41.428571428571431</v>
      </c>
      <c r="E28" s="49">
        <f>'Avg Week Kisasi-Bukoto'!E28+'Avg Week Bukoto-Kisasi'!E28</f>
        <v>5.7142857142857135</v>
      </c>
      <c r="F28" s="49">
        <f>'Avg Week Kisasi-Bukoto'!F28+'Avg Week Bukoto-Kisasi'!F28</f>
        <v>17.714285714285715</v>
      </c>
      <c r="G28" s="49">
        <f>'Avg Week Kisasi-Bukoto'!G28+'Avg Week Bukoto-Kisasi'!G28</f>
        <v>0</v>
      </c>
      <c r="H28" s="49">
        <f>'Avg Week Kisasi-Bukoto'!H28+'Avg Week Bukoto-Kisasi'!H28</f>
        <v>0</v>
      </c>
      <c r="I28" s="49">
        <f>'Avg Week Kisasi-Bukoto'!I28+'Avg Week Bukoto-Kisasi'!I28</f>
        <v>4.4285714285714288</v>
      </c>
      <c r="J28" s="49">
        <f>'Avg Week Kisasi-Bukoto'!J28+'Avg Week Bukoto-Kisasi'!J28</f>
        <v>0.5714285714285714</v>
      </c>
      <c r="K28" s="49">
        <f>'Avg Week Kisasi-Bukoto'!K28+'Avg Week Bukoto-Kisasi'!K28</f>
        <v>0.2857142857142857</v>
      </c>
      <c r="L28" s="49">
        <f>'Avg Week Kisasi-Bukoto'!L28+'Avg Week Bukoto-Kisasi'!L28</f>
        <v>0</v>
      </c>
      <c r="M28" s="49">
        <f>'Avg Week Kisasi-Bukoto'!M28+'Avg Week Bukoto-Kisasi'!M28</f>
        <v>125</v>
      </c>
      <c r="N28" s="49">
        <f>'Avg Week Kisasi-Bukoto'!N28+'Avg Week Bukoto-Kisasi'!N28</f>
        <v>0.14285714285714285</v>
      </c>
      <c r="O28" s="15">
        <f t="shared" si="0"/>
        <v>137.57142857142856</v>
      </c>
      <c r="P28" s="15">
        <f t="shared" si="1"/>
        <v>262.57142857142861</v>
      </c>
      <c r="R28" s="1" t="s">
        <v>152</v>
      </c>
      <c r="S28" s="34">
        <f>SUM(C82:C85)</f>
        <v>47</v>
      </c>
      <c r="T28" s="34">
        <f t="shared" ref="T28:AF28" si="20">SUM(D82:D85)</f>
        <v>16</v>
      </c>
      <c r="U28" s="34">
        <f t="shared" si="20"/>
        <v>0</v>
      </c>
      <c r="V28" s="34">
        <f t="shared" si="20"/>
        <v>10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75</v>
      </c>
      <c r="AD28" s="34">
        <f t="shared" si="20"/>
        <v>0</v>
      </c>
      <c r="AE28" s="31">
        <f t="shared" si="20"/>
        <v>75</v>
      </c>
      <c r="AF28" s="31">
        <f t="shared" si="20"/>
        <v>150</v>
      </c>
    </row>
    <row r="29" spans="2:32" ht="23.1" customHeight="1" x14ac:dyDescent="0.25">
      <c r="B29" s="23" t="s">
        <v>56</v>
      </c>
      <c r="C29" s="49">
        <f>'Avg Week Kisasi-Bukoto'!C29+'Avg Week Bukoto-Kisasi'!C29</f>
        <v>66.142857142857139</v>
      </c>
      <c r="D29" s="49">
        <f>'Avg Week Kisasi-Bukoto'!D29+'Avg Week Bukoto-Kisasi'!D29</f>
        <v>37.285714285714285</v>
      </c>
      <c r="E29" s="49">
        <f>'Avg Week Kisasi-Bukoto'!E29+'Avg Week Bukoto-Kisasi'!E29</f>
        <v>8.7142857142857153</v>
      </c>
      <c r="F29" s="49">
        <f>'Avg Week Kisasi-Bukoto'!F29+'Avg Week Bukoto-Kisasi'!F29</f>
        <v>17.571428571428573</v>
      </c>
      <c r="G29" s="49">
        <f>'Avg Week Kisasi-Bukoto'!G29+'Avg Week Bukoto-Kisasi'!G29</f>
        <v>0</v>
      </c>
      <c r="H29" s="49">
        <f>'Avg Week Kisasi-Bukoto'!H29+'Avg Week Bukoto-Kisasi'!H29</f>
        <v>0</v>
      </c>
      <c r="I29" s="49">
        <f>'Avg Week Kisasi-Bukoto'!I29+'Avg Week Bukoto-Kisasi'!I29</f>
        <v>3.8571428571428572</v>
      </c>
      <c r="J29" s="49">
        <f>'Avg Week Kisasi-Bukoto'!J29+'Avg Week Bukoto-Kisasi'!J29</f>
        <v>0.8571428571428571</v>
      </c>
      <c r="K29" s="49">
        <f>'Avg Week Kisasi-Bukoto'!K29+'Avg Week Bukoto-Kisasi'!K29</f>
        <v>0.71428571428571419</v>
      </c>
      <c r="L29" s="49">
        <f>'Avg Week Kisasi-Bukoto'!L29+'Avg Week Bukoto-Kisasi'!L29</f>
        <v>0</v>
      </c>
      <c r="M29" s="49">
        <f>'Avg Week Kisasi-Bukoto'!M29+'Avg Week Bukoto-Kisasi'!M29</f>
        <v>122.71428571428572</v>
      </c>
      <c r="N29" s="49">
        <f>'Avg Week Kisasi-Bukoto'!N29+'Avg Week Bukoto-Kisasi'!N29</f>
        <v>0</v>
      </c>
      <c r="O29" s="15">
        <f t="shared" si="0"/>
        <v>135.14285714285717</v>
      </c>
      <c r="P29" s="15">
        <f t="shared" si="1"/>
        <v>257.85714285714289</v>
      </c>
      <c r="R29" s="1" t="s">
        <v>153</v>
      </c>
      <c r="S29" s="34">
        <f>SUM(C86:C89)</f>
        <v>37</v>
      </c>
      <c r="T29" s="34">
        <f t="shared" ref="T29:AF29" si="21">SUM(D86:D89)</f>
        <v>21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42</v>
      </c>
      <c r="AD29" s="34">
        <f t="shared" si="21"/>
        <v>0</v>
      </c>
      <c r="AE29" s="31">
        <f t="shared" si="21"/>
        <v>58</v>
      </c>
      <c r="AF29" s="31">
        <f t="shared" si="21"/>
        <v>100</v>
      </c>
    </row>
    <row r="30" spans="2:32" ht="23.1" customHeight="1" x14ac:dyDescent="0.25">
      <c r="B30" s="23" t="s">
        <v>57</v>
      </c>
      <c r="C30" s="49">
        <f>'Avg Week Kisasi-Bukoto'!C30+'Avg Week Bukoto-Kisasi'!C30</f>
        <v>59.857142857142861</v>
      </c>
      <c r="D30" s="49">
        <f>'Avg Week Kisasi-Bukoto'!D30+'Avg Week Bukoto-Kisasi'!D30</f>
        <v>36.285714285714285</v>
      </c>
      <c r="E30" s="49">
        <f>'Avg Week Kisasi-Bukoto'!E30+'Avg Week Bukoto-Kisasi'!E30</f>
        <v>7.2857142857142856</v>
      </c>
      <c r="F30" s="49">
        <f>'Avg Week Kisasi-Bukoto'!F30+'Avg Week Bukoto-Kisasi'!F30</f>
        <v>18</v>
      </c>
      <c r="G30" s="49">
        <f>'Avg Week Kisasi-Bukoto'!G30+'Avg Week Bukoto-Kisasi'!G30</f>
        <v>0</v>
      </c>
      <c r="H30" s="49">
        <f>'Avg Week Kisasi-Bukoto'!H30+'Avg Week Bukoto-Kisasi'!H30</f>
        <v>0</v>
      </c>
      <c r="I30" s="49">
        <f>'Avg Week Kisasi-Bukoto'!I30+'Avg Week Bukoto-Kisasi'!I30</f>
        <v>3.8571428571428568</v>
      </c>
      <c r="J30" s="49">
        <f>'Avg Week Kisasi-Bukoto'!J30+'Avg Week Bukoto-Kisasi'!J30</f>
        <v>0.5714285714285714</v>
      </c>
      <c r="K30" s="49">
        <f>'Avg Week Kisasi-Bukoto'!K30+'Avg Week Bukoto-Kisasi'!K30</f>
        <v>0.2857142857142857</v>
      </c>
      <c r="L30" s="49">
        <f>'Avg Week Kisasi-Bukoto'!L30+'Avg Week Bukoto-Kisasi'!L30</f>
        <v>0</v>
      </c>
      <c r="M30" s="49">
        <f>'Avg Week Kisasi-Bukoto'!M30+'Avg Week Bukoto-Kisasi'!M30</f>
        <v>116.14285714285714</v>
      </c>
      <c r="N30" s="49">
        <f>'Avg Week Kisasi-Bukoto'!N30+'Avg Week Bukoto-Kisasi'!N30</f>
        <v>0</v>
      </c>
      <c r="O30" s="15">
        <f t="shared" si="0"/>
        <v>126.14285714285715</v>
      </c>
      <c r="P30" s="15">
        <f t="shared" si="1"/>
        <v>242.28571428571428</v>
      </c>
      <c r="R30" s="1" t="s">
        <v>154</v>
      </c>
      <c r="S30" s="34">
        <f>SUM(C90:C93)</f>
        <v>48</v>
      </c>
      <c r="T30" s="34">
        <f t="shared" ref="T30:AF30" si="22">SUM(D90:D93)</f>
        <v>11</v>
      </c>
      <c r="U30" s="34">
        <f t="shared" si="22"/>
        <v>0</v>
      </c>
      <c r="V30" s="34">
        <f t="shared" si="22"/>
        <v>4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52</v>
      </c>
      <c r="AD30" s="34">
        <f t="shared" si="22"/>
        <v>0</v>
      </c>
      <c r="AE30" s="31">
        <f t="shared" si="22"/>
        <v>63</v>
      </c>
      <c r="AF30" s="31">
        <f t="shared" si="22"/>
        <v>115</v>
      </c>
    </row>
    <row r="31" spans="2:32" ht="23.1" customHeight="1" x14ac:dyDescent="0.25">
      <c r="B31" s="24" t="s">
        <v>58</v>
      </c>
      <c r="C31" s="49">
        <f>'Avg Week Kisasi-Bukoto'!C31+'Avg Week Bukoto-Kisasi'!C31</f>
        <v>65</v>
      </c>
      <c r="D31" s="49">
        <f>'Avg Week Kisasi-Bukoto'!D31+'Avg Week Bukoto-Kisasi'!D31</f>
        <v>35</v>
      </c>
      <c r="E31" s="49">
        <f>'Avg Week Kisasi-Bukoto'!E31+'Avg Week Bukoto-Kisasi'!E31</f>
        <v>7.5714285714285712</v>
      </c>
      <c r="F31" s="49">
        <f>'Avg Week Kisasi-Bukoto'!F31+'Avg Week Bukoto-Kisasi'!F31</f>
        <v>16.142857142857142</v>
      </c>
      <c r="G31" s="49">
        <f>'Avg Week Kisasi-Bukoto'!G31+'Avg Week Bukoto-Kisasi'!G31</f>
        <v>0</v>
      </c>
      <c r="H31" s="49">
        <f>'Avg Week Kisasi-Bukoto'!H31+'Avg Week Bukoto-Kisasi'!H31</f>
        <v>0</v>
      </c>
      <c r="I31" s="49">
        <f>'Avg Week Kisasi-Bukoto'!I31+'Avg Week Bukoto-Kisasi'!I31</f>
        <v>4.7142857142857144</v>
      </c>
      <c r="J31" s="49">
        <f>'Avg Week Kisasi-Bukoto'!J31+'Avg Week Bukoto-Kisasi'!J31</f>
        <v>0.14285714285714285</v>
      </c>
      <c r="K31" s="49">
        <f>'Avg Week Kisasi-Bukoto'!K31+'Avg Week Bukoto-Kisasi'!K31</f>
        <v>0.14285714285714285</v>
      </c>
      <c r="L31" s="49">
        <f>'Avg Week Kisasi-Bukoto'!L31+'Avg Week Bukoto-Kisasi'!L31</f>
        <v>0</v>
      </c>
      <c r="M31" s="49">
        <f>'Avg Week Kisasi-Bukoto'!M31+'Avg Week Bukoto-Kisasi'!M31</f>
        <v>109.57142857142857</v>
      </c>
      <c r="N31" s="49">
        <f>'Avg Week Kisasi-Bukoto'!N31+'Avg Week Bukoto-Kisasi'!N31</f>
        <v>0</v>
      </c>
      <c r="O31" s="15">
        <f t="shared" si="0"/>
        <v>128.71428571428569</v>
      </c>
      <c r="P31" s="15">
        <f t="shared" si="1"/>
        <v>238.28571428571428</v>
      </c>
      <c r="R31" s="1" t="s">
        <v>155</v>
      </c>
      <c r="S31" s="34">
        <f>SUM(C94:C97)</f>
        <v>46</v>
      </c>
      <c r="T31" s="34">
        <f t="shared" ref="T31:AF31" si="23">SUM(D94:D97)</f>
        <v>16</v>
      </c>
      <c r="U31" s="34">
        <f t="shared" si="23"/>
        <v>0</v>
      </c>
      <c r="V31" s="34">
        <f t="shared" si="23"/>
        <v>4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34</v>
      </c>
      <c r="AD31" s="34">
        <f t="shared" si="23"/>
        <v>0</v>
      </c>
      <c r="AE31" s="31">
        <f t="shared" si="23"/>
        <v>66</v>
      </c>
      <c r="AF31" s="31">
        <f t="shared" si="23"/>
        <v>100</v>
      </c>
    </row>
    <row r="32" spans="2:32" ht="23.1" customHeight="1" x14ac:dyDescent="0.25">
      <c r="B32" s="24" t="s">
        <v>59</v>
      </c>
      <c r="C32" s="49">
        <f>'Avg Week Kisasi-Bukoto'!C32+'Avg Week Bukoto-Kisasi'!C32</f>
        <v>66.571428571428569</v>
      </c>
      <c r="D32" s="49">
        <f>'Avg Week Kisasi-Bukoto'!D32+'Avg Week Bukoto-Kisasi'!D32</f>
        <v>37</v>
      </c>
      <c r="E32" s="49">
        <f>'Avg Week Kisasi-Bukoto'!E32+'Avg Week Bukoto-Kisasi'!E32</f>
        <v>7</v>
      </c>
      <c r="F32" s="49">
        <f>'Avg Week Kisasi-Bukoto'!F32+'Avg Week Bukoto-Kisasi'!F32</f>
        <v>18.571428571428573</v>
      </c>
      <c r="G32" s="49">
        <f>'Avg Week Kisasi-Bukoto'!G32+'Avg Week Bukoto-Kisasi'!G32</f>
        <v>0.14285714285714285</v>
      </c>
      <c r="H32" s="49">
        <f>'Avg Week Kisasi-Bukoto'!H32+'Avg Week Bukoto-Kisasi'!H32</f>
        <v>0</v>
      </c>
      <c r="I32" s="49">
        <f>'Avg Week Kisasi-Bukoto'!I32+'Avg Week Bukoto-Kisasi'!I32</f>
        <v>3.8571428571428568</v>
      </c>
      <c r="J32" s="49">
        <f>'Avg Week Kisasi-Bukoto'!J32+'Avg Week Bukoto-Kisasi'!J32</f>
        <v>0.2857142857142857</v>
      </c>
      <c r="K32" s="49">
        <f>'Avg Week Kisasi-Bukoto'!K32+'Avg Week Bukoto-Kisasi'!K32</f>
        <v>0.5714285714285714</v>
      </c>
      <c r="L32" s="49">
        <f>'Avg Week Kisasi-Bukoto'!L32+'Avg Week Bukoto-Kisasi'!L32</f>
        <v>0</v>
      </c>
      <c r="M32" s="49">
        <f>'Avg Week Kisasi-Bukoto'!M32+'Avg Week Bukoto-Kisasi'!M32</f>
        <v>114.42857142857143</v>
      </c>
      <c r="N32" s="49">
        <f>'Avg Week Kisasi-Bukoto'!N32+'Avg Week Bukoto-Kisasi'!N32</f>
        <v>0</v>
      </c>
      <c r="O32" s="15">
        <f t="shared" si="0"/>
        <v>134</v>
      </c>
      <c r="P32" s="15">
        <f t="shared" si="1"/>
        <v>248.42857142857144</v>
      </c>
      <c r="R32" s="1" t="s">
        <v>156</v>
      </c>
      <c r="S32" s="34">
        <f>SUM(C98:C101)</f>
        <v>61</v>
      </c>
      <c r="T32" s="34">
        <f t="shared" ref="T32:AF32" si="24">SUM(D98:D101)</f>
        <v>27</v>
      </c>
      <c r="U32" s="34">
        <f t="shared" si="24"/>
        <v>0</v>
      </c>
      <c r="V32" s="34">
        <f t="shared" si="24"/>
        <v>18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109</v>
      </c>
      <c r="AD32" s="34">
        <f t="shared" si="24"/>
        <v>0</v>
      </c>
      <c r="AE32" s="31">
        <f t="shared" si="24"/>
        <v>106</v>
      </c>
      <c r="AF32" s="31">
        <f t="shared" si="24"/>
        <v>215</v>
      </c>
    </row>
    <row r="33" spans="2:32" ht="23.1" customHeight="1" x14ac:dyDescent="0.25">
      <c r="B33" s="23" t="s">
        <v>60</v>
      </c>
      <c r="C33" s="49">
        <f>'Avg Week Kisasi-Bukoto'!C33+'Avg Week Bukoto-Kisasi'!C33</f>
        <v>68.285714285714292</v>
      </c>
      <c r="D33" s="49">
        <f>'Avg Week Kisasi-Bukoto'!D33+'Avg Week Bukoto-Kisasi'!D33</f>
        <v>33.714285714285715</v>
      </c>
      <c r="E33" s="49">
        <f>'Avg Week Kisasi-Bukoto'!E33+'Avg Week Bukoto-Kisasi'!E33</f>
        <v>9.5714285714285712</v>
      </c>
      <c r="F33" s="49">
        <f>'Avg Week Kisasi-Bukoto'!F33+'Avg Week Bukoto-Kisasi'!F33</f>
        <v>15.428571428571429</v>
      </c>
      <c r="G33" s="49">
        <f>'Avg Week Kisasi-Bukoto'!G33+'Avg Week Bukoto-Kisasi'!G33</f>
        <v>0</v>
      </c>
      <c r="H33" s="49">
        <f>'Avg Week Kisasi-Bukoto'!H33+'Avg Week Bukoto-Kisasi'!H33</f>
        <v>0</v>
      </c>
      <c r="I33" s="49">
        <f>'Avg Week Kisasi-Bukoto'!I33+'Avg Week Bukoto-Kisasi'!I33</f>
        <v>3.7142857142857144</v>
      </c>
      <c r="J33" s="49">
        <f>'Avg Week Kisasi-Bukoto'!J33+'Avg Week Bukoto-Kisasi'!J33</f>
        <v>0.5714285714285714</v>
      </c>
      <c r="K33" s="49">
        <f>'Avg Week Kisasi-Bukoto'!K33+'Avg Week Bukoto-Kisasi'!K33</f>
        <v>0.5714285714285714</v>
      </c>
      <c r="L33" s="49">
        <f>'Avg Week Kisasi-Bukoto'!L33+'Avg Week Bukoto-Kisasi'!L33</f>
        <v>0</v>
      </c>
      <c r="M33" s="49">
        <f>'Avg Week Kisasi-Bukoto'!M33+'Avg Week Bukoto-Kisasi'!M33</f>
        <v>118.14285714285714</v>
      </c>
      <c r="N33" s="49">
        <f>'Avg Week Kisasi-Bukoto'!N33+'Avg Week Bukoto-Kisasi'!N33</f>
        <v>0</v>
      </c>
      <c r="O33" s="15">
        <f t="shared" si="0"/>
        <v>131.85714285714289</v>
      </c>
      <c r="P33" s="15">
        <f t="shared" si="1"/>
        <v>250.00000000000003</v>
      </c>
      <c r="R33" s="1" t="s">
        <v>157</v>
      </c>
      <c r="S33" s="34">
        <f>SUM(C102:C105)</f>
        <v>425</v>
      </c>
      <c r="T33" s="34">
        <f t="shared" ref="T33:AF33" si="25">SUM(D102:D105)</f>
        <v>376</v>
      </c>
      <c r="U33" s="34">
        <f t="shared" si="25"/>
        <v>2</v>
      </c>
      <c r="V33" s="34">
        <f t="shared" si="25"/>
        <v>77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63</v>
      </c>
      <c r="AD33" s="34">
        <f t="shared" si="25"/>
        <v>0</v>
      </c>
      <c r="AE33" s="31">
        <f t="shared" si="25"/>
        <v>881</v>
      </c>
      <c r="AF33" s="31">
        <f t="shared" si="25"/>
        <v>944</v>
      </c>
    </row>
    <row r="34" spans="2:32" ht="23.1" customHeight="1" x14ac:dyDescent="0.25">
      <c r="B34" s="24" t="s">
        <v>61</v>
      </c>
      <c r="C34" s="49">
        <f>'Avg Week Kisasi-Bukoto'!C34+'Avg Week Bukoto-Kisasi'!C34</f>
        <v>55.428571428571431</v>
      </c>
      <c r="D34" s="49">
        <f>'Avg Week Kisasi-Bukoto'!D34+'Avg Week Bukoto-Kisasi'!D34</f>
        <v>32.142857142857146</v>
      </c>
      <c r="E34" s="49">
        <f>'Avg Week Kisasi-Bukoto'!E34+'Avg Week Bukoto-Kisasi'!E34</f>
        <v>6.4285714285714288</v>
      </c>
      <c r="F34" s="49">
        <f>'Avg Week Kisasi-Bukoto'!F34+'Avg Week Bukoto-Kisasi'!F34</f>
        <v>13.857142857142858</v>
      </c>
      <c r="G34" s="49">
        <f>'Avg Week Kisasi-Bukoto'!G34+'Avg Week Bukoto-Kisasi'!G34</f>
        <v>0</v>
      </c>
      <c r="H34" s="49">
        <f>'Avg Week Kisasi-Bukoto'!H34+'Avg Week Bukoto-Kisasi'!H34</f>
        <v>0</v>
      </c>
      <c r="I34" s="49">
        <f>'Avg Week Kisasi-Bukoto'!I34+'Avg Week Bukoto-Kisasi'!I34</f>
        <v>4.5714285714285712</v>
      </c>
      <c r="J34" s="49">
        <f>'Avg Week Kisasi-Bukoto'!J34+'Avg Week Bukoto-Kisasi'!J34</f>
        <v>0.71428571428571419</v>
      </c>
      <c r="K34" s="49">
        <f>'Avg Week Kisasi-Bukoto'!K34+'Avg Week Bukoto-Kisasi'!K34</f>
        <v>0.5714285714285714</v>
      </c>
      <c r="L34" s="49">
        <f>'Avg Week Kisasi-Bukoto'!L34+'Avg Week Bukoto-Kisasi'!L34</f>
        <v>0</v>
      </c>
      <c r="M34" s="49">
        <f>'Avg Week Kisasi-Bukoto'!M34+'Avg Week Bukoto-Kisasi'!M34</f>
        <v>119.57142857142857</v>
      </c>
      <c r="N34" s="49">
        <f>'Avg Week Kisasi-Bukoto'!N34+'Avg Week Bukoto-Kisasi'!N34</f>
        <v>0</v>
      </c>
      <c r="O34" s="15">
        <f t="shared" si="0"/>
        <v>113.71428571428572</v>
      </c>
      <c r="P34" s="15">
        <f t="shared" si="1"/>
        <v>233.28571428571428</v>
      </c>
      <c r="R34" s="38" t="s">
        <v>90</v>
      </c>
      <c r="S34" s="39">
        <f t="shared" ref="S34:AF34" si="26">MAX(S10:S12)</f>
        <v>377.42857142857139</v>
      </c>
      <c r="T34" s="39">
        <f t="shared" si="26"/>
        <v>241.85714285714286</v>
      </c>
      <c r="U34" s="39">
        <f t="shared" si="26"/>
        <v>29.142857142857146</v>
      </c>
      <c r="V34" s="39">
        <f t="shared" si="26"/>
        <v>80.571428571428569</v>
      </c>
      <c r="W34" s="39">
        <f t="shared" si="26"/>
        <v>0.85714285714285721</v>
      </c>
      <c r="X34" s="39">
        <f t="shared" si="26"/>
        <v>0.5714285714285714</v>
      </c>
      <c r="Y34" s="39">
        <f t="shared" si="26"/>
        <v>18.714285714285715</v>
      </c>
      <c r="Z34" s="39">
        <f t="shared" si="26"/>
        <v>3.1428571428571428</v>
      </c>
      <c r="AA34" s="39">
        <f t="shared" si="26"/>
        <v>1</v>
      </c>
      <c r="AB34" s="39">
        <f t="shared" si="26"/>
        <v>0</v>
      </c>
      <c r="AC34" s="39">
        <f t="shared" si="26"/>
        <v>596.57142857142856</v>
      </c>
      <c r="AD34" s="39">
        <f t="shared" si="26"/>
        <v>0</v>
      </c>
      <c r="AE34" s="40">
        <f t="shared" si="26"/>
        <v>738.00000000000011</v>
      </c>
      <c r="AF34" s="40">
        <f t="shared" si="26"/>
        <v>1312.2857142857142</v>
      </c>
    </row>
    <row r="35" spans="2:32" ht="23.1" customHeight="1" x14ac:dyDescent="0.25">
      <c r="B35" s="24" t="s">
        <v>62</v>
      </c>
      <c r="C35" s="49">
        <f>'Avg Week Kisasi-Bukoto'!C35+'Avg Week Bukoto-Kisasi'!C35</f>
        <v>57.142857142857139</v>
      </c>
      <c r="D35" s="49">
        <f>'Avg Week Kisasi-Bukoto'!D35+'Avg Week Bukoto-Kisasi'!D35</f>
        <v>33.428571428571431</v>
      </c>
      <c r="E35" s="49">
        <f>'Avg Week Kisasi-Bukoto'!E35+'Avg Week Bukoto-Kisasi'!E35</f>
        <v>8.7142857142857153</v>
      </c>
      <c r="F35" s="49">
        <f>'Avg Week Kisasi-Bukoto'!F35+'Avg Week Bukoto-Kisasi'!F35</f>
        <v>16.142857142857142</v>
      </c>
      <c r="G35" s="49">
        <f>'Avg Week Kisasi-Bukoto'!G35+'Avg Week Bukoto-Kisasi'!G35</f>
        <v>0</v>
      </c>
      <c r="H35" s="49">
        <f>'Avg Week Kisasi-Bukoto'!H35+'Avg Week Bukoto-Kisasi'!H35</f>
        <v>0</v>
      </c>
      <c r="I35" s="49">
        <f>'Avg Week Kisasi-Bukoto'!I35+'Avg Week Bukoto-Kisasi'!I35</f>
        <v>5.2857142857142865</v>
      </c>
      <c r="J35" s="49">
        <f>'Avg Week Kisasi-Bukoto'!J35+'Avg Week Bukoto-Kisasi'!J35</f>
        <v>0.42857142857142855</v>
      </c>
      <c r="K35" s="49">
        <f>'Avg Week Kisasi-Bukoto'!K35+'Avg Week Bukoto-Kisasi'!K35</f>
        <v>0.71428571428571419</v>
      </c>
      <c r="L35" s="49">
        <f>'Avg Week Kisasi-Bukoto'!L35+'Avg Week Bukoto-Kisasi'!L35</f>
        <v>0</v>
      </c>
      <c r="M35" s="49">
        <f>'Avg Week Kisasi-Bukoto'!M35+'Avg Week Bukoto-Kisasi'!M35</f>
        <v>104.85714285714286</v>
      </c>
      <c r="N35" s="49">
        <f>'Avg Week Kisasi-Bukoto'!N35+'Avg Week Bukoto-Kisasi'!N35</f>
        <v>0</v>
      </c>
      <c r="O35" s="15">
        <f t="shared" si="0"/>
        <v>121.85714285714285</v>
      </c>
      <c r="P35" s="15">
        <f t="shared" si="1"/>
        <v>226.71428571428572</v>
      </c>
      <c r="R35" s="38" t="s">
        <v>91</v>
      </c>
      <c r="S35" s="39">
        <f t="shared" ref="S35:AF35" si="27">MAX(S13:S18)</f>
        <v>310.42857142857144</v>
      </c>
      <c r="T35" s="39">
        <f t="shared" si="27"/>
        <v>191</v>
      </c>
      <c r="U35" s="39">
        <f t="shared" si="27"/>
        <v>41.428571428571431</v>
      </c>
      <c r="V35" s="39">
        <f t="shared" si="27"/>
        <v>74.142857142857139</v>
      </c>
      <c r="W35" s="39">
        <f t="shared" si="27"/>
        <v>1.714285714285714</v>
      </c>
      <c r="X35" s="39">
        <f t="shared" si="27"/>
        <v>0.42857142857142855</v>
      </c>
      <c r="Y35" s="39">
        <f t="shared" si="27"/>
        <v>20.285714285714285</v>
      </c>
      <c r="Z35" s="39">
        <f t="shared" si="27"/>
        <v>3.8571428571428572</v>
      </c>
      <c r="AA35" s="39">
        <f t="shared" si="27"/>
        <v>2.1428571428571428</v>
      </c>
      <c r="AB35" s="39">
        <f t="shared" si="27"/>
        <v>0.2857142857142857</v>
      </c>
      <c r="AC35" s="39">
        <f t="shared" si="27"/>
        <v>552.71428571428567</v>
      </c>
      <c r="AD35" s="39">
        <f t="shared" si="27"/>
        <v>0.14285714285714285</v>
      </c>
      <c r="AE35" s="40">
        <f t="shared" si="27"/>
        <v>625.85714285714289</v>
      </c>
      <c r="AF35" s="40">
        <f t="shared" si="27"/>
        <v>1178.5714285714284</v>
      </c>
    </row>
    <row r="36" spans="2:32" ht="23.1" customHeight="1" x14ac:dyDescent="0.25">
      <c r="B36" s="24" t="s">
        <v>63</v>
      </c>
      <c r="C36" s="49">
        <f>'Avg Week Kisasi-Bukoto'!C36+'Avg Week Bukoto-Kisasi'!C36</f>
        <v>59.428571428571431</v>
      </c>
      <c r="D36" s="49">
        <f>'Avg Week Kisasi-Bukoto'!D36+'Avg Week Bukoto-Kisasi'!D36</f>
        <v>34.714285714285715</v>
      </c>
      <c r="E36" s="49">
        <f>'Avg Week Kisasi-Bukoto'!E36+'Avg Week Bukoto-Kisasi'!E36</f>
        <v>8.5714285714285712</v>
      </c>
      <c r="F36" s="49">
        <f>'Avg Week Kisasi-Bukoto'!F36+'Avg Week Bukoto-Kisasi'!F36</f>
        <v>14.571428571428571</v>
      </c>
      <c r="G36" s="49">
        <f>'Avg Week Kisasi-Bukoto'!G36+'Avg Week Bukoto-Kisasi'!G36</f>
        <v>0</v>
      </c>
      <c r="H36" s="49">
        <f>'Avg Week Kisasi-Bukoto'!H36+'Avg Week Bukoto-Kisasi'!H36</f>
        <v>0</v>
      </c>
      <c r="I36" s="49">
        <f>'Avg Week Kisasi-Bukoto'!I36+'Avg Week Bukoto-Kisasi'!I36</f>
        <v>4.5714285714285712</v>
      </c>
      <c r="J36" s="49">
        <f>'Avg Week Kisasi-Bukoto'!J36+'Avg Week Bukoto-Kisasi'!J36</f>
        <v>0.42857142857142855</v>
      </c>
      <c r="K36" s="49">
        <f>'Avg Week Kisasi-Bukoto'!K36+'Avg Week Bukoto-Kisasi'!K36</f>
        <v>0.5714285714285714</v>
      </c>
      <c r="L36" s="49">
        <f>'Avg Week Kisasi-Bukoto'!L36+'Avg Week Bukoto-Kisasi'!L36</f>
        <v>0</v>
      </c>
      <c r="M36" s="49">
        <f>'Avg Week Kisasi-Bukoto'!M36+'Avg Week Bukoto-Kisasi'!M36</f>
        <v>110.14285714285714</v>
      </c>
      <c r="N36" s="49">
        <f>'Avg Week Kisasi-Bukoto'!N36+'Avg Week Bukoto-Kisasi'!N36</f>
        <v>0</v>
      </c>
      <c r="O36" s="15">
        <f t="shared" si="0"/>
        <v>122.85714285714285</v>
      </c>
      <c r="P36" s="15">
        <f t="shared" si="1"/>
        <v>233</v>
      </c>
      <c r="R36" s="38" t="s">
        <v>92</v>
      </c>
      <c r="S36" s="39">
        <f t="shared" ref="S36:AF36" si="28">MAX(S19:S21)</f>
        <v>419.57142857142856</v>
      </c>
      <c r="T36" s="39">
        <f t="shared" si="28"/>
        <v>201.42857142857142</v>
      </c>
      <c r="U36" s="39">
        <f t="shared" si="28"/>
        <v>55.571428571428569</v>
      </c>
      <c r="V36" s="39">
        <f t="shared" si="28"/>
        <v>93.428571428571445</v>
      </c>
      <c r="W36" s="39">
        <f t="shared" si="28"/>
        <v>2.2857142857142856</v>
      </c>
      <c r="X36" s="39">
        <f t="shared" si="28"/>
        <v>0.42857142857142855</v>
      </c>
      <c r="Y36" s="39">
        <f t="shared" si="28"/>
        <v>18.285714285714285</v>
      </c>
      <c r="Z36" s="39">
        <f t="shared" si="28"/>
        <v>4.8571428571428577</v>
      </c>
      <c r="AA36" s="39">
        <f t="shared" si="28"/>
        <v>2.4285714285714284</v>
      </c>
      <c r="AB36" s="39">
        <f t="shared" si="28"/>
        <v>0.14285714285714285</v>
      </c>
      <c r="AC36" s="39">
        <f t="shared" si="28"/>
        <v>580.57142857142856</v>
      </c>
      <c r="AD36" s="39">
        <f t="shared" si="28"/>
        <v>0</v>
      </c>
      <c r="AE36" s="40">
        <f t="shared" si="28"/>
        <v>793.71428571428555</v>
      </c>
      <c r="AF36" s="40">
        <f t="shared" si="28"/>
        <v>1374.2857142857142</v>
      </c>
    </row>
    <row r="37" spans="2:32" ht="23.1" customHeight="1" x14ac:dyDescent="0.25">
      <c r="B37" s="23" t="s">
        <v>64</v>
      </c>
      <c r="C37" s="49">
        <f>'Avg Week Kisasi-Bukoto'!C37+'Avg Week Bukoto-Kisasi'!C37</f>
        <v>57</v>
      </c>
      <c r="D37" s="49">
        <f>'Avg Week Kisasi-Bukoto'!D37+'Avg Week Bukoto-Kisasi'!D37</f>
        <v>32.714285714285715</v>
      </c>
      <c r="E37" s="49">
        <f>'Avg Week Kisasi-Bukoto'!E37+'Avg Week Bukoto-Kisasi'!E37</f>
        <v>6.2857142857142865</v>
      </c>
      <c r="F37" s="49">
        <f>'Avg Week Kisasi-Bukoto'!F37+'Avg Week Bukoto-Kisasi'!F37</f>
        <v>15.428571428571427</v>
      </c>
      <c r="G37" s="49">
        <f>'Avg Week Kisasi-Bukoto'!G37+'Avg Week Bukoto-Kisasi'!G37</f>
        <v>0</v>
      </c>
      <c r="H37" s="49">
        <f>'Avg Week Kisasi-Bukoto'!H37+'Avg Week Bukoto-Kisasi'!H37</f>
        <v>0</v>
      </c>
      <c r="I37" s="49">
        <f>'Avg Week Kisasi-Bukoto'!I37+'Avg Week Bukoto-Kisasi'!I37</f>
        <v>2.5714285714285712</v>
      </c>
      <c r="J37" s="49">
        <f>'Avg Week Kisasi-Bukoto'!J37+'Avg Week Bukoto-Kisasi'!J37</f>
        <v>0.14285714285714285</v>
      </c>
      <c r="K37" s="49">
        <f>'Avg Week Kisasi-Bukoto'!K37+'Avg Week Bukoto-Kisasi'!K37</f>
        <v>0.2857142857142857</v>
      </c>
      <c r="L37" s="49">
        <f>'Avg Week Kisasi-Bukoto'!L37+'Avg Week Bukoto-Kisasi'!L37</f>
        <v>0</v>
      </c>
      <c r="M37" s="49">
        <f>'Avg Week Kisasi-Bukoto'!M37+'Avg Week Bukoto-Kisasi'!M37</f>
        <v>111</v>
      </c>
      <c r="N37" s="49">
        <f>'Avg Week Kisasi-Bukoto'!N37+'Avg Week Bukoto-Kisasi'!N37</f>
        <v>0</v>
      </c>
      <c r="O37" s="15">
        <f t="shared" si="0"/>
        <v>114.42857142857144</v>
      </c>
      <c r="P37" s="15">
        <f t="shared" si="1"/>
        <v>225.42857142857144</v>
      </c>
      <c r="R37" s="37" t="s">
        <v>85</v>
      </c>
      <c r="S37" s="35">
        <f t="shared" ref="S37:AF37" si="29">SUM(S10:S12)</f>
        <v>1060</v>
      </c>
      <c r="T37" s="16">
        <f t="shared" si="29"/>
        <v>676.71428571428578</v>
      </c>
      <c r="U37" s="16">
        <f t="shared" si="29"/>
        <v>80.714285714285722</v>
      </c>
      <c r="V37" s="16">
        <f t="shared" si="29"/>
        <v>231.42857142857144</v>
      </c>
      <c r="W37" s="16">
        <f t="shared" si="29"/>
        <v>1.5714285714285716</v>
      </c>
      <c r="X37" s="16">
        <f t="shared" si="29"/>
        <v>0.71428571428571419</v>
      </c>
      <c r="Y37" s="16">
        <f t="shared" si="29"/>
        <v>52.000000000000007</v>
      </c>
      <c r="Z37" s="16">
        <f t="shared" si="29"/>
        <v>6.4285714285714288</v>
      </c>
      <c r="AA37" s="16">
        <f t="shared" si="29"/>
        <v>2.1428571428571428</v>
      </c>
      <c r="AB37" s="16">
        <f t="shared" si="29"/>
        <v>0</v>
      </c>
      <c r="AC37" s="16">
        <f t="shared" si="29"/>
        <v>1700.5714285714287</v>
      </c>
      <c r="AD37" s="16">
        <f t="shared" si="29"/>
        <v>0</v>
      </c>
      <c r="AE37" s="32">
        <f t="shared" si="29"/>
        <v>2111.7142857142858</v>
      </c>
      <c r="AF37" s="32">
        <f t="shared" si="29"/>
        <v>3812.2857142857142</v>
      </c>
    </row>
    <row r="38" spans="2:32" ht="23.1" customHeight="1" x14ac:dyDescent="0.25">
      <c r="B38" s="24" t="s">
        <v>65</v>
      </c>
      <c r="C38" s="49">
        <f>'Avg Week Kisasi-Bukoto'!C38+'Avg Week Bukoto-Kisasi'!C38</f>
        <v>61.142857142857139</v>
      </c>
      <c r="D38" s="49">
        <f>'Avg Week Kisasi-Bukoto'!D38+'Avg Week Bukoto-Kisasi'!D38</f>
        <v>35.285714285714292</v>
      </c>
      <c r="E38" s="49">
        <f>'Avg Week Kisasi-Bukoto'!E38+'Avg Week Bukoto-Kisasi'!E38</f>
        <v>7.1428571428571432</v>
      </c>
      <c r="F38" s="49">
        <f>'Avg Week Kisasi-Bukoto'!F38+'Avg Week Bukoto-Kisasi'!F38</f>
        <v>19.714285714285715</v>
      </c>
      <c r="G38" s="49">
        <f>'Avg Week Kisasi-Bukoto'!G38+'Avg Week Bukoto-Kisasi'!G38</f>
        <v>0.14285714285714285</v>
      </c>
      <c r="H38" s="49">
        <f>'Avg Week Kisasi-Bukoto'!H38+'Avg Week Bukoto-Kisasi'!H38</f>
        <v>0</v>
      </c>
      <c r="I38" s="49">
        <f>'Avg Week Kisasi-Bukoto'!I38+'Avg Week Bukoto-Kisasi'!I38</f>
        <v>3.2857142857142856</v>
      </c>
      <c r="J38" s="49">
        <f>'Avg Week Kisasi-Bukoto'!J38+'Avg Week Bukoto-Kisasi'!J38</f>
        <v>0.5714285714285714</v>
      </c>
      <c r="K38" s="49">
        <f>'Avg Week Kisasi-Bukoto'!K38+'Avg Week Bukoto-Kisasi'!K38</f>
        <v>0.14285714285714285</v>
      </c>
      <c r="L38" s="49">
        <f>'Avg Week Kisasi-Bukoto'!L38+'Avg Week Bukoto-Kisasi'!L38</f>
        <v>0</v>
      </c>
      <c r="M38" s="49">
        <f>'Avg Week Kisasi-Bukoto'!M38+'Avg Week Bukoto-Kisasi'!M38</f>
        <v>137.42857142857142</v>
      </c>
      <c r="N38" s="49">
        <f>'Avg Week Kisasi-Bukoto'!N38+'Avg Week Bukoto-Kisasi'!N38</f>
        <v>0</v>
      </c>
      <c r="O38" s="15">
        <f t="shared" si="0"/>
        <v>127.42857142857142</v>
      </c>
      <c r="P38" s="15">
        <f t="shared" si="1"/>
        <v>264.85714285714283</v>
      </c>
      <c r="R38" s="28" t="s">
        <v>86</v>
      </c>
      <c r="S38" s="16">
        <f t="shared" ref="S38:AF38" si="30">SUM(S13:S18)</f>
        <v>1603.7142857142856</v>
      </c>
      <c r="T38" s="16">
        <f t="shared" si="30"/>
        <v>911.42857142857144</v>
      </c>
      <c r="U38" s="16">
        <f t="shared" si="30"/>
        <v>190.85714285714289</v>
      </c>
      <c r="V38" s="16">
        <f t="shared" si="30"/>
        <v>414</v>
      </c>
      <c r="W38" s="16">
        <f t="shared" si="30"/>
        <v>2.7142857142857135</v>
      </c>
      <c r="X38" s="16">
        <f t="shared" si="30"/>
        <v>0.42857142857142855</v>
      </c>
      <c r="Y38" s="16">
        <f t="shared" si="30"/>
        <v>99.428571428571416</v>
      </c>
      <c r="Z38" s="16">
        <f t="shared" si="30"/>
        <v>16.857142857142858</v>
      </c>
      <c r="AA38" s="16">
        <f t="shared" si="30"/>
        <v>9.2857142857142847</v>
      </c>
      <c r="AB38" s="16">
        <f t="shared" si="30"/>
        <v>0.2857142857142857</v>
      </c>
      <c r="AC38" s="16">
        <f t="shared" si="30"/>
        <v>2887.5714285714284</v>
      </c>
      <c r="AD38" s="16">
        <f t="shared" si="30"/>
        <v>0.14285714285714285</v>
      </c>
      <c r="AE38" s="32">
        <f t="shared" si="30"/>
        <v>3249.1428571428569</v>
      </c>
      <c r="AF38" s="32">
        <f t="shared" si="30"/>
        <v>6136.7142857142862</v>
      </c>
    </row>
    <row r="39" spans="2:32" ht="23.1" customHeight="1" x14ac:dyDescent="0.25">
      <c r="B39" s="24" t="s">
        <v>66</v>
      </c>
      <c r="C39" s="49">
        <f>'Avg Week Kisasi-Bukoto'!C39+'Avg Week Bukoto-Kisasi'!C39</f>
        <v>66.857142857142861</v>
      </c>
      <c r="D39" s="49">
        <f>'Avg Week Kisasi-Bukoto'!D39+'Avg Week Bukoto-Kisasi'!D39</f>
        <v>39.285714285714285</v>
      </c>
      <c r="E39" s="49">
        <f>'Avg Week Kisasi-Bukoto'!E39+'Avg Week Bukoto-Kisasi'!E39</f>
        <v>9.8571428571428577</v>
      </c>
      <c r="F39" s="49">
        <f>'Avg Week Kisasi-Bukoto'!F39+'Avg Week Bukoto-Kisasi'!F39</f>
        <v>18.142857142857142</v>
      </c>
      <c r="G39" s="49">
        <f>'Avg Week Kisasi-Bukoto'!G39+'Avg Week Bukoto-Kisasi'!G39</f>
        <v>0</v>
      </c>
      <c r="H39" s="49">
        <f>'Avg Week Kisasi-Bukoto'!H39+'Avg Week Bukoto-Kisasi'!H39</f>
        <v>0</v>
      </c>
      <c r="I39" s="49">
        <f>'Avg Week Kisasi-Bukoto'!I39+'Avg Week Bukoto-Kisasi'!I39</f>
        <v>3.2857142857142856</v>
      </c>
      <c r="J39" s="49">
        <f>'Avg Week Kisasi-Bukoto'!J39+'Avg Week Bukoto-Kisasi'!J39</f>
        <v>0.5714285714285714</v>
      </c>
      <c r="K39" s="49">
        <f>'Avg Week Kisasi-Bukoto'!K39+'Avg Week Bukoto-Kisasi'!K39</f>
        <v>0.2857142857142857</v>
      </c>
      <c r="L39" s="49">
        <f>'Avg Week Kisasi-Bukoto'!L39+'Avg Week Bukoto-Kisasi'!L39</f>
        <v>0.2857142857142857</v>
      </c>
      <c r="M39" s="49">
        <f>'Avg Week Kisasi-Bukoto'!M39+'Avg Week Bukoto-Kisasi'!M39</f>
        <v>109.28571428571428</v>
      </c>
      <c r="N39" s="49">
        <f>'Avg Week Kisasi-Bukoto'!N39+'Avg Week Bukoto-Kisasi'!N39</f>
        <v>0</v>
      </c>
      <c r="O39" s="15">
        <f t="shared" si="0"/>
        <v>138.57142857142856</v>
      </c>
      <c r="P39" s="15">
        <f t="shared" si="1"/>
        <v>247.85714285714283</v>
      </c>
      <c r="R39" s="29" t="s">
        <v>87</v>
      </c>
      <c r="S39" s="16">
        <f t="shared" ref="S39:AF39" si="31">SUM(S19:S21)</f>
        <v>1149</v>
      </c>
      <c r="T39" s="16">
        <f t="shared" si="31"/>
        <v>559.85714285714289</v>
      </c>
      <c r="U39" s="16">
        <f t="shared" si="31"/>
        <v>153.85714285714286</v>
      </c>
      <c r="V39" s="16">
        <f t="shared" si="31"/>
        <v>253.42857142857144</v>
      </c>
      <c r="W39" s="16">
        <f t="shared" si="31"/>
        <v>5</v>
      </c>
      <c r="X39" s="16">
        <f t="shared" si="31"/>
        <v>0.71428571428571419</v>
      </c>
      <c r="Y39" s="16">
        <f t="shared" si="31"/>
        <v>50.714285714285708</v>
      </c>
      <c r="Z39" s="16">
        <f t="shared" si="31"/>
        <v>12.142857142857144</v>
      </c>
      <c r="AA39" s="16">
        <f t="shared" si="31"/>
        <v>4.4285714285714279</v>
      </c>
      <c r="AB39" s="16">
        <f t="shared" si="31"/>
        <v>0.2857142857142857</v>
      </c>
      <c r="AC39" s="16">
        <f t="shared" si="31"/>
        <v>1602</v>
      </c>
      <c r="AD39" s="16">
        <f t="shared" si="31"/>
        <v>0</v>
      </c>
      <c r="AE39" s="32">
        <f t="shared" si="31"/>
        <v>2189.4285714285716</v>
      </c>
      <c r="AF39" s="32">
        <f t="shared" si="31"/>
        <v>3791.4285714285716</v>
      </c>
    </row>
    <row r="40" spans="2:32" ht="23.1" customHeight="1" x14ac:dyDescent="0.25">
      <c r="B40" s="24" t="s">
        <v>67</v>
      </c>
      <c r="C40" s="49">
        <f>'Avg Week Kisasi-Bukoto'!C40+'Avg Week Bukoto-Kisasi'!C40</f>
        <v>65.571428571428569</v>
      </c>
      <c r="D40" s="49">
        <f>'Avg Week Kisasi-Bukoto'!D40+'Avg Week Bukoto-Kisasi'!D40</f>
        <v>34.857142857142861</v>
      </c>
      <c r="E40" s="49">
        <f>'Avg Week Kisasi-Bukoto'!E40+'Avg Week Bukoto-Kisasi'!E40</f>
        <v>8.8571428571428577</v>
      </c>
      <c r="F40" s="49">
        <f>'Avg Week Kisasi-Bukoto'!F40+'Avg Week Bukoto-Kisasi'!F40</f>
        <v>18.714285714285715</v>
      </c>
      <c r="G40" s="49">
        <f>'Avg Week Kisasi-Bukoto'!G40+'Avg Week Bukoto-Kisasi'!G40</f>
        <v>0</v>
      </c>
      <c r="H40" s="49">
        <f>'Avg Week Kisasi-Bukoto'!H40+'Avg Week Bukoto-Kisasi'!H40</f>
        <v>0.42857142857142855</v>
      </c>
      <c r="I40" s="49">
        <f>'Avg Week Kisasi-Bukoto'!I40+'Avg Week Bukoto-Kisasi'!I40</f>
        <v>3.7142857142857144</v>
      </c>
      <c r="J40" s="49">
        <f>'Avg Week Kisasi-Bukoto'!J40+'Avg Week Bukoto-Kisasi'!J40</f>
        <v>1</v>
      </c>
      <c r="K40" s="49">
        <f>'Avg Week Kisasi-Bukoto'!K40+'Avg Week Bukoto-Kisasi'!K40</f>
        <v>0.2857142857142857</v>
      </c>
      <c r="L40" s="49">
        <f>'Avg Week Kisasi-Bukoto'!L40+'Avg Week Bukoto-Kisasi'!L40</f>
        <v>0</v>
      </c>
      <c r="M40" s="49">
        <f>'Avg Week Kisasi-Bukoto'!M40+'Avg Week Bukoto-Kisasi'!M40</f>
        <v>116.14285714285714</v>
      </c>
      <c r="N40" s="49">
        <f>'Avg Week Kisasi-Bukoto'!N40+'Avg Week Bukoto-Kisasi'!N40</f>
        <v>0</v>
      </c>
      <c r="O40" s="15">
        <f t="shared" si="0"/>
        <v>133.42857142857142</v>
      </c>
      <c r="P40" s="15">
        <f t="shared" si="1"/>
        <v>249.57142857142856</v>
      </c>
      <c r="R40" s="5" t="s">
        <v>17</v>
      </c>
      <c r="S40" s="16">
        <f t="shared" ref="S40:AF40" si="32">SUM(S10:S21)</f>
        <v>3812.7142857142862</v>
      </c>
      <c r="T40" s="16">
        <f t="shared" si="32"/>
        <v>2148</v>
      </c>
      <c r="U40" s="16">
        <f t="shared" si="32"/>
        <v>425.42857142857139</v>
      </c>
      <c r="V40" s="16">
        <f t="shared" si="32"/>
        <v>898.85714285714278</v>
      </c>
      <c r="W40" s="16">
        <f t="shared" si="32"/>
        <v>9.2857142857142847</v>
      </c>
      <c r="X40" s="16">
        <f t="shared" si="32"/>
        <v>1.8571428571428572</v>
      </c>
      <c r="Y40" s="16">
        <f t="shared" si="32"/>
        <v>202.14285714285714</v>
      </c>
      <c r="Z40" s="16">
        <f t="shared" si="32"/>
        <v>35.428571428571431</v>
      </c>
      <c r="AA40" s="16">
        <f t="shared" si="32"/>
        <v>15.857142857142858</v>
      </c>
      <c r="AB40" s="16">
        <f t="shared" si="32"/>
        <v>0.5714285714285714</v>
      </c>
      <c r="AC40" s="16">
        <f t="shared" si="32"/>
        <v>6190.1428571428569</v>
      </c>
      <c r="AD40" s="16">
        <f t="shared" si="32"/>
        <v>0.14285714285714285</v>
      </c>
      <c r="AE40" s="32">
        <f t="shared" si="32"/>
        <v>7550.2857142857138</v>
      </c>
      <c r="AF40" s="32">
        <f t="shared" si="32"/>
        <v>13740.428571428572</v>
      </c>
    </row>
    <row r="41" spans="2:32" ht="23.1" customHeight="1" x14ac:dyDescent="0.25">
      <c r="B41" s="23" t="s">
        <v>68</v>
      </c>
      <c r="C41" s="49">
        <f>'Avg Week Kisasi-Bukoto'!C41+'Avg Week Bukoto-Kisasi'!C41</f>
        <v>63</v>
      </c>
      <c r="D41" s="49">
        <f>'Avg Week Kisasi-Bukoto'!D41+'Avg Week Bukoto-Kisasi'!D41</f>
        <v>33.857142857142861</v>
      </c>
      <c r="E41" s="49">
        <f>'Avg Week Kisasi-Bukoto'!E41+'Avg Week Bukoto-Kisasi'!E41</f>
        <v>8</v>
      </c>
      <c r="F41" s="49">
        <f>'Avg Week Kisasi-Bukoto'!F41+'Avg Week Bukoto-Kisasi'!F41</f>
        <v>17.571428571428569</v>
      </c>
      <c r="G41" s="49">
        <f>'Avg Week Kisasi-Bukoto'!G41+'Avg Week Bukoto-Kisasi'!G41</f>
        <v>0</v>
      </c>
      <c r="H41" s="49">
        <f>'Avg Week Kisasi-Bukoto'!H41+'Avg Week Bukoto-Kisasi'!H41</f>
        <v>0</v>
      </c>
      <c r="I41" s="49">
        <f>'Avg Week Kisasi-Bukoto'!I41+'Avg Week Bukoto-Kisasi'!I41</f>
        <v>4</v>
      </c>
      <c r="J41" s="49">
        <f>'Avg Week Kisasi-Bukoto'!J41+'Avg Week Bukoto-Kisasi'!J41</f>
        <v>1.1428571428571428</v>
      </c>
      <c r="K41" s="49">
        <f>'Avg Week Kisasi-Bukoto'!K41+'Avg Week Bukoto-Kisasi'!K41</f>
        <v>0.5714285714285714</v>
      </c>
      <c r="L41" s="49">
        <f>'Avg Week Kisasi-Bukoto'!L41+'Avg Week Bukoto-Kisasi'!L41</f>
        <v>0</v>
      </c>
      <c r="M41" s="49">
        <f>'Avg Week Kisasi-Bukoto'!M41+'Avg Week Bukoto-Kisasi'!M41</f>
        <v>108.85714285714286</v>
      </c>
      <c r="N41" s="49">
        <f>'Avg Week Kisasi-Bukoto'!N41+'Avg Week Bukoto-Kisasi'!N41</f>
        <v>0</v>
      </c>
      <c r="O41" s="15">
        <f t="shared" si="0"/>
        <v>128.14285714285714</v>
      </c>
      <c r="P41" s="15">
        <f t="shared" si="1"/>
        <v>237</v>
      </c>
      <c r="R41" s="5" t="s">
        <v>176</v>
      </c>
      <c r="S41" s="51">
        <f>SUM(S10:S33)</f>
        <v>5737.7142857142862</v>
      </c>
      <c r="T41" s="51">
        <f t="shared" ref="T41:AD41" si="33">SUM(T10:T33)</f>
        <v>3402</v>
      </c>
      <c r="U41" s="51">
        <f t="shared" si="33"/>
        <v>436.42857142857139</v>
      </c>
      <c r="V41" s="51">
        <f t="shared" si="33"/>
        <v>1264.8571428571427</v>
      </c>
      <c r="W41" s="51">
        <f t="shared" si="33"/>
        <v>13.285714285714285</v>
      </c>
      <c r="X41" s="51">
        <f t="shared" si="33"/>
        <v>1.8571428571428572</v>
      </c>
      <c r="Y41" s="51">
        <f t="shared" si="33"/>
        <v>261.14285714285711</v>
      </c>
      <c r="Z41" s="51">
        <f t="shared" si="33"/>
        <v>39.428571428571431</v>
      </c>
      <c r="AA41" s="51">
        <f t="shared" si="33"/>
        <v>20.857142857142858</v>
      </c>
      <c r="AB41" s="51">
        <f t="shared" si="33"/>
        <v>2.5714285714285712</v>
      </c>
      <c r="AC41" s="51">
        <f t="shared" si="33"/>
        <v>8381.1428571428569</v>
      </c>
      <c r="AD41" s="51">
        <f t="shared" si="33"/>
        <v>0.14285714285714285</v>
      </c>
      <c r="AE41" s="52">
        <f>SUM(AE10:AE33)</f>
        <v>11180.285714285714</v>
      </c>
      <c r="AF41" s="52">
        <f>SUM(AF10:AF33)</f>
        <v>19561.428571428572</v>
      </c>
    </row>
    <row r="42" spans="2:32" ht="23.1" customHeight="1" x14ac:dyDescent="0.25">
      <c r="B42" s="24" t="s">
        <v>69</v>
      </c>
      <c r="C42" s="49">
        <f>'Avg Week Kisasi-Bukoto'!C42+'Avg Week Bukoto-Kisasi'!C42</f>
        <v>66.857142857142861</v>
      </c>
      <c r="D42" s="49">
        <f>'Avg Week Kisasi-Bukoto'!D42+'Avg Week Bukoto-Kisasi'!D42</f>
        <v>32.571428571428569</v>
      </c>
      <c r="E42" s="49">
        <f>'Avg Week Kisasi-Bukoto'!E42+'Avg Week Bukoto-Kisasi'!E42</f>
        <v>9</v>
      </c>
      <c r="F42" s="49">
        <f>'Avg Week Kisasi-Bukoto'!F42+'Avg Week Bukoto-Kisasi'!F42</f>
        <v>16.714285714285715</v>
      </c>
      <c r="G42" s="49">
        <f>'Avg Week Kisasi-Bukoto'!G42+'Avg Week Bukoto-Kisasi'!G42</f>
        <v>0</v>
      </c>
      <c r="H42" s="49">
        <f>'Avg Week Kisasi-Bukoto'!H42+'Avg Week Bukoto-Kisasi'!H42</f>
        <v>0</v>
      </c>
      <c r="I42" s="49">
        <f>'Avg Week Kisasi-Bukoto'!I42+'Avg Week Bukoto-Kisasi'!I42</f>
        <v>4.4285714285714288</v>
      </c>
      <c r="J42" s="49">
        <f>'Avg Week Kisasi-Bukoto'!J42+'Avg Week Bukoto-Kisasi'!J42</f>
        <v>1.4285714285714286</v>
      </c>
      <c r="K42" s="49">
        <f>'Avg Week Kisasi-Bukoto'!K42+'Avg Week Bukoto-Kisasi'!K42</f>
        <v>0.2857142857142857</v>
      </c>
      <c r="L42" s="49">
        <f>'Avg Week Kisasi-Bukoto'!L42+'Avg Week Bukoto-Kisasi'!L42</f>
        <v>0</v>
      </c>
      <c r="M42" s="49">
        <f>'Avg Week Kisasi-Bukoto'!M42+'Avg Week Bukoto-Kisasi'!M42</f>
        <v>120.57142857142857</v>
      </c>
      <c r="N42" s="49">
        <f>'Avg Week Kisasi-Bukoto'!N42+'Avg Week Bukoto-Kisasi'!N42</f>
        <v>0</v>
      </c>
      <c r="O42" s="15">
        <f t="shared" si="0"/>
        <v>131.28571428571425</v>
      </c>
      <c r="P42" s="15">
        <f t="shared" si="1"/>
        <v>251.85714285714283</v>
      </c>
      <c r="R42" s="5" t="s">
        <v>160</v>
      </c>
      <c r="S42" s="48">
        <f>S41/S40</f>
        <v>1.5048896549140094</v>
      </c>
      <c r="T42" s="48">
        <f t="shared" ref="T42:AF42" si="34">T41/T40</f>
        <v>1.5837988826815643</v>
      </c>
      <c r="U42" s="48">
        <f t="shared" si="34"/>
        <v>1.0258562793821357</v>
      </c>
      <c r="V42" s="48">
        <f t="shared" si="34"/>
        <v>1.4071837253655435</v>
      </c>
      <c r="W42" s="48">
        <f t="shared" si="34"/>
        <v>1.4307692307692308</v>
      </c>
      <c r="X42" s="48">
        <f t="shared" si="34"/>
        <v>1</v>
      </c>
      <c r="Y42" s="48">
        <f t="shared" si="34"/>
        <v>1.2918727915194346</v>
      </c>
      <c r="Z42" s="48">
        <f t="shared" si="34"/>
        <v>1.1129032258064515</v>
      </c>
      <c r="AA42" s="48">
        <f t="shared" si="34"/>
        <v>1.3153153153153152</v>
      </c>
      <c r="AB42" s="48">
        <f t="shared" si="34"/>
        <v>4.5</v>
      </c>
      <c r="AC42" s="48">
        <f t="shared" si="34"/>
        <v>1.3539498280676652</v>
      </c>
      <c r="AD42" s="48">
        <f t="shared" si="34"/>
        <v>1</v>
      </c>
      <c r="AE42" s="53">
        <f t="shared" si="34"/>
        <v>1.4807765079845607</v>
      </c>
      <c r="AF42" s="53">
        <f t="shared" si="34"/>
        <v>1.4236403522451992</v>
      </c>
    </row>
    <row r="43" spans="2:32" ht="23.1" customHeight="1" x14ac:dyDescent="0.25">
      <c r="B43" s="23" t="s">
        <v>70</v>
      </c>
      <c r="C43" s="49">
        <f>'Avg Week Kisasi-Bukoto'!C43+'Avg Week Bukoto-Kisasi'!C43</f>
        <v>64.571428571428569</v>
      </c>
      <c r="D43" s="49">
        <f>'Avg Week Kisasi-Bukoto'!D43+'Avg Week Bukoto-Kisasi'!D43</f>
        <v>35.571428571428569</v>
      </c>
      <c r="E43" s="49">
        <f>'Avg Week Kisasi-Bukoto'!E43+'Avg Week Bukoto-Kisasi'!E43</f>
        <v>12.571428571428573</v>
      </c>
      <c r="F43" s="49">
        <f>'Avg Week Kisasi-Bukoto'!F43+'Avg Week Bukoto-Kisasi'!F43</f>
        <v>17.571428571428569</v>
      </c>
      <c r="G43" s="49">
        <f>'Avg Week Kisasi-Bukoto'!G43+'Avg Week Bukoto-Kisasi'!G43</f>
        <v>0.14285714285714285</v>
      </c>
      <c r="H43" s="49">
        <f>'Avg Week Kisasi-Bukoto'!H43+'Avg Week Bukoto-Kisasi'!H43</f>
        <v>0</v>
      </c>
      <c r="I43" s="49">
        <f>'Avg Week Kisasi-Bukoto'!I43+'Avg Week Bukoto-Kisasi'!I43</f>
        <v>3.8571428571428568</v>
      </c>
      <c r="J43" s="49">
        <f>'Avg Week Kisasi-Bukoto'!J43+'Avg Week Bukoto-Kisasi'!J43</f>
        <v>0.42857142857142855</v>
      </c>
      <c r="K43" s="49">
        <f>'Avg Week Kisasi-Bukoto'!K43+'Avg Week Bukoto-Kisasi'!K43</f>
        <v>0.42857142857142855</v>
      </c>
      <c r="L43" s="49">
        <f>'Avg Week Kisasi-Bukoto'!L43+'Avg Week Bukoto-Kisasi'!L43</f>
        <v>0</v>
      </c>
      <c r="M43" s="49">
        <f>'Avg Week Kisasi-Bukoto'!M43+'Avg Week Bukoto-Kisasi'!M43</f>
        <v>116.28571428571428</v>
      </c>
      <c r="N43" s="49">
        <f>'Avg Week Kisasi-Bukoto'!N43+'Avg Week Bukoto-Kisasi'!N43</f>
        <v>0</v>
      </c>
      <c r="O43" s="15">
        <f t="shared" si="0"/>
        <v>135.14285714285711</v>
      </c>
      <c r="P43" s="15">
        <f t="shared" si="1"/>
        <v>251.42857142857139</v>
      </c>
    </row>
    <row r="44" spans="2:32" ht="23.1" customHeight="1" x14ac:dyDescent="0.25">
      <c r="B44" s="25" t="s">
        <v>71</v>
      </c>
      <c r="C44" s="49">
        <f>'Avg Week Kisasi-Bukoto'!C44+'Avg Week Bukoto-Kisasi'!C44</f>
        <v>67.714285714285708</v>
      </c>
      <c r="D44" s="49">
        <f>'Avg Week Kisasi-Bukoto'!D44+'Avg Week Bukoto-Kisasi'!D44</f>
        <v>39.428571428571431</v>
      </c>
      <c r="E44" s="49">
        <f>'Avg Week Kisasi-Bukoto'!E44+'Avg Week Bukoto-Kisasi'!E44</f>
        <v>10.428571428571429</v>
      </c>
      <c r="F44" s="49">
        <f>'Avg Week Kisasi-Bukoto'!F44+'Avg Week Bukoto-Kisasi'!F44</f>
        <v>17</v>
      </c>
      <c r="G44" s="49">
        <f>'Avg Week Kisasi-Bukoto'!G44+'Avg Week Bukoto-Kisasi'!G44</f>
        <v>0.2857142857142857</v>
      </c>
      <c r="H44" s="49">
        <f>'Avg Week Kisasi-Bukoto'!H44+'Avg Week Bukoto-Kisasi'!H44</f>
        <v>0</v>
      </c>
      <c r="I44" s="49">
        <f>'Avg Week Kisasi-Bukoto'!I44+'Avg Week Bukoto-Kisasi'!I44</f>
        <v>4</v>
      </c>
      <c r="J44" s="49">
        <f>'Avg Week Kisasi-Bukoto'!J44+'Avg Week Bukoto-Kisasi'!J44</f>
        <v>0.14285714285714285</v>
      </c>
      <c r="K44" s="49">
        <f>'Avg Week Kisasi-Bukoto'!K44+'Avg Week Bukoto-Kisasi'!K44</f>
        <v>0.5714285714285714</v>
      </c>
      <c r="L44" s="49">
        <f>'Avg Week Kisasi-Bukoto'!L44+'Avg Week Bukoto-Kisasi'!L44</f>
        <v>0</v>
      </c>
      <c r="M44" s="49">
        <f>'Avg Week Kisasi-Bukoto'!M44+'Avg Week Bukoto-Kisasi'!M44</f>
        <v>112.28571428571428</v>
      </c>
      <c r="N44" s="49">
        <f>'Avg Week Kisasi-Bukoto'!N44+'Avg Week Bukoto-Kisasi'!N44</f>
        <v>0</v>
      </c>
      <c r="O44" s="15">
        <f t="shared" si="0"/>
        <v>139.57142857142856</v>
      </c>
      <c r="P44" s="15">
        <f t="shared" si="1"/>
        <v>251.85714285714283</v>
      </c>
    </row>
    <row r="45" spans="2:32" ht="23.1" customHeight="1" x14ac:dyDescent="0.25">
      <c r="B45" s="23" t="s">
        <v>72</v>
      </c>
      <c r="C45" s="49">
        <f>'Avg Week Kisasi-Bukoto'!C45+'Avg Week Bukoto-Kisasi'!C45</f>
        <v>69.714285714285722</v>
      </c>
      <c r="D45" s="49">
        <f>'Avg Week Kisasi-Bukoto'!D45+'Avg Week Bukoto-Kisasi'!D45</f>
        <v>38.428571428571431</v>
      </c>
      <c r="E45" s="49">
        <f>'Avg Week Kisasi-Bukoto'!E45+'Avg Week Bukoto-Kisasi'!E45</f>
        <v>9.4285714285714288</v>
      </c>
      <c r="F45" s="49">
        <f>'Avg Week Kisasi-Bukoto'!F45+'Avg Week Bukoto-Kisasi'!F45</f>
        <v>17.714285714285715</v>
      </c>
      <c r="G45" s="49">
        <f>'Avg Week Kisasi-Bukoto'!G45+'Avg Week Bukoto-Kisasi'!G45</f>
        <v>0.14285714285714285</v>
      </c>
      <c r="H45" s="49">
        <f>'Avg Week Kisasi-Bukoto'!H45+'Avg Week Bukoto-Kisasi'!H45</f>
        <v>0</v>
      </c>
      <c r="I45" s="49">
        <f>'Avg Week Kisasi-Bukoto'!I45+'Avg Week Bukoto-Kisasi'!I45</f>
        <v>4</v>
      </c>
      <c r="J45" s="49">
        <f>'Avg Week Kisasi-Bukoto'!J45+'Avg Week Bukoto-Kisasi'!J45</f>
        <v>0.8571428571428571</v>
      </c>
      <c r="K45" s="49">
        <f>'Avg Week Kisasi-Bukoto'!K45+'Avg Week Bukoto-Kisasi'!K45</f>
        <v>0.14285714285714285</v>
      </c>
      <c r="L45" s="49">
        <f>'Avg Week Kisasi-Bukoto'!L45+'Avg Week Bukoto-Kisasi'!L45</f>
        <v>0</v>
      </c>
      <c r="M45" s="49">
        <f>'Avg Week Kisasi-Bukoto'!M45+'Avg Week Bukoto-Kisasi'!M45</f>
        <v>116.42857142857142</v>
      </c>
      <c r="N45" s="49">
        <f>'Avg Week Kisasi-Bukoto'!N45+'Avg Week Bukoto-Kisasi'!N45</f>
        <v>0</v>
      </c>
      <c r="O45" s="15">
        <f t="shared" si="0"/>
        <v>140.42857142857144</v>
      </c>
      <c r="P45" s="15">
        <f t="shared" si="1"/>
        <v>256.85714285714289</v>
      </c>
    </row>
    <row r="46" spans="2:32" ht="23.1" customHeight="1" x14ac:dyDescent="0.25">
      <c r="B46" s="24" t="s">
        <v>73</v>
      </c>
      <c r="C46" s="49">
        <f>'Avg Week Kisasi-Bukoto'!C46+'Avg Week Bukoto-Kisasi'!C46</f>
        <v>69.857142857142861</v>
      </c>
      <c r="D46" s="49">
        <f>'Avg Week Kisasi-Bukoto'!D46+'Avg Week Bukoto-Kisasi'!D46</f>
        <v>39.285714285714292</v>
      </c>
      <c r="E46" s="49">
        <f>'Avg Week Kisasi-Bukoto'!E46+'Avg Week Bukoto-Kisasi'!E46</f>
        <v>8.5714285714285712</v>
      </c>
      <c r="F46" s="49">
        <f>'Avg Week Kisasi-Bukoto'!F46+'Avg Week Bukoto-Kisasi'!F46</f>
        <v>18.857142857142854</v>
      </c>
      <c r="G46" s="49">
        <f>'Avg Week Kisasi-Bukoto'!G46+'Avg Week Bukoto-Kisasi'!G46</f>
        <v>0</v>
      </c>
      <c r="H46" s="49">
        <f>'Avg Week Kisasi-Bukoto'!H46+'Avg Week Bukoto-Kisasi'!H46</f>
        <v>0</v>
      </c>
      <c r="I46" s="49">
        <f>'Avg Week Kisasi-Bukoto'!I46+'Avg Week Bukoto-Kisasi'!I46</f>
        <v>4.1428571428571423</v>
      </c>
      <c r="J46" s="49">
        <f>'Avg Week Kisasi-Bukoto'!J46+'Avg Week Bukoto-Kisasi'!J46</f>
        <v>1.2857142857142856</v>
      </c>
      <c r="K46" s="49">
        <f>'Avg Week Kisasi-Bukoto'!K46+'Avg Week Bukoto-Kisasi'!K46</f>
        <v>0</v>
      </c>
      <c r="L46" s="49">
        <f>'Avg Week Kisasi-Bukoto'!L46+'Avg Week Bukoto-Kisasi'!L46</f>
        <v>0</v>
      </c>
      <c r="M46" s="49">
        <f>'Avg Week Kisasi-Bukoto'!M46+'Avg Week Bukoto-Kisasi'!M46</f>
        <v>117.42857142857142</v>
      </c>
      <c r="N46" s="49">
        <f>'Avg Week Kisasi-Bukoto'!N46+'Avg Week Bukoto-Kisasi'!N46</f>
        <v>0</v>
      </c>
      <c r="O46" s="15">
        <f t="shared" si="0"/>
        <v>142</v>
      </c>
      <c r="P46" s="15">
        <f t="shared" si="1"/>
        <v>259.42857142857144</v>
      </c>
      <c r="R46" s="8"/>
      <c r="T46"/>
    </row>
    <row r="47" spans="2:32" ht="23.1" customHeight="1" x14ac:dyDescent="0.25">
      <c r="B47" s="24" t="s">
        <v>74</v>
      </c>
      <c r="C47" s="49">
        <f>'Avg Week Kisasi-Bukoto'!C47+'Avg Week Bukoto-Kisasi'!C47</f>
        <v>72.571428571428569</v>
      </c>
      <c r="D47" s="49">
        <f>'Avg Week Kisasi-Bukoto'!D47+'Avg Week Bukoto-Kisasi'!D47</f>
        <v>36.571428571428569</v>
      </c>
      <c r="E47" s="49">
        <f>'Avg Week Kisasi-Bukoto'!E47+'Avg Week Bukoto-Kisasi'!E47</f>
        <v>10.142857142857142</v>
      </c>
      <c r="F47" s="49">
        <f>'Avg Week Kisasi-Bukoto'!F47+'Avg Week Bukoto-Kisasi'!F47</f>
        <v>16.142857142857142</v>
      </c>
      <c r="G47" s="49">
        <f>'Avg Week Kisasi-Bukoto'!G47+'Avg Week Bukoto-Kisasi'!G47</f>
        <v>0</v>
      </c>
      <c r="H47" s="49">
        <f>'Avg Week Kisasi-Bukoto'!H47+'Avg Week Bukoto-Kisasi'!H47</f>
        <v>0.14285714285714285</v>
      </c>
      <c r="I47" s="49">
        <f>'Avg Week Kisasi-Bukoto'!I47+'Avg Week Bukoto-Kisasi'!I47</f>
        <v>4.2857142857142856</v>
      </c>
      <c r="J47" s="49">
        <f>'Avg Week Kisasi-Bukoto'!J47+'Avg Week Bukoto-Kisasi'!J47</f>
        <v>1.4285714285714286</v>
      </c>
      <c r="K47" s="49">
        <f>'Avg Week Kisasi-Bukoto'!K47+'Avg Week Bukoto-Kisasi'!K47</f>
        <v>0.5714285714285714</v>
      </c>
      <c r="L47" s="49">
        <f>'Avg Week Kisasi-Bukoto'!L47+'Avg Week Bukoto-Kisasi'!L47</f>
        <v>0</v>
      </c>
      <c r="M47" s="49">
        <f>'Avg Week Kisasi-Bukoto'!M47+'Avg Week Bukoto-Kisasi'!M47</f>
        <v>115.28571428571428</v>
      </c>
      <c r="N47" s="49">
        <f>'Avg Week Kisasi-Bukoto'!N47+'Avg Week Bukoto-Kisasi'!N47</f>
        <v>0</v>
      </c>
      <c r="O47" s="15">
        <f t="shared" si="0"/>
        <v>141.85714285714283</v>
      </c>
      <c r="P47" s="15">
        <f t="shared" si="1"/>
        <v>257.14285714285711</v>
      </c>
      <c r="R47" s="8"/>
      <c r="T47"/>
    </row>
    <row r="48" spans="2:32" ht="23.1" customHeight="1" x14ac:dyDescent="0.25">
      <c r="B48" s="24" t="s">
        <v>75</v>
      </c>
      <c r="C48" s="49">
        <f>'Avg Week Kisasi-Bukoto'!C48+'Avg Week Bukoto-Kisasi'!C48</f>
        <v>82.714285714285722</v>
      </c>
      <c r="D48" s="49">
        <f>'Avg Week Kisasi-Bukoto'!D48+'Avg Week Bukoto-Kisasi'!D48</f>
        <v>42.857142857142854</v>
      </c>
      <c r="E48" s="49">
        <f>'Avg Week Kisasi-Bukoto'!E48+'Avg Week Bukoto-Kisasi'!E48</f>
        <v>10.571428571428571</v>
      </c>
      <c r="F48" s="49">
        <f>'Avg Week Kisasi-Bukoto'!F48+'Avg Week Bukoto-Kisasi'!F48</f>
        <v>17</v>
      </c>
      <c r="G48" s="49">
        <f>'Avg Week Kisasi-Bukoto'!G48+'Avg Week Bukoto-Kisasi'!G48</f>
        <v>0.42857142857142855</v>
      </c>
      <c r="H48" s="49">
        <f>'Avg Week Kisasi-Bukoto'!H48+'Avg Week Bukoto-Kisasi'!H48</f>
        <v>0.2857142857142857</v>
      </c>
      <c r="I48" s="49">
        <f>'Avg Week Kisasi-Bukoto'!I48+'Avg Week Bukoto-Kisasi'!I48</f>
        <v>5</v>
      </c>
      <c r="J48" s="49">
        <f>'Avg Week Kisasi-Bukoto'!J48+'Avg Week Bukoto-Kisasi'!J48</f>
        <v>0.8571428571428571</v>
      </c>
      <c r="K48" s="49">
        <f>'Avg Week Kisasi-Bukoto'!K48+'Avg Week Bukoto-Kisasi'!K48</f>
        <v>0.8571428571428571</v>
      </c>
      <c r="L48" s="49">
        <f>'Avg Week Kisasi-Bukoto'!L48+'Avg Week Bukoto-Kisasi'!L48</f>
        <v>0</v>
      </c>
      <c r="M48" s="49">
        <f>'Avg Week Kisasi-Bukoto'!M48+'Avg Week Bukoto-Kisasi'!M48</f>
        <v>119</v>
      </c>
      <c r="N48" s="49">
        <f>'Avg Week Kisasi-Bukoto'!N48+'Avg Week Bukoto-Kisasi'!N48</f>
        <v>0</v>
      </c>
      <c r="O48" s="15">
        <f t="shared" si="0"/>
        <v>160.57142857142858</v>
      </c>
      <c r="P48" s="15">
        <f t="shared" si="1"/>
        <v>279.57142857142856</v>
      </c>
      <c r="R48" s="8"/>
      <c r="T48"/>
    </row>
    <row r="49" spans="2:20" ht="23.1" customHeight="1" x14ac:dyDescent="0.25">
      <c r="B49" s="23" t="s">
        <v>76</v>
      </c>
      <c r="C49" s="49">
        <f>'Avg Week Kisasi-Bukoto'!C49+'Avg Week Bukoto-Kisasi'!C49</f>
        <v>92.571428571428569</v>
      </c>
      <c r="D49" s="49">
        <f>'Avg Week Kisasi-Bukoto'!D49+'Avg Week Bukoto-Kisasi'!D49</f>
        <v>45.285714285714285</v>
      </c>
      <c r="E49" s="49">
        <f>'Avg Week Kisasi-Bukoto'!E49+'Avg Week Bukoto-Kisasi'!E49</f>
        <v>14.142857142857142</v>
      </c>
      <c r="F49" s="49">
        <f>'Avg Week Kisasi-Bukoto'!F49+'Avg Week Bukoto-Kisasi'!F49</f>
        <v>19.285714285714285</v>
      </c>
      <c r="G49" s="49">
        <f>'Avg Week Kisasi-Bukoto'!G49+'Avg Week Bukoto-Kisasi'!G49</f>
        <v>1.2857142857142856</v>
      </c>
      <c r="H49" s="49">
        <f>'Avg Week Kisasi-Bukoto'!H49+'Avg Week Bukoto-Kisasi'!H49</f>
        <v>0</v>
      </c>
      <c r="I49" s="49">
        <f>'Avg Week Kisasi-Bukoto'!I49+'Avg Week Bukoto-Kisasi'!I49</f>
        <v>4.8571428571428577</v>
      </c>
      <c r="J49" s="49">
        <f>'Avg Week Kisasi-Bukoto'!J49+'Avg Week Bukoto-Kisasi'!J49</f>
        <v>1.2857142857142856</v>
      </c>
      <c r="K49" s="49">
        <f>'Avg Week Kisasi-Bukoto'!K49+'Avg Week Bukoto-Kisasi'!K49</f>
        <v>1</v>
      </c>
      <c r="L49" s="49">
        <f>'Avg Week Kisasi-Bukoto'!L49+'Avg Week Bukoto-Kisasi'!L49</f>
        <v>0</v>
      </c>
      <c r="M49" s="49">
        <f>'Avg Week Kisasi-Bukoto'!M49+'Avg Week Bukoto-Kisasi'!M49</f>
        <v>125.85714285714286</v>
      </c>
      <c r="N49" s="49">
        <f>'Avg Week Kisasi-Bukoto'!N49+'Avg Week Bukoto-Kisasi'!N49</f>
        <v>0</v>
      </c>
      <c r="O49" s="15">
        <f t="shared" si="0"/>
        <v>179.71428571428569</v>
      </c>
      <c r="P49" s="15">
        <f t="shared" si="1"/>
        <v>305.57142857142856</v>
      </c>
      <c r="R49" s="8"/>
      <c r="T49"/>
    </row>
    <row r="50" spans="2:20" ht="23.1" customHeight="1" x14ac:dyDescent="0.25">
      <c r="B50" s="24" t="s">
        <v>77</v>
      </c>
      <c r="C50" s="49">
        <f>'Avg Week Kisasi-Bukoto'!C50+'Avg Week Bukoto-Kisasi'!C50</f>
        <v>104.14285714285714</v>
      </c>
      <c r="D50" s="49">
        <f>'Avg Week Kisasi-Bukoto'!D50+'Avg Week Bukoto-Kisasi'!D50</f>
        <v>49.571428571428569</v>
      </c>
      <c r="E50" s="49">
        <f>'Avg Week Kisasi-Bukoto'!E50+'Avg Week Bukoto-Kisasi'!E50</f>
        <v>13.857142857142858</v>
      </c>
      <c r="F50" s="49">
        <f>'Avg Week Kisasi-Bukoto'!F50+'Avg Week Bukoto-Kisasi'!F50</f>
        <v>21.857142857142858</v>
      </c>
      <c r="G50" s="49">
        <f>'Avg Week Kisasi-Bukoto'!G50+'Avg Week Bukoto-Kisasi'!G50</f>
        <v>0.2857142857142857</v>
      </c>
      <c r="H50" s="49">
        <f>'Avg Week Kisasi-Bukoto'!H50+'Avg Week Bukoto-Kisasi'!H50</f>
        <v>0</v>
      </c>
      <c r="I50" s="49">
        <f>'Avg Week Kisasi-Bukoto'!I50+'Avg Week Bukoto-Kisasi'!I50</f>
        <v>3.5714285714285712</v>
      </c>
      <c r="J50" s="49">
        <f>'Avg Week Kisasi-Bukoto'!J50+'Avg Week Bukoto-Kisasi'!J50</f>
        <v>0.71428571428571419</v>
      </c>
      <c r="K50" s="49">
        <f>'Avg Week Kisasi-Bukoto'!K50+'Avg Week Bukoto-Kisasi'!K50</f>
        <v>0.5714285714285714</v>
      </c>
      <c r="L50" s="49">
        <f>'Avg Week Kisasi-Bukoto'!L50+'Avg Week Bukoto-Kisasi'!L50</f>
        <v>0</v>
      </c>
      <c r="M50" s="49">
        <f>'Avg Week Kisasi-Bukoto'!M50+'Avg Week Bukoto-Kisasi'!M50</f>
        <v>132.71428571428572</v>
      </c>
      <c r="N50" s="49">
        <f>'Avg Week Kisasi-Bukoto'!N50+'Avg Week Bukoto-Kisasi'!N50</f>
        <v>0</v>
      </c>
      <c r="O50" s="15">
        <f t="shared" si="0"/>
        <v>194.57142857142861</v>
      </c>
      <c r="P50" s="15">
        <f t="shared" si="1"/>
        <v>327.28571428571433</v>
      </c>
      <c r="R50" s="8"/>
      <c r="T50"/>
    </row>
    <row r="51" spans="2:20" ht="23.1" customHeight="1" x14ac:dyDescent="0.25">
      <c r="B51" s="24" t="s">
        <v>78</v>
      </c>
      <c r="C51" s="49">
        <f>'Avg Week Kisasi-Bukoto'!C51+'Avg Week Bukoto-Kisasi'!C51</f>
        <v>95.714285714285708</v>
      </c>
      <c r="D51" s="49">
        <f>'Avg Week Kisasi-Bukoto'!D51+'Avg Week Bukoto-Kisasi'!D51</f>
        <v>51.714285714285715</v>
      </c>
      <c r="E51" s="49">
        <f>'Avg Week Kisasi-Bukoto'!E51+'Avg Week Bukoto-Kisasi'!E51</f>
        <v>13.285714285714285</v>
      </c>
      <c r="F51" s="49">
        <f>'Avg Week Kisasi-Bukoto'!F51+'Avg Week Bukoto-Kisasi'!F51</f>
        <v>23</v>
      </c>
      <c r="G51" s="49">
        <f>'Avg Week Kisasi-Bukoto'!G51+'Avg Week Bukoto-Kisasi'!G51</f>
        <v>0.2857142857142857</v>
      </c>
      <c r="H51" s="49">
        <f>'Avg Week Kisasi-Bukoto'!H51+'Avg Week Bukoto-Kisasi'!H51</f>
        <v>0</v>
      </c>
      <c r="I51" s="49">
        <f>'Avg Week Kisasi-Bukoto'!I51+'Avg Week Bukoto-Kisasi'!I51</f>
        <v>4.5714285714285712</v>
      </c>
      <c r="J51" s="49">
        <f>'Avg Week Kisasi-Bukoto'!J51+'Avg Week Bukoto-Kisasi'!J51</f>
        <v>0.8571428571428571</v>
      </c>
      <c r="K51" s="49">
        <f>'Avg Week Kisasi-Bukoto'!K51+'Avg Week Bukoto-Kisasi'!K51</f>
        <v>0.2857142857142857</v>
      </c>
      <c r="L51" s="49">
        <f>'Avg Week Kisasi-Bukoto'!L51+'Avg Week Bukoto-Kisasi'!L51</f>
        <v>0</v>
      </c>
      <c r="M51" s="49">
        <f>'Avg Week Kisasi-Bukoto'!M51+'Avg Week Bukoto-Kisasi'!M51</f>
        <v>133.28571428571428</v>
      </c>
      <c r="N51" s="49">
        <f>'Avg Week Kisasi-Bukoto'!N51+'Avg Week Bukoto-Kisasi'!N51</f>
        <v>0</v>
      </c>
      <c r="O51" s="15">
        <f t="shared" si="0"/>
        <v>189.71428571428569</v>
      </c>
      <c r="P51" s="15">
        <f t="shared" si="1"/>
        <v>323</v>
      </c>
      <c r="R51" s="8"/>
      <c r="T51"/>
    </row>
    <row r="52" spans="2:20" ht="23.1" customHeight="1" x14ac:dyDescent="0.25">
      <c r="B52" s="24" t="s">
        <v>79</v>
      </c>
      <c r="C52" s="49">
        <f>'Avg Week Kisasi-Bukoto'!C52+'Avg Week Bukoto-Kisasi'!C52</f>
        <v>101.71428571428571</v>
      </c>
      <c r="D52" s="49">
        <f>'Avg Week Kisasi-Bukoto'!D52+'Avg Week Bukoto-Kisasi'!D52</f>
        <v>46</v>
      </c>
      <c r="E52" s="49">
        <f>'Avg Week Kisasi-Bukoto'!E52+'Avg Week Bukoto-Kisasi'!E52</f>
        <v>13</v>
      </c>
      <c r="F52" s="49">
        <f>'Avg Week Kisasi-Bukoto'!F52+'Avg Week Bukoto-Kisasi'!F52</f>
        <v>21.428571428571431</v>
      </c>
      <c r="G52" s="49">
        <f>'Avg Week Kisasi-Bukoto'!G52+'Avg Week Bukoto-Kisasi'!G52</f>
        <v>0.2857142857142857</v>
      </c>
      <c r="H52" s="49">
        <f>'Avg Week Kisasi-Bukoto'!H52+'Avg Week Bukoto-Kisasi'!H52</f>
        <v>0</v>
      </c>
      <c r="I52" s="49">
        <f>'Avg Week Kisasi-Bukoto'!I52+'Avg Week Bukoto-Kisasi'!I52</f>
        <v>3.1428571428571428</v>
      </c>
      <c r="J52" s="49">
        <f>'Avg Week Kisasi-Bukoto'!J52+'Avg Week Bukoto-Kisasi'!J52</f>
        <v>1.4285714285714286</v>
      </c>
      <c r="K52" s="49">
        <f>'Avg Week Kisasi-Bukoto'!K52+'Avg Week Bukoto-Kisasi'!K52</f>
        <v>0.2857142857142857</v>
      </c>
      <c r="L52" s="49">
        <f>'Avg Week Kisasi-Bukoto'!L52+'Avg Week Bukoto-Kisasi'!L52</f>
        <v>0.14285714285714285</v>
      </c>
      <c r="M52" s="49">
        <f>'Avg Week Kisasi-Bukoto'!M52+'Avg Week Bukoto-Kisasi'!M52</f>
        <v>136.85714285714286</v>
      </c>
      <c r="N52" s="49">
        <f>'Avg Week Kisasi-Bukoto'!N52+'Avg Week Bukoto-Kisasi'!N52</f>
        <v>0</v>
      </c>
      <c r="O52" s="15">
        <f t="shared" si="0"/>
        <v>187.42857142857142</v>
      </c>
      <c r="P52" s="15">
        <f t="shared" si="1"/>
        <v>324.28571428571428</v>
      </c>
      <c r="R52" s="8"/>
      <c r="T52"/>
    </row>
    <row r="53" spans="2:20" ht="23.1" customHeight="1" x14ac:dyDescent="0.25">
      <c r="B53" s="23" t="s">
        <v>80</v>
      </c>
      <c r="C53" s="49">
        <f>'Avg Week Kisasi-Bukoto'!C53+'Avg Week Bukoto-Kisasi'!C53</f>
        <v>110.14285714285714</v>
      </c>
      <c r="D53" s="49">
        <f>'Avg Week Kisasi-Bukoto'!D53+'Avg Week Bukoto-Kisasi'!D53</f>
        <v>47.142857142857146</v>
      </c>
      <c r="E53" s="49">
        <f>'Avg Week Kisasi-Bukoto'!E53+'Avg Week Bukoto-Kisasi'!E53</f>
        <v>15.428571428571429</v>
      </c>
      <c r="F53" s="49">
        <f>'Avg Week Kisasi-Bukoto'!F53+'Avg Week Bukoto-Kisasi'!F53</f>
        <v>22.428571428571431</v>
      </c>
      <c r="G53" s="49">
        <f>'Avg Week Kisasi-Bukoto'!G53+'Avg Week Bukoto-Kisasi'!G53</f>
        <v>0.14285714285714285</v>
      </c>
      <c r="H53" s="49">
        <f>'Avg Week Kisasi-Bukoto'!H53+'Avg Week Bukoto-Kisasi'!H53</f>
        <v>0</v>
      </c>
      <c r="I53" s="49">
        <f>'Avg Week Kisasi-Bukoto'!I53+'Avg Week Bukoto-Kisasi'!I53</f>
        <v>3.4285714285714284</v>
      </c>
      <c r="J53" s="49">
        <f>'Avg Week Kisasi-Bukoto'!J53+'Avg Week Bukoto-Kisasi'!J53</f>
        <v>0.85714285714285721</v>
      </c>
      <c r="K53" s="49">
        <f>'Avg Week Kisasi-Bukoto'!K53+'Avg Week Bukoto-Kisasi'!K53</f>
        <v>0.2857142857142857</v>
      </c>
      <c r="L53" s="49">
        <f>'Avg Week Kisasi-Bukoto'!L53+'Avg Week Bukoto-Kisasi'!L53</f>
        <v>0</v>
      </c>
      <c r="M53" s="49">
        <f>'Avg Week Kisasi-Bukoto'!M53+'Avg Week Bukoto-Kisasi'!M53</f>
        <v>141</v>
      </c>
      <c r="N53" s="49">
        <f>'Avg Week Kisasi-Bukoto'!N53+'Avg Week Bukoto-Kisasi'!N53</f>
        <v>0</v>
      </c>
      <c r="O53" s="15">
        <f t="shared" si="0"/>
        <v>199.8571428571428</v>
      </c>
      <c r="P53" s="15">
        <f t="shared" si="1"/>
        <v>340.85714285714278</v>
      </c>
      <c r="R53" s="8"/>
      <c r="T53"/>
    </row>
    <row r="54" spans="2:20" ht="23.1" customHeight="1" x14ac:dyDescent="0.25">
      <c r="B54" s="23" t="s">
        <v>81</v>
      </c>
      <c r="C54" s="49">
        <f>'Avg Week Kisasi-Bukoto'!C54+'Avg Week Bukoto-Kisasi'!C54</f>
        <v>100.85714285714285</v>
      </c>
      <c r="D54" s="49">
        <f>'Avg Week Kisasi-Bukoto'!D54+'Avg Week Bukoto-Kisasi'!D54</f>
        <v>50.285714285714292</v>
      </c>
      <c r="E54" s="49">
        <f>'Avg Week Kisasi-Bukoto'!E54+'Avg Week Bukoto-Kisasi'!E54</f>
        <v>14.142857142857142</v>
      </c>
      <c r="F54" s="49">
        <f>'Avg Week Kisasi-Bukoto'!F54+'Avg Week Bukoto-Kisasi'!F54</f>
        <v>20.428571428571431</v>
      </c>
      <c r="G54" s="49">
        <f>'Avg Week Kisasi-Bukoto'!G54+'Avg Week Bukoto-Kisasi'!G54</f>
        <v>0.2857142857142857</v>
      </c>
      <c r="H54" s="49">
        <f>'Avg Week Kisasi-Bukoto'!H54+'Avg Week Bukoto-Kisasi'!H54</f>
        <v>0</v>
      </c>
      <c r="I54" s="49">
        <f>'Avg Week Kisasi-Bukoto'!I54+'Avg Week Bukoto-Kisasi'!I54</f>
        <v>5</v>
      </c>
      <c r="J54" s="49">
        <f>'Avg Week Kisasi-Bukoto'!J54+'Avg Week Bukoto-Kisasi'!J54</f>
        <v>0.85714285714285721</v>
      </c>
      <c r="K54" s="49">
        <f>'Avg Week Kisasi-Bukoto'!K54+'Avg Week Bukoto-Kisasi'!K54</f>
        <v>0.2857142857142857</v>
      </c>
      <c r="L54" s="49">
        <f>'Avg Week Kisasi-Bukoto'!L54+'Avg Week Bukoto-Kisasi'!L54</f>
        <v>0</v>
      </c>
      <c r="M54" s="49">
        <f>'Avg Week Kisasi-Bukoto'!M54+'Avg Week Bukoto-Kisasi'!M54</f>
        <v>144.71428571428572</v>
      </c>
      <c r="N54" s="49">
        <f>'Avg Week Kisasi-Bukoto'!N54+'Avg Week Bukoto-Kisasi'!N54</f>
        <v>0</v>
      </c>
      <c r="O54" s="15">
        <f t="shared" si="0"/>
        <v>192.14285714285714</v>
      </c>
      <c r="P54" s="15">
        <f t="shared" si="1"/>
        <v>336.85714285714289</v>
      </c>
      <c r="R54" s="8"/>
      <c r="T54"/>
    </row>
    <row r="55" spans="2:20" ht="23.1" customHeight="1" x14ac:dyDescent="0.25">
      <c r="B55" s="23" t="s">
        <v>82</v>
      </c>
      <c r="C55" s="49">
        <f>'Avg Week Kisasi-Bukoto'!C55+'Avg Week Bukoto-Kisasi'!C55</f>
        <v>103.57142857142858</v>
      </c>
      <c r="D55" s="49">
        <f>'Avg Week Kisasi-Bukoto'!D55+'Avg Week Bukoto-Kisasi'!D55</f>
        <v>52</v>
      </c>
      <c r="E55" s="49">
        <f>'Avg Week Kisasi-Bukoto'!E55+'Avg Week Bukoto-Kisasi'!E55</f>
        <v>13.714285714285715</v>
      </c>
      <c r="F55" s="49">
        <f>'Avg Week Kisasi-Bukoto'!F55+'Avg Week Bukoto-Kisasi'!F55</f>
        <v>23.285714285714285</v>
      </c>
      <c r="G55" s="49">
        <f>'Avg Week Kisasi-Bukoto'!G55+'Avg Week Bukoto-Kisasi'!G55</f>
        <v>1</v>
      </c>
      <c r="H55" s="49">
        <f>'Avg Week Kisasi-Bukoto'!H55+'Avg Week Bukoto-Kisasi'!H55</f>
        <v>0.2857142857142857</v>
      </c>
      <c r="I55" s="49">
        <f>'Avg Week Kisasi-Bukoto'!I55+'Avg Week Bukoto-Kisasi'!I55</f>
        <v>5.1428571428571423</v>
      </c>
      <c r="J55" s="49">
        <f>'Avg Week Kisasi-Bukoto'!J55+'Avg Week Bukoto-Kisasi'!J55</f>
        <v>0.42857142857142855</v>
      </c>
      <c r="K55" s="49">
        <f>'Avg Week Kisasi-Bukoto'!K55+'Avg Week Bukoto-Kisasi'!K55</f>
        <v>0</v>
      </c>
      <c r="L55" s="49">
        <f>'Avg Week Kisasi-Bukoto'!L55+'Avg Week Bukoto-Kisasi'!L55</f>
        <v>0</v>
      </c>
      <c r="M55" s="49">
        <f>'Avg Week Kisasi-Bukoto'!M55+'Avg Week Bukoto-Kisasi'!M55</f>
        <v>153.85714285714286</v>
      </c>
      <c r="N55" s="49">
        <f>'Avg Week Kisasi-Bukoto'!N55+'Avg Week Bukoto-Kisasi'!N55</f>
        <v>0</v>
      </c>
      <c r="O55" s="15">
        <f t="shared" si="0"/>
        <v>199.42857142857142</v>
      </c>
      <c r="P55" s="15">
        <f t="shared" si="1"/>
        <v>353.28571428571428</v>
      </c>
      <c r="R55" s="8"/>
      <c r="T55"/>
    </row>
    <row r="56" spans="2:20" ht="23.1" customHeight="1" x14ac:dyDescent="0.25">
      <c r="B56" s="23" t="s">
        <v>83</v>
      </c>
      <c r="C56" s="49">
        <f>'Avg Week Kisasi-Bukoto'!C56+'Avg Week Bukoto-Kisasi'!C56</f>
        <v>109.57142857142857</v>
      </c>
      <c r="D56" s="49">
        <f>'Avg Week Kisasi-Bukoto'!D56+'Avg Week Bukoto-Kisasi'!D56</f>
        <v>55</v>
      </c>
      <c r="E56" s="49">
        <f>'Avg Week Kisasi-Bukoto'!E56+'Avg Week Bukoto-Kisasi'!E56</f>
        <v>13.428571428571429</v>
      </c>
      <c r="F56" s="49">
        <f>'Avg Week Kisasi-Bukoto'!F56+'Avg Week Bukoto-Kisasi'!F56</f>
        <v>26.571428571428573</v>
      </c>
      <c r="G56" s="49">
        <f>'Avg Week Kisasi-Bukoto'!G56+'Avg Week Bukoto-Kisasi'!G56</f>
        <v>0.71428571428571419</v>
      </c>
      <c r="H56" s="49">
        <f>'Avg Week Kisasi-Bukoto'!H56+'Avg Week Bukoto-Kisasi'!H56</f>
        <v>0</v>
      </c>
      <c r="I56" s="49">
        <f>'Avg Week Kisasi-Bukoto'!I56+'Avg Week Bukoto-Kisasi'!I56</f>
        <v>3.2857142857142856</v>
      </c>
      <c r="J56" s="49">
        <f>'Avg Week Kisasi-Bukoto'!J56+'Avg Week Bukoto-Kisasi'!J56</f>
        <v>0.8571428571428571</v>
      </c>
      <c r="K56" s="49">
        <f>'Avg Week Kisasi-Bukoto'!K56+'Avg Week Bukoto-Kisasi'!K56</f>
        <v>0.2857142857142857</v>
      </c>
      <c r="L56" s="49">
        <f>'Avg Week Kisasi-Bukoto'!L56+'Avg Week Bukoto-Kisasi'!L56</f>
        <v>0.14285714285714285</v>
      </c>
      <c r="M56" s="49">
        <f>'Avg Week Kisasi-Bukoto'!M56+'Avg Week Bukoto-Kisasi'!M56</f>
        <v>145.28571428571428</v>
      </c>
      <c r="N56" s="49">
        <f>'Avg Week Kisasi-Bukoto'!N56+'Avg Week Bukoto-Kisasi'!N56</f>
        <v>0</v>
      </c>
      <c r="O56" s="15">
        <f t="shared" si="0"/>
        <v>209.85714285714283</v>
      </c>
      <c r="P56" s="15">
        <f t="shared" si="1"/>
        <v>355.14285714285711</v>
      </c>
      <c r="R56" s="8"/>
      <c r="T56"/>
    </row>
    <row r="57" spans="2:20" ht="23.1" customHeight="1" x14ac:dyDescent="0.25">
      <c r="B57" s="23" t="s">
        <v>84</v>
      </c>
      <c r="C57" s="49">
        <f>'Avg Week Kisasi-Bukoto'!C57+'Avg Week Bukoto-Kisasi'!C57</f>
        <v>105.57142857142857</v>
      </c>
      <c r="D57" s="49">
        <f>'Avg Week Kisasi-Bukoto'!D57+'Avg Week Bukoto-Kisasi'!D57</f>
        <v>44.142857142857139</v>
      </c>
      <c r="E57" s="49">
        <f>'Avg Week Kisasi-Bukoto'!E57+'Avg Week Bukoto-Kisasi'!E57</f>
        <v>13.571428571428571</v>
      </c>
      <c r="F57" s="49">
        <f>'Avg Week Kisasi-Bukoto'!F57+'Avg Week Bukoto-Kisasi'!F57</f>
        <v>23.142857142857146</v>
      </c>
      <c r="G57" s="49">
        <f>'Avg Week Kisasi-Bukoto'!G57+'Avg Week Bukoto-Kisasi'!G57</f>
        <v>0.2857142857142857</v>
      </c>
      <c r="H57" s="49">
        <f>'Avg Week Kisasi-Bukoto'!H57+'Avg Week Bukoto-Kisasi'!H57</f>
        <v>0</v>
      </c>
      <c r="I57" s="49">
        <f>'Avg Week Kisasi-Bukoto'!I57+'Avg Week Bukoto-Kisasi'!I57</f>
        <v>4.2857142857142856</v>
      </c>
      <c r="J57" s="49">
        <f>'Avg Week Kisasi-Bukoto'!J57+'Avg Week Bukoto-Kisasi'!J57</f>
        <v>1.2857142857142856</v>
      </c>
      <c r="K57" s="49">
        <f>'Avg Week Kisasi-Bukoto'!K57+'Avg Week Bukoto-Kisasi'!K57</f>
        <v>0</v>
      </c>
      <c r="L57" s="49">
        <f>'Avg Week Kisasi-Bukoto'!L57+'Avg Week Bukoto-Kisasi'!L57</f>
        <v>0</v>
      </c>
      <c r="M57" s="49">
        <f>'Avg Week Kisasi-Bukoto'!M57+'Avg Week Bukoto-Kisasi'!M57</f>
        <v>136.71428571428572</v>
      </c>
      <c r="N57" s="49">
        <f>'Avg Week Kisasi-Bukoto'!N57+'Avg Week Bukoto-Kisasi'!N57</f>
        <v>0</v>
      </c>
      <c r="O57" s="15">
        <f t="shared" si="0"/>
        <v>192.28571428571428</v>
      </c>
      <c r="P57" s="15">
        <f t="shared" si="1"/>
        <v>329</v>
      </c>
      <c r="R57" s="8"/>
      <c r="T57"/>
    </row>
    <row r="58" spans="2:20" ht="23.1" customHeight="1" x14ac:dyDescent="0.25">
      <c r="B58" s="23" t="s">
        <v>99</v>
      </c>
      <c r="C58" s="49">
        <f>'Avg Week Kisasi-Bukoto'!C58+'Avg Week Bukoto-Kisasi'!C58</f>
        <v>72</v>
      </c>
      <c r="D58" s="49">
        <f>'Avg Week Kisasi-Bukoto'!D58+'Avg Week Bukoto-Kisasi'!D58</f>
        <v>53</v>
      </c>
      <c r="E58" s="49">
        <f>'Avg Week Kisasi-Bukoto'!E58+'Avg Week Bukoto-Kisasi'!E58</f>
        <v>0</v>
      </c>
      <c r="F58" s="49">
        <f>'Avg Week Kisasi-Bukoto'!F58+'Avg Week Bukoto-Kisasi'!F58</f>
        <v>18</v>
      </c>
      <c r="G58" s="49">
        <f>'Avg Week Kisasi-Bukoto'!G58+'Avg Week Bukoto-Kisasi'!G58</f>
        <v>1</v>
      </c>
      <c r="H58" s="49">
        <f>'Avg Week Kisasi-Bukoto'!H58+'Avg Week Bukoto-Kisasi'!H58</f>
        <v>0</v>
      </c>
      <c r="I58" s="49">
        <f>'Avg Week Kisasi-Bukoto'!I58+'Avg Week Bukoto-Kisasi'!I58</f>
        <v>2</v>
      </c>
      <c r="J58" s="49">
        <f>'Avg Week Kisasi-Bukoto'!J58+'Avg Week Bukoto-Kisasi'!J58</f>
        <v>0</v>
      </c>
      <c r="K58" s="49">
        <f>'Avg Week Kisasi-Bukoto'!K58+'Avg Week Bukoto-Kisasi'!K58</f>
        <v>0</v>
      </c>
      <c r="L58" s="49">
        <f>'Avg Week Kisasi-Bukoto'!L58+'Avg Week Bukoto-Kisasi'!L58</f>
        <v>0</v>
      </c>
      <c r="M58" s="49">
        <f>'Avg Week Kisasi-Bukoto'!M58+'Avg Week Bukoto-Kisasi'!M58</f>
        <v>155</v>
      </c>
      <c r="N58" s="49">
        <f>'Avg Week Kisasi-Bukoto'!N58+'Avg Week Bukoto-Kisasi'!N58</f>
        <v>0</v>
      </c>
      <c r="O58" s="15">
        <f t="shared" si="0"/>
        <v>146</v>
      </c>
      <c r="P58" s="15">
        <f t="shared" si="1"/>
        <v>301</v>
      </c>
      <c r="R58" s="8"/>
      <c r="T58"/>
    </row>
    <row r="59" spans="2:20" ht="23.1" customHeight="1" x14ac:dyDescent="0.25">
      <c r="B59" s="23" t="s">
        <v>100</v>
      </c>
      <c r="C59" s="49">
        <f>'Avg Week Kisasi-Bukoto'!C59+'Avg Week Bukoto-Kisasi'!C59</f>
        <v>79</v>
      </c>
      <c r="D59" s="49">
        <f>'Avg Week Kisasi-Bukoto'!D59+'Avg Week Bukoto-Kisasi'!D59</f>
        <v>69</v>
      </c>
      <c r="E59" s="49">
        <f>'Avg Week Kisasi-Bukoto'!E59+'Avg Week Bukoto-Kisasi'!E59</f>
        <v>0</v>
      </c>
      <c r="F59" s="49">
        <f>'Avg Week Kisasi-Bukoto'!F59+'Avg Week Bukoto-Kisasi'!F59</f>
        <v>17</v>
      </c>
      <c r="G59" s="49">
        <f>'Avg Week Kisasi-Bukoto'!G59+'Avg Week Bukoto-Kisasi'!G59</f>
        <v>0</v>
      </c>
      <c r="H59" s="49">
        <f>'Avg Week Kisasi-Bukoto'!H59+'Avg Week Bukoto-Kisasi'!H59</f>
        <v>0</v>
      </c>
      <c r="I59" s="49">
        <f>'Avg Week Kisasi-Bukoto'!I59+'Avg Week Bukoto-Kisasi'!I59</f>
        <v>4</v>
      </c>
      <c r="J59" s="49">
        <f>'Avg Week Kisasi-Bukoto'!J59+'Avg Week Bukoto-Kisasi'!J59</f>
        <v>0</v>
      </c>
      <c r="K59" s="49">
        <f>'Avg Week Kisasi-Bukoto'!K59+'Avg Week Bukoto-Kisasi'!K59</f>
        <v>0</v>
      </c>
      <c r="L59" s="49">
        <f>'Avg Week Kisasi-Bukoto'!L59+'Avg Week Bukoto-Kisasi'!L59</f>
        <v>2</v>
      </c>
      <c r="M59" s="49">
        <f>'Avg Week Kisasi-Bukoto'!M59+'Avg Week Bukoto-Kisasi'!M59</f>
        <v>145</v>
      </c>
      <c r="N59" s="49">
        <f>'Avg Week Kisasi-Bukoto'!N59+'Avg Week Bukoto-Kisasi'!N59</f>
        <v>0</v>
      </c>
      <c r="O59" s="15">
        <f t="shared" si="0"/>
        <v>171</v>
      </c>
      <c r="P59" s="15">
        <f t="shared" si="1"/>
        <v>316</v>
      </c>
      <c r="R59" s="8"/>
      <c r="T59"/>
    </row>
    <row r="60" spans="2:20" ht="23.1" customHeight="1" x14ac:dyDescent="0.25">
      <c r="B60" s="23" t="s">
        <v>101</v>
      </c>
      <c r="C60" s="49">
        <f>'Avg Week Kisasi-Bukoto'!C60+'Avg Week Bukoto-Kisasi'!C60</f>
        <v>85</v>
      </c>
      <c r="D60" s="49">
        <f>'Avg Week Kisasi-Bukoto'!D60+'Avg Week Bukoto-Kisasi'!D60</f>
        <v>60</v>
      </c>
      <c r="E60" s="49">
        <f>'Avg Week Kisasi-Bukoto'!E60+'Avg Week Bukoto-Kisasi'!E60</f>
        <v>2</v>
      </c>
      <c r="F60" s="49">
        <f>'Avg Week Kisasi-Bukoto'!F60+'Avg Week Bukoto-Kisasi'!F60</f>
        <v>20</v>
      </c>
      <c r="G60" s="49">
        <f>'Avg Week Kisasi-Bukoto'!G60+'Avg Week Bukoto-Kisasi'!G60</f>
        <v>0</v>
      </c>
      <c r="H60" s="49">
        <f>'Avg Week Kisasi-Bukoto'!H60+'Avg Week Bukoto-Kisasi'!H60</f>
        <v>0</v>
      </c>
      <c r="I60" s="49">
        <f>'Avg Week Kisasi-Bukoto'!I60+'Avg Week Bukoto-Kisasi'!I60</f>
        <v>6</v>
      </c>
      <c r="J60" s="49">
        <f>'Avg Week Kisasi-Bukoto'!J60+'Avg Week Bukoto-Kisasi'!J60</f>
        <v>0</v>
      </c>
      <c r="K60" s="49">
        <f>'Avg Week Kisasi-Bukoto'!K60+'Avg Week Bukoto-Kisasi'!K60</f>
        <v>1</v>
      </c>
      <c r="L60" s="49">
        <f>'Avg Week Kisasi-Bukoto'!L60+'Avg Week Bukoto-Kisasi'!L60</f>
        <v>0</v>
      </c>
      <c r="M60" s="49">
        <f>'Avg Week Kisasi-Bukoto'!M60+'Avg Week Bukoto-Kisasi'!M60</f>
        <v>110</v>
      </c>
      <c r="N60" s="49">
        <f>'Avg Week Kisasi-Bukoto'!N60+'Avg Week Bukoto-Kisasi'!N60</f>
        <v>0</v>
      </c>
      <c r="O60" s="15">
        <f t="shared" si="0"/>
        <v>174</v>
      </c>
      <c r="P60" s="15">
        <f t="shared" si="1"/>
        <v>284</v>
      </c>
      <c r="R60" s="8"/>
      <c r="T60"/>
    </row>
    <row r="61" spans="2:20" ht="23.1" customHeight="1" x14ac:dyDescent="0.25">
      <c r="B61" s="23" t="s">
        <v>102</v>
      </c>
      <c r="C61" s="49">
        <f>'Avg Week Kisasi-Bukoto'!C61+'Avg Week Bukoto-Kisasi'!C61</f>
        <v>64</v>
      </c>
      <c r="D61" s="49">
        <f>'Avg Week Kisasi-Bukoto'!D61+'Avg Week Bukoto-Kisasi'!D61</f>
        <v>37</v>
      </c>
      <c r="E61" s="49">
        <f>'Avg Week Kisasi-Bukoto'!E61+'Avg Week Bukoto-Kisasi'!E61</f>
        <v>2</v>
      </c>
      <c r="F61" s="49">
        <f>'Avg Week Kisasi-Bukoto'!F61+'Avg Week Bukoto-Kisasi'!F61</f>
        <v>23</v>
      </c>
      <c r="G61" s="49">
        <f>'Avg Week Kisasi-Bukoto'!G61+'Avg Week Bukoto-Kisasi'!G61</f>
        <v>0</v>
      </c>
      <c r="H61" s="49">
        <f>'Avg Week Kisasi-Bukoto'!H61+'Avg Week Bukoto-Kisasi'!H61</f>
        <v>0</v>
      </c>
      <c r="I61" s="49">
        <f>'Avg Week Kisasi-Bukoto'!I61+'Avg Week Bukoto-Kisasi'!I61</f>
        <v>11</v>
      </c>
      <c r="J61" s="49">
        <f>'Avg Week Kisasi-Bukoto'!J61+'Avg Week Bukoto-Kisasi'!J61</f>
        <v>0</v>
      </c>
      <c r="K61" s="49">
        <f>'Avg Week Kisasi-Bukoto'!K61+'Avg Week Bukoto-Kisasi'!K61</f>
        <v>0</v>
      </c>
      <c r="L61" s="49">
        <f>'Avg Week Kisasi-Bukoto'!L61+'Avg Week Bukoto-Kisasi'!L61</f>
        <v>0</v>
      </c>
      <c r="M61" s="49">
        <f>'Avg Week Kisasi-Bukoto'!M61+'Avg Week Bukoto-Kisasi'!M61</f>
        <v>125</v>
      </c>
      <c r="N61" s="49">
        <f>'Avg Week Kisasi-Bukoto'!N61+'Avg Week Bukoto-Kisasi'!N61</f>
        <v>0</v>
      </c>
      <c r="O61" s="15">
        <f t="shared" si="0"/>
        <v>137</v>
      </c>
      <c r="P61" s="15">
        <f t="shared" si="1"/>
        <v>262</v>
      </c>
      <c r="R61" s="8"/>
      <c r="T61"/>
    </row>
    <row r="62" spans="2:20" ht="23.1" customHeight="1" x14ac:dyDescent="0.25">
      <c r="B62" s="23" t="s">
        <v>107</v>
      </c>
      <c r="C62" s="49">
        <f>'Avg Week Kisasi-Bukoto'!C62+'Avg Week Bukoto-Kisasi'!C62</f>
        <v>66</v>
      </c>
      <c r="D62" s="49">
        <f>'Avg Week Kisasi-Bukoto'!D62+'Avg Week Bukoto-Kisasi'!D62</f>
        <v>54</v>
      </c>
      <c r="E62" s="49">
        <f>'Avg Week Kisasi-Bukoto'!E62+'Avg Week Bukoto-Kisasi'!E62</f>
        <v>0</v>
      </c>
      <c r="F62" s="49">
        <f>'Avg Week Kisasi-Bukoto'!F62+'Avg Week Bukoto-Kisasi'!F62</f>
        <v>17</v>
      </c>
      <c r="G62" s="49">
        <f>'Avg Week Kisasi-Bukoto'!G62+'Avg Week Bukoto-Kisasi'!G62</f>
        <v>2</v>
      </c>
      <c r="H62" s="49">
        <f>'Avg Week Kisasi-Bukoto'!H62+'Avg Week Bukoto-Kisasi'!H62</f>
        <v>0</v>
      </c>
      <c r="I62" s="49">
        <f>'Avg Week Kisasi-Bukoto'!I62+'Avg Week Bukoto-Kisasi'!I62</f>
        <v>4</v>
      </c>
      <c r="J62" s="49">
        <f>'Avg Week Kisasi-Bukoto'!J62+'Avg Week Bukoto-Kisasi'!J62</f>
        <v>0</v>
      </c>
      <c r="K62" s="49">
        <f>'Avg Week Kisasi-Bukoto'!K62+'Avg Week Bukoto-Kisasi'!K62</f>
        <v>1</v>
      </c>
      <c r="L62" s="49">
        <f>'Avg Week Kisasi-Bukoto'!L62+'Avg Week Bukoto-Kisasi'!L62</f>
        <v>0</v>
      </c>
      <c r="M62" s="49">
        <f>'Avg Week Kisasi-Bukoto'!M62+'Avg Week Bukoto-Kisasi'!M62</f>
        <v>85</v>
      </c>
      <c r="N62" s="49">
        <f>'Avg Week Kisasi-Bukoto'!N62+'Avg Week Bukoto-Kisasi'!N62</f>
        <v>0</v>
      </c>
      <c r="O62" s="15">
        <f t="shared" si="0"/>
        <v>144</v>
      </c>
      <c r="P62" s="15">
        <f t="shared" si="1"/>
        <v>229</v>
      </c>
      <c r="R62" s="8"/>
      <c r="T62"/>
    </row>
    <row r="63" spans="2:20" ht="23.1" customHeight="1" x14ac:dyDescent="0.25">
      <c r="B63" s="23" t="s">
        <v>108</v>
      </c>
      <c r="C63" s="49">
        <f>'Avg Week Kisasi-Bukoto'!C63+'Avg Week Bukoto-Kisasi'!C63</f>
        <v>71</v>
      </c>
      <c r="D63" s="49">
        <f>'Avg Week Kisasi-Bukoto'!D63+'Avg Week Bukoto-Kisasi'!D63</f>
        <v>46</v>
      </c>
      <c r="E63" s="49">
        <f>'Avg Week Kisasi-Bukoto'!E63+'Avg Week Bukoto-Kisasi'!E63</f>
        <v>1</v>
      </c>
      <c r="F63" s="49">
        <f>'Avg Week Kisasi-Bukoto'!F63+'Avg Week Bukoto-Kisasi'!F63</f>
        <v>23</v>
      </c>
      <c r="G63" s="49">
        <f>'Avg Week Kisasi-Bukoto'!G63+'Avg Week Bukoto-Kisasi'!G63</f>
        <v>0</v>
      </c>
      <c r="H63" s="49">
        <f>'Avg Week Kisasi-Bukoto'!H63+'Avg Week Bukoto-Kisasi'!H63</f>
        <v>0</v>
      </c>
      <c r="I63" s="49">
        <f>'Avg Week Kisasi-Bukoto'!I63+'Avg Week Bukoto-Kisasi'!I63</f>
        <v>2</v>
      </c>
      <c r="J63" s="49">
        <f>'Avg Week Kisasi-Bukoto'!J63+'Avg Week Bukoto-Kisasi'!J63</f>
        <v>1</v>
      </c>
      <c r="K63" s="49">
        <f>'Avg Week Kisasi-Bukoto'!K63+'Avg Week Bukoto-Kisasi'!K63</f>
        <v>0</v>
      </c>
      <c r="L63" s="49">
        <f>'Avg Week Kisasi-Bukoto'!L63+'Avg Week Bukoto-Kisasi'!L63</f>
        <v>0</v>
      </c>
      <c r="M63" s="49">
        <f>'Avg Week Kisasi-Bukoto'!M63+'Avg Week Bukoto-Kisasi'!M63</f>
        <v>130</v>
      </c>
      <c r="N63" s="49">
        <f>'Avg Week Kisasi-Bukoto'!N63+'Avg Week Bukoto-Kisasi'!N63</f>
        <v>0</v>
      </c>
      <c r="O63" s="15">
        <f t="shared" si="0"/>
        <v>144</v>
      </c>
      <c r="P63" s="15">
        <f t="shared" si="1"/>
        <v>274</v>
      </c>
      <c r="R63" s="8"/>
      <c r="T63"/>
    </row>
    <row r="64" spans="2:20" ht="23.1" customHeight="1" x14ac:dyDescent="0.25">
      <c r="B64" s="23" t="s">
        <v>109</v>
      </c>
      <c r="C64" s="49">
        <f>'Avg Week Kisasi-Bukoto'!C64+'Avg Week Bukoto-Kisasi'!C64</f>
        <v>58</v>
      </c>
      <c r="D64" s="49">
        <f>'Avg Week Kisasi-Bukoto'!D64+'Avg Week Bukoto-Kisasi'!D64</f>
        <v>30</v>
      </c>
      <c r="E64" s="49">
        <f>'Avg Week Kisasi-Bukoto'!E64+'Avg Week Bukoto-Kisasi'!E64</f>
        <v>1</v>
      </c>
      <c r="F64" s="49">
        <f>'Avg Week Kisasi-Bukoto'!F64+'Avg Week Bukoto-Kisasi'!F64</f>
        <v>13</v>
      </c>
      <c r="G64" s="49">
        <f>'Avg Week Kisasi-Bukoto'!G64+'Avg Week Bukoto-Kisasi'!G64</f>
        <v>0</v>
      </c>
      <c r="H64" s="49">
        <f>'Avg Week Kisasi-Bukoto'!H64+'Avg Week Bukoto-Kisasi'!H64</f>
        <v>0</v>
      </c>
      <c r="I64" s="49">
        <f>'Avg Week Kisasi-Bukoto'!I64+'Avg Week Bukoto-Kisasi'!I64</f>
        <v>1</v>
      </c>
      <c r="J64" s="49">
        <f>'Avg Week Kisasi-Bukoto'!J64+'Avg Week Bukoto-Kisasi'!J64</f>
        <v>0</v>
      </c>
      <c r="K64" s="49">
        <f>'Avg Week Kisasi-Bukoto'!K64+'Avg Week Bukoto-Kisasi'!K64</f>
        <v>0</v>
      </c>
      <c r="L64" s="49">
        <f>'Avg Week Kisasi-Bukoto'!L64+'Avg Week Bukoto-Kisasi'!L64</f>
        <v>0</v>
      </c>
      <c r="M64" s="49">
        <f>'Avg Week Kisasi-Bukoto'!M64+'Avg Week Bukoto-Kisasi'!M64</f>
        <v>120</v>
      </c>
      <c r="N64" s="49">
        <f>'Avg Week Kisasi-Bukoto'!N64+'Avg Week Bukoto-Kisasi'!N64</f>
        <v>0</v>
      </c>
      <c r="O64" s="15">
        <f t="shared" si="0"/>
        <v>103</v>
      </c>
      <c r="P64" s="15">
        <f t="shared" si="1"/>
        <v>223</v>
      </c>
      <c r="R64" s="8"/>
      <c r="T64"/>
    </row>
    <row r="65" spans="2:20" ht="23.1" customHeight="1" x14ac:dyDescent="0.25">
      <c r="B65" s="23" t="s">
        <v>158</v>
      </c>
      <c r="C65" s="49">
        <f>'Avg Week Kisasi-Bukoto'!C65+'Avg Week Bukoto-Kisasi'!C65</f>
        <v>72</v>
      </c>
      <c r="D65" s="49">
        <f>'Avg Week Kisasi-Bukoto'!D65+'Avg Week Bukoto-Kisasi'!D65</f>
        <v>46</v>
      </c>
      <c r="E65" s="49">
        <f>'Avg Week Kisasi-Bukoto'!E65+'Avg Week Bukoto-Kisasi'!E65</f>
        <v>1</v>
      </c>
      <c r="F65" s="49">
        <f>'Avg Week Kisasi-Bukoto'!F65+'Avg Week Bukoto-Kisasi'!F65</f>
        <v>12</v>
      </c>
      <c r="G65" s="49">
        <f>'Avg Week Kisasi-Bukoto'!G65+'Avg Week Bukoto-Kisasi'!G65</f>
        <v>0</v>
      </c>
      <c r="H65" s="49">
        <f>'Avg Week Kisasi-Bukoto'!H65+'Avg Week Bukoto-Kisasi'!H65</f>
        <v>0</v>
      </c>
      <c r="I65" s="49">
        <f>'Avg Week Kisasi-Bukoto'!I65+'Avg Week Bukoto-Kisasi'!I65</f>
        <v>1</v>
      </c>
      <c r="J65" s="49">
        <f>'Avg Week Kisasi-Bukoto'!J65+'Avg Week Bukoto-Kisasi'!J65</f>
        <v>0</v>
      </c>
      <c r="K65" s="49">
        <f>'Avg Week Kisasi-Bukoto'!K65+'Avg Week Bukoto-Kisasi'!K65</f>
        <v>0</v>
      </c>
      <c r="L65" s="49">
        <f>'Avg Week Kisasi-Bukoto'!L65+'Avg Week Bukoto-Kisasi'!L65</f>
        <v>0</v>
      </c>
      <c r="M65" s="49">
        <f>'Avg Week Kisasi-Bukoto'!M65+'Avg Week Bukoto-Kisasi'!M65</f>
        <v>105</v>
      </c>
      <c r="N65" s="49">
        <f>'Avg Week Kisasi-Bukoto'!N65+'Avg Week Bukoto-Kisasi'!N65</f>
        <v>0</v>
      </c>
      <c r="O65" s="15">
        <f t="shared" si="0"/>
        <v>132</v>
      </c>
      <c r="P65" s="15">
        <f t="shared" si="1"/>
        <v>237</v>
      </c>
      <c r="R65" s="8"/>
      <c r="T65"/>
    </row>
    <row r="66" spans="2:20" ht="23.1" customHeight="1" x14ac:dyDescent="0.25">
      <c r="B66" s="23" t="s">
        <v>103</v>
      </c>
      <c r="C66" s="49">
        <f>'Avg Week Kisasi-Bukoto'!C66+'Avg Week Bukoto-Kisasi'!C66</f>
        <v>72</v>
      </c>
      <c r="D66" s="49">
        <f>'Avg Week Kisasi-Bukoto'!D66+'Avg Week Bukoto-Kisasi'!D66</f>
        <v>46</v>
      </c>
      <c r="E66" s="49">
        <f>'Avg Week Kisasi-Bukoto'!E66+'Avg Week Bukoto-Kisasi'!E66</f>
        <v>0</v>
      </c>
      <c r="F66" s="49">
        <f>'Avg Week Kisasi-Bukoto'!F66+'Avg Week Bukoto-Kisasi'!F66</f>
        <v>13</v>
      </c>
      <c r="G66" s="49">
        <f>'Avg Week Kisasi-Bukoto'!G66+'Avg Week Bukoto-Kisasi'!G66</f>
        <v>0</v>
      </c>
      <c r="H66" s="49">
        <f>'Avg Week Kisasi-Bukoto'!H66+'Avg Week Bukoto-Kisasi'!H66</f>
        <v>0</v>
      </c>
      <c r="I66" s="49">
        <f>'Avg Week Kisasi-Bukoto'!I66+'Avg Week Bukoto-Kisasi'!I66</f>
        <v>2</v>
      </c>
      <c r="J66" s="49">
        <f>'Avg Week Kisasi-Bukoto'!J66+'Avg Week Bukoto-Kisasi'!J66</f>
        <v>0</v>
      </c>
      <c r="K66" s="49">
        <f>'Avg Week Kisasi-Bukoto'!K66+'Avg Week Bukoto-Kisasi'!K66</f>
        <v>0</v>
      </c>
      <c r="L66" s="49">
        <f>'Avg Week Kisasi-Bukoto'!L66+'Avg Week Bukoto-Kisasi'!L66</f>
        <v>0</v>
      </c>
      <c r="M66" s="49">
        <f>'Avg Week Kisasi-Bukoto'!M66+'Avg Week Bukoto-Kisasi'!M66</f>
        <v>100</v>
      </c>
      <c r="N66" s="49">
        <f>'Avg Week Kisasi-Bukoto'!N66+'Avg Week Bukoto-Kisasi'!N66</f>
        <v>0</v>
      </c>
      <c r="O66" s="15">
        <f t="shared" si="0"/>
        <v>133</v>
      </c>
      <c r="P66" s="15">
        <f t="shared" si="1"/>
        <v>233</v>
      </c>
      <c r="R66" s="8"/>
      <c r="T66"/>
    </row>
    <row r="67" spans="2:20" ht="23.1" customHeight="1" x14ac:dyDescent="0.25">
      <c r="B67" s="23" t="s">
        <v>104</v>
      </c>
      <c r="C67" s="49">
        <f>'Avg Week Kisasi-Bukoto'!C67+'Avg Week Bukoto-Kisasi'!C67</f>
        <v>69</v>
      </c>
      <c r="D67" s="49">
        <f>'Avg Week Kisasi-Bukoto'!D67+'Avg Week Bukoto-Kisasi'!D67</f>
        <v>32</v>
      </c>
      <c r="E67" s="49">
        <f>'Avg Week Kisasi-Bukoto'!E67+'Avg Week Bukoto-Kisasi'!E67</f>
        <v>1</v>
      </c>
      <c r="F67" s="49">
        <f>'Avg Week Kisasi-Bukoto'!F67+'Avg Week Bukoto-Kisasi'!F67</f>
        <v>13</v>
      </c>
      <c r="G67" s="49">
        <f>'Avg Week Kisasi-Bukoto'!G67+'Avg Week Bukoto-Kisasi'!G67</f>
        <v>0</v>
      </c>
      <c r="H67" s="49">
        <f>'Avg Week Kisasi-Bukoto'!H67+'Avg Week Bukoto-Kisasi'!H67</f>
        <v>0</v>
      </c>
      <c r="I67" s="49">
        <f>'Avg Week Kisasi-Bukoto'!I67+'Avg Week Bukoto-Kisasi'!I67</f>
        <v>3</v>
      </c>
      <c r="J67" s="49">
        <f>'Avg Week Kisasi-Bukoto'!J67+'Avg Week Bukoto-Kisasi'!J67</f>
        <v>0</v>
      </c>
      <c r="K67" s="49">
        <f>'Avg Week Kisasi-Bukoto'!K67+'Avg Week Bukoto-Kisasi'!K67</f>
        <v>1</v>
      </c>
      <c r="L67" s="49">
        <f>'Avg Week Kisasi-Bukoto'!L67+'Avg Week Bukoto-Kisasi'!L67</f>
        <v>0</v>
      </c>
      <c r="M67" s="49">
        <f>'Avg Week Kisasi-Bukoto'!M67+'Avg Week Bukoto-Kisasi'!M67</f>
        <v>76</v>
      </c>
      <c r="N67" s="49">
        <f>'Avg Week Kisasi-Bukoto'!N67+'Avg Week Bukoto-Kisasi'!N67</f>
        <v>0</v>
      </c>
      <c r="O67" s="15">
        <f t="shared" si="0"/>
        <v>119</v>
      </c>
      <c r="P67" s="15">
        <f t="shared" si="1"/>
        <v>195</v>
      </c>
      <c r="R67" s="8"/>
      <c r="T67"/>
    </row>
    <row r="68" spans="2:20" ht="23.1" customHeight="1" x14ac:dyDescent="0.25">
      <c r="B68" s="23" t="s">
        <v>105</v>
      </c>
      <c r="C68" s="49">
        <f>'Avg Week Kisasi-Bukoto'!C68+'Avg Week Bukoto-Kisasi'!C68</f>
        <v>70</v>
      </c>
      <c r="D68" s="49">
        <f>'Avg Week Kisasi-Bukoto'!D68+'Avg Week Bukoto-Kisasi'!D68</f>
        <v>49</v>
      </c>
      <c r="E68" s="49">
        <f>'Avg Week Kisasi-Bukoto'!E68+'Avg Week Bukoto-Kisasi'!E68</f>
        <v>0</v>
      </c>
      <c r="F68" s="49">
        <f>'Avg Week Kisasi-Bukoto'!F68+'Avg Week Bukoto-Kisasi'!F68</f>
        <v>16</v>
      </c>
      <c r="G68" s="49">
        <f>'Avg Week Kisasi-Bukoto'!G68+'Avg Week Bukoto-Kisasi'!G68</f>
        <v>0</v>
      </c>
      <c r="H68" s="49">
        <f>'Avg Week Kisasi-Bukoto'!H68+'Avg Week Bukoto-Kisasi'!H68</f>
        <v>0</v>
      </c>
      <c r="I68" s="49">
        <f>'Avg Week Kisasi-Bukoto'!I68+'Avg Week Bukoto-Kisasi'!I68</f>
        <v>4</v>
      </c>
      <c r="J68" s="49">
        <f>'Avg Week Kisasi-Bukoto'!J68+'Avg Week Bukoto-Kisasi'!J68</f>
        <v>0</v>
      </c>
      <c r="K68" s="49">
        <f>'Avg Week Kisasi-Bukoto'!K68+'Avg Week Bukoto-Kisasi'!K68</f>
        <v>1</v>
      </c>
      <c r="L68" s="49">
        <f>'Avg Week Kisasi-Bukoto'!L68+'Avg Week Bukoto-Kisasi'!L68</f>
        <v>0</v>
      </c>
      <c r="M68" s="49">
        <f>'Avg Week Kisasi-Bukoto'!M68+'Avg Week Bukoto-Kisasi'!M68</f>
        <v>80</v>
      </c>
      <c r="N68" s="49">
        <f>'Avg Week Kisasi-Bukoto'!N68+'Avg Week Bukoto-Kisasi'!N68</f>
        <v>0</v>
      </c>
      <c r="O68" s="15">
        <f t="shared" si="0"/>
        <v>140</v>
      </c>
      <c r="P68" s="15">
        <f t="shared" si="1"/>
        <v>220</v>
      </c>
      <c r="R68" s="8"/>
      <c r="T68"/>
    </row>
    <row r="69" spans="2:20" ht="23.1" customHeight="1" x14ac:dyDescent="0.25">
      <c r="B69" s="23" t="s">
        <v>106</v>
      </c>
      <c r="C69" s="49">
        <f>'Avg Week Kisasi-Bukoto'!C69+'Avg Week Bukoto-Kisasi'!C69</f>
        <v>66</v>
      </c>
      <c r="D69" s="49">
        <f>'Avg Week Kisasi-Bukoto'!D69+'Avg Week Bukoto-Kisasi'!D69</f>
        <v>35</v>
      </c>
      <c r="E69" s="49">
        <f>'Avg Week Kisasi-Bukoto'!E69+'Avg Week Bukoto-Kisasi'!E69</f>
        <v>1</v>
      </c>
      <c r="F69" s="49">
        <f>'Avg Week Kisasi-Bukoto'!F69+'Avg Week Bukoto-Kisasi'!F69</f>
        <v>9</v>
      </c>
      <c r="G69" s="49">
        <f>'Avg Week Kisasi-Bukoto'!G69+'Avg Week Bukoto-Kisasi'!G69</f>
        <v>0</v>
      </c>
      <c r="H69" s="49">
        <f>'Avg Week Kisasi-Bukoto'!H69+'Avg Week Bukoto-Kisasi'!H69</f>
        <v>0</v>
      </c>
      <c r="I69" s="49">
        <f>'Avg Week Kisasi-Bukoto'!I69+'Avg Week Bukoto-Kisasi'!I69</f>
        <v>0</v>
      </c>
      <c r="J69" s="49">
        <f>'Avg Week Kisasi-Bukoto'!J69+'Avg Week Bukoto-Kisasi'!J69</f>
        <v>0</v>
      </c>
      <c r="K69" s="49">
        <f>'Avg Week Kisasi-Bukoto'!K69+'Avg Week Bukoto-Kisasi'!K69</f>
        <v>0</v>
      </c>
      <c r="L69" s="49">
        <f>'Avg Week Kisasi-Bukoto'!L69+'Avg Week Bukoto-Kisasi'!L69</f>
        <v>0</v>
      </c>
      <c r="M69" s="49">
        <f>'Avg Week Kisasi-Bukoto'!M69+'Avg Week Bukoto-Kisasi'!M69</f>
        <v>110</v>
      </c>
      <c r="N69" s="49">
        <f>'Avg Week Kisasi-Bukoto'!N69+'Avg Week Bukoto-Kisasi'!N69</f>
        <v>0</v>
      </c>
      <c r="O69" s="15">
        <f t="shared" si="0"/>
        <v>111</v>
      </c>
      <c r="P69" s="15">
        <f t="shared" si="1"/>
        <v>221</v>
      </c>
      <c r="R69" s="8"/>
      <c r="T69"/>
    </row>
    <row r="70" spans="2:20" ht="23.1" customHeight="1" x14ac:dyDescent="0.25">
      <c r="B70" s="23" t="s">
        <v>110</v>
      </c>
      <c r="C70" s="49">
        <f>'Avg Week Kisasi-Bukoto'!C70+'Avg Week Bukoto-Kisasi'!C70</f>
        <v>57</v>
      </c>
      <c r="D70" s="49">
        <f>'Avg Week Kisasi-Bukoto'!D70+'Avg Week Bukoto-Kisasi'!D70</f>
        <v>27</v>
      </c>
      <c r="E70" s="49">
        <f>'Avg Week Kisasi-Bukoto'!E70+'Avg Week Bukoto-Kisasi'!E70</f>
        <v>0</v>
      </c>
      <c r="F70" s="49">
        <f>'Avg Week Kisasi-Bukoto'!F70+'Avg Week Bukoto-Kisasi'!F70</f>
        <v>12</v>
      </c>
      <c r="G70" s="49">
        <f>'Avg Week Kisasi-Bukoto'!G70+'Avg Week Bukoto-Kisasi'!G70</f>
        <v>0</v>
      </c>
      <c r="H70" s="49">
        <f>'Avg Week Kisasi-Bukoto'!H70+'Avg Week Bukoto-Kisasi'!H70</f>
        <v>0</v>
      </c>
      <c r="I70" s="49">
        <f>'Avg Week Kisasi-Bukoto'!I70+'Avg Week Bukoto-Kisasi'!I70</f>
        <v>0</v>
      </c>
      <c r="J70" s="49">
        <f>'Avg Week Kisasi-Bukoto'!J70+'Avg Week Bukoto-Kisasi'!J70</f>
        <v>0</v>
      </c>
      <c r="K70" s="49">
        <f>'Avg Week Kisasi-Bukoto'!K70+'Avg Week Bukoto-Kisasi'!K70</f>
        <v>0</v>
      </c>
      <c r="L70" s="49">
        <f>'Avg Week Kisasi-Bukoto'!L70+'Avg Week Bukoto-Kisasi'!L70</f>
        <v>0</v>
      </c>
      <c r="M70" s="49">
        <f>'Avg Week Kisasi-Bukoto'!M70+'Avg Week Bukoto-Kisasi'!M70</f>
        <v>62</v>
      </c>
      <c r="N70" s="49">
        <f>'Avg Week Kisasi-Bukoto'!N70+'Avg Week Bukoto-Kisasi'!N70</f>
        <v>0</v>
      </c>
      <c r="O70" s="15">
        <f t="shared" si="0"/>
        <v>96</v>
      </c>
      <c r="P70" s="15">
        <f t="shared" si="1"/>
        <v>158</v>
      </c>
      <c r="R70" s="8"/>
      <c r="T70"/>
    </row>
    <row r="71" spans="2:20" ht="23.1" customHeight="1" x14ac:dyDescent="0.25">
      <c r="B71" s="23" t="s">
        <v>111</v>
      </c>
      <c r="C71" s="49">
        <f>'Avg Week Kisasi-Bukoto'!C71+'Avg Week Bukoto-Kisasi'!C71</f>
        <v>54</v>
      </c>
      <c r="D71" s="49">
        <f>'Avg Week Kisasi-Bukoto'!D71+'Avg Week Bukoto-Kisasi'!D71</f>
        <v>35</v>
      </c>
      <c r="E71" s="49">
        <f>'Avg Week Kisasi-Bukoto'!E71+'Avg Week Bukoto-Kisasi'!E71</f>
        <v>0</v>
      </c>
      <c r="F71" s="49">
        <f>'Avg Week Kisasi-Bukoto'!F71+'Avg Week Bukoto-Kisasi'!F71</f>
        <v>14</v>
      </c>
      <c r="G71" s="49">
        <f>'Avg Week Kisasi-Bukoto'!G71+'Avg Week Bukoto-Kisasi'!G71</f>
        <v>0</v>
      </c>
      <c r="H71" s="49">
        <f>'Avg Week Kisasi-Bukoto'!H71+'Avg Week Bukoto-Kisasi'!H71</f>
        <v>0</v>
      </c>
      <c r="I71" s="49">
        <f>'Avg Week Kisasi-Bukoto'!I71+'Avg Week Bukoto-Kisasi'!I71</f>
        <v>10</v>
      </c>
      <c r="J71" s="49">
        <f>'Avg Week Kisasi-Bukoto'!J71+'Avg Week Bukoto-Kisasi'!J71</f>
        <v>0</v>
      </c>
      <c r="K71" s="49">
        <f>'Avg Week Kisasi-Bukoto'!K71+'Avg Week Bukoto-Kisasi'!K71</f>
        <v>0</v>
      </c>
      <c r="L71" s="49">
        <f>'Avg Week Kisasi-Bukoto'!L71+'Avg Week Bukoto-Kisasi'!L71</f>
        <v>0</v>
      </c>
      <c r="M71" s="49">
        <f>'Avg Week Kisasi-Bukoto'!M71+'Avg Week Bukoto-Kisasi'!M71</f>
        <v>65</v>
      </c>
      <c r="N71" s="49">
        <f>'Avg Week Kisasi-Bukoto'!N71+'Avg Week Bukoto-Kisasi'!N71</f>
        <v>0</v>
      </c>
      <c r="O71" s="15">
        <f t="shared" si="0"/>
        <v>113</v>
      </c>
      <c r="P71" s="15">
        <f t="shared" si="1"/>
        <v>178</v>
      </c>
      <c r="R71" s="8"/>
      <c r="T71"/>
    </row>
    <row r="72" spans="2:20" ht="23.1" customHeight="1" x14ac:dyDescent="0.25">
      <c r="B72" s="23" t="s">
        <v>112</v>
      </c>
      <c r="C72" s="49">
        <f>'Avg Week Kisasi-Bukoto'!C72+'Avg Week Bukoto-Kisasi'!C72</f>
        <v>49</v>
      </c>
      <c r="D72" s="49">
        <f>'Avg Week Kisasi-Bukoto'!D72+'Avg Week Bukoto-Kisasi'!D72</f>
        <v>20</v>
      </c>
      <c r="E72" s="49">
        <f>'Avg Week Kisasi-Bukoto'!E72+'Avg Week Bukoto-Kisasi'!E72</f>
        <v>0</v>
      </c>
      <c r="F72" s="49">
        <f>'Avg Week Kisasi-Bukoto'!F72+'Avg Week Bukoto-Kisasi'!F72</f>
        <v>6</v>
      </c>
      <c r="G72" s="49">
        <f>'Avg Week Kisasi-Bukoto'!G72+'Avg Week Bukoto-Kisasi'!G72</f>
        <v>0</v>
      </c>
      <c r="H72" s="49">
        <f>'Avg Week Kisasi-Bukoto'!H72+'Avg Week Bukoto-Kisasi'!H72</f>
        <v>0</v>
      </c>
      <c r="I72" s="49">
        <f>'Avg Week Kisasi-Bukoto'!I72+'Avg Week Bukoto-Kisasi'!I72</f>
        <v>2</v>
      </c>
      <c r="J72" s="49">
        <f>'Avg Week Kisasi-Bukoto'!J72+'Avg Week Bukoto-Kisasi'!J72</f>
        <v>0</v>
      </c>
      <c r="K72" s="49">
        <f>'Avg Week Kisasi-Bukoto'!K72+'Avg Week Bukoto-Kisasi'!K72</f>
        <v>0</v>
      </c>
      <c r="L72" s="49">
        <f>'Avg Week Kisasi-Bukoto'!L72+'Avg Week Bukoto-Kisasi'!L72</f>
        <v>0</v>
      </c>
      <c r="M72" s="49">
        <f>'Avg Week Kisasi-Bukoto'!M72+'Avg Week Bukoto-Kisasi'!M72</f>
        <v>55</v>
      </c>
      <c r="N72" s="49">
        <f>'Avg Week Kisasi-Bukoto'!N72+'Avg Week Bukoto-Kisasi'!N72</f>
        <v>0</v>
      </c>
      <c r="O72" s="15">
        <f t="shared" si="0"/>
        <v>77</v>
      </c>
      <c r="P72" s="15">
        <f t="shared" si="1"/>
        <v>132</v>
      </c>
      <c r="R72" s="8"/>
      <c r="T72"/>
    </row>
    <row r="73" spans="2:20" ht="23.1" customHeight="1" x14ac:dyDescent="0.25">
      <c r="B73" s="23" t="s">
        <v>113</v>
      </c>
      <c r="C73" s="49">
        <f>'Avg Week Kisasi-Bukoto'!C73+'Avg Week Bukoto-Kisasi'!C73</f>
        <v>57</v>
      </c>
      <c r="D73" s="49">
        <f>'Avg Week Kisasi-Bukoto'!D73+'Avg Week Bukoto-Kisasi'!D73</f>
        <v>37</v>
      </c>
      <c r="E73" s="49">
        <f>'Avg Week Kisasi-Bukoto'!E73+'Avg Week Bukoto-Kisasi'!E73</f>
        <v>0</v>
      </c>
      <c r="F73" s="49">
        <f>'Avg Week Kisasi-Bukoto'!F73+'Avg Week Bukoto-Kisasi'!F73</f>
        <v>7</v>
      </c>
      <c r="G73" s="49">
        <f>'Avg Week Kisasi-Bukoto'!G73+'Avg Week Bukoto-Kisasi'!G73</f>
        <v>0</v>
      </c>
      <c r="H73" s="49">
        <f>'Avg Week Kisasi-Bukoto'!H73+'Avg Week Bukoto-Kisasi'!H73</f>
        <v>0</v>
      </c>
      <c r="I73" s="49">
        <f>'Avg Week Kisasi-Bukoto'!I73+'Avg Week Bukoto-Kisasi'!I73</f>
        <v>1</v>
      </c>
      <c r="J73" s="49">
        <f>'Avg Week Kisasi-Bukoto'!J73+'Avg Week Bukoto-Kisasi'!J73</f>
        <v>0</v>
      </c>
      <c r="K73" s="49">
        <f>'Avg Week Kisasi-Bukoto'!K73+'Avg Week Bukoto-Kisasi'!K73</f>
        <v>1</v>
      </c>
      <c r="L73" s="49">
        <f>'Avg Week Kisasi-Bukoto'!L73+'Avg Week Bukoto-Kisasi'!L73</f>
        <v>0</v>
      </c>
      <c r="M73" s="49">
        <f>'Avg Week Kisasi-Bukoto'!M73+'Avg Week Bukoto-Kisasi'!M73</f>
        <v>37</v>
      </c>
      <c r="N73" s="49">
        <f>'Avg Week Kisasi-Bukoto'!N73+'Avg Week Bukoto-Kisasi'!N73</f>
        <v>0</v>
      </c>
      <c r="O73" s="15">
        <f t="shared" si="0"/>
        <v>103</v>
      </c>
      <c r="P73" s="15">
        <f t="shared" si="1"/>
        <v>140</v>
      </c>
      <c r="R73" s="8"/>
      <c r="T73"/>
    </row>
    <row r="74" spans="2:20" ht="23.1" customHeight="1" x14ac:dyDescent="0.25">
      <c r="B74" s="23" t="s">
        <v>114</v>
      </c>
      <c r="C74" s="49">
        <f>'Avg Week Kisasi-Bukoto'!C74+'Avg Week Bukoto-Kisasi'!C74</f>
        <v>41</v>
      </c>
      <c r="D74" s="49">
        <f>'Avg Week Kisasi-Bukoto'!D74+'Avg Week Bukoto-Kisasi'!D74</f>
        <v>27</v>
      </c>
      <c r="E74" s="49">
        <f>'Avg Week Kisasi-Bukoto'!E74+'Avg Week Bukoto-Kisasi'!E74</f>
        <v>0</v>
      </c>
      <c r="F74" s="49">
        <f>'Avg Week Kisasi-Bukoto'!F74+'Avg Week Bukoto-Kisasi'!F74</f>
        <v>1</v>
      </c>
      <c r="G74" s="49">
        <f>'Avg Week Kisasi-Bukoto'!G74+'Avg Week Bukoto-Kisasi'!G74</f>
        <v>0</v>
      </c>
      <c r="H74" s="49">
        <f>'Avg Week Kisasi-Bukoto'!H74+'Avg Week Bukoto-Kisasi'!H74</f>
        <v>0</v>
      </c>
      <c r="I74" s="49">
        <f>'Avg Week Kisasi-Bukoto'!I74+'Avg Week Bukoto-Kisasi'!I74</f>
        <v>1</v>
      </c>
      <c r="J74" s="49">
        <f>'Avg Week Kisasi-Bukoto'!J74+'Avg Week Bukoto-Kisasi'!J74</f>
        <v>1</v>
      </c>
      <c r="K74" s="49">
        <f>'Avg Week Kisasi-Bukoto'!K74+'Avg Week Bukoto-Kisasi'!K74</f>
        <v>0</v>
      </c>
      <c r="L74" s="49">
        <f>'Avg Week Kisasi-Bukoto'!L74+'Avg Week Bukoto-Kisasi'!L74</f>
        <v>0</v>
      </c>
      <c r="M74" s="49">
        <f>'Avg Week Kisasi-Bukoto'!M74+'Avg Week Bukoto-Kisasi'!M74</f>
        <v>60</v>
      </c>
      <c r="N74" s="49">
        <f>'Avg Week Kisasi-Bukoto'!N74+'Avg Week Bukoto-Kisasi'!N74</f>
        <v>0</v>
      </c>
      <c r="O74" s="15">
        <f t="shared" ref="O74:O105" si="35">SUM(C74:L74,N74)</f>
        <v>71</v>
      </c>
      <c r="P74" s="15">
        <f t="shared" ref="P74:P105" si="36">SUM(C74:N74)</f>
        <v>131</v>
      </c>
      <c r="R74" s="8"/>
      <c r="T74"/>
    </row>
    <row r="75" spans="2:20" ht="23.1" customHeight="1" x14ac:dyDescent="0.25">
      <c r="B75" s="23" t="s">
        <v>115</v>
      </c>
      <c r="C75" s="49">
        <f>'Avg Week Kisasi-Bukoto'!C75+'Avg Week Bukoto-Kisasi'!C75</f>
        <v>25</v>
      </c>
      <c r="D75" s="49">
        <f>'Avg Week Kisasi-Bukoto'!D75+'Avg Week Bukoto-Kisasi'!D75</f>
        <v>16</v>
      </c>
      <c r="E75" s="49">
        <f>'Avg Week Kisasi-Bukoto'!E75+'Avg Week Bukoto-Kisasi'!E75</f>
        <v>0</v>
      </c>
      <c r="F75" s="49">
        <f>'Avg Week Kisasi-Bukoto'!F75+'Avg Week Bukoto-Kisasi'!F75</f>
        <v>3</v>
      </c>
      <c r="G75" s="49">
        <f>'Avg Week Kisasi-Bukoto'!G75+'Avg Week Bukoto-Kisasi'!G75</f>
        <v>0</v>
      </c>
      <c r="H75" s="49">
        <f>'Avg Week Kisasi-Bukoto'!H75+'Avg Week Bukoto-Kisasi'!H75</f>
        <v>0</v>
      </c>
      <c r="I75" s="49">
        <f>'Avg Week Kisasi-Bukoto'!I75+'Avg Week Bukoto-Kisasi'!I75</f>
        <v>0</v>
      </c>
      <c r="J75" s="49">
        <f>'Avg Week Kisasi-Bukoto'!J75+'Avg Week Bukoto-Kisasi'!J75</f>
        <v>0</v>
      </c>
      <c r="K75" s="49">
        <f>'Avg Week Kisasi-Bukoto'!K75+'Avg Week Bukoto-Kisasi'!K75</f>
        <v>0</v>
      </c>
      <c r="L75" s="49">
        <f>'Avg Week Kisasi-Bukoto'!L75+'Avg Week Bukoto-Kisasi'!L75</f>
        <v>0</v>
      </c>
      <c r="M75" s="49">
        <f>'Avg Week Kisasi-Bukoto'!M75+'Avg Week Bukoto-Kisasi'!M75</f>
        <v>37</v>
      </c>
      <c r="N75" s="49">
        <f>'Avg Week Kisasi-Bukoto'!N75+'Avg Week Bukoto-Kisasi'!N75</f>
        <v>0</v>
      </c>
      <c r="O75" s="15">
        <f t="shared" si="35"/>
        <v>44</v>
      </c>
      <c r="P75" s="15">
        <f t="shared" si="36"/>
        <v>81</v>
      </c>
      <c r="R75" s="8"/>
      <c r="T75"/>
    </row>
    <row r="76" spans="2:20" ht="23.1" customHeight="1" x14ac:dyDescent="0.25">
      <c r="B76" s="23" t="s">
        <v>116</v>
      </c>
      <c r="C76" s="49">
        <f>'Avg Week Kisasi-Bukoto'!C76+'Avg Week Bukoto-Kisasi'!C76</f>
        <v>20</v>
      </c>
      <c r="D76" s="49">
        <f>'Avg Week Kisasi-Bukoto'!D76+'Avg Week Bukoto-Kisasi'!D76</f>
        <v>15</v>
      </c>
      <c r="E76" s="49">
        <f>'Avg Week Kisasi-Bukoto'!E76+'Avg Week Bukoto-Kisasi'!E76</f>
        <v>0</v>
      </c>
      <c r="F76" s="49">
        <f>'Avg Week Kisasi-Bukoto'!F76+'Avg Week Bukoto-Kisasi'!F76</f>
        <v>1</v>
      </c>
      <c r="G76" s="49">
        <f>'Avg Week Kisasi-Bukoto'!G76+'Avg Week Bukoto-Kisasi'!G76</f>
        <v>0</v>
      </c>
      <c r="H76" s="49">
        <f>'Avg Week Kisasi-Bukoto'!H76+'Avg Week Bukoto-Kisasi'!H76</f>
        <v>0</v>
      </c>
      <c r="I76" s="49">
        <f>'Avg Week Kisasi-Bukoto'!I76+'Avg Week Bukoto-Kisasi'!I76</f>
        <v>2</v>
      </c>
      <c r="J76" s="49">
        <f>'Avg Week Kisasi-Bukoto'!J76+'Avg Week Bukoto-Kisasi'!J76</f>
        <v>0</v>
      </c>
      <c r="K76" s="49">
        <f>'Avg Week Kisasi-Bukoto'!K76+'Avg Week Bukoto-Kisasi'!K76</f>
        <v>0</v>
      </c>
      <c r="L76" s="49">
        <f>'Avg Week Kisasi-Bukoto'!L76+'Avg Week Bukoto-Kisasi'!L76</f>
        <v>0</v>
      </c>
      <c r="M76" s="49">
        <f>'Avg Week Kisasi-Bukoto'!M76+'Avg Week Bukoto-Kisasi'!M76</f>
        <v>28</v>
      </c>
      <c r="N76" s="49">
        <f>'Avg Week Kisasi-Bukoto'!N76+'Avg Week Bukoto-Kisasi'!N76</f>
        <v>0</v>
      </c>
      <c r="O76" s="15">
        <f t="shared" si="35"/>
        <v>38</v>
      </c>
      <c r="P76" s="15">
        <f t="shared" si="36"/>
        <v>66</v>
      </c>
      <c r="R76" s="8"/>
      <c r="T76"/>
    </row>
    <row r="77" spans="2:20" ht="23.1" customHeight="1" x14ac:dyDescent="0.25">
      <c r="B77" s="23" t="s">
        <v>117</v>
      </c>
      <c r="C77" s="49">
        <f>'Avg Week Kisasi-Bukoto'!C77+'Avg Week Bukoto-Kisasi'!C77</f>
        <v>21</v>
      </c>
      <c r="D77" s="49">
        <f>'Avg Week Kisasi-Bukoto'!D77+'Avg Week Bukoto-Kisasi'!D77</f>
        <v>9</v>
      </c>
      <c r="E77" s="49">
        <f>'Avg Week Kisasi-Bukoto'!E77+'Avg Week Bukoto-Kisasi'!E77</f>
        <v>0</v>
      </c>
      <c r="F77" s="49">
        <f>'Avg Week Kisasi-Bukoto'!F77+'Avg Week Bukoto-Kisasi'!F77</f>
        <v>1</v>
      </c>
      <c r="G77" s="49">
        <f>'Avg Week Kisasi-Bukoto'!G77+'Avg Week Bukoto-Kisasi'!G77</f>
        <v>0</v>
      </c>
      <c r="H77" s="49">
        <f>'Avg Week Kisasi-Bukoto'!H77+'Avg Week Bukoto-Kisasi'!H77</f>
        <v>0</v>
      </c>
      <c r="I77" s="49">
        <f>'Avg Week Kisasi-Bukoto'!I77+'Avg Week Bukoto-Kisasi'!I77</f>
        <v>0</v>
      </c>
      <c r="J77" s="49">
        <f>'Avg Week Kisasi-Bukoto'!J77+'Avg Week Bukoto-Kisasi'!J77</f>
        <v>0</v>
      </c>
      <c r="K77" s="49">
        <f>'Avg Week Kisasi-Bukoto'!K77+'Avg Week Bukoto-Kisasi'!K77</f>
        <v>0</v>
      </c>
      <c r="L77" s="49">
        <f>'Avg Week Kisasi-Bukoto'!L77+'Avg Week Bukoto-Kisasi'!L77</f>
        <v>0</v>
      </c>
      <c r="M77" s="49">
        <f>'Avg Week Kisasi-Bukoto'!M77+'Avg Week Bukoto-Kisasi'!M77</f>
        <v>37</v>
      </c>
      <c r="N77" s="49">
        <f>'Avg Week Kisasi-Bukoto'!N77+'Avg Week Bukoto-Kisasi'!N77</f>
        <v>0</v>
      </c>
      <c r="O77" s="15">
        <f t="shared" si="35"/>
        <v>31</v>
      </c>
      <c r="P77" s="15">
        <f t="shared" si="36"/>
        <v>68</v>
      </c>
      <c r="R77" s="8"/>
      <c r="T77"/>
    </row>
    <row r="78" spans="2:20" ht="23.1" customHeight="1" x14ac:dyDescent="0.25">
      <c r="B78" s="24" t="s">
        <v>118</v>
      </c>
      <c r="C78" s="49">
        <f>'Avg Week Kisasi-Bukoto'!C78+'Avg Week Bukoto-Kisasi'!C78</f>
        <v>24</v>
      </c>
      <c r="D78" s="49">
        <f>'Avg Week Kisasi-Bukoto'!D78+'Avg Week Bukoto-Kisasi'!D78</f>
        <v>9</v>
      </c>
      <c r="E78" s="49">
        <f>'Avg Week Kisasi-Bukoto'!E78+'Avg Week Bukoto-Kisasi'!E78</f>
        <v>0</v>
      </c>
      <c r="F78" s="49">
        <f>'Avg Week Kisasi-Bukoto'!F78+'Avg Week Bukoto-Kisasi'!F78</f>
        <v>3</v>
      </c>
      <c r="G78" s="49">
        <f>'Avg Week Kisasi-Bukoto'!G78+'Avg Week Bukoto-Kisasi'!G78</f>
        <v>0</v>
      </c>
      <c r="H78" s="49">
        <f>'Avg Week Kisasi-Bukoto'!H78+'Avg Week Bukoto-Kisasi'!H78</f>
        <v>0</v>
      </c>
      <c r="I78" s="49">
        <f>'Avg Week Kisasi-Bukoto'!I78+'Avg Week Bukoto-Kisasi'!I78</f>
        <v>0</v>
      </c>
      <c r="J78" s="49">
        <f>'Avg Week Kisasi-Bukoto'!J78+'Avg Week Bukoto-Kisasi'!J78</f>
        <v>0</v>
      </c>
      <c r="K78" s="49">
        <f>'Avg Week Kisasi-Bukoto'!K78+'Avg Week Bukoto-Kisasi'!K78</f>
        <v>0</v>
      </c>
      <c r="L78" s="49">
        <f>'Avg Week Kisasi-Bukoto'!L78+'Avg Week Bukoto-Kisasi'!L78</f>
        <v>0</v>
      </c>
      <c r="M78" s="49">
        <f>'Avg Week Kisasi-Bukoto'!M78+'Avg Week Bukoto-Kisasi'!M78</f>
        <v>27</v>
      </c>
      <c r="N78" s="49">
        <f>'Avg Week Kisasi-Bukoto'!N78+'Avg Week Bukoto-Kisasi'!N78</f>
        <v>0</v>
      </c>
      <c r="O78" s="15">
        <f t="shared" si="35"/>
        <v>36</v>
      </c>
      <c r="P78" s="15">
        <f t="shared" si="36"/>
        <v>63</v>
      </c>
      <c r="R78" s="8"/>
      <c r="T78"/>
    </row>
    <row r="79" spans="2:20" ht="23.1" customHeight="1" x14ac:dyDescent="0.25">
      <c r="B79" s="23" t="s">
        <v>119</v>
      </c>
      <c r="C79" s="49">
        <f>'Avg Week Kisasi-Bukoto'!C79+'Avg Week Bukoto-Kisasi'!C79</f>
        <v>19</v>
      </c>
      <c r="D79" s="49">
        <f>'Avg Week Kisasi-Bukoto'!D79+'Avg Week Bukoto-Kisasi'!D79</f>
        <v>7</v>
      </c>
      <c r="E79" s="49">
        <f>'Avg Week Kisasi-Bukoto'!E79+'Avg Week Bukoto-Kisasi'!E79</f>
        <v>0</v>
      </c>
      <c r="F79" s="49">
        <f>'Avg Week Kisasi-Bukoto'!F79+'Avg Week Bukoto-Kisasi'!F79</f>
        <v>5</v>
      </c>
      <c r="G79" s="49">
        <f>'Avg Week Kisasi-Bukoto'!G79+'Avg Week Bukoto-Kisasi'!G79</f>
        <v>0</v>
      </c>
      <c r="H79" s="49">
        <f>'Avg Week Kisasi-Bukoto'!H79+'Avg Week Bukoto-Kisasi'!H79</f>
        <v>0</v>
      </c>
      <c r="I79" s="49">
        <f>'Avg Week Kisasi-Bukoto'!I79+'Avg Week Bukoto-Kisasi'!I79</f>
        <v>0</v>
      </c>
      <c r="J79" s="49">
        <f>'Avg Week Kisasi-Bukoto'!J79+'Avg Week Bukoto-Kisasi'!J79</f>
        <v>0</v>
      </c>
      <c r="K79" s="49">
        <f>'Avg Week Kisasi-Bukoto'!K79+'Avg Week Bukoto-Kisasi'!K79</f>
        <v>0</v>
      </c>
      <c r="L79" s="49">
        <f>'Avg Week Kisasi-Bukoto'!L79+'Avg Week Bukoto-Kisasi'!L79</f>
        <v>0</v>
      </c>
      <c r="M79" s="49">
        <f>'Avg Week Kisasi-Bukoto'!M79+'Avg Week Bukoto-Kisasi'!M79</f>
        <v>8</v>
      </c>
      <c r="N79" s="49">
        <f>'Avg Week Kisasi-Bukoto'!N79+'Avg Week Bukoto-Kisasi'!N79</f>
        <v>0</v>
      </c>
      <c r="O79" s="15">
        <f t="shared" si="35"/>
        <v>31</v>
      </c>
      <c r="P79" s="15">
        <f t="shared" si="36"/>
        <v>39</v>
      </c>
      <c r="R79" s="8"/>
      <c r="T79"/>
    </row>
    <row r="80" spans="2:20" ht="23.1" customHeight="1" x14ac:dyDescent="0.25">
      <c r="B80" s="25" t="s">
        <v>120</v>
      </c>
      <c r="C80" s="49">
        <f>'Avg Week Kisasi-Bukoto'!C80+'Avg Week Bukoto-Kisasi'!C80</f>
        <v>20</v>
      </c>
      <c r="D80" s="49">
        <f>'Avg Week Kisasi-Bukoto'!D80+'Avg Week Bukoto-Kisasi'!D80</f>
        <v>8</v>
      </c>
      <c r="E80" s="49">
        <f>'Avg Week Kisasi-Bukoto'!E80+'Avg Week Bukoto-Kisasi'!E80</f>
        <v>0</v>
      </c>
      <c r="F80" s="49">
        <f>'Avg Week Kisasi-Bukoto'!F80+'Avg Week Bukoto-Kisasi'!F80</f>
        <v>3</v>
      </c>
      <c r="G80" s="49">
        <f>'Avg Week Kisasi-Bukoto'!G80+'Avg Week Bukoto-Kisasi'!G80</f>
        <v>0</v>
      </c>
      <c r="H80" s="49">
        <f>'Avg Week Kisasi-Bukoto'!H80+'Avg Week Bukoto-Kisasi'!H80</f>
        <v>0</v>
      </c>
      <c r="I80" s="49">
        <f>'Avg Week Kisasi-Bukoto'!I80+'Avg Week Bukoto-Kisasi'!I80</f>
        <v>1</v>
      </c>
      <c r="J80" s="49">
        <f>'Avg Week Kisasi-Bukoto'!J80+'Avg Week Bukoto-Kisasi'!J80</f>
        <v>1</v>
      </c>
      <c r="K80" s="49">
        <f>'Avg Week Kisasi-Bukoto'!K80+'Avg Week Bukoto-Kisasi'!K80</f>
        <v>0</v>
      </c>
      <c r="L80" s="49">
        <f>'Avg Week Kisasi-Bukoto'!L80+'Avg Week Bukoto-Kisasi'!L80</f>
        <v>0</v>
      </c>
      <c r="M80" s="49">
        <f>'Avg Week Kisasi-Bukoto'!M80+'Avg Week Bukoto-Kisasi'!M80</f>
        <v>41</v>
      </c>
      <c r="N80" s="49">
        <f>'Avg Week Kisasi-Bukoto'!N80+'Avg Week Bukoto-Kisasi'!N80</f>
        <v>0</v>
      </c>
      <c r="O80" s="15">
        <f t="shared" si="35"/>
        <v>33</v>
      </c>
      <c r="P80" s="15">
        <f t="shared" si="36"/>
        <v>74</v>
      </c>
      <c r="R80" s="8"/>
      <c r="T80"/>
    </row>
    <row r="81" spans="2:20" ht="23.1" customHeight="1" x14ac:dyDescent="0.25">
      <c r="B81" s="23" t="s">
        <v>121</v>
      </c>
      <c r="C81" s="49">
        <f>'Avg Week Kisasi-Bukoto'!C81+'Avg Week Bukoto-Kisasi'!C81</f>
        <v>30</v>
      </c>
      <c r="D81" s="49">
        <f>'Avg Week Kisasi-Bukoto'!D81+'Avg Week Bukoto-Kisasi'!D81</f>
        <v>20</v>
      </c>
      <c r="E81" s="49">
        <f>'Avg Week Kisasi-Bukoto'!E81+'Avg Week Bukoto-Kisasi'!E81</f>
        <v>0</v>
      </c>
      <c r="F81" s="49">
        <f>'Avg Week Kisasi-Bukoto'!F81+'Avg Week Bukoto-Kisasi'!F81</f>
        <v>3</v>
      </c>
      <c r="G81" s="49">
        <f>'Avg Week Kisasi-Bukoto'!G81+'Avg Week Bukoto-Kisasi'!G81</f>
        <v>1</v>
      </c>
      <c r="H81" s="49">
        <f>'Avg Week Kisasi-Bukoto'!H81+'Avg Week Bukoto-Kisasi'!H81</f>
        <v>0</v>
      </c>
      <c r="I81" s="49">
        <f>'Avg Week Kisasi-Bukoto'!I81+'Avg Week Bukoto-Kisasi'!I81</f>
        <v>0</v>
      </c>
      <c r="J81" s="49">
        <f>'Avg Week Kisasi-Bukoto'!J81+'Avg Week Bukoto-Kisasi'!J81</f>
        <v>0</v>
      </c>
      <c r="K81" s="49">
        <f>'Avg Week Kisasi-Bukoto'!K81+'Avg Week Bukoto-Kisasi'!K81</f>
        <v>0</v>
      </c>
      <c r="L81" s="49">
        <f>'Avg Week Kisasi-Bukoto'!L81+'Avg Week Bukoto-Kisasi'!L81</f>
        <v>0</v>
      </c>
      <c r="M81" s="49">
        <f>'Avg Week Kisasi-Bukoto'!M81+'Avg Week Bukoto-Kisasi'!M81</f>
        <v>18</v>
      </c>
      <c r="N81" s="49">
        <f>'Avg Week Kisasi-Bukoto'!N81+'Avg Week Bukoto-Kisasi'!N81</f>
        <v>0</v>
      </c>
      <c r="O81" s="15">
        <f t="shared" si="35"/>
        <v>54</v>
      </c>
      <c r="P81" s="15">
        <f t="shared" si="36"/>
        <v>72</v>
      </c>
      <c r="R81" s="8"/>
      <c r="T81"/>
    </row>
    <row r="82" spans="2:20" ht="23.1" customHeight="1" x14ac:dyDescent="0.25">
      <c r="B82" s="24" t="s">
        <v>122</v>
      </c>
      <c r="C82" s="49">
        <f>'Avg Week Kisasi-Bukoto'!C82+'Avg Week Bukoto-Kisasi'!C82</f>
        <v>10</v>
      </c>
      <c r="D82" s="49">
        <f>'Avg Week Kisasi-Bukoto'!D82+'Avg Week Bukoto-Kisasi'!D82</f>
        <v>4</v>
      </c>
      <c r="E82" s="49">
        <f>'Avg Week Kisasi-Bukoto'!E82+'Avg Week Bukoto-Kisasi'!E82</f>
        <v>0</v>
      </c>
      <c r="F82" s="49">
        <f>'Avg Week Kisasi-Bukoto'!F82+'Avg Week Bukoto-Kisasi'!F82</f>
        <v>0</v>
      </c>
      <c r="G82" s="49">
        <f>'Avg Week Kisasi-Bukoto'!G82+'Avg Week Bukoto-Kisasi'!G82</f>
        <v>0</v>
      </c>
      <c r="H82" s="49">
        <f>'Avg Week Kisasi-Bukoto'!H82+'Avg Week Bukoto-Kisasi'!H82</f>
        <v>0</v>
      </c>
      <c r="I82" s="49">
        <f>'Avg Week Kisasi-Bukoto'!I82+'Avg Week Bukoto-Kisasi'!I82</f>
        <v>1</v>
      </c>
      <c r="J82" s="49">
        <f>'Avg Week Kisasi-Bukoto'!J82+'Avg Week Bukoto-Kisasi'!J82</f>
        <v>1</v>
      </c>
      <c r="K82" s="49">
        <f>'Avg Week Kisasi-Bukoto'!K82+'Avg Week Bukoto-Kisasi'!K82</f>
        <v>0</v>
      </c>
      <c r="L82" s="49">
        <f>'Avg Week Kisasi-Bukoto'!L82+'Avg Week Bukoto-Kisasi'!L82</f>
        <v>0</v>
      </c>
      <c r="M82" s="49">
        <f>'Avg Week Kisasi-Bukoto'!M82+'Avg Week Bukoto-Kisasi'!M82</f>
        <v>29</v>
      </c>
      <c r="N82" s="49">
        <f>'Avg Week Kisasi-Bukoto'!N82+'Avg Week Bukoto-Kisasi'!N82</f>
        <v>0</v>
      </c>
      <c r="O82" s="15">
        <f t="shared" si="35"/>
        <v>16</v>
      </c>
      <c r="P82" s="15">
        <f t="shared" si="36"/>
        <v>45</v>
      </c>
      <c r="R82" s="8"/>
      <c r="T82"/>
    </row>
    <row r="83" spans="2:20" ht="23.1" customHeight="1" x14ac:dyDescent="0.25">
      <c r="B83" s="23" t="s">
        <v>123</v>
      </c>
      <c r="C83" s="49">
        <f>'Avg Week Kisasi-Bukoto'!C83+'Avg Week Bukoto-Kisasi'!C83</f>
        <v>13</v>
      </c>
      <c r="D83" s="49">
        <f>'Avg Week Kisasi-Bukoto'!D83+'Avg Week Bukoto-Kisasi'!D83</f>
        <v>4</v>
      </c>
      <c r="E83" s="49">
        <f>'Avg Week Kisasi-Bukoto'!E83+'Avg Week Bukoto-Kisasi'!E83</f>
        <v>0</v>
      </c>
      <c r="F83" s="49">
        <f>'Avg Week Kisasi-Bukoto'!F83+'Avg Week Bukoto-Kisasi'!F83</f>
        <v>2</v>
      </c>
      <c r="G83" s="49">
        <f>'Avg Week Kisasi-Bukoto'!G83+'Avg Week Bukoto-Kisasi'!G83</f>
        <v>0</v>
      </c>
      <c r="H83" s="49">
        <f>'Avg Week Kisasi-Bukoto'!H83+'Avg Week Bukoto-Kisasi'!H83</f>
        <v>0</v>
      </c>
      <c r="I83" s="49">
        <f>'Avg Week Kisasi-Bukoto'!I83+'Avg Week Bukoto-Kisasi'!I83</f>
        <v>0</v>
      </c>
      <c r="J83" s="49">
        <f>'Avg Week Kisasi-Bukoto'!J83+'Avg Week Bukoto-Kisasi'!J83</f>
        <v>0</v>
      </c>
      <c r="K83" s="49">
        <f>'Avg Week Kisasi-Bukoto'!K83+'Avg Week Bukoto-Kisasi'!K83</f>
        <v>0</v>
      </c>
      <c r="L83" s="49">
        <f>'Avg Week Kisasi-Bukoto'!L83+'Avg Week Bukoto-Kisasi'!L83</f>
        <v>0</v>
      </c>
      <c r="M83" s="49">
        <f>'Avg Week Kisasi-Bukoto'!M83+'Avg Week Bukoto-Kisasi'!M83</f>
        <v>16</v>
      </c>
      <c r="N83" s="49">
        <f>'Avg Week Kisasi-Bukoto'!N83+'Avg Week Bukoto-Kisasi'!N83</f>
        <v>0</v>
      </c>
      <c r="O83" s="15">
        <f t="shared" si="35"/>
        <v>19</v>
      </c>
      <c r="P83" s="15">
        <f t="shared" si="36"/>
        <v>35</v>
      </c>
      <c r="R83" s="8"/>
      <c r="T83"/>
    </row>
    <row r="84" spans="2:20" ht="23.1" customHeight="1" x14ac:dyDescent="0.25">
      <c r="B84" s="25" t="s">
        <v>124</v>
      </c>
      <c r="C84" s="49">
        <f>'Avg Week Kisasi-Bukoto'!C84+'Avg Week Bukoto-Kisasi'!C84</f>
        <v>14</v>
      </c>
      <c r="D84" s="49">
        <f>'Avg Week Kisasi-Bukoto'!D84+'Avg Week Bukoto-Kisasi'!D84</f>
        <v>4</v>
      </c>
      <c r="E84" s="49">
        <f>'Avg Week Kisasi-Bukoto'!E84+'Avg Week Bukoto-Kisasi'!E84</f>
        <v>0</v>
      </c>
      <c r="F84" s="49">
        <f>'Avg Week Kisasi-Bukoto'!F84+'Avg Week Bukoto-Kisasi'!F84</f>
        <v>4</v>
      </c>
      <c r="G84" s="49">
        <f>'Avg Week Kisasi-Bukoto'!G84+'Avg Week Bukoto-Kisasi'!G84</f>
        <v>0</v>
      </c>
      <c r="H84" s="49">
        <f>'Avg Week Kisasi-Bukoto'!H84+'Avg Week Bukoto-Kisasi'!H84</f>
        <v>0</v>
      </c>
      <c r="I84" s="49">
        <f>'Avg Week Kisasi-Bukoto'!I84+'Avg Week Bukoto-Kisasi'!I84</f>
        <v>0</v>
      </c>
      <c r="J84" s="49">
        <f>'Avg Week Kisasi-Bukoto'!J84+'Avg Week Bukoto-Kisasi'!J84</f>
        <v>0</v>
      </c>
      <c r="K84" s="49">
        <f>'Avg Week Kisasi-Bukoto'!K84+'Avg Week Bukoto-Kisasi'!K84</f>
        <v>0</v>
      </c>
      <c r="L84" s="49">
        <f>'Avg Week Kisasi-Bukoto'!L84+'Avg Week Bukoto-Kisasi'!L84</f>
        <v>0</v>
      </c>
      <c r="M84" s="49">
        <f>'Avg Week Kisasi-Bukoto'!M84+'Avg Week Bukoto-Kisasi'!M84</f>
        <v>12</v>
      </c>
      <c r="N84" s="49">
        <f>'Avg Week Kisasi-Bukoto'!N84+'Avg Week Bukoto-Kisasi'!N84</f>
        <v>0</v>
      </c>
      <c r="O84" s="15">
        <f t="shared" si="35"/>
        <v>22</v>
      </c>
      <c r="P84" s="15">
        <f t="shared" si="36"/>
        <v>34</v>
      </c>
      <c r="R84" s="8"/>
      <c r="T84"/>
    </row>
    <row r="85" spans="2:20" ht="23.1" customHeight="1" x14ac:dyDescent="0.25">
      <c r="B85" s="23" t="s">
        <v>125</v>
      </c>
      <c r="C85" s="49">
        <f>'Avg Week Kisasi-Bukoto'!C85+'Avg Week Bukoto-Kisasi'!C85</f>
        <v>10</v>
      </c>
      <c r="D85" s="49">
        <f>'Avg Week Kisasi-Bukoto'!D85+'Avg Week Bukoto-Kisasi'!D85</f>
        <v>4</v>
      </c>
      <c r="E85" s="49">
        <f>'Avg Week Kisasi-Bukoto'!E85+'Avg Week Bukoto-Kisasi'!E85</f>
        <v>0</v>
      </c>
      <c r="F85" s="49">
        <f>'Avg Week Kisasi-Bukoto'!F85+'Avg Week Bukoto-Kisasi'!F85</f>
        <v>4</v>
      </c>
      <c r="G85" s="49">
        <f>'Avg Week Kisasi-Bukoto'!G85+'Avg Week Bukoto-Kisasi'!G85</f>
        <v>0</v>
      </c>
      <c r="H85" s="49">
        <f>'Avg Week Kisasi-Bukoto'!H85+'Avg Week Bukoto-Kisasi'!H85</f>
        <v>0</v>
      </c>
      <c r="I85" s="49">
        <f>'Avg Week Kisasi-Bukoto'!I85+'Avg Week Bukoto-Kisasi'!I85</f>
        <v>0</v>
      </c>
      <c r="J85" s="49">
        <f>'Avg Week Kisasi-Bukoto'!J85+'Avg Week Bukoto-Kisasi'!J85</f>
        <v>0</v>
      </c>
      <c r="K85" s="49">
        <f>'Avg Week Kisasi-Bukoto'!K85+'Avg Week Bukoto-Kisasi'!K85</f>
        <v>0</v>
      </c>
      <c r="L85" s="49">
        <f>'Avg Week Kisasi-Bukoto'!L85+'Avg Week Bukoto-Kisasi'!L85</f>
        <v>0</v>
      </c>
      <c r="M85" s="49">
        <f>'Avg Week Kisasi-Bukoto'!M85+'Avg Week Bukoto-Kisasi'!M85</f>
        <v>18</v>
      </c>
      <c r="N85" s="49">
        <f>'Avg Week Kisasi-Bukoto'!N85+'Avg Week Bukoto-Kisasi'!N85</f>
        <v>0</v>
      </c>
      <c r="O85" s="15">
        <f t="shared" si="35"/>
        <v>18</v>
      </c>
      <c r="P85" s="15">
        <f t="shared" si="36"/>
        <v>36</v>
      </c>
      <c r="R85" s="8"/>
      <c r="T85"/>
    </row>
    <row r="86" spans="2:20" ht="23.1" customHeight="1" x14ac:dyDescent="0.25">
      <c r="B86" s="24" t="s">
        <v>126</v>
      </c>
      <c r="C86" s="49">
        <f>'Avg Week Kisasi-Bukoto'!C86+'Avg Week Bukoto-Kisasi'!C86</f>
        <v>9</v>
      </c>
      <c r="D86" s="49">
        <f>'Avg Week Kisasi-Bukoto'!D86+'Avg Week Bukoto-Kisasi'!D86</f>
        <v>4</v>
      </c>
      <c r="E86" s="49">
        <f>'Avg Week Kisasi-Bukoto'!E86+'Avg Week Bukoto-Kisasi'!E86</f>
        <v>0</v>
      </c>
      <c r="F86" s="49">
        <f>'Avg Week Kisasi-Bukoto'!F86+'Avg Week Bukoto-Kisasi'!F86</f>
        <v>0</v>
      </c>
      <c r="G86" s="49">
        <f>'Avg Week Kisasi-Bukoto'!G86+'Avg Week Bukoto-Kisasi'!G86</f>
        <v>0</v>
      </c>
      <c r="H86" s="49">
        <f>'Avg Week Kisasi-Bukoto'!H86+'Avg Week Bukoto-Kisasi'!H86</f>
        <v>0</v>
      </c>
      <c r="I86" s="49">
        <f>'Avg Week Kisasi-Bukoto'!I86+'Avg Week Bukoto-Kisasi'!I86</f>
        <v>0</v>
      </c>
      <c r="J86" s="49">
        <f>'Avg Week Kisasi-Bukoto'!J86+'Avg Week Bukoto-Kisasi'!J86</f>
        <v>0</v>
      </c>
      <c r="K86" s="49">
        <f>'Avg Week Kisasi-Bukoto'!K86+'Avg Week Bukoto-Kisasi'!K86</f>
        <v>0</v>
      </c>
      <c r="L86" s="49">
        <f>'Avg Week Kisasi-Bukoto'!L86+'Avg Week Bukoto-Kisasi'!L86</f>
        <v>0</v>
      </c>
      <c r="M86" s="49">
        <f>'Avg Week Kisasi-Bukoto'!M86+'Avg Week Bukoto-Kisasi'!M86</f>
        <v>13</v>
      </c>
      <c r="N86" s="49">
        <f>'Avg Week Kisasi-Bukoto'!N86+'Avg Week Bukoto-Kisasi'!N86</f>
        <v>0</v>
      </c>
      <c r="O86" s="15">
        <f t="shared" si="35"/>
        <v>13</v>
      </c>
      <c r="P86" s="15">
        <f t="shared" si="36"/>
        <v>26</v>
      </c>
      <c r="R86" s="8"/>
      <c r="T86"/>
    </row>
    <row r="87" spans="2:20" ht="23.1" customHeight="1" x14ac:dyDescent="0.25">
      <c r="B87" s="23" t="s">
        <v>127</v>
      </c>
      <c r="C87" s="49">
        <f>'Avg Week Kisasi-Bukoto'!C87+'Avg Week Bukoto-Kisasi'!C87</f>
        <v>14</v>
      </c>
      <c r="D87" s="49">
        <f>'Avg Week Kisasi-Bukoto'!D87+'Avg Week Bukoto-Kisasi'!D87</f>
        <v>7</v>
      </c>
      <c r="E87" s="49">
        <f>'Avg Week Kisasi-Bukoto'!E87+'Avg Week Bukoto-Kisasi'!E87</f>
        <v>0</v>
      </c>
      <c r="F87" s="49">
        <f>'Avg Week Kisasi-Bukoto'!F87+'Avg Week Bukoto-Kisasi'!F87</f>
        <v>0</v>
      </c>
      <c r="G87" s="49">
        <f>'Avg Week Kisasi-Bukoto'!G87+'Avg Week Bukoto-Kisasi'!G87</f>
        <v>0</v>
      </c>
      <c r="H87" s="49">
        <f>'Avg Week Kisasi-Bukoto'!H87+'Avg Week Bukoto-Kisasi'!H87</f>
        <v>0</v>
      </c>
      <c r="I87" s="49">
        <f>'Avg Week Kisasi-Bukoto'!I87+'Avg Week Bukoto-Kisasi'!I87</f>
        <v>0</v>
      </c>
      <c r="J87" s="49">
        <f>'Avg Week Kisasi-Bukoto'!J87+'Avg Week Bukoto-Kisasi'!J87</f>
        <v>0</v>
      </c>
      <c r="K87" s="49">
        <f>'Avg Week Kisasi-Bukoto'!K87+'Avg Week Bukoto-Kisasi'!K87</f>
        <v>0</v>
      </c>
      <c r="L87" s="49">
        <f>'Avg Week Kisasi-Bukoto'!L87+'Avg Week Bukoto-Kisasi'!L87</f>
        <v>0</v>
      </c>
      <c r="M87" s="49">
        <f>'Avg Week Kisasi-Bukoto'!M87+'Avg Week Bukoto-Kisasi'!M87</f>
        <v>10</v>
      </c>
      <c r="N87" s="49">
        <f>'Avg Week Kisasi-Bukoto'!N87+'Avg Week Bukoto-Kisasi'!N87</f>
        <v>0</v>
      </c>
      <c r="O87" s="15">
        <f t="shared" si="35"/>
        <v>21</v>
      </c>
      <c r="P87" s="15">
        <f t="shared" si="36"/>
        <v>31</v>
      </c>
      <c r="R87" s="8"/>
      <c r="T87"/>
    </row>
    <row r="88" spans="2:20" ht="23.1" customHeight="1" x14ac:dyDescent="0.25">
      <c r="B88" s="25" t="s">
        <v>128</v>
      </c>
      <c r="C88" s="49">
        <f>'Avg Week Kisasi-Bukoto'!C88+'Avg Week Bukoto-Kisasi'!C88</f>
        <v>7</v>
      </c>
      <c r="D88" s="49">
        <f>'Avg Week Kisasi-Bukoto'!D88+'Avg Week Bukoto-Kisasi'!D88</f>
        <v>6</v>
      </c>
      <c r="E88" s="49">
        <f>'Avg Week Kisasi-Bukoto'!E88+'Avg Week Bukoto-Kisasi'!E88</f>
        <v>0</v>
      </c>
      <c r="F88" s="49">
        <f>'Avg Week Kisasi-Bukoto'!F88+'Avg Week Bukoto-Kisasi'!F88</f>
        <v>0</v>
      </c>
      <c r="G88" s="49">
        <f>'Avg Week Kisasi-Bukoto'!G88+'Avg Week Bukoto-Kisasi'!G88</f>
        <v>0</v>
      </c>
      <c r="H88" s="49">
        <f>'Avg Week Kisasi-Bukoto'!H88+'Avg Week Bukoto-Kisasi'!H88</f>
        <v>0</v>
      </c>
      <c r="I88" s="49">
        <f>'Avg Week Kisasi-Bukoto'!I88+'Avg Week Bukoto-Kisasi'!I88</f>
        <v>0</v>
      </c>
      <c r="J88" s="49">
        <f>'Avg Week Kisasi-Bukoto'!J88+'Avg Week Bukoto-Kisasi'!J88</f>
        <v>0</v>
      </c>
      <c r="K88" s="49">
        <f>'Avg Week Kisasi-Bukoto'!K88+'Avg Week Bukoto-Kisasi'!K88</f>
        <v>0</v>
      </c>
      <c r="L88" s="49">
        <f>'Avg Week Kisasi-Bukoto'!L88+'Avg Week Bukoto-Kisasi'!L88</f>
        <v>0</v>
      </c>
      <c r="M88" s="49">
        <f>'Avg Week Kisasi-Bukoto'!M88+'Avg Week Bukoto-Kisasi'!M88</f>
        <v>7</v>
      </c>
      <c r="N88" s="49">
        <f>'Avg Week Kisasi-Bukoto'!N88+'Avg Week Bukoto-Kisasi'!N88</f>
        <v>0</v>
      </c>
      <c r="O88" s="15">
        <f t="shared" si="35"/>
        <v>13</v>
      </c>
      <c r="P88" s="15">
        <f t="shared" si="36"/>
        <v>20</v>
      </c>
      <c r="R88" s="8"/>
      <c r="T88"/>
    </row>
    <row r="89" spans="2:20" ht="23.1" customHeight="1" x14ac:dyDescent="0.25">
      <c r="B89" s="23" t="s">
        <v>129</v>
      </c>
      <c r="C89" s="49">
        <f>'Avg Week Kisasi-Bukoto'!C89+'Avg Week Bukoto-Kisasi'!C89</f>
        <v>7</v>
      </c>
      <c r="D89" s="49">
        <f>'Avg Week Kisasi-Bukoto'!D89+'Avg Week Bukoto-Kisasi'!D89</f>
        <v>4</v>
      </c>
      <c r="E89" s="49">
        <f>'Avg Week Kisasi-Bukoto'!E89+'Avg Week Bukoto-Kisasi'!E89</f>
        <v>0</v>
      </c>
      <c r="F89" s="49">
        <f>'Avg Week Kisasi-Bukoto'!F89+'Avg Week Bukoto-Kisasi'!F89</f>
        <v>0</v>
      </c>
      <c r="G89" s="49">
        <f>'Avg Week Kisasi-Bukoto'!G89+'Avg Week Bukoto-Kisasi'!G89</f>
        <v>0</v>
      </c>
      <c r="H89" s="49">
        <f>'Avg Week Kisasi-Bukoto'!H89+'Avg Week Bukoto-Kisasi'!H89</f>
        <v>0</v>
      </c>
      <c r="I89" s="49">
        <f>'Avg Week Kisasi-Bukoto'!I89+'Avg Week Bukoto-Kisasi'!I89</f>
        <v>0</v>
      </c>
      <c r="J89" s="49">
        <f>'Avg Week Kisasi-Bukoto'!J89+'Avg Week Bukoto-Kisasi'!J89</f>
        <v>0</v>
      </c>
      <c r="K89" s="49">
        <f>'Avg Week Kisasi-Bukoto'!K89+'Avg Week Bukoto-Kisasi'!K89</f>
        <v>0</v>
      </c>
      <c r="L89" s="49">
        <f>'Avg Week Kisasi-Bukoto'!L89+'Avg Week Bukoto-Kisasi'!L89</f>
        <v>0</v>
      </c>
      <c r="M89" s="49">
        <f>'Avg Week Kisasi-Bukoto'!M89+'Avg Week Bukoto-Kisasi'!M89</f>
        <v>12</v>
      </c>
      <c r="N89" s="49">
        <f>'Avg Week Kisasi-Bukoto'!N89+'Avg Week Bukoto-Kisasi'!N89</f>
        <v>0</v>
      </c>
      <c r="O89" s="15">
        <f t="shared" si="35"/>
        <v>11</v>
      </c>
      <c r="P89" s="15">
        <f t="shared" si="36"/>
        <v>23</v>
      </c>
      <c r="R89" s="8"/>
      <c r="T89"/>
    </row>
    <row r="90" spans="2:20" ht="23.1" customHeight="1" x14ac:dyDescent="0.25">
      <c r="B90" s="24" t="s">
        <v>130</v>
      </c>
      <c r="C90" s="49">
        <f>'Avg Week Kisasi-Bukoto'!C90+'Avg Week Bukoto-Kisasi'!C90</f>
        <v>13</v>
      </c>
      <c r="D90" s="49">
        <f>'Avg Week Kisasi-Bukoto'!D90+'Avg Week Bukoto-Kisasi'!D90</f>
        <v>3</v>
      </c>
      <c r="E90" s="49">
        <f>'Avg Week Kisasi-Bukoto'!E90+'Avg Week Bukoto-Kisasi'!E90</f>
        <v>0</v>
      </c>
      <c r="F90" s="49">
        <f>'Avg Week Kisasi-Bukoto'!F90+'Avg Week Bukoto-Kisasi'!F90</f>
        <v>1</v>
      </c>
      <c r="G90" s="49">
        <f>'Avg Week Kisasi-Bukoto'!G90+'Avg Week Bukoto-Kisasi'!G90</f>
        <v>0</v>
      </c>
      <c r="H90" s="49">
        <f>'Avg Week Kisasi-Bukoto'!H90+'Avg Week Bukoto-Kisasi'!H90</f>
        <v>0</v>
      </c>
      <c r="I90" s="49">
        <f>'Avg Week Kisasi-Bukoto'!I90+'Avg Week Bukoto-Kisasi'!I90</f>
        <v>0</v>
      </c>
      <c r="J90" s="49">
        <f>'Avg Week Kisasi-Bukoto'!J90+'Avg Week Bukoto-Kisasi'!J90</f>
        <v>0</v>
      </c>
      <c r="K90" s="49">
        <f>'Avg Week Kisasi-Bukoto'!K90+'Avg Week Bukoto-Kisasi'!K90</f>
        <v>0</v>
      </c>
      <c r="L90" s="49">
        <f>'Avg Week Kisasi-Bukoto'!L90+'Avg Week Bukoto-Kisasi'!L90</f>
        <v>0</v>
      </c>
      <c r="M90" s="49">
        <f>'Avg Week Kisasi-Bukoto'!M90+'Avg Week Bukoto-Kisasi'!M90</f>
        <v>30</v>
      </c>
      <c r="N90" s="49">
        <f>'Avg Week Kisasi-Bukoto'!N90+'Avg Week Bukoto-Kisasi'!N90</f>
        <v>0</v>
      </c>
      <c r="O90" s="15">
        <f t="shared" si="35"/>
        <v>17</v>
      </c>
      <c r="P90" s="15">
        <f t="shared" si="36"/>
        <v>47</v>
      </c>
      <c r="R90" s="8"/>
      <c r="T90"/>
    </row>
    <row r="91" spans="2:20" ht="23.1" customHeight="1" x14ac:dyDescent="0.25">
      <c r="B91" s="23" t="s">
        <v>131</v>
      </c>
      <c r="C91" s="49">
        <f>'Avg Week Kisasi-Bukoto'!C91+'Avg Week Bukoto-Kisasi'!C91</f>
        <v>10</v>
      </c>
      <c r="D91" s="49">
        <f>'Avg Week Kisasi-Bukoto'!D91+'Avg Week Bukoto-Kisasi'!D91</f>
        <v>2</v>
      </c>
      <c r="E91" s="49">
        <f>'Avg Week Kisasi-Bukoto'!E91+'Avg Week Bukoto-Kisasi'!E91</f>
        <v>0</v>
      </c>
      <c r="F91" s="49">
        <f>'Avg Week Kisasi-Bukoto'!F91+'Avg Week Bukoto-Kisasi'!F91</f>
        <v>0</v>
      </c>
      <c r="G91" s="49">
        <f>'Avg Week Kisasi-Bukoto'!G91+'Avg Week Bukoto-Kisasi'!G91</f>
        <v>0</v>
      </c>
      <c r="H91" s="49">
        <f>'Avg Week Kisasi-Bukoto'!H91+'Avg Week Bukoto-Kisasi'!H91</f>
        <v>0</v>
      </c>
      <c r="I91" s="49">
        <f>'Avg Week Kisasi-Bukoto'!I91+'Avg Week Bukoto-Kisasi'!I91</f>
        <v>0</v>
      </c>
      <c r="J91" s="49">
        <f>'Avg Week Kisasi-Bukoto'!J91+'Avg Week Bukoto-Kisasi'!J91</f>
        <v>0</v>
      </c>
      <c r="K91" s="49">
        <f>'Avg Week Kisasi-Bukoto'!K91+'Avg Week Bukoto-Kisasi'!K91</f>
        <v>0</v>
      </c>
      <c r="L91" s="49">
        <f>'Avg Week Kisasi-Bukoto'!L91+'Avg Week Bukoto-Kisasi'!L91</f>
        <v>0</v>
      </c>
      <c r="M91" s="49">
        <f>'Avg Week Kisasi-Bukoto'!M91+'Avg Week Bukoto-Kisasi'!M91</f>
        <v>7</v>
      </c>
      <c r="N91" s="49">
        <f>'Avg Week Kisasi-Bukoto'!N91+'Avg Week Bukoto-Kisasi'!N91</f>
        <v>0</v>
      </c>
      <c r="O91" s="15">
        <f t="shared" si="35"/>
        <v>12</v>
      </c>
      <c r="P91" s="15">
        <f t="shared" si="36"/>
        <v>19</v>
      </c>
      <c r="R91" s="8"/>
      <c r="T91"/>
    </row>
    <row r="92" spans="2:20" ht="23.1" customHeight="1" x14ac:dyDescent="0.25">
      <c r="B92" s="25" t="s">
        <v>132</v>
      </c>
      <c r="C92" s="49">
        <f>'Avg Week Kisasi-Bukoto'!C92+'Avg Week Bukoto-Kisasi'!C92</f>
        <v>14</v>
      </c>
      <c r="D92" s="49">
        <f>'Avg Week Kisasi-Bukoto'!D92+'Avg Week Bukoto-Kisasi'!D92</f>
        <v>3</v>
      </c>
      <c r="E92" s="49">
        <f>'Avg Week Kisasi-Bukoto'!E92+'Avg Week Bukoto-Kisasi'!E92</f>
        <v>0</v>
      </c>
      <c r="F92" s="49">
        <f>'Avg Week Kisasi-Bukoto'!F92+'Avg Week Bukoto-Kisasi'!F92</f>
        <v>0</v>
      </c>
      <c r="G92" s="49">
        <f>'Avg Week Kisasi-Bukoto'!G92+'Avg Week Bukoto-Kisasi'!G92</f>
        <v>0</v>
      </c>
      <c r="H92" s="49">
        <f>'Avg Week Kisasi-Bukoto'!H92+'Avg Week Bukoto-Kisasi'!H92</f>
        <v>0</v>
      </c>
      <c r="I92" s="49">
        <f>'Avg Week Kisasi-Bukoto'!I92+'Avg Week Bukoto-Kisasi'!I92</f>
        <v>0</v>
      </c>
      <c r="J92" s="49">
        <f>'Avg Week Kisasi-Bukoto'!J92+'Avg Week Bukoto-Kisasi'!J92</f>
        <v>0</v>
      </c>
      <c r="K92" s="49">
        <f>'Avg Week Kisasi-Bukoto'!K92+'Avg Week Bukoto-Kisasi'!K92</f>
        <v>0</v>
      </c>
      <c r="L92" s="49">
        <f>'Avg Week Kisasi-Bukoto'!L92+'Avg Week Bukoto-Kisasi'!L92</f>
        <v>0</v>
      </c>
      <c r="M92" s="49">
        <f>'Avg Week Kisasi-Bukoto'!M92+'Avg Week Bukoto-Kisasi'!M92</f>
        <v>9</v>
      </c>
      <c r="N92" s="49">
        <f>'Avg Week Kisasi-Bukoto'!N92+'Avg Week Bukoto-Kisasi'!N92</f>
        <v>0</v>
      </c>
      <c r="O92" s="15">
        <f t="shared" si="35"/>
        <v>17</v>
      </c>
      <c r="P92" s="15">
        <f t="shared" si="36"/>
        <v>26</v>
      </c>
      <c r="R92" s="8"/>
      <c r="T92"/>
    </row>
    <row r="93" spans="2:20" ht="23.1" customHeight="1" x14ac:dyDescent="0.25">
      <c r="B93" s="23" t="s">
        <v>133</v>
      </c>
      <c r="C93" s="49">
        <f>'Avg Week Kisasi-Bukoto'!C93+'Avg Week Bukoto-Kisasi'!C93</f>
        <v>11</v>
      </c>
      <c r="D93" s="49">
        <f>'Avg Week Kisasi-Bukoto'!D93+'Avg Week Bukoto-Kisasi'!D93</f>
        <v>3</v>
      </c>
      <c r="E93" s="49">
        <f>'Avg Week Kisasi-Bukoto'!E93+'Avg Week Bukoto-Kisasi'!E93</f>
        <v>0</v>
      </c>
      <c r="F93" s="49">
        <f>'Avg Week Kisasi-Bukoto'!F93+'Avg Week Bukoto-Kisasi'!F93</f>
        <v>3</v>
      </c>
      <c r="G93" s="49">
        <f>'Avg Week Kisasi-Bukoto'!G93+'Avg Week Bukoto-Kisasi'!G93</f>
        <v>0</v>
      </c>
      <c r="H93" s="49">
        <f>'Avg Week Kisasi-Bukoto'!H93+'Avg Week Bukoto-Kisasi'!H93</f>
        <v>0</v>
      </c>
      <c r="I93" s="49">
        <f>'Avg Week Kisasi-Bukoto'!I93+'Avg Week Bukoto-Kisasi'!I93</f>
        <v>0</v>
      </c>
      <c r="J93" s="49">
        <f>'Avg Week Kisasi-Bukoto'!J93+'Avg Week Bukoto-Kisasi'!J93</f>
        <v>0</v>
      </c>
      <c r="K93" s="49">
        <f>'Avg Week Kisasi-Bukoto'!K93+'Avg Week Bukoto-Kisasi'!K93</f>
        <v>0</v>
      </c>
      <c r="L93" s="49">
        <f>'Avg Week Kisasi-Bukoto'!L93+'Avg Week Bukoto-Kisasi'!L93</f>
        <v>0</v>
      </c>
      <c r="M93" s="49">
        <f>'Avg Week Kisasi-Bukoto'!M93+'Avg Week Bukoto-Kisasi'!M93</f>
        <v>6</v>
      </c>
      <c r="N93" s="49">
        <f>'Avg Week Kisasi-Bukoto'!N93+'Avg Week Bukoto-Kisasi'!N93</f>
        <v>0</v>
      </c>
      <c r="O93" s="15">
        <f t="shared" si="35"/>
        <v>17</v>
      </c>
      <c r="P93" s="15">
        <f t="shared" si="36"/>
        <v>23</v>
      </c>
      <c r="R93" s="8"/>
      <c r="T93"/>
    </row>
    <row r="94" spans="2:20" ht="23.1" customHeight="1" x14ac:dyDescent="0.25">
      <c r="B94" s="24" t="s">
        <v>134</v>
      </c>
      <c r="C94" s="49">
        <f>'Avg Week Kisasi-Bukoto'!C94+'Avg Week Bukoto-Kisasi'!C94</f>
        <v>10</v>
      </c>
      <c r="D94" s="49">
        <f>'Avg Week Kisasi-Bukoto'!D94+'Avg Week Bukoto-Kisasi'!D94</f>
        <v>5</v>
      </c>
      <c r="E94" s="49">
        <f>'Avg Week Kisasi-Bukoto'!E94+'Avg Week Bukoto-Kisasi'!E94</f>
        <v>0</v>
      </c>
      <c r="F94" s="49">
        <f>'Avg Week Kisasi-Bukoto'!F94+'Avg Week Bukoto-Kisasi'!F94</f>
        <v>1</v>
      </c>
      <c r="G94" s="49">
        <f>'Avg Week Kisasi-Bukoto'!G94+'Avg Week Bukoto-Kisasi'!G94</f>
        <v>0</v>
      </c>
      <c r="H94" s="49">
        <f>'Avg Week Kisasi-Bukoto'!H94+'Avg Week Bukoto-Kisasi'!H94</f>
        <v>0</v>
      </c>
      <c r="I94" s="49">
        <f>'Avg Week Kisasi-Bukoto'!I94+'Avg Week Bukoto-Kisasi'!I94</f>
        <v>0</v>
      </c>
      <c r="J94" s="49">
        <f>'Avg Week Kisasi-Bukoto'!J94+'Avg Week Bukoto-Kisasi'!J94</f>
        <v>0</v>
      </c>
      <c r="K94" s="49">
        <f>'Avg Week Kisasi-Bukoto'!K94+'Avg Week Bukoto-Kisasi'!K94</f>
        <v>0</v>
      </c>
      <c r="L94" s="49">
        <f>'Avg Week Kisasi-Bukoto'!L94+'Avg Week Bukoto-Kisasi'!L94</f>
        <v>0</v>
      </c>
      <c r="M94" s="49">
        <f>'Avg Week Kisasi-Bukoto'!M94+'Avg Week Bukoto-Kisasi'!M94</f>
        <v>2</v>
      </c>
      <c r="N94" s="49">
        <f>'Avg Week Kisasi-Bukoto'!N94+'Avg Week Bukoto-Kisasi'!N94</f>
        <v>0</v>
      </c>
      <c r="O94" s="15">
        <f t="shared" si="35"/>
        <v>16</v>
      </c>
      <c r="P94" s="15">
        <f t="shared" si="36"/>
        <v>18</v>
      </c>
      <c r="R94" s="8"/>
      <c r="T94"/>
    </row>
    <row r="95" spans="2:20" ht="23.1" customHeight="1" x14ac:dyDescent="0.25">
      <c r="B95" s="23" t="s">
        <v>135</v>
      </c>
      <c r="C95" s="49">
        <f>'Avg Week Kisasi-Bukoto'!C95+'Avg Week Bukoto-Kisasi'!C95</f>
        <v>12</v>
      </c>
      <c r="D95" s="49">
        <f>'Avg Week Kisasi-Bukoto'!D95+'Avg Week Bukoto-Kisasi'!D95</f>
        <v>2</v>
      </c>
      <c r="E95" s="49">
        <f>'Avg Week Kisasi-Bukoto'!E95+'Avg Week Bukoto-Kisasi'!E95</f>
        <v>0</v>
      </c>
      <c r="F95" s="49">
        <f>'Avg Week Kisasi-Bukoto'!F95+'Avg Week Bukoto-Kisasi'!F95</f>
        <v>2</v>
      </c>
      <c r="G95" s="49">
        <f>'Avg Week Kisasi-Bukoto'!G95+'Avg Week Bukoto-Kisasi'!G95</f>
        <v>0</v>
      </c>
      <c r="H95" s="49">
        <f>'Avg Week Kisasi-Bukoto'!H95+'Avg Week Bukoto-Kisasi'!H95</f>
        <v>0</v>
      </c>
      <c r="I95" s="49">
        <f>'Avg Week Kisasi-Bukoto'!I95+'Avg Week Bukoto-Kisasi'!I95</f>
        <v>0</v>
      </c>
      <c r="J95" s="49">
        <f>'Avg Week Kisasi-Bukoto'!J95+'Avg Week Bukoto-Kisasi'!J95</f>
        <v>0</v>
      </c>
      <c r="K95" s="49">
        <f>'Avg Week Kisasi-Bukoto'!K95+'Avg Week Bukoto-Kisasi'!K95</f>
        <v>0</v>
      </c>
      <c r="L95" s="49">
        <f>'Avg Week Kisasi-Bukoto'!L95+'Avg Week Bukoto-Kisasi'!L95</f>
        <v>0</v>
      </c>
      <c r="M95" s="49">
        <f>'Avg Week Kisasi-Bukoto'!M95+'Avg Week Bukoto-Kisasi'!M95</f>
        <v>8</v>
      </c>
      <c r="N95" s="49">
        <f>'Avg Week Kisasi-Bukoto'!N95+'Avg Week Bukoto-Kisasi'!N95</f>
        <v>0</v>
      </c>
      <c r="O95" s="15">
        <f t="shared" si="35"/>
        <v>16</v>
      </c>
      <c r="P95" s="15">
        <f t="shared" si="36"/>
        <v>24</v>
      </c>
      <c r="R95" s="8"/>
      <c r="T95"/>
    </row>
    <row r="96" spans="2:20" ht="23.1" customHeight="1" x14ac:dyDescent="0.25">
      <c r="B96" s="25" t="s">
        <v>136</v>
      </c>
      <c r="C96" s="49">
        <f>'Avg Week Kisasi-Bukoto'!C96+'Avg Week Bukoto-Kisasi'!C96</f>
        <v>11</v>
      </c>
      <c r="D96" s="49">
        <f>'Avg Week Kisasi-Bukoto'!D96+'Avg Week Bukoto-Kisasi'!D96</f>
        <v>2</v>
      </c>
      <c r="E96" s="49">
        <f>'Avg Week Kisasi-Bukoto'!E96+'Avg Week Bukoto-Kisasi'!E96</f>
        <v>0</v>
      </c>
      <c r="F96" s="49">
        <f>'Avg Week Kisasi-Bukoto'!F96+'Avg Week Bukoto-Kisasi'!F96</f>
        <v>1</v>
      </c>
      <c r="G96" s="49">
        <f>'Avg Week Kisasi-Bukoto'!G96+'Avg Week Bukoto-Kisasi'!G96</f>
        <v>0</v>
      </c>
      <c r="H96" s="49">
        <f>'Avg Week Kisasi-Bukoto'!H96+'Avg Week Bukoto-Kisasi'!H96</f>
        <v>0</v>
      </c>
      <c r="I96" s="49">
        <f>'Avg Week Kisasi-Bukoto'!I96+'Avg Week Bukoto-Kisasi'!I96</f>
        <v>0</v>
      </c>
      <c r="J96" s="49">
        <f>'Avg Week Kisasi-Bukoto'!J96+'Avg Week Bukoto-Kisasi'!J96</f>
        <v>0</v>
      </c>
      <c r="K96" s="49">
        <f>'Avg Week Kisasi-Bukoto'!K96+'Avg Week Bukoto-Kisasi'!K96</f>
        <v>0</v>
      </c>
      <c r="L96" s="49">
        <f>'Avg Week Kisasi-Bukoto'!L96+'Avg Week Bukoto-Kisasi'!L96</f>
        <v>0</v>
      </c>
      <c r="M96" s="49">
        <f>'Avg Week Kisasi-Bukoto'!M96+'Avg Week Bukoto-Kisasi'!M96</f>
        <v>18</v>
      </c>
      <c r="N96" s="49">
        <f>'Avg Week Kisasi-Bukoto'!N96+'Avg Week Bukoto-Kisasi'!N96</f>
        <v>0</v>
      </c>
      <c r="O96" s="15">
        <f t="shared" si="35"/>
        <v>14</v>
      </c>
      <c r="P96" s="15">
        <f t="shared" si="36"/>
        <v>32</v>
      </c>
      <c r="R96" s="8"/>
      <c r="T96"/>
    </row>
    <row r="97" spans="2:20" ht="23.1" customHeight="1" x14ac:dyDescent="0.25">
      <c r="B97" s="23" t="s">
        <v>137</v>
      </c>
      <c r="C97" s="49">
        <f>'Avg Week Kisasi-Bukoto'!C97+'Avg Week Bukoto-Kisasi'!C97</f>
        <v>13</v>
      </c>
      <c r="D97" s="49">
        <f>'Avg Week Kisasi-Bukoto'!D97+'Avg Week Bukoto-Kisasi'!D97</f>
        <v>7</v>
      </c>
      <c r="E97" s="49">
        <f>'Avg Week Kisasi-Bukoto'!E97+'Avg Week Bukoto-Kisasi'!E97</f>
        <v>0</v>
      </c>
      <c r="F97" s="49">
        <f>'Avg Week Kisasi-Bukoto'!F97+'Avg Week Bukoto-Kisasi'!F97</f>
        <v>0</v>
      </c>
      <c r="G97" s="49">
        <f>'Avg Week Kisasi-Bukoto'!G97+'Avg Week Bukoto-Kisasi'!G97</f>
        <v>0</v>
      </c>
      <c r="H97" s="49">
        <f>'Avg Week Kisasi-Bukoto'!H97+'Avg Week Bukoto-Kisasi'!H97</f>
        <v>0</v>
      </c>
      <c r="I97" s="49">
        <f>'Avg Week Kisasi-Bukoto'!I97+'Avg Week Bukoto-Kisasi'!I97</f>
        <v>0</v>
      </c>
      <c r="J97" s="49">
        <f>'Avg Week Kisasi-Bukoto'!J97+'Avg Week Bukoto-Kisasi'!J97</f>
        <v>0</v>
      </c>
      <c r="K97" s="49">
        <f>'Avg Week Kisasi-Bukoto'!K97+'Avg Week Bukoto-Kisasi'!K97</f>
        <v>0</v>
      </c>
      <c r="L97" s="49">
        <f>'Avg Week Kisasi-Bukoto'!L97+'Avg Week Bukoto-Kisasi'!L97</f>
        <v>0</v>
      </c>
      <c r="M97" s="49">
        <f>'Avg Week Kisasi-Bukoto'!M97+'Avg Week Bukoto-Kisasi'!M97</f>
        <v>6</v>
      </c>
      <c r="N97" s="49">
        <f>'Avg Week Kisasi-Bukoto'!N97+'Avg Week Bukoto-Kisasi'!N97</f>
        <v>0</v>
      </c>
      <c r="O97" s="15">
        <f t="shared" si="35"/>
        <v>20</v>
      </c>
      <c r="P97" s="15">
        <f t="shared" si="36"/>
        <v>26</v>
      </c>
      <c r="R97" s="8"/>
      <c r="T97"/>
    </row>
    <row r="98" spans="2:20" ht="23.1" customHeight="1" x14ac:dyDescent="0.25">
      <c r="B98" s="24" t="s">
        <v>138</v>
      </c>
      <c r="C98" s="49">
        <f>'Avg Week Kisasi-Bukoto'!C98+'Avg Week Bukoto-Kisasi'!C98</f>
        <v>14</v>
      </c>
      <c r="D98" s="49">
        <f>'Avg Week Kisasi-Bukoto'!D98+'Avg Week Bukoto-Kisasi'!D98</f>
        <v>2</v>
      </c>
      <c r="E98" s="49">
        <f>'Avg Week Kisasi-Bukoto'!E98+'Avg Week Bukoto-Kisasi'!E98</f>
        <v>0</v>
      </c>
      <c r="F98" s="49">
        <f>'Avg Week Kisasi-Bukoto'!F98+'Avg Week Bukoto-Kisasi'!F98</f>
        <v>0</v>
      </c>
      <c r="G98" s="49">
        <f>'Avg Week Kisasi-Bukoto'!G98+'Avg Week Bukoto-Kisasi'!G98</f>
        <v>0</v>
      </c>
      <c r="H98" s="49">
        <f>'Avg Week Kisasi-Bukoto'!H98+'Avg Week Bukoto-Kisasi'!H98</f>
        <v>0</v>
      </c>
      <c r="I98" s="49">
        <f>'Avg Week Kisasi-Bukoto'!I98+'Avg Week Bukoto-Kisasi'!I98</f>
        <v>0</v>
      </c>
      <c r="J98" s="49">
        <f>'Avg Week Kisasi-Bukoto'!J98+'Avg Week Bukoto-Kisasi'!J98</f>
        <v>0</v>
      </c>
      <c r="K98" s="49">
        <f>'Avg Week Kisasi-Bukoto'!K98+'Avg Week Bukoto-Kisasi'!K98</f>
        <v>0</v>
      </c>
      <c r="L98" s="49">
        <f>'Avg Week Kisasi-Bukoto'!L98+'Avg Week Bukoto-Kisasi'!L98</f>
        <v>0</v>
      </c>
      <c r="M98" s="49">
        <f>'Avg Week Kisasi-Bukoto'!M98+'Avg Week Bukoto-Kisasi'!M98</f>
        <v>29</v>
      </c>
      <c r="N98" s="49">
        <f>'Avg Week Kisasi-Bukoto'!N98+'Avg Week Bukoto-Kisasi'!N98</f>
        <v>0</v>
      </c>
      <c r="O98" s="15">
        <f t="shared" si="35"/>
        <v>16</v>
      </c>
      <c r="P98" s="15">
        <f t="shared" si="36"/>
        <v>45</v>
      </c>
      <c r="R98" s="8"/>
      <c r="T98"/>
    </row>
    <row r="99" spans="2:20" ht="23.1" customHeight="1" x14ac:dyDescent="0.25">
      <c r="B99" s="23" t="s">
        <v>139</v>
      </c>
      <c r="C99" s="49">
        <f>'Avg Week Kisasi-Bukoto'!C99+'Avg Week Bukoto-Kisasi'!C99</f>
        <v>11</v>
      </c>
      <c r="D99" s="49">
        <f>'Avg Week Kisasi-Bukoto'!D99+'Avg Week Bukoto-Kisasi'!D99</f>
        <v>5</v>
      </c>
      <c r="E99" s="49">
        <f>'Avg Week Kisasi-Bukoto'!E99+'Avg Week Bukoto-Kisasi'!E99</f>
        <v>0</v>
      </c>
      <c r="F99" s="49">
        <f>'Avg Week Kisasi-Bukoto'!F99+'Avg Week Bukoto-Kisasi'!F99</f>
        <v>6</v>
      </c>
      <c r="G99" s="49">
        <f>'Avg Week Kisasi-Bukoto'!G99+'Avg Week Bukoto-Kisasi'!G99</f>
        <v>0</v>
      </c>
      <c r="H99" s="49">
        <f>'Avg Week Kisasi-Bukoto'!H99+'Avg Week Bukoto-Kisasi'!H99</f>
        <v>0</v>
      </c>
      <c r="I99" s="49">
        <f>'Avg Week Kisasi-Bukoto'!I99+'Avg Week Bukoto-Kisasi'!I99</f>
        <v>0</v>
      </c>
      <c r="J99" s="49">
        <f>'Avg Week Kisasi-Bukoto'!J99+'Avg Week Bukoto-Kisasi'!J99</f>
        <v>0</v>
      </c>
      <c r="K99" s="49">
        <f>'Avg Week Kisasi-Bukoto'!K99+'Avg Week Bukoto-Kisasi'!K99</f>
        <v>0</v>
      </c>
      <c r="L99" s="49">
        <f>'Avg Week Kisasi-Bukoto'!L99+'Avg Week Bukoto-Kisasi'!L99</f>
        <v>0</v>
      </c>
      <c r="M99" s="49">
        <f>'Avg Week Kisasi-Bukoto'!M99+'Avg Week Bukoto-Kisasi'!M99</f>
        <v>9</v>
      </c>
      <c r="N99" s="49">
        <f>'Avg Week Kisasi-Bukoto'!N99+'Avg Week Bukoto-Kisasi'!N99</f>
        <v>0</v>
      </c>
      <c r="O99" s="15">
        <f t="shared" si="35"/>
        <v>22</v>
      </c>
      <c r="P99" s="15">
        <f t="shared" si="36"/>
        <v>31</v>
      </c>
      <c r="R99" s="8"/>
      <c r="T99"/>
    </row>
    <row r="100" spans="2:20" ht="23.1" customHeight="1" x14ac:dyDescent="0.25">
      <c r="B100" s="25" t="s">
        <v>140</v>
      </c>
      <c r="C100" s="49">
        <f>'Avg Week Kisasi-Bukoto'!C100+'Avg Week Bukoto-Kisasi'!C100</f>
        <v>19</v>
      </c>
      <c r="D100" s="49">
        <f>'Avg Week Kisasi-Bukoto'!D100+'Avg Week Bukoto-Kisasi'!D100</f>
        <v>11</v>
      </c>
      <c r="E100" s="49">
        <f>'Avg Week Kisasi-Bukoto'!E100+'Avg Week Bukoto-Kisasi'!E100</f>
        <v>0</v>
      </c>
      <c r="F100" s="49">
        <f>'Avg Week Kisasi-Bukoto'!F100+'Avg Week Bukoto-Kisasi'!F100</f>
        <v>9</v>
      </c>
      <c r="G100" s="49">
        <f>'Avg Week Kisasi-Bukoto'!G100+'Avg Week Bukoto-Kisasi'!G100</f>
        <v>0</v>
      </c>
      <c r="H100" s="49">
        <f>'Avg Week Kisasi-Bukoto'!H100+'Avg Week Bukoto-Kisasi'!H100</f>
        <v>0</v>
      </c>
      <c r="I100" s="49">
        <f>'Avg Week Kisasi-Bukoto'!I100+'Avg Week Bukoto-Kisasi'!I100</f>
        <v>0</v>
      </c>
      <c r="J100" s="49">
        <f>'Avg Week Kisasi-Bukoto'!J100+'Avg Week Bukoto-Kisasi'!J100</f>
        <v>0</v>
      </c>
      <c r="K100" s="49">
        <f>'Avg Week Kisasi-Bukoto'!K100+'Avg Week Bukoto-Kisasi'!K100</f>
        <v>0</v>
      </c>
      <c r="L100" s="49">
        <f>'Avg Week Kisasi-Bukoto'!L100+'Avg Week Bukoto-Kisasi'!L100</f>
        <v>0</v>
      </c>
      <c r="M100" s="49">
        <f>'Avg Week Kisasi-Bukoto'!M100+'Avg Week Bukoto-Kisasi'!M100</f>
        <v>9</v>
      </c>
      <c r="N100" s="49">
        <f>'Avg Week Kisasi-Bukoto'!N100+'Avg Week Bukoto-Kisasi'!N100</f>
        <v>0</v>
      </c>
      <c r="O100" s="15">
        <f t="shared" si="35"/>
        <v>39</v>
      </c>
      <c r="P100" s="15">
        <f t="shared" si="36"/>
        <v>48</v>
      </c>
      <c r="R100" s="8"/>
      <c r="T100"/>
    </row>
    <row r="101" spans="2:20" ht="23.1" customHeight="1" x14ac:dyDescent="0.25">
      <c r="B101" s="23" t="s">
        <v>141</v>
      </c>
      <c r="C101" s="49">
        <f>'Avg Week Kisasi-Bukoto'!C101+'Avg Week Bukoto-Kisasi'!C101</f>
        <v>17</v>
      </c>
      <c r="D101" s="49">
        <f>'Avg Week Kisasi-Bukoto'!D101+'Avg Week Bukoto-Kisasi'!D101</f>
        <v>9</v>
      </c>
      <c r="E101" s="49">
        <f>'Avg Week Kisasi-Bukoto'!E101+'Avg Week Bukoto-Kisasi'!E101</f>
        <v>0</v>
      </c>
      <c r="F101" s="49">
        <f>'Avg Week Kisasi-Bukoto'!F101+'Avg Week Bukoto-Kisasi'!F101</f>
        <v>3</v>
      </c>
      <c r="G101" s="49">
        <f>'Avg Week Kisasi-Bukoto'!G101+'Avg Week Bukoto-Kisasi'!G101</f>
        <v>0</v>
      </c>
      <c r="H101" s="49">
        <f>'Avg Week Kisasi-Bukoto'!H101+'Avg Week Bukoto-Kisasi'!H101</f>
        <v>0</v>
      </c>
      <c r="I101" s="49">
        <f>'Avg Week Kisasi-Bukoto'!I101+'Avg Week Bukoto-Kisasi'!I101</f>
        <v>0</v>
      </c>
      <c r="J101" s="49">
        <f>'Avg Week Kisasi-Bukoto'!J101+'Avg Week Bukoto-Kisasi'!J101</f>
        <v>0</v>
      </c>
      <c r="K101" s="49">
        <f>'Avg Week Kisasi-Bukoto'!K101+'Avg Week Bukoto-Kisasi'!K101</f>
        <v>0</v>
      </c>
      <c r="L101" s="49">
        <f>'Avg Week Kisasi-Bukoto'!L101+'Avg Week Bukoto-Kisasi'!L101</f>
        <v>0</v>
      </c>
      <c r="M101" s="49">
        <f>'Avg Week Kisasi-Bukoto'!M101+'Avg Week Bukoto-Kisasi'!M101</f>
        <v>62</v>
      </c>
      <c r="N101" s="49">
        <f>'Avg Week Kisasi-Bukoto'!N101+'Avg Week Bukoto-Kisasi'!N101</f>
        <v>0</v>
      </c>
      <c r="O101" s="15">
        <f t="shared" si="35"/>
        <v>29</v>
      </c>
      <c r="P101" s="15">
        <f t="shared" si="36"/>
        <v>91</v>
      </c>
      <c r="R101" s="8"/>
      <c r="T101"/>
    </row>
    <row r="102" spans="2:20" ht="23.1" customHeight="1" x14ac:dyDescent="0.25">
      <c r="B102" s="24" t="s">
        <v>142</v>
      </c>
      <c r="C102" s="49">
        <f>'Avg Week Kisasi-Bukoto'!C102+'Avg Week Bukoto-Kisasi'!C102</f>
        <v>79</v>
      </c>
      <c r="D102" s="49">
        <f>'Avg Week Kisasi-Bukoto'!D102+'Avg Week Bukoto-Kisasi'!D102</f>
        <v>54</v>
      </c>
      <c r="E102" s="49">
        <f>'Avg Week Kisasi-Bukoto'!E102+'Avg Week Bukoto-Kisasi'!E102</f>
        <v>0</v>
      </c>
      <c r="F102" s="49">
        <f>'Avg Week Kisasi-Bukoto'!F102+'Avg Week Bukoto-Kisasi'!F102</f>
        <v>9</v>
      </c>
      <c r="G102" s="49">
        <f>'Avg Week Kisasi-Bukoto'!G102+'Avg Week Bukoto-Kisasi'!G102</f>
        <v>0</v>
      </c>
      <c r="H102" s="49">
        <f>'Avg Week Kisasi-Bukoto'!H102+'Avg Week Bukoto-Kisasi'!H102</f>
        <v>0</v>
      </c>
      <c r="I102" s="49">
        <f>'Avg Week Kisasi-Bukoto'!I102+'Avg Week Bukoto-Kisasi'!I102</f>
        <v>0</v>
      </c>
      <c r="J102" s="49">
        <f>'Avg Week Kisasi-Bukoto'!J102+'Avg Week Bukoto-Kisasi'!J102</f>
        <v>0</v>
      </c>
      <c r="K102" s="49">
        <f>'Avg Week Kisasi-Bukoto'!K102+'Avg Week Bukoto-Kisasi'!K102</f>
        <v>0</v>
      </c>
      <c r="L102" s="49">
        <f>'Avg Week Kisasi-Bukoto'!L102+'Avg Week Bukoto-Kisasi'!L102</f>
        <v>0</v>
      </c>
      <c r="M102" s="49">
        <f>'Avg Week Kisasi-Bukoto'!M102+'Avg Week Bukoto-Kisasi'!M102</f>
        <v>19</v>
      </c>
      <c r="N102" s="49">
        <f>'Avg Week Kisasi-Bukoto'!N102+'Avg Week Bukoto-Kisasi'!N102</f>
        <v>0</v>
      </c>
      <c r="O102" s="15">
        <f t="shared" si="35"/>
        <v>142</v>
      </c>
      <c r="P102" s="15">
        <f t="shared" si="36"/>
        <v>161</v>
      </c>
      <c r="R102" s="8"/>
      <c r="T102"/>
    </row>
    <row r="103" spans="2:20" ht="23.1" customHeight="1" x14ac:dyDescent="0.25">
      <c r="B103" s="23" t="s">
        <v>143</v>
      </c>
      <c r="C103" s="49">
        <f>'Avg Week Kisasi-Bukoto'!C103+'Avg Week Bukoto-Kisasi'!C103</f>
        <v>93</v>
      </c>
      <c r="D103" s="49">
        <f>'Avg Week Kisasi-Bukoto'!D103+'Avg Week Bukoto-Kisasi'!D103</f>
        <v>93</v>
      </c>
      <c r="E103" s="49">
        <f>'Avg Week Kisasi-Bukoto'!E103+'Avg Week Bukoto-Kisasi'!E103</f>
        <v>1</v>
      </c>
      <c r="F103" s="49">
        <f>'Avg Week Kisasi-Bukoto'!F103+'Avg Week Bukoto-Kisasi'!F103</f>
        <v>22</v>
      </c>
      <c r="G103" s="49">
        <f>'Avg Week Kisasi-Bukoto'!G103+'Avg Week Bukoto-Kisasi'!G103</f>
        <v>0</v>
      </c>
      <c r="H103" s="49">
        <f>'Avg Week Kisasi-Bukoto'!H103+'Avg Week Bukoto-Kisasi'!H103</f>
        <v>0</v>
      </c>
      <c r="I103" s="49">
        <f>'Avg Week Kisasi-Bukoto'!I103+'Avg Week Bukoto-Kisasi'!I103</f>
        <v>0</v>
      </c>
      <c r="J103" s="49">
        <f>'Avg Week Kisasi-Bukoto'!J103+'Avg Week Bukoto-Kisasi'!J103</f>
        <v>0</v>
      </c>
      <c r="K103" s="49">
        <f>'Avg Week Kisasi-Bukoto'!K103+'Avg Week Bukoto-Kisasi'!K103</f>
        <v>0</v>
      </c>
      <c r="L103" s="49">
        <f>'Avg Week Kisasi-Bukoto'!L103+'Avg Week Bukoto-Kisasi'!L103</f>
        <v>0</v>
      </c>
      <c r="M103" s="49">
        <f>'Avg Week Kisasi-Bukoto'!M103+'Avg Week Bukoto-Kisasi'!M103</f>
        <v>11</v>
      </c>
      <c r="N103" s="49">
        <f>'Avg Week Kisasi-Bukoto'!N103+'Avg Week Bukoto-Kisasi'!N103</f>
        <v>0</v>
      </c>
      <c r="O103" s="15">
        <f t="shared" si="35"/>
        <v>209</v>
      </c>
      <c r="P103" s="15">
        <f t="shared" si="36"/>
        <v>220</v>
      </c>
      <c r="R103" s="8"/>
      <c r="T103"/>
    </row>
    <row r="104" spans="2:20" ht="23.1" customHeight="1" x14ac:dyDescent="0.25">
      <c r="B104" s="25" t="s">
        <v>144</v>
      </c>
      <c r="C104" s="49">
        <f>'Avg Week Kisasi-Bukoto'!C104+'Avg Week Bukoto-Kisasi'!C104</f>
        <v>105</v>
      </c>
      <c r="D104" s="49">
        <f>'Avg Week Kisasi-Bukoto'!D104+'Avg Week Bukoto-Kisasi'!D104</f>
        <v>115</v>
      </c>
      <c r="E104" s="49">
        <f>'Avg Week Kisasi-Bukoto'!E104+'Avg Week Bukoto-Kisasi'!E104</f>
        <v>1</v>
      </c>
      <c r="F104" s="49">
        <f>'Avg Week Kisasi-Bukoto'!F104+'Avg Week Bukoto-Kisasi'!F104</f>
        <v>23</v>
      </c>
      <c r="G104" s="49">
        <f>'Avg Week Kisasi-Bukoto'!G104+'Avg Week Bukoto-Kisasi'!G104</f>
        <v>0</v>
      </c>
      <c r="H104" s="49">
        <f>'Avg Week Kisasi-Bukoto'!H104+'Avg Week Bukoto-Kisasi'!H104</f>
        <v>0</v>
      </c>
      <c r="I104" s="49">
        <f>'Avg Week Kisasi-Bukoto'!I104+'Avg Week Bukoto-Kisasi'!I104</f>
        <v>1</v>
      </c>
      <c r="J104" s="49">
        <f>'Avg Week Kisasi-Bukoto'!J104+'Avg Week Bukoto-Kisasi'!J104</f>
        <v>0</v>
      </c>
      <c r="K104" s="49">
        <f>'Avg Week Kisasi-Bukoto'!K104+'Avg Week Bukoto-Kisasi'!K104</f>
        <v>0</v>
      </c>
      <c r="L104" s="49">
        <f>'Avg Week Kisasi-Bukoto'!L104+'Avg Week Bukoto-Kisasi'!L104</f>
        <v>0</v>
      </c>
      <c r="M104" s="49">
        <f>'Avg Week Kisasi-Bukoto'!M104+'Avg Week Bukoto-Kisasi'!M104</f>
        <v>14</v>
      </c>
      <c r="N104" s="49">
        <f>'Avg Week Kisasi-Bukoto'!N104+'Avg Week Bukoto-Kisasi'!N104</f>
        <v>0</v>
      </c>
      <c r="O104" s="15">
        <f t="shared" si="35"/>
        <v>245</v>
      </c>
      <c r="P104" s="15">
        <f t="shared" si="36"/>
        <v>259</v>
      </c>
      <c r="R104" s="8"/>
      <c r="T104"/>
    </row>
    <row r="105" spans="2:20" ht="23.1" customHeight="1" x14ac:dyDescent="0.25">
      <c r="B105" s="23" t="s">
        <v>145</v>
      </c>
      <c r="C105" s="49">
        <f>'Avg Week Kisasi-Bukoto'!C105+'Avg Week Bukoto-Kisasi'!C105</f>
        <v>148</v>
      </c>
      <c r="D105" s="49">
        <f>'Avg Week Kisasi-Bukoto'!D105+'Avg Week Bukoto-Kisasi'!D105</f>
        <v>114</v>
      </c>
      <c r="E105" s="49">
        <f>'Avg Week Kisasi-Bukoto'!E105+'Avg Week Bukoto-Kisasi'!E105</f>
        <v>0</v>
      </c>
      <c r="F105" s="49">
        <f>'Avg Week Kisasi-Bukoto'!F105+'Avg Week Bukoto-Kisasi'!F105</f>
        <v>23</v>
      </c>
      <c r="G105" s="49">
        <f>'Avg Week Kisasi-Bukoto'!G105+'Avg Week Bukoto-Kisasi'!G105</f>
        <v>0</v>
      </c>
      <c r="H105" s="49">
        <f>'Avg Week Kisasi-Bukoto'!H105+'Avg Week Bukoto-Kisasi'!H105</f>
        <v>0</v>
      </c>
      <c r="I105" s="49">
        <f>'Avg Week Kisasi-Bukoto'!I105+'Avg Week Bukoto-Kisasi'!I105</f>
        <v>0</v>
      </c>
      <c r="J105" s="49">
        <f>'Avg Week Kisasi-Bukoto'!J105+'Avg Week Bukoto-Kisasi'!J105</f>
        <v>0</v>
      </c>
      <c r="K105" s="49">
        <f>'Avg Week Kisasi-Bukoto'!K105+'Avg Week Bukoto-Kisasi'!K105</f>
        <v>0</v>
      </c>
      <c r="L105" s="49">
        <f>'Avg Week Kisasi-Bukoto'!L105+'Avg Week Bukoto-Kisasi'!L105</f>
        <v>0</v>
      </c>
      <c r="M105" s="49">
        <f>'Avg Week Kisasi-Bukoto'!M105+'Avg Week Bukoto-Kisasi'!M105</f>
        <v>19</v>
      </c>
      <c r="N105" s="49">
        <f>'Avg Week Kisasi-Bukoto'!N105+'Avg Week Bukoto-Kisasi'!N105</f>
        <v>0</v>
      </c>
      <c r="O105" s="15">
        <f t="shared" si="35"/>
        <v>285</v>
      </c>
      <c r="P105" s="15">
        <f t="shared" si="36"/>
        <v>304</v>
      </c>
      <c r="R105" s="8"/>
      <c r="T105"/>
    </row>
    <row r="106" spans="2:20" ht="23.1" customHeight="1" x14ac:dyDescent="0.25">
      <c r="B106" s="26" t="s">
        <v>18</v>
      </c>
      <c r="C106" s="16">
        <f t="shared" ref="C106:P106" si="37">SUM(C10:C57)</f>
        <v>3812.7142857142844</v>
      </c>
      <c r="D106" s="16">
        <f t="shared" si="37"/>
        <v>2148.0000000000005</v>
      </c>
      <c r="E106" s="16">
        <f t="shared" si="37"/>
        <v>425.4285714285715</v>
      </c>
      <c r="F106" s="16">
        <f t="shared" si="37"/>
        <v>898.85714285714278</v>
      </c>
      <c r="G106" s="16">
        <f t="shared" si="37"/>
        <v>9.2857142857142847</v>
      </c>
      <c r="H106" s="16">
        <f t="shared" si="37"/>
        <v>1.8571428571428568</v>
      </c>
      <c r="I106" s="16">
        <f t="shared" si="37"/>
        <v>202.14285714285714</v>
      </c>
      <c r="J106" s="16">
        <f t="shared" si="37"/>
        <v>35.428571428571416</v>
      </c>
      <c r="K106" s="16">
        <f t="shared" si="37"/>
        <v>15.857142857142861</v>
      </c>
      <c r="L106" s="16">
        <f t="shared" si="37"/>
        <v>0.5714285714285714</v>
      </c>
      <c r="M106" s="16">
        <f t="shared" si="37"/>
        <v>6190.1428571428596</v>
      </c>
      <c r="N106" s="16">
        <f t="shared" si="37"/>
        <v>0.14285714285714285</v>
      </c>
      <c r="O106" s="16">
        <f t="shared" si="37"/>
        <v>7550.2857142857147</v>
      </c>
      <c r="P106" s="16">
        <f t="shared" si="37"/>
        <v>13740.428571428572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0.27748146761901782</v>
      </c>
      <c r="D107" s="43">
        <f t="shared" si="38"/>
        <v>0.15632700165309879</v>
      </c>
      <c r="E107" s="43">
        <f t="shared" si="38"/>
        <v>3.0961812378486844E-2</v>
      </c>
      <c r="F107" s="43">
        <f t="shared" si="38"/>
        <v>6.5416965576037336E-2</v>
      </c>
      <c r="G107" s="43">
        <f t="shared" si="38"/>
        <v>6.7579509892600549E-4</v>
      </c>
      <c r="H107" s="43">
        <f t="shared" si="38"/>
        <v>1.3515901978520108E-4</v>
      </c>
      <c r="I107" s="43">
        <f t="shared" si="38"/>
        <v>1.4711539461235351E-2</v>
      </c>
      <c r="J107" s="43">
        <f t="shared" si="38"/>
        <v>2.5784182235946049E-3</v>
      </c>
      <c r="K107" s="43">
        <f t="shared" si="38"/>
        <v>1.1540500920121021E-3</v>
      </c>
      <c r="L107" s="43">
        <f t="shared" si="38"/>
        <v>4.1587390703138801E-5</v>
      </c>
      <c r="M107" s="43">
        <f t="shared" si="38"/>
        <v>0.45050580663942708</v>
      </c>
      <c r="N107" s="43">
        <f t="shared" si="38"/>
        <v>1.03968476757847E-5</v>
      </c>
      <c r="R107" s="8"/>
      <c r="T107"/>
    </row>
    <row r="108" spans="2:20" ht="23.1" customHeight="1" x14ac:dyDescent="0.25">
      <c r="B108" s="42" t="s">
        <v>94</v>
      </c>
      <c r="C108" s="44">
        <f t="shared" ref="C108:L108" si="39">C106/$O$106</f>
        <v>0.50497615984257904</v>
      </c>
      <c r="D108" s="44">
        <f t="shared" si="39"/>
        <v>0.28449254522061612</v>
      </c>
      <c r="E108" s="44">
        <f t="shared" si="39"/>
        <v>5.6346022856277912E-2</v>
      </c>
      <c r="F108" s="44">
        <f t="shared" si="39"/>
        <v>0.11904942102474833</v>
      </c>
      <c r="G108" s="44">
        <f t="shared" si="39"/>
        <v>1.2298493907515323E-3</v>
      </c>
      <c r="H108" s="44">
        <f t="shared" si="39"/>
        <v>2.4596987815030645E-4</v>
      </c>
      <c r="I108" s="44">
        <f t="shared" si="39"/>
        <v>2.6772875198667976E-2</v>
      </c>
      <c r="J108" s="44">
        <f t="shared" si="39"/>
        <v>4.6923484447135375E-3</v>
      </c>
      <c r="K108" s="44">
        <f t="shared" si="39"/>
        <v>2.1002043442064637E-3</v>
      </c>
      <c r="L108" s="44">
        <f t="shared" si="39"/>
        <v>7.5683039430863536E-5</v>
      </c>
      <c r="M108" s="44"/>
      <c r="N108" s="44">
        <f>N106/$O$106</f>
        <v>1.8920759857715884E-5</v>
      </c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  <c r="R111" s="8"/>
      <c r="T111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Q113" s="7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20" s="7" customFormat="1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/>
      <c r="P129"/>
      <c r="Q129"/>
      <c r="S129" s="8"/>
      <c r="T129" s="8"/>
    </row>
    <row r="130" spans="2:20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20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20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20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20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20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20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20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20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20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20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20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20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20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20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0.10000000000000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2.5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29.07 Kisasi-Bukoto</vt:lpstr>
      <vt:lpstr>29.07 Bukoto-Kisasi</vt:lpstr>
      <vt:lpstr>30.07 Kisasi-Bukoto</vt:lpstr>
      <vt:lpstr>30.07 Bukoto-Kisasi</vt:lpstr>
      <vt:lpstr>31.07 Kisasi-Bukoto</vt:lpstr>
      <vt:lpstr>31.07 Bukoto-Kisasi</vt:lpstr>
      <vt:lpstr>01.08 Kisasi-Bukoto</vt:lpstr>
      <vt:lpstr>01.08 Bukoto-Kisasi</vt:lpstr>
      <vt:lpstr>02.08 Kisasi-Bukoto</vt:lpstr>
      <vt:lpstr>02.08 Bukoto-Kisasi</vt:lpstr>
      <vt:lpstr>03.08 Kisasi-Bukoto</vt:lpstr>
      <vt:lpstr>03.08 Bukoto-Kisasi</vt:lpstr>
      <vt:lpstr>04.08 Kisasi-Bukoto</vt:lpstr>
      <vt:lpstr>04.08 Bukoto-Kisasi</vt:lpstr>
      <vt:lpstr>Avg Week Kisasi-Bukoto</vt:lpstr>
      <vt:lpstr>Avg Week Bukoto-Kisasi</vt:lpstr>
      <vt:lpstr>Avg Week Kisasi-Bukoto-2Dir</vt:lpstr>
      <vt:lpstr>'01.08 Bukoto-Kisasi'!Print_Area</vt:lpstr>
      <vt:lpstr>'01.08 Kisasi-Bukoto'!Print_Area</vt:lpstr>
      <vt:lpstr>'02.08 Bukoto-Kisasi'!Print_Area</vt:lpstr>
      <vt:lpstr>'02.08 Kisasi-Bukoto'!Print_Area</vt:lpstr>
      <vt:lpstr>'03.08 Bukoto-Kisasi'!Print_Area</vt:lpstr>
      <vt:lpstr>'03.08 Kisasi-Bukoto'!Print_Area</vt:lpstr>
      <vt:lpstr>'04.08 Bukoto-Kisasi'!Print_Area</vt:lpstr>
      <vt:lpstr>'04.08 Kisasi-Bukoto'!Print_Area</vt:lpstr>
      <vt:lpstr>'29.07 Bukoto-Kisasi'!Print_Area</vt:lpstr>
      <vt:lpstr>'29.07 Kisasi-Bukoto'!Print_Area</vt:lpstr>
      <vt:lpstr>'30.07 Bukoto-Kisasi'!Print_Area</vt:lpstr>
      <vt:lpstr>'30.07 Kisasi-Bukoto'!Print_Area</vt:lpstr>
      <vt:lpstr>'31.07 Bukoto-Kisasi'!Print_Area</vt:lpstr>
      <vt:lpstr>'31.07 Kisasi-Bukoto'!Print_Area</vt:lpstr>
      <vt:lpstr>'Avg Week Bukoto-Kisasi'!Print_Area</vt:lpstr>
      <vt:lpstr>'Avg Week Kisasi-Bukoto'!Print_Area</vt:lpstr>
      <vt:lpstr>'Avg Week Kisasi-Bukoto-2Dir'!Print_Area</vt:lpstr>
      <vt:lpstr>'01.08 Bukoto-Kisasi'!Print_Titles</vt:lpstr>
      <vt:lpstr>'01.08 Kisasi-Bukoto'!Print_Titles</vt:lpstr>
      <vt:lpstr>'02.08 Bukoto-Kisasi'!Print_Titles</vt:lpstr>
      <vt:lpstr>'02.08 Kisasi-Bukoto'!Print_Titles</vt:lpstr>
      <vt:lpstr>'03.08 Bukoto-Kisasi'!Print_Titles</vt:lpstr>
      <vt:lpstr>'03.08 Kisasi-Bukoto'!Print_Titles</vt:lpstr>
      <vt:lpstr>'04.08 Bukoto-Kisasi'!Print_Titles</vt:lpstr>
      <vt:lpstr>'04.08 Kisasi-Bukoto'!Print_Titles</vt:lpstr>
      <vt:lpstr>'29.07 Bukoto-Kisasi'!Print_Titles</vt:lpstr>
      <vt:lpstr>'29.07 Kisasi-Bukoto'!Print_Titles</vt:lpstr>
      <vt:lpstr>'30.07 Bukoto-Kisasi'!Print_Titles</vt:lpstr>
      <vt:lpstr>'30.07 Kisasi-Bukoto'!Print_Titles</vt:lpstr>
      <vt:lpstr>'31.07 Bukoto-Kisasi'!Print_Titles</vt:lpstr>
      <vt:lpstr>'31.07 Kisasi-Bukoto'!Print_Titles</vt:lpstr>
      <vt:lpstr>'Avg Week Bukoto-Kisasi'!Print_Titles</vt:lpstr>
      <vt:lpstr>'Avg Week Kisasi-Bukoto'!Print_Titles</vt:lpstr>
      <vt:lpstr>'Avg Week Kisasi-Bukoto-2Dir'!Print_Titles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ALLAN</cp:lastModifiedBy>
  <cp:lastPrinted>2019-07-25T18:18:41Z</cp:lastPrinted>
  <dcterms:created xsi:type="dcterms:W3CDTF">2010-07-06T07:39:49Z</dcterms:created>
  <dcterms:modified xsi:type="dcterms:W3CDTF">2020-01-15T17:37:43Z</dcterms:modified>
</cp:coreProperties>
</file>