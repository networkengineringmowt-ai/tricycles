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12-MITYANA ROAD\MCC DATA\"/>
    </mc:Choice>
  </mc:AlternateContent>
  <bookViews>
    <workbookView xWindow="-120" yWindow="-120" windowWidth="20730" windowHeight="11160" firstSheet="14" activeTab="16"/>
  </bookViews>
  <sheets>
    <sheet name="22.07 Busega-Bulenga" sheetId="93" r:id="rId1"/>
    <sheet name="22.07 Bulenga-Busega" sheetId="94" r:id="rId2"/>
    <sheet name="23.07 Busega-Bulenga" sheetId="95" r:id="rId3"/>
    <sheet name="23.07 Bulenga-Busega" sheetId="96" r:id="rId4"/>
    <sheet name="24.07 Busega-Bulenga" sheetId="97" r:id="rId5"/>
    <sheet name="24.07 Bulenga-Busega" sheetId="98" r:id="rId6"/>
    <sheet name="25.07 Busega-Bulenga" sheetId="99" r:id="rId7"/>
    <sheet name="25.07 Bulenga-Busega" sheetId="100" r:id="rId8"/>
    <sheet name="26.07 Busega-Bulenga-24h" sheetId="101" r:id="rId9"/>
    <sheet name="26.07 Bulenga-Busega-24h" sheetId="109" r:id="rId10"/>
    <sheet name="27.07 Busega-Bulenga-24h" sheetId="105" r:id="rId11"/>
    <sheet name="27.07 Bulenga-Busega-24h" sheetId="110" r:id="rId12"/>
    <sheet name="28.07 Busega-Bulenga" sheetId="103" r:id="rId13"/>
    <sheet name="28.07 Bulenga-Busega" sheetId="104" r:id="rId14"/>
    <sheet name="Avg Week Busega-Bulenga" sheetId="107" r:id="rId15"/>
    <sheet name="Avg Week Bulenga-Busega" sheetId="108" r:id="rId16"/>
    <sheet name="Avg Week Busega-Bulenga-2Dir" sheetId="111" r:id="rId17"/>
  </sheets>
  <definedNames>
    <definedName name="_xlnm.Print_Area" localSheetId="1">'22.07 Bulenga-Busega'!$A$1:$AF$60</definedName>
    <definedName name="_xlnm.Print_Area" localSheetId="0">'22.07 Busega-Bulenga'!$A$1:$AF$60</definedName>
    <definedName name="_xlnm.Print_Area" localSheetId="3">'23.07 Bulenga-Busega'!$A$1:$AF$60</definedName>
    <definedName name="_xlnm.Print_Area" localSheetId="2">'23.07 Busega-Bulenga'!$A$1:$AF$60</definedName>
    <definedName name="_xlnm.Print_Area" localSheetId="5">'24.07 Bulenga-Busega'!$A$1:$AF$60</definedName>
    <definedName name="_xlnm.Print_Area" localSheetId="4">'24.07 Busega-Bulenga'!$A$1:$AF$60</definedName>
    <definedName name="_xlnm.Print_Area" localSheetId="7">'25.07 Bulenga-Busega'!$A$1:$AF$60</definedName>
    <definedName name="_xlnm.Print_Area" localSheetId="6">'25.07 Busega-Bulenga'!$A$1:$AF$57</definedName>
    <definedName name="_xlnm.Print_Area" localSheetId="9">'26.07 Bulenga-Busega-24h'!$A$1:$AF$108</definedName>
    <definedName name="_xlnm.Print_Area" localSheetId="8">'26.07 Busega-Bulenga-24h'!$A$1:$AF$108</definedName>
    <definedName name="_xlnm.Print_Area" localSheetId="11">'27.07 Bulenga-Busega-24h'!$A$1:$AF$108</definedName>
    <definedName name="_xlnm.Print_Area" localSheetId="10">'27.07 Busega-Bulenga-24h'!$A$1:$AF$108</definedName>
    <definedName name="_xlnm.Print_Area" localSheetId="13">'28.07 Bulenga-Busega'!$A$1:$AF$60</definedName>
    <definedName name="_xlnm.Print_Area" localSheetId="12">'28.07 Busega-Bulenga'!$A$1:$AF$60</definedName>
    <definedName name="_xlnm.Print_Area" localSheetId="15">'Avg Week Bulenga-Busega'!$A$1:$AF$108</definedName>
    <definedName name="_xlnm.Print_Area" localSheetId="14">'Avg Week Busega-Bulenga'!$A$1:$AF$108</definedName>
    <definedName name="_xlnm.Print_Area" localSheetId="16">'Avg Week Busega-Bulenga-2Dir'!$A$1:$AF$108</definedName>
    <definedName name="_xlnm.Print_Titles" localSheetId="1">'22.07 Bulenga-Busega'!$1:$8</definedName>
    <definedName name="_xlnm.Print_Titles" localSheetId="0">'22.07 Busega-Bulenga'!$1:$8</definedName>
    <definedName name="_xlnm.Print_Titles" localSheetId="3">'23.07 Bulenga-Busega'!$1:$8</definedName>
    <definedName name="_xlnm.Print_Titles" localSheetId="2">'23.07 Busega-Bulenga'!$1:$8</definedName>
    <definedName name="_xlnm.Print_Titles" localSheetId="5">'24.07 Bulenga-Busega'!$1:$8</definedName>
    <definedName name="_xlnm.Print_Titles" localSheetId="4">'24.07 Busega-Bulenga'!$1:$8</definedName>
    <definedName name="_xlnm.Print_Titles" localSheetId="7">'25.07 Bulenga-Busega'!$1:$8</definedName>
    <definedName name="_xlnm.Print_Titles" localSheetId="6">'25.07 Busega-Bulenga'!$1:$8</definedName>
    <definedName name="_xlnm.Print_Titles" localSheetId="9">'26.07 Bulenga-Busega-24h'!$1:$8</definedName>
    <definedName name="_xlnm.Print_Titles" localSheetId="8">'26.07 Busega-Bulenga-24h'!$1:$8</definedName>
    <definedName name="_xlnm.Print_Titles" localSheetId="11">'27.07 Bulenga-Busega-24h'!$1:$8</definedName>
    <definedName name="_xlnm.Print_Titles" localSheetId="10">'27.07 Busega-Bulenga-24h'!$1:$8</definedName>
    <definedName name="_xlnm.Print_Titles" localSheetId="13">'28.07 Bulenga-Busega'!$1:$8</definedName>
    <definedName name="_xlnm.Print_Titles" localSheetId="12">'28.07 Busega-Bulenga'!$1:$8</definedName>
    <definedName name="_xlnm.Print_Titles" localSheetId="15">'Avg Week Bulenga-Busega'!$1:$8</definedName>
    <definedName name="_xlnm.Print_Titles" localSheetId="14">'Avg Week Busega-Bulenga'!$1:$8</definedName>
    <definedName name="_xlnm.Print_Titles" localSheetId="16">'Avg Week Busega-Bulenga-2Dir'!$1:$8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26" i="107" l="1"/>
  <c r="V29" i="108"/>
  <c r="S29" i="108"/>
  <c r="H62" i="111"/>
  <c r="M63" i="111"/>
  <c r="G67" i="111"/>
  <c r="M67" i="111"/>
  <c r="E71" i="111"/>
  <c r="G71" i="111"/>
  <c r="D73" i="111"/>
  <c r="I76" i="111"/>
  <c r="L81" i="111"/>
  <c r="D85" i="111"/>
  <c r="M85" i="111"/>
  <c r="H88" i="111"/>
  <c r="F90" i="111"/>
  <c r="H90" i="111"/>
  <c r="F92" i="111"/>
  <c r="L96" i="111"/>
  <c r="N96" i="111"/>
  <c r="F98" i="111"/>
  <c r="F100" i="111"/>
  <c r="F104" i="111"/>
  <c r="J105" i="111"/>
  <c r="C59" i="108"/>
  <c r="P59" i="108" s="1"/>
  <c r="D59" i="108"/>
  <c r="E59" i="108"/>
  <c r="F59" i="108"/>
  <c r="G59" i="108"/>
  <c r="H59" i="108"/>
  <c r="I59" i="108"/>
  <c r="J59" i="108"/>
  <c r="K59" i="108"/>
  <c r="L59" i="108"/>
  <c r="M59" i="108"/>
  <c r="N59" i="108"/>
  <c r="C60" i="108"/>
  <c r="D60" i="108"/>
  <c r="E60" i="108"/>
  <c r="F60" i="108"/>
  <c r="G60" i="108"/>
  <c r="P60" i="108" s="1"/>
  <c r="H60" i="108"/>
  <c r="I60" i="108"/>
  <c r="J60" i="108"/>
  <c r="K60" i="108"/>
  <c r="L60" i="108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G62" i="108"/>
  <c r="H62" i="108"/>
  <c r="I62" i="108"/>
  <c r="J62" i="108"/>
  <c r="K62" i="108"/>
  <c r="AA23" i="108" s="1"/>
  <c r="L62" i="108"/>
  <c r="M62" i="108"/>
  <c r="N62" i="108"/>
  <c r="AD23" i="108" s="1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D64" i="108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D66" i="108"/>
  <c r="E66" i="108"/>
  <c r="F66" i="108"/>
  <c r="G66" i="108"/>
  <c r="W24" i="108" s="1"/>
  <c r="H66" i="108"/>
  <c r="I66" i="108"/>
  <c r="J66" i="108"/>
  <c r="K66" i="108"/>
  <c r="L66" i="108"/>
  <c r="M66" i="108"/>
  <c r="AC24" i="108" s="1"/>
  <c r="N66" i="108"/>
  <c r="C67" i="108"/>
  <c r="O67" i="108" s="1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D68" i="108"/>
  <c r="E68" i="108"/>
  <c r="P68" i="108" s="1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D74" i="108"/>
  <c r="E74" i="108"/>
  <c r="F74" i="108"/>
  <c r="G74" i="108"/>
  <c r="H74" i="108"/>
  <c r="I74" i="108"/>
  <c r="J74" i="108"/>
  <c r="K74" i="108"/>
  <c r="L74" i="108"/>
  <c r="M74" i="108"/>
  <c r="N74" i="108"/>
  <c r="C75" i="108"/>
  <c r="P75" i="108" s="1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F76" i="108"/>
  <c r="G76" i="108"/>
  <c r="H76" i="108"/>
  <c r="I76" i="108"/>
  <c r="J76" i="108"/>
  <c r="K76" i="108"/>
  <c r="L76" i="108"/>
  <c r="M76" i="108"/>
  <c r="N76" i="108"/>
  <c r="C77" i="108"/>
  <c r="D77" i="108"/>
  <c r="E77" i="108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F78" i="108"/>
  <c r="G78" i="108"/>
  <c r="H78" i="108"/>
  <c r="I78" i="108"/>
  <c r="J78" i="108"/>
  <c r="K78" i="108"/>
  <c r="L78" i="108"/>
  <c r="M78" i="108"/>
  <c r="AC27" i="108" s="1"/>
  <c r="N78" i="108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O81" i="108" s="1"/>
  <c r="J81" i="108"/>
  <c r="K81" i="108"/>
  <c r="L81" i="108"/>
  <c r="M81" i="108"/>
  <c r="N81" i="108"/>
  <c r="C82" i="108"/>
  <c r="D82" i="108"/>
  <c r="E82" i="108"/>
  <c r="F82" i="108"/>
  <c r="G82" i="108"/>
  <c r="H82" i="108"/>
  <c r="I82" i="108"/>
  <c r="J82" i="108"/>
  <c r="K82" i="108"/>
  <c r="L82" i="108"/>
  <c r="M82" i="108"/>
  <c r="N82" i="108"/>
  <c r="C83" i="108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F86" i="108"/>
  <c r="G86" i="108"/>
  <c r="H86" i="108"/>
  <c r="I86" i="108"/>
  <c r="J86" i="108"/>
  <c r="K86" i="108"/>
  <c r="L86" i="108"/>
  <c r="M86" i="108"/>
  <c r="N86" i="108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D88" i="108"/>
  <c r="E88" i="108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P90" i="108" s="1"/>
  <c r="D90" i="108"/>
  <c r="E90" i="108"/>
  <c r="F90" i="108"/>
  <c r="G90" i="108"/>
  <c r="H90" i="108"/>
  <c r="I90" i="108"/>
  <c r="J90" i="108"/>
  <c r="K90" i="108"/>
  <c r="L90" i="108"/>
  <c r="M90" i="108"/>
  <c r="N90" i="108"/>
  <c r="C91" i="108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D92" i="108"/>
  <c r="E92" i="108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F93" i="108"/>
  <c r="G93" i="108"/>
  <c r="H93" i="108"/>
  <c r="I93" i="108"/>
  <c r="J93" i="108"/>
  <c r="K93" i="108"/>
  <c r="L93" i="108"/>
  <c r="M93" i="108"/>
  <c r="N93" i="108"/>
  <c r="C94" i="108"/>
  <c r="D94" i="108"/>
  <c r="E94" i="108"/>
  <c r="F94" i="108"/>
  <c r="G94" i="108"/>
  <c r="H94" i="108"/>
  <c r="I94" i="108"/>
  <c r="J94" i="108"/>
  <c r="K94" i="108"/>
  <c r="L94" i="108"/>
  <c r="M94" i="108"/>
  <c r="N94" i="108"/>
  <c r="C95" i="108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O98" i="108" s="1"/>
  <c r="D98" i="108"/>
  <c r="E98" i="108"/>
  <c r="F98" i="108"/>
  <c r="G98" i="108"/>
  <c r="H98" i="108"/>
  <c r="I98" i="108"/>
  <c r="J98" i="108"/>
  <c r="K98" i="108"/>
  <c r="L98" i="108"/>
  <c r="M98" i="108"/>
  <c r="N98" i="108"/>
  <c r="C99" i="108"/>
  <c r="D99" i="108"/>
  <c r="E99" i="108"/>
  <c r="F99" i="108"/>
  <c r="G99" i="108"/>
  <c r="H99" i="108"/>
  <c r="I99" i="108"/>
  <c r="O99" i="108" s="1"/>
  <c r="J99" i="108"/>
  <c r="K99" i="108"/>
  <c r="L99" i="108"/>
  <c r="M99" i="108"/>
  <c r="N99" i="108"/>
  <c r="C100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D58" i="108"/>
  <c r="T22" i="108" s="1"/>
  <c r="E58" i="108"/>
  <c r="U22" i="108" s="1"/>
  <c r="F58" i="108"/>
  <c r="G58" i="108"/>
  <c r="H58" i="108"/>
  <c r="X22" i="108" s="1"/>
  <c r="I58" i="108"/>
  <c r="Y22" i="108" s="1"/>
  <c r="J58" i="108"/>
  <c r="Z22" i="108" s="1"/>
  <c r="K58" i="108"/>
  <c r="L58" i="108"/>
  <c r="AB22" i="108" s="1"/>
  <c r="M58" i="108"/>
  <c r="AC22" i="108" s="1"/>
  <c r="N58" i="108"/>
  <c r="AD22" i="108" s="1"/>
  <c r="C58" i="108"/>
  <c r="C59" i="107"/>
  <c r="C59" i="111" s="1"/>
  <c r="D59" i="107"/>
  <c r="D59" i="111" s="1"/>
  <c r="E59" i="107"/>
  <c r="E59" i="111" s="1"/>
  <c r="F59" i="107"/>
  <c r="F59" i="111" s="1"/>
  <c r="G59" i="107"/>
  <c r="G59" i="111" s="1"/>
  <c r="H59" i="107"/>
  <c r="H59" i="111" s="1"/>
  <c r="I59" i="107"/>
  <c r="I59" i="111" s="1"/>
  <c r="J59" i="107"/>
  <c r="J59" i="111" s="1"/>
  <c r="K59" i="107"/>
  <c r="K59" i="111" s="1"/>
  <c r="L59" i="107"/>
  <c r="L59" i="111" s="1"/>
  <c r="M59" i="107"/>
  <c r="M59" i="111" s="1"/>
  <c r="N59" i="107"/>
  <c r="N59" i="111" s="1"/>
  <c r="C60" i="107"/>
  <c r="C60" i="111" s="1"/>
  <c r="D60" i="107"/>
  <c r="D60" i="111" s="1"/>
  <c r="E60" i="107"/>
  <c r="E60" i="111" s="1"/>
  <c r="F60" i="107"/>
  <c r="F60" i="111" s="1"/>
  <c r="G60" i="107"/>
  <c r="G60" i="111" s="1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C61" i="107"/>
  <c r="D61" i="107"/>
  <c r="D61" i="111" s="1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J61" i="111" s="1"/>
  <c r="K61" i="107"/>
  <c r="K61" i="111" s="1"/>
  <c r="L61" i="107"/>
  <c r="L61" i="111" s="1"/>
  <c r="M61" i="107"/>
  <c r="M61" i="111" s="1"/>
  <c r="N61" i="107"/>
  <c r="N61" i="111" s="1"/>
  <c r="C62" i="107"/>
  <c r="C62" i="111" s="1"/>
  <c r="D62" i="107"/>
  <c r="E62" i="107"/>
  <c r="F62" i="107"/>
  <c r="G62" i="107"/>
  <c r="H62" i="107"/>
  <c r="I62" i="107"/>
  <c r="I62" i="111" s="1"/>
  <c r="J62" i="107"/>
  <c r="K62" i="107"/>
  <c r="L62" i="107"/>
  <c r="M62" i="107"/>
  <c r="N62" i="107"/>
  <c r="C63" i="107"/>
  <c r="D63" i="107"/>
  <c r="D63" i="111" s="1"/>
  <c r="E63" i="107"/>
  <c r="E63" i="111" s="1"/>
  <c r="F63" i="107"/>
  <c r="F63" i="111" s="1"/>
  <c r="G63" i="107"/>
  <c r="G63" i="111" s="1"/>
  <c r="H63" i="107"/>
  <c r="H63" i="111" s="1"/>
  <c r="I63" i="107"/>
  <c r="I63" i="111" s="1"/>
  <c r="J63" i="107"/>
  <c r="J63" i="111" s="1"/>
  <c r="K63" i="107"/>
  <c r="K63" i="111" s="1"/>
  <c r="L63" i="107"/>
  <c r="L63" i="111" s="1"/>
  <c r="M63" i="107"/>
  <c r="N63" i="107"/>
  <c r="N63" i="111" s="1"/>
  <c r="C64" i="107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N64" i="111" s="1"/>
  <c r="C65" i="107"/>
  <c r="D65" i="107"/>
  <c r="D65" i="111" s="1"/>
  <c r="E65" i="107"/>
  <c r="E65" i="111" s="1"/>
  <c r="F65" i="107"/>
  <c r="F65" i="111" s="1"/>
  <c r="G65" i="107"/>
  <c r="G65" i="111" s="1"/>
  <c r="H65" i="107"/>
  <c r="H65" i="111" s="1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N65" i="111" s="1"/>
  <c r="C66" i="107"/>
  <c r="C66" i="111" s="1"/>
  <c r="D66" i="107"/>
  <c r="E66" i="107"/>
  <c r="F66" i="107"/>
  <c r="G66" i="107"/>
  <c r="H66" i="107"/>
  <c r="I66" i="107"/>
  <c r="J66" i="107"/>
  <c r="K66" i="107"/>
  <c r="L66" i="107"/>
  <c r="M66" i="107"/>
  <c r="N66" i="107"/>
  <c r="C67" i="107"/>
  <c r="C67" i="111" s="1"/>
  <c r="D67" i="107"/>
  <c r="D67" i="111" s="1"/>
  <c r="E67" i="107"/>
  <c r="E67" i="111" s="1"/>
  <c r="F67" i="107"/>
  <c r="F67" i="111" s="1"/>
  <c r="G67" i="107"/>
  <c r="H67" i="107"/>
  <c r="H67" i="111" s="1"/>
  <c r="I67" i="107"/>
  <c r="I67" i="111" s="1"/>
  <c r="J67" i="107"/>
  <c r="J67" i="111" s="1"/>
  <c r="K67" i="107"/>
  <c r="K67" i="111" s="1"/>
  <c r="L67" i="107"/>
  <c r="L67" i="111" s="1"/>
  <c r="M67" i="107"/>
  <c r="N67" i="107"/>
  <c r="N67" i="111" s="1"/>
  <c r="C68" i="107"/>
  <c r="C68" i="111" s="1"/>
  <c r="D68" i="107"/>
  <c r="D68" i="111" s="1"/>
  <c r="E68" i="107"/>
  <c r="F68" i="107"/>
  <c r="F68" i="111" s="1"/>
  <c r="G68" i="107"/>
  <c r="G68" i="111" s="1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C69" i="107"/>
  <c r="D69" i="107"/>
  <c r="D69" i="111" s="1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M69" i="111" s="1"/>
  <c r="N69" i="107"/>
  <c r="N69" i="111" s="1"/>
  <c r="C70" i="107"/>
  <c r="D70" i="107"/>
  <c r="E70" i="107"/>
  <c r="F70" i="107"/>
  <c r="G70" i="107"/>
  <c r="H70" i="107"/>
  <c r="I70" i="107"/>
  <c r="J70" i="107"/>
  <c r="K70" i="107"/>
  <c r="L70" i="107"/>
  <c r="L70" i="111" s="1"/>
  <c r="M70" i="107"/>
  <c r="N70" i="107"/>
  <c r="C71" i="107"/>
  <c r="D71" i="107"/>
  <c r="D71" i="111" s="1"/>
  <c r="E71" i="107"/>
  <c r="F71" i="107"/>
  <c r="F71" i="111" s="1"/>
  <c r="G71" i="107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C72" i="107"/>
  <c r="D72" i="107"/>
  <c r="D72" i="111" s="1"/>
  <c r="E72" i="107"/>
  <c r="E72" i="111" s="1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N72" i="111" s="1"/>
  <c r="C73" i="107"/>
  <c r="D73" i="107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N73" i="111" s="1"/>
  <c r="C74" i="107"/>
  <c r="D74" i="107"/>
  <c r="E74" i="107"/>
  <c r="F74" i="107"/>
  <c r="F74" i="111" s="1"/>
  <c r="G74" i="107"/>
  <c r="H74" i="107"/>
  <c r="H74" i="111" s="1"/>
  <c r="I74" i="107"/>
  <c r="J74" i="107"/>
  <c r="K74" i="107"/>
  <c r="L74" i="107"/>
  <c r="M74" i="107"/>
  <c r="N74" i="107"/>
  <c r="C75" i="107"/>
  <c r="C75" i="111" s="1"/>
  <c r="D75" i="107"/>
  <c r="D75" i="111" s="1"/>
  <c r="E75" i="107"/>
  <c r="E75" i="111" s="1"/>
  <c r="F75" i="107"/>
  <c r="F75" i="111" s="1"/>
  <c r="G75" i="107"/>
  <c r="G75" i="111" s="1"/>
  <c r="H75" i="107"/>
  <c r="H75" i="111" s="1"/>
  <c r="I75" i="107"/>
  <c r="J75" i="107"/>
  <c r="J75" i="111" s="1"/>
  <c r="K75" i="107"/>
  <c r="K75" i="111" s="1"/>
  <c r="L75" i="107"/>
  <c r="L75" i="111" s="1"/>
  <c r="M75" i="107"/>
  <c r="M75" i="111" s="1"/>
  <c r="N75" i="107"/>
  <c r="N75" i="111" s="1"/>
  <c r="C76" i="107"/>
  <c r="C76" i="111" s="1"/>
  <c r="D76" i="107"/>
  <c r="D76" i="111" s="1"/>
  <c r="E76" i="107"/>
  <c r="E76" i="111" s="1"/>
  <c r="F76" i="107"/>
  <c r="F76" i="111" s="1"/>
  <c r="G76" i="107"/>
  <c r="G76" i="111" s="1"/>
  <c r="H76" i="107"/>
  <c r="H76" i="111" s="1"/>
  <c r="I76" i="107"/>
  <c r="J76" i="107"/>
  <c r="J76" i="111" s="1"/>
  <c r="K76" i="107"/>
  <c r="K76" i="111" s="1"/>
  <c r="L76" i="107"/>
  <c r="L76" i="111" s="1"/>
  <c r="M76" i="107"/>
  <c r="M76" i="111" s="1"/>
  <c r="N76" i="107"/>
  <c r="N76" i="111" s="1"/>
  <c r="C77" i="107"/>
  <c r="D77" i="107"/>
  <c r="D77" i="111" s="1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M77" i="111" s="1"/>
  <c r="N77" i="107"/>
  <c r="N77" i="111" s="1"/>
  <c r="C78" i="107"/>
  <c r="C78" i="111" s="1"/>
  <c r="D78" i="107"/>
  <c r="E78" i="107"/>
  <c r="F78" i="107"/>
  <c r="G78" i="107"/>
  <c r="H78" i="107"/>
  <c r="I78" i="107"/>
  <c r="J78" i="107"/>
  <c r="K78" i="107"/>
  <c r="L78" i="107"/>
  <c r="M78" i="107"/>
  <c r="N78" i="107"/>
  <c r="C79" i="107"/>
  <c r="D79" i="107"/>
  <c r="D79" i="111" s="1"/>
  <c r="E79" i="107"/>
  <c r="E79" i="111" s="1"/>
  <c r="F79" i="107"/>
  <c r="F79" i="111" s="1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C80" i="107"/>
  <c r="D80" i="107"/>
  <c r="D80" i="111" s="1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N80" i="111" s="1"/>
  <c r="C81" i="107"/>
  <c r="D81" i="107"/>
  <c r="D81" i="111" s="1"/>
  <c r="E81" i="107"/>
  <c r="E81" i="111" s="1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M81" i="107"/>
  <c r="M81" i="111" s="1"/>
  <c r="N81" i="107"/>
  <c r="N81" i="111" s="1"/>
  <c r="C82" i="107"/>
  <c r="C82" i="111" s="1"/>
  <c r="D82" i="107"/>
  <c r="E82" i="107"/>
  <c r="F82" i="107"/>
  <c r="G82" i="107"/>
  <c r="H82" i="107"/>
  <c r="I82" i="107"/>
  <c r="J82" i="107"/>
  <c r="K82" i="107"/>
  <c r="L82" i="107"/>
  <c r="M82" i="107"/>
  <c r="N82" i="107"/>
  <c r="C83" i="107"/>
  <c r="C83" i="111" s="1"/>
  <c r="D83" i="107"/>
  <c r="D83" i="111" s="1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J83" i="111" s="1"/>
  <c r="K83" i="107"/>
  <c r="K83" i="111" s="1"/>
  <c r="L83" i="107"/>
  <c r="L83" i="111" s="1"/>
  <c r="M83" i="107"/>
  <c r="M83" i="111" s="1"/>
  <c r="N83" i="107"/>
  <c r="N83" i="111" s="1"/>
  <c r="C84" i="107"/>
  <c r="C84" i="111" s="1"/>
  <c r="D84" i="107"/>
  <c r="D84" i="111" s="1"/>
  <c r="E84" i="107"/>
  <c r="E84" i="111" s="1"/>
  <c r="F84" i="107"/>
  <c r="F84" i="111" s="1"/>
  <c r="G84" i="107"/>
  <c r="G84" i="111" s="1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M84" i="111" s="1"/>
  <c r="N84" i="107"/>
  <c r="N84" i="111" s="1"/>
  <c r="C85" i="107"/>
  <c r="D85" i="107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N85" i="107"/>
  <c r="N85" i="111" s="1"/>
  <c r="C86" i="107"/>
  <c r="D86" i="107"/>
  <c r="E86" i="107"/>
  <c r="F86" i="107"/>
  <c r="G86" i="107"/>
  <c r="H86" i="107"/>
  <c r="I86" i="107"/>
  <c r="J86" i="107"/>
  <c r="K86" i="107"/>
  <c r="L86" i="107"/>
  <c r="M86" i="107"/>
  <c r="N86" i="107"/>
  <c r="C87" i="107"/>
  <c r="D87" i="107"/>
  <c r="D87" i="111" s="1"/>
  <c r="E87" i="107"/>
  <c r="E87" i="111" s="1"/>
  <c r="F87" i="107"/>
  <c r="F87" i="111" s="1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C88" i="107"/>
  <c r="D88" i="107"/>
  <c r="E88" i="107"/>
  <c r="E88" i="111" s="1"/>
  <c r="F88" i="107"/>
  <c r="F88" i="111" s="1"/>
  <c r="G88" i="107"/>
  <c r="G88" i="111" s="1"/>
  <c r="H88" i="107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N88" i="111" s="1"/>
  <c r="C89" i="107"/>
  <c r="D89" i="107"/>
  <c r="D89" i="111" s="1"/>
  <c r="E89" i="107"/>
  <c r="E89" i="111" s="1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C90" i="107"/>
  <c r="D90" i="107"/>
  <c r="E90" i="107"/>
  <c r="F90" i="107"/>
  <c r="G90" i="107"/>
  <c r="H90" i="107"/>
  <c r="I90" i="107"/>
  <c r="J90" i="107"/>
  <c r="K90" i="107"/>
  <c r="L90" i="107"/>
  <c r="M90" i="107"/>
  <c r="N90" i="107"/>
  <c r="C91" i="107"/>
  <c r="C91" i="111" s="1"/>
  <c r="D91" i="107"/>
  <c r="D91" i="111" s="1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J91" i="111" s="1"/>
  <c r="K91" i="107"/>
  <c r="K91" i="111" s="1"/>
  <c r="L91" i="107"/>
  <c r="L91" i="111" s="1"/>
  <c r="M91" i="107"/>
  <c r="M91" i="111" s="1"/>
  <c r="N91" i="107"/>
  <c r="N91" i="111" s="1"/>
  <c r="C92" i="107"/>
  <c r="C92" i="111" s="1"/>
  <c r="D92" i="107"/>
  <c r="D92" i="111" s="1"/>
  <c r="E92" i="107"/>
  <c r="E92" i="111" s="1"/>
  <c r="F92" i="107"/>
  <c r="G92" i="107"/>
  <c r="G92" i="111" s="1"/>
  <c r="H92" i="107"/>
  <c r="H92" i="111" s="1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N92" i="111" s="1"/>
  <c r="C93" i="107"/>
  <c r="D93" i="107"/>
  <c r="D93" i="111" s="1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N93" i="111" s="1"/>
  <c r="C94" i="107"/>
  <c r="C94" i="111" s="1"/>
  <c r="D94" i="107"/>
  <c r="D94" i="111" s="1"/>
  <c r="E94" i="107"/>
  <c r="F94" i="107"/>
  <c r="G94" i="107"/>
  <c r="H94" i="107"/>
  <c r="I94" i="107"/>
  <c r="J94" i="107"/>
  <c r="K94" i="107"/>
  <c r="K94" i="111" s="1"/>
  <c r="AA31" i="111" s="1"/>
  <c r="L94" i="107"/>
  <c r="M94" i="107"/>
  <c r="N94" i="107"/>
  <c r="C95" i="107"/>
  <c r="D95" i="107"/>
  <c r="D95" i="111" s="1"/>
  <c r="E95" i="107"/>
  <c r="E95" i="111" s="1"/>
  <c r="F95" i="107"/>
  <c r="F95" i="111" s="1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C96" i="107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K96" i="111" s="1"/>
  <c r="L96" i="107"/>
  <c r="M96" i="107"/>
  <c r="M96" i="111" s="1"/>
  <c r="N96" i="107"/>
  <c r="C97" i="107"/>
  <c r="D97" i="107"/>
  <c r="D97" i="111" s="1"/>
  <c r="E97" i="107"/>
  <c r="E97" i="111" s="1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C98" i="107"/>
  <c r="D98" i="107"/>
  <c r="D98" i="111" s="1"/>
  <c r="E98" i="107"/>
  <c r="F98" i="107"/>
  <c r="G98" i="107"/>
  <c r="H98" i="107"/>
  <c r="I98" i="107"/>
  <c r="J98" i="107"/>
  <c r="K98" i="107"/>
  <c r="L98" i="107"/>
  <c r="L98" i="111" s="1"/>
  <c r="AB32" i="111" s="1"/>
  <c r="M98" i="107"/>
  <c r="N98" i="107"/>
  <c r="C99" i="107"/>
  <c r="D99" i="107"/>
  <c r="D99" i="111" s="1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M99" i="111" s="1"/>
  <c r="N99" i="107"/>
  <c r="N99" i="111" s="1"/>
  <c r="C100" i="107"/>
  <c r="C100" i="111" s="1"/>
  <c r="D100" i="107"/>
  <c r="D100" i="111" s="1"/>
  <c r="E100" i="107"/>
  <c r="E100" i="111" s="1"/>
  <c r="F100" i="107"/>
  <c r="G100" i="107"/>
  <c r="G100" i="111" s="1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M100" i="111" s="1"/>
  <c r="N100" i="107"/>
  <c r="N100" i="111" s="1"/>
  <c r="C101" i="107"/>
  <c r="D101" i="107"/>
  <c r="D101" i="111" s="1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C102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C103" i="107"/>
  <c r="D103" i="107"/>
  <c r="D103" i="111" s="1"/>
  <c r="E103" i="107"/>
  <c r="E103" i="111" s="1"/>
  <c r="F103" i="107"/>
  <c r="F103" i="111" s="1"/>
  <c r="G103" i="107"/>
  <c r="G103" i="111" s="1"/>
  <c r="H103" i="107"/>
  <c r="H103" i="111" s="1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C104" i="107"/>
  <c r="D104" i="107"/>
  <c r="D104" i="111" s="1"/>
  <c r="E104" i="107"/>
  <c r="E104" i="111" s="1"/>
  <c r="F104" i="107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N104" i="111" s="1"/>
  <c r="C105" i="107"/>
  <c r="D105" i="107"/>
  <c r="D105" i="111" s="1"/>
  <c r="E105" i="107"/>
  <c r="E105" i="111" s="1"/>
  <c r="F105" i="107"/>
  <c r="F105" i="111" s="1"/>
  <c r="G105" i="107"/>
  <c r="G105" i="111" s="1"/>
  <c r="H105" i="107"/>
  <c r="H105" i="111" s="1"/>
  <c r="I105" i="107"/>
  <c r="I105" i="111" s="1"/>
  <c r="J105" i="107"/>
  <c r="K105" i="107"/>
  <c r="K105" i="111" s="1"/>
  <c r="L105" i="107"/>
  <c r="L105" i="111" s="1"/>
  <c r="M105" i="107"/>
  <c r="M105" i="111" s="1"/>
  <c r="N105" i="107"/>
  <c r="N105" i="111" s="1"/>
  <c r="D58" i="107"/>
  <c r="E58" i="107"/>
  <c r="F58" i="107"/>
  <c r="G58" i="107"/>
  <c r="H58" i="107"/>
  <c r="I58" i="107"/>
  <c r="J58" i="107"/>
  <c r="K58" i="107"/>
  <c r="L58" i="107"/>
  <c r="M58" i="107"/>
  <c r="N58" i="107"/>
  <c r="C58" i="107"/>
  <c r="C57" i="107"/>
  <c r="AC33" i="107" l="1"/>
  <c r="M102" i="111"/>
  <c r="AC33" i="111" s="1"/>
  <c r="U32" i="107"/>
  <c r="P98" i="107"/>
  <c r="E98" i="111"/>
  <c r="U32" i="111" s="1"/>
  <c r="U30" i="107"/>
  <c r="E90" i="111"/>
  <c r="U30" i="111" s="1"/>
  <c r="U26" i="107"/>
  <c r="E74" i="111"/>
  <c r="U26" i="111" s="1"/>
  <c r="O98" i="107"/>
  <c r="P74" i="107"/>
  <c r="X22" i="107"/>
  <c r="H58" i="111"/>
  <c r="X22" i="111" s="1"/>
  <c r="P105" i="107"/>
  <c r="O105" i="107"/>
  <c r="C105" i="111"/>
  <c r="P101" i="107"/>
  <c r="O101" i="107"/>
  <c r="C101" i="111"/>
  <c r="AD22" i="107"/>
  <c r="N58" i="111"/>
  <c r="AD22" i="111" s="1"/>
  <c r="AC32" i="107"/>
  <c r="M98" i="111"/>
  <c r="AC32" i="111" s="1"/>
  <c r="U31" i="107"/>
  <c r="E94" i="111"/>
  <c r="U31" i="111" s="1"/>
  <c r="E86" i="111"/>
  <c r="U29" i="111" s="1"/>
  <c r="U29" i="107"/>
  <c r="AC28" i="107"/>
  <c r="M82" i="111"/>
  <c r="AC28" i="111" s="1"/>
  <c r="U27" i="107"/>
  <c r="E78" i="111"/>
  <c r="U27" i="111" s="1"/>
  <c r="I75" i="111"/>
  <c r="P75" i="111" s="1"/>
  <c r="P75" i="107"/>
  <c r="M62" i="111"/>
  <c r="AC23" i="111" s="1"/>
  <c r="AC23" i="107"/>
  <c r="E62" i="111"/>
  <c r="U23" i="111" s="1"/>
  <c r="U23" i="107"/>
  <c r="V22" i="108"/>
  <c r="O58" i="108"/>
  <c r="AC33" i="108"/>
  <c r="U33" i="108"/>
  <c r="AC32" i="108"/>
  <c r="U32" i="108"/>
  <c r="AC31" i="108"/>
  <c r="U31" i="108"/>
  <c r="AC30" i="108"/>
  <c r="U30" i="108"/>
  <c r="AC29" i="108"/>
  <c r="U29" i="108"/>
  <c r="P84" i="108"/>
  <c r="AC28" i="108"/>
  <c r="U28" i="108"/>
  <c r="O82" i="108"/>
  <c r="AC31" i="107"/>
  <c r="M94" i="111"/>
  <c r="AC31" i="111" s="1"/>
  <c r="AC29" i="107"/>
  <c r="M86" i="111"/>
  <c r="AC29" i="111" s="1"/>
  <c r="M70" i="111"/>
  <c r="AC25" i="111" s="1"/>
  <c r="AC25" i="107"/>
  <c r="AC24" i="107"/>
  <c r="M66" i="111"/>
  <c r="AC24" i="111" s="1"/>
  <c r="T32" i="111"/>
  <c r="O92" i="111"/>
  <c r="P92" i="111"/>
  <c r="Y23" i="111"/>
  <c r="U28" i="107"/>
  <c r="E82" i="111"/>
  <c r="U28" i="111" s="1"/>
  <c r="M78" i="111"/>
  <c r="AC27" i="111" s="1"/>
  <c r="AC27" i="107"/>
  <c r="E68" i="111"/>
  <c r="O68" i="107"/>
  <c r="V22" i="107"/>
  <c r="F58" i="111"/>
  <c r="V22" i="111" s="1"/>
  <c r="U33" i="107"/>
  <c r="E102" i="111"/>
  <c r="U33" i="111" s="1"/>
  <c r="AC30" i="107"/>
  <c r="M90" i="111"/>
  <c r="AC30" i="111" s="1"/>
  <c r="AC26" i="107"/>
  <c r="M74" i="111"/>
  <c r="AC26" i="111" s="1"/>
  <c r="U25" i="107"/>
  <c r="E70" i="111"/>
  <c r="U25" i="111" s="1"/>
  <c r="U24" i="107"/>
  <c r="E66" i="111"/>
  <c r="U24" i="111" s="1"/>
  <c r="P90" i="107"/>
  <c r="O84" i="111"/>
  <c r="P103" i="107"/>
  <c r="O103" i="107"/>
  <c r="C103" i="111"/>
  <c r="W33" i="107"/>
  <c r="G102" i="111"/>
  <c r="W33" i="111" s="1"/>
  <c r="C99" i="111"/>
  <c r="O99" i="107"/>
  <c r="P99" i="107"/>
  <c r="W32" i="107"/>
  <c r="G98" i="111"/>
  <c r="W32" i="111" s="1"/>
  <c r="P97" i="107"/>
  <c r="O97" i="107"/>
  <c r="C97" i="111"/>
  <c r="P95" i="107"/>
  <c r="O95" i="107"/>
  <c r="C95" i="111"/>
  <c r="W31" i="107"/>
  <c r="G94" i="111"/>
  <c r="W31" i="111" s="1"/>
  <c r="P93" i="107"/>
  <c r="O93" i="107"/>
  <c r="C93" i="111"/>
  <c r="P99" i="108"/>
  <c r="O91" i="108"/>
  <c r="P83" i="108"/>
  <c r="P91" i="111"/>
  <c r="O91" i="111"/>
  <c r="W30" i="107"/>
  <c r="C89" i="111"/>
  <c r="P89" i="107"/>
  <c r="O89" i="107"/>
  <c r="P87" i="107"/>
  <c r="O87" i="107"/>
  <c r="C87" i="111"/>
  <c r="W29" i="107"/>
  <c r="G86" i="111"/>
  <c r="W29" i="111" s="1"/>
  <c r="P85" i="107"/>
  <c r="O85" i="107"/>
  <c r="P83" i="111"/>
  <c r="O83" i="111"/>
  <c r="W28" i="107"/>
  <c r="G82" i="111"/>
  <c r="W28" i="111" s="1"/>
  <c r="C81" i="111"/>
  <c r="P81" i="107"/>
  <c r="O81" i="107"/>
  <c r="C79" i="111"/>
  <c r="P79" i="107"/>
  <c r="O79" i="107"/>
  <c r="W27" i="107"/>
  <c r="G78" i="111"/>
  <c r="W27" i="111" s="1"/>
  <c r="C77" i="111"/>
  <c r="P77" i="107"/>
  <c r="O77" i="107"/>
  <c r="W26" i="107"/>
  <c r="G74" i="111"/>
  <c r="W26" i="111" s="1"/>
  <c r="C73" i="111"/>
  <c r="P73" i="107"/>
  <c r="O73" i="107"/>
  <c r="C71" i="111"/>
  <c r="P71" i="107"/>
  <c r="O71" i="107"/>
  <c r="W25" i="107"/>
  <c r="G70" i="111"/>
  <c r="W25" i="111" s="1"/>
  <c r="C69" i="111"/>
  <c r="P69" i="107"/>
  <c r="O69" i="107"/>
  <c r="P67" i="111"/>
  <c r="O67" i="111"/>
  <c r="W24" i="107"/>
  <c r="G66" i="111"/>
  <c r="W24" i="111" s="1"/>
  <c r="C65" i="111"/>
  <c r="P65" i="107"/>
  <c r="O65" i="107"/>
  <c r="C63" i="111"/>
  <c r="S23" i="111" s="1"/>
  <c r="P63" i="107"/>
  <c r="O63" i="107"/>
  <c r="W23" i="107"/>
  <c r="G62" i="111"/>
  <c r="W23" i="111" s="1"/>
  <c r="C61" i="111"/>
  <c r="P61" i="107"/>
  <c r="O61" i="107"/>
  <c r="P59" i="111"/>
  <c r="O59" i="111"/>
  <c r="P105" i="108"/>
  <c r="P103" i="108"/>
  <c r="O103" i="108"/>
  <c r="W33" i="108"/>
  <c r="P101" i="108"/>
  <c r="O101" i="108"/>
  <c r="W32" i="108"/>
  <c r="P97" i="108"/>
  <c r="P95" i="108"/>
  <c r="O95" i="108"/>
  <c r="W31" i="108"/>
  <c r="P93" i="108"/>
  <c r="O93" i="108"/>
  <c r="W30" i="108"/>
  <c r="P89" i="108"/>
  <c r="P87" i="108"/>
  <c r="O87" i="108"/>
  <c r="W29" i="108"/>
  <c r="P85" i="108"/>
  <c r="O85" i="108"/>
  <c r="W28" i="108"/>
  <c r="P81" i="108"/>
  <c r="P79" i="108"/>
  <c r="O79" i="108"/>
  <c r="W27" i="108"/>
  <c r="P77" i="108"/>
  <c r="O77" i="108"/>
  <c r="W26" i="108"/>
  <c r="P73" i="108"/>
  <c r="P71" i="108"/>
  <c r="O71" i="108"/>
  <c r="W25" i="108"/>
  <c r="P69" i="108"/>
  <c r="O69" i="108"/>
  <c r="P65" i="108"/>
  <c r="P63" i="108"/>
  <c r="AF30" i="108" s="1"/>
  <c r="O63" i="108"/>
  <c r="W23" i="108"/>
  <c r="P61" i="108"/>
  <c r="O61" i="108"/>
  <c r="O83" i="108"/>
  <c r="O65" i="108"/>
  <c r="P91" i="108"/>
  <c r="O75" i="107"/>
  <c r="P100" i="107"/>
  <c r="P82" i="107"/>
  <c r="P59" i="107"/>
  <c r="X30" i="111"/>
  <c r="S22" i="107"/>
  <c r="W22" i="107"/>
  <c r="AD33" i="107"/>
  <c r="V33" i="107"/>
  <c r="AD32" i="107"/>
  <c r="V32" i="107"/>
  <c r="AD31" i="107"/>
  <c r="V31" i="107"/>
  <c r="F94" i="111"/>
  <c r="V31" i="111" s="1"/>
  <c r="AD30" i="107"/>
  <c r="N90" i="111"/>
  <c r="AD30" i="111" s="1"/>
  <c r="V30" i="107"/>
  <c r="AD29" i="107"/>
  <c r="V29" i="107"/>
  <c r="F86" i="111"/>
  <c r="V29" i="111" s="1"/>
  <c r="AD28" i="107"/>
  <c r="N82" i="111"/>
  <c r="AD28" i="111" s="1"/>
  <c r="F82" i="111"/>
  <c r="V28" i="111" s="1"/>
  <c r="V28" i="107"/>
  <c r="AD27" i="107"/>
  <c r="N78" i="111"/>
  <c r="AD27" i="111" s="1"/>
  <c r="V27" i="107"/>
  <c r="F78" i="111"/>
  <c r="V27" i="111" s="1"/>
  <c r="AD26" i="107"/>
  <c r="N74" i="111"/>
  <c r="AD26" i="111" s="1"/>
  <c r="V26" i="111"/>
  <c r="AD25" i="107"/>
  <c r="N70" i="111"/>
  <c r="AD25" i="111" s="1"/>
  <c r="V25" i="107"/>
  <c r="F70" i="111"/>
  <c r="V25" i="111" s="1"/>
  <c r="N66" i="111"/>
  <c r="AD24" i="111" s="1"/>
  <c r="AD24" i="107"/>
  <c r="F66" i="111"/>
  <c r="V24" i="111" s="1"/>
  <c r="V24" i="107"/>
  <c r="AD23" i="107"/>
  <c r="N62" i="111"/>
  <c r="AD23" i="111" s="1"/>
  <c r="V23" i="107"/>
  <c r="F62" i="111"/>
  <c r="V23" i="111" s="1"/>
  <c r="S22" i="108"/>
  <c r="W22" i="108"/>
  <c r="AD33" i="108"/>
  <c r="V33" i="108"/>
  <c r="AD32" i="108"/>
  <c r="V32" i="108"/>
  <c r="AD31" i="108"/>
  <c r="V31" i="108"/>
  <c r="AD30" i="108"/>
  <c r="V30" i="108"/>
  <c r="AD29" i="108"/>
  <c r="AD28" i="108"/>
  <c r="V28" i="108"/>
  <c r="AD27" i="108"/>
  <c r="V27" i="108"/>
  <c r="AD26" i="108"/>
  <c r="V26" i="108"/>
  <c r="AD25" i="108"/>
  <c r="V25" i="108"/>
  <c r="AD24" i="108"/>
  <c r="V24" i="108"/>
  <c r="V23" i="108"/>
  <c r="O105" i="108"/>
  <c r="O59" i="108"/>
  <c r="AE26" i="108" s="1"/>
  <c r="P67" i="108"/>
  <c r="O92" i="107"/>
  <c r="O74" i="107"/>
  <c r="P76" i="107"/>
  <c r="P58" i="107"/>
  <c r="F102" i="111"/>
  <c r="V33" i="111" s="1"/>
  <c r="N94" i="111"/>
  <c r="AD31" i="111" s="1"/>
  <c r="G90" i="111"/>
  <c r="W30" i="111" s="1"/>
  <c r="X26" i="107"/>
  <c r="T24" i="107"/>
  <c r="D66" i="111"/>
  <c r="T24" i="111" s="1"/>
  <c r="AB32" i="108"/>
  <c r="AB30" i="108"/>
  <c r="AB27" i="108"/>
  <c r="AB25" i="108"/>
  <c r="AB24" i="108"/>
  <c r="T24" i="108"/>
  <c r="AB23" i="108"/>
  <c r="T23" i="108"/>
  <c r="O75" i="108"/>
  <c r="O90" i="107"/>
  <c r="O67" i="107"/>
  <c r="P92" i="107"/>
  <c r="C85" i="111"/>
  <c r="T31" i="107"/>
  <c r="T22" i="107"/>
  <c r="D58" i="111"/>
  <c r="T22" i="111" s="1"/>
  <c r="C104" i="111"/>
  <c r="P104" i="107"/>
  <c r="O104" i="107"/>
  <c r="S28" i="107"/>
  <c r="P80" i="107"/>
  <c r="O80" i="107"/>
  <c r="S27" i="107"/>
  <c r="P78" i="107"/>
  <c r="O78" i="107"/>
  <c r="O76" i="111"/>
  <c r="P76" i="111"/>
  <c r="AA26" i="107"/>
  <c r="S26" i="107"/>
  <c r="C74" i="111"/>
  <c r="C72" i="111"/>
  <c r="P72" i="107"/>
  <c r="O72" i="107"/>
  <c r="AA25" i="107"/>
  <c r="K70" i="111"/>
  <c r="AA25" i="111" s="1"/>
  <c r="S25" i="107"/>
  <c r="C70" i="111"/>
  <c r="P70" i="107"/>
  <c r="O70" i="107"/>
  <c r="P68" i="111"/>
  <c r="O68" i="111"/>
  <c r="AA24" i="107"/>
  <c r="K66" i="111"/>
  <c r="AA24" i="111" s="1"/>
  <c r="S24" i="107"/>
  <c r="P64" i="107"/>
  <c r="AF31" i="107" s="1"/>
  <c r="O64" i="107"/>
  <c r="AA23" i="107"/>
  <c r="K62" i="111"/>
  <c r="AA23" i="111" s="1"/>
  <c r="S23" i="107"/>
  <c r="P62" i="107"/>
  <c r="O62" i="107"/>
  <c r="AE29" i="107" s="1"/>
  <c r="O60" i="111"/>
  <c r="P60" i="111"/>
  <c r="P104" i="108"/>
  <c r="O104" i="108"/>
  <c r="AA33" i="108"/>
  <c r="O102" i="108"/>
  <c r="P102" i="108"/>
  <c r="O100" i="108"/>
  <c r="AA32" i="108"/>
  <c r="S32" i="108"/>
  <c r="P96" i="108"/>
  <c r="O96" i="108"/>
  <c r="AA31" i="108"/>
  <c r="S31" i="108"/>
  <c r="O94" i="108"/>
  <c r="P94" i="108"/>
  <c r="O92" i="108"/>
  <c r="AA30" i="108"/>
  <c r="S30" i="108"/>
  <c r="P88" i="108"/>
  <c r="O88" i="108"/>
  <c r="AA29" i="108"/>
  <c r="O86" i="108"/>
  <c r="P86" i="108"/>
  <c r="O84" i="108"/>
  <c r="AA28" i="108"/>
  <c r="S28" i="108"/>
  <c r="P80" i="108"/>
  <c r="O80" i="108"/>
  <c r="AA27" i="108"/>
  <c r="S27" i="108"/>
  <c r="O78" i="108"/>
  <c r="P78" i="108"/>
  <c r="O76" i="108"/>
  <c r="AA26" i="108"/>
  <c r="S26" i="108"/>
  <c r="P72" i="108"/>
  <c r="O72" i="108"/>
  <c r="AA25" i="108"/>
  <c r="S25" i="108"/>
  <c r="O70" i="108"/>
  <c r="P70" i="108"/>
  <c r="O68" i="108"/>
  <c r="AA24" i="108"/>
  <c r="S24" i="108"/>
  <c r="P64" i="108"/>
  <c r="O64" i="108"/>
  <c r="AE31" i="108" s="1"/>
  <c r="P62" i="108"/>
  <c r="AF29" i="108" s="1"/>
  <c r="O60" i="108"/>
  <c r="O97" i="108"/>
  <c r="O74" i="108"/>
  <c r="P100" i="108"/>
  <c r="P82" i="108"/>
  <c r="O84" i="107"/>
  <c r="O66" i="107"/>
  <c r="P91" i="107"/>
  <c r="P68" i="107"/>
  <c r="C58" i="111"/>
  <c r="N86" i="111"/>
  <c r="AD29" i="111" s="1"/>
  <c r="C80" i="111"/>
  <c r="S33" i="108"/>
  <c r="AC26" i="108"/>
  <c r="U25" i="108"/>
  <c r="U22" i="107"/>
  <c r="E58" i="111"/>
  <c r="U22" i="111" s="1"/>
  <c r="AB32" i="107"/>
  <c r="L94" i="111"/>
  <c r="AB31" i="111" s="1"/>
  <c r="AB31" i="107"/>
  <c r="AB30" i="107"/>
  <c r="L90" i="111"/>
  <c r="AB30" i="111" s="1"/>
  <c r="L86" i="111"/>
  <c r="AB29" i="111" s="1"/>
  <c r="AB29" i="107"/>
  <c r="T29" i="107"/>
  <c r="D86" i="111"/>
  <c r="T29" i="111" s="1"/>
  <c r="AB28" i="107"/>
  <c r="L82" i="111"/>
  <c r="AB28" i="111" s="1"/>
  <c r="D78" i="111"/>
  <c r="T27" i="111" s="1"/>
  <c r="T27" i="107"/>
  <c r="D70" i="111"/>
  <c r="T25" i="111" s="1"/>
  <c r="T25" i="107"/>
  <c r="AB33" i="108"/>
  <c r="AB31" i="108"/>
  <c r="T29" i="108"/>
  <c r="T28" i="108"/>
  <c r="S33" i="107"/>
  <c r="C102" i="111"/>
  <c r="P102" i="107"/>
  <c r="O102" i="107"/>
  <c r="S32" i="107"/>
  <c r="C98" i="111"/>
  <c r="AA31" i="107"/>
  <c r="AA30" i="107"/>
  <c r="K90" i="111"/>
  <c r="AA30" i="111" s="1"/>
  <c r="P88" i="107"/>
  <c r="O88" i="107"/>
  <c r="C88" i="111"/>
  <c r="AA29" i="107"/>
  <c r="S29" i="107"/>
  <c r="P86" i="107"/>
  <c r="O86" i="107"/>
  <c r="P84" i="111"/>
  <c r="AA28" i="107"/>
  <c r="K82" i="111"/>
  <c r="AA28" i="111" s="1"/>
  <c r="AA22" i="107"/>
  <c r="K58" i="111"/>
  <c r="AA22" i="111" s="1"/>
  <c r="J94" i="111"/>
  <c r="Z31" i="111" s="1"/>
  <c r="Z31" i="107"/>
  <c r="Z30" i="107"/>
  <c r="J90" i="111"/>
  <c r="Z30" i="111" s="1"/>
  <c r="Z29" i="107"/>
  <c r="J86" i="111"/>
  <c r="Z29" i="111" s="1"/>
  <c r="Z28" i="107"/>
  <c r="J82" i="111"/>
  <c r="Z28" i="111" s="1"/>
  <c r="J78" i="111"/>
  <c r="Z27" i="111" s="1"/>
  <c r="Z27" i="107"/>
  <c r="Z26" i="107"/>
  <c r="J74" i="111"/>
  <c r="Z26" i="111" s="1"/>
  <c r="Z25" i="107"/>
  <c r="J70" i="111"/>
  <c r="Z25" i="111" s="1"/>
  <c r="Z24" i="107"/>
  <c r="J66" i="111"/>
  <c r="Z24" i="111" s="1"/>
  <c r="Z23" i="107"/>
  <c r="J62" i="111"/>
  <c r="Z23" i="111" s="1"/>
  <c r="AA22" i="108"/>
  <c r="Z33" i="108"/>
  <c r="Z32" i="108"/>
  <c r="Z31" i="108"/>
  <c r="Z30" i="108"/>
  <c r="Z29" i="108"/>
  <c r="Z28" i="108"/>
  <c r="Z27" i="108"/>
  <c r="Z26" i="108"/>
  <c r="Z25" i="108"/>
  <c r="Z24" i="108"/>
  <c r="Z23" i="108"/>
  <c r="O73" i="108"/>
  <c r="P76" i="108"/>
  <c r="P58" i="108"/>
  <c r="AF25" i="108" s="1"/>
  <c r="O83" i="107"/>
  <c r="O60" i="107"/>
  <c r="P67" i="107"/>
  <c r="K74" i="111"/>
  <c r="AA26" i="111" s="1"/>
  <c r="U27" i="108"/>
  <c r="U26" i="108"/>
  <c r="AC25" i="108"/>
  <c r="U24" i="108"/>
  <c r="AC23" i="108"/>
  <c r="P66" i="108"/>
  <c r="AF33" i="108" s="1"/>
  <c r="O91" i="107"/>
  <c r="V32" i="111"/>
  <c r="V30" i="111"/>
  <c r="X23" i="111"/>
  <c r="T30" i="107"/>
  <c r="D90" i="111"/>
  <c r="T30" i="111" s="1"/>
  <c r="D88" i="111"/>
  <c r="L78" i="111"/>
  <c r="AB27" i="111" s="1"/>
  <c r="AB27" i="107"/>
  <c r="AB26" i="107"/>
  <c r="L74" i="111"/>
  <c r="AB26" i="111" s="1"/>
  <c r="T26" i="107"/>
  <c r="D74" i="111"/>
  <c r="T26" i="111" s="1"/>
  <c r="AB25" i="111"/>
  <c r="AB24" i="107"/>
  <c r="L66" i="111"/>
  <c r="AB24" i="111" s="1"/>
  <c r="AB23" i="107"/>
  <c r="L62" i="111"/>
  <c r="AB23" i="111" s="1"/>
  <c r="D62" i="111"/>
  <c r="T23" i="111" s="1"/>
  <c r="T23" i="107"/>
  <c r="T33" i="108"/>
  <c r="T32" i="108"/>
  <c r="T31" i="108"/>
  <c r="T30" i="108"/>
  <c r="AB29" i="108"/>
  <c r="AB28" i="108"/>
  <c r="T27" i="108"/>
  <c r="AB26" i="108"/>
  <c r="T26" i="108"/>
  <c r="T25" i="108"/>
  <c r="AB22" i="107"/>
  <c r="L58" i="111"/>
  <c r="AB22" i="111" s="1"/>
  <c r="AA33" i="107"/>
  <c r="K102" i="111"/>
  <c r="AA33" i="111" s="1"/>
  <c r="P100" i="111"/>
  <c r="O100" i="111"/>
  <c r="AA32" i="107"/>
  <c r="K98" i="111"/>
  <c r="AA32" i="111" s="1"/>
  <c r="P96" i="107"/>
  <c r="O96" i="107"/>
  <c r="C96" i="111"/>
  <c r="S31" i="107"/>
  <c r="P94" i="107"/>
  <c r="O94" i="107"/>
  <c r="S30" i="107"/>
  <c r="C90" i="111"/>
  <c r="AA27" i="107"/>
  <c r="K78" i="111"/>
  <c r="AA27" i="111" s="1"/>
  <c r="J102" i="111"/>
  <c r="Z33" i="111" s="1"/>
  <c r="Z33" i="107"/>
  <c r="Z32" i="107"/>
  <c r="J98" i="111"/>
  <c r="Z32" i="111" s="1"/>
  <c r="Z22" i="107"/>
  <c r="J58" i="111"/>
  <c r="Z22" i="111" s="1"/>
  <c r="Y33" i="107"/>
  <c r="I102" i="111"/>
  <c r="Y33" i="111" s="1"/>
  <c r="Y32" i="107"/>
  <c r="I98" i="111"/>
  <c r="Y32" i="111" s="1"/>
  <c r="Y31" i="107"/>
  <c r="I94" i="111"/>
  <c r="Y31" i="111" s="1"/>
  <c r="Y30" i="107"/>
  <c r="I90" i="111"/>
  <c r="Y30" i="111" s="1"/>
  <c r="Y29" i="107"/>
  <c r="I86" i="111"/>
  <c r="Y29" i="111" s="1"/>
  <c r="Y28" i="107"/>
  <c r="I82" i="111"/>
  <c r="Y28" i="111" s="1"/>
  <c r="Y27" i="107"/>
  <c r="Y26" i="107"/>
  <c r="Y25" i="107"/>
  <c r="I70" i="111"/>
  <c r="Y25" i="111" s="1"/>
  <c r="Y24" i="107"/>
  <c r="I66" i="111"/>
  <c r="Y24" i="111" s="1"/>
  <c r="Y23" i="107"/>
  <c r="Y33" i="108"/>
  <c r="Y32" i="108"/>
  <c r="Y31" i="108"/>
  <c r="Y30" i="108"/>
  <c r="Y29" i="108"/>
  <c r="Y28" i="108"/>
  <c r="Y27" i="108"/>
  <c r="Y26" i="108"/>
  <c r="Y25" i="108"/>
  <c r="Y24" i="108"/>
  <c r="Y23" i="108"/>
  <c r="O90" i="108"/>
  <c r="P98" i="108"/>
  <c r="O100" i="107"/>
  <c r="O82" i="107"/>
  <c r="O59" i="107"/>
  <c r="P84" i="107"/>
  <c r="P66" i="107"/>
  <c r="N102" i="111"/>
  <c r="AD33" i="111" s="1"/>
  <c r="K86" i="111"/>
  <c r="AA29" i="111" s="1"/>
  <c r="I78" i="111"/>
  <c r="Y27" i="111" s="1"/>
  <c r="I74" i="111"/>
  <c r="AC22" i="107"/>
  <c r="M58" i="111"/>
  <c r="AC22" i="111" s="1"/>
  <c r="AB33" i="107"/>
  <c r="L102" i="111"/>
  <c r="AB33" i="111" s="1"/>
  <c r="T33" i="107"/>
  <c r="D102" i="111"/>
  <c r="T33" i="111" s="1"/>
  <c r="T32" i="107"/>
  <c r="T31" i="111"/>
  <c r="T28" i="107"/>
  <c r="D82" i="111"/>
  <c r="T28" i="111" s="1"/>
  <c r="Y22" i="107"/>
  <c r="I58" i="111"/>
  <c r="Y22" i="111" s="1"/>
  <c r="X33" i="107"/>
  <c r="H102" i="111"/>
  <c r="X33" i="111" s="1"/>
  <c r="X32" i="107"/>
  <c r="H98" i="111"/>
  <c r="X32" i="111" s="1"/>
  <c r="X31" i="107"/>
  <c r="H94" i="111"/>
  <c r="X31" i="111" s="1"/>
  <c r="X30" i="107"/>
  <c r="X29" i="107"/>
  <c r="H86" i="111"/>
  <c r="X29" i="111" s="1"/>
  <c r="X28" i="107"/>
  <c r="H82" i="111"/>
  <c r="X28" i="111" s="1"/>
  <c r="X27" i="107"/>
  <c r="X26" i="111"/>
  <c r="X25" i="107"/>
  <c r="H70" i="111"/>
  <c r="X25" i="111" s="1"/>
  <c r="H66" i="111"/>
  <c r="X24" i="111" s="1"/>
  <c r="X24" i="107"/>
  <c r="X23" i="107"/>
  <c r="X33" i="108"/>
  <c r="X32" i="108"/>
  <c r="X31" i="108"/>
  <c r="X30" i="108"/>
  <c r="X29" i="108"/>
  <c r="X28" i="108"/>
  <c r="X27" i="108"/>
  <c r="X26" i="108"/>
  <c r="X25" i="108"/>
  <c r="X24" i="108"/>
  <c r="X23" i="108"/>
  <c r="O89" i="108"/>
  <c r="O66" i="108"/>
  <c r="AE33" i="108" s="1"/>
  <c r="P92" i="108"/>
  <c r="P74" i="108"/>
  <c r="O76" i="107"/>
  <c r="O58" i="107"/>
  <c r="AE25" i="107" s="1"/>
  <c r="P83" i="107"/>
  <c r="P60" i="107"/>
  <c r="G58" i="111"/>
  <c r="W22" i="111" s="1"/>
  <c r="N98" i="111"/>
  <c r="AD32" i="111" s="1"/>
  <c r="C86" i="111"/>
  <c r="H78" i="111"/>
  <c r="X27" i="111" s="1"/>
  <c r="C64" i="111"/>
  <c r="AB25" i="107"/>
  <c r="U23" i="108"/>
  <c r="S23" i="108"/>
  <c r="O62" i="108"/>
  <c r="C58" i="104"/>
  <c r="N23" i="108"/>
  <c r="N24" i="108"/>
  <c r="N25" i="108"/>
  <c r="N26" i="108"/>
  <c r="N27" i="108"/>
  <c r="N28" i="108"/>
  <c r="N29" i="108"/>
  <c r="N30" i="108"/>
  <c r="N31" i="108"/>
  <c r="N32" i="108"/>
  <c r="N33" i="108"/>
  <c r="N34" i="108"/>
  <c r="N35" i="108"/>
  <c r="N36" i="108"/>
  <c r="N37" i="108"/>
  <c r="N38" i="108"/>
  <c r="N39" i="108"/>
  <c r="N40" i="108"/>
  <c r="N41" i="108"/>
  <c r="N42" i="108"/>
  <c r="N43" i="108"/>
  <c r="N44" i="108"/>
  <c r="N45" i="108"/>
  <c r="N46" i="108"/>
  <c r="N47" i="108"/>
  <c r="N48" i="108"/>
  <c r="N49" i="108"/>
  <c r="N50" i="108"/>
  <c r="N51" i="108"/>
  <c r="N52" i="108"/>
  <c r="N53" i="108"/>
  <c r="N54" i="108"/>
  <c r="N55" i="108"/>
  <c r="N56" i="108"/>
  <c r="N57" i="108"/>
  <c r="M23" i="108"/>
  <c r="M24" i="108"/>
  <c r="M25" i="108"/>
  <c r="M26" i="108"/>
  <c r="M27" i="108"/>
  <c r="M28" i="108"/>
  <c r="M29" i="108"/>
  <c r="M30" i="108"/>
  <c r="M31" i="108"/>
  <c r="M32" i="108"/>
  <c r="M33" i="108"/>
  <c r="M34" i="108"/>
  <c r="M35" i="108"/>
  <c r="M36" i="108"/>
  <c r="M37" i="108"/>
  <c r="M38" i="108"/>
  <c r="M39" i="108"/>
  <c r="M40" i="108"/>
  <c r="M41" i="108"/>
  <c r="M42" i="108"/>
  <c r="M43" i="108"/>
  <c r="M44" i="108"/>
  <c r="M45" i="108"/>
  <c r="M46" i="108"/>
  <c r="M47" i="108"/>
  <c r="M48" i="108"/>
  <c r="M49" i="108"/>
  <c r="M50" i="108"/>
  <c r="M51" i="108"/>
  <c r="M52" i="108"/>
  <c r="M53" i="108"/>
  <c r="M54" i="108"/>
  <c r="M55" i="108"/>
  <c r="M56" i="108"/>
  <c r="M57" i="108"/>
  <c r="L23" i="108"/>
  <c r="L24" i="108"/>
  <c r="L25" i="108"/>
  <c r="L26" i="108"/>
  <c r="L27" i="108"/>
  <c r="L28" i="108"/>
  <c r="L29" i="108"/>
  <c r="L30" i="108"/>
  <c r="L31" i="108"/>
  <c r="L32" i="108"/>
  <c r="L33" i="108"/>
  <c r="L34" i="108"/>
  <c r="L35" i="108"/>
  <c r="L36" i="108"/>
  <c r="L37" i="108"/>
  <c r="L38" i="108"/>
  <c r="L39" i="108"/>
  <c r="L40" i="108"/>
  <c r="L41" i="108"/>
  <c r="L42" i="108"/>
  <c r="L43" i="108"/>
  <c r="L44" i="108"/>
  <c r="L45" i="108"/>
  <c r="L46" i="108"/>
  <c r="L47" i="108"/>
  <c r="L48" i="108"/>
  <c r="L49" i="108"/>
  <c r="L50" i="108"/>
  <c r="L51" i="108"/>
  <c r="L52" i="108"/>
  <c r="L53" i="108"/>
  <c r="L54" i="108"/>
  <c r="L55" i="108"/>
  <c r="L56" i="108"/>
  <c r="L57" i="108"/>
  <c r="K23" i="108"/>
  <c r="K24" i="108"/>
  <c r="K25" i="108"/>
  <c r="K26" i="108"/>
  <c r="K27" i="108"/>
  <c r="K28" i="108"/>
  <c r="K29" i="108"/>
  <c r="K30" i="108"/>
  <c r="K31" i="108"/>
  <c r="K32" i="108"/>
  <c r="K33" i="108"/>
  <c r="K34" i="108"/>
  <c r="K35" i="108"/>
  <c r="K36" i="108"/>
  <c r="K37" i="108"/>
  <c r="K38" i="108"/>
  <c r="K39" i="108"/>
  <c r="K40" i="108"/>
  <c r="K41" i="108"/>
  <c r="K42" i="108"/>
  <c r="K43" i="108"/>
  <c r="K44" i="108"/>
  <c r="K45" i="108"/>
  <c r="K46" i="108"/>
  <c r="K47" i="108"/>
  <c r="K48" i="108"/>
  <c r="K49" i="108"/>
  <c r="K50" i="108"/>
  <c r="K51" i="108"/>
  <c r="K52" i="108"/>
  <c r="K53" i="108"/>
  <c r="K54" i="108"/>
  <c r="K55" i="108"/>
  <c r="K56" i="108"/>
  <c r="K57" i="108"/>
  <c r="J23" i="108"/>
  <c r="J24" i="108"/>
  <c r="J25" i="108"/>
  <c r="J26" i="108"/>
  <c r="J27" i="108"/>
  <c r="J28" i="108"/>
  <c r="J29" i="108"/>
  <c r="J30" i="108"/>
  <c r="J31" i="108"/>
  <c r="J32" i="108"/>
  <c r="J33" i="108"/>
  <c r="J34" i="108"/>
  <c r="J35" i="108"/>
  <c r="J36" i="108"/>
  <c r="J37" i="108"/>
  <c r="J38" i="108"/>
  <c r="J39" i="108"/>
  <c r="J40" i="108"/>
  <c r="J41" i="108"/>
  <c r="J42" i="108"/>
  <c r="J43" i="108"/>
  <c r="J44" i="108"/>
  <c r="J45" i="108"/>
  <c r="J46" i="108"/>
  <c r="J47" i="108"/>
  <c r="J48" i="108"/>
  <c r="J49" i="108"/>
  <c r="J50" i="108"/>
  <c r="J51" i="108"/>
  <c r="J52" i="108"/>
  <c r="J53" i="108"/>
  <c r="J54" i="108"/>
  <c r="J55" i="108"/>
  <c r="J56" i="108"/>
  <c r="J57" i="108"/>
  <c r="I23" i="108"/>
  <c r="I24" i="108"/>
  <c r="I25" i="108"/>
  <c r="I26" i="108"/>
  <c r="I27" i="108"/>
  <c r="I28" i="108"/>
  <c r="I29" i="108"/>
  <c r="I30" i="108"/>
  <c r="I31" i="108"/>
  <c r="I32" i="108"/>
  <c r="I33" i="108"/>
  <c r="I34" i="108"/>
  <c r="I35" i="108"/>
  <c r="I36" i="108"/>
  <c r="I37" i="108"/>
  <c r="I38" i="108"/>
  <c r="I39" i="108"/>
  <c r="I40" i="108"/>
  <c r="I41" i="108"/>
  <c r="I42" i="108"/>
  <c r="I43" i="108"/>
  <c r="I44" i="108"/>
  <c r="I45" i="108"/>
  <c r="I46" i="108"/>
  <c r="I47" i="108"/>
  <c r="I48" i="108"/>
  <c r="I49" i="108"/>
  <c r="I50" i="108"/>
  <c r="I51" i="108"/>
  <c r="I52" i="108"/>
  <c r="I53" i="108"/>
  <c r="I54" i="108"/>
  <c r="I55" i="108"/>
  <c r="I56" i="108"/>
  <c r="I57" i="108"/>
  <c r="H23" i="108"/>
  <c r="H24" i="108"/>
  <c r="H25" i="108"/>
  <c r="H26" i="108"/>
  <c r="H27" i="108"/>
  <c r="H28" i="108"/>
  <c r="H29" i="108"/>
  <c r="H30" i="108"/>
  <c r="H31" i="108"/>
  <c r="H32" i="108"/>
  <c r="H33" i="108"/>
  <c r="H34" i="108"/>
  <c r="H35" i="108"/>
  <c r="H36" i="108"/>
  <c r="H37" i="108"/>
  <c r="H38" i="108"/>
  <c r="H39" i="108"/>
  <c r="H40" i="108"/>
  <c r="H41" i="108"/>
  <c r="H42" i="108"/>
  <c r="H43" i="108"/>
  <c r="H44" i="108"/>
  <c r="H45" i="108"/>
  <c r="H46" i="108"/>
  <c r="H47" i="108"/>
  <c r="H48" i="108"/>
  <c r="H49" i="108"/>
  <c r="H50" i="108"/>
  <c r="H51" i="108"/>
  <c r="H52" i="108"/>
  <c r="H53" i="108"/>
  <c r="H54" i="108"/>
  <c r="H55" i="108"/>
  <c r="H56" i="108"/>
  <c r="H57" i="108"/>
  <c r="G23" i="108"/>
  <c r="G24" i="108"/>
  <c r="G25" i="108"/>
  <c r="G26" i="108"/>
  <c r="G27" i="108"/>
  <c r="G28" i="108"/>
  <c r="G29" i="108"/>
  <c r="G30" i="108"/>
  <c r="G31" i="108"/>
  <c r="G32" i="108"/>
  <c r="G33" i="108"/>
  <c r="G34" i="108"/>
  <c r="G35" i="108"/>
  <c r="G36" i="108"/>
  <c r="G37" i="108"/>
  <c r="G38" i="108"/>
  <c r="G39" i="108"/>
  <c r="G40" i="108"/>
  <c r="G41" i="108"/>
  <c r="G42" i="108"/>
  <c r="G43" i="108"/>
  <c r="G44" i="108"/>
  <c r="G45" i="108"/>
  <c r="G46" i="108"/>
  <c r="G47" i="108"/>
  <c r="G48" i="108"/>
  <c r="G49" i="108"/>
  <c r="G50" i="108"/>
  <c r="G51" i="108"/>
  <c r="G52" i="108"/>
  <c r="G53" i="108"/>
  <c r="G54" i="108"/>
  <c r="G55" i="108"/>
  <c r="G56" i="108"/>
  <c r="G57" i="108"/>
  <c r="F24" i="108"/>
  <c r="F25" i="108"/>
  <c r="F26" i="108"/>
  <c r="F27" i="108"/>
  <c r="F28" i="108"/>
  <c r="F29" i="108"/>
  <c r="F30" i="108"/>
  <c r="F31" i="108"/>
  <c r="F32" i="108"/>
  <c r="F33" i="108"/>
  <c r="F34" i="108"/>
  <c r="F35" i="108"/>
  <c r="F36" i="108"/>
  <c r="F37" i="108"/>
  <c r="F38" i="108"/>
  <c r="F39" i="108"/>
  <c r="F40" i="108"/>
  <c r="F41" i="108"/>
  <c r="F42" i="108"/>
  <c r="F43" i="108"/>
  <c r="F44" i="108"/>
  <c r="F45" i="108"/>
  <c r="F46" i="108"/>
  <c r="F47" i="108"/>
  <c r="F48" i="108"/>
  <c r="F49" i="108"/>
  <c r="F50" i="108"/>
  <c r="F51" i="108"/>
  <c r="F52" i="108"/>
  <c r="F53" i="108"/>
  <c r="F54" i="108"/>
  <c r="F55" i="108"/>
  <c r="F56" i="108"/>
  <c r="F57" i="108"/>
  <c r="E24" i="108"/>
  <c r="E25" i="108"/>
  <c r="E26" i="108"/>
  <c r="E27" i="108"/>
  <c r="E28" i="108"/>
  <c r="E29" i="108"/>
  <c r="E30" i="108"/>
  <c r="E31" i="108"/>
  <c r="E32" i="108"/>
  <c r="E33" i="108"/>
  <c r="E34" i="108"/>
  <c r="E35" i="108"/>
  <c r="E36" i="108"/>
  <c r="E37" i="108"/>
  <c r="E38" i="108"/>
  <c r="E39" i="108"/>
  <c r="E40" i="108"/>
  <c r="E41" i="108"/>
  <c r="E42" i="108"/>
  <c r="E43" i="108"/>
  <c r="E44" i="108"/>
  <c r="E45" i="108"/>
  <c r="E46" i="108"/>
  <c r="E47" i="108"/>
  <c r="E48" i="108"/>
  <c r="E49" i="108"/>
  <c r="E50" i="108"/>
  <c r="E51" i="108"/>
  <c r="E52" i="108"/>
  <c r="E53" i="108"/>
  <c r="E54" i="108"/>
  <c r="E55" i="108"/>
  <c r="E56" i="108"/>
  <c r="E57" i="108"/>
  <c r="E23" i="108"/>
  <c r="F23" i="108"/>
  <c r="E22" i="108"/>
  <c r="D23" i="108"/>
  <c r="D24" i="108"/>
  <c r="D25" i="108"/>
  <c r="D26" i="108"/>
  <c r="D27" i="108"/>
  <c r="D28" i="108"/>
  <c r="D29" i="108"/>
  <c r="D30" i="108"/>
  <c r="D31" i="108"/>
  <c r="D32" i="108"/>
  <c r="D33" i="108"/>
  <c r="D34" i="108"/>
  <c r="D35" i="108"/>
  <c r="D36" i="108"/>
  <c r="D37" i="108"/>
  <c r="D38" i="108"/>
  <c r="D39" i="108"/>
  <c r="D40" i="108"/>
  <c r="D41" i="108"/>
  <c r="D42" i="108"/>
  <c r="D43" i="108"/>
  <c r="D44" i="108"/>
  <c r="D45" i="108"/>
  <c r="D46" i="108"/>
  <c r="D47" i="108"/>
  <c r="D48" i="108"/>
  <c r="D49" i="108"/>
  <c r="D50" i="108"/>
  <c r="D51" i="108"/>
  <c r="D52" i="108"/>
  <c r="D53" i="108"/>
  <c r="D54" i="108"/>
  <c r="D55" i="108"/>
  <c r="D56" i="108"/>
  <c r="D57" i="108"/>
  <c r="D22" i="108"/>
  <c r="F22" i="108"/>
  <c r="G22" i="108"/>
  <c r="H22" i="108"/>
  <c r="I22" i="108"/>
  <c r="J22" i="108"/>
  <c r="K22" i="108"/>
  <c r="L22" i="108"/>
  <c r="M22" i="108"/>
  <c r="N22" i="108"/>
  <c r="C26" i="108"/>
  <c r="C28" i="108"/>
  <c r="C22" i="108"/>
  <c r="C23" i="108"/>
  <c r="C24" i="108"/>
  <c r="C25" i="108"/>
  <c r="C27" i="108"/>
  <c r="C29" i="108"/>
  <c r="C30" i="108"/>
  <c r="C31" i="108"/>
  <c r="C32" i="108"/>
  <c r="C33" i="108"/>
  <c r="C34" i="108"/>
  <c r="C35" i="108"/>
  <c r="C36" i="108"/>
  <c r="C37" i="108"/>
  <c r="C38" i="108"/>
  <c r="C39" i="108"/>
  <c r="C40" i="108"/>
  <c r="C41" i="108"/>
  <c r="C42" i="108"/>
  <c r="C43" i="108"/>
  <c r="C44" i="108"/>
  <c r="C45" i="108"/>
  <c r="C46" i="108"/>
  <c r="C47" i="108"/>
  <c r="C48" i="108"/>
  <c r="C49" i="108"/>
  <c r="C50" i="108"/>
  <c r="C51" i="108"/>
  <c r="C52" i="108"/>
  <c r="C53" i="108"/>
  <c r="C54" i="108"/>
  <c r="C55" i="108"/>
  <c r="C56" i="108"/>
  <c r="C57" i="108"/>
  <c r="P57" i="108" s="1"/>
  <c r="AF24" i="108" s="1"/>
  <c r="S30" i="111" l="1"/>
  <c r="P90" i="111"/>
  <c r="O90" i="111"/>
  <c r="S32" i="111"/>
  <c r="O98" i="111"/>
  <c r="P98" i="111"/>
  <c r="S22" i="111"/>
  <c r="O58" i="111"/>
  <c r="AE25" i="111" s="1"/>
  <c r="P58" i="111"/>
  <c r="P70" i="111"/>
  <c r="O70" i="111"/>
  <c r="S25" i="111"/>
  <c r="P85" i="111"/>
  <c r="O85" i="111"/>
  <c r="AE28" i="107"/>
  <c r="AE32" i="107"/>
  <c r="P77" i="111"/>
  <c r="O77" i="111"/>
  <c r="O81" i="111"/>
  <c r="P81" i="111"/>
  <c r="P66" i="111"/>
  <c r="AF33" i="111" s="1"/>
  <c r="S27" i="111"/>
  <c r="P64" i="111"/>
  <c r="AF31" i="111" s="1"/>
  <c r="O64" i="111"/>
  <c r="AE27" i="108"/>
  <c r="AE30" i="108"/>
  <c r="AF28" i="107"/>
  <c r="AF32" i="107"/>
  <c r="P69" i="111"/>
  <c r="O69" i="111"/>
  <c r="P73" i="111"/>
  <c r="O73" i="111"/>
  <c r="P87" i="111"/>
  <c r="O87" i="111"/>
  <c r="P103" i="111"/>
  <c r="O103" i="111"/>
  <c r="S24" i="111"/>
  <c r="O78" i="111"/>
  <c r="O105" i="111"/>
  <c r="P105" i="111"/>
  <c r="P78" i="111"/>
  <c r="P86" i="111"/>
  <c r="O86" i="111"/>
  <c r="S29" i="111"/>
  <c r="AF33" i="107"/>
  <c r="AE33" i="107"/>
  <c r="AF29" i="107"/>
  <c r="AF25" i="107"/>
  <c r="AF32" i="108"/>
  <c r="AF27" i="108"/>
  <c r="AE25" i="108"/>
  <c r="P82" i="111"/>
  <c r="P88" i="111"/>
  <c r="O88" i="111"/>
  <c r="P65" i="111"/>
  <c r="O65" i="111"/>
  <c r="AF26" i="108"/>
  <c r="P102" i="111"/>
  <c r="O102" i="111"/>
  <c r="S33" i="111"/>
  <c r="AF31" i="108"/>
  <c r="P104" i="111"/>
  <c r="O104" i="111"/>
  <c r="AE32" i="108"/>
  <c r="O75" i="111"/>
  <c r="P95" i="111"/>
  <c r="O95" i="111"/>
  <c r="O82" i="111"/>
  <c r="P61" i="111"/>
  <c r="AF27" i="111" s="1"/>
  <c r="O61" i="111"/>
  <c r="AE29" i="108"/>
  <c r="AE26" i="107"/>
  <c r="P96" i="111"/>
  <c r="O96" i="111"/>
  <c r="AE30" i="107"/>
  <c r="P79" i="111"/>
  <c r="O79" i="111"/>
  <c r="O62" i="111"/>
  <c r="AE27" i="111" s="1"/>
  <c r="S31" i="111"/>
  <c r="S28" i="111"/>
  <c r="AF27" i="107"/>
  <c r="AE27" i="107"/>
  <c r="P80" i="111"/>
  <c r="O80" i="111"/>
  <c r="P72" i="111"/>
  <c r="O72" i="111"/>
  <c r="AE28" i="108"/>
  <c r="AE26" i="111"/>
  <c r="AF30" i="107"/>
  <c r="P71" i="111"/>
  <c r="O71" i="111"/>
  <c r="P89" i="111"/>
  <c r="O89" i="111"/>
  <c r="P99" i="111"/>
  <c r="O99" i="111"/>
  <c r="P62" i="111"/>
  <c r="O94" i="111"/>
  <c r="Y26" i="111"/>
  <c r="AE31" i="107"/>
  <c r="S26" i="111"/>
  <c r="P74" i="111"/>
  <c r="O74" i="111"/>
  <c r="AF26" i="107"/>
  <c r="AF28" i="108"/>
  <c r="P63" i="111"/>
  <c r="O63" i="111"/>
  <c r="AE30" i="111" s="1"/>
  <c r="P93" i="111"/>
  <c r="O93" i="111"/>
  <c r="O97" i="111"/>
  <c r="P97" i="111"/>
  <c r="P94" i="111"/>
  <c r="O66" i="111"/>
  <c r="P101" i="111"/>
  <c r="O101" i="111"/>
  <c r="K5" i="109"/>
  <c r="K5" i="110" s="1"/>
  <c r="AE33" i="111" l="1"/>
  <c r="AF26" i="111"/>
  <c r="AF29" i="111"/>
  <c r="AF30" i="111"/>
  <c r="AE32" i="111"/>
  <c r="AE29" i="111"/>
  <c r="AE28" i="111"/>
  <c r="AF32" i="111"/>
  <c r="AF28" i="111"/>
  <c r="AE31" i="111"/>
  <c r="AF25" i="111"/>
  <c r="O66" i="109"/>
  <c r="P66" i="109"/>
  <c r="K5" i="101"/>
  <c r="K5" i="105" s="1"/>
  <c r="K5" i="103" s="1"/>
  <c r="K5" i="95" l="1"/>
  <c r="O19" i="96" l="1"/>
  <c r="P19" i="96"/>
  <c r="S19" i="96"/>
  <c r="T19" i="96"/>
  <c r="V13" i="94"/>
  <c r="U13" i="94"/>
  <c r="U26" i="94" s="1"/>
  <c r="T17" i="95"/>
  <c r="AD13" i="93"/>
  <c r="AC13" i="93"/>
  <c r="AB13" i="93"/>
  <c r="AA13" i="93"/>
  <c r="Z13" i="93"/>
  <c r="Y13" i="93"/>
  <c r="X13" i="93"/>
  <c r="W13" i="93"/>
  <c r="V13" i="93"/>
  <c r="U13" i="93"/>
  <c r="T13" i="93"/>
  <c r="W13" i="94"/>
  <c r="X13" i="94"/>
  <c r="Y13" i="94"/>
  <c r="Z13" i="94"/>
  <c r="AA13" i="94"/>
  <c r="AB13" i="94"/>
  <c r="AC13" i="94"/>
  <c r="AD13" i="94"/>
  <c r="W14" i="94"/>
  <c r="U14" i="94"/>
  <c r="U15" i="94"/>
  <c r="U16" i="94"/>
  <c r="U17" i="94"/>
  <c r="U23" i="94" s="1"/>
  <c r="U18" i="94"/>
  <c r="U19" i="94"/>
  <c r="U20" i="94"/>
  <c r="U21" i="94"/>
  <c r="U27" i="94" s="1"/>
  <c r="T13" i="94"/>
  <c r="V16" i="94"/>
  <c r="S13" i="94"/>
  <c r="P54" i="94"/>
  <c r="P55" i="94"/>
  <c r="P56" i="94"/>
  <c r="P57" i="94"/>
  <c r="O54" i="94"/>
  <c r="O55" i="94"/>
  <c r="O56" i="94"/>
  <c r="O57" i="94"/>
  <c r="O53" i="94"/>
  <c r="N58" i="94"/>
  <c r="M58" i="94"/>
  <c r="L58" i="94"/>
  <c r="K58" i="94"/>
  <c r="J58" i="94"/>
  <c r="I58" i="94"/>
  <c r="H58" i="94"/>
  <c r="G58" i="94"/>
  <c r="F58" i="94"/>
  <c r="E58" i="94"/>
  <c r="D58" i="94"/>
  <c r="C58" i="94"/>
  <c r="P53" i="94"/>
  <c r="O52" i="94"/>
  <c r="P52" i="94"/>
  <c r="O51" i="94"/>
  <c r="P51" i="94"/>
  <c r="O50" i="94"/>
  <c r="P50" i="94"/>
  <c r="P27" i="94"/>
  <c r="O30" i="94"/>
  <c r="P26" i="94"/>
  <c r="O27" i="94"/>
  <c r="U24" i="94" l="1"/>
  <c r="C3" i="94"/>
  <c r="K6" i="98" l="1"/>
  <c r="K6" i="99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G5" i="96"/>
  <c r="K6" i="95"/>
  <c r="G5" i="95"/>
  <c r="K6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6" i="100" l="1"/>
  <c r="K6" i="101" s="1"/>
  <c r="K6" i="109"/>
  <c r="K5" i="108"/>
  <c r="K5" i="111" s="1"/>
  <c r="K5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Z19" i="105"/>
  <c r="Y19" i="105"/>
  <c r="X19" i="105"/>
  <c r="X39" i="105" s="1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C19" i="103"/>
  <c r="AB19" i="103"/>
  <c r="AB27" i="103" s="1"/>
  <c r="AA19" i="103"/>
  <c r="AA27" i="103" s="1"/>
  <c r="Z19" i="103"/>
  <c r="Z27" i="103" s="1"/>
  <c r="Y19" i="103"/>
  <c r="X19" i="103"/>
  <c r="W19" i="103"/>
  <c r="V19" i="103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V19" i="10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C19" i="99"/>
  <c r="AB19" i="99"/>
  <c r="AA19" i="99"/>
  <c r="AA27" i="99" s="1"/>
  <c r="Z19" i="99"/>
  <c r="Y19" i="99"/>
  <c r="X19" i="99"/>
  <c r="W19" i="99"/>
  <c r="V19" i="99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Y19" i="97"/>
  <c r="X19" i="97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V27" i="103" l="1"/>
  <c r="AD27" i="103"/>
  <c r="Z39" i="105"/>
  <c r="X27" i="97"/>
  <c r="V27" i="99"/>
  <c r="AD27" i="99"/>
  <c r="V39" i="101"/>
  <c r="W27" i="103"/>
  <c r="AA39" i="105"/>
  <c r="U39" i="109"/>
  <c r="W27" i="99"/>
  <c r="W39" i="101"/>
  <c r="X27" i="103"/>
  <c r="Z27" i="97"/>
  <c r="AD38" i="101"/>
  <c r="Y27" i="103"/>
  <c r="Y39" i="109"/>
  <c r="K6" i="105"/>
  <c r="K6" i="110" s="1"/>
  <c r="K6" i="103" s="1"/>
  <c r="AA39" i="101"/>
  <c r="AA26" i="95"/>
  <c r="X26" i="98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W20" i="94"/>
  <c r="Y20" i="94"/>
  <c r="AA20" i="94"/>
  <c r="AC21" i="94"/>
  <c r="AC14" i="96"/>
  <c r="S17" i="94"/>
  <c r="S18" i="94"/>
  <c r="S19" i="94"/>
  <c r="AC19" i="94"/>
  <c r="S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P23" i="110"/>
  <c r="S13" i="110"/>
  <c r="P31" i="110"/>
  <c r="S15" i="110"/>
  <c r="X10" i="110"/>
  <c r="P13" i="110"/>
  <c r="P15" i="110"/>
  <c r="W11" i="110"/>
  <c r="AA14" i="94"/>
  <c r="AA15" i="94"/>
  <c r="AA16" i="94"/>
  <c r="AA18" i="94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N12" i="108"/>
  <c r="F14" i="108"/>
  <c r="J15" i="108"/>
  <c r="N16" i="108"/>
  <c r="F18" i="108"/>
  <c r="J19" i="108"/>
  <c r="N20" i="108"/>
  <c r="Z13" i="109"/>
  <c r="P12" i="110"/>
  <c r="F16" i="108"/>
  <c r="J17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D106" i="110"/>
  <c r="L106" i="110"/>
  <c r="P27" i="110"/>
  <c r="S14" i="110"/>
  <c r="S38" i="110" s="1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T19" i="108"/>
  <c r="V19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V39" i="109" s="1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Y15" i="94"/>
  <c r="AC15" i="94"/>
  <c r="Y16" i="94"/>
  <c r="AC16" i="94"/>
  <c r="AC17" i="94"/>
  <c r="Y18" i="94"/>
  <c r="AC18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O22" i="94"/>
  <c r="O26" i="94"/>
  <c r="O31" i="94"/>
  <c r="O35" i="94"/>
  <c r="O39" i="94"/>
  <c r="O43" i="94"/>
  <c r="O47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X10" i="94"/>
  <c r="AB10" i="94"/>
  <c r="P11" i="94"/>
  <c r="S11" i="94"/>
  <c r="P12" i="94"/>
  <c r="S12" i="94"/>
  <c r="P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22" i="94"/>
  <c r="P31" i="94"/>
  <c r="P35" i="94"/>
  <c r="P39" i="94"/>
  <c r="P43" i="94"/>
  <c r="P47" i="94"/>
  <c r="AA10" i="94"/>
  <c r="O24" i="94"/>
  <c r="P24" i="94"/>
  <c r="P25" i="94"/>
  <c r="O29" i="94"/>
  <c r="P29" i="94"/>
  <c r="P30" i="94"/>
  <c r="O33" i="94"/>
  <c r="P33" i="94"/>
  <c r="P34" i="94"/>
  <c r="O37" i="94"/>
  <c r="P37" i="94"/>
  <c r="P38" i="94"/>
  <c r="O41" i="94"/>
  <c r="P41" i="94"/>
  <c r="P42" i="94"/>
  <c r="O45" i="94"/>
  <c r="P45" i="94"/>
  <c r="P46" i="94"/>
  <c r="O49" i="94"/>
  <c r="P49" i="94"/>
  <c r="T14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P23" i="94"/>
  <c r="T15" i="94"/>
  <c r="V15" i="94"/>
  <c r="X15" i="94"/>
  <c r="Z15" i="94"/>
  <c r="AB15" i="94"/>
  <c r="AD15" i="94"/>
  <c r="P28" i="94"/>
  <c r="T16" i="94"/>
  <c r="X16" i="94"/>
  <c r="Z16" i="94"/>
  <c r="AB16" i="94"/>
  <c r="AD16" i="94"/>
  <c r="P32" i="94"/>
  <c r="T17" i="94"/>
  <c r="V17" i="94"/>
  <c r="X17" i="94"/>
  <c r="Z17" i="94"/>
  <c r="AB17" i="94"/>
  <c r="AD17" i="94"/>
  <c r="P36" i="94"/>
  <c r="T18" i="94"/>
  <c r="V18" i="94"/>
  <c r="X18" i="94"/>
  <c r="Z18" i="94"/>
  <c r="AB18" i="94"/>
  <c r="AD18" i="94"/>
  <c r="P40" i="94"/>
  <c r="T19" i="94"/>
  <c r="V19" i="94"/>
  <c r="X19" i="94"/>
  <c r="Z19" i="94"/>
  <c r="AB19" i="94"/>
  <c r="AD19" i="94"/>
  <c r="P44" i="94"/>
  <c r="T20" i="94"/>
  <c r="V20" i="94"/>
  <c r="X20" i="94"/>
  <c r="Z20" i="94"/>
  <c r="AB20" i="94"/>
  <c r="AD20" i="94"/>
  <c r="P48" i="94"/>
  <c r="T21" i="94"/>
  <c r="V21" i="94"/>
  <c r="X21" i="94"/>
  <c r="Z21" i="94"/>
  <c r="AB21" i="94"/>
  <c r="AD21" i="94"/>
  <c r="V10" i="94"/>
  <c r="Z10" i="94"/>
  <c r="AD10" i="94"/>
  <c r="O23" i="94"/>
  <c r="O25" i="94"/>
  <c r="O28" i="94"/>
  <c r="O32" i="94"/>
  <c r="O34" i="94"/>
  <c r="O36" i="94"/>
  <c r="O38" i="94"/>
  <c r="O40" i="94"/>
  <c r="O42" i="94"/>
  <c r="O44" i="94"/>
  <c r="O46" i="94"/>
  <c r="O48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N24" i="111" s="1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I106" i="107" s="1"/>
  <c r="J10" i="107"/>
  <c r="J106" i="107" s="1"/>
  <c r="K10" i="107"/>
  <c r="L10" i="107"/>
  <c r="M10" i="107"/>
  <c r="N10" i="107"/>
  <c r="C10" i="107"/>
  <c r="L106" i="107" l="1"/>
  <c r="D106" i="107"/>
  <c r="G106" i="108"/>
  <c r="K106" i="107"/>
  <c r="AB26" i="103"/>
  <c r="E106" i="108"/>
  <c r="H106" i="108"/>
  <c r="N106" i="108"/>
  <c r="D106" i="108"/>
  <c r="H106" i="107"/>
  <c r="L106" i="108"/>
  <c r="J106" i="108"/>
  <c r="M106" i="108"/>
  <c r="X26" i="96"/>
  <c r="C106" i="107"/>
  <c r="N106" i="107"/>
  <c r="F106" i="107"/>
  <c r="C106" i="108"/>
  <c r="F106" i="108"/>
  <c r="K106" i="108"/>
  <c r="G106" i="107"/>
  <c r="M106" i="107"/>
  <c r="E106" i="107"/>
  <c r="AF25" i="101"/>
  <c r="U38" i="109"/>
  <c r="I106" i="108"/>
  <c r="U25" i="94"/>
  <c r="U22" i="94"/>
  <c r="Y38" i="105"/>
  <c r="AF13" i="94"/>
  <c r="AE13" i="94"/>
  <c r="O22" i="108"/>
  <c r="S23" i="94"/>
  <c r="AB26" i="98"/>
  <c r="P22" i="108"/>
  <c r="K6" i="107"/>
  <c r="K6" i="104"/>
  <c r="K6" i="108" s="1"/>
  <c r="K6" i="111" s="1"/>
  <c r="T36" i="105"/>
  <c r="AF32" i="101"/>
  <c r="AF33" i="101"/>
  <c r="O58" i="94"/>
  <c r="P58" i="94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V36" i="108" s="1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H106" i="111" s="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AE24" i="108" s="1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5" i="108"/>
  <c r="AF22" i="108" s="1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AF23" i="108" s="1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AC26" i="94"/>
  <c r="O51" i="108"/>
  <c r="O47" i="108"/>
  <c r="O26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AE24" i="107" s="1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AD39" i="107" s="1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T41" i="107" s="1"/>
  <c r="P57" i="107"/>
  <c r="AF24" i="107" s="1"/>
  <c r="P56" i="107"/>
  <c r="AF23" i="107" s="1"/>
  <c r="O56" i="107"/>
  <c r="AE23" i="107" s="1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V41" i="107" s="1"/>
  <c r="AA10" i="107"/>
  <c r="P10" i="107"/>
  <c r="S10" i="107"/>
  <c r="O10" i="107"/>
  <c r="X35" i="105"/>
  <c r="U39" i="107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AE10" i="104"/>
  <c r="AF10" i="104"/>
  <c r="P58" i="104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24" i="98" s="1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Y28" i="94"/>
  <c r="Y25" i="94"/>
  <c r="Y22" i="94"/>
  <c r="C60" i="94"/>
  <c r="AE10" i="94"/>
  <c r="AF10" i="94"/>
  <c r="H59" i="94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S41" i="108" l="1"/>
  <c r="AD41" i="107"/>
  <c r="W41" i="108"/>
  <c r="Z41" i="108"/>
  <c r="Z42" i="108" s="1"/>
  <c r="F106" i="111"/>
  <c r="O106" i="108"/>
  <c r="H108" i="108" s="1"/>
  <c r="O106" i="107"/>
  <c r="Y41" i="107"/>
  <c r="U36" i="107"/>
  <c r="Z41" i="107"/>
  <c r="Z42" i="107" s="1"/>
  <c r="W41" i="107"/>
  <c r="W42" i="107" s="1"/>
  <c r="P106" i="108"/>
  <c r="H107" i="108" s="1"/>
  <c r="AE22" i="108"/>
  <c r="S42" i="110"/>
  <c r="G106" i="111"/>
  <c r="M106" i="111"/>
  <c r="D106" i="111"/>
  <c r="K108" i="108"/>
  <c r="K107" i="108"/>
  <c r="J107" i="108"/>
  <c r="X41" i="108"/>
  <c r="E107" i="108"/>
  <c r="U41" i="107"/>
  <c r="I106" i="111"/>
  <c r="M107" i="108"/>
  <c r="V22" i="93"/>
  <c r="S41" i="107"/>
  <c r="AE22" i="107"/>
  <c r="AB41" i="107"/>
  <c r="AC41" i="107"/>
  <c r="AC42" i="107" s="1"/>
  <c r="AC41" i="108"/>
  <c r="Y41" i="108"/>
  <c r="Y42" i="108" s="1"/>
  <c r="K106" i="111"/>
  <c r="V41" i="108"/>
  <c r="S21" i="111"/>
  <c r="C106" i="111"/>
  <c r="J106" i="111"/>
  <c r="F107" i="108"/>
  <c r="F108" i="108"/>
  <c r="L108" i="108"/>
  <c r="L107" i="108"/>
  <c r="G107" i="108"/>
  <c r="E106" i="111"/>
  <c r="X41" i="107"/>
  <c r="U41" i="108"/>
  <c r="U42" i="108" s="1"/>
  <c r="AD41" i="108"/>
  <c r="N106" i="111"/>
  <c r="P106" i="107"/>
  <c r="AF22" i="107"/>
  <c r="V39" i="107"/>
  <c r="AA41" i="108"/>
  <c r="AE23" i="108"/>
  <c r="AB41" i="108"/>
  <c r="AB42" i="108" s="1"/>
  <c r="L106" i="111"/>
  <c r="I108" i="108"/>
  <c r="I107" i="108"/>
  <c r="C108" i="108"/>
  <c r="AA41" i="107"/>
  <c r="T41" i="108"/>
  <c r="D107" i="108"/>
  <c r="D108" i="108"/>
  <c r="AD12" i="111"/>
  <c r="AE13" i="93"/>
  <c r="AF13" i="93"/>
  <c r="Y34" i="108"/>
  <c r="AF10" i="108"/>
  <c r="L59" i="104"/>
  <c r="C59" i="104"/>
  <c r="L60" i="104"/>
  <c r="C60" i="104"/>
  <c r="T13" i="111"/>
  <c r="T12" i="111"/>
  <c r="S36" i="107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T41" i="111" s="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AF23" i="111" s="1"/>
  <c r="O10" i="111"/>
  <c r="C108" i="110"/>
  <c r="P15" i="111"/>
  <c r="O28" i="111"/>
  <c r="O35" i="111"/>
  <c r="O25" i="111"/>
  <c r="O44" i="111"/>
  <c r="O54" i="111"/>
  <c r="AD10" i="111"/>
  <c r="P36" i="111"/>
  <c r="O57" i="111"/>
  <c r="AE24" i="111" s="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AF22" i="111" s="1"/>
  <c r="O56" i="111"/>
  <c r="P57" i="111"/>
  <c r="AF24" i="111" s="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AA41" i="111" s="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V42" i="107" s="1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H108" i="107"/>
  <c r="T40" i="107"/>
  <c r="T42" i="107" s="1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AF26" i="104"/>
  <c r="AF24" i="104"/>
  <c r="H59" i="104"/>
  <c r="AF26" i="103"/>
  <c r="AF23" i="103"/>
  <c r="H60" i="9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C41" i="111" l="1"/>
  <c r="U41" i="111"/>
  <c r="W42" i="108"/>
  <c r="AE41" i="108"/>
  <c r="AD41" i="111"/>
  <c r="AD42" i="111" s="1"/>
  <c r="O106" i="111"/>
  <c r="X41" i="111"/>
  <c r="X42" i="111" s="1"/>
  <c r="T42" i="108"/>
  <c r="X42" i="107"/>
  <c r="AB42" i="107"/>
  <c r="E108" i="108"/>
  <c r="Y42" i="107"/>
  <c r="AD42" i="107"/>
  <c r="V41" i="111"/>
  <c r="V42" i="111" s="1"/>
  <c r="AC42" i="108"/>
  <c r="AF41" i="108"/>
  <c r="AF42" i="108" s="1"/>
  <c r="AA42" i="107"/>
  <c r="AA42" i="108"/>
  <c r="X42" i="108"/>
  <c r="N107" i="108"/>
  <c r="AD42" i="108"/>
  <c r="Y41" i="111"/>
  <c r="AE22" i="111"/>
  <c r="W41" i="111"/>
  <c r="S42" i="107"/>
  <c r="N108" i="108"/>
  <c r="S41" i="111"/>
  <c r="C107" i="108"/>
  <c r="G108" i="108"/>
  <c r="V42" i="108"/>
  <c r="J108" i="108"/>
  <c r="S42" i="108"/>
  <c r="AF41" i="107"/>
  <c r="AE41" i="107"/>
  <c r="U42" i="107"/>
  <c r="AE23" i="111"/>
  <c r="AB41" i="111"/>
  <c r="AB42" i="111" s="1"/>
  <c r="P106" i="111"/>
  <c r="N107" i="111" s="1"/>
  <c r="Z41" i="111"/>
  <c r="Z42" i="111" s="1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T42" i="111" s="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42" i="111" s="1"/>
  <c r="AA34" i="111"/>
  <c r="M107" i="107"/>
  <c r="AF39" i="108"/>
  <c r="F108" i="107"/>
  <c r="AF42" i="110"/>
  <c r="AE42" i="110"/>
  <c r="AE42" i="109"/>
  <c r="AF42" i="109"/>
  <c r="K107" i="107"/>
  <c r="C108" i="107"/>
  <c r="L107" i="107"/>
  <c r="AE39" i="108"/>
  <c r="AE37" i="108"/>
  <c r="AE36" i="108"/>
  <c r="AF36" i="108"/>
  <c r="AF34" i="108"/>
  <c r="AF40" i="108"/>
  <c r="K108" i="107"/>
  <c r="AF37" i="108"/>
  <c r="AE38" i="108"/>
  <c r="AE39" i="107"/>
  <c r="AF35" i="108"/>
  <c r="AE35" i="108"/>
  <c r="D107" i="107"/>
  <c r="G107" i="107"/>
  <c r="J107" i="107"/>
  <c r="N108" i="107"/>
  <c r="G108" i="107"/>
  <c r="L108" i="107"/>
  <c r="AE40" i="108"/>
  <c r="AF40" i="107"/>
  <c r="F107" i="107"/>
  <c r="I107" i="107"/>
  <c r="E107" i="107"/>
  <c r="N107" i="107"/>
  <c r="AE34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41" i="111" l="1"/>
  <c r="Y42" i="111"/>
  <c r="W42" i="111"/>
  <c r="AF41" i="111"/>
  <c r="AF42" i="111" s="1"/>
  <c r="AE42" i="107"/>
  <c r="S42" i="111"/>
  <c r="AE42" i="108"/>
  <c r="AF42" i="107"/>
  <c r="U42" i="111"/>
  <c r="AC42" i="111"/>
  <c r="AF34" i="111"/>
  <c r="AF37" i="111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E42" i="111" l="1"/>
</calcChain>
</file>

<file path=xl/sharedStrings.xml><?xml version="1.0" encoding="utf-8"?>
<sst xmlns="http://schemas.openxmlformats.org/spreadsheetml/2006/main" count="2330" uniqueCount="181">
  <si>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</si>
  <si>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</si>
  <si>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</si>
  <si>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</si>
  <si>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</si>
  <si>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</si>
  <si>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</si>
  <si>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</si>
  <si>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</si>
  <si>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</si>
  <si>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</si>
  <si>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</si>
  <si>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</si>
  <si>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</si>
  <si>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</si>
  <si>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</si>
  <si>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</si>
  <si>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</si>
  <si>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</si>
  <si>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</si>
  <si>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</si>
  <si>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</si>
  <si>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</si>
  <si>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</si>
  <si>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</si>
  <si>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</si>
  <si>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</si>
  <si>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</si>
  <si>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</si>
  <si>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</si>
  <si>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</si>
  <si>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</si>
  <si>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</si>
  <si>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</si>
  <si>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</si>
  <si>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</si>
  <si>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</si>
  <si>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</si>
  <si>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</si>
  <si>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</si>
  <si>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</si>
  <si>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</si>
  <si>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</si>
  <si>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</si>
  <si>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</si>
  <si>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</si>
  <si>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</si>
  <si>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</si>
  <si>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</si>
  <si>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</si>
  <si>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</si>
  <si>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</si>
  <si>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</si>
  <si>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</si>
  <si>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</si>
  <si>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</si>
  <si>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</si>
  <si>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</si>
  <si>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</si>
  <si>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</si>
  <si>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</si>
  <si>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</si>
  <si>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</si>
  <si>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</si>
  <si>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</si>
  <si>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</si>
  <si>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</si>
  <si>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</si>
  <si>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</si>
  <si>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</si>
  <si>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</si>
  <si>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</si>
  <si>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</si>
  <si>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</si>
  <si>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</si>
  <si>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</si>
  <si>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</si>
  <si>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</si>
  <si>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</si>
  <si>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</si>
  <si>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</si>
  <si>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</si>
  <si>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</si>
  <si>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</si>
  <si>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</si>
  <si>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</si>
  <si>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</si>
  <si>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</si>
  <si>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</si>
  <si>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</si>
  <si>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</si>
  <si>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</si>
  <si>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</si>
  <si>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</si>
  <si>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</si>
  <si>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</si>
  <si>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</si>
  <si>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</si>
  <si>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</si>
  <si>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</si>
  <si>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</si>
  <si>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</si>
  <si>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</si>
  <si>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</si>
  <si>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</si>
  <si>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</si>
  <si>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</si>
  <si>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</si>
  <si>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</si>
  <si>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</si>
  <si>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</si>
  <si>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</si>
  <si>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</si>
  <si>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</si>
  <si>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</si>
  <si>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</si>
  <si>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</si>
  <si>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</si>
  <si>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</si>
  <si>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</si>
  <si>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</si>
  <si>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</si>
  <si>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</si>
  <si>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</si>
  <si>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</si>
  <si>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</si>
  <si>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</si>
  <si>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</si>
  <si>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</si>
  <si>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</si>
  <si>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</si>
  <si>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</si>
  <si>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</si>
  <si>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</si>
  <si>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</si>
  <si>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</si>
  <si>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</si>
  <si>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</si>
  <si>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</si>
  <si>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</si>
  <si>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</si>
  <si>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</si>
  <si>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</si>
  <si>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</si>
  <si>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</si>
  <si>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</si>
  <si>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</si>
  <si>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</si>
  <si>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</si>
  <si>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</si>
  <si>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</si>
  <si>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</si>
  <si>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</si>
  <si>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</si>
  <si>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</si>
  <si>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</si>
  <si>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</si>
  <si>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</si>
  <si>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</si>
  <si>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</si>
  <si>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</si>
  <si>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</si>
  <si>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22.07.19</t>
  </si>
  <si>
    <t>23.07.19</t>
  </si>
  <si>
    <t>24.07.19</t>
  </si>
  <si>
    <t>25.07.19</t>
  </si>
  <si>
    <t>26.07.19</t>
  </si>
  <si>
    <t>27.07.19</t>
  </si>
  <si>
    <t>28.07.19</t>
  </si>
  <si>
    <t>AVERAGE WEEK</t>
  </si>
  <si>
    <t>Busega</t>
  </si>
  <si>
    <t>Nabayunga Rashida</t>
  </si>
  <si>
    <t>Andrew</t>
  </si>
  <si>
    <t xml:space="preserve">Petro Max </t>
  </si>
  <si>
    <t>MCC - C1 - STN12-MITYANA ROAD</t>
  </si>
  <si>
    <t>Lwanga Charles</t>
  </si>
  <si>
    <t xml:space="preserve">Bulenga </t>
  </si>
  <si>
    <t xml:space="preserve">Nabayunga Rashida </t>
  </si>
  <si>
    <t>Kiranzi Ronald</t>
  </si>
  <si>
    <t>Harriet Nabitosi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</si>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</sst>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4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0" fillId="0" borderId="0" xfId="0" applyFill="1"/>
    <xf numFmtId="0" fontId="0" fillId="0" borderId="4" xfId="0" applyFill="1" applyBorder="1"/>
    <xf numFmtId="1" fontId="0" fillId="0" borderId="4" xfId="0" applyNumberFormat="1" applyFill="1" applyBorder="1" applyAlignment="1">
      <alignment horizontal="center"/>
    </xf>
    <xf numFmtId="0" fontId="0" fillId="4" borderId="1" xfId="0" applyFill="1" applyBorder="1"/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Busega-Bulenga'!$AE$9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Busega-Bulenga'!$R$10:$R$21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Busega-Bulenga'!$AE$10:$AE$21</c:f>
              <c:numCache>
                <c:formatCode>0</c:formatCode>
                <c:ptCount val="12"/>
                <c:pt idx="0">
                  <c:v>349</c:v>
                </c:pt>
                <c:pt idx="1">
                  <c:v>329</c:v>
                </c:pt>
                <c:pt idx="2">
                  <c:v>369</c:v>
                </c:pt>
                <c:pt idx="3">
                  <c:v>341</c:v>
                </c:pt>
                <c:pt idx="4">
                  <c:v>449</c:v>
                </c:pt>
                <c:pt idx="5">
                  <c:v>336</c:v>
                </c:pt>
                <c:pt idx="6">
                  <c:v>383</c:v>
                </c:pt>
                <c:pt idx="7">
                  <c:v>432</c:v>
                </c:pt>
                <c:pt idx="8">
                  <c:v>324</c:v>
                </c:pt>
                <c:pt idx="9">
                  <c:v>334</c:v>
                </c:pt>
                <c:pt idx="10">
                  <c:v>530</c:v>
                </c:pt>
                <c:pt idx="11">
                  <c:v>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'22.07 Busega-Bulenga'!$AF$9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Busega-Bulenga'!$R$10:$R$21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Busega-Bulenga'!$AF$10:$AF$21</c:f>
              <c:numCache>
                <c:formatCode>0</c:formatCode>
                <c:ptCount val="12"/>
                <c:pt idx="0">
                  <c:v>1124</c:v>
                </c:pt>
                <c:pt idx="1">
                  <c:v>1197</c:v>
                </c:pt>
                <c:pt idx="2">
                  <c:v>1049</c:v>
                </c:pt>
                <c:pt idx="3">
                  <c:v>842</c:v>
                </c:pt>
                <c:pt idx="4">
                  <c:v>904</c:v>
                </c:pt>
                <c:pt idx="5">
                  <c:v>596</c:v>
                </c:pt>
                <c:pt idx="6">
                  <c:v>716</c:v>
                </c:pt>
                <c:pt idx="7">
                  <c:v>752</c:v>
                </c:pt>
                <c:pt idx="8">
                  <c:v>560</c:v>
                </c:pt>
                <c:pt idx="9">
                  <c:v>717</c:v>
                </c:pt>
                <c:pt idx="10">
                  <c:v>900</c:v>
                </c:pt>
                <c:pt idx="11">
                  <c:v>1239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5335296"/>
        <c:axId val="-135332032"/>
      </c:lineChart>
      <c:catAx>
        <c:axId val="-1353352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35332032"/>
        <c:crosses val="autoZero"/>
        <c:auto val="1"/>
        <c:lblAlgn val="ctr"/>
        <c:lblOffset val="100"/>
        <c:noMultiLvlLbl val="0"/>
      </c:catAx>
      <c:valAx>
        <c:axId val="-135332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3533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Busega-Bulenga'!$C$9:$N$9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Busega-Bulenga'!$C$59:$N$59</c:f>
              <c:numCache>
                <c:formatCode>0.0%</c:formatCode>
                <c:ptCount val="12"/>
                <c:pt idx="0">
                  <c:v>0.20243488108720273</c:v>
                </c:pt>
                <c:pt idx="1">
                  <c:v>2.2366930917327294E-2</c:v>
                </c:pt>
                <c:pt idx="2">
                  <c:v>1.7742544356360891E-2</c:v>
                </c:pt>
                <c:pt idx="3">
                  <c:v>0.13316345790864478</c:v>
                </c:pt>
                <c:pt idx="4">
                  <c:v>3.3975084937712344E-3</c:v>
                </c:pt>
                <c:pt idx="5">
                  <c:v>2.4537561343903362E-3</c:v>
                </c:pt>
                <c:pt idx="6">
                  <c:v>3.6806342015855038E-2</c:v>
                </c:pt>
                <c:pt idx="7">
                  <c:v>2.5481313703284259E-2</c:v>
                </c:pt>
                <c:pt idx="8">
                  <c:v>5.285013212533031E-3</c:v>
                </c:pt>
                <c:pt idx="9">
                  <c:v>4.8131370328425823E-3</c:v>
                </c:pt>
                <c:pt idx="10">
                  <c:v>0.54605511513778782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Busega-Bulenga'!$C$9:$N$9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Busega-Bulenga'!$C$60:$N$60</c:f>
              <c:numCache>
                <c:formatCode>0.00%</c:formatCode>
                <c:ptCount val="12"/>
                <c:pt idx="0">
                  <c:v>0.44594594594594594</c:v>
                </c:pt>
                <c:pt idx="1">
                  <c:v>4.9272349272349275E-2</c:v>
                </c:pt>
                <c:pt idx="2">
                  <c:v>3.9085239085239087E-2</c:v>
                </c:pt>
                <c:pt idx="3">
                  <c:v>0.29334719334719334</c:v>
                </c:pt>
                <c:pt idx="4">
                  <c:v>7.4844074844074848E-3</c:v>
                </c:pt>
                <c:pt idx="5">
                  <c:v>5.4054054054054057E-3</c:v>
                </c:pt>
                <c:pt idx="6">
                  <c:v>8.1081081081081086E-2</c:v>
                </c:pt>
                <c:pt idx="7">
                  <c:v>5.6133056133056136E-2</c:v>
                </c:pt>
                <c:pt idx="8">
                  <c:v>1.1642411642411643E-2</c:v>
                </c:pt>
                <c:pt idx="9">
                  <c:v>1.0602910602910603E-2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Bulenga-Busega'!$AE$9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Bulenga-Busega'!$R$10:$R$21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Bulenga-Busega'!$AE$10:$AE$21</c:f>
              <c:numCache>
                <c:formatCode>0</c:formatCode>
                <c:ptCount val="12"/>
                <c:pt idx="0">
                  <c:v>524</c:v>
                </c:pt>
                <c:pt idx="1">
                  <c:v>355</c:v>
                </c:pt>
                <c:pt idx="2">
                  <c:v>426</c:v>
                </c:pt>
                <c:pt idx="3">
                  <c:v>366</c:v>
                </c:pt>
                <c:pt idx="4">
                  <c:v>566</c:v>
                </c:pt>
                <c:pt idx="5">
                  <c:v>366</c:v>
                </c:pt>
                <c:pt idx="6">
                  <c:v>441</c:v>
                </c:pt>
                <c:pt idx="7">
                  <c:v>257</c:v>
                </c:pt>
                <c:pt idx="8">
                  <c:v>505</c:v>
                </c:pt>
                <c:pt idx="9">
                  <c:v>743</c:v>
                </c:pt>
                <c:pt idx="10">
                  <c:v>690</c:v>
                </c:pt>
                <c:pt idx="11">
                  <c:v>511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'22.07 Bulenga-Busega'!$AF$9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Bulenga-Busega'!$R$10:$R$21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Bulenga-Busega'!$AF$10:$AF$21</c:f>
              <c:numCache>
                <c:formatCode>0</c:formatCode>
                <c:ptCount val="12"/>
                <c:pt idx="0">
                  <c:v>979</c:v>
                </c:pt>
                <c:pt idx="1">
                  <c:v>850</c:v>
                </c:pt>
                <c:pt idx="2">
                  <c:v>1102</c:v>
                </c:pt>
                <c:pt idx="3">
                  <c:v>777</c:v>
                </c:pt>
                <c:pt idx="4">
                  <c:v>1146</c:v>
                </c:pt>
                <c:pt idx="5">
                  <c:v>777</c:v>
                </c:pt>
                <c:pt idx="6">
                  <c:v>812</c:v>
                </c:pt>
                <c:pt idx="7">
                  <c:v>593</c:v>
                </c:pt>
                <c:pt idx="8">
                  <c:v>877</c:v>
                </c:pt>
                <c:pt idx="9">
                  <c:v>1300</c:v>
                </c:pt>
                <c:pt idx="10">
                  <c:v>1217</c:v>
                </c:pt>
                <c:pt idx="11">
                  <c:v>812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9153552"/>
        <c:axId val="-149142672"/>
      </c:lineChart>
      <c:catAx>
        <c:axId val="-1491535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42672"/>
        <c:crosses val="autoZero"/>
        <c:auto val="1"/>
        <c:lblAlgn val="ctr"/>
        <c:lblOffset val="100"/>
        <c:noMultiLvlLbl val="0"/>
      </c:catAx>
      <c:valAx>
        <c:axId val="-1491426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5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Bulenga-Busega'!$C$9:$N$9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Bulenga-Busega'!$C$59:$N$59</c:f>
              <c:numCache>
                <c:formatCode>0.0%</c:formatCode>
                <c:ptCount val="12"/>
                <c:pt idx="0">
                  <c:v>0.21945367294204504</c:v>
                </c:pt>
                <c:pt idx="1">
                  <c:v>1.7257290513104467E-2</c:v>
                </c:pt>
                <c:pt idx="2">
                  <c:v>2.7962347729789592E-2</c:v>
                </c:pt>
                <c:pt idx="3">
                  <c:v>0.23292727943890734</c:v>
                </c:pt>
                <c:pt idx="4">
                  <c:v>4.7988187523071244E-3</c:v>
                </c:pt>
                <c:pt idx="5">
                  <c:v>1.568844592100406E-3</c:v>
                </c:pt>
                <c:pt idx="6">
                  <c:v>1.6334440753045402E-2</c:v>
                </c:pt>
                <c:pt idx="7">
                  <c:v>1.8272425249169437E-2</c:v>
                </c:pt>
                <c:pt idx="8">
                  <c:v>5.1679586563307496E-3</c:v>
                </c:pt>
                <c:pt idx="9">
                  <c:v>6.2753783684016242E-3</c:v>
                </c:pt>
                <c:pt idx="10">
                  <c:v>0.47886674049464745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Bulenga-Busega'!$S$9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'22.07 Bulenga-Busega'!$R$10:$R$21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Bulenga-Busega'!$S$10:$S$21</c:f>
              <c:numCache>
                <c:formatCode>0</c:formatCode>
                <c:ptCount val="12"/>
                <c:pt idx="0">
                  <c:v>203</c:v>
                </c:pt>
                <c:pt idx="1">
                  <c:v>186</c:v>
                </c:pt>
                <c:pt idx="2">
                  <c:v>201</c:v>
                </c:pt>
                <c:pt idx="3">
                  <c:v>167</c:v>
                </c:pt>
                <c:pt idx="4">
                  <c:v>257</c:v>
                </c:pt>
                <c:pt idx="5">
                  <c:v>167</c:v>
                </c:pt>
                <c:pt idx="6">
                  <c:v>173</c:v>
                </c:pt>
                <c:pt idx="7">
                  <c:v>77</c:v>
                </c:pt>
                <c:pt idx="8">
                  <c:v>193</c:v>
                </c:pt>
                <c:pt idx="9">
                  <c:v>250</c:v>
                </c:pt>
                <c:pt idx="10">
                  <c:v>276</c:v>
                </c:pt>
                <c:pt idx="11">
                  <c:v>198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'22.07 Bulenga-Busega'!$T$9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'22.07 Bulenga-Busega'!$R$10:$R$21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Bulenga-Busega'!$T$10:$T$21</c:f>
              <c:numCache>
                <c:formatCode>0</c:formatCode>
                <c:ptCount val="12"/>
                <c:pt idx="0">
                  <c:v>18</c:v>
                </c:pt>
                <c:pt idx="1">
                  <c:v>13</c:v>
                </c:pt>
                <c:pt idx="2">
                  <c:v>22</c:v>
                </c:pt>
                <c:pt idx="3">
                  <c:v>15</c:v>
                </c:pt>
                <c:pt idx="4">
                  <c:v>19</c:v>
                </c:pt>
                <c:pt idx="5">
                  <c:v>15</c:v>
                </c:pt>
                <c:pt idx="6">
                  <c:v>26</c:v>
                </c:pt>
                <c:pt idx="7">
                  <c:v>17</c:v>
                </c:pt>
                <c:pt idx="8">
                  <c:v>17</c:v>
                </c:pt>
                <c:pt idx="9">
                  <c:v>14</c:v>
                </c:pt>
                <c:pt idx="10">
                  <c:v>18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'22.07 Bulenga-Busega'!$U$9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'22.07 Bulenga-Busega'!$U$10:$U$21</c:f>
              <c:numCache>
                <c:formatCode>0</c:formatCode>
                <c:ptCount val="12"/>
                <c:pt idx="0">
                  <c:v>27</c:v>
                </c:pt>
                <c:pt idx="1">
                  <c:v>22</c:v>
                </c:pt>
                <c:pt idx="2">
                  <c:v>31</c:v>
                </c:pt>
                <c:pt idx="3">
                  <c:v>35</c:v>
                </c:pt>
                <c:pt idx="4">
                  <c:v>51</c:v>
                </c:pt>
                <c:pt idx="5">
                  <c:v>35</c:v>
                </c:pt>
                <c:pt idx="6">
                  <c:v>49</c:v>
                </c:pt>
                <c:pt idx="7">
                  <c:v>29</c:v>
                </c:pt>
                <c:pt idx="8">
                  <c:v>25</c:v>
                </c:pt>
                <c:pt idx="9">
                  <c:v>34</c:v>
                </c:pt>
                <c:pt idx="10">
                  <c:v>21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'22.07 Bulenga-Busega'!$V$9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'22.07 Bulenga-Busega'!$V$10:$V$21</c:f>
              <c:numCache>
                <c:formatCode>0</c:formatCode>
                <c:ptCount val="12"/>
                <c:pt idx="0">
                  <c:v>217</c:v>
                </c:pt>
                <c:pt idx="1">
                  <c:v>107</c:v>
                </c:pt>
                <c:pt idx="2">
                  <c:v>110</c:v>
                </c:pt>
                <c:pt idx="3">
                  <c:v>101</c:v>
                </c:pt>
                <c:pt idx="4">
                  <c:v>161</c:v>
                </c:pt>
                <c:pt idx="5">
                  <c:v>101</c:v>
                </c:pt>
                <c:pt idx="6">
                  <c:v>126</c:v>
                </c:pt>
                <c:pt idx="7">
                  <c:v>84</c:v>
                </c:pt>
                <c:pt idx="8">
                  <c:v>228</c:v>
                </c:pt>
                <c:pt idx="9">
                  <c:v>394</c:v>
                </c:pt>
                <c:pt idx="10">
                  <c:v>318</c:v>
                </c:pt>
                <c:pt idx="11">
                  <c:v>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'22.07 Bulenga-Busega'!$W$9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'22.07 Bulenga-Busega'!$W$10:$W$21</c:f>
              <c:numCache>
                <c:formatCode>0</c:formatCode>
                <c:ptCount val="12"/>
                <c:pt idx="0">
                  <c:v>11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5</c:v>
                </c:pt>
                <c:pt idx="9">
                  <c:v>1</c:v>
                </c:pt>
                <c:pt idx="10">
                  <c:v>8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'22.07 Bulenga-Busega'!$X$9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'22.07 Bulenga-Busega'!$X$10:$X$21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0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'22.07 Bulenga-Busega'!$Y$9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Bulenga-Busega'!$Y$10:$Y$21</c:f>
              <c:numCache>
                <c:formatCode>0</c:formatCode>
                <c:ptCount val="12"/>
                <c:pt idx="0">
                  <c:v>20</c:v>
                </c:pt>
                <c:pt idx="1">
                  <c:v>8</c:v>
                </c:pt>
                <c:pt idx="2">
                  <c:v>23</c:v>
                </c:pt>
                <c:pt idx="3">
                  <c:v>16</c:v>
                </c:pt>
                <c:pt idx="4">
                  <c:v>24</c:v>
                </c:pt>
                <c:pt idx="5">
                  <c:v>16</c:v>
                </c:pt>
                <c:pt idx="6">
                  <c:v>16</c:v>
                </c:pt>
                <c:pt idx="7">
                  <c:v>17</c:v>
                </c:pt>
                <c:pt idx="8">
                  <c:v>12</c:v>
                </c:pt>
                <c:pt idx="9">
                  <c:v>22</c:v>
                </c:pt>
                <c:pt idx="10">
                  <c:v>17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'22.07 Bulenga-Busega'!$Z$9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Bulenga-Busega'!$Z$10:$Z$21</c:f>
              <c:numCache>
                <c:formatCode>0</c:formatCode>
                <c:ptCount val="12"/>
                <c:pt idx="0">
                  <c:v>18</c:v>
                </c:pt>
                <c:pt idx="1">
                  <c:v>12</c:v>
                </c:pt>
                <c:pt idx="2">
                  <c:v>28</c:v>
                </c:pt>
                <c:pt idx="3">
                  <c:v>16</c:v>
                </c:pt>
                <c:pt idx="4">
                  <c:v>31</c:v>
                </c:pt>
                <c:pt idx="5">
                  <c:v>16</c:v>
                </c:pt>
                <c:pt idx="6">
                  <c:v>36</c:v>
                </c:pt>
                <c:pt idx="7">
                  <c:v>17</c:v>
                </c:pt>
                <c:pt idx="8">
                  <c:v>14</c:v>
                </c:pt>
                <c:pt idx="9">
                  <c:v>16</c:v>
                </c:pt>
                <c:pt idx="10">
                  <c:v>16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'22.07 Bulenga-Busega'!$AA$9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Bulenga-Busega'!$AA$10:$AA$21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3</c:v>
                </c:pt>
                <c:pt idx="7">
                  <c:v>1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'22.07 Bulenga-Busega'!$AB$9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Bulenga-Busega'!$AB$10:$AB$21</c:f>
              <c:numCache>
                <c:formatCode>0</c:formatCode>
                <c:ptCount val="12"/>
                <c:pt idx="0">
                  <c:v>8</c:v>
                </c:pt>
                <c:pt idx="1">
                  <c:v>2</c:v>
                </c:pt>
                <c:pt idx="2">
                  <c:v>6</c:v>
                </c:pt>
                <c:pt idx="3">
                  <c:v>4</c:v>
                </c:pt>
                <c:pt idx="4">
                  <c:v>9</c:v>
                </c:pt>
                <c:pt idx="5">
                  <c:v>4</c:v>
                </c:pt>
                <c:pt idx="6">
                  <c:v>9</c:v>
                </c:pt>
                <c:pt idx="7">
                  <c:v>7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'22.07 Bulenga-Busega'!$AC$9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Bulenga-Busega'!$AC$10:$AC$21</c:f>
              <c:numCache>
                <c:formatCode>0</c:formatCode>
                <c:ptCount val="12"/>
                <c:pt idx="0">
                  <c:v>455</c:v>
                </c:pt>
                <c:pt idx="1">
                  <c:v>495</c:v>
                </c:pt>
                <c:pt idx="2">
                  <c:v>676</c:v>
                </c:pt>
                <c:pt idx="3">
                  <c:v>411</c:v>
                </c:pt>
                <c:pt idx="4">
                  <c:v>580</c:v>
                </c:pt>
                <c:pt idx="5">
                  <c:v>411</c:v>
                </c:pt>
                <c:pt idx="6">
                  <c:v>371</c:v>
                </c:pt>
                <c:pt idx="7">
                  <c:v>336</c:v>
                </c:pt>
                <c:pt idx="8">
                  <c:v>372</c:v>
                </c:pt>
                <c:pt idx="9">
                  <c:v>557</c:v>
                </c:pt>
                <c:pt idx="10">
                  <c:v>527</c:v>
                </c:pt>
                <c:pt idx="11">
                  <c:v>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'22.07 Bulenga-Busega'!$AD$9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Bulenga-Busega'!$AD$10:$AD$21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9145392"/>
        <c:axId val="-149155728"/>
      </c:lineChart>
      <c:catAx>
        <c:axId val="-149145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55728"/>
        <c:crosses val="autoZero"/>
        <c:auto val="1"/>
        <c:lblAlgn val="ctr"/>
        <c:lblOffset val="100"/>
        <c:noMultiLvlLbl val="0"/>
      </c:catAx>
      <c:valAx>
        <c:axId val="-1491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45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Bulenga-Busega'!$C$9:$N$9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Bulenga-Busega'!$C$60:$N$60</c:f>
              <c:numCache>
                <c:formatCode>0.00%</c:formatCode>
                <c:ptCount val="12"/>
                <c:pt idx="0">
                  <c:v>0.41092102989459134</c:v>
                </c:pt>
                <c:pt idx="1">
                  <c:v>3.2313806808363571E-2</c:v>
                </c:pt>
                <c:pt idx="2">
                  <c:v>5.2358735095904614E-2</c:v>
                </c:pt>
                <c:pt idx="3">
                  <c:v>0.4361499913599447</c:v>
                </c:pt>
                <c:pt idx="4">
                  <c:v>8.9856575082080531E-3</c:v>
                </c:pt>
                <c:pt idx="5">
                  <c:v>2.9376188007603247E-3</c:v>
                </c:pt>
                <c:pt idx="6">
                  <c:v>3.0585795749092794E-2</c:v>
                </c:pt>
                <c:pt idx="7">
                  <c:v>3.4214618973561428E-2</c:v>
                </c:pt>
                <c:pt idx="8">
                  <c:v>9.6768619319163637E-3</c:v>
                </c:pt>
                <c:pt idx="9">
                  <c:v>1.1750475203041299E-2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Busega-Bulenga'!$AE$9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Busega-Bulenga'!$R$10:$R$21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Busega-Bulenga'!$AE$10:$AE$21</c:f>
              <c:numCache>
                <c:formatCode>0</c:formatCode>
                <c:ptCount val="12"/>
                <c:pt idx="0">
                  <c:v>355</c:v>
                </c:pt>
                <c:pt idx="1">
                  <c:v>489</c:v>
                </c:pt>
                <c:pt idx="2">
                  <c:v>351</c:v>
                </c:pt>
                <c:pt idx="3">
                  <c:v>357</c:v>
                </c:pt>
                <c:pt idx="4">
                  <c:v>457</c:v>
                </c:pt>
                <c:pt idx="5">
                  <c:v>365</c:v>
                </c:pt>
                <c:pt idx="6">
                  <c:v>372</c:v>
                </c:pt>
                <c:pt idx="7">
                  <c:v>368</c:v>
                </c:pt>
                <c:pt idx="8">
                  <c:v>389</c:v>
                </c:pt>
                <c:pt idx="9">
                  <c:v>387</c:v>
                </c:pt>
                <c:pt idx="10">
                  <c:v>589</c:v>
                </c:pt>
                <c:pt idx="11">
                  <c:v>798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'23.07 Busega-Bulenga'!$AF$9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Busega-Bulenga'!$R$10:$R$21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Busega-Bulenga'!$AF$10:$AF$21</c:f>
              <c:numCache>
                <c:formatCode>0</c:formatCode>
                <c:ptCount val="12"/>
                <c:pt idx="0">
                  <c:v>1122</c:v>
                </c:pt>
                <c:pt idx="1">
                  <c:v>1423</c:v>
                </c:pt>
                <c:pt idx="2">
                  <c:v>1296</c:v>
                </c:pt>
                <c:pt idx="3">
                  <c:v>1307</c:v>
                </c:pt>
                <c:pt idx="4">
                  <c:v>1142</c:v>
                </c:pt>
                <c:pt idx="5">
                  <c:v>728</c:v>
                </c:pt>
                <c:pt idx="6">
                  <c:v>769</c:v>
                </c:pt>
                <c:pt idx="7">
                  <c:v>850</c:v>
                </c:pt>
                <c:pt idx="8">
                  <c:v>787</c:v>
                </c:pt>
                <c:pt idx="9">
                  <c:v>790</c:v>
                </c:pt>
                <c:pt idx="10">
                  <c:v>1381</c:v>
                </c:pt>
                <c:pt idx="11">
                  <c:v>1781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9149200"/>
        <c:axId val="-149141584"/>
      </c:lineChart>
      <c:catAx>
        <c:axId val="-1491492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41584"/>
        <c:crosses val="autoZero"/>
        <c:auto val="1"/>
        <c:lblAlgn val="ctr"/>
        <c:lblOffset val="100"/>
        <c:noMultiLvlLbl val="0"/>
      </c:catAx>
      <c:valAx>
        <c:axId val="-149141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49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Busega-Bulenga'!$C$9:$N$9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Busega-Bulenga'!$C$59:$N$59</c:f>
              <c:numCache>
                <c:formatCode>0.0%</c:formatCode>
                <c:ptCount val="12"/>
                <c:pt idx="0">
                  <c:v>0.17314593301435408</c:v>
                </c:pt>
                <c:pt idx="1">
                  <c:v>2.4446770334928231E-2</c:v>
                </c:pt>
                <c:pt idx="2">
                  <c:v>1.6821172248803827E-2</c:v>
                </c:pt>
                <c:pt idx="3">
                  <c:v>0.10436602870813397</c:v>
                </c:pt>
                <c:pt idx="4">
                  <c:v>3.3642344497607658E-3</c:v>
                </c:pt>
                <c:pt idx="5">
                  <c:v>1.5699760765550239E-3</c:v>
                </c:pt>
                <c:pt idx="6">
                  <c:v>3.3642344497607654E-2</c:v>
                </c:pt>
                <c:pt idx="7">
                  <c:v>2.3923444976076555E-2</c:v>
                </c:pt>
                <c:pt idx="8">
                  <c:v>7.0275119617224883E-3</c:v>
                </c:pt>
                <c:pt idx="9">
                  <c:v>6.2051435406698567E-3</c:v>
                </c:pt>
                <c:pt idx="10">
                  <c:v>0.60548744019138756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Busega-Bulenga'!$S$9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Busega-Bulenga'!$R$10:$R$21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Busega-Bulenga'!$S$10:$S$21</c:f>
              <c:numCache>
                <c:formatCode>0</c:formatCode>
                <c:ptCount val="12"/>
                <c:pt idx="0">
                  <c:v>150</c:v>
                </c:pt>
                <c:pt idx="1">
                  <c:v>188</c:v>
                </c:pt>
                <c:pt idx="2">
                  <c:v>152</c:v>
                </c:pt>
                <c:pt idx="3">
                  <c:v>133</c:v>
                </c:pt>
                <c:pt idx="4">
                  <c:v>176</c:v>
                </c:pt>
                <c:pt idx="5">
                  <c:v>135</c:v>
                </c:pt>
                <c:pt idx="6">
                  <c:v>141</c:v>
                </c:pt>
                <c:pt idx="7">
                  <c:v>156</c:v>
                </c:pt>
                <c:pt idx="8">
                  <c:v>168</c:v>
                </c:pt>
                <c:pt idx="9">
                  <c:v>143</c:v>
                </c:pt>
                <c:pt idx="10">
                  <c:v>346</c:v>
                </c:pt>
                <c:pt idx="11">
                  <c:v>428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'23.07 Busega-Bulenga'!$T$9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Busega-Bulenga'!$R$10:$R$21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Busega-Bulenga'!$T$10:$T$21</c:f>
              <c:numCache>
                <c:formatCode>0</c:formatCode>
                <c:ptCount val="12"/>
                <c:pt idx="0">
                  <c:v>29</c:v>
                </c:pt>
                <c:pt idx="1">
                  <c:v>32</c:v>
                </c:pt>
                <c:pt idx="2">
                  <c:v>14</c:v>
                </c:pt>
                <c:pt idx="3">
                  <c:v>23</c:v>
                </c:pt>
                <c:pt idx="4">
                  <c:v>22</c:v>
                </c:pt>
                <c:pt idx="5">
                  <c:v>30</c:v>
                </c:pt>
                <c:pt idx="6">
                  <c:v>31</c:v>
                </c:pt>
                <c:pt idx="7">
                  <c:v>17</c:v>
                </c:pt>
                <c:pt idx="8">
                  <c:v>23</c:v>
                </c:pt>
                <c:pt idx="9">
                  <c:v>28</c:v>
                </c:pt>
                <c:pt idx="10">
                  <c:v>31</c:v>
                </c:pt>
                <c:pt idx="11">
                  <c:v>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'23.07 Busega-Bulenga'!$U$9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Busega-Bulenga'!$U$10:$U$21</c:f>
              <c:numCache>
                <c:formatCode>0</c:formatCode>
                <c:ptCount val="12"/>
                <c:pt idx="0">
                  <c:v>24</c:v>
                </c:pt>
                <c:pt idx="1">
                  <c:v>22</c:v>
                </c:pt>
                <c:pt idx="2">
                  <c:v>14</c:v>
                </c:pt>
                <c:pt idx="3">
                  <c:v>19</c:v>
                </c:pt>
                <c:pt idx="4">
                  <c:v>22</c:v>
                </c:pt>
                <c:pt idx="5">
                  <c:v>14</c:v>
                </c:pt>
                <c:pt idx="6">
                  <c:v>20</c:v>
                </c:pt>
                <c:pt idx="7">
                  <c:v>17</c:v>
                </c:pt>
                <c:pt idx="8">
                  <c:v>16</c:v>
                </c:pt>
                <c:pt idx="9">
                  <c:v>22</c:v>
                </c:pt>
                <c:pt idx="10">
                  <c:v>17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'23.07 Busega-Bulenga'!$V$9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Busega-Bulenga'!$V$10:$V$21</c:f>
              <c:numCache>
                <c:formatCode>0</c:formatCode>
                <c:ptCount val="12"/>
                <c:pt idx="0">
                  <c:v>101</c:v>
                </c:pt>
                <c:pt idx="1">
                  <c:v>179</c:v>
                </c:pt>
                <c:pt idx="2">
                  <c:v>100</c:v>
                </c:pt>
                <c:pt idx="3">
                  <c:v>97</c:v>
                </c:pt>
                <c:pt idx="4">
                  <c:v>138</c:v>
                </c:pt>
                <c:pt idx="5">
                  <c:v>92</c:v>
                </c:pt>
                <c:pt idx="6">
                  <c:v>94</c:v>
                </c:pt>
                <c:pt idx="7">
                  <c:v>103</c:v>
                </c:pt>
                <c:pt idx="8">
                  <c:v>83</c:v>
                </c:pt>
                <c:pt idx="9">
                  <c:v>96</c:v>
                </c:pt>
                <c:pt idx="10">
                  <c:v>121</c:v>
                </c:pt>
                <c:pt idx="11">
                  <c:v>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'23.07 Busega-Bulenga'!$W$9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Busega-Bulenga'!$W$10:$W$21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5</c:v>
                </c:pt>
                <c:pt idx="3">
                  <c:v>4</c:v>
                </c:pt>
                <c:pt idx="4">
                  <c:v>5</c:v>
                </c:pt>
                <c:pt idx="5">
                  <c:v>7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4</c:v>
                </c:pt>
                <c:pt idx="10">
                  <c:v>4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'23.07 Busega-Bulenga'!$X$9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Busega-Bulenga'!$X$10:$X$21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'23.07 Busega-Bulenga'!$Y$9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Busega-Bulenga'!$Y$10:$Y$21</c:f>
              <c:numCache>
                <c:formatCode>0</c:formatCode>
                <c:ptCount val="12"/>
                <c:pt idx="0">
                  <c:v>24</c:v>
                </c:pt>
                <c:pt idx="1">
                  <c:v>24</c:v>
                </c:pt>
                <c:pt idx="2">
                  <c:v>35</c:v>
                </c:pt>
                <c:pt idx="3">
                  <c:v>47</c:v>
                </c:pt>
                <c:pt idx="4">
                  <c:v>43</c:v>
                </c:pt>
                <c:pt idx="5">
                  <c:v>37</c:v>
                </c:pt>
                <c:pt idx="6">
                  <c:v>43</c:v>
                </c:pt>
                <c:pt idx="7">
                  <c:v>38</c:v>
                </c:pt>
                <c:pt idx="8">
                  <c:v>38</c:v>
                </c:pt>
                <c:pt idx="9">
                  <c:v>46</c:v>
                </c:pt>
                <c:pt idx="10">
                  <c:v>31</c:v>
                </c:pt>
                <c:pt idx="1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'23.07 Busega-Bulenga'!$Z$9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Busega-Bulenga'!$Z$10:$Z$21</c:f>
              <c:numCache>
                <c:formatCode>0</c:formatCode>
                <c:ptCount val="12"/>
                <c:pt idx="0">
                  <c:v>18</c:v>
                </c:pt>
                <c:pt idx="1">
                  <c:v>28</c:v>
                </c:pt>
                <c:pt idx="2">
                  <c:v>20</c:v>
                </c:pt>
                <c:pt idx="3">
                  <c:v>23</c:v>
                </c:pt>
                <c:pt idx="4">
                  <c:v>32</c:v>
                </c:pt>
                <c:pt idx="5">
                  <c:v>34</c:v>
                </c:pt>
                <c:pt idx="6">
                  <c:v>25</c:v>
                </c:pt>
                <c:pt idx="7">
                  <c:v>21</c:v>
                </c:pt>
                <c:pt idx="8">
                  <c:v>28</c:v>
                </c:pt>
                <c:pt idx="9">
                  <c:v>27</c:v>
                </c:pt>
                <c:pt idx="10">
                  <c:v>22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'23.07 Busega-Bulenga'!$AA$9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Busega-Bulenga'!$AA$10:$AA$21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6</c:v>
                </c:pt>
                <c:pt idx="4">
                  <c:v>9</c:v>
                </c:pt>
                <c:pt idx="5">
                  <c:v>4</c:v>
                </c:pt>
                <c:pt idx="6">
                  <c:v>9</c:v>
                </c:pt>
                <c:pt idx="7">
                  <c:v>8</c:v>
                </c:pt>
                <c:pt idx="8">
                  <c:v>16</c:v>
                </c:pt>
                <c:pt idx="9">
                  <c:v>8</c:v>
                </c:pt>
                <c:pt idx="10">
                  <c:v>10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'23.07 Busega-Bulenga'!$AB$9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Busega-Bulenga'!$AB$10:$AB$21</c:f>
              <c:numCache>
                <c:formatCode>0</c:formatCode>
                <c:ptCount val="12"/>
                <c:pt idx="0">
                  <c:v>4</c:v>
                </c:pt>
                <c:pt idx="1">
                  <c:v>8</c:v>
                </c:pt>
                <c:pt idx="2">
                  <c:v>2</c:v>
                </c:pt>
                <c:pt idx="3">
                  <c:v>3</c:v>
                </c:pt>
                <c:pt idx="4">
                  <c:v>8</c:v>
                </c:pt>
                <c:pt idx="5">
                  <c:v>9</c:v>
                </c:pt>
                <c:pt idx="6">
                  <c:v>7</c:v>
                </c:pt>
                <c:pt idx="7">
                  <c:v>5</c:v>
                </c:pt>
                <c:pt idx="8">
                  <c:v>14</c:v>
                </c:pt>
                <c:pt idx="9">
                  <c:v>11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'23.07 Busega-Bulenga'!$AC$9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Busega-Bulenga'!$AC$10:$AC$21</c:f>
              <c:numCache>
                <c:formatCode>0</c:formatCode>
                <c:ptCount val="12"/>
                <c:pt idx="0">
                  <c:v>767</c:v>
                </c:pt>
                <c:pt idx="1">
                  <c:v>934</c:v>
                </c:pt>
                <c:pt idx="2">
                  <c:v>945</c:v>
                </c:pt>
                <c:pt idx="3">
                  <c:v>950</c:v>
                </c:pt>
                <c:pt idx="4">
                  <c:v>685</c:v>
                </c:pt>
                <c:pt idx="5">
                  <c:v>363</c:v>
                </c:pt>
                <c:pt idx="6">
                  <c:v>397</c:v>
                </c:pt>
                <c:pt idx="7">
                  <c:v>482</c:v>
                </c:pt>
                <c:pt idx="8">
                  <c:v>398</c:v>
                </c:pt>
                <c:pt idx="9">
                  <c:v>403</c:v>
                </c:pt>
                <c:pt idx="10">
                  <c:v>792</c:v>
                </c:pt>
                <c:pt idx="11">
                  <c:v>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'23.07 Busega-Bulenga'!$AD$9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Busega-Bulenga'!$AD$10:$AD$21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9140496"/>
        <c:axId val="-149154640"/>
      </c:lineChart>
      <c:catAx>
        <c:axId val="-149140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54640"/>
        <c:crosses val="autoZero"/>
        <c:auto val="1"/>
        <c:lblAlgn val="ctr"/>
        <c:lblOffset val="100"/>
        <c:noMultiLvlLbl val="0"/>
      </c:catAx>
      <c:valAx>
        <c:axId val="-14915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40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Busega-Bulenga'!$C$9:$N$9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Busega-Bulenga'!$C$60:$N$60</c:f>
              <c:numCache>
                <c:formatCode>0.00%</c:formatCode>
                <c:ptCount val="12"/>
                <c:pt idx="0">
                  <c:v>0.43888573052870949</c:v>
                </c:pt>
                <c:pt idx="1">
                  <c:v>6.196702671972712E-2</c:v>
                </c:pt>
                <c:pt idx="2">
                  <c:v>4.2637862421830583E-2</c:v>
                </c:pt>
                <c:pt idx="3">
                  <c:v>0.26454424862611331</c:v>
                </c:pt>
                <c:pt idx="4">
                  <c:v>8.5275724843661173E-3</c:v>
                </c:pt>
                <c:pt idx="5">
                  <c:v>3.9795338260375217E-3</c:v>
                </c:pt>
                <c:pt idx="6">
                  <c:v>8.5275724843661166E-2</c:v>
                </c:pt>
                <c:pt idx="7">
                  <c:v>6.0640515444381274E-2</c:v>
                </c:pt>
                <c:pt idx="8">
                  <c:v>1.7813151411787E-2</c:v>
                </c:pt>
                <c:pt idx="9">
                  <c:v>1.5728633693386392E-2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Bulenga-Busega'!$AE$9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Bulenga-Busega'!$R$10:$R$21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Bulenga-Busega'!$AE$10:$AE$21</c:f>
              <c:numCache>
                <c:formatCode>0</c:formatCode>
                <c:ptCount val="12"/>
                <c:pt idx="0">
                  <c:v>848</c:v>
                </c:pt>
                <c:pt idx="1">
                  <c:v>526</c:v>
                </c:pt>
                <c:pt idx="2">
                  <c:v>478</c:v>
                </c:pt>
                <c:pt idx="3">
                  <c:v>430</c:v>
                </c:pt>
                <c:pt idx="4">
                  <c:v>512</c:v>
                </c:pt>
                <c:pt idx="5">
                  <c:v>357</c:v>
                </c:pt>
                <c:pt idx="6">
                  <c:v>346</c:v>
                </c:pt>
                <c:pt idx="7">
                  <c:v>304</c:v>
                </c:pt>
                <c:pt idx="8">
                  <c:v>405</c:v>
                </c:pt>
                <c:pt idx="9">
                  <c:v>311</c:v>
                </c:pt>
                <c:pt idx="10">
                  <c:v>424</c:v>
                </c:pt>
                <c:pt idx="11">
                  <c:v>511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'23.07 Bulenga-Busega'!$AF$9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Bulenga-Busega'!$R$10:$R$21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Bulenga-Busega'!$AF$10:$AF$21</c:f>
              <c:numCache>
                <c:formatCode>0</c:formatCode>
                <c:ptCount val="12"/>
                <c:pt idx="0">
                  <c:v>1656</c:v>
                </c:pt>
                <c:pt idx="1">
                  <c:v>1240</c:v>
                </c:pt>
                <c:pt idx="2">
                  <c:v>1279</c:v>
                </c:pt>
                <c:pt idx="3">
                  <c:v>1038</c:v>
                </c:pt>
                <c:pt idx="4">
                  <c:v>1221</c:v>
                </c:pt>
                <c:pt idx="5">
                  <c:v>864</c:v>
                </c:pt>
                <c:pt idx="6">
                  <c:v>771</c:v>
                </c:pt>
                <c:pt idx="7">
                  <c:v>609</c:v>
                </c:pt>
                <c:pt idx="8">
                  <c:v>1126</c:v>
                </c:pt>
                <c:pt idx="9">
                  <c:v>843</c:v>
                </c:pt>
                <c:pt idx="10">
                  <c:v>1102</c:v>
                </c:pt>
                <c:pt idx="11">
                  <c:v>1281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9148656"/>
        <c:axId val="-149149744"/>
      </c:lineChart>
      <c:catAx>
        <c:axId val="-149148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49744"/>
        <c:crosses val="autoZero"/>
        <c:auto val="1"/>
        <c:lblAlgn val="ctr"/>
        <c:lblOffset val="100"/>
        <c:noMultiLvlLbl val="0"/>
      </c:catAx>
      <c:valAx>
        <c:axId val="-1491497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48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Bulenga-Busega'!$C$9:$N$9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Bulenga-Busega'!$C$59:$N$59</c:f>
              <c:numCache>
                <c:formatCode>0.0%</c:formatCode>
                <c:ptCount val="12"/>
                <c:pt idx="0">
                  <c:v>0.15264773599386033</c:v>
                </c:pt>
                <c:pt idx="1">
                  <c:v>1.7191097467382961E-2</c:v>
                </c:pt>
                <c:pt idx="2">
                  <c:v>2.2409823484267077E-2</c:v>
                </c:pt>
                <c:pt idx="3">
                  <c:v>0.1831926323867997</c:v>
                </c:pt>
                <c:pt idx="4">
                  <c:v>2.3023791250959325E-3</c:v>
                </c:pt>
                <c:pt idx="5">
                  <c:v>7.6745970836531081E-4</c:v>
                </c:pt>
                <c:pt idx="6">
                  <c:v>7.214121258633922E-3</c:v>
                </c:pt>
                <c:pt idx="7">
                  <c:v>2.3791250959324637E-2</c:v>
                </c:pt>
                <c:pt idx="8">
                  <c:v>2.4558710667689945E-3</c:v>
                </c:pt>
                <c:pt idx="9">
                  <c:v>6.4466615502686113E-3</c:v>
                </c:pt>
                <c:pt idx="10">
                  <c:v>0.58158096699923256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Bulenga-Busega'!$S$9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Bulenga-Busega'!$R$10:$R$21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Bulenga-Busega'!$S$10:$S$21</c:f>
              <c:numCache>
                <c:formatCode>0</c:formatCode>
                <c:ptCount val="12"/>
                <c:pt idx="0">
                  <c:v>305</c:v>
                </c:pt>
                <c:pt idx="1">
                  <c:v>226</c:v>
                </c:pt>
                <c:pt idx="2">
                  <c:v>165</c:v>
                </c:pt>
                <c:pt idx="3">
                  <c:v>159</c:v>
                </c:pt>
                <c:pt idx="4">
                  <c:v>164</c:v>
                </c:pt>
                <c:pt idx="5">
                  <c:v>128</c:v>
                </c:pt>
                <c:pt idx="6">
                  <c:v>118</c:v>
                </c:pt>
                <c:pt idx="7">
                  <c:v>85</c:v>
                </c:pt>
                <c:pt idx="8">
                  <c:v>159</c:v>
                </c:pt>
                <c:pt idx="9">
                  <c:v>103</c:v>
                </c:pt>
                <c:pt idx="10">
                  <c:v>161</c:v>
                </c:pt>
                <c:pt idx="11">
                  <c:v>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'23.07 Bulenga-Busega'!$T$9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Bulenga-Busega'!$R$10:$R$21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Bulenga-Busega'!$T$10:$T$21</c:f>
              <c:numCache>
                <c:formatCode>0</c:formatCode>
                <c:ptCount val="12"/>
                <c:pt idx="0">
                  <c:v>44</c:v>
                </c:pt>
                <c:pt idx="1">
                  <c:v>17</c:v>
                </c:pt>
                <c:pt idx="2">
                  <c:v>29</c:v>
                </c:pt>
                <c:pt idx="3">
                  <c:v>19</c:v>
                </c:pt>
                <c:pt idx="4">
                  <c:v>12</c:v>
                </c:pt>
                <c:pt idx="5">
                  <c:v>15</c:v>
                </c:pt>
                <c:pt idx="6">
                  <c:v>19</c:v>
                </c:pt>
                <c:pt idx="7">
                  <c:v>10</c:v>
                </c:pt>
                <c:pt idx="8">
                  <c:v>14</c:v>
                </c:pt>
                <c:pt idx="9">
                  <c:v>14</c:v>
                </c:pt>
                <c:pt idx="10">
                  <c:v>13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'23.07 Bulenga-Busega'!$U$9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Bulenga-Busega'!$U$10:$U$21</c:f>
              <c:numCache>
                <c:formatCode>0</c:formatCode>
                <c:ptCount val="12"/>
                <c:pt idx="0">
                  <c:v>39</c:v>
                </c:pt>
                <c:pt idx="1">
                  <c:v>34</c:v>
                </c:pt>
                <c:pt idx="2">
                  <c:v>39</c:v>
                </c:pt>
                <c:pt idx="3">
                  <c:v>24</c:v>
                </c:pt>
                <c:pt idx="4">
                  <c:v>19</c:v>
                </c:pt>
                <c:pt idx="5">
                  <c:v>20</c:v>
                </c:pt>
                <c:pt idx="6">
                  <c:v>7</c:v>
                </c:pt>
                <c:pt idx="7">
                  <c:v>23</c:v>
                </c:pt>
                <c:pt idx="8">
                  <c:v>16</c:v>
                </c:pt>
                <c:pt idx="9">
                  <c:v>24</c:v>
                </c:pt>
                <c:pt idx="10">
                  <c:v>30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'23.07 Bulenga-Busega'!$V$9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Bulenga-Busega'!$V$10:$V$21</c:f>
              <c:numCache>
                <c:formatCode>0</c:formatCode>
                <c:ptCount val="12"/>
                <c:pt idx="0">
                  <c:v>395</c:v>
                </c:pt>
                <c:pt idx="1">
                  <c:v>216</c:v>
                </c:pt>
                <c:pt idx="2">
                  <c:v>201</c:v>
                </c:pt>
                <c:pt idx="3">
                  <c:v>182</c:v>
                </c:pt>
                <c:pt idx="4">
                  <c:v>275</c:v>
                </c:pt>
                <c:pt idx="5">
                  <c:v>143</c:v>
                </c:pt>
                <c:pt idx="6">
                  <c:v>154</c:v>
                </c:pt>
                <c:pt idx="7">
                  <c:v>147</c:v>
                </c:pt>
                <c:pt idx="8">
                  <c:v>152</c:v>
                </c:pt>
                <c:pt idx="9">
                  <c:v>127</c:v>
                </c:pt>
                <c:pt idx="10">
                  <c:v>167</c:v>
                </c:pt>
                <c:pt idx="11">
                  <c:v>228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'23.07 Bulenga-Busega'!$W$9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Bulenga-Busega'!$W$10:$W$21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6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'23.07 Bulenga-Busega'!$X$9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Bulenga-Busega'!$X$10:$X$21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'23.07 Bulenga-Busega'!$Y$9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Bulenga-Busega'!$Y$10:$Y$21</c:f>
              <c:numCache>
                <c:formatCode>0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4</c:v>
                </c:pt>
                <c:pt idx="3">
                  <c:v>8</c:v>
                </c:pt>
                <c:pt idx="4">
                  <c:v>5</c:v>
                </c:pt>
                <c:pt idx="5">
                  <c:v>12</c:v>
                </c:pt>
                <c:pt idx="6">
                  <c:v>3</c:v>
                </c:pt>
                <c:pt idx="7">
                  <c:v>10</c:v>
                </c:pt>
                <c:pt idx="8">
                  <c:v>7</c:v>
                </c:pt>
                <c:pt idx="9">
                  <c:v>11</c:v>
                </c:pt>
                <c:pt idx="10">
                  <c:v>8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'23.07 Bulenga-Busega'!$Z$9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Bulenga-Busega'!$Z$10:$Z$21</c:f>
              <c:numCache>
                <c:formatCode>0</c:formatCode>
                <c:ptCount val="12"/>
                <c:pt idx="0">
                  <c:v>38</c:v>
                </c:pt>
                <c:pt idx="1">
                  <c:v>18</c:v>
                </c:pt>
                <c:pt idx="2">
                  <c:v>29</c:v>
                </c:pt>
                <c:pt idx="3">
                  <c:v>27</c:v>
                </c:pt>
                <c:pt idx="4">
                  <c:v>25</c:v>
                </c:pt>
                <c:pt idx="5">
                  <c:v>29</c:v>
                </c:pt>
                <c:pt idx="6">
                  <c:v>28</c:v>
                </c:pt>
                <c:pt idx="7">
                  <c:v>14</c:v>
                </c:pt>
                <c:pt idx="8">
                  <c:v>43</c:v>
                </c:pt>
                <c:pt idx="9">
                  <c:v>20</c:v>
                </c:pt>
                <c:pt idx="10">
                  <c:v>25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'23.07 Bulenga-Busega'!$AA$9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Bulenga-Busega'!$AA$10:$AA$21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1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'23.07 Bulenga-Busega'!$AB$9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Bulenga-Busega'!$AB$10:$AB$21</c:f>
              <c:numCache>
                <c:formatCode>0</c:formatCode>
                <c:ptCount val="12"/>
                <c:pt idx="0">
                  <c:v>12</c:v>
                </c:pt>
                <c:pt idx="1">
                  <c:v>5</c:v>
                </c:pt>
                <c:pt idx="2">
                  <c:v>5</c:v>
                </c:pt>
                <c:pt idx="3">
                  <c:v>3</c:v>
                </c:pt>
                <c:pt idx="4">
                  <c:v>8</c:v>
                </c:pt>
                <c:pt idx="5">
                  <c:v>6</c:v>
                </c:pt>
                <c:pt idx="6">
                  <c:v>7</c:v>
                </c:pt>
                <c:pt idx="7">
                  <c:v>10</c:v>
                </c:pt>
                <c:pt idx="8">
                  <c:v>9</c:v>
                </c:pt>
                <c:pt idx="9">
                  <c:v>8</c:v>
                </c:pt>
                <c:pt idx="10">
                  <c:v>4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'23.07 Bulenga-Busega'!$AC$9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Bulenga-Busega'!$AC$10:$AC$21</c:f>
              <c:numCache>
                <c:formatCode>0</c:formatCode>
                <c:ptCount val="12"/>
                <c:pt idx="0">
                  <c:v>808</c:v>
                </c:pt>
                <c:pt idx="1">
                  <c:v>714</c:v>
                </c:pt>
                <c:pt idx="2">
                  <c:v>801</c:v>
                </c:pt>
                <c:pt idx="3">
                  <c:v>608</c:v>
                </c:pt>
                <c:pt idx="4">
                  <c:v>709</c:v>
                </c:pt>
                <c:pt idx="5">
                  <c:v>507</c:v>
                </c:pt>
                <c:pt idx="6">
                  <c:v>425</c:v>
                </c:pt>
                <c:pt idx="7">
                  <c:v>305</c:v>
                </c:pt>
                <c:pt idx="8">
                  <c:v>721</c:v>
                </c:pt>
                <c:pt idx="9">
                  <c:v>532</c:v>
                </c:pt>
                <c:pt idx="10">
                  <c:v>678</c:v>
                </c:pt>
                <c:pt idx="11">
                  <c:v>770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'23.07 Bulenga-Busega'!$AD$9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Bulenga-Busega'!$AD$10:$AD$21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8279776"/>
        <c:axId val="-148283584"/>
      </c:lineChart>
      <c:catAx>
        <c:axId val="-148279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8283584"/>
        <c:crosses val="autoZero"/>
        <c:auto val="1"/>
        <c:lblAlgn val="ctr"/>
        <c:lblOffset val="100"/>
        <c:noMultiLvlLbl val="0"/>
      </c:catAx>
      <c:valAx>
        <c:axId val="-14828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8279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Bulenga-Busega'!$C$9:$N$9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Bulenga-Busega'!$C$60:$N$60</c:f>
              <c:numCache>
                <c:formatCode>0.00%</c:formatCode>
                <c:ptCount val="12"/>
                <c:pt idx="0">
                  <c:v>0.36482024944974323</c:v>
                </c:pt>
                <c:pt idx="1">
                  <c:v>4.1085840058694055E-2</c:v>
                </c:pt>
                <c:pt idx="2">
                  <c:v>5.355832721936904E-2</c:v>
                </c:pt>
                <c:pt idx="3">
                  <c:v>0.43782098312545853</c:v>
                </c:pt>
                <c:pt idx="4">
                  <c:v>5.5025678650036684E-3</c:v>
                </c:pt>
                <c:pt idx="5">
                  <c:v>1.8341892883345561E-3</c:v>
                </c:pt>
                <c:pt idx="6">
                  <c:v>1.7241379310344827E-2</c:v>
                </c:pt>
                <c:pt idx="7">
                  <c:v>5.6859867938371243E-2</c:v>
                </c:pt>
                <c:pt idx="8">
                  <c:v>5.8694057226705799E-3</c:v>
                </c:pt>
                <c:pt idx="9">
                  <c:v>1.5407190022010272E-2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Busega-Bulenga'!$AE$9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Busega-Bulenga'!$R$10:$R$21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Busega-Bulenga'!$AE$10:$AE$21</c:f>
              <c:numCache>
                <c:formatCode>0</c:formatCode>
                <c:ptCount val="12"/>
                <c:pt idx="0">
                  <c:v>312</c:v>
                </c:pt>
                <c:pt idx="1">
                  <c:v>345</c:v>
                </c:pt>
                <c:pt idx="2">
                  <c:v>350</c:v>
                </c:pt>
                <c:pt idx="3">
                  <c:v>409</c:v>
                </c:pt>
                <c:pt idx="4">
                  <c:v>349</c:v>
                </c:pt>
                <c:pt idx="5">
                  <c:v>374</c:v>
                </c:pt>
                <c:pt idx="6">
                  <c:v>362</c:v>
                </c:pt>
                <c:pt idx="7">
                  <c:v>323</c:v>
                </c:pt>
                <c:pt idx="8">
                  <c:v>407</c:v>
                </c:pt>
                <c:pt idx="9">
                  <c:v>395</c:v>
                </c:pt>
                <c:pt idx="10">
                  <c:v>784</c:v>
                </c:pt>
                <c:pt idx="11">
                  <c:v>904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'24.07 Busega-Bulenga'!$AF$9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Busega-Bulenga'!$R$10:$R$21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Busega-Bulenga'!$AF$10:$AF$21</c:f>
              <c:numCache>
                <c:formatCode>0</c:formatCode>
                <c:ptCount val="12"/>
                <c:pt idx="0">
                  <c:v>1094</c:v>
                </c:pt>
                <c:pt idx="1">
                  <c:v>1307</c:v>
                </c:pt>
                <c:pt idx="2">
                  <c:v>1261</c:v>
                </c:pt>
                <c:pt idx="3">
                  <c:v>1206</c:v>
                </c:pt>
                <c:pt idx="4">
                  <c:v>973</c:v>
                </c:pt>
                <c:pt idx="5">
                  <c:v>1144</c:v>
                </c:pt>
                <c:pt idx="6">
                  <c:v>1061</c:v>
                </c:pt>
                <c:pt idx="7">
                  <c:v>853</c:v>
                </c:pt>
                <c:pt idx="8">
                  <c:v>1136</c:v>
                </c:pt>
                <c:pt idx="9">
                  <c:v>1456</c:v>
                </c:pt>
                <c:pt idx="10">
                  <c:v>1958</c:v>
                </c:pt>
                <c:pt idx="11">
                  <c:v>1939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8277600"/>
        <c:axId val="-148281952"/>
      </c:lineChart>
      <c:catAx>
        <c:axId val="-1482776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8281952"/>
        <c:crosses val="autoZero"/>
        <c:auto val="1"/>
        <c:lblAlgn val="ctr"/>
        <c:lblOffset val="100"/>
        <c:noMultiLvlLbl val="0"/>
      </c:catAx>
      <c:valAx>
        <c:axId val="-1482819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8277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Busega-Bulenga'!$C$9:$N$9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Busega-Bulenga'!$C$59:$N$59</c:f>
              <c:numCache>
                <c:formatCode>0.0%</c:formatCode>
                <c:ptCount val="12"/>
                <c:pt idx="0">
                  <c:v>0.15791525864309852</c:v>
                </c:pt>
                <c:pt idx="1">
                  <c:v>1.7351182739797244E-2</c:v>
                </c:pt>
                <c:pt idx="2">
                  <c:v>1.286716922277099E-2</c:v>
                </c:pt>
                <c:pt idx="3">
                  <c:v>8.7990642058747071E-2</c:v>
                </c:pt>
                <c:pt idx="4">
                  <c:v>2.5344424226670134E-3</c:v>
                </c:pt>
                <c:pt idx="5">
                  <c:v>1.884585391213933E-3</c:v>
                </c:pt>
                <c:pt idx="6">
                  <c:v>2.839875227449961E-2</c:v>
                </c:pt>
                <c:pt idx="7">
                  <c:v>2.3979724460618666E-2</c:v>
                </c:pt>
                <c:pt idx="8">
                  <c:v>5.8487132830777229E-3</c:v>
                </c:pt>
                <c:pt idx="9">
                  <c:v>6.5635560176761113E-3</c:v>
                </c:pt>
                <c:pt idx="10">
                  <c:v>0.65466597348583311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Busega-Bulenga'!$S$9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'24.07 Busega-Bulenga'!$R$10:$R$21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Busega-Bulenga'!$S$10:$S$21</c:f>
              <c:numCache>
                <c:formatCode>0</c:formatCode>
                <c:ptCount val="12"/>
                <c:pt idx="0">
                  <c:v>119</c:v>
                </c:pt>
                <c:pt idx="1">
                  <c:v>126</c:v>
                </c:pt>
                <c:pt idx="2">
                  <c:v>121</c:v>
                </c:pt>
                <c:pt idx="3">
                  <c:v>162</c:v>
                </c:pt>
                <c:pt idx="4">
                  <c:v>110</c:v>
                </c:pt>
                <c:pt idx="5">
                  <c:v>148</c:v>
                </c:pt>
                <c:pt idx="6">
                  <c:v>131</c:v>
                </c:pt>
                <c:pt idx="7">
                  <c:v>129</c:v>
                </c:pt>
                <c:pt idx="8">
                  <c:v>194</c:v>
                </c:pt>
                <c:pt idx="9">
                  <c:v>187</c:v>
                </c:pt>
                <c:pt idx="10">
                  <c:v>482</c:v>
                </c:pt>
                <c:pt idx="11">
                  <c:v>521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'24.07 Busega-Bulenga'!$T$9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'24.07 Busega-Bulenga'!$R$10:$R$21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Busega-Bulenga'!$T$10:$T$21</c:f>
              <c:numCache>
                <c:formatCode>0</c:formatCode>
                <c:ptCount val="12"/>
                <c:pt idx="0">
                  <c:v>22</c:v>
                </c:pt>
                <c:pt idx="1">
                  <c:v>17</c:v>
                </c:pt>
                <c:pt idx="2">
                  <c:v>20</c:v>
                </c:pt>
                <c:pt idx="3">
                  <c:v>22</c:v>
                </c:pt>
                <c:pt idx="4">
                  <c:v>19</c:v>
                </c:pt>
                <c:pt idx="5">
                  <c:v>23</c:v>
                </c:pt>
                <c:pt idx="6">
                  <c:v>24</c:v>
                </c:pt>
                <c:pt idx="7">
                  <c:v>20</c:v>
                </c:pt>
                <c:pt idx="8">
                  <c:v>12</c:v>
                </c:pt>
                <c:pt idx="9">
                  <c:v>16</c:v>
                </c:pt>
                <c:pt idx="10">
                  <c:v>44</c:v>
                </c:pt>
                <c:pt idx="11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'24.07 Busega-Bulenga'!$U$9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'24.07 Busega-Bulenga'!$U$10:$U$21</c:f>
              <c:numCache>
                <c:formatCode>0</c:formatCode>
                <c:ptCount val="12"/>
                <c:pt idx="0">
                  <c:v>9</c:v>
                </c:pt>
                <c:pt idx="1">
                  <c:v>13</c:v>
                </c:pt>
                <c:pt idx="2">
                  <c:v>7</c:v>
                </c:pt>
                <c:pt idx="3">
                  <c:v>32</c:v>
                </c:pt>
                <c:pt idx="4">
                  <c:v>11</c:v>
                </c:pt>
                <c:pt idx="5">
                  <c:v>18</c:v>
                </c:pt>
                <c:pt idx="6">
                  <c:v>13</c:v>
                </c:pt>
                <c:pt idx="7">
                  <c:v>10</c:v>
                </c:pt>
                <c:pt idx="8">
                  <c:v>18</c:v>
                </c:pt>
                <c:pt idx="9">
                  <c:v>21</c:v>
                </c:pt>
                <c:pt idx="10">
                  <c:v>23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'24.07 Busega-Bulenga'!$V$9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'24.07 Busega-Bulenga'!$V$10:$V$21</c:f>
              <c:numCache>
                <c:formatCode>0</c:formatCode>
                <c:ptCount val="12"/>
                <c:pt idx="0">
                  <c:v>98</c:v>
                </c:pt>
                <c:pt idx="1">
                  <c:v>134</c:v>
                </c:pt>
                <c:pt idx="2">
                  <c:v>115</c:v>
                </c:pt>
                <c:pt idx="3">
                  <c:v>92</c:v>
                </c:pt>
                <c:pt idx="4">
                  <c:v>126</c:v>
                </c:pt>
                <c:pt idx="5">
                  <c:v>82</c:v>
                </c:pt>
                <c:pt idx="6">
                  <c:v>118</c:v>
                </c:pt>
                <c:pt idx="7">
                  <c:v>79</c:v>
                </c:pt>
                <c:pt idx="8">
                  <c:v>89</c:v>
                </c:pt>
                <c:pt idx="9">
                  <c:v>87</c:v>
                </c:pt>
                <c:pt idx="10">
                  <c:v>129</c:v>
                </c:pt>
                <c:pt idx="11">
                  <c:v>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'24.07 Busega-Bulenga'!$W$9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'24.07 Busega-Bulenga'!$W$10:$W$21</c:f>
              <c:numCache>
                <c:formatCode>0</c:formatCode>
                <c:ptCount val="12"/>
                <c:pt idx="0">
                  <c:v>8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'24.07 Busega-Bulenga'!$X$9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'24.07 Busega-Bulenga'!$X$10:$X$21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'24.07 Busega-Bulenga'!$Y$9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Busega-Bulenga'!$Y$10:$Y$21</c:f>
              <c:numCache>
                <c:formatCode>0</c:formatCode>
                <c:ptCount val="12"/>
                <c:pt idx="0">
                  <c:v>33</c:v>
                </c:pt>
                <c:pt idx="1">
                  <c:v>24</c:v>
                </c:pt>
                <c:pt idx="2">
                  <c:v>35</c:v>
                </c:pt>
                <c:pt idx="3">
                  <c:v>43</c:v>
                </c:pt>
                <c:pt idx="4">
                  <c:v>30</c:v>
                </c:pt>
                <c:pt idx="5">
                  <c:v>48</c:v>
                </c:pt>
                <c:pt idx="6">
                  <c:v>33</c:v>
                </c:pt>
                <c:pt idx="7">
                  <c:v>40</c:v>
                </c:pt>
                <c:pt idx="8">
                  <c:v>45</c:v>
                </c:pt>
                <c:pt idx="9">
                  <c:v>36</c:v>
                </c:pt>
                <c:pt idx="10">
                  <c:v>38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'24.07 Busega-Bulenga'!$Z$9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Busega-Bulenga'!$Z$10:$Z$21</c:f>
              <c:numCache>
                <c:formatCode>0</c:formatCode>
                <c:ptCount val="12"/>
                <c:pt idx="0">
                  <c:v>14</c:v>
                </c:pt>
                <c:pt idx="1">
                  <c:v>21</c:v>
                </c:pt>
                <c:pt idx="2">
                  <c:v>36</c:v>
                </c:pt>
                <c:pt idx="3">
                  <c:v>35</c:v>
                </c:pt>
                <c:pt idx="4">
                  <c:v>30</c:v>
                </c:pt>
                <c:pt idx="5">
                  <c:v>37</c:v>
                </c:pt>
                <c:pt idx="6">
                  <c:v>25</c:v>
                </c:pt>
                <c:pt idx="7">
                  <c:v>30</c:v>
                </c:pt>
                <c:pt idx="8">
                  <c:v>27</c:v>
                </c:pt>
                <c:pt idx="9">
                  <c:v>29</c:v>
                </c:pt>
                <c:pt idx="10">
                  <c:v>40</c:v>
                </c:pt>
                <c:pt idx="11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'24.07 Busega-Bulenga'!$AA$9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Busega-Bulenga'!$AA$10:$AA$21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11</c:v>
                </c:pt>
                <c:pt idx="6">
                  <c:v>7</c:v>
                </c:pt>
                <c:pt idx="7">
                  <c:v>4</c:v>
                </c:pt>
                <c:pt idx="8">
                  <c:v>10</c:v>
                </c:pt>
                <c:pt idx="9">
                  <c:v>5</c:v>
                </c:pt>
                <c:pt idx="10">
                  <c:v>13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'24.07 Busega-Bulenga'!$AB$9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Busega-Bulenga'!$AB$10:$AB$21</c:f>
              <c:numCache>
                <c:formatCode>0</c:formatCode>
                <c:ptCount val="12"/>
                <c:pt idx="0">
                  <c:v>7</c:v>
                </c:pt>
                <c:pt idx="1">
                  <c:v>4</c:v>
                </c:pt>
                <c:pt idx="2">
                  <c:v>5</c:v>
                </c:pt>
                <c:pt idx="3">
                  <c:v>12</c:v>
                </c:pt>
                <c:pt idx="4">
                  <c:v>10</c:v>
                </c:pt>
                <c:pt idx="5">
                  <c:v>4</c:v>
                </c:pt>
                <c:pt idx="6">
                  <c:v>8</c:v>
                </c:pt>
                <c:pt idx="7">
                  <c:v>6</c:v>
                </c:pt>
                <c:pt idx="8">
                  <c:v>7</c:v>
                </c:pt>
                <c:pt idx="9">
                  <c:v>7</c:v>
                </c:pt>
                <c:pt idx="10">
                  <c:v>9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'24.07 Busega-Bulenga'!$AC$9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Busega-Bulenga'!$AC$10:$AC$21</c:f>
              <c:numCache>
                <c:formatCode>0</c:formatCode>
                <c:ptCount val="12"/>
                <c:pt idx="0">
                  <c:v>782</c:v>
                </c:pt>
                <c:pt idx="1">
                  <c:v>962</c:v>
                </c:pt>
                <c:pt idx="2">
                  <c:v>911</c:v>
                </c:pt>
                <c:pt idx="3">
                  <c:v>797</c:v>
                </c:pt>
                <c:pt idx="4">
                  <c:v>624</c:v>
                </c:pt>
                <c:pt idx="5">
                  <c:v>770</c:v>
                </c:pt>
                <c:pt idx="6">
                  <c:v>699</c:v>
                </c:pt>
                <c:pt idx="7">
                  <c:v>530</c:v>
                </c:pt>
                <c:pt idx="8">
                  <c:v>729</c:v>
                </c:pt>
                <c:pt idx="9">
                  <c:v>1061</c:v>
                </c:pt>
                <c:pt idx="10">
                  <c:v>1174</c:v>
                </c:pt>
                <c:pt idx="11">
                  <c:v>1035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'24.07 Busega-Bulenga'!$AD$9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Busega-Bulenga'!$AD$10:$AD$21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8273248"/>
        <c:axId val="-148280320"/>
      </c:lineChart>
      <c:catAx>
        <c:axId val="-148273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8280320"/>
        <c:crosses val="autoZero"/>
        <c:auto val="1"/>
        <c:lblAlgn val="ctr"/>
        <c:lblOffset val="100"/>
        <c:noMultiLvlLbl val="0"/>
      </c:catAx>
      <c:valAx>
        <c:axId val="-14828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8273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Busega-Bulenga'!$C$9:$N$9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Busega-Bulenga'!$C$60:$N$60</c:f>
              <c:numCache>
                <c:formatCode>0.00%</c:formatCode>
                <c:ptCount val="12"/>
                <c:pt idx="0">
                  <c:v>0.45728264960481746</c:v>
                </c:pt>
                <c:pt idx="1">
                  <c:v>5.0244636808430561E-2</c:v>
                </c:pt>
                <c:pt idx="2">
                  <c:v>3.7260067745577719E-2</c:v>
                </c:pt>
                <c:pt idx="3">
                  <c:v>0.25479864508844563</c:v>
                </c:pt>
                <c:pt idx="4">
                  <c:v>7.3391042529168237E-3</c:v>
                </c:pt>
                <c:pt idx="5">
                  <c:v>5.4572826496048178E-3</c:v>
                </c:pt>
                <c:pt idx="6">
                  <c:v>8.2235604064734666E-2</c:v>
                </c:pt>
                <c:pt idx="7">
                  <c:v>6.9439217162213018E-2</c:v>
                </c:pt>
                <c:pt idx="8">
                  <c:v>1.6936394429808054E-2</c:v>
                </c:pt>
                <c:pt idx="9">
                  <c:v>1.9006398193451259E-2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Bulenga-Busega'!$AE$9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Bulenga-Busega'!$R$10:$R$21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Bulenga-Busega'!$AE$10:$AE$21</c:f>
              <c:numCache>
                <c:formatCode>0</c:formatCode>
                <c:ptCount val="12"/>
                <c:pt idx="0">
                  <c:v>663</c:v>
                </c:pt>
                <c:pt idx="1">
                  <c:v>618</c:v>
                </c:pt>
                <c:pt idx="2">
                  <c:v>555</c:v>
                </c:pt>
                <c:pt idx="3">
                  <c:v>589</c:v>
                </c:pt>
                <c:pt idx="4">
                  <c:v>551</c:v>
                </c:pt>
                <c:pt idx="5">
                  <c:v>428</c:v>
                </c:pt>
                <c:pt idx="6">
                  <c:v>304</c:v>
                </c:pt>
                <c:pt idx="7">
                  <c:v>274</c:v>
                </c:pt>
                <c:pt idx="8">
                  <c:v>340</c:v>
                </c:pt>
                <c:pt idx="9">
                  <c:v>447</c:v>
                </c:pt>
                <c:pt idx="10">
                  <c:v>525</c:v>
                </c:pt>
                <c:pt idx="11">
                  <c:v>556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'24.07 Bulenga-Busega'!$AF$9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Bulenga-Busega'!$R$10:$R$21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Bulenga-Busega'!$AF$10:$AF$21</c:f>
              <c:numCache>
                <c:formatCode>0</c:formatCode>
                <c:ptCount val="12"/>
                <c:pt idx="0">
                  <c:v>1528</c:v>
                </c:pt>
                <c:pt idx="1">
                  <c:v>1473</c:v>
                </c:pt>
                <c:pt idx="2">
                  <c:v>1471</c:v>
                </c:pt>
                <c:pt idx="3">
                  <c:v>1323</c:v>
                </c:pt>
                <c:pt idx="4">
                  <c:v>1273</c:v>
                </c:pt>
                <c:pt idx="5">
                  <c:v>1097</c:v>
                </c:pt>
                <c:pt idx="6">
                  <c:v>843</c:v>
                </c:pt>
                <c:pt idx="7">
                  <c:v>770</c:v>
                </c:pt>
                <c:pt idx="8">
                  <c:v>746</c:v>
                </c:pt>
                <c:pt idx="9">
                  <c:v>990</c:v>
                </c:pt>
                <c:pt idx="10">
                  <c:v>1188</c:v>
                </c:pt>
                <c:pt idx="11">
                  <c:v>1011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8274336"/>
        <c:axId val="-148272704"/>
      </c:lineChart>
      <c:catAx>
        <c:axId val="-1482743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8272704"/>
        <c:crosses val="autoZero"/>
        <c:auto val="1"/>
        <c:lblAlgn val="ctr"/>
        <c:lblOffset val="100"/>
        <c:noMultiLvlLbl val="0"/>
      </c:catAx>
      <c:valAx>
        <c:axId val="-1482727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827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Bulenga-Busega'!$C$9:$N$9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Bulenga-Busega'!$C$59:$N$59</c:f>
              <c:numCache>
                <c:formatCode>0.0%</c:formatCode>
                <c:ptCount val="12"/>
                <c:pt idx="0">
                  <c:v>0.18194414059651426</c:v>
                </c:pt>
                <c:pt idx="1">
                  <c:v>8.3132793699409319E-3</c:v>
                </c:pt>
                <c:pt idx="2">
                  <c:v>1.5386859184715234E-2</c:v>
                </c:pt>
                <c:pt idx="3">
                  <c:v>0.18938233792751405</c:v>
                </c:pt>
                <c:pt idx="4">
                  <c:v>1.8960110843724933E-3</c:v>
                </c:pt>
                <c:pt idx="5">
                  <c:v>1.385546561656822E-3</c:v>
                </c:pt>
                <c:pt idx="6">
                  <c:v>5.4692627433821916E-3</c:v>
                </c:pt>
                <c:pt idx="7">
                  <c:v>1.5095165171734851E-2</c:v>
                </c:pt>
                <c:pt idx="8">
                  <c:v>2.698169620068548E-3</c:v>
                </c:pt>
                <c:pt idx="9">
                  <c:v>5.0317217239116167E-3</c:v>
                </c:pt>
                <c:pt idx="10">
                  <c:v>0.573397506016189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Bulenga-Busega'!$C$9:$N$9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Bulenga-Busega'!$C$60:$N$60</c:f>
              <c:numCache>
                <c:formatCode>0.00%</c:formatCode>
                <c:ptCount val="12"/>
                <c:pt idx="0">
                  <c:v>0.42649572649572648</c:v>
                </c:pt>
                <c:pt idx="1">
                  <c:v>1.9487179487179488E-2</c:v>
                </c:pt>
                <c:pt idx="2">
                  <c:v>3.6068376068376068E-2</c:v>
                </c:pt>
                <c:pt idx="3">
                  <c:v>0.44393162393162394</c:v>
                </c:pt>
                <c:pt idx="4">
                  <c:v>4.4444444444444444E-3</c:v>
                </c:pt>
                <c:pt idx="5">
                  <c:v>3.2478632478632479E-3</c:v>
                </c:pt>
                <c:pt idx="6">
                  <c:v>1.282051282051282E-2</c:v>
                </c:pt>
                <c:pt idx="7">
                  <c:v>3.5384615384615382E-2</c:v>
                </c:pt>
                <c:pt idx="8">
                  <c:v>6.3247863247863252E-3</c:v>
                </c:pt>
                <c:pt idx="9">
                  <c:v>1.1794871794871795E-2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Busega-Bulenga'!$AE$9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Busega-Bulenga'!$R$10:$R$21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Busega-Bulenga'!$AE$10:$AE$21</c:f>
              <c:numCache>
                <c:formatCode>0</c:formatCode>
                <c:ptCount val="12"/>
                <c:pt idx="0">
                  <c:v>284</c:v>
                </c:pt>
                <c:pt idx="1">
                  <c:v>380</c:v>
                </c:pt>
                <c:pt idx="2">
                  <c:v>359</c:v>
                </c:pt>
                <c:pt idx="3">
                  <c:v>358</c:v>
                </c:pt>
                <c:pt idx="4">
                  <c:v>414</c:v>
                </c:pt>
                <c:pt idx="5">
                  <c:v>422</c:v>
                </c:pt>
                <c:pt idx="6">
                  <c:v>344</c:v>
                </c:pt>
                <c:pt idx="7">
                  <c:v>392</c:v>
                </c:pt>
                <c:pt idx="8">
                  <c:v>357</c:v>
                </c:pt>
                <c:pt idx="9">
                  <c:v>442</c:v>
                </c:pt>
                <c:pt idx="10">
                  <c:v>609</c:v>
                </c:pt>
                <c:pt idx="11">
                  <c:v>922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'25.07 Busega-Bulenga'!$AF$9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Busega-Bulenga'!$R$10:$R$21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Busega-Bulenga'!$AF$10:$AF$21</c:f>
              <c:numCache>
                <c:formatCode>0</c:formatCode>
                <c:ptCount val="12"/>
                <c:pt idx="0">
                  <c:v>1127</c:v>
                </c:pt>
                <c:pt idx="1">
                  <c:v>1456</c:v>
                </c:pt>
                <c:pt idx="2">
                  <c:v>1557</c:v>
                </c:pt>
                <c:pt idx="3">
                  <c:v>1481</c:v>
                </c:pt>
                <c:pt idx="4">
                  <c:v>997</c:v>
                </c:pt>
                <c:pt idx="5">
                  <c:v>1025</c:v>
                </c:pt>
                <c:pt idx="6">
                  <c:v>846</c:v>
                </c:pt>
                <c:pt idx="7">
                  <c:v>936</c:v>
                </c:pt>
                <c:pt idx="8">
                  <c:v>944</c:v>
                </c:pt>
                <c:pt idx="9">
                  <c:v>1313</c:v>
                </c:pt>
                <c:pt idx="10">
                  <c:v>1583</c:v>
                </c:pt>
                <c:pt idx="11">
                  <c:v>2215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766336"/>
        <c:axId val="-147759264"/>
      </c:lineChart>
      <c:catAx>
        <c:axId val="-1477663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59264"/>
        <c:crosses val="autoZero"/>
        <c:auto val="1"/>
        <c:lblAlgn val="ctr"/>
        <c:lblOffset val="100"/>
        <c:noMultiLvlLbl val="0"/>
      </c:catAx>
      <c:valAx>
        <c:axId val="-1477592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6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Busega-Bulenga'!$C$9:$N$9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Busega-Bulenga'!$C$59:$N$59</c:f>
              <c:numCache>
                <c:formatCode>0.0%</c:formatCode>
                <c:ptCount val="12"/>
                <c:pt idx="0">
                  <c:v>0.15064599483204133</c:v>
                </c:pt>
                <c:pt idx="1">
                  <c:v>1.9896640826873386E-2</c:v>
                </c:pt>
                <c:pt idx="2">
                  <c:v>1.8475452196382428E-2</c:v>
                </c:pt>
                <c:pt idx="3">
                  <c:v>9.2377260981912152E-2</c:v>
                </c:pt>
                <c:pt idx="4">
                  <c:v>2.3901808785529717E-3</c:v>
                </c:pt>
                <c:pt idx="5">
                  <c:v>1.8733850129198967E-3</c:v>
                </c:pt>
                <c:pt idx="6">
                  <c:v>2.306201550387597E-2</c:v>
                </c:pt>
                <c:pt idx="7">
                  <c:v>2.0219638242894057E-2</c:v>
                </c:pt>
                <c:pt idx="8">
                  <c:v>5.943152454780362E-3</c:v>
                </c:pt>
                <c:pt idx="9">
                  <c:v>6.3953488372093022E-3</c:v>
                </c:pt>
                <c:pt idx="10">
                  <c:v>0.65872093023255818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Busega-Bulenga'!$S$9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Busega-Bulenga'!$R$10:$R$21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Busega-Bulenga'!$S$10:$S$21</c:f>
              <c:numCache>
                <c:formatCode>0</c:formatCode>
                <c:ptCount val="12"/>
                <c:pt idx="0">
                  <c:v>118</c:v>
                </c:pt>
                <c:pt idx="1">
                  <c:v>137</c:v>
                </c:pt>
                <c:pt idx="2">
                  <c:v>129</c:v>
                </c:pt>
                <c:pt idx="3">
                  <c:v>140</c:v>
                </c:pt>
                <c:pt idx="4">
                  <c:v>161</c:v>
                </c:pt>
                <c:pt idx="5">
                  <c:v>161</c:v>
                </c:pt>
                <c:pt idx="6">
                  <c:v>147</c:v>
                </c:pt>
                <c:pt idx="7">
                  <c:v>164</c:v>
                </c:pt>
                <c:pt idx="8">
                  <c:v>161</c:v>
                </c:pt>
                <c:pt idx="9">
                  <c:v>211</c:v>
                </c:pt>
                <c:pt idx="10">
                  <c:v>288</c:v>
                </c:pt>
                <c:pt idx="11">
                  <c:v>515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'25.07 Busega-Bulenga'!$T$9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Busega-Bulenga'!$R$10:$R$21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Busega-Bulenga'!$T$10:$T$21</c:f>
              <c:numCache>
                <c:formatCode>0</c:formatCode>
                <c:ptCount val="12"/>
                <c:pt idx="0">
                  <c:v>20</c:v>
                </c:pt>
                <c:pt idx="1">
                  <c:v>30</c:v>
                </c:pt>
                <c:pt idx="2">
                  <c:v>27</c:v>
                </c:pt>
                <c:pt idx="3">
                  <c:v>18</c:v>
                </c:pt>
                <c:pt idx="4">
                  <c:v>22</c:v>
                </c:pt>
                <c:pt idx="5">
                  <c:v>19</c:v>
                </c:pt>
                <c:pt idx="6">
                  <c:v>25</c:v>
                </c:pt>
                <c:pt idx="7">
                  <c:v>26</c:v>
                </c:pt>
                <c:pt idx="8">
                  <c:v>34</c:v>
                </c:pt>
                <c:pt idx="9">
                  <c:v>19</c:v>
                </c:pt>
                <c:pt idx="10">
                  <c:v>37</c:v>
                </c:pt>
                <c:pt idx="11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'25.07 Busega-Bulenga'!$U$9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Busega-Bulenga'!$U$10:$U$21</c:f>
              <c:numCache>
                <c:formatCode>0</c:formatCode>
                <c:ptCount val="12"/>
                <c:pt idx="0">
                  <c:v>14</c:v>
                </c:pt>
                <c:pt idx="1">
                  <c:v>28</c:v>
                </c:pt>
                <c:pt idx="2">
                  <c:v>21</c:v>
                </c:pt>
                <c:pt idx="3">
                  <c:v>17</c:v>
                </c:pt>
                <c:pt idx="4">
                  <c:v>17</c:v>
                </c:pt>
                <c:pt idx="5">
                  <c:v>24</c:v>
                </c:pt>
                <c:pt idx="6">
                  <c:v>12</c:v>
                </c:pt>
                <c:pt idx="7">
                  <c:v>24</c:v>
                </c:pt>
                <c:pt idx="8">
                  <c:v>25</c:v>
                </c:pt>
                <c:pt idx="9">
                  <c:v>33</c:v>
                </c:pt>
                <c:pt idx="10">
                  <c:v>44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'25.07 Busega-Bulenga'!$V$9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Busega-Bulenga'!$V$10:$V$21</c:f>
              <c:numCache>
                <c:formatCode>0</c:formatCode>
                <c:ptCount val="12"/>
                <c:pt idx="0">
                  <c:v>85</c:v>
                </c:pt>
                <c:pt idx="1">
                  <c:v>122</c:v>
                </c:pt>
                <c:pt idx="2">
                  <c:v>118</c:v>
                </c:pt>
                <c:pt idx="3">
                  <c:v>107</c:v>
                </c:pt>
                <c:pt idx="4">
                  <c:v>123</c:v>
                </c:pt>
                <c:pt idx="5">
                  <c:v>122</c:v>
                </c:pt>
                <c:pt idx="6">
                  <c:v>87</c:v>
                </c:pt>
                <c:pt idx="7">
                  <c:v>100</c:v>
                </c:pt>
                <c:pt idx="8">
                  <c:v>63</c:v>
                </c:pt>
                <c:pt idx="9">
                  <c:v>102</c:v>
                </c:pt>
                <c:pt idx="10">
                  <c:v>158</c:v>
                </c:pt>
                <c:pt idx="11">
                  <c:v>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'25.07 Busega-Bulenga'!$W$9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Busega-Bulenga'!$W$10:$W$21</c:f>
              <c:numCache>
                <c:formatCode>0</c:formatCode>
                <c:ptCount val="12"/>
                <c:pt idx="0">
                  <c:v>8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5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'25.07 Busega-Bulenga'!$X$9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Busega-Bulenga'!$X$10:$X$21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'25.07 Busega-Bulenga'!$Y$9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Busega-Bulenga'!$Y$10:$Y$21</c:f>
              <c:numCache>
                <c:formatCode>0</c:formatCode>
                <c:ptCount val="12"/>
                <c:pt idx="0">
                  <c:v>19</c:v>
                </c:pt>
                <c:pt idx="1">
                  <c:v>17</c:v>
                </c:pt>
                <c:pt idx="2">
                  <c:v>28</c:v>
                </c:pt>
                <c:pt idx="3">
                  <c:v>27</c:v>
                </c:pt>
                <c:pt idx="4">
                  <c:v>41</c:v>
                </c:pt>
                <c:pt idx="5">
                  <c:v>44</c:v>
                </c:pt>
                <c:pt idx="6">
                  <c:v>28</c:v>
                </c:pt>
                <c:pt idx="7">
                  <c:v>32</c:v>
                </c:pt>
                <c:pt idx="8">
                  <c:v>27</c:v>
                </c:pt>
                <c:pt idx="9">
                  <c:v>32</c:v>
                </c:pt>
                <c:pt idx="10">
                  <c:v>33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'25.07 Busega-Bulenga'!$Z$9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Busega-Bulenga'!$Z$10:$Z$21</c:f>
              <c:numCache>
                <c:formatCode>0</c:formatCode>
                <c:ptCount val="12"/>
                <c:pt idx="0">
                  <c:v>13</c:v>
                </c:pt>
                <c:pt idx="1">
                  <c:v>32</c:v>
                </c:pt>
                <c:pt idx="2">
                  <c:v>21</c:v>
                </c:pt>
                <c:pt idx="3">
                  <c:v>33</c:v>
                </c:pt>
                <c:pt idx="4">
                  <c:v>28</c:v>
                </c:pt>
                <c:pt idx="5">
                  <c:v>33</c:v>
                </c:pt>
                <c:pt idx="6">
                  <c:v>26</c:v>
                </c:pt>
                <c:pt idx="7">
                  <c:v>27</c:v>
                </c:pt>
                <c:pt idx="8">
                  <c:v>21</c:v>
                </c:pt>
                <c:pt idx="9">
                  <c:v>17</c:v>
                </c:pt>
                <c:pt idx="10">
                  <c:v>22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'25.07 Busega-Bulenga'!$AA$9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Busega-Bulenga'!$AA$10:$AA$21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3</c:v>
                </c:pt>
                <c:pt idx="3">
                  <c:v>7</c:v>
                </c:pt>
                <c:pt idx="4">
                  <c:v>5</c:v>
                </c:pt>
                <c:pt idx="5">
                  <c:v>9</c:v>
                </c:pt>
                <c:pt idx="6">
                  <c:v>6</c:v>
                </c:pt>
                <c:pt idx="7">
                  <c:v>6</c:v>
                </c:pt>
                <c:pt idx="8">
                  <c:v>10</c:v>
                </c:pt>
                <c:pt idx="9">
                  <c:v>12</c:v>
                </c:pt>
                <c:pt idx="10">
                  <c:v>8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'25.07 Busega-Bulenga'!$AB$9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Busega-Bulenga'!$AB$10:$AB$21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10</c:v>
                </c:pt>
                <c:pt idx="3">
                  <c:v>6</c:v>
                </c:pt>
                <c:pt idx="4">
                  <c:v>9</c:v>
                </c:pt>
                <c:pt idx="5">
                  <c:v>8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13</c:v>
                </c:pt>
                <c:pt idx="10">
                  <c:v>8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'25.07 Busega-Bulenga'!$AC$9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Busega-Bulenga'!$AC$10:$AC$21</c:f>
              <c:numCache>
                <c:formatCode>0</c:formatCode>
                <c:ptCount val="12"/>
                <c:pt idx="0">
                  <c:v>843</c:v>
                </c:pt>
                <c:pt idx="1">
                  <c:v>1076</c:v>
                </c:pt>
                <c:pt idx="2">
                  <c:v>1198</c:v>
                </c:pt>
                <c:pt idx="3">
                  <c:v>1123</c:v>
                </c:pt>
                <c:pt idx="4">
                  <c:v>583</c:v>
                </c:pt>
                <c:pt idx="5">
                  <c:v>603</c:v>
                </c:pt>
                <c:pt idx="6">
                  <c:v>502</c:v>
                </c:pt>
                <c:pt idx="7">
                  <c:v>544</c:v>
                </c:pt>
                <c:pt idx="8">
                  <c:v>587</c:v>
                </c:pt>
                <c:pt idx="9">
                  <c:v>871</c:v>
                </c:pt>
                <c:pt idx="10">
                  <c:v>974</c:v>
                </c:pt>
                <c:pt idx="11">
                  <c:v>1293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'25.07 Busega-Bulenga'!$AD$9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Busega-Bulenga'!$AD$10:$AD$21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7760352"/>
        <c:axId val="-147762528"/>
      </c:lineChart>
      <c:catAx>
        <c:axId val="-14776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62528"/>
        <c:crosses val="autoZero"/>
        <c:auto val="1"/>
        <c:lblAlgn val="ctr"/>
        <c:lblOffset val="100"/>
        <c:noMultiLvlLbl val="0"/>
      </c:catAx>
      <c:valAx>
        <c:axId val="-14776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60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Busega-Bulenga'!$C$9:$N$9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Busega-Bulenga'!$C$60:$N$60</c:f>
              <c:numCache>
                <c:formatCode>0.00%</c:formatCode>
                <c:ptCount val="12"/>
                <c:pt idx="0">
                  <c:v>0.44141586219950785</c:v>
                </c:pt>
                <c:pt idx="1">
                  <c:v>5.8300208215029341E-2</c:v>
                </c:pt>
                <c:pt idx="2">
                  <c:v>5.4135907628241532E-2</c:v>
                </c:pt>
                <c:pt idx="3">
                  <c:v>0.27067953814120765</c:v>
                </c:pt>
                <c:pt idx="4">
                  <c:v>7.0035964414158621E-3</c:v>
                </c:pt>
                <c:pt idx="5">
                  <c:v>5.4893053189475679E-3</c:v>
                </c:pt>
                <c:pt idx="6">
                  <c:v>6.757524134014764E-2</c:v>
                </c:pt>
                <c:pt idx="7">
                  <c:v>5.9246640166572023E-2</c:v>
                </c:pt>
                <c:pt idx="8">
                  <c:v>1.7414347908385388E-2</c:v>
                </c:pt>
                <c:pt idx="9">
                  <c:v>1.8739352640545145E-2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Bulenga-Busega'!$AE$9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Bulenga-Busega'!$R$10:$R$21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Bulenga-Busega'!$AE$10:$AE$21</c:f>
              <c:numCache>
                <c:formatCode>0</c:formatCode>
                <c:ptCount val="12"/>
                <c:pt idx="0">
                  <c:v>517</c:v>
                </c:pt>
                <c:pt idx="1">
                  <c:v>401</c:v>
                </c:pt>
                <c:pt idx="2">
                  <c:v>421</c:v>
                </c:pt>
                <c:pt idx="3">
                  <c:v>415</c:v>
                </c:pt>
                <c:pt idx="4">
                  <c:v>453</c:v>
                </c:pt>
                <c:pt idx="5">
                  <c:v>335</c:v>
                </c:pt>
                <c:pt idx="6">
                  <c:v>348</c:v>
                </c:pt>
                <c:pt idx="7">
                  <c:v>499</c:v>
                </c:pt>
                <c:pt idx="8">
                  <c:v>359</c:v>
                </c:pt>
                <c:pt idx="9">
                  <c:v>365</c:v>
                </c:pt>
                <c:pt idx="10">
                  <c:v>422</c:v>
                </c:pt>
                <c:pt idx="11">
                  <c:v>397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'25.07 Bulenga-Busega'!$AF$9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Bulenga-Busega'!$R$10:$R$21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Bulenga-Busega'!$AF$10:$AF$21</c:f>
              <c:numCache>
                <c:formatCode>0</c:formatCode>
                <c:ptCount val="12"/>
                <c:pt idx="0">
                  <c:v>787</c:v>
                </c:pt>
                <c:pt idx="1">
                  <c:v>651</c:v>
                </c:pt>
                <c:pt idx="2">
                  <c:v>864</c:v>
                </c:pt>
                <c:pt idx="3">
                  <c:v>1138</c:v>
                </c:pt>
                <c:pt idx="4">
                  <c:v>1130</c:v>
                </c:pt>
                <c:pt idx="5">
                  <c:v>992</c:v>
                </c:pt>
                <c:pt idx="6">
                  <c:v>968</c:v>
                </c:pt>
                <c:pt idx="7">
                  <c:v>971</c:v>
                </c:pt>
                <c:pt idx="8">
                  <c:v>1005</c:v>
                </c:pt>
                <c:pt idx="9">
                  <c:v>1080</c:v>
                </c:pt>
                <c:pt idx="10">
                  <c:v>1181</c:v>
                </c:pt>
                <c:pt idx="11">
                  <c:v>1143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758720"/>
        <c:axId val="-147760896"/>
      </c:lineChart>
      <c:catAx>
        <c:axId val="-1477587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60896"/>
        <c:crosses val="autoZero"/>
        <c:auto val="1"/>
        <c:lblAlgn val="ctr"/>
        <c:lblOffset val="100"/>
        <c:noMultiLvlLbl val="0"/>
      </c:catAx>
      <c:valAx>
        <c:axId val="-1477608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5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Bulenga-Busega'!$C$9:$N$9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Bulenga-Busega'!$C$59:$N$59</c:f>
              <c:numCache>
                <c:formatCode>0.0%</c:formatCode>
                <c:ptCount val="12"/>
                <c:pt idx="0">
                  <c:v>0.19193954659949622</c:v>
                </c:pt>
                <c:pt idx="1">
                  <c:v>1.5113350125944584E-2</c:v>
                </c:pt>
                <c:pt idx="2">
                  <c:v>3.190596137699412E-2</c:v>
                </c:pt>
                <c:pt idx="3">
                  <c:v>9.7481108312342565E-2</c:v>
                </c:pt>
                <c:pt idx="4">
                  <c:v>3.0226700251889168E-3</c:v>
                </c:pt>
                <c:pt idx="5">
                  <c:v>1.6792611251049538E-3</c:v>
                </c:pt>
                <c:pt idx="6">
                  <c:v>2.7623845507976492E-2</c:v>
                </c:pt>
                <c:pt idx="7">
                  <c:v>1.8723761544920236E-2</c:v>
                </c:pt>
                <c:pt idx="8">
                  <c:v>4.2821158690176326E-3</c:v>
                </c:pt>
                <c:pt idx="9">
                  <c:v>6.7170445004198151E-3</c:v>
                </c:pt>
                <c:pt idx="10">
                  <c:v>0.58589420654911839</c:v>
                </c:pt>
                <c:pt idx="11">
                  <c:v>1.5617128463476071E-2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Bulenga-Busega'!$S$9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Bulenga-Busega'!$R$10:$R$21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Bulenga-Busega'!$S$10:$S$21</c:f>
              <c:numCache>
                <c:formatCode>0</c:formatCode>
                <c:ptCount val="12"/>
                <c:pt idx="0">
                  <c:v>215</c:v>
                </c:pt>
                <c:pt idx="1">
                  <c:v>215</c:v>
                </c:pt>
                <c:pt idx="2">
                  <c:v>190</c:v>
                </c:pt>
                <c:pt idx="3">
                  <c:v>187</c:v>
                </c:pt>
                <c:pt idx="4">
                  <c:v>225</c:v>
                </c:pt>
                <c:pt idx="5">
                  <c:v>177</c:v>
                </c:pt>
                <c:pt idx="6">
                  <c:v>168</c:v>
                </c:pt>
                <c:pt idx="7">
                  <c:v>144</c:v>
                </c:pt>
                <c:pt idx="8">
                  <c:v>176</c:v>
                </c:pt>
                <c:pt idx="9">
                  <c:v>183</c:v>
                </c:pt>
                <c:pt idx="10">
                  <c:v>204</c:v>
                </c:pt>
                <c:pt idx="11">
                  <c:v>202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'25.07 Bulenga-Busega'!$T$9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Bulenga-Busega'!$R$10:$R$21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Bulenga-Busega'!$T$10:$T$21</c:f>
              <c:numCache>
                <c:formatCode>0</c:formatCode>
                <c:ptCount val="12"/>
                <c:pt idx="0">
                  <c:v>33</c:v>
                </c:pt>
                <c:pt idx="1">
                  <c:v>18</c:v>
                </c:pt>
                <c:pt idx="2">
                  <c:v>23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5</c:v>
                </c:pt>
                <c:pt idx="7">
                  <c:v>8</c:v>
                </c:pt>
                <c:pt idx="8">
                  <c:v>18</c:v>
                </c:pt>
                <c:pt idx="9">
                  <c:v>12</c:v>
                </c:pt>
                <c:pt idx="10">
                  <c:v>8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'25.07 Bulenga-Busega'!$U$9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Bulenga-Busega'!$U$10:$U$21</c:f>
              <c:numCache>
                <c:formatCode>0</c:formatCode>
                <c:ptCount val="12"/>
                <c:pt idx="0">
                  <c:v>41</c:v>
                </c:pt>
                <c:pt idx="1">
                  <c:v>33</c:v>
                </c:pt>
                <c:pt idx="2">
                  <c:v>41</c:v>
                </c:pt>
                <c:pt idx="3">
                  <c:v>19</c:v>
                </c:pt>
                <c:pt idx="4">
                  <c:v>28</c:v>
                </c:pt>
                <c:pt idx="5">
                  <c:v>23</c:v>
                </c:pt>
                <c:pt idx="6">
                  <c:v>33</c:v>
                </c:pt>
                <c:pt idx="7">
                  <c:v>26</c:v>
                </c:pt>
                <c:pt idx="8">
                  <c:v>22</c:v>
                </c:pt>
                <c:pt idx="9">
                  <c:v>35</c:v>
                </c:pt>
                <c:pt idx="10">
                  <c:v>48</c:v>
                </c:pt>
                <c:pt idx="1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'25.07 Bulenga-Busega'!$V$9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Bulenga-Busega'!$V$10:$V$21</c:f>
              <c:numCache>
                <c:formatCode>0</c:formatCode>
                <c:ptCount val="12"/>
                <c:pt idx="0">
                  <c:v>169</c:v>
                </c:pt>
                <c:pt idx="1">
                  <c:v>94</c:v>
                </c:pt>
                <c:pt idx="2">
                  <c:v>105</c:v>
                </c:pt>
                <c:pt idx="3">
                  <c:v>119</c:v>
                </c:pt>
                <c:pt idx="4">
                  <c:v>119</c:v>
                </c:pt>
                <c:pt idx="5">
                  <c:v>67</c:v>
                </c:pt>
                <c:pt idx="6">
                  <c:v>82</c:v>
                </c:pt>
                <c:pt idx="7">
                  <c:v>65</c:v>
                </c:pt>
                <c:pt idx="8">
                  <c:v>67</c:v>
                </c:pt>
                <c:pt idx="9">
                  <c:v>78</c:v>
                </c:pt>
                <c:pt idx="10">
                  <c:v>97</c:v>
                </c:pt>
                <c:pt idx="11">
                  <c:v>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'25.07 Bulenga-Busega'!$W$9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Bulenga-Busega'!$W$10:$W$21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3</c:v>
                </c:pt>
                <c:pt idx="3">
                  <c:v>4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'25.07 Bulenga-Busega'!$X$9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Bulenga-Busega'!$X$10:$X$21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'25.07 Bulenga-Busega'!$Y$9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Bulenga-Busega'!$Y$10:$Y$21</c:f>
              <c:numCache>
                <c:formatCode>0</c:formatCode>
                <c:ptCount val="12"/>
                <c:pt idx="0">
                  <c:v>28</c:v>
                </c:pt>
                <c:pt idx="1">
                  <c:v>15</c:v>
                </c:pt>
                <c:pt idx="2">
                  <c:v>31</c:v>
                </c:pt>
                <c:pt idx="3">
                  <c:v>33</c:v>
                </c:pt>
                <c:pt idx="4">
                  <c:v>32</c:v>
                </c:pt>
                <c:pt idx="5">
                  <c:v>21</c:v>
                </c:pt>
                <c:pt idx="6">
                  <c:v>25</c:v>
                </c:pt>
                <c:pt idx="7">
                  <c:v>22</c:v>
                </c:pt>
                <c:pt idx="8">
                  <c:v>46</c:v>
                </c:pt>
                <c:pt idx="9">
                  <c:v>32</c:v>
                </c:pt>
                <c:pt idx="10">
                  <c:v>19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'25.07 Bulenga-Busega'!$Z$9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Bulenga-Busega'!$Z$10:$Z$21</c:f>
              <c:numCache>
                <c:formatCode>0</c:formatCode>
                <c:ptCount val="12"/>
                <c:pt idx="0">
                  <c:v>9</c:v>
                </c:pt>
                <c:pt idx="1">
                  <c:v>11</c:v>
                </c:pt>
                <c:pt idx="2">
                  <c:v>19</c:v>
                </c:pt>
                <c:pt idx="3">
                  <c:v>31</c:v>
                </c:pt>
                <c:pt idx="4">
                  <c:v>20</c:v>
                </c:pt>
                <c:pt idx="5">
                  <c:v>13</c:v>
                </c:pt>
                <c:pt idx="6">
                  <c:v>26</c:v>
                </c:pt>
                <c:pt idx="7">
                  <c:v>32</c:v>
                </c:pt>
                <c:pt idx="8">
                  <c:v>13</c:v>
                </c:pt>
                <c:pt idx="9">
                  <c:v>14</c:v>
                </c:pt>
                <c:pt idx="10">
                  <c:v>22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'25.07 Bulenga-Busega'!$AA$9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Bulenga-Busega'!$AA$10:$AA$21</c:f>
              <c:numCache>
                <c:formatCode>0</c:formatCode>
                <c:ptCount val="12"/>
                <c:pt idx="0">
                  <c:v>9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  <c:pt idx="6">
                  <c:v>1</c:v>
                </c:pt>
                <c:pt idx="7">
                  <c:v>13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'25.07 Bulenga-Busega'!$AB$9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Bulenga-Busega'!$AB$10:$AB$21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8</c:v>
                </c:pt>
                <c:pt idx="6">
                  <c:v>8</c:v>
                </c:pt>
                <c:pt idx="7">
                  <c:v>3</c:v>
                </c:pt>
                <c:pt idx="8">
                  <c:v>10</c:v>
                </c:pt>
                <c:pt idx="9">
                  <c:v>8</c:v>
                </c:pt>
                <c:pt idx="10">
                  <c:v>9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'25.07 Bulenga-Busega'!$AC$9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Bulenga-Busega'!$AC$10:$AC$21</c:f>
              <c:numCache>
                <c:formatCode>0</c:formatCode>
                <c:ptCount val="12"/>
                <c:pt idx="0">
                  <c:v>270</c:v>
                </c:pt>
                <c:pt idx="1">
                  <c:v>250</c:v>
                </c:pt>
                <c:pt idx="2">
                  <c:v>443</c:v>
                </c:pt>
                <c:pt idx="3">
                  <c:v>723</c:v>
                </c:pt>
                <c:pt idx="4">
                  <c:v>677</c:v>
                </c:pt>
                <c:pt idx="5">
                  <c:v>657</c:v>
                </c:pt>
                <c:pt idx="6">
                  <c:v>620</c:v>
                </c:pt>
                <c:pt idx="7">
                  <c:v>472</c:v>
                </c:pt>
                <c:pt idx="8">
                  <c:v>646</c:v>
                </c:pt>
                <c:pt idx="9">
                  <c:v>715</c:v>
                </c:pt>
                <c:pt idx="10">
                  <c:v>759</c:v>
                </c:pt>
                <c:pt idx="11">
                  <c:v>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'25.07 Bulenga-Busega'!$AD$9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Bulenga-Busega'!$AD$10:$AD$21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185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7763616"/>
        <c:axId val="-147761984"/>
      </c:lineChart>
      <c:catAx>
        <c:axId val="-147763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61984"/>
        <c:crosses val="autoZero"/>
        <c:auto val="1"/>
        <c:lblAlgn val="ctr"/>
        <c:lblOffset val="100"/>
        <c:noMultiLvlLbl val="0"/>
      </c:catAx>
      <c:valAx>
        <c:axId val="-14776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63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Bulenga-Busega'!$C$9:$N$9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Bulenga-Busega'!$C$60:$N$60</c:f>
              <c:numCache>
                <c:formatCode>0.00%</c:formatCode>
                <c:ptCount val="12"/>
                <c:pt idx="0">
                  <c:v>0.46350364963503649</c:v>
                </c:pt>
                <c:pt idx="1">
                  <c:v>3.6496350364963501E-2</c:v>
                </c:pt>
                <c:pt idx="2">
                  <c:v>7.7047850770478502E-2</c:v>
                </c:pt>
                <c:pt idx="3">
                  <c:v>0.23540145985401459</c:v>
                </c:pt>
                <c:pt idx="4">
                  <c:v>7.2992700729927005E-3</c:v>
                </c:pt>
                <c:pt idx="5">
                  <c:v>4.0551500405515001E-3</c:v>
                </c:pt>
                <c:pt idx="6">
                  <c:v>6.6707218167072188E-2</c:v>
                </c:pt>
                <c:pt idx="7">
                  <c:v>4.5214922952149232E-2</c:v>
                </c:pt>
                <c:pt idx="8">
                  <c:v>1.0340632603406326E-2</c:v>
                </c:pt>
                <c:pt idx="9">
                  <c:v>1.6220600162206E-2</c:v>
                </c:pt>
                <c:pt idx="11">
                  <c:v>3.7712895377128956E-2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Busega-Bulenga-24h'!$AE$9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Busega-Bulenga-24h'!$R$10:$R$33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Busega-Bulenga-24h'!$AE$10:$AE$33</c:f>
              <c:numCache>
                <c:formatCode>0</c:formatCode>
                <c:ptCount val="24"/>
                <c:pt idx="0">
                  <c:v>308</c:v>
                </c:pt>
                <c:pt idx="1">
                  <c:v>359</c:v>
                </c:pt>
                <c:pt idx="2">
                  <c:v>389</c:v>
                </c:pt>
                <c:pt idx="3">
                  <c:v>395</c:v>
                </c:pt>
                <c:pt idx="4">
                  <c:v>425</c:v>
                </c:pt>
                <c:pt idx="5">
                  <c:v>368</c:v>
                </c:pt>
                <c:pt idx="6">
                  <c:v>414</c:v>
                </c:pt>
                <c:pt idx="7">
                  <c:v>388</c:v>
                </c:pt>
                <c:pt idx="8">
                  <c:v>475</c:v>
                </c:pt>
                <c:pt idx="9">
                  <c:v>451</c:v>
                </c:pt>
                <c:pt idx="10">
                  <c:v>606</c:v>
                </c:pt>
                <c:pt idx="11">
                  <c:v>848</c:v>
                </c:pt>
                <c:pt idx="12">
                  <c:v>642</c:v>
                </c:pt>
                <c:pt idx="13">
                  <c:v>883</c:v>
                </c:pt>
                <c:pt idx="14">
                  <c:v>874</c:v>
                </c:pt>
                <c:pt idx="15">
                  <c:v>620</c:v>
                </c:pt>
                <c:pt idx="16">
                  <c:v>496</c:v>
                </c:pt>
                <c:pt idx="17">
                  <c:v>235</c:v>
                </c:pt>
                <c:pt idx="18">
                  <c:v>95</c:v>
                </c:pt>
                <c:pt idx="19">
                  <c:v>75</c:v>
                </c:pt>
                <c:pt idx="20">
                  <c:v>64</c:v>
                </c:pt>
                <c:pt idx="21">
                  <c:v>85</c:v>
                </c:pt>
                <c:pt idx="22">
                  <c:v>153</c:v>
                </c:pt>
                <c:pt idx="23">
                  <c:v>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'26.07 Busega-Bulenga-24h'!$AF$9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Busega-Bulenga-24h'!$R$10:$R$33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Busega-Bulenga-24h'!$AF$10:$AF$33</c:f>
              <c:numCache>
                <c:formatCode>0</c:formatCode>
                <c:ptCount val="24"/>
                <c:pt idx="0">
                  <c:v>1145</c:v>
                </c:pt>
                <c:pt idx="1">
                  <c:v>1771</c:v>
                </c:pt>
                <c:pt idx="2">
                  <c:v>1755</c:v>
                </c:pt>
                <c:pt idx="3">
                  <c:v>1486</c:v>
                </c:pt>
                <c:pt idx="4">
                  <c:v>1325</c:v>
                </c:pt>
                <c:pt idx="5">
                  <c:v>1123</c:v>
                </c:pt>
                <c:pt idx="6">
                  <c:v>1242</c:v>
                </c:pt>
                <c:pt idx="7">
                  <c:v>994</c:v>
                </c:pt>
                <c:pt idx="8">
                  <c:v>1243</c:v>
                </c:pt>
                <c:pt idx="9">
                  <c:v>1478</c:v>
                </c:pt>
                <c:pt idx="10">
                  <c:v>1693</c:v>
                </c:pt>
                <c:pt idx="11">
                  <c:v>2018</c:v>
                </c:pt>
                <c:pt idx="12">
                  <c:v>1149</c:v>
                </c:pt>
                <c:pt idx="13">
                  <c:v>1577</c:v>
                </c:pt>
                <c:pt idx="14">
                  <c:v>1494</c:v>
                </c:pt>
                <c:pt idx="15">
                  <c:v>1177</c:v>
                </c:pt>
                <c:pt idx="16">
                  <c:v>825</c:v>
                </c:pt>
                <c:pt idx="17">
                  <c:v>416</c:v>
                </c:pt>
                <c:pt idx="18">
                  <c:v>303</c:v>
                </c:pt>
                <c:pt idx="19">
                  <c:v>234</c:v>
                </c:pt>
                <c:pt idx="20">
                  <c:v>143</c:v>
                </c:pt>
                <c:pt idx="21">
                  <c:v>213</c:v>
                </c:pt>
                <c:pt idx="22">
                  <c:v>423</c:v>
                </c:pt>
                <c:pt idx="23">
                  <c:v>741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757088"/>
        <c:axId val="-147770688"/>
      </c:lineChart>
      <c:catAx>
        <c:axId val="-147757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70688"/>
        <c:crosses val="autoZero"/>
        <c:auto val="1"/>
        <c:lblAlgn val="ctr"/>
        <c:lblOffset val="100"/>
        <c:noMultiLvlLbl val="0"/>
      </c:catAx>
      <c:valAx>
        <c:axId val="-1477706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5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Busega-Bulenga-24h'!$C$9:$N$9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Busega-Bulenga-24h'!$C$107:$N$107</c:f>
              <c:numCache>
                <c:formatCode>0.0%</c:formatCode>
                <c:ptCount val="12"/>
                <c:pt idx="0">
                  <c:v>0.19119685767097966</c:v>
                </c:pt>
                <c:pt idx="1">
                  <c:v>2.5993530499075785E-2</c:v>
                </c:pt>
                <c:pt idx="2">
                  <c:v>1.8753850893407271E-2</c:v>
                </c:pt>
                <c:pt idx="3">
                  <c:v>8.3294824399260628E-2</c:v>
                </c:pt>
                <c:pt idx="4">
                  <c:v>2.5030807147258163E-3</c:v>
                </c:pt>
                <c:pt idx="5">
                  <c:v>1.6558841651263094E-3</c:v>
                </c:pt>
                <c:pt idx="6">
                  <c:v>2.807301293900185E-2</c:v>
                </c:pt>
                <c:pt idx="7">
                  <c:v>1.9870609981515713E-2</c:v>
                </c:pt>
                <c:pt idx="8">
                  <c:v>4.2744916820702406E-3</c:v>
                </c:pt>
                <c:pt idx="9">
                  <c:v>5.7763401109057304E-3</c:v>
                </c:pt>
                <c:pt idx="10">
                  <c:v>0.61853049907578561</c:v>
                </c:pt>
                <c:pt idx="11">
                  <c:v>7.7017868145409739E-5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Busega-Bulenga-24h'!$C$9:$N$9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Busega-Bulenga-24h'!$C$108:$N$108</c:f>
              <c:numCache>
                <c:formatCode>0.00%</c:formatCode>
                <c:ptCount val="12"/>
                <c:pt idx="0">
                  <c:v>0.50121138703815871</c:v>
                </c:pt>
                <c:pt idx="1">
                  <c:v>6.8140520896426401E-2</c:v>
                </c:pt>
                <c:pt idx="2">
                  <c:v>4.9162123965273571E-2</c:v>
                </c:pt>
                <c:pt idx="3">
                  <c:v>0.21835251362810418</c:v>
                </c:pt>
                <c:pt idx="4">
                  <c:v>6.5616797900262466E-3</c:v>
                </c:pt>
                <c:pt idx="5">
                  <c:v>4.3408035534019786E-3</c:v>
                </c:pt>
                <c:pt idx="6">
                  <c:v>7.3591762568140526E-2</c:v>
                </c:pt>
                <c:pt idx="7">
                  <c:v>5.208964264082374E-2</c:v>
                </c:pt>
                <c:pt idx="8">
                  <c:v>1.1205330102967898E-2</c:v>
                </c:pt>
                <c:pt idx="9">
                  <c:v>1.5142337976983646E-2</c:v>
                </c:pt>
                <c:pt idx="11">
                  <c:v>2.0189783969311529E-4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Bulenga-Busega-24h'!$AE$9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Bulenga-Busega-24h'!$R$10:$R$33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Bulenga-Busega-24h'!$AE$10:$AE$33</c:f>
              <c:numCache>
                <c:formatCode>0</c:formatCode>
                <c:ptCount val="24"/>
                <c:pt idx="0">
                  <c:v>1834</c:v>
                </c:pt>
                <c:pt idx="1">
                  <c:v>1644</c:v>
                </c:pt>
                <c:pt idx="2">
                  <c:v>1151</c:v>
                </c:pt>
                <c:pt idx="3">
                  <c:v>1036</c:v>
                </c:pt>
                <c:pt idx="4">
                  <c:v>954</c:v>
                </c:pt>
                <c:pt idx="5">
                  <c:v>932</c:v>
                </c:pt>
                <c:pt idx="6">
                  <c:v>1136</c:v>
                </c:pt>
                <c:pt idx="7">
                  <c:v>973</c:v>
                </c:pt>
                <c:pt idx="8">
                  <c:v>954</c:v>
                </c:pt>
                <c:pt idx="9">
                  <c:v>1074</c:v>
                </c:pt>
                <c:pt idx="10">
                  <c:v>2310</c:v>
                </c:pt>
                <c:pt idx="11">
                  <c:v>1070</c:v>
                </c:pt>
                <c:pt idx="12">
                  <c:v>1331</c:v>
                </c:pt>
                <c:pt idx="13">
                  <c:v>595</c:v>
                </c:pt>
                <c:pt idx="14">
                  <c:v>779</c:v>
                </c:pt>
                <c:pt idx="15">
                  <c:v>570</c:v>
                </c:pt>
                <c:pt idx="16">
                  <c:v>437</c:v>
                </c:pt>
                <c:pt idx="17">
                  <c:v>222</c:v>
                </c:pt>
                <c:pt idx="18">
                  <c:v>167</c:v>
                </c:pt>
                <c:pt idx="19">
                  <c:v>66</c:v>
                </c:pt>
                <c:pt idx="20">
                  <c:v>126</c:v>
                </c:pt>
                <c:pt idx="21">
                  <c:v>205</c:v>
                </c:pt>
                <c:pt idx="22">
                  <c:v>603</c:v>
                </c:pt>
                <c:pt idx="23">
                  <c:v>692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'26.07 Bulenga-Busega-24h'!$AF$9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Bulenga-Busega-24h'!$R$10:$R$33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Bulenga-Busega-24h'!$AF$10:$AF$33</c:f>
              <c:numCache>
                <c:formatCode>0</c:formatCode>
                <c:ptCount val="24"/>
                <c:pt idx="0">
                  <c:v>2879</c:v>
                </c:pt>
                <c:pt idx="1">
                  <c:v>2685</c:v>
                </c:pt>
                <c:pt idx="2">
                  <c:v>2158</c:v>
                </c:pt>
                <c:pt idx="3">
                  <c:v>1954</c:v>
                </c:pt>
                <c:pt idx="4">
                  <c:v>2011</c:v>
                </c:pt>
                <c:pt idx="5">
                  <c:v>1817</c:v>
                </c:pt>
                <c:pt idx="6">
                  <c:v>2104</c:v>
                </c:pt>
                <c:pt idx="7">
                  <c:v>1519.7</c:v>
                </c:pt>
                <c:pt idx="8">
                  <c:v>1794</c:v>
                </c:pt>
                <c:pt idx="9">
                  <c:v>1941</c:v>
                </c:pt>
                <c:pt idx="10">
                  <c:v>3293</c:v>
                </c:pt>
                <c:pt idx="11">
                  <c:v>1645</c:v>
                </c:pt>
                <c:pt idx="12">
                  <c:v>2130</c:v>
                </c:pt>
                <c:pt idx="13">
                  <c:v>1234</c:v>
                </c:pt>
                <c:pt idx="14">
                  <c:v>1333</c:v>
                </c:pt>
                <c:pt idx="15">
                  <c:v>931</c:v>
                </c:pt>
                <c:pt idx="16">
                  <c:v>762</c:v>
                </c:pt>
                <c:pt idx="17">
                  <c:v>386</c:v>
                </c:pt>
                <c:pt idx="18">
                  <c:v>336</c:v>
                </c:pt>
                <c:pt idx="19">
                  <c:v>167</c:v>
                </c:pt>
                <c:pt idx="20">
                  <c:v>214</c:v>
                </c:pt>
                <c:pt idx="21">
                  <c:v>397</c:v>
                </c:pt>
                <c:pt idx="22">
                  <c:v>946</c:v>
                </c:pt>
                <c:pt idx="23">
                  <c:v>1170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5449968"/>
        <c:axId val="-145456496"/>
      </c:lineChart>
      <c:catAx>
        <c:axId val="-1454499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56496"/>
        <c:crosses val="autoZero"/>
        <c:auto val="1"/>
        <c:lblAlgn val="ctr"/>
        <c:lblOffset val="100"/>
        <c:noMultiLvlLbl val="0"/>
      </c:catAx>
      <c:valAx>
        <c:axId val="-1454564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4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Bulenga-Busega-24h'!$C$9:$N$9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Bulenga-Busega-24h'!$C$107:$N$107</c:f>
              <c:numCache>
                <c:formatCode>0.0%</c:formatCode>
                <c:ptCount val="12"/>
                <c:pt idx="0">
                  <c:v>0.20926251232311274</c:v>
                </c:pt>
                <c:pt idx="1">
                  <c:v>4.0076298569820736E-2</c:v>
                </c:pt>
                <c:pt idx="2">
                  <c:v>3.8484417720705905E-2</c:v>
                </c:pt>
                <c:pt idx="3">
                  <c:v>0.15963492865860301</c:v>
                </c:pt>
                <c:pt idx="4">
                  <c:v>7.8756210429891619E-3</c:v>
                </c:pt>
                <c:pt idx="5">
                  <c:v>7.037789017139251E-3</c:v>
                </c:pt>
                <c:pt idx="6">
                  <c:v>6.3507667559423248E-2</c:v>
                </c:pt>
                <c:pt idx="7">
                  <c:v>3.7562802492271001E-2</c:v>
                </c:pt>
                <c:pt idx="8">
                  <c:v>1.2064781172238716E-2</c:v>
                </c:pt>
                <c:pt idx="9">
                  <c:v>7.065716751334248E-3</c:v>
                </c:pt>
                <c:pt idx="10">
                  <c:v>0.41739953695816712</c:v>
                </c:pt>
                <c:pt idx="11">
                  <c:v>2.7927734194997027E-5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Bulenga-Busega-24h'!$C$9:$N$9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Bulenga-Busega-24h'!$C$108:$N$108</c:f>
              <c:numCache>
                <c:formatCode>0.00%</c:formatCode>
                <c:ptCount val="12"/>
                <c:pt idx="0">
                  <c:v>0.35918699966444562</c:v>
                </c:pt>
                <c:pt idx="1">
                  <c:v>6.8788648674560179E-2</c:v>
                </c:pt>
                <c:pt idx="2">
                  <c:v>6.6056277263793678E-2</c:v>
                </c:pt>
                <c:pt idx="3">
                  <c:v>0.27400412252528644</c:v>
                </c:pt>
                <c:pt idx="4">
                  <c:v>1.3518048032213221E-2</c:v>
                </c:pt>
                <c:pt idx="5">
                  <c:v>1.2079957816020325E-2</c:v>
                </c:pt>
                <c:pt idx="6">
                  <c:v>0.1090072383874215</c:v>
                </c:pt>
                <c:pt idx="7">
                  <c:v>6.4474378025981494E-2</c:v>
                </c:pt>
                <c:pt idx="8">
                  <c:v>2.0708499113177702E-2</c:v>
                </c:pt>
                <c:pt idx="9">
                  <c:v>1.2127894156560088E-2</c:v>
                </c:pt>
                <c:pt idx="11">
                  <c:v>4.7936340539763194E-5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Busega-Bulenga-24h'!$AE$9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Busega-Bulenga-24h'!$R$10:$R$33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Busega-Bulenga-24h'!$AE$10:$AE$33</c:f>
              <c:numCache>
                <c:formatCode>0</c:formatCode>
                <c:ptCount val="24"/>
                <c:pt idx="0">
                  <c:v>318</c:v>
                </c:pt>
                <c:pt idx="1">
                  <c:v>446</c:v>
                </c:pt>
                <c:pt idx="2">
                  <c:v>471</c:v>
                </c:pt>
                <c:pt idx="3">
                  <c:v>457</c:v>
                </c:pt>
                <c:pt idx="4">
                  <c:v>480</c:v>
                </c:pt>
                <c:pt idx="5">
                  <c:v>414</c:v>
                </c:pt>
                <c:pt idx="6">
                  <c:v>446</c:v>
                </c:pt>
                <c:pt idx="7">
                  <c:v>514</c:v>
                </c:pt>
                <c:pt idx="8">
                  <c:v>643</c:v>
                </c:pt>
                <c:pt idx="9">
                  <c:v>385</c:v>
                </c:pt>
                <c:pt idx="10">
                  <c:v>702</c:v>
                </c:pt>
                <c:pt idx="11">
                  <c:v>633</c:v>
                </c:pt>
                <c:pt idx="12">
                  <c:v>728</c:v>
                </c:pt>
                <c:pt idx="13">
                  <c:v>614</c:v>
                </c:pt>
                <c:pt idx="14">
                  <c:v>744</c:v>
                </c:pt>
                <c:pt idx="15">
                  <c:v>628</c:v>
                </c:pt>
                <c:pt idx="16">
                  <c:v>421</c:v>
                </c:pt>
                <c:pt idx="17">
                  <c:v>234</c:v>
                </c:pt>
                <c:pt idx="18">
                  <c:v>157</c:v>
                </c:pt>
                <c:pt idx="19">
                  <c:v>77</c:v>
                </c:pt>
                <c:pt idx="20">
                  <c:v>74</c:v>
                </c:pt>
                <c:pt idx="21">
                  <c:v>47</c:v>
                </c:pt>
                <c:pt idx="22">
                  <c:v>77</c:v>
                </c:pt>
                <c:pt idx="23">
                  <c:v>164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'27.07 Busega-Bulenga-24h'!$AF$9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Busega-Bulenga-24h'!$R$10:$R$33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Busega-Bulenga-24h'!$AF$10:$AF$33</c:f>
              <c:numCache>
                <c:formatCode>0</c:formatCode>
                <c:ptCount val="24"/>
                <c:pt idx="0">
                  <c:v>1022</c:v>
                </c:pt>
                <c:pt idx="1">
                  <c:v>1580</c:v>
                </c:pt>
                <c:pt idx="2">
                  <c:v>1758</c:v>
                </c:pt>
                <c:pt idx="3">
                  <c:v>1365</c:v>
                </c:pt>
                <c:pt idx="4">
                  <c:v>1307</c:v>
                </c:pt>
                <c:pt idx="5">
                  <c:v>1389</c:v>
                </c:pt>
                <c:pt idx="6">
                  <c:v>1172</c:v>
                </c:pt>
                <c:pt idx="7">
                  <c:v>1162</c:v>
                </c:pt>
                <c:pt idx="8">
                  <c:v>1336</c:v>
                </c:pt>
                <c:pt idx="9">
                  <c:v>1426</c:v>
                </c:pt>
                <c:pt idx="10">
                  <c:v>2092</c:v>
                </c:pt>
                <c:pt idx="11">
                  <c:v>2123</c:v>
                </c:pt>
                <c:pt idx="12">
                  <c:v>1423</c:v>
                </c:pt>
                <c:pt idx="13">
                  <c:v>1316</c:v>
                </c:pt>
                <c:pt idx="14">
                  <c:v>1315</c:v>
                </c:pt>
                <c:pt idx="15">
                  <c:v>1070</c:v>
                </c:pt>
                <c:pt idx="16">
                  <c:v>808</c:v>
                </c:pt>
                <c:pt idx="17">
                  <c:v>552</c:v>
                </c:pt>
                <c:pt idx="18">
                  <c:v>481</c:v>
                </c:pt>
                <c:pt idx="19">
                  <c:v>185</c:v>
                </c:pt>
                <c:pt idx="20">
                  <c:v>145</c:v>
                </c:pt>
                <c:pt idx="21">
                  <c:v>130</c:v>
                </c:pt>
                <c:pt idx="22">
                  <c:v>231</c:v>
                </c:pt>
                <c:pt idx="23">
                  <c:v>568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5461392"/>
        <c:axId val="-145454864"/>
      </c:lineChart>
      <c:catAx>
        <c:axId val="-1454613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54864"/>
        <c:crosses val="autoZero"/>
        <c:auto val="1"/>
        <c:lblAlgn val="ctr"/>
        <c:lblOffset val="100"/>
        <c:noMultiLvlLbl val="0"/>
      </c:catAx>
      <c:valAx>
        <c:axId val="-1454548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6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Busega-Bulenga-24h'!$C$9:$N$9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Busega-Bulenga-24h'!$C$107:$N$107</c:f>
              <c:numCache>
                <c:formatCode>0.0%</c:formatCode>
                <c:ptCount val="12"/>
                <c:pt idx="0">
                  <c:v>0.19883649252581292</c:v>
                </c:pt>
                <c:pt idx="1">
                  <c:v>2.862536600400678E-2</c:v>
                </c:pt>
                <c:pt idx="2">
                  <c:v>1.9340422253043613E-2</c:v>
                </c:pt>
                <c:pt idx="3">
                  <c:v>7.6013253197719219E-2</c:v>
                </c:pt>
                <c:pt idx="4">
                  <c:v>2.6968716289104641E-3</c:v>
                </c:pt>
                <c:pt idx="5">
                  <c:v>1.7337031900138697E-3</c:v>
                </c:pt>
                <c:pt idx="6">
                  <c:v>2.504237941131145E-2</c:v>
                </c:pt>
                <c:pt idx="7">
                  <c:v>1.6643550624133148E-2</c:v>
                </c:pt>
                <c:pt idx="8">
                  <c:v>5.4322699953767914E-3</c:v>
                </c:pt>
                <c:pt idx="9">
                  <c:v>5.9716443211588841E-3</c:v>
                </c:pt>
                <c:pt idx="10">
                  <c:v>0.61958699337340117</c:v>
                </c:pt>
                <c:pt idx="11">
                  <c:v>7.7053475111727544E-5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Busega-Bulenga-24h'!$C$9:$N$9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Busega-Bulenga-24h'!$C$108:$N$108</c:f>
              <c:numCache>
                <c:formatCode>0.00%</c:formatCode>
                <c:ptCount val="12"/>
                <c:pt idx="0">
                  <c:v>0.52268584160421305</c:v>
                </c:pt>
                <c:pt idx="1">
                  <c:v>7.5248126392546077E-2</c:v>
                </c:pt>
                <c:pt idx="2">
                  <c:v>5.0840591452298967E-2</c:v>
                </c:pt>
                <c:pt idx="3">
                  <c:v>0.19981770305853758</c:v>
                </c:pt>
                <c:pt idx="4">
                  <c:v>7.0893255013165894E-3</c:v>
                </c:pt>
                <c:pt idx="5">
                  <c:v>4.5574235365606645E-3</c:v>
                </c:pt>
                <c:pt idx="6">
                  <c:v>6.5829451083654039E-2</c:v>
                </c:pt>
                <c:pt idx="7">
                  <c:v>4.3751265950982381E-2</c:v>
                </c:pt>
                <c:pt idx="8">
                  <c:v>1.4279927081223415E-2</c:v>
                </c:pt>
                <c:pt idx="9">
                  <c:v>1.5697792181486734E-2</c:v>
                </c:pt>
                <c:pt idx="11">
                  <c:v>2.0255215718047398E-4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Bulenga-Busega-24h'!$AE$9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Bulenga-Busega-24h'!$R$10:$R$33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Bulenga-Busega-24h'!$AE$10:$AE$33</c:f>
              <c:numCache>
                <c:formatCode>0</c:formatCode>
                <c:ptCount val="24"/>
                <c:pt idx="0">
                  <c:v>1025</c:v>
                </c:pt>
                <c:pt idx="1">
                  <c:v>1025</c:v>
                </c:pt>
                <c:pt idx="2">
                  <c:v>1165</c:v>
                </c:pt>
                <c:pt idx="3">
                  <c:v>882</c:v>
                </c:pt>
                <c:pt idx="4">
                  <c:v>908</c:v>
                </c:pt>
                <c:pt idx="5">
                  <c:v>1058</c:v>
                </c:pt>
                <c:pt idx="6">
                  <c:v>667</c:v>
                </c:pt>
                <c:pt idx="7">
                  <c:v>799</c:v>
                </c:pt>
                <c:pt idx="8">
                  <c:v>767</c:v>
                </c:pt>
                <c:pt idx="9">
                  <c:v>763</c:v>
                </c:pt>
                <c:pt idx="10">
                  <c:v>762</c:v>
                </c:pt>
                <c:pt idx="11">
                  <c:v>757</c:v>
                </c:pt>
                <c:pt idx="12">
                  <c:v>1172</c:v>
                </c:pt>
                <c:pt idx="13">
                  <c:v>1471</c:v>
                </c:pt>
                <c:pt idx="14">
                  <c:v>1082</c:v>
                </c:pt>
                <c:pt idx="15">
                  <c:v>979</c:v>
                </c:pt>
                <c:pt idx="16">
                  <c:v>569</c:v>
                </c:pt>
                <c:pt idx="17">
                  <c:v>256</c:v>
                </c:pt>
                <c:pt idx="18">
                  <c:v>354</c:v>
                </c:pt>
                <c:pt idx="19">
                  <c:v>176</c:v>
                </c:pt>
                <c:pt idx="20">
                  <c:v>133</c:v>
                </c:pt>
                <c:pt idx="21">
                  <c:v>80</c:v>
                </c:pt>
                <c:pt idx="22">
                  <c:v>382</c:v>
                </c:pt>
                <c:pt idx="23">
                  <c:v>830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'27.07 Bulenga-Busega-24h'!$AF$9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Bulenga-Busega-24h'!$R$10:$R$33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Bulenga-Busega-24h'!$AF$10:$AF$33</c:f>
              <c:numCache>
                <c:formatCode>0</c:formatCode>
                <c:ptCount val="24"/>
                <c:pt idx="0">
                  <c:v>1761</c:v>
                </c:pt>
                <c:pt idx="1">
                  <c:v>2033</c:v>
                </c:pt>
                <c:pt idx="2">
                  <c:v>2214</c:v>
                </c:pt>
                <c:pt idx="3">
                  <c:v>1873</c:v>
                </c:pt>
                <c:pt idx="4">
                  <c:v>1873</c:v>
                </c:pt>
                <c:pt idx="5">
                  <c:v>1704</c:v>
                </c:pt>
                <c:pt idx="6">
                  <c:v>1488</c:v>
                </c:pt>
                <c:pt idx="7">
                  <c:v>1356</c:v>
                </c:pt>
                <c:pt idx="8">
                  <c:v>1517</c:v>
                </c:pt>
                <c:pt idx="9">
                  <c:v>1599</c:v>
                </c:pt>
                <c:pt idx="10">
                  <c:v>1629</c:v>
                </c:pt>
                <c:pt idx="11">
                  <c:v>1493</c:v>
                </c:pt>
                <c:pt idx="12">
                  <c:v>1792</c:v>
                </c:pt>
                <c:pt idx="13">
                  <c:v>2085</c:v>
                </c:pt>
                <c:pt idx="14">
                  <c:v>1615</c:v>
                </c:pt>
                <c:pt idx="15">
                  <c:v>1401</c:v>
                </c:pt>
                <c:pt idx="16">
                  <c:v>986</c:v>
                </c:pt>
                <c:pt idx="17">
                  <c:v>526</c:v>
                </c:pt>
                <c:pt idx="18">
                  <c:v>684</c:v>
                </c:pt>
                <c:pt idx="19">
                  <c:v>416</c:v>
                </c:pt>
                <c:pt idx="20">
                  <c:v>269</c:v>
                </c:pt>
                <c:pt idx="21">
                  <c:v>150</c:v>
                </c:pt>
                <c:pt idx="22">
                  <c:v>602</c:v>
                </c:pt>
                <c:pt idx="23">
                  <c:v>1336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5458672"/>
        <c:axId val="-145453232"/>
      </c:lineChart>
      <c:catAx>
        <c:axId val="-1454586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53232"/>
        <c:crosses val="autoZero"/>
        <c:auto val="1"/>
        <c:lblAlgn val="ctr"/>
        <c:lblOffset val="100"/>
        <c:noMultiLvlLbl val="0"/>
      </c:catAx>
      <c:valAx>
        <c:axId val="-1454532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5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Bulenga-Busega-24h'!$C$9:$N$9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Bulenga-Busega-24h'!$C$107:$N$107</c:f>
              <c:numCache>
                <c:formatCode>0.0%</c:formatCode>
                <c:ptCount val="12"/>
                <c:pt idx="0">
                  <c:v>0.227948892043701</c:v>
                </c:pt>
                <c:pt idx="1">
                  <c:v>4.0028393309054999E-2</c:v>
                </c:pt>
                <c:pt idx="2">
                  <c:v>3.6695265724338004E-2</c:v>
                </c:pt>
                <c:pt idx="3">
                  <c:v>0.12795506450219121</c:v>
                </c:pt>
                <c:pt idx="4">
                  <c:v>6.388494537374236E-3</c:v>
                </c:pt>
                <c:pt idx="5">
                  <c:v>2.777606320597494E-3</c:v>
                </c:pt>
                <c:pt idx="6">
                  <c:v>6.2064070119128449E-2</c:v>
                </c:pt>
                <c:pt idx="7">
                  <c:v>2.0832047404481205E-2</c:v>
                </c:pt>
                <c:pt idx="8">
                  <c:v>1.2406641565335472E-2</c:v>
                </c:pt>
                <c:pt idx="9">
                  <c:v>2.0338250725263872E-2</c:v>
                </c:pt>
                <c:pt idx="10">
                  <c:v>0.44256527374853405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Bulenga-Busega-24h'!$C$9:$N$9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Bulenga-Busega-24h'!$C$108:$N$108</c:f>
              <c:numCache>
                <c:formatCode>0.00%</c:formatCode>
                <c:ptCount val="12"/>
                <c:pt idx="0">
                  <c:v>0.40892481452773777</c:v>
                </c:pt>
                <c:pt idx="1">
                  <c:v>7.1808216144391535E-2</c:v>
                </c:pt>
                <c:pt idx="2">
                  <c:v>6.5828811870224782E-2</c:v>
                </c:pt>
                <c:pt idx="3">
                  <c:v>0.22954268630273503</c:v>
                </c:pt>
                <c:pt idx="4">
                  <c:v>1.1460524858819621E-2</c:v>
                </c:pt>
                <c:pt idx="5">
                  <c:v>4.9828368951389656E-3</c:v>
                </c:pt>
                <c:pt idx="6">
                  <c:v>0.11133872217916067</c:v>
                </c:pt>
                <c:pt idx="7">
                  <c:v>3.7371276713542241E-2</c:v>
                </c:pt>
                <c:pt idx="8">
                  <c:v>2.2256671464954046E-2</c:v>
                </c:pt>
                <c:pt idx="9">
                  <c:v>3.6485439043295313E-2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Busega-Bulenga'!$AE$9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Busega-Bulenga'!$R$10:$R$21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Busega-Bulenga'!$AE$10:$AE$21</c:f>
              <c:numCache>
                <c:formatCode>0</c:formatCode>
                <c:ptCount val="12"/>
                <c:pt idx="0">
                  <c:v>261</c:v>
                </c:pt>
                <c:pt idx="1">
                  <c:v>318</c:v>
                </c:pt>
                <c:pt idx="2">
                  <c:v>396</c:v>
                </c:pt>
                <c:pt idx="3">
                  <c:v>487</c:v>
                </c:pt>
                <c:pt idx="4">
                  <c:v>418</c:v>
                </c:pt>
                <c:pt idx="5">
                  <c:v>792</c:v>
                </c:pt>
                <c:pt idx="6">
                  <c:v>570</c:v>
                </c:pt>
                <c:pt idx="7">
                  <c:v>487</c:v>
                </c:pt>
                <c:pt idx="8">
                  <c:v>458</c:v>
                </c:pt>
                <c:pt idx="9">
                  <c:v>441</c:v>
                </c:pt>
                <c:pt idx="10">
                  <c:v>567</c:v>
                </c:pt>
                <c:pt idx="11">
                  <c:v>642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'28.07 Busega-Bulenga'!$AF$9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Busega-Bulenga'!$R$10:$R$21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Busega-Bulenga'!$AF$10:$AF$21</c:f>
              <c:numCache>
                <c:formatCode>0</c:formatCode>
                <c:ptCount val="12"/>
                <c:pt idx="0">
                  <c:v>846</c:v>
                </c:pt>
                <c:pt idx="1">
                  <c:v>1103</c:v>
                </c:pt>
                <c:pt idx="2">
                  <c:v>1146</c:v>
                </c:pt>
                <c:pt idx="3">
                  <c:v>1311</c:v>
                </c:pt>
                <c:pt idx="4">
                  <c:v>1119</c:v>
                </c:pt>
                <c:pt idx="5">
                  <c:v>1453</c:v>
                </c:pt>
                <c:pt idx="6">
                  <c:v>1332</c:v>
                </c:pt>
                <c:pt idx="7">
                  <c:v>1363</c:v>
                </c:pt>
                <c:pt idx="8">
                  <c:v>1288</c:v>
                </c:pt>
                <c:pt idx="9">
                  <c:v>1224</c:v>
                </c:pt>
                <c:pt idx="10">
                  <c:v>1432</c:v>
                </c:pt>
                <c:pt idx="11">
                  <c:v>1667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5584896"/>
        <c:axId val="-195595776"/>
      </c:lineChart>
      <c:catAx>
        <c:axId val="-1955848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95776"/>
        <c:crosses val="autoZero"/>
        <c:auto val="1"/>
        <c:lblAlgn val="ctr"/>
        <c:lblOffset val="100"/>
        <c:noMultiLvlLbl val="0"/>
      </c:catAx>
      <c:valAx>
        <c:axId val="-195595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8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Busega-Bulenga'!$C$9:$N$9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Busega-Bulenga'!$C$59:$N$59</c:f>
              <c:numCache>
                <c:formatCode>0.0%</c:formatCode>
                <c:ptCount val="12"/>
                <c:pt idx="0">
                  <c:v>0.19301230044490972</c:v>
                </c:pt>
                <c:pt idx="1">
                  <c:v>2.4470034022507196E-2</c:v>
                </c:pt>
                <c:pt idx="2">
                  <c:v>2.0282648521329494E-2</c:v>
                </c:pt>
                <c:pt idx="3">
                  <c:v>7.9952891913111751E-2</c:v>
                </c:pt>
                <c:pt idx="4">
                  <c:v>2.8788275320596702E-3</c:v>
                </c:pt>
                <c:pt idx="5">
                  <c:v>2.1591206490447529E-3</c:v>
                </c:pt>
                <c:pt idx="6">
                  <c:v>2.1983773881182937E-2</c:v>
                </c:pt>
                <c:pt idx="7">
                  <c:v>1.7142109395446217E-2</c:v>
                </c:pt>
                <c:pt idx="8">
                  <c:v>3.1405391258832768E-3</c:v>
                </c:pt>
                <c:pt idx="9">
                  <c:v>1.6684114106254908E-2</c:v>
                </c:pt>
                <c:pt idx="10">
                  <c:v>0.61809735671290233</c:v>
                </c:pt>
                <c:pt idx="11">
                  <c:v>1.962836953677048E-4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Busega-Bulenga'!$S$9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Busega-Bulenga'!$R$10:$R$21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Busega-Bulenga'!$S$10:$S$21</c:f>
              <c:numCache>
                <c:formatCode>0</c:formatCode>
                <c:ptCount val="12"/>
                <c:pt idx="0">
                  <c:v>100</c:v>
                </c:pt>
                <c:pt idx="1">
                  <c:v>133</c:v>
                </c:pt>
                <c:pt idx="2">
                  <c:v>183</c:v>
                </c:pt>
                <c:pt idx="3">
                  <c:v>252</c:v>
                </c:pt>
                <c:pt idx="4">
                  <c:v>190</c:v>
                </c:pt>
                <c:pt idx="5">
                  <c:v>333</c:v>
                </c:pt>
                <c:pt idx="6">
                  <c:v>331</c:v>
                </c:pt>
                <c:pt idx="7">
                  <c:v>264</c:v>
                </c:pt>
                <c:pt idx="8">
                  <c:v>238</c:v>
                </c:pt>
                <c:pt idx="9">
                  <c:v>236</c:v>
                </c:pt>
                <c:pt idx="10">
                  <c:v>323</c:v>
                </c:pt>
                <c:pt idx="11">
                  <c:v>367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'28.07 Busega-Bulenga'!$T$9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Busega-Bulenga'!$R$10:$R$21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Busega-Bulenga'!$T$10:$T$21</c:f>
              <c:numCache>
                <c:formatCode>0</c:formatCode>
                <c:ptCount val="12"/>
                <c:pt idx="0">
                  <c:v>25</c:v>
                </c:pt>
                <c:pt idx="1">
                  <c:v>28</c:v>
                </c:pt>
                <c:pt idx="2">
                  <c:v>26</c:v>
                </c:pt>
                <c:pt idx="3">
                  <c:v>31</c:v>
                </c:pt>
                <c:pt idx="4">
                  <c:v>36</c:v>
                </c:pt>
                <c:pt idx="5">
                  <c:v>38</c:v>
                </c:pt>
                <c:pt idx="6">
                  <c:v>38</c:v>
                </c:pt>
                <c:pt idx="7">
                  <c:v>39</c:v>
                </c:pt>
                <c:pt idx="8">
                  <c:v>35</c:v>
                </c:pt>
                <c:pt idx="9">
                  <c:v>30</c:v>
                </c:pt>
                <c:pt idx="10">
                  <c:v>26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'28.07 Busega-Bulenga'!$U$9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Busega-Bulenga'!$U$10:$U$21</c:f>
              <c:numCache>
                <c:formatCode>0</c:formatCode>
                <c:ptCount val="12"/>
                <c:pt idx="0">
                  <c:v>11</c:v>
                </c:pt>
                <c:pt idx="1">
                  <c:v>16</c:v>
                </c:pt>
                <c:pt idx="2">
                  <c:v>25</c:v>
                </c:pt>
                <c:pt idx="3">
                  <c:v>22</c:v>
                </c:pt>
                <c:pt idx="4">
                  <c:v>27</c:v>
                </c:pt>
                <c:pt idx="5">
                  <c:v>50</c:v>
                </c:pt>
                <c:pt idx="6">
                  <c:v>29</c:v>
                </c:pt>
                <c:pt idx="7">
                  <c:v>36</c:v>
                </c:pt>
                <c:pt idx="8">
                  <c:v>16</c:v>
                </c:pt>
                <c:pt idx="9">
                  <c:v>26</c:v>
                </c:pt>
                <c:pt idx="10">
                  <c:v>33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'28.07 Busega-Bulenga'!$V$9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Busega-Bulenga'!$V$10:$V$21</c:f>
              <c:numCache>
                <c:formatCode>0</c:formatCode>
                <c:ptCount val="12"/>
                <c:pt idx="0">
                  <c:v>75</c:v>
                </c:pt>
                <c:pt idx="1">
                  <c:v>84</c:v>
                </c:pt>
                <c:pt idx="2">
                  <c:v>98</c:v>
                </c:pt>
                <c:pt idx="3">
                  <c:v>111</c:v>
                </c:pt>
                <c:pt idx="4">
                  <c:v>113</c:v>
                </c:pt>
                <c:pt idx="5">
                  <c:v>84</c:v>
                </c:pt>
                <c:pt idx="6">
                  <c:v>105</c:v>
                </c:pt>
                <c:pt idx="7">
                  <c:v>79</c:v>
                </c:pt>
                <c:pt idx="8">
                  <c:v>102</c:v>
                </c:pt>
                <c:pt idx="9">
                  <c:v>96</c:v>
                </c:pt>
                <c:pt idx="10">
                  <c:v>124</c:v>
                </c:pt>
                <c:pt idx="11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'28.07 Busega-Bulenga'!$W$9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Busega-Bulenga'!$W$10:$W$21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7</c:v>
                </c:pt>
                <c:pt idx="5">
                  <c:v>4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10</c:v>
                </c:pt>
                <c:pt idx="10">
                  <c:v>5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'28.07 Busega-Bulenga'!$X$9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Busega-Bulenga'!$X$10:$X$21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15</c:v>
                </c:pt>
                <c:pt idx="6">
                  <c:v>1</c:v>
                </c:pt>
                <c:pt idx="7">
                  <c:v>4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'28.07 Busega-Bulenga'!$Y$9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Busega-Bulenga'!$Y$10:$Y$21</c:f>
              <c:numCache>
                <c:formatCode>0</c:formatCode>
                <c:ptCount val="12"/>
                <c:pt idx="0">
                  <c:v>31</c:v>
                </c:pt>
                <c:pt idx="1">
                  <c:v>19</c:v>
                </c:pt>
                <c:pt idx="2">
                  <c:v>26</c:v>
                </c:pt>
                <c:pt idx="3">
                  <c:v>33</c:v>
                </c:pt>
                <c:pt idx="4">
                  <c:v>21</c:v>
                </c:pt>
                <c:pt idx="5">
                  <c:v>34</c:v>
                </c:pt>
                <c:pt idx="6">
                  <c:v>30</c:v>
                </c:pt>
                <c:pt idx="7">
                  <c:v>30</c:v>
                </c:pt>
                <c:pt idx="8">
                  <c:v>34</c:v>
                </c:pt>
                <c:pt idx="9">
                  <c:v>20</c:v>
                </c:pt>
                <c:pt idx="10">
                  <c:v>29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'28.07 Busega-Bulenga'!$Z$9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Busega-Bulenga'!$Z$10:$Z$21</c:f>
              <c:numCache>
                <c:formatCode>0</c:formatCode>
                <c:ptCount val="12"/>
                <c:pt idx="0">
                  <c:v>12</c:v>
                </c:pt>
                <c:pt idx="1">
                  <c:v>28</c:v>
                </c:pt>
                <c:pt idx="2">
                  <c:v>25</c:v>
                </c:pt>
                <c:pt idx="3">
                  <c:v>19</c:v>
                </c:pt>
                <c:pt idx="4">
                  <c:v>17</c:v>
                </c:pt>
                <c:pt idx="5">
                  <c:v>19</c:v>
                </c:pt>
                <c:pt idx="6">
                  <c:v>26</c:v>
                </c:pt>
                <c:pt idx="7">
                  <c:v>23</c:v>
                </c:pt>
                <c:pt idx="8">
                  <c:v>22</c:v>
                </c:pt>
                <c:pt idx="9">
                  <c:v>16</c:v>
                </c:pt>
                <c:pt idx="10">
                  <c:v>21</c:v>
                </c:pt>
                <c:pt idx="1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'28.07 Busega-Bulenga'!$AA$9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Busega-Bulenga'!$AA$10:$AA$21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2</c:v>
                </c:pt>
                <c:pt idx="3">
                  <c:v>7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'28.07 Busega-Bulenga'!$AB$9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Busega-Bulenga'!$AB$10:$AB$21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7</c:v>
                </c:pt>
                <c:pt idx="3">
                  <c:v>5</c:v>
                </c:pt>
                <c:pt idx="4">
                  <c:v>3</c:v>
                </c:pt>
                <c:pt idx="5">
                  <c:v>214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'28.07 Busega-Bulenga'!$AC$9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Busega-Bulenga'!$AC$10:$AC$21</c:f>
              <c:numCache>
                <c:formatCode>0</c:formatCode>
                <c:ptCount val="12"/>
                <c:pt idx="0">
                  <c:v>585</c:v>
                </c:pt>
                <c:pt idx="1">
                  <c:v>785</c:v>
                </c:pt>
                <c:pt idx="2">
                  <c:v>750</c:v>
                </c:pt>
                <c:pt idx="3">
                  <c:v>824</c:v>
                </c:pt>
                <c:pt idx="4">
                  <c:v>701</c:v>
                </c:pt>
                <c:pt idx="5">
                  <c:v>661</c:v>
                </c:pt>
                <c:pt idx="6">
                  <c:v>762</c:v>
                </c:pt>
                <c:pt idx="7">
                  <c:v>876</c:v>
                </c:pt>
                <c:pt idx="8">
                  <c:v>830</c:v>
                </c:pt>
                <c:pt idx="9">
                  <c:v>783</c:v>
                </c:pt>
                <c:pt idx="10">
                  <c:v>865</c:v>
                </c:pt>
                <c:pt idx="11">
                  <c:v>1025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'28.07 Busega-Bulenga'!$AD$9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Busega-Bulenga'!$AD$10:$AD$21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5591968"/>
        <c:axId val="-195592512"/>
      </c:lineChart>
      <c:catAx>
        <c:axId val="-19559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92512"/>
        <c:crosses val="autoZero"/>
        <c:auto val="1"/>
        <c:lblAlgn val="ctr"/>
        <c:lblOffset val="100"/>
        <c:noMultiLvlLbl val="0"/>
      </c:catAx>
      <c:valAx>
        <c:axId val="-19559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91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Busega-Bulenga'!$C$9:$N$9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Busega-Bulenga'!$C$60:$N$60</c:f>
              <c:numCache>
                <c:formatCode>0.00%</c:formatCode>
                <c:ptCount val="12"/>
                <c:pt idx="0">
                  <c:v>0.50539660784649654</c:v>
                </c:pt>
                <c:pt idx="1">
                  <c:v>6.4074010621894814E-2</c:v>
                </c:pt>
                <c:pt idx="2">
                  <c:v>5.3109474044886071E-2</c:v>
                </c:pt>
                <c:pt idx="3">
                  <c:v>0.20935412026726058</c:v>
                </c:pt>
                <c:pt idx="4">
                  <c:v>7.5381188966935067E-3</c:v>
                </c:pt>
                <c:pt idx="5">
                  <c:v>5.6535891725201298E-3</c:v>
                </c:pt>
                <c:pt idx="6">
                  <c:v>5.7563817029295875E-2</c:v>
                </c:pt>
                <c:pt idx="7">
                  <c:v>4.488607161212952E-2</c:v>
                </c:pt>
                <c:pt idx="8">
                  <c:v>8.2234024327565523E-3</c:v>
                </c:pt>
                <c:pt idx="9">
                  <c:v>4.3686825424019186E-2</c:v>
                </c:pt>
                <c:pt idx="11">
                  <c:v>5.1396265204728452E-4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Bulenga-Busega'!$AE$9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Bulenga-Busega'!$R$10:$R$21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Bulenga-Busega'!$AE$10:$AE$21</c:f>
              <c:numCache>
                <c:formatCode>0</c:formatCode>
                <c:ptCount val="12"/>
                <c:pt idx="0">
                  <c:v>424</c:v>
                </c:pt>
                <c:pt idx="1">
                  <c:v>521</c:v>
                </c:pt>
                <c:pt idx="2">
                  <c:v>624</c:v>
                </c:pt>
                <c:pt idx="3">
                  <c:v>633</c:v>
                </c:pt>
                <c:pt idx="4">
                  <c:v>610</c:v>
                </c:pt>
                <c:pt idx="5">
                  <c:v>512</c:v>
                </c:pt>
                <c:pt idx="6">
                  <c:v>480</c:v>
                </c:pt>
                <c:pt idx="7">
                  <c:v>563</c:v>
                </c:pt>
                <c:pt idx="8">
                  <c:v>587</c:v>
                </c:pt>
                <c:pt idx="9">
                  <c:v>633</c:v>
                </c:pt>
                <c:pt idx="10">
                  <c:v>527</c:v>
                </c:pt>
                <c:pt idx="11">
                  <c:v>692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'28.07 Bulenga-Busega'!$AF$9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Bulenga-Busega'!$R$10:$R$21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Bulenga-Busega'!$AF$10:$AF$21</c:f>
              <c:numCache>
                <c:formatCode>0</c:formatCode>
                <c:ptCount val="12"/>
                <c:pt idx="0">
                  <c:v>1246</c:v>
                </c:pt>
                <c:pt idx="1">
                  <c:v>1419</c:v>
                </c:pt>
                <c:pt idx="2">
                  <c:v>1340</c:v>
                </c:pt>
                <c:pt idx="3">
                  <c:v>1483</c:v>
                </c:pt>
                <c:pt idx="4">
                  <c:v>1486</c:v>
                </c:pt>
                <c:pt idx="5">
                  <c:v>1348</c:v>
                </c:pt>
                <c:pt idx="6">
                  <c:v>1081</c:v>
                </c:pt>
                <c:pt idx="7">
                  <c:v>1155</c:v>
                </c:pt>
                <c:pt idx="8">
                  <c:v>1163</c:v>
                </c:pt>
                <c:pt idx="9">
                  <c:v>1332</c:v>
                </c:pt>
                <c:pt idx="10">
                  <c:v>1072</c:v>
                </c:pt>
                <c:pt idx="11">
                  <c:v>1222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5594144"/>
        <c:axId val="-195599584"/>
      </c:lineChart>
      <c:catAx>
        <c:axId val="-1955941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99584"/>
        <c:crosses val="autoZero"/>
        <c:auto val="1"/>
        <c:lblAlgn val="ctr"/>
        <c:lblOffset val="100"/>
        <c:noMultiLvlLbl val="0"/>
      </c:catAx>
      <c:valAx>
        <c:axId val="-195599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9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Bulenga-Busega'!$C$9:$N$9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Bulenga-Busega'!$C$59:$N$59</c:f>
              <c:numCache>
                <c:formatCode>0.0%</c:formatCode>
                <c:ptCount val="12"/>
                <c:pt idx="0">
                  <c:v>0.24545513781195022</c:v>
                </c:pt>
                <c:pt idx="1">
                  <c:v>4.3330944158467451E-2</c:v>
                </c:pt>
                <c:pt idx="2">
                  <c:v>1.9026519841011273E-2</c:v>
                </c:pt>
                <c:pt idx="3">
                  <c:v>8.783475597836711E-2</c:v>
                </c:pt>
                <c:pt idx="4">
                  <c:v>2.8018505245324819E-3</c:v>
                </c:pt>
                <c:pt idx="5">
                  <c:v>1.4986642340522579E-3</c:v>
                </c:pt>
                <c:pt idx="6">
                  <c:v>1.9156838470059296E-2</c:v>
                </c:pt>
                <c:pt idx="7">
                  <c:v>1.5312438913142634E-2</c:v>
                </c:pt>
                <c:pt idx="8">
                  <c:v>3.1276470971525381E-3</c:v>
                </c:pt>
                <c:pt idx="9">
                  <c:v>5.8643383071610086E-3</c:v>
                </c:pt>
                <c:pt idx="10">
                  <c:v>0.55652570534957968</c:v>
                </c:pt>
                <c:pt idx="11">
                  <c:v>6.515931452401121E-5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Bulenga-Busega'!$S$9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Bulenga-Busega'!$R$10:$R$21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Bulenga-Busega'!$S$10:$S$21</c:f>
              <c:numCache>
                <c:formatCode>0</c:formatCode>
                <c:ptCount val="12"/>
                <c:pt idx="0">
                  <c:v>202</c:v>
                </c:pt>
                <c:pt idx="1">
                  <c:v>256</c:v>
                </c:pt>
                <c:pt idx="2">
                  <c:v>362</c:v>
                </c:pt>
                <c:pt idx="3">
                  <c:v>370</c:v>
                </c:pt>
                <c:pt idx="4">
                  <c:v>355</c:v>
                </c:pt>
                <c:pt idx="5">
                  <c:v>291</c:v>
                </c:pt>
                <c:pt idx="6">
                  <c:v>251</c:v>
                </c:pt>
                <c:pt idx="7">
                  <c:v>329</c:v>
                </c:pt>
                <c:pt idx="8">
                  <c:v>337</c:v>
                </c:pt>
                <c:pt idx="9">
                  <c:v>348</c:v>
                </c:pt>
                <c:pt idx="10">
                  <c:v>299</c:v>
                </c:pt>
                <c:pt idx="11">
                  <c:v>367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'28.07 Bulenga-Busega'!$T$9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Bulenga-Busega'!$R$10:$R$21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Bulenga-Busega'!$T$10:$T$21</c:f>
              <c:numCache>
                <c:formatCode>0</c:formatCode>
                <c:ptCount val="12"/>
                <c:pt idx="0">
                  <c:v>24</c:v>
                </c:pt>
                <c:pt idx="1">
                  <c:v>32</c:v>
                </c:pt>
                <c:pt idx="2">
                  <c:v>45</c:v>
                </c:pt>
                <c:pt idx="3">
                  <c:v>73</c:v>
                </c:pt>
                <c:pt idx="4">
                  <c:v>61</c:v>
                </c:pt>
                <c:pt idx="5">
                  <c:v>47</c:v>
                </c:pt>
                <c:pt idx="6">
                  <c:v>65</c:v>
                </c:pt>
                <c:pt idx="7">
                  <c:v>64</c:v>
                </c:pt>
                <c:pt idx="8">
                  <c:v>60</c:v>
                </c:pt>
                <c:pt idx="9">
                  <c:v>69</c:v>
                </c:pt>
                <c:pt idx="10">
                  <c:v>49</c:v>
                </c:pt>
                <c:pt idx="11">
                  <c:v>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'28.07 Bulenga-Busega'!$U$9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Bulenga-Busega'!$U$10:$U$21</c:f>
              <c:numCache>
                <c:formatCode>0</c:formatCode>
                <c:ptCount val="12"/>
                <c:pt idx="0">
                  <c:v>22</c:v>
                </c:pt>
                <c:pt idx="1">
                  <c:v>29</c:v>
                </c:pt>
                <c:pt idx="2">
                  <c:v>24</c:v>
                </c:pt>
                <c:pt idx="3">
                  <c:v>26</c:v>
                </c:pt>
                <c:pt idx="4">
                  <c:v>26</c:v>
                </c:pt>
                <c:pt idx="5">
                  <c:v>25</c:v>
                </c:pt>
                <c:pt idx="6">
                  <c:v>20</c:v>
                </c:pt>
                <c:pt idx="7">
                  <c:v>19</c:v>
                </c:pt>
                <c:pt idx="8">
                  <c:v>21</c:v>
                </c:pt>
                <c:pt idx="9">
                  <c:v>34</c:v>
                </c:pt>
                <c:pt idx="10">
                  <c:v>31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'28.07 Bulenga-Busega'!$V$9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Bulenga-Busega'!$V$10:$V$21</c:f>
              <c:numCache>
                <c:formatCode>0</c:formatCode>
                <c:ptCount val="12"/>
                <c:pt idx="0">
                  <c:v>114</c:v>
                </c:pt>
                <c:pt idx="1">
                  <c:v>130</c:v>
                </c:pt>
                <c:pt idx="2">
                  <c:v>121</c:v>
                </c:pt>
                <c:pt idx="3">
                  <c:v>107</c:v>
                </c:pt>
                <c:pt idx="4">
                  <c:v>104</c:v>
                </c:pt>
                <c:pt idx="5">
                  <c:v>109</c:v>
                </c:pt>
                <c:pt idx="6">
                  <c:v>85</c:v>
                </c:pt>
                <c:pt idx="7">
                  <c:v>99</c:v>
                </c:pt>
                <c:pt idx="8">
                  <c:v>108</c:v>
                </c:pt>
                <c:pt idx="9">
                  <c:v>101</c:v>
                </c:pt>
                <c:pt idx="10">
                  <c:v>103</c:v>
                </c:pt>
                <c:pt idx="11">
                  <c:v>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'28.07 Bulenga-Busega'!$W$9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Bulenga-Busega'!$W$10:$W$21</c:f>
              <c:numCache>
                <c:formatCode>0</c:formatCode>
                <c:ptCount val="12"/>
                <c:pt idx="0">
                  <c:v>10</c:v>
                </c:pt>
                <c:pt idx="1">
                  <c:v>6</c:v>
                </c:pt>
                <c:pt idx="2">
                  <c:v>5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'28.07 Bulenga-Busega'!$X$9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Bulenga-Busega'!$X$10:$X$21</c:f>
              <c:numCache>
                <c:formatCode>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'28.07 Bulenga-Busega'!$Y$9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Bulenga-Busega'!$Y$10:$Y$21</c:f>
              <c:numCache>
                <c:formatCode>0</c:formatCode>
                <c:ptCount val="12"/>
                <c:pt idx="0">
                  <c:v>18</c:v>
                </c:pt>
                <c:pt idx="1">
                  <c:v>31</c:v>
                </c:pt>
                <c:pt idx="2">
                  <c:v>32</c:v>
                </c:pt>
                <c:pt idx="3">
                  <c:v>30</c:v>
                </c:pt>
                <c:pt idx="4">
                  <c:v>27</c:v>
                </c:pt>
                <c:pt idx="5">
                  <c:v>14</c:v>
                </c:pt>
                <c:pt idx="6">
                  <c:v>26</c:v>
                </c:pt>
                <c:pt idx="7">
                  <c:v>15</c:v>
                </c:pt>
                <c:pt idx="8">
                  <c:v>19</c:v>
                </c:pt>
                <c:pt idx="9">
                  <c:v>39</c:v>
                </c:pt>
                <c:pt idx="10">
                  <c:v>20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'28.07 Bulenga-Busega'!$Z$9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Bulenga-Busega'!$Z$10:$Z$21</c:f>
              <c:numCache>
                <c:formatCode>0</c:formatCode>
                <c:ptCount val="12"/>
                <c:pt idx="0">
                  <c:v>22</c:v>
                </c:pt>
                <c:pt idx="1">
                  <c:v>17</c:v>
                </c:pt>
                <c:pt idx="2">
                  <c:v>20</c:v>
                </c:pt>
                <c:pt idx="3">
                  <c:v>16</c:v>
                </c:pt>
                <c:pt idx="4">
                  <c:v>21</c:v>
                </c:pt>
                <c:pt idx="5">
                  <c:v>18</c:v>
                </c:pt>
                <c:pt idx="6">
                  <c:v>16</c:v>
                </c:pt>
                <c:pt idx="7">
                  <c:v>24</c:v>
                </c:pt>
                <c:pt idx="8">
                  <c:v>19</c:v>
                </c:pt>
                <c:pt idx="9">
                  <c:v>28</c:v>
                </c:pt>
                <c:pt idx="10">
                  <c:v>9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'28.07 Bulenga-Busega'!$AA$9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Bulenga-Busega'!$AA$10:$AA$21</c:f>
              <c:numCache>
                <c:formatCode>0</c:formatCode>
                <c:ptCount val="12"/>
                <c:pt idx="0">
                  <c:v>2</c:v>
                </c:pt>
                <c:pt idx="1">
                  <c:v>9</c:v>
                </c:pt>
                <c:pt idx="2">
                  <c:v>5</c:v>
                </c:pt>
                <c:pt idx="3">
                  <c:v>6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3</c:v>
                </c:pt>
                <c:pt idx="8">
                  <c:v>7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'28.07 Bulenga-Busega'!$AB$9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Bulenga-Busega'!$AB$10:$AB$21</c:f>
              <c:numCache>
                <c:formatCode>0</c:formatCode>
                <c:ptCount val="12"/>
                <c:pt idx="0">
                  <c:v>4</c:v>
                </c:pt>
                <c:pt idx="1">
                  <c:v>11</c:v>
                </c:pt>
                <c:pt idx="2">
                  <c:v>10</c:v>
                </c:pt>
                <c:pt idx="3">
                  <c:v>5</c:v>
                </c:pt>
                <c:pt idx="4">
                  <c:v>8</c:v>
                </c:pt>
                <c:pt idx="5">
                  <c:v>4</c:v>
                </c:pt>
                <c:pt idx="6">
                  <c:v>6</c:v>
                </c:pt>
                <c:pt idx="7">
                  <c:v>9</c:v>
                </c:pt>
                <c:pt idx="8">
                  <c:v>10</c:v>
                </c:pt>
                <c:pt idx="9">
                  <c:v>9</c:v>
                </c:pt>
                <c:pt idx="10">
                  <c:v>9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'28.07 Bulenga-Busega'!$AC$9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Bulenga-Busega'!$AC$10:$AC$21</c:f>
              <c:numCache>
                <c:formatCode>0</c:formatCode>
                <c:ptCount val="12"/>
                <c:pt idx="0">
                  <c:v>822</c:v>
                </c:pt>
                <c:pt idx="1">
                  <c:v>898</c:v>
                </c:pt>
                <c:pt idx="2">
                  <c:v>716</c:v>
                </c:pt>
                <c:pt idx="3">
                  <c:v>850</c:v>
                </c:pt>
                <c:pt idx="4">
                  <c:v>876</c:v>
                </c:pt>
                <c:pt idx="5">
                  <c:v>836</c:v>
                </c:pt>
                <c:pt idx="6">
                  <c:v>601</c:v>
                </c:pt>
                <c:pt idx="7">
                  <c:v>592</c:v>
                </c:pt>
                <c:pt idx="8">
                  <c:v>576</c:v>
                </c:pt>
                <c:pt idx="9">
                  <c:v>699</c:v>
                </c:pt>
                <c:pt idx="10">
                  <c:v>545</c:v>
                </c:pt>
                <c:pt idx="11">
                  <c:v>530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'28.07 Bulenga-Busega'!$AD$9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Bulenga-Busega'!$AD$10:$AD$21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5591424"/>
        <c:axId val="-195590880"/>
      </c:lineChart>
      <c:catAx>
        <c:axId val="-195591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90880"/>
        <c:crosses val="autoZero"/>
        <c:auto val="1"/>
        <c:lblAlgn val="ctr"/>
        <c:lblOffset val="100"/>
        <c:noMultiLvlLbl val="0"/>
      </c:catAx>
      <c:valAx>
        <c:axId val="-19559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9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Bulenga-Busega'!$C$9:$N$9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Bulenga-Busega'!$C$60:$N$60</c:f>
              <c:numCache>
                <c:formatCode>0.00%</c:formatCode>
                <c:ptCount val="12"/>
                <c:pt idx="0">
                  <c:v>0.55348222156920368</c:v>
                </c:pt>
                <c:pt idx="1">
                  <c:v>9.7707904789891276E-2</c:v>
                </c:pt>
                <c:pt idx="2">
                  <c:v>4.2903320599471058E-2</c:v>
                </c:pt>
                <c:pt idx="3">
                  <c:v>0.19806053482221569</c:v>
                </c:pt>
                <c:pt idx="4">
                  <c:v>6.3179547458125183E-3</c:v>
                </c:pt>
                <c:pt idx="5">
                  <c:v>3.3793711431090215E-3</c:v>
                </c:pt>
                <c:pt idx="6">
                  <c:v>4.3197178959741407E-2</c:v>
                </c:pt>
                <c:pt idx="7">
                  <c:v>3.4528357331766089E-2</c:v>
                </c:pt>
                <c:pt idx="8">
                  <c:v>7.0526006464883923E-3</c:v>
                </c:pt>
                <c:pt idx="9">
                  <c:v>1.3223626212165737E-2</c:v>
                </c:pt>
                <c:pt idx="11">
                  <c:v>1.4692918013517486E-4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Busega-Bulenga'!$AE$9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Busega-Bulenga'!$R$10:$R$33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Busega-Bulenga'!$AE$10:$AE$33</c:f>
              <c:numCache>
                <c:formatCode>0</c:formatCode>
                <c:ptCount val="24"/>
                <c:pt idx="0">
                  <c:v>312.42857142857144</c:v>
                </c:pt>
                <c:pt idx="1">
                  <c:v>380.85714285714283</c:v>
                </c:pt>
                <c:pt idx="2">
                  <c:v>383.57142857142856</c:v>
                </c:pt>
                <c:pt idx="3">
                  <c:v>400.57142857142861</c:v>
                </c:pt>
                <c:pt idx="4">
                  <c:v>427.42857142857144</c:v>
                </c:pt>
                <c:pt idx="5">
                  <c:v>438.71428571428567</c:v>
                </c:pt>
                <c:pt idx="6">
                  <c:v>413</c:v>
                </c:pt>
                <c:pt idx="7">
                  <c:v>414.85714285714289</c:v>
                </c:pt>
                <c:pt idx="8">
                  <c:v>436.14285714285711</c:v>
                </c:pt>
                <c:pt idx="9">
                  <c:v>405</c:v>
                </c:pt>
                <c:pt idx="10">
                  <c:v>626.71428571428567</c:v>
                </c:pt>
                <c:pt idx="11">
                  <c:v>768.71428571428578</c:v>
                </c:pt>
                <c:pt idx="12">
                  <c:v>686.52380952380952</c:v>
                </c:pt>
                <c:pt idx="13">
                  <c:v>631.28571428571433</c:v>
                </c:pt>
                <c:pt idx="14">
                  <c:v>584.85714285714278</c:v>
                </c:pt>
                <c:pt idx="15">
                  <c:v>456.66666666666669</c:v>
                </c:pt>
                <c:pt idx="16">
                  <c:v>493</c:v>
                </c:pt>
                <c:pt idx="17">
                  <c:v>483.33333333333326</c:v>
                </c:pt>
                <c:pt idx="18">
                  <c:v>489.00000000000006</c:v>
                </c:pt>
                <c:pt idx="19">
                  <c:v>499</c:v>
                </c:pt>
                <c:pt idx="20">
                  <c:v>513.33333333333337</c:v>
                </c:pt>
                <c:pt idx="21">
                  <c:v>538</c:v>
                </c:pt>
                <c:pt idx="22">
                  <c:v>531.33333333333337</c:v>
                </c:pt>
                <c:pt idx="23">
                  <c:v>539.33333333333337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Busega-Bulenga'!$AF$9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Busega-Bulenga'!$R$10:$R$33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Busega-Bulenga'!$AF$10:$AF$33</c:f>
              <c:numCache>
                <c:formatCode>0</c:formatCode>
                <c:ptCount val="24"/>
                <c:pt idx="0">
                  <c:v>1068.5714285714284</c:v>
                </c:pt>
                <c:pt idx="1">
                  <c:v>1405.2857142857142</c:v>
                </c:pt>
                <c:pt idx="2">
                  <c:v>1403.1428571428571</c:v>
                </c:pt>
                <c:pt idx="3">
                  <c:v>1285.4285714285716</c:v>
                </c:pt>
                <c:pt idx="4">
                  <c:v>1109.5714285714284</c:v>
                </c:pt>
                <c:pt idx="5">
                  <c:v>1065.4285714285716</c:v>
                </c:pt>
                <c:pt idx="6">
                  <c:v>1019.7142857142857</c:v>
                </c:pt>
                <c:pt idx="7">
                  <c:v>987.14285714285722</c:v>
                </c:pt>
                <c:pt idx="8">
                  <c:v>1042</c:v>
                </c:pt>
                <c:pt idx="9">
                  <c:v>1200.5714285714287</c:v>
                </c:pt>
                <c:pt idx="10">
                  <c:v>1576.9999999999998</c:v>
                </c:pt>
                <c:pt idx="11">
                  <c:v>1854.5714285714287</c:v>
                </c:pt>
                <c:pt idx="12">
                  <c:v>1580.4285714285716</c:v>
                </c:pt>
                <c:pt idx="13">
                  <c:v>1386.1904761904761</c:v>
                </c:pt>
                <c:pt idx="14">
                  <c:v>1203.8571428571427</c:v>
                </c:pt>
                <c:pt idx="15">
                  <c:v>857.33333333333337</c:v>
                </c:pt>
                <c:pt idx="16">
                  <c:v>943.99999999999989</c:v>
                </c:pt>
                <c:pt idx="17">
                  <c:v>936</c:v>
                </c:pt>
                <c:pt idx="18">
                  <c:v>945.66666666666663</c:v>
                </c:pt>
                <c:pt idx="19">
                  <c:v>964.33333333333326</c:v>
                </c:pt>
                <c:pt idx="20">
                  <c:v>943.33333333333348</c:v>
                </c:pt>
                <c:pt idx="21">
                  <c:v>976.33333333333337</c:v>
                </c:pt>
                <c:pt idx="22">
                  <c:v>943.66666666666674</c:v>
                </c:pt>
                <c:pt idx="23">
                  <c:v>936.33333333333348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91661440"/>
        <c:axId val="-291659808"/>
      </c:lineChart>
      <c:catAx>
        <c:axId val="-2916614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59808"/>
        <c:crosses val="autoZero"/>
        <c:auto val="1"/>
        <c:lblAlgn val="ctr"/>
        <c:lblOffset val="100"/>
        <c:noMultiLvlLbl val="0"/>
      </c:catAx>
      <c:valAx>
        <c:axId val="-2916598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6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7948413425066054E-2"/>
          <c:y val="7.319450745235892E-2"/>
          <c:w val="0.90689387082428652"/>
          <c:h val="0.82524049608275818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Busega-Bulenga'!$C$9:$N$9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Busega-Bulenga'!$C$107:$N$107</c:f>
              <c:numCache>
                <c:formatCode>0.0%</c:formatCode>
                <c:ptCount val="12"/>
                <c:pt idx="0">
                  <c:v>0.19909870453183345</c:v>
                </c:pt>
                <c:pt idx="1">
                  <c:v>2.6363468719745497E-2</c:v>
                </c:pt>
                <c:pt idx="2">
                  <c:v>1.8717440413074545E-2</c:v>
                </c:pt>
                <c:pt idx="3">
                  <c:v>8.9463371905398478E-2</c:v>
                </c:pt>
                <c:pt idx="4">
                  <c:v>2.9044304089253584E-3</c:v>
                </c:pt>
                <c:pt idx="5">
                  <c:v>1.8486930063159831E-3</c:v>
                </c:pt>
                <c:pt idx="6">
                  <c:v>2.7105712046470887E-2</c:v>
                </c:pt>
                <c:pt idx="7">
                  <c:v>2.029874141348945E-2</c:v>
                </c:pt>
                <c:pt idx="8">
                  <c:v>5.1818726660827017E-3</c:v>
                </c:pt>
                <c:pt idx="9">
                  <c:v>7.0121248444055123E-3</c:v>
                </c:pt>
                <c:pt idx="10">
                  <c:v>0.60194781245677864</c:v>
                </c:pt>
                <c:pt idx="11">
                  <c:v>5.7627587478677747E-5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8753764540761707E-2"/>
          <c:y val="0.22188806253019738"/>
          <c:w val="0.83391241049551568"/>
          <c:h val="0.7695712531870631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Busega-Bulenga'!$C$9:$N$9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Busega-Bulenga'!$C$108:$N$108</c:f>
              <c:numCache>
                <c:formatCode>0.00%</c:formatCode>
                <c:ptCount val="12"/>
                <c:pt idx="0">
                  <c:v>0.50018241517694273</c:v>
                </c:pt>
                <c:pt idx="1">
                  <c:v>6.6231186625203373E-2</c:v>
                </c:pt>
                <c:pt idx="2">
                  <c:v>4.7022578945234914E-2</c:v>
                </c:pt>
                <c:pt idx="3">
                  <c:v>0.22475287086742746</c:v>
                </c:pt>
                <c:pt idx="4">
                  <c:v>7.2966070777088611E-3</c:v>
                </c:pt>
                <c:pt idx="5">
                  <c:v>4.6443483145416744E-3</c:v>
                </c:pt>
                <c:pt idx="6">
                  <c:v>6.8095875100617903E-2</c:v>
                </c:pt>
                <c:pt idx="7">
                  <c:v>5.099517613198748E-2</c:v>
                </c:pt>
                <c:pt idx="8">
                  <c:v>1.3018073579912314E-2</c:v>
                </c:pt>
                <c:pt idx="9">
                  <c:v>1.7616094230468546E-2</c:v>
                </c:pt>
                <c:pt idx="11">
                  <c:v>1.447739499545409E-4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Bulenga-Busega'!$AE$9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Bulenga-Busega'!$R$10:$R$33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Bulenga-Busega'!$AE$10:$AE$33</c:f>
              <c:numCache>
                <c:formatCode>0</c:formatCode>
                <c:ptCount val="24"/>
                <c:pt idx="0">
                  <c:v>833.57142857142844</c:v>
                </c:pt>
                <c:pt idx="1">
                  <c:v>727.14285714285711</c:v>
                </c:pt>
                <c:pt idx="2">
                  <c:v>688.57142857142856</c:v>
                </c:pt>
                <c:pt idx="3">
                  <c:v>621.57142857142867</c:v>
                </c:pt>
                <c:pt idx="4">
                  <c:v>621.00000000000011</c:v>
                </c:pt>
                <c:pt idx="5">
                  <c:v>556.85714285714289</c:v>
                </c:pt>
                <c:pt idx="6">
                  <c:v>524</c:v>
                </c:pt>
                <c:pt idx="7">
                  <c:v>591</c:v>
                </c:pt>
                <c:pt idx="8">
                  <c:v>590.85714285714289</c:v>
                </c:pt>
                <c:pt idx="9">
                  <c:v>609.85714285714289</c:v>
                </c:pt>
                <c:pt idx="10">
                  <c:v>822.14285714285711</c:v>
                </c:pt>
                <c:pt idx="11">
                  <c:v>663.85714285714289</c:v>
                </c:pt>
                <c:pt idx="12">
                  <c:v>707.09523809523807</c:v>
                </c:pt>
                <c:pt idx="13">
                  <c:v>745.14285714285711</c:v>
                </c:pt>
                <c:pt idx="14">
                  <c:v>782.42857142857133</c:v>
                </c:pt>
                <c:pt idx="15">
                  <c:v>834.33333333333326</c:v>
                </c:pt>
                <c:pt idx="16">
                  <c:v>846</c:v>
                </c:pt>
                <c:pt idx="17">
                  <c:v>767.00000000000011</c:v>
                </c:pt>
                <c:pt idx="18">
                  <c:v>674.66666666666674</c:v>
                </c:pt>
                <c:pt idx="19">
                  <c:v>688.66666666666674</c:v>
                </c:pt>
                <c:pt idx="20">
                  <c:v>623.33333333333337</c:v>
                </c:pt>
                <c:pt idx="21">
                  <c:v>707.33333333333326</c:v>
                </c:pt>
                <c:pt idx="22">
                  <c:v>737.66666666666674</c:v>
                </c:pt>
                <c:pt idx="23">
                  <c:v>620.33333333333326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Bulenga-Busega'!$AF$9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Bulenga-Busega'!$R$10:$R$33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Bulenga-Busega'!$AF$10:$AF$33</c:f>
              <c:numCache>
                <c:formatCode>0</c:formatCode>
                <c:ptCount val="24"/>
                <c:pt idx="0">
                  <c:v>1548</c:v>
                </c:pt>
                <c:pt idx="1">
                  <c:v>1478.7142857142858</c:v>
                </c:pt>
                <c:pt idx="2">
                  <c:v>1489.7142857142858</c:v>
                </c:pt>
                <c:pt idx="3">
                  <c:v>1369.4285714285716</c:v>
                </c:pt>
                <c:pt idx="4">
                  <c:v>1380.5714285714287</c:v>
                </c:pt>
                <c:pt idx="5">
                  <c:v>1204.7142857142858</c:v>
                </c:pt>
                <c:pt idx="6">
                  <c:v>1136.8571428571427</c:v>
                </c:pt>
                <c:pt idx="7">
                  <c:v>1090.3857142857144</c:v>
                </c:pt>
                <c:pt idx="8">
                  <c:v>1229.5714285714284</c:v>
                </c:pt>
                <c:pt idx="9">
                  <c:v>1272</c:v>
                </c:pt>
                <c:pt idx="10">
                  <c:v>1525.4285714285716</c:v>
                </c:pt>
                <c:pt idx="11">
                  <c:v>1277</c:v>
                </c:pt>
                <c:pt idx="12">
                  <c:v>1283.952380952381</c:v>
                </c:pt>
                <c:pt idx="13">
                  <c:v>1289.6190476190477</c:v>
                </c:pt>
                <c:pt idx="14">
                  <c:v>1249.6666666666665</c:v>
                </c:pt>
                <c:pt idx="15">
                  <c:v>1307.3333333333333</c:v>
                </c:pt>
                <c:pt idx="16">
                  <c:v>1321.3333333333335</c:v>
                </c:pt>
                <c:pt idx="17">
                  <c:v>1186</c:v>
                </c:pt>
                <c:pt idx="18">
                  <c:v>1098.0000000000002</c:v>
                </c:pt>
                <c:pt idx="19">
                  <c:v>1106.3333333333333</c:v>
                </c:pt>
                <c:pt idx="20">
                  <c:v>1003</c:v>
                </c:pt>
                <c:pt idx="21">
                  <c:v>1123.9999999999998</c:v>
                </c:pt>
                <c:pt idx="22">
                  <c:v>1136.333333333333</c:v>
                </c:pt>
                <c:pt idx="23">
                  <c:v>982.66666666666652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91670144"/>
        <c:axId val="-291666336"/>
      </c:lineChart>
      <c:catAx>
        <c:axId val="-2916701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66336"/>
        <c:crosses val="autoZero"/>
        <c:auto val="1"/>
        <c:lblAlgn val="ctr"/>
        <c:lblOffset val="100"/>
        <c:noMultiLvlLbl val="0"/>
      </c:catAx>
      <c:valAx>
        <c:axId val="-2916663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6392432489562964E-2"/>
          <c:y val="7.4648945580831516E-2"/>
          <c:w val="0.88305406119537067"/>
          <c:h val="0.8224220516124805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Bulenga-Busega'!$C$9:$N$9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Bulenga-Busega'!$C$107:$N$107</c:f>
              <c:numCache>
                <c:formatCode>0.0%</c:formatCode>
                <c:ptCount val="12"/>
                <c:pt idx="0">
                  <c:v>0.20887865112902385</c:v>
                </c:pt>
                <c:pt idx="1">
                  <c:v>3.7162196006305957E-2</c:v>
                </c:pt>
                <c:pt idx="2">
                  <c:v>3.0740539096155383E-2</c:v>
                </c:pt>
                <c:pt idx="3">
                  <c:v>0.15001448501725839</c:v>
                </c:pt>
                <c:pt idx="4">
                  <c:v>5.2726689497861572E-3</c:v>
                </c:pt>
                <c:pt idx="5">
                  <c:v>3.5471425466766125E-3</c:v>
                </c:pt>
                <c:pt idx="6">
                  <c:v>4.6194631609313017E-2</c:v>
                </c:pt>
                <c:pt idx="7">
                  <c:v>2.3905900748293754E-2</c:v>
                </c:pt>
                <c:pt idx="8">
                  <c:v>1.0674139041036656E-2</c:v>
                </c:pt>
                <c:pt idx="9">
                  <c:v>9.5067509176059127E-3</c:v>
                </c:pt>
                <c:pt idx="10">
                  <c:v>0.47294164020280272</c:v>
                </c:pt>
                <c:pt idx="11">
                  <c:v>1.1612547357419691E-3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6336846111758676E-2"/>
          <c:y val="0.16355471643803945"/>
          <c:w val="0.90158612650760039"/>
          <c:h val="0.8306823776645621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Bulenga-Busega'!$C$9:$N$9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Bulenga-Busega'!$C$108:$N$108</c:f>
              <c:numCache>
                <c:formatCode>0.00%</c:formatCode>
                <c:ptCount val="12"/>
                <c:pt idx="0">
                  <c:v>0.39631028945143082</c:v>
                </c:pt>
                <c:pt idx="1">
                  <c:v>7.050869285254345E-2</c:v>
                </c:pt>
                <c:pt idx="2">
                  <c:v>5.8324734869936917E-2</c:v>
                </c:pt>
                <c:pt idx="3">
                  <c:v>0.28462594744722608</c:v>
                </c:pt>
                <c:pt idx="4">
                  <c:v>1.0003956586164351E-2</c:v>
                </c:pt>
                <c:pt idx="5">
                  <c:v>6.7300754854575998E-3</c:v>
                </c:pt>
                <c:pt idx="6">
                  <c:v>8.7646141552688475E-2</c:v>
                </c:pt>
                <c:pt idx="7">
                  <c:v>4.5357217666545116E-2</c:v>
                </c:pt>
                <c:pt idx="8">
                  <c:v>2.0252290553068666E-2</c:v>
                </c:pt>
                <c:pt idx="9">
                  <c:v>1.8037378102235078E-2</c:v>
                </c:pt>
                <c:pt idx="11">
                  <c:v>2.2032754327031227E-3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Busega-Bulenga-2Dir'!$AE$9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Busega-Bulenga-2Dir'!$R$10:$R$33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Busega-Bulenga-2Dir'!$AE$10:$AE$33</c:f>
              <c:numCache>
                <c:formatCode>0</c:formatCode>
                <c:ptCount val="24"/>
                <c:pt idx="0">
                  <c:v>1146</c:v>
                </c:pt>
                <c:pt idx="1">
                  <c:v>1108</c:v>
                </c:pt>
                <c:pt idx="2">
                  <c:v>1072.1428571428571</c:v>
                </c:pt>
                <c:pt idx="3">
                  <c:v>1022.1428571428571</c:v>
                </c:pt>
                <c:pt idx="4">
                  <c:v>1048.4285714285713</c:v>
                </c:pt>
                <c:pt idx="5">
                  <c:v>995.57142857142844</c:v>
                </c:pt>
                <c:pt idx="6">
                  <c:v>937</c:v>
                </c:pt>
                <c:pt idx="7">
                  <c:v>1005.8571428571429</c:v>
                </c:pt>
                <c:pt idx="8">
                  <c:v>1027</c:v>
                </c:pt>
                <c:pt idx="9">
                  <c:v>1014.8571428571428</c:v>
                </c:pt>
                <c:pt idx="10">
                  <c:v>1448.8571428571429</c:v>
                </c:pt>
                <c:pt idx="11">
                  <c:v>1432.5714285714284</c:v>
                </c:pt>
                <c:pt idx="12">
                  <c:v>1393.6190476190475</c:v>
                </c:pt>
                <c:pt idx="13">
                  <c:v>1376.4285714285716</c:v>
                </c:pt>
                <c:pt idx="14">
                  <c:v>1367.2857142857142</c:v>
                </c:pt>
                <c:pt idx="15">
                  <c:v>1291</c:v>
                </c:pt>
                <c:pt idx="16">
                  <c:v>1339</c:v>
                </c:pt>
                <c:pt idx="17">
                  <c:v>1250.3333333333333</c:v>
                </c:pt>
                <c:pt idx="18">
                  <c:v>1163.6666666666667</c:v>
                </c:pt>
                <c:pt idx="19">
                  <c:v>1187.6666666666665</c:v>
                </c:pt>
                <c:pt idx="20">
                  <c:v>1136.6666666666667</c:v>
                </c:pt>
                <c:pt idx="21">
                  <c:v>1245.3333333333335</c:v>
                </c:pt>
                <c:pt idx="22">
                  <c:v>1269.0000000000002</c:v>
                </c:pt>
                <c:pt idx="23">
                  <c:v>1159.6666666666667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89-4DCF-B882-877A22CF008F}"/>
            </c:ext>
          </c:extLst>
        </c:ser>
        <c:ser>
          <c:idx val="1"/>
          <c:order val="1"/>
          <c:tx>
            <c:strRef>
              <c:f>'Avg Week Busega-Bulenga-2Dir'!$AF$9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Busega-Bulenga-2Dir'!$R$10:$R$33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Busega-Bulenga-2Dir'!$AF$10:$AF$33</c:f>
              <c:numCache>
                <c:formatCode>0</c:formatCode>
                <c:ptCount val="24"/>
                <c:pt idx="0">
                  <c:v>2616.5714285714284</c:v>
                </c:pt>
                <c:pt idx="1">
                  <c:v>2883.9999999999995</c:v>
                </c:pt>
                <c:pt idx="2">
                  <c:v>2892.8571428571427</c:v>
                </c:pt>
                <c:pt idx="3">
                  <c:v>2654.8571428571431</c:v>
                </c:pt>
                <c:pt idx="4">
                  <c:v>2490.1428571428569</c:v>
                </c:pt>
                <c:pt idx="5">
                  <c:v>2270.1428571428573</c:v>
                </c:pt>
                <c:pt idx="6">
                  <c:v>2156.5714285714284</c:v>
                </c:pt>
                <c:pt idx="7">
                  <c:v>2077.5285714285715</c:v>
                </c:pt>
                <c:pt idx="8">
                  <c:v>2271.5714285714284</c:v>
                </c:pt>
                <c:pt idx="9">
                  <c:v>2472.5714285714284</c:v>
                </c:pt>
                <c:pt idx="10">
                  <c:v>3102.4285714285716</c:v>
                </c:pt>
                <c:pt idx="11">
                  <c:v>3131.5714285714284</c:v>
                </c:pt>
                <c:pt idx="12">
                  <c:v>2864.3809523809518</c:v>
                </c:pt>
                <c:pt idx="13">
                  <c:v>2675.8095238095239</c:v>
                </c:pt>
                <c:pt idx="14">
                  <c:v>2453.5238095238096</c:v>
                </c:pt>
                <c:pt idx="15">
                  <c:v>2164.6666666666665</c:v>
                </c:pt>
                <c:pt idx="16">
                  <c:v>2265.333333333333</c:v>
                </c:pt>
                <c:pt idx="17">
                  <c:v>2122</c:v>
                </c:pt>
                <c:pt idx="18">
                  <c:v>2043.6666666666665</c:v>
                </c:pt>
                <c:pt idx="19">
                  <c:v>2070.6666666666665</c:v>
                </c:pt>
                <c:pt idx="20">
                  <c:v>1946.3333333333333</c:v>
                </c:pt>
                <c:pt idx="21">
                  <c:v>2100.333333333333</c:v>
                </c:pt>
                <c:pt idx="22">
                  <c:v>2080</c:v>
                </c:pt>
                <c:pt idx="23">
                  <c:v>1919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289-4DCF-B882-877A22CF008F}"/>
            </c:ext>
          </c:extLst>
        </c:ser>
        <c:ser>
          <c:idx val="5"/>
          <c:order val="2"/>
          <c:tx>
            <c:strRef>
              <c:f>'Avg Week Busega-Bulenga-2Dir'!$AC$9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Busega-Bulenga-2Dir'!$R$10:$R$33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Busega-Bulenga-2Dir'!$AC$10:$AC$33</c:f>
              <c:numCache>
                <c:formatCode>0</c:formatCode>
                <c:ptCount val="24"/>
                <c:pt idx="0">
                  <c:v>1470.5714285714287</c:v>
                </c:pt>
                <c:pt idx="1">
                  <c:v>1776</c:v>
                </c:pt>
                <c:pt idx="2">
                  <c:v>1820.7142857142858</c:v>
                </c:pt>
                <c:pt idx="3">
                  <c:v>1632.7142857142858</c:v>
                </c:pt>
                <c:pt idx="4">
                  <c:v>1441.7142857142858</c:v>
                </c:pt>
                <c:pt idx="5">
                  <c:v>1274.5714285714287</c:v>
                </c:pt>
                <c:pt idx="6">
                  <c:v>1219.5714285714284</c:v>
                </c:pt>
                <c:pt idx="7">
                  <c:v>1071.6714285714288</c:v>
                </c:pt>
                <c:pt idx="8">
                  <c:v>1244.5714285714284</c:v>
                </c:pt>
                <c:pt idx="9">
                  <c:v>1457.7142857142858</c:v>
                </c:pt>
                <c:pt idx="10">
                  <c:v>1653.5714285714284</c:v>
                </c:pt>
                <c:pt idx="11">
                  <c:v>1699</c:v>
                </c:pt>
                <c:pt idx="12">
                  <c:v>873.66666666666663</c:v>
                </c:pt>
                <c:pt idx="13">
                  <c:v>883</c:v>
                </c:pt>
                <c:pt idx="14">
                  <c:v>759.33333333333326</c:v>
                </c:pt>
                <c:pt idx="15">
                  <c:v>594</c:v>
                </c:pt>
                <c:pt idx="16">
                  <c:v>486</c:v>
                </c:pt>
                <c:pt idx="17">
                  <c:v>311</c:v>
                </c:pt>
                <c:pt idx="18">
                  <c:v>343.66666666666663</c:v>
                </c:pt>
                <c:pt idx="19">
                  <c:v>202.66666666666663</c:v>
                </c:pt>
                <c:pt idx="20">
                  <c:v>124.66666666666666</c:v>
                </c:pt>
                <c:pt idx="21">
                  <c:v>157.66666666666669</c:v>
                </c:pt>
                <c:pt idx="22">
                  <c:v>329</c:v>
                </c:pt>
                <c:pt idx="23">
                  <c:v>623.66666666666663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DC-4269-83A4-9C67FBDC4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5292672"/>
        <c:axId val="-145292128"/>
      </c:lineChart>
      <c:catAx>
        <c:axId val="-1452926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292128"/>
        <c:crosses val="autoZero"/>
        <c:auto val="1"/>
        <c:lblAlgn val="ctr"/>
        <c:lblOffset val="100"/>
        <c:noMultiLvlLbl val="0"/>
      </c:catAx>
      <c:valAx>
        <c:axId val="-1452921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292672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Including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66"/>
      <c:depthPercent val="10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862766740250188E-2"/>
          <c:y val="8.013560502587487E-2"/>
          <c:w val="0.82827446651949965"/>
          <c:h val="0.75902399207700977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Busega-Bulenga-2Dir'!$C$9:$N$9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Busega-Bulenga-2Dir'!$C$107:$N$107</c:f>
              <c:numCache>
                <c:formatCode>0.0%</c:formatCode>
                <c:ptCount val="12"/>
                <c:pt idx="0">
                  <c:v>0.20428170182419109</c:v>
                </c:pt>
                <c:pt idx="1">
                  <c:v>3.2086380775648786E-2</c:v>
                </c:pt>
                <c:pt idx="2">
                  <c:v>2.5089222436716529E-2</c:v>
                </c:pt>
                <c:pt idx="3">
                  <c:v>0.12155314378596979</c:v>
                </c:pt>
                <c:pt idx="4">
                  <c:v>4.1595061726789903E-3</c:v>
                </c:pt>
                <c:pt idx="5">
                  <c:v>2.7488062412312046E-3</c:v>
                </c:pt>
                <c:pt idx="6">
                  <c:v>3.7222108636679879E-2</c:v>
                </c:pt>
                <c:pt idx="7">
                  <c:v>2.2210397768623776E-2</c:v>
                </c:pt>
                <c:pt idx="8">
                  <c:v>8.0925635852407852E-3</c:v>
                </c:pt>
                <c:pt idx="9">
                  <c:v>8.3341811618251622E-3</c:v>
                </c:pt>
                <c:pt idx="10">
                  <c:v>0.53357947988512011</c:v>
                </c:pt>
                <c:pt idx="11">
                  <c:v>6.4250772607414455E-4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Excluding Motor Cycles</a:t>
            </a:r>
          </a:p>
        </c:rich>
      </c:tx>
      <c:layout>
        <c:manualLayout>
          <c:xMode val="edge"/>
          <c:yMode val="edge"/>
          <c:x val="0.11278467694250542"/>
          <c:y val="3.0576796129594838E-2"/>
        </c:manualLayout>
      </c:layout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621349354452078E-2"/>
          <c:y val="0.20025731425750379"/>
          <c:w val="0.83261086583830202"/>
          <c:h val="0.76871916342946045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Busega-Bulenga-2Dir'!$C$9:$N$9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Busega-Bulenga-2Dir'!$C$108:$N$108</c:f>
              <c:numCache>
                <c:formatCode>0.00%</c:formatCode>
                <c:ptCount val="12"/>
                <c:pt idx="0">
                  <c:v>0.43797751817153358</c:v>
                </c:pt>
                <c:pt idx="1">
                  <c:v>6.879281547849965E-2</c:v>
                </c:pt>
                <c:pt idx="2">
                  <c:v>5.379099193692638E-2</c:v>
                </c:pt>
                <c:pt idx="3">
                  <c:v>0.26060848213974597</c:v>
                </c:pt>
                <c:pt idx="4">
                  <c:v>8.9179313372715601E-3</c:v>
                </c:pt>
                <c:pt idx="5">
                  <c:v>5.8934076068397866E-3</c:v>
                </c:pt>
                <c:pt idx="6">
                  <c:v>7.9803754404956295E-2</c:v>
                </c:pt>
                <c:pt idx="7">
                  <c:v>4.7618826382581352E-2</c:v>
                </c:pt>
                <c:pt idx="8">
                  <c:v>1.7350359249304836E-2</c:v>
                </c:pt>
                <c:pt idx="9">
                  <c:v>1.7868384435085399E-2</c:v>
                </c:pt>
                <c:pt idx="11">
                  <c:v>1.3775288572550235E-3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Busega-Bulenga-2Dir'!$S$9:$AF$9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Busega-Bulenga-2Dir'!$S$41:$AF$41</c:f>
              <c:numCache>
                <c:formatCode>_(* #,##0_);_(* \(#,##0\);_(* "-"_);_(@_)</c:formatCode>
                <c:ptCount val="14"/>
                <c:pt idx="0">
                  <c:v>8978.1428571428569</c:v>
                </c:pt>
                <c:pt idx="1">
                  <c:v>1410.1904761904761</c:v>
                </c:pt>
                <c:pt idx="2">
                  <c:v>1102.6666666666667</c:v>
                </c:pt>
                <c:pt idx="3">
                  <c:v>5342.2380952380954</c:v>
                </c:pt>
                <c:pt idx="4">
                  <c:v>182.80952380952385</c:v>
                </c:pt>
                <c:pt idx="5">
                  <c:v>120.80952380952381</c:v>
                </c:pt>
                <c:pt idx="6">
                  <c:v>1635.9047619047617</c:v>
                </c:pt>
                <c:pt idx="7">
                  <c:v>976.142857142857</c:v>
                </c:pt>
                <c:pt idx="8">
                  <c:v>355.66666666666669</c:v>
                </c:pt>
                <c:pt idx="9">
                  <c:v>366.28571428571411</c:v>
                </c:pt>
                <c:pt idx="10">
                  <c:v>23450.719047619055</c:v>
                </c:pt>
                <c:pt idx="11">
                  <c:v>28.238095238095234</c:v>
                </c:pt>
                <c:pt idx="12">
                  <c:v>28438.09523809524</c:v>
                </c:pt>
                <c:pt idx="13">
                  <c:v>57726.528571428571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4-4A20-879A-D9A0A0F905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-291671232"/>
        <c:axId val="-135329312"/>
      </c:barChart>
      <c:catAx>
        <c:axId val="-29167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35329312"/>
        <c:crosses val="autoZero"/>
        <c:auto val="1"/>
        <c:lblAlgn val="ctr"/>
        <c:lblOffset val="100"/>
        <c:noMultiLvlLbl val="0"/>
      </c:catAx>
      <c:valAx>
        <c:axId val="-13532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7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Busega-Bulenga-2Dir'!$S$9:$AF$9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Busega-Bulenga-2Dir'!$S$42:$AF$42</c:f>
              <c:numCache>
                <c:formatCode>0.000</c:formatCode>
                <c:ptCount val="14"/>
                <c:pt idx="0">
                  <c:v>1.5415389143712135</c:v>
                </c:pt>
                <c:pt idx="1">
                  <c:v>2.0063685636856365</c:v>
                </c:pt>
                <c:pt idx="2">
                  <c:v>1.502270663033606</c:v>
                </c:pt>
                <c:pt idx="3">
                  <c:v>1.4300993027139344</c:v>
                </c:pt>
                <c:pt idx="4">
                  <c:v>1.5740057400574008</c:v>
                </c:pt>
                <c:pt idx="5">
                  <c:v>1.6294155427103405</c:v>
                </c:pt>
                <c:pt idx="6">
                  <c:v>1.7693654717758547</c:v>
                </c:pt>
                <c:pt idx="7">
                  <c:v>1.4185177496367032</c:v>
                </c:pt>
                <c:pt idx="8">
                  <c:v>2.2799145299145298</c:v>
                </c:pt>
                <c:pt idx="9">
                  <c:v>1.3305656460819923</c:v>
                </c:pt>
                <c:pt idx="10">
                  <c:v>1.3202460201479802</c:v>
                </c:pt>
                <c:pt idx="11">
                  <c:v>1.0241796200345423</c:v>
                </c:pt>
                <c:pt idx="12">
                  <c:v>2.1449069235383065</c:v>
                </c:pt>
                <c:pt idx="13">
                  <c:v>1.860896623787623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4-4A20-879A-D9A0A0F905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-1907817872"/>
        <c:axId val="-1907820048"/>
      </c:barChart>
      <c:catAx>
        <c:axId val="-1907817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07820048"/>
        <c:crosses val="autoZero"/>
        <c:auto val="1"/>
        <c:lblAlgn val="ctr"/>
        <c:lblOffset val="100"/>
        <c:noMultiLvlLbl val="0"/>
      </c:catAx>
      <c:valAx>
        <c:axId val="-190782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07817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46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46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43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46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1348" y="200660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58</xdr:row>
      <xdr:rowOff>279400</xdr:rowOff>
    </xdr:from>
    <xdr:to>
      <xdr:col>31</xdr:col>
      <xdr:colOff>492125</xdr:colOff>
      <xdr:row>74</xdr:row>
      <xdr:rowOff>285749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0</xdr:rowOff>
    </xdr:from>
    <xdr:to>
      <xdr:col>24</xdr:col>
      <xdr:colOff>0</xdr:colOff>
      <xdr:row>74</xdr:row>
      <xdr:rowOff>285749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58</xdr:row>
      <xdr:rowOff>279400</xdr:rowOff>
    </xdr:from>
    <xdr:to>
      <xdr:col>31</xdr:col>
      <xdr:colOff>444501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0</xdr:rowOff>
    </xdr:from>
    <xdr:to>
      <xdr:col>24</xdr:col>
      <xdr:colOff>0</xdr:colOff>
      <xdr:row>74</xdr:row>
      <xdr:rowOff>285749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16</xdr:col>
      <xdr:colOff>156488</xdr:colOff>
      <xdr:row>43</xdr:row>
      <xdr:rowOff>0</xdr:rowOff>
    </xdr:from>
    <xdr:to>
      <xdr:col>28</xdr:col>
      <xdr:colOff>1</xdr:colOff>
      <xdr:row>60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74</xdr:row>
      <xdr:rowOff>273053</xdr:rowOff>
    </xdr:from>
    <xdr:to>
      <xdr:col>25</xdr:col>
      <xdr:colOff>10600</xdr:colOff>
      <xdr:row>91</xdr:row>
      <xdr:rowOff>9528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6351</xdr:colOff>
      <xdr:row>59</xdr:row>
      <xdr:rowOff>282578</xdr:rowOff>
    </xdr:from>
    <xdr:to>
      <xdr:col>25</xdr:col>
      <xdr:colOff>0</xdr:colOff>
      <xdr:row>74</xdr:row>
      <xdr:rowOff>285749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708026</xdr:colOff>
      <xdr:row>59</xdr:row>
      <xdr:rowOff>280991</xdr:rowOff>
    </xdr:from>
    <xdr:to>
      <xdr:col>31</xdr:col>
      <xdr:colOff>381000</xdr:colOff>
      <xdr:row>75</xdr:row>
      <xdr:rowOff>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708026</xdr:colOff>
      <xdr:row>74</xdr:row>
      <xdr:rowOff>280990</xdr:rowOff>
    </xdr:from>
    <xdr:to>
      <xdr:col>31</xdr:col>
      <xdr:colOff>381000</xdr:colOff>
      <xdr:row>91</xdr:row>
      <xdr:rowOff>9528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37" zoomScale="60" workbookViewId="0">
      <selection activeCell="C22" sqref="C2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1" t="s">
        <v>96</v>
      </c>
      <c r="C3" s="64" t="s">
        <v>174</v>
      </c>
      <c r="D3" s="64"/>
      <c r="E3" s="64"/>
      <c r="F3" s="64"/>
      <c r="G3" s="64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59" t="s">
        <v>173</v>
      </c>
      <c r="H5" s="60"/>
      <c r="I5" s="14"/>
      <c r="J5" s="2" t="s">
        <v>5</v>
      </c>
      <c r="K5" s="59" t="s">
        <v>177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">
        <v>170</v>
      </c>
      <c r="E6" s="60"/>
      <c r="F6" s="2" t="s">
        <v>2</v>
      </c>
      <c r="G6" s="59" t="s">
        <v>176</v>
      </c>
      <c r="H6" s="60"/>
      <c r="J6" s="2" t="s">
        <v>21</v>
      </c>
      <c r="K6" s="59" t="s">
        <v>172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33</v>
      </c>
      <c r="D10" s="50">
        <v>6</v>
      </c>
      <c r="E10" s="50">
        <v>5</v>
      </c>
      <c r="F10" s="50">
        <v>32</v>
      </c>
      <c r="G10" s="50">
        <v>0</v>
      </c>
      <c r="H10" s="50">
        <v>1</v>
      </c>
      <c r="I10" s="50">
        <v>7</v>
      </c>
      <c r="J10" s="50">
        <v>4</v>
      </c>
      <c r="K10" s="50">
        <v>0</v>
      </c>
      <c r="L10" s="50">
        <v>1</v>
      </c>
      <c r="M10" s="50">
        <v>150</v>
      </c>
      <c r="N10" s="50">
        <v>0</v>
      </c>
      <c r="O10" s="15">
        <f t="shared" ref="O10:O57" si="0">SUM(C10:L10,N10)</f>
        <v>89</v>
      </c>
      <c r="P10" s="15">
        <f t="shared" ref="P10:P57" si="1">SUM(C10:N10)</f>
        <v>239</v>
      </c>
      <c r="R10" s="1" t="s">
        <v>6</v>
      </c>
      <c r="S10" s="17">
        <f t="shared" ref="S10:AF10" si="2">SUM(C10:C13)</f>
        <v>130</v>
      </c>
      <c r="T10" s="17">
        <f t="shared" si="2"/>
        <v>29</v>
      </c>
      <c r="U10" s="17">
        <f t="shared" si="2"/>
        <v>18</v>
      </c>
      <c r="V10" s="17">
        <f t="shared" si="2"/>
        <v>123</v>
      </c>
      <c r="W10" s="17">
        <f t="shared" si="2"/>
        <v>3</v>
      </c>
      <c r="X10" s="17">
        <f t="shared" si="2"/>
        <v>1</v>
      </c>
      <c r="Y10" s="17">
        <f t="shared" si="2"/>
        <v>24</v>
      </c>
      <c r="Z10" s="17">
        <f t="shared" si="2"/>
        <v>13</v>
      </c>
      <c r="AA10" s="17">
        <f t="shared" si="2"/>
        <v>6</v>
      </c>
      <c r="AB10" s="17">
        <f t="shared" si="2"/>
        <v>2</v>
      </c>
      <c r="AC10" s="17">
        <f t="shared" si="2"/>
        <v>775</v>
      </c>
      <c r="AD10" s="17">
        <f t="shared" si="2"/>
        <v>0</v>
      </c>
      <c r="AE10" s="31">
        <f t="shared" si="2"/>
        <v>349</v>
      </c>
      <c r="AF10" s="31">
        <f t="shared" si="2"/>
        <v>1124</v>
      </c>
    </row>
    <row r="11" spans="2:32" s="6" customFormat="1" ht="23.1" customHeight="1" x14ac:dyDescent="0.25">
      <c r="B11" s="23" t="s">
        <v>38</v>
      </c>
      <c r="C11" s="50">
        <v>30</v>
      </c>
      <c r="D11" s="50">
        <v>8</v>
      </c>
      <c r="E11" s="50">
        <v>1</v>
      </c>
      <c r="F11" s="50">
        <v>40</v>
      </c>
      <c r="G11" s="50">
        <v>0</v>
      </c>
      <c r="H11" s="50">
        <v>0</v>
      </c>
      <c r="I11" s="50">
        <v>6</v>
      </c>
      <c r="J11" s="50">
        <v>2</v>
      </c>
      <c r="K11" s="50">
        <v>1</v>
      </c>
      <c r="L11" s="50">
        <v>0</v>
      </c>
      <c r="M11" s="50">
        <v>180</v>
      </c>
      <c r="N11" s="50">
        <v>0</v>
      </c>
      <c r="O11" s="15">
        <f t="shared" si="0"/>
        <v>88</v>
      </c>
      <c r="P11" s="15">
        <f t="shared" si="1"/>
        <v>268</v>
      </c>
      <c r="R11" s="1" t="s">
        <v>7</v>
      </c>
      <c r="S11" s="17">
        <f t="shared" ref="S11:AF11" si="3">SUM(C14:C17)</f>
        <v>107</v>
      </c>
      <c r="T11" s="17">
        <f t="shared" si="3"/>
        <v>23</v>
      </c>
      <c r="U11" s="17">
        <f t="shared" si="3"/>
        <v>11</v>
      </c>
      <c r="V11" s="17">
        <f t="shared" si="3"/>
        <v>133</v>
      </c>
      <c r="W11" s="17">
        <f t="shared" si="3"/>
        <v>1</v>
      </c>
      <c r="X11" s="17">
        <f t="shared" si="3"/>
        <v>2</v>
      </c>
      <c r="Y11" s="17">
        <f t="shared" si="3"/>
        <v>27</v>
      </c>
      <c r="Z11" s="17">
        <f t="shared" si="3"/>
        <v>18</v>
      </c>
      <c r="AA11" s="17">
        <f t="shared" si="3"/>
        <v>5</v>
      </c>
      <c r="AB11" s="17">
        <f t="shared" si="3"/>
        <v>2</v>
      </c>
      <c r="AC11" s="17">
        <f t="shared" si="3"/>
        <v>868</v>
      </c>
      <c r="AD11" s="17">
        <f t="shared" si="3"/>
        <v>0</v>
      </c>
      <c r="AE11" s="31">
        <f t="shared" si="3"/>
        <v>329</v>
      </c>
      <c r="AF11" s="31">
        <f t="shared" si="3"/>
        <v>1197</v>
      </c>
    </row>
    <row r="12" spans="2:32" ht="23.1" customHeight="1" x14ac:dyDescent="0.25">
      <c r="B12" s="23" t="s">
        <v>39</v>
      </c>
      <c r="C12" s="50">
        <v>39</v>
      </c>
      <c r="D12" s="50">
        <v>8</v>
      </c>
      <c r="E12" s="50">
        <v>3</v>
      </c>
      <c r="F12" s="50">
        <v>24</v>
      </c>
      <c r="G12" s="50">
        <v>3</v>
      </c>
      <c r="H12" s="50">
        <v>0</v>
      </c>
      <c r="I12" s="50">
        <v>9</v>
      </c>
      <c r="J12" s="50">
        <v>3</v>
      </c>
      <c r="K12" s="50">
        <v>3</v>
      </c>
      <c r="L12" s="50">
        <v>0</v>
      </c>
      <c r="M12" s="50">
        <v>190</v>
      </c>
      <c r="N12" s="50">
        <v>0</v>
      </c>
      <c r="O12" s="15">
        <f t="shared" si="0"/>
        <v>92</v>
      </c>
      <c r="P12" s="15">
        <f t="shared" si="1"/>
        <v>282</v>
      </c>
      <c r="R12" s="1" t="s">
        <v>8</v>
      </c>
      <c r="S12" s="17">
        <f t="shared" ref="S12:AF12" si="4">SUM(C18:C21)</f>
        <v>144</v>
      </c>
      <c r="T12" s="17">
        <f t="shared" si="4"/>
        <v>17</v>
      </c>
      <c r="U12" s="17">
        <f t="shared" si="4"/>
        <v>14</v>
      </c>
      <c r="V12" s="17">
        <f t="shared" si="4"/>
        <v>124</v>
      </c>
      <c r="W12" s="17">
        <f t="shared" si="4"/>
        <v>5</v>
      </c>
      <c r="X12" s="17">
        <f t="shared" si="4"/>
        <v>3</v>
      </c>
      <c r="Y12" s="17">
        <f t="shared" si="4"/>
        <v>30</v>
      </c>
      <c r="Z12" s="17">
        <f t="shared" si="4"/>
        <v>27</v>
      </c>
      <c r="AA12" s="17">
        <f t="shared" si="4"/>
        <v>2</v>
      </c>
      <c r="AB12" s="17">
        <f t="shared" si="4"/>
        <v>3</v>
      </c>
      <c r="AC12" s="17">
        <f t="shared" si="4"/>
        <v>680</v>
      </c>
      <c r="AD12" s="17">
        <f t="shared" si="4"/>
        <v>0</v>
      </c>
      <c r="AE12" s="31">
        <f t="shared" si="4"/>
        <v>369</v>
      </c>
      <c r="AF12" s="31">
        <f t="shared" si="4"/>
        <v>1049</v>
      </c>
    </row>
    <row r="13" spans="2:32" ht="23.1" customHeight="1" x14ac:dyDescent="0.25">
      <c r="B13" s="23" t="s">
        <v>40</v>
      </c>
      <c r="C13" s="50">
        <v>28</v>
      </c>
      <c r="D13" s="50">
        <v>7</v>
      </c>
      <c r="E13" s="50">
        <v>9</v>
      </c>
      <c r="F13" s="50">
        <v>27</v>
      </c>
      <c r="G13" s="50">
        <v>0</v>
      </c>
      <c r="H13" s="50">
        <v>0</v>
      </c>
      <c r="I13" s="50">
        <v>2</v>
      </c>
      <c r="J13" s="50">
        <v>4</v>
      </c>
      <c r="K13" s="50">
        <v>2</v>
      </c>
      <c r="L13" s="50">
        <v>1</v>
      </c>
      <c r="M13" s="50">
        <v>255</v>
      </c>
      <c r="N13" s="50">
        <v>0</v>
      </c>
      <c r="O13" s="15">
        <f t="shared" si="0"/>
        <v>80</v>
      </c>
      <c r="P13" s="15">
        <f t="shared" si="1"/>
        <v>335</v>
      </c>
      <c r="R13" s="1" t="s">
        <v>9</v>
      </c>
      <c r="S13" s="17">
        <f t="shared" ref="S13:AF13" si="5">SUM(C22:C25)</f>
        <v>156</v>
      </c>
      <c r="T13" s="17">
        <f t="shared" ref="T13" si="6">SUM(D22:D25)</f>
        <v>14</v>
      </c>
      <c r="U13" s="17">
        <f t="shared" ref="U13" si="7">SUM(E22:E25)</f>
        <v>16</v>
      </c>
      <c r="V13" s="17">
        <f t="shared" ref="V13" si="8">SUM(F22:F25)</f>
        <v>92</v>
      </c>
      <c r="W13" s="17">
        <f t="shared" ref="W13" si="9">SUM(G22:G25)</f>
        <v>5</v>
      </c>
      <c r="X13" s="17">
        <f t="shared" ref="X13" si="10">SUM(H22:H25)</f>
        <v>1</v>
      </c>
      <c r="Y13" s="17">
        <f t="shared" ref="Y13" si="11">SUM(I22:I25)</f>
        <v>40</v>
      </c>
      <c r="Z13" s="17">
        <f t="shared" ref="Z13" si="12">SUM(J22:J25)</f>
        <v>14</v>
      </c>
      <c r="AA13" s="17">
        <f t="shared" ref="AA13" si="13">SUM(K22:K25)</f>
        <v>1</v>
      </c>
      <c r="AB13" s="17">
        <f t="shared" ref="AB13" si="14">SUM(L22:L25)</f>
        <v>2</v>
      </c>
      <c r="AC13" s="17">
        <f t="shared" ref="AC13" si="15">SUM(M22:M25)</f>
        <v>501</v>
      </c>
      <c r="AD13" s="17">
        <f t="shared" ref="AD13" si="16">SUM(N22:N25)</f>
        <v>0</v>
      </c>
      <c r="AE13" s="31">
        <f t="shared" si="5"/>
        <v>341</v>
      </c>
      <c r="AF13" s="31">
        <f t="shared" si="5"/>
        <v>842</v>
      </c>
    </row>
    <row r="14" spans="2:32" ht="23.1" customHeight="1" x14ac:dyDescent="0.25">
      <c r="B14" s="23" t="s">
        <v>41</v>
      </c>
      <c r="C14" s="50">
        <v>26</v>
      </c>
      <c r="D14" s="50">
        <v>6</v>
      </c>
      <c r="E14" s="50">
        <v>2</v>
      </c>
      <c r="F14" s="50">
        <v>23</v>
      </c>
      <c r="G14" s="50">
        <v>0</v>
      </c>
      <c r="H14" s="50">
        <v>0</v>
      </c>
      <c r="I14" s="50">
        <v>2</v>
      </c>
      <c r="J14" s="50">
        <v>2</v>
      </c>
      <c r="K14" s="50">
        <v>2</v>
      </c>
      <c r="L14" s="50">
        <v>1</v>
      </c>
      <c r="M14" s="50">
        <v>195</v>
      </c>
      <c r="N14" s="50">
        <v>0</v>
      </c>
      <c r="O14" s="15">
        <f t="shared" si="0"/>
        <v>64</v>
      </c>
      <c r="P14" s="15">
        <f t="shared" si="1"/>
        <v>259</v>
      </c>
      <c r="R14" s="1" t="s">
        <v>10</v>
      </c>
      <c r="S14" s="17">
        <f t="shared" ref="S14:AF14" si="17">SUM(C26:C29)</f>
        <v>191</v>
      </c>
      <c r="T14" s="17">
        <f t="shared" si="17"/>
        <v>31</v>
      </c>
      <c r="U14" s="17">
        <f t="shared" si="17"/>
        <v>19</v>
      </c>
      <c r="V14" s="17">
        <f t="shared" si="17"/>
        <v>107</v>
      </c>
      <c r="W14" s="17">
        <f t="shared" si="17"/>
        <v>6</v>
      </c>
      <c r="X14" s="17">
        <f t="shared" si="17"/>
        <v>3</v>
      </c>
      <c r="Y14" s="17">
        <f t="shared" si="17"/>
        <v>55</v>
      </c>
      <c r="Z14" s="17">
        <f t="shared" si="17"/>
        <v>28</v>
      </c>
      <c r="AA14" s="17">
        <f t="shared" si="17"/>
        <v>5</v>
      </c>
      <c r="AB14" s="17">
        <f t="shared" si="17"/>
        <v>4</v>
      </c>
      <c r="AC14" s="17">
        <f t="shared" si="17"/>
        <v>455</v>
      </c>
      <c r="AD14" s="17">
        <f t="shared" si="17"/>
        <v>0</v>
      </c>
      <c r="AE14" s="31">
        <f t="shared" si="17"/>
        <v>449</v>
      </c>
      <c r="AF14" s="31">
        <f t="shared" si="17"/>
        <v>904</v>
      </c>
    </row>
    <row r="15" spans="2:32" ht="23.1" customHeight="1" x14ac:dyDescent="0.25">
      <c r="B15" s="23" t="s">
        <v>42</v>
      </c>
      <c r="C15" s="50">
        <v>12</v>
      </c>
      <c r="D15" s="50">
        <v>1</v>
      </c>
      <c r="E15" s="50">
        <v>4</v>
      </c>
      <c r="F15" s="50">
        <v>20</v>
      </c>
      <c r="G15" s="50">
        <v>1</v>
      </c>
      <c r="H15" s="50">
        <v>1</v>
      </c>
      <c r="I15" s="50">
        <v>5</v>
      </c>
      <c r="J15" s="50">
        <v>6</v>
      </c>
      <c r="K15" s="50">
        <v>1</v>
      </c>
      <c r="L15" s="50">
        <v>1</v>
      </c>
      <c r="M15" s="50">
        <v>163</v>
      </c>
      <c r="N15" s="50">
        <v>0</v>
      </c>
      <c r="O15" s="15">
        <f t="shared" si="0"/>
        <v>52</v>
      </c>
      <c r="P15" s="15">
        <f t="shared" si="1"/>
        <v>215</v>
      </c>
      <c r="R15" s="1" t="s">
        <v>11</v>
      </c>
      <c r="S15" s="17">
        <f t="shared" ref="S15:AF15" si="18">SUM(C30:C33)</f>
        <v>140</v>
      </c>
      <c r="T15" s="17">
        <f t="shared" si="18"/>
        <v>15</v>
      </c>
      <c r="U15" s="17">
        <f t="shared" si="18"/>
        <v>13</v>
      </c>
      <c r="V15" s="17">
        <f t="shared" si="18"/>
        <v>98</v>
      </c>
      <c r="W15" s="17">
        <f t="shared" si="18"/>
        <v>2</v>
      </c>
      <c r="X15" s="17">
        <f t="shared" si="18"/>
        <v>4</v>
      </c>
      <c r="Y15" s="17">
        <f t="shared" si="18"/>
        <v>33</v>
      </c>
      <c r="Z15" s="17">
        <f t="shared" si="18"/>
        <v>25</v>
      </c>
      <c r="AA15" s="17">
        <f t="shared" si="18"/>
        <v>4</v>
      </c>
      <c r="AB15" s="17">
        <f t="shared" si="18"/>
        <v>2</v>
      </c>
      <c r="AC15" s="17">
        <f t="shared" si="18"/>
        <v>260</v>
      </c>
      <c r="AD15" s="17">
        <f t="shared" si="18"/>
        <v>0</v>
      </c>
      <c r="AE15" s="31">
        <f t="shared" si="18"/>
        <v>336</v>
      </c>
      <c r="AF15" s="31">
        <f t="shared" si="18"/>
        <v>596</v>
      </c>
    </row>
    <row r="16" spans="2:32" ht="23.1" customHeight="1" x14ac:dyDescent="0.25">
      <c r="B16" s="23" t="s">
        <v>43</v>
      </c>
      <c r="C16" s="50">
        <v>37</v>
      </c>
      <c r="D16" s="50">
        <v>3</v>
      </c>
      <c r="E16" s="50">
        <v>4</v>
      </c>
      <c r="F16" s="50">
        <v>50</v>
      </c>
      <c r="G16" s="50">
        <v>0</v>
      </c>
      <c r="H16" s="50">
        <v>1</v>
      </c>
      <c r="I16" s="50">
        <v>6</v>
      </c>
      <c r="J16" s="50">
        <v>5</v>
      </c>
      <c r="K16" s="50">
        <v>1</v>
      </c>
      <c r="L16" s="50">
        <v>0</v>
      </c>
      <c r="M16" s="50">
        <v>220</v>
      </c>
      <c r="N16" s="50">
        <v>0</v>
      </c>
      <c r="O16" s="15">
        <f t="shared" si="0"/>
        <v>107</v>
      </c>
      <c r="P16" s="15">
        <f t="shared" si="1"/>
        <v>327</v>
      </c>
      <c r="R16" s="1" t="s">
        <v>12</v>
      </c>
      <c r="S16" s="17">
        <f t="shared" ref="S16:AF16" si="19">SUM(C34:C37)</f>
        <v>159</v>
      </c>
      <c r="T16" s="17">
        <f t="shared" si="19"/>
        <v>23</v>
      </c>
      <c r="U16" s="17">
        <f t="shared" si="19"/>
        <v>7</v>
      </c>
      <c r="V16" s="17">
        <f t="shared" si="19"/>
        <v>117</v>
      </c>
      <c r="W16" s="17">
        <f t="shared" si="19"/>
        <v>3</v>
      </c>
      <c r="X16" s="17">
        <f t="shared" si="19"/>
        <v>4</v>
      </c>
      <c r="Y16" s="17">
        <f t="shared" si="19"/>
        <v>32</v>
      </c>
      <c r="Z16" s="17">
        <f t="shared" si="19"/>
        <v>28</v>
      </c>
      <c r="AA16" s="17">
        <f t="shared" si="19"/>
        <v>5</v>
      </c>
      <c r="AB16" s="17">
        <f t="shared" si="19"/>
        <v>5</v>
      </c>
      <c r="AC16" s="17">
        <f t="shared" si="19"/>
        <v>333</v>
      </c>
      <c r="AD16" s="17">
        <f t="shared" si="19"/>
        <v>0</v>
      </c>
      <c r="AE16" s="31">
        <f t="shared" si="19"/>
        <v>383</v>
      </c>
      <c r="AF16" s="31">
        <f t="shared" si="19"/>
        <v>716</v>
      </c>
    </row>
    <row r="17" spans="2:32" ht="23.1" customHeight="1" x14ac:dyDescent="0.25">
      <c r="B17" s="23" t="s">
        <v>44</v>
      </c>
      <c r="C17" s="50">
        <v>32</v>
      </c>
      <c r="D17" s="50">
        <v>13</v>
      </c>
      <c r="E17" s="50">
        <v>1</v>
      </c>
      <c r="F17" s="50">
        <v>40</v>
      </c>
      <c r="G17" s="50">
        <v>0</v>
      </c>
      <c r="H17" s="50">
        <v>0</v>
      </c>
      <c r="I17" s="50">
        <v>14</v>
      </c>
      <c r="J17" s="50">
        <v>5</v>
      </c>
      <c r="K17" s="50">
        <v>1</v>
      </c>
      <c r="L17" s="50">
        <v>0</v>
      </c>
      <c r="M17" s="50">
        <v>290</v>
      </c>
      <c r="N17" s="50">
        <v>0</v>
      </c>
      <c r="O17" s="15">
        <f t="shared" si="0"/>
        <v>106</v>
      </c>
      <c r="P17" s="15">
        <f t="shared" si="1"/>
        <v>396</v>
      </c>
      <c r="R17" s="1" t="s">
        <v>13</v>
      </c>
      <c r="S17" s="17">
        <f t="shared" ref="S17:AF17" si="20">SUM(C38:C41)</f>
        <v>201</v>
      </c>
      <c r="T17" s="17">
        <f t="shared" si="20"/>
        <v>8</v>
      </c>
      <c r="U17" s="17">
        <f t="shared" si="20"/>
        <v>23</v>
      </c>
      <c r="V17" s="17">
        <f t="shared" si="20"/>
        <v>122</v>
      </c>
      <c r="W17" s="17">
        <f t="shared" si="20"/>
        <v>0</v>
      </c>
      <c r="X17" s="17">
        <f t="shared" si="20"/>
        <v>1</v>
      </c>
      <c r="Y17" s="17">
        <f t="shared" si="20"/>
        <v>32</v>
      </c>
      <c r="Z17" s="17">
        <f t="shared" si="20"/>
        <v>26</v>
      </c>
      <c r="AA17" s="17">
        <f t="shared" si="20"/>
        <v>5</v>
      </c>
      <c r="AB17" s="17">
        <f t="shared" si="20"/>
        <v>14</v>
      </c>
      <c r="AC17" s="17">
        <f t="shared" si="20"/>
        <v>320</v>
      </c>
      <c r="AD17" s="17">
        <f t="shared" si="20"/>
        <v>0</v>
      </c>
      <c r="AE17" s="31">
        <f t="shared" si="20"/>
        <v>432</v>
      </c>
      <c r="AF17" s="31">
        <f t="shared" si="20"/>
        <v>752</v>
      </c>
    </row>
    <row r="18" spans="2:32" ht="23.1" customHeight="1" x14ac:dyDescent="0.25">
      <c r="B18" s="23" t="s">
        <v>45</v>
      </c>
      <c r="C18" s="50">
        <v>46</v>
      </c>
      <c r="D18" s="50">
        <v>4</v>
      </c>
      <c r="E18" s="50">
        <v>4</v>
      </c>
      <c r="F18" s="50">
        <v>19</v>
      </c>
      <c r="G18" s="50">
        <v>0</v>
      </c>
      <c r="H18" s="50">
        <v>1</v>
      </c>
      <c r="I18" s="50">
        <v>6</v>
      </c>
      <c r="J18" s="50">
        <v>6</v>
      </c>
      <c r="K18" s="50">
        <v>0</v>
      </c>
      <c r="L18" s="50">
        <v>2</v>
      </c>
      <c r="M18" s="50">
        <v>200</v>
      </c>
      <c r="N18" s="50">
        <v>0</v>
      </c>
      <c r="O18" s="15">
        <f t="shared" si="0"/>
        <v>88</v>
      </c>
      <c r="P18" s="15">
        <f t="shared" si="1"/>
        <v>288</v>
      </c>
      <c r="R18" s="1" t="s">
        <v>14</v>
      </c>
      <c r="S18" s="17">
        <f t="shared" ref="S18:AF18" si="21">SUM(C42:C45)</f>
        <v>129</v>
      </c>
      <c r="T18" s="17">
        <f t="shared" si="21"/>
        <v>24</v>
      </c>
      <c r="U18" s="17">
        <f t="shared" si="21"/>
        <v>18</v>
      </c>
      <c r="V18" s="17">
        <f t="shared" si="21"/>
        <v>84</v>
      </c>
      <c r="W18" s="17">
        <f t="shared" si="21"/>
        <v>2</v>
      </c>
      <c r="X18" s="17">
        <f t="shared" si="21"/>
        <v>2</v>
      </c>
      <c r="Y18" s="17">
        <f t="shared" si="21"/>
        <v>24</v>
      </c>
      <c r="Z18" s="17">
        <f t="shared" si="21"/>
        <v>27</v>
      </c>
      <c r="AA18" s="17">
        <f t="shared" si="21"/>
        <v>9</v>
      </c>
      <c r="AB18" s="17">
        <f t="shared" si="21"/>
        <v>5</v>
      </c>
      <c r="AC18" s="17">
        <f t="shared" si="21"/>
        <v>236</v>
      </c>
      <c r="AD18" s="17">
        <f t="shared" si="21"/>
        <v>0</v>
      </c>
      <c r="AE18" s="31">
        <f t="shared" si="21"/>
        <v>324</v>
      </c>
      <c r="AF18" s="31">
        <f t="shared" si="21"/>
        <v>560</v>
      </c>
    </row>
    <row r="19" spans="2:32" ht="23.1" customHeight="1" x14ac:dyDescent="0.25">
      <c r="B19" s="23" t="s">
        <v>46</v>
      </c>
      <c r="C19" s="50">
        <v>27</v>
      </c>
      <c r="D19" s="50">
        <v>7</v>
      </c>
      <c r="E19" s="50">
        <v>2</v>
      </c>
      <c r="F19" s="50">
        <v>31</v>
      </c>
      <c r="G19" s="50">
        <v>3</v>
      </c>
      <c r="H19" s="50">
        <v>0</v>
      </c>
      <c r="I19" s="50">
        <v>13</v>
      </c>
      <c r="J19" s="50">
        <v>8</v>
      </c>
      <c r="K19" s="50">
        <v>2</v>
      </c>
      <c r="L19" s="50">
        <v>0</v>
      </c>
      <c r="M19" s="50">
        <v>150</v>
      </c>
      <c r="N19" s="50">
        <v>0</v>
      </c>
      <c r="O19" s="15">
        <f t="shared" si="0"/>
        <v>93</v>
      </c>
      <c r="P19" s="15">
        <f t="shared" si="1"/>
        <v>243</v>
      </c>
      <c r="R19" s="1" t="s">
        <v>15</v>
      </c>
      <c r="S19" s="17">
        <f t="shared" ref="S19:AF19" si="22">SUM(C46:C49)</f>
        <v>144</v>
      </c>
      <c r="T19" s="17">
        <f t="shared" si="22"/>
        <v>17</v>
      </c>
      <c r="U19" s="17">
        <f t="shared" si="22"/>
        <v>15</v>
      </c>
      <c r="V19" s="17">
        <f t="shared" si="22"/>
        <v>96</v>
      </c>
      <c r="W19" s="17">
        <f t="shared" si="22"/>
        <v>4</v>
      </c>
      <c r="X19" s="17">
        <f t="shared" si="22"/>
        <v>1</v>
      </c>
      <c r="Y19" s="17">
        <f t="shared" si="22"/>
        <v>18</v>
      </c>
      <c r="Z19" s="17">
        <f t="shared" si="22"/>
        <v>27</v>
      </c>
      <c r="AA19" s="17">
        <f t="shared" si="22"/>
        <v>5</v>
      </c>
      <c r="AB19" s="17">
        <f t="shared" si="22"/>
        <v>7</v>
      </c>
      <c r="AC19" s="17">
        <f t="shared" si="22"/>
        <v>383</v>
      </c>
      <c r="AD19" s="17">
        <f t="shared" si="22"/>
        <v>0</v>
      </c>
      <c r="AE19" s="31">
        <f t="shared" si="22"/>
        <v>334</v>
      </c>
      <c r="AF19" s="31">
        <f t="shared" si="22"/>
        <v>717</v>
      </c>
    </row>
    <row r="20" spans="2:32" ht="23.1" customHeight="1" x14ac:dyDescent="0.25">
      <c r="B20" s="23" t="s">
        <v>47</v>
      </c>
      <c r="C20" s="50">
        <v>42</v>
      </c>
      <c r="D20" s="50">
        <v>3</v>
      </c>
      <c r="E20" s="50">
        <v>4</v>
      </c>
      <c r="F20" s="50">
        <v>42</v>
      </c>
      <c r="G20" s="50">
        <v>2</v>
      </c>
      <c r="H20" s="50">
        <v>1</v>
      </c>
      <c r="I20" s="50">
        <v>3</v>
      </c>
      <c r="J20" s="50">
        <v>9</v>
      </c>
      <c r="K20" s="50">
        <v>0</v>
      </c>
      <c r="L20" s="50">
        <v>0</v>
      </c>
      <c r="M20" s="50">
        <v>180</v>
      </c>
      <c r="N20" s="50">
        <v>0</v>
      </c>
      <c r="O20" s="15">
        <f t="shared" si="0"/>
        <v>106</v>
      </c>
      <c r="P20" s="15">
        <f t="shared" si="1"/>
        <v>286</v>
      </c>
      <c r="R20" s="1" t="s">
        <v>16</v>
      </c>
      <c r="S20" s="17">
        <f t="shared" ref="S20:AF20" si="23">SUM(C50:C53)</f>
        <v>289</v>
      </c>
      <c r="T20" s="17">
        <f t="shared" si="23"/>
        <v>25</v>
      </c>
      <c r="U20" s="17">
        <f t="shared" si="23"/>
        <v>25</v>
      </c>
      <c r="V20" s="17">
        <f t="shared" si="23"/>
        <v>107</v>
      </c>
      <c r="W20" s="17">
        <f t="shared" si="23"/>
        <v>1</v>
      </c>
      <c r="X20" s="17">
        <f t="shared" si="23"/>
        <v>1</v>
      </c>
      <c r="Y20" s="17">
        <f t="shared" si="23"/>
        <v>48</v>
      </c>
      <c r="Z20" s="17">
        <f t="shared" si="23"/>
        <v>28</v>
      </c>
      <c r="AA20" s="17">
        <f t="shared" si="23"/>
        <v>4</v>
      </c>
      <c r="AB20" s="17">
        <f t="shared" si="23"/>
        <v>2</v>
      </c>
      <c r="AC20" s="17">
        <f t="shared" si="23"/>
        <v>370</v>
      </c>
      <c r="AD20" s="17">
        <f t="shared" si="23"/>
        <v>0</v>
      </c>
      <c r="AE20" s="31">
        <f t="shared" si="23"/>
        <v>530</v>
      </c>
      <c r="AF20" s="31">
        <f t="shared" si="23"/>
        <v>900</v>
      </c>
    </row>
    <row r="21" spans="2:32" ht="23.1" customHeight="1" x14ac:dyDescent="0.25">
      <c r="B21" s="23" t="s">
        <v>48</v>
      </c>
      <c r="C21" s="50">
        <v>29</v>
      </c>
      <c r="D21" s="50">
        <v>3</v>
      </c>
      <c r="E21" s="50">
        <v>4</v>
      </c>
      <c r="F21" s="50">
        <v>32</v>
      </c>
      <c r="G21" s="50">
        <v>0</v>
      </c>
      <c r="H21" s="50">
        <v>1</v>
      </c>
      <c r="I21" s="50">
        <v>8</v>
      </c>
      <c r="J21" s="50">
        <v>4</v>
      </c>
      <c r="K21" s="50">
        <v>0</v>
      </c>
      <c r="L21" s="50">
        <v>1</v>
      </c>
      <c r="M21" s="50">
        <v>150</v>
      </c>
      <c r="N21" s="50">
        <v>0</v>
      </c>
      <c r="O21" s="15">
        <f t="shared" si="0"/>
        <v>82</v>
      </c>
      <c r="P21" s="15">
        <f t="shared" si="1"/>
        <v>232</v>
      </c>
      <c r="R21" s="36" t="s">
        <v>20</v>
      </c>
      <c r="S21" s="34">
        <f t="shared" ref="S21:AF21" si="24">SUM(C54:C57)</f>
        <v>355</v>
      </c>
      <c r="T21" s="17">
        <f t="shared" si="24"/>
        <v>11</v>
      </c>
      <c r="U21" s="17">
        <f t="shared" si="24"/>
        <v>9</v>
      </c>
      <c r="V21" s="17">
        <f t="shared" si="24"/>
        <v>208</v>
      </c>
      <c r="W21" s="17">
        <f t="shared" si="24"/>
        <v>4</v>
      </c>
      <c r="X21" s="17">
        <f t="shared" si="24"/>
        <v>3</v>
      </c>
      <c r="Y21" s="17">
        <f t="shared" si="24"/>
        <v>27</v>
      </c>
      <c r="Z21" s="17">
        <f t="shared" si="24"/>
        <v>9</v>
      </c>
      <c r="AA21" s="17">
        <f t="shared" si="24"/>
        <v>5</v>
      </c>
      <c r="AB21" s="17">
        <f t="shared" si="24"/>
        <v>3</v>
      </c>
      <c r="AC21" s="17">
        <f t="shared" si="24"/>
        <v>605</v>
      </c>
      <c r="AD21" s="17">
        <f t="shared" si="24"/>
        <v>0</v>
      </c>
      <c r="AE21" s="31">
        <f t="shared" si="24"/>
        <v>634</v>
      </c>
      <c r="AF21" s="31">
        <f t="shared" si="24"/>
        <v>1239</v>
      </c>
    </row>
    <row r="22" spans="2:32" ht="23.1" customHeight="1" x14ac:dyDescent="0.25">
      <c r="B22" s="23" t="s">
        <v>49</v>
      </c>
      <c r="C22" s="50">
        <v>35</v>
      </c>
      <c r="D22" s="50">
        <v>5</v>
      </c>
      <c r="E22" s="50">
        <v>3</v>
      </c>
      <c r="F22" s="50">
        <v>18</v>
      </c>
      <c r="G22" s="50">
        <v>0</v>
      </c>
      <c r="H22" s="50">
        <v>0</v>
      </c>
      <c r="I22" s="50">
        <v>13</v>
      </c>
      <c r="J22" s="50">
        <v>3</v>
      </c>
      <c r="K22" s="50">
        <v>0</v>
      </c>
      <c r="L22" s="50">
        <v>0</v>
      </c>
      <c r="M22" s="50">
        <v>133</v>
      </c>
      <c r="N22" s="50">
        <v>0</v>
      </c>
      <c r="O22" s="15">
        <f t="shared" si="0"/>
        <v>77</v>
      </c>
      <c r="P22" s="15">
        <f t="shared" si="1"/>
        <v>210</v>
      </c>
      <c r="R22" s="38" t="s">
        <v>90</v>
      </c>
      <c r="S22" s="39">
        <f>MAX(S10:S12)</f>
        <v>144</v>
      </c>
      <c r="T22" s="39">
        <f t="shared" ref="T22:AF22" si="25">MAX(T10:T12)</f>
        <v>29</v>
      </c>
      <c r="U22" s="39">
        <f t="shared" si="25"/>
        <v>18</v>
      </c>
      <c r="V22" s="39">
        <f t="shared" si="25"/>
        <v>133</v>
      </c>
      <c r="W22" s="39">
        <f t="shared" si="25"/>
        <v>5</v>
      </c>
      <c r="X22" s="39">
        <f t="shared" si="25"/>
        <v>3</v>
      </c>
      <c r="Y22" s="39">
        <f t="shared" si="25"/>
        <v>30</v>
      </c>
      <c r="Z22" s="39">
        <f t="shared" si="25"/>
        <v>27</v>
      </c>
      <c r="AA22" s="39">
        <f t="shared" si="25"/>
        <v>6</v>
      </c>
      <c r="AB22" s="39">
        <f t="shared" si="25"/>
        <v>3</v>
      </c>
      <c r="AC22" s="39">
        <f t="shared" si="25"/>
        <v>868</v>
      </c>
      <c r="AD22" s="39">
        <f t="shared" si="25"/>
        <v>0</v>
      </c>
      <c r="AE22" s="40">
        <f t="shared" si="25"/>
        <v>369</v>
      </c>
      <c r="AF22" s="40">
        <f t="shared" si="25"/>
        <v>1197</v>
      </c>
    </row>
    <row r="23" spans="2:32" ht="23.1" customHeight="1" x14ac:dyDescent="0.25">
      <c r="B23" s="23" t="s">
        <v>50</v>
      </c>
      <c r="C23" s="50">
        <v>32</v>
      </c>
      <c r="D23" s="50">
        <v>0</v>
      </c>
      <c r="E23" s="50">
        <v>5</v>
      </c>
      <c r="F23" s="50">
        <v>22</v>
      </c>
      <c r="G23" s="50">
        <v>2</v>
      </c>
      <c r="H23" s="50">
        <v>0</v>
      </c>
      <c r="I23" s="50">
        <v>10</v>
      </c>
      <c r="J23" s="50">
        <v>2</v>
      </c>
      <c r="K23" s="50">
        <v>0</v>
      </c>
      <c r="L23" s="50">
        <v>2</v>
      </c>
      <c r="M23" s="50">
        <v>130</v>
      </c>
      <c r="N23" s="50">
        <v>0</v>
      </c>
      <c r="O23" s="15">
        <f t="shared" si="0"/>
        <v>75</v>
      </c>
      <c r="P23" s="15">
        <f t="shared" si="1"/>
        <v>205</v>
      </c>
      <c r="R23" s="38" t="s">
        <v>91</v>
      </c>
      <c r="S23" s="39">
        <f>MAX(S13:S18)</f>
        <v>201</v>
      </c>
      <c r="T23" s="39">
        <f t="shared" ref="T23:AF23" si="26">MAX(T13:T18)</f>
        <v>31</v>
      </c>
      <c r="U23" s="39">
        <f t="shared" si="26"/>
        <v>23</v>
      </c>
      <c r="V23" s="39">
        <f t="shared" si="26"/>
        <v>122</v>
      </c>
      <c r="W23" s="39">
        <f t="shared" si="26"/>
        <v>6</v>
      </c>
      <c r="X23" s="39">
        <f t="shared" si="26"/>
        <v>4</v>
      </c>
      <c r="Y23" s="39">
        <f t="shared" si="26"/>
        <v>55</v>
      </c>
      <c r="Z23" s="39">
        <f t="shared" si="26"/>
        <v>28</v>
      </c>
      <c r="AA23" s="39">
        <f t="shared" si="26"/>
        <v>9</v>
      </c>
      <c r="AB23" s="39">
        <f t="shared" si="26"/>
        <v>14</v>
      </c>
      <c r="AC23" s="39">
        <f t="shared" si="26"/>
        <v>501</v>
      </c>
      <c r="AD23" s="39">
        <f t="shared" si="26"/>
        <v>0</v>
      </c>
      <c r="AE23" s="40">
        <f t="shared" si="26"/>
        <v>449</v>
      </c>
      <c r="AF23" s="40">
        <f t="shared" si="26"/>
        <v>904</v>
      </c>
    </row>
    <row r="24" spans="2:32" ht="23.1" customHeight="1" x14ac:dyDescent="0.25">
      <c r="B24" s="23" t="s">
        <v>51</v>
      </c>
      <c r="C24" s="50">
        <v>62</v>
      </c>
      <c r="D24" s="50">
        <v>6</v>
      </c>
      <c r="E24" s="50">
        <v>2</v>
      </c>
      <c r="F24" s="50">
        <v>29</v>
      </c>
      <c r="G24" s="50">
        <v>2</v>
      </c>
      <c r="H24" s="50">
        <v>0</v>
      </c>
      <c r="I24" s="50">
        <v>7</v>
      </c>
      <c r="J24" s="50">
        <v>7</v>
      </c>
      <c r="K24" s="50">
        <v>0</v>
      </c>
      <c r="L24" s="50">
        <v>0</v>
      </c>
      <c r="M24" s="50">
        <v>145</v>
      </c>
      <c r="N24" s="50">
        <v>0</v>
      </c>
      <c r="O24" s="15">
        <f t="shared" si="0"/>
        <v>115</v>
      </c>
      <c r="P24" s="15">
        <f t="shared" si="1"/>
        <v>260</v>
      </c>
      <c r="R24" s="38" t="s">
        <v>92</v>
      </c>
      <c r="S24" s="39">
        <f>MAX(S19:S21)</f>
        <v>355</v>
      </c>
      <c r="T24" s="39">
        <f t="shared" ref="T24:AF24" si="27">MAX(T19:T21)</f>
        <v>25</v>
      </c>
      <c r="U24" s="39">
        <f t="shared" si="27"/>
        <v>25</v>
      </c>
      <c r="V24" s="39">
        <f t="shared" si="27"/>
        <v>208</v>
      </c>
      <c r="W24" s="39">
        <f t="shared" si="27"/>
        <v>4</v>
      </c>
      <c r="X24" s="39">
        <f t="shared" si="27"/>
        <v>3</v>
      </c>
      <c r="Y24" s="39">
        <f t="shared" si="27"/>
        <v>48</v>
      </c>
      <c r="Z24" s="39">
        <f t="shared" si="27"/>
        <v>28</v>
      </c>
      <c r="AA24" s="39">
        <f t="shared" si="27"/>
        <v>5</v>
      </c>
      <c r="AB24" s="39">
        <f t="shared" si="27"/>
        <v>7</v>
      </c>
      <c r="AC24" s="39">
        <f t="shared" si="27"/>
        <v>605</v>
      </c>
      <c r="AD24" s="39">
        <f t="shared" si="27"/>
        <v>0</v>
      </c>
      <c r="AE24" s="40">
        <f t="shared" si="27"/>
        <v>634</v>
      </c>
      <c r="AF24" s="40">
        <f t="shared" si="27"/>
        <v>1239</v>
      </c>
    </row>
    <row r="25" spans="2:32" ht="23.1" customHeight="1" x14ac:dyDescent="0.25">
      <c r="B25" s="23" t="s">
        <v>52</v>
      </c>
      <c r="C25" s="50">
        <v>27</v>
      </c>
      <c r="D25" s="50">
        <v>3</v>
      </c>
      <c r="E25" s="50">
        <v>6</v>
      </c>
      <c r="F25" s="50">
        <v>23</v>
      </c>
      <c r="G25" s="50">
        <v>1</v>
      </c>
      <c r="H25" s="50">
        <v>1</v>
      </c>
      <c r="I25" s="50">
        <v>10</v>
      </c>
      <c r="J25" s="50">
        <v>2</v>
      </c>
      <c r="K25" s="50">
        <v>1</v>
      </c>
      <c r="L25" s="50">
        <v>0</v>
      </c>
      <c r="M25" s="50">
        <v>93</v>
      </c>
      <c r="N25" s="50">
        <v>0</v>
      </c>
      <c r="O25" s="15">
        <f t="shared" si="0"/>
        <v>74</v>
      </c>
      <c r="P25" s="15">
        <f t="shared" si="1"/>
        <v>167</v>
      </c>
      <c r="R25" s="37" t="s">
        <v>85</v>
      </c>
      <c r="S25" s="35">
        <f t="shared" ref="S25:AF25" si="28">SUM(S10:S12)</f>
        <v>381</v>
      </c>
      <c r="T25" s="16">
        <f t="shared" si="28"/>
        <v>69</v>
      </c>
      <c r="U25" s="16">
        <f t="shared" si="28"/>
        <v>43</v>
      </c>
      <c r="V25" s="16">
        <f t="shared" si="28"/>
        <v>380</v>
      </c>
      <c r="W25" s="16">
        <f t="shared" si="28"/>
        <v>9</v>
      </c>
      <c r="X25" s="16">
        <f t="shared" si="28"/>
        <v>6</v>
      </c>
      <c r="Y25" s="16">
        <f t="shared" si="28"/>
        <v>81</v>
      </c>
      <c r="Z25" s="16">
        <f t="shared" si="28"/>
        <v>58</v>
      </c>
      <c r="AA25" s="16">
        <f t="shared" si="28"/>
        <v>13</v>
      </c>
      <c r="AB25" s="16">
        <f t="shared" si="28"/>
        <v>7</v>
      </c>
      <c r="AC25" s="16">
        <f t="shared" si="28"/>
        <v>2323</v>
      </c>
      <c r="AD25" s="16">
        <f t="shared" si="28"/>
        <v>0</v>
      </c>
      <c r="AE25" s="32">
        <f t="shared" si="28"/>
        <v>1047</v>
      </c>
      <c r="AF25" s="32">
        <f t="shared" si="28"/>
        <v>3370</v>
      </c>
    </row>
    <row r="26" spans="2:32" ht="23.1" customHeight="1" x14ac:dyDescent="0.25">
      <c r="B26" s="23" t="s">
        <v>53</v>
      </c>
      <c r="C26" s="50">
        <v>49</v>
      </c>
      <c r="D26" s="50">
        <v>12</v>
      </c>
      <c r="E26" s="50">
        <v>9</v>
      </c>
      <c r="F26" s="50">
        <v>28</v>
      </c>
      <c r="G26" s="50">
        <v>0</v>
      </c>
      <c r="H26" s="50">
        <v>1</v>
      </c>
      <c r="I26" s="50">
        <v>22</v>
      </c>
      <c r="J26" s="50">
        <v>6</v>
      </c>
      <c r="K26" s="50">
        <v>2</v>
      </c>
      <c r="L26" s="50">
        <v>1</v>
      </c>
      <c r="M26" s="50">
        <v>100</v>
      </c>
      <c r="N26" s="50">
        <v>0</v>
      </c>
      <c r="O26" s="15">
        <f t="shared" si="0"/>
        <v>130</v>
      </c>
      <c r="P26" s="15">
        <f t="shared" si="1"/>
        <v>230</v>
      </c>
      <c r="R26" s="28" t="s">
        <v>86</v>
      </c>
      <c r="S26" s="16">
        <f t="shared" ref="S26:AF26" si="29">SUM(S13:S18)</f>
        <v>976</v>
      </c>
      <c r="T26" s="16">
        <f t="shared" si="29"/>
        <v>115</v>
      </c>
      <c r="U26" s="16">
        <f t="shared" si="29"/>
        <v>96</v>
      </c>
      <c r="V26" s="16">
        <f t="shared" si="29"/>
        <v>620</v>
      </c>
      <c r="W26" s="16">
        <f t="shared" si="29"/>
        <v>18</v>
      </c>
      <c r="X26" s="16">
        <f t="shared" si="29"/>
        <v>15</v>
      </c>
      <c r="Y26" s="16">
        <f t="shared" si="29"/>
        <v>216</v>
      </c>
      <c r="Z26" s="16">
        <f t="shared" si="29"/>
        <v>148</v>
      </c>
      <c r="AA26" s="16">
        <f t="shared" si="29"/>
        <v>29</v>
      </c>
      <c r="AB26" s="16">
        <f t="shared" si="29"/>
        <v>32</v>
      </c>
      <c r="AC26" s="16">
        <f t="shared" si="29"/>
        <v>2105</v>
      </c>
      <c r="AD26" s="16">
        <f t="shared" si="29"/>
        <v>0</v>
      </c>
      <c r="AE26" s="32">
        <f t="shared" si="29"/>
        <v>2265</v>
      </c>
      <c r="AF26" s="32">
        <f t="shared" si="29"/>
        <v>4370</v>
      </c>
    </row>
    <row r="27" spans="2:32" ht="23.1" customHeight="1" x14ac:dyDescent="0.25">
      <c r="B27" s="23" t="s">
        <v>54</v>
      </c>
      <c r="C27" s="50">
        <v>43</v>
      </c>
      <c r="D27" s="50">
        <v>8</v>
      </c>
      <c r="E27" s="50">
        <v>3</v>
      </c>
      <c r="F27" s="50">
        <v>18</v>
      </c>
      <c r="G27" s="50">
        <v>3</v>
      </c>
      <c r="H27" s="50">
        <v>2</v>
      </c>
      <c r="I27" s="50">
        <v>9</v>
      </c>
      <c r="J27" s="50">
        <v>5</v>
      </c>
      <c r="K27" s="50">
        <v>1</v>
      </c>
      <c r="L27" s="50">
        <v>1</v>
      </c>
      <c r="M27" s="50">
        <v>115</v>
      </c>
      <c r="N27" s="50">
        <v>0</v>
      </c>
      <c r="O27" s="15">
        <f t="shared" si="0"/>
        <v>93</v>
      </c>
      <c r="P27" s="15">
        <f t="shared" si="1"/>
        <v>208</v>
      </c>
      <c r="R27" s="29" t="s">
        <v>87</v>
      </c>
      <c r="S27" s="16">
        <f t="shared" ref="S27:AF27" si="30">SUM(S19:S21)</f>
        <v>788</v>
      </c>
      <c r="T27" s="16">
        <f t="shared" si="30"/>
        <v>53</v>
      </c>
      <c r="U27" s="16">
        <f t="shared" si="30"/>
        <v>49</v>
      </c>
      <c r="V27" s="16">
        <f t="shared" si="30"/>
        <v>411</v>
      </c>
      <c r="W27" s="16">
        <f t="shared" si="30"/>
        <v>9</v>
      </c>
      <c r="X27" s="16">
        <f t="shared" si="30"/>
        <v>5</v>
      </c>
      <c r="Y27" s="16">
        <f t="shared" si="30"/>
        <v>93</v>
      </c>
      <c r="Z27" s="16">
        <f t="shared" si="30"/>
        <v>64</v>
      </c>
      <c r="AA27" s="16">
        <f t="shared" si="30"/>
        <v>14</v>
      </c>
      <c r="AB27" s="16">
        <f t="shared" si="30"/>
        <v>12</v>
      </c>
      <c r="AC27" s="16">
        <f t="shared" si="30"/>
        <v>1358</v>
      </c>
      <c r="AD27" s="16">
        <f t="shared" si="30"/>
        <v>0</v>
      </c>
      <c r="AE27" s="32">
        <f t="shared" si="30"/>
        <v>1498</v>
      </c>
      <c r="AF27" s="32">
        <f t="shared" si="30"/>
        <v>2856</v>
      </c>
    </row>
    <row r="28" spans="2:32" ht="23.1" customHeight="1" x14ac:dyDescent="0.25">
      <c r="B28" s="23" t="s">
        <v>55</v>
      </c>
      <c r="C28" s="50">
        <v>56</v>
      </c>
      <c r="D28" s="50">
        <v>9</v>
      </c>
      <c r="E28" s="50">
        <v>4</v>
      </c>
      <c r="F28" s="50">
        <v>30</v>
      </c>
      <c r="G28" s="50">
        <v>0</v>
      </c>
      <c r="H28" s="50">
        <v>0</v>
      </c>
      <c r="I28" s="50">
        <v>14</v>
      </c>
      <c r="J28" s="50">
        <v>13</v>
      </c>
      <c r="K28" s="50">
        <v>1</v>
      </c>
      <c r="L28" s="50">
        <v>1</v>
      </c>
      <c r="M28" s="50">
        <v>110</v>
      </c>
      <c r="N28" s="50">
        <v>0</v>
      </c>
      <c r="O28" s="15">
        <f t="shared" si="0"/>
        <v>128</v>
      </c>
      <c r="P28" s="15">
        <f t="shared" si="1"/>
        <v>238</v>
      </c>
      <c r="R28" s="5" t="s">
        <v>17</v>
      </c>
      <c r="S28" s="16">
        <f t="shared" ref="S28:AF28" si="31">SUM(S10:S21)</f>
        <v>2145</v>
      </c>
      <c r="T28" s="16">
        <f t="shared" si="31"/>
        <v>237</v>
      </c>
      <c r="U28" s="16">
        <f t="shared" si="31"/>
        <v>188</v>
      </c>
      <c r="V28" s="16">
        <f t="shared" si="31"/>
        <v>1411</v>
      </c>
      <c r="W28" s="16">
        <f t="shared" si="31"/>
        <v>36</v>
      </c>
      <c r="X28" s="16">
        <f t="shared" si="31"/>
        <v>26</v>
      </c>
      <c r="Y28" s="16">
        <f t="shared" si="31"/>
        <v>390</v>
      </c>
      <c r="Z28" s="16">
        <f t="shared" si="31"/>
        <v>270</v>
      </c>
      <c r="AA28" s="16">
        <f t="shared" si="31"/>
        <v>56</v>
      </c>
      <c r="AB28" s="16">
        <f t="shared" si="31"/>
        <v>51</v>
      </c>
      <c r="AC28" s="16">
        <f t="shared" si="31"/>
        <v>5786</v>
      </c>
      <c r="AD28" s="16">
        <f t="shared" si="31"/>
        <v>0</v>
      </c>
      <c r="AE28" s="32">
        <f t="shared" si="31"/>
        <v>4810</v>
      </c>
      <c r="AF28" s="32">
        <f t="shared" si="31"/>
        <v>10596</v>
      </c>
    </row>
    <row r="29" spans="2:32" ht="23.1" customHeight="1" x14ac:dyDescent="0.25">
      <c r="B29" s="23" t="s">
        <v>56</v>
      </c>
      <c r="C29" s="50">
        <v>43</v>
      </c>
      <c r="D29" s="50">
        <v>2</v>
      </c>
      <c r="E29" s="50">
        <v>3</v>
      </c>
      <c r="F29" s="50">
        <v>31</v>
      </c>
      <c r="G29" s="50">
        <v>3</v>
      </c>
      <c r="H29" s="50">
        <v>0</v>
      </c>
      <c r="I29" s="50">
        <v>10</v>
      </c>
      <c r="J29" s="50">
        <v>4</v>
      </c>
      <c r="K29" s="50">
        <v>1</v>
      </c>
      <c r="L29" s="50">
        <v>1</v>
      </c>
      <c r="M29" s="50">
        <v>130</v>
      </c>
      <c r="N29" s="50">
        <v>0</v>
      </c>
      <c r="O29" s="15">
        <f t="shared" si="0"/>
        <v>98</v>
      </c>
      <c r="P29" s="15">
        <f t="shared" si="1"/>
        <v>228</v>
      </c>
      <c r="R29"/>
      <c r="S29" s="20"/>
      <c r="T29" s="19"/>
    </row>
    <row r="30" spans="2:32" ht="23.1" customHeight="1" x14ac:dyDescent="0.25">
      <c r="B30" s="23" t="s">
        <v>57</v>
      </c>
      <c r="C30" s="50">
        <v>52</v>
      </c>
      <c r="D30" s="50">
        <v>4</v>
      </c>
      <c r="E30" s="50">
        <v>5</v>
      </c>
      <c r="F30" s="50">
        <v>40</v>
      </c>
      <c r="G30" s="50">
        <v>0</v>
      </c>
      <c r="H30" s="50">
        <v>0</v>
      </c>
      <c r="I30" s="50">
        <v>22</v>
      </c>
      <c r="J30" s="50">
        <v>6</v>
      </c>
      <c r="K30" s="50">
        <v>1</v>
      </c>
      <c r="L30" s="50">
        <v>1</v>
      </c>
      <c r="M30" s="50">
        <v>115</v>
      </c>
      <c r="N30" s="50">
        <v>0</v>
      </c>
      <c r="O30" s="15">
        <f t="shared" si="0"/>
        <v>131</v>
      </c>
      <c r="P30" s="15">
        <f t="shared" si="1"/>
        <v>246</v>
      </c>
    </row>
    <row r="31" spans="2:32" ht="23.1" customHeight="1" x14ac:dyDescent="0.25">
      <c r="B31" s="24" t="s">
        <v>58</v>
      </c>
      <c r="C31" s="50">
        <v>25</v>
      </c>
      <c r="D31" s="50">
        <v>2</v>
      </c>
      <c r="E31" s="50">
        <v>0</v>
      </c>
      <c r="F31" s="50">
        <v>10</v>
      </c>
      <c r="G31" s="50">
        <v>0</v>
      </c>
      <c r="H31" s="50">
        <v>0</v>
      </c>
      <c r="I31" s="50">
        <v>2</v>
      </c>
      <c r="J31" s="50">
        <v>2</v>
      </c>
      <c r="K31" s="50">
        <v>0</v>
      </c>
      <c r="L31" s="50">
        <v>1</v>
      </c>
      <c r="M31" s="50">
        <v>45</v>
      </c>
      <c r="N31" s="50">
        <v>0</v>
      </c>
      <c r="O31" s="15">
        <f t="shared" si="0"/>
        <v>42</v>
      </c>
      <c r="P31" s="15">
        <f t="shared" si="1"/>
        <v>87</v>
      </c>
    </row>
    <row r="32" spans="2:32" ht="23.1" customHeight="1" x14ac:dyDescent="0.25">
      <c r="B32" s="24" t="s">
        <v>59</v>
      </c>
      <c r="C32" s="50">
        <v>30</v>
      </c>
      <c r="D32" s="50">
        <v>5</v>
      </c>
      <c r="E32" s="50">
        <v>4</v>
      </c>
      <c r="F32" s="50">
        <v>18</v>
      </c>
      <c r="G32" s="50">
        <v>1</v>
      </c>
      <c r="H32" s="50">
        <v>3</v>
      </c>
      <c r="I32" s="50">
        <v>6</v>
      </c>
      <c r="J32" s="50">
        <v>6</v>
      </c>
      <c r="K32" s="50">
        <v>3</v>
      </c>
      <c r="L32" s="50">
        <v>0</v>
      </c>
      <c r="M32" s="50">
        <v>40</v>
      </c>
      <c r="N32" s="50">
        <v>0</v>
      </c>
      <c r="O32" s="15">
        <f t="shared" si="0"/>
        <v>76</v>
      </c>
      <c r="P32" s="15">
        <f t="shared" si="1"/>
        <v>116</v>
      </c>
    </row>
    <row r="33" spans="2:20" ht="23.1" customHeight="1" x14ac:dyDescent="0.25">
      <c r="B33" s="23" t="s">
        <v>60</v>
      </c>
      <c r="C33" s="50">
        <v>33</v>
      </c>
      <c r="D33" s="50">
        <v>4</v>
      </c>
      <c r="E33" s="50">
        <v>4</v>
      </c>
      <c r="F33" s="50">
        <v>30</v>
      </c>
      <c r="G33" s="50">
        <v>1</v>
      </c>
      <c r="H33" s="50">
        <v>1</v>
      </c>
      <c r="I33" s="50">
        <v>3</v>
      </c>
      <c r="J33" s="50">
        <v>11</v>
      </c>
      <c r="K33" s="50">
        <v>0</v>
      </c>
      <c r="L33" s="50">
        <v>0</v>
      </c>
      <c r="M33" s="50">
        <v>60</v>
      </c>
      <c r="N33" s="50">
        <v>0</v>
      </c>
      <c r="O33" s="15">
        <f t="shared" si="0"/>
        <v>87</v>
      </c>
      <c r="P33" s="15">
        <f t="shared" si="1"/>
        <v>147</v>
      </c>
    </row>
    <row r="34" spans="2:20" ht="23.1" customHeight="1" x14ac:dyDescent="0.25">
      <c r="B34" s="24" t="s">
        <v>61</v>
      </c>
      <c r="C34" s="50">
        <v>40</v>
      </c>
      <c r="D34" s="50">
        <v>11</v>
      </c>
      <c r="E34" s="50">
        <v>3</v>
      </c>
      <c r="F34" s="50">
        <v>20</v>
      </c>
      <c r="G34" s="50">
        <v>1</v>
      </c>
      <c r="H34" s="50">
        <v>1</v>
      </c>
      <c r="I34" s="50">
        <v>13</v>
      </c>
      <c r="J34" s="50">
        <v>11</v>
      </c>
      <c r="K34" s="50">
        <v>3</v>
      </c>
      <c r="L34" s="50">
        <v>1</v>
      </c>
      <c r="M34" s="50">
        <v>96</v>
      </c>
      <c r="N34" s="50">
        <v>0</v>
      </c>
      <c r="O34" s="15">
        <f t="shared" si="0"/>
        <v>104</v>
      </c>
      <c r="P34" s="15">
        <f t="shared" si="1"/>
        <v>200</v>
      </c>
    </row>
    <row r="35" spans="2:20" ht="23.1" customHeight="1" x14ac:dyDescent="0.25">
      <c r="B35" s="24" t="s">
        <v>62</v>
      </c>
      <c r="C35" s="50">
        <v>54</v>
      </c>
      <c r="D35" s="50">
        <v>4</v>
      </c>
      <c r="E35" s="50">
        <v>0</v>
      </c>
      <c r="F35" s="50">
        <v>41</v>
      </c>
      <c r="G35" s="50">
        <v>0</v>
      </c>
      <c r="H35" s="50">
        <v>0</v>
      </c>
      <c r="I35" s="50">
        <v>4</v>
      </c>
      <c r="J35" s="50">
        <v>6</v>
      </c>
      <c r="K35" s="50">
        <v>2</v>
      </c>
      <c r="L35" s="50">
        <v>1</v>
      </c>
      <c r="M35" s="50">
        <v>82</v>
      </c>
      <c r="N35" s="50">
        <v>0</v>
      </c>
      <c r="O35" s="15">
        <f t="shared" si="0"/>
        <v>112</v>
      </c>
      <c r="P35" s="15">
        <f t="shared" si="1"/>
        <v>194</v>
      </c>
    </row>
    <row r="36" spans="2:20" ht="23.1" customHeight="1" x14ac:dyDescent="0.25">
      <c r="B36" s="24" t="s">
        <v>63</v>
      </c>
      <c r="C36" s="50">
        <v>31</v>
      </c>
      <c r="D36" s="50">
        <v>6</v>
      </c>
      <c r="E36" s="50">
        <v>4</v>
      </c>
      <c r="F36" s="50">
        <v>33</v>
      </c>
      <c r="G36" s="50">
        <v>2</v>
      </c>
      <c r="H36" s="50">
        <v>0</v>
      </c>
      <c r="I36" s="50">
        <v>9</v>
      </c>
      <c r="J36" s="50">
        <v>7</v>
      </c>
      <c r="K36" s="50">
        <v>0</v>
      </c>
      <c r="L36" s="50">
        <v>1</v>
      </c>
      <c r="M36" s="50">
        <v>90</v>
      </c>
      <c r="N36" s="50">
        <v>0</v>
      </c>
      <c r="O36" s="15">
        <f t="shared" si="0"/>
        <v>93</v>
      </c>
      <c r="P36" s="15">
        <f t="shared" si="1"/>
        <v>183</v>
      </c>
    </row>
    <row r="37" spans="2:20" ht="23.1" customHeight="1" x14ac:dyDescent="0.25">
      <c r="B37" s="23" t="s">
        <v>64</v>
      </c>
      <c r="C37" s="50">
        <v>34</v>
      </c>
      <c r="D37" s="50">
        <v>2</v>
      </c>
      <c r="E37" s="50">
        <v>0</v>
      </c>
      <c r="F37" s="50">
        <v>23</v>
      </c>
      <c r="G37" s="50">
        <v>0</v>
      </c>
      <c r="H37" s="50">
        <v>3</v>
      </c>
      <c r="I37" s="50">
        <v>6</v>
      </c>
      <c r="J37" s="50">
        <v>4</v>
      </c>
      <c r="K37" s="50">
        <v>0</v>
      </c>
      <c r="L37" s="50">
        <v>2</v>
      </c>
      <c r="M37" s="50">
        <v>65</v>
      </c>
      <c r="N37" s="50">
        <v>0</v>
      </c>
      <c r="O37" s="15">
        <f t="shared" si="0"/>
        <v>74</v>
      </c>
      <c r="P37" s="15">
        <f t="shared" si="1"/>
        <v>139</v>
      </c>
    </row>
    <row r="38" spans="2:20" ht="23.1" customHeight="1" x14ac:dyDescent="0.25">
      <c r="B38" s="24" t="s">
        <v>65</v>
      </c>
      <c r="C38" s="50">
        <v>48</v>
      </c>
      <c r="D38" s="50">
        <v>3</v>
      </c>
      <c r="E38" s="50">
        <v>15</v>
      </c>
      <c r="F38" s="50">
        <v>31</v>
      </c>
      <c r="G38" s="50">
        <v>0</v>
      </c>
      <c r="H38" s="50">
        <v>0</v>
      </c>
      <c r="I38" s="50">
        <v>9</v>
      </c>
      <c r="J38" s="50">
        <v>9</v>
      </c>
      <c r="K38" s="50">
        <v>0</v>
      </c>
      <c r="L38" s="50">
        <v>6</v>
      </c>
      <c r="M38" s="50">
        <v>80</v>
      </c>
      <c r="N38" s="50">
        <v>0</v>
      </c>
      <c r="O38" s="15">
        <f t="shared" si="0"/>
        <v>121</v>
      </c>
      <c r="P38" s="15">
        <f t="shared" si="1"/>
        <v>201</v>
      </c>
    </row>
    <row r="39" spans="2:20" ht="23.1" customHeight="1" x14ac:dyDescent="0.25">
      <c r="B39" s="24" t="s">
        <v>66</v>
      </c>
      <c r="C39" s="50">
        <v>70</v>
      </c>
      <c r="D39" s="50">
        <v>0</v>
      </c>
      <c r="E39" s="50">
        <v>2</v>
      </c>
      <c r="F39" s="50">
        <v>35</v>
      </c>
      <c r="G39" s="50">
        <v>0</v>
      </c>
      <c r="H39" s="50">
        <v>0</v>
      </c>
      <c r="I39" s="50">
        <v>6</v>
      </c>
      <c r="J39" s="50">
        <v>7</v>
      </c>
      <c r="K39" s="50">
        <v>4</v>
      </c>
      <c r="L39" s="50">
        <v>3</v>
      </c>
      <c r="M39" s="50">
        <v>70</v>
      </c>
      <c r="N39" s="50">
        <v>0</v>
      </c>
      <c r="O39" s="15">
        <f t="shared" si="0"/>
        <v>127</v>
      </c>
      <c r="P39" s="15">
        <f t="shared" si="1"/>
        <v>197</v>
      </c>
    </row>
    <row r="40" spans="2:20" ht="23.1" customHeight="1" x14ac:dyDescent="0.25">
      <c r="B40" s="24" t="s">
        <v>67</v>
      </c>
      <c r="C40" s="50">
        <v>37</v>
      </c>
      <c r="D40" s="50">
        <v>1</v>
      </c>
      <c r="E40" s="50">
        <v>1</v>
      </c>
      <c r="F40" s="50">
        <v>40</v>
      </c>
      <c r="G40" s="50">
        <v>0</v>
      </c>
      <c r="H40" s="50">
        <v>1</v>
      </c>
      <c r="I40" s="50">
        <v>11</v>
      </c>
      <c r="J40" s="50">
        <v>5</v>
      </c>
      <c r="K40" s="50">
        <v>1</v>
      </c>
      <c r="L40" s="50">
        <v>4</v>
      </c>
      <c r="M40" s="50">
        <v>85</v>
      </c>
      <c r="N40" s="50">
        <v>0</v>
      </c>
      <c r="O40" s="15">
        <f t="shared" si="0"/>
        <v>101</v>
      </c>
      <c r="P40" s="15">
        <f t="shared" si="1"/>
        <v>186</v>
      </c>
    </row>
    <row r="41" spans="2:20" ht="23.1" customHeight="1" x14ac:dyDescent="0.25">
      <c r="B41" s="23" t="s">
        <v>68</v>
      </c>
      <c r="C41" s="50">
        <v>46</v>
      </c>
      <c r="D41" s="50">
        <v>4</v>
      </c>
      <c r="E41" s="50">
        <v>5</v>
      </c>
      <c r="F41" s="50">
        <v>16</v>
      </c>
      <c r="G41" s="50">
        <v>0</v>
      </c>
      <c r="H41" s="50">
        <v>0</v>
      </c>
      <c r="I41" s="50">
        <v>6</v>
      </c>
      <c r="J41" s="50">
        <v>5</v>
      </c>
      <c r="K41" s="50">
        <v>0</v>
      </c>
      <c r="L41" s="50">
        <v>1</v>
      </c>
      <c r="M41" s="50">
        <v>85</v>
      </c>
      <c r="N41" s="50">
        <v>0</v>
      </c>
      <c r="O41" s="15">
        <f t="shared" si="0"/>
        <v>83</v>
      </c>
      <c r="P41" s="15">
        <f t="shared" si="1"/>
        <v>168</v>
      </c>
    </row>
    <row r="42" spans="2:20" ht="23.1" customHeight="1" x14ac:dyDescent="0.25">
      <c r="B42" s="24" t="s">
        <v>69</v>
      </c>
      <c r="C42" s="50">
        <v>33</v>
      </c>
      <c r="D42" s="50">
        <v>10</v>
      </c>
      <c r="E42" s="50">
        <v>5</v>
      </c>
      <c r="F42" s="50">
        <v>20</v>
      </c>
      <c r="G42" s="50">
        <v>2</v>
      </c>
      <c r="H42" s="50">
        <v>0</v>
      </c>
      <c r="I42" s="50">
        <v>5</v>
      </c>
      <c r="J42" s="50">
        <v>8</v>
      </c>
      <c r="K42" s="50">
        <v>1</v>
      </c>
      <c r="L42" s="50">
        <v>1</v>
      </c>
      <c r="M42" s="50">
        <v>90</v>
      </c>
      <c r="N42" s="50">
        <v>0</v>
      </c>
      <c r="O42" s="15">
        <f t="shared" si="0"/>
        <v>85</v>
      </c>
      <c r="P42" s="15">
        <f t="shared" si="1"/>
        <v>175</v>
      </c>
    </row>
    <row r="43" spans="2:20" ht="23.1" customHeight="1" x14ac:dyDescent="0.25">
      <c r="B43" s="23" t="s">
        <v>70</v>
      </c>
      <c r="C43" s="50">
        <v>30</v>
      </c>
      <c r="D43" s="50">
        <v>7</v>
      </c>
      <c r="E43" s="50">
        <v>3</v>
      </c>
      <c r="F43" s="50">
        <v>40</v>
      </c>
      <c r="G43" s="50">
        <v>0</v>
      </c>
      <c r="H43" s="50">
        <v>1</v>
      </c>
      <c r="I43" s="50">
        <v>2</v>
      </c>
      <c r="J43" s="50">
        <v>1</v>
      </c>
      <c r="K43" s="50">
        <v>2</v>
      </c>
      <c r="L43" s="50">
        <v>0</v>
      </c>
      <c r="M43" s="50">
        <v>65</v>
      </c>
      <c r="N43" s="50">
        <v>0</v>
      </c>
      <c r="O43" s="15">
        <f t="shared" si="0"/>
        <v>86</v>
      </c>
      <c r="P43" s="15">
        <f t="shared" si="1"/>
        <v>151</v>
      </c>
    </row>
    <row r="44" spans="2:20" ht="23.1" customHeight="1" x14ac:dyDescent="0.25">
      <c r="B44" s="25" t="s">
        <v>71</v>
      </c>
      <c r="C44" s="50">
        <v>43</v>
      </c>
      <c r="D44" s="50">
        <v>2</v>
      </c>
      <c r="E44" s="50">
        <v>5</v>
      </c>
      <c r="F44" s="50">
        <v>14</v>
      </c>
      <c r="G44" s="50">
        <v>0</v>
      </c>
      <c r="H44" s="50">
        <v>1</v>
      </c>
      <c r="I44" s="50">
        <v>9</v>
      </c>
      <c r="J44" s="50">
        <v>10</v>
      </c>
      <c r="K44" s="50">
        <v>6</v>
      </c>
      <c r="L44" s="50">
        <v>3</v>
      </c>
      <c r="M44" s="50">
        <v>45</v>
      </c>
      <c r="N44" s="50">
        <v>0</v>
      </c>
      <c r="O44" s="15">
        <f t="shared" si="0"/>
        <v>93</v>
      </c>
      <c r="P44" s="15">
        <f t="shared" si="1"/>
        <v>138</v>
      </c>
    </row>
    <row r="45" spans="2:20" ht="23.1" customHeight="1" x14ac:dyDescent="0.25">
      <c r="B45" s="23" t="s">
        <v>72</v>
      </c>
      <c r="C45" s="50">
        <v>23</v>
      </c>
      <c r="D45" s="50">
        <v>5</v>
      </c>
      <c r="E45" s="50">
        <v>5</v>
      </c>
      <c r="F45" s="50">
        <v>10</v>
      </c>
      <c r="G45" s="50">
        <v>0</v>
      </c>
      <c r="H45" s="50">
        <v>0</v>
      </c>
      <c r="I45" s="50">
        <v>8</v>
      </c>
      <c r="J45" s="50">
        <v>8</v>
      </c>
      <c r="K45" s="50">
        <v>0</v>
      </c>
      <c r="L45" s="50">
        <v>1</v>
      </c>
      <c r="M45" s="50">
        <v>36</v>
      </c>
      <c r="N45" s="50">
        <v>0</v>
      </c>
      <c r="O45" s="15">
        <f t="shared" si="0"/>
        <v>60</v>
      </c>
      <c r="P45" s="15">
        <f t="shared" si="1"/>
        <v>96</v>
      </c>
    </row>
    <row r="46" spans="2:20" ht="23.1" customHeight="1" x14ac:dyDescent="0.25">
      <c r="B46" s="24" t="s">
        <v>73</v>
      </c>
      <c r="C46" s="50">
        <v>33</v>
      </c>
      <c r="D46" s="50">
        <v>6</v>
      </c>
      <c r="E46" s="50">
        <v>5</v>
      </c>
      <c r="F46" s="50">
        <v>20</v>
      </c>
      <c r="G46" s="50">
        <v>1</v>
      </c>
      <c r="H46" s="50">
        <v>0</v>
      </c>
      <c r="I46" s="50">
        <v>3</v>
      </c>
      <c r="J46" s="50">
        <v>6</v>
      </c>
      <c r="K46" s="50">
        <v>0</v>
      </c>
      <c r="L46" s="50">
        <v>0</v>
      </c>
      <c r="M46" s="50">
        <v>73</v>
      </c>
      <c r="N46" s="50">
        <v>0</v>
      </c>
      <c r="O46" s="15">
        <f t="shared" si="0"/>
        <v>74</v>
      </c>
      <c r="P46" s="15">
        <f t="shared" si="1"/>
        <v>147</v>
      </c>
      <c r="R46" s="8"/>
      <c r="T46"/>
    </row>
    <row r="47" spans="2:20" ht="23.1" customHeight="1" x14ac:dyDescent="0.25">
      <c r="B47" s="24" t="s">
        <v>74</v>
      </c>
      <c r="C47" s="50">
        <v>30</v>
      </c>
      <c r="D47" s="50">
        <v>5</v>
      </c>
      <c r="E47" s="50">
        <v>2</v>
      </c>
      <c r="F47" s="50">
        <v>23</v>
      </c>
      <c r="G47" s="50">
        <v>1</v>
      </c>
      <c r="H47" s="50">
        <v>1</v>
      </c>
      <c r="I47" s="50">
        <v>4</v>
      </c>
      <c r="J47" s="50">
        <v>10</v>
      </c>
      <c r="K47" s="50">
        <v>2</v>
      </c>
      <c r="L47" s="50">
        <v>2</v>
      </c>
      <c r="M47" s="50">
        <v>80</v>
      </c>
      <c r="N47" s="50">
        <v>0</v>
      </c>
      <c r="O47" s="15">
        <f t="shared" si="0"/>
        <v>80</v>
      </c>
      <c r="P47" s="15">
        <f t="shared" si="1"/>
        <v>160</v>
      </c>
      <c r="R47" s="8"/>
      <c r="T47"/>
    </row>
    <row r="48" spans="2:20" ht="23.1" customHeight="1" x14ac:dyDescent="0.25">
      <c r="B48" s="24" t="s">
        <v>75</v>
      </c>
      <c r="C48" s="50">
        <v>36</v>
      </c>
      <c r="D48" s="50">
        <v>2</v>
      </c>
      <c r="E48" s="50">
        <v>4</v>
      </c>
      <c r="F48" s="50">
        <v>18</v>
      </c>
      <c r="G48" s="50">
        <v>0</v>
      </c>
      <c r="H48" s="50">
        <v>0</v>
      </c>
      <c r="I48" s="50">
        <v>3</v>
      </c>
      <c r="J48" s="50">
        <v>6</v>
      </c>
      <c r="K48" s="50">
        <v>1</v>
      </c>
      <c r="L48" s="50">
        <v>2</v>
      </c>
      <c r="M48" s="50">
        <v>105</v>
      </c>
      <c r="N48" s="50">
        <v>0</v>
      </c>
      <c r="O48" s="15">
        <f t="shared" si="0"/>
        <v>72</v>
      </c>
      <c r="P48" s="15">
        <f t="shared" si="1"/>
        <v>177</v>
      </c>
      <c r="R48" s="8"/>
      <c r="T48"/>
    </row>
    <row r="49" spans="2:20" ht="23.1" customHeight="1" x14ac:dyDescent="0.25">
      <c r="B49" s="23" t="s">
        <v>76</v>
      </c>
      <c r="C49" s="50">
        <v>45</v>
      </c>
      <c r="D49" s="50">
        <v>4</v>
      </c>
      <c r="E49" s="50">
        <v>4</v>
      </c>
      <c r="F49" s="50">
        <v>35</v>
      </c>
      <c r="G49" s="50">
        <v>2</v>
      </c>
      <c r="H49" s="50">
        <v>0</v>
      </c>
      <c r="I49" s="50">
        <v>8</v>
      </c>
      <c r="J49" s="50">
        <v>5</v>
      </c>
      <c r="K49" s="50">
        <v>2</v>
      </c>
      <c r="L49" s="50">
        <v>3</v>
      </c>
      <c r="M49" s="50">
        <v>125</v>
      </c>
      <c r="N49" s="50">
        <v>0</v>
      </c>
      <c r="O49" s="15">
        <f t="shared" si="0"/>
        <v>108</v>
      </c>
      <c r="P49" s="15">
        <f t="shared" si="1"/>
        <v>233</v>
      </c>
      <c r="R49" s="8"/>
      <c r="T49"/>
    </row>
    <row r="50" spans="2:20" ht="23.1" customHeight="1" x14ac:dyDescent="0.25">
      <c r="B50" s="24" t="s">
        <v>77</v>
      </c>
      <c r="C50" s="50">
        <v>60</v>
      </c>
      <c r="D50" s="50">
        <v>7</v>
      </c>
      <c r="E50" s="50">
        <v>3</v>
      </c>
      <c r="F50" s="50">
        <v>26</v>
      </c>
      <c r="G50" s="50">
        <v>0</v>
      </c>
      <c r="H50" s="50">
        <v>1</v>
      </c>
      <c r="I50" s="50">
        <v>12</v>
      </c>
      <c r="J50" s="50">
        <v>6</v>
      </c>
      <c r="K50" s="50">
        <v>0</v>
      </c>
      <c r="L50" s="50">
        <v>1</v>
      </c>
      <c r="M50" s="50">
        <v>115</v>
      </c>
      <c r="N50" s="50">
        <v>0</v>
      </c>
      <c r="O50" s="15">
        <f t="shared" si="0"/>
        <v>116</v>
      </c>
      <c r="P50" s="15">
        <f t="shared" si="1"/>
        <v>231</v>
      </c>
      <c r="R50" s="8"/>
      <c r="T50"/>
    </row>
    <row r="51" spans="2:20" ht="23.1" customHeight="1" x14ac:dyDescent="0.25">
      <c r="B51" s="24" t="s">
        <v>78</v>
      </c>
      <c r="C51" s="50">
        <v>80</v>
      </c>
      <c r="D51" s="50">
        <v>6</v>
      </c>
      <c r="E51" s="50">
        <v>6</v>
      </c>
      <c r="F51" s="50">
        <v>22</v>
      </c>
      <c r="G51" s="50">
        <v>1</v>
      </c>
      <c r="H51" s="50">
        <v>0</v>
      </c>
      <c r="I51" s="50">
        <v>7</v>
      </c>
      <c r="J51" s="50">
        <v>11</v>
      </c>
      <c r="K51" s="50">
        <v>0</v>
      </c>
      <c r="L51" s="50">
        <v>0</v>
      </c>
      <c r="M51" s="50">
        <v>65</v>
      </c>
      <c r="N51" s="50">
        <v>0</v>
      </c>
      <c r="O51" s="15">
        <f t="shared" si="0"/>
        <v>133</v>
      </c>
      <c r="P51" s="15">
        <f t="shared" si="1"/>
        <v>198</v>
      </c>
      <c r="R51" s="8"/>
      <c r="T51"/>
    </row>
    <row r="52" spans="2:20" ht="23.1" customHeight="1" x14ac:dyDescent="0.25">
      <c r="B52" s="24" t="s">
        <v>79</v>
      </c>
      <c r="C52" s="50">
        <v>114</v>
      </c>
      <c r="D52" s="50">
        <v>8</v>
      </c>
      <c r="E52" s="50">
        <v>9</v>
      </c>
      <c r="F52" s="50">
        <v>47</v>
      </c>
      <c r="G52" s="50">
        <v>0</v>
      </c>
      <c r="H52" s="50">
        <v>0</v>
      </c>
      <c r="I52" s="50">
        <v>15</v>
      </c>
      <c r="J52" s="50">
        <v>8</v>
      </c>
      <c r="K52" s="50">
        <v>2</v>
      </c>
      <c r="L52" s="50">
        <v>1</v>
      </c>
      <c r="M52" s="50">
        <v>90</v>
      </c>
      <c r="N52" s="50">
        <v>0</v>
      </c>
      <c r="O52" s="15">
        <f t="shared" si="0"/>
        <v>204</v>
      </c>
      <c r="P52" s="15">
        <f t="shared" si="1"/>
        <v>294</v>
      </c>
      <c r="R52" s="8"/>
      <c r="T52"/>
    </row>
    <row r="53" spans="2:20" ht="23.1" customHeight="1" x14ac:dyDescent="0.25">
      <c r="B53" s="23" t="s">
        <v>80</v>
      </c>
      <c r="C53" s="50">
        <v>35</v>
      </c>
      <c r="D53" s="50">
        <v>4</v>
      </c>
      <c r="E53" s="50">
        <v>7</v>
      </c>
      <c r="F53" s="50">
        <v>12</v>
      </c>
      <c r="G53" s="50">
        <v>0</v>
      </c>
      <c r="H53" s="50">
        <v>0</v>
      </c>
      <c r="I53" s="50">
        <v>14</v>
      </c>
      <c r="J53" s="50">
        <v>3</v>
      </c>
      <c r="K53" s="50">
        <v>2</v>
      </c>
      <c r="L53" s="50">
        <v>0</v>
      </c>
      <c r="M53" s="50">
        <v>100</v>
      </c>
      <c r="N53" s="50">
        <v>0</v>
      </c>
      <c r="O53" s="15">
        <f t="shared" si="0"/>
        <v>77</v>
      </c>
      <c r="P53" s="15">
        <f t="shared" si="1"/>
        <v>177</v>
      </c>
      <c r="R53" s="8"/>
      <c r="T53"/>
    </row>
    <row r="54" spans="2:20" ht="23.1" customHeight="1" x14ac:dyDescent="0.25">
      <c r="B54" s="23" t="s">
        <v>81</v>
      </c>
      <c r="C54" s="50">
        <v>80</v>
      </c>
      <c r="D54" s="50">
        <v>6</v>
      </c>
      <c r="E54" s="50">
        <v>5</v>
      </c>
      <c r="F54" s="50">
        <v>43</v>
      </c>
      <c r="G54" s="50">
        <v>2</v>
      </c>
      <c r="H54" s="50">
        <v>0</v>
      </c>
      <c r="I54" s="50">
        <v>2</v>
      </c>
      <c r="J54" s="50">
        <v>6</v>
      </c>
      <c r="K54" s="50">
        <v>2</v>
      </c>
      <c r="L54" s="50">
        <v>1</v>
      </c>
      <c r="M54" s="50">
        <v>170</v>
      </c>
      <c r="N54" s="50">
        <v>0</v>
      </c>
      <c r="O54" s="15">
        <f t="shared" si="0"/>
        <v>147</v>
      </c>
      <c r="P54" s="15">
        <f t="shared" si="1"/>
        <v>317</v>
      </c>
      <c r="R54" s="8"/>
      <c r="T54"/>
    </row>
    <row r="55" spans="2:20" ht="23.1" customHeight="1" x14ac:dyDescent="0.25">
      <c r="B55" s="23" t="s">
        <v>82</v>
      </c>
      <c r="C55" s="50">
        <v>125</v>
      </c>
      <c r="D55" s="50">
        <v>0</v>
      </c>
      <c r="E55" s="50">
        <v>1</v>
      </c>
      <c r="F55" s="50">
        <v>65</v>
      </c>
      <c r="G55" s="50">
        <v>0</v>
      </c>
      <c r="H55" s="50">
        <v>3</v>
      </c>
      <c r="I55" s="50">
        <v>9</v>
      </c>
      <c r="J55" s="50">
        <v>1</v>
      </c>
      <c r="K55" s="50">
        <v>1</v>
      </c>
      <c r="L55" s="50">
        <v>1</v>
      </c>
      <c r="M55" s="50">
        <v>160</v>
      </c>
      <c r="N55" s="50">
        <v>0</v>
      </c>
      <c r="O55" s="15">
        <f t="shared" si="0"/>
        <v>206</v>
      </c>
      <c r="P55" s="15">
        <f t="shared" si="1"/>
        <v>366</v>
      </c>
      <c r="R55" s="8"/>
      <c r="T55"/>
    </row>
    <row r="56" spans="2:20" ht="23.1" customHeight="1" x14ac:dyDescent="0.25">
      <c r="B56" s="23" t="s">
        <v>83</v>
      </c>
      <c r="C56" s="50">
        <v>70</v>
      </c>
      <c r="D56" s="50">
        <v>4</v>
      </c>
      <c r="E56" s="50">
        <v>2</v>
      </c>
      <c r="F56" s="50">
        <v>45</v>
      </c>
      <c r="G56" s="50">
        <v>2</v>
      </c>
      <c r="H56" s="50">
        <v>0</v>
      </c>
      <c r="I56" s="50">
        <v>8</v>
      </c>
      <c r="J56" s="50">
        <v>0</v>
      </c>
      <c r="K56" s="50">
        <v>0</v>
      </c>
      <c r="L56" s="50">
        <v>1</v>
      </c>
      <c r="M56" s="50">
        <v>105</v>
      </c>
      <c r="N56" s="50">
        <v>0</v>
      </c>
      <c r="O56" s="15">
        <f t="shared" si="0"/>
        <v>132</v>
      </c>
      <c r="P56" s="15">
        <f t="shared" si="1"/>
        <v>237</v>
      </c>
      <c r="R56" s="8"/>
      <c r="T56"/>
    </row>
    <row r="57" spans="2:20" ht="23.1" customHeight="1" x14ac:dyDescent="0.25">
      <c r="B57" s="23" t="s">
        <v>84</v>
      </c>
      <c r="C57" s="50">
        <v>80</v>
      </c>
      <c r="D57" s="50">
        <v>1</v>
      </c>
      <c r="E57" s="50">
        <v>1</v>
      </c>
      <c r="F57" s="50">
        <v>55</v>
      </c>
      <c r="G57" s="50">
        <v>0</v>
      </c>
      <c r="H57" s="50">
        <v>0</v>
      </c>
      <c r="I57" s="50">
        <v>8</v>
      </c>
      <c r="J57" s="50">
        <v>2</v>
      </c>
      <c r="K57" s="50">
        <v>2</v>
      </c>
      <c r="L57" s="50">
        <v>0</v>
      </c>
      <c r="M57" s="50">
        <v>170</v>
      </c>
      <c r="N57" s="50">
        <v>0</v>
      </c>
      <c r="O57" s="15">
        <f t="shared" si="0"/>
        <v>149</v>
      </c>
      <c r="P57" s="15">
        <f t="shared" si="1"/>
        <v>319</v>
      </c>
      <c r="R57" s="8"/>
      <c r="T57"/>
    </row>
    <row r="58" spans="2:20" ht="23.1" customHeight="1" x14ac:dyDescent="0.25">
      <c r="B58" s="26" t="s">
        <v>18</v>
      </c>
      <c r="C58" s="16">
        <f t="shared" ref="C58:P58" si="32">SUM(C10:C57)</f>
        <v>2145</v>
      </c>
      <c r="D58" s="16">
        <f t="shared" si="32"/>
        <v>237</v>
      </c>
      <c r="E58" s="16">
        <f t="shared" si="32"/>
        <v>188</v>
      </c>
      <c r="F58" s="16">
        <f t="shared" si="32"/>
        <v>1411</v>
      </c>
      <c r="G58" s="16">
        <f t="shared" si="32"/>
        <v>36</v>
      </c>
      <c r="H58" s="16">
        <f t="shared" si="32"/>
        <v>26</v>
      </c>
      <c r="I58" s="16">
        <f t="shared" si="32"/>
        <v>390</v>
      </c>
      <c r="J58" s="16">
        <f t="shared" si="32"/>
        <v>270</v>
      </c>
      <c r="K58" s="16">
        <f t="shared" si="32"/>
        <v>56</v>
      </c>
      <c r="L58" s="16">
        <f t="shared" si="32"/>
        <v>51</v>
      </c>
      <c r="M58" s="16">
        <f t="shared" si="32"/>
        <v>5786</v>
      </c>
      <c r="N58" s="16">
        <f t="shared" si="32"/>
        <v>0</v>
      </c>
      <c r="O58" s="16">
        <f t="shared" si="32"/>
        <v>4810</v>
      </c>
      <c r="P58" s="16">
        <f t="shared" si="32"/>
        <v>10596</v>
      </c>
      <c r="R58" s="8"/>
      <c r="T58"/>
    </row>
    <row r="59" spans="2:20" ht="23.1" customHeight="1" x14ac:dyDescent="0.25">
      <c r="B59" s="26" t="s">
        <v>93</v>
      </c>
      <c r="C59" s="43">
        <f t="shared" ref="C59:N59" si="33">C58/$P$58</f>
        <v>0.20243488108720273</v>
      </c>
      <c r="D59" s="43">
        <f t="shared" si="33"/>
        <v>2.2366930917327294E-2</v>
      </c>
      <c r="E59" s="43">
        <f t="shared" si="33"/>
        <v>1.7742544356360891E-2</v>
      </c>
      <c r="F59" s="43">
        <f t="shared" si="33"/>
        <v>0.13316345790864478</v>
      </c>
      <c r="G59" s="43">
        <f t="shared" si="33"/>
        <v>3.3975084937712344E-3</v>
      </c>
      <c r="H59" s="43">
        <f t="shared" si="33"/>
        <v>2.4537561343903362E-3</v>
      </c>
      <c r="I59" s="43">
        <f t="shared" si="33"/>
        <v>3.6806342015855038E-2</v>
      </c>
      <c r="J59" s="43">
        <f t="shared" si="33"/>
        <v>2.5481313703284259E-2</v>
      </c>
      <c r="K59" s="43">
        <f t="shared" si="33"/>
        <v>5.285013212533031E-3</v>
      </c>
      <c r="L59" s="43">
        <f t="shared" si="33"/>
        <v>4.8131370328425823E-3</v>
      </c>
      <c r="M59" s="43">
        <f t="shared" si="33"/>
        <v>0.54605511513778782</v>
      </c>
      <c r="N59" s="43">
        <f t="shared" si="33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0.44594594594594594</v>
      </c>
      <c r="D60" s="44">
        <f t="shared" ref="D60:N60" si="34">D58/$O$58</f>
        <v>4.9272349272349275E-2</v>
      </c>
      <c r="E60" s="44">
        <f t="shared" si="34"/>
        <v>3.9085239085239087E-2</v>
      </c>
      <c r="F60" s="44">
        <f t="shared" si="34"/>
        <v>0.29334719334719334</v>
      </c>
      <c r="G60" s="44">
        <f t="shared" si="34"/>
        <v>7.4844074844074848E-3</v>
      </c>
      <c r="H60" s="44">
        <f t="shared" si="34"/>
        <v>5.4054054054054057E-3</v>
      </c>
      <c r="I60" s="44">
        <f t="shared" si="34"/>
        <v>8.1081081081081086E-2</v>
      </c>
      <c r="J60" s="44">
        <f t="shared" si="34"/>
        <v>5.6133056133056136E-2</v>
      </c>
      <c r="K60" s="44">
        <f t="shared" si="34"/>
        <v>1.1642411642411643E-2</v>
      </c>
      <c r="L60" s="44">
        <f t="shared" si="34"/>
        <v>1.0602910602910603E-2</v>
      </c>
      <c r="M60" s="44"/>
      <c r="N60" s="44">
        <f t="shared" si="34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R1" zoomScale="57" zoomScaleSheetLayoutView="57" workbookViewId="0">
      <selection activeCell="F15" sqref="F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'22.07 Busega-Bulenga'!C3:G3</f>
        <v>MCC - C1 - STN12-MITYANA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'22.07 Busega-Bulenga'!D5</f>
        <v>22.07.19</v>
      </c>
      <c r="E5" s="3"/>
      <c r="F5" s="41" t="s">
        <v>1</v>
      </c>
      <c r="G5" s="65" t="str">
        <f>'22.07 Busega-Bulenga'!G5:H5</f>
        <v xml:space="preserve">Petro Max </v>
      </c>
      <c r="H5" s="66"/>
      <c r="I5" s="14"/>
      <c r="J5" s="2" t="s">
        <v>5</v>
      </c>
      <c r="K5" s="65" t="s">
        <v>175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59" t="s">
        <v>176</v>
      </c>
      <c r="E6" s="60"/>
      <c r="F6" s="2" t="s">
        <v>2</v>
      </c>
      <c r="G6" s="59" t="s">
        <v>170</v>
      </c>
      <c r="H6" s="60"/>
      <c r="J6" s="2" t="s">
        <v>21</v>
      </c>
      <c r="K6" s="65" t="str">
        <f>'22.07 Busega-Bulenga'!K6:L6</f>
        <v>Andrew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45</v>
      </c>
      <c r="D10" s="50">
        <v>5</v>
      </c>
      <c r="E10" s="50">
        <v>5</v>
      </c>
      <c r="F10" s="50">
        <v>20</v>
      </c>
      <c r="G10" s="50">
        <v>3</v>
      </c>
      <c r="H10" s="50">
        <v>0</v>
      </c>
      <c r="I10" s="50">
        <v>5</v>
      </c>
      <c r="J10" s="50">
        <v>0</v>
      </c>
      <c r="K10" s="50">
        <v>0</v>
      </c>
      <c r="L10" s="50">
        <v>1</v>
      </c>
      <c r="M10" s="50">
        <v>70</v>
      </c>
      <c r="N10" s="50">
        <v>0</v>
      </c>
      <c r="O10" s="15">
        <f t="shared" ref="O10:O21" si="0">SUM(C10:L10,N10)</f>
        <v>84</v>
      </c>
      <c r="P10" s="15">
        <f t="shared" ref="P10:P21" si="1">SUM(C10:N10)</f>
        <v>154</v>
      </c>
      <c r="R10" s="1" t="s">
        <v>6</v>
      </c>
      <c r="S10" s="17">
        <f t="shared" ref="S10:AF10" si="2">SUM(C10:C13)</f>
        <v>203</v>
      </c>
      <c r="T10" s="17">
        <f t="shared" si="2"/>
        <v>18</v>
      </c>
      <c r="U10" s="17">
        <f t="shared" si="2"/>
        <v>27</v>
      </c>
      <c r="V10" s="17">
        <f t="shared" si="2"/>
        <v>217</v>
      </c>
      <c r="W10" s="17">
        <f t="shared" si="2"/>
        <v>11</v>
      </c>
      <c r="X10" s="17">
        <f t="shared" si="2"/>
        <v>0</v>
      </c>
      <c r="Y10" s="17">
        <f t="shared" si="2"/>
        <v>20</v>
      </c>
      <c r="Z10" s="17">
        <f t="shared" si="2"/>
        <v>18</v>
      </c>
      <c r="AA10" s="17">
        <f t="shared" si="2"/>
        <v>2</v>
      </c>
      <c r="AB10" s="17">
        <f t="shared" si="2"/>
        <v>8</v>
      </c>
      <c r="AC10" s="17">
        <f t="shared" si="2"/>
        <v>455</v>
      </c>
      <c r="AD10" s="17">
        <f t="shared" si="2"/>
        <v>0</v>
      </c>
      <c r="AE10" s="31">
        <f t="shared" si="2"/>
        <v>524</v>
      </c>
      <c r="AF10" s="31">
        <f t="shared" si="2"/>
        <v>979</v>
      </c>
    </row>
    <row r="11" spans="2:32" s="6" customFormat="1" ht="23.1" customHeight="1" x14ac:dyDescent="0.25">
      <c r="B11" s="23" t="s">
        <v>38</v>
      </c>
      <c r="C11" s="50">
        <v>48</v>
      </c>
      <c r="D11" s="50">
        <v>5</v>
      </c>
      <c r="E11" s="50">
        <v>7</v>
      </c>
      <c r="F11" s="50">
        <v>65</v>
      </c>
      <c r="G11" s="50">
        <v>2</v>
      </c>
      <c r="H11" s="50">
        <v>0</v>
      </c>
      <c r="I11" s="50">
        <v>6</v>
      </c>
      <c r="J11" s="50">
        <v>5</v>
      </c>
      <c r="K11" s="50">
        <v>0</v>
      </c>
      <c r="L11" s="50">
        <v>0</v>
      </c>
      <c r="M11" s="50">
        <v>115</v>
      </c>
      <c r="N11" s="50">
        <v>0</v>
      </c>
      <c r="O11" s="15">
        <f t="shared" si="0"/>
        <v>138</v>
      </c>
      <c r="P11" s="15">
        <f t="shared" si="1"/>
        <v>253</v>
      </c>
      <c r="R11" s="1" t="s">
        <v>7</v>
      </c>
      <c r="S11" s="17">
        <f t="shared" ref="S11:AF11" si="3">SUM(C14:C17)</f>
        <v>186</v>
      </c>
      <c r="T11" s="17">
        <f t="shared" si="3"/>
        <v>13</v>
      </c>
      <c r="U11" s="17">
        <f t="shared" si="3"/>
        <v>22</v>
      </c>
      <c r="V11" s="17">
        <f t="shared" si="3"/>
        <v>107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12</v>
      </c>
      <c r="AA11" s="17">
        <f t="shared" si="3"/>
        <v>5</v>
      </c>
      <c r="AB11" s="17">
        <f t="shared" si="3"/>
        <v>2</v>
      </c>
      <c r="AC11" s="17">
        <f t="shared" si="3"/>
        <v>495</v>
      </c>
      <c r="AD11" s="17">
        <f t="shared" si="3"/>
        <v>0</v>
      </c>
      <c r="AE11" s="31">
        <f t="shared" si="3"/>
        <v>355</v>
      </c>
      <c r="AF11" s="31">
        <f t="shared" si="3"/>
        <v>850</v>
      </c>
    </row>
    <row r="12" spans="2:32" ht="23.1" customHeight="1" x14ac:dyDescent="0.25">
      <c r="B12" s="23" t="s">
        <v>39</v>
      </c>
      <c r="C12" s="50">
        <v>40</v>
      </c>
      <c r="D12" s="50">
        <v>2</v>
      </c>
      <c r="E12" s="50">
        <v>6</v>
      </c>
      <c r="F12" s="50">
        <v>22</v>
      </c>
      <c r="G12" s="50">
        <v>2</v>
      </c>
      <c r="H12" s="50">
        <v>0</v>
      </c>
      <c r="I12" s="50">
        <v>6</v>
      </c>
      <c r="J12" s="50">
        <v>5</v>
      </c>
      <c r="K12" s="50">
        <v>0</v>
      </c>
      <c r="L12" s="50">
        <v>0</v>
      </c>
      <c r="M12" s="50">
        <v>115</v>
      </c>
      <c r="N12" s="50">
        <v>0</v>
      </c>
      <c r="O12" s="15">
        <f t="shared" si="0"/>
        <v>83</v>
      </c>
      <c r="P12" s="15">
        <f t="shared" si="1"/>
        <v>198</v>
      </c>
      <c r="R12" s="1" t="s">
        <v>8</v>
      </c>
      <c r="S12" s="17">
        <f t="shared" ref="S12:AF12" si="4">SUM(C18:C21)</f>
        <v>201</v>
      </c>
      <c r="T12" s="17">
        <f t="shared" si="4"/>
        <v>22</v>
      </c>
      <c r="U12" s="17">
        <f t="shared" si="4"/>
        <v>31</v>
      </c>
      <c r="V12" s="17">
        <f t="shared" si="4"/>
        <v>110</v>
      </c>
      <c r="W12" s="17">
        <f t="shared" si="4"/>
        <v>2</v>
      </c>
      <c r="X12" s="17">
        <f t="shared" si="4"/>
        <v>0</v>
      </c>
      <c r="Y12" s="17">
        <f t="shared" si="4"/>
        <v>23</v>
      </c>
      <c r="Z12" s="17">
        <f t="shared" si="4"/>
        <v>28</v>
      </c>
      <c r="AA12" s="17">
        <f t="shared" si="4"/>
        <v>3</v>
      </c>
      <c r="AB12" s="17">
        <f t="shared" si="4"/>
        <v>6</v>
      </c>
      <c r="AC12" s="17">
        <f t="shared" si="4"/>
        <v>676</v>
      </c>
      <c r="AD12" s="17">
        <f t="shared" si="4"/>
        <v>0</v>
      </c>
      <c r="AE12" s="31">
        <f t="shared" si="4"/>
        <v>426</v>
      </c>
      <c r="AF12" s="31">
        <f t="shared" si="4"/>
        <v>1102</v>
      </c>
    </row>
    <row r="13" spans="2:32" ht="23.1" customHeight="1" x14ac:dyDescent="0.25">
      <c r="B13" s="23" t="s">
        <v>40</v>
      </c>
      <c r="C13" s="50">
        <v>70</v>
      </c>
      <c r="D13" s="50">
        <v>6</v>
      </c>
      <c r="E13" s="50">
        <v>9</v>
      </c>
      <c r="F13" s="50">
        <v>110</v>
      </c>
      <c r="G13" s="50">
        <v>4</v>
      </c>
      <c r="H13" s="50">
        <v>0</v>
      </c>
      <c r="I13" s="50">
        <v>3</v>
      </c>
      <c r="J13" s="50">
        <v>8</v>
      </c>
      <c r="K13" s="50">
        <v>2</v>
      </c>
      <c r="L13" s="50">
        <v>7</v>
      </c>
      <c r="M13" s="50">
        <v>155</v>
      </c>
      <c r="N13" s="50">
        <v>0</v>
      </c>
      <c r="O13" s="15">
        <f t="shared" si="0"/>
        <v>219</v>
      </c>
      <c r="P13" s="15">
        <f t="shared" si="1"/>
        <v>374</v>
      </c>
      <c r="R13" s="1" t="s">
        <v>9</v>
      </c>
      <c r="S13" s="17">
        <f>SUM(C22:C25)</f>
        <v>167</v>
      </c>
      <c r="T13" s="17">
        <f>SUM(D22:D25)</f>
        <v>15</v>
      </c>
      <c r="U13" s="17">
        <f>SUM(E22:E25)</f>
        <v>35</v>
      </c>
      <c r="V13" s="17">
        <f>SUM(F22:F25)</f>
        <v>101</v>
      </c>
      <c r="W13" s="17">
        <f t="shared" ref="W13:AF13" si="5">SUM(G22:G25)</f>
        <v>2</v>
      </c>
      <c r="X13" s="17">
        <f t="shared" si="5"/>
        <v>0</v>
      </c>
      <c r="Y13" s="17">
        <f t="shared" si="5"/>
        <v>16</v>
      </c>
      <c r="Z13" s="17">
        <f t="shared" si="5"/>
        <v>16</v>
      </c>
      <c r="AA13" s="17">
        <f t="shared" si="5"/>
        <v>10</v>
      </c>
      <c r="AB13" s="17">
        <f t="shared" si="5"/>
        <v>4</v>
      </c>
      <c r="AC13" s="17">
        <f t="shared" si="5"/>
        <v>411</v>
      </c>
      <c r="AD13" s="17">
        <f t="shared" si="5"/>
        <v>0</v>
      </c>
      <c r="AE13" s="31">
        <f t="shared" si="5"/>
        <v>366</v>
      </c>
      <c r="AF13" s="31">
        <f t="shared" si="5"/>
        <v>777</v>
      </c>
    </row>
    <row r="14" spans="2:32" ht="23.1" customHeight="1" x14ac:dyDescent="0.25">
      <c r="B14" s="23" t="s">
        <v>41</v>
      </c>
      <c r="C14" s="50">
        <v>35</v>
      </c>
      <c r="D14" s="50">
        <v>2</v>
      </c>
      <c r="E14" s="50">
        <v>10</v>
      </c>
      <c r="F14" s="50">
        <v>35</v>
      </c>
      <c r="G14" s="50">
        <v>0</v>
      </c>
      <c r="H14" s="50">
        <v>0</v>
      </c>
      <c r="I14" s="50">
        <v>0</v>
      </c>
      <c r="J14" s="50">
        <v>8</v>
      </c>
      <c r="K14" s="50">
        <v>1</v>
      </c>
      <c r="L14" s="50">
        <v>0</v>
      </c>
      <c r="M14" s="50">
        <v>110</v>
      </c>
      <c r="N14" s="50">
        <v>0</v>
      </c>
      <c r="O14" s="15">
        <f t="shared" si="0"/>
        <v>91</v>
      </c>
      <c r="P14" s="15">
        <f t="shared" si="1"/>
        <v>201</v>
      </c>
      <c r="R14" s="1" t="s">
        <v>10</v>
      </c>
      <c r="S14" s="17">
        <f t="shared" ref="S14:AF14" si="6">SUM(C22:C27)</f>
        <v>257</v>
      </c>
      <c r="T14" s="17">
        <f t="shared" si="6"/>
        <v>19</v>
      </c>
      <c r="U14" s="17">
        <f t="shared" si="6"/>
        <v>51</v>
      </c>
      <c r="V14" s="17">
        <f t="shared" si="6"/>
        <v>161</v>
      </c>
      <c r="W14" s="17">
        <f t="shared" si="6"/>
        <v>4</v>
      </c>
      <c r="X14" s="17">
        <f t="shared" si="6"/>
        <v>0</v>
      </c>
      <c r="Y14" s="17">
        <f t="shared" si="6"/>
        <v>24</v>
      </c>
      <c r="Z14" s="17">
        <f t="shared" si="6"/>
        <v>31</v>
      </c>
      <c r="AA14" s="17">
        <f t="shared" si="6"/>
        <v>10</v>
      </c>
      <c r="AB14" s="17">
        <f t="shared" si="6"/>
        <v>9</v>
      </c>
      <c r="AC14" s="17">
        <f t="shared" si="6"/>
        <v>580</v>
      </c>
      <c r="AD14" s="17">
        <f t="shared" si="6"/>
        <v>0</v>
      </c>
      <c r="AE14" s="31">
        <f t="shared" si="6"/>
        <v>566</v>
      </c>
      <c r="AF14" s="31">
        <f t="shared" si="6"/>
        <v>1146</v>
      </c>
    </row>
    <row r="15" spans="2:32" ht="23.1" customHeight="1" x14ac:dyDescent="0.25">
      <c r="B15" s="23" t="s">
        <v>42</v>
      </c>
      <c r="C15" s="50">
        <v>36</v>
      </c>
      <c r="D15" s="50">
        <v>0</v>
      </c>
      <c r="E15" s="50">
        <v>3</v>
      </c>
      <c r="F15" s="50">
        <v>13</v>
      </c>
      <c r="G15" s="50">
        <v>0</v>
      </c>
      <c r="H15" s="50">
        <v>0</v>
      </c>
      <c r="I15" s="50">
        <v>1</v>
      </c>
      <c r="J15" s="50">
        <v>1</v>
      </c>
      <c r="K15" s="50">
        <v>1</v>
      </c>
      <c r="L15" s="50">
        <v>1</v>
      </c>
      <c r="M15" s="50">
        <v>78</v>
      </c>
      <c r="N15" s="50">
        <v>0</v>
      </c>
      <c r="O15" s="15">
        <f t="shared" si="0"/>
        <v>56</v>
      </c>
      <c r="P15" s="15">
        <f t="shared" si="1"/>
        <v>134</v>
      </c>
      <c r="R15" s="1" t="s">
        <v>11</v>
      </c>
      <c r="S15" s="17">
        <f t="shared" ref="S15:AF15" si="7">SUM(C22:C25)</f>
        <v>167</v>
      </c>
      <c r="T15" s="17">
        <f t="shared" si="7"/>
        <v>15</v>
      </c>
      <c r="U15" s="17">
        <f t="shared" si="7"/>
        <v>35</v>
      </c>
      <c r="V15" s="17">
        <f t="shared" si="7"/>
        <v>101</v>
      </c>
      <c r="W15" s="17">
        <f t="shared" si="7"/>
        <v>2</v>
      </c>
      <c r="X15" s="17">
        <f t="shared" si="7"/>
        <v>0</v>
      </c>
      <c r="Y15" s="17">
        <f t="shared" si="7"/>
        <v>16</v>
      </c>
      <c r="Z15" s="17">
        <f t="shared" si="7"/>
        <v>16</v>
      </c>
      <c r="AA15" s="17">
        <f t="shared" si="7"/>
        <v>10</v>
      </c>
      <c r="AB15" s="17">
        <f t="shared" si="7"/>
        <v>4</v>
      </c>
      <c r="AC15" s="17">
        <f t="shared" si="7"/>
        <v>411</v>
      </c>
      <c r="AD15" s="17">
        <f t="shared" si="7"/>
        <v>0</v>
      </c>
      <c r="AE15" s="31">
        <f t="shared" si="7"/>
        <v>366</v>
      </c>
      <c r="AF15" s="31">
        <f t="shared" si="7"/>
        <v>777</v>
      </c>
    </row>
    <row r="16" spans="2:32" ht="23.1" customHeight="1" x14ac:dyDescent="0.25">
      <c r="B16" s="23" t="s">
        <v>43</v>
      </c>
      <c r="C16" s="50">
        <v>55</v>
      </c>
      <c r="D16" s="50">
        <v>4</v>
      </c>
      <c r="E16" s="50">
        <v>2</v>
      </c>
      <c r="F16" s="50">
        <v>20</v>
      </c>
      <c r="G16" s="50">
        <v>0</v>
      </c>
      <c r="H16" s="50">
        <v>0</v>
      </c>
      <c r="I16" s="50">
        <v>3</v>
      </c>
      <c r="J16" s="50">
        <v>1</v>
      </c>
      <c r="K16" s="50">
        <v>0</v>
      </c>
      <c r="L16" s="50">
        <v>1</v>
      </c>
      <c r="M16" s="50">
        <v>130</v>
      </c>
      <c r="N16" s="50">
        <v>0</v>
      </c>
      <c r="O16" s="15">
        <f t="shared" si="0"/>
        <v>86</v>
      </c>
      <c r="P16" s="15">
        <f t="shared" si="1"/>
        <v>216</v>
      </c>
      <c r="R16" s="1" t="s">
        <v>12</v>
      </c>
      <c r="S16" s="17">
        <f t="shared" ref="S16:AF16" si="8">SUM(C26:C30)</f>
        <v>173</v>
      </c>
      <c r="T16" s="17">
        <f t="shared" si="8"/>
        <v>26</v>
      </c>
      <c r="U16" s="17">
        <f t="shared" si="8"/>
        <v>49</v>
      </c>
      <c r="V16" s="17">
        <f t="shared" si="8"/>
        <v>126</v>
      </c>
      <c r="W16" s="17">
        <f t="shared" si="8"/>
        <v>2</v>
      </c>
      <c r="X16" s="17">
        <f t="shared" si="8"/>
        <v>1</v>
      </c>
      <c r="Y16" s="17">
        <f t="shared" si="8"/>
        <v>16</v>
      </c>
      <c r="Z16" s="17">
        <f t="shared" si="8"/>
        <v>36</v>
      </c>
      <c r="AA16" s="17">
        <f t="shared" si="8"/>
        <v>3</v>
      </c>
      <c r="AB16" s="17">
        <f t="shared" si="8"/>
        <v>9</v>
      </c>
      <c r="AC16" s="17">
        <f t="shared" si="8"/>
        <v>371</v>
      </c>
      <c r="AD16" s="17">
        <f t="shared" si="8"/>
        <v>0</v>
      </c>
      <c r="AE16" s="31">
        <f t="shared" si="8"/>
        <v>441</v>
      </c>
      <c r="AF16" s="31">
        <f t="shared" si="8"/>
        <v>812</v>
      </c>
    </row>
    <row r="17" spans="2:32" ht="23.1" customHeight="1" x14ac:dyDescent="0.25">
      <c r="B17" s="23" t="s">
        <v>44</v>
      </c>
      <c r="C17" s="50">
        <v>60</v>
      </c>
      <c r="D17" s="50">
        <v>7</v>
      </c>
      <c r="E17" s="50">
        <v>7</v>
      </c>
      <c r="F17" s="50">
        <v>39</v>
      </c>
      <c r="G17" s="50">
        <v>0</v>
      </c>
      <c r="H17" s="50">
        <v>0</v>
      </c>
      <c r="I17" s="50">
        <v>4</v>
      </c>
      <c r="J17" s="50">
        <v>2</v>
      </c>
      <c r="K17" s="50">
        <v>3</v>
      </c>
      <c r="L17" s="50">
        <v>0</v>
      </c>
      <c r="M17" s="50">
        <v>177</v>
      </c>
      <c r="N17" s="50">
        <v>0</v>
      </c>
      <c r="O17" s="15">
        <f t="shared" si="0"/>
        <v>122</v>
      </c>
      <c r="P17" s="15">
        <f t="shared" si="1"/>
        <v>299</v>
      </c>
      <c r="R17" s="1" t="s">
        <v>13</v>
      </c>
      <c r="S17" s="17">
        <f t="shared" ref="S17:AF17" si="9">SUM(C31:C34)</f>
        <v>77</v>
      </c>
      <c r="T17" s="17">
        <f t="shared" si="9"/>
        <v>17</v>
      </c>
      <c r="U17" s="17">
        <f t="shared" si="9"/>
        <v>29</v>
      </c>
      <c r="V17" s="17">
        <f t="shared" si="9"/>
        <v>84</v>
      </c>
      <c r="W17" s="17">
        <f t="shared" si="9"/>
        <v>4</v>
      </c>
      <c r="X17" s="17">
        <f t="shared" si="9"/>
        <v>4</v>
      </c>
      <c r="Y17" s="17">
        <f t="shared" si="9"/>
        <v>17</v>
      </c>
      <c r="Z17" s="17">
        <f t="shared" si="9"/>
        <v>17</v>
      </c>
      <c r="AA17" s="17">
        <f t="shared" si="9"/>
        <v>1</v>
      </c>
      <c r="AB17" s="17">
        <f t="shared" si="9"/>
        <v>7</v>
      </c>
      <c r="AC17" s="17">
        <f t="shared" si="9"/>
        <v>336</v>
      </c>
      <c r="AD17" s="17">
        <f t="shared" si="9"/>
        <v>0</v>
      </c>
      <c r="AE17" s="31">
        <f t="shared" si="9"/>
        <v>257</v>
      </c>
      <c r="AF17" s="31">
        <f t="shared" si="9"/>
        <v>593</v>
      </c>
    </row>
    <row r="18" spans="2:32" ht="23.1" customHeight="1" x14ac:dyDescent="0.25">
      <c r="B18" s="23" t="s">
        <v>45</v>
      </c>
      <c r="C18" s="50">
        <v>65</v>
      </c>
      <c r="D18" s="50">
        <v>9</v>
      </c>
      <c r="E18" s="50">
        <v>8</v>
      </c>
      <c r="F18" s="50">
        <v>23</v>
      </c>
      <c r="G18" s="50">
        <v>1</v>
      </c>
      <c r="H18" s="50">
        <v>0</v>
      </c>
      <c r="I18" s="50">
        <v>4</v>
      </c>
      <c r="J18" s="50">
        <v>8</v>
      </c>
      <c r="K18" s="50">
        <v>2</v>
      </c>
      <c r="L18" s="50">
        <v>0</v>
      </c>
      <c r="M18" s="50">
        <v>168</v>
      </c>
      <c r="N18" s="50">
        <v>0</v>
      </c>
      <c r="O18" s="15">
        <f t="shared" si="0"/>
        <v>120</v>
      </c>
      <c r="P18" s="15">
        <f t="shared" si="1"/>
        <v>288</v>
      </c>
      <c r="R18" s="1" t="s">
        <v>14</v>
      </c>
      <c r="S18" s="17">
        <f t="shared" ref="S18:AF18" si="10">SUM(C35:C38)</f>
        <v>193</v>
      </c>
      <c r="T18" s="17">
        <f t="shared" si="10"/>
        <v>17</v>
      </c>
      <c r="U18" s="17">
        <f t="shared" si="10"/>
        <v>25</v>
      </c>
      <c r="V18" s="17">
        <f t="shared" si="10"/>
        <v>228</v>
      </c>
      <c r="W18" s="17">
        <f t="shared" si="10"/>
        <v>5</v>
      </c>
      <c r="X18" s="17">
        <f t="shared" si="10"/>
        <v>1</v>
      </c>
      <c r="Y18" s="17">
        <f t="shared" si="10"/>
        <v>12</v>
      </c>
      <c r="Z18" s="17">
        <f t="shared" si="10"/>
        <v>14</v>
      </c>
      <c r="AA18" s="17">
        <f t="shared" si="10"/>
        <v>3</v>
      </c>
      <c r="AB18" s="17">
        <f t="shared" si="10"/>
        <v>7</v>
      </c>
      <c r="AC18" s="17">
        <f t="shared" si="10"/>
        <v>372</v>
      </c>
      <c r="AD18" s="17">
        <f t="shared" si="10"/>
        <v>0</v>
      </c>
      <c r="AE18" s="31">
        <f t="shared" si="10"/>
        <v>505</v>
      </c>
      <c r="AF18" s="31">
        <f t="shared" si="10"/>
        <v>877</v>
      </c>
    </row>
    <row r="19" spans="2:32" ht="23.1" customHeight="1" x14ac:dyDescent="0.25">
      <c r="B19" s="23" t="s">
        <v>46</v>
      </c>
      <c r="C19" s="50">
        <v>53</v>
      </c>
      <c r="D19" s="50">
        <v>5</v>
      </c>
      <c r="E19" s="50">
        <v>14</v>
      </c>
      <c r="F19" s="50">
        <v>27</v>
      </c>
      <c r="G19" s="50">
        <v>1</v>
      </c>
      <c r="H19" s="50">
        <v>0</v>
      </c>
      <c r="I19" s="50">
        <v>2</v>
      </c>
      <c r="J19" s="50">
        <v>7</v>
      </c>
      <c r="K19" s="50">
        <v>0</v>
      </c>
      <c r="L19" s="50">
        <v>3</v>
      </c>
      <c r="M19" s="50">
        <v>190</v>
      </c>
      <c r="N19" s="50">
        <v>0</v>
      </c>
      <c r="O19" s="15">
        <f t="shared" si="0"/>
        <v>112</v>
      </c>
      <c r="P19" s="15">
        <f t="shared" si="1"/>
        <v>302</v>
      </c>
      <c r="R19" s="1" t="s">
        <v>15</v>
      </c>
      <c r="S19" s="17">
        <f t="shared" ref="S19:AF19" si="11">SUM(C39:C42)</f>
        <v>250</v>
      </c>
      <c r="T19" s="17">
        <f t="shared" si="11"/>
        <v>14</v>
      </c>
      <c r="U19" s="17">
        <f t="shared" si="11"/>
        <v>34</v>
      </c>
      <c r="V19" s="17">
        <f t="shared" si="11"/>
        <v>394</v>
      </c>
      <c r="W19" s="17">
        <f t="shared" si="11"/>
        <v>1</v>
      </c>
      <c r="X19" s="17">
        <f t="shared" si="11"/>
        <v>0</v>
      </c>
      <c r="Y19" s="17">
        <f t="shared" si="11"/>
        <v>22</v>
      </c>
      <c r="Z19" s="17">
        <f t="shared" si="11"/>
        <v>16</v>
      </c>
      <c r="AA19" s="17">
        <f t="shared" si="11"/>
        <v>6</v>
      </c>
      <c r="AB19" s="17">
        <f t="shared" si="11"/>
        <v>6</v>
      </c>
      <c r="AC19" s="17">
        <f t="shared" si="11"/>
        <v>557</v>
      </c>
      <c r="AD19" s="17">
        <f t="shared" si="11"/>
        <v>0</v>
      </c>
      <c r="AE19" s="31">
        <f t="shared" si="11"/>
        <v>743</v>
      </c>
      <c r="AF19" s="31">
        <f t="shared" si="11"/>
        <v>1300</v>
      </c>
    </row>
    <row r="20" spans="2:32" ht="23.1" customHeight="1" x14ac:dyDescent="0.25">
      <c r="B20" s="23" t="s">
        <v>47</v>
      </c>
      <c r="C20" s="50">
        <v>45</v>
      </c>
      <c r="D20" s="50">
        <v>2</v>
      </c>
      <c r="E20" s="50">
        <v>5</v>
      </c>
      <c r="F20" s="50">
        <v>35</v>
      </c>
      <c r="G20" s="50">
        <v>0</v>
      </c>
      <c r="H20" s="50">
        <v>0</v>
      </c>
      <c r="I20" s="50">
        <v>7</v>
      </c>
      <c r="J20" s="50">
        <v>4</v>
      </c>
      <c r="K20" s="50">
        <v>1</v>
      </c>
      <c r="L20" s="50">
        <v>3</v>
      </c>
      <c r="M20" s="50">
        <v>170</v>
      </c>
      <c r="N20" s="50">
        <v>0</v>
      </c>
      <c r="O20" s="15">
        <f t="shared" si="0"/>
        <v>102</v>
      </c>
      <c r="P20" s="15">
        <f t="shared" si="1"/>
        <v>272</v>
      </c>
      <c r="R20" s="1" t="s">
        <v>16</v>
      </c>
      <c r="S20" s="17">
        <f t="shared" ref="S20:AF20" si="12">SUM(C43:C46)</f>
        <v>276</v>
      </c>
      <c r="T20" s="17">
        <f t="shared" si="12"/>
        <v>18</v>
      </c>
      <c r="U20" s="17">
        <f t="shared" si="12"/>
        <v>21</v>
      </c>
      <c r="V20" s="17">
        <f t="shared" si="12"/>
        <v>318</v>
      </c>
      <c r="W20" s="17">
        <f t="shared" si="12"/>
        <v>8</v>
      </c>
      <c r="X20" s="17">
        <f t="shared" si="12"/>
        <v>3</v>
      </c>
      <c r="Y20" s="17">
        <f t="shared" si="12"/>
        <v>17</v>
      </c>
      <c r="Z20" s="17">
        <f t="shared" si="12"/>
        <v>16</v>
      </c>
      <c r="AA20" s="17">
        <f t="shared" si="12"/>
        <v>7</v>
      </c>
      <c r="AB20" s="17">
        <f t="shared" si="12"/>
        <v>6</v>
      </c>
      <c r="AC20" s="17">
        <f t="shared" si="12"/>
        <v>527</v>
      </c>
      <c r="AD20" s="17">
        <f t="shared" si="12"/>
        <v>0</v>
      </c>
      <c r="AE20" s="31">
        <f t="shared" si="12"/>
        <v>690</v>
      </c>
      <c r="AF20" s="31">
        <f t="shared" si="12"/>
        <v>1217</v>
      </c>
    </row>
    <row r="21" spans="2:32" s="52" customFormat="1" ht="23.1" customHeight="1" x14ac:dyDescent="0.25">
      <c r="B21" s="51" t="s">
        <v>48</v>
      </c>
      <c r="C21" s="50">
        <v>38</v>
      </c>
      <c r="D21" s="50">
        <v>6</v>
      </c>
      <c r="E21" s="50">
        <v>4</v>
      </c>
      <c r="F21" s="50">
        <v>25</v>
      </c>
      <c r="G21" s="50">
        <v>0</v>
      </c>
      <c r="H21" s="50">
        <v>0</v>
      </c>
      <c r="I21" s="50">
        <v>10</v>
      </c>
      <c r="J21" s="50">
        <v>9</v>
      </c>
      <c r="K21" s="50">
        <v>0</v>
      </c>
      <c r="L21" s="50">
        <v>0</v>
      </c>
      <c r="M21" s="50">
        <v>148</v>
      </c>
      <c r="N21" s="50">
        <v>0</v>
      </c>
      <c r="O21" s="15">
        <f t="shared" si="0"/>
        <v>92</v>
      </c>
      <c r="P21" s="15">
        <f t="shared" si="1"/>
        <v>240</v>
      </c>
      <c r="R21" s="53" t="s">
        <v>20</v>
      </c>
      <c r="S21" s="54">
        <f t="shared" ref="S21:AF21" si="13">SUM(C47:C49)</f>
        <v>198</v>
      </c>
      <c r="T21" s="15">
        <f t="shared" si="13"/>
        <v>10</v>
      </c>
      <c r="U21" s="15">
        <f t="shared" si="13"/>
        <v>9</v>
      </c>
      <c r="V21" s="15">
        <f t="shared" si="13"/>
        <v>266</v>
      </c>
      <c r="W21" s="15">
        <f t="shared" si="13"/>
        <v>4</v>
      </c>
      <c r="X21" s="15">
        <f t="shared" si="13"/>
        <v>2</v>
      </c>
      <c r="Y21" s="15">
        <f t="shared" si="13"/>
        <v>5</v>
      </c>
      <c r="Z21" s="15">
        <f t="shared" si="13"/>
        <v>5</v>
      </c>
      <c r="AA21" s="15">
        <f t="shared" si="13"/>
        <v>6</v>
      </c>
      <c r="AB21" s="15">
        <f t="shared" si="13"/>
        <v>6</v>
      </c>
      <c r="AC21" s="15">
        <f t="shared" si="13"/>
        <v>301</v>
      </c>
      <c r="AD21" s="15">
        <f t="shared" si="13"/>
        <v>0</v>
      </c>
      <c r="AE21" s="31">
        <f t="shared" si="13"/>
        <v>511</v>
      </c>
      <c r="AF21" s="31">
        <f t="shared" si="13"/>
        <v>812</v>
      </c>
    </row>
    <row r="22" spans="2:32" ht="23.1" customHeight="1" x14ac:dyDescent="0.25">
      <c r="B22" s="23" t="s">
        <v>49</v>
      </c>
      <c r="C22" s="50">
        <v>41</v>
      </c>
      <c r="D22" s="50">
        <v>5</v>
      </c>
      <c r="E22" s="50">
        <v>13</v>
      </c>
      <c r="F22" s="50">
        <v>36</v>
      </c>
      <c r="G22" s="50">
        <v>0</v>
      </c>
      <c r="H22" s="50">
        <v>0</v>
      </c>
      <c r="I22" s="50">
        <v>5</v>
      </c>
      <c r="J22" s="50">
        <v>8</v>
      </c>
      <c r="K22" s="50">
        <v>3</v>
      </c>
      <c r="L22" s="50">
        <v>1</v>
      </c>
      <c r="M22" s="50">
        <v>110</v>
      </c>
      <c r="N22" s="50">
        <v>0</v>
      </c>
      <c r="O22" s="15">
        <f t="shared" ref="O22:O53" si="14">SUM(C22:L22,N22)</f>
        <v>112</v>
      </c>
      <c r="P22" s="15">
        <f t="shared" ref="P22:P53" si="15">SUM(C22:N22)</f>
        <v>222</v>
      </c>
      <c r="R22" s="38" t="s">
        <v>90</v>
      </c>
      <c r="S22" s="39">
        <f>MAX(S10:S12)</f>
        <v>203</v>
      </c>
      <c r="T22" s="39">
        <f t="shared" ref="T22:AF22" si="16">MAX(T10:T12)</f>
        <v>22</v>
      </c>
      <c r="U22" s="39">
        <f t="shared" si="16"/>
        <v>31</v>
      </c>
      <c r="V22" s="39">
        <f t="shared" si="16"/>
        <v>217</v>
      </c>
      <c r="W22" s="39">
        <f t="shared" si="16"/>
        <v>11</v>
      </c>
      <c r="X22" s="39">
        <f t="shared" si="16"/>
        <v>0</v>
      </c>
      <c r="Y22" s="39">
        <f t="shared" si="16"/>
        <v>23</v>
      </c>
      <c r="Z22" s="39">
        <f t="shared" si="16"/>
        <v>28</v>
      </c>
      <c r="AA22" s="39">
        <f t="shared" si="16"/>
        <v>5</v>
      </c>
      <c r="AB22" s="39">
        <f t="shared" si="16"/>
        <v>8</v>
      </c>
      <c r="AC22" s="39">
        <f t="shared" si="16"/>
        <v>676</v>
      </c>
      <c r="AD22" s="39">
        <f t="shared" si="16"/>
        <v>0</v>
      </c>
      <c r="AE22" s="40">
        <f t="shared" si="16"/>
        <v>524</v>
      </c>
      <c r="AF22" s="40">
        <f t="shared" si="16"/>
        <v>1102</v>
      </c>
    </row>
    <row r="23" spans="2:32" ht="23.1" customHeight="1" x14ac:dyDescent="0.25">
      <c r="B23" s="23" t="s">
        <v>50</v>
      </c>
      <c r="C23" s="50">
        <v>28</v>
      </c>
      <c r="D23" s="50">
        <v>2</v>
      </c>
      <c r="E23" s="50">
        <v>7</v>
      </c>
      <c r="F23" s="50">
        <v>13</v>
      </c>
      <c r="G23" s="50">
        <v>0</v>
      </c>
      <c r="H23" s="50">
        <v>0</v>
      </c>
      <c r="I23" s="50">
        <v>4</v>
      </c>
      <c r="J23" s="50">
        <v>3</v>
      </c>
      <c r="K23" s="50">
        <v>3</v>
      </c>
      <c r="L23" s="50">
        <v>0</v>
      </c>
      <c r="M23" s="50">
        <v>71</v>
      </c>
      <c r="N23" s="50">
        <v>0</v>
      </c>
      <c r="O23" s="15">
        <f t="shared" si="14"/>
        <v>60</v>
      </c>
      <c r="P23" s="15">
        <f t="shared" si="15"/>
        <v>131</v>
      </c>
      <c r="R23" s="38" t="s">
        <v>91</v>
      </c>
      <c r="S23" s="39">
        <f>MAX(S13:S18)</f>
        <v>257</v>
      </c>
      <c r="T23" s="39">
        <f t="shared" ref="T23:AF23" si="17">MAX(T13:T18)</f>
        <v>26</v>
      </c>
      <c r="U23" s="39">
        <f t="shared" si="17"/>
        <v>51</v>
      </c>
      <c r="V23" s="39">
        <f t="shared" si="17"/>
        <v>228</v>
      </c>
      <c r="W23" s="39">
        <f t="shared" si="17"/>
        <v>5</v>
      </c>
      <c r="X23" s="39">
        <f t="shared" si="17"/>
        <v>4</v>
      </c>
      <c r="Y23" s="39">
        <f t="shared" si="17"/>
        <v>24</v>
      </c>
      <c r="Z23" s="39">
        <f t="shared" si="17"/>
        <v>36</v>
      </c>
      <c r="AA23" s="39">
        <f t="shared" si="17"/>
        <v>10</v>
      </c>
      <c r="AB23" s="39">
        <f t="shared" si="17"/>
        <v>9</v>
      </c>
      <c r="AC23" s="39">
        <f t="shared" si="17"/>
        <v>580</v>
      </c>
      <c r="AD23" s="39">
        <f t="shared" si="17"/>
        <v>0</v>
      </c>
      <c r="AE23" s="40">
        <f t="shared" si="17"/>
        <v>566</v>
      </c>
      <c r="AF23" s="40">
        <f t="shared" si="17"/>
        <v>1146</v>
      </c>
    </row>
    <row r="24" spans="2:32" ht="23.1" customHeight="1" x14ac:dyDescent="0.25">
      <c r="B24" s="23" t="s">
        <v>51</v>
      </c>
      <c r="C24" s="50">
        <v>40</v>
      </c>
      <c r="D24" s="50">
        <v>3</v>
      </c>
      <c r="E24" s="50">
        <v>6</v>
      </c>
      <c r="F24" s="50">
        <v>23</v>
      </c>
      <c r="G24" s="50">
        <v>0</v>
      </c>
      <c r="H24" s="50">
        <v>0</v>
      </c>
      <c r="I24" s="50">
        <v>3</v>
      </c>
      <c r="J24" s="50">
        <v>3</v>
      </c>
      <c r="K24" s="50">
        <v>2</v>
      </c>
      <c r="L24" s="50">
        <v>2</v>
      </c>
      <c r="M24" s="50">
        <v>140</v>
      </c>
      <c r="N24" s="50">
        <v>0</v>
      </c>
      <c r="O24" s="15">
        <f t="shared" si="14"/>
        <v>82</v>
      </c>
      <c r="P24" s="15">
        <f t="shared" si="15"/>
        <v>222</v>
      </c>
      <c r="R24" s="38" t="s">
        <v>92</v>
      </c>
      <c r="S24" s="39">
        <f>MAX(S19:S21)</f>
        <v>276</v>
      </c>
      <c r="T24" s="39">
        <f t="shared" ref="T24:AF24" si="18">MAX(T19:T21)</f>
        <v>18</v>
      </c>
      <c r="U24" s="39">
        <f t="shared" si="18"/>
        <v>34</v>
      </c>
      <c r="V24" s="39">
        <f t="shared" si="18"/>
        <v>394</v>
      </c>
      <c r="W24" s="39">
        <f t="shared" si="18"/>
        <v>8</v>
      </c>
      <c r="X24" s="39">
        <f t="shared" si="18"/>
        <v>3</v>
      </c>
      <c r="Y24" s="39">
        <f t="shared" si="18"/>
        <v>22</v>
      </c>
      <c r="Z24" s="39">
        <f t="shared" si="18"/>
        <v>16</v>
      </c>
      <c r="AA24" s="39">
        <f t="shared" si="18"/>
        <v>7</v>
      </c>
      <c r="AB24" s="39">
        <f t="shared" si="18"/>
        <v>6</v>
      </c>
      <c r="AC24" s="39">
        <f t="shared" si="18"/>
        <v>557</v>
      </c>
      <c r="AD24" s="39">
        <f t="shared" si="18"/>
        <v>0</v>
      </c>
      <c r="AE24" s="40">
        <f t="shared" si="18"/>
        <v>743</v>
      </c>
      <c r="AF24" s="40">
        <f t="shared" si="18"/>
        <v>1300</v>
      </c>
    </row>
    <row r="25" spans="2:32" ht="23.1" customHeight="1" x14ac:dyDescent="0.25">
      <c r="B25" s="23" t="s">
        <v>52</v>
      </c>
      <c r="C25" s="50">
        <v>58</v>
      </c>
      <c r="D25" s="50">
        <v>5</v>
      </c>
      <c r="E25" s="50">
        <v>9</v>
      </c>
      <c r="F25" s="50">
        <v>29</v>
      </c>
      <c r="G25" s="50">
        <v>2</v>
      </c>
      <c r="H25" s="50">
        <v>0</v>
      </c>
      <c r="I25" s="50">
        <v>4</v>
      </c>
      <c r="J25" s="50">
        <v>2</v>
      </c>
      <c r="K25" s="50">
        <v>2</v>
      </c>
      <c r="L25" s="50">
        <v>1</v>
      </c>
      <c r="M25" s="50">
        <v>90</v>
      </c>
      <c r="N25" s="50">
        <v>0</v>
      </c>
      <c r="O25" s="15">
        <f t="shared" si="14"/>
        <v>112</v>
      </c>
      <c r="P25" s="15">
        <f t="shared" si="15"/>
        <v>202</v>
      </c>
      <c r="R25" s="37" t="s">
        <v>85</v>
      </c>
      <c r="S25" s="35">
        <f t="shared" ref="S25:AF25" si="19">SUM(S10:S12)</f>
        <v>590</v>
      </c>
      <c r="T25" s="16">
        <f t="shared" si="19"/>
        <v>53</v>
      </c>
      <c r="U25" s="16">
        <f t="shared" si="19"/>
        <v>80</v>
      </c>
      <c r="V25" s="16">
        <f t="shared" si="19"/>
        <v>434</v>
      </c>
      <c r="W25" s="16">
        <f t="shared" si="19"/>
        <v>13</v>
      </c>
      <c r="X25" s="16">
        <f t="shared" si="19"/>
        <v>0</v>
      </c>
      <c r="Y25" s="16">
        <f t="shared" si="19"/>
        <v>51</v>
      </c>
      <c r="Z25" s="16">
        <f t="shared" si="19"/>
        <v>58</v>
      </c>
      <c r="AA25" s="16">
        <f t="shared" si="19"/>
        <v>10</v>
      </c>
      <c r="AB25" s="16">
        <f t="shared" si="19"/>
        <v>16</v>
      </c>
      <c r="AC25" s="16">
        <f t="shared" si="19"/>
        <v>1626</v>
      </c>
      <c r="AD25" s="16">
        <f t="shared" si="19"/>
        <v>0</v>
      </c>
      <c r="AE25" s="32">
        <f t="shared" si="19"/>
        <v>1305</v>
      </c>
      <c r="AF25" s="32">
        <f t="shared" si="19"/>
        <v>2931</v>
      </c>
    </row>
    <row r="26" spans="2:32" ht="23.1" customHeight="1" x14ac:dyDescent="0.25">
      <c r="B26" s="23" t="s">
        <v>53</v>
      </c>
      <c r="C26" s="50">
        <v>43</v>
      </c>
      <c r="D26" s="50">
        <v>1</v>
      </c>
      <c r="E26" s="50">
        <v>6</v>
      </c>
      <c r="F26" s="50">
        <v>30</v>
      </c>
      <c r="G26" s="50">
        <v>0</v>
      </c>
      <c r="H26" s="50">
        <v>0</v>
      </c>
      <c r="I26" s="50">
        <v>6</v>
      </c>
      <c r="J26" s="50">
        <v>7</v>
      </c>
      <c r="K26" s="50">
        <v>0</v>
      </c>
      <c r="L26" s="50">
        <v>4</v>
      </c>
      <c r="M26" s="50">
        <v>55</v>
      </c>
      <c r="N26" s="50">
        <v>0</v>
      </c>
      <c r="O26" s="15">
        <f t="shared" si="14"/>
        <v>97</v>
      </c>
      <c r="P26" s="15">
        <f t="shared" si="15"/>
        <v>152</v>
      </c>
      <c r="R26" s="28" t="s">
        <v>86</v>
      </c>
      <c r="S26" s="16">
        <f t="shared" ref="S26:AF26" si="20">SUM(S13:S18)</f>
        <v>1034</v>
      </c>
      <c r="T26" s="16">
        <f t="shared" si="20"/>
        <v>109</v>
      </c>
      <c r="U26" s="16">
        <f t="shared" si="20"/>
        <v>224</v>
      </c>
      <c r="V26" s="16">
        <f t="shared" si="20"/>
        <v>801</v>
      </c>
      <c r="W26" s="16">
        <f t="shared" si="20"/>
        <v>19</v>
      </c>
      <c r="X26" s="16">
        <f t="shared" si="20"/>
        <v>6</v>
      </c>
      <c r="Y26" s="16">
        <f t="shared" si="20"/>
        <v>101</v>
      </c>
      <c r="Z26" s="16">
        <f t="shared" si="20"/>
        <v>130</v>
      </c>
      <c r="AA26" s="16">
        <f t="shared" si="20"/>
        <v>37</v>
      </c>
      <c r="AB26" s="16">
        <f t="shared" si="20"/>
        <v>40</v>
      </c>
      <c r="AC26" s="16">
        <f t="shared" si="20"/>
        <v>2481</v>
      </c>
      <c r="AD26" s="16">
        <f t="shared" si="20"/>
        <v>0</v>
      </c>
      <c r="AE26" s="32">
        <f t="shared" si="20"/>
        <v>2501</v>
      </c>
      <c r="AF26" s="32">
        <f t="shared" si="20"/>
        <v>4982</v>
      </c>
    </row>
    <row r="27" spans="2:32" ht="23.1" customHeight="1" x14ac:dyDescent="0.25">
      <c r="B27" s="23" t="s">
        <v>54</v>
      </c>
      <c r="C27" s="50">
        <v>47</v>
      </c>
      <c r="D27" s="50">
        <v>3</v>
      </c>
      <c r="E27" s="50">
        <v>10</v>
      </c>
      <c r="F27" s="50">
        <v>30</v>
      </c>
      <c r="G27" s="50">
        <v>2</v>
      </c>
      <c r="H27" s="50">
        <v>0</v>
      </c>
      <c r="I27" s="50">
        <v>2</v>
      </c>
      <c r="J27" s="50">
        <v>8</v>
      </c>
      <c r="K27" s="50">
        <v>0</v>
      </c>
      <c r="L27" s="50">
        <v>1</v>
      </c>
      <c r="M27" s="50">
        <v>114</v>
      </c>
      <c r="N27" s="50">
        <v>0</v>
      </c>
      <c r="O27" s="15">
        <f t="shared" si="14"/>
        <v>103</v>
      </c>
      <c r="P27" s="15">
        <f t="shared" si="15"/>
        <v>217</v>
      </c>
      <c r="R27" s="29" t="s">
        <v>87</v>
      </c>
      <c r="S27" s="16">
        <f t="shared" ref="S27:AF27" si="21">SUM(S19:S21)</f>
        <v>724</v>
      </c>
      <c r="T27" s="16">
        <f t="shared" si="21"/>
        <v>42</v>
      </c>
      <c r="U27" s="16">
        <f t="shared" si="21"/>
        <v>64</v>
      </c>
      <c r="V27" s="16">
        <f t="shared" si="21"/>
        <v>978</v>
      </c>
      <c r="W27" s="16">
        <f t="shared" si="21"/>
        <v>13</v>
      </c>
      <c r="X27" s="16">
        <f t="shared" si="21"/>
        <v>5</v>
      </c>
      <c r="Y27" s="16">
        <f t="shared" si="21"/>
        <v>44</v>
      </c>
      <c r="Z27" s="16">
        <f t="shared" si="21"/>
        <v>37</v>
      </c>
      <c r="AA27" s="16">
        <f t="shared" si="21"/>
        <v>19</v>
      </c>
      <c r="AB27" s="16">
        <f t="shared" si="21"/>
        <v>18</v>
      </c>
      <c r="AC27" s="16">
        <f t="shared" si="21"/>
        <v>1385</v>
      </c>
      <c r="AD27" s="16">
        <f t="shared" si="21"/>
        <v>0</v>
      </c>
      <c r="AE27" s="32">
        <f t="shared" si="21"/>
        <v>1944</v>
      </c>
      <c r="AF27" s="32">
        <f t="shared" si="21"/>
        <v>3329</v>
      </c>
    </row>
    <row r="28" spans="2:32" ht="23.1" customHeight="1" x14ac:dyDescent="0.25">
      <c r="B28" s="23" t="s">
        <v>55</v>
      </c>
      <c r="C28" s="50">
        <v>25</v>
      </c>
      <c r="D28" s="50">
        <v>10</v>
      </c>
      <c r="E28" s="50">
        <v>14</v>
      </c>
      <c r="F28" s="50">
        <v>26</v>
      </c>
      <c r="G28" s="50">
        <v>0</v>
      </c>
      <c r="H28" s="50">
        <v>1</v>
      </c>
      <c r="I28" s="50">
        <v>3</v>
      </c>
      <c r="J28" s="50">
        <v>4</v>
      </c>
      <c r="K28" s="50">
        <v>2</v>
      </c>
      <c r="L28" s="50">
        <v>0</v>
      </c>
      <c r="M28" s="50">
        <v>70</v>
      </c>
      <c r="N28" s="50">
        <v>0</v>
      </c>
      <c r="O28" s="15">
        <f t="shared" si="14"/>
        <v>85</v>
      </c>
      <c r="P28" s="15">
        <f t="shared" si="15"/>
        <v>155</v>
      </c>
      <c r="R28" s="5" t="s">
        <v>17</v>
      </c>
      <c r="S28" s="16">
        <f t="shared" ref="S28:AF28" si="22">SUM(S10:S21)</f>
        <v>2348</v>
      </c>
      <c r="T28" s="16">
        <f t="shared" si="22"/>
        <v>204</v>
      </c>
      <c r="U28" s="16">
        <f t="shared" si="22"/>
        <v>368</v>
      </c>
      <c r="V28" s="16">
        <f t="shared" si="22"/>
        <v>2213</v>
      </c>
      <c r="W28" s="16">
        <f t="shared" si="22"/>
        <v>45</v>
      </c>
      <c r="X28" s="16">
        <f t="shared" si="22"/>
        <v>11</v>
      </c>
      <c r="Y28" s="16">
        <f t="shared" si="22"/>
        <v>196</v>
      </c>
      <c r="Z28" s="16">
        <f t="shared" si="22"/>
        <v>225</v>
      </c>
      <c r="AA28" s="16">
        <f t="shared" si="22"/>
        <v>66</v>
      </c>
      <c r="AB28" s="16">
        <f t="shared" si="22"/>
        <v>74</v>
      </c>
      <c r="AC28" s="16">
        <f t="shared" si="22"/>
        <v>5492</v>
      </c>
      <c r="AD28" s="16">
        <f t="shared" si="22"/>
        <v>0</v>
      </c>
      <c r="AE28" s="32">
        <f t="shared" si="22"/>
        <v>5750</v>
      </c>
      <c r="AF28" s="32">
        <f t="shared" si="22"/>
        <v>11242</v>
      </c>
    </row>
    <row r="29" spans="2:32" ht="23.1" customHeight="1" x14ac:dyDescent="0.25">
      <c r="B29" s="23" t="s">
        <v>56</v>
      </c>
      <c r="C29" s="50">
        <v>30</v>
      </c>
      <c r="D29" s="50">
        <v>6</v>
      </c>
      <c r="E29" s="50">
        <v>12</v>
      </c>
      <c r="F29" s="50">
        <v>12</v>
      </c>
      <c r="G29" s="50">
        <v>0</v>
      </c>
      <c r="H29" s="50">
        <v>0</v>
      </c>
      <c r="I29" s="50">
        <v>1</v>
      </c>
      <c r="J29" s="50">
        <v>11</v>
      </c>
      <c r="K29" s="50">
        <v>1</v>
      </c>
      <c r="L29" s="50">
        <v>1</v>
      </c>
      <c r="M29" s="50">
        <v>72</v>
      </c>
      <c r="N29" s="50">
        <v>0</v>
      </c>
      <c r="O29" s="15">
        <f t="shared" si="14"/>
        <v>74</v>
      </c>
      <c r="P29" s="15">
        <f t="shared" si="15"/>
        <v>146</v>
      </c>
      <c r="R29"/>
      <c r="S29" s="20"/>
      <c r="T29" s="19"/>
    </row>
    <row r="30" spans="2:32" ht="23.1" customHeight="1" x14ac:dyDescent="0.25">
      <c r="B30" s="23" t="s">
        <v>57</v>
      </c>
      <c r="C30" s="50">
        <v>28</v>
      </c>
      <c r="D30" s="50">
        <v>6</v>
      </c>
      <c r="E30" s="50">
        <v>7</v>
      </c>
      <c r="F30" s="50">
        <v>28</v>
      </c>
      <c r="G30" s="50">
        <v>0</v>
      </c>
      <c r="H30" s="50">
        <v>0</v>
      </c>
      <c r="I30" s="50">
        <v>4</v>
      </c>
      <c r="J30" s="50">
        <v>6</v>
      </c>
      <c r="K30" s="50">
        <v>0</v>
      </c>
      <c r="L30" s="50">
        <v>3</v>
      </c>
      <c r="M30" s="50">
        <v>60</v>
      </c>
      <c r="N30" s="50">
        <v>0</v>
      </c>
      <c r="O30" s="15">
        <f t="shared" si="14"/>
        <v>82</v>
      </c>
      <c r="P30" s="15">
        <f t="shared" si="15"/>
        <v>142</v>
      </c>
    </row>
    <row r="31" spans="2:32" ht="23.1" customHeight="1" x14ac:dyDescent="0.25">
      <c r="B31" s="24" t="s">
        <v>58</v>
      </c>
      <c r="C31" s="50">
        <v>25</v>
      </c>
      <c r="D31" s="50">
        <v>7</v>
      </c>
      <c r="E31" s="50">
        <v>13</v>
      </c>
      <c r="F31" s="50">
        <v>31</v>
      </c>
      <c r="G31" s="50">
        <v>1</v>
      </c>
      <c r="H31" s="50">
        <v>0</v>
      </c>
      <c r="I31" s="50">
        <v>2</v>
      </c>
      <c r="J31" s="50">
        <v>3</v>
      </c>
      <c r="K31" s="50">
        <v>0</v>
      </c>
      <c r="L31" s="50">
        <v>2</v>
      </c>
      <c r="M31" s="50">
        <v>120</v>
      </c>
      <c r="N31" s="50">
        <v>0</v>
      </c>
      <c r="O31" s="15">
        <f t="shared" si="14"/>
        <v>84</v>
      </c>
      <c r="P31" s="15">
        <f t="shared" si="15"/>
        <v>204</v>
      </c>
    </row>
    <row r="32" spans="2:32" ht="23.1" customHeight="1" x14ac:dyDescent="0.25">
      <c r="B32" s="24" t="s">
        <v>59</v>
      </c>
      <c r="C32" s="50">
        <v>13</v>
      </c>
      <c r="D32" s="50">
        <v>2</v>
      </c>
      <c r="E32" s="50">
        <v>4</v>
      </c>
      <c r="F32" s="50">
        <v>7</v>
      </c>
      <c r="G32" s="50">
        <v>2</v>
      </c>
      <c r="H32" s="50">
        <v>2</v>
      </c>
      <c r="I32" s="50">
        <v>5</v>
      </c>
      <c r="J32" s="50">
        <v>4</v>
      </c>
      <c r="K32" s="50">
        <v>0</v>
      </c>
      <c r="L32" s="50">
        <v>1</v>
      </c>
      <c r="M32" s="50">
        <v>115</v>
      </c>
      <c r="N32" s="50">
        <v>0</v>
      </c>
      <c r="O32" s="15">
        <f t="shared" si="14"/>
        <v>40</v>
      </c>
      <c r="P32" s="15">
        <f t="shared" si="15"/>
        <v>155</v>
      </c>
    </row>
    <row r="33" spans="2:20" ht="23.1" customHeight="1" x14ac:dyDescent="0.25">
      <c r="B33" s="23" t="s">
        <v>60</v>
      </c>
      <c r="C33" s="50">
        <v>23</v>
      </c>
      <c r="D33" s="50">
        <v>4</v>
      </c>
      <c r="E33" s="50">
        <v>5</v>
      </c>
      <c r="F33" s="50">
        <v>25</v>
      </c>
      <c r="G33" s="50">
        <v>0</v>
      </c>
      <c r="H33" s="50">
        <v>0</v>
      </c>
      <c r="I33" s="50">
        <v>4</v>
      </c>
      <c r="J33" s="50">
        <v>5</v>
      </c>
      <c r="K33" s="50">
        <v>0</v>
      </c>
      <c r="L33" s="50">
        <v>4</v>
      </c>
      <c r="M33" s="50">
        <v>40</v>
      </c>
      <c r="N33" s="50">
        <v>0</v>
      </c>
      <c r="O33" s="15">
        <f t="shared" si="14"/>
        <v>70</v>
      </c>
      <c r="P33" s="15">
        <f t="shared" si="15"/>
        <v>110</v>
      </c>
    </row>
    <row r="34" spans="2:20" ht="23.1" customHeight="1" x14ac:dyDescent="0.25">
      <c r="B34" s="24" t="s">
        <v>61</v>
      </c>
      <c r="C34" s="50">
        <v>16</v>
      </c>
      <c r="D34" s="50">
        <v>4</v>
      </c>
      <c r="E34" s="50">
        <v>7</v>
      </c>
      <c r="F34" s="50">
        <v>21</v>
      </c>
      <c r="G34" s="50">
        <v>1</v>
      </c>
      <c r="H34" s="50">
        <v>2</v>
      </c>
      <c r="I34" s="50">
        <v>6</v>
      </c>
      <c r="J34" s="50">
        <v>5</v>
      </c>
      <c r="K34" s="50">
        <v>1</v>
      </c>
      <c r="L34" s="50">
        <v>0</v>
      </c>
      <c r="M34" s="50">
        <v>61</v>
      </c>
      <c r="N34" s="50">
        <v>0</v>
      </c>
      <c r="O34" s="15">
        <f t="shared" si="14"/>
        <v>63</v>
      </c>
      <c r="P34" s="15">
        <f t="shared" si="15"/>
        <v>124</v>
      </c>
    </row>
    <row r="35" spans="2:20" ht="23.1" customHeight="1" x14ac:dyDescent="0.25">
      <c r="B35" s="24" t="s">
        <v>62</v>
      </c>
      <c r="C35" s="50">
        <v>33</v>
      </c>
      <c r="D35" s="50">
        <v>4</v>
      </c>
      <c r="E35" s="50">
        <v>5</v>
      </c>
      <c r="F35" s="50">
        <v>14</v>
      </c>
      <c r="G35" s="50">
        <v>0</v>
      </c>
      <c r="H35" s="50">
        <v>0</v>
      </c>
      <c r="I35" s="50">
        <v>2</v>
      </c>
      <c r="J35" s="50">
        <v>3</v>
      </c>
      <c r="K35" s="50">
        <v>0</v>
      </c>
      <c r="L35" s="50">
        <v>1</v>
      </c>
      <c r="M35" s="50">
        <v>75</v>
      </c>
      <c r="N35" s="50">
        <v>0</v>
      </c>
      <c r="O35" s="15">
        <f t="shared" si="14"/>
        <v>62</v>
      </c>
      <c r="P35" s="15">
        <f t="shared" si="15"/>
        <v>137</v>
      </c>
    </row>
    <row r="36" spans="2:20" ht="23.1" customHeight="1" x14ac:dyDescent="0.25">
      <c r="B36" s="24" t="s">
        <v>63</v>
      </c>
      <c r="C36" s="50">
        <v>36</v>
      </c>
      <c r="D36" s="50">
        <v>3</v>
      </c>
      <c r="E36" s="50">
        <v>10</v>
      </c>
      <c r="F36" s="50">
        <v>52</v>
      </c>
      <c r="G36" s="50">
        <v>2</v>
      </c>
      <c r="H36" s="50">
        <v>0</v>
      </c>
      <c r="I36" s="50">
        <v>2</v>
      </c>
      <c r="J36" s="50">
        <v>5</v>
      </c>
      <c r="K36" s="50">
        <v>1</v>
      </c>
      <c r="L36" s="50">
        <v>0</v>
      </c>
      <c r="M36" s="50">
        <v>100</v>
      </c>
      <c r="N36" s="50">
        <v>0</v>
      </c>
      <c r="O36" s="15">
        <f t="shared" si="14"/>
        <v>111</v>
      </c>
      <c r="P36" s="15">
        <f t="shared" si="15"/>
        <v>211</v>
      </c>
    </row>
    <row r="37" spans="2:20" ht="23.1" customHeight="1" x14ac:dyDescent="0.25">
      <c r="B37" s="23" t="s">
        <v>64</v>
      </c>
      <c r="C37" s="50">
        <v>49</v>
      </c>
      <c r="D37" s="50">
        <v>5</v>
      </c>
      <c r="E37" s="50">
        <v>6</v>
      </c>
      <c r="F37" s="50">
        <v>85</v>
      </c>
      <c r="G37" s="50">
        <v>0</v>
      </c>
      <c r="H37" s="50">
        <v>0</v>
      </c>
      <c r="I37" s="50">
        <v>3</v>
      </c>
      <c r="J37" s="50">
        <v>1</v>
      </c>
      <c r="K37" s="50">
        <v>1</v>
      </c>
      <c r="L37" s="50">
        <v>1</v>
      </c>
      <c r="M37" s="50">
        <v>80</v>
      </c>
      <c r="N37" s="50">
        <v>0</v>
      </c>
      <c r="O37" s="15">
        <f t="shared" si="14"/>
        <v>151</v>
      </c>
      <c r="P37" s="15">
        <f t="shared" si="15"/>
        <v>231</v>
      </c>
    </row>
    <row r="38" spans="2:20" ht="23.1" customHeight="1" x14ac:dyDescent="0.25">
      <c r="B38" s="24" t="s">
        <v>65</v>
      </c>
      <c r="C38" s="50">
        <v>75</v>
      </c>
      <c r="D38" s="50">
        <v>5</v>
      </c>
      <c r="E38" s="50">
        <v>4</v>
      </c>
      <c r="F38" s="50">
        <v>77</v>
      </c>
      <c r="G38" s="50">
        <v>3</v>
      </c>
      <c r="H38" s="50">
        <v>1</v>
      </c>
      <c r="I38" s="50">
        <v>5</v>
      </c>
      <c r="J38" s="50">
        <v>5</v>
      </c>
      <c r="K38" s="50">
        <v>1</v>
      </c>
      <c r="L38" s="50">
        <v>5</v>
      </c>
      <c r="M38" s="50">
        <v>117</v>
      </c>
      <c r="N38" s="50">
        <v>0</v>
      </c>
      <c r="O38" s="15">
        <f t="shared" si="14"/>
        <v>181</v>
      </c>
      <c r="P38" s="15">
        <f t="shared" si="15"/>
        <v>298</v>
      </c>
    </row>
    <row r="39" spans="2:20" ht="23.1" customHeight="1" x14ac:dyDescent="0.25">
      <c r="B39" s="24" t="s">
        <v>66</v>
      </c>
      <c r="C39" s="50">
        <v>56</v>
      </c>
      <c r="D39" s="50">
        <v>3</v>
      </c>
      <c r="E39" s="50">
        <v>9</v>
      </c>
      <c r="F39" s="50">
        <v>64</v>
      </c>
      <c r="G39" s="50">
        <v>0</v>
      </c>
      <c r="H39" s="50">
        <v>0</v>
      </c>
      <c r="I39" s="50">
        <v>4</v>
      </c>
      <c r="J39" s="50">
        <v>3</v>
      </c>
      <c r="K39" s="50">
        <v>0</v>
      </c>
      <c r="L39" s="50">
        <v>3</v>
      </c>
      <c r="M39" s="50">
        <v>134</v>
      </c>
      <c r="N39" s="50">
        <v>0</v>
      </c>
      <c r="O39" s="15">
        <f t="shared" si="14"/>
        <v>142</v>
      </c>
      <c r="P39" s="15">
        <f t="shared" si="15"/>
        <v>276</v>
      </c>
    </row>
    <row r="40" spans="2:20" ht="23.1" customHeight="1" x14ac:dyDescent="0.25">
      <c r="B40" s="24" t="s">
        <v>67</v>
      </c>
      <c r="C40" s="50">
        <v>67</v>
      </c>
      <c r="D40" s="50">
        <v>2</v>
      </c>
      <c r="E40" s="50">
        <v>4</v>
      </c>
      <c r="F40" s="50">
        <v>106</v>
      </c>
      <c r="G40" s="50">
        <v>0</v>
      </c>
      <c r="H40" s="50">
        <v>0</v>
      </c>
      <c r="I40" s="50">
        <v>9</v>
      </c>
      <c r="J40" s="50">
        <v>6</v>
      </c>
      <c r="K40" s="50">
        <v>2</v>
      </c>
      <c r="L40" s="50">
        <v>2</v>
      </c>
      <c r="M40" s="50">
        <v>145</v>
      </c>
      <c r="N40" s="50">
        <v>0</v>
      </c>
      <c r="O40" s="15">
        <f t="shared" si="14"/>
        <v>198</v>
      </c>
      <c r="P40" s="15">
        <f t="shared" si="15"/>
        <v>343</v>
      </c>
    </row>
    <row r="41" spans="2:20" ht="23.1" customHeight="1" x14ac:dyDescent="0.25">
      <c r="B41" s="23" t="s">
        <v>68</v>
      </c>
      <c r="C41" s="50">
        <v>68</v>
      </c>
      <c r="D41" s="50">
        <v>5</v>
      </c>
      <c r="E41" s="50">
        <v>13</v>
      </c>
      <c r="F41" s="50">
        <v>112</v>
      </c>
      <c r="G41" s="50">
        <v>0</v>
      </c>
      <c r="H41" s="50">
        <v>0</v>
      </c>
      <c r="I41" s="50">
        <v>3</v>
      </c>
      <c r="J41" s="50">
        <v>2</v>
      </c>
      <c r="K41" s="50">
        <v>0</v>
      </c>
      <c r="L41" s="50">
        <v>1</v>
      </c>
      <c r="M41" s="50">
        <v>131</v>
      </c>
      <c r="N41" s="50">
        <v>0</v>
      </c>
      <c r="O41" s="15">
        <f t="shared" si="14"/>
        <v>204</v>
      </c>
      <c r="P41" s="15">
        <f t="shared" si="15"/>
        <v>335</v>
      </c>
    </row>
    <row r="42" spans="2:20" ht="23.1" customHeight="1" x14ac:dyDescent="0.25">
      <c r="B42" s="24" t="s">
        <v>69</v>
      </c>
      <c r="C42" s="50">
        <v>59</v>
      </c>
      <c r="D42" s="50">
        <v>4</v>
      </c>
      <c r="E42" s="50">
        <v>8</v>
      </c>
      <c r="F42" s="50">
        <v>112</v>
      </c>
      <c r="G42" s="50">
        <v>1</v>
      </c>
      <c r="H42" s="50">
        <v>0</v>
      </c>
      <c r="I42" s="50">
        <v>6</v>
      </c>
      <c r="J42" s="50">
        <v>5</v>
      </c>
      <c r="K42" s="50">
        <v>4</v>
      </c>
      <c r="L42" s="50">
        <v>0</v>
      </c>
      <c r="M42" s="50">
        <v>147</v>
      </c>
      <c r="N42" s="50">
        <v>0</v>
      </c>
      <c r="O42" s="15">
        <f t="shared" si="14"/>
        <v>199</v>
      </c>
      <c r="P42" s="15">
        <f t="shared" si="15"/>
        <v>346</v>
      </c>
    </row>
    <row r="43" spans="2:20" ht="23.1" customHeight="1" x14ac:dyDescent="0.25">
      <c r="B43" s="23" t="s">
        <v>70</v>
      </c>
      <c r="C43" s="50">
        <v>90</v>
      </c>
      <c r="D43" s="50">
        <v>6</v>
      </c>
      <c r="E43" s="50">
        <v>3</v>
      </c>
      <c r="F43" s="50">
        <v>131</v>
      </c>
      <c r="G43" s="50">
        <v>2</v>
      </c>
      <c r="H43" s="50">
        <v>0</v>
      </c>
      <c r="I43" s="50">
        <v>8</v>
      </c>
      <c r="J43" s="50">
        <v>3</v>
      </c>
      <c r="K43" s="50">
        <v>0</v>
      </c>
      <c r="L43" s="50">
        <v>2</v>
      </c>
      <c r="M43" s="50">
        <v>169</v>
      </c>
      <c r="N43" s="50">
        <v>0</v>
      </c>
      <c r="O43" s="15">
        <f t="shared" si="14"/>
        <v>245</v>
      </c>
      <c r="P43" s="15">
        <f t="shared" si="15"/>
        <v>414</v>
      </c>
    </row>
    <row r="44" spans="2:20" ht="23.1" customHeight="1" x14ac:dyDescent="0.25">
      <c r="B44" s="25" t="s">
        <v>71</v>
      </c>
      <c r="C44" s="50">
        <v>65</v>
      </c>
      <c r="D44" s="50">
        <v>4</v>
      </c>
      <c r="E44" s="50">
        <v>7</v>
      </c>
      <c r="F44" s="50">
        <v>66</v>
      </c>
      <c r="G44" s="50">
        <v>4</v>
      </c>
      <c r="H44" s="50">
        <v>1</v>
      </c>
      <c r="I44" s="50">
        <v>3</v>
      </c>
      <c r="J44" s="50">
        <v>7</v>
      </c>
      <c r="K44" s="50">
        <v>3</v>
      </c>
      <c r="L44" s="50">
        <v>2</v>
      </c>
      <c r="M44" s="50">
        <v>106</v>
      </c>
      <c r="N44" s="50">
        <v>0</v>
      </c>
      <c r="O44" s="15">
        <f t="shared" si="14"/>
        <v>162</v>
      </c>
      <c r="P44" s="15">
        <f t="shared" si="15"/>
        <v>268</v>
      </c>
    </row>
    <row r="45" spans="2:20" ht="23.1" customHeight="1" x14ac:dyDescent="0.25">
      <c r="B45" s="23" t="s">
        <v>72</v>
      </c>
      <c r="C45" s="50">
        <v>61</v>
      </c>
      <c r="D45" s="50">
        <v>4</v>
      </c>
      <c r="E45" s="50">
        <v>5</v>
      </c>
      <c r="F45" s="50">
        <v>36</v>
      </c>
      <c r="G45" s="50">
        <v>1</v>
      </c>
      <c r="H45" s="50">
        <v>2</v>
      </c>
      <c r="I45" s="50">
        <v>6</v>
      </c>
      <c r="J45" s="50">
        <v>1</v>
      </c>
      <c r="K45" s="50">
        <v>2</v>
      </c>
      <c r="L45" s="50">
        <v>0</v>
      </c>
      <c r="M45" s="50">
        <v>110</v>
      </c>
      <c r="N45" s="50">
        <v>0</v>
      </c>
      <c r="O45" s="15">
        <f t="shared" si="14"/>
        <v>118</v>
      </c>
      <c r="P45" s="15">
        <f t="shared" si="15"/>
        <v>228</v>
      </c>
    </row>
    <row r="46" spans="2:20" ht="23.1" customHeight="1" x14ac:dyDescent="0.25">
      <c r="B46" s="24" t="s">
        <v>73</v>
      </c>
      <c r="C46" s="50">
        <v>60</v>
      </c>
      <c r="D46" s="50">
        <v>4</v>
      </c>
      <c r="E46" s="50">
        <v>6</v>
      </c>
      <c r="F46" s="50">
        <v>85</v>
      </c>
      <c r="G46" s="50">
        <v>1</v>
      </c>
      <c r="H46" s="50">
        <v>0</v>
      </c>
      <c r="I46" s="50">
        <v>0</v>
      </c>
      <c r="J46" s="50">
        <v>5</v>
      </c>
      <c r="K46" s="50">
        <v>2</v>
      </c>
      <c r="L46" s="50">
        <v>2</v>
      </c>
      <c r="M46" s="50">
        <v>142</v>
      </c>
      <c r="N46" s="50">
        <v>0</v>
      </c>
      <c r="O46" s="15">
        <f t="shared" si="14"/>
        <v>165</v>
      </c>
      <c r="P46" s="15">
        <f t="shared" si="15"/>
        <v>307</v>
      </c>
    </row>
    <row r="47" spans="2:20" ht="23.1" customHeight="1" x14ac:dyDescent="0.25">
      <c r="B47" s="24" t="s">
        <v>74</v>
      </c>
      <c r="C47" s="50">
        <v>62</v>
      </c>
      <c r="D47" s="50">
        <v>2</v>
      </c>
      <c r="E47" s="50">
        <v>5</v>
      </c>
      <c r="F47" s="50">
        <v>78</v>
      </c>
      <c r="G47" s="50">
        <v>2</v>
      </c>
      <c r="H47" s="50">
        <v>1</v>
      </c>
      <c r="I47" s="50">
        <v>3</v>
      </c>
      <c r="J47" s="50">
        <v>2</v>
      </c>
      <c r="K47" s="50">
        <v>1</v>
      </c>
      <c r="L47" s="50">
        <v>3</v>
      </c>
      <c r="M47" s="50">
        <v>106</v>
      </c>
      <c r="N47" s="50">
        <v>0</v>
      </c>
      <c r="O47" s="15">
        <f t="shared" si="14"/>
        <v>159</v>
      </c>
      <c r="P47" s="15">
        <f t="shared" si="15"/>
        <v>265</v>
      </c>
      <c r="R47" s="8"/>
      <c r="T47"/>
    </row>
    <row r="48" spans="2:20" ht="23.1" customHeight="1" x14ac:dyDescent="0.25">
      <c r="B48" s="24" t="s">
        <v>75</v>
      </c>
      <c r="C48" s="50">
        <v>66</v>
      </c>
      <c r="D48" s="50">
        <v>2</v>
      </c>
      <c r="E48" s="50">
        <v>1</v>
      </c>
      <c r="F48" s="50">
        <v>88</v>
      </c>
      <c r="G48" s="50">
        <v>0</v>
      </c>
      <c r="H48" s="50">
        <v>0</v>
      </c>
      <c r="I48" s="50">
        <v>2</v>
      </c>
      <c r="J48" s="50">
        <v>1</v>
      </c>
      <c r="K48" s="50">
        <v>4</v>
      </c>
      <c r="L48" s="50">
        <v>1</v>
      </c>
      <c r="M48" s="50">
        <v>100</v>
      </c>
      <c r="N48" s="50">
        <v>0</v>
      </c>
      <c r="O48" s="15">
        <f t="shared" si="14"/>
        <v>165</v>
      </c>
      <c r="P48" s="15">
        <f t="shared" si="15"/>
        <v>265</v>
      </c>
      <c r="R48" s="8"/>
      <c r="T48"/>
    </row>
    <row r="49" spans="2:20" ht="23.1" customHeight="1" x14ac:dyDescent="0.25">
      <c r="B49" s="23" t="s">
        <v>76</v>
      </c>
      <c r="C49" s="50">
        <v>70</v>
      </c>
      <c r="D49" s="50">
        <v>6</v>
      </c>
      <c r="E49" s="50">
        <v>3</v>
      </c>
      <c r="F49" s="50">
        <v>100</v>
      </c>
      <c r="G49" s="50">
        <v>2</v>
      </c>
      <c r="H49" s="50">
        <v>1</v>
      </c>
      <c r="I49" s="50">
        <v>0</v>
      </c>
      <c r="J49" s="50">
        <v>2</v>
      </c>
      <c r="K49" s="50">
        <v>1</v>
      </c>
      <c r="L49" s="50">
        <v>2</v>
      </c>
      <c r="M49" s="50">
        <v>95</v>
      </c>
      <c r="N49" s="50">
        <v>0</v>
      </c>
      <c r="O49" s="15">
        <f t="shared" si="14"/>
        <v>187</v>
      </c>
      <c r="P49" s="15">
        <f t="shared" si="15"/>
        <v>282</v>
      </c>
      <c r="R49" s="8"/>
      <c r="T49"/>
    </row>
    <row r="50" spans="2:20" ht="23.1" customHeight="1" x14ac:dyDescent="0.25">
      <c r="B50" s="24" t="s">
        <v>77</v>
      </c>
      <c r="C50" s="50">
        <v>71</v>
      </c>
      <c r="D50" s="50">
        <v>2</v>
      </c>
      <c r="E50" s="50">
        <v>6</v>
      </c>
      <c r="F50" s="50">
        <v>112</v>
      </c>
      <c r="G50" s="50">
        <v>3</v>
      </c>
      <c r="H50" s="50">
        <v>1</v>
      </c>
      <c r="I50" s="50">
        <v>3</v>
      </c>
      <c r="J50" s="50">
        <v>2</v>
      </c>
      <c r="K50" s="50">
        <v>1</v>
      </c>
      <c r="L50" s="50">
        <v>1</v>
      </c>
      <c r="M50" s="50">
        <v>115</v>
      </c>
      <c r="N50" s="50">
        <v>0</v>
      </c>
      <c r="O50" s="15">
        <f t="shared" si="14"/>
        <v>202</v>
      </c>
      <c r="P50" s="15">
        <f t="shared" si="15"/>
        <v>317</v>
      </c>
      <c r="R50" s="8"/>
      <c r="T50"/>
    </row>
    <row r="51" spans="2:20" ht="23.1" customHeight="1" x14ac:dyDescent="0.25">
      <c r="B51" s="24" t="s">
        <v>78</v>
      </c>
      <c r="C51" s="50">
        <v>73</v>
      </c>
      <c r="D51" s="50">
        <v>3</v>
      </c>
      <c r="E51" s="50">
        <v>3</v>
      </c>
      <c r="F51" s="50">
        <v>99</v>
      </c>
      <c r="G51" s="50">
        <v>2</v>
      </c>
      <c r="H51" s="50">
        <v>1</v>
      </c>
      <c r="I51" s="50">
        <v>5</v>
      </c>
      <c r="J51" s="50">
        <v>4</v>
      </c>
      <c r="K51" s="50">
        <v>4</v>
      </c>
      <c r="L51" s="50">
        <v>2</v>
      </c>
      <c r="M51" s="50">
        <v>110</v>
      </c>
      <c r="N51" s="50">
        <v>0</v>
      </c>
      <c r="O51" s="15">
        <f t="shared" si="14"/>
        <v>196</v>
      </c>
      <c r="P51" s="15">
        <f t="shared" si="15"/>
        <v>306</v>
      </c>
      <c r="R51" s="8"/>
      <c r="T51"/>
    </row>
    <row r="52" spans="2:20" ht="23.1" customHeight="1" x14ac:dyDescent="0.25">
      <c r="B52" s="24" t="s">
        <v>79</v>
      </c>
      <c r="C52" s="50">
        <v>80</v>
      </c>
      <c r="D52" s="50">
        <v>2</v>
      </c>
      <c r="E52" s="50">
        <v>4</v>
      </c>
      <c r="F52" s="50">
        <v>92</v>
      </c>
      <c r="G52" s="50">
        <v>2</v>
      </c>
      <c r="H52" s="50">
        <v>0</v>
      </c>
      <c r="I52" s="50">
        <v>1</v>
      </c>
      <c r="J52" s="50">
        <v>2</v>
      </c>
      <c r="K52" s="50">
        <v>0</v>
      </c>
      <c r="L52" s="50">
        <v>0</v>
      </c>
      <c r="M52" s="50">
        <v>100</v>
      </c>
      <c r="N52" s="50">
        <v>0</v>
      </c>
      <c r="O52" s="15">
        <f t="shared" si="14"/>
        <v>183</v>
      </c>
      <c r="P52" s="15">
        <f t="shared" si="15"/>
        <v>283</v>
      </c>
      <c r="R52" s="8"/>
      <c r="T52"/>
    </row>
    <row r="53" spans="2:20" ht="23.1" customHeight="1" x14ac:dyDescent="0.25">
      <c r="B53" s="23" t="s">
        <v>80</v>
      </c>
      <c r="C53" s="50">
        <v>85</v>
      </c>
      <c r="D53" s="50">
        <v>6</v>
      </c>
      <c r="E53" s="50">
        <v>0</v>
      </c>
      <c r="F53" s="50">
        <v>99</v>
      </c>
      <c r="G53" s="50">
        <v>1</v>
      </c>
      <c r="H53" s="50">
        <v>2</v>
      </c>
      <c r="I53" s="50">
        <v>3</v>
      </c>
      <c r="J53" s="50">
        <v>5</v>
      </c>
      <c r="K53" s="50">
        <v>2</v>
      </c>
      <c r="L53" s="50">
        <v>1</v>
      </c>
      <c r="M53" s="50">
        <v>103</v>
      </c>
      <c r="N53" s="50">
        <v>0</v>
      </c>
      <c r="O53" s="15">
        <f t="shared" si="14"/>
        <v>204</v>
      </c>
      <c r="P53" s="15">
        <f t="shared" si="15"/>
        <v>307</v>
      </c>
      <c r="R53" s="8"/>
      <c r="T53"/>
    </row>
    <row r="54" spans="2:20" ht="23.1" customHeight="1" x14ac:dyDescent="0.25">
      <c r="B54" s="23" t="s">
        <v>81</v>
      </c>
      <c r="C54" s="50">
        <v>70</v>
      </c>
      <c r="D54" s="50">
        <v>2</v>
      </c>
      <c r="E54" s="50">
        <v>4</v>
      </c>
      <c r="F54" s="50">
        <v>90</v>
      </c>
      <c r="G54" s="50">
        <v>3</v>
      </c>
      <c r="H54" s="50">
        <v>1</v>
      </c>
      <c r="I54" s="50">
        <v>6</v>
      </c>
      <c r="J54" s="50">
        <v>5</v>
      </c>
      <c r="K54" s="50">
        <v>2</v>
      </c>
      <c r="L54" s="50">
        <v>1</v>
      </c>
      <c r="M54" s="50">
        <v>120</v>
      </c>
      <c r="N54" s="50">
        <v>0</v>
      </c>
      <c r="O54" s="15">
        <f t="shared" ref="O54:O57" si="23">SUM(C54:L54,N54)</f>
        <v>184</v>
      </c>
      <c r="P54" s="15">
        <f t="shared" ref="P54:P57" si="24">SUM(C54:N54)</f>
        <v>304</v>
      </c>
      <c r="R54" s="8"/>
      <c r="T54"/>
    </row>
    <row r="55" spans="2:20" ht="23.1" customHeight="1" x14ac:dyDescent="0.25">
      <c r="B55" s="23" t="s">
        <v>82</v>
      </c>
      <c r="C55" s="50">
        <v>75</v>
      </c>
      <c r="D55" s="50">
        <v>2</v>
      </c>
      <c r="E55" s="50">
        <v>4</v>
      </c>
      <c r="F55" s="50">
        <v>81</v>
      </c>
      <c r="G55" s="50">
        <v>2</v>
      </c>
      <c r="H55" s="50">
        <v>1</v>
      </c>
      <c r="I55" s="50">
        <v>3</v>
      </c>
      <c r="J55" s="50">
        <v>2</v>
      </c>
      <c r="K55" s="50">
        <v>1</v>
      </c>
      <c r="L55" s="50">
        <v>2</v>
      </c>
      <c r="M55" s="50">
        <v>140</v>
      </c>
      <c r="N55" s="50">
        <v>0</v>
      </c>
      <c r="O55" s="15">
        <f t="shared" si="23"/>
        <v>173</v>
      </c>
      <c r="P55" s="15">
        <f t="shared" si="24"/>
        <v>313</v>
      </c>
      <c r="R55" s="8"/>
      <c r="T55"/>
    </row>
    <row r="56" spans="2:20" ht="23.1" customHeight="1" x14ac:dyDescent="0.25">
      <c r="B56" s="23" t="s">
        <v>83</v>
      </c>
      <c r="C56" s="50">
        <v>59</v>
      </c>
      <c r="D56" s="50">
        <v>6</v>
      </c>
      <c r="E56" s="50">
        <v>2</v>
      </c>
      <c r="F56" s="50">
        <v>71</v>
      </c>
      <c r="G56" s="50">
        <v>0</v>
      </c>
      <c r="H56" s="50">
        <v>0</v>
      </c>
      <c r="I56" s="50">
        <v>1</v>
      </c>
      <c r="J56" s="50">
        <v>5</v>
      </c>
      <c r="K56" s="50">
        <v>0</v>
      </c>
      <c r="L56" s="50">
        <v>2</v>
      </c>
      <c r="M56" s="50">
        <v>130</v>
      </c>
      <c r="N56" s="50">
        <v>0</v>
      </c>
      <c r="O56" s="15">
        <f t="shared" si="23"/>
        <v>146</v>
      </c>
      <c r="P56" s="15">
        <f t="shared" si="24"/>
        <v>276</v>
      </c>
      <c r="R56" s="8"/>
      <c r="T56"/>
    </row>
    <row r="57" spans="2:20" ht="23.1" customHeight="1" x14ac:dyDescent="0.25">
      <c r="B57" s="23" t="s">
        <v>84</v>
      </c>
      <c r="C57" s="50">
        <v>79</v>
      </c>
      <c r="D57" s="50">
        <v>3</v>
      </c>
      <c r="E57" s="50">
        <v>1</v>
      </c>
      <c r="F57" s="50">
        <v>70</v>
      </c>
      <c r="G57" s="50">
        <v>1</v>
      </c>
      <c r="H57" s="50">
        <v>2</v>
      </c>
      <c r="I57" s="55">
        <v>2</v>
      </c>
      <c r="J57" s="50">
        <v>1</v>
      </c>
      <c r="K57" s="50">
        <v>1</v>
      </c>
      <c r="L57" s="50">
        <v>1</v>
      </c>
      <c r="M57" s="50">
        <v>90</v>
      </c>
      <c r="N57" s="50">
        <v>0</v>
      </c>
      <c r="O57" s="15">
        <f t="shared" si="23"/>
        <v>161</v>
      </c>
      <c r="P57" s="15">
        <f t="shared" si="24"/>
        <v>251</v>
      </c>
      <c r="R57" s="8"/>
      <c r="T57"/>
    </row>
    <row r="58" spans="2:20" ht="23.1" customHeight="1" x14ac:dyDescent="0.25">
      <c r="B58" s="26" t="s">
        <v>18</v>
      </c>
      <c r="C58" s="16">
        <f t="shared" ref="C58:M58" si="25">SUM(C10:C55)</f>
        <v>2378</v>
      </c>
      <c r="D58" s="16">
        <f t="shared" si="25"/>
        <v>187</v>
      </c>
      <c r="E58" s="16">
        <f t="shared" si="25"/>
        <v>303</v>
      </c>
      <c r="F58" s="16">
        <f t="shared" si="25"/>
        <v>2524</v>
      </c>
      <c r="G58" s="16">
        <f t="shared" si="25"/>
        <v>52</v>
      </c>
      <c r="H58" s="16">
        <f t="shared" si="25"/>
        <v>17</v>
      </c>
      <c r="I58" s="16">
        <f t="shared" si="25"/>
        <v>177</v>
      </c>
      <c r="J58" s="16">
        <f t="shared" si="25"/>
        <v>198</v>
      </c>
      <c r="K58" s="16">
        <f t="shared" si="25"/>
        <v>56</v>
      </c>
      <c r="L58" s="16">
        <f t="shared" si="25"/>
        <v>68</v>
      </c>
      <c r="M58" s="16">
        <f t="shared" si="25"/>
        <v>5189</v>
      </c>
      <c r="N58" s="16">
        <f>SUM(N10:N54)</f>
        <v>0</v>
      </c>
      <c r="O58" s="16">
        <f>SUM(O10:O54)</f>
        <v>5787</v>
      </c>
      <c r="P58" s="16">
        <f>SUM(P10:P54)</f>
        <v>10836</v>
      </c>
      <c r="R58" s="8"/>
      <c r="T58"/>
    </row>
    <row r="59" spans="2:20" ht="23.1" customHeight="1" x14ac:dyDescent="0.25">
      <c r="B59" s="26" t="s">
        <v>93</v>
      </c>
      <c r="C59" s="43">
        <f t="shared" ref="C59:N59" si="26">C58/$P$58</f>
        <v>0.21945367294204504</v>
      </c>
      <c r="D59" s="43">
        <f t="shared" si="26"/>
        <v>1.7257290513104467E-2</v>
      </c>
      <c r="E59" s="43">
        <f t="shared" si="26"/>
        <v>2.7962347729789592E-2</v>
      </c>
      <c r="F59" s="43">
        <f t="shared" si="26"/>
        <v>0.23292727943890734</v>
      </c>
      <c r="G59" s="43">
        <f t="shared" si="26"/>
        <v>4.7988187523071244E-3</v>
      </c>
      <c r="H59" s="43">
        <f t="shared" si="26"/>
        <v>1.568844592100406E-3</v>
      </c>
      <c r="I59" s="43">
        <f t="shared" si="26"/>
        <v>1.6334440753045402E-2</v>
      </c>
      <c r="J59" s="43">
        <f t="shared" si="26"/>
        <v>1.8272425249169437E-2</v>
      </c>
      <c r="K59" s="43">
        <f t="shared" si="26"/>
        <v>5.1679586563307496E-3</v>
      </c>
      <c r="L59" s="43">
        <f t="shared" si="26"/>
        <v>6.2753783684016242E-3</v>
      </c>
      <c r="M59" s="43">
        <f t="shared" si="26"/>
        <v>0.47886674049464745</v>
      </c>
      <c r="N59" s="43">
        <f t="shared" si="26"/>
        <v>0</v>
      </c>
      <c r="R59" s="8"/>
      <c r="T59"/>
    </row>
    <row r="60" spans="2:20" ht="23.1" customHeight="1" x14ac:dyDescent="0.25">
      <c r="B60" s="42" t="s">
        <v>94</v>
      </c>
      <c r="C60" s="44">
        <f t="shared" ref="C60:L60" si="27">C58/$O$58</f>
        <v>0.41092102989459134</v>
      </c>
      <c r="D60" s="44">
        <f t="shared" si="27"/>
        <v>3.2313806808363571E-2</v>
      </c>
      <c r="E60" s="44">
        <f t="shared" si="27"/>
        <v>5.2358735095904614E-2</v>
      </c>
      <c r="F60" s="44">
        <f t="shared" si="27"/>
        <v>0.4361499913599447</v>
      </c>
      <c r="G60" s="44">
        <f t="shared" si="27"/>
        <v>8.9856575082080531E-3</v>
      </c>
      <c r="H60" s="44">
        <f t="shared" si="27"/>
        <v>2.9376188007603247E-3</v>
      </c>
      <c r="I60" s="44">
        <f t="shared" si="27"/>
        <v>3.0585795749092794E-2</v>
      </c>
      <c r="J60" s="44">
        <f t="shared" si="27"/>
        <v>3.4214618973561428E-2</v>
      </c>
      <c r="K60" s="44">
        <f t="shared" si="27"/>
        <v>9.6768619319163637E-3</v>
      </c>
      <c r="L60" s="44">
        <f t="shared" si="27"/>
        <v>1.1750475203041299E-2</v>
      </c>
      <c r="M60" s="44"/>
      <c r="N60" s="44">
        <f>N58/$O$58</f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'22.07 Busega-Bulenga'!C3:G3</f>
        <v>MCC - C1 - STN12-MITYANA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68" t="str">
        <f>'22.07 Busega-Bulenga'!G5:H5</f>
        <v xml:space="preserve">Petro Max </v>
      </c>
      <c r="H5" s="69"/>
      <c r="I5" s="14"/>
      <c r="J5" s="2" t="s">
        <v>5</v>
      </c>
      <c r="K5" s="68" t="str">
        <f>'22.07 Busega-Bulenga'!K5:L5</f>
        <v xml:space="preserve">Nabayunga Rashida 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'22.07 Busega-Bulenga'!D6:E6</f>
        <v>Busega</v>
      </c>
      <c r="E6" s="69"/>
      <c r="F6" s="2" t="s">
        <v>2</v>
      </c>
      <c r="G6" s="68" t="str">
        <f>'22.07 Busega-Bulenga'!G6:H6</f>
        <v xml:space="preserve">Bulenga </v>
      </c>
      <c r="H6" s="69"/>
      <c r="J6" s="2" t="s">
        <v>21</v>
      </c>
      <c r="K6" s="68" t="str">
        <f>'22.07 Busega-Bulenga'!K6:L6</f>
        <v>Andrew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30</v>
      </c>
      <c r="D10" s="50">
        <v>11</v>
      </c>
      <c r="E10" s="50">
        <v>9</v>
      </c>
      <c r="F10" s="50">
        <v>26</v>
      </c>
      <c r="G10" s="50">
        <v>1</v>
      </c>
      <c r="H10" s="50">
        <v>0</v>
      </c>
      <c r="I10" s="50">
        <v>13</v>
      </c>
      <c r="J10" s="50">
        <v>6</v>
      </c>
      <c r="K10" s="50">
        <v>1</v>
      </c>
      <c r="L10" s="50">
        <v>1</v>
      </c>
      <c r="M10" s="50">
        <v>170</v>
      </c>
      <c r="N10" s="50">
        <v>0</v>
      </c>
      <c r="O10" s="15">
        <f t="shared" ref="O10:O57" si="0">SUM(C10:L10,N10)</f>
        <v>98</v>
      </c>
      <c r="P10" s="15">
        <f t="shared" ref="P10:P57" si="1">SUM(C10:N10)</f>
        <v>268</v>
      </c>
      <c r="R10" s="1" t="s">
        <v>6</v>
      </c>
      <c r="S10" s="17">
        <f t="shared" ref="S10:AF10" si="2">SUM(C10:C13)</f>
        <v>150</v>
      </c>
      <c r="T10" s="17">
        <f t="shared" si="2"/>
        <v>29</v>
      </c>
      <c r="U10" s="17">
        <f t="shared" si="2"/>
        <v>24</v>
      </c>
      <c r="V10" s="17">
        <f t="shared" si="2"/>
        <v>101</v>
      </c>
      <c r="W10" s="17">
        <f t="shared" si="2"/>
        <v>3</v>
      </c>
      <c r="X10" s="17">
        <f t="shared" si="2"/>
        <v>0</v>
      </c>
      <c r="Y10" s="17">
        <f t="shared" si="2"/>
        <v>24</v>
      </c>
      <c r="Z10" s="17">
        <f t="shared" si="2"/>
        <v>18</v>
      </c>
      <c r="AA10" s="17">
        <f t="shared" si="2"/>
        <v>2</v>
      </c>
      <c r="AB10" s="17">
        <f t="shared" si="2"/>
        <v>4</v>
      </c>
      <c r="AC10" s="17">
        <f t="shared" si="2"/>
        <v>767</v>
      </c>
      <c r="AD10" s="17">
        <f t="shared" si="2"/>
        <v>0</v>
      </c>
      <c r="AE10" s="31">
        <f t="shared" si="2"/>
        <v>355</v>
      </c>
      <c r="AF10" s="31">
        <f t="shared" si="2"/>
        <v>1122</v>
      </c>
    </row>
    <row r="11" spans="2:32" s="6" customFormat="1" ht="23.1" customHeight="1" x14ac:dyDescent="0.25">
      <c r="B11" s="23" t="s">
        <v>38</v>
      </c>
      <c r="C11" s="50">
        <v>45</v>
      </c>
      <c r="D11" s="50">
        <v>5</v>
      </c>
      <c r="E11" s="50">
        <v>5</v>
      </c>
      <c r="F11" s="50">
        <v>23</v>
      </c>
      <c r="G11" s="50">
        <v>1</v>
      </c>
      <c r="H11" s="50">
        <v>0</v>
      </c>
      <c r="I11" s="50">
        <v>3</v>
      </c>
      <c r="J11" s="50">
        <v>5</v>
      </c>
      <c r="K11" s="50">
        <v>0</v>
      </c>
      <c r="L11" s="50">
        <v>2</v>
      </c>
      <c r="M11" s="50">
        <v>165</v>
      </c>
      <c r="N11" s="50">
        <v>0</v>
      </c>
      <c r="O11" s="15">
        <f t="shared" si="0"/>
        <v>89</v>
      </c>
      <c r="P11" s="15">
        <f t="shared" si="1"/>
        <v>254</v>
      </c>
      <c r="R11" s="1" t="s">
        <v>7</v>
      </c>
      <c r="S11" s="17">
        <f t="shared" ref="S11:AF11" si="3">SUM(C14:C17)</f>
        <v>188</v>
      </c>
      <c r="T11" s="17">
        <f t="shared" si="3"/>
        <v>32</v>
      </c>
      <c r="U11" s="17">
        <f t="shared" si="3"/>
        <v>22</v>
      </c>
      <c r="V11" s="17">
        <f t="shared" si="3"/>
        <v>179</v>
      </c>
      <c r="W11" s="17">
        <f t="shared" si="3"/>
        <v>3</v>
      </c>
      <c r="X11" s="17">
        <f t="shared" si="3"/>
        <v>1</v>
      </c>
      <c r="Y11" s="17">
        <f t="shared" si="3"/>
        <v>24</v>
      </c>
      <c r="Z11" s="17">
        <f t="shared" si="3"/>
        <v>28</v>
      </c>
      <c r="AA11" s="17">
        <f t="shared" si="3"/>
        <v>4</v>
      </c>
      <c r="AB11" s="17">
        <f t="shared" si="3"/>
        <v>8</v>
      </c>
      <c r="AC11" s="17">
        <f t="shared" si="3"/>
        <v>934</v>
      </c>
      <c r="AD11" s="17">
        <f t="shared" si="3"/>
        <v>0</v>
      </c>
      <c r="AE11" s="31">
        <f t="shared" si="3"/>
        <v>489</v>
      </c>
      <c r="AF11" s="31">
        <f t="shared" si="3"/>
        <v>1423</v>
      </c>
    </row>
    <row r="12" spans="2:32" ht="23.1" customHeight="1" x14ac:dyDescent="0.25">
      <c r="B12" s="23" t="s">
        <v>39</v>
      </c>
      <c r="C12" s="50">
        <v>29</v>
      </c>
      <c r="D12" s="50">
        <v>4</v>
      </c>
      <c r="E12" s="50">
        <v>6</v>
      </c>
      <c r="F12" s="50">
        <v>24</v>
      </c>
      <c r="G12" s="50">
        <v>1</v>
      </c>
      <c r="H12" s="50">
        <v>0</v>
      </c>
      <c r="I12" s="50">
        <v>4</v>
      </c>
      <c r="J12" s="50">
        <v>3</v>
      </c>
      <c r="K12" s="50">
        <v>0</v>
      </c>
      <c r="L12" s="50">
        <v>0</v>
      </c>
      <c r="M12" s="50">
        <v>210</v>
      </c>
      <c r="N12" s="50">
        <v>0</v>
      </c>
      <c r="O12" s="15">
        <f t="shared" si="0"/>
        <v>71</v>
      </c>
      <c r="P12" s="15">
        <f t="shared" si="1"/>
        <v>281</v>
      </c>
      <c r="R12" s="1" t="s">
        <v>8</v>
      </c>
      <c r="S12" s="17">
        <f t="shared" ref="S12:AF12" si="4">SUM(C18:C21)</f>
        <v>152</v>
      </c>
      <c r="T12" s="17">
        <f t="shared" si="4"/>
        <v>14</v>
      </c>
      <c r="U12" s="17">
        <f t="shared" si="4"/>
        <v>14</v>
      </c>
      <c r="V12" s="17">
        <f t="shared" si="4"/>
        <v>100</v>
      </c>
      <c r="W12" s="17">
        <f t="shared" si="4"/>
        <v>5</v>
      </c>
      <c r="X12" s="17">
        <f t="shared" si="4"/>
        <v>3</v>
      </c>
      <c r="Y12" s="17">
        <f t="shared" si="4"/>
        <v>35</v>
      </c>
      <c r="Z12" s="17">
        <f t="shared" si="4"/>
        <v>20</v>
      </c>
      <c r="AA12" s="17">
        <f t="shared" si="4"/>
        <v>6</v>
      </c>
      <c r="AB12" s="17">
        <f t="shared" si="4"/>
        <v>2</v>
      </c>
      <c r="AC12" s="17">
        <f t="shared" si="4"/>
        <v>945</v>
      </c>
      <c r="AD12" s="17">
        <f t="shared" si="4"/>
        <v>0</v>
      </c>
      <c r="AE12" s="31">
        <f t="shared" si="4"/>
        <v>351</v>
      </c>
      <c r="AF12" s="31">
        <f t="shared" si="4"/>
        <v>1296</v>
      </c>
    </row>
    <row r="13" spans="2:32" ht="23.1" customHeight="1" x14ac:dyDescent="0.25">
      <c r="B13" s="23" t="s">
        <v>40</v>
      </c>
      <c r="C13" s="50">
        <v>46</v>
      </c>
      <c r="D13" s="50">
        <v>9</v>
      </c>
      <c r="E13" s="50">
        <v>4</v>
      </c>
      <c r="F13" s="50">
        <v>28</v>
      </c>
      <c r="G13" s="50">
        <v>0</v>
      </c>
      <c r="H13" s="50">
        <v>0</v>
      </c>
      <c r="I13" s="50">
        <v>4</v>
      </c>
      <c r="J13" s="50">
        <v>4</v>
      </c>
      <c r="K13" s="50">
        <v>1</v>
      </c>
      <c r="L13" s="50">
        <v>1</v>
      </c>
      <c r="M13" s="50">
        <v>222</v>
      </c>
      <c r="N13" s="50">
        <v>0</v>
      </c>
      <c r="O13" s="15">
        <f t="shared" si="0"/>
        <v>97</v>
      </c>
      <c r="P13" s="15">
        <f t="shared" si="1"/>
        <v>319</v>
      </c>
      <c r="R13" s="1" t="s">
        <v>9</v>
      </c>
      <c r="S13" s="17">
        <f t="shared" ref="S13:AF13" si="5">SUM(C22:C25)</f>
        <v>133</v>
      </c>
      <c r="T13" s="17">
        <f t="shared" si="5"/>
        <v>23</v>
      </c>
      <c r="U13" s="17">
        <f t="shared" si="5"/>
        <v>19</v>
      </c>
      <c r="V13" s="17">
        <f t="shared" si="5"/>
        <v>97</v>
      </c>
      <c r="W13" s="17">
        <f t="shared" si="5"/>
        <v>4</v>
      </c>
      <c r="X13" s="17">
        <f t="shared" si="5"/>
        <v>2</v>
      </c>
      <c r="Y13" s="17">
        <f t="shared" si="5"/>
        <v>47</v>
      </c>
      <c r="Z13" s="17">
        <f t="shared" si="5"/>
        <v>23</v>
      </c>
      <c r="AA13" s="17">
        <f t="shared" si="5"/>
        <v>6</v>
      </c>
      <c r="AB13" s="17">
        <f t="shared" si="5"/>
        <v>3</v>
      </c>
      <c r="AC13" s="17">
        <f t="shared" si="5"/>
        <v>950</v>
      </c>
      <c r="AD13" s="17">
        <f t="shared" si="5"/>
        <v>0</v>
      </c>
      <c r="AE13" s="31">
        <f t="shared" si="5"/>
        <v>357</v>
      </c>
      <c r="AF13" s="31">
        <f t="shared" si="5"/>
        <v>1307</v>
      </c>
    </row>
    <row r="14" spans="2:32" ht="23.1" customHeight="1" x14ac:dyDescent="0.25">
      <c r="B14" s="23" t="s">
        <v>41</v>
      </c>
      <c r="C14" s="50">
        <v>47</v>
      </c>
      <c r="D14" s="50">
        <v>7</v>
      </c>
      <c r="E14" s="50">
        <v>9</v>
      </c>
      <c r="F14" s="50">
        <v>42</v>
      </c>
      <c r="G14" s="50">
        <v>3</v>
      </c>
      <c r="H14" s="50">
        <v>1</v>
      </c>
      <c r="I14" s="50">
        <v>10</v>
      </c>
      <c r="J14" s="50">
        <v>9</v>
      </c>
      <c r="K14" s="50">
        <v>0</v>
      </c>
      <c r="L14" s="50">
        <v>0</v>
      </c>
      <c r="M14" s="50">
        <v>214</v>
      </c>
      <c r="N14" s="50">
        <v>0</v>
      </c>
      <c r="O14" s="15">
        <f t="shared" si="0"/>
        <v>128</v>
      </c>
      <c r="P14" s="15">
        <f t="shared" si="1"/>
        <v>342</v>
      </c>
      <c r="R14" s="1" t="s">
        <v>10</v>
      </c>
      <c r="S14" s="17">
        <f t="shared" ref="S14:AF14" si="6">SUM(C26:C29)</f>
        <v>176</v>
      </c>
      <c r="T14" s="17">
        <f t="shared" si="6"/>
        <v>22</v>
      </c>
      <c r="U14" s="17">
        <f t="shared" si="6"/>
        <v>22</v>
      </c>
      <c r="V14" s="17">
        <f t="shared" si="6"/>
        <v>138</v>
      </c>
      <c r="W14" s="17">
        <f t="shared" si="6"/>
        <v>5</v>
      </c>
      <c r="X14" s="17">
        <f t="shared" si="6"/>
        <v>2</v>
      </c>
      <c r="Y14" s="17">
        <f t="shared" si="6"/>
        <v>43</v>
      </c>
      <c r="Z14" s="17">
        <f t="shared" si="6"/>
        <v>32</v>
      </c>
      <c r="AA14" s="17">
        <f t="shared" si="6"/>
        <v>9</v>
      </c>
      <c r="AB14" s="17">
        <f t="shared" si="6"/>
        <v>8</v>
      </c>
      <c r="AC14" s="17">
        <f t="shared" si="6"/>
        <v>685</v>
      </c>
      <c r="AD14" s="17">
        <f t="shared" si="6"/>
        <v>0</v>
      </c>
      <c r="AE14" s="31">
        <f t="shared" si="6"/>
        <v>457</v>
      </c>
      <c r="AF14" s="31">
        <f t="shared" si="6"/>
        <v>1142</v>
      </c>
    </row>
    <row r="15" spans="2:32" ht="23.1" customHeight="1" x14ac:dyDescent="0.25">
      <c r="B15" s="23" t="s">
        <v>42</v>
      </c>
      <c r="C15" s="50">
        <v>48</v>
      </c>
      <c r="D15" s="50">
        <v>6</v>
      </c>
      <c r="E15" s="50">
        <v>8</v>
      </c>
      <c r="F15" s="50">
        <v>40</v>
      </c>
      <c r="G15" s="50">
        <v>0</v>
      </c>
      <c r="H15" s="50">
        <v>0</v>
      </c>
      <c r="I15" s="50">
        <v>3</v>
      </c>
      <c r="J15" s="50">
        <v>6</v>
      </c>
      <c r="K15" s="50">
        <v>1</v>
      </c>
      <c r="L15" s="50">
        <v>5</v>
      </c>
      <c r="M15" s="50">
        <v>250</v>
      </c>
      <c r="N15" s="50">
        <v>0</v>
      </c>
      <c r="O15" s="15">
        <f t="shared" si="0"/>
        <v>117</v>
      </c>
      <c r="P15" s="15">
        <f t="shared" si="1"/>
        <v>367</v>
      </c>
      <c r="R15" s="1" t="s">
        <v>11</v>
      </c>
      <c r="S15" s="17">
        <f t="shared" ref="S15:AF15" si="7">SUM(C30:C33)</f>
        <v>135</v>
      </c>
      <c r="T15" s="17">
        <f t="shared" si="7"/>
        <v>30</v>
      </c>
      <c r="U15" s="17">
        <f t="shared" si="7"/>
        <v>14</v>
      </c>
      <c r="V15" s="17">
        <f t="shared" si="7"/>
        <v>92</v>
      </c>
      <c r="W15" s="17">
        <f t="shared" si="7"/>
        <v>7</v>
      </c>
      <c r="X15" s="17">
        <f t="shared" si="7"/>
        <v>3</v>
      </c>
      <c r="Y15" s="17">
        <f t="shared" si="7"/>
        <v>37</v>
      </c>
      <c r="Z15" s="17">
        <f t="shared" si="7"/>
        <v>34</v>
      </c>
      <c r="AA15" s="17">
        <f t="shared" si="7"/>
        <v>4</v>
      </c>
      <c r="AB15" s="17">
        <f t="shared" si="7"/>
        <v>9</v>
      </c>
      <c r="AC15" s="17">
        <f t="shared" si="7"/>
        <v>363</v>
      </c>
      <c r="AD15" s="17">
        <f t="shared" si="7"/>
        <v>0</v>
      </c>
      <c r="AE15" s="31">
        <f t="shared" si="7"/>
        <v>365</v>
      </c>
      <c r="AF15" s="31">
        <f t="shared" si="7"/>
        <v>728</v>
      </c>
    </row>
    <row r="16" spans="2:32" ht="23.1" customHeight="1" x14ac:dyDescent="0.25">
      <c r="B16" s="23" t="s">
        <v>43</v>
      </c>
      <c r="C16" s="50">
        <v>41</v>
      </c>
      <c r="D16" s="50">
        <v>8</v>
      </c>
      <c r="E16" s="50">
        <v>2</v>
      </c>
      <c r="F16" s="50">
        <v>40</v>
      </c>
      <c r="G16" s="50">
        <v>0</v>
      </c>
      <c r="H16" s="50">
        <v>0</v>
      </c>
      <c r="I16" s="50">
        <v>8</v>
      </c>
      <c r="J16" s="50">
        <v>4</v>
      </c>
      <c r="K16" s="50">
        <v>1</v>
      </c>
      <c r="L16" s="50">
        <v>3</v>
      </c>
      <c r="M16" s="50">
        <v>233</v>
      </c>
      <c r="N16" s="50">
        <v>0</v>
      </c>
      <c r="O16" s="15">
        <f t="shared" si="0"/>
        <v>107</v>
      </c>
      <c r="P16" s="15">
        <f t="shared" si="1"/>
        <v>340</v>
      </c>
      <c r="R16" s="1" t="s">
        <v>12</v>
      </c>
      <c r="S16" s="17">
        <f t="shared" ref="S16:AF16" si="8">SUM(C34:C37)</f>
        <v>141</v>
      </c>
      <c r="T16" s="17">
        <f t="shared" si="8"/>
        <v>31</v>
      </c>
      <c r="U16" s="17">
        <f t="shared" si="8"/>
        <v>20</v>
      </c>
      <c r="V16" s="17">
        <f t="shared" si="8"/>
        <v>94</v>
      </c>
      <c r="W16" s="17">
        <f t="shared" si="8"/>
        <v>1</v>
      </c>
      <c r="X16" s="17">
        <f t="shared" si="8"/>
        <v>1</v>
      </c>
      <c r="Y16" s="17">
        <f t="shared" si="8"/>
        <v>43</v>
      </c>
      <c r="Z16" s="17">
        <f t="shared" si="8"/>
        <v>25</v>
      </c>
      <c r="AA16" s="17">
        <f t="shared" si="8"/>
        <v>9</v>
      </c>
      <c r="AB16" s="17">
        <f t="shared" si="8"/>
        <v>7</v>
      </c>
      <c r="AC16" s="17">
        <f t="shared" si="8"/>
        <v>397</v>
      </c>
      <c r="AD16" s="17">
        <f t="shared" si="8"/>
        <v>0</v>
      </c>
      <c r="AE16" s="31">
        <f t="shared" si="8"/>
        <v>372</v>
      </c>
      <c r="AF16" s="31">
        <f t="shared" si="8"/>
        <v>769</v>
      </c>
    </row>
    <row r="17" spans="2:32" ht="23.1" customHeight="1" x14ac:dyDescent="0.25">
      <c r="B17" s="23" t="s">
        <v>44</v>
      </c>
      <c r="C17" s="50">
        <v>52</v>
      </c>
      <c r="D17" s="50">
        <v>11</v>
      </c>
      <c r="E17" s="50">
        <v>3</v>
      </c>
      <c r="F17" s="50">
        <v>57</v>
      </c>
      <c r="G17" s="50">
        <v>0</v>
      </c>
      <c r="H17" s="50">
        <v>0</v>
      </c>
      <c r="I17" s="50">
        <v>3</v>
      </c>
      <c r="J17" s="50">
        <v>9</v>
      </c>
      <c r="K17" s="50">
        <v>2</v>
      </c>
      <c r="L17" s="50">
        <v>0</v>
      </c>
      <c r="M17" s="50">
        <v>237</v>
      </c>
      <c r="N17" s="50">
        <v>0</v>
      </c>
      <c r="O17" s="15">
        <f t="shared" si="0"/>
        <v>137</v>
      </c>
      <c r="P17" s="15">
        <f t="shared" si="1"/>
        <v>374</v>
      </c>
      <c r="R17" s="1" t="s">
        <v>13</v>
      </c>
      <c r="S17" s="17">
        <f t="shared" ref="S17:AF17" si="9">SUM(C38:C41)</f>
        <v>156</v>
      </c>
      <c r="T17" s="17">
        <f>SUM(D38:D41)</f>
        <v>17</v>
      </c>
      <c r="U17" s="17">
        <f t="shared" si="9"/>
        <v>17</v>
      </c>
      <c r="V17" s="17">
        <f t="shared" si="9"/>
        <v>103</v>
      </c>
      <c r="W17" s="17">
        <f t="shared" si="9"/>
        <v>1</v>
      </c>
      <c r="X17" s="17">
        <f t="shared" si="9"/>
        <v>2</v>
      </c>
      <c r="Y17" s="17">
        <f t="shared" si="9"/>
        <v>38</v>
      </c>
      <c r="Z17" s="17">
        <f t="shared" si="9"/>
        <v>21</v>
      </c>
      <c r="AA17" s="17">
        <f t="shared" si="9"/>
        <v>8</v>
      </c>
      <c r="AB17" s="17">
        <f t="shared" si="9"/>
        <v>5</v>
      </c>
      <c r="AC17" s="17">
        <f t="shared" si="9"/>
        <v>482</v>
      </c>
      <c r="AD17" s="17">
        <f t="shared" si="9"/>
        <v>0</v>
      </c>
      <c r="AE17" s="31">
        <f t="shared" si="9"/>
        <v>368</v>
      </c>
      <c r="AF17" s="31">
        <f t="shared" si="9"/>
        <v>850</v>
      </c>
    </row>
    <row r="18" spans="2:32" ht="23.1" customHeight="1" x14ac:dyDescent="0.25">
      <c r="B18" s="23" t="s">
        <v>45</v>
      </c>
      <c r="C18" s="50">
        <v>33</v>
      </c>
      <c r="D18" s="50">
        <v>7</v>
      </c>
      <c r="E18" s="50">
        <v>5</v>
      </c>
      <c r="F18" s="50">
        <v>34</v>
      </c>
      <c r="G18" s="50">
        <v>1</v>
      </c>
      <c r="H18" s="50">
        <v>0</v>
      </c>
      <c r="I18" s="50">
        <v>6</v>
      </c>
      <c r="J18" s="50">
        <v>5</v>
      </c>
      <c r="K18" s="50">
        <v>1</v>
      </c>
      <c r="L18" s="50">
        <v>0</v>
      </c>
      <c r="M18" s="50">
        <v>355</v>
      </c>
      <c r="N18" s="50">
        <v>0</v>
      </c>
      <c r="O18" s="15">
        <f t="shared" si="0"/>
        <v>92</v>
      </c>
      <c r="P18" s="15">
        <f t="shared" si="1"/>
        <v>447</v>
      </c>
      <c r="R18" s="1" t="s">
        <v>14</v>
      </c>
      <c r="S18" s="17">
        <f t="shared" ref="S18:AF18" si="10">SUM(C42:C45)</f>
        <v>168</v>
      </c>
      <c r="T18" s="17">
        <f t="shared" si="10"/>
        <v>23</v>
      </c>
      <c r="U18" s="17">
        <f t="shared" si="10"/>
        <v>16</v>
      </c>
      <c r="V18" s="17">
        <f t="shared" si="10"/>
        <v>83</v>
      </c>
      <c r="W18" s="17">
        <f t="shared" si="10"/>
        <v>0</v>
      </c>
      <c r="X18" s="17">
        <f t="shared" si="10"/>
        <v>3</v>
      </c>
      <c r="Y18" s="17">
        <f t="shared" si="10"/>
        <v>38</v>
      </c>
      <c r="Z18" s="17">
        <f t="shared" si="10"/>
        <v>28</v>
      </c>
      <c r="AA18" s="17">
        <f t="shared" si="10"/>
        <v>16</v>
      </c>
      <c r="AB18" s="17">
        <f t="shared" si="10"/>
        <v>14</v>
      </c>
      <c r="AC18" s="17">
        <f t="shared" si="10"/>
        <v>398</v>
      </c>
      <c r="AD18" s="17">
        <f t="shared" si="10"/>
        <v>0</v>
      </c>
      <c r="AE18" s="31">
        <f t="shared" si="10"/>
        <v>389</v>
      </c>
      <c r="AF18" s="31">
        <f t="shared" si="10"/>
        <v>787</v>
      </c>
    </row>
    <row r="19" spans="2:32" ht="23.1" customHeight="1" x14ac:dyDescent="0.25">
      <c r="B19" s="23" t="s">
        <v>46</v>
      </c>
      <c r="C19" s="50">
        <v>52</v>
      </c>
      <c r="D19" s="50">
        <v>2</v>
      </c>
      <c r="E19" s="50">
        <v>1</v>
      </c>
      <c r="F19" s="50">
        <v>16</v>
      </c>
      <c r="G19" s="50">
        <v>2</v>
      </c>
      <c r="H19" s="50">
        <v>2</v>
      </c>
      <c r="I19" s="50">
        <v>4</v>
      </c>
      <c r="J19" s="50">
        <v>3</v>
      </c>
      <c r="K19" s="50">
        <v>2</v>
      </c>
      <c r="L19" s="50">
        <v>0</v>
      </c>
      <c r="M19" s="50">
        <v>230</v>
      </c>
      <c r="N19" s="50">
        <v>0</v>
      </c>
      <c r="O19" s="15">
        <f t="shared" si="0"/>
        <v>84</v>
      </c>
      <c r="P19" s="15">
        <f t="shared" si="1"/>
        <v>314</v>
      </c>
      <c r="R19" s="1" t="s">
        <v>15</v>
      </c>
      <c r="S19" s="17">
        <f t="shared" ref="S19:AF19" si="11">SUM(C46:C49)</f>
        <v>143</v>
      </c>
      <c r="T19" s="17">
        <f t="shared" si="11"/>
        <v>28</v>
      </c>
      <c r="U19" s="17">
        <f t="shared" si="11"/>
        <v>22</v>
      </c>
      <c r="V19" s="17">
        <f t="shared" si="11"/>
        <v>96</v>
      </c>
      <c r="W19" s="17">
        <f t="shared" si="11"/>
        <v>4</v>
      </c>
      <c r="X19" s="17">
        <f t="shared" si="11"/>
        <v>2</v>
      </c>
      <c r="Y19" s="17">
        <f t="shared" si="11"/>
        <v>46</v>
      </c>
      <c r="Z19" s="17">
        <f t="shared" si="11"/>
        <v>27</v>
      </c>
      <c r="AA19" s="17">
        <f t="shared" si="11"/>
        <v>8</v>
      </c>
      <c r="AB19" s="17">
        <f t="shared" si="11"/>
        <v>11</v>
      </c>
      <c r="AC19" s="17">
        <f t="shared" si="11"/>
        <v>403</v>
      </c>
      <c r="AD19" s="17">
        <f t="shared" si="11"/>
        <v>0</v>
      </c>
      <c r="AE19" s="31">
        <f t="shared" si="11"/>
        <v>387</v>
      </c>
      <c r="AF19" s="31">
        <f t="shared" si="11"/>
        <v>790</v>
      </c>
    </row>
    <row r="20" spans="2:32" ht="23.1" customHeight="1" x14ac:dyDescent="0.25">
      <c r="B20" s="23" t="s">
        <v>47</v>
      </c>
      <c r="C20" s="50">
        <v>35</v>
      </c>
      <c r="D20" s="50">
        <v>4</v>
      </c>
      <c r="E20" s="50">
        <v>5</v>
      </c>
      <c r="F20" s="50">
        <v>37</v>
      </c>
      <c r="G20" s="50">
        <v>1</v>
      </c>
      <c r="H20" s="50">
        <v>1</v>
      </c>
      <c r="I20" s="50">
        <v>13</v>
      </c>
      <c r="J20" s="50">
        <v>4</v>
      </c>
      <c r="K20" s="50">
        <v>2</v>
      </c>
      <c r="L20" s="50">
        <v>2</v>
      </c>
      <c r="M20" s="50">
        <v>200</v>
      </c>
      <c r="N20" s="50">
        <v>0</v>
      </c>
      <c r="O20" s="15">
        <f t="shared" si="0"/>
        <v>104</v>
      </c>
      <c r="P20" s="15">
        <f t="shared" si="1"/>
        <v>304</v>
      </c>
      <c r="R20" s="1" t="s">
        <v>16</v>
      </c>
      <c r="S20" s="17">
        <f t="shared" ref="S20:AF20" si="12">SUM(C50:C53)</f>
        <v>346</v>
      </c>
      <c r="T20" s="17">
        <f t="shared" si="12"/>
        <v>31</v>
      </c>
      <c r="U20" s="17">
        <f t="shared" si="12"/>
        <v>17</v>
      </c>
      <c r="V20" s="17">
        <f t="shared" si="12"/>
        <v>121</v>
      </c>
      <c r="W20" s="17">
        <f t="shared" si="12"/>
        <v>4</v>
      </c>
      <c r="X20" s="17">
        <f t="shared" si="12"/>
        <v>1</v>
      </c>
      <c r="Y20" s="17">
        <f t="shared" si="12"/>
        <v>31</v>
      </c>
      <c r="Z20" s="17">
        <f t="shared" si="12"/>
        <v>22</v>
      </c>
      <c r="AA20" s="17">
        <f t="shared" si="12"/>
        <v>10</v>
      </c>
      <c r="AB20" s="17">
        <f t="shared" si="12"/>
        <v>6</v>
      </c>
      <c r="AC20" s="17">
        <f t="shared" si="12"/>
        <v>792</v>
      </c>
      <c r="AD20" s="17">
        <f t="shared" si="12"/>
        <v>0</v>
      </c>
      <c r="AE20" s="31">
        <f t="shared" si="12"/>
        <v>589</v>
      </c>
      <c r="AF20" s="31">
        <f t="shared" si="12"/>
        <v>1381</v>
      </c>
    </row>
    <row r="21" spans="2:32" ht="23.1" customHeight="1" x14ac:dyDescent="0.25">
      <c r="B21" s="23" t="s">
        <v>48</v>
      </c>
      <c r="C21" s="50">
        <v>32</v>
      </c>
      <c r="D21" s="50">
        <v>1</v>
      </c>
      <c r="E21" s="50">
        <v>3</v>
      </c>
      <c r="F21" s="50">
        <v>13</v>
      </c>
      <c r="G21" s="50">
        <v>1</v>
      </c>
      <c r="H21" s="50">
        <v>0</v>
      </c>
      <c r="I21" s="50">
        <v>12</v>
      </c>
      <c r="J21" s="50">
        <v>8</v>
      </c>
      <c r="K21" s="50">
        <v>1</v>
      </c>
      <c r="L21" s="50">
        <v>0</v>
      </c>
      <c r="M21" s="50">
        <v>160</v>
      </c>
      <c r="N21" s="50">
        <v>0</v>
      </c>
      <c r="O21" s="15">
        <f t="shared" si="0"/>
        <v>71</v>
      </c>
      <c r="P21" s="15">
        <f t="shared" si="1"/>
        <v>231</v>
      </c>
      <c r="R21" s="36" t="s">
        <v>20</v>
      </c>
      <c r="S21" s="34">
        <f t="shared" ref="S21:AF21" si="13">SUM(C54:C57)</f>
        <v>428</v>
      </c>
      <c r="T21" s="17">
        <f t="shared" si="13"/>
        <v>47</v>
      </c>
      <c r="U21" s="17">
        <f t="shared" si="13"/>
        <v>18</v>
      </c>
      <c r="V21" s="17">
        <f t="shared" si="13"/>
        <v>192</v>
      </c>
      <c r="W21" s="17">
        <f t="shared" si="13"/>
        <v>8</v>
      </c>
      <c r="X21" s="17">
        <f t="shared" si="13"/>
        <v>1</v>
      </c>
      <c r="Y21" s="17">
        <f t="shared" si="13"/>
        <v>44</v>
      </c>
      <c r="Z21" s="17">
        <f t="shared" si="13"/>
        <v>42</v>
      </c>
      <c r="AA21" s="17">
        <f t="shared" si="13"/>
        <v>12</v>
      </c>
      <c r="AB21" s="17">
        <f t="shared" si="13"/>
        <v>6</v>
      </c>
      <c r="AC21" s="17">
        <f t="shared" si="13"/>
        <v>983</v>
      </c>
      <c r="AD21" s="17">
        <f t="shared" si="13"/>
        <v>0</v>
      </c>
      <c r="AE21" s="31">
        <f t="shared" si="13"/>
        <v>798</v>
      </c>
      <c r="AF21" s="31">
        <f t="shared" si="13"/>
        <v>1781</v>
      </c>
    </row>
    <row r="22" spans="2:32" ht="23.1" customHeight="1" x14ac:dyDescent="0.25">
      <c r="B22" s="23" t="s">
        <v>49</v>
      </c>
      <c r="C22" s="50">
        <v>23</v>
      </c>
      <c r="D22" s="50">
        <v>4</v>
      </c>
      <c r="E22" s="50">
        <v>2</v>
      </c>
      <c r="F22" s="50">
        <v>17</v>
      </c>
      <c r="G22" s="50">
        <v>2</v>
      </c>
      <c r="H22" s="50">
        <v>1</v>
      </c>
      <c r="I22" s="50">
        <v>12</v>
      </c>
      <c r="J22" s="50">
        <v>5</v>
      </c>
      <c r="K22" s="50">
        <v>2</v>
      </c>
      <c r="L22" s="50">
        <v>1</v>
      </c>
      <c r="M22" s="50">
        <v>165</v>
      </c>
      <c r="N22" s="50">
        <v>0</v>
      </c>
      <c r="O22" s="15">
        <f t="shared" si="0"/>
        <v>69</v>
      </c>
      <c r="P22" s="15">
        <f t="shared" si="1"/>
        <v>234</v>
      </c>
      <c r="R22" s="38" t="s">
        <v>90</v>
      </c>
      <c r="S22" s="39">
        <f>MAX(S10:S12)</f>
        <v>188</v>
      </c>
      <c r="T22" s="39">
        <f t="shared" ref="T22:AF22" si="14">MAX(T10:T12)</f>
        <v>32</v>
      </c>
      <c r="U22" s="39">
        <f t="shared" si="14"/>
        <v>24</v>
      </c>
      <c r="V22" s="39">
        <f t="shared" si="14"/>
        <v>179</v>
      </c>
      <c r="W22" s="39">
        <f t="shared" si="14"/>
        <v>5</v>
      </c>
      <c r="X22" s="39">
        <f t="shared" si="14"/>
        <v>3</v>
      </c>
      <c r="Y22" s="39">
        <f t="shared" si="14"/>
        <v>35</v>
      </c>
      <c r="Z22" s="39">
        <f t="shared" si="14"/>
        <v>28</v>
      </c>
      <c r="AA22" s="39">
        <f t="shared" si="14"/>
        <v>6</v>
      </c>
      <c r="AB22" s="39">
        <f t="shared" si="14"/>
        <v>8</v>
      </c>
      <c r="AC22" s="39">
        <f t="shared" si="14"/>
        <v>945</v>
      </c>
      <c r="AD22" s="39">
        <f t="shared" si="14"/>
        <v>0</v>
      </c>
      <c r="AE22" s="40">
        <f t="shared" si="14"/>
        <v>489</v>
      </c>
      <c r="AF22" s="40">
        <f t="shared" si="14"/>
        <v>1423</v>
      </c>
    </row>
    <row r="23" spans="2:32" ht="23.1" customHeight="1" x14ac:dyDescent="0.25">
      <c r="B23" s="23" t="s">
        <v>50</v>
      </c>
      <c r="C23" s="50">
        <v>26</v>
      </c>
      <c r="D23" s="50">
        <v>8</v>
      </c>
      <c r="E23" s="50">
        <v>7</v>
      </c>
      <c r="F23" s="50">
        <v>24</v>
      </c>
      <c r="G23" s="50">
        <v>1</v>
      </c>
      <c r="H23" s="50">
        <v>1</v>
      </c>
      <c r="I23" s="50">
        <v>8</v>
      </c>
      <c r="J23" s="50">
        <v>8</v>
      </c>
      <c r="K23" s="50">
        <v>0</v>
      </c>
      <c r="L23" s="50">
        <v>1</v>
      </c>
      <c r="M23" s="50">
        <v>270</v>
      </c>
      <c r="N23" s="50">
        <v>0</v>
      </c>
      <c r="O23" s="15">
        <f t="shared" si="0"/>
        <v>84</v>
      </c>
      <c r="P23" s="15">
        <f t="shared" si="1"/>
        <v>354</v>
      </c>
      <c r="R23" s="38" t="s">
        <v>91</v>
      </c>
      <c r="S23" s="39">
        <f>MAX(S13:S18)</f>
        <v>176</v>
      </c>
      <c r="T23" s="39">
        <f t="shared" ref="T23:AF23" si="15">MAX(T13:T18)</f>
        <v>31</v>
      </c>
      <c r="U23" s="39">
        <f t="shared" si="15"/>
        <v>22</v>
      </c>
      <c r="V23" s="39">
        <f t="shared" si="15"/>
        <v>138</v>
      </c>
      <c r="W23" s="39">
        <f t="shared" si="15"/>
        <v>7</v>
      </c>
      <c r="X23" s="39">
        <f t="shared" si="15"/>
        <v>3</v>
      </c>
      <c r="Y23" s="39">
        <f t="shared" si="15"/>
        <v>47</v>
      </c>
      <c r="Z23" s="39">
        <f t="shared" si="15"/>
        <v>34</v>
      </c>
      <c r="AA23" s="39">
        <f t="shared" si="15"/>
        <v>16</v>
      </c>
      <c r="AB23" s="39">
        <f t="shared" si="15"/>
        <v>14</v>
      </c>
      <c r="AC23" s="39">
        <f t="shared" si="15"/>
        <v>950</v>
      </c>
      <c r="AD23" s="39">
        <f t="shared" si="15"/>
        <v>0</v>
      </c>
      <c r="AE23" s="40">
        <f t="shared" si="15"/>
        <v>457</v>
      </c>
      <c r="AF23" s="40">
        <f t="shared" si="15"/>
        <v>1307</v>
      </c>
    </row>
    <row r="24" spans="2:32" ht="23.1" customHeight="1" x14ac:dyDescent="0.25">
      <c r="B24" s="23" t="s">
        <v>51</v>
      </c>
      <c r="C24" s="50">
        <v>37</v>
      </c>
      <c r="D24" s="50">
        <v>7</v>
      </c>
      <c r="E24" s="50">
        <v>7</v>
      </c>
      <c r="F24" s="50">
        <v>32</v>
      </c>
      <c r="G24" s="50">
        <v>0</v>
      </c>
      <c r="H24" s="50">
        <v>0</v>
      </c>
      <c r="I24" s="50">
        <v>19</v>
      </c>
      <c r="J24" s="50">
        <v>3</v>
      </c>
      <c r="K24" s="50">
        <v>1</v>
      </c>
      <c r="L24" s="50">
        <v>1</v>
      </c>
      <c r="M24" s="50">
        <v>315</v>
      </c>
      <c r="N24" s="50">
        <v>0</v>
      </c>
      <c r="O24" s="15">
        <f t="shared" si="0"/>
        <v>107</v>
      </c>
      <c r="P24" s="15">
        <f t="shared" si="1"/>
        <v>422</v>
      </c>
      <c r="R24" s="38" t="s">
        <v>92</v>
      </c>
      <c r="S24" s="39">
        <f>MAX(S19:S21)</f>
        <v>428</v>
      </c>
      <c r="T24" s="39">
        <f t="shared" ref="T24:AF24" si="16">MAX(T19:T21)</f>
        <v>47</v>
      </c>
      <c r="U24" s="39">
        <f t="shared" si="16"/>
        <v>22</v>
      </c>
      <c r="V24" s="39">
        <f t="shared" si="16"/>
        <v>192</v>
      </c>
      <c r="W24" s="39">
        <f t="shared" si="16"/>
        <v>8</v>
      </c>
      <c r="X24" s="39">
        <f t="shared" si="16"/>
        <v>2</v>
      </c>
      <c r="Y24" s="39">
        <f t="shared" si="16"/>
        <v>46</v>
      </c>
      <c r="Z24" s="39">
        <f t="shared" si="16"/>
        <v>42</v>
      </c>
      <c r="AA24" s="39">
        <f t="shared" si="16"/>
        <v>12</v>
      </c>
      <c r="AB24" s="39">
        <f t="shared" si="16"/>
        <v>11</v>
      </c>
      <c r="AC24" s="39">
        <f t="shared" si="16"/>
        <v>983</v>
      </c>
      <c r="AD24" s="39">
        <f t="shared" si="16"/>
        <v>0</v>
      </c>
      <c r="AE24" s="40">
        <f t="shared" si="16"/>
        <v>798</v>
      </c>
      <c r="AF24" s="40">
        <f t="shared" si="16"/>
        <v>1781</v>
      </c>
    </row>
    <row r="25" spans="2:32" ht="23.1" customHeight="1" x14ac:dyDescent="0.25">
      <c r="B25" s="23" t="s">
        <v>52</v>
      </c>
      <c r="C25" s="50">
        <v>47</v>
      </c>
      <c r="D25" s="50">
        <v>4</v>
      </c>
      <c r="E25" s="50">
        <v>3</v>
      </c>
      <c r="F25" s="50">
        <v>24</v>
      </c>
      <c r="G25" s="50">
        <v>1</v>
      </c>
      <c r="H25" s="50">
        <v>0</v>
      </c>
      <c r="I25" s="50">
        <v>8</v>
      </c>
      <c r="J25" s="50">
        <v>7</v>
      </c>
      <c r="K25" s="50">
        <v>3</v>
      </c>
      <c r="L25" s="50">
        <v>0</v>
      </c>
      <c r="M25" s="50">
        <v>200</v>
      </c>
      <c r="N25" s="50">
        <v>0</v>
      </c>
      <c r="O25" s="15">
        <f t="shared" si="0"/>
        <v>97</v>
      </c>
      <c r="P25" s="15">
        <f t="shared" si="1"/>
        <v>297</v>
      </c>
      <c r="R25" s="37" t="s">
        <v>85</v>
      </c>
      <c r="S25" s="35">
        <f t="shared" ref="S25:AF25" si="17">SUM(S10:S12)</f>
        <v>490</v>
      </c>
      <c r="T25" s="16">
        <f t="shared" si="17"/>
        <v>75</v>
      </c>
      <c r="U25" s="16">
        <f t="shared" si="17"/>
        <v>60</v>
      </c>
      <c r="V25" s="16">
        <f t="shared" si="17"/>
        <v>380</v>
      </c>
      <c r="W25" s="16">
        <f t="shared" si="17"/>
        <v>11</v>
      </c>
      <c r="X25" s="16">
        <f t="shared" si="17"/>
        <v>4</v>
      </c>
      <c r="Y25" s="16">
        <f t="shared" si="17"/>
        <v>83</v>
      </c>
      <c r="Z25" s="16">
        <f t="shared" si="17"/>
        <v>66</v>
      </c>
      <c r="AA25" s="16">
        <f t="shared" si="17"/>
        <v>12</v>
      </c>
      <c r="AB25" s="16">
        <f t="shared" si="17"/>
        <v>14</v>
      </c>
      <c r="AC25" s="16">
        <f t="shared" si="17"/>
        <v>2646</v>
      </c>
      <c r="AD25" s="16">
        <f t="shared" si="17"/>
        <v>0</v>
      </c>
      <c r="AE25" s="32">
        <f t="shared" si="17"/>
        <v>1195</v>
      </c>
      <c r="AF25" s="32">
        <f t="shared" si="17"/>
        <v>3841</v>
      </c>
    </row>
    <row r="26" spans="2:32" ht="23.1" customHeight="1" x14ac:dyDescent="0.25">
      <c r="B26" s="23" t="s">
        <v>53</v>
      </c>
      <c r="C26" s="50">
        <v>19</v>
      </c>
      <c r="D26" s="50">
        <v>10</v>
      </c>
      <c r="E26" s="50">
        <v>11</v>
      </c>
      <c r="F26" s="50">
        <v>48</v>
      </c>
      <c r="G26" s="50">
        <v>1</v>
      </c>
      <c r="H26" s="50">
        <v>1</v>
      </c>
      <c r="I26" s="50">
        <v>13</v>
      </c>
      <c r="J26" s="50">
        <v>7</v>
      </c>
      <c r="K26" s="50">
        <v>4</v>
      </c>
      <c r="L26" s="50">
        <v>2</v>
      </c>
      <c r="M26" s="50">
        <v>260</v>
      </c>
      <c r="N26" s="50">
        <v>0</v>
      </c>
      <c r="O26" s="15">
        <f t="shared" si="0"/>
        <v>116</v>
      </c>
      <c r="P26" s="15">
        <f t="shared" si="1"/>
        <v>376</v>
      </c>
      <c r="R26" s="28" t="s">
        <v>86</v>
      </c>
      <c r="S26" s="16">
        <f t="shared" ref="S26:AF26" si="18">SUM(S13:S18)</f>
        <v>909</v>
      </c>
      <c r="T26" s="16">
        <f t="shared" si="18"/>
        <v>146</v>
      </c>
      <c r="U26" s="16">
        <f t="shared" si="18"/>
        <v>108</v>
      </c>
      <c r="V26" s="16">
        <f t="shared" si="18"/>
        <v>607</v>
      </c>
      <c r="W26" s="16">
        <f t="shared" si="18"/>
        <v>18</v>
      </c>
      <c r="X26" s="16">
        <f t="shared" si="18"/>
        <v>13</v>
      </c>
      <c r="Y26" s="16">
        <f t="shared" si="18"/>
        <v>246</v>
      </c>
      <c r="Z26" s="16">
        <f t="shared" si="18"/>
        <v>163</v>
      </c>
      <c r="AA26" s="16">
        <f t="shared" si="18"/>
        <v>52</v>
      </c>
      <c r="AB26" s="16">
        <f t="shared" si="18"/>
        <v>46</v>
      </c>
      <c r="AC26" s="16">
        <f t="shared" si="18"/>
        <v>3275</v>
      </c>
      <c r="AD26" s="16">
        <f t="shared" si="18"/>
        <v>0</v>
      </c>
      <c r="AE26" s="32">
        <f t="shared" si="18"/>
        <v>2308</v>
      </c>
      <c r="AF26" s="32">
        <f t="shared" si="18"/>
        <v>5583</v>
      </c>
    </row>
    <row r="27" spans="2:32" ht="23.1" customHeight="1" x14ac:dyDescent="0.25">
      <c r="B27" s="23" t="s">
        <v>54</v>
      </c>
      <c r="C27" s="50">
        <v>37</v>
      </c>
      <c r="D27" s="50">
        <v>5</v>
      </c>
      <c r="E27" s="50">
        <v>5</v>
      </c>
      <c r="F27" s="50">
        <v>28</v>
      </c>
      <c r="G27" s="50">
        <v>3</v>
      </c>
      <c r="H27" s="50">
        <v>0</v>
      </c>
      <c r="I27" s="50">
        <v>13</v>
      </c>
      <c r="J27" s="50">
        <v>10</v>
      </c>
      <c r="K27" s="50">
        <v>2</v>
      </c>
      <c r="L27" s="50">
        <v>1</v>
      </c>
      <c r="M27" s="50">
        <v>138</v>
      </c>
      <c r="N27" s="50">
        <v>0</v>
      </c>
      <c r="O27" s="15">
        <f t="shared" si="0"/>
        <v>104</v>
      </c>
      <c r="P27" s="15">
        <f t="shared" si="1"/>
        <v>242</v>
      </c>
      <c r="R27" s="29" t="s">
        <v>87</v>
      </c>
      <c r="S27" s="16">
        <f t="shared" ref="S27:AF27" si="19">SUM(S19:S21)</f>
        <v>917</v>
      </c>
      <c r="T27" s="16">
        <f t="shared" si="19"/>
        <v>106</v>
      </c>
      <c r="U27" s="16">
        <f t="shared" si="19"/>
        <v>57</v>
      </c>
      <c r="V27" s="16">
        <f t="shared" si="19"/>
        <v>409</v>
      </c>
      <c r="W27" s="16">
        <f t="shared" si="19"/>
        <v>16</v>
      </c>
      <c r="X27" s="16">
        <f t="shared" si="19"/>
        <v>4</v>
      </c>
      <c r="Y27" s="16">
        <f t="shared" si="19"/>
        <v>121</v>
      </c>
      <c r="Z27" s="16">
        <f t="shared" si="19"/>
        <v>91</v>
      </c>
      <c r="AA27" s="16">
        <f t="shared" si="19"/>
        <v>30</v>
      </c>
      <c r="AB27" s="16">
        <f t="shared" si="19"/>
        <v>23</v>
      </c>
      <c r="AC27" s="16">
        <f t="shared" si="19"/>
        <v>2178</v>
      </c>
      <c r="AD27" s="16">
        <f t="shared" si="19"/>
        <v>0</v>
      </c>
      <c r="AE27" s="32">
        <f t="shared" si="19"/>
        <v>1774</v>
      </c>
      <c r="AF27" s="32">
        <f t="shared" si="19"/>
        <v>3952</v>
      </c>
    </row>
    <row r="28" spans="2:32" ht="23.1" customHeight="1" x14ac:dyDescent="0.25">
      <c r="B28" s="23" t="s">
        <v>55</v>
      </c>
      <c r="C28" s="50">
        <v>90</v>
      </c>
      <c r="D28" s="50">
        <v>5</v>
      </c>
      <c r="E28" s="50">
        <v>4</v>
      </c>
      <c r="F28" s="50">
        <v>52</v>
      </c>
      <c r="G28" s="50">
        <v>1</v>
      </c>
      <c r="H28" s="50">
        <v>1</v>
      </c>
      <c r="I28" s="50">
        <v>8</v>
      </c>
      <c r="J28" s="50">
        <v>7</v>
      </c>
      <c r="K28" s="50">
        <v>1</v>
      </c>
      <c r="L28" s="50">
        <v>2</v>
      </c>
      <c r="M28" s="50">
        <v>212</v>
      </c>
      <c r="N28" s="50">
        <v>0</v>
      </c>
      <c r="O28" s="15">
        <f t="shared" si="0"/>
        <v>171</v>
      </c>
      <c r="P28" s="15">
        <f t="shared" si="1"/>
        <v>383</v>
      </c>
      <c r="R28" s="5" t="s">
        <v>17</v>
      </c>
      <c r="S28" s="16">
        <f t="shared" ref="S28:AF28" si="20">SUM(S10:S21)</f>
        <v>2316</v>
      </c>
      <c r="T28" s="16">
        <f t="shared" si="20"/>
        <v>327</v>
      </c>
      <c r="U28" s="16">
        <f t="shared" si="20"/>
        <v>225</v>
      </c>
      <c r="V28" s="16">
        <f t="shared" si="20"/>
        <v>1396</v>
      </c>
      <c r="W28" s="16">
        <f t="shared" si="20"/>
        <v>45</v>
      </c>
      <c r="X28" s="16">
        <f t="shared" si="20"/>
        <v>21</v>
      </c>
      <c r="Y28" s="16">
        <f t="shared" si="20"/>
        <v>450</v>
      </c>
      <c r="Z28" s="16">
        <f t="shared" si="20"/>
        <v>320</v>
      </c>
      <c r="AA28" s="16">
        <f t="shared" si="20"/>
        <v>94</v>
      </c>
      <c r="AB28" s="16">
        <f t="shared" si="20"/>
        <v>83</v>
      </c>
      <c r="AC28" s="16">
        <f t="shared" si="20"/>
        <v>8099</v>
      </c>
      <c r="AD28" s="16">
        <f t="shared" si="20"/>
        <v>0</v>
      </c>
      <c r="AE28" s="32">
        <f t="shared" si="20"/>
        <v>5277</v>
      </c>
      <c r="AF28" s="32">
        <f t="shared" si="20"/>
        <v>13376</v>
      </c>
    </row>
    <row r="29" spans="2:32" ht="23.1" customHeight="1" x14ac:dyDescent="0.25">
      <c r="B29" s="23" t="s">
        <v>56</v>
      </c>
      <c r="C29" s="50">
        <v>30</v>
      </c>
      <c r="D29" s="50">
        <v>2</v>
      </c>
      <c r="E29" s="50">
        <v>2</v>
      </c>
      <c r="F29" s="50">
        <v>10</v>
      </c>
      <c r="G29" s="50">
        <v>0</v>
      </c>
      <c r="H29" s="50">
        <v>0</v>
      </c>
      <c r="I29" s="50">
        <v>9</v>
      </c>
      <c r="J29" s="50">
        <v>8</v>
      </c>
      <c r="K29" s="50">
        <v>2</v>
      </c>
      <c r="L29" s="50">
        <v>3</v>
      </c>
      <c r="M29" s="50">
        <v>75</v>
      </c>
      <c r="N29" s="50">
        <v>0</v>
      </c>
      <c r="O29" s="15">
        <f t="shared" si="0"/>
        <v>66</v>
      </c>
      <c r="P29" s="15">
        <f t="shared" si="1"/>
        <v>141</v>
      </c>
      <c r="R29"/>
      <c r="S29" s="20"/>
      <c r="T29" s="19"/>
    </row>
    <row r="30" spans="2:32" ht="23.1" customHeight="1" x14ac:dyDescent="0.25">
      <c r="B30" s="23" t="s">
        <v>57</v>
      </c>
      <c r="C30" s="50">
        <v>33</v>
      </c>
      <c r="D30" s="50">
        <v>9</v>
      </c>
      <c r="E30" s="50">
        <v>6</v>
      </c>
      <c r="F30" s="50">
        <v>21</v>
      </c>
      <c r="G30" s="50">
        <v>4</v>
      </c>
      <c r="H30" s="50">
        <v>2</v>
      </c>
      <c r="I30" s="50">
        <v>8</v>
      </c>
      <c r="J30" s="50">
        <v>6</v>
      </c>
      <c r="K30" s="50">
        <v>1</v>
      </c>
      <c r="L30" s="50">
        <v>4</v>
      </c>
      <c r="M30" s="50">
        <v>118</v>
      </c>
      <c r="N30" s="50">
        <v>0</v>
      </c>
      <c r="O30" s="15">
        <f t="shared" si="0"/>
        <v>94</v>
      </c>
      <c r="P30" s="15">
        <f t="shared" si="1"/>
        <v>212</v>
      </c>
    </row>
    <row r="31" spans="2:32" ht="23.1" customHeight="1" x14ac:dyDescent="0.25">
      <c r="B31" s="24" t="s">
        <v>58</v>
      </c>
      <c r="C31" s="50">
        <v>17</v>
      </c>
      <c r="D31" s="50">
        <v>12</v>
      </c>
      <c r="E31" s="50">
        <v>2</v>
      </c>
      <c r="F31" s="50">
        <v>16</v>
      </c>
      <c r="G31" s="50">
        <v>1</v>
      </c>
      <c r="H31" s="50">
        <v>0</v>
      </c>
      <c r="I31" s="50">
        <v>13</v>
      </c>
      <c r="J31" s="50">
        <v>11</v>
      </c>
      <c r="K31" s="50">
        <v>0</v>
      </c>
      <c r="L31" s="50">
        <v>2</v>
      </c>
      <c r="M31" s="50">
        <v>66</v>
      </c>
      <c r="N31" s="50">
        <v>0</v>
      </c>
      <c r="O31" s="15">
        <f t="shared" si="0"/>
        <v>74</v>
      </c>
      <c r="P31" s="15">
        <f t="shared" si="1"/>
        <v>140</v>
      </c>
    </row>
    <row r="32" spans="2:32" ht="23.1" customHeight="1" x14ac:dyDescent="0.25">
      <c r="B32" s="24" t="s">
        <v>59</v>
      </c>
      <c r="C32" s="50">
        <v>48</v>
      </c>
      <c r="D32" s="50">
        <v>3</v>
      </c>
      <c r="E32" s="50">
        <v>3</v>
      </c>
      <c r="F32" s="50">
        <v>33</v>
      </c>
      <c r="G32" s="50">
        <v>2</v>
      </c>
      <c r="H32" s="50">
        <v>0</v>
      </c>
      <c r="I32" s="50">
        <v>7</v>
      </c>
      <c r="J32" s="50">
        <v>10</v>
      </c>
      <c r="K32" s="50">
        <v>2</v>
      </c>
      <c r="L32" s="50">
        <v>0</v>
      </c>
      <c r="M32" s="50">
        <v>96</v>
      </c>
      <c r="N32" s="50">
        <v>0</v>
      </c>
      <c r="O32" s="15">
        <f t="shared" si="0"/>
        <v>108</v>
      </c>
      <c r="P32" s="15">
        <f t="shared" si="1"/>
        <v>204</v>
      </c>
    </row>
    <row r="33" spans="2:20" ht="23.1" customHeight="1" x14ac:dyDescent="0.25">
      <c r="B33" s="23" t="s">
        <v>60</v>
      </c>
      <c r="C33" s="50">
        <v>37</v>
      </c>
      <c r="D33" s="50">
        <v>6</v>
      </c>
      <c r="E33" s="50">
        <v>3</v>
      </c>
      <c r="F33" s="50">
        <v>22</v>
      </c>
      <c r="G33" s="50">
        <v>0</v>
      </c>
      <c r="H33" s="50">
        <v>1</v>
      </c>
      <c r="I33" s="50">
        <v>9</v>
      </c>
      <c r="J33" s="50">
        <v>7</v>
      </c>
      <c r="K33" s="50">
        <v>1</v>
      </c>
      <c r="L33" s="50">
        <v>3</v>
      </c>
      <c r="M33" s="50">
        <v>83</v>
      </c>
      <c r="N33" s="50">
        <v>0</v>
      </c>
      <c r="O33" s="15">
        <f t="shared" si="0"/>
        <v>89</v>
      </c>
      <c r="P33" s="15">
        <f t="shared" si="1"/>
        <v>172</v>
      </c>
    </row>
    <row r="34" spans="2:20" ht="23.1" customHeight="1" x14ac:dyDescent="0.25">
      <c r="B34" s="24" t="s">
        <v>61</v>
      </c>
      <c r="C34" s="50">
        <v>30</v>
      </c>
      <c r="D34" s="50">
        <v>6</v>
      </c>
      <c r="E34" s="50">
        <v>4</v>
      </c>
      <c r="F34" s="50">
        <v>29</v>
      </c>
      <c r="G34" s="50">
        <v>1</v>
      </c>
      <c r="H34" s="50">
        <v>0</v>
      </c>
      <c r="I34" s="50">
        <v>7</v>
      </c>
      <c r="J34" s="50">
        <v>9</v>
      </c>
      <c r="K34" s="50">
        <v>1</v>
      </c>
      <c r="L34" s="50">
        <v>1</v>
      </c>
      <c r="M34" s="50">
        <v>90</v>
      </c>
      <c r="N34" s="50">
        <v>0</v>
      </c>
      <c r="O34" s="15">
        <f t="shared" si="0"/>
        <v>88</v>
      </c>
      <c r="P34" s="15">
        <f t="shared" si="1"/>
        <v>178</v>
      </c>
    </row>
    <row r="35" spans="2:20" ht="23.1" customHeight="1" x14ac:dyDescent="0.25">
      <c r="B35" s="24" t="s">
        <v>62</v>
      </c>
      <c r="C35" s="50">
        <v>27</v>
      </c>
      <c r="D35" s="50">
        <v>6</v>
      </c>
      <c r="E35" s="50">
        <v>6</v>
      </c>
      <c r="F35" s="50">
        <v>16</v>
      </c>
      <c r="G35" s="50">
        <v>0</v>
      </c>
      <c r="H35" s="50">
        <v>1</v>
      </c>
      <c r="I35" s="50">
        <v>11</v>
      </c>
      <c r="J35" s="50">
        <v>2</v>
      </c>
      <c r="K35" s="50">
        <v>4</v>
      </c>
      <c r="L35" s="50">
        <v>6</v>
      </c>
      <c r="M35" s="50">
        <v>67</v>
      </c>
      <c r="N35" s="50">
        <v>0</v>
      </c>
      <c r="O35" s="15">
        <f t="shared" si="0"/>
        <v>79</v>
      </c>
      <c r="P35" s="15">
        <f t="shared" si="1"/>
        <v>146</v>
      </c>
    </row>
    <row r="36" spans="2:20" ht="23.1" customHeight="1" x14ac:dyDescent="0.25">
      <c r="B36" s="24" t="s">
        <v>63</v>
      </c>
      <c r="C36" s="50">
        <v>45</v>
      </c>
      <c r="D36" s="50">
        <v>10</v>
      </c>
      <c r="E36" s="50">
        <v>4</v>
      </c>
      <c r="F36" s="50">
        <v>26</v>
      </c>
      <c r="G36" s="50">
        <v>0</v>
      </c>
      <c r="H36" s="50">
        <v>0</v>
      </c>
      <c r="I36" s="50">
        <v>14</v>
      </c>
      <c r="J36" s="50">
        <v>6</v>
      </c>
      <c r="K36" s="50">
        <v>3</v>
      </c>
      <c r="L36" s="50">
        <v>0</v>
      </c>
      <c r="M36" s="50">
        <v>93</v>
      </c>
      <c r="N36" s="50">
        <v>0</v>
      </c>
      <c r="O36" s="15">
        <f t="shared" si="0"/>
        <v>108</v>
      </c>
      <c r="P36" s="15">
        <f t="shared" si="1"/>
        <v>201</v>
      </c>
    </row>
    <row r="37" spans="2:20" ht="23.1" customHeight="1" x14ac:dyDescent="0.25">
      <c r="B37" s="23" t="s">
        <v>64</v>
      </c>
      <c r="C37" s="50">
        <v>39</v>
      </c>
      <c r="D37" s="50">
        <v>9</v>
      </c>
      <c r="E37" s="50">
        <v>6</v>
      </c>
      <c r="F37" s="50">
        <v>23</v>
      </c>
      <c r="G37" s="50">
        <v>0</v>
      </c>
      <c r="H37" s="50">
        <v>0</v>
      </c>
      <c r="I37" s="50">
        <v>11</v>
      </c>
      <c r="J37" s="50">
        <v>8</v>
      </c>
      <c r="K37" s="50">
        <v>1</v>
      </c>
      <c r="L37" s="50">
        <v>0</v>
      </c>
      <c r="M37" s="50">
        <v>147</v>
      </c>
      <c r="N37" s="50">
        <v>0</v>
      </c>
      <c r="O37" s="15">
        <f t="shared" si="0"/>
        <v>97</v>
      </c>
      <c r="P37" s="15">
        <f t="shared" si="1"/>
        <v>244</v>
      </c>
    </row>
    <row r="38" spans="2:20" ht="23.1" customHeight="1" x14ac:dyDescent="0.25">
      <c r="B38" s="24" t="s">
        <v>65</v>
      </c>
      <c r="C38" s="50">
        <v>53</v>
      </c>
      <c r="D38" s="50">
        <v>5</v>
      </c>
      <c r="E38" s="50">
        <v>3</v>
      </c>
      <c r="F38" s="50">
        <v>36</v>
      </c>
      <c r="G38" s="50">
        <v>0</v>
      </c>
      <c r="H38" s="50">
        <v>0</v>
      </c>
      <c r="I38" s="50">
        <v>11</v>
      </c>
      <c r="J38" s="50">
        <v>8</v>
      </c>
      <c r="K38" s="50">
        <v>2</v>
      </c>
      <c r="L38" s="50">
        <v>2</v>
      </c>
      <c r="M38" s="50">
        <v>113</v>
      </c>
      <c r="N38" s="50">
        <v>0</v>
      </c>
      <c r="O38" s="15">
        <f t="shared" si="0"/>
        <v>120</v>
      </c>
      <c r="P38" s="15">
        <f t="shared" si="1"/>
        <v>233</v>
      </c>
    </row>
    <row r="39" spans="2:20" ht="23.1" customHeight="1" x14ac:dyDescent="0.25">
      <c r="B39" s="24" t="s">
        <v>66</v>
      </c>
      <c r="C39" s="50">
        <v>38</v>
      </c>
      <c r="D39" s="50">
        <v>4</v>
      </c>
      <c r="E39" s="50">
        <v>7</v>
      </c>
      <c r="F39" s="50">
        <v>20</v>
      </c>
      <c r="G39" s="50">
        <v>0</v>
      </c>
      <c r="H39" s="50">
        <v>1</v>
      </c>
      <c r="I39" s="50">
        <v>11</v>
      </c>
      <c r="J39" s="50">
        <v>1</v>
      </c>
      <c r="K39" s="50">
        <v>1</v>
      </c>
      <c r="L39" s="50">
        <v>0</v>
      </c>
      <c r="M39" s="50">
        <v>153</v>
      </c>
      <c r="N39" s="50">
        <v>0</v>
      </c>
      <c r="O39" s="15">
        <f t="shared" si="0"/>
        <v>83</v>
      </c>
      <c r="P39" s="15">
        <f t="shared" si="1"/>
        <v>236</v>
      </c>
    </row>
    <row r="40" spans="2:20" ht="23.1" customHeight="1" x14ac:dyDescent="0.25">
      <c r="B40" s="24" t="s">
        <v>67</v>
      </c>
      <c r="C40" s="50">
        <v>41</v>
      </c>
      <c r="D40" s="50">
        <v>6</v>
      </c>
      <c r="E40" s="50">
        <v>5</v>
      </c>
      <c r="F40" s="50">
        <v>37</v>
      </c>
      <c r="G40" s="50">
        <v>1</v>
      </c>
      <c r="H40" s="50">
        <v>1</v>
      </c>
      <c r="I40" s="50">
        <v>11</v>
      </c>
      <c r="J40" s="50">
        <v>5</v>
      </c>
      <c r="K40" s="50">
        <v>3</v>
      </c>
      <c r="L40" s="50">
        <v>2</v>
      </c>
      <c r="M40" s="50">
        <v>157</v>
      </c>
      <c r="N40" s="50">
        <v>0</v>
      </c>
      <c r="O40" s="15">
        <f t="shared" si="0"/>
        <v>112</v>
      </c>
      <c r="P40" s="15">
        <f t="shared" si="1"/>
        <v>269</v>
      </c>
    </row>
    <row r="41" spans="2:20" ht="23.1" customHeight="1" x14ac:dyDescent="0.25">
      <c r="B41" s="23" t="s">
        <v>68</v>
      </c>
      <c r="C41" s="50">
        <v>24</v>
      </c>
      <c r="D41" s="50">
        <v>2</v>
      </c>
      <c r="E41" s="50">
        <v>2</v>
      </c>
      <c r="F41" s="50">
        <v>10</v>
      </c>
      <c r="G41" s="50">
        <v>0</v>
      </c>
      <c r="H41" s="50">
        <v>0</v>
      </c>
      <c r="I41" s="50">
        <v>5</v>
      </c>
      <c r="J41" s="50">
        <v>7</v>
      </c>
      <c r="K41" s="50">
        <v>2</v>
      </c>
      <c r="L41" s="50">
        <v>1</v>
      </c>
      <c r="M41" s="50">
        <v>59</v>
      </c>
      <c r="N41" s="50">
        <v>0</v>
      </c>
      <c r="O41" s="15">
        <f t="shared" si="0"/>
        <v>53</v>
      </c>
      <c r="P41" s="15">
        <f t="shared" si="1"/>
        <v>112</v>
      </c>
    </row>
    <row r="42" spans="2:20" ht="23.1" customHeight="1" x14ac:dyDescent="0.25">
      <c r="B42" s="24" t="s">
        <v>69</v>
      </c>
      <c r="C42" s="50">
        <v>54</v>
      </c>
      <c r="D42" s="50">
        <v>7</v>
      </c>
      <c r="E42" s="50">
        <v>2</v>
      </c>
      <c r="F42" s="50">
        <v>33</v>
      </c>
      <c r="G42" s="50">
        <v>0</v>
      </c>
      <c r="H42" s="50">
        <v>0</v>
      </c>
      <c r="I42" s="50">
        <v>12</v>
      </c>
      <c r="J42" s="50">
        <v>8</v>
      </c>
      <c r="K42" s="50">
        <v>5</v>
      </c>
      <c r="L42" s="50">
        <v>3</v>
      </c>
      <c r="M42" s="50">
        <v>128</v>
      </c>
      <c r="N42" s="50">
        <v>0</v>
      </c>
      <c r="O42" s="15">
        <f t="shared" si="0"/>
        <v>124</v>
      </c>
      <c r="P42" s="15">
        <f t="shared" si="1"/>
        <v>252</v>
      </c>
    </row>
    <row r="43" spans="2:20" ht="23.1" customHeight="1" x14ac:dyDescent="0.25">
      <c r="B43" s="23" t="s">
        <v>70</v>
      </c>
      <c r="C43" s="50">
        <v>45</v>
      </c>
      <c r="D43" s="50">
        <v>7</v>
      </c>
      <c r="E43" s="50">
        <v>4</v>
      </c>
      <c r="F43" s="50">
        <v>19</v>
      </c>
      <c r="G43" s="50">
        <v>0</v>
      </c>
      <c r="H43" s="50">
        <v>2</v>
      </c>
      <c r="I43" s="50">
        <v>9</v>
      </c>
      <c r="J43" s="50">
        <v>9</v>
      </c>
      <c r="K43" s="50">
        <v>2</v>
      </c>
      <c r="L43" s="50">
        <v>6</v>
      </c>
      <c r="M43" s="50">
        <v>97</v>
      </c>
      <c r="N43" s="50">
        <v>0</v>
      </c>
      <c r="O43" s="15">
        <f t="shared" si="0"/>
        <v>103</v>
      </c>
      <c r="P43" s="15">
        <f t="shared" si="1"/>
        <v>200</v>
      </c>
    </row>
    <row r="44" spans="2:20" ht="23.1" customHeight="1" x14ac:dyDescent="0.25">
      <c r="B44" s="25" t="s">
        <v>71</v>
      </c>
      <c r="C44" s="50">
        <v>42</v>
      </c>
      <c r="D44" s="50">
        <v>3</v>
      </c>
      <c r="E44" s="50">
        <v>7</v>
      </c>
      <c r="F44" s="50">
        <v>24</v>
      </c>
      <c r="G44" s="50">
        <v>0</v>
      </c>
      <c r="H44" s="50">
        <v>1</v>
      </c>
      <c r="I44" s="50">
        <v>11</v>
      </c>
      <c r="J44" s="50">
        <v>6</v>
      </c>
      <c r="K44" s="50">
        <v>4</v>
      </c>
      <c r="L44" s="50">
        <v>1</v>
      </c>
      <c r="M44" s="50">
        <v>120</v>
      </c>
      <c r="N44" s="50">
        <v>0</v>
      </c>
      <c r="O44" s="15">
        <f t="shared" si="0"/>
        <v>99</v>
      </c>
      <c r="P44" s="15">
        <f t="shared" si="1"/>
        <v>219</v>
      </c>
    </row>
    <row r="45" spans="2:20" ht="23.1" customHeight="1" x14ac:dyDescent="0.25">
      <c r="B45" s="23" t="s">
        <v>72</v>
      </c>
      <c r="C45" s="50">
        <v>27</v>
      </c>
      <c r="D45" s="50">
        <v>6</v>
      </c>
      <c r="E45" s="50">
        <v>3</v>
      </c>
      <c r="F45" s="50">
        <v>7</v>
      </c>
      <c r="G45" s="50">
        <v>0</v>
      </c>
      <c r="H45" s="50">
        <v>0</v>
      </c>
      <c r="I45" s="50">
        <v>6</v>
      </c>
      <c r="J45" s="50">
        <v>5</v>
      </c>
      <c r="K45" s="50">
        <v>5</v>
      </c>
      <c r="L45" s="50">
        <v>4</v>
      </c>
      <c r="M45" s="50">
        <v>53</v>
      </c>
      <c r="N45" s="50">
        <v>0</v>
      </c>
      <c r="O45" s="15">
        <f t="shared" si="0"/>
        <v>63</v>
      </c>
      <c r="P45" s="15">
        <f t="shared" si="1"/>
        <v>116</v>
      </c>
    </row>
    <row r="46" spans="2:20" ht="23.1" customHeight="1" x14ac:dyDescent="0.25">
      <c r="B46" s="24" t="s">
        <v>73</v>
      </c>
      <c r="C46" s="50">
        <v>26</v>
      </c>
      <c r="D46" s="50">
        <v>7</v>
      </c>
      <c r="E46" s="50">
        <v>10</v>
      </c>
      <c r="F46" s="50">
        <v>35</v>
      </c>
      <c r="G46" s="50">
        <v>1</v>
      </c>
      <c r="H46" s="50">
        <v>1</v>
      </c>
      <c r="I46" s="50">
        <v>11</v>
      </c>
      <c r="J46" s="50">
        <v>8</v>
      </c>
      <c r="K46" s="50">
        <v>2</v>
      </c>
      <c r="L46" s="50">
        <v>2</v>
      </c>
      <c r="M46" s="50">
        <v>80</v>
      </c>
      <c r="N46" s="50">
        <v>0</v>
      </c>
      <c r="O46" s="15">
        <f t="shared" si="0"/>
        <v>103</v>
      </c>
      <c r="P46" s="15">
        <f t="shared" si="1"/>
        <v>183</v>
      </c>
      <c r="R46" s="8"/>
      <c r="T46"/>
    </row>
    <row r="47" spans="2:20" ht="23.1" customHeight="1" x14ac:dyDescent="0.25">
      <c r="B47" s="24" t="s">
        <v>74</v>
      </c>
      <c r="C47" s="50">
        <v>30</v>
      </c>
      <c r="D47" s="50">
        <v>4</v>
      </c>
      <c r="E47" s="50">
        <v>1</v>
      </c>
      <c r="F47" s="50">
        <v>7</v>
      </c>
      <c r="G47" s="50">
        <v>1</v>
      </c>
      <c r="H47" s="50">
        <v>0</v>
      </c>
      <c r="I47" s="50">
        <v>7</v>
      </c>
      <c r="J47" s="50">
        <v>12</v>
      </c>
      <c r="K47" s="50">
        <v>2</v>
      </c>
      <c r="L47" s="50">
        <v>2</v>
      </c>
      <c r="M47" s="50">
        <v>91</v>
      </c>
      <c r="N47" s="50">
        <v>0</v>
      </c>
      <c r="O47" s="15">
        <f t="shared" si="0"/>
        <v>66</v>
      </c>
      <c r="P47" s="15">
        <f t="shared" si="1"/>
        <v>157</v>
      </c>
      <c r="R47" s="8"/>
      <c r="T47"/>
    </row>
    <row r="48" spans="2:20" ht="23.1" customHeight="1" x14ac:dyDescent="0.25">
      <c r="B48" s="24" t="s">
        <v>75</v>
      </c>
      <c r="C48" s="50">
        <v>35</v>
      </c>
      <c r="D48" s="50">
        <v>8</v>
      </c>
      <c r="E48" s="50">
        <v>6</v>
      </c>
      <c r="F48" s="50">
        <v>23</v>
      </c>
      <c r="G48" s="50">
        <v>1</v>
      </c>
      <c r="H48" s="50">
        <v>0</v>
      </c>
      <c r="I48" s="50">
        <v>17</v>
      </c>
      <c r="J48" s="50">
        <v>5</v>
      </c>
      <c r="K48" s="50">
        <v>2</v>
      </c>
      <c r="L48" s="50">
        <v>3</v>
      </c>
      <c r="M48" s="50">
        <v>70</v>
      </c>
      <c r="N48" s="50">
        <v>0</v>
      </c>
      <c r="O48" s="15">
        <f t="shared" si="0"/>
        <v>100</v>
      </c>
      <c r="P48" s="15">
        <f t="shared" si="1"/>
        <v>170</v>
      </c>
      <c r="R48" s="8"/>
      <c r="T48"/>
    </row>
    <row r="49" spans="2:20" ht="23.1" customHeight="1" x14ac:dyDescent="0.25">
      <c r="B49" s="23" t="s">
        <v>76</v>
      </c>
      <c r="C49" s="50">
        <v>52</v>
      </c>
      <c r="D49" s="50">
        <v>9</v>
      </c>
      <c r="E49" s="50">
        <v>5</v>
      </c>
      <c r="F49" s="50">
        <v>31</v>
      </c>
      <c r="G49" s="50">
        <v>1</v>
      </c>
      <c r="H49" s="50">
        <v>1</v>
      </c>
      <c r="I49" s="50">
        <v>11</v>
      </c>
      <c r="J49" s="50">
        <v>2</v>
      </c>
      <c r="K49" s="50">
        <v>2</v>
      </c>
      <c r="L49" s="50">
        <v>4</v>
      </c>
      <c r="M49" s="50">
        <v>162</v>
      </c>
      <c r="N49" s="50">
        <v>0</v>
      </c>
      <c r="O49" s="15">
        <f t="shared" si="0"/>
        <v>118</v>
      </c>
      <c r="P49" s="15">
        <f t="shared" si="1"/>
        <v>280</v>
      </c>
      <c r="R49" s="8"/>
      <c r="T49"/>
    </row>
    <row r="50" spans="2:20" ht="23.1" customHeight="1" x14ac:dyDescent="0.25">
      <c r="B50" s="24" t="s">
        <v>77</v>
      </c>
      <c r="C50" s="50">
        <v>66</v>
      </c>
      <c r="D50" s="50">
        <v>6</v>
      </c>
      <c r="E50" s="50">
        <v>11</v>
      </c>
      <c r="F50" s="50">
        <v>41</v>
      </c>
      <c r="G50" s="50">
        <v>0</v>
      </c>
      <c r="H50" s="50">
        <v>0</v>
      </c>
      <c r="I50" s="50">
        <v>6</v>
      </c>
      <c r="J50" s="50">
        <v>3</v>
      </c>
      <c r="K50" s="50">
        <v>5</v>
      </c>
      <c r="L50" s="50">
        <v>2</v>
      </c>
      <c r="M50" s="50">
        <v>260</v>
      </c>
      <c r="N50" s="50">
        <v>0</v>
      </c>
      <c r="O50" s="15">
        <f t="shared" si="0"/>
        <v>140</v>
      </c>
      <c r="P50" s="15">
        <f t="shared" si="1"/>
        <v>400</v>
      </c>
      <c r="R50" s="8"/>
      <c r="T50"/>
    </row>
    <row r="51" spans="2:20" ht="23.1" customHeight="1" x14ac:dyDescent="0.25">
      <c r="B51" s="24" t="s">
        <v>78</v>
      </c>
      <c r="C51" s="50">
        <v>35</v>
      </c>
      <c r="D51" s="50">
        <v>6</v>
      </c>
      <c r="E51" s="50">
        <v>2</v>
      </c>
      <c r="F51" s="50">
        <v>19</v>
      </c>
      <c r="G51" s="50">
        <v>2</v>
      </c>
      <c r="H51" s="50">
        <v>0</v>
      </c>
      <c r="I51" s="50">
        <v>5</v>
      </c>
      <c r="J51" s="50">
        <v>7</v>
      </c>
      <c r="K51" s="50">
        <v>0</v>
      </c>
      <c r="L51" s="50">
        <v>0</v>
      </c>
      <c r="M51" s="50">
        <v>162</v>
      </c>
      <c r="N51" s="50">
        <v>0</v>
      </c>
      <c r="O51" s="15">
        <f t="shared" si="0"/>
        <v>76</v>
      </c>
      <c r="P51" s="15">
        <f t="shared" si="1"/>
        <v>238</v>
      </c>
      <c r="R51" s="8"/>
      <c r="T51"/>
    </row>
    <row r="52" spans="2:20" ht="23.1" customHeight="1" x14ac:dyDescent="0.25">
      <c r="B52" s="24" t="s">
        <v>79</v>
      </c>
      <c r="C52" s="50">
        <v>105</v>
      </c>
      <c r="D52" s="50">
        <v>15</v>
      </c>
      <c r="E52" s="50">
        <v>2</v>
      </c>
      <c r="F52" s="50">
        <v>40</v>
      </c>
      <c r="G52" s="50">
        <v>1</v>
      </c>
      <c r="H52" s="50">
        <v>1</v>
      </c>
      <c r="I52" s="50">
        <v>13</v>
      </c>
      <c r="J52" s="50">
        <v>7</v>
      </c>
      <c r="K52" s="50">
        <v>2</v>
      </c>
      <c r="L52" s="50">
        <v>4</v>
      </c>
      <c r="M52" s="50">
        <v>220</v>
      </c>
      <c r="N52" s="50">
        <v>0</v>
      </c>
      <c r="O52" s="15">
        <f t="shared" si="0"/>
        <v>190</v>
      </c>
      <c r="P52" s="15">
        <f t="shared" si="1"/>
        <v>410</v>
      </c>
      <c r="R52" s="8"/>
      <c r="T52"/>
    </row>
    <row r="53" spans="2:20" ht="23.1" customHeight="1" x14ac:dyDescent="0.25">
      <c r="B53" s="23" t="s">
        <v>80</v>
      </c>
      <c r="C53" s="50">
        <v>140</v>
      </c>
      <c r="D53" s="50">
        <v>4</v>
      </c>
      <c r="E53" s="50">
        <v>2</v>
      </c>
      <c r="F53" s="50">
        <v>21</v>
      </c>
      <c r="G53" s="50">
        <v>1</v>
      </c>
      <c r="H53" s="50">
        <v>0</v>
      </c>
      <c r="I53" s="50">
        <v>7</v>
      </c>
      <c r="J53" s="50">
        <v>5</v>
      </c>
      <c r="K53" s="50">
        <v>3</v>
      </c>
      <c r="L53" s="50">
        <v>0</v>
      </c>
      <c r="M53" s="50">
        <v>150</v>
      </c>
      <c r="N53" s="50">
        <v>0</v>
      </c>
      <c r="O53" s="15">
        <f t="shared" si="0"/>
        <v>183</v>
      </c>
      <c r="P53" s="15">
        <f t="shared" si="1"/>
        <v>333</v>
      </c>
      <c r="R53" s="8"/>
      <c r="T53"/>
    </row>
    <row r="54" spans="2:20" ht="23.1" customHeight="1" x14ac:dyDescent="0.25">
      <c r="B54" s="23" t="s">
        <v>81</v>
      </c>
      <c r="C54" s="50">
        <v>115</v>
      </c>
      <c r="D54" s="50">
        <v>11</v>
      </c>
      <c r="E54" s="50">
        <v>3</v>
      </c>
      <c r="F54" s="50">
        <v>63</v>
      </c>
      <c r="G54" s="50">
        <v>2</v>
      </c>
      <c r="H54" s="50">
        <v>0</v>
      </c>
      <c r="I54" s="50">
        <v>5</v>
      </c>
      <c r="J54" s="50">
        <v>13</v>
      </c>
      <c r="K54" s="50">
        <v>2</v>
      </c>
      <c r="L54" s="50">
        <v>0</v>
      </c>
      <c r="M54" s="50">
        <v>300</v>
      </c>
      <c r="N54" s="50">
        <v>0</v>
      </c>
      <c r="O54" s="15">
        <f t="shared" si="0"/>
        <v>214</v>
      </c>
      <c r="P54" s="15">
        <f t="shared" si="1"/>
        <v>514</v>
      </c>
      <c r="R54" s="8"/>
      <c r="T54"/>
    </row>
    <row r="55" spans="2:20" ht="23.1" customHeight="1" x14ac:dyDescent="0.25">
      <c r="B55" s="23" t="s">
        <v>82</v>
      </c>
      <c r="C55" s="50">
        <v>118</v>
      </c>
      <c r="D55" s="50">
        <v>1</v>
      </c>
      <c r="E55" s="50">
        <v>5</v>
      </c>
      <c r="F55" s="50">
        <v>37</v>
      </c>
      <c r="G55" s="50">
        <v>4</v>
      </c>
      <c r="H55" s="50">
        <v>0</v>
      </c>
      <c r="I55" s="50">
        <v>18</v>
      </c>
      <c r="J55" s="50">
        <v>12</v>
      </c>
      <c r="K55" s="50">
        <v>4</v>
      </c>
      <c r="L55" s="50">
        <v>2</v>
      </c>
      <c r="M55" s="50">
        <v>205</v>
      </c>
      <c r="N55" s="50">
        <v>0</v>
      </c>
      <c r="O55" s="15">
        <f t="shared" si="0"/>
        <v>201</v>
      </c>
      <c r="P55" s="15">
        <f t="shared" si="1"/>
        <v>406</v>
      </c>
      <c r="R55" s="8"/>
      <c r="T55"/>
    </row>
    <row r="56" spans="2:20" ht="23.1" customHeight="1" x14ac:dyDescent="0.25">
      <c r="B56" s="23" t="s">
        <v>83</v>
      </c>
      <c r="C56" s="50">
        <v>105</v>
      </c>
      <c r="D56" s="50">
        <v>8</v>
      </c>
      <c r="E56" s="50">
        <v>4</v>
      </c>
      <c r="F56" s="50">
        <v>35</v>
      </c>
      <c r="G56" s="50">
        <v>1</v>
      </c>
      <c r="H56" s="50">
        <v>1</v>
      </c>
      <c r="I56" s="50">
        <v>8</v>
      </c>
      <c r="J56" s="50">
        <v>5</v>
      </c>
      <c r="K56" s="50">
        <v>2</v>
      </c>
      <c r="L56" s="50">
        <v>2</v>
      </c>
      <c r="M56" s="50">
        <v>220</v>
      </c>
      <c r="N56" s="50">
        <v>0</v>
      </c>
      <c r="O56" s="15">
        <f t="shared" si="0"/>
        <v>171</v>
      </c>
      <c r="P56" s="15">
        <f t="shared" si="1"/>
        <v>391</v>
      </c>
      <c r="R56" s="8"/>
      <c r="T56"/>
    </row>
    <row r="57" spans="2:20" ht="23.1" customHeight="1" x14ac:dyDescent="0.25">
      <c r="B57" s="23" t="s">
        <v>84</v>
      </c>
      <c r="C57" s="50">
        <v>90</v>
      </c>
      <c r="D57" s="50">
        <v>27</v>
      </c>
      <c r="E57" s="50">
        <v>6</v>
      </c>
      <c r="F57" s="50">
        <v>57</v>
      </c>
      <c r="G57" s="50">
        <v>1</v>
      </c>
      <c r="H57" s="50">
        <v>0</v>
      </c>
      <c r="I57" s="50">
        <v>13</v>
      </c>
      <c r="J57" s="50">
        <v>12</v>
      </c>
      <c r="K57" s="50">
        <v>4</v>
      </c>
      <c r="L57" s="50">
        <v>2</v>
      </c>
      <c r="M57" s="50">
        <v>258</v>
      </c>
      <c r="N57" s="50">
        <v>0</v>
      </c>
      <c r="O57" s="15">
        <f t="shared" si="0"/>
        <v>212</v>
      </c>
      <c r="P57" s="15">
        <f t="shared" si="1"/>
        <v>470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2316</v>
      </c>
      <c r="D58" s="16">
        <f t="shared" si="21"/>
        <v>327</v>
      </c>
      <c r="E58" s="16">
        <f t="shared" si="21"/>
        <v>225</v>
      </c>
      <c r="F58" s="16">
        <f t="shared" si="21"/>
        <v>1396</v>
      </c>
      <c r="G58" s="16">
        <f t="shared" si="21"/>
        <v>45</v>
      </c>
      <c r="H58" s="16">
        <f t="shared" si="21"/>
        <v>21</v>
      </c>
      <c r="I58" s="16">
        <f t="shared" si="21"/>
        <v>450</v>
      </c>
      <c r="J58" s="16">
        <f t="shared" si="21"/>
        <v>320</v>
      </c>
      <c r="K58" s="16">
        <f t="shared" si="21"/>
        <v>94</v>
      </c>
      <c r="L58" s="16">
        <f t="shared" si="21"/>
        <v>83</v>
      </c>
      <c r="M58" s="16">
        <f t="shared" si="21"/>
        <v>8099</v>
      </c>
      <c r="N58" s="16">
        <f t="shared" si="21"/>
        <v>0</v>
      </c>
      <c r="O58" s="16">
        <f t="shared" si="21"/>
        <v>5277</v>
      </c>
      <c r="P58" s="16">
        <f t="shared" si="21"/>
        <v>13376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0.17314593301435408</v>
      </c>
      <c r="D59" s="43">
        <f t="shared" si="22"/>
        <v>2.4446770334928231E-2</v>
      </c>
      <c r="E59" s="43">
        <f t="shared" si="22"/>
        <v>1.6821172248803827E-2</v>
      </c>
      <c r="F59" s="43">
        <f t="shared" si="22"/>
        <v>0.10436602870813397</v>
      </c>
      <c r="G59" s="43">
        <f t="shared" si="22"/>
        <v>3.3642344497607658E-3</v>
      </c>
      <c r="H59" s="43">
        <f t="shared" si="22"/>
        <v>1.5699760765550239E-3</v>
      </c>
      <c r="I59" s="43">
        <f t="shared" si="22"/>
        <v>3.3642344497607654E-2</v>
      </c>
      <c r="J59" s="43">
        <f t="shared" si="22"/>
        <v>2.3923444976076555E-2</v>
      </c>
      <c r="K59" s="43">
        <f t="shared" si="22"/>
        <v>7.0275119617224883E-3</v>
      </c>
      <c r="L59" s="43">
        <f t="shared" si="22"/>
        <v>6.2051435406698567E-3</v>
      </c>
      <c r="M59" s="43">
        <f t="shared" si="22"/>
        <v>0.60548744019138756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0.43888573052870949</v>
      </c>
      <c r="D60" s="44">
        <f t="shared" ref="D60:N60" si="23">D58/$O$58</f>
        <v>6.196702671972712E-2</v>
      </c>
      <c r="E60" s="44">
        <f t="shared" si="23"/>
        <v>4.2637862421830583E-2</v>
      </c>
      <c r="F60" s="44">
        <f t="shared" si="23"/>
        <v>0.26454424862611331</v>
      </c>
      <c r="G60" s="44">
        <f t="shared" si="23"/>
        <v>8.5275724843661173E-3</v>
      </c>
      <c r="H60" s="44">
        <f t="shared" si="23"/>
        <v>3.9795338260375217E-3</v>
      </c>
      <c r="I60" s="44">
        <f t="shared" si="23"/>
        <v>8.5275724843661166E-2</v>
      </c>
      <c r="J60" s="44">
        <f t="shared" si="23"/>
        <v>6.0640515444381274E-2</v>
      </c>
      <c r="K60" s="44">
        <f t="shared" si="23"/>
        <v>1.7813151411787E-2</v>
      </c>
      <c r="L60" s="44">
        <f t="shared" si="23"/>
        <v>1.5728633693386392E-2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E1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'22.07 Bulenga-Busega'!C3:G3</f>
        <v>MCC - C1 - STN12-MITYANA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'23.07 Busega-Bulenga'!D5</f>
        <v>23.07.19</v>
      </c>
      <c r="E5" s="3"/>
      <c r="F5" s="41" t="s">
        <v>1</v>
      </c>
      <c r="G5" s="68" t="str">
        <f>'22.07 Busega-Bulenga'!G5:H5</f>
        <v xml:space="preserve">Petro Max </v>
      </c>
      <c r="H5" s="69"/>
      <c r="I5" s="14"/>
      <c r="J5" s="2" t="s">
        <v>5</v>
      </c>
      <c r="K5" s="68" t="s">
        <v>175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'22.07 Bulenga-Busega'!D6:E6</f>
        <v xml:space="preserve">Bulenga </v>
      </c>
      <c r="E6" s="69"/>
      <c r="F6" s="2" t="s">
        <v>2</v>
      </c>
      <c r="G6" s="68" t="str">
        <f>'22.07 Bulenga-Busega'!G6:H6</f>
        <v>Busega</v>
      </c>
      <c r="H6" s="69"/>
      <c r="J6" s="2" t="s">
        <v>21</v>
      </c>
      <c r="K6" s="68" t="str">
        <f>'22.07 Busega-Bulenga'!K6:L6</f>
        <v>Andrew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75</v>
      </c>
      <c r="D10" s="50">
        <v>14</v>
      </c>
      <c r="E10" s="50">
        <v>12</v>
      </c>
      <c r="F10" s="50">
        <v>90</v>
      </c>
      <c r="G10" s="50">
        <v>1</v>
      </c>
      <c r="H10" s="50">
        <v>0</v>
      </c>
      <c r="I10" s="50">
        <v>3</v>
      </c>
      <c r="J10" s="50">
        <v>10</v>
      </c>
      <c r="K10" s="50">
        <v>0</v>
      </c>
      <c r="L10" s="50">
        <v>2</v>
      </c>
      <c r="M10" s="50">
        <v>205</v>
      </c>
      <c r="N10" s="50">
        <v>0</v>
      </c>
      <c r="O10" s="15">
        <f t="shared" ref="O10:O57" si="0">SUM(C10:L10,N10)</f>
        <v>207</v>
      </c>
      <c r="P10" s="15">
        <f t="shared" ref="P10:P57" si="1">SUM(C10:N10)</f>
        <v>412</v>
      </c>
      <c r="R10" s="1" t="s">
        <v>6</v>
      </c>
      <c r="S10" s="17">
        <f t="shared" ref="S10:AF10" si="2">SUM(C10:C13)</f>
        <v>305</v>
      </c>
      <c r="T10" s="17">
        <f t="shared" si="2"/>
        <v>44</v>
      </c>
      <c r="U10" s="17">
        <f t="shared" si="2"/>
        <v>39</v>
      </c>
      <c r="V10" s="17">
        <f t="shared" si="2"/>
        <v>395</v>
      </c>
      <c r="W10" s="17">
        <f t="shared" si="2"/>
        <v>2</v>
      </c>
      <c r="X10" s="17">
        <f t="shared" si="2"/>
        <v>0</v>
      </c>
      <c r="Y10" s="17">
        <f t="shared" si="2"/>
        <v>10</v>
      </c>
      <c r="Z10" s="17">
        <f t="shared" si="2"/>
        <v>38</v>
      </c>
      <c r="AA10" s="17">
        <f t="shared" si="2"/>
        <v>3</v>
      </c>
      <c r="AB10" s="17">
        <f t="shared" si="2"/>
        <v>12</v>
      </c>
      <c r="AC10" s="17">
        <f t="shared" si="2"/>
        <v>808</v>
      </c>
      <c r="AD10" s="17">
        <f t="shared" si="2"/>
        <v>0</v>
      </c>
      <c r="AE10" s="31">
        <f t="shared" si="2"/>
        <v>848</v>
      </c>
      <c r="AF10" s="31">
        <f t="shared" si="2"/>
        <v>1656</v>
      </c>
    </row>
    <row r="11" spans="2:32" s="6" customFormat="1" ht="23.1" customHeight="1" x14ac:dyDescent="0.25">
      <c r="B11" s="23" t="s">
        <v>38</v>
      </c>
      <c r="C11" s="50">
        <v>65</v>
      </c>
      <c r="D11" s="50">
        <v>10</v>
      </c>
      <c r="E11" s="50">
        <v>10</v>
      </c>
      <c r="F11" s="50">
        <v>105</v>
      </c>
      <c r="G11" s="50">
        <v>0</v>
      </c>
      <c r="H11" s="50">
        <v>0</v>
      </c>
      <c r="I11" s="50">
        <v>3</v>
      </c>
      <c r="J11" s="50">
        <v>10</v>
      </c>
      <c r="K11" s="50">
        <v>2</v>
      </c>
      <c r="L11" s="50">
        <v>2</v>
      </c>
      <c r="M11" s="50">
        <v>195</v>
      </c>
      <c r="N11" s="50">
        <v>0</v>
      </c>
      <c r="O11" s="15">
        <f t="shared" si="0"/>
        <v>207</v>
      </c>
      <c r="P11" s="15">
        <f t="shared" si="1"/>
        <v>402</v>
      </c>
      <c r="R11" s="1" t="s">
        <v>7</v>
      </c>
      <c r="S11" s="17">
        <f t="shared" ref="S11:AF11" si="3">SUM(C14:C17)</f>
        <v>226</v>
      </c>
      <c r="T11" s="17">
        <f t="shared" si="3"/>
        <v>17</v>
      </c>
      <c r="U11" s="17">
        <f t="shared" si="3"/>
        <v>34</v>
      </c>
      <c r="V11" s="17">
        <f t="shared" si="3"/>
        <v>216</v>
      </c>
      <c r="W11" s="17">
        <f t="shared" si="3"/>
        <v>0</v>
      </c>
      <c r="X11" s="17">
        <f t="shared" si="3"/>
        <v>0</v>
      </c>
      <c r="Y11" s="17">
        <f t="shared" si="3"/>
        <v>10</v>
      </c>
      <c r="Z11" s="17">
        <f t="shared" si="3"/>
        <v>18</v>
      </c>
      <c r="AA11" s="17">
        <f t="shared" si="3"/>
        <v>0</v>
      </c>
      <c r="AB11" s="17">
        <f t="shared" si="3"/>
        <v>5</v>
      </c>
      <c r="AC11" s="17">
        <f t="shared" si="3"/>
        <v>714</v>
      </c>
      <c r="AD11" s="17">
        <f t="shared" si="3"/>
        <v>0</v>
      </c>
      <c r="AE11" s="31">
        <f t="shared" si="3"/>
        <v>526</v>
      </c>
      <c r="AF11" s="31">
        <f t="shared" si="3"/>
        <v>1240</v>
      </c>
    </row>
    <row r="12" spans="2:32" ht="23.1" customHeight="1" x14ac:dyDescent="0.25">
      <c r="B12" s="23" t="s">
        <v>39</v>
      </c>
      <c r="C12" s="50">
        <v>80</v>
      </c>
      <c r="D12" s="50">
        <v>13</v>
      </c>
      <c r="E12" s="50">
        <v>14</v>
      </c>
      <c r="F12" s="50">
        <v>90</v>
      </c>
      <c r="G12" s="50">
        <v>1</v>
      </c>
      <c r="H12" s="50">
        <v>0</v>
      </c>
      <c r="I12" s="50">
        <v>1</v>
      </c>
      <c r="J12" s="50">
        <v>10</v>
      </c>
      <c r="K12" s="50">
        <v>0</v>
      </c>
      <c r="L12" s="50">
        <v>4</v>
      </c>
      <c r="M12" s="50">
        <v>207</v>
      </c>
      <c r="N12" s="50">
        <v>0</v>
      </c>
      <c r="O12" s="15">
        <f t="shared" si="0"/>
        <v>213</v>
      </c>
      <c r="P12" s="15">
        <f t="shared" si="1"/>
        <v>420</v>
      </c>
      <c r="R12" s="1" t="s">
        <v>8</v>
      </c>
      <c r="S12" s="17">
        <f t="shared" ref="S12:AF12" si="4">SUM(C18:C21)</f>
        <v>165</v>
      </c>
      <c r="T12" s="17">
        <f t="shared" si="4"/>
        <v>29</v>
      </c>
      <c r="U12" s="17">
        <f t="shared" si="4"/>
        <v>39</v>
      </c>
      <c r="V12" s="17">
        <f t="shared" si="4"/>
        <v>201</v>
      </c>
      <c r="W12" s="17">
        <f t="shared" si="4"/>
        <v>6</v>
      </c>
      <c r="X12" s="17">
        <f t="shared" si="4"/>
        <v>0</v>
      </c>
      <c r="Y12" s="17">
        <f t="shared" si="4"/>
        <v>4</v>
      </c>
      <c r="Z12" s="17">
        <f t="shared" si="4"/>
        <v>29</v>
      </c>
      <c r="AA12" s="17">
        <f t="shared" si="4"/>
        <v>0</v>
      </c>
      <c r="AB12" s="17">
        <f t="shared" si="4"/>
        <v>5</v>
      </c>
      <c r="AC12" s="17">
        <f t="shared" si="4"/>
        <v>801</v>
      </c>
      <c r="AD12" s="17">
        <f t="shared" si="4"/>
        <v>0</v>
      </c>
      <c r="AE12" s="31">
        <f t="shared" si="4"/>
        <v>478</v>
      </c>
      <c r="AF12" s="31">
        <f t="shared" si="4"/>
        <v>1279</v>
      </c>
    </row>
    <row r="13" spans="2:32" ht="23.1" customHeight="1" x14ac:dyDescent="0.25">
      <c r="B13" s="23" t="s">
        <v>40</v>
      </c>
      <c r="C13" s="50">
        <v>85</v>
      </c>
      <c r="D13" s="50">
        <v>7</v>
      </c>
      <c r="E13" s="50">
        <v>3</v>
      </c>
      <c r="F13" s="50">
        <v>110</v>
      </c>
      <c r="G13" s="50">
        <v>0</v>
      </c>
      <c r="H13" s="50">
        <v>0</v>
      </c>
      <c r="I13" s="50">
        <v>3</v>
      </c>
      <c r="J13" s="50">
        <v>8</v>
      </c>
      <c r="K13" s="50">
        <v>1</v>
      </c>
      <c r="L13" s="50">
        <v>4</v>
      </c>
      <c r="M13" s="50">
        <v>201</v>
      </c>
      <c r="N13" s="50">
        <v>0</v>
      </c>
      <c r="O13" s="15">
        <f t="shared" si="0"/>
        <v>221</v>
      </c>
      <c r="P13" s="15">
        <f t="shared" si="1"/>
        <v>422</v>
      </c>
      <c r="R13" s="1" t="s">
        <v>9</v>
      </c>
      <c r="S13" s="17">
        <f t="shared" ref="S13:AF13" si="5">SUM(C22:C25)</f>
        <v>159</v>
      </c>
      <c r="T13" s="17">
        <f t="shared" si="5"/>
        <v>19</v>
      </c>
      <c r="U13" s="17">
        <f t="shared" si="5"/>
        <v>24</v>
      </c>
      <c r="V13" s="17">
        <f t="shared" si="5"/>
        <v>182</v>
      </c>
      <c r="W13" s="17">
        <f t="shared" si="5"/>
        <v>2</v>
      </c>
      <c r="X13" s="17">
        <f t="shared" si="5"/>
        <v>1</v>
      </c>
      <c r="Y13" s="17">
        <f t="shared" si="5"/>
        <v>8</v>
      </c>
      <c r="Z13" s="17">
        <f t="shared" si="5"/>
        <v>27</v>
      </c>
      <c r="AA13" s="17">
        <f t="shared" si="5"/>
        <v>5</v>
      </c>
      <c r="AB13" s="17">
        <f t="shared" si="5"/>
        <v>3</v>
      </c>
      <c r="AC13" s="17">
        <f t="shared" si="5"/>
        <v>608</v>
      </c>
      <c r="AD13" s="17">
        <f t="shared" si="5"/>
        <v>0</v>
      </c>
      <c r="AE13" s="31">
        <f t="shared" si="5"/>
        <v>430</v>
      </c>
      <c r="AF13" s="31">
        <f t="shared" si="5"/>
        <v>1038</v>
      </c>
    </row>
    <row r="14" spans="2:32" ht="23.1" customHeight="1" x14ac:dyDescent="0.25">
      <c r="B14" s="23" t="s">
        <v>41</v>
      </c>
      <c r="C14" s="50">
        <v>73</v>
      </c>
      <c r="D14" s="50">
        <v>2</v>
      </c>
      <c r="E14" s="50">
        <v>8</v>
      </c>
      <c r="F14" s="50">
        <v>62</v>
      </c>
      <c r="G14" s="50">
        <v>0</v>
      </c>
      <c r="H14" s="50">
        <v>0</v>
      </c>
      <c r="I14" s="50">
        <v>1</v>
      </c>
      <c r="J14" s="50">
        <v>5</v>
      </c>
      <c r="K14" s="50">
        <v>0</v>
      </c>
      <c r="L14" s="50">
        <v>1</v>
      </c>
      <c r="M14" s="50">
        <v>173</v>
      </c>
      <c r="N14" s="50">
        <v>0</v>
      </c>
      <c r="O14" s="15">
        <f t="shared" si="0"/>
        <v>152</v>
      </c>
      <c r="P14" s="15">
        <f t="shared" si="1"/>
        <v>325</v>
      </c>
      <c r="R14" s="1" t="s">
        <v>10</v>
      </c>
      <c r="S14" s="17">
        <f t="shared" ref="S14:AF14" si="6">SUM(C26:C29)</f>
        <v>164</v>
      </c>
      <c r="T14" s="17">
        <f t="shared" si="6"/>
        <v>12</v>
      </c>
      <c r="U14" s="17">
        <f t="shared" si="6"/>
        <v>19</v>
      </c>
      <c r="V14" s="17">
        <f t="shared" si="6"/>
        <v>275</v>
      </c>
      <c r="W14" s="17">
        <f t="shared" si="6"/>
        <v>1</v>
      </c>
      <c r="X14" s="17">
        <f t="shared" si="6"/>
        <v>0</v>
      </c>
      <c r="Y14" s="17">
        <f t="shared" si="6"/>
        <v>5</v>
      </c>
      <c r="Z14" s="17">
        <f t="shared" si="6"/>
        <v>25</v>
      </c>
      <c r="AA14" s="17">
        <f t="shared" si="6"/>
        <v>3</v>
      </c>
      <c r="AB14" s="17">
        <f t="shared" si="6"/>
        <v>8</v>
      </c>
      <c r="AC14" s="17">
        <f t="shared" si="6"/>
        <v>709</v>
      </c>
      <c r="AD14" s="17">
        <f t="shared" si="6"/>
        <v>0</v>
      </c>
      <c r="AE14" s="31">
        <f t="shared" si="6"/>
        <v>512</v>
      </c>
      <c r="AF14" s="31">
        <f t="shared" si="6"/>
        <v>1221</v>
      </c>
    </row>
    <row r="15" spans="2:32" ht="23.1" customHeight="1" x14ac:dyDescent="0.25">
      <c r="B15" s="23" t="s">
        <v>42</v>
      </c>
      <c r="C15" s="50">
        <v>68</v>
      </c>
      <c r="D15" s="50">
        <v>5</v>
      </c>
      <c r="E15" s="50">
        <v>10</v>
      </c>
      <c r="F15" s="50">
        <v>66</v>
      </c>
      <c r="G15" s="50">
        <v>0</v>
      </c>
      <c r="H15" s="50">
        <v>0</v>
      </c>
      <c r="I15" s="50">
        <v>5</v>
      </c>
      <c r="J15" s="50">
        <v>8</v>
      </c>
      <c r="K15" s="50">
        <v>0</v>
      </c>
      <c r="L15" s="50">
        <v>1</v>
      </c>
      <c r="M15" s="50">
        <v>181</v>
      </c>
      <c r="N15" s="50">
        <v>0</v>
      </c>
      <c r="O15" s="15">
        <f t="shared" si="0"/>
        <v>163</v>
      </c>
      <c r="P15" s="15">
        <f t="shared" si="1"/>
        <v>344</v>
      </c>
      <c r="R15" s="1" t="s">
        <v>11</v>
      </c>
      <c r="S15" s="17">
        <f t="shared" ref="S15:AF15" si="7">SUM(C30:C33)</f>
        <v>128</v>
      </c>
      <c r="T15" s="17">
        <f t="shared" si="7"/>
        <v>15</v>
      </c>
      <c r="U15" s="17">
        <f t="shared" si="7"/>
        <v>20</v>
      </c>
      <c r="V15" s="17">
        <f t="shared" si="7"/>
        <v>143</v>
      </c>
      <c r="W15" s="17">
        <f t="shared" si="7"/>
        <v>1</v>
      </c>
      <c r="X15" s="17">
        <f t="shared" si="7"/>
        <v>0</v>
      </c>
      <c r="Y15" s="17">
        <f t="shared" si="7"/>
        <v>12</v>
      </c>
      <c r="Z15" s="17">
        <f t="shared" si="7"/>
        <v>29</v>
      </c>
      <c r="AA15" s="17">
        <f t="shared" si="7"/>
        <v>3</v>
      </c>
      <c r="AB15" s="17">
        <f t="shared" si="7"/>
        <v>6</v>
      </c>
      <c r="AC15" s="17">
        <f t="shared" si="7"/>
        <v>507</v>
      </c>
      <c r="AD15" s="17">
        <f t="shared" si="7"/>
        <v>0</v>
      </c>
      <c r="AE15" s="31">
        <f t="shared" si="7"/>
        <v>357</v>
      </c>
      <c r="AF15" s="31">
        <f t="shared" si="7"/>
        <v>864</v>
      </c>
    </row>
    <row r="16" spans="2:32" ht="23.1" customHeight="1" x14ac:dyDescent="0.25">
      <c r="B16" s="23" t="s">
        <v>43</v>
      </c>
      <c r="C16" s="50">
        <v>52</v>
      </c>
      <c r="D16" s="50">
        <v>5</v>
      </c>
      <c r="E16" s="50">
        <v>8</v>
      </c>
      <c r="F16" s="50">
        <v>62</v>
      </c>
      <c r="G16" s="50">
        <v>0</v>
      </c>
      <c r="H16" s="50">
        <v>0</v>
      </c>
      <c r="I16" s="50">
        <v>1</v>
      </c>
      <c r="J16" s="50">
        <v>3</v>
      </c>
      <c r="K16" s="50">
        <v>0</v>
      </c>
      <c r="L16" s="50">
        <v>1</v>
      </c>
      <c r="M16" s="50">
        <v>150</v>
      </c>
      <c r="N16" s="50">
        <v>0</v>
      </c>
      <c r="O16" s="15">
        <f t="shared" si="0"/>
        <v>132</v>
      </c>
      <c r="P16" s="15">
        <f t="shared" si="1"/>
        <v>282</v>
      </c>
      <c r="R16" s="1" t="s">
        <v>12</v>
      </c>
      <c r="S16" s="17">
        <f t="shared" ref="S16:AF16" si="8">SUM(C34:C37)</f>
        <v>118</v>
      </c>
      <c r="T16" s="17">
        <f t="shared" si="8"/>
        <v>19</v>
      </c>
      <c r="U16" s="17">
        <f t="shared" si="8"/>
        <v>7</v>
      </c>
      <c r="V16" s="17">
        <f t="shared" si="8"/>
        <v>154</v>
      </c>
      <c r="W16" s="17">
        <f t="shared" si="8"/>
        <v>2</v>
      </c>
      <c r="X16" s="17">
        <f t="shared" si="8"/>
        <v>2</v>
      </c>
      <c r="Y16" s="17">
        <f t="shared" si="8"/>
        <v>3</v>
      </c>
      <c r="Z16" s="17">
        <f t="shared" si="8"/>
        <v>28</v>
      </c>
      <c r="AA16" s="17">
        <f t="shared" si="8"/>
        <v>6</v>
      </c>
      <c r="AB16" s="17">
        <f t="shared" si="8"/>
        <v>7</v>
      </c>
      <c r="AC16" s="17">
        <f t="shared" si="8"/>
        <v>425</v>
      </c>
      <c r="AD16" s="17">
        <f t="shared" si="8"/>
        <v>0</v>
      </c>
      <c r="AE16" s="31">
        <f t="shared" si="8"/>
        <v>346</v>
      </c>
      <c r="AF16" s="31">
        <f t="shared" si="8"/>
        <v>771</v>
      </c>
    </row>
    <row r="17" spans="2:32" ht="23.1" customHeight="1" x14ac:dyDescent="0.25">
      <c r="B17" s="23" t="s">
        <v>44</v>
      </c>
      <c r="C17" s="50">
        <v>33</v>
      </c>
      <c r="D17" s="50">
        <v>5</v>
      </c>
      <c r="E17" s="50">
        <v>8</v>
      </c>
      <c r="F17" s="50">
        <v>26</v>
      </c>
      <c r="G17" s="50">
        <v>0</v>
      </c>
      <c r="H17" s="50">
        <v>0</v>
      </c>
      <c r="I17" s="50">
        <v>3</v>
      </c>
      <c r="J17" s="50">
        <v>2</v>
      </c>
      <c r="K17" s="50">
        <v>0</v>
      </c>
      <c r="L17" s="50">
        <v>2</v>
      </c>
      <c r="M17" s="50">
        <v>210</v>
      </c>
      <c r="N17" s="50">
        <v>0</v>
      </c>
      <c r="O17" s="15">
        <f t="shared" si="0"/>
        <v>79</v>
      </c>
      <c r="P17" s="15">
        <f t="shared" si="1"/>
        <v>289</v>
      </c>
      <c r="R17" s="1" t="s">
        <v>13</v>
      </c>
      <c r="S17" s="17">
        <f t="shared" ref="S17:AF17" si="9">SUM(C38:C41)</f>
        <v>85</v>
      </c>
      <c r="T17" s="17">
        <f t="shared" si="9"/>
        <v>10</v>
      </c>
      <c r="U17" s="17">
        <f t="shared" si="9"/>
        <v>23</v>
      </c>
      <c r="V17" s="17">
        <f t="shared" si="9"/>
        <v>147</v>
      </c>
      <c r="W17" s="17">
        <f t="shared" si="9"/>
        <v>1</v>
      </c>
      <c r="X17" s="17">
        <f t="shared" si="9"/>
        <v>0</v>
      </c>
      <c r="Y17" s="17">
        <f t="shared" si="9"/>
        <v>10</v>
      </c>
      <c r="Z17" s="17">
        <f t="shared" si="9"/>
        <v>14</v>
      </c>
      <c r="AA17" s="17">
        <f t="shared" si="9"/>
        <v>4</v>
      </c>
      <c r="AB17" s="17">
        <f t="shared" si="9"/>
        <v>10</v>
      </c>
      <c r="AC17" s="17">
        <f t="shared" si="9"/>
        <v>305</v>
      </c>
      <c r="AD17" s="17">
        <f t="shared" si="9"/>
        <v>0</v>
      </c>
      <c r="AE17" s="31">
        <f t="shared" si="9"/>
        <v>304</v>
      </c>
      <c r="AF17" s="31">
        <f t="shared" si="9"/>
        <v>609</v>
      </c>
    </row>
    <row r="18" spans="2:32" ht="23.1" customHeight="1" x14ac:dyDescent="0.25">
      <c r="B18" s="23" t="s">
        <v>45</v>
      </c>
      <c r="C18" s="50">
        <v>48</v>
      </c>
      <c r="D18" s="50">
        <v>7</v>
      </c>
      <c r="E18" s="50">
        <v>15</v>
      </c>
      <c r="F18" s="50">
        <v>25</v>
      </c>
      <c r="G18" s="50">
        <v>3</v>
      </c>
      <c r="H18" s="50">
        <v>0</v>
      </c>
      <c r="I18" s="50">
        <v>1</v>
      </c>
      <c r="J18" s="50">
        <v>8</v>
      </c>
      <c r="K18" s="50">
        <v>0</v>
      </c>
      <c r="L18" s="50">
        <v>1</v>
      </c>
      <c r="M18" s="50">
        <v>220</v>
      </c>
      <c r="N18" s="50">
        <v>0</v>
      </c>
      <c r="O18" s="15">
        <f t="shared" si="0"/>
        <v>108</v>
      </c>
      <c r="P18" s="15">
        <f t="shared" si="1"/>
        <v>328</v>
      </c>
      <c r="R18" s="1" t="s">
        <v>14</v>
      </c>
      <c r="S18" s="17">
        <f t="shared" ref="S18:AF18" si="10">SUM(C42:C45)</f>
        <v>159</v>
      </c>
      <c r="T18" s="17">
        <f t="shared" si="10"/>
        <v>14</v>
      </c>
      <c r="U18" s="17">
        <f t="shared" si="10"/>
        <v>16</v>
      </c>
      <c r="V18" s="17">
        <f t="shared" si="10"/>
        <v>152</v>
      </c>
      <c r="W18" s="17">
        <f t="shared" si="10"/>
        <v>0</v>
      </c>
      <c r="X18" s="17">
        <f t="shared" si="10"/>
        <v>2</v>
      </c>
      <c r="Y18" s="17">
        <f t="shared" si="10"/>
        <v>7</v>
      </c>
      <c r="Z18" s="17">
        <f t="shared" si="10"/>
        <v>43</v>
      </c>
      <c r="AA18" s="17">
        <f t="shared" si="10"/>
        <v>3</v>
      </c>
      <c r="AB18" s="17">
        <f t="shared" si="10"/>
        <v>9</v>
      </c>
      <c r="AC18" s="17">
        <f t="shared" si="10"/>
        <v>721</v>
      </c>
      <c r="AD18" s="17">
        <f t="shared" si="10"/>
        <v>0</v>
      </c>
      <c r="AE18" s="31">
        <f t="shared" si="10"/>
        <v>405</v>
      </c>
      <c r="AF18" s="31">
        <f t="shared" si="10"/>
        <v>1126</v>
      </c>
    </row>
    <row r="19" spans="2:32" ht="23.1" customHeight="1" x14ac:dyDescent="0.25">
      <c r="B19" s="23" t="s">
        <v>46</v>
      </c>
      <c r="C19" s="50">
        <v>15</v>
      </c>
      <c r="D19" s="50">
        <v>5</v>
      </c>
      <c r="E19" s="50">
        <v>8</v>
      </c>
      <c r="F19" s="50">
        <v>70</v>
      </c>
      <c r="G19" s="50">
        <v>1</v>
      </c>
      <c r="H19" s="50">
        <v>0</v>
      </c>
      <c r="I19" s="50">
        <v>0</v>
      </c>
      <c r="J19" s="50">
        <v>4</v>
      </c>
      <c r="K19" s="50">
        <v>0</v>
      </c>
      <c r="L19" s="50">
        <v>0</v>
      </c>
      <c r="M19" s="50">
        <v>215</v>
      </c>
      <c r="N19" s="50">
        <v>0</v>
      </c>
      <c r="O19" s="15">
        <f t="shared" si="0"/>
        <v>103</v>
      </c>
      <c r="P19" s="15">
        <f t="shared" si="1"/>
        <v>318</v>
      </c>
      <c r="R19" s="1" t="s">
        <v>15</v>
      </c>
      <c r="S19" s="17">
        <f t="shared" ref="S19:AF19" si="11">SUM(C46:C49)</f>
        <v>103</v>
      </c>
      <c r="T19" s="17">
        <f t="shared" si="11"/>
        <v>14</v>
      </c>
      <c r="U19" s="17">
        <f t="shared" si="11"/>
        <v>24</v>
      </c>
      <c r="V19" s="17">
        <f t="shared" si="11"/>
        <v>127</v>
      </c>
      <c r="W19" s="17">
        <f t="shared" si="11"/>
        <v>2</v>
      </c>
      <c r="X19" s="17">
        <f t="shared" si="11"/>
        <v>1</v>
      </c>
      <c r="Y19" s="17">
        <f t="shared" si="11"/>
        <v>11</v>
      </c>
      <c r="Z19" s="17">
        <f t="shared" si="11"/>
        <v>20</v>
      </c>
      <c r="AA19" s="17">
        <f t="shared" si="11"/>
        <v>1</v>
      </c>
      <c r="AB19" s="17">
        <f t="shared" si="11"/>
        <v>8</v>
      </c>
      <c r="AC19" s="17">
        <f t="shared" si="11"/>
        <v>532</v>
      </c>
      <c r="AD19" s="17">
        <f t="shared" si="11"/>
        <v>0</v>
      </c>
      <c r="AE19" s="31">
        <f t="shared" si="11"/>
        <v>311</v>
      </c>
      <c r="AF19" s="31">
        <f t="shared" si="11"/>
        <v>843</v>
      </c>
    </row>
    <row r="20" spans="2:32" ht="23.1" customHeight="1" x14ac:dyDescent="0.25">
      <c r="B20" s="23" t="s">
        <v>47</v>
      </c>
      <c r="C20" s="50">
        <v>55</v>
      </c>
      <c r="D20" s="50">
        <v>8</v>
      </c>
      <c r="E20" s="50">
        <v>10</v>
      </c>
      <c r="F20" s="50">
        <v>59</v>
      </c>
      <c r="G20" s="50">
        <v>0</v>
      </c>
      <c r="H20" s="50">
        <v>0</v>
      </c>
      <c r="I20" s="50">
        <v>1</v>
      </c>
      <c r="J20" s="50">
        <v>7</v>
      </c>
      <c r="K20" s="50">
        <v>0</v>
      </c>
      <c r="L20" s="50">
        <v>1</v>
      </c>
      <c r="M20" s="50">
        <v>178</v>
      </c>
      <c r="N20" s="50">
        <v>0</v>
      </c>
      <c r="O20" s="15">
        <f t="shared" si="0"/>
        <v>141</v>
      </c>
      <c r="P20" s="15">
        <f t="shared" si="1"/>
        <v>319</v>
      </c>
      <c r="R20" s="1" t="s">
        <v>16</v>
      </c>
      <c r="S20" s="17">
        <f t="shared" ref="S20:AF20" si="12">SUM(C50:C53)</f>
        <v>161</v>
      </c>
      <c r="T20" s="17">
        <f t="shared" si="12"/>
        <v>13</v>
      </c>
      <c r="U20" s="17">
        <f t="shared" si="12"/>
        <v>30</v>
      </c>
      <c r="V20" s="17">
        <f t="shared" si="12"/>
        <v>167</v>
      </c>
      <c r="W20" s="17">
        <f t="shared" si="12"/>
        <v>9</v>
      </c>
      <c r="X20" s="17">
        <f t="shared" si="12"/>
        <v>4</v>
      </c>
      <c r="Y20" s="17">
        <f t="shared" si="12"/>
        <v>8</v>
      </c>
      <c r="Z20" s="17">
        <f t="shared" si="12"/>
        <v>25</v>
      </c>
      <c r="AA20" s="17">
        <f t="shared" si="12"/>
        <v>3</v>
      </c>
      <c r="AB20" s="17">
        <f t="shared" si="12"/>
        <v>4</v>
      </c>
      <c r="AC20" s="17">
        <f t="shared" si="12"/>
        <v>678</v>
      </c>
      <c r="AD20" s="17">
        <f t="shared" si="12"/>
        <v>0</v>
      </c>
      <c r="AE20" s="31">
        <f t="shared" si="12"/>
        <v>424</v>
      </c>
      <c r="AF20" s="31">
        <f t="shared" si="12"/>
        <v>1102</v>
      </c>
    </row>
    <row r="21" spans="2:32" ht="23.1" customHeight="1" x14ac:dyDescent="0.25">
      <c r="B21" s="23" t="s">
        <v>48</v>
      </c>
      <c r="C21" s="50">
        <v>47</v>
      </c>
      <c r="D21" s="50">
        <v>9</v>
      </c>
      <c r="E21" s="50">
        <v>6</v>
      </c>
      <c r="F21" s="50">
        <v>47</v>
      </c>
      <c r="G21" s="50">
        <v>2</v>
      </c>
      <c r="H21" s="50">
        <v>0</v>
      </c>
      <c r="I21" s="50">
        <v>2</v>
      </c>
      <c r="J21" s="50">
        <v>10</v>
      </c>
      <c r="K21" s="50">
        <v>0</v>
      </c>
      <c r="L21" s="50">
        <v>3</v>
      </c>
      <c r="M21" s="50">
        <v>188</v>
      </c>
      <c r="N21" s="50">
        <v>0</v>
      </c>
      <c r="O21" s="15">
        <f t="shared" si="0"/>
        <v>126</v>
      </c>
      <c r="P21" s="15">
        <f t="shared" si="1"/>
        <v>314</v>
      </c>
      <c r="R21" s="36" t="s">
        <v>20</v>
      </c>
      <c r="S21" s="34">
        <f t="shared" ref="S21:AF21" si="13">SUM(C54:C57)</f>
        <v>216</v>
      </c>
      <c r="T21" s="17">
        <f t="shared" si="13"/>
        <v>18</v>
      </c>
      <c r="U21" s="17">
        <f t="shared" si="13"/>
        <v>17</v>
      </c>
      <c r="V21" s="17">
        <f t="shared" si="13"/>
        <v>228</v>
      </c>
      <c r="W21" s="17">
        <f t="shared" si="13"/>
        <v>4</v>
      </c>
      <c r="X21" s="17">
        <f t="shared" si="13"/>
        <v>0</v>
      </c>
      <c r="Y21" s="17">
        <f t="shared" si="13"/>
        <v>6</v>
      </c>
      <c r="Z21" s="17">
        <f t="shared" si="13"/>
        <v>14</v>
      </c>
      <c r="AA21" s="17">
        <f t="shared" si="13"/>
        <v>1</v>
      </c>
      <c r="AB21" s="17">
        <f t="shared" si="13"/>
        <v>7</v>
      </c>
      <c r="AC21" s="17">
        <f t="shared" si="13"/>
        <v>770</v>
      </c>
      <c r="AD21" s="17">
        <f t="shared" si="13"/>
        <v>0</v>
      </c>
      <c r="AE21" s="31">
        <f t="shared" si="13"/>
        <v>511</v>
      </c>
      <c r="AF21" s="31">
        <f t="shared" si="13"/>
        <v>1281</v>
      </c>
    </row>
    <row r="22" spans="2:32" ht="23.1" customHeight="1" x14ac:dyDescent="0.25">
      <c r="B22" s="23" t="s">
        <v>49</v>
      </c>
      <c r="C22" s="50">
        <v>35</v>
      </c>
      <c r="D22" s="50">
        <v>7</v>
      </c>
      <c r="E22" s="50">
        <v>7</v>
      </c>
      <c r="F22" s="50">
        <v>56</v>
      </c>
      <c r="G22" s="50">
        <v>0</v>
      </c>
      <c r="H22" s="50">
        <v>0</v>
      </c>
      <c r="I22" s="50">
        <v>1</v>
      </c>
      <c r="J22" s="50">
        <v>5</v>
      </c>
      <c r="K22" s="50">
        <v>2</v>
      </c>
      <c r="L22" s="50">
        <v>1</v>
      </c>
      <c r="M22" s="50">
        <v>186</v>
      </c>
      <c r="N22" s="50">
        <v>0</v>
      </c>
      <c r="O22" s="15">
        <f t="shared" si="0"/>
        <v>114</v>
      </c>
      <c r="P22" s="15">
        <f t="shared" si="1"/>
        <v>300</v>
      </c>
      <c r="R22" s="38" t="s">
        <v>90</v>
      </c>
      <c r="S22" s="39">
        <f>MAX(S10:S12)</f>
        <v>305</v>
      </c>
      <c r="T22" s="39">
        <f t="shared" ref="T22:AF22" si="14">MAX(T10:T12)</f>
        <v>44</v>
      </c>
      <c r="U22" s="39">
        <f t="shared" si="14"/>
        <v>39</v>
      </c>
      <c r="V22" s="39">
        <f t="shared" si="14"/>
        <v>395</v>
      </c>
      <c r="W22" s="39">
        <f t="shared" si="14"/>
        <v>6</v>
      </c>
      <c r="X22" s="39">
        <f t="shared" si="14"/>
        <v>0</v>
      </c>
      <c r="Y22" s="39">
        <f t="shared" si="14"/>
        <v>10</v>
      </c>
      <c r="Z22" s="39">
        <f t="shared" si="14"/>
        <v>38</v>
      </c>
      <c r="AA22" s="39">
        <f t="shared" si="14"/>
        <v>3</v>
      </c>
      <c r="AB22" s="39">
        <f t="shared" si="14"/>
        <v>12</v>
      </c>
      <c r="AC22" s="39">
        <f t="shared" si="14"/>
        <v>808</v>
      </c>
      <c r="AD22" s="39">
        <f t="shared" si="14"/>
        <v>0</v>
      </c>
      <c r="AE22" s="40">
        <f t="shared" si="14"/>
        <v>848</v>
      </c>
      <c r="AF22" s="40">
        <f t="shared" si="14"/>
        <v>1656</v>
      </c>
    </row>
    <row r="23" spans="2:32" ht="23.1" customHeight="1" x14ac:dyDescent="0.25">
      <c r="B23" s="23" t="s">
        <v>50</v>
      </c>
      <c r="C23" s="50">
        <v>43</v>
      </c>
      <c r="D23" s="50">
        <v>6</v>
      </c>
      <c r="E23" s="50">
        <v>6</v>
      </c>
      <c r="F23" s="50">
        <v>50</v>
      </c>
      <c r="G23" s="50">
        <v>0</v>
      </c>
      <c r="H23" s="50">
        <v>0</v>
      </c>
      <c r="I23" s="50">
        <v>2</v>
      </c>
      <c r="J23" s="50">
        <v>6</v>
      </c>
      <c r="K23" s="50">
        <v>0</v>
      </c>
      <c r="L23" s="50">
        <v>1</v>
      </c>
      <c r="M23" s="50">
        <v>190</v>
      </c>
      <c r="N23" s="50">
        <v>0</v>
      </c>
      <c r="O23" s="15">
        <f t="shared" si="0"/>
        <v>114</v>
      </c>
      <c r="P23" s="15">
        <f t="shared" si="1"/>
        <v>304</v>
      </c>
      <c r="R23" s="38" t="s">
        <v>91</v>
      </c>
      <c r="S23" s="39">
        <f>MAX(S13:S18)</f>
        <v>164</v>
      </c>
      <c r="T23" s="39">
        <f t="shared" ref="T23:AF23" si="15">MAX(T13:T18)</f>
        <v>19</v>
      </c>
      <c r="U23" s="39">
        <f t="shared" si="15"/>
        <v>24</v>
      </c>
      <c r="V23" s="39">
        <f t="shared" si="15"/>
        <v>275</v>
      </c>
      <c r="W23" s="39">
        <f t="shared" si="15"/>
        <v>2</v>
      </c>
      <c r="X23" s="39">
        <f t="shared" si="15"/>
        <v>2</v>
      </c>
      <c r="Y23" s="39">
        <f t="shared" si="15"/>
        <v>12</v>
      </c>
      <c r="Z23" s="39">
        <f t="shared" si="15"/>
        <v>43</v>
      </c>
      <c r="AA23" s="39">
        <f t="shared" si="15"/>
        <v>6</v>
      </c>
      <c r="AB23" s="39">
        <f t="shared" si="15"/>
        <v>10</v>
      </c>
      <c r="AC23" s="39">
        <f t="shared" si="15"/>
        <v>721</v>
      </c>
      <c r="AD23" s="39">
        <f t="shared" si="15"/>
        <v>0</v>
      </c>
      <c r="AE23" s="40">
        <f t="shared" si="15"/>
        <v>512</v>
      </c>
      <c r="AF23" s="40">
        <f t="shared" si="15"/>
        <v>1221</v>
      </c>
    </row>
    <row r="24" spans="2:32" ht="23.1" customHeight="1" x14ac:dyDescent="0.25">
      <c r="B24" s="23" t="s">
        <v>51</v>
      </c>
      <c r="C24" s="50">
        <v>30</v>
      </c>
      <c r="D24" s="50">
        <v>3</v>
      </c>
      <c r="E24" s="50">
        <v>7</v>
      </c>
      <c r="F24" s="50">
        <v>30</v>
      </c>
      <c r="G24" s="50">
        <v>0</v>
      </c>
      <c r="H24" s="50">
        <v>1</v>
      </c>
      <c r="I24" s="50">
        <v>3</v>
      </c>
      <c r="J24" s="50">
        <v>6</v>
      </c>
      <c r="K24" s="50">
        <v>3</v>
      </c>
      <c r="L24" s="50">
        <v>1</v>
      </c>
      <c r="M24" s="50">
        <v>110</v>
      </c>
      <c r="N24" s="50">
        <v>0</v>
      </c>
      <c r="O24" s="15">
        <f t="shared" si="0"/>
        <v>84</v>
      </c>
      <c r="P24" s="15">
        <f t="shared" si="1"/>
        <v>194</v>
      </c>
      <c r="R24" s="38" t="s">
        <v>92</v>
      </c>
      <c r="S24" s="39">
        <f>MAX(S19:S21)</f>
        <v>216</v>
      </c>
      <c r="T24" s="39">
        <f t="shared" ref="T24:AF24" si="16">MAX(T19:T21)</f>
        <v>18</v>
      </c>
      <c r="U24" s="39">
        <f t="shared" si="16"/>
        <v>30</v>
      </c>
      <c r="V24" s="39">
        <f t="shared" si="16"/>
        <v>228</v>
      </c>
      <c r="W24" s="39">
        <f t="shared" si="16"/>
        <v>9</v>
      </c>
      <c r="X24" s="39">
        <f t="shared" si="16"/>
        <v>4</v>
      </c>
      <c r="Y24" s="39">
        <f t="shared" si="16"/>
        <v>11</v>
      </c>
      <c r="Z24" s="39">
        <f t="shared" si="16"/>
        <v>25</v>
      </c>
      <c r="AA24" s="39">
        <f t="shared" si="16"/>
        <v>3</v>
      </c>
      <c r="AB24" s="39">
        <f t="shared" si="16"/>
        <v>8</v>
      </c>
      <c r="AC24" s="39">
        <f t="shared" si="16"/>
        <v>770</v>
      </c>
      <c r="AD24" s="39">
        <f t="shared" si="16"/>
        <v>0</v>
      </c>
      <c r="AE24" s="40">
        <f t="shared" si="16"/>
        <v>511</v>
      </c>
      <c r="AF24" s="40">
        <f t="shared" si="16"/>
        <v>1281</v>
      </c>
    </row>
    <row r="25" spans="2:32" ht="23.1" customHeight="1" x14ac:dyDescent="0.25">
      <c r="B25" s="23" t="s">
        <v>52</v>
      </c>
      <c r="C25" s="50">
        <v>51</v>
      </c>
      <c r="D25" s="50">
        <v>3</v>
      </c>
      <c r="E25" s="50">
        <v>4</v>
      </c>
      <c r="F25" s="50">
        <v>46</v>
      </c>
      <c r="G25" s="50">
        <v>2</v>
      </c>
      <c r="H25" s="50">
        <v>0</v>
      </c>
      <c r="I25" s="50">
        <v>2</v>
      </c>
      <c r="J25" s="50">
        <v>10</v>
      </c>
      <c r="K25" s="50">
        <v>0</v>
      </c>
      <c r="L25" s="50">
        <v>0</v>
      </c>
      <c r="M25" s="50">
        <v>122</v>
      </c>
      <c r="N25" s="50">
        <v>0</v>
      </c>
      <c r="O25" s="15">
        <f t="shared" si="0"/>
        <v>118</v>
      </c>
      <c r="P25" s="15">
        <f t="shared" si="1"/>
        <v>240</v>
      </c>
      <c r="R25" s="37" t="s">
        <v>85</v>
      </c>
      <c r="S25" s="35">
        <f t="shared" ref="S25:AF25" si="17">SUM(S10:S12)</f>
        <v>696</v>
      </c>
      <c r="T25" s="16">
        <f t="shared" si="17"/>
        <v>90</v>
      </c>
      <c r="U25" s="16">
        <f t="shared" si="17"/>
        <v>112</v>
      </c>
      <c r="V25" s="16">
        <f t="shared" si="17"/>
        <v>812</v>
      </c>
      <c r="W25" s="16">
        <f t="shared" si="17"/>
        <v>8</v>
      </c>
      <c r="X25" s="16">
        <f t="shared" si="17"/>
        <v>0</v>
      </c>
      <c r="Y25" s="16">
        <f t="shared" si="17"/>
        <v>24</v>
      </c>
      <c r="Z25" s="16">
        <f t="shared" si="17"/>
        <v>85</v>
      </c>
      <c r="AA25" s="16">
        <f t="shared" si="17"/>
        <v>3</v>
      </c>
      <c r="AB25" s="16">
        <f t="shared" si="17"/>
        <v>22</v>
      </c>
      <c r="AC25" s="16">
        <f t="shared" si="17"/>
        <v>2323</v>
      </c>
      <c r="AD25" s="16">
        <f t="shared" si="17"/>
        <v>0</v>
      </c>
      <c r="AE25" s="32">
        <f t="shared" si="17"/>
        <v>1852</v>
      </c>
      <c r="AF25" s="32">
        <f t="shared" si="17"/>
        <v>4175</v>
      </c>
    </row>
    <row r="26" spans="2:32" ht="23.1" customHeight="1" x14ac:dyDescent="0.25">
      <c r="B26" s="23" t="s">
        <v>53</v>
      </c>
      <c r="C26" s="50">
        <v>51</v>
      </c>
      <c r="D26" s="50">
        <v>3</v>
      </c>
      <c r="E26" s="50">
        <v>5</v>
      </c>
      <c r="F26" s="50">
        <v>80</v>
      </c>
      <c r="G26" s="50">
        <v>0</v>
      </c>
      <c r="H26" s="50">
        <v>0</v>
      </c>
      <c r="I26" s="50">
        <v>1</v>
      </c>
      <c r="J26" s="50">
        <v>9</v>
      </c>
      <c r="K26" s="50">
        <v>1</v>
      </c>
      <c r="L26" s="50">
        <v>1</v>
      </c>
      <c r="M26" s="50">
        <v>166</v>
      </c>
      <c r="N26" s="50">
        <v>0</v>
      </c>
      <c r="O26" s="15">
        <f t="shared" si="0"/>
        <v>151</v>
      </c>
      <c r="P26" s="15">
        <f t="shared" si="1"/>
        <v>317</v>
      </c>
      <c r="R26" s="28" t="s">
        <v>86</v>
      </c>
      <c r="S26" s="16">
        <f t="shared" ref="S26:AF26" si="18">SUM(S13:S18)</f>
        <v>813</v>
      </c>
      <c r="T26" s="16">
        <f t="shared" si="18"/>
        <v>89</v>
      </c>
      <c r="U26" s="16">
        <f t="shared" si="18"/>
        <v>109</v>
      </c>
      <c r="V26" s="16">
        <f t="shared" si="18"/>
        <v>1053</v>
      </c>
      <c r="W26" s="16">
        <f t="shared" si="18"/>
        <v>7</v>
      </c>
      <c r="X26" s="16">
        <f t="shared" si="18"/>
        <v>5</v>
      </c>
      <c r="Y26" s="16">
        <f t="shared" si="18"/>
        <v>45</v>
      </c>
      <c r="Z26" s="16">
        <f t="shared" si="18"/>
        <v>166</v>
      </c>
      <c r="AA26" s="16">
        <f t="shared" si="18"/>
        <v>24</v>
      </c>
      <c r="AB26" s="16">
        <f t="shared" si="18"/>
        <v>43</v>
      </c>
      <c r="AC26" s="16">
        <f t="shared" si="18"/>
        <v>3275</v>
      </c>
      <c r="AD26" s="16">
        <f t="shared" si="18"/>
        <v>0</v>
      </c>
      <c r="AE26" s="32">
        <f t="shared" si="18"/>
        <v>2354</v>
      </c>
      <c r="AF26" s="32">
        <f t="shared" si="18"/>
        <v>5629</v>
      </c>
    </row>
    <row r="27" spans="2:32" ht="23.1" customHeight="1" x14ac:dyDescent="0.25">
      <c r="B27" s="23" t="s">
        <v>54</v>
      </c>
      <c r="C27" s="50">
        <v>40</v>
      </c>
      <c r="D27" s="50">
        <v>1</v>
      </c>
      <c r="E27" s="50">
        <v>3</v>
      </c>
      <c r="F27" s="50">
        <v>78</v>
      </c>
      <c r="G27" s="50">
        <v>1</v>
      </c>
      <c r="H27" s="50">
        <v>0</v>
      </c>
      <c r="I27" s="50">
        <v>3</v>
      </c>
      <c r="J27" s="50">
        <v>5</v>
      </c>
      <c r="K27" s="50">
        <v>0</v>
      </c>
      <c r="L27" s="50">
        <v>0</v>
      </c>
      <c r="M27" s="50">
        <v>200</v>
      </c>
      <c r="N27" s="50">
        <v>0</v>
      </c>
      <c r="O27" s="15">
        <f t="shared" si="0"/>
        <v>131</v>
      </c>
      <c r="P27" s="15">
        <f t="shared" si="1"/>
        <v>331</v>
      </c>
      <c r="R27" s="29" t="s">
        <v>87</v>
      </c>
      <c r="S27" s="16">
        <f t="shared" ref="S27:AF27" si="19">SUM(S19:S21)</f>
        <v>480</v>
      </c>
      <c r="T27" s="16">
        <f t="shared" si="19"/>
        <v>45</v>
      </c>
      <c r="U27" s="16">
        <f t="shared" si="19"/>
        <v>71</v>
      </c>
      <c r="V27" s="16">
        <f t="shared" si="19"/>
        <v>522</v>
      </c>
      <c r="W27" s="16">
        <f t="shared" si="19"/>
        <v>15</v>
      </c>
      <c r="X27" s="16">
        <f t="shared" si="19"/>
        <v>5</v>
      </c>
      <c r="Y27" s="16">
        <f t="shared" si="19"/>
        <v>25</v>
      </c>
      <c r="Z27" s="16">
        <f t="shared" si="19"/>
        <v>59</v>
      </c>
      <c r="AA27" s="16">
        <f t="shared" si="19"/>
        <v>5</v>
      </c>
      <c r="AB27" s="16">
        <f t="shared" si="19"/>
        <v>19</v>
      </c>
      <c r="AC27" s="16">
        <f t="shared" si="19"/>
        <v>1980</v>
      </c>
      <c r="AD27" s="16">
        <f t="shared" si="19"/>
        <v>0</v>
      </c>
      <c r="AE27" s="32">
        <f t="shared" si="19"/>
        <v>1246</v>
      </c>
      <c r="AF27" s="32">
        <f t="shared" si="19"/>
        <v>3226</v>
      </c>
    </row>
    <row r="28" spans="2:32" ht="23.1" customHeight="1" x14ac:dyDescent="0.25">
      <c r="B28" s="23" t="s">
        <v>55</v>
      </c>
      <c r="C28" s="50">
        <v>43</v>
      </c>
      <c r="D28" s="50">
        <v>3</v>
      </c>
      <c r="E28" s="50">
        <v>8</v>
      </c>
      <c r="F28" s="50">
        <v>61</v>
      </c>
      <c r="G28" s="50">
        <v>0</v>
      </c>
      <c r="H28" s="50">
        <v>0</v>
      </c>
      <c r="I28" s="50">
        <v>1</v>
      </c>
      <c r="J28" s="50">
        <v>3</v>
      </c>
      <c r="K28" s="50">
        <v>1</v>
      </c>
      <c r="L28" s="50">
        <v>5</v>
      </c>
      <c r="M28" s="50">
        <v>182</v>
      </c>
      <c r="N28" s="50">
        <v>0</v>
      </c>
      <c r="O28" s="15">
        <f t="shared" si="0"/>
        <v>125</v>
      </c>
      <c r="P28" s="15">
        <f t="shared" si="1"/>
        <v>307</v>
      </c>
      <c r="R28" s="5" t="s">
        <v>17</v>
      </c>
      <c r="S28" s="16">
        <f t="shared" ref="S28:AF28" si="20">SUM(S10:S21)</f>
        <v>1989</v>
      </c>
      <c r="T28" s="16">
        <f t="shared" si="20"/>
        <v>224</v>
      </c>
      <c r="U28" s="16">
        <f t="shared" si="20"/>
        <v>292</v>
      </c>
      <c r="V28" s="16">
        <f t="shared" si="20"/>
        <v>2387</v>
      </c>
      <c r="W28" s="16">
        <f t="shared" si="20"/>
        <v>30</v>
      </c>
      <c r="X28" s="16">
        <f t="shared" si="20"/>
        <v>10</v>
      </c>
      <c r="Y28" s="16">
        <f t="shared" si="20"/>
        <v>94</v>
      </c>
      <c r="Z28" s="16">
        <f t="shared" si="20"/>
        <v>310</v>
      </c>
      <c r="AA28" s="16">
        <f t="shared" si="20"/>
        <v>32</v>
      </c>
      <c r="AB28" s="16">
        <f t="shared" si="20"/>
        <v>84</v>
      </c>
      <c r="AC28" s="16">
        <f t="shared" si="20"/>
        <v>7578</v>
      </c>
      <c r="AD28" s="16">
        <f t="shared" si="20"/>
        <v>0</v>
      </c>
      <c r="AE28" s="32">
        <f t="shared" si="20"/>
        <v>5452</v>
      </c>
      <c r="AF28" s="32">
        <f t="shared" si="20"/>
        <v>13030</v>
      </c>
    </row>
    <row r="29" spans="2:32" ht="23.1" customHeight="1" x14ac:dyDescent="0.25">
      <c r="B29" s="23" t="s">
        <v>56</v>
      </c>
      <c r="C29" s="50">
        <v>30</v>
      </c>
      <c r="D29" s="50">
        <v>5</v>
      </c>
      <c r="E29" s="50">
        <v>3</v>
      </c>
      <c r="F29" s="50">
        <v>56</v>
      </c>
      <c r="G29" s="50">
        <v>0</v>
      </c>
      <c r="H29" s="50">
        <v>0</v>
      </c>
      <c r="I29" s="50">
        <v>0</v>
      </c>
      <c r="J29" s="50">
        <v>8</v>
      </c>
      <c r="K29" s="50">
        <v>1</v>
      </c>
      <c r="L29" s="50">
        <v>2</v>
      </c>
      <c r="M29" s="50">
        <v>161</v>
      </c>
      <c r="N29" s="50">
        <v>0</v>
      </c>
      <c r="O29" s="15">
        <f t="shared" si="0"/>
        <v>105</v>
      </c>
      <c r="P29" s="15">
        <f t="shared" si="1"/>
        <v>266</v>
      </c>
      <c r="R29"/>
      <c r="S29" s="20"/>
      <c r="T29" s="19"/>
    </row>
    <row r="30" spans="2:32" ht="23.1" customHeight="1" x14ac:dyDescent="0.25">
      <c r="B30" s="23" t="s">
        <v>57</v>
      </c>
      <c r="C30" s="50">
        <v>25</v>
      </c>
      <c r="D30" s="50">
        <v>8</v>
      </c>
      <c r="E30" s="50">
        <v>8</v>
      </c>
      <c r="F30" s="50">
        <v>43</v>
      </c>
      <c r="G30" s="50">
        <v>0</v>
      </c>
      <c r="H30" s="50">
        <v>0</v>
      </c>
      <c r="I30" s="50">
        <v>7</v>
      </c>
      <c r="J30" s="50">
        <v>11</v>
      </c>
      <c r="K30" s="50">
        <v>3</v>
      </c>
      <c r="L30" s="50">
        <v>2</v>
      </c>
      <c r="M30" s="50">
        <v>130</v>
      </c>
      <c r="N30" s="50">
        <v>0</v>
      </c>
      <c r="O30" s="15">
        <f t="shared" si="0"/>
        <v>107</v>
      </c>
      <c r="P30" s="15">
        <f t="shared" si="1"/>
        <v>237</v>
      </c>
    </row>
    <row r="31" spans="2:32" ht="23.1" customHeight="1" x14ac:dyDescent="0.25">
      <c r="B31" s="24" t="s">
        <v>58</v>
      </c>
      <c r="C31" s="50">
        <v>43</v>
      </c>
      <c r="D31" s="50">
        <v>3</v>
      </c>
      <c r="E31" s="50">
        <v>4</v>
      </c>
      <c r="F31" s="50">
        <v>33</v>
      </c>
      <c r="G31" s="50">
        <v>0</v>
      </c>
      <c r="H31" s="50">
        <v>0</v>
      </c>
      <c r="I31" s="50">
        <v>0</v>
      </c>
      <c r="J31" s="50">
        <v>8</v>
      </c>
      <c r="K31" s="50">
        <v>0</v>
      </c>
      <c r="L31" s="50">
        <v>0</v>
      </c>
      <c r="M31" s="50">
        <v>100</v>
      </c>
      <c r="N31" s="50">
        <v>0</v>
      </c>
      <c r="O31" s="15">
        <f t="shared" si="0"/>
        <v>91</v>
      </c>
      <c r="P31" s="15">
        <f t="shared" si="1"/>
        <v>191</v>
      </c>
    </row>
    <row r="32" spans="2:32" ht="23.1" customHeight="1" x14ac:dyDescent="0.25">
      <c r="B32" s="24" t="s">
        <v>59</v>
      </c>
      <c r="C32" s="50">
        <v>20</v>
      </c>
      <c r="D32" s="50">
        <v>2</v>
      </c>
      <c r="E32" s="50">
        <v>2</v>
      </c>
      <c r="F32" s="50">
        <v>25</v>
      </c>
      <c r="G32" s="50">
        <v>1</v>
      </c>
      <c r="H32" s="50">
        <v>0</v>
      </c>
      <c r="I32" s="50">
        <v>3</v>
      </c>
      <c r="J32" s="50">
        <v>5</v>
      </c>
      <c r="K32" s="50">
        <v>0</v>
      </c>
      <c r="L32" s="50">
        <v>2</v>
      </c>
      <c r="M32" s="50">
        <v>132</v>
      </c>
      <c r="N32" s="50">
        <v>0</v>
      </c>
      <c r="O32" s="15">
        <f t="shared" si="0"/>
        <v>60</v>
      </c>
      <c r="P32" s="15">
        <f t="shared" si="1"/>
        <v>192</v>
      </c>
    </row>
    <row r="33" spans="2:20" ht="23.1" customHeight="1" x14ac:dyDescent="0.25">
      <c r="B33" s="23" t="s">
        <v>60</v>
      </c>
      <c r="C33" s="50">
        <v>40</v>
      </c>
      <c r="D33" s="50">
        <v>2</v>
      </c>
      <c r="E33" s="50">
        <v>6</v>
      </c>
      <c r="F33" s="50">
        <v>42</v>
      </c>
      <c r="G33" s="50">
        <v>0</v>
      </c>
      <c r="H33" s="50">
        <v>0</v>
      </c>
      <c r="I33" s="50">
        <v>2</v>
      </c>
      <c r="J33" s="50">
        <v>5</v>
      </c>
      <c r="K33" s="50">
        <v>0</v>
      </c>
      <c r="L33" s="50">
        <v>2</v>
      </c>
      <c r="M33" s="50">
        <v>145</v>
      </c>
      <c r="N33" s="50">
        <v>0</v>
      </c>
      <c r="O33" s="15">
        <f t="shared" si="0"/>
        <v>99</v>
      </c>
      <c r="P33" s="15">
        <f t="shared" si="1"/>
        <v>244</v>
      </c>
    </row>
    <row r="34" spans="2:20" ht="23.1" customHeight="1" x14ac:dyDescent="0.25">
      <c r="B34" s="24" t="s">
        <v>61</v>
      </c>
      <c r="C34" s="50">
        <v>25</v>
      </c>
      <c r="D34" s="50">
        <v>7</v>
      </c>
      <c r="E34" s="50">
        <v>1</v>
      </c>
      <c r="F34" s="50">
        <v>40</v>
      </c>
      <c r="G34" s="50">
        <v>2</v>
      </c>
      <c r="H34" s="50">
        <v>0</v>
      </c>
      <c r="I34" s="50">
        <v>1</v>
      </c>
      <c r="J34" s="50">
        <v>12</v>
      </c>
      <c r="K34" s="50">
        <v>2</v>
      </c>
      <c r="L34" s="50">
        <v>2</v>
      </c>
      <c r="M34" s="50">
        <v>103</v>
      </c>
      <c r="N34" s="50">
        <v>0</v>
      </c>
      <c r="O34" s="15">
        <f t="shared" si="0"/>
        <v>92</v>
      </c>
      <c r="P34" s="15">
        <f t="shared" si="1"/>
        <v>195</v>
      </c>
    </row>
    <row r="35" spans="2:20" ht="23.1" customHeight="1" x14ac:dyDescent="0.25">
      <c r="B35" s="24" t="s">
        <v>62</v>
      </c>
      <c r="C35" s="50">
        <v>26</v>
      </c>
      <c r="D35" s="50">
        <v>4</v>
      </c>
      <c r="E35" s="50">
        <v>3</v>
      </c>
      <c r="F35" s="50">
        <v>34</v>
      </c>
      <c r="G35" s="50">
        <v>0</v>
      </c>
      <c r="H35" s="50">
        <v>0</v>
      </c>
      <c r="I35" s="50">
        <v>0</v>
      </c>
      <c r="J35" s="50">
        <v>5</v>
      </c>
      <c r="K35" s="50">
        <v>1</v>
      </c>
      <c r="L35" s="50">
        <v>0</v>
      </c>
      <c r="M35" s="50">
        <v>107</v>
      </c>
      <c r="N35" s="50">
        <v>0</v>
      </c>
      <c r="O35" s="15">
        <f t="shared" si="0"/>
        <v>73</v>
      </c>
      <c r="P35" s="15">
        <f t="shared" si="1"/>
        <v>180</v>
      </c>
    </row>
    <row r="36" spans="2:20" ht="23.1" customHeight="1" x14ac:dyDescent="0.25">
      <c r="B36" s="24" t="s">
        <v>63</v>
      </c>
      <c r="C36" s="50">
        <v>27</v>
      </c>
      <c r="D36" s="50">
        <v>4</v>
      </c>
      <c r="E36" s="50">
        <v>1</v>
      </c>
      <c r="F36" s="50">
        <v>60</v>
      </c>
      <c r="G36" s="50">
        <v>0</v>
      </c>
      <c r="H36" s="50">
        <v>2</v>
      </c>
      <c r="I36" s="50">
        <v>1</v>
      </c>
      <c r="J36" s="50">
        <v>3</v>
      </c>
      <c r="K36" s="50">
        <v>0</v>
      </c>
      <c r="L36" s="50">
        <v>2</v>
      </c>
      <c r="M36" s="50">
        <v>110</v>
      </c>
      <c r="N36" s="50">
        <v>0</v>
      </c>
      <c r="O36" s="15">
        <f t="shared" si="0"/>
        <v>100</v>
      </c>
      <c r="P36" s="15">
        <f t="shared" si="1"/>
        <v>210</v>
      </c>
    </row>
    <row r="37" spans="2:20" ht="23.1" customHeight="1" x14ac:dyDescent="0.25">
      <c r="B37" s="23" t="s">
        <v>64</v>
      </c>
      <c r="C37" s="50">
        <v>40</v>
      </c>
      <c r="D37" s="50">
        <v>4</v>
      </c>
      <c r="E37" s="50">
        <v>2</v>
      </c>
      <c r="F37" s="50">
        <v>20</v>
      </c>
      <c r="G37" s="50">
        <v>0</v>
      </c>
      <c r="H37" s="50">
        <v>0</v>
      </c>
      <c r="I37" s="50">
        <v>1</v>
      </c>
      <c r="J37" s="50">
        <v>8</v>
      </c>
      <c r="K37" s="50">
        <v>3</v>
      </c>
      <c r="L37" s="50">
        <v>3</v>
      </c>
      <c r="M37" s="50">
        <v>105</v>
      </c>
      <c r="N37" s="50">
        <v>0</v>
      </c>
      <c r="O37" s="15">
        <f t="shared" si="0"/>
        <v>81</v>
      </c>
      <c r="P37" s="15">
        <f t="shared" si="1"/>
        <v>186</v>
      </c>
    </row>
    <row r="38" spans="2:20" ht="23.1" customHeight="1" x14ac:dyDescent="0.25">
      <c r="B38" s="24" t="s">
        <v>65</v>
      </c>
      <c r="C38" s="50">
        <v>25</v>
      </c>
      <c r="D38" s="50">
        <v>3</v>
      </c>
      <c r="E38" s="50">
        <v>7</v>
      </c>
      <c r="F38" s="50">
        <v>45</v>
      </c>
      <c r="G38" s="50">
        <v>0</v>
      </c>
      <c r="H38" s="50">
        <v>0</v>
      </c>
      <c r="I38" s="50">
        <v>6</v>
      </c>
      <c r="J38" s="50">
        <v>5</v>
      </c>
      <c r="K38" s="50">
        <v>1</v>
      </c>
      <c r="L38" s="50">
        <v>4</v>
      </c>
      <c r="M38" s="50">
        <v>83</v>
      </c>
      <c r="N38" s="50">
        <v>0</v>
      </c>
      <c r="O38" s="15">
        <f t="shared" si="0"/>
        <v>96</v>
      </c>
      <c r="P38" s="15">
        <f t="shared" si="1"/>
        <v>179</v>
      </c>
    </row>
    <row r="39" spans="2:20" ht="23.1" customHeight="1" x14ac:dyDescent="0.25">
      <c r="B39" s="24" t="s">
        <v>66</v>
      </c>
      <c r="C39" s="50">
        <v>20</v>
      </c>
      <c r="D39" s="50">
        <v>1</v>
      </c>
      <c r="E39" s="50">
        <v>6</v>
      </c>
      <c r="F39" s="50">
        <v>25</v>
      </c>
      <c r="G39" s="50">
        <v>0</v>
      </c>
      <c r="H39" s="50">
        <v>0</v>
      </c>
      <c r="I39" s="50">
        <v>0</v>
      </c>
      <c r="J39" s="50">
        <v>2</v>
      </c>
      <c r="K39" s="50">
        <v>1</v>
      </c>
      <c r="L39" s="50">
        <v>2</v>
      </c>
      <c r="M39" s="50">
        <v>72</v>
      </c>
      <c r="N39" s="50">
        <v>0</v>
      </c>
      <c r="O39" s="15">
        <f t="shared" si="0"/>
        <v>57</v>
      </c>
      <c r="P39" s="15">
        <f t="shared" si="1"/>
        <v>129</v>
      </c>
    </row>
    <row r="40" spans="2:20" ht="23.1" customHeight="1" x14ac:dyDescent="0.25">
      <c r="B40" s="24" t="s">
        <v>67</v>
      </c>
      <c r="C40" s="50">
        <v>25</v>
      </c>
      <c r="D40" s="50">
        <v>4</v>
      </c>
      <c r="E40" s="50">
        <v>2</v>
      </c>
      <c r="F40" s="50">
        <v>27</v>
      </c>
      <c r="G40" s="50">
        <v>1</v>
      </c>
      <c r="H40" s="50">
        <v>0</v>
      </c>
      <c r="I40" s="50">
        <v>2</v>
      </c>
      <c r="J40" s="50">
        <v>1</v>
      </c>
      <c r="K40" s="50">
        <v>0</v>
      </c>
      <c r="L40" s="50">
        <v>2</v>
      </c>
      <c r="M40" s="50">
        <v>55</v>
      </c>
      <c r="N40" s="50">
        <v>0</v>
      </c>
      <c r="O40" s="15">
        <f t="shared" si="0"/>
        <v>64</v>
      </c>
      <c r="P40" s="15">
        <f t="shared" si="1"/>
        <v>119</v>
      </c>
    </row>
    <row r="41" spans="2:20" ht="23.1" customHeight="1" x14ac:dyDescent="0.25">
      <c r="B41" s="23" t="s">
        <v>68</v>
      </c>
      <c r="C41" s="50">
        <v>15</v>
      </c>
      <c r="D41" s="50">
        <v>2</v>
      </c>
      <c r="E41" s="50">
        <v>8</v>
      </c>
      <c r="F41" s="50">
        <v>50</v>
      </c>
      <c r="G41" s="50">
        <v>0</v>
      </c>
      <c r="H41" s="50">
        <v>0</v>
      </c>
      <c r="I41" s="50">
        <v>2</v>
      </c>
      <c r="J41" s="50">
        <v>6</v>
      </c>
      <c r="K41" s="50">
        <v>2</v>
      </c>
      <c r="L41" s="50">
        <v>2</v>
      </c>
      <c r="M41" s="50">
        <v>95</v>
      </c>
      <c r="N41" s="50">
        <v>0</v>
      </c>
      <c r="O41" s="15">
        <f t="shared" si="0"/>
        <v>87</v>
      </c>
      <c r="P41" s="15">
        <f t="shared" si="1"/>
        <v>182</v>
      </c>
    </row>
    <row r="42" spans="2:20" ht="23.1" customHeight="1" x14ac:dyDescent="0.25">
      <c r="B42" s="24" t="s">
        <v>69</v>
      </c>
      <c r="C42" s="50">
        <v>37</v>
      </c>
      <c r="D42" s="50">
        <v>2</v>
      </c>
      <c r="E42" s="50">
        <v>2</v>
      </c>
      <c r="F42" s="50">
        <v>55</v>
      </c>
      <c r="G42" s="50">
        <v>0</v>
      </c>
      <c r="H42" s="50">
        <v>0</v>
      </c>
      <c r="I42" s="50">
        <v>1</v>
      </c>
      <c r="J42" s="50">
        <v>9</v>
      </c>
      <c r="K42" s="50">
        <v>2</v>
      </c>
      <c r="L42" s="50">
        <v>3</v>
      </c>
      <c r="M42" s="50">
        <v>146</v>
      </c>
      <c r="N42" s="50">
        <v>0</v>
      </c>
      <c r="O42" s="15">
        <f t="shared" si="0"/>
        <v>111</v>
      </c>
      <c r="P42" s="15">
        <f t="shared" si="1"/>
        <v>257</v>
      </c>
    </row>
    <row r="43" spans="2:20" ht="23.1" customHeight="1" x14ac:dyDescent="0.25">
      <c r="B43" s="23" t="s">
        <v>70</v>
      </c>
      <c r="C43" s="50">
        <v>36</v>
      </c>
      <c r="D43" s="50">
        <v>4</v>
      </c>
      <c r="E43" s="50">
        <v>4</v>
      </c>
      <c r="F43" s="50">
        <v>36</v>
      </c>
      <c r="G43" s="50">
        <v>0</v>
      </c>
      <c r="H43" s="50">
        <v>0</v>
      </c>
      <c r="I43" s="50">
        <v>2</v>
      </c>
      <c r="J43" s="50">
        <v>7</v>
      </c>
      <c r="K43" s="50">
        <v>0</v>
      </c>
      <c r="L43" s="50">
        <v>0</v>
      </c>
      <c r="M43" s="50">
        <v>183</v>
      </c>
      <c r="N43" s="50">
        <v>0</v>
      </c>
      <c r="O43" s="15">
        <f t="shared" si="0"/>
        <v>89</v>
      </c>
      <c r="P43" s="15">
        <f t="shared" si="1"/>
        <v>272</v>
      </c>
    </row>
    <row r="44" spans="2:20" ht="23.1" customHeight="1" x14ac:dyDescent="0.25">
      <c r="B44" s="25" t="s">
        <v>71</v>
      </c>
      <c r="C44" s="50">
        <v>41</v>
      </c>
      <c r="D44" s="50">
        <v>5</v>
      </c>
      <c r="E44" s="50">
        <v>6</v>
      </c>
      <c r="F44" s="50">
        <v>25</v>
      </c>
      <c r="G44" s="50">
        <v>0</v>
      </c>
      <c r="H44" s="50">
        <v>1</v>
      </c>
      <c r="I44" s="50">
        <v>1</v>
      </c>
      <c r="J44" s="50">
        <v>19</v>
      </c>
      <c r="K44" s="50">
        <v>1</v>
      </c>
      <c r="L44" s="50">
        <v>2</v>
      </c>
      <c r="M44" s="50">
        <v>194</v>
      </c>
      <c r="N44" s="50">
        <v>0</v>
      </c>
      <c r="O44" s="15">
        <f t="shared" si="0"/>
        <v>101</v>
      </c>
      <c r="P44" s="15">
        <f t="shared" si="1"/>
        <v>295</v>
      </c>
    </row>
    <row r="45" spans="2:20" ht="23.1" customHeight="1" x14ac:dyDescent="0.25">
      <c r="B45" s="23" t="s">
        <v>72</v>
      </c>
      <c r="C45" s="50">
        <v>45</v>
      </c>
      <c r="D45" s="50">
        <v>3</v>
      </c>
      <c r="E45" s="50">
        <v>4</v>
      </c>
      <c r="F45" s="50">
        <v>36</v>
      </c>
      <c r="G45" s="50">
        <v>0</v>
      </c>
      <c r="H45" s="50">
        <v>1</v>
      </c>
      <c r="I45" s="50">
        <v>3</v>
      </c>
      <c r="J45" s="50">
        <v>8</v>
      </c>
      <c r="K45" s="50">
        <v>0</v>
      </c>
      <c r="L45" s="50">
        <v>4</v>
      </c>
      <c r="M45" s="50">
        <v>198</v>
      </c>
      <c r="N45" s="50">
        <v>0</v>
      </c>
      <c r="O45" s="15">
        <f t="shared" si="0"/>
        <v>104</v>
      </c>
      <c r="P45" s="15">
        <f t="shared" si="1"/>
        <v>302</v>
      </c>
    </row>
    <row r="46" spans="2:20" ht="23.1" customHeight="1" x14ac:dyDescent="0.25">
      <c r="B46" s="24" t="s">
        <v>73</v>
      </c>
      <c r="C46" s="50">
        <v>17</v>
      </c>
      <c r="D46" s="50">
        <v>2</v>
      </c>
      <c r="E46" s="50">
        <v>5</v>
      </c>
      <c r="F46" s="50">
        <v>40</v>
      </c>
      <c r="G46" s="50">
        <v>1</v>
      </c>
      <c r="H46" s="50">
        <v>0</v>
      </c>
      <c r="I46" s="50">
        <v>2</v>
      </c>
      <c r="J46" s="50">
        <v>3</v>
      </c>
      <c r="K46" s="50">
        <v>1</v>
      </c>
      <c r="L46" s="50">
        <v>0</v>
      </c>
      <c r="M46" s="50">
        <v>143</v>
      </c>
      <c r="N46" s="50">
        <v>0</v>
      </c>
      <c r="O46" s="15">
        <f t="shared" si="0"/>
        <v>71</v>
      </c>
      <c r="P46" s="15">
        <f t="shared" si="1"/>
        <v>214</v>
      </c>
      <c r="R46" s="8"/>
      <c r="T46"/>
    </row>
    <row r="47" spans="2:20" ht="23.1" customHeight="1" x14ac:dyDescent="0.25">
      <c r="B47" s="24" t="s">
        <v>74</v>
      </c>
      <c r="C47" s="50">
        <v>25</v>
      </c>
      <c r="D47" s="50">
        <v>3</v>
      </c>
      <c r="E47" s="50">
        <v>7</v>
      </c>
      <c r="F47" s="50">
        <v>36</v>
      </c>
      <c r="G47" s="50">
        <v>0</v>
      </c>
      <c r="H47" s="50">
        <v>1</v>
      </c>
      <c r="I47" s="50">
        <v>3</v>
      </c>
      <c r="J47" s="50">
        <v>10</v>
      </c>
      <c r="K47" s="50">
        <v>0</v>
      </c>
      <c r="L47" s="50">
        <v>4</v>
      </c>
      <c r="M47" s="50">
        <v>137</v>
      </c>
      <c r="N47" s="50">
        <v>0</v>
      </c>
      <c r="O47" s="15">
        <f t="shared" si="0"/>
        <v>89</v>
      </c>
      <c r="P47" s="15">
        <f t="shared" si="1"/>
        <v>226</v>
      </c>
      <c r="R47" s="8"/>
      <c r="T47"/>
    </row>
    <row r="48" spans="2:20" ht="23.1" customHeight="1" x14ac:dyDescent="0.25">
      <c r="B48" s="24" t="s">
        <v>75</v>
      </c>
      <c r="C48" s="50">
        <v>30</v>
      </c>
      <c r="D48" s="50">
        <v>6</v>
      </c>
      <c r="E48" s="50">
        <v>6</v>
      </c>
      <c r="F48" s="50">
        <v>25</v>
      </c>
      <c r="G48" s="50">
        <v>0</v>
      </c>
      <c r="H48" s="50">
        <v>0</v>
      </c>
      <c r="I48" s="50">
        <v>3</v>
      </c>
      <c r="J48" s="50">
        <v>1</v>
      </c>
      <c r="K48" s="50">
        <v>0</v>
      </c>
      <c r="L48" s="50">
        <v>2</v>
      </c>
      <c r="M48" s="50">
        <v>137</v>
      </c>
      <c r="N48" s="50">
        <v>0</v>
      </c>
      <c r="O48" s="15">
        <f t="shared" si="0"/>
        <v>73</v>
      </c>
      <c r="P48" s="15">
        <f t="shared" si="1"/>
        <v>210</v>
      </c>
      <c r="R48" s="8"/>
      <c r="T48"/>
    </row>
    <row r="49" spans="2:20" ht="23.1" customHeight="1" x14ac:dyDescent="0.25">
      <c r="B49" s="23" t="s">
        <v>76</v>
      </c>
      <c r="C49" s="50">
        <v>31</v>
      </c>
      <c r="D49" s="50">
        <v>3</v>
      </c>
      <c r="E49" s="50">
        <v>6</v>
      </c>
      <c r="F49" s="50">
        <v>26</v>
      </c>
      <c r="G49" s="50">
        <v>1</v>
      </c>
      <c r="H49" s="50">
        <v>0</v>
      </c>
      <c r="I49" s="50">
        <v>3</v>
      </c>
      <c r="J49" s="50">
        <v>6</v>
      </c>
      <c r="K49" s="50">
        <v>0</v>
      </c>
      <c r="L49" s="50">
        <v>2</v>
      </c>
      <c r="M49" s="50">
        <v>115</v>
      </c>
      <c r="N49" s="50">
        <v>0</v>
      </c>
      <c r="O49" s="15">
        <f t="shared" si="0"/>
        <v>78</v>
      </c>
      <c r="P49" s="15">
        <f t="shared" si="1"/>
        <v>193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3</v>
      </c>
      <c r="E50" s="50">
        <v>8</v>
      </c>
      <c r="F50" s="50">
        <v>42</v>
      </c>
      <c r="G50" s="50">
        <v>2</v>
      </c>
      <c r="H50" s="50">
        <v>1</v>
      </c>
      <c r="I50" s="50">
        <v>2</v>
      </c>
      <c r="J50" s="50">
        <v>8</v>
      </c>
      <c r="K50" s="50">
        <v>0</v>
      </c>
      <c r="L50" s="50">
        <v>0</v>
      </c>
      <c r="M50" s="50">
        <v>161</v>
      </c>
      <c r="N50" s="50">
        <v>0</v>
      </c>
      <c r="O50" s="15">
        <f t="shared" si="0"/>
        <v>71</v>
      </c>
      <c r="P50" s="15">
        <f t="shared" si="1"/>
        <v>232</v>
      </c>
      <c r="R50" s="8"/>
      <c r="T50"/>
    </row>
    <row r="51" spans="2:20" ht="23.1" customHeight="1" x14ac:dyDescent="0.25">
      <c r="B51" s="24" t="s">
        <v>78</v>
      </c>
      <c r="C51" s="50">
        <v>60</v>
      </c>
      <c r="D51" s="50">
        <v>3</v>
      </c>
      <c r="E51" s="50">
        <v>8</v>
      </c>
      <c r="F51" s="50">
        <v>48</v>
      </c>
      <c r="G51" s="50">
        <v>3</v>
      </c>
      <c r="H51" s="50">
        <v>0</v>
      </c>
      <c r="I51" s="50">
        <v>0</v>
      </c>
      <c r="J51" s="50">
        <v>6</v>
      </c>
      <c r="K51" s="50">
        <v>1</v>
      </c>
      <c r="L51" s="50">
        <v>1</v>
      </c>
      <c r="M51" s="50">
        <v>159</v>
      </c>
      <c r="N51" s="50">
        <v>0</v>
      </c>
      <c r="O51" s="15">
        <f t="shared" si="0"/>
        <v>130</v>
      </c>
      <c r="P51" s="15">
        <f t="shared" si="1"/>
        <v>289</v>
      </c>
      <c r="R51" s="8"/>
      <c r="T51"/>
    </row>
    <row r="52" spans="2:20" ht="23.1" customHeight="1" x14ac:dyDescent="0.25">
      <c r="B52" s="24" t="s">
        <v>79</v>
      </c>
      <c r="C52" s="50">
        <v>45</v>
      </c>
      <c r="D52" s="50">
        <v>4</v>
      </c>
      <c r="E52" s="50">
        <v>6</v>
      </c>
      <c r="F52" s="50">
        <v>40</v>
      </c>
      <c r="G52" s="50">
        <v>3</v>
      </c>
      <c r="H52" s="50">
        <v>2</v>
      </c>
      <c r="I52" s="50">
        <v>2</v>
      </c>
      <c r="J52" s="50">
        <v>8</v>
      </c>
      <c r="K52" s="50">
        <v>2</v>
      </c>
      <c r="L52" s="50">
        <v>3</v>
      </c>
      <c r="M52" s="50">
        <v>170</v>
      </c>
      <c r="N52" s="50">
        <v>0</v>
      </c>
      <c r="O52" s="15">
        <f t="shared" si="0"/>
        <v>115</v>
      </c>
      <c r="P52" s="15">
        <f t="shared" si="1"/>
        <v>285</v>
      </c>
      <c r="R52" s="8"/>
      <c r="T52"/>
    </row>
    <row r="53" spans="2:20" ht="23.1" customHeight="1" x14ac:dyDescent="0.25">
      <c r="B53" s="23" t="s">
        <v>80</v>
      </c>
      <c r="C53" s="50">
        <v>51</v>
      </c>
      <c r="D53" s="50">
        <v>3</v>
      </c>
      <c r="E53" s="50">
        <v>8</v>
      </c>
      <c r="F53" s="50">
        <v>37</v>
      </c>
      <c r="G53" s="50">
        <v>1</v>
      </c>
      <c r="H53" s="50">
        <v>1</v>
      </c>
      <c r="I53" s="50">
        <v>4</v>
      </c>
      <c r="J53" s="50">
        <v>3</v>
      </c>
      <c r="K53" s="50">
        <v>0</v>
      </c>
      <c r="L53" s="50">
        <v>0</v>
      </c>
      <c r="M53" s="50">
        <v>188</v>
      </c>
      <c r="N53" s="50">
        <v>0</v>
      </c>
      <c r="O53" s="15">
        <f t="shared" si="0"/>
        <v>108</v>
      </c>
      <c r="P53" s="15">
        <f t="shared" si="1"/>
        <v>296</v>
      </c>
      <c r="R53" s="8"/>
      <c r="T53"/>
    </row>
    <row r="54" spans="2:20" ht="23.1" customHeight="1" x14ac:dyDescent="0.25">
      <c r="B54" s="23" t="s">
        <v>81</v>
      </c>
      <c r="C54" s="50">
        <v>45</v>
      </c>
      <c r="D54" s="50">
        <v>3</v>
      </c>
      <c r="E54" s="50">
        <v>4</v>
      </c>
      <c r="F54" s="50">
        <v>60</v>
      </c>
      <c r="G54" s="50">
        <v>1</v>
      </c>
      <c r="H54" s="50">
        <v>0</v>
      </c>
      <c r="I54" s="50">
        <v>3</v>
      </c>
      <c r="J54" s="50">
        <v>2</v>
      </c>
      <c r="K54" s="50">
        <v>0</v>
      </c>
      <c r="L54" s="50">
        <v>2</v>
      </c>
      <c r="M54" s="50">
        <v>150</v>
      </c>
      <c r="N54" s="50">
        <v>0</v>
      </c>
      <c r="O54" s="15">
        <f t="shared" si="0"/>
        <v>120</v>
      </c>
      <c r="P54" s="15">
        <f t="shared" si="1"/>
        <v>270</v>
      </c>
      <c r="R54" s="8"/>
      <c r="T54"/>
    </row>
    <row r="55" spans="2:20" ht="23.1" customHeight="1" x14ac:dyDescent="0.25">
      <c r="B55" s="23" t="s">
        <v>82</v>
      </c>
      <c r="C55" s="50">
        <v>70</v>
      </c>
      <c r="D55" s="50">
        <v>8</v>
      </c>
      <c r="E55" s="50">
        <v>2</v>
      </c>
      <c r="F55" s="50">
        <v>50</v>
      </c>
      <c r="G55" s="50">
        <v>0</v>
      </c>
      <c r="H55" s="50">
        <v>0</v>
      </c>
      <c r="I55" s="50">
        <v>2</v>
      </c>
      <c r="J55" s="50">
        <v>7</v>
      </c>
      <c r="K55" s="50">
        <v>0</v>
      </c>
      <c r="L55" s="50">
        <v>2</v>
      </c>
      <c r="M55" s="50">
        <v>200</v>
      </c>
      <c r="N55" s="50">
        <v>0</v>
      </c>
      <c r="O55" s="15">
        <f t="shared" si="0"/>
        <v>141</v>
      </c>
      <c r="P55" s="15">
        <f t="shared" si="1"/>
        <v>341</v>
      </c>
      <c r="R55" s="8"/>
      <c r="T55"/>
    </row>
    <row r="56" spans="2:20" ht="23.1" customHeight="1" x14ac:dyDescent="0.25">
      <c r="B56" s="23" t="s">
        <v>83</v>
      </c>
      <c r="C56" s="50">
        <v>45</v>
      </c>
      <c r="D56" s="50">
        <v>3</v>
      </c>
      <c r="E56" s="50">
        <v>6</v>
      </c>
      <c r="F56" s="50">
        <v>53</v>
      </c>
      <c r="G56" s="50">
        <v>1</v>
      </c>
      <c r="H56" s="50">
        <v>0</v>
      </c>
      <c r="I56" s="50">
        <v>0</v>
      </c>
      <c r="J56" s="50">
        <v>4</v>
      </c>
      <c r="K56" s="50">
        <v>0</v>
      </c>
      <c r="L56" s="50">
        <v>2</v>
      </c>
      <c r="M56" s="50">
        <v>205</v>
      </c>
      <c r="N56" s="50">
        <v>0</v>
      </c>
      <c r="O56" s="15">
        <f t="shared" si="0"/>
        <v>114</v>
      </c>
      <c r="P56" s="15">
        <f t="shared" si="1"/>
        <v>319</v>
      </c>
      <c r="R56" s="8"/>
      <c r="T56"/>
    </row>
    <row r="57" spans="2:20" ht="23.1" customHeight="1" x14ac:dyDescent="0.25">
      <c r="B57" s="23" t="s">
        <v>84</v>
      </c>
      <c r="C57" s="50">
        <v>56</v>
      </c>
      <c r="D57" s="50">
        <v>4</v>
      </c>
      <c r="E57" s="50">
        <v>5</v>
      </c>
      <c r="F57" s="50">
        <v>65</v>
      </c>
      <c r="G57" s="50">
        <v>2</v>
      </c>
      <c r="H57" s="50">
        <v>0</v>
      </c>
      <c r="I57" s="50">
        <v>1</v>
      </c>
      <c r="J57" s="50">
        <v>1</v>
      </c>
      <c r="K57" s="50">
        <v>1</v>
      </c>
      <c r="L57" s="50">
        <v>1</v>
      </c>
      <c r="M57" s="50">
        <v>215</v>
      </c>
      <c r="N57" s="50">
        <v>0</v>
      </c>
      <c r="O57" s="15">
        <f t="shared" si="0"/>
        <v>136</v>
      </c>
      <c r="P57" s="15">
        <f t="shared" si="1"/>
        <v>351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1989</v>
      </c>
      <c r="D58" s="16">
        <f t="shared" si="21"/>
        <v>224</v>
      </c>
      <c r="E58" s="16">
        <f t="shared" si="21"/>
        <v>292</v>
      </c>
      <c r="F58" s="16">
        <f t="shared" si="21"/>
        <v>2387</v>
      </c>
      <c r="G58" s="16">
        <f t="shared" si="21"/>
        <v>30</v>
      </c>
      <c r="H58" s="16">
        <f t="shared" si="21"/>
        <v>10</v>
      </c>
      <c r="I58" s="16">
        <f t="shared" si="21"/>
        <v>94</v>
      </c>
      <c r="J58" s="16">
        <f t="shared" si="21"/>
        <v>310</v>
      </c>
      <c r="K58" s="16">
        <f t="shared" si="21"/>
        <v>32</v>
      </c>
      <c r="L58" s="16">
        <f t="shared" si="21"/>
        <v>84</v>
      </c>
      <c r="M58" s="16">
        <f t="shared" si="21"/>
        <v>7578</v>
      </c>
      <c r="N58" s="16">
        <f t="shared" si="21"/>
        <v>0</v>
      </c>
      <c r="O58" s="16">
        <f t="shared" si="21"/>
        <v>5452</v>
      </c>
      <c r="P58" s="16">
        <f t="shared" si="21"/>
        <v>13030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0.15264773599386033</v>
      </c>
      <c r="D59" s="43">
        <f t="shared" si="22"/>
        <v>1.7191097467382961E-2</v>
      </c>
      <c r="E59" s="43">
        <f t="shared" si="22"/>
        <v>2.2409823484267077E-2</v>
      </c>
      <c r="F59" s="43">
        <f t="shared" si="22"/>
        <v>0.1831926323867997</v>
      </c>
      <c r="G59" s="43">
        <f t="shared" si="22"/>
        <v>2.3023791250959325E-3</v>
      </c>
      <c r="H59" s="43">
        <f t="shared" si="22"/>
        <v>7.6745970836531081E-4</v>
      </c>
      <c r="I59" s="43">
        <f t="shared" si="22"/>
        <v>7.214121258633922E-3</v>
      </c>
      <c r="J59" s="43">
        <f t="shared" si="22"/>
        <v>2.3791250959324637E-2</v>
      </c>
      <c r="K59" s="43">
        <f t="shared" si="22"/>
        <v>2.4558710667689945E-3</v>
      </c>
      <c r="L59" s="43">
        <f t="shared" si="22"/>
        <v>6.4466615502686113E-3</v>
      </c>
      <c r="M59" s="43">
        <f t="shared" si="22"/>
        <v>0.58158096699923256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0.36482024944974323</v>
      </c>
      <c r="D60" s="44">
        <f t="shared" ref="D60:N60" si="23">D58/$O$58</f>
        <v>4.1085840058694055E-2</v>
      </c>
      <c r="E60" s="44">
        <f t="shared" si="23"/>
        <v>5.355832721936904E-2</v>
      </c>
      <c r="F60" s="44">
        <f t="shared" si="23"/>
        <v>0.43782098312545853</v>
      </c>
      <c r="G60" s="44">
        <f t="shared" si="23"/>
        <v>5.5025678650036684E-3</v>
      </c>
      <c r="H60" s="44">
        <f t="shared" si="23"/>
        <v>1.8341892883345561E-3</v>
      </c>
      <c r="I60" s="44">
        <f t="shared" si="23"/>
        <v>1.7241379310344827E-2</v>
      </c>
      <c r="J60" s="44">
        <f t="shared" si="23"/>
        <v>5.6859867938371243E-2</v>
      </c>
      <c r="K60" s="44">
        <f t="shared" si="23"/>
        <v>5.8694057226705799E-3</v>
      </c>
      <c r="L60" s="44">
        <f t="shared" si="23"/>
        <v>1.5407190022010272E-2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G1" zoomScale="60" workbookViewId="0">
      <selection activeCell="C27" sqref="C2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'22.07 Busega-Bulenga'!C3:G3</f>
        <v>MCC - C1 - STN12-MITYANA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68" t="str">
        <f>'22.07 Busega-Bulenga'!G5:H5</f>
        <v xml:space="preserve">Petro Max </v>
      </c>
      <c r="H5" s="69"/>
      <c r="I5" s="14"/>
      <c r="J5" s="2" t="s">
        <v>5</v>
      </c>
      <c r="K5" s="68" t="str">
        <f>'22.07 Busega-Bulenga'!K5:L5</f>
        <v xml:space="preserve">Nabayunga Rashida 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'22.07 Busega-Bulenga'!D6:E6</f>
        <v>Busega</v>
      </c>
      <c r="E6" s="69"/>
      <c r="F6" s="2" t="s">
        <v>2</v>
      </c>
      <c r="G6" s="68" t="str">
        <f>'22.07 Busega-Bulenga'!G6:H6</f>
        <v xml:space="preserve">Bulenga </v>
      </c>
      <c r="H6" s="69"/>
      <c r="J6" s="2" t="s">
        <v>21</v>
      </c>
      <c r="K6" s="68" t="str">
        <f>'22.07 Busega-Bulenga'!K6:L6</f>
        <v>Andrew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30</v>
      </c>
      <c r="D10" s="50">
        <v>6</v>
      </c>
      <c r="E10" s="50">
        <v>2</v>
      </c>
      <c r="F10" s="50">
        <v>29</v>
      </c>
      <c r="G10" s="50">
        <v>0</v>
      </c>
      <c r="H10" s="50">
        <v>0</v>
      </c>
      <c r="I10" s="50">
        <v>8</v>
      </c>
      <c r="J10" s="50">
        <v>5</v>
      </c>
      <c r="K10" s="50">
        <v>0</v>
      </c>
      <c r="L10" s="50">
        <v>4</v>
      </c>
      <c r="M10" s="50">
        <v>145</v>
      </c>
      <c r="N10" s="50">
        <v>0</v>
      </c>
      <c r="O10" s="15">
        <f t="shared" ref="O10:O57" si="0">SUM(C10:L10,N10)</f>
        <v>84</v>
      </c>
      <c r="P10" s="15">
        <f t="shared" ref="P10:P57" si="1">SUM(C10:N10)</f>
        <v>229</v>
      </c>
      <c r="R10" s="1" t="s">
        <v>6</v>
      </c>
      <c r="S10" s="17">
        <f t="shared" ref="S10:AF10" si="2">SUM(C10:C13)</f>
        <v>119</v>
      </c>
      <c r="T10" s="17">
        <f t="shared" si="2"/>
        <v>22</v>
      </c>
      <c r="U10" s="17">
        <f t="shared" si="2"/>
        <v>9</v>
      </c>
      <c r="V10" s="17">
        <f t="shared" si="2"/>
        <v>98</v>
      </c>
      <c r="W10" s="17">
        <f t="shared" si="2"/>
        <v>8</v>
      </c>
      <c r="X10" s="17">
        <f t="shared" si="2"/>
        <v>0</v>
      </c>
      <c r="Y10" s="17">
        <f t="shared" si="2"/>
        <v>33</v>
      </c>
      <c r="Z10" s="17">
        <f t="shared" si="2"/>
        <v>14</v>
      </c>
      <c r="AA10" s="17">
        <f t="shared" si="2"/>
        <v>2</v>
      </c>
      <c r="AB10" s="17">
        <f t="shared" si="2"/>
        <v>7</v>
      </c>
      <c r="AC10" s="17">
        <f t="shared" si="2"/>
        <v>782</v>
      </c>
      <c r="AD10" s="17">
        <f t="shared" si="2"/>
        <v>0</v>
      </c>
      <c r="AE10" s="31">
        <f t="shared" si="2"/>
        <v>312</v>
      </c>
      <c r="AF10" s="31">
        <f t="shared" si="2"/>
        <v>1094</v>
      </c>
    </row>
    <row r="11" spans="2:32" s="6" customFormat="1" ht="23.1" customHeight="1" x14ac:dyDescent="0.25">
      <c r="B11" s="23" t="s">
        <v>38</v>
      </c>
      <c r="C11" s="50">
        <v>36</v>
      </c>
      <c r="D11" s="50">
        <v>6</v>
      </c>
      <c r="E11" s="50">
        <v>2</v>
      </c>
      <c r="F11" s="50">
        <v>18</v>
      </c>
      <c r="G11" s="50">
        <v>3</v>
      </c>
      <c r="H11" s="50">
        <v>0</v>
      </c>
      <c r="I11" s="50">
        <v>11</v>
      </c>
      <c r="J11" s="50">
        <v>2</v>
      </c>
      <c r="K11" s="50">
        <v>1</v>
      </c>
      <c r="L11" s="50">
        <v>1</v>
      </c>
      <c r="M11" s="50">
        <v>184</v>
      </c>
      <c r="N11" s="50">
        <v>0</v>
      </c>
      <c r="O11" s="15">
        <f t="shared" si="0"/>
        <v>80</v>
      </c>
      <c r="P11" s="15">
        <f t="shared" si="1"/>
        <v>264</v>
      </c>
      <c r="R11" s="1" t="s">
        <v>7</v>
      </c>
      <c r="S11" s="17">
        <f t="shared" ref="S11:AF11" si="3">SUM(C14:C17)</f>
        <v>126</v>
      </c>
      <c r="T11" s="17">
        <f t="shared" si="3"/>
        <v>17</v>
      </c>
      <c r="U11" s="17">
        <f t="shared" si="3"/>
        <v>13</v>
      </c>
      <c r="V11" s="17">
        <f t="shared" si="3"/>
        <v>134</v>
      </c>
      <c r="W11" s="17">
        <f t="shared" si="3"/>
        <v>2</v>
      </c>
      <c r="X11" s="17">
        <f t="shared" si="3"/>
        <v>2</v>
      </c>
      <c r="Y11" s="17">
        <f t="shared" si="3"/>
        <v>24</v>
      </c>
      <c r="Z11" s="17">
        <f t="shared" si="3"/>
        <v>21</v>
      </c>
      <c r="AA11" s="17">
        <f t="shared" si="3"/>
        <v>2</v>
      </c>
      <c r="AB11" s="17">
        <f t="shared" si="3"/>
        <v>4</v>
      </c>
      <c r="AC11" s="17">
        <f t="shared" si="3"/>
        <v>962</v>
      </c>
      <c r="AD11" s="17">
        <f t="shared" si="3"/>
        <v>0</v>
      </c>
      <c r="AE11" s="31">
        <f t="shared" si="3"/>
        <v>345</v>
      </c>
      <c r="AF11" s="31">
        <f t="shared" si="3"/>
        <v>1307</v>
      </c>
    </row>
    <row r="12" spans="2:32" ht="23.1" customHeight="1" x14ac:dyDescent="0.25">
      <c r="B12" s="23" t="s">
        <v>39</v>
      </c>
      <c r="C12" s="50">
        <v>28</v>
      </c>
      <c r="D12" s="50">
        <v>6</v>
      </c>
      <c r="E12" s="50">
        <v>2</v>
      </c>
      <c r="F12" s="50">
        <v>24</v>
      </c>
      <c r="G12" s="50">
        <v>1</v>
      </c>
      <c r="H12" s="50">
        <v>0</v>
      </c>
      <c r="I12" s="50">
        <v>8</v>
      </c>
      <c r="J12" s="50">
        <v>3</v>
      </c>
      <c r="K12" s="50">
        <v>1</v>
      </c>
      <c r="L12" s="50">
        <v>1</v>
      </c>
      <c r="M12" s="50">
        <v>210</v>
      </c>
      <c r="N12" s="50">
        <v>0</v>
      </c>
      <c r="O12" s="15">
        <f t="shared" si="0"/>
        <v>74</v>
      </c>
      <c r="P12" s="15">
        <f t="shared" si="1"/>
        <v>284</v>
      </c>
      <c r="R12" s="1" t="s">
        <v>8</v>
      </c>
      <c r="S12" s="17">
        <f t="shared" ref="S12:AF12" si="4">SUM(C18:C21)</f>
        <v>121</v>
      </c>
      <c r="T12" s="17">
        <f t="shared" si="4"/>
        <v>20</v>
      </c>
      <c r="U12" s="17">
        <f t="shared" si="4"/>
        <v>7</v>
      </c>
      <c r="V12" s="17">
        <f t="shared" si="4"/>
        <v>115</v>
      </c>
      <c r="W12" s="17">
        <f t="shared" si="4"/>
        <v>1</v>
      </c>
      <c r="X12" s="17">
        <f t="shared" si="4"/>
        <v>2</v>
      </c>
      <c r="Y12" s="17">
        <f t="shared" si="4"/>
        <v>35</v>
      </c>
      <c r="Z12" s="17">
        <f t="shared" si="4"/>
        <v>36</v>
      </c>
      <c r="AA12" s="17">
        <f t="shared" si="4"/>
        <v>8</v>
      </c>
      <c r="AB12" s="17">
        <f t="shared" si="4"/>
        <v>5</v>
      </c>
      <c r="AC12" s="17">
        <f t="shared" si="4"/>
        <v>911</v>
      </c>
      <c r="AD12" s="17">
        <f t="shared" si="4"/>
        <v>0</v>
      </c>
      <c r="AE12" s="31">
        <f t="shared" si="4"/>
        <v>350</v>
      </c>
      <c r="AF12" s="31">
        <f t="shared" si="4"/>
        <v>1261</v>
      </c>
    </row>
    <row r="13" spans="2:32" ht="23.1" customHeight="1" x14ac:dyDescent="0.25">
      <c r="B13" s="23" t="s">
        <v>40</v>
      </c>
      <c r="C13" s="50">
        <v>25</v>
      </c>
      <c r="D13" s="50">
        <v>4</v>
      </c>
      <c r="E13" s="50">
        <v>3</v>
      </c>
      <c r="F13" s="50">
        <v>27</v>
      </c>
      <c r="G13" s="50">
        <v>4</v>
      </c>
      <c r="H13" s="50">
        <v>0</v>
      </c>
      <c r="I13" s="50">
        <v>6</v>
      </c>
      <c r="J13" s="50">
        <v>4</v>
      </c>
      <c r="K13" s="50">
        <v>0</v>
      </c>
      <c r="L13" s="50">
        <v>1</v>
      </c>
      <c r="M13" s="50">
        <v>243</v>
      </c>
      <c r="N13" s="50">
        <v>0</v>
      </c>
      <c r="O13" s="15">
        <f t="shared" si="0"/>
        <v>74</v>
      </c>
      <c r="P13" s="15">
        <f t="shared" si="1"/>
        <v>317</v>
      </c>
      <c r="R13" s="1" t="s">
        <v>9</v>
      </c>
      <c r="S13" s="17">
        <f t="shared" ref="S13:AF13" si="5">SUM(C22:C25)</f>
        <v>162</v>
      </c>
      <c r="T13" s="17">
        <f t="shared" si="5"/>
        <v>22</v>
      </c>
      <c r="U13" s="17">
        <f t="shared" si="5"/>
        <v>32</v>
      </c>
      <c r="V13" s="17">
        <f t="shared" si="5"/>
        <v>92</v>
      </c>
      <c r="W13" s="17">
        <f t="shared" si="5"/>
        <v>3</v>
      </c>
      <c r="X13" s="17">
        <f t="shared" si="5"/>
        <v>0</v>
      </c>
      <c r="Y13" s="17">
        <f t="shared" si="5"/>
        <v>43</v>
      </c>
      <c r="Z13" s="17">
        <f t="shared" si="5"/>
        <v>35</v>
      </c>
      <c r="AA13" s="17">
        <f t="shared" si="5"/>
        <v>8</v>
      </c>
      <c r="AB13" s="17">
        <f t="shared" si="5"/>
        <v>12</v>
      </c>
      <c r="AC13" s="17">
        <f t="shared" si="5"/>
        <v>797</v>
      </c>
      <c r="AD13" s="17">
        <f t="shared" si="5"/>
        <v>0</v>
      </c>
      <c r="AE13" s="31">
        <f t="shared" si="5"/>
        <v>409</v>
      </c>
      <c r="AF13" s="31">
        <f t="shared" si="5"/>
        <v>1206</v>
      </c>
    </row>
    <row r="14" spans="2:32" ht="23.1" customHeight="1" x14ac:dyDescent="0.25">
      <c r="B14" s="23" t="s">
        <v>41</v>
      </c>
      <c r="C14" s="50">
        <v>28</v>
      </c>
      <c r="D14" s="50">
        <v>5</v>
      </c>
      <c r="E14" s="50">
        <v>1</v>
      </c>
      <c r="F14" s="50">
        <v>29</v>
      </c>
      <c r="G14" s="50">
        <v>2</v>
      </c>
      <c r="H14" s="50">
        <v>1</v>
      </c>
      <c r="I14" s="50">
        <v>5</v>
      </c>
      <c r="J14" s="50">
        <v>4</v>
      </c>
      <c r="K14" s="50">
        <v>1</v>
      </c>
      <c r="L14" s="50">
        <v>0</v>
      </c>
      <c r="M14" s="50">
        <v>235</v>
      </c>
      <c r="N14" s="50">
        <v>0</v>
      </c>
      <c r="O14" s="15">
        <f t="shared" si="0"/>
        <v>76</v>
      </c>
      <c r="P14" s="15">
        <f t="shared" si="1"/>
        <v>311</v>
      </c>
      <c r="R14" s="1" t="s">
        <v>10</v>
      </c>
      <c r="S14" s="17">
        <f t="shared" ref="S14:AF14" si="6">SUM(C26:C29)</f>
        <v>110</v>
      </c>
      <c r="T14" s="17">
        <f t="shared" si="6"/>
        <v>19</v>
      </c>
      <c r="U14" s="17">
        <f t="shared" si="6"/>
        <v>11</v>
      </c>
      <c r="V14" s="17">
        <f t="shared" si="6"/>
        <v>126</v>
      </c>
      <c r="W14" s="17">
        <f t="shared" si="6"/>
        <v>1</v>
      </c>
      <c r="X14" s="17">
        <f t="shared" si="6"/>
        <v>5</v>
      </c>
      <c r="Y14" s="17">
        <f t="shared" si="6"/>
        <v>30</v>
      </c>
      <c r="Z14" s="17">
        <f t="shared" si="6"/>
        <v>30</v>
      </c>
      <c r="AA14" s="17">
        <f t="shared" si="6"/>
        <v>7</v>
      </c>
      <c r="AB14" s="17">
        <f t="shared" si="6"/>
        <v>10</v>
      </c>
      <c r="AC14" s="17">
        <f t="shared" si="6"/>
        <v>624</v>
      </c>
      <c r="AD14" s="17">
        <f t="shared" si="6"/>
        <v>0</v>
      </c>
      <c r="AE14" s="31">
        <f t="shared" si="6"/>
        <v>349</v>
      </c>
      <c r="AF14" s="31">
        <f t="shared" si="6"/>
        <v>973</v>
      </c>
    </row>
    <row r="15" spans="2:32" ht="23.1" customHeight="1" x14ac:dyDescent="0.25">
      <c r="B15" s="23" t="s">
        <v>42</v>
      </c>
      <c r="C15" s="50">
        <v>34</v>
      </c>
      <c r="D15" s="50">
        <v>4</v>
      </c>
      <c r="E15" s="50">
        <v>3</v>
      </c>
      <c r="F15" s="50">
        <v>38</v>
      </c>
      <c r="G15" s="50">
        <v>0</v>
      </c>
      <c r="H15" s="50">
        <v>0</v>
      </c>
      <c r="I15" s="50">
        <v>5</v>
      </c>
      <c r="J15" s="50">
        <v>6</v>
      </c>
      <c r="K15" s="50">
        <v>0</v>
      </c>
      <c r="L15" s="50">
        <v>2</v>
      </c>
      <c r="M15" s="50">
        <v>240</v>
      </c>
      <c r="N15" s="50">
        <v>0</v>
      </c>
      <c r="O15" s="15">
        <f t="shared" si="0"/>
        <v>92</v>
      </c>
      <c r="P15" s="15">
        <f t="shared" si="1"/>
        <v>332</v>
      </c>
      <c r="R15" s="1" t="s">
        <v>11</v>
      </c>
      <c r="S15" s="17">
        <f t="shared" ref="S15:AF15" si="7">SUM(C30:C33)</f>
        <v>148</v>
      </c>
      <c r="T15" s="17">
        <f t="shared" si="7"/>
        <v>23</v>
      </c>
      <c r="U15" s="17">
        <f t="shared" si="7"/>
        <v>18</v>
      </c>
      <c r="V15" s="17">
        <f t="shared" si="7"/>
        <v>82</v>
      </c>
      <c r="W15" s="17">
        <f t="shared" si="7"/>
        <v>2</v>
      </c>
      <c r="X15" s="17">
        <f t="shared" si="7"/>
        <v>1</v>
      </c>
      <c r="Y15" s="17">
        <f t="shared" si="7"/>
        <v>48</v>
      </c>
      <c r="Z15" s="17">
        <f t="shared" si="7"/>
        <v>37</v>
      </c>
      <c r="AA15" s="17">
        <f t="shared" si="7"/>
        <v>11</v>
      </c>
      <c r="AB15" s="17">
        <f t="shared" si="7"/>
        <v>4</v>
      </c>
      <c r="AC15" s="17">
        <f t="shared" si="7"/>
        <v>770</v>
      </c>
      <c r="AD15" s="17">
        <f t="shared" si="7"/>
        <v>0</v>
      </c>
      <c r="AE15" s="31">
        <f t="shared" si="7"/>
        <v>374</v>
      </c>
      <c r="AF15" s="31">
        <f t="shared" si="7"/>
        <v>1144</v>
      </c>
    </row>
    <row r="16" spans="2:32" ht="23.1" customHeight="1" x14ac:dyDescent="0.25">
      <c r="B16" s="23" t="s">
        <v>43</v>
      </c>
      <c r="C16" s="50">
        <v>41</v>
      </c>
      <c r="D16" s="50">
        <v>5</v>
      </c>
      <c r="E16" s="50">
        <v>4</v>
      </c>
      <c r="F16" s="50">
        <v>42</v>
      </c>
      <c r="G16" s="50">
        <v>0</v>
      </c>
      <c r="H16" s="50">
        <v>1</v>
      </c>
      <c r="I16" s="50">
        <v>8</v>
      </c>
      <c r="J16" s="50">
        <v>9</v>
      </c>
      <c r="K16" s="50">
        <v>0</v>
      </c>
      <c r="L16" s="50">
        <v>0</v>
      </c>
      <c r="M16" s="50">
        <v>255</v>
      </c>
      <c r="N16" s="50">
        <v>0</v>
      </c>
      <c r="O16" s="15">
        <f t="shared" si="0"/>
        <v>110</v>
      </c>
      <c r="P16" s="15">
        <f t="shared" si="1"/>
        <v>365</v>
      </c>
      <c r="R16" s="1" t="s">
        <v>12</v>
      </c>
      <c r="S16" s="17">
        <f t="shared" ref="S16:AF16" si="8">SUM(C34:C37)</f>
        <v>131</v>
      </c>
      <c r="T16" s="17">
        <f t="shared" si="8"/>
        <v>24</v>
      </c>
      <c r="U16" s="17">
        <f t="shared" si="8"/>
        <v>13</v>
      </c>
      <c r="V16" s="17">
        <f t="shared" si="8"/>
        <v>118</v>
      </c>
      <c r="W16" s="17">
        <f t="shared" si="8"/>
        <v>1</v>
      </c>
      <c r="X16" s="17">
        <f t="shared" si="8"/>
        <v>2</v>
      </c>
      <c r="Y16" s="17">
        <f t="shared" si="8"/>
        <v>33</v>
      </c>
      <c r="Z16" s="17">
        <f t="shared" si="8"/>
        <v>25</v>
      </c>
      <c r="AA16" s="17">
        <f t="shared" si="8"/>
        <v>7</v>
      </c>
      <c r="AB16" s="17">
        <f t="shared" si="8"/>
        <v>8</v>
      </c>
      <c r="AC16" s="17">
        <f t="shared" si="8"/>
        <v>699</v>
      </c>
      <c r="AD16" s="17">
        <f t="shared" si="8"/>
        <v>0</v>
      </c>
      <c r="AE16" s="31">
        <f t="shared" si="8"/>
        <v>362</v>
      </c>
      <c r="AF16" s="31">
        <f t="shared" si="8"/>
        <v>1061</v>
      </c>
    </row>
    <row r="17" spans="2:32" ht="23.1" customHeight="1" x14ac:dyDescent="0.25">
      <c r="B17" s="23" t="s">
        <v>44</v>
      </c>
      <c r="C17" s="50">
        <v>23</v>
      </c>
      <c r="D17" s="50">
        <v>3</v>
      </c>
      <c r="E17" s="50">
        <v>5</v>
      </c>
      <c r="F17" s="50">
        <v>25</v>
      </c>
      <c r="G17" s="50">
        <v>0</v>
      </c>
      <c r="H17" s="50">
        <v>0</v>
      </c>
      <c r="I17" s="50">
        <v>6</v>
      </c>
      <c r="J17" s="50">
        <v>2</v>
      </c>
      <c r="K17" s="50">
        <v>1</v>
      </c>
      <c r="L17" s="50">
        <v>2</v>
      </c>
      <c r="M17" s="50">
        <v>232</v>
      </c>
      <c r="N17" s="50">
        <v>0</v>
      </c>
      <c r="O17" s="15">
        <f t="shared" si="0"/>
        <v>67</v>
      </c>
      <c r="P17" s="15">
        <f t="shared" si="1"/>
        <v>299</v>
      </c>
      <c r="R17" s="1" t="s">
        <v>13</v>
      </c>
      <c r="S17" s="17">
        <f t="shared" ref="S17:AF17" si="9">SUM(C38:C41)</f>
        <v>129</v>
      </c>
      <c r="T17" s="17">
        <f t="shared" si="9"/>
        <v>20</v>
      </c>
      <c r="U17" s="17">
        <f t="shared" si="9"/>
        <v>10</v>
      </c>
      <c r="V17" s="17">
        <f t="shared" si="9"/>
        <v>79</v>
      </c>
      <c r="W17" s="17">
        <f t="shared" si="9"/>
        <v>2</v>
      </c>
      <c r="X17" s="17">
        <f t="shared" si="9"/>
        <v>3</v>
      </c>
      <c r="Y17" s="17">
        <f t="shared" si="9"/>
        <v>40</v>
      </c>
      <c r="Z17" s="17">
        <f t="shared" si="9"/>
        <v>30</v>
      </c>
      <c r="AA17" s="17">
        <f t="shared" si="9"/>
        <v>4</v>
      </c>
      <c r="AB17" s="17">
        <f t="shared" si="9"/>
        <v>6</v>
      </c>
      <c r="AC17" s="17">
        <f t="shared" si="9"/>
        <v>530</v>
      </c>
      <c r="AD17" s="17">
        <f t="shared" si="9"/>
        <v>0</v>
      </c>
      <c r="AE17" s="31">
        <f t="shared" si="9"/>
        <v>323</v>
      </c>
      <c r="AF17" s="31">
        <f t="shared" si="9"/>
        <v>853</v>
      </c>
    </row>
    <row r="18" spans="2:32" ht="23.1" customHeight="1" x14ac:dyDescent="0.25">
      <c r="B18" s="23" t="s">
        <v>45</v>
      </c>
      <c r="C18" s="50">
        <v>36</v>
      </c>
      <c r="D18" s="50">
        <v>10</v>
      </c>
      <c r="E18" s="50">
        <v>1</v>
      </c>
      <c r="F18" s="50">
        <v>19</v>
      </c>
      <c r="G18" s="50">
        <v>0</v>
      </c>
      <c r="H18" s="50">
        <v>0</v>
      </c>
      <c r="I18" s="50">
        <v>12</v>
      </c>
      <c r="J18" s="50">
        <v>4</v>
      </c>
      <c r="K18" s="50">
        <v>3</v>
      </c>
      <c r="L18" s="50">
        <v>0</v>
      </c>
      <c r="M18" s="50">
        <v>311</v>
      </c>
      <c r="N18" s="50">
        <v>0</v>
      </c>
      <c r="O18" s="15">
        <f t="shared" si="0"/>
        <v>85</v>
      </c>
      <c r="P18" s="15">
        <f t="shared" si="1"/>
        <v>396</v>
      </c>
      <c r="R18" s="1" t="s">
        <v>14</v>
      </c>
      <c r="S18" s="17">
        <f t="shared" ref="S18:AF18" si="10">SUM(C42:C45)</f>
        <v>194</v>
      </c>
      <c r="T18" s="17">
        <f t="shared" si="10"/>
        <v>12</v>
      </c>
      <c r="U18" s="17">
        <f t="shared" si="10"/>
        <v>18</v>
      </c>
      <c r="V18" s="17">
        <f t="shared" si="10"/>
        <v>89</v>
      </c>
      <c r="W18" s="17">
        <f t="shared" si="10"/>
        <v>3</v>
      </c>
      <c r="X18" s="17">
        <f t="shared" si="10"/>
        <v>2</v>
      </c>
      <c r="Y18" s="17">
        <f t="shared" si="10"/>
        <v>45</v>
      </c>
      <c r="Z18" s="17">
        <f t="shared" si="10"/>
        <v>27</v>
      </c>
      <c r="AA18" s="17">
        <f t="shared" si="10"/>
        <v>10</v>
      </c>
      <c r="AB18" s="17">
        <f t="shared" si="10"/>
        <v>7</v>
      </c>
      <c r="AC18" s="17">
        <f t="shared" si="10"/>
        <v>729</v>
      </c>
      <c r="AD18" s="17">
        <f t="shared" si="10"/>
        <v>0</v>
      </c>
      <c r="AE18" s="31">
        <f t="shared" si="10"/>
        <v>407</v>
      </c>
      <c r="AF18" s="31">
        <f t="shared" si="10"/>
        <v>1136</v>
      </c>
    </row>
    <row r="19" spans="2:32" ht="23.1" customHeight="1" x14ac:dyDescent="0.25">
      <c r="B19" s="23" t="s">
        <v>46</v>
      </c>
      <c r="C19" s="50">
        <v>22</v>
      </c>
      <c r="D19" s="50">
        <v>3</v>
      </c>
      <c r="E19" s="50">
        <v>3</v>
      </c>
      <c r="F19" s="50">
        <v>31</v>
      </c>
      <c r="G19" s="50">
        <v>0</v>
      </c>
      <c r="H19" s="50">
        <v>0</v>
      </c>
      <c r="I19" s="50">
        <v>5</v>
      </c>
      <c r="J19" s="50">
        <v>5</v>
      </c>
      <c r="K19" s="50">
        <v>1</v>
      </c>
      <c r="L19" s="50">
        <v>2</v>
      </c>
      <c r="M19" s="50">
        <v>230</v>
      </c>
      <c r="N19" s="50">
        <v>0</v>
      </c>
      <c r="O19" s="15">
        <f t="shared" si="0"/>
        <v>72</v>
      </c>
      <c r="P19" s="15">
        <f t="shared" si="1"/>
        <v>302</v>
      </c>
      <c r="R19" s="1" t="s">
        <v>15</v>
      </c>
      <c r="S19" s="17">
        <f t="shared" ref="S19:AF19" si="11">SUM(C46:C49)</f>
        <v>187</v>
      </c>
      <c r="T19" s="17">
        <f t="shared" si="11"/>
        <v>16</v>
      </c>
      <c r="U19" s="17">
        <f t="shared" si="11"/>
        <v>21</v>
      </c>
      <c r="V19" s="17">
        <f t="shared" si="11"/>
        <v>87</v>
      </c>
      <c r="W19" s="17">
        <f t="shared" si="11"/>
        <v>3</v>
      </c>
      <c r="X19" s="17">
        <f t="shared" si="11"/>
        <v>4</v>
      </c>
      <c r="Y19" s="17">
        <f t="shared" si="11"/>
        <v>36</v>
      </c>
      <c r="Z19" s="17">
        <f t="shared" si="11"/>
        <v>29</v>
      </c>
      <c r="AA19" s="17">
        <f t="shared" si="11"/>
        <v>5</v>
      </c>
      <c r="AB19" s="17">
        <f t="shared" si="11"/>
        <v>7</v>
      </c>
      <c r="AC19" s="17">
        <f t="shared" si="11"/>
        <v>1061</v>
      </c>
      <c r="AD19" s="17">
        <f t="shared" si="11"/>
        <v>0</v>
      </c>
      <c r="AE19" s="31">
        <f t="shared" si="11"/>
        <v>395</v>
      </c>
      <c r="AF19" s="31">
        <f t="shared" si="11"/>
        <v>1456</v>
      </c>
    </row>
    <row r="20" spans="2:32" ht="23.1" customHeight="1" x14ac:dyDescent="0.25">
      <c r="B20" s="23" t="s">
        <v>47</v>
      </c>
      <c r="C20" s="50">
        <v>35</v>
      </c>
      <c r="D20" s="50">
        <v>2</v>
      </c>
      <c r="E20" s="50">
        <v>1</v>
      </c>
      <c r="F20" s="50">
        <v>42</v>
      </c>
      <c r="G20" s="50">
        <v>1</v>
      </c>
      <c r="H20" s="50">
        <v>0</v>
      </c>
      <c r="I20" s="50">
        <v>8</v>
      </c>
      <c r="J20" s="50">
        <v>9</v>
      </c>
      <c r="K20" s="50">
        <v>1</v>
      </c>
      <c r="L20" s="50">
        <v>2</v>
      </c>
      <c r="M20" s="50">
        <v>204</v>
      </c>
      <c r="N20" s="50">
        <v>0</v>
      </c>
      <c r="O20" s="15">
        <f t="shared" si="0"/>
        <v>101</v>
      </c>
      <c r="P20" s="15">
        <f t="shared" si="1"/>
        <v>305</v>
      </c>
      <c r="R20" s="1" t="s">
        <v>16</v>
      </c>
      <c r="S20" s="17">
        <f t="shared" ref="S20:AF20" si="12">SUM(C50:C53)</f>
        <v>482</v>
      </c>
      <c r="T20" s="17">
        <f t="shared" si="12"/>
        <v>44</v>
      </c>
      <c r="U20" s="17">
        <f t="shared" si="12"/>
        <v>23</v>
      </c>
      <c r="V20" s="17">
        <f t="shared" si="12"/>
        <v>129</v>
      </c>
      <c r="W20" s="17">
        <f t="shared" si="12"/>
        <v>3</v>
      </c>
      <c r="X20" s="17">
        <f t="shared" si="12"/>
        <v>3</v>
      </c>
      <c r="Y20" s="17">
        <f t="shared" si="12"/>
        <v>38</v>
      </c>
      <c r="Z20" s="17">
        <f t="shared" si="12"/>
        <v>40</v>
      </c>
      <c r="AA20" s="17">
        <f t="shared" si="12"/>
        <v>13</v>
      </c>
      <c r="AB20" s="17">
        <f t="shared" si="12"/>
        <v>9</v>
      </c>
      <c r="AC20" s="17">
        <f t="shared" si="12"/>
        <v>1174</v>
      </c>
      <c r="AD20" s="17">
        <f t="shared" si="12"/>
        <v>0</v>
      </c>
      <c r="AE20" s="31">
        <f t="shared" si="12"/>
        <v>784</v>
      </c>
      <c r="AF20" s="31">
        <f t="shared" si="12"/>
        <v>1958</v>
      </c>
    </row>
    <row r="21" spans="2:32" ht="23.1" customHeight="1" x14ac:dyDescent="0.25">
      <c r="B21" s="23" t="s">
        <v>48</v>
      </c>
      <c r="C21" s="50">
        <v>28</v>
      </c>
      <c r="D21" s="50">
        <v>5</v>
      </c>
      <c r="E21" s="50">
        <v>2</v>
      </c>
      <c r="F21" s="50">
        <v>23</v>
      </c>
      <c r="G21" s="50">
        <v>0</v>
      </c>
      <c r="H21" s="50">
        <v>2</v>
      </c>
      <c r="I21" s="50">
        <v>10</v>
      </c>
      <c r="J21" s="50">
        <v>18</v>
      </c>
      <c r="K21" s="50">
        <v>3</v>
      </c>
      <c r="L21" s="50">
        <v>1</v>
      </c>
      <c r="M21" s="50">
        <v>166</v>
      </c>
      <c r="N21" s="50">
        <v>0</v>
      </c>
      <c r="O21" s="15">
        <f t="shared" si="0"/>
        <v>92</v>
      </c>
      <c r="P21" s="15">
        <f t="shared" si="1"/>
        <v>258</v>
      </c>
      <c r="R21" s="36" t="s">
        <v>20</v>
      </c>
      <c r="S21" s="34">
        <f t="shared" ref="S21:AF21" si="13">SUM(C54:C57)</f>
        <v>521</v>
      </c>
      <c r="T21" s="17">
        <f t="shared" si="13"/>
        <v>28</v>
      </c>
      <c r="U21" s="17">
        <f t="shared" si="13"/>
        <v>23</v>
      </c>
      <c r="V21" s="17">
        <f t="shared" si="13"/>
        <v>205</v>
      </c>
      <c r="W21" s="17">
        <f t="shared" si="13"/>
        <v>10</v>
      </c>
      <c r="X21" s="17">
        <f t="shared" si="13"/>
        <v>5</v>
      </c>
      <c r="Y21" s="17">
        <f t="shared" si="13"/>
        <v>32</v>
      </c>
      <c r="Z21" s="17">
        <f t="shared" si="13"/>
        <v>45</v>
      </c>
      <c r="AA21" s="17">
        <f t="shared" si="13"/>
        <v>13</v>
      </c>
      <c r="AB21" s="17">
        <f t="shared" si="13"/>
        <v>22</v>
      </c>
      <c r="AC21" s="17">
        <f t="shared" si="13"/>
        <v>1035</v>
      </c>
      <c r="AD21" s="17">
        <f t="shared" si="13"/>
        <v>0</v>
      </c>
      <c r="AE21" s="31">
        <f t="shared" si="13"/>
        <v>904</v>
      </c>
      <c r="AF21" s="31">
        <f t="shared" si="13"/>
        <v>1939</v>
      </c>
    </row>
    <row r="22" spans="2:32" ht="23.1" customHeight="1" x14ac:dyDescent="0.25">
      <c r="B22" s="23" t="s">
        <v>49</v>
      </c>
      <c r="C22" s="50">
        <v>39</v>
      </c>
      <c r="D22" s="50">
        <v>8</v>
      </c>
      <c r="E22" s="50">
        <v>9</v>
      </c>
      <c r="F22" s="50">
        <v>29</v>
      </c>
      <c r="G22" s="50">
        <v>1</v>
      </c>
      <c r="H22" s="50">
        <v>0</v>
      </c>
      <c r="I22" s="50">
        <v>10</v>
      </c>
      <c r="J22" s="50">
        <v>11</v>
      </c>
      <c r="K22" s="50">
        <v>4</v>
      </c>
      <c r="L22" s="50">
        <v>3</v>
      </c>
      <c r="M22" s="50">
        <v>181</v>
      </c>
      <c r="N22" s="50">
        <v>0</v>
      </c>
      <c r="O22" s="15">
        <f t="shared" si="0"/>
        <v>114</v>
      </c>
      <c r="P22" s="15">
        <f t="shared" si="1"/>
        <v>295</v>
      </c>
      <c r="R22" s="38" t="s">
        <v>90</v>
      </c>
      <c r="S22" s="39">
        <f>MAX(S10:S12)</f>
        <v>126</v>
      </c>
      <c r="T22" s="39">
        <f t="shared" ref="T22:AF22" si="14">MAX(T10:T12)</f>
        <v>22</v>
      </c>
      <c r="U22" s="39">
        <f t="shared" si="14"/>
        <v>13</v>
      </c>
      <c r="V22" s="39">
        <f t="shared" si="14"/>
        <v>134</v>
      </c>
      <c r="W22" s="39">
        <f t="shared" si="14"/>
        <v>8</v>
      </c>
      <c r="X22" s="39">
        <f t="shared" si="14"/>
        <v>2</v>
      </c>
      <c r="Y22" s="39">
        <f t="shared" si="14"/>
        <v>35</v>
      </c>
      <c r="Z22" s="39">
        <f t="shared" si="14"/>
        <v>36</v>
      </c>
      <c r="AA22" s="39">
        <f t="shared" si="14"/>
        <v>8</v>
      </c>
      <c r="AB22" s="39">
        <f t="shared" si="14"/>
        <v>7</v>
      </c>
      <c r="AC22" s="39">
        <f t="shared" si="14"/>
        <v>962</v>
      </c>
      <c r="AD22" s="39">
        <f t="shared" si="14"/>
        <v>0</v>
      </c>
      <c r="AE22" s="40">
        <f t="shared" si="14"/>
        <v>350</v>
      </c>
      <c r="AF22" s="40">
        <f t="shared" si="14"/>
        <v>1307</v>
      </c>
    </row>
    <row r="23" spans="2:32" ht="23.1" customHeight="1" x14ac:dyDescent="0.25">
      <c r="B23" s="23" t="s">
        <v>50</v>
      </c>
      <c r="C23" s="50">
        <v>31</v>
      </c>
      <c r="D23" s="50">
        <v>6</v>
      </c>
      <c r="E23" s="50">
        <v>12</v>
      </c>
      <c r="F23" s="50">
        <v>18</v>
      </c>
      <c r="G23" s="50">
        <v>2</v>
      </c>
      <c r="H23" s="50">
        <v>0</v>
      </c>
      <c r="I23" s="50">
        <v>8</v>
      </c>
      <c r="J23" s="50">
        <v>9</v>
      </c>
      <c r="K23" s="50">
        <v>2</v>
      </c>
      <c r="L23" s="50">
        <v>3</v>
      </c>
      <c r="M23" s="50">
        <v>208</v>
      </c>
      <c r="N23" s="50">
        <v>0</v>
      </c>
      <c r="O23" s="15">
        <f t="shared" si="0"/>
        <v>91</v>
      </c>
      <c r="P23" s="15">
        <f t="shared" si="1"/>
        <v>299</v>
      </c>
      <c r="R23" s="38" t="s">
        <v>91</v>
      </c>
      <c r="S23" s="39">
        <f>MAX(S13:S18)</f>
        <v>194</v>
      </c>
      <c r="T23" s="39">
        <f t="shared" ref="T23:AF23" si="15">MAX(T13:T18)</f>
        <v>24</v>
      </c>
      <c r="U23" s="39">
        <f t="shared" si="15"/>
        <v>32</v>
      </c>
      <c r="V23" s="39">
        <f t="shared" si="15"/>
        <v>126</v>
      </c>
      <c r="W23" s="39">
        <f t="shared" si="15"/>
        <v>3</v>
      </c>
      <c r="X23" s="39">
        <f t="shared" si="15"/>
        <v>5</v>
      </c>
      <c r="Y23" s="39">
        <f t="shared" si="15"/>
        <v>48</v>
      </c>
      <c r="Z23" s="39">
        <f t="shared" si="15"/>
        <v>37</v>
      </c>
      <c r="AA23" s="39">
        <f t="shared" si="15"/>
        <v>11</v>
      </c>
      <c r="AB23" s="39">
        <f t="shared" si="15"/>
        <v>12</v>
      </c>
      <c r="AC23" s="39">
        <f t="shared" si="15"/>
        <v>797</v>
      </c>
      <c r="AD23" s="39">
        <f t="shared" si="15"/>
        <v>0</v>
      </c>
      <c r="AE23" s="40">
        <f t="shared" si="15"/>
        <v>409</v>
      </c>
      <c r="AF23" s="40">
        <f t="shared" si="15"/>
        <v>1206</v>
      </c>
    </row>
    <row r="24" spans="2:32" ht="23.1" customHeight="1" x14ac:dyDescent="0.25">
      <c r="B24" s="23" t="s">
        <v>51</v>
      </c>
      <c r="C24" s="50">
        <v>52</v>
      </c>
      <c r="D24" s="50">
        <v>6</v>
      </c>
      <c r="E24" s="50">
        <v>4</v>
      </c>
      <c r="F24" s="50">
        <v>22</v>
      </c>
      <c r="G24" s="50">
        <v>0</v>
      </c>
      <c r="H24" s="50">
        <v>0</v>
      </c>
      <c r="I24" s="50">
        <v>9</v>
      </c>
      <c r="J24" s="50">
        <v>7</v>
      </c>
      <c r="K24" s="50">
        <v>1</v>
      </c>
      <c r="L24" s="50">
        <v>3</v>
      </c>
      <c r="M24" s="50">
        <v>218</v>
      </c>
      <c r="N24" s="50">
        <v>0</v>
      </c>
      <c r="O24" s="15">
        <f t="shared" si="0"/>
        <v>104</v>
      </c>
      <c r="P24" s="15">
        <f t="shared" si="1"/>
        <v>322</v>
      </c>
      <c r="R24" s="38" t="s">
        <v>92</v>
      </c>
      <c r="S24" s="39">
        <f>MAX(S19:S21)</f>
        <v>521</v>
      </c>
      <c r="T24" s="39">
        <f t="shared" ref="T24:AF24" si="16">MAX(T19:T21)</f>
        <v>44</v>
      </c>
      <c r="U24" s="39">
        <f t="shared" si="16"/>
        <v>23</v>
      </c>
      <c r="V24" s="39">
        <f t="shared" si="16"/>
        <v>205</v>
      </c>
      <c r="W24" s="39">
        <f t="shared" si="16"/>
        <v>10</v>
      </c>
      <c r="X24" s="39">
        <f t="shared" si="16"/>
        <v>5</v>
      </c>
      <c r="Y24" s="39">
        <f t="shared" si="16"/>
        <v>38</v>
      </c>
      <c r="Z24" s="39">
        <f t="shared" si="16"/>
        <v>45</v>
      </c>
      <c r="AA24" s="39">
        <f t="shared" si="16"/>
        <v>13</v>
      </c>
      <c r="AB24" s="39">
        <f t="shared" si="16"/>
        <v>22</v>
      </c>
      <c r="AC24" s="39">
        <f t="shared" si="16"/>
        <v>1174</v>
      </c>
      <c r="AD24" s="39">
        <f t="shared" si="16"/>
        <v>0</v>
      </c>
      <c r="AE24" s="40">
        <f t="shared" si="16"/>
        <v>904</v>
      </c>
      <c r="AF24" s="40">
        <f t="shared" si="16"/>
        <v>1958</v>
      </c>
    </row>
    <row r="25" spans="2:32" ht="23.1" customHeight="1" x14ac:dyDescent="0.25">
      <c r="B25" s="23" t="s">
        <v>52</v>
      </c>
      <c r="C25" s="50">
        <v>40</v>
      </c>
      <c r="D25" s="50">
        <v>2</v>
      </c>
      <c r="E25" s="50">
        <v>7</v>
      </c>
      <c r="F25" s="50">
        <v>23</v>
      </c>
      <c r="G25" s="50">
        <v>0</v>
      </c>
      <c r="H25" s="50">
        <v>0</v>
      </c>
      <c r="I25" s="50">
        <v>16</v>
      </c>
      <c r="J25" s="50">
        <v>8</v>
      </c>
      <c r="K25" s="50">
        <v>1</v>
      </c>
      <c r="L25" s="50">
        <v>3</v>
      </c>
      <c r="M25" s="50">
        <v>190</v>
      </c>
      <c r="N25" s="50">
        <v>0</v>
      </c>
      <c r="O25" s="15">
        <f t="shared" si="0"/>
        <v>100</v>
      </c>
      <c r="P25" s="15">
        <f t="shared" si="1"/>
        <v>290</v>
      </c>
      <c r="R25" s="37" t="s">
        <v>85</v>
      </c>
      <c r="S25" s="35">
        <f t="shared" ref="S25:AF25" si="17">SUM(S10:S12)</f>
        <v>366</v>
      </c>
      <c r="T25" s="16">
        <f t="shared" si="17"/>
        <v>59</v>
      </c>
      <c r="U25" s="16">
        <f t="shared" si="17"/>
        <v>29</v>
      </c>
      <c r="V25" s="16">
        <f t="shared" si="17"/>
        <v>347</v>
      </c>
      <c r="W25" s="16">
        <f t="shared" si="17"/>
        <v>11</v>
      </c>
      <c r="X25" s="16">
        <f t="shared" si="17"/>
        <v>4</v>
      </c>
      <c r="Y25" s="16">
        <f t="shared" si="17"/>
        <v>92</v>
      </c>
      <c r="Z25" s="16">
        <f t="shared" si="17"/>
        <v>71</v>
      </c>
      <c r="AA25" s="16">
        <f t="shared" si="17"/>
        <v>12</v>
      </c>
      <c r="AB25" s="16">
        <f t="shared" si="17"/>
        <v>16</v>
      </c>
      <c r="AC25" s="16">
        <f t="shared" si="17"/>
        <v>2655</v>
      </c>
      <c r="AD25" s="16">
        <f t="shared" si="17"/>
        <v>0</v>
      </c>
      <c r="AE25" s="32">
        <f t="shared" si="17"/>
        <v>1007</v>
      </c>
      <c r="AF25" s="32">
        <f t="shared" si="17"/>
        <v>3662</v>
      </c>
    </row>
    <row r="26" spans="2:32" ht="23.1" customHeight="1" x14ac:dyDescent="0.25">
      <c r="B26" s="23" t="s">
        <v>53</v>
      </c>
      <c r="C26" s="50">
        <v>24</v>
      </c>
      <c r="D26" s="50">
        <v>8</v>
      </c>
      <c r="E26" s="50">
        <v>5</v>
      </c>
      <c r="F26" s="50">
        <v>36</v>
      </c>
      <c r="G26" s="50">
        <v>0</v>
      </c>
      <c r="H26" s="50">
        <v>1</v>
      </c>
      <c r="I26" s="50">
        <v>6</v>
      </c>
      <c r="J26" s="50">
        <v>8</v>
      </c>
      <c r="K26" s="50">
        <v>1</v>
      </c>
      <c r="L26" s="50">
        <v>1</v>
      </c>
      <c r="M26" s="50">
        <v>181</v>
      </c>
      <c r="N26" s="50">
        <v>0</v>
      </c>
      <c r="O26" s="15">
        <f t="shared" si="0"/>
        <v>90</v>
      </c>
      <c r="P26" s="15">
        <f t="shared" si="1"/>
        <v>271</v>
      </c>
      <c r="R26" s="28" t="s">
        <v>86</v>
      </c>
      <c r="S26" s="16">
        <f t="shared" ref="S26:AF26" si="18">SUM(S13:S18)</f>
        <v>874</v>
      </c>
      <c r="T26" s="16">
        <f t="shared" si="18"/>
        <v>120</v>
      </c>
      <c r="U26" s="16">
        <f t="shared" si="18"/>
        <v>102</v>
      </c>
      <c r="V26" s="16">
        <f t="shared" si="18"/>
        <v>586</v>
      </c>
      <c r="W26" s="16">
        <f t="shared" si="18"/>
        <v>12</v>
      </c>
      <c r="X26" s="16">
        <f t="shared" si="18"/>
        <v>13</v>
      </c>
      <c r="Y26" s="16">
        <f t="shared" si="18"/>
        <v>239</v>
      </c>
      <c r="Z26" s="16">
        <f t="shared" si="18"/>
        <v>184</v>
      </c>
      <c r="AA26" s="16">
        <f t="shared" si="18"/>
        <v>47</v>
      </c>
      <c r="AB26" s="16">
        <f t="shared" si="18"/>
        <v>47</v>
      </c>
      <c r="AC26" s="16">
        <f t="shared" si="18"/>
        <v>4149</v>
      </c>
      <c r="AD26" s="16">
        <f t="shared" si="18"/>
        <v>0</v>
      </c>
      <c r="AE26" s="32">
        <f t="shared" si="18"/>
        <v>2224</v>
      </c>
      <c r="AF26" s="32">
        <f t="shared" si="18"/>
        <v>6373</v>
      </c>
    </row>
    <row r="27" spans="2:32" ht="23.1" customHeight="1" x14ac:dyDescent="0.25">
      <c r="B27" s="23" t="s">
        <v>54</v>
      </c>
      <c r="C27" s="50">
        <v>48</v>
      </c>
      <c r="D27" s="50">
        <v>2</v>
      </c>
      <c r="E27" s="50">
        <v>4</v>
      </c>
      <c r="F27" s="50">
        <v>29</v>
      </c>
      <c r="G27" s="50">
        <v>0</v>
      </c>
      <c r="H27" s="50">
        <v>0</v>
      </c>
      <c r="I27" s="50">
        <v>8</v>
      </c>
      <c r="J27" s="50">
        <v>10</v>
      </c>
      <c r="K27" s="50">
        <v>2</v>
      </c>
      <c r="L27" s="50">
        <v>7</v>
      </c>
      <c r="M27" s="50">
        <v>160</v>
      </c>
      <c r="N27" s="50">
        <v>0</v>
      </c>
      <c r="O27" s="15">
        <f t="shared" si="0"/>
        <v>110</v>
      </c>
      <c r="P27" s="15">
        <f t="shared" si="1"/>
        <v>270</v>
      </c>
      <c r="R27" s="29" t="s">
        <v>87</v>
      </c>
      <c r="S27" s="16">
        <f t="shared" ref="S27:AF27" si="19">SUM(S19:S21)</f>
        <v>1190</v>
      </c>
      <c r="T27" s="16">
        <f t="shared" si="19"/>
        <v>88</v>
      </c>
      <c r="U27" s="16">
        <f t="shared" si="19"/>
        <v>67</v>
      </c>
      <c r="V27" s="16">
        <f t="shared" si="19"/>
        <v>421</v>
      </c>
      <c r="W27" s="16">
        <f t="shared" si="19"/>
        <v>16</v>
      </c>
      <c r="X27" s="16">
        <f t="shared" si="19"/>
        <v>12</v>
      </c>
      <c r="Y27" s="16">
        <f t="shared" si="19"/>
        <v>106</v>
      </c>
      <c r="Z27" s="16">
        <f t="shared" si="19"/>
        <v>114</v>
      </c>
      <c r="AA27" s="16">
        <f t="shared" si="19"/>
        <v>31</v>
      </c>
      <c r="AB27" s="16">
        <f t="shared" si="19"/>
        <v>38</v>
      </c>
      <c r="AC27" s="16">
        <f t="shared" si="19"/>
        <v>3270</v>
      </c>
      <c r="AD27" s="16">
        <f t="shared" si="19"/>
        <v>0</v>
      </c>
      <c r="AE27" s="32">
        <f t="shared" si="19"/>
        <v>2083</v>
      </c>
      <c r="AF27" s="32">
        <f t="shared" si="19"/>
        <v>5353</v>
      </c>
    </row>
    <row r="28" spans="2:32" ht="23.1" customHeight="1" x14ac:dyDescent="0.25">
      <c r="B28" s="23" t="s">
        <v>55</v>
      </c>
      <c r="C28" s="50">
        <v>17</v>
      </c>
      <c r="D28" s="50">
        <v>6</v>
      </c>
      <c r="E28" s="50">
        <v>2</v>
      </c>
      <c r="F28" s="50">
        <v>33</v>
      </c>
      <c r="G28" s="50">
        <v>1</v>
      </c>
      <c r="H28" s="50">
        <v>1</v>
      </c>
      <c r="I28" s="50">
        <v>11</v>
      </c>
      <c r="J28" s="50">
        <v>8</v>
      </c>
      <c r="K28" s="50">
        <v>2</v>
      </c>
      <c r="L28" s="50">
        <v>2</v>
      </c>
      <c r="M28" s="50">
        <v>145</v>
      </c>
      <c r="N28" s="50">
        <v>0</v>
      </c>
      <c r="O28" s="15">
        <f t="shared" si="0"/>
        <v>83</v>
      </c>
      <c r="P28" s="15">
        <f t="shared" si="1"/>
        <v>228</v>
      </c>
      <c r="R28" s="5" t="s">
        <v>17</v>
      </c>
      <c r="S28" s="16">
        <f t="shared" ref="S28:AF28" si="20">SUM(S10:S21)</f>
        <v>2430</v>
      </c>
      <c r="T28" s="16">
        <f t="shared" si="20"/>
        <v>267</v>
      </c>
      <c r="U28" s="16">
        <f t="shared" si="20"/>
        <v>198</v>
      </c>
      <c r="V28" s="16">
        <f t="shared" si="20"/>
        <v>1354</v>
      </c>
      <c r="W28" s="16">
        <f t="shared" si="20"/>
        <v>39</v>
      </c>
      <c r="X28" s="16">
        <f t="shared" si="20"/>
        <v>29</v>
      </c>
      <c r="Y28" s="16">
        <f t="shared" si="20"/>
        <v>437</v>
      </c>
      <c r="Z28" s="16">
        <f t="shared" si="20"/>
        <v>369</v>
      </c>
      <c r="AA28" s="16">
        <f t="shared" si="20"/>
        <v>90</v>
      </c>
      <c r="AB28" s="16">
        <f t="shared" si="20"/>
        <v>101</v>
      </c>
      <c r="AC28" s="16">
        <f t="shared" si="20"/>
        <v>10074</v>
      </c>
      <c r="AD28" s="16">
        <f t="shared" si="20"/>
        <v>0</v>
      </c>
      <c r="AE28" s="32">
        <f t="shared" si="20"/>
        <v>5314</v>
      </c>
      <c r="AF28" s="32">
        <f t="shared" si="20"/>
        <v>15388</v>
      </c>
    </row>
    <row r="29" spans="2:32" ht="23.1" customHeight="1" x14ac:dyDescent="0.25">
      <c r="B29" s="23" t="s">
        <v>56</v>
      </c>
      <c r="C29" s="50">
        <v>21</v>
      </c>
      <c r="D29" s="50">
        <v>3</v>
      </c>
      <c r="E29" s="50">
        <v>0</v>
      </c>
      <c r="F29" s="50">
        <v>28</v>
      </c>
      <c r="G29" s="50">
        <v>0</v>
      </c>
      <c r="H29" s="50">
        <v>3</v>
      </c>
      <c r="I29" s="50">
        <v>5</v>
      </c>
      <c r="J29" s="50">
        <v>4</v>
      </c>
      <c r="K29" s="50">
        <v>2</v>
      </c>
      <c r="L29" s="50">
        <v>0</v>
      </c>
      <c r="M29" s="50">
        <v>138</v>
      </c>
      <c r="N29" s="50">
        <v>0</v>
      </c>
      <c r="O29" s="15">
        <f t="shared" si="0"/>
        <v>66</v>
      </c>
      <c r="P29" s="15">
        <f t="shared" si="1"/>
        <v>204</v>
      </c>
      <c r="R29"/>
      <c r="S29" s="20"/>
      <c r="T29" s="19"/>
    </row>
    <row r="30" spans="2:32" ht="23.1" customHeight="1" x14ac:dyDescent="0.25">
      <c r="B30" s="23" t="s">
        <v>57</v>
      </c>
      <c r="C30" s="50">
        <v>37</v>
      </c>
      <c r="D30" s="50">
        <v>7</v>
      </c>
      <c r="E30" s="50">
        <v>8</v>
      </c>
      <c r="F30" s="50">
        <v>21</v>
      </c>
      <c r="G30" s="50">
        <v>0</v>
      </c>
      <c r="H30" s="50">
        <v>0</v>
      </c>
      <c r="I30" s="50">
        <v>13</v>
      </c>
      <c r="J30" s="50">
        <v>10</v>
      </c>
      <c r="K30" s="50">
        <v>5</v>
      </c>
      <c r="L30" s="50">
        <v>3</v>
      </c>
      <c r="M30" s="50">
        <v>140</v>
      </c>
      <c r="N30" s="50">
        <v>0</v>
      </c>
      <c r="O30" s="15">
        <f t="shared" si="0"/>
        <v>104</v>
      </c>
      <c r="P30" s="15">
        <f t="shared" si="1"/>
        <v>244</v>
      </c>
    </row>
    <row r="31" spans="2:32" ht="23.1" customHeight="1" x14ac:dyDescent="0.25">
      <c r="B31" s="24" t="s">
        <v>58</v>
      </c>
      <c r="C31" s="50">
        <v>29</v>
      </c>
      <c r="D31" s="50">
        <v>3</v>
      </c>
      <c r="E31" s="50">
        <v>0</v>
      </c>
      <c r="F31" s="50">
        <v>16</v>
      </c>
      <c r="G31" s="50">
        <v>0</v>
      </c>
      <c r="H31" s="50">
        <v>0</v>
      </c>
      <c r="I31" s="50">
        <v>10</v>
      </c>
      <c r="J31" s="50">
        <v>7</v>
      </c>
      <c r="K31" s="50">
        <v>1</v>
      </c>
      <c r="L31" s="50">
        <v>1</v>
      </c>
      <c r="M31" s="50">
        <v>185</v>
      </c>
      <c r="N31" s="50">
        <v>0</v>
      </c>
      <c r="O31" s="15">
        <f t="shared" si="0"/>
        <v>67</v>
      </c>
      <c r="P31" s="15">
        <f t="shared" si="1"/>
        <v>252</v>
      </c>
    </row>
    <row r="32" spans="2:32" ht="23.1" customHeight="1" x14ac:dyDescent="0.25">
      <c r="B32" s="24" t="s">
        <v>59</v>
      </c>
      <c r="C32" s="50">
        <v>59</v>
      </c>
      <c r="D32" s="50">
        <v>8</v>
      </c>
      <c r="E32" s="50">
        <v>5</v>
      </c>
      <c r="F32" s="50">
        <v>19</v>
      </c>
      <c r="G32" s="50">
        <v>0</v>
      </c>
      <c r="H32" s="50">
        <v>0</v>
      </c>
      <c r="I32" s="50">
        <v>8</v>
      </c>
      <c r="J32" s="50">
        <v>8</v>
      </c>
      <c r="K32" s="50">
        <v>3</v>
      </c>
      <c r="L32" s="50">
        <v>0</v>
      </c>
      <c r="M32" s="50">
        <v>230</v>
      </c>
      <c r="N32" s="50">
        <v>0</v>
      </c>
      <c r="O32" s="15">
        <f t="shared" si="0"/>
        <v>110</v>
      </c>
      <c r="P32" s="15">
        <f t="shared" si="1"/>
        <v>340</v>
      </c>
    </row>
    <row r="33" spans="2:20" ht="23.1" customHeight="1" x14ac:dyDescent="0.25">
      <c r="B33" s="23" t="s">
        <v>60</v>
      </c>
      <c r="C33" s="50">
        <v>23</v>
      </c>
      <c r="D33" s="50">
        <v>5</v>
      </c>
      <c r="E33" s="50">
        <v>5</v>
      </c>
      <c r="F33" s="50">
        <v>26</v>
      </c>
      <c r="G33" s="50">
        <v>2</v>
      </c>
      <c r="H33" s="50">
        <v>1</v>
      </c>
      <c r="I33" s="50">
        <v>17</v>
      </c>
      <c r="J33" s="50">
        <v>12</v>
      </c>
      <c r="K33" s="50">
        <v>2</v>
      </c>
      <c r="L33" s="50">
        <v>0</v>
      </c>
      <c r="M33" s="50">
        <v>215</v>
      </c>
      <c r="N33" s="50">
        <v>0</v>
      </c>
      <c r="O33" s="15">
        <f t="shared" si="0"/>
        <v>93</v>
      </c>
      <c r="P33" s="15">
        <f t="shared" si="1"/>
        <v>308</v>
      </c>
    </row>
    <row r="34" spans="2:20" ht="23.1" customHeight="1" x14ac:dyDescent="0.25">
      <c r="B34" s="24" t="s">
        <v>61</v>
      </c>
      <c r="C34" s="50">
        <v>38</v>
      </c>
      <c r="D34" s="50">
        <v>5</v>
      </c>
      <c r="E34" s="50">
        <v>2</v>
      </c>
      <c r="F34" s="50">
        <v>27</v>
      </c>
      <c r="G34" s="50">
        <v>0</v>
      </c>
      <c r="H34" s="50">
        <v>2</v>
      </c>
      <c r="I34" s="50">
        <v>7</v>
      </c>
      <c r="J34" s="50">
        <v>3</v>
      </c>
      <c r="K34" s="50">
        <v>2</v>
      </c>
      <c r="L34" s="50">
        <v>1</v>
      </c>
      <c r="M34" s="50">
        <v>200</v>
      </c>
      <c r="N34" s="50">
        <v>0</v>
      </c>
      <c r="O34" s="15">
        <f t="shared" si="0"/>
        <v>87</v>
      </c>
      <c r="P34" s="15">
        <f t="shared" si="1"/>
        <v>287</v>
      </c>
    </row>
    <row r="35" spans="2:20" ht="23.1" customHeight="1" x14ac:dyDescent="0.25">
      <c r="B35" s="24" t="s">
        <v>62</v>
      </c>
      <c r="C35" s="50">
        <v>18</v>
      </c>
      <c r="D35" s="50">
        <v>6</v>
      </c>
      <c r="E35" s="50">
        <v>2</v>
      </c>
      <c r="F35" s="50">
        <v>33</v>
      </c>
      <c r="G35" s="50">
        <v>0</v>
      </c>
      <c r="H35" s="50">
        <v>0</v>
      </c>
      <c r="I35" s="50">
        <v>6</v>
      </c>
      <c r="J35" s="50">
        <v>1</v>
      </c>
      <c r="K35" s="50">
        <v>2</v>
      </c>
      <c r="L35" s="50">
        <v>3</v>
      </c>
      <c r="M35" s="50">
        <v>150</v>
      </c>
      <c r="N35" s="50">
        <v>0</v>
      </c>
      <c r="O35" s="15">
        <f t="shared" si="0"/>
        <v>71</v>
      </c>
      <c r="P35" s="15">
        <f t="shared" si="1"/>
        <v>221</v>
      </c>
    </row>
    <row r="36" spans="2:20" ht="23.1" customHeight="1" x14ac:dyDescent="0.25">
      <c r="B36" s="24" t="s">
        <v>63</v>
      </c>
      <c r="C36" s="50">
        <v>32</v>
      </c>
      <c r="D36" s="50">
        <v>8</v>
      </c>
      <c r="E36" s="50">
        <v>5</v>
      </c>
      <c r="F36" s="50">
        <v>31</v>
      </c>
      <c r="G36" s="50">
        <v>1</v>
      </c>
      <c r="H36" s="50">
        <v>0</v>
      </c>
      <c r="I36" s="50">
        <v>11</v>
      </c>
      <c r="J36" s="50">
        <v>9</v>
      </c>
      <c r="K36" s="50">
        <v>3</v>
      </c>
      <c r="L36" s="50">
        <v>2</v>
      </c>
      <c r="M36" s="50">
        <v>203</v>
      </c>
      <c r="N36" s="50">
        <v>0</v>
      </c>
      <c r="O36" s="15">
        <f t="shared" si="0"/>
        <v>102</v>
      </c>
      <c r="P36" s="15">
        <f t="shared" si="1"/>
        <v>305</v>
      </c>
    </row>
    <row r="37" spans="2:20" ht="23.1" customHeight="1" x14ac:dyDescent="0.25">
      <c r="B37" s="23" t="s">
        <v>64</v>
      </c>
      <c r="C37" s="50">
        <v>43</v>
      </c>
      <c r="D37" s="50">
        <v>5</v>
      </c>
      <c r="E37" s="50">
        <v>4</v>
      </c>
      <c r="F37" s="50">
        <v>27</v>
      </c>
      <c r="G37" s="50">
        <v>0</v>
      </c>
      <c r="H37" s="50">
        <v>0</v>
      </c>
      <c r="I37" s="50">
        <v>9</v>
      </c>
      <c r="J37" s="50">
        <v>12</v>
      </c>
      <c r="K37" s="50">
        <v>0</v>
      </c>
      <c r="L37" s="50">
        <v>2</v>
      </c>
      <c r="M37" s="50">
        <v>146</v>
      </c>
      <c r="N37" s="50">
        <v>0</v>
      </c>
      <c r="O37" s="15">
        <f t="shared" si="0"/>
        <v>102</v>
      </c>
      <c r="P37" s="15">
        <f t="shared" si="1"/>
        <v>248</v>
      </c>
    </row>
    <row r="38" spans="2:20" ht="23.1" customHeight="1" x14ac:dyDescent="0.25">
      <c r="B38" s="24" t="s">
        <v>65</v>
      </c>
      <c r="C38" s="50">
        <v>23</v>
      </c>
      <c r="D38" s="50">
        <v>3</v>
      </c>
      <c r="E38" s="50">
        <v>2</v>
      </c>
      <c r="F38" s="50">
        <v>22</v>
      </c>
      <c r="G38" s="50">
        <v>1</v>
      </c>
      <c r="H38" s="50">
        <v>0</v>
      </c>
      <c r="I38" s="50">
        <v>10</v>
      </c>
      <c r="J38" s="50">
        <v>4</v>
      </c>
      <c r="K38" s="50">
        <v>2</v>
      </c>
      <c r="L38" s="50">
        <v>1</v>
      </c>
      <c r="M38" s="50">
        <v>145</v>
      </c>
      <c r="N38" s="50">
        <v>0</v>
      </c>
      <c r="O38" s="15">
        <f t="shared" si="0"/>
        <v>68</v>
      </c>
      <c r="P38" s="15">
        <f t="shared" si="1"/>
        <v>213</v>
      </c>
    </row>
    <row r="39" spans="2:20" ht="23.1" customHeight="1" x14ac:dyDescent="0.25">
      <c r="B39" s="24" t="s">
        <v>66</v>
      </c>
      <c r="C39" s="50">
        <v>36</v>
      </c>
      <c r="D39" s="50">
        <v>5</v>
      </c>
      <c r="E39" s="50">
        <v>4</v>
      </c>
      <c r="F39" s="50">
        <v>11</v>
      </c>
      <c r="G39" s="50">
        <v>1</v>
      </c>
      <c r="H39" s="50">
        <v>1</v>
      </c>
      <c r="I39" s="50">
        <v>8</v>
      </c>
      <c r="J39" s="50">
        <v>7</v>
      </c>
      <c r="K39" s="50">
        <v>2</v>
      </c>
      <c r="L39" s="50">
        <v>3</v>
      </c>
      <c r="M39" s="50">
        <v>127</v>
      </c>
      <c r="N39" s="50">
        <v>0</v>
      </c>
      <c r="O39" s="15">
        <f t="shared" si="0"/>
        <v>78</v>
      </c>
      <c r="P39" s="15">
        <f t="shared" si="1"/>
        <v>205</v>
      </c>
    </row>
    <row r="40" spans="2:20" ht="23.1" customHeight="1" x14ac:dyDescent="0.25">
      <c r="B40" s="24" t="s">
        <v>67</v>
      </c>
      <c r="C40" s="50">
        <v>38</v>
      </c>
      <c r="D40" s="50">
        <v>7</v>
      </c>
      <c r="E40" s="50">
        <v>3</v>
      </c>
      <c r="F40" s="50">
        <v>32</v>
      </c>
      <c r="G40" s="50">
        <v>0</v>
      </c>
      <c r="H40" s="50">
        <v>0</v>
      </c>
      <c r="I40" s="50">
        <v>17</v>
      </c>
      <c r="J40" s="50">
        <v>9</v>
      </c>
      <c r="K40" s="50">
        <v>0</v>
      </c>
      <c r="L40" s="50">
        <v>0</v>
      </c>
      <c r="M40" s="50">
        <v>132</v>
      </c>
      <c r="N40" s="50">
        <v>0</v>
      </c>
      <c r="O40" s="15">
        <f t="shared" si="0"/>
        <v>106</v>
      </c>
      <c r="P40" s="15">
        <f t="shared" si="1"/>
        <v>238</v>
      </c>
    </row>
    <row r="41" spans="2:20" ht="23.1" customHeight="1" x14ac:dyDescent="0.25">
      <c r="B41" s="23" t="s">
        <v>68</v>
      </c>
      <c r="C41" s="50">
        <v>32</v>
      </c>
      <c r="D41" s="50">
        <v>5</v>
      </c>
      <c r="E41" s="50">
        <v>1</v>
      </c>
      <c r="F41" s="50">
        <v>14</v>
      </c>
      <c r="G41" s="50">
        <v>0</v>
      </c>
      <c r="H41" s="50">
        <v>2</v>
      </c>
      <c r="I41" s="50">
        <v>5</v>
      </c>
      <c r="J41" s="50">
        <v>10</v>
      </c>
      <c r="K41" s="50">
        <v>0</v>
      </c>
      <c r="L41" s="50">
        <v>2</v>
      </c>
      <c r="M41" s="50">
        <v>126</v>
      </c>
      <c r="N41" s="50">
        <v>0</v>
      </c>
      <c r="O41" s="15">
        <f t="shared" si="0"/>
        <v>71</v>
      </c>
      <c r="P41" s="15">
        <f t="shared" si="1"/>
        <v>197</v>
      </c>
    </row>
    <row r="42" spans="2:20" ht="23.1" customHeight="1" x14ac:dyDescent="0.25">
      <c r="B42" s="24" t="s">
        <v>69</v>
      </c>
      <c r="C42" s="50">
        <v>43</v>
      </c>
      <c r="D42" s="50">
        <v>7</v>
      </c>
      <c r="E42" s="50">
        <v>5</v>
      </c>
      <c r="F42" s="50">
        <v>13</v>
      </c>
      <c r="G42" s="50">
        <v>2</v>
      </c>
      <c r="H42" s="50">
        <v>0</v>
      </c>
      <c r="I42" s="50">
        <v>12</v>
      </c>
      <c r="J42" s="50">
        <v>9</v>
      </c>
      <c r="K42" s="50">
        <v>2</v>
      </c>
      <c r="L42" s="50">
        <v>2</v>
      </c>
      <c r="M42" s="50">
        <v>262</v>
      </c>
      <c r="N42" s="50">
        <v>0</v>
      </c>
      <c r="O42" s="15">
        <f t="shared" si="0"/>
        <v>95</v>
      </c>
      <c r="P42" s="15">
        <f t="shared" si="1"/>
        <v>357</v>
      </c>
    </row>
    <row r="43" spans="2:20" ht="23.1" customHeight="1" x14ac:dyDescent="0.25">
      <c r="B43" s="23" t="s">
        <v>70</v>
      </c>
      <c r="C43" s="50">
        <v>56</v>
      </c>
      <c r="D43" s="50">
        <v>3</v>
      </c>
      <c r="E43" s="50">
        <v>3</v>
      </c>
      <c r="F43" s="50">
        <v>23</v>
      </c>
      <c r="G43" s="50">
        <v>1</v>
      </c>
      <c r="H43" s="50">
        <v>1</v>
      </c>
      <c r="I43" s="50">
        <v>11</v>
      </c>
      <c r="J43" s="50">
        <v>4</v>
      </c>
      <c r="K43" s="50">
        <v>5</v>
      </c>
      <c r="L43" s="50">
        <v>1</v>
      </c>
      <c r="M43" s="50">
        <v>135</v>
      </c>
      <c r="N43" s="50">
        <v>0</v>
      </c>
      <c r="O43" s="15">
        <f t="shared" si="0"/>
        <v>108</v>
      </c>
      <c r="P43" s="15">
        <f t="shared" si="1"/>
        <v>243</v>
      </c>
    </row>
    <row r="44" spans="2:20" ht="23.1" customHeight="1" x14ac:dyDescent="0.25">
      <c r="B44" s="25" t="s">
        <v>71</v>
      </c>
      <c r="C44" s="50">
        <v>53</v>
      </c>
      <c r="D44" s="50">
        <v>1</v>
      </c>
      <c r="E44" s="50">
        <v>3</v>
      </c>
      <c r="F44" s="50">
        <v>27</v>
      </c>
      <c r="G44" s="50">
        <v>0</v>
      </c>
      <c r="H44" s="50">
        <v>0</v>
      </c>
      <c r="I44" s="50">
        <v>17</v>
      </c>
      <c r="J44" s="50">
        <v>8</v>
      </c>
      <c r="K44" s="50">
        <v>2</v>
      </c>
      <c r="L44" s="50">
        <v>2</v>
      </c>
      <c r="M44" s="50">
        <v>180</v>
      </c>
      <c r="N44" s="50">
        <v>0</v>
      </c>
      <c r="O44" s="15">
        <f t="shared" si="0"/>
        <v>113</v>
      </c>
      <c r="P44" s="15">
        <f t="shared" si="1"/>
        <v>293</v>
      </c>
    </row>
    <row r="45" spans="2:20" ht="23.1" customHeight="1" x14ac:dyDescent="0.25">
      <c r="B45" s="23" t="s">
        <v>72</v>
      </c>
      <c r="C45" s="50">
        <v>42</v>
      </c>
      <c r="D45" s="50">
        <v>1</v>
      </c>
      <c r="E45" s="50">
        <v>7</v>
      </c>
      <c r="F45" s="50">
        <v>26</v>
      </c>
      <c r="G45" s="50">
        <v>0</v>
      </c>
      <c r="H45" s="50">
        <v>1</v>
      </c>
      <c r="I45" s="50">
        <v>5</v>
      </c>
      <c r="J45" s="50">
        <v>6</v>
      </c>
      <c r="K45" s="50">
        <v>1</v>
      </c>
      <c r="L45" s="50">
        <v>2</v>
      </c>
      <c r="M45" s="50">
        <v>152</v>
      </c>
      <c r="N45" s="50">
        <v>0</v>
      </c>
      <c r="O45" s="15">
        <f t="shared" si="0"/>
        <v>91</v>
      </c>
      <c r="P45" s="15">
        <f t="shared" si="1"/>
        <v>243</v>
      </c>
    </row>
    <row r="46" spans="2:20" ht="23.1" customHeight="1" x14ac:dyDescent="0.25">
      <c r="B46" s="24" t="s">
        <v>73</v>
      </c>
      <c r="C46" s="50">
        <v>61</v>
      </c>
      <c r="D46" s="50">
        <v>4</v>
      </c>
      <c r="E46" s="50">
        <v>4</v>
      </c>
      <c r="F46" s="50">
        <v>16</v>
      </c>
      <c r="G46" s="50">
        <v>0</v>
      </c>
      <c r="H46" s="50">
        <v>1</v>
      </c>
      <c r="I46" s="50">
        <v>7</v>
      </c>
      <c r="J46" s="50">
        <v>5</v>
      </c>
      <c r="K46" s="50">
        <v>2</v>
      </c>
      <c r="L46" s="50">
        <v>5</v>
      </c>
      <c r="M46" s="50">
        <v>256</v>
      </c>
      <c r="N46" s="50">
        <v>0</v>
      </c>
      <c r="O46" s="15">
        <f t="shared" si="0"/>
        <v>105</v>
      </c>
      <c r="P46" s="15">
        <f t="shared" si="1"/>
        <v>361</v>
      </c>
      <c r="R46" s="8"/>
      <c r="T46"/>
    </row>
    <row r="47" spans="2:20" ht="23.1" customHeight="1" x14ac:dyDescent="0.25">
      <c r="B47" s="24" t="s">
        <v>74</v>
      </c>
      <c r="C47" s="50">
        <v>37</v>
      </c>
      <c r="D47" s="50">
        <v>4</v>
      </c>
      <c r="E47" s="50">
        <v>4</v>
      </c>
      <c r="F47" s="50">
        <v>22</v>
      </c>
      <c r="G47" s="50">
        <v>2</v>
      </c>
      <c r="H47" s="50">
        <v>0</v>
      </c>
      <c r="I47" s="50">
        <v>13</v>
      </c>
      <c r="J47" s="50">
        <v>9</v>
      </c>
      <c r="K47" s="50">
        <v>3</v>
      </c>
      <c r="L47" s="50">
        <v>0</v>
      </c>
      <c r="M47" s="50">
        <v>217</v>
      </c>
      <c r="N47" s="50">
        <v>0</v>
      </c>
      <c r="O47" s="15">
        <f t="shared" si="0"/>
        <v>94</v>
      </c>
      <c r="P47" s="15">
        <f t="shared" si="1"/>
        <v>311</v>
      </c>
      <c r="R47" s="8"/>
      <c r="T47"/>
    </row>
    <row r="48" spans="2:20" ht="23.1" customHeight="1" x14ac:dyDescent="0.25">
      <c r="B48" s="24" t="s">
        <v>75</v>
      </c>
      <c r="C48" s="50">
        <v>42</v>
      </c>
      <c r="D48" s="50">
        <v>6</v>
      </c>
      <c r="E48" s="50">
        <v>8</v>
      </c>
      <c r="F48" s="50">
        <v>23</v>
      </c>
      <c r="G48" s="50">
        <v>1</v>
      </c>
      <c r="H48" s="50">
        <v>2</v>
      </c>
      <c r="I48" s="50">
        <v>12</v>
      </c>
      <c r="J48" s="50">
        <v>7</v>
      </c>
      <c r="K48" s="50">
        <v>0</v>
      </c>
      <c r="L48" s="50">
        <v>0</v>
      </c>
      <c r="M48" s="50">
        <v>303</v>
      </c>
      <c r="N48" s="50">
        <v>0</v>
      </c>
      <c r="O48" s="15">
        <f t="shared" si="0"/>
        <v>101</v>
      </c>
      <c r="P48" s="15">
        <f t="shared" si="1"/>
        <v>404</v>
      </c>
      <c r="R48" s="8"/>
      <c r="T48"/>
    </row>
    <row r="49" spans="2:20" ht="23.1" customHeight="1" x14ac:dyDescent="0.25">
      <c r="B49" s="23" t="s">
        <v>76</v>
      </c>
      <c r="C49" s="50">
        <v>47</v>
      </c>
      <c r="D49" s="50">
        <v>2</v>
      </c>
      <c r="E49" s="50">
        <v>5</v>
      </c>
      <c r="F49" s="50">
        <v>26</v>
      </c>
      <c r="G49" s="50">
        <v>0</v>
      </c>
      <c r="H49" s="50">
        <v>1</v>
      </c>
      <c r="I49" s="50">
        <v>4</v>
      </c>
      <c r="J49" s="50">
        <v>8</v>
      </c>
      <c r="K49" s="50">
        <v>0</v>
      </c>
      <c r="L49" s="50">
        <v>2</v>
      </c>
      <c r="M49" s="50">
        <v>285</v>
      </c>
      <c r="N49" s="50">
        <v>0</v>
      </c>
      <c r="O49" s="15">
        <f t="shared" si="0"/>
        <v>95</v>
      </c>
      <c r="P49" s="15">
        <f t="shared" si="1"/>
        <v>380</v>
      </c>
      <c r="R49" s="8"/>
      <c r="T49"/>
    </row>
    <row r="50" spans="2:20" ht="23.1" customHeight="1" x14ac:dyDescent="0.25">
      <c r="B50" s="24" t="s">
        <v>77</v>
      </c>
      <c r="C50" s="50">
        <v>72</v>
      </c>
      <c r="D50" s="50">
        <v>10</v>
      </c>
      <c r="E50" s="50">
        <v>10</v>
      </c>
      <c r="F50" s="50">
        <v>27</v>
      </c>
      <c r="G50" s="50">
        <v>1</v>
      </c>
      <c r="H50" s="50">
        <v>1</v>
      </c>
      <c r="I50" s="50">
        <v>13</v>
      </c>
      <c r="J50" s="50">
        <v>9</v>
      </c>
      <c r="K50" s="50">
        <v>2</v>
      </c>
      <c r="L50" s="50">
        <v>5</v>
      </c>
      <c r="M50" s="50">
        <v>325</v>
      </c>
      <c r="N50" s="50">
        <v>0</v>
      </c>
      <c r="O50" s="15">
        <f t="shared" si="0"/>
        <v>150</v>
      </c>
      <c r="P50" s="15">
        <f t="shared" si="1"/>
        <v>475</v>
      </c>
      <c r="R50" s="8"/>
      <c r="T50"/>
    </row>
    <row r="51" spans="2:20" ht="23.1" customHeight="1" x14ac:dyDescent="0.25">
      <c r="B51" s="24" t="s">
        <v>78</v>
      </c>
      <c r="C51" s="50">
        <v>100</v>
      </c>
      <c r="D51" s="50">
        <v>10</v>
      </c>
      <c r="E51" s="50">
        <v>6</v>
      </c>
      <c r="F51" s="50">
        <v>53</v>
      </c>
      <c r="G51" s="50">
        <v>1</v>
      </c>
      <c r="H51" s="50">
        <v>2</v>
      </c>
      <c r="I51" s="50">
        <v>7</v>
      </c>
      <c r="J51" s="50">
        <v>10</v>
      </c>
      <c r="K51" s="50">
        <v>1</v>
      </c>
      <c r="L51" s="50">
        <v>0</v>
      </c>
      <c r="M51" s="50">
        <v>277</v>
      </c>
      <c r="N51" s="50">
        <v>0</v>
      </c>
      <c r="O51" s="15">
        <f t="shared" si="0"/>
        <v>190</v>
      </c>
      <c r="P51" s="15">
        <f t="shared" si="1"/>
        <v>467</v>
      </c>
      <c r="R51" s="8"/>
      <c r="T51"/>
    </row>
    <row r="52" spans="2:20" ht="23.1" customHeight="1" x14ac:dyDescent="0.25">
      <c r="B52" s="24" t="s">
        <v>79</v>
      </c>
      <c r="C52" s="50">
        <v>150</v>
      </c>
      <c r="D52" s="50">
        <v>7</v>
      </c>
      <c r="E52" s="50">
        <v>2</v>
      </c>
      <c r="F52" s="50">
        <v>22</v>
      </c>
      <c r="G52" s="50">
        <v>0</v>
      </c>
      <c r="H52" s="50">
        <v>0</v>
      </c>
      <c r="I52" s="50">
        <v>14</v>
      </c>
      <c r="J52" s="50">
        <v>13</v>
      </c>
      <c r="K52" s="50">
        <v>7</v>
      </c>
      <c r="L52" s="50">
        <v>4</v>
      </c>
      <c r="M52" s="50">
        <v>320</v>
      </c>
      <c r="N52" s="50">
        <v>0</v>
      </c>
      <c r="O52" s="15">
        <f t="shared" si="0"/>
        <v>219</v>
      </c>
      <c r="P52" s="15">
        <f t="shared" si="1"/>
        <v>539</v>
      </c>
      <c r="R52" s="8"/>
      <c r="T52"/>
    </row>
    <row r="53" spans="2:20" ht="23.1" customHeight="1" x14ac:dyDescent="0.25">
      <c r="B53" s="23" t="s">
        <v>80</v>
      </c>
      <c r="C53" s="50">
        <v>160</v>
      </c>
      <c r="D53" s="50">
        <v>17</v>
      </c>
      <c r="E53" s="50">
        <v>5</v>
      </c>
      <c r="F53" s="50">
        <v>27</v>
      </c>
      <c r="G53" s="50">
        <v>1</v>
      </c>
      <c r="H53" s="50">
        <v>0</v>
      </c>
      <c r="I53" s="50">
        <v>4</v>
      </c>
      <c r="J53" s="50">
        <v>8</v>
      </c>
      <c r="K53" s="50">
        <v>3</v>
      </c>
      <c r="L53" s="50">
        <v>0</v>
      </c>
      <c r="M53" s="50">
        <v>252</v>
      </c>
      <c r="N53" s="50">
        <v>0</v>
      </c>
      <c r="O53" s="15">
        <f t="shared" si="0"/>
        <v>225</v>
      </c>
      <c r="P53" s="15">
        <f t="shared" si="1"/>
        <v>477</v>
      </c>
      <c r="R53" s="8"/>
      <c r="T53"/>
    </row>
    <row r="54" spans="2:20" ht="23.1" customHeight="1" x14ac:dyDescent="0.25">
      <c r="B54" s="23" t="s">
        <v>81</v>
      </c>
      <c r="C54" s="50">
        <v>113</v>
      </c>
      <c r="D54" s="50">
        <v>15</v>
      </c>
      <c r="E54" s="50">
        <v>12</v>
      </c>
      <c r="F54" s="50">
        <v>51</v>
      </c>
      <c r="G54" s="50">
        <v>2</v>
      </c>
      <c r="H54" s="50">
        <v>0</v>
      </c>
      <c r="I54" s="50">
        <v>13</v>
      </c>
      <c r="J54" s="50">
        <v>13</v>
      </c>
      <c r="K54" s="50">
        <v>3</v>
      </c>
      <c r="L54" s="50">
        <v>5</v>
      </c>
      <c r="M54" s="50">
        <v>275</v>
      </c>
      <c r="N54" s="50">
        <v>0</v>
      </c>
      <c r="O54" s="15">
        <f t="shared" si="0"/>
        <v>227</v>
      </c>
      <c r="P54" s="15">
        <f t="shared" si="1"/>
        <v>502</v>
      </c>
      <c r="R54" s="8"/>
      <c r="T54"/>
    </row>
    <row r="55" spans="2:20" ht="23.1" customHeight="1" x14ac:dyDescent="0.25">
      <c r="B55" s="23" t="s">
        <v>82</v>
      </c>
      <c r="C55" s="50">
        <v>100</v>
      </c>
      <c r="D55" s="50">
        <v>5</v>
      </c>
      <c r="E55" s="50">
        <v>2</v>
      </c>
      <c r="F55" s="50">
        <v>57</v>
      </c>
      <c r="G55" s="50">
        <v>1</v>
      </c>
      <c r="H55" s="50">
        <v>1</v>
      </c>
      <c r="I55" s="50">
        <v>3</v>
      </c>
      <c r="J55" s="50">
        <v>8</v>
      </c>
      <c r="K55" s="50">
        <v>3</v>
      </c>
      <c r="L55" s="50">
        <v>6</v>
      </c>
      <c r="M55" s="50">
        <v>195</v>
      </c>
      <c r="N55" s="50">
        <v>0</v>
      </c>
      <c r="O55" s="15">
        <f t="shared" si="0"/>
        <v>186</v>
      </c>
      <c r="P55" s="15">
        <f t="shared" si="1"/>
        <v>381</v>
      </c>
      <c r="R55" s="8"/>
      <c r="T55"/>
    </row>
    <row r="56" spans="2:20" ht="23.1" customHeight="1" x14ac:dyDescent="0.25">
      <c r="B56" s="23" t="s">
        <v>83</v>
      </c>
      <c r="C56" s="50">
        <v>140</v>
      </c>
      <c r="D56" s="50">
        <v>2</v>
      </c>
      <c r="E56" s="50">
        <v>3</v>
      </c>
      <c r="F56" s="50">
        <v>37</v>
      </c>
      <c r="G56" s="50">
        <v>5</v>
      </c>
      <c r="H56" s="50">
        <v>3</v>
      </c>
      <c r="I56" s="50">
        <v>5</v>
      </c>
      <c r="J56" s="50">
        <v>17</v>
      </c>
      <c r="K56" s="50">
        <v>0</v>
      </c>
      <c r="L56" s="50">
        <v>3</v>
      </c>
      <c r="M56" s="50">
        <v>260</v>
      </c>
      <c r="N56" s="50">
        <v>0</v>
      </c>
      <c r="O56" s="15">
        <f t="shared" si="0"/>
        <v>215</v>
      </c>
      <c r="P56" s="15">
        <f t="shared" si="1"/>
        <v>475</v>
      </c>
      <c r="R56" s="8"/>
      <c r="T56"/>
    </row>
    <row r="57" spans="2:20" ht="23.1" customHeight="1" x14ac:dyDescent="0.25">
      <c r="B57" s="23" t="s">
        <v>84</v>
      </c>
      <c r="C57" s="50">
        <v>168</v>
      </c>
      <c r="D57" s="50">
        <v>6</v>
      </c>
      <c r="E57" s="50">
        <v>6</v>
      </c>
      <c r="F57" s="50">
        <v>60</v>
      </c>
      <c r="G57" s="50">
        <v>2</v>
      </c>
      <c r="H57" s="50">
        <v>1</v>
      </c>
      <c r="I57" s="50">
        <v>11</v>
      </c>
      <c r="J57" s="50">
        <v>7</v>
      </c>
      <c r="K57" s="50">
        <v>7</v>
      </c>
      <c r="L57" s="50">
        <v>8</v>
      </c>
      <c r="M57" s="50">
        <v>305</v>
      </c>
      <c r="N57" s="50">
        <v>0</v>
      </c>
      <c r="O57" s="15">
        <f t="shared" si="0"/>
        <v>276</v>
      </c>
      <c r="P57" s="15">
        <f t="shared" si="1"/>
        <v>581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2430</v>
      </c>
      <c r="D58" s="16">
        <f t="shared" si="21"/>
        <v>267</v>
      </c>
      <c r="E58" s="16">
        <f t="shared" si="21"/>
        <v>198</v>
      </c>
      <c r="F58" s="16">
        <f t="shared" si="21"/>
        <v>1354</v>
      </c>
      <c r="G58" s="16">
        <f t="shared" si="21"/>
        <v>39</v>
      </c>
      <c r="H58" s="16">
        <f t="shared" si="21"/>
        <v>29</v>
      </c>
      <c r="I58" s="16">
        <f t="shared" si="21"/>
        <v>437</v>
      </c>
      <c r="J58" s="16">
        <f t="shared" si="21"/>
        <v>369</v>
      </c>
      <c r="K58" s="16">
        <f t="shared" si="21"/>
        <v>90</v>
      </c>
      <c r="L58" s="16">
        <f t="shared" si="21"/>
        <v>101</v>
      </c>
      <c r="M58" s="16">
        <f t="shared" si="21"/>
        <v>10074</v>
      </c>
      <c r="N58" s="16">
        <f t="shared" si="21"/>
        <v>0</v>
      </c>
      <c r="O58" s="16">
        <f t="shared" si="21"/>
        <v>5314</v>
      </c>
      <c r="P58" s="16">
        <f t="shared" si="21"/>
        <v>15388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0.15791525864309852</v>
      </c>
      <c r="D59" s="43">
        <f t="shared" si="22"/>
        <v>1.7351182739797244E-2</v>
      </c>
      <c r="E59" s="43">
        <f t="shared" si="22"/>
        <v>1.286716922277099E-2</v>
      </c>
      <c r="F59" s="43">
        <f t="shared" si="22"/>
        <v>8.7990642058747071E-2</v>
      </c>
      <c r="G59" s="43">
        <f t="shared" si="22"/>
        <v>2.5344424226670134E-3</v>
      </c>
      <c r="H59" s="43">
        <f t="shared" si="22"/>
        <v>1.884585391213933E-3</v>
      </c>
      <c r="I59" s="43">
        <f t="shared" si="22"/>
        <v>2.839875227449961E-2</v>
      </c>
      <c r="J59" s="43">
        <f t="shared" si="22"/>
        <v>2.3979724460618666E-2</v>
      </c>
      <c r="K59" s="43">
        <f t="shared" si="22"/>
        <v>5.8487132830777229E-3</v>
      </c>
      <c r="L59" s="43">
        <f t="shared" si="22"/>
        <v>6.5635560176761113E-3</v>
      </c>
      <c r="M59" s="43">
        <f t="shared" si="22"/>
        <v>0.65466597348583311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0.45728264960481746</v>
      </c>
      <c r="D60" s="44">
        <f t="shared" ref="D60:N60" si="23">D58/$O$58</f>
        <v>5.0244636808430561E-2</v>
      </c>
      <c r="E60" s="44">
        <f t="shared" si="23"/>
        <v>3.7260067745577719E-2</v>
      </c>
      <c r="F60" s="44">
        <f t="shared" si="23"/>
        <v>0.25479864508844563</v>
      </c>
      <c r="G60" s="44">
        <f t="shared" si="23"/>
        <v>7.3391042529168237E-3</v>
      </c>
      <c r="H60" s="44">
        <f t="shared" si="23"/>
        <v>5.4572826496048178E-3</v>
      </c>
      <c r="I60" s="44">
        <f t="shared" si="23"/>
        <v>8.2235604064734666E-2</v>
      </c>
      <c r="J60" s="44">
        <f t="shared" si="23"/>
        <v>6.9439217162213018E-2</v>
      </c>
      <c r="K60" s="44">
        <f t="shared" si="23"/>
        <v>1.6936394429808054E-2</v>
      </c>
      <c r="L60" s="44">
        <f t="shared" si="23"/>
        <v>1.9006398193451259E-2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4" zoomScale="60" workbookViewId="0">
      <selection activeCell="T19" sqref="T1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'22.07 Bulenga-Busega'!C3:G3</f>
        <v>MCC - C1 - STN12-MITYANA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'24.07 Busega-Bulenga'!D5</f>
        <v>24.07.19</v>
      </c>
      <c r="E5" s="3"/>
      <c r="F5" s="41" t="s">
        <v>1</v>
      </c>
      <c r="G5" s="68" t="str">
        <f>'22.07 Busega-Bulenga'!G5:H5</f>
        <v xml:space="preserve">Petro Max </v>
      </c>
      <c r="H5" s="69"/>
      <c r="I5" s="14"/>
      <c r="J5" s="2" t="s">
        <v>5</v>
      </c>
      <c r="K5" s="68" t="s">
        <v>175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'22.07 Bulenga-Busega'!D6:E6</f>
        <v xml:space="preserve">Bulenga </v>
      </c>
      <c r="E6" s="69"/>
      <c r="F6" s="2" t="s">
        <v>2</v>
      </c>
      <c r="G6" s="68" t="str">
        <f>'22.07 Bulenga-Busega'!G6:H6</f>
        <v>Busega</v>
      </c>
      <c r="H6" s="69"/>
      <c r="J6" s="2" t="s">
        <v>21</v>
      </c>
      <c r="K6" s="68" t="str">
        <f>'22.07 Busega-Bulenga'!K6:L6</f>
        <v>Andrew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121</v>
      </c>
      <c r="D10" s="50">
        <v>4</v>
      </c>
      <c r="E10" s="50">
        <v>8</v>
      </c>
      <c r="F10" s="50">
        <v>43</v>
      </c>
      <c r="G10" s="50">
        <v>0</v>
      </c>
      <c r="H10" s="50">
        <v>0</v>
      </c>
      <c r="I10" s="50">
        <v>2</v>
      </c>
      <c r="J10" s="50">
        <v>5</v>
      </c>
      <c r="K10" s="50">
        <v>0</v>
      </c>
      <c r="L10" s="50">
        <v>4</v>
      </c>
      <c r="M10" s="50">
        <v>302</v>
      </c>
      <c r="N10" s="50">
        <v>0</v>
      </c>
      <c r="O10" s="15">
        <f t="shared" ref="O10:O57" si="0">SUM(C10:L10,N10)</f>
        <v>187</v>
      </c>
      <c r="P10" s="15">
        <f t="shared" ref="P10:P57" si="1">SUM(C10:N10)</f>
        <v>489</v>
      </c>
      <c r="R10" s="1" t="s">
        <v>6</v>
      </c>
      <c r="S10" s="17">
        <f t="shared" ref="S10:AF10" si="2">SUM(C10:C13)</f>
        <v>336</v>
      </c>
      <c r="T10" s="17">
        <f t="shared" si="2"/>
        <v>24</v>
      </c>
      <c r="U10" s="17">
        <f t="shared" si="2"/>
        <v>36</v>
      </c>
      <c r="V10" s="17">
        <f t="shared" si="2"/>
        <v>222</v>
      </c>
      <c r="W10" s="17">
        <f t="shared" si="2"/>
        <v>1</v>
      </c>
      <c r="X10" s="17">
        <f t="shared" si="2"/>
        <v>2</v>
      </c>
      <c r="Y10" s="17">
        <f t="shared" si="2"/>
        <v>6</v>
      </c>
      <c r="Z10" s="17">
        <f t="shared" si="2"/>
        <v>21</v>
      </c>
      <c r="AA10" s="17">
        <f t="shared" si="2"/>
        <v>5</v>
      </c>
      <c r="AB10" s="17">
        <f t="shared" si="2"/>
        <v>10</v>
      </c>
      <c r="AC10" s="17">
        <f t="shared" si="2"/>
        <v>865</v>
      </c>
      <c r="AD10" s="17">
        <f t="shared" si="2"/>
        <v>0</v>
      </c>
      <c r="AE10" s="31">
        <f t="shared" si="2"/>
        <v>663</v>
      </c>
      <c r="AF10" s="31">
        <f t="shared" si="2"/>
        <v>1528</v>
      </c>
    </row>
    <row r="11" spans="2:32" s="6" customFormat="1" ht="23.1" customHeight="1" x14ac:dyDescent="0.25">
      <c r="B11" s="23" t="s">
        <v>38</v>
      </c>
      <c r="C11" s="50">
        <v>77</v>
      </c>
      <c r="D11" s="50">
        <v>6</v>
      </c>
      <c r="E11" s="50">
        <v>11</v>
      </c>
      <c r="F11" s="50">
        <v>32</v>
      </c>
      <c r="G11" s="50">
        <v>0</v>
      </c>
      <c r="H11" s="50">
        <v>1</v>
      </c>
      <c r="I11" s="50">
        <v>0</v>
      </c>
      <c r="J11" s="50">
        <v>7</v>
      </c>
      <c r="K11" s="50">
        <v>1</v>
      </c>
      <c r="L11" s="50">
        <v>2</v>
      </c>
      <c r="M11" s="50">
        <v>205</v>
      </c>
      <c r="N11" s="50">
        <v>0</v>
      </c>
      <c r="O11" s="15">
        <f t="shared" si="0"/>
        <v>137</v>
      </c>
      <c r="P11" s="15">
        <f t="shared" si="1"/>
        <v>342</v>
      </c>
      <c r="R11" s="1" t="s">
        <v>7</v>
      </c>
      <c r="S11" s="17">
        <f t="shared" ref="S11:AF11" si="3">SUM(C14:C17)</f>
        <v>265</v>
      </c>
      <c r="T11" s="17">
        <f t="shared" si="3"/>
        <v>11</v>
      </c>
      <c r="U11" s="17">
        <f t="shared" si="3"/>
        <v>22</v>
      </c>
      <c r="V11" s="17">
        <f t="shared" si="3"/>
        <v>281</v>
      </c>
      <c r="W11" s="17">
        <f t="shared" si="3"/>
        <v>2</v>
      </c>
      <c r="X11" s="17">
        <f t="shared" si="3"/>
        <v>2</v>
      </c>
      <c r="Y11" s="17">
        <f t="shared" si="3"/>
        <v>7</v>
      </c>
      <c r="Z11" s="17">
        <f t="shared" si="3"/>
        <v>17</v>
      </c>
      <c r="AA11" s="17">
        <f t="shared" si="3"/>
        <v>3</v>
      </c>
      <c r="AB11" s="17">
        <f t="shared" si="3"/>
        <v>8</v>
      </c>
      <c r="AC11" s="17">
        <f t="shared" si="3"/>
        <v>855</v>
      </c>
      <c r="AD11" s="17">
        <f t="shared" si="3"/>
        <v>0</v>
      </c>
      <c r="AE11" s="31">
        <f t="shared" si="3"/>
        <v>618</v>
      </c>
      <c r="AF11" s="31">
        <f t="shared" si="3"/>
        <v>1473</v>
      </c>
    </row>
    <row r="12" spans="2:32" ht="23.1" customHeight="1" x14ac:dyDescent="0.25">
      <c r="B12" s="23" t="s">
        <v>39</v>
      </c>
      <c r="C12" s="50">
        <v>70</v>
      </c>
      <c r="D12" s="50">
        <v>8</v>
      </c>
      <c r="E12" s="50">
        <v>8</v>
      </c>
      <c r="F12" s="50">
        <v>85</v>
      </c>
      <c r="G12" s="50">
        <v>1</v>
      </c>
      <c r="H12" s="50">
        <v>0</v>
      </c>
      <c r="I12" s="50">
        <v>3</v>
      </c>
      <c r="J12" s="50">
        <v>3</v>
      </c>
      <c r="K12" s="50">
        <v>2</v>
      </c>
      <c r="L12" s="50">
        <v>3</v>
      </c>
      <c r="M12" s="50">
        <v>108</v>
      </c>
      <c r="N12" s="50">
        <v>0</v>
      </c>
      <c r="O12" s="15">
        <f t="shared" si="0"/>
        <v>183</v>
      </c>
      <c r="P12" s="15">
        <f t="shared" si="1"/>
        <v>291</v>
      </c>
      <c r="R12" s="1" t="s">
        <v>8</v>
      </c>
      <c r="S12" s="17">
        <f t="shared" ref="S12:AF12" si="4">SUM(C18:C21)</f>
        <v>226</v>
      </c>
      <c r="T12" s="17">
        <f t="shared" si="4"/>
        <v>14</v>
      </c>
      <c r="U12" s="17">
        <f t="shared" si="4"/>
        <v>24</v>
      </c>
      <c r="V12" s="17">
        <f t="shared" si="4"/>
        <v>253</v>
      </c>
      <c r="W12" s="17">
        <f t="shared" si="4"/>
        <v>5</v>
      </c>
      <c r="X12" s="17">
        <f t="shared" si="4"/>
        <v>0</v>
      </c>
      <c r="Y12" s="17">
        <f t="shared" si="4"/>
        <v>8</v>
      </c>
      <c r="Z12" s="17">
        <f t="shared" si="4"/>
        <v>18</v>
      </c>
      <c r="AA12" s="17">
        <f t="shared" si="4"/>
        <v>0</v>
      </c>
      <c r="AB12" s="17">
        <f t="shared" si="4"/>
        <v>7</v>
      </c>
      <c r="AC12" s="17">
        <f t="shared" si="4"/>
        <v>916</v>
      </c>
      <c r="AD12" s="17">
        <f t="shared" si="4"/>
        <v>0</v>
      </c>
      <c r="AE12" s="31">
        <f t="shared" si="4"/>
        <v>555</v>
      </c>
      <c r="AF12" s="31">
        <f t="shared" si="4"/>
        <v>1471</v>
      </c>
    </row>
    <row r="13" spans="2:32" ht="23.1" customHeight="1" x14ac:dyDescent="0.25">
      <c r="B13" s="23" t="s">
        <v>40</v>
      </c>
      <c r="C13" s="50">
        <v>68</v>
      </c>
      <c r="D13" s="50">
        <v>6</v>
      </c>
      <c r="E13" s="50">
        <v>9</v>
      </c>
      <c r="F13" s="50">
        <v>62</v>
      </c>
      <c r="G13" s="50">
        <v>0</v>
      </c>
      <c r="H13" s="50">
        <v>1</v>
      </c>
      <c r="I13" s="50">
        <v>1</v>
      </c>
      <c r="J13" s="50">
        <v>6</v>
      </c>
      <c r="K13" s="50">
        <v>2</v>
      </c>
      <c r="L13" s="50">
        <v>1</v>
      </c>
      <c r="M13" s="50">
        <v>250</v>
      </c>
      <c r="N13" s="50">
        <v>0</v>
      </c>
      <c r="O13" s="15">
        <f t="shared" si="0"/>
        <v>156</v>
      </c>
      <c r="P13" s="15">
        <f t="shared" si="1"/>
        <v>406</v>
      </c>
      <c r="R13" s="1" t="s">
        <v>9</v>
      </c>
      <c r="S13" s="17">
        <f t="shared" ref="S13:AF13" si="5">SUM(C22:C25)</f>
        <v>230</v>
      </c>
      <c r="T13" s="17">
        <f t="shared" si="5"/>
        <v>11</v>
      </c>
      <c r="U13" s="17">
        <f t="shared" si="5"/>
        <v>13</v>
      </c>
      <c r="V13" s="17">
        <f t="shared" si="5"/>
        <v>293</v>
      </c>
      <c r="W13" s="17">
        <f t="shared" si="5"/>
        <v>5</v>
      </c>
      <c r="X13" s="17">
        <f t="shared" si="5"/>
        <v>0</v>
      </c>
      <c r="Y13" s="17">
        <f t="shared" si="5"/>
        <v>2</v>
      </c>
      <c r="Z13" s="17">
        <f t="shared" si="5"/>
        <v>27</v>
      </c>
      <c r="AA13" s="17">
        <f t="shared" si="5"/>
        <v>5</v>
      </c>
      <c r="AB13" s="17">
        <f t="shared" si="5"/>
        <v>3</v>
      </c>
      <c r="AC13" s="17">
        <f t="shared" si="5"/>
        <v>734</v>
      </c>
      <c r="AD13" s="17">
        <f t="shared" si="5"/>
        <v>0</v>
      </c>
      <c r="AE13" s="31">
        <f t="shared" si="5"/>
        <v>589</v>
      </c>
      <c r="AF13" s="31">
        <f t="shared" si="5"/>
        <v>1323</v>
      </c>
    </row>
    <row r="14" spans="2:32" ht="23.1" customHeight="1" x14ac:dyDescent="0.25">
      <c r="B14" s="23" t="s">
        <v>41</v>
      </c>
      <c r="C14" s="50">
        <v>70</v>
      </c>
      <c r="D14" s="50">
        <v>3</v>
      </c>
      <c r="E14" s="50">
        <v>6</v>
      </c>
      <c r="F14" s="50">
        <v>66</v>
      </c>
      <c r="G14" s="50">
        <v>0</v>
      </c>
      <c r="H14" s="50">
        <v>2</v>
      </c>
      <c r="I14" s="50">
        <v>4</v>
      </c>
      <c r="J14" s="50">
        <v>7</v>
      </c>
      <c r="K14" s="50">
        <v>0</v>
      </c>
      <c r="L14" s="50">
        <v>3</v>
      </c>
      <c r="M14" s="50">
        <v>220</v>
      </c>
      <c r="N14" s="50">
        <v>0</v>
      </c>
      <c r="O14" s="15">
        <f t="shared" si="0"/>
        <v>161</v>
      </c>
      <c r="P14" s="15">
        <f t="shared" si="1"/>
        <v>381</v>
      </c>
      <c r="R14" s="1" t="s">
        <v>10</v>
      </c>
      <c r="S14" s="17">
        <f t="shared" ref="S14:AF14" si="6">SUM(C26:C29)</f>
        <v>249</v>
      </c>
      <c r="T14" s="17">
        <f t="shared" si="6"/>
        <v>9</v>
      </c>
      <c r="U14" s="17">
        <f t="shared" si="6"/>
        <v>16</v>
      </c>
      <c r="V14" s="17">
        <f t="shared" si="6"/>
        <v>247</v>
      </c>
      <c r="W14" s="17">
        <f t="shared" si="6"/>
        <v>3</v>
      </c>
      <c r="X14" s="17">
        <f t="shared" si="6"/>
        <v>0</v>
      </c>
      <c r="Y14" s="17">
        <f t="shared" si="6"/>
        <v>4</v>
      </c>
      <c r="Z14" s="17">
        <f t="shared" si="6"/>
        <v>16</v>
      </c>
      <c r="AA14" s="17">
        <f t="shared" si="6"/>
        <v>1</v>
      </c>
      <c r="AB14" s="17">
        <f t="shared" si="6"/>
        <v>6</v>
      </c>
      <c r="AC14" s="17">
        <f t="shared" si="6"/>
        <v>722</v>
      </c>
      <c r="AD14" s="17">
        <f t="shared" si="6"/>
        <v>0</v>
      </c>
      <c r="AE14" s="31">
        <f t="shared" si="6"/>
        <v>551</v>
      </c>
      <c r="AF14" s="31">
        <f t="shared" si="6"/>
        <v>1273</v>
      </c>
    </row>
    <row r="15" spans="2:32" ht="23.1" customHeight="1" x14ac:dyDescent="0.25">
      <c r="B15" s="23" t="s">
        <v>42</v>
      </c>
      <c r="C15" s="50">
        <v>80</v>
      </c>
      <c r="D15" s="50">
        <v>4</v>
      </c>
      <c r="E15" s="50">
        <v>5</v>
      </c>
      <c r="F15" s="50">
        <v>70</v>
      </c>
      <c r="G15" s="50">
        <v>1</v>
      </c>
      <c r="H15" s="50">
        <v>0</v>
      </c>
      <c r="I15" s="50">
        <v>1</v>
      </c>
      <c r="J15" s="50">
        <v>2</v>
      </c>
      <c r="K15" s="50">
        <v>2</v>
      </c>
      <c r="L15" s="50">
        <v>0</v>
      </c>
      <c r="M15" s="50">
        <v>225</v>
      </c>
      <c r="N15" s="50">
        <v>0</v>
      </c>
      <c r="O15" s="15">
        <f t="shared" si="0"/>
        <v>165</v>
      </c>
      <c r="P15" s="15">
        <f t="shared" si="1"/>
        <v>390</v>
      </c>
      <c r="R15" s="1" t="s">
        <v>11</v>
      </c>
      <c r="S15" s="17">
        <f t="shared" ref="S15:AF15" si="7">SUM(C30:C33)</f>
        <v>210</v>
      </c>
      <c r="T15" s="17">
        <f t="shared" si="7"/>
        <v>3</v>
      </c>
      <c r="U15" s="17">
        <f t="shared" si="7"/>
        <v>7</v>
      </c>
      <c r="V15" s="17">
        <f t="shared" si="7"/>
        <v>188</v>
      </c>
      <c r="W15" s="17">
        <f t="shared" si="7"/>
        <v>0</v>
      </c>
      <c r="X15" s="17">
        <f t="shared" si="7"/>
        <v>0</v>
      </c>
      <c r="Y15" s="17">
        <f t="shared" si="7"/>
        <v>8</v>
      </c>
      <c r="Z15" s="17">
        <f t="shared" si="7"/>
        <v>6</v>
      </c>
      <c r="AA15" s="17">
        <f t="shared" si="7"/>
        <v>3</v>
      </c>
      <c r="AB15" s="17">
        <f t="shared" si="7"/>
        <v>3</v>
      </c>
      <c r="AC15" s="17">
        <f t="shared" si="7"/>
        <v>669</v>
      </c>
      <c r="AD15" s="17">
        <f t="shared" si="7"/>
        <v>0</v>
      </c>
      <c r="AE15" s="31">
        <f t="shared" si="7"/>
        <v>428</v>
      </c>
      <c r="AF15" s="31">
        <f t="shared" si="7"/>
        <v>1097</v>
      </c>
    </row>
    <row r="16" spans="2:32" ht="23.1" customHeight="1" x14ac:dyDescent="0.25">
      <c r="B16" s="23" t="s">
        <v>43</v>
      </c>
      <c r="C16" s="50">
        <v>70</v>
      </c>
      <c r="D16" s="50">
        <v>1</v>
      </c>
      <c r="E16" s="50">
        <v>8</v>
      </c>
      <c r="F16" s="50">
        <v>90</v>
      </c>
      <c r="G16" s="50">
        <v>1</v>
      </c>
      <c r="H16" s="50">
        <v>0</v>
      </c>
      <c r="I16" s="50">
        <v>1</v>
      </c>
      <c r="J16" s="50">
        <v>3</v>
      </c>
      <c r="K16" s="50">
        <v>1</v>
      </c>
      <c r="L16" s="50">
        <v>3</v>
      </c>
      <c r="M16" s="50">
        <v>225</v>
      </c>
      <c r="N16" s="50">
        <v>0</v>
      </c>
      <c r="O16" s="15">
        <f t="shared" si="0"/>
        <v>178</v>
      </c>
      <c r="P16" s="15">
        <f t="shared" si="1"/>
        <v>403</v>
      </c>
      <c r="R16" s="1" t="s">
        <v>12</v>
      </c>
      <c r="S16" s="17">
        <f t="shared" ref="S16:AF16" si="8">SUM(C34:C37)</f>
        <v>113</v>
      </c>
      <c r="T16" s="17">
        <f t="shared" si="8"/>
        <v>7</v>
      </c>
      <c r="U16" s="17">
        <f t="shared" si="8"/>
        <v>7</v>
      </c>
      <c r="V16" s="17">
        <f t="shared" si="8"/>
        <v>142</v>
      </c>
      <c r="W16" s="17">
        <f t="shared" si="8"/>
        <v>1</v>
      </c>
      <c r="X16" s="17">
        <f t="shared" si="8"/>
        <v>1</v>
      </c>
      <c r="Y16" s="17">
        <f t="shared" si="8"/>
        <v>7</v>
      </c>
      <c r="Z16" s="17">
        <f t="shared" si="8"/>
        <v>17</v>
      </c>
      <c r="AA16" s="17">
        <f t="shared" si="8"/>
        <v>3</v>
      </c>
      <c r="AB16" s="17">
        <f t="shared" si="8"/>
        <v>6</v>
      </c>
      <c r="AC16" s="17">
        <f t="shared" si="8"/>
        <v>539</v>
      </c>
      <c r="AD16" s="17">
        <f t="shared" si="8"/>
        <v>0</v>
      </c>
      <c r="AE16" s="31">
        <f t="shared" si="8"/>
        <v>304</v>
      </c>
      <c r="AF16" s="31">
        <f t="shared" si="8"/>
        <v>843</v>
      </c>
    </row>
    <row r="17" spans="2:32" ht="23.1" customHeight="1" x14ac:dyDescent="0.25">
      <c r="B17" s="23" t="s">
        <v>44</v>
      </c>
      <c r="C17" s="50">
        <v>45</v>
      </c>
      <c r="D17" s="50">
        <v>3</v>
      </c>
      <c r="E17" s="50">
        <v>3</v>
      </c>
      <c r="F17" s="50">
        <v>55</v>
      </c>
      <c r="G17" s="50">
        <v>0</v>
      </c>
      <c r="H17" s="50">
        <v>0</v>
      </c>
      <c r="I17" s="50">
        <v>1</v>
      </c>
      <c r="J17" s="50">
        <v>5</v>
      </c>
      <c r="K17" s="50">
        <v>0</v>
      </c>
      <c r="L17" s="50">
        <v>2</v>
      </c>
      <c r="M17" s="50">
        <v>185</v>
      </c>
      <c r="N17" s="50">
        <v>0</v>
      </c>
      <c r="O17" s="15">
        <f t="shared" si="0"/>
        <v>114</v>
      </c>
      <c r="P17" s="15">
        <f t="shared" si="1"/>
        <v>299</v>
      </c>
      <c r="R17" s="1" t="s">
        <v>13</v>
      </c>
      <c r="S17" s="17">
        <f t="shared" ref="S17:AF17" si="9">SUM(C38:C41)</f>
        <v>117</v>
      </c>
      <c r="T17" s="17">
        <f t="shared" si="9"/>
        <v>7</v>
      </c>
      <c r="U17" s="17">
        <f t="shared" si="9"/>
        <v>13</v>
      </c>
      <c r="V17" s="17">
        <f t="shared" si="9"/>
        <v>106</v>
      </c>
      <c r="W17" s="17">
        <f t="shared" si="9"/>
        <v>0</v>
      </c>
      <c r="X17" s="17">
        <f t="shared" si="9"/>
        <v>1</v>
      </c>
      <c r="Y17" s="17">
        <f t="shared" si="9"/>
        <v>5</v>
      </c>
      <c r="Z17" s="17">
        <f t="shared" si="9"/>
        <v>18</v>
      </c>
      <c r="AA17" s="17">
        <f t="shared" si="9"/>
        <v>3</v>
      </c>
      <c r="AB17" s="17">
        <f t="shared" si="9"/>
        <v>4</v>
      </c>
      <c r="AC17" s="17">
        <f t="shared" si="9"/>
        <v>496</v>
      </c>
      <c r="AD17" s="17">
        <f t="shared" si="9"/>
        <v>0</v>
      </c>
      <c r="AE17" s="31">
        <f t="shared" si="9"/>
        <v>274</v>
      </c>
      <c r="AF17" s="31">
        <f t="shared" si="9"/>
        <v>770</v>
      </c>
    </row>
    <row r="18" spans="2:32" ht="23.1" customHeight="1" x14ac:dyDescent="0.25">
      <c r="B18" s="23" t="s">
        <v>45</v>
      </c>
      <c r="C18" s="50">
        <v>60</v>
      </c>
      <c r="D18" s="50">
        <v>1</v>
      </c>
      <c r="E18" s="50">
        <v>6</v>
      </c>
      <c r="F18" s="50">
        <v>75</v>
      </c>
      <c r="G18" s="50">
        <v>0</v>
      </c>
      <c r="H18" s="50">
        <v>0</v>
      </c>
      <c r="I18" s="50">
        <v>2</v>
      </c>
      <c r="J18" s="50">
        <v>1</v>
      </c>
      <c r="K18" s="50">
        <v>0</v>
      </c>
      <c r="L18" s="50">
        <v>0</v>
      </c>
      <c r="M18" s="50">
        <v>193</v>
      </c>
      <c r="N18" s="50">
        <v>0</v>
      </c>
      <c r="O18" s="15">
        <f t="shared" si="0"/>
        <v>145</v>
      </c>
      <c r="P18" s="15">
        <f t="shared" si="1"/>
        <v>338</v>
      </c>
      <c r="R18" s="1" t="s">
        <v>14</v>
      </c>
      <c r="S18" s="17">
        <f t="shared" ref="S18:AF18" si="10">SUM(C42:C45)</f>
        <v>137</v>
      </c>
      <c r="T18" s="17">
        <f t="shared" si="10"/>
        <v>7</v>
      </c>
      <c r="U18" s="17">
        <f t="shared" si="10"/>
        <v>21</v>
      </c>
      <c r="V18" s="17">
        <f t="shared" si="10"/>
        <v>138</v>
      </c>
      <c r="W18" s="17">
        <f t="shared" si="10"/>
        <v>1</v>
      </c>
      <c r="X18" s="17">
        <f t="shared" si="10"/>
        <v>3</v>
      </c>
      <c r="Y18" s="17">
        <f t="shared" si="10"/>
        <v>7</v>
      </c>
      <c r="Z18" s="17">
        <f t="shared" si="10"/>
        <v>19</v>
      </c>
      <c r="AA18" s="17">
        <f t="shared" si="10"/>
        <v>3</v>
      </c>
      <c r="AB18" s="17">
        <f t="shared" si="10"/>
        <v>4</v>
      </c>
      <c r="AC18" s="17">
        <f t="shared" si="10"/>
        <v>406</v>
      </c>
      <c r="AD18" s="17">
        <f t="shared" si="10"/>
        <v>0</v>
      </c>
      <c r="AE18" s="31">
        <f t="shared" si="10"/>
        <v>340</v>
      </c>
      <c r="AF18" s="31">
        <f t="shared" si="10"/>
        <v>746</v>
      </c>
    </row>
    <row r="19" spans="2:32" ht="23.1" customHeight="1" x14ac:dyDescent="0.25">
      <c r="B19" s="23" t="s">
        <v>46</v>
      </c>
      <c r="C19" s="50">
        <v>73</v>
      </c>
      <c r="D19" s="50">
        <v>3</v>
      </c>
      <c r="E19" s="50">
        <v>6</v>
      </c>
      <c r="F19" s="50">
        <v>64</v>
      </c>
      <c r="G19" s="50">
        <v>0</v>
      </c>
      <c r="H19" s="50">
        <v>0</v>
      </c>
      <c r="I19" s="50">
        <v>0</v>
      </c>
      <c r="J19" s="50">
        <v>4</v>
      </c>
      <c r="K19" s="50">
        <v>0</v>
      </c>
      <c r="L19" s="50">
        <v>2</v>
      </c>
      <c r="M19" s="50">
        <v>224</v>
      </c>
      <c r="N19" s="50">
        <v>0</v>
      </c>
      <c r="O19" s="15">
        <f t="shared" si="0"/>
        <v>152</v>
      </c>
      <c r="P19" s="15">
        <f t="shared" si="1"/>
        <v>376</v>
      </c>
      <c r="R19" s="1" t="s">
        <v>15</v>
      </c>
      <c r="S19" s="17">
        <f t="shared" ref="S19:AF19" si="11">SUM(C46:C49)</f>
        <v>185</v>
      </c>
      <c r="T19" s="17">
        <f t="shared" si="11"/>
        <v>6</v>
      </c>
      <c r="U19" s="17">
        <f t="shared" si="11"/>
        <v>21</v>
      </c>
      <c r="V19" s="17">
        <f t="shared" si="11"/>
        <v>190</v>
      </c>
      <c r="W19" s="17">
        <f t="shared" si="11"/>
        <v>1</v>
      </c>
      <c r="X19" s="17">
        <f t="shared" si="11"/>
        <v>4</v>
      </c>
      <c r="Y19" s="17">
        <f t="shared" si="11"/>
        <v>8</v>
      </c>
      <c r="Z19" s="17">
        <f t="shared" si="11"/>
        <v>23</v>
      </c>
      <c r="AA19" s="17">
        <f t="shared" si="11"/>
        <v>4</v>
      </c>
      <c r="AB19" s="17">
        <f t="shared" si="11"/>
        <v>5</v>
      </c>
      <c r="AC19" s="17">
        <f t="shared" si="11"/>
        <v>543</v>
      </c>
      <c r="AD19" s="17">
        <f t="shared" si="11"/>
        <v>0</v>
      </c>
      <c r="AE19" s="31">
        <f t="shared" si="11"/>
        <v>447</v>
      </c>
      <c r="AF19" s="31">
        <f t="shared" si="11"/>
        <v>990</v>
      </c>
    </row>
    <row r="20" spans="2:32" ht="23.1" customHeight="1" x14ac:dyDescent="0.25">
      <c r="B20" s="23" t="s">
        <v>47</v>
      </c>
      <c r="C20" s="50">
        <v>60</v>
      </c>
      <c r="D20" s="50">
        <v>7</v>
      </c>
      <c r="E20" s="50">
        <v>7</v>
      </c>
      <c r="F20" s="50">
        <v>54</v>
      </c>
      <c r="G20" s="50">
        <v>1</v>
      </c>
      <c r="H20" s="50">
        <v>0</v>
      </c>
      <c r="I20" s="50">
        <v>4</v>
      </c>
      <c r="J20" s="50">
        <v>6</v>
      </c>
      <c r="K20" s="50">
        <v>0</v>
      </c>
      <c r="L20" s="50">
        <v>5</v>
      </c>
      <c r="M20" s="50">
        <v>194</v>
      </c>
      <c r="N20" s="50">
        <v>0</v>
      </c>
      <c r="O20" s="15">
        <f t="shared" si="0"/>
        <v>144</v>
      </c>
      <c r="P20" s="15">
        <f t="shared" si="1"/>
        <v>338</v>
      </c>
      <c r="R20" s="1" t="s">
        <v>16</v>
      </c>
      <c r="S20" s="17">
        <f t="shared" ref="S20:AF20" si="12">SUM(C50:C53)</f>
        <v>214</v>
      </c>
      <c r="T20" s="17">
        <f t="shared" si="12"/>
        <v>7</v>
      </c>
      <c r="U20" s="17">
        <f t="shared" si="12"/>
        <v>10</v>
      </c>
      <c r="V20" s="17">
        <f t="shared" si="12"/>
        <v>256</v>
      </c>
      <c r="W20" s="17">
        <f t="shared" si="12"/>
        <v>1</v>
      </c>
      <c r="X20" s="17">
        <f t="shared" si="12"/>
        <v>2</v>
      </c>
      <c r="Y20" s="17">
        <f t="shared" si="12"/>
        <v>10</v>
      </c>
      <c r="Z20" s="17">
        <f t="shared" si="12"/>
        <v>14</v>
      </c>
      <c r="AA20" s="17">
        <f t="shared" si="12"/>
        <v>3</v>
      </c>
      <c r="AB20" s="17">
        <f t="shared" si="12"/>
        <v>8</v>
      </c>
      <c r="AC20" s="17">
        <f t="shared" si="12"/>
        <v>663</v>
      </c>
      <c r="AD20" s="17">
        <f t="shared" si="12"/>
        <v>0</v>
      </c>
      <c r="AE20" s="31">
        <f t="shared" si="12"/>
        <v>525</v>
      </c>
      <c r="AF20" s="31">
        <f t="shared" si="12"/>
        <v>1188</v>
      </c>
    </row>
    <row r="21" spans="2:32" ht="23.1" customHeight="1" x14ac:dyDescent="0.25">
      <c r="B21" s="23" t="s">
        <v>48</v>
      </c>
      <c r="C21" s="50">
        <v>33</v>
      </c>
      <c r="D21" s="50">
        <v>3</v>
      </c>
      <c r="E21" s="50">
        <v>5</v>
      </c>
      <c r="F21" s="50">
        <v>60</v>
      </c>
      <c r="G21" s="50">
        <v>4</v>
      </c>
      <c r="H21" s="50">
        <v>0</v>
      </c>
      <c r="I21" s="50">
        <v>2</v>
      </c>
      <c r="J21" s="50">
        <v>7</v>
      </c>
      <c r="K21" s="50">
        <v>0</v>
      </c>
      <c r="L21" s="50">
        <v>0</v>
      </c>
      <c r="M21" s="50">
        <v>305</v>
      </c>
      <c r="N21" s="50">
        <v>0</v>
      </c>
      <c r="O21" s="15">
        <f t="shared" si="0"/>
        <v>114</v>
      </c>
      <c r="P21" s="15">
        <f t="shared" si="1"/>
        <v>419</v>
      </c>
      <c r="R21" s="36" t="s">
        <v>20</v>
      </c>
      <c r="S21" s="34">
        <f t="shared" ref="S21:AF21" si="13">SUM(C54:C57)</f>
        <v>213</v>
      </c>
      <c r="T21" s="17">
        <f t="shared" si="13"/>
        <v>8</v>
      </c>
      <c r="U21" s="17">
        <f t="shared" si="13"/>
        <v>21</v>
      </c>
      <c r="V21" s="17">
        <f t="shared" si="13"/>
        <v>281</v>
      </c>
      <c r="W21" s="17">
        <f t="shared" si="13"/>
        <v>6</v>
      </c>
      <c r="X21" s="17">
        <f t="shared" si="13"/>
        <v>4</v>
      </c>
      <c r="Y21" s="17">
        <f t="shared" si="13"/>
        <v>3</v>
      </c>
      <c r="Z21" s="17">
        <f t="shared" si="13"/>
        <v>11</v>
      </c>
      <c r="AA21" s="17">
        <f t="shared" si="13"/>
        <v>4</v>
      </c>
      <c r="AB21" s="17">
        <f t="shared" si="13"/>
        <v>5</v>
      </c>
      <c r="AC21" s="17">
        <f t="shared" si="13"/>
        <v>455</v>
      </c>
      <c r="AD21" s="17">
        <f t="shared" si="13"/>
        <v>0</v>
      </c>
      <c r="AE21" s="31">
        <f t="shared" si="13"/>
        <v>556</v>
      </c>
      <c r="AF21" s="31">
        <f t="shared" si="13"/>
        <v>1011</v>
      </c>
    </row>
    <row r="22" spans="2:32" ht="23.1" customHeight="1" x14ac:dyDescent="0.25">
      <c r="B22" s="23" t="s">
        <v>49</v>
      </c>
      <c r="C22" s="50">
        <v>70</v>
      </c>
      <c r="D22" s="50">
        <v>5</v>
      </c>
      <c r="E22" s="50">
        <v>1</v>
      </c>
      <c r="F22" s="50">
        <v>57</v>
      </c>
      <c r="G22" s="50">
        <v>0</v>
      </c>
      <c r="H22" s="50">
        <v>0</v>
      </c>
      <c r="I22" s="50">
        <v>0</v>
      </c>
      <c r="J22" s="50">
        <v>8</v>
      </c>
      <c r="K22" s="50">
        <v>0</v>
      </c>
      <c r="L22" s="50">
        <v>0</v>
      </c>
      <c r="M22" s="50">
        <v>200</v>
      </c>
      <c r="N22" s="50">
        <v>0</v>
      </c>
      <c r="O22" s="15">
        <f t="shared" si="0"/>
        <v>141</v>
      </c>
      <c r="P22" s="15">
        <f t="shared" si="1"/>
        <v>341</v>
      </c>
      <c r="R22" s="38" t="s">
        <v>90</v>
      </c>
      <c r="S22" s="39">
        <f>MAX(S10:S12)</f>
        <v>336</v>
      </c>
      <c r="T22" s="39">
        <f t="shared" ref="T22:AF22" si="14">MAX(T10:T12)</f>
        <v>24</v>
      </c>
      <c r="U22" s="39">
        <f t="shared" si="14"/>
        <v>36</v>
      </c>
      <c r="V22" s="39">
        <f t="shared" si="14"/>
        <v>281</v>
      </c>
      <c r="W22" s="39">
        <f t="shared" si="14"/>
        <v>5</v>
      </c>
      <c r="X22" s="39">
        <f t="shared" si="14"/>
        <v>2</v>
      </c>
      <c r="Y22" s="39">
        <f t="shared" si="14"/>
        <v>8</v>
      </c>
      <c r="Z22" s="39">
        <f t="shared" si="14"/>
        <v>21</v>
      </c>
      <c r="AA22" s="39">
        <f t="shared" si="14"/>
        <v>5</v>
      </c>
      <c r="AB22" s="39">
        <f t="shared" si="14"/>
        <v>10</v>
      </c>
      <c r="AC22" s="39">
        <f t="shared" si="14"/>
        <v>916</v>
      </c>
      <c r="AD22" s="39">
        <f t="shared" si="14"/>
        <v>0</v>
      </c>
      <c r="AE22" s="40">
        <f t="shared" si="14"/>
        <v>663</v>
      </c>
      <c r="AF22" s="40">
        <f t="shared" si="14"/>
        <v>1528</v>
      </c>
    </row>
    <row r="23" spans="2:32" ht="23.1" customHeight="1" x14ac:dyDescent="0.25">
      <c r="B23" s="23" t="s">
        <v>50</v>
      </c>
      <c r="C23" s="50">
        <v>56</v>
      </c>
      <c r="D23" s="50">
        <v>2</v>
      </c>
      <c r="E23" s="50">
        <v>4</v>
      </c>
      <c r="F23" s="50">
        <v>60</v>
      </c>
      <c r="G23" s="50">
        <v>0</v>
      </c>
      <c r="H23" s="50">
        <v>0</v>
      </c>
      <c r="I23" s="50">
        <v>1</v>
      </c>
      <c r="J23" s="50">
        <v>6</v>
      </c>
      <c r="K23" s="50">
        <v>2</v>
      </c>
      <c r="L23" s="50">
        <v>2</v>
      </c>
      <c r="M23" s="50">
        <v>195</v>
      </c>
      <c r="N23" s="50">
        <v>0</v>
      </c>
      <c r="O23" s="15">
        <f t="shared" si="0"/>
        <v>133</v>
      </c>
      <c r="P23" s="15">
        <f t="shared" si="1"/>
        <v>328</v>
      </c>
      <c r="R23" s="38" t="s">
        <v>91</v>
      </c>
      <c r="S23" s="39">
        <f>MAX(S13:S18)</f>
        <v>249</v>
      </c>
      <c r="T23" s="39">
        <f t="shared" ref="T23:AF23" si="15">MAX(T13:T18)</f>
        <v>11</v>
      </c>
      <c r="U23" s="39">
        <f t="shared" si="15"/>
        <v>21</v>
      </c>
      <c r="V23" s="39">
        <f t="shared" si="15"/>
        <v>293</v>
      </c>
      <c r="W23" s="39">
        <f t="shared" si="15"/>
        <v>5</v>
      </c>
      <c r="X23" s="39">
        <f t="shared" si="15"/>
        <v>3</v>
      </c>
      <c r="Y23" s="39">
        <f t="shared" si="15"/>
        <v>8</v>
      </c>
      <c r="Z23" s="39">
        <f t="shared" si="15"/>
        <v>27</v>
      </c>
      <c r="AA23" s="39">
        <f t="shared" si="15"/>
        <v>5</v>
      </c>
      <c r="AB23" s="39">
        <f t="shared" si="15"/>
        <v>6</v>
      </c>
      <c r="AC23" s="39">
        <f t="shared" si="15"/>
        <v>734</v>
      </c>
      <c r="AD23" s="39">
        <f t="shared" si="15"/>
        <v>0</v>
      </c>
      <c r="AE23" s="40">
        <f t="shared" si="15"/>
        <v>589</v>
      </c>
      <c r="AF23" s="40">
        <f t="shared" si="15"/>
        <v>1323</v>
      </c>
    </row>
    <row r="24" spans="2:32" ht="23.1" customHeight="1" x14ac:dyDescent="0.25">
      <c r="B24" s="23" t="s">
        <v>51</v>
      </c>
      <c r="C24" s="50">
        <v>43</v>
      </c>
      <c r="D24" s="50">
        <v>3</v>
      </c>
      <c r="E24" s="50">
        <v>6</v>
      </c>
      <c r="F24" s="50">
        <v>90</v>
      </c>
      <c r="G24" s="50">
        <v>3</v>
      </c>
      <c r="H24" s="50">
        <v>0</v>
      </c>
      <c r="I24" s="50">
        <v>1</v>
      </c>
      <c r="J24" s="50">
        <v>8</v>
      </c>
      <c r="K24" s="50">
        <v>0</v>
      </c>
      <c r="L24" s="50">
        <v>0</v>
      </c>
      <c r="M24" s="50">
        <v>183</v>
      </c>
      <c r="N24" s="50">
        <v>0</v>
      </c>
      <c r="O24" s="15">
        <f t="shared" si="0"/>
        <v>154</v>
      </c>
      <c r="P24" s="15">
        <f t="shared" si="1"/>
        <v>337</v>
      </c>
      <c r="R24" s="38" t="s">
        <v>92</v>
      </c>
      <c r="S24" s="39">
        <f>MAX(S19:S21)</f>
        <v>214</v>
      </c>
      <c r="T24" s="39">
        <f t="shared" ref="T24:AF24" si="16">MAX(T19:T21)</f>
        <v>8</v>
      </c>
      <c r="U24" s="39">
        <f t="shared" si="16"/>
        <v>21</v>
      </c>
      <c r="V24" s="39">
        <f t="shared" si="16"/>
        <v>281</v>
      </c>
      <c r="W24" s="39">
        <f t="shared" si="16"/>
        <v>6</v>
      </c>
      <c r="X24" s="39">
        <f t="shared" si="16"/>
        <v>4</v>
      </c>
      <c r="Y24" s="39">
        <f t="shared" si="16"/>
        <v>10</v>
      </c>
      <c r="Z24" s="39">
        <f t="shared" si="16"/>
        <v>23</v>
      </c>
      <c r="AA24" s="39">
        <f t="shared" si="16"/>
        <v>4</v>
      </c>
      <c r="AB24" s="39">
        <f t="shared" si="16"/>
        <v>8</v>
      </c>
      <c r="AC24" s="39">
        <f t="shared" si="16"/>
        <v>663</v>
      </c>
      <c r="AD24" s="39">
        <f t="shared" si="16"/>
        <v>0</v>
      </c>
      <c r="AE24" s="40">
        <f t="shared" si="16"/>
        <v>556</v>
      </c>
      <c r="AF24" s="40">
        <f t="shared" si="16"/>
        <v>1188</v>
      </c>
    </row>
    <row r="25" spans="2:32" ht="23.1" customHeight="1" x14ac:dyDescent="0.25">
      <c r="B25" s="23" t="s">
        <v>52</v>
      </c>
      <c r="C25" s="50">
        <v>61</v>
      </c>
      <c r="D25" s="50">
        <v>1</v>
      </c>
      <c r="E25" s="50">
        <v>2</v>
      </c>
      <c r="F25" s="50">
        <v>86</v>
      </c>
      <c r="G25" s="50">
        <v>2</v>
      </c>
      <c r="H25" s="50">
        <v>0</v>
      </c>
      <c r="I25" s="50">
        <v>0</v>
      </c>
      <c r="J25" s="50">
        <v>5</v>
      </c>
      <c r="K25" s="50">
        <v>3</v>
      </c>
      <c r="L25" s="50">
        <v>1</v>
      </c>
      <c r="M25" s="50">
        <v>156</v>
      </c>
      <c r="N25" s="50">
        <v>0</v>
      </c>
      <c r="O25" s="15">
        <f t="shared" si="0"/>
        <v>161</v>
      </c>
      <c r="P25" s="15">
        <f t="shared" si="1"/>
        <v>317</v>
      </c>
      <c r="R25" s="37" t="s">
        <v>85</v>
      </c>
      <c r="S25" s="35">
        <f t="shared" ref="S25:AF25" si="17">SUM(S10:S12)</f>
        <v>827</v>
      </c>
      <c r="T25" s="16">
        <f t="shared" si="17"/>
        <v>49</v>
      </c>
      <c r="U25" s="16">
        <f t="shared" si="17"/>
        <v>82</v>
      </c>
      <c r="V25" s="16">
        <f t="shared" si="17"/>
        <v>756</v>
      </c>
      <c r="W25" s="16">
        <f t="shared" si="17"/>
        <v>8</v>
      </c>
      <c r="X25" s="16">
        <f t="shared" si="17"/>
        <v>4</v>
      </c>
      <c r="Y25" s="16">
        <f t="shared" si="17"/>
        <v>21</v>
      </c>
      <c r="Z25" s="16">
        <f t="shared" si="17"/>
        <v>56</v>
      </c>
      <c r="AA25" s="16">
        <f t="shared" si="17"/>
        <v>8</v>
      </c>
      <c r="AB25" s="16">
        <f t="shared" si="17"/>
        <v>25</v>
      </c>
      <c r="AC25" s="16">
        <f t="shared" si="17"/>
        <v>2636</v>
      </c>
      <c r="AD25" s="16">
        <f t="shared" si="17"/>
        <v>0</v>
      </c>
      <c r="AE25" s="32">
        <f t="shared" si="17"/>
        <v>1836</v>
      </c>
      <c r="AF25" s="32">
        <f t="shared" si="17"/>
        <v>4472</v>
      </c>
    </row>
    <row r="26" spans="2:32" ht="23.1" customHeight="1" x14ac:dyDescent="0.25">
      <c r="B26" s="23" t="s">
        <v>53</v>
      </c>
      <c r="C26" s="50">
        <v>55</v>
      </c>
      <c r="D26" s="50">
        <v>4</v>
      </c>
      <c r="E26" s="50">
        <v>6</v>
      </c>
      <c r="F26" s="50">
        <v>75</v>
      </c>
      <c r="G26" s="50">
        <v>0</v>
      </c>
      <c r="H26" s="50">
        <v>0</v>
      </c>
      <c r="I26" s="50">
        <v>1</v>
      </c>
      <c r="J26" s="50">
        <v>4</v>
      </c>
      <c r="K26" s="50">
        <v>0</v>
      </c>
      <c r="L26" s="50">
        <v>2</v>
      </c>
      <c r="M26" s="50">
        <v>151</v>
      </c>
      <c r="N26" s="50">
        <v>0</v>
      </c>
      <c r="O26" s="15">
        <f t="shared" si="0"/>
        <v>147</v>
      </c>
      <c r="P26" s="15">
        <f t="shared" si="1"/>
        <v>298</v>
      </c>
      <c r="R26" s="28" t="s">
        <v>86</v>
      </c>
      <c r="S26" s="16">
        <f t="shared" ref="S26:AF26" si="18">SUM(S13:S18)</f>
        <v>1056</v>
      </c>
      <c r="T26" s="16">
        <f t="shared" si="18"/>
        <v>44</v>
      </c>
      <c r="U26" s="16">
        <f t="shared" si="18"/>
        <v>77</v>
      </c>
      <c r="V26" s="16">
        <f t="shared" si="18"/>
        <v>1114</v>
      </c>
      <c r="W26" s="16">
        <f t="shared" si="18"/>
        <v>10</v>
      </c>
      <c r="X26" s="16">
        <f t="shared" si="18"/>
        <v>5</v>
      </c>
      <c r="Y26" s="16">
        <f t="shared" si="18"/>
        <v>33</v>
      </c>
      <c r="Z26" s="16">
        <f t="shared" si="18"/>
        <v>103</v>
      </c>
      <c r="AA26" s="16">
        <f t="shared" si="18"/>
        <v>18</v>
      </c>
      <c r="AB26" s="16">
        <f t="shared" si="18"/>
        <v>26</v>
      </c>
      <c r="AC26" s="16">
        <f t="shared" si="18"/>
        <v>3566</v>
      </c>
      <c r="AD26" s="16">
        <f t="shared" si="18"/>
        <v>0</v>
      </c>
      <c r="AE26" s="32">
        <f t="shared" si="18"/>
        <v>2486</v>
      </c>
      <c r="AF26" s="32">
        <f t="shared" si="18"/>
        <v>6052</v>
      </c>
    </row>
    <row r="27" spans="2:32" ht="23.1" customHeight="1" x14ac:dyDescent="0.25">
      <c r="B27" s="23" t="s">
        <v>54</v>
      </c>
      <c r="C27" s="50">
        <v>56</v>
      </c>
      <c r="D27" s="50">
        <v>3</v>
      </c>
      <c r="E27" s="50">
        <v>2</v>
      </c>
      <c r="F27" s="50">
        <v>60</v>
      </c>
      <c r="G27" s="50">
        <v>0</v>
      </c>
      <c r="H27" s="50">
        <v>0</v>
      </c>
      <c r="I27" s="50">
        <v>3</v>
      </c>
      <c r="J27" s="50">
        <v>4</v>
      </c>
      <c r="K27" s="50">
        <v>0</v>
      </c>
      <c r="L27" s="50">
        <v>2</v>
      </c>
      <c r="M27" s="50">
        <v>200</v>
      </c>
      <c r="N27" s="50">
        <v>0</v>
      </c>
      <c r="O27" s="15">
        <f t="shared" si="0"/>
        <v>130</v>
      </c>
      <c r="P27" s="15">
        <f t="shared" si="1"/>
        <v>330</v>
      </c>
      <c r="R27" s="29" t="s">
        <v>87</v>
      </c>
      <c r="S27" s="16">
        <f t="shared" ref="S27:AF27" si="19">SUM(S19:S21)</f>
        <v>612</v>
      </c>
      <c r="T27" s="16">
        <f t="shared" si="19"/>
        <v>21</v>
      </c>
      <c r="U27" s="16">
        <f t="shared" si="19"/>
        <v>52</v>
      </c>
      <c r="V27" s="16">
        <f t="shared" si="19"/>
        <v>727</v>
      </c>
      <c r="W27" s="16">
        <f t="shared" si="19"/>
        <v>8</v>
      </c>
      <c r="X27" s="16">
        <f t="shared" si="19"/>
        <v>10</v>
      </c>
      <c r="Y27" s="16">
        <f t="shared" si="19"/>
        <v>21</v>
      </c>
      <c r="Z27" s="16">
        <f t="shared" si="19"/>
        <v>48</v>
      </c>
      <c r="AA27" s="16">
        <f t="shared" si="19"/>
        <v>11</v>
      </c>
      <c r="AB27" s="16">
        <f t="shared" si="19"/>
        <v>18</v>
      </c>
      <c r="AC27" s="16">
        <f t="shared" si="19"/>
        <v>1661</v>
      </c>
      <c r="AD27" s="16">
        <f t="shared" si="19"/>
        <v>0</v>
      </c>
      <c r="AE27" s="32">
        <f t="shared" si="19"/>
        <v>1528</v>
      </c>
      <c r="AF27" s="32">
        <f t="shared" si="19"/>
        <v>3189</v>
      </c>
    </row>
    <row r="28" spans="2:32" ht="23.1" customHeight="1" x14ac:dyDescent="0.25">
      <c r="B28" s="23" t="s">
        <v>55</v>
      </c>
      <c r="C28" s="50">
        <v>75</v>
      </c>
      <c r="D28" s="50">
        <v>0</v>
      </c>
      <c r="E28" s="50">
        <v>3</v>
      </c>
      <c r="F28" s="50">
        <v>51</v>
      </c>
      <c r="G28" s="50">
        <v>2</v>
      </c>
      <c r="H28" s="50">
        <v>0</v>
      </c>
      <c r="I28" s="50">
        <v>0</v>
      </c>
      <c r="J28" s="50">
        <v>1</v>
      </c>
      <c r="K28" s="50">
        <v>1</v>
      </c>
      <c r="L28" s="50">
        <v>1</v>
      </c>
      <c r="M28" s="50">
        <v>225</v>
      </c>
      <c r="N28" s="50">
        <v>0</v>
      </c>
      <c r="O28" s="15">
        <f t="shared" si="0"/>
        <v>134</v>
      </c>
      <c r="P28" s="15">
        <f t="shared" si="1"/>
        <v>359</v>
      </c>
      <c r="R28" s="5" t="s">
        <v>17</v>
      </c>
      <c r="S28" s="16">
        <f t="shared" ref="S28:AF28" si="20">SUM(S10:S21)</f>
        <v>2495</v>
      </c>
      <c r="T28" s="16">
        <f t="shared" si="20"/>
        <v>114</v>
      </c>
      <c r="U28" s="16">
        <f t="shared" si="20"/>
        <v>211</v>
      </c>
      <c r="V28" s="16">
        <f t="shared" si="20"/>
        <v>2597</v>
      </c>
      <c r="W28" s="16">
        <f t="shared" si="20"/>
        <v>26</v>
      </c>
      <c r="X28" s="16">
        <f t="shared" si="20"/>
        <v>19</v>
      </c>
      <c r="Y28" s="16">
        <f t="shared" si="20"/>
        <v>75</v>
      </c>
      <c r="Z28" s="16">
        <f t="shared" si="20"/>
        <v>207</v>
      </c>
      <c r="AA28" s="16">
        <f t="shared" si="20"/>
        <v>37</v>
      </c>
      <c r="AB28" s="16">
        <f t="shared" si="20"/>
        <v>69</v>
      </c>
      <c r="AC28" s="16">
        <f t="shared" si="20"/>
        <v>7863</v>
      </c>
      <c r="AD28" s="16">
        <f t="shared" si="20"/>
        <v>0</v>
      </c>
      <c r="AE28" s="32">
        <f t="shared" si="20"/>
        <v>5850</v>
      </c>
      <c r="AF28" s="32">
        <f t="shared" si="20"/>
        <v>13713</v>
      </c>
    </row>
    <row r="29" spans="2:32" ht="23.1" customHeight="1" x14ac:dyDescent="0.25">
      <c r="B29" s="23" t="s">
        <v>56</v>
      </c>
      <c r="C29" s="50">
        <v>63</v>
      </c>
      <c r="D29" s="50">
        <v>2</v>
      </c>
      <c r="E29" s="50">
        <v>5</v>
      </c>
      <c r="F29" s="50">
        <v>61</v>
      </c>
      <c r="G29" s="50">
        <v>1</v>
      </c>
      <c r="H29" s="50">
        <v>0</v>
      </c>
      <c r="I29" s="50">
        <v>0</v>
      </c>
      <c r="J29" s="50">
        <v>7</v>
      </c>
      <c r="K29" s="50">
        <v>0</v>
      </c>
      <c r="L29" s="50">
        <v>1</v>
      </c>
      <c r="M29" s="50">
        <v>146</v>
      </c>
      <c r="N29" s="50">
        <v>0</v>
      </c>
      <c r="O29" s="15">
        <f t="shared" si="0"/>
        <v>140</v>
      </c>
      <c r="P29" s="15">
        <f t="shared" si="1"/>
        <v>286</v>
      </c>
      <c r="R29"/>
      <c r="S29" s="20"/>
      <c r="T29" s="19"/>
    </row>
    <row r="30" spans="2:32" ht="23.1" customHeight="1" x14ac:dyDescent="0.25">
      <c r="B30" s="23" t="s">
        <v>57</v>
      </c>
      <c r="C30" s="50">
        <v>75</v>
      </c>
      <c r="D30" s="50">
        <v>0</v>
      </c>
      <c r="E30" s="50">
        <v>1</v>
      </c>
      <c r="F30" s="50">
        <v>70</v>
      </c>
      <c r="G30" s="50">
        <v>0</v>
      </c>
      <c r="H30" s="50">
        <v>0</v>
      </c>
      <c r="I30" s="50">
        <v>0</v>
      </c>
      <c r="J30" s="50">
        <v>2</v>
      </c>
      <c r="K30" s="50">
        <v>0</v>
      </c>
      <c r="L30" s="50">
        <v>1</v>
      </c>
      <c r="M30" s="50">
        <v>170</v>
      </c>
      <c r="N30" s="50">
        <v>0</v>
      </c>
      <c r="O30" s="15">
        <f t="shared" si="0"/>
        <v>149</v>
      </c>
      <c r="P30" s="15">
        <f t="shared" si="1"/>
        <v>319</v>
      </c>
    </row>
    <row r="31" spans="2:32" ht="23.1" customHeight="1" x14ac:dyDescent="0.25">
      <c r="B31" s="24" t="s">
        <v>58</v>
      </c>
      <c r="C31" s="50">
        <v>30</v>
      </c>
      <c r="D31" s="50">
        <v>1</v>
      </c>
      <c r="E31" s="50">
        <v>0</v>
      </c>
      <c r="F31" s="50">
        <v>33</v>
      </c>
      <c r="G31" s="50">
        <v>0</v>
      </c>
      <c r="H31" s="50">
        <v>0</v>
      </c>
      <c r="I31" s="50">
        <v>3</v>
      </c>
      <c r="J31" s="50">
        <v>1</v>
      </c>
      <c r="K31" s="50">
        <v>1</v>
      </c>
      <c r="L31" s="50">
        <v>0</v>
      </c>
      <c r="M31" s="50">
        <v>187</v>
      </c>
      <c r="N31" s="50">
        <v>0</v>
      </c>
      <c r="O31" s="15">
        <f t="shared" si="0"/>
        <v>69</v>
      </c>
      <c r="P31" s="15">
        <f t="shared" si="1"/>
        <v>256</v>
      </c>
    </row>
    <row r="32" spans="2:32" ht="23.1" customHeight="1" x14ac:dyDescent="0.25">
      <c r="B32" s="24" t="s">
        <v>59</v>
      </c>
      <c r="C32" s="50">
        <v>60</v>
      </c>
      <c r="D32" s="50">
        <v>2</v>
      </c>
      <c r="E32" s="50">
        <v>3</v>
      </c>
      <c r="F32" s="50">
        <v>35</v>
      </c>
      <c r="G32" s="50">
        <v>0</v>
      </c>
      <c r="H32" s="50">
        <v>0</v>
      </c>
      <c r="I32" s="50">
        <v>1</v>
      </c>
      <c r="J32" s="50">
        <v>3</v>
      </c>
      <c r="K32" s="50">
        <v>0</v>
      </c>
      <c r="L32" s="50">
        <v>1</v>
      </c>
      <c r="M32" s="50">
        <v>170</v>
      </c>
      <c r="N32" s="50">
        <v>0</v>
      </c>
      <c r="O32" s="15">
        <f t="shared" si="0"/>
        <v>105</v>
      </c>
      <c r="P32" s="15">
        <f t="shared" si="1"/>
        <v>275</v>
      </c>
    </row>
    <row r="33" spans="2:20" ht="23.1" customHeight="1" x14ac:dyDescent="0.25">
      <c r="B33" s="23" t="s">
        <v>60</v>
      </c>
      <c r="C33" s="50">
        <v>45</v>
      </c>
      <c r="D33" s="50">
        <v>0</v>
      </c>
      <c r="E33" s="50">
        <v>3</v>
      </c>
      <c r="F33" s="50">
        <v>50</v>
      </c>
      <c r="G33" s="50">
        <v>0</v>
      </c>
      <c r="H33" s="50">
        <v>0</v>
      </c>
      <c r="I33" s="50">
        <v>4</v>
      </c>
      <c r="J33" s="50">
        <v>0</v>
      </c>
      <c r="K33" s="50">
        <v>2</v>
      </c>
      <c r="L33" s="50">
        <v>1</v>
      </c>
      <c r="M33" s="50">
        <v>142</v>
      </c>
      <c r="N33" s="50">
        <v>0</v>
      </c>
      <c r="O33" s="15">
        <f t="shared" si="0"/>
        <v>105</v>
      </c>
      <c r="P33" s="15">
        <f t="shared" si="1"/>
        <v>247</v>
      </c>
    </row>
    <row r="34" spans="2:20" ht="23.1" customHeight="1" x14ac:dyDescent="0.25">
      <c r="B34" s="24" t="s">
        <v>61</v>
      </c>
      <c r="C34" s="50">
        <v>45</v>
      </c>
      <c r="D34" s="50">
        <v>4</v>
      </c>
      <c r="E34" s="50">
        <v>4</v>
      </c>
      <c r="F34" s="50">
        <v>40</v>
      </c>
      <c r="G34" s="50">
        <v>0</v>
      </c>
      <c r="H34" s="50">
        <v>0</v>
      </c>
      <c r="I34" s="50">
        <v>3</v>
      </c>
      <c r="J34" s="50">
        <v>3</v>
      </c>
      <c r="K34" s="50">
        <v>3</v>
      </c>
      <c r="L34" s="50">
        <v>2</v>
      </c>
      <c r="M34" s="50">
        <v>157</v>
      </c>
      <c r="N34" s="50">
        <v>0</v>
      </c>
      <c r="O34" s="15">
        <f t="shared" si="0"/>
        <v>104</v>
      </c>
      <c r="P34" s="15">
        <f t="shared" si="1"/>
        <v>261</v>
      </c>
    </row>
    <row r="35" spans="2:20" ht="23.1" customHeight="1" x14ac:dyDescent="0.25">
      <c r="B35" s="24" t="s">
        <v>62</v>
      </c>
      <c r="C35" s="50">
        <v>31</v>
      </c>
      <c r="D35" s="50">
        <v>0</v>
      </c>
      <c r="E35" s="50">
        <v>1</v>
      </c>
      <c r="F35" s="50">
        <v>36</v>
      </c>
      <c r="G35" s="50">
        <v>0</v>
      </c>
      <c r="H35" s="50">
        <v>0</v>
      </c>
      <c r="I35" s="50">
        <v>3</v>
      </c>
      <c r="J35" s="50">
        <v>1</v>
      </c>
      <c r="K35" s="50">
        <v>0</v>
      </c>
      <c r="L35" s="50">
        <v>4</v>
      </c>
      <c r="M35" s="50">
        <v>150</v>
      </c>
      <c r="N35" s="50">
        <v>0</v>
      </c>
      <c r="O35" s="15">
        <f t="shared" si="0"/>
        <v>76</v>
      </c>
      <c r="P35" s="15">
        <f t="shared" si="1"/>
        <v>226</v>
      </c>
    </row>
    <row r="36" spans="2:20" ht="23.1" customHeight="1" x14ac:dyDescent="0.25">
      <c r="B36" s="24" t="s">
        <v>63</v>
      </c>
      <c r="C36" s="50">
        <v>22</v>
      </c>
      <c r="D36" s="50">
        <v>2</v>
      </c>
      <c r="E36" s="50">
        <v>2</v>
      </c>
      <c r="F36" s="50">
        <v>31</v>
      </c>
      <c r="G36" s="50">
        <v>0</v>
      </c>
      <c r="H36" s="50">
        <v>1</v>
      </c>
      <c r="I36" s="50">
        <v>0</v>
      </c>
      <c r="J36" s="50">
        <v>6</v>
      </c>
      <c r="K36" s="50">
        <v>0</v>
      </c>
      <c r="L36" s="50">
        <v>0</v>
      </c>
      <c r="M36" s="50">
        <v>112</v>
      </c>
      <c r="N36" s="50">
        <v>0</v>
      </c>
      <c r="O36" s="15">
        <f t="shared" si="0"/>
        <v>64</v>
      </c>
      <c r="P36" s="15">
        <f t="shared" si="1"/>
        <v>176</v>
      </c>
    </row>
    <row r="37" spans="2:20" ht="23.1" customHeight="1" x14ac:dyDescent="0.25">
      <c r="B37" s="23" t="s">
        <v>64</v>
      </c>
      <c r="C37" s="50">
        <v>15</v>
      </c>
      <c r="D37" s="50">
        <v>1</v>
      </c>
      <c r="E37" s="50">
        <v>0</v>
      </c>
      <c r="F37" s="50">
        <v>35</v>
      </c>
      <c r="G37" s="50">
        <v>1</v>
      </c>
      <c r="H37" s="50">
        <v>0</v>
      </c>
      <c r="I37" s="50">
        <v>1</v>
      </c>
      <c r="J37" s="50">
        <v>7</v>
      </c>
      <c r="K37" s="50">
        <v>0</v>
      </c>
      <c r="L37" s="50">
        <v>0</v>
      </c>
      <c r="M37" s="50">
        <v>120</v>
      </c>
      <c r="N37" s="50">
        <v>0</v>
      </c>
      <c r="O37" s="15">
        <f t="shared" si="0"/>
        <v>60</v>
      </c>
      <c r="P37" s="15">
        <f t="shared" si="1"/>
        <v>180</v>
      </c>
    </row>
    <row r="38" spans="2:20" ht="23.1" customHeight="1" x14ac:dyDescent="0.25">
      <c r="B38" s="24" t="s">
        <v>65</v>
      </c>
      <c r="C38" s="50">
        <v>30</v>
      </c>
      <c r="D38" s="50">
        <v>3</v>
      </c>
      <c r="E38" s="50">
        <v>6</v>
      </c>
      <c r="F38" s="50">
        <v>30</v>
      </c>
      <c r="G38" s="50">
        <v>0</v>
      </c>
      <c r="H38" s="50">
        <v>1</v>
      </c>
      <c r="I38" s="50">
        <v>2</v>
      </c>
      <c r="J38" s="50">
        <v>5</v>
      </c>
      <c r="K38" s="50">
        <v>1</v>
      </c>
      <c r="L38" s="50">
        <v>1</v>
      </c>
      <c r="M38" s="50">
        <v>130</v>
      </c>
      <c r="N38" s="50">
        <v>0</v>
      </c>
      <c r="O38" s="15">
        <f t="shared" si="0"/>
        <v>79</v>
      </c>
      <c r="P38" s="15">
        <f t="shared" si="1"/>
        <v>209</v>
      </c>
    </row>
    <row r="39" spans="2:20" ht="23.1" customHeight="1" x14ac:dyDescent="0.25">
      <c r="B39" s="24" t="s">
        <v>66</v>
      </c>
      <c r="C39" s="50">
        <v>40</v>
      </c>
      <c r="D39" s="50">
        <v>1</v>
      </c>
      <c r="E39" s="50">
        <v>0</v>
      </c>
      <c r="F39" s="50">
        <v>31</v>
      </c>
      <c r="G39" s="50">
        <v>0</v>
      </c>
      <c r="H39" s="50">
        <v>0</v>
      </c>
      <c r="I39" s="50">
        <v>1</v>
      </c>
      <c r="J39" s="50">
        <v>2</v>
      </c>
      <c r="K39" s="50">
        <v>0</v>
      </c>
      <c r="L39" s="50">
        <v>2</v>
      </c>
      <c r="M39" s="50">
        <v>135</v>
      </c>
      <c r="N39" s="50">
        <v>0</v>
      </c>
      <c r="O39" s="15">
        <f t="shared" si="0"/>
        <v>77</v>
      </c>
      <c r="P39" s="15">
        <f t="shared" si="1"/>
        <v>212</v>
      </c>
    </row>
    <row r="40" spans="2:20" ht="23.1" customHeight="1" x14ac:dyDescent="0.25">
      <c r="B40" s="24" t="s">
        <v>67</v>
      </c>
      <c r="C40" s="50">
        <v>32</v>
      </c>
      <c r="D40" s="50">
        <v>3</v>
      </c>
      <c r="E40" s="50">
        <v>4</v>
      </c>
      <c r="F40" s="50">
        <v>30</v>
      </c>
      <c r="G40" s="50">
        <v>0</v>
      </c>
      <c r="H40" s="50">
        <v>0</v>
      </c>
      <c r="I40" s="50">
        <v>1</v>
      </c>
      <c r="J40" s="50">
        <v>3</v>
      </c>
      <c r="K40" s="50">
        <v>1</v>
      </c>
      <c r="L40" s="50">
        <v>0</v>
      </c>
      <c r="M40" s="50">
        <v>128</v>
      </c>
      <c r="N40" s="50">
        <v>0</v>
      </c>
      <c r="O40" s="15">
        <f t="shared" si="0"/>
        <v>74</v>
      </c>
      <c r="P40" s="15">
        <f t="shared" si="1"/>
        <v>202</v>
      </c>
    </row>
    <row r="41" spans="2:20" ht="23.1" customHeight="1" x14ac:dyDescent="0.25">
      <c r="B41" s="23" t="s">
        <v>68</v>
      </c>
      <c r="C41" s="50">
        <v>15</v>
      </c>
      <c r="D41" s="50">
        <v>0</v>
      </c>
      <c r="E41" s="50">
        <v>3</v>
      </c>
      <c r="F41" s="50">
        <v>15</v>
      </c>
      <c r="G41" s="50">
        <v>0</v>
      </c>
      <c r="H41" s="50">
        <v>0</v>
      </c>
      <c r="I41" s="50">
        <v>1</v>
      </c>
      <c r="J41" s="50">
        <v>8</v>
      </c>
      <c r="K41" s="50">
        <v>1</v>
      </c>
      <c r="L41" s="50">
        <v>1</v>
      </c>
      <c r="M41" s="50">
        <v>103</v>
      </c>
      <c r="N41" s="50">
        <v>0</v>
      </c>
      <c r="O41" s="15">
        <f t="shared" si="0"/>
        <v>44</v>
      </c>
      <c r="P41" s="15">
        <f t="shared" si="1"/>
        <v>147</v>
      </c>
    </row>
    <row r="42" spans="2:20" ht="23.1" customHeight="1" x14ac:dyDescent="0.25">
      <c r="B42" s="24" t="s">
        <v>69</v>
      </c>
      <c r="C42" s="50">
        <v>32</v>
      </c>
      <c r="D42" s="50">
        <v>2</v>
      </c>
      <c r="E42" s="50">
        <v>7</v>
      </c>
      <c r="F42" s="50">
        <v>45</v>
      </c>
      <c r="G42" s="50">
        <v>0</v>
      </c>
      <c r="H42" s="50">
        <v>0</v>
      </c>
      <c r="I42" s="50">
        <v>1</v>
      </c>
      <c r="J42" s="50">
        <v>2</v>
      </c>
      <c r="K42" s="50">
        <v>0</v>
      </c>
      <c r="L42" s="50">
        <v>1</v>
      </c>
      <c r="M42" s="50">
        <v>140</v>
      </c>
      <c r="N42" s="50">
        <v>0</v>
      </c>
      <c r="O42" s="15">
        <f t="shared" si="0"/>
        <v>90</v>
      </c>
      <c r="P42" s="15">
        <f t="shared" si="1"/>
        <v>230</v>
      </c>
    </row>
    <row r="43" spans="2:20" ht="23.1" customHeight="1" x14ac:dyDescent="0.25">
      <c r="B43" s="23" t="s">
        <v>70</v>
      </c>
      <c r="C43" s="50">
        <v>30</v>
      </c>
      <c r="D43" s="50">
        <v>0</v>
      </c>
      <c r="E43" s="50">
        <v>10</v>
      </c>
      <c r="F43" s="50">
        <v>30</v>
      </c>
      <c r="G43" s="50">
        <v>1</v>
      </c>
      <c r="H43" s="50">
        <v>1</v>
      </c>
      <c r="I43" s="50">
        <v>1</v>
      </c>
      <c r="J43" s="50">
        <v>5</v>
      </c>
      <c r="K43" s="50">
        <v>1</v>
      </c>
      <c r="L43" s="50">
        <v>1</v>
      </c>
      <c r="M43" s="50">
        <v>80</v>
      </c>
      <c r="N43" s="50">
        <v>0</v>
      </c>
      <c r="O43" s="15">
        <f t="shared" si="0"/>
        <v>80</v>
      </c>
      <c r="P43" s="15">
        <f t="shared" si="1"/>
        <v>160</v>
      </c>
    </row>
    <row r="44" spans="2:20" ht="23.1" customHeight="1" x14ac:dyDescent="0.25">
      <c r="B44" s="25" t="s">
        <v>71</v>
      </c>
      <c r="C44" s="50">
        <v>40</v>
      </c>
      <c r="D44" s="50">
        <v>3</v>
      </c>
      <c r="E44" s="50">
        <v>0</v>
      </c>
      <c r="F44" s="50">
        <v>33</v>
      </c>
      <c r="G44" s="50">
        <v>0</v>
      </c>
      <c r="H44" s="50">
        <v>2</v>
      </c>
      <c r="I44" s="50">
        <v>4</v>
      </c>
      <c r="J44" s="50">
        <v>9</v>
      </c>
      <c r="K44" s="50">
        <v>0</v>
      </c>
      <c r="L44" s="50">
        <v>0</v>
      </c>
      <c r="M44" s="50">
        <v>67</v>
      </c>
      <c r="N44" s="50">
        <v>0</v>
      </c>
      <c r="O44" s="15">
        <f t="shared" si="0"/>
        <v>91</v>
      </c>
      <c r="P44" s="15">
        <f t="shared" si="1"/>
        <v>158</v>
      </c>
    </row>
    <row r="45" spans="2:20" ht="23.1" customHeight="1" x14ac:dyDescent="0.25">
      <c r="B45" s="23" t="s">
        <v>72</v>
      </c>
      <c r="C45" s="50">
        <v>35</v>
      </c>
      <c r="D45" s="50">
        <v>2</v>
      </c>
      <c r="E45" s="50">
        <v>4</v>
      </c>
      <c r="F45" s="50">
        <v>30</v>
      </c>
      <c r="G45" s="50">
        <v>0</v>
      </c>
      <c r="H45" s="50">
        <v>0</v>
      </c>
      <c r="I45" s="50">
        <v>1</v>
      </c>
      <c r="J45" s="50">
        <v>3</v>
      </c>
      <c r="K45" s="50">
        <v>2</v>
      </c>
      <c r="L45" s="50">
        <v>2</v>
      </c>
      <c r="M45" s="50">
        <v>119</v>
      </c>
      <c r="N45" s="50">
        <v>0</v>
      </c>
      <c r="O45" s="15">
        <f t="shared" si="0"/>
        <v>79</v>
      </c>
      <c r="P45" s="15">
        <f t="shared" si="1"/>
        <v>198</v>
      </c>
    </row>
    <row r="46" spans="2:20" ht="23.1" customHeight="1" x14ac:dyDescent="0.25">
      <c r="B46" s="24" t="s">
        <v>73</v>
      </c>
      <c r="C46" s="50">
        <v>55</v>
      </c>
      <c r="D46" s="50">
        <v>2</v>
      </c>
      <c r="E46" s="50">
        <v>2</v>
      </c>
      <c r="F46" s="50">
        <v>65</v>
      </c>
      <c r="G46" s="50">
        <v>1</v>
      </c>
      <c r="H46" s="50">
        <v>0</v>
      </c>
      <c r="I46" s="50">
        <v>4</v>
      </c>
      <c r="J46" s="50">
        <v>4</v>
      </c>
      <c r="K46" s="50">
        <v>1</v>
      </c>
      <c r="L46" s="50">
        <v>1</v>
      </c>
      <c r="M46" s="50">
        <v>125</v>
      </c>
      <c r="N46" s="50">
        <v>0</v>
      </c>
      <c r="O46" s="15">
        <f t="shared" si="0"/>
        <v>135</v>
      </c>
      <c r="P46" s="15">
        <f t="shared" si="1"/>
        <v>260</v>
      </c>
      <c r="R46" s="8"/>
      <c r="T46"/>
    </row>
    <row r="47" spans="2:20" ht="23.1" customHeight="1" x14ac:dyDescent="0.25">
      <c r="B47" s="24" t="s">
        <v>74</v>
      </c>
      <c r="C47" s="50">
        <v>50</v>
      </c>
      <c r="D47" s="50">
        <v>2</v>
      </c>
      <c r="E47" s="50">
        <v>6</v>
      </c>
      <c r="F47" s="50">
        <v>45</v>
      </c>
      <c r="G47" s="50">
        <v>0</v>
      </c>
      <c r="H47" s="50">
        <v>1</v>
      </c>
      <c r="I47" s="50">
        <v>2</v>
      </c>
      <c r="J47" s="50">
        <v>2</v>
      </c>
      <c r="K47" s="50">
        <v>1</v>
      </c>
      <c r="L47" s="50">
        <v>2</v>
      </c>
      <c r="M47" s="50">
        <v>140</v>
      </c>
      <c r="N47" s="50">
        <v>0</v>
      </c>
      <c r="O47" s="15">
        <f t="shared" si="0"/>
        <v>111</v>
      </c>
      <c r="P47" s="15">
        <f t="shared" si="1"/>
        <v>251</v>
      </c>
      <c r="R47" s="8"/>
      <c r="T47"/>
    </row>
    <row r="48" spans="2:20" ht="23.1" customHeight="1" x14ac:dyDescent="0.25">
      <c r="B48" s="24" t="s">
        <v>75</v>
      </c>
      <c r="C48" s="50">
        <v>35</v>
      </c>
      <c r="D48" s="50">
        <v>1</v>
      </c>
      <c r="E48" s="50">
        <v>12</v>
      </c>
      <c r="F48" s="50">
        <v>15</v>
      </c>
      <c r="G48" s="50">
        <v>0</v>
      </c>
      <c r="H48" s="50">
        <v>2</v>
      </c>
      <c r="I48" s="50">
        <v>2</v>
      </c>
      <c r="J48" s="50">
        <v>12</v>
      </c>
      <c r="K48" s="50">
        <v>2</v>
      </c>
      <c r="L48" s="50">
        <v>0</v>
      </c>
      <c r="M48" s="50">
        <v>136</v>
      </c>
      <c r="N48" s="50">
        <v>0</v>
      </c>
      <c r="O48" s="15">
        <f t="shared" si="0"/>
        <v>81</v>
      </c>
      <c r="P48" s="15">
        <f t="shared" si="1"/>
        <v>217</v>
      </c>
      <c r="R48" s="8"/>
      <c r="T48"/>
    </row>
    <row r="49" spans="2:20" ht="23.1" customHeight="1" x14ac:dyDescent="0.25">
      <c r="B49" s="23" t="s">
        <v>76</v>
      </c>
      <c r="C49" s="50">
        <v>45</v>
      </c>
      <c r="D49" s="50">
        <v>1</v>
      </c>
      <c r="E49" s="50">
        <v>1</v>
      </c>
      <c r="F49" s="50">
        <v>65</v>
      </c>
      <c r="G49" s="50">
        <v>0</v>
      </c>
      <c r="H49" s="50">
        <v>1</v>
      </c>
      <c r="I49" s="50">
        <v>0</v>
      </c>
      <c r="J49" s="50">
        <v>5</v>
      </c>
      <c r="K49" s="50">
        <v>0</v>
      </c>
      <c r="L49" s="50">
        <v>2</v>
      </c>
      <c r="M49" s="50">
        <v>142</v>
      </c>
      <c r="N49" s="50">
        <v>0</v>
      </c>
      <c r="O49" s="15">
        <f t="shared" si="0"/>
        <v>120</v>
      </c>
      <c r="P49" s="15">
        <f t="shared" si="1"/>
        <v>262</v>
      </c>
      <c r="R49" s="8"/>
      <c r="T49"/>
    </row>
    <row r="50" spans="2:20" ht="23.1" customHeight="1" x14ac:dyDescent="0.25">
      <c r="B50" s="24" t="s">
        <v>77</v>
      </c>
      <c r="C50" s="50">
        <v>42</v>
      </c>
      <c r="D50" s="50">
        <v>0</v>
      </c>
      <c r="E50" s="50">
        <v>3</v>
      </c>
      <c r="F50" s="50">
        <v>73</v>
      </c>
      <c r="G50" s="50">
        <v>1</v>
      </c>
      <c r="H50" s="50">
        <v>0</v>
      </c>
      <c r="I50" s="50">
        <v>6</v>
      </c>
      <c r="J50" s="50">
        <v>1</v>
      </c>
      <c r="K50" s="50">
        <v>1</v>
      </c>
      <c r="L50" s="50">
        <v>2</v>
      </c>
      <c r="M50" s="50">
        <v>190</v>
      </c>
      <c r="N50" s="50">
        <v>0</v>
      </c>
      <c r="O50" s="15">
        <f t="shared" si="0"/>
        <v>129</v>
      </c>
      <c r="P50" s="15">
        <f t="shared" si="1"/>
        <v>319</v>
      </c>
      <c r="R50" s="8"/>
      <c r="T50"/>
    </row>
    <row r="51" spans="2:20" ht="23.1" customHeight="1" x14ac:dyDescent="0.25">
      <c r="B51" s="24" t="s">
        <v>78</v>
      </c>
      <c r="C51" s="50">
        <v>40</v>
      </c>
      <c r="D51" s="50">
        <v>2</v>
      </c>
      <c r="E51" s="50">
        <v>4</v>
      </c>
      <c r="F51" s="50">
        <v>45</v>
      </c>
      <c r="G51" s="50">
        <v>0</v>
      </c>
      <c r="H51" s="50">
        <v>1</v>
      </c>
      <c r="I51" s="50">
        <v>1</v>
      </c>
      <c r="J51" s="50">
        <v>7</v>
      </c>
      <c r="K51" s="50">
        <v>0</v>
      </c>
      <c r="L51" s="50">
        <v>1</v>
      </c>
      <c r="M51" s="50">
        <v>178</v>
      </c>
      <c r="N51" s="50">
        <v>0</v>
      </c>
      <c r="O51" s="15">
        <f t="shared" si="0"/>
        <v>101</v>
      </c>
      <c r="P51" s="15">
        <f t="shared" si="1"/>
        <v>279</v>
      </c>
      <c r="R51" s="8"/>
      <c r="T51"/>
    </row>
    <row r="52" spans="2:20" ht="23.1" customHeight="1" x14ac:dyDescent="0.25">
      <c r="B52" s="24" t="s">
        <v>79</v>
      </c>
      <c r="C52" s="50">
        <v>60</v>
      </c>
      <c r="D52" s="50">
        <v>1</v>
      </c>
      <c r="E52" s="50">
        <v>2</v>
      </c>
      <c r="F52" s="50">
        <v>65</v>
      </c>
      <c r="G52" s="50">
        <v>0</v>
      </c>
      <c r="H52" s="50">
        <v>0</v>
      </c>
      <c r="I52" s="50">
        <v>1</v>
      </c>
      <c r="J52" s="50">
        <v>1</v>
      </c>
      <c r="K52" s="50">
        <v>2</v>
      </c>
      <c r="L52" s="50">
        <v>2</v>
      </c>
      <c r="M52" s="50">
        <v>145</v>
      </c>
      <c r="N52" s="50">
        <v>0</v>
      </c>
      <c r="O52" s="15">
        <f t="shared" si="0"/>
        <v>134</v>
      </c>
      <c r="P52" s="15">
        <f t="shared" si="1"/>
        <v>279</v>
      </c>
      <c r="R52" s="8"/>
      <c r="T52"/>
    </row>
    <row r="53" spans="2:20" ht="23.1" customHeight="1" x14ac:dyDescent="0.25">
      <c r="B53" s="23" t="s">
        <v>80</v>
      </c>
      <c r="C53" s="50">
        <v>72</v>
      </c>
      <c r="D53" s="50">
        <v>4</v>
      </c>
      <c r="E53" s="50">
        <v>1</v>
      </c>
      <c r="F53" s="50">
        <v>73</v>
      </c>
      <c r="G53" s="50">
        <v>0</v>
      </c>
      <c r="H53" s="50">
        <v>1</v>
      </c>
      <c r="I53" s="50">
        <v>2</v>
      </c>
      <c r="J53" s="50">
        <v>5</v>
      </c>
      <c r="K53" s="50">
        <v>0</v>
      </c>
      <c r="L53" s="50">
        <v>3</v>
      </c>
      <c r="M53" s="50">
        <v>150</v>
      </c>
      <c r="N53" s="50">
        <v>0</v>
      </c>
      <c r="O53" s="15">
        <f t="shared" si="0"/>
        <v>161</v>
      </c>
      <c r="P53" s="15">
        <f t="shared" si="1"/>
        <v>311</v>
      </c>
      <c r="R53" s="8"/>
      <c r="T53"/>
    </row>
    <row r="54" spans="2:20" ht="23.1" customHeight="1" x14ac:dyDescent="0.25">
      <c r="B54" s="23" t="s">
        <v>81</v>
      </c>
      <c r="C54" s="50">
        <v>55</v>
      </c>
      <c r="D54" s="50">
        <v>3</v>
      </c>
      <c r="E54" s="50">
        <v>7</v>
      </c>
      <c r="F54" s="50">
        <v>75</v>
      </c>
      <c r="G54" s="50">
        <v>2</v>
      </c>
      <c r="H54" s="50">
        <v>1</v>
      </c>
      <c r="I54" s="50">
        <v>3</v>
      </c>
      <c r="J54" s="50">
        <v>3</v>
      </c>
      <c r="K54" s="50">
        <v>2</v>
      </c>
      <c r="L54" s="50">
        <v>3</v>
      </c>
      <c r="M54" s="50">
        <v>170</v>
      </c>
      <c r="N54" s="50">
        <v>0</v>
      </c>
      <c r="O54" s="15">
        <f t="shared" si="0"/>
        <v>154</v>
      </c>
      <c r="P54" s="15">
        <f t="shared" si="1"/>
        <v>324</v>
      </c>
      <c r="R54" s="8"/>
      <c r="T54"/>
    </row>
    <row r="55" spans="2:20" ht="23.1" customHeight="1" x14ac:dyDescent="0.25">
      <c r="B55" s="23" t="s">
        <v>82</v>
      </c>
      <c r="C55" s="50">
        <v>50</v>
      </c>
      <c r="D55" s="50">
        <v>0</v>
      </c>
      <c r="E55" s="50">
        <v>3</v>
      </c>
      <c r="F55" s="50">
        <v>75</v>
      </c>
      <c r="G55" s="50">
        <v>2</v>
      </c>
      <c r="H55" s="50">
        <v>2</v>
      </c>
      <c r="I55" s="50">
        <v>0</v>
      </c>
      <c r="J55" s="50">
        <v>4</v>
      </c>
      <c r="K55" s="50">
        <v>1</v>
      </c>
      <c r="L55" s="50">
        <v>2</v>
      </c>
      <c r="M55" s="50">
        <v>130</v>
      </c>
      <c r="N55" s="50">
        <v>0</v>
      </c>
      <c r="O55" s="15">
        <f t="shared" si="0"/>
        <v>139</v>
      </c>
      <c r="P55" s="15">
        <f t="shared" si="1"/>
        <v>269</v>
      </c>
      <c r="R55" s="8"/>
      <c r="T55"/>
    </row>
    <row r="56" spans="2:20" ht="23.1" customHeight="1" x14ac:dyDescent="0.25">
      <c r="B56" s="23" t="s">
        <v>83</v>
      </c>
      <c r="C56" s="50">
        <v>60</v>
      </c>
      <c r="D56" s="50">
        <v>2</v>
      </c>
      <c r="E56" s="50">
        <v>9</v>
      </c>
      <c r="F56" s="50">
        <v>65</v>
      </c>
      <c r="G56" s="50">
        <v>1</v>
      </c>
      <c r="H56" s="50">
        <v>1</v>
      </c>
      <c r="I56" s="50">
        <v>0</v>
      </c>
      <c r="J56" s="50">
        <v>1</v>
      </c>
      <c r="K56" s="50">
        <v>0</v>
      </c>
      <c r="L56" s="50">
        <v>0</v>
      </c>
      <c r="M56" s="50">
        <v>155</v>
      </c>
      <c r="N56" s="50">
        <v>0</v>
      </c>
      <c r="O56" s="15">
        <f t="shared" si="0"/>
        <v>139</v>
      </c>
      <c r="P56" s="15">
        <f t="shared" si="1"/>
        <v>294</v>
      </c>
      <c r="R56" s="8"/>
      <c r="T56"/>
    </row>
    <row r="57" spans="2:20" ht="23.1" customHeight="1" x14ac:dyDescent="0.25">
      <c r="B57" s="23" t="s">
        <v>84</v>
      </c>
      <c r="C57" s="50">
        <v>48</v>
      </c>
      <c r="D57" s="50">
        <v>3</v>
      </c>
      <c r="E57" s="50">
        <v>2</v>
      </c>
      <c r="F57" s="50">
        <v>66</v>
      </c>
      <c r="G57" s="50">
        <v>1</v>
      </c>
      <c r="H57" s="50">
        <v>0</v>
      </c>
      <c r="I57" s="50">
        <v>0</v>
      </c>
      <c r="J57" s="50">
        <v>3</v>
      </c>
      <c r="K57" s="50">
        <v>1</v>
      </c>
      <c r="L57" s="50">
        <v>0</v>
      </c>
      <c r="M57" s="50">
        <v>0</v>
      </c>
      <c r="N57" s="50">
        <v>0</v>
      </c>
      <c r="O57" s="15">
        <f t="shared" si="0"/>
        <v>124</v>
      </c>
      <c r="P57" s="15">
        <f t="shared" si="1"/>
        <v>124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2495</v>
      </c>
      <c r="D58" s="16">
        <f t="shared" si="21"/>
        <v>114</v>
      </c>
      <c r="E58" s="16">
        <f t="shared" si="21"/>
        <v>211</v>
      </c>
      <c r="F58" s="16">
        <f t="shared" si="21"/>
        <v>2597</v>
      </c>
      <c r="G58" s="16">
        <f t="shared" si="21"/>
        <v>26</v>
      </c>
      <c r="H58" s="16">
        <f t="shared" si="21"/>
        <v>19</v>
      </c>
      <c r="I58" s="16">
        <f t="shared" si="21"/>
        <v>75</v>
      </c>
      <c r="J58" s="16">
        <f t="shared" si="21"/>
        <v>207</v>
      </c>
      <c r="K58" s="16">
        <f t="shared" si="21"/>
        <v>37</v>
      </c>
      <c r="L58" s="16">
        <f t="shared" si="21"/>
        <v>69</v>
      </c>
      <c r="M58" s="16">
        <f t="shared" si="21"/>
        <v>7863</v>
      </c>
      <c r="N58" s="16">
        <f t="shared" si="21"/>
        <v>0</v>
      </c>
      <c r="O58" s="16">
        <f t="shared" si="21"/>
        <v>5850</v>
      </c>
      <c r="P58" s="16">
        <f t="shared" si="21"/>
        <v>13713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0.18194414059651426</v>
      </c>
      <c r="D59" s="43">
        <f t="shared" si="22"/>
        <v>8.3132793699409319E-3</v>
      </c>
      <c r="E59" s="43">
        <f t="shared" si="22"/>
        <v>1.5386859184715234E-2</v>
      </c>
      <c r="F59" s="43">
        <f t="shared" si="22"/>
        <v>0.18938233792751405</v>
      </c>
      <c r="G59" s="43">
        <f t="shared" si="22"/>
        <v>1.8960110843724933E-3</v>
      </c>
      <c r="H59" s="43">
        <f t="shared" si="22"/>
        <v>1.385546561656822E-3</v>
      </c>
      <c r="I59" s="43">
        <f t="shared" si="22"/>
        <v>5.4692627433821916E-3</v>
      </c>
      <c r="J59" s="43">
        <f t="shared" si="22"/>
        <v>1.5095165171734851E-2</v>
      </c>
      <c r="K59" s="43">
        <f t="shared" si="22"/>
        <v>2.698169620068548E-3</v>
      </c>
      <c r="L59" s="43">
        <f t="shared" si="22"/>
        <v>5.0317217239116167E-3</v>
      </c>
      <c r="M59" s="43">
        <f t="shared" si="22"/>
        <v>0.573397506016189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0.42649572649572648</v>
      </c>
      <c r="D60" s="44">
        <f t="shared" ref="D60:N60" si="23">D58/$O$58</f>
        <v>1.9487179487179488E-2</v>
      </c>
      <c r="E60" s="44">
        <f t="shared" si="23"/>
        <v>3.6068376068376068E-2</v>
      </c>
      <c r="F60" s="44">
        <f t="shared" si="23"/>
        <v>0.44393162393162394</v>
      </c>
      <c r="G60" s="44">
        <f t="shared" si="23"/>
        <v>4.4444444444444444E-3</v>
      </c>
      <c r="H60" s="44">
        <f t="shared" si="23"/>
        <v>3.2478632478632479E-3</v>
      </c>
      <c r="I60" s="44">
        <f t="shared" si="23"/>
        <v>1.282051282051282E-2</v>
      </c>
      <c r="J60" s="44">
        <f t="shared" si="23"/>
        <v>3.5384615384615382E-2</v>
      </c>
      <c r="K60" s="44">
        <f t="shared" si="23"/>
        <v>6.3247863247863252E-3</v>
      </c>
      <c r="L60" s="44">
        <f t="shared" si="23"/>
        <v>1.1794871794871795E-2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A9" sqref="A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'22.07 Busega-Bulenga'!C3:G3</f>
        <v>MCC - C1 - STN12-MITYANA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68" t="str">
        <f>'24.07 Bulenga-Busega'!G5:H5</f>
        <v xml:space="preserve">Petro Max </v>
      </c>
      <c r="H5" s="69"/>
      <c r="I5" s="14"/>
      <c r="J5" s="2" t="s">
        <v>5</v>
      </c>
      <c r="K5" s="68" t="s">
        <v>171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'22.07 Busega-Bulenga'!D6:E6</f>
        <v>Busega</v>
      </c>
      <c r="E6" s="69"/>
      <c r="F6" s="2" t="s">
        <v>2</v>
      </c>
      <c r="G6" s="68" t="str">
        <f>'22.07 Busega-Bulenga'!G6:H6</f>
        <v xml:space="preserve">Bulenga </v>
      </c>
      <c r="H6" s="69"/>
      <c r="J6" s="2" t="s">
        <v>21</v>
      </c>
      <c r="K6" s="68" t="str">
        <f>'24.07 Bulenga-Busega'!K6:L6</f>
        <v>Andrew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23</v>
      </c>
      <c r="D10" s="50">
        <v>6</v>
      </c>
      <c r="E10" s="50">
        <v>0</v>
      </c>
      <c r="F10" s="50">
        <v>13</v>
      </c>
      <c r="G10" s="50">
        <v>1</v>
      </c>
      <c r="H10" s="50">
        <v>1</v>
      </c>
      <c r="I10" s="50">
        <v>10</v>
      </c>
      <c r="J10" s="50">
        <v>2</v>
      </c>
      <c r="K10" s="50">
        <v>2</v>
      </c>
      <c r="L10" s="50">
        <v>0</v>
      </c>
      <c r="M10" s="50">
        <v>262</v>
      </c>
      <c r="N10" s="50">
        <v>0</v>
      </c>
      <c r="O10" s="15">
        <f t="shared" ref="O10:O57" si="0">SUM(C10:L10,N10)</f>
        <v>58</v>
      </c>
      <c r="P10" s="15">
        <f t="shared" ref="P10:P57" si="1">SUM(C10:N10)</f>
        <v>320</v>
      </c>
      <c r="R10" s="1" t="s">
        <v>6</v>
      </c>
      <c r="S10" s="17">
        <f t="shared" ref="S10:AF10" si="2">SUM(C10:C13)</f>
        <v>118</v>
      </c>
      <c r="T10" s="17">
        <f t="shared" si="2"/>
        <v>20</v>
      </c>
      <c r="U10" s="17">
        <f t="shared" si="2"/>
        <v>14</v>
      </c>
      <c r="V10" s="17">
        <f t="shared" si="2"/>
        <v>85</v>
      </c>
      <c r="W10" s="17">
        <f t="shared" si="2"/>
        <v>8</v>
      </c>
      <c r="X10" s="17">
        <f t="shared" si="2"/>
        <v>1</v>
      </c>
      <c r="Y10" s="17">
        <f t="shared" si="2"/>
        <v>19</v>
      </c>
      <c r="Z10" s="17">
        <f t="shared" si="2"/>
        <v>13</v>
      </c>
      <c r="AA10" s="17">
        <f t="shared" si="2"/>
        <v>5</v>
      </c>
      <c r="AB10" s="17">
        <f t="shared" si="2"/>
        <v>1</v>
      </c>
      <c r="AC10" s="17">
        <f t="shared" si="2"/>
        <v>843</v>
      </c>
      <c r="AD10" s="17">
        <f t="shared" si="2"/>
        <v>0</v>
      </c>
      <c r="AE10" s="31">
        <f t="shared" si="2"/>
        <v>284</v>
      </c>
      <c r="AF10" s="31">
        <f t="shared" si="2"/>
        <v>1127</v>
      </c>
    </row>
    <row r="11" spans="2:32" s="6" customFormat="1" ht="23.1" customHeight="1" x14ac:dyDescent="0.25">
      <c r="B11" s="23" t="s">
        <v>38</v>
      </c>
      <c r="C11" s="50">
        <v>27</v>
      </c>
      <c r="D11" s="50">
        <v>5</v>
      </c>
      <c r="E11" s="50">
        <v>5</v>
      </c>
      <c r="F11" s="50">
        <v>18</v>
      </c>
      <c r="G11" s="50">
        <v>3</v>
      </c>
      <c r="H11" s="50">
        <v>0</v>
      </c>
      <c r="I11" s="50">
        <v>5</v>
      </c>
      <c r="J11" s="50">
        <v>5</v>
      </c>
      <c r="K11" s="50">
        <v>0</v>
      </c>
      <c r="L11" s="50">
        <v>0</v>
      </c>
      <c r="M11" s="50">
        <v>103</v>
      </c>
      <c r="N11" s="50">
        <v>0</v>
      </c>
      <c r="O11" s="15">
        <f t="shared" si="0"/>
        <v>68</v>
      </c>
      <c r="P11" s="15">
        <f t="shared" si="1"/>
        <v>171</v>
      </c>
      <c r="R11" s="1" t="s">
        <v>7</v>
      </c>
      <c r="S11" s="17">
        <f t="shared" ref="S11:AD11" si="3">SUM(C14:C17)</f>
        <v>137</v>
      </c>
      <c r="T11" s="17">
        <f t="shared" si="3"/>
        <v>30</v>
      </c>
      <c r="U11" s="17">
        <f t="shared" si="3"/>
        <v>28</v>
      </c>
      <c r="V11" s="17">
        <f t="shared" si="3"/>
        <v>122</v>
      </c>
      <c r="W11" s="17">
        <f t="shared" si="3"/>
        <v>3</v>
      </c>
      <c r="X11" s="17">
        <f t="shared" si="3"/>
        <v>2</v>
      </c>
      <c r="Y11" s="17">
        <f t="shared" si="3"/>
        <v>17</v>
      </c>
      <c r="Z11" s="17">
        <f t="shared" si="3"/>
        <v>32</v>
      </c>
      <c r="AA11" s="17">
        <f t="shared" si="3"/>
        <v>5</v>
      </c>
      <c r="AB11" s="17">
        <f t="shared" si="3"/>
        <v>4</v>
      </c>
      <c r="AC11" s="17">
        <f t="shared" si="3"/>
        <v>1076</v>
      </c>
      <c r="AD11" s="17">
        <f t="shared" si="3"/>
        <v>0</v>
      </c>
      <c r="AE11" s="31">
        <f t="shared" ref="AE11:AF11" si="4">SUM(O14:O17)</f>
        <v>380</v>
      </c>
      <c r="AF11" s="31">
        <f t="shared" si="4"/>
        <v>1456</v>
      </c>
    </row>
    <row r="12" spans="2:32" ht="23.1" customHeight="1" x14ac:dyDescent="0.25">
      <c r="B12" s="23" t="s">
        <v>39</v>
      </c>
      <c r="C12" s="50">
        <v>26</v>
      </c>
      <c r="D12" s="50">
        <v>3</v>
      </c>
      <c r="E12" s="50">
        <v>1</v>
      </c>
      <c r="F12" s="50">
        <v>24</v>
      </c>
      <c r="G12" s="50">
        <v>2</v>
      </c>
      <c r="H12" s="50">
        <v>0</v>
      </c>
      <c r="I12" s="50">
        <v>2</v>
      </c>
      <c r="J12" s="50">
        <v>4</v>
      </c>
      <c r="K12" s="50">
        <v>0</v>
      </c>
      <c r="L12" s="50">
        <v>0</v>
      </c>
      <c r="M12" s="50">
        <v>218</v>
      </c>
      <c r="N12" s="50">
        <v>0</v>
      </c>
      <c r="O12" s="15">
        <f t="shared" si="0"/>
        <v>62</v>
      </c>
      <c r="P12" s="15">
        <f t="shared" si="1"/>
        <v>280</v>
      </c>
      <c r="R12" s="1" t="s">
        <v>8</v>
      </c>
      <c r="S12" s="17">
        <f t="shared" ref="S12:AD12" si="5">SUM(C18:C21)</f>
        <v>129</v>
      </c>
      <c r="T12" s="17">
        <f t="shared" si="5"/>
        <v>27</v>
      </c>
      <c r="U12" s="17">
        <f t="shared" si="5"/>
        <v>21</v>
      </c>
      <c r="V12" s="17">
        <f t="shared" si="5"/>
        <v>118</v>
      </c>
      <c r="W12" s="17">
        <f t="shared" si="5"/>
        <v>1</v>
      </c>
      <c r="X12" s="17">
        <f t="shared" si="5"/>
        <v>1</v>
      </c>
      <c r="Y12" s="17">
        <f t="shared" si="5"/>
        <v>28</v>
      </c>
      <c r="Z12" s="17">
        <f t="shared" si="5"/>
        <v>21</v>
      </c>
      <c r="AA12" s="17">
        <f t="shared" si="5"/>
        <v>3</v>
      </c>
      <c r="AB12" s="17">
        <f t="shared" si="5"/>
        <v>10</v>
      </c>
      <c r="AC12" s="17">
        <f t="shared" si="5"/>
        <v>1198</v>
      </c>
      <c r="AD12" s="17">
        <f t="shared" si="5"/>
        <v>0</v>
      </c>
      <c r="AE12" s="31">
        <f t="shared" ref="AE12:AF12" si="6">SUM(O18:O21)</f>
        <v>359</v>
      </c>
      <c r="AF12" s="31">
        <f t="shared" si="6"/>
        <v>1557</v>
      </c>
    </row>
    <row r="13" spans="2:32" ht="23.1" customHeight="1" x14ac:dyDescent="0.25">
      <c r="B13" s="23" t="s">
        <v>40</v>
      </c>
      <c r="C13" s="50">
        <v>42</v>
      </c>
      <c r="D13" s="50">
        <v>6</v>
      </c>
      <c r="E13" s="50">
        <v>8</v>
      </c>
      <c r="F13" s="50">
        <v>30</v>
      </c>
      <c r="G13" s="50">
        <v>2</v>
      </c>
      <c r="H13" s="50">
        <v>0</v>
      </c>
      <c r="I13" s="50">
        <v>2</v>
      </c>
      <c r="J13" s="50">
        <v>2</v>
      </c>
      <c r="K13" s="50">
        <v>3</v>
      </c>
      <c r="L13" s="50">
        <v>1</v>
      </c>
      <c r="M13" s="50">
        <v>260</v>
      </c>
      <c r="N13" s="50">
        <v>0</v>
      </c>
      <c r="O13" s="15">
        <f t="shared" si="0"/>
        <v>96</v>
      </c>
      <c r="P13" s="15">
        <f t="shared" si="1"/>
        <v>356</v>
      </c>
      <c r="R13" s="1" t="s">
        <v>9</v>
      </c>
      <c r="S13" s="17">
        <f t="shared" ref="S13:AF13" si="7">SUM(C22:C25)</f>
        <v>140</v>
      </c>
      <c r="T13" s="17">
        <f t="shared" si="7"/>
        <v>18</v>
      </c>
      <c r="U13" s="17">
        <f t="shared" si="7"/>
        <v>17</v>
      </c>
      <c r="V13" s="17">
        <f t="shared" si="7"/>
        <v>107</v>
      </c>
      <c r="W13" s="17">
        <f t="shared" si="7"/>
        <v>1</v>
      </c>
      <c r="X13" s="17">
        <f t="shared" si="7"/>
        <v>2</v>
      </c>
      <c r="Y13" s="17">
        <f t="shared" si="7"/>
        <v>27</v>
      </c>
      <c r="Z13" s="17">
        <f t="shared" si="7"/>
        <v>33</v>
      </c>
      <c r="AA13" s="17">
        <f t="shared" si="7"/>
        <v>7</v>
      </c>
      <c r="AB13" s="17">
        <f t="shared" si="7"/>
        <v>6</v>
      </c>
      <c r="AC13" s="17">
        <f t="shared" si="7"/>
        <v>1123</v>
      </c>
      <c r="AD13" s="17">
        <f t="shared" si="7"/>
        <v>0</v>
      </c>
      <c r="AE13" s="31">
        <f t="shared" si="7"/>
        <v>358</v>
      </c>
      <c r="AF13" s="31">
        <f t="shared" si="7"/>
        <v>1481</v>
      </c>
    </row>
    <row r="14" spans="2:32" ht="23.1" customHeight="1" x14ac:dyDescent="0.25">
      <c r="B14" s="23" t="s">
        <v>41</v>
      </c>
      <c r="C14" s="50">
        <v>38</v>
      </c>
      <c r="D14" s="50">
        <v>7</v>
      </c>
      <c r="E14" s="50">
        <v>8</v>
      </c>
      <c r="F14" s="50">
        <v>28</v>
      </c>
      <c r="G14" s="50">
        <v>2</v>
      </c>
      <c r="H14" s="50">
        <v>0</v>
      </c>
      <c r="I14" s="50">
        <v>3</v>
      </c>
      <c r="J14" s="50">
        <v>8</v>
      </c>
      <c r="K14" s="50">
        <v>0</v>
      </c>
      <c r="L14" s="50">
        <v>0</v>
      </c>
      <c r="M14" s="50">
        <v>338</v>
      </c>
      <c r="N14" s="50">
        <v>0</v>
      </c>
      <c r="O14" s="15">
        <f t="shared" si="0"/>
        <v>94</v>
      </c>
      <c r="P14" s="15">
        <f t="shared" si="1"/>
        <v>432</v>
      </c>
      <c r="R14" s="1" t="s">
        <v>10</v>
      </c>
      <c r="S14" s="17">
        <f t="shared" ref="S14:AF14" si="8">SUM(C26:C29)</f>
        <v>161</v>
      </c>
      <c r="T14" s="17">
        <f t="shared" si="8"/>
        <v>22</v>
      </c>
      <c r="U14" s="17">
        <f t="shared" si="8"/>
        <v>17</v>
      </c>
      <c r="V14" s="17">
        <f t="shared" si="8"/>
        <v>123</v>
      </c>
      <c r="W14" s="17">
        <f t="shared" si="8"/>
        <v>5</v>
      </c>
      <c r="X14" s="17">
        <f t="shared" si="8"/>
        <v>3</v>
      </c>
      <c r="Y14" s="17">
        <f t="shared" si="8"/>
        <v>41</v>
      </c>
      <c r="Z14" s="17">
        <f t="shared" si="8"/>
        <v>28</v>
      </c>
      <c r="AA14" s="17">
        <f t="shared" si="8"/>
        <v>5</v>
      </c>
      <c r="AB14" s="17">
        <f t="shared" si="8"/>
        <v>9</v>
      </c>
      <c r="AC14" s="17">
        <f t="shared" si="8"/>
        <v>583</v>
      </c>
      <c r="AD14" s="17">
        <f t="shared" si="8"/>
        <v>0</v>
      </c>
      <c r="AE14" s="31">
        <f t="shared" si="8"/>
        <v>414</v>
      </c>
      <c r="AF14" s="31">
        <f t="shared" si="8"/>
        <v>997</v>
      </c>
    </row>
    <row r="15" spans="2:32" ht="23.1" customHeight="1" x14ac:dyDescent="0.25">
      <c r="B15" s="23" t="s">
        <v>42</v>
      </c>
      <c r="C15" s="50">
        <v>35</v>
      </c>
      <c r="D15" s="50">
        <v>5</v>
      </c>
      <c r="E15" s="50">
        <v>11</v>
      </c>
      <c r="F15" s="50">
        <v>24</v>
      </c>
      <c r="G15" s="50">
        <v>1</v>
      </c>
      <c r="H15" s="50">
        <v>1</v>
      </c>
      <c r="I15" s="50">
        <v>7</v>
      </c>
      <c r="J15" s="50">
        <v>9</v>
      </c>
      <c r="K15" s="50">
        <v>0</v>
      </c>
      <c r="L15" s="50">
        <v>0</v>
      </c>
      <c r="M15" s="50">
        <v>247</v>
      </c>
      <c r="N15" s="50">
        <v>0</v>
      </c>
      <c r="O15" s="15">
        <f t="shared" si="0"/>
        <v>93</v>
      </c>
      <c r="P15" s="15">
        <f t="shared" si="1"/>
        <v>340</v>
      </c>
      <c r="R15" s="1" t="s">
        <v>11</v>
      </c>
      <c r="S15" s="17">
        <f t="shared" ref="S15:AF15" si="9">SUM(C30:C33)</f>
        <v>161</v>
      </c>
      <c r="T15" s="17">
        <f t="shared" si="9"/>
        <v>19</v>
      </c>
      <c r="U15" s="17">
        <f t="shared" si="9"/>
        <v>24</v>
      </c>
      <c r="V15" s="17">
        <f t="shared" si="9"/>
        <v>122</v>
      </c>
      <c r="W15" s="17">
        <f t="shared" si="9"/>
        <v>1</v>
      </c>
      <c r="X15" s="17">
        <f t="shared" si="9"/>
        <v>1</v>
      </c>
      <c r="Y15" s="17">
        <f t="shared" si="9"/>
        <v>44</v>
      </c>
      <c r="Z15" s="17">
        <f t="shared" si="9"/>
        <v>33</v>
      </c>
      <c r="AA15" s="17">
        <f t="shared" si="9"/>
        <v>9</v>
      </c>
      <c r="AB15" s="17">
        <f t="shared" si="9"/>
        <v>8</v>
      </c>
      <c r="AC15" s="17">
        <f t="shared" si="9"/>
        <v>603</v>
      </c>
      <c r="AD15" s="17">
        <f t="shared" si="9"/>
        <v>0</v>
      </c>
      <c r="AE15" s="31">
        <f t="shared" si="9"/>
        <v>422</v>
      </c>
      <c r="AF15" s="31">
        <f t="shared" si="9"/>
        <v>1025</v>
      </c>
    </row>
    <row r="16" spans="2:32" ht="23.1" customHeight="1" x14ac:dyDescent="0.25">
      <c r="B16" s="23" t="s">
        <v>43</v>
      </c>
      <c r="C16" s="50">
        <v>27</v>
      </c>
      <c r="D16" s="50">
        <v>12</v>
      </c>
      <c r="E16" s="50">
        <v>4</v>
      </c>
      <c r="F16" s="50">
        <v>22</v>
      </c>
      <c r="G16" s="50">
        <v>0</v>
      </c>
      <c r="H16" s="50">
        <v>1</v>
      </c>
      <c r="I16" s="50">
        <v>4</v>
      </c>
      <c r="J16" s="50">
        <v>8</v>
      </c>
      <c r="K16" s="50">
        <v>1</v>
      </c>
      <c r="L16" s="50">
        <v>3</v>
      </c>
      <c r="M16" s="50">
        <v>253</v>
      </c>
      <c r="N16" s="50">
        <v>0</v>
      </c>
      <c r="O16" s="15">
        <f t="shared" si="0"/>
        <v>82</v>
      </c>
      <c r="P16" s="15">
        <f t="shared" si="1"/>
        <v>335</v>
      </c>
      <c r="R16" s="1" t="s">
        <v>12</v>
      </c>
      <c r="S16" s="17">
        <f t="shared" ref="S16:AF16" si="10">SUM(C34:C37)</f>
        <v>147</v>
      </c>
      <c r="T16" s="17">
        <f t="shared" si="10"/>
        <v>25</v>
      </c>
      <c r="U16" s="17">
        <f t="shared" si="10"/>
        <v>12</v>
      </c>
      <c r="V16" s="17">
        <f t="shared" si="10"/>
        <v>87</v>
      </c>
      <c r="W16" s="17">
        <f t="shared" si="10"/>
        <v>1</v>
      </c>
      <c r="X16" s="17">
        <f t="shared" si="10"/>
        <v>3</v>
      </c>
      <c r="Y16" s="17">
        <f t="shared" si="10"/>
        <v>28</v>
      </c>
      <c r="Z16" s="17">
        <f t="shared" si="10"/>
        <v>26</v>
      </c>
      <c r="AA16" s="17">
        <f t="shared" si="10"/>
        <v>6</v>
      </c>
      <c r="AB16" s="17">
        <f t="shared" si="10"/>
        <v>9</v>
      </c>
      <c r="AC16" s="17">
        <f t="shared" si="10"/>
        <v>502</v>
      </c>
      <c r="AD16" s="17">
        <f t="shared" si="10"/>
        <v>0</v>
      </c>
      <c r="AE16" s="31">
        <f t="shared" si="10"/>
        <v>344</v>
      </c>
      <c r="AF16" s="31">
        <f t="shared" si="10"/>
        <v>846</v>
      </c>
    </row>
    <row r="17" spans="2:32" ht="23.1" customHeight="1" x14ac:dyDescent="0.25">
      <c r="B17" s="23" t="s">
        <v>44</v>
      </c>
      <c r="C17" s="50">
        <v>37</v>
      </c>
      <c r="D17" s="50">
        <v>6</v>
      </c>
      <c r="E17" s="50">
        <v>5</v>
      </c>
      <c r="F17" s="50">
        <v>48</v>
      </c>
      <c r="G17" s="50">
        <v>0</v>
      </c>
      <c r="H17" s="50">
        <v>0</v>
      </c>
      <c r="I17" s="50">
        <v>3</v>
      </c>
      <c r="J17" s="50">
        <v>7</v>
      </c>
      <c r="K17" s="50">
        <v>4</v>
      </c>
      <c r="L17" s="50">
        <v>1</v>
      </c>
      <c r="M17" s="50">
        <v>238</v>
      </c>
      <c r="N17" s="50">
        <v>0</v>
      </c>
      <c r="O17" s="15">
        <f>SUM(C17:L17,N17)</f>
        <v>111</v>
      </c>
      <c r="P17" s="15">
        <f>SUM(C17:N17)</f>
        <v>349</v>
      </c>
      <c r="R17" s="1" t="s">
        <v>13</v>
      </c>
      <c r="S17" s="17">
        <f t="shared" ref="S17:AF17" si="11">SUM(C38:C41)</f>
        <v>164</v>
      </c>
      <c r="T17" s="17">
        <f t="shared" si="11"/>
        <v>26</v>
      </c>
      <c r="U17" s="17">
        <f t="shared" si="11"/>
        <v>24</v>
      </c>
      <c r="V17" s="17">
        <f t="shared" si="11"/>
        <v>100</v>
      </c>
      <c r="W17" s="17">
        <f t="shared" si="11"/>
        <v>2</v>
      </c>
      <c r="X17" s="17">
        <f t="shared" si="11"/>
        <v>2</v>
      </c>
      <c r="Y17" s="17">
        <f t="shared" si="11"/>
        <v>32</v>
      </c>
      <c r="Z17" s="17">
        <f t="shared" si="11"/>
        <v>27</v>
      </c>
      <c r="AA17" s="17">
        <f t="shared" si="11"/>
        <v>6</v>
      </c>
      <c r="AB17" s="17">
        <f t="shared" si="11"/>
        <v>9</v>
      </c>
      <c r="AC17" s="17">
        <f t="shared" si="11"/>
        <v>544</v>
      </c>
      <c r="AD17" s="17">
        <f t="shared" si="11"/>
        <v>0</v>
      </c>
      <c r="AE17" s="31">
        <f t="shared" si="11"/>
        <v>392</v>
      </c>
      <c r="AF17" s="31">
        <f t="shared" si="11"/>
        <v>936</v>
      </c>
    </row>
    <row r="18" spans="2:32" ht="23.1" customHeight="1" x14ac:dyDescent="0.25">
      <c r="B18" s="23" t="s">
        <v>45</v>
      </c>
      <c r="C18" s="50">
        <v>36</v>
      </c>
      <c r="D18" s="50">
        <v>9</v>
      </c>
      <c r="E18" s="50">
        <v>2</v>
      </c>
      <c r="F18" s="50">
        <v>23</v>
      </c>
      <c r="G18" s="50">
        <v>1</v>
      </c>
      <c r="H18" s="50">
        <v>1</v>
      </c>
      <c r="I18" s="50">
        <v>10</v>
      </c>
      <c r="J18" s="50">
        <v>7</v>
      </c>
      <c r="K18" s="50">
        <v>0</v>
      </c>
      <c r="L18" s="50">
        <v>5</v>
      </c>
      <c r="M18" s="50">
        <v>298</v>
      </c>
      <c r="N18" s="50">
        <v>0</v>
      </c>
      <c r="O18" s="15">
        <f>SUM(C18:L18,N18)</f>
        <v>94</v>
      </c>
      <c r="P18" s="15">
        <f>SUM(C18:N18)</f>
        <v>392</v>
      </c>
      <c r="R18" s="1" t="s">
        <v>14</v>
      </c>
      <c r="S18" s="17">
        <f t="shared" ref="S18:AF18" si="12">SUM(C42:C45)</f>
        <v>161</v>
      </c>
      <c r="T18" s="17">
        <f t="shared" si="12"/>
        <v>34</v>
      </c>
      <c r="U18" s="17">
        <f t="shared" si="12"/>
        <v>25</v>
      </c>
      <c r="V18" s="17">
        <f t="shared" si="12"/>
        <v>63</v>
      </c>
      <c r="W18" s="17">
        <f t="shared" si="12"/>
        <v>2</v>
      </c>
      <c r="X18" s="17">
        <f t="shared" si="12"/>
        <v>5</v>
      </c>
      <c r="Y18" s="17">
        <f t="shared" si="12"/>
        <v>27</v>
      </c>
      <c r="Z18" s="17">
        <f t="shared" si="12"/>
        <v>21</v>
      </c>
      <c r="AA18" s="17">
        <f t="shared" si="12"/>
        <v>10</v>
      </c>
      <c r="AB18" s="17">
        <f t="shared" si="12"/>
        <v>9</v>
      </c>
      <c r="AC18" s="17">
        <f t="shared" si="12"/>
        <v>587</v>
      </c>
      <c r="AD18" s="17">
        <f t="shared" si="12"/>
        <v>0</v>
      </c>
      <c r="AE18" s="31">
        <f t="shared" si="12"/>
        <v>357</v>
      </c>
      <c r="AF18" s="31">
        <f t="shared" si="12"/>
        <v>944</v>
      </c>
    </row>
    <row r="19" spans="2:32" ht="23.1" customHeight="1" x14ac:dyDescent="0.25">
      <c r="B19" s="23" t="s">
        <v>46</v>
      </c>
      <c r="C19" s="50">
        <v>28</v>
      </c>
      <c r="D19" s="50">
        <v>6</v>
      </c>
      <c r="E19" s="50">
        <v>3</v>
      </c>
      <c r="F19" s="50">
        <v>27</v>
      </c>
      <c r="G19" s="50">
        <v>0</v>
      </c>
      <c r="H19" s="50">
        <v>0</v>
      </c>
      <c r="I19" s="50">
        <v>6</v>
      </c>
      <c r="J19" s="50">
        <v>4</v>
      </c>
      <c r="K19" s="50">
        <v>2</v>
      </c>
      <c r="L19" s="50">
        <v>2</v>
      </c>
      <c r="M19" s="50">
        <v>281</v>
      </c>
      <c r="N19" s="50">
        <v>0</v>
      </c>
      <c r="O19" s="15">
        <f t="shared" si="0"/>
        <v>78</v>
      </c>
      <c r="P19" s="15">
        <f t="shared" si="1"/>
        <v>359</v>
      </c>
      <c r="R19" s="1" t="s">
        <v>15</v>
      </c>
      <c r="S19" s="17">
        <f t="shared" ref="S19:AF19" si="13">SUM(C46:C49)</f>
        <v>211</v>
      </c>
      <c r="T19" s="17">
        <f t="shared" si="13"/>
        <v>19</v>
      </c>
      <c r="U19" s="17">
        <f t="shared" si="13"/>
        <v>33</v>
      </c>
      <c r="V19" s="17">
        <f t="shared" si="13"/>
        <v>102</v>
      </c>
      <c r="W19" s="17">
        <f t="shared" si="13"/>
        <v>3</v>
      </c>
      <c r="X19" s="17">
        <f t="shared" si="13"/>
        <v>0</v>
      </c>
      <c r="Y19" s="17">
        <f t="shared" si="13"/>
        <v>32</v>
      </c>
      <c r="Z19" s="17">
        <f t="shared" si="13"/>
        <v>17</v>
      </c>
      <c r="AA19" s="17">
        <f t="shared" si="13"/>
        <v>12</v>
      </c>
      <c r="AB19" s="17">
        <f t="shared" si="13"/>
        <v>13</v>
      </c>
      <c r="AC19" s="17">
        <f t="shared" si="13"/>
        <v>871</v>
      </c>
      <c r="AD19" s="17">
        <f t="shared" si="13"/>
        <v>0</v>
      </c>
      <c r="AE19" s="31">
        <f t="shared" si="13"/>
        <v>442</v>
      </c>
      <c r="AF19" s="31">
        <f t="shared" si="13"/>
        <v>1313</v>
      </c>
    </row>
    <row r="20" spans="2:32" ht="23.1" customHeight="1" x14ac:dyDescent="0.25">
      <c r="B20" s="23" t="s">
        <v>47</v>
      </c>
      <c r="C20" s="50">
        <v>37</v>
      </c>
      <c r="D20" s="50">
        <v>3</v>
      </c>
      <c r="E20" s="50">
        <v>8</v>
      </c>
      <c r="F20" s="50">
        <v>48</v>
      </c>
      <c r="G20" s="50">
        <v>0</v>
      </c>
      <c r="H20" s="50">
        <v>0</v>
      </c>
      <c r="I20" s="50">
        <v>5</v>
      </c>
      <c r="J20" s="50">
        <v>4</v>
      </c>
      <c r="K20" s="50">
        <v>1</v>
      </c>
      <c r="L20" s="50">
        <v>0</v>
      </c>
      <c r="M20" s="50">
        <v>373</v>
      </c>
      <c r="N20" s="50">
        <v>0</v>
      </c>
      <c r="O20" s="15">
        <f t="shared" si="0"/>
        <v>106</v>
      </c>
      <c r="P20" s="15">
        <f t="shared" si="1"/>
        <v>479</v>
      </c>
      <c r="R20" s="1" t="s">
        <v>16</v>
      </c>
      <c r="S20" s="17">
        <f t="shared" ref="S20:AF20" si="14">SUM(C50:C53)</f>
        <v>288</v>
      </c>
      <c r="T20" s="17">
        <f t="shared" si="14"/>
        <v>37</v>
      </c>
      <c r="U20" s="17">
        <f t="shared" si="14"/>
        <v>44</v>
      </c>
      <c r="V20" s="17">
        <f t="shared" si="14"/>
        <v>158</v>
      </c>
      <c r="W20" s="17">
        <f t="shared" si="14"/>
        <v>5</v>
      </c>
      <c r="X20" s="17">
        <f t="shared" si="14"/>
        <v>6</v>
      </c>
      <c r="Y20" s="17">
        <f t="shared" si="14"/>
        <v>33</v>
      </c>
      <c r="Z20" s="17">
        <f t="shared" si="14"/>
        <v>22</v>
      </c>
      <c r="AA20" s="17">
        <f t="shared" si="14"/>
        <v>8</v>
      </c>
      <c r="AB20" s="17">
        <f t="shared" si="14"/>
        <v>8</v>
      </c>
      <c r="AC20" s="17">
        <f t="shared" si="14"/>
        <v>974</v>
      </c>
      <c r="AD20" s="17">
        <f t="shared" si="14"/>
        <v>0</v>
      </c>
      <c r="AE20" s="31">
        <f t="shared" si="14"/>
        <v>609</v>
      </c>
      <c r="AF20" s="31">
        <f t="shared" si="14"/>
        <v>1583</v>
      </c>
    </row>
    <row r="21" spans="2:32" ht="23.1" customHeight="1" x14ac:dyDescent="0.25">
      <c r="B21" s="23" t="s">
        <v>48</v>
      </c>
      <c r="C21" s="50">
        <v>28</v>
      </c>
      <c r="D21" s="50">
        <v>9</v>
      </c>
      <c r="E21" s="50">
        <v>8</v>
      </c>
      <c r="F21" s="50">
        <v>20</v>
      </c>
      <c r="G21" s="50">
        <v>0</v>
      </c>
      <c r="H21" s="50">
        <v>0</v>
      </c>
      <c r="I21" s="50">
        <v>7</v>
      </c>
      <c r="J21" s="50">
        <v>6</v>
      </c>
      <c r="K21" s="50">
        <v>0</v>
      </c>
      <c r="L21" s="50">
        <v>3</v>
      </c>
      <c r="M21" s="50">
        <v>246</v>
      </c>
      <c r="N21" s="50">
        <v>0</v>
      </c>
      <c r="O21" s="15">
        <f t="shared" si="0"/>
        <v>81</v>
      </c>
      <c r="P21" s="15">
        <f t="shared" si="1"/>
        <v>327</v>
      </c>
      <c r="R21" s="36" t="s">
        <v>20</v>
      </c>
      <c r="S21" s="34">
        <f t="shared" ref="S21:AF21" si="15">SUM(C54:C57)</f>
        <v>515</v>
      </c>
      <c r="T21" s="17">
        <f t="shared" si="15"/>
        <v>31</v>
      </c>
      <c r="U21" s="17">
        <f t="shared" si="15"/>
        <v>27</v>
      </c>
      <c r="V21" s="17">
        <f t="shared" si="15"/>
        <v>243</v>
      </c>
      <c r="W21" s="17">
        <f t="shared" si="15"/>
        <v>5</v>
      </c>
      <c r="X21" s="17">
        <f t="shared" si="15"/>
        <v>3</v>
      </c>
      <c r="Y21" s="17">
        <f t="shared" si="15"/>
        <v>29</v>
      </c>
      <c r="Z21" s="17">
        <f t="shared" si="15"/>
        <v>40</v>
      </c>
      <c r="AA21" s="17">
        <f t="shared" si="15"/>
        <v>16</v>
      </c>
      <c r="AB21" s="17">
        <f t="shared" si="15"/>
        <v>13</v>
      </c>
      <c r="AC21" s="17">
        <f t="shared" si="15"/>
        <v>1293</v>
      </c>
      <c r="AD21" s="17">
        <f t="shared" si="15"/>
        <v>0</v>
      </c>
      <c r="AE21" s="31">
        <f t="shared" si="15"/>
        <v>922</v>
      </c>
      <c r="AF21" s="31">
        <f t="shared" si="15"/>
        <v>2215</v>
      </c>
    </row>
    <row r="22" spans="2:32" ht="23.1" customHeight="1" x14ac:dyDescent="0.25">
      <c r="B22" s="23" t="s">
        <v>49</v>
      </c>
      <c r="C22" s="50">
        <v>57</v>
      </c>
      <c r="D22" s="50">
        <v>7</v>
      </c>
      <c r="E22" s="50">
        <v>6</v>
      </c>
      <c r="F22" s="50">
        <v>41</v>
      </c>
      <c r="G22" s="50">
        <v>0</v>
      </c>
      <c r="H22" s="50">
        <v>1</v>
      </c>
      <c r="I22" s="50">
        <v>11</v>
      </c>
      <c r="J22" s="50">
        <v>8</v>
      </c>
      <c r="K22" s="50">
        <v>2</v>
      </c>
      <c r="L22" s="50">
        <v>2</v>
      </c>
      <c r="M22" s="50">
        <v>398</v>
      </c>
      <c r="N22" s="50">
        <v>0</v>
      </c>
      <c r="O22" s="15">
        <f t="shared" si="0"/>
        <v>135</v>
      </c>
      <c r="P22" s="15">
        <f t="shared" si="1"/>
        <v>533</v>
      </c>
      <c r="R22" s="38" t="s">
        <v>90</v>
      </c>
      <c r="S22" s="39">
        <f>MAX(S10:S12)</f>
        <v>137</v>
      </c>
      <c r="T22" s="39">
        <f t="shared" ref="T22:AF22" si="16">MAX(T10:T12)</f>
        <v>30</v>
      </c>
      <c r="U22" s="39">
        <f t="shared" si="16"/>
        <v>28</v>
      </c>
      <c r="V22" s="39">
        <f t="shared" si="16"/>
        <v>122</v>
      </c>
      <c r="W22" s="39">
        <f t="shared" si="16"/>
        <v>8</v>
      </c>
      <c r="X22" s="39">
        <f t="shared" si="16"/>
        <v>2</v>
      </c>
      <c r="Y22" s="39">
        <f t="shared" si="16"/>
        <v>28</v>
      </c>
      <c r="Z22" s="39">
        <f t="shared" si="16"/>
        <v>32</v>
      </c>
      <c r="AA22" s="39">
        <f t="shared" si="16"/>
        <v>5</v>
      </c>
      <c r="AB22" s="39">
        <f t="shared" si="16"/>
        <v>10</v>
      </c>
      <c r="AC22" s="39">
        <f t="shared" si="16"/>
        <v>1198</v>
      </c>
      <c r="AD22" s="39">
        <f t="shared" si="16"/>
        <v>0</v>
      </c>
      <c r="AE22" s="40">
        <f t="shared" si="16"/>
        <v>380</v>
      </c>
      <c r="AF22" s="40">
        <f t="shared" si="16"/>
        <v>1557</v>
      </c>
    </row>
    <row r="23" spans="2:32" ht="23.1" customHeight="1" x14ac:dyDescent="0.25">
      <c r="B23" s="23" t="s">
        <v>50</v>
      </c>
      <c r="C23" s="50">
        <v>34</v>
      </c>
      <c r="D23" s="50">
        <v>6</v>
      </c>
      <c r="E23" s="50">
        <v>7</v>
      </c>
      <c r="F23" s="50">
        <v>18</v>
      </c>
      <c r="G23" s="50">
        <v>0</v>
      </c>
      <c r="H23" s="50">
        <v>0</v>
      </c>
      <c r="I23" s="50">
        <v>3</v>
      </c>
      <c r="J23" s="50">
        <v>8</v>
      </c>
      <c r="K23" s="50">
        <v>2</v>
      </c>
      <c r="L23" s="50">
        <v>3</v>
      </c>
      <c r="M23" s="50">
        <v>277</v>
      </c>
      <c r="N23" s="50">
        <v>0</v>
      </c>
      <c r="O23" s="15">
        <f t="shared" si="0"/>
        <v>81</v>
      </c>
      <c r="P23" s="15">
        <f t="shared" si="1"/>
        <v>358</v>
      </c>
      <c r="R23" s="38" t="s">
        <v>91</v>
      </c>
      <c r="S23" s="39">
        <f>MAX(S13:S18)</f>
        <v>164</v>
      </c>
      <c r="T23" s="39">
        <f t="shared" ref="T23:AF23" si="17">MAX(T13:T18)</f>
        <v>34</v>
      </c>
      <c r="U23" s="39">
        <f t="shared" si="17"/>
        <v>25</v>
      </c>
      <c r="V23" s="39">
        <f t="shared" si="17"/>
        <v>123</v>
      </c>
      <c r="W23" s="39">
        <f t="shared" si="17"/>
        <v>5</v>
      </c>
      <c r="X23" s="39">
        <f t="shared" si="17"/>
        <v>5</v>
      </c>
      <c r="Y23" s="39">
        <f t="shared" si="17"/>
        <v>44</v>
      </c>
      <c r="Z23" s="39">
        <f t="shared" si="17"/>
        <v>33</v>
      </c>
      <c r="AA23" s="39">
        <f t="shared" si="17"/>
        <v>10</v>
      </c>
      <c r="AB23" s="39">
        <f t="shared" si="17"/>
        <v>9</v>
      </c>
      <c r="AC23" s="39">
        <f t="shared" si="17"/>
        <v>1123</v>
      </c>
      <c r="AD23" s="39">
        <f t="shared" si="17"/>
        <v>0</v>
      </c>
      <c r="AE23" s="40">
        <f t="shared" si="17"/>
        <v>422</v>
      </c>
      <c r="AF23" s="40">
        <f t="shared" si="17"/>
        <v>1481</v>
      </c>
    </row>
    <row r="24" spans="2:32" ht="23.1" customHeight="1" x14ac:dyDescent="0.25">
      <c r="B24" s="23" t="s">
        <v>51</v>
      </c>
      <c r="C24" s="50">
        <v>27</v>
      </c>
      <c r="D24" s="50">
        <v>2</v>
      </c>
      <c r="E24" s="50">
        <v>4</v>
      </c>
      <c r="F24" s="50">
        <v>36</v>
      </c>
      <c r="G24" s="50">
        <v>0</v>
      </c>
      <c r="H24" s="50">
        <v>0</v>
      </c>
      <c r="I24" s="50">
        <v>7</v>
      </c>
      <c r="J24" s="50">
        <v>11</v>
      </c>
      <c r="K24" s="50">
        <v>3</v>
      </c>
      <c r="L24" s="50">
        <v>1</v>
      </c>
      <c r="M24" s="50">
        <v>245</v>
      </c>
      <c r="N24" s="50">
        <v>0</v>
      </c>
      <c r="O24" s="15">
        <f t="shared" si="0"/>
        <v>91</v>
      </c>
      <c r="P24" s="15">
        <f t="shared" si="1"/>
        <v>336</v>
      </c>
      <c r="R24" s="38" t="s">
        <v>92</v>
      </c>
      <c r="S24" s="39">
        <f>MAX(S19:S21)</f>
        <v>515</v>
      </c>
      <c r="T24" s="39">
        <f t="shared" ref="T24:AF24" si="18">MAX(T19:T21)</f>
        <v>37</v>
      </c>
      <c r="U24" s="39">
        <f t="shared" si="18"/>
        <v>44</v>
      </c>
      <c r="V24" s="39">
        <f t="shared" si="18"/>
        <v>243</v>
      </c>
      <c r="W24" s="39">
        <f t="shared" si="18"/>
        <v>5</v>
      </c>
      <c r="X24" s="39">
        <f t="shared" si="18"/>
        <v>6</v>
      </c>
      <c r="Y24" s="39">
        <f t="shared" si="18"/>
        <v>33</v>
      </c>
      <c r="Z24" s="39">
        <f t="shared" si="18"/>
        <v>40</v>
      </c>
      <c r="AA24" s="39">
        <f t="shared" si="18"/>
        <v>16</v>
      </c>
      <c r="AB24" s="39">
        <f t="shared" si="18"/>
        <v>13</v>
      </c>
      <c r="AC24" s="39">
        <f t="shared" si="18"/>
        <v>1293</v>
      </c>
      <c r="AD24" s="39">
        <f t="shared" si="18"/>
        <v>0</v>
      </c>
      <c r="AE24" s="40">
        <f t="shared" si="18"/>
        <v>922</v>
      </c>
      <c r="AF24" s="40">
        <f t="shared" si="18"/>
        <v>2215</v>
      </c>
    </row>
    <row r="25" spans="2:32" ht="23.1" customHeight="1" x14ac:dyDescent="0.25">
      <c r="B25" s="23" t="s">
        <v>52</v>
      </c>
      <c r="C25" s="50">
        <v>22</v>
      </c>
      <c r="D25" s="50">
        <v>3</v>
      </c>
      <c r="E25" s="50">
        <v>0</v>
      </c>
      <c r="F25" s="50">
        <v>12</v>
      </c>
      <c r="G25" s="50">
        <v>1</v>
      </c>
      <c r="H25" s="50">
        <v>1</v>
      </c>
      <c r="I25" s="50">
        <v>6</v>
      </c>
      <c r="J25" s="50">
        <v>6</v>
      </c>
      <c r="K25" s="50">
        <v>0</v>
      </c>
      <c r="L25" s="50">
        <v>0</v>
      </c>
      <c r="M25" s="50">
        <v>203</v>
      </c>
      <c r="N25" s="50">
        <v>0</v>
      </c>
      <c r="O25" s="15">
        <f t="shared" si="0"/>
        <v>51</v>
      </c>
      <c r="P25" s="15">
        <f t="shared" si="1"/>
        <v>254</v>
      </c>
      <c r="R25" s="37" t="s">
        <v>85</v>
      </c>
      <c r="S25" s="35">
        <f t="shared" ref="S25:AF25" si="19">SUM(S10:S12)</f>
        <v>384</v>
      </c>
      <c r="T25" s="16">
        <f t="shared" si="19"/>
        <v>77</v>
      </c>
      <c r="U25" s="16">
        <f t="shared" si="19"/>
        <v>63</v>
      </c>
      <c r="V25" s="16">
        <f t="shared" si="19"/>
        <v>325</v>
      </c>
      <c r="W25" s="16">
        <f t="shared" si="19"/>
        <v>12</v>
      </c>
      <c r="X25" s="16">
        <f t="shared" si="19"/>
        <v>4</v>
      </c>
      <c r="Y25" s="16">
        <f t="shared" si="19"/>
        <v>64</v>
      </c>
      <c r="Z25" s="16">
        <f t="shared" si="19"/>
        <v>66</v>
      </c>
      <c r="AA25" s="16">
        <f t="shared" si="19"/>
        <v>13</v>
      </c>
      <c r="AB25" s="16">
        <f t="shared" si="19"/>
        <v>15</v>
      </c>
      <c r="AC25" s="16">
        <f t="shared" si="19"/>
        <v>3117</v>
      </c>
      <c r="AD25" s="16">
        <f t="shared" si="19"/>
        <v>0</v>
      </c>
      <c r="AE25" s="32">
        <f t="shared" si="19"/>
        <v>1023</v>
      </c>
      <c r="AF25" s="32">
        <f t="shared" si="19"/>
        <v>4140</v>
      </c>
    </row>
    <row r="26" spans="2:32" ht="23.1" customHeight="1" x14ac:dyDescent="0.25">
      <c r="B26" s="23" t="s">
        <v>53</v>
      </c>
      <c r="C26" s="50">
        <v>32</v>
      </c>
      <c r="D26" s="50">
        <v>6</v>
      </c>
      <c r="E26" s="50">
        <v>4</v>
      </c>
      <c r="F26" s="50">
        <v>28</v>
      </c>
      <c r="G26" s="50">
        <v>2</v>
      </c>
      <c r="H26" s="50">
        <v>1</v>
      </c>
      <c r="I26" s="50">
        <v>8</v>
      </c>
      <c r="J26" s="50">
        <v>6</v>
      </c>
      <c r="K26" s="50">
        <v>0</v>
      </c>
      <c r="L26" s="50">
        <v>1</v>
      </c>
      <c r="M26" s="50">
        <v>155</v>
      </c>
      <c r="N26" s="50">
        <v>0</v>
      </c>
      <c r="O26" s="15">
        <f t="shared" si="0"/>
        <v>88</v>
      </c>
      <c r="P26" s="15">
        <f t="shared" si="1"/>
        <v>243</v>
      </c>
      <c r="R26" s="28" t="s">
        <v>86</v>
      </c>
      <c r="S26" s="16">
        <f t="shared" ref="S26:AF26" si="20">SUM(S13:S18)</f>
        <v>934</v>
      </c>
      <c r="T26" s="16">
        <f t="shared" si="20"/>
        <v>144</v>
      </c>
      <c r="U26" s="16">
        <f t="shared" si="20"/>
        <v>119</v>
      </c>
      <c r="V26" s="16">
        <f t="shared" si="20"/>
        <v>602</v>
      </c>
      <c r="W26" s="16">
        <f t="shared" si="20"/>
        <v>12</v>
      </c>
      <c r="X26" s="16">
        <f t="shared" si="20"/>
        <v>16</v>
      </c>
      <c r="Y26" s="16">
        <f t="shared" si="20"/>
        <v>199</v>
      </c>
      <c r="Z26" s="16">
        <f t="shared" si="20"/>
        <v>168</v>
      </c>
      <c r="AA26" s="16">
        <f t="shared" si="20"/>
        <v>43</v>
      </c>
      <c r="AB26" s="16">
        <f t="shared" si="20"/>
        <v>50</v>
      </c>
      <c r="AC26" s="16">
        <f t="shared" si="20"/>
        <v>3942</v>
      </c>
      <c r="AD26" s="16">
        <f t="shared" si="20"/>
        <v>0</v>
      </c>
      <c r="AE26" s="32">
        <f t="shared" si="20"/>
        <v>2287</v>
      </c>
      <c r="AF26" s="32">
        <f t="shared" si="20"/>
        <v>6229</v>
      </c>
    </row>
    <row r="27" spans="2:32" ht="23.1" customHeight="1" x14ac:dyDescent="0.25">
      <c r="B27" s="23" t="s">
        <v>54</v>
      </c>
      <c r="C27" s="50">
        <v>31</v>
      </c>
      <c r="D27" s="50">
        <v>5</v>
      </c>
      <c r="E27" s="50">
        <v>1</v>
      </c>
      <c r="F27" s="50">
        <v>22</v>
      </c>
      <c r="G27" s="50">
        <v>1</v>
      </c>
      <c r="H27" s="50">
        <v>1</v>
      </c>
      <c r="I27" s="50">
        <v>8</v>
      </c>
      <c r="J27" s="50">
        <v>5</v>
      </c>
      <c r="K27" s="50">
        <v>0</v>
      </c>
      <c r="L27" s="50">
        <v>0</v>
      </c>
      <c r="M27" s="50">
        <v>161</v>
      </c>
      <c r="N27" s="50">
        <v>0</v>
      </c>
      <c r="O27" s="15">
        <f t="shared" si="0"/>
        <v>74</v>
      </c>
      <c r="P27" s="15">
        <f t="shared" si="1"/>
        <v>235</v>
      </c>
      <c r="R27" s="29" t="s">
        <v>87</v>
      </c>
      <c r="S27" s="16">
        <f t="shared" ref="S27:AF27" si="21">SUM(S19:S21)</f>
        <v>1014</v>
      </c>
      <c r="T27" s="16">
        <f t="shared" si="21"/>
        <v>87</v>
      </c>
      <c r="U27" s="16">
        <f t="shared" si="21"/>
        <v>104</v>
      </c>
      <c r="V27" s="16">
        <f t="shared" si="21"/>
        <v>503</v>
      </c>
      <c r="W27" s="16">
        <f t="shared" si="21"/>
        <v>13</v>
      </c>
      <c r="X27" s="16">
        <f t="shared" si="21"/>
        <v>9</v>
      </c>
      <c r="Y27" s="16">
        <f t="shared" si="21"/>
        <v>94</v>
      </c>
      <c r="Z27" s="16">
        <f t="shared" si="21"/>
        <v>79</v>
      </c>
      <c r="AA27" s="16">
        <f t="shared" si="21"/>
        <v>36</v>
      </c>
      <c r="AB27" s="16">
        <f t="shared" si="21"/>
        <v>34</v>
      </c>
      <c r="AC27" s="16">
        <f t="shared" si="21"/>
        <v>3138</v>
      </c>
      <c r="AD27" s="16">
        <f t="shared" si="21"/>
        <v>0</v>
      </c>
      <c r="AE27" s="32">
        <f t="shared" si="21"/>
        <v>1973</v>
      </c>
      <c r="AF27" s="32">
        <f t="shared" si="21"/>
        <v>5111</v>
      </c>
    </row>
    <row r="28" spans="2:32" ht="23.1" customHeight="1" x14ac:dyDescent="0.25">
      <c r="B28" s="23" t="s">
        <v>55</v>
      </c>
      <c r="C28" s="50">
        <v>32</v>
      </c>
      <c r="D28" s="50">
        <v>2</v>
      </c>
      <c r="E28" s="50">
        <v>4</v>
      </c>
      <c r="F28" s="50">
        <v>33</v>
      </c>
      <c r="G28" s="50">
        <v>1</v>
      </c>
      <c r="H28" s="50">
        <v>1</v>
      </c>
      <c r="I28" s="50">
        <v>8</v>
      </c>
      <c r="J28" s="50">
        <v>6</v>
      </c>
      <c r="K28" s="50">
        <v>0</v>
      </c>
      <c r="L28" s="50">
        <v>2</v>
      </c>
      <c r="M28" s="50">
        <v>105</v>
      </c>
      <c r="N28" s="50">
        <v>0</v>
      </c>
      <c r="O28" s="15">
        <f t="shared" si="0"/>
        <v>89</v>
      </c>
      <c r="P28" s="15">
        <f t="shared" si="1"/>
        <v>194</v>
      </c>
      <c r="R28" s="5" t="s">
        <v>17</v>
      </c>
      <c r="S28" s="16">
        <f t="shared" ref="S28:AF28" si="22">SUM(S10:S21)</f>
        <v>2332</v>
      </c>
      <c r="T28" s="16">
        <f t="shared" si="22"/>
        <v>308</v>
      </c>
      <c r="U28" s="16">
        <f t="shared" si="22"/>
        <v>286</v>
      </c>
      <c r="V28" s="16">
        <f t="shared" si="22"/>
        <v>1430</v>
      </c>
      <c r="W28" s="16">
        <f t="shared" si="22"/>
        <v>37</v>
      </c>
      <c r="X28" s="16">
        <f t="shared" si="22"/>
        <v>29</v>
      </c>
      <c r="Y28" s="16">
        <f t="shared" si="22"/>
        <v>357</v>
      </c>
      <c r="Z28" s="16">
        <f t="shared" si="22"/>
        <v>313</v>
      </c>
      <c r="AA28" s="16">
        <f t="shared" si="22"/>
        <v>92</v>
      </c>
      <c r="AB28" s="16">
        <f t="shared" si="22"/>
        <v>99</v>
      </c>
      <c r="AC28" s="16">
        <f t="shared" si="22"/>
        <v>10197</v>
      </c>
      <c r="AD28" s="16">
        <f t="shared" si="22"/>
        <v>0</v>
      </c>
      <c r="AE28" s="32">
        <f t="shared" si="22"/>
        <v>5283</v>
      </c>
      <c r="AF28" s="32">
        <f t="shared" si="22"/>
        <v>15480</v>
      </c>
    </row>
    <row r="29" spans="2:32" ht="23.1" customHeight="1" x14ac:dyDescent="0.25">
      <c r="B29" s="23" t="s">
        <v>56</v>
      </c>
      <c r="C29" s="50">
        <v>66</v>
      </c>
      <c r="D29" s="50">
        <v>9</v>
      </c>
      <c r="E29" s="50">
        <v>8</v>
      </c>
      <c r="F29" s="50">
        <v>40</v>
      </c>
      <c r="G29" s="50">
        <v>1</v>
      </c>
      <c r="H29" s="50">
        <v>0</v>
      </c>
      <c r="I29" s="50">
        <v>17</v>
      </c>
      <c r="J29" s="50">
        <v>11</v>
      </c>
      <c r="K29" s="50">
        <v>5</v>
      </c>
      <c r="L29" s="50">
        <v>6</v>
      </c>
      <c r="M29" s="50">
        <v>162</v>
      </c>
      <c r="N29" s="50">
        <v>0</v>
      </c>
      <c r="O29" s="15">
        <f t="shared" si="0"/>
        <v>163</v>
      </c>
      <c r="P29" s="15">
        <f t="shared" si="1"/>
        <v>325</v>
      </c>
      <c r="R29"/>
      <c r="S29" s="20"/>
      <c r="T29" s="19"/>
    </row>
    <row r="30" spans="2:32" ht="23.1" customHeight="1" x14ac:dyDescent="0.25">
      <c r="B30" s="23" t="s">
        <v>57</v>
      </c>
      <c r="C30" s="50">
        <v>47</v>
      </c>
      <c r="D30" s="50">
        <v>5</v>
      </c>
      <c r="E30" s="50">
        <v>4</v>
      </c>
      <c r="F30" s="50">
        <v>28</v>
      </c>
      <c r="G30" s="50">
        <v>0</v>
      </c>
      <c r="H30" s="50">
        <v>0</v>
      </c>
      <c r="I30" s="50">
        <v>11</v>
      </c>
      <c r="J30" s="50">
        <v>10</v>
      </c>
      <c r="K30" s="50">
        <v>6</v>
      </c>
      <c r="L30" s="50">
        <v>2</v>
      </c>
      <c r="M30" s="50">
        <v>142</v>
      </c>
      <c r="N30" s="50">
        <v>0</v>
      </c>
      <c r="O30" s="15">
        <f t="shared" si="0"/>
        <v>113</v>
      </c>
      <c r="P30" s="15">
        <f t="shared" si="1"/>
        <v>255</v>
      </c>
    </row>
    <row r="31" spans="2:32" ht="23.1" customHeight="1" x14ac:dyDescent="0.25">
      <c r="B31" s="24" t="s">
        <v>58</v>
      </c>
      <c r="C31" s="50">
        <v>41</v>
      </c>
      <c r="D31" s="50">
        <v>1</v>
      </c>
      <c r="E31" s="50">
        <v>8</v>
      </c>
      <c r="F31" s="50">
        <v>31</v>
      </c>
      <c r="G31" s="50">
        <v>0</v>
      </c>
      <c r="H31" s="50">
        <v>1</v>
      </c>
      <c r="I31" s="50">
        <v>18</v>
      </c>
      <c r="J31" s="50">
        <v>6</v>
      </c>
      <c r="K31" s="50">
        <v>2</v>
      </c>
      <c r="L31" s="50">
        <v>3</v>
      </c>
      <c r="M31" s="50">
        <v>187</v>
      </c>
      <c r="N31" s="50">
        <v>0</v>
      </c>
      <c r="O31" s="15">
        <f t="shared" si="0"/>
        <v>111</v>
      </c>
      <c r="P31" s="15">
        <f t="shared" si="1"/>
        <v>298</v>
      </c>
    </row>
    <row r="32" spans="2:32" ht="23.1" customHeight="1" x14ac:dyDescent="0.25">
      <c r="B32" s="24" t="s">
        <v>59</v>
      </c>
      <c r="C32" s="50">
        <v>48</v>
      </c>
      <c r="D32" s="50">
        <v>9</v>
      </c>
      <c r="E32" s="50">
        <v>10</v>
      </c>
      <c r="F32" s="50">
        <v>40</v>
      </c>
      <c r="G32" s="50">
        <v>0</v>
      </c>
      <c r="H32" s="50">
        <v>0</v>
      </c>
      <c r="I32" s="50">
        <v>10</v>
      </c>
      <c r="J32" s="50">
        <v>6</v>
      </c>
      <c r="K32" s="50">
        <v>0</v>
      </c>
      <c r="L32" s="50">
        <v>1</v>
      </c>
      <c r="M32" s="50">
        <v>198</v>
      </c>
      <c r="N32" s="50">
        <v>0</v>
      </c>
      <c r="O32" s="15">
        <f t="shared" si="0"/>
        <v>124</v>
      </c>
      <c r="P32" s="15">
        <f t="shared" si="1"/>
        <v>322</v>
      </c>
    </row>
    <row r="33" spans="2:20" ht="23.1" customHeight="1" x14ac:dyDescent="0.25">
      <c r="B33" s="23" t="s">
        <v>60</v>
      </c>
      <c r="C33" s="50">
        <v>25</v>
      </c>
      <c r="D33" s="50">
        <v>4</v>
      </c>
      <c r="E33" s="50">
        <v>2</v>
      </c>
      <c r="F33" s="50">
        <v>23</v>
      </c>
      <c r="G33" s="50">
        <v>1</v>
      </c>
      <c r="H33" s="50">
        <v>0</v>
      </c>
      <c r="I33" s="50">
        <v>5</v>
      </c>
      <c r="J33" s="50">
        <v>11</v>
      </c>
      <c r="K33" s="50">
        <v>1</v>
      </c>
      <c r="L33" s="50">
        <v>2</v>
      </c>
      <c r="M33" s="50">
        <v>76</v>
      </c>
      <c r="N33" s="50">
        <v>0</v>
      </c>
      <c r="O33" s="15">
        <f t="shared" si="0"/>
        <v>74</v>
      </c>
      <c r="P33" s="15">
        <f t="shared" si="1"/>
        <v>150</v>
      </c>
    </row>
    <row r="34" spans="2:20" ht="23.1" customHeight="1" x14ac:dyDescent="0.25">
      <c r="B34" s="24" t="s">
        <v>61</v>
      </c>
      <c r="C34" s="50">
        <v>38</v>
      </c>
      <c r="D34" s="50">
        <v>6</v>
      </c>
      <c r="E34" s="50">
        <v>3</v>
      </c>
      <c r="F34" s="50">
        <v>24</v>
      </c>
      <c r="G34" s="50">
        <v>1</v>
      </c>
      <c r="H34" s="50">
        <v>1</v>
      </c>
      <c r="I34" s="50">
        <v>9</v>
      </c>
      <c r="J34" s="50">
        <v>11</v>
      </c>
      <c r="K34" s="50">
        <v>2</v>
      </c>
      <c r="L34" s="50">
        <v>3</v>
      </c>
      <c r="M34" s="50">
        <v>127</v>
      </c>
      <c r="N34" s="50">
        <v>0</v>
      </c>
      <c r="O34" s="15">
        <f t="shared" si="0"/>
        <v>98</v>
      </c>
      <c r="P34" s="15">
        <f t="shared" si="1"/>
        <v>225</v>
      </c>
    </row>
    <row r="35" spans="2:20" ht="23.1" customHeight="1" x14ac:dyDescent="0.25">
      <c r="B35" s="24" t="s">
        <v>62</v>
      </c>
      <c r="C35" s="50">
        <v>35</v>
      </c>
      <c r="D35" s="50">
        <v>5</v>
      </c>
      <c r="E35" s="50">
        <v>4</v>
      </c>
      <c r="F35" s="50">
        <v>22</v>
      </c>
      <c r="G35" s="50">
        <v>0</v>
      </c>
      <c r="H35" s="50">
        <v>0</v>
      </c>
      <c r="I35" s="50">
        <v>6</v>
      </c>
      <c r="J35" s="50">
        <v>7</v>
      </c>
      <c r="K35" s="50">
        <v>1</v>
      </c>
      <c r="L35" s="50">
        <v>0</v>
      </c>
      <c r="M35" s="50">
        <v>113</v>
      </c>
      <c r="N35" s="50">
        <v>0</v>
      </c>
      <c r="O35" s="15">
        <f t="shared" si="0"/>
        <v>80</v>
      </c>
      <c r="P35" s="15">
        <f t="shared" si="1"/>
        <v>193</v>
      </c>
    </row>
    <row r="36" spans="2:20" ht="23.1" customHeight="1" x14ac:dyDescent="0.25">
      <c r="B36" s="24" t="s">
        <v>63</v>
      </c>
      <c r="C36" s="50">
        <v>28</v>
      </c>
      <c r="D36" s="50">
        <v>8</v>
      </c>
      <c r="E36" s="50">
        <v>3</v>
      </c>
      <c r="F36" s="50">
        <v>20</v>
      </c>
      <c r="G36" s="50">
        <v>0</v>
      </c>
      <c r="H36" s="50">
        <v>2</v>
      </c>
      <c r="I36" s="50">
        <v>4</v>
      </c>
      <c r="J36" s="50">
        <v>6</v>
      </c>
      <c r="K36" s="50">
        <v>2</v>
      </c>
      <c r="L36" s="50">
        <v>1</v>
      </c>
      <c r="M36" s="50">
        <v>117</v>
      </c>
      <c r="N36" s="50">
        <v>0</v>
      </c>
      <c r="O36" s="15">
        <f t="shared" si="0"/>
        <v>74</v>
      </c>
      <c r="P36" s="15">
        <f t="shared" si="1"/>
        <v>191</v>
      </c>
    </row>
    <row r="37" spans="2:20" ht="23.1" customHeight="1" x14ac:dyDescent="0.25">
      <c r="B37" s="23" t="s">
        <v>64</v>
      </c>
      <c r="C37" s="50">
        <v>46</v>
      </c>
      <c r="D37" s="50">
        <v>6</v>
      </c>
      <c r="E37" s="50">
        <v>2</v>
      </c>
      <c r="F37" s="50">
        <v>21</v>
      </c>
      <c r="G37" s="50">
        <v>0</v>
      </c>
      <c r="H37" s="50">
        <v>0</v>
      </c>
      <c r="I37" s="50">
        <v>9</v>
      </c>
      <c r="J37" s="50">
        <v>2</v>
      </c>
      <c r="K37" s="50">
        <v>1</v>
      </c>
      <c r="L37" s="50">
        <v>5</v>
      </c>
      <c r="M37" s="50">
        <v>145</v>
      </c>
      <c r="N37" s="50">
        <v>0</v>
      </c>
      <c r="O37" s="15">
        <f t="shared" si="0"/>
        <v>92</v>
      </c>
      <c r="P37" s="15">
        <f t="shared" si="1"/>
        <v>237</v>
      </c>
    </row>
    <row r="38" spans="2:20" ht="23.1" customHeight="1" x14ac:dyDescent="0.25">
      <c r="B38" s="24" t="s">
        <v>65</v>
      </c>
      <c r="C38" s="50">
        <v>55</v>
      </c>
      <c r="D38" s="50">
        <v>7</v>
      </c>
      <c r="E38" s="50">
        <v>8</v>
      </c>
      <c r="F38" s="50">
        <v>27</v>
      </c>
      <c r="G38" s="50">
        <v>0</v>
      </c>
      <c r="H38" s="50">
        <v>0</v>
      </c>
      <c r="I38" s="50">
        <v>5</v>
      </c>
      <c r="J38" s="50">
        <v>8</v>
      </c>
      <c r="K38" s="50">
        <v>2</v>
      </c>
      <c r="L38" s="50">
        <v>3</v>
      </c>
      <c r="M38" s="50">
        <v>132</v>
      </c>
      <c r="N38" s="50">
        <v>0</v>
      </c>
      <c r="O38" s="15">
        <f t="shared" si="0"/>
        <v>115</v>
      </c>
      <c r="P38" s="15">
        <f t="shared" si="1"/>
        <v>247</v>
      </c>
    </row>
    <row r="39" spans="2:20" ht="23.1" customHeight="1" x14ac:dyDescent="0.25">
      <c r="B39" s="24" t="s">
        <v>66</v>
      </c>
      <c r="C39" s="50">
        <v>31</v>
      </c>
      <c r="D39" s="50">
        <v>8</v>
      </c>
      <c r="E39" s="50">
        <v>5</v>
      </c>
      <c r="F39" s="50">
        <v>22</v>
      </c>
      <c r="G39" s="50">
        <v>1</v>
      </c>
      <c r="H39" s="50">
        <v>0</v>
      </c>
      <c r="I39" s="50">
        <v>4</v>
      </c>
      <c r="J39" s="50">
        <v>4</v>
      </c>
      <c r="K39" s="50">
        <v>2</v>
      </c>
      <c r="L39" s="50">
        <v>0</v>
      </c>
      <c r="M39" s="50">
        <v>106</v>
      </c>
      <c r="N39" s="50">
        <v>0</v>
      </c>
      <c r="O39" s="15">
        <f t="shared" si="0"/>
        <v>77</v>
      </c>
      <c r="P39" s="15">
        <f t="shared" si="1"/>
        <v>183</v>
      </c>
    </row>
    <row r="40" spans="2:20" ht="23.1" customHeight="1" x14ac:dyDescent="0.25">
      <c r="B40" s="24" t="s">
        <v>67</v>
      </c>
      <c r="C40" s="50">
        <v>42</v>
      </c>
      <c r="D40" s="50">
        <v>4</v>
      </c>
      <c r="E40" s="50">
        <v>7</v>
      </c>
      <c r="F40" s="50">
        <v>36</v>
      </c>
      <c r="G40" s="50">
        <v>1</v>
      </c>
      <c r="H40" s="50">
        <v>1</v>
      </c>
      <c r="I40" s="50">
        <v>16</v>
      </c>
      <c r="J40" s="50">
        <v>9</v>
      </c>
      <c r="K40" s="50">
        <v>1</v>
      </c>
      <c r="L40" s="50">
        <v>2</v>
      </c>
      <c r="M40" s="50">
        <v>160</v>
      </c>
      <c r="N40" s="50">
        <v>0</v>
      </c>
      <c r="O40" s="15">
        <f t="shared" si="0"/>
        <v>119</v>
      </c>
      <c r="P40" s="15">
        <f t="shared" si="1"/>
        <v>279</v>
      </c>
    </row>
    <row r="41" spans="2:20" ht="23.1" customHeight="1" x14ac:dyDescent="0.25">
      <c r="B41" s="23" t="s">
        <v>68</v>
      </c>
      <c r="C41" s="50">
        <v>36</v>
      </c>
      <c r="D41" s="50">
        <v>7</v>
      </c>
      <c r="E41" s="50">
        <v>4</v>
      </c>
      <c r="F41" s="50">
        <v>15</v>
      </c>
      <c r="G41" s="50">
        <v>0</v>
      </c>
      <c r="H41" s="50">
        <v>1</v>
      </c>
      <c r="I41" s="50">
        <v>7</v>
      </c>
      <c r="J41" s="50">
        <v>6</v>
      </c>
      <c r="K41" s="50">
        <v>1</v>
      </c>
      <c r="L41" s="50">
        <v>4</v>
      </c>
      <c r="M41" s="50">
        <v>146</v>
      </c>
      <c r="N41" s="50">
        <v>0</v>
      </c>
      <c r="O41" s="15">
        <f t="shared" si="0"/>
        <v>81</v>
      </c>
      <c r="P41" s="15">
        <f t="shared" si="1"/>
        <v>227</v>
      </c>
    </row>
    <row r="42" spans="2:20" ht="23.1" customHeight="1" x14ac:dyDescent="0.25">
      <c r="B42" s="24" t="s">
        <v>69</v>
      </c>
      <c r="C42" s="50">
        <v>46</v>
      </c>
      <c r="D42" s="50">
        <v>7</v>
      </c>
      <c r="E42" s="50">
        <v>7</v>
      </c>
      <c r="F42" s="50">
        <v>23</v>
      </c>
      <c r="G42" s="50">
        <v>1</v>
      </c>
      <c r="H42" s="50">
        <v>3</v>
      </c>
      <c r="I42" s="50">
        <v>3</v>
      </c>
      <c r="J42" s="50">
        <v>5</v>
      </c>
      <c r="K42" s="50">
        <v>4</v>
      </c>
      <c r="L42" s="50">
        <v>2</v>
      </c>
      <c r="M42" s="50">
        <v>142</v>
      </c>
      <c r="N42" s="50">
        <v>0</v>
      </c>
      <c r="O42" s="15">
        <f t="shared" si="0"/>
        <v>101</v>
      </c>
      <c r="P42" s="15">
        <f t="shared" si="1"/>
        <v>243</v>
      </c>
    </row>
    <row r="43" spans="2:20" ht="23.1" customHeight="1" x14ac:dyDescent="0.25">
      <c r="B43" s="23" t="s">
        <v>70</v>
      </c>
      <c r="C43" s="50">
        <v>30</v>
      </c>
      <c r="D43" s="50">
        <v>7</v>
      </c>
      <c r="E43" s="50">
        <v>5</v>
      </c>
      <c r="F43" s="50">
        <v>17</v>
      </c>
      <c r="G43" s="50">
        <v>1</v>
      </c>
      <c r="H43" s="50">
        <v>1</v>
      </c>
      <c r="I43" s="50">
        <v>8</v>
      </c>
      <c r="J43" s="50">
        <v>3</v>
      </c>
      <c r="K43" s="50">
        <v>2</v>
      </c>
      <c r="L43" s="50">
        <v>3</v>
      </c>
      <c r="M43" s="50">
        <v>132</v>
      </c>
      <c r="N43" s="50">
        <v>0</v>
      </c>
      <c r="O43" s="15">
        <f t="shared" si="0"/>
        <v>77</v>
      </c>
      <c r="P43" s="15">
        <f t="shared" si="1"/>
        <v>209</v>
      </c>
    </row>
    <row r="44" spans="2:20" ht="23.1" customHeight="1" x14ac:dyDescent="0.25">
      <c r="B44" s="25" t="s">
        <v>71</v>
      </c>
      <c r="C44" s="50">
        <v>48</v>
      </c>
      <c r="D44" s="50">
        <v>13</v>
      </c>
      <c r="E44" s="50">
        <v>5</v>
      </c>
      <c r="F44" s="50">
        <v>11</v>
      </c>
      <c r="G44" s="50">
        <v>0</v>
      </c>
      <c r="H44" s="50">
        <v>0</v>
      </c>
      <c r="I44" s="50">
        <v>8</v>
      </c>
      <c r="J44" s="50">
        <v>10</v>
      </c>
      <c r="K44" s="50">
        <v>1</v>
      </c>
      <c r="L44" s="50">
        <v>2</v>
      </c>
      <c r="M44" s="50">
        <v>168</v>
      </c>
      <c r="N44" s="50">
        <v>0</v>
      </c>
      <c r="O44" s="15">
        <f t="shared" si="0"/>
        <v>98</v>
      </c>
      <c r="P44" s="15">
        <f t="shared" si="1"/>
        <v>266</v>
      </c>
    </row>
    <row r="45" spans="2:20" ht="23.1" customHeight="1" x14ac:dyDescent="0.25">
      <c r="B45" s="23" t="s">
        <v>72</v>
      </c>
      <c r="C45" s="50">
        <v>37</v>
      </c>
      <c r="D45" s="50">
        <v>7</v>
      </c>
      <c r="E45" s="50">
        <v>8</v>
      </c>
      <c r="F45" s="50">
        <v>12</v>
      </c>
      <c r="G45" s="50">
        <v>0</v>
      </c>
      <c r="H45" s="50">
        <v>1</v>
      </c>
      <c r="I45" s="50">
        <v>8</v>
      </c>
      <c r="J45" s="50">
        <v>3</v>
      </c>
      <c r="K45" s="50">
        <v>3</v>
      </c>
      <c r="L45" s="50">
        <v>2</v>
      </c>
      <c r="M45" s="50">
        <v>145</v>
      </c>
      <c r="N45" s="50">
        <v>0</v>
      </c>
      <c r="O45" s="15">
        <f t="shared" si="0"/>
        <v>81</v>
      </c>
      <c r="P45" s="15">
        <f t="shared" si="1"/>
        <v>226</v>
      </c>
    </row>
    <row r="46" spans="2:20" ht="23.1" customHeight="1" x14ac:dyDescent="0.25">
      <c r="B46" s="24" t="s">
        <v>73</v>
      </c>
      <c r="C46" s="50">
        <v>52</v>
      </c>
      <c r="D46" s="50">
        <v>4</v>
      </c>
      <c r="E46" s="50">
        <v>5</v>
      </c>
      <c r="F46" s="50">
        <v>30</v>
      </c>
      <c r="G46" s="50">
        <v>0</v>
      </c>
      <c r="H46" s="50">
        <v>0</v>
      </c>
      <c r="I46" s="50">
        <v>8</v>
      </c>
      <c r="J46" s="50">
        <v>3</v>
      </c>
      <c r="K46" s="50">
        <v>2</v>
      </c>
      <c r="L46" s="50">
        <v>4</v>
      </c>
      <c r="M46" s="50">
        <v>215</v>
      </c>
      <c r="N46" s="50">
        <v>0</v>
      </c>
      <c r="O46" s="15">
        <f t="shared" si="0"/>
        <v>108</v>
      </c>
      <c r="P46" s="15">
        <f t="shared" si="1"/>
        <v>323</v>
      </c>
      <c r="R46" s="8"/>
      <c r="T46"/>
    </row>
    <row r="47" spans="2:20" ht="23.1" customHeight="1" x14ac:dyDescent="0.25">
      <c r="B47" s="24" t="s">
        <v>74</v>
      </c>
      <c r="C47" s="50">
        <v>28</v>
      </c>
      <c r="D47" s="50">
        <v>2</v>
      </c>
      <c r="E47" s="50">
        <v>7</v>
      </c>
      <c r="F47" s="50">
        <v>19</v>
      </c>
      <c r="G47" s="50">
        <v>1</v>
      </c>
      <c r="H47" s="50">
        <v>0</v>
      </c>
      <c r="I47" s="50">
        <v>7</v>
      </c>
      <c r="J47" s="50">
        <v>3</v>
      </c>
      <c r="K47" s="50">
        <v>2</v>
      </c>
      <c r="L47" s="50">
        <v>1</v>
      </c>
      <c r="M47" s="50">
        <v>173</v>
      </c>
      <c r="N47" s="50">
        <v>0</v>
      </c>
      <c r="O47" s="15">
        <f t="shared" si="0"/>
        <v>70</v>
      </c>
      <c r="P47" s="15">
        <f t="shared" si="1"/>
        <v>243</v>
      </c>
      <c r="R47" s="8"/>
      <c r="T47"/>
    </row>
    <row r="48" spans="2:20" ht="23.1" customHeight="1" x14ac:dyDescent="0.25">
      <c r="B48" s="24" t="s">
        <v>75</v>
      </c>
      <c r="C48" s="50">
        <v>75</v>
      </c>
      <c r="D48" s="50">
        <v>5</v>
      </c>
      <c r="E48" s="50">
        <v>9</v>
      </c>
      <c r="F48" s="50">
        <v>33</v>
      </c>
      <c r="G48" s="50">
        <v>1</v>
      </c>
      <c r="H48" s="50">
        <v>0</v>
      </c>
      <c r="I48" s="50">
        <v>7</v>
      </c>
      <c r="J48" s="50">
        <v>3</v>
      </c>
      <c r="K48" s="50">
        <v>5</v>
      </c>
      <c r="L48" s="50">
        <v>6</v>
      </c>
      <c r="M48" s="50">
        <v>235</v>
      </c>
      <c r="N48" s="50">
        <v>0</v>
      </c>
      <c r="O48" s="15">
        <f t="shared" si="0"/>
        <v>144</v>
      </c>
      <c r="P48" s="15">
        <f t="shared" si="1"/>
        <v>379</v>
      </c>
      <c r="R48" s="8"/>
      <c r="T48"/>
    </row>
    <row r="49" spans="2:20" ht="23.1" customHeight="1" x14ac:dyDescent="0.25">
      <c r="B49" s="23" t="s">
        <v>76</v>
      </c>
      <c r="C49" s="50">
        <v>56</v>
      </c>
      <c r="D49" s="50">
        <v>8</v>
      </c>
      <c r="E49" s="50">
        <v>12</v>
      </c>
      <c r="F49" s="50">
        <v>20</v>
      </c>
      <c r="G49" s="50">
        <v>1</v>
      </c>
      <c r="H49" s="50">
        <v>0</v>
      </c>
      <c r="I49" s="50">
        <v>10</v>
      </c>
      <c r="J49" s="50">
        <v>8</v>
      </c>
      <c r="K49" s="50">
        <v>3</v>
      </c>
      <c r="L49" s="50">
        <v>2</v>
      </c>
      <c r="M49" s="50">
        <v>248</v>
      </c>
      <c r="N49" s="50">
        <v>0</v>
      </c>
      <c r="O49" s="15">
        <f t="shared" si="0"/>
        <v>120</v>
      </c>
      <c r="P49" s="15">
        <f t="shared" si="1"/>
        <v>368</v>
      </c>
      <c r="R49" s="8"/>
      <c r="T49"/>
    </row>
    <row r="50" spans="2:20" ht="23.1" customHeight="1" x14ac:dyDescent="0.25">
      <c r="B50" s="24" t="s">
        <v>77</v>
      </c>
      <c r="C50" s="50">
        <v>43</v>
      </c>
      <c r="D50" s="50">
        <v>16</v>
      </c>
      <c r="E50" s="50">
        <v>12</v>
      </c>
      <c r="F50" s="50">
        <v>25</v>
      </c>
      <c r="G50" s="50">
        <v>1</v>
      </c>
      <c r="H50" s="50">
        <v>2</v>
      </c>
      <c r="I50" s="50">
        <v>6</v>
      </c>
      <c r="J50" s="50">
        <v>2</v>
      </c>
      <c r="K50" s="50">
        <v>0</v>
      </c>
      <c r="L50" s="50">
        <v>1</v>
      </c>
      <c r="M50" s="50">
        <v>242</v>
      </c>
      <c r="N50" s="50">
        <v>0</v>
      </c>
      <c r="O50" s="15">
        <f t="shared" si="0"/>
        <v>108</v>
      </c>
      <c r="P50" s="15">
        <f t="shared" si="1"/>
        <v>350</v>
      </c>
      <c r="R50" s="8"/>
      <c r="T50"/>
    </row>
    <row r="51" spans="2:20" ht="23.1" customHeight="1" x14ac:dyDescent="0.25">
      <c r="B51" s="24" t="s">
        <v>78</v>
      </c>
      <c r="C51" s="50">
        <v>66</v>
      </c>
      <c r="D51" s="50">
        <v>8</v>
      </c>
      <c r="E51" s="50">
        <v>14</v>
      </c>
      <c r="F51" s="50">
        <v>42</v>
      </c>
      <c r="G51" s="50">
        <v>0</v>
      </c>
      <c r="H51" s="50">
        <v>1</v>
      </c>
      <c r="I51" s="50">
        <v>7</v>
      </c>
      <c r="J51" s="50">
        <v>4</v>
      </c>
      <c r="K51" s="50">
        <v>3</v>
      </c>
      <c r="L51" s="50">
        <v>1</v>
      </c>
      <c r="M51" s="50">
        <v>255</v>
      </c>
      <c r="N51" s="50">
        <v>0</v>
      </c>
      <c r="O51" s="15">
        <f t="shared" si="0"/>
        <v>146</v>
      </c>
      <c r="P51" s="15">
        <f t="shared" si="1"/>
        <v>401</v>
      </c>
      <c r="R51" s="8"/>
      <c r="T51"/>
    </row>
    <row r="52" spans="2:20" ht="23.1" customHeight="1" x14ac:dyDescent="0.25">
      <c r="B52" s="24" t="s">
        <v>79</v>
      </c>
      <c r="C52" s="50">
        <v>78</v>
      </c>
      <c r="D52" s="50">
        <v>6</v>
      </c>
      <c r="E52" s="50">
        <v>12</v>
      </c>
      <c r="F52" s="50">
        <v>39</v>
      </c>
      <c r="G52" s="50">
        <v>2</v>
      </c>
      <c r="H52" s="50">
        <v>0</v>
      </c>
      <c r="I52" s="50">
        <v>10</v>
      </c>
      <c r="J52" s="50">
        <v>14</v>
      </c>
      <c r="K52" s="50">
        <v>2</v>
      </c>
      <c r="L52" s="50">
        <v>4</v>
      </c>
      <c r="M52" s="50">
        <v>210</v>
      </c>
      <c r="N52" s="50">
        <v>0</v>
      </c>
      <c r="O52" s="15">
        <f t="shared" si="0"/>
        <v>167</v>
      </c>
      <c r="P52" s="15">
        <f t="shared" si="1"/>
        <v>377</v>
      </c>
      <c r="R52" s="8"/>
      <c r="T52"/>
    </row>
    <row r="53" spans="2:20" ht="23.1" customHeight="1" x14ac:dyDescent="0.25">
      <c r="B53" s="23" t="s">
        <v>80</v>
      </c>
      <c r="C53" s="50">
        <v>101</v>
      </c>
      <c r="D53" s="50">
        <v>7</v>
      </c>
      <c r="E53" s="50">
        <v>6</v>
      </c>
      <c r="F53" s="50">
        <v>52</v>
      </c>
      <c r="G53" s="50">
        <v>2</v>
      </c>
      <c r="H53" s="50">
        <v>3</v>
      </c>
      <c r="I53" s="50">
        <v>10</v>
      </c>
      <c r="J53" s="50">
        <v>2</v>
      </c>
      <c r="K53" s="50">
        <v>3</v>
      </c>
      <c r="L53" s="50">
        <v>2</v>
      </c>
      <c r="M53" s="50">
        <v>267</v>
      </c>
      <c r="N53" s="50">
        <v>0</v>
      </c>
      <c r="O53" s="15">
        <f t="shared" si="0"/>
        <v>188</v>
      </c>
      <c r="P53" s="15">
        <f t="shared" si="1"/>
        <v>455</v>
      </c>
      <c r="R53" s="8"/>
      <c r="T53"/>
    </row>
    <row r="54" spans="2:20" ht="23.1" customHeight="1" x14ac:dyDescent="0.25">
      <c r="B54" s="23" t="s">
        <v>81</v>
      </c>
      <c r="C54" s="50">
        <v>113</v>
      </c>
      <c r="D54" s="50">
        <v>8</v>
      </c>
      <c r="E54" s="50">
        <v>13</v>
      </c>
      <c r="F54" s="50">
        <v>67</v>
      </c>
      <c r="G54" s="50">
        <v>3</v>
      </c>
      <c r="H54" s="50">
        <v>2</v>
      </c>
      <c r="I54" s="50">
        <v>9</v>
      </c>
      <c r="J54" s="50">
        <v>12</v>
      </c>
      <c r="K54" s="50">
        <v>2</v>
      </c>
      <c r="L54" s="50">
        <v>3</v>
      </c>
      <c r="M54" s="50">
        <v>355</v>
      </c>
      <c r="N54" s="50">
        <v>0</v>
      </c>
      <c r="O54" s="15">
        <f t="shared" si="0"/>
        <v>232</v>
      </c>
      <c r="P54" s="15">
        <f t="shared" si="1"/>
        <v>587</v>
      </c>
      <c r="R54" s="8"/>
      <c r="T54"/>
    </row>
    <row r="55" spans="2:20" ht="23.1" customHeight="1" x14ac:dyDescent="0.25">
      <c r="B55" s="23" t="s">
        <v>82</v>
      </c>
      <c r="C55" s="50">
        <v>132</v>
      </c>
      <c r="D55" s="50">
        <v>8</v>
      </c>
      <c r="E55" s="50">
        <v>8</v>
      </c>
      <c r="F55" s="50">
        <v>49</v>
      </c>
      <c r="G55" s="50">
        <v>0</v>
      </c>
      <c r="H55" s="50">
        <v>0</v>
      </c>
      <c r="I55" s="50">
        <v>11</v>
      </c>
      <c r="J55" s="50">
        <v>10</v>
      </c>
      <c r="K55" s="50">
        <v>4</v>
      </c>
      <c r="L55" s="50">
        <v>2</v>
      </c>
      <c r="M55" s="50">
        <v>278</v>
      </c>
      <c r="N55" s="50">
        <v>0</v>
      </c>
      <c r="O55" s="15">
        <f t="shared" si="0"/>
        <v>224</v>
      </c>
      <c r="P55" s="15">
        <f t="shared" si="1"/>
        <v>502</v>
      </c>
      <c r="R55" s="8"/>
      <c r="T55"/>
    </row>
    <row r="56" spans="2:20" ht="23.1" customHeight="1" x14ac:dyDescent="0.25">
      <c r="B56" s="23" t="s">
        <v>83</v>
      </c>
      <c r="C56" s="50">
        <v>148</v>
      </c>
      <c r="D56" s="50">
        <v>9</v>
      </c>
      <c r="E56" s="50">
        <v>4</v>
      </c>
      <c r="F56" s="50">
        <v>57</v>
      </c>
      <c r="G56" s="50">
        <v>2</v>
      </c>
      <c r="H56" s="50">
        <v>0</v>
      </c>
      <c r="I56" s="50">
        <v>7</v>
      </c>
      <c r="J56" s="50">
        <v>8</v>
      </c>
      <c r="K56" s="50">
        <v>6</v>
      </c>
      <c r="L56" s="50">
        <v>3</v>
      </c>
      <c r="M56" s="50">
        <v>260</v>
      </c>
      <c r="N56" s="50">
        <v>0</v>
      </c>
      <c r="O56" s="15">
        <f t="shared" si="0"/>
        <v>244</v>
      </c>
      <c r="P56" s="15">
        <f t="shared" si="1"/>
        <v>504</v>
      </c>
      <c r="R56" s="8"/>
      <c r="T56"/>
    </row>
    <row r="57" spans="2:20" ht="23.1" customHeight="1" x14ac:dyDescent="0.25">
      <c r="B57" s="23" t="s">
        <v>84</v>
      </c>
      <c r="C57" s="50">
        <v>122</v>
      </c>
      <c r="D57" s="50">
        <v>6</v>
      </c>
      <c r="E57" s="50">
        <v>2</v>
      </c>
      <c r="F57" s="50">
        <v>70</v>
      </c>
      <c r="G57" s="50">
        <v>0</v>
      </c>
      <c r="H57" s="50">
        <v>1</v>
      </c>
      <c r="I57" s="50">
        <v>2</v>
      </c>
      <c r="J57" s="50">
        <v>10</v>
      </c>
      <c r="K57" s="50">
        <v>4</v>
      </c>
      <c r="L57" s="50">
        <v>5</v>
      </c>
      <c r="M57" s="50">
        <v>400</v>
      </c>
      <c r="N57" s="50">
        <v>0</v>
      </c>
      <c r="O57" s="15">
        <f t="shared" si="0"/>
        <v>222</v>
      </c>
      <c r="P57" s="15">
        <f t="shared" si="1"/>
        <v>622</v>
      </c>
      <c r="R57" s="8"/>
      <c r="T57"/>
    </row>
    <row r="58" spans="2:20" ht="23.1" customHeight="1" x14ac:dyDescent="0.25">
      <c r="B58" s="26" t="s">
        <v>18</v>
      </c>
      <c r="C58" s="16">
        <f t="shared" ref="C58:P58" si="23">SUM(C10:C57)</f>
        <v>2332</v>
      </c>
      <c r="D58" s="16">
        <f t="shared" si="23"/>
        <v>308</v>
      </c>
      <c r="E58" s="16">
        <f t="shared" si="23"/>
        <v>286</v>
      </c>
      <c r="F58" s="16">
        <f t="shared" si="23"/>
        <v>1430</v>
      </c>
      <c r="G58" s="16">
        <f t="shared" si="23"/>
        <v>37</v>
      </c>
      <c r="H58" s="16">
        <f t="shared" si="23"/>
        <v>29</v>
      </c>
      <c r="I58" s="16">
        <f t="shared" si="23"/>
        <v>357</v>
      </c>
      <c r="J58" s="16">
        <f t="shared" si="23"/>
        <v>313</v>
      </c>
      <c r="K58" s="16">
        <f t="shared" si="23"/>
        <v>92</v>
      </c>
      <c r="L58" s="16">
        <f t="shared" si="23"/>
        <v>99</v>
      </c>
      <c r="M58" s="16">
        <f t="shared" si="23"/>
        <v>10197</v>
      </c>
      <c r="N58" s="16">
        <f t="shared" si="23"/>
        <v>0</v>
      </c>
      <c r="O58" s="16">
        <f t="shared" si="23"/>
        <v>5283</v>
      </c>
      <c r="P58" s="16">
        <f t="shared" si="23"/>
        <v>15480</v>
      </c>
      <c r="R58" s="8"/>
      <c r="T58"/>
    </row>
    <row r="59" spans="2:20" ht="23.1" customHeight="1" x14ac:dyDescent="0.25">
      <c r="B59" s="26" t="s">
        <v>93</v>
      </c>
      <c r="C59" s="43">
        <f t="shared" ref="C59:N59" si="24">C58/$P$58</f>
        <v>0.15064599483204133</v>
      </c>
      <c r="D59" s="43">
        <f t="shared" si="24"/>
        <v>1.9896640826873386E-2</v>
      </c>
      <c r="E59" s="43">
        <f t="shared" si="24"/>
        <v>1.8475452196382428E-2</v>
      </c>
      <c r="F59" s="43">
        <f t="shared" si="24"/>
        <v>9.2377260981912152E-2</v>
      </c>
      <c r="G59" s="43">
        <f t="shared" si="24"/>
        <v>2.3901808785529717E-3</v>
      </c>
      <c r="H59" s="43">
        <f t="shared" si="24"/>
        <v>1.8733850129198967E-3</v>
      </c>
      <c r="I59" s="43">
        <f t="shared" si="24"/>
        <v>2.306201550387597E-2</v>
      </c>
      <c r="J59" s="43">
        <f t="shared" si="24"/>
        <v>2.0219638242894057E-2</v>
      </c>
      <c r="K59" s="43">
        <f t="shared" si="24"/>
        <v>5.943152454780362E-3</v>
      </c>
      <c r="L59" s="43">
        <f t="shared" si="24"/>
        <v>6.3953488372093022E-3</v>
      </c>
      <c r="M59" s="43">
        <f t="shared" si="24"/>
        <v>0.65872093023255818</v>
      </c>
      <c r="N59" s="43">
        <f t="shared" si="24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0.44141586219950785</v>
      </c>
      <c r="D60" s="44">
        <f t="shared" ref="D60:N60" si="25">D58/$O$58</f>
        <v>5.8300208215029341E-2</v>
      </c>
      <c r="E60" s="44">
        <f t="shared" si="25"/>
        <v>5.4135907628241532E-2</v>
      </c>
      <c r="F60" s="44">
        <f t="shared" si="25"/>
        <v>0.27067953814120765</v>
      </c>
      <c r="G60" s="44">
        <f t="shared" si="25"/>
        <v>7.0035964414158621E-3</v>
      </c>
      <c r="H60" s="44">
        <f t="shared" si="25"/>
        <v>5.4893053189475679E-3</v>
      </c>
      <c r="I60" s="44">
        <f t="shared" si="25"/>
        <v>6.757524134014764E-2</v>
      </c>
      <c r="J60" s="44">
        <f t="shared" si="25"/>
        <v>5.9246640166572023E-2</v>
      </c>
      <c r="K60" s="44">
        <f t="shared" si="25"/>
        <v>1.7414347908385388E-2</v>
      </c>
      <c r="L60" s="44">
        <f t="shared" si="25"/>
        <v>1.8739352640545145E-2</v>
      </c>
      <c r="M60" s="44"/>
      <c r="N60" s="44">
        <f t="shared" si="25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C1" zoomScale="60" workbookViewId="0">
      <selection activeCell="M22" sqref="M2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19" width="10.7109375" style="8" customWidth="1"/>
    <col min="20" max="20" width="11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'22.07 Bulenga-Busega'!C3:G3</f>
        <v>MCC - C1 - STN12-MITYANA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'25.07 Busega-Bulenga'!D5</f>
        <v>25.07.19</v>
      </c>
      <c r="E5" s="3"/>
      <c r="F5" s="41" t="s">
        <v>1</v>
      </c>
      <c r="G5" s="68" t="str">
        <f>'25.07 Busega-Bulenga'!G5:H5</f>
        <v xml:space="preserve">Petro Max </v>
      </c>
      <c r="H5" s="69"/>
      <c r="I5" s="14"/>
      <c r="J5" s="2" t="s">
        <v>5</v>
      </c>
      <c r="K5" s="68" t="s">
        <v>178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'22.07 Bulenga-Busega'!D6:E6</f>
        <v xml:space="preserve">Bulenga </v>
      </c>
      <c r="E6" s="69"/>
      <c r="F6" s="2" t="s">
        <v>2</v>
      </c>
      <c r="G6" s="68" t="str">
        <f>'22.07 Bulenga-Busega'!G6:H6</f>
        <v>Busega</v>
      </c>
      <c r="H6" s="69"/>
      <c r="J6" s="2" t="s">
        <v>21</v>
      </c>
      <c r="K6" s="68" t="str">
        <f>'25.07 Busega-Bulenga'!K6:L6</f>
        <v>Andrew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50</v>
      </c>
      <c r="D10" s="50">
        <v>10</v>
      </c>
      <c r="E10" s="50">
        <v>7</v>
      </c>
      <c r="F10" s="50">
        <v>36</v>
      </c>
      <c r="G10" s="50">
        <v>3</v>
      </c>
      <c r="H10" s="50">
        <v>2</v>
      </c>
      <c r="I10" s="50">
        <v>12</v>
      </c>
      <c r="J10" s="50">
        <v>1</v>
      </c>
      <c r="K10" s="50">
        <v>5</v>
      </c>
      <c r="L10" s="50">
        <v>2</v>
      </c>
      <c r="M10" s="50">
        <v>60</v>
      </c>
      <c r="N10" s="50">
        <v>0</v>
      </c>
      <c r="O10" s="15">
        <f t="shared" ref="O10:O57" si="0">SUM(C10:L10,N10)</f>
        <v>128</v>
      </c>
      <c r="P10" s="15">
        <f t="shared" ref="P10:P57" si="1">SUM(C10:N10)</f>
        <v>188</v>
      </c>
      <c r="R10" s="1" t="s">
        <v>6</v>
      </c>
      <c r="S10" s="17">
        <f t="shared" ref="S10:AF10" si="2">SUM(C10:C13)</f>
        <v>215</v>
      </c>
      <c r="T10" s="17">
        <f t="shared" si="2"/>
        <v>33</v>
      </c>
      <c r="U10" s="17">
        <f t="shared" si="2"/>
        <v>41</v>
      </c>
      <c r="V10" s="17">
        <f t="shared" si="2"/>
        <v>169</v>
      </c>
      <c r="W10" s="17">
        <f t="shared" si="2"/>
        <v>6</v>
      </c>
      <c r="X10" s="17">
        <f t="shared" si="2"/>
        <v>4</v>
      </c>
      <c r="Y10" s="17">
        <f t="shared" si="2"/>
        <v>28</v>
      </c>
      <c r="Z10" s="17">
        <f t="shared" si="2"/>
        <v>9</v>
      </c>
      <c r="AA10" s="17">
        <f t="shared" si="2"/>
        <v>9</v>
      </c>
      <c r="AB10" s="17">
        <f t="shared" si="2"/>
        <v>3</v>
      </c>
      <c r="AC10" s="17">
        <f t="shared" si="2"/>
        <v>270</v>
      </c>
      <c r="AD10" s="17">
        <f t="shared" si="2"/>
        <v>0</v>
      </c>
      <c r="AE10" s="31">
        <f t="shared" si="2"/>
        <v>517</v>
      </c>
      <c r="AF10" s="31">
        <f t="shared" si="2"/>
        <v>787</v>
      </c>
    </row>
    <row r="11" spans="2:32" s="6" customFormat="1" ht="23.1" customHeight="1" x14ac:dyDescent="0.25">
      <c r="B11" s="23" t="s">
        <v>38</v>
      </c>
      <c r="C11" s="50">
        <v>55</v>
      </c>
      <c r="D11" s="50">
        <v>9</v>
      </c>
      <c r="E11" s="50">
        <v>16</v>
      </c>
      <c r="F11" s="50">
        <v>42</v>
      </c>
      <c r="G11" s="50">
        <v>2</v>
      </c>
      <c r="H11" s="50">
        <v>1</v>
      </c>
      <c r="I11" s="50">
        <v>6</v>
      </c>
      <c r="J11" s="50">
        <v>0</v>
      </c>
      <c r="K11" s="50">
        <v>1</v>
      </c>
      <c r="L11" s="50">
        <v>0</v>
      </c>
      <c r="M11" s="50">
        <v>65</v>
      </c>
      <c r="N11" s="50">
        <v>0</v>
      </c>
      <c r="O11" s="15">
        <f t="shared" si="0"/>
        <v>132</v>
      </c>
      <c r="P11" s="15">
        <f t="shared" si="1"/>
        <v>197</v>
      </c>
      <c r="R11" s="1" t="s">
        <v>7</v>
      </c>
      <c r="S11" s="17">
        <f t="shared" ref="S11:AF11" si="3">SUM(C14:C17)</f>
        <v>215</v>
      </c>
      <c r="T11" s="17">
        <f t="shared" si="3"/>
        <v>18</v>
      </c>
      <c r="U11" s="17">
        <f t="shared" si="3"/>
        <v>33</v>
      </c>
      <c r="V11" s="17">
        <f t="shared" si="3"/>
        <v>94</v>
      </c>
      <c r="W11" s="17">
        <f t="shared" si="3"/>
        <v>5</v>
      </c>
      <c r="X11" s="17">
        <f t="shared" si="3"/>
        <v>0</v>
      </c>
      <c r="Y11" s="17">
        <f t="shared" si="3"/>
        <v>15</v>
      </c>
      <c r="Z11" s="17">
        <f t="shared" si="3"/>
        <v>11</v>
      </c>
      <c r="AA11" s="17">
        <f t="shared" si="3"/>
        <v>3</v>
      </c>
      <c r="AB11" s="17">
        <f t="shared" si="3"/>
        <v>6</v>
      </c>
      <c r="AC11" s="17">
        <f t="shared" si="3"/>
        <v>250</v>
      </c>
      <c r="AD11" s="17">
        <f t="shared" si="3"/>
        <v>1</v>
      </c>
      <c r="AE11" s="31">
        <f t="shared" si="3"/>
        <v>401</v>
      </c>
      <c r="AF11" s="31">
        <f t="shared" si="3"/>
        <v>651</v>
      </c>
    </row>
    <row r="12" spans="2:32" ht="23.1" customHeight="1" x14ac:dyDescent="0.25">
      <c r="B12" s="23" t="s">
        <v>39</v>
      </c>
      <c r="C12" s="50">
        <v>70</v>
      </c>
      <c r="D12" s="50">
        <v>9</v>
      </c>
      <c r="E12" s="50">
        <v>14</v>
      </c>
      <c r="F12" s="50">
        <v>55</v>
      </c>
      <c r="G12" s="50">
        <v>0</v>
      </c>
      <c r="H12" s="50">
        <v>1</v>
      </c>
      <c r="I12" s="50">
        <v>5</v>
      </c>
      <c r="J12" s="50">
        <v>2</v>
      </c>
      <c r="K12" s="50">
        <v>2</v>
      </c>
      <c r="L12" s="50">
        <v>1</v>
      </c>
      <c r="M12" s="50">
        <v>75</v>
      </c>
      <c r="N12" s="50">
        <v>0</v>
      </c>
      <c r="O12" s="15">
        <f t="shared" si="0"/>
        <v>159</v>
      </c>
      <c r="P12" s="15">
        <f t="shared" si="1"/>
        <v>234</v>
      </c>
      <c r="R12" s="1" t="s">
        <v>8</v>
      </c>
      <c r="S12" s="17">
        <f t="shared" ref="S12:AF12" si="4">SUM(C18:C21)</f>
        <v>190</v>
      </c>
      <c r="T12" s="17">
        <f t="shared" si="4"/>
        <v>23</v>
      </c>
      <c r="U12" s="17">
        <f t="shared" si="4"/>
        <v>41</v>
      </c>
      <c r="V12" s="17">
        <f t="shared" si="4"/>
        <v>105</v>
      </c>
      <c r="W12" s="17">
        <f t="shared" si="4"/>
        <v>3</v>
      </c>
      <c r="X12" s="17">
        <f t="shared" si="4"/>
        <v>1</v>
      </c>
      <c r="Y12" s="17">
        <f t="shared" si="4"/>
        <v>31</v>
      </c>
      <c r="Z12" s="17">
        <f t="shared" si="4"/>
        <v>19</v>
      </c>
      <c r="AA12" s="17">
        <f t="shared" si="4"/>
        <v>3</v>
      </c>
      <c r="AB12" s="17">
        <f t="shared" si="4"/>
        <v>5</v>
      </c>
      <c r="AC12" s="17">
        <f t="shared" si="4"/>
        <v>443</v>
      </c>
      <c r="AD12" s="17">
        <f t="shared" si="4"/>
        <v>0</v>
      </c>
      <c r="AE12" s="31">
        <f t="shared" si="4"/>
        <v>421</v>
      </c>
      <c r="AF12" s="31">
        <f t="shared" si="4"/>
        <v>864</v>
      </c>
    </row>
    <row r="13" spans="2:32" ht="23.1" customHeight="1" x14ac:dyDescent="0.25">
      <c r="B13" s="23" t="s">
        <v>40</v>
      </c>
      <c r="C13" s="50">
        <v>40</v>
      </c>
      <c r="D13" s="50">
        <v>5</v>
      </c>
      <c r="E13" s="50">
        <v>4</v>
      </c>
      <c r="F13" s="50">
        <v>36</v>
      </c>
      <c r="G13" s="50">
        <v>1</v>
      </c>
      <c r="H13" s="50">
        <v>0</v>
      </c>
      <c r="I13" s="50">
        <v>5</v>
      </c>
      <c r="J13" s="50">
        <v>6</v>
      </c>
      <c r="K13" s="50">
        <v>1</v>
      </c>
      <c r="L13" s="50">
        <v>0</v>
      </c>
      <c r="M13" s="50">
        <v>70</v>
      </c>
      <c r="N13" s="50">
        <v>0</v>
      </c>
      <c r="O13" s="15">
        <f t="shared" si="0"/>
        <v>98</v>
      </c>
      <c r="P13" s="15">
        <f t="shared" si="1"/>
        <v>168</v>
      </c>
      <c r="R13" s="1" t="s">
        <v>9</v>
      </c>
      <c r="S13" s="17">
        <f t="shared" ref="S13:AF13" si="5">SUM(C22:C25)</f>
        <v>187</v>
      </c>
      <c r="T13" s="17">
        <f t="shared" si="5"/>
        <v>12</v>
      </c>
      <c r="U13" s="17">
        <f t="shared" si="5"/>
        <v>19</v>
      </c>
      <c r="V13" s="17">
        <f t="shared" si="5"/>
        <v>119</v>
      </c>
      <c r="W13" s="17">
        <f t="shared" si="5"/>
        <v>4</v>
      </c>
      <c r="X13" s="17">
        <f t="shared" si="5"/>
        <v>1</v>
      </c>
      <c r="Y13" s="17">
        <f t="shared" si="5"/>
        <v>33</v>
      </c>
      <c r="Z13" s="17">
        <f t="shared" si="5"/>
        <v>31</v>
      </c>
      <c r="AA13" s="17">
        <f t="shared" si="5"/>
        <v>4</v>
      </c>
      <c r="AB13" s="17">
        <f t="shared" si="5"/>
        <v>5</v>
      </c>
      <c r="AC13" s="17">
        <f t="shared" si="5"/>
        <v>723</v>
      </c>
      <c r="AD13" s="17">
        <f t="shared" si="5"/>
        <v>0</v>
      </c>
      <c r="AE13" s="31">
        <f t="shared" si="5"/>
        <v>415</v>
      </c>
      <c r="AF13" s="31">
        <f t="shared" si="5"/>
        <v>1138</v>
      </c>
    </row>
    <row r="14" spans="2:32" ht="23.1" customHeight="1" x14ac:dyDescent="0.25">
      <c r="B14" s="23" t="s">
        <v>41</v>
      </c>
      <c r="C14" s="50">
        <v>60</v>
      </c>
      <c r="D14" s="50">
        <v>3</v>
      </c>
      <c r="E14" s="50">
        <v>9</v>
      </c>
      <c r="F14" s="50">
        <v>14</v>
      </c>
      <c r="G14" s="50">
        <v>0</v>
      </c>
      <c r="H14" s="50">
        <v>0</v>
      </c>
      <c r="I14" s="50">
        <v>2</v>
      </c>
      <c r="J14" s="50">
        <v>2</v>
      </c>
      <c r="K14" s="50">
        <v>1</v>
      </c>
      <c r="L14" s="50">
        <v>2</v>
      </c>
      <c r="M14" s="50">
        <v>50</v>
      </c>
      <c r="N14" s="50">
        <v>1</v>
      </c>
      <c r="O14" s="15">
        <f t="shared" si="0"/>
        <v>94</v>
      </c>
      <c r="P14" s="15">
        <f t="shared" si="1"/>
        <v>144</v>
      </c>
      <c r="R14" s="1" t="s">
        <v>10</v>
      </c>
      <c r="S14" s="17">
        <f t="shared" ref="S14:AF14" si="6">SUM(C26:C29)</f>
        <v>225</v>
      </c>
      <c r="T14" s="17">
        <f t="shared" si="6"/>
        <v>16</v>
      </c>
      <c r="U14" s="17">
        <f t="shared" si="6"/>
        <v>28</v>
      </c>
      <c r="V14" s="17">
        <f t="shared" si="6"/>
        <v>119</v>
      </c>
      <c r="W14" s="17">
        <f t="shared" si="6"/>
        <v>2</v>
      </c>
      <c r="X14" s="17">
        <f t="shared" si="6"/>
        <v>2</v>
      </c>
      <c r="Y14" s="17">
        <f t="shared" si="6"/>
        <v>32</v>
      </c>
      <c r="Z14" s="17">
        <f t="shared" si="6"/>
        <v>20</v>
      </c>
      <c r="AA14" s="17">
        <f t="shared" si="6"/>
        <v>2</v>
      </c>
      <c r="AB14" s="17">
        <f t="shared" si="6"/>
        <v>7</v>
      </c>
      <c r="AC14" s="17">
        <f t="shared" si="6"/>
        <v>677</v>
      </c>
      <c r="AD14" s="17">
        <f t="shared" si="6"/>
        <v>0</v>
      </c>
      <c r="AE14" s="31">
        <f t="shared" si="6"/>
        <v>453</v>
      </c>
      <c r="AF14" s="31">
        <f t="shared" si="6"/>
        <v>1130</v>
      </c>
    </row>
    <row r="15" spans="2:32" ht="23.1" customHeight="1" x14ac:dyDescent="0.25">
      <c r="B15" s="23" t="s">
        <v>42</v>
      </c>
      <c r="C15" s="50">
        <v>55</v>
      </c>
      <c r="D15" s="50">
        <v>2</v>
      </c>
      <c r="E15" s="50">
        <v>9</v>
      </c>
      <c r="F15" s="50">
        <v>30</v>
      </c>
      <c r="G15" s="50">
        <v>3</v>
      </c>
      <c r="H15" s="50">
        <v>0</v>
      </c>
      <c r="I15" s="50">
        <v>6</v>
      </c>
      <c r="J15" s="50">
        <v>2</v>
      </c>
      <c r="K15" s="50">
        <v>1</v>
      </c>
      <c r="L15" s="50">
        <v>2</v>
      </c>
      <c r="M15" s="50">
        <v>55</v>
      </c>
      <c r="N15" s="50">
        <v>0</v>
      </c>
      <c r="O15" s="15">
        <f t="shared" si="0"/>
        <v>110</v>
      </c>
      <c r="P15" s="15">
        <f t="shared" si="1"/>
        <v>165</v>
      </c>
      <c r="R15" s="1" t="s">
        <v>11</v>
      </c>
      <c r="S15" s="17">
        <f t="shared" ref="S15:AF15" si="7">SUM(C30:C33)</f>
        <v>177</v>
      </c>
      <c r="T15" s="17">
        <f t="shared" si="7"/>
        <v>20</v>
      </c>
      <c r="U15" s="17">
        <f t="shared" si="7"/>
        <v>23</v>
      </c>
      <c r="V15" s="17">
        <f t="shared" si="7"/>
        <v>67</v>
      </c>
      <c r="W15" s="17">
        <f t="shared" si="7"/>
        <v>0</v>
      </c>
      <c r="X15" s="17">
        <f t="shared" si="7"/>
        <v>2</v>
      </c>
      <c r="Y15" s="17">
        <f t="shared" si="7"/>
        <v>21</v>
      </c>
      <c r="Z15" s="17">
        <f t="shared" si="7"/>
        <v>13</v>
      </c>
      <c r="AA15" s="17">
        <f t="shared" si="7"/>
        <v>4</v>
      </c>
      <c r="AB15" s="17">
        <f t="shared" si="7"/>
        <v>8</v>
      </c>
      <c r="AC15" s="17">
        <f t="shared" si="7"/>
        <v>657</v>
      </c>
      <c r="AD15" s="17">
        <f t="shared" si="7"/>
        <v>0</v>
      </c>
      <c r="AE15" s="31">
        <f t="shared" si="7"/>
        <v>335</v>
      </c>
      <c r="AF15" s="31">
        <f t="shared" si="7"/>
        <v>992</v>
      </c>
    </row>
    <row r="16" spans="2:32" ht="23.1" customHeight="1" x14ac:dyDescent="0.25">
      <c r="B16" s="23" t="s">
        <v>43</v>
      </c>
      <c r="C16" s="50">
        <v>45</v>
      </c>
      <c r="D16" s="50">
        <v>6</v>
      </c>
      <c r="E16" s="50">
        <v>11</v>
      </c>
      <c r="F16" s="50">
        <v>30</v>
      </c>
      <c r="G16" s="50">
        <v>1</v>
      </c>
      <c r="H16" s="50">
        <v>0</v>
      </c>
      <c r="I16" s="50">
        <v>2</v>
      </c>
      <c r="J16" s="50">
        <v>4</v>
      </c>
      <c r="K16" s="50">
        <v>1</v>
      </c>
      <c r="L16" s="50">
        <v>2</v>
      </c>
      <c r="M16" s="50">
        <v>65</v>
      </c>
      <c r="N16" s="50">
        <v>0</v>
      </c>
      <c r="O16" s="15">
        <f t="shared" si="0"/>
        <v>102</v>
      </c>
      <c r="P16" s="15">
        <f t="shared" si="1"/>
        <v>167</v>
      </c>
      <c r="R16" s="1" t="s">
        <v>12</v>
      </c>
      <c r="S16" s="17">
        <f t="shared" ref="S16:AF16" si="8">SUM(C34:C37)</f>
        <v>168</v>
      </c>
      <c r="T16" s="17">
        <f t="shared" si="8"/>
        <v>5</v>
      </c>
      <c r="U16" s="17">
        <f t="shared" si="8"/>
        <v>33</v>
      </c>
      <c r="V16" s="17">
        <f t="shared" si="8"/>
        <v>82</v>
      </c>
      <c r="W16" s="17">
        <f t="shared" si="8"/>
        <v>0</v>
      </c>
      <c r="X16" s="17">
        <f t="shared" si="8"/>
        <v>0</v>
      </c>
      <c r="Y16" s="17">
        <f t="shared" si="8"/>
        <v>25</v>
      </c>
      <c r="Z16" s="17">
        <f t="shared" si="8"/>
        <v>26</v>
      </c>
      <c r="AA16" s="17">
        <f t="shared" si="8"/>
        <v>1</v>
      </c>
      <c r="AB16" s="17">
        <f t="shared" si="8"/>
        <v>8</v>
      </c>
      <c r="AC16" s="17">
        <f t="shared" si="8"/>
        <v>620</v>
      </c>
      <c r="AD16" s="17">
        <f t="shared" si="8"/>
        <v>0</v>
      </c>
      <c r="AE16" s="31">
        <f t="shared" si="8"/>
        <v>348</v>
      </c>
      <c r="AF16" s="31">
        <f t="shared" si="8"/>
        <v>968</v>
      </c>
    </row>
    <row r="17" spans="2:32" ht="23.1" customHeight="1" x14ac:dyDescent="0.25">
      <c r="B17" s="23" t="s">
        <v>44</v>
      </c>
      <c r="C17" s="50">
        <v>55</v>
      </c>
      <c r="D17" s="50">
        <v>7</v>
      </c>
      <c r="E17" s="50">
        <v>4</v>
      </c>
      <c r="F17" s="50">
        <v>20</v>
      </c>
      <c r="G17" s="50">
        <v>1</v>
      </c>
      <c r="H17" s="50">
        <v>0</v>
      </c>
      <c r="I17" s="50">
        <v>5</v>
      </c>
      <c r="J17" s="50">
        <v>3</v>
      </c>
      <c r="K17" s="50">
        <v>0</v>
      </c>
      <c r="L17" s="50">
        <v>0</v>
      </c>
      <c r="M17" s="50">
        <v>80</v>
      </c>
      <c r="N17" s="50">
        <v>0</v>
      </c>
      <c r="O17" s="15">
        <f t="shared" si="0"/>
        <v>95</v>
      </c>
      <c r="P17" s="15">
        <f t="shared" si="1"/>
        <v>175</v>
      </c>
      <c r="R17" s="1" t="s">
        <v>13</v>
      </c>
      <c r="S17" s="17">
        <f t="shared" ref="S17:AF17" si="9">SUM(C38:C41)</f>
        <v>144</v>
      </c>
      <c r="T17" s="17">
        <f t="shared" si="9"/>
        <v>8</v>
      </c>
      <c r="U17" s="17">
        <f t="shared" si="9"/>
        <v>26</v>
      </c>
      <c r="V17" s="17">
        <f t="shared" si="9"/>
        <v>65</v>
      </c>
      <c r="W17" s="17">
        <f t="shared" si="9"/>
        <v>0</v>
      </c>
      <c r="X17" s="17">
        <f t="shared" si="9"/>
        <v>1</v>
      </c>
      <c r="Y17" s="17">
        <f t="shared" si="9"/>
        <v>22</v>
      </c>
      <c r="Z17" s="17">
        <f t="shared" si="9"/>
        <v>32</v>
      </c>
      <c r="AA17" s="17">
        <f t="shared" si="9"/>
        <v>13</v>
      </c>
      <c r="AB17" s="17">
        <f t="shared" si="9"/>
        <v>3</v>
      </c>
      <c r="AC17" s="17">
        <f t="shared" si="9"/>
        <v>472</v>
      </c>
      <c r="AD17" s="17">
        <f t="shared" si="9"/>
        <v>185</v>
      </c>
      <c r="AE17" s="31">
        <f t="shared" si="9"/>
        <v>499</v>
      </c>
      <c r="AF17" s="31">
        <f t="shared" si="9"/>
        <v>971</v>
      </c>
    </row>
    <row r="18" spans="2:32" ht="23.1" customHeight="1" x14ac:dyDescent="0.25">
      <c r="B18" s="23" t="s">
        <v>45</v>
      </c>
      <c r="C18" s="50">
        <v>45</v>
      </c>
      <c r="D18" s="50">
        <v>9</v>
      </c>
      <c r="E18" s="50">
        <v>16</v>
      </c>
      <c r="F18" s="50">
        <v>33</v>
      </c>
      <c r="G18" s="50">
        <v>1</v>
      </c>
      <c r="H18" s="50">
        <v>1</v>
      </c>
      <c r="I18" s="50">
        <v>9</v>
      </c>
      <c r="J18" s="50">
        <v>6</v>
      </c>
      <c r="K18" s="50">
        <v>1</v>
      </c>
      <c r="L18" s="50">
        <v>2</v>
      </c>
      <c r="M18" s="50">
        <v>100</v>
      </c>
      <c r="N18" s="50">
        <v>0</v>
      </c>
      <c r="O18" s="15">
        <f t="shared" si="0"/>
        <v>123</v>
      </c>
      <c r="P18" s="15">
        <f t="shared" si="1"/>
        <v>223</v>
      </c>
      <c r="R18" s="1" t="s">
        <v>14</v>
      </c>
      <c r="S18" s="17">
        <f t="shared" ref="S18:AF18" si="10">SUM(C42:C45)</f>
        <v>176</v>
      </c>
      <c r="T18" s="17">
        <f t="shared" si="10"/>
        <v>18</v>
      </c>
      <c r="U18" s="17">
        <f t="shared" si="10"/>
        <v>22</v>
      </c>
      <c r="V18" s="17">
        <f t="shared" si="10"/>
        <v>67</v>
      </c>
      <c r="W18" s="17">
        <f t="shared" si="10"/>
        <v>0</v>
      </c>
      <c r="X18" s="17">
        <f t="shared" si="10"/>
        <v>4</v>
      </c>
      <c r="Y18" s="17">
        <f t="shared" si="10"/>
        <v>46</v>
      </c>
      <c r="Z18" s="17">
        <f t="shared" si="10"/>
        <v>13</v>
      </c>
      <c r="AA18" s="17">
        <f t="shared" si="10"/>
        <v>3</v>
      </c>
      <c r="AB18" s="17">
        <f t="shared" si="10"/>
        <v>10</v>
      </c>
      <c r="AC18" s="17">
        <f t="shared" si="10"/>
        <v>646</v>
      </c>
      <c r="AD18" s="17">
        <f t="shared" si="10"/>
        <v>0</v>
      </c>
      <c r="AE18" s="31">
        <f t="shared" si="10"/>
        <v>359</v>
      </c>
      <c r="AF18" s="31">
        <f t="shared" si="10"/>
        <v>1005</v>
      </c>
    </row>
    <row r="19" spans="2:32" ht="23.1" customHeight="1" x14ac:dyDescent="0.25">
      <c r="B19" s="23" t="s">
        <v>46</v>
      </c>
      <c r="C19" s="50">
        <v>43</v>
      </c>
      <c r="D19" s="50">
        <v>5</v>
      </c>
      <c r="E19" s="50">
        <v>7</v>
      </c>
      <c r="F19" s="50">
        <v>15</v>
      </c>
      <c r="G19" s="50">
        <v>1</v>
      </c>
      <c r="H19" s="50">
        <v>0</v>
      </c>
      <c r="I19" s="50">
        <v>6</v>
      </c>
      <c r="J19" s="50">
        <v>2</v>
      </c>
      <c r="K19" s="50">
        <v>1</v>
      </c>
      <c r="L19" s="50">
        <v>1</v>
      </c>
      <c r="M19" s="50">
        <v>80</v>
      </c>
      <c r="N19" s="50">
        <v>0</v>
      </c>
      <c r="O19" s="15">
        <f t="shared" si="0"/>
        <v>81</v>
      </c>
      <c r="P19" s="15">
        <f t="shared" si="1"/>
        <v>161</v>
      </c>
      <c r="R19" s="1" t="s">
        <v>15</v>
      </c>
      <c r="S19" s="17">
        <f t="shared" ref="S19:AF19" si="11">SUM(C46:C49)</f>
        <v>183</v>
      </c>
      <c r="T19" s="17">
        <f t="shared" si="11"/>
        <v>12</v>
      </c>
      <c r="U19" s="17">
        <f t="shared" si="11"/>
        <v>35</v>
      </c>
      <c r="V19" s="17">
        <f t="shared" si="11"/>
        <v>78</v>
      </c>
      <c r="W19" s="17">
        <f t="shared" si="11"/>
        <v>1</v>
      </c>
      <c r="X19" s="17">
        <f t="shared" si="11"/>
        <v>0</v>
      </c>
      <c r="Y19" s="17">
        <f t="shared" si="11"/>
        <v>32</v>
      </c>
      <c r="Z19" s="17">
        <f t="shared" si="11"/>
        <v>14</v>
      </c>
      <c r="AA19" s="17">
        <f t="shared" si="11"/>
        <v>2</v>
      </c>
      <c r="AB19" s="17">
        <f t="shared" si="11"/>
        <v>8</v>
      </c>
      <c r="AC19" s="17">
        <f t="shared" si="11"/>
        <v>715</v>
      </c>
      <c r="AD19" s="17">
        <f t="shared" si="11"/>
        <v>0</v>
      </c>
      <c r="AE19" s="31">
        <f t="shared" si="11"/>
        <v>365</v>
      </c>
      <c r="AF19" s="31">
        <f t="shared" si="11"/>
        <v>1080</v>
      </c>
    </row>
    <row r="20" spans="2:32" ht="23.1" customHeight="1" x14ac:dyDescent="0.25">
      <c r="B20" s="23" t="s">
        <v>47</v>
      </c>
      <c r="C20" s="50">
        <v>57</v>
      </c>
      <c r="D20" s="50">
        <v>5</v>
      </c>
      <c r="E20" s="50">
        <v>5</v>
      </c>
      <c r="F20" s="50">
        <v>31</v>
      </c>
      <c r="G20" s="50">
        <v>1</v>
      </c>
      <c r="H20" s="50">
        <v>0</v>
      </c>
      <c r="I20" s="50">
        <v>9</v>
      </c>
      <c r="J20" s="50">
        <v>5</v>
      </c>
      <c r="K20" s="50">
        <v>1</v>
      </c>
      <c r="L20" s="50">
        <v>1</v>
      </c>
      <c r="M20" s="50">
        <v>130</v>
      </c>
      <c r="N20" s="50">
        <v>0</v>
      </c>
      <c r="O20" s="15">
        <f t="shared" si="0"/>
        <v>115</v>
      </c>
      <c r="P20" s="15">
        <f t="shared" si="1"/>
        <v>245</v>
      </c>
      <c r="R20" s="1" t="s">
        <v>16</v>
      </c>
      <c r="S20" s="17">
        <f t="shared" ref="S20:AF20" si="12">SUM(C50:C53)</f>
        <v>204</v>
      </c>
      <c r="T20" s="17">
        <f t="shared" si="12"/>
        <v>8</v>
      </c>
      <c r="U20" s="17">
        <f t="shared" si="12"/>
        <v>48</v>
      </c>
      <c r="V20" s="17">
        <f t="shared" si="12"/>
        <v>97</v>
      </c>
      <c r="W20" s="17">
        <f t="shared" si="12"/>
        <v>9</v>
      </c>
      <c r="X20" s="17">
        <f t="shared" si="12"/>
        <v>2</v>
      </c>
      <c r="Y20" s="17">
        <f t="shared" si="12"/>
        <v>19</v>
      </c>
      <c r="Z20" s="17">
        <f t="shared" si="12"/>
        <v>22</v>
      </c>
      <c r="AA20" s="17">
        <f t="shared" si="12"/>
        <v>4</v>
      </c>
      <c r="AB20" s="17">
        <f t="shared" si="12"/>
        <v>9</v>
      </c>
      <c r="AC20" s="17">
        <f t="shared" si="12"/>
        <v>759</v>
      </c>
      <c r="AD20" s="17">
        <f t="shared" si="12"/>
        <v>0</v>
      </c>
      <c r="AE20" s="31">
        <f t="shared" si="12"/>
        <v>422</v>
      </c>
      <c r="AF20" s="31">
        <f t="shared" si="12"/>
        <v>1181</v>
      </c>
    </row>
    <row r="21" spans="2:32" ht="23.1" customHeight="1" x14ac:dyDescent="0.25">
      <c r="B21" s="23" t="s">
        <v>48</v>
      </c>
      <c r="C21" s="50">
        <v>45</v>
      </c>
      <c r="D21" s="50">
        <v>4</v>
      </c>
      <c r="E21" s="50">
        <v>13</v>
      </c>
      <c r="F21" s="50">
        <v>26</v>
      </c>
      <c r="G21" s="50">
        <v>0</v>
      </c>
      <c r="H21" s="50">
        <v>0</v>
      </c>
      <c r="I21" s="50">
        <v>7</v>
      </c>
      <c r="J21" s="50">
        <v>6</v>
      </c>
      <c r="K21" s="50">
        <v>0</v>
      </c>
      <c r="L21" s="50">
        <v>1</v>
      </c>
      <c r="M21" s="50">
        <v>133</v>
      </c>
      <c r="N21" s="50">
        <v>0</v>
      </c>
      <c r="O21" s="15">
        <f t="shared" si="0"/>
        <v>102</v>
      </c>
      <c r="P21" s="15">
        <f t="shared" si="1"/>
        <v>235</v>
      </c>
      <c r="R21" s="36" t="s">
        <v>20</v>
      </c>
      <c r="S21" s="34">
        <f t="shared" ref="S21:AF21" si="13">SUM(C54:C57)</f>
        <v>202</v>
      </c>
      <c r="T21" s="17">
        <f t="shared" si="13"/>
        <v>7</v>
      </c>
      <c r="U21" s="17">
        <f t="shared" si="13"/>
        <v>31</v>
      </c>
      <c r="V21" s="17">
        <f t="shared" si="13"/>
        <v>99</v>
      </c>
      <c r="W21" s="17">
        <f t="shared" si="13"/>
        <v>6</v>
      </c>
      <c r="X21" s="17">
        <f t="shared" si="13"/>
        <v>3</v>
      </c>
      <c r="Y21" s="17">
        <f t="shared" si="13"/>
        <v>25</v>
      </c>
      <c r="Z21" s="17">
        <f t="shared" si="13"/>
        <v>13</v>
      </c>
      <c r="AA21" s="17">
        <f t="shared" si="13"/>
        <v>3</v>
      </c>
      <c r="AB21" s="17">
        <f t="shared" si="13"/>
        <v>8</v>
      </c>
      <c r="AC21" s="17">
        <f t="shared" si="13"/>
        <v>746</v>
      </c>
      <c r="AD21" s="17">
        <f t="shared" si="13"/>
        <v>0</v>
      </c>
      <c r="AE21" s="31">
        <f t="shared" si="13"/>
        <v>397</v>
      </c>
      <c r="AF21" s="31">
        <f t="shared" si="13"/>
        <v>1143</v>
      </c>
    </row>
    <row r="22" spans="2:32" ht="23.1" customHeight="1" x14ac:dyDescent="0.25">
      <c r="B22" s="23" t="s">
        <v>49</v>
      </c>
      <c r="C22" s="50">
        <v>50</v>
      </c>
      <c r="D22" s="50">
        <v>4</v>
      </c>
      <c r="E22" s="50">
        <v>4</v>
      </c>
      <c r="F22" s="50">
        <v>34</v>
      </c>
      <c r="G22" s="50">
        <v>0</v>
      </c>
      <c r="H22" s="50">
        <v>1</v>
      </c>
      <c r="I22" s="50">
        <v>13</v>
      </c>
      <c r="J22" s="50">
        <v>4</v>
      </c>
      <c r="K22" s="50">
        <v>3</v>
      </c>
      <c r="L22" s="50">
        <v>4</v>
      </c>
      <c r="M22" s="50">
        <v>190</v>
      </c>
      <c r="N22" s="50">
        <v>0</v>
      </c>
      <c r="O22" s="15">
        <f t="shared" si="0"/>
        <v>117</v>
      </c>
      <c r="P22" s="15">
        <f t="shared" si="1"/>
        <v>307</v>
      </c>
      <c r="R22" s="38" t="s">
        <v>90</v>
      </c>
      <c r="S22" s="39">
        <f>MAX(S10:S12)</f>
        <v>215</v>
      </c>
      <c r="T22" s="39">
        <f t="shared" ref="T22:AF22" si="14">MAX(T10:T12)</f>
        <v>33</v>
      </c>
      <c r="U22" s="39">
        <f t="shared" si="14"/>
        <v>41</v>
      </c>
      <c r="V22" s="39">
        <f t="shared" si="14"/>
        <v>169</v>
      </c>
      <c r="W22" s="39">
        <f t="shared" si="14"/>
        <v>6</v>
      </c>
      <c r="X22" s="39">
        <f t="shared" si="14"/>
        <v>4</v>
      </c>
      <c r="Y22" s="39">
        <f t="shared" si="14"/>
        <v>31</v>
      </c>
      <c r="Z22" s="39">
        <f t="shared" si="14"/>
        <v>19</v>
      </c>
      <c r="AA22" s="39">
        <f t="shared" si="14"/>
        <v>9</v>
      </c>
      <c r="AB22" s="39">
        <f t="shared" si="14"/>
        <v>6</v>
      </c>
      <c r="AC22" s="39">
        <f t="shared" si="14"/>
        <v>443</v>
      </c>
      <c r="AD22" s="39">
        <f t="shared" si="14"/>
        <v>1</v>
      </c>
      <c r="AE22" s="40">
        <f t="shared" si="14"/>
        <v>517</v>
      </c>
      <c r="AF22" s="40">
        <f t="shared" si="14"/>
        <v>864</v>
      </c>
    </row>
    <row r="23" spans="2:32" ht="23.1" customHeight="1" x14ac:dyDescent="0.25">
      <c r="B23" s="23" t="s">
        <v>50</v>
      </c>
      <c r="C23" s="50">
        <v>57</v>
      </c>
      <c r="D23" s="50">
        <v>4</v>
      </c>
      <c r="E23" s="50">
        <v>4</v>
      </c>
      <c r="F23" s="50">
        <v>26</v>
      </c>
      <c r="G23" s="50">
        <v>3</v>
      </c>
      <c r="H23" s="50">
        <v>0</v>
      </c>
      <c r="I23" s="50">
        <v>7</v>
      </c>
      <c r="J23" s="50">
        <v>13</v>
      </c>
      <c r="K23" s="50">
        <v>0</v>
      </c>
      <c r="L23" s="50">
        <v>0</v>
      </c>
      <c r="M23" s="50">
        <v>205</v>
      </c>
      <c r="N23" s="50">
        <v>0</v>
      </c>
      <c r="O23" s="15">
        <f t="shared" si="0"/>
        <v>114</v>
      </c>
      <c r="P23" s="15">
        <f t="shared" si="1"/>
        <v>319</v>
      </c>
      <c r="R23" s="38" t="s">
        <v>91</v>
      </c>
      <c r="S23" s="39">
        <f>MAX(S13:S18)</f>
        <v>225</v>
      </c>
      <c r="T23" s="39">
        <f t="shared" ref="T23:AF23" si="15">MAX(T13:T18)</f>
        <v>20</v>
      </c>
      <c r="U23" s="39">
        <f t="shared" si="15"/>
        <v>33</v>
      </c>
      <c r="V23" s="39">
        <f t="shared" si="15"/>
        <v>119</v>
      </c>
      <c r="W23" s="39">
        <f t="shared" si="15"/>
        <v>4</v>
      </c>
      <c r="X23" s="39">
        <f t="shared" si="15"/>
        <v>4</v>
      </c>
      <c r="Y23" s="39">
        <f t="shared" si="15"/>
        <v>46</v>
      </c>
      <c r="Z23" s="39">
        <f t="shared" si="15"/>
        <v>32</v>
      </c>
      <c r="AA23" s="39">
        <f t="shared" si="15"/>
        <v>13</v>
      </c>
      <c r="AB23" s="39">
        <f t="shared" si="15"/>
        <v>10</v>
      </c>
      <c r="AC23" s="39">
        <f t="shared" si="15"/>
        <v>723</v>
      </c>
      <c r="AD23" s="39">
        <f t="shared" si="15"/>
        <v>185</v>
      </c>
      <c r="AE23" s="40">
        <f t="shared" si="15"/>
        <v>499</v>
      </c>
      <c r="AF23" s="40">
        <f t="shared" si="15"/>
        <v>1138</v>
      </c>
    </row>
    <row r="24" spans="2:32" ht="23.1" customHeight="1" x14ac:dyDescent="0.25">
      <c r="B24" s="23" t="s">
        <v>51</v>
      </c>
      <c r="C24" s="50">
        <v>37</v>
      </c>
      <c r="D24" s="50">
        <v>1</v>
      </c>
      <c r="E24" s="50">
        <v>6</v>
      </c>
      <c r="F24" s="50">
        <v>23</v>
      </c>
      <c r="G24" s="50">
        <v>1</v>
      </c>
      <c r="H24" s="50">
        <v>0</v>
      </c>
      <c r="I24" s="50">
        <v>4</v>
      </c>
      <c r="J24" s="50">
        <v>9</v>
      </c>
      <c r="K24" s="50">
        <v>1</v>
      </c>
      <c r="L24" s="50">
        <v>0</v>
      </c>
      <c r="M24" s="50">
        <v>153</v>
      </c>
      <c r="N24" s="50">
        <v>0</v>
      </c>
      <c r="O24" s="15">
        <f t="shared" si="0"/>
        <v>82</v>
      </c>
      <c r="P24" s="15">
        <f t="shared" si="1"/>
        <v>235</v>
      </c>
      <c r="R24" s="38" t="s">
        <v>92</v>
      </c>
      <c r="S24" s="39">
        <f>MAX(S19:S21)</f>
        <v>204</v>
      </c>
      <c r="T24" s="39">
        <f t="shared" ref="T24:AF24" si="16">MAX(T19:T21)</f>
        <v>12</v>
      </c>
      <c r="U24" s="39">
        <f t="shared" si="16"/>
        <v>48</v>
      </c>
      <c r="V24" s="39">
        <f t="shared" si="16"/>
        <v>99</v>
      </c>
      <c r="W24" s="39">
        <f t="shared" si="16"/>
        <v>9</v>
      </c>
      <c r="X24" s="39">
        <f t="shared" si="16"/>
        <v>3</v>
      </c>
      <c r="Y24" s="39">
        <f t="shared" si="16"/>
        <v>32</v>
      </c>
      <c r="Z24" s="39">
        <f t="shared" si="16"/>
        <v>22</v>
      </c>
      <c r="AA24" s="39">
        <f t="shared" si="16"/>
        <v>4</v>
      </c>
      <c r="AB24" s="39">
        <f t="shared" si="16"/>
        <v>9</v>
      </c>
      <c r="AC24" s="39">
        <f t="shared" si="16"/>
        <v>759</v>
      </c>
      <c r="AD24" s="39">
        <f t="shared" si="16"/>
        <v>0</v>
      </c>
      <c r="AE24" s="40">
        <f t="shared" si="16"/>
        <v>422</v>
      </c>
      <c r="AF24" s="40">
        <f t="shared" si="16"/>
        <v>1181</v>
      </c>
    </row>
    <row r="25" spans="2:32" ht="23.1" customHeight="1" x14ac:dyDescent="0.25">
      <c r="B25" s="23" t="s">
        <v>52</v>
      </c>
      <c r="C25" s="50">
        <v>43</v>
      </c>
      <c r="D25" s="50">
        <v>3</v>
      </c>
      <c r="E25" s="50">
        <v>5</v>
      </c>
      <c r="F25" s="50">
        <v>36</v>
      </c>
      <c r="G25" s="50">
        <v>0</v>
      </c>
      <c r="H25" s="50">
        <v>0</v>
      </c>
      <c r="I25" s="50">
        <v>9</v>
      </c>
      <c r="J25" s="50">
        <v>5</v>
      </c>
      <c r="K25" s="50">
        <v>0</v>
      </c>
      <c r="L25" s="50">
        <v>1</v>
      </c>
      <c r="M25" s="50">
        <v>175</v>
      </c>
      <c r="N25" s="50">
        <v>0</v>
      </c>
      <c r="O25" s="15">
        <f t="shared" si="0"/>
        <v>102</v>
      </c>
      <c r="P25" s="15">
        <f t="shared" si="1"/>
        <v>277</v>
      </c>
      <c r="R25" s="37" t="s">
        <v>85</v>
      </c>
      <c r="S25" s="35">
        <f t="shared" ref="S25:AF25" si="17">SUM(S10:S12)</f>
        <v>620</v>
      </c>
      <c r="T25" s="16">
        <f t="shared" si="17"/>
        <v>74</v>
      </c>
      <c r="U25" s="16">
        <f t="shared" si="17"/>
        <v>115</v>
      </c>
      <c r="V25" s="16">
        <f t="shared" si="17"/>
        <v>368</v>
      </c>
      <c r="W25" s="16">
        <f t="shared" si="17"/>
        <v>14</v>
      </c>
      <c r="X25" s="16">
        <f t="shared" si="17"/>
        <v>5</v>
      </c>
      <c r="Y25" s="16">
        <f t="shared" si="17"/>
        <v>74</v>
      </c>
      <c r="Z25" s="16">
        <f t="shared" si="17"/>
        <v>39</v>
      </c>
      <c r="AA25" s="16">
        <f t="shared" si="17"/>
        <v>15</v>
      </c>
      <c r="AB25" s="16">
        <f t="shared" si="17"/>
        <v>14</v>
      </c>
      <c r="AC25" s="16">
        <f t="shared" si="17"/>
        <v>963</v>
      </c>
      <c r="AD25" s="16">
        <f t="shared" si="17"/>
        <v>1</v>
      </c>
      <c r="AE25" s="32">
        <f t="shared" si="17"/>
        <v>1339</v>
      </c>
      <c r="AF25" s="32">
        <f t="shared" si="17"/>
        <v>2302</v>
      </c>
    </row>
    <row r="26" spans="2:32" ht="23.1" customHeight="1" x14ac:dyDescent="0.25">
      <c r="B26" s="23" t="s">
        <v>53</v>
      </c>
      <c r="C26" s="50">
        <v>82</v>
      </c>
      <c r="D26" s="50">
        <v>6</v>
      </c>
      <c r="E26" s="50">
        <v>9</v>
      </c>
      <c r="F26" s="50">
        <v>33</v>
      </c>
      <c r="G26" s="50">
        <v>2</v>
      </c>
      <c r="H26" s="50">
        <v>1</v>
      </c>
      <c r="I26" s="50">
        <v>6</v>
      </c>
      <c r="J26" s="50">
        <v>6</v>
      </c>
      <c r="K26" s="50">
        <v>1</v>
      </c>
      <c r="L26" s="50">
        <v>1</v>
      </c>
      <c r="M26" s="50">
        <v>173</v>
      </c>
      <c r="N26" s="50">
        <v>0</v>
      </c>
      <c r="O26" s="15">
        <f t="shared" si="0"/>
        <v>147</v>
      </c>
      <c r="P26" s="15">
        <f t="shared" si="1"/>
        <v>320</v>
      </c>
      <c r="R26" s="28" t="s">
        <v>86</v>
      </c>
      <c r="S26" s="16">
        <f t="shared" ref="S26:AF26" si="18">SUM(S13:S18)</f>
        <v>1077</v>
      </c>
      <c r="T26" s="16">
        <f t="shared" si="18"/>
        <v>79</v>
      </c>
      <c r="U26" s="16">
        <f t="shared" si="18"/>
        <v>151</v>
      </c>
      <c r="V26" s="16">
        <f t="shared" si="18"/>
        <v>519</v>
      </c>
      <c r="W26" s="16">
        <f t="shared" si="18"/>
        <v>6</v>
      </c>
      <c r="X26" s="16">
        <f t="shared" si="18"/>
        <v>10</v>
      </c>
      <c r="Y26" s="16">
        <f t="shared" si="18"/>
        <v>179</v>
      </c>
      <c r="Z26" s="16">
        <f t="shared" si="18"/>
        <v>135</v>
      </c>
      <c r="AA26" s="16">
        <f t="shared" si="18"/>
        <v>27</v>
      </c>
      <c r="AB26" s="16">
        <f t="shared" si="18"/>
        <v>41</v>
      </c>
      <c r="AC26" s="16">
        <f t="shared" si="18"/>
        <v>3795</v>
      </c>
      <c r="AD26" s="16">
        <f t="shared" si="18"/>
        <v>185</v>
      </c>
      <c r="AE26" s="32">
        <f t="shared" si="18"/>
        <v>2409</v>
      </c>
      <c r="AF26" s="32">
        <f t="shared" si="18"/>
        <v>6204</v>
      </c>
    </row>
    <row r="27" spans="2:32" ht="23.1" customHeight="1" x14ac:dyDescent="0.25">
      <c r="B27" s="23" t="s">
        <v>54</v>
      </c>
      <c r="C27" s="50">
        <v>58</v>
      </c>
      <c r="D27" s="50">
        <v>4</v>
      </c>
      <c r="E27" s="50">
        <v>11</v>
      </c>
      <c r="F27" s="50">
        <v>29</v>
      </c>
      <c r="G27" s="50">
        <v>0</v>
      </c>
      <c r="H27" s="50">
        <v>1</v>
      </c>
      <c r="I27" s="50">
        <v>9</v>
      </c>
      <c r="J27" s="50">
        <v>5</v>
      </c>
      <c r="K27" s="50">
        <v>1</v>
      </c>
      <c r="L27" s="50">
        <v>4</v>
      </c>
      <c r="M27" s="50">
        <v>176</v>
      </c>
      <c r="N27" s="50">
        <v>0</v>
      </c>
      <c r="O27" s="15">
        <f t="shared" si="0"/>
        <v>122</v>
      </c>
      <c r="P27" s="15">
        <f t="shared" si="1"/>
        <v>298</v>
      </c>
      <c r="R27" s="29" t="s">
        <v>87</v>
      </c>
      <c r="S27" s="16">
        <f t="shared" ref="S27:AF27" si="19">SUM(S19:S21)</f>
        <v>589</v>
      </c>
      <c r="T27" s="16">
        <f t="shared" si="19"/>
        <v>27</v>
      </c>
      <c r="U27" s="16">
        <f t="shared" si="19"/>
        <v>114</v>
      </c>
      <c r="V27" s="16">
        <f t="shared" si="19"/>
        <v>274</v>
      </c>
      <c r="W27" s="16">
        <f t="shared" si="19"/>
        <v>16</v>
      </c>
      <c r="X27" s="16">
        <f t="shared" si="19"/>
        <v>5</v>
      </c>
      <c r="Y27" s="16">
        <f t="shared" si="19"/>
        <v>76</v>
      </c>
      <c r="Z27" s="16">
        <f t="shared" si="19"/>
        <v>49</v>
      </c>
      <c r="AA27" s="16">
        <f t="shared" si="19"/>
        <v>9</v>
      </c>
      <c r="AB27" s="16">
        <f t="shared" si="19"/>
        <v>25</v>
      </c>
      <c r="AC27" s="16">
        <f t="shared" si="19"/>
        <v>2220</v>
      </c>
      <c r="AD27" s="16">
        <f t="shared" si="19"/>
        <v>0</v>
      </c>
      <c r="AE27" s="32">
        <f t="shared" si="19"/>
        <v>1184</v>
      </c>
      <c r="AF27" s="32">
        <f t="shared" si="19"/>
        <v>3404</v>
      </c>
    </row>
    <row r="28" spans="2:32" ht="23.1" customHeight="1" x14ac:dyDescent="0.25">
      <c r="B28" s="23" t="s">
        <v>55</v>
      </c>
      <c r="C28" s="50">
        <v>54</v>
      </c>
      <c r="D28" s="50">
        <v>5</v>
      </c>
      <c r="E28" s="50">
        <v>3</v>
      </c>
      <c r="F28" s="50">
        <v>33</v>
      </c>
      <c r="G28" s="50">
        <v>0</v>
      </c>
      <c r="H28" s="50">
        <v>0</v>
      </c>
      <c r="I28" s="50">
        <v>9</v>
      </c>
      <c r="J28" s="50">
        <v>3</v>
      </c>
      <c r="K28" s="50">
        <v>0</v>
      </c>
      <c r="L28" s="50">
        <v>0</v>
      </c>
      <c r="M28" s="50">
        <v>163</v>
      </c>
      <c r="N28" s="50">
        <v>0</v>
      </c>
      <c r="O28" s="15">
        <f t="shared" si="0"/>
        <v>107</v>
      </c>
      <c r="P28" s="15">
        <f t="shared" si="1"/>
        <v>270</v>
      </c>
      <c r="R28" s="5" t="s">
        <v>17</v>
      </c>
      <c r="S28" s="16">
        <f t="shared" ref="S28:AF28" si="20">SUM(S10:S21)</f>
        <v>2286</v>
      </c>
      <c r="T28" s="16">
        <f t="shared" si="20"/>
        <v>180</v>
      </c>
      <c r="U28" s="16">
        <f t="shared" si="20"/>
        <v>380</v>
      </c>
      <c r="V28" s="16">
        <f t="shared" si="20"/>
        <v>1161</v>
      </c>
      <c r="W28" s="16">
        <f t="shared" si="20"/>
        <v>36</v>
      </c>
      <c r="X28" s="16">
        <f t="shared" si="20"/>
        <v>20</v>
      </c>
      <c r="Y28" s="16">
        <f t="shared" si="20"/>
        <v>329</v>
      </c>
      <c r="Z28" s="16">
        <f t="shared" si="20"/>
        <v>223</v>
      </c>
      <c r="AA28" s="16">
        <f t="shared" si="20"/>
        <v>51</v>
      </c>
      <c r="AB28" s="16">
        <f t="shared" si="20"/>
        <v>80</v>
      </c>
      <c r="AC28" s="16">
        <f t="shared" si="20"/>
        <v>6978</v>
      </c>
      <c r="AD28" s="16">
        <f t="shared" si="20"/>
        <v>186</v>
      </c>
      <c r="AE28" s="32">
        <f t="shared" si="20"/>
        <v>4932</v>
      </c>
      <c r="AF28" s="32">
        <f t="shared" si="20"/>
        <v>11910</v>
      </c>
    </row>
    <row r="29" spans="2:32" ht="23.1" customHeight="1" x14ac:dyDescent="0.25">
      <c r="B29" s="23" t="s">
        <v>56</v>
      </c>
      <c r="C29" s="50">
        <v>31</v>
      </c>
      <c r="D29" s="50">
        <v>1</v>
      </c>
      <c r="E29" s="50">
        <v>5</v>
      </c>
      <c r="F29" s="50">
        <v>24</v>
      </c>
      <c r="G29" s="50">
        <v>0</v>
      </c>
      <c r="H29" s="50">
        <v>0</v>
      </c>
      <c r="I29" s="50">
        <v>8</v>
      </c>
      <c r="J29" s="50">
        <v>6</v>
      </c>
      <c r="K29" s="50">
        <v>0</v>
      </c>
      <c r="L29" s="50">
        <v>2</v>
      </c>
      <c r="M29" s="50">
        <v>165</v>
      </c>
      <c r="N29" s="50">
        <v>0</v>
      </c>
      <c r="O29" s="15">
        <f t="shared" si="0"/>
        <v>77</v>
      </c>
      <c r="P29" s="15">
        <f t="shared" si="1"/>
        <v>242</v>
      </c>
      <c r="R29"/>
      <c r="S29" s="20"/>
      <c r="T29" s="19"/>
    </row>
    <row r="30" spans="2:32" ht="23.1" customHeight="1" x14ac:dyDescent="0.25">
      <c r="B30" s="23" t="s">
        <v>57</v>
      </c>
      <c r="C30" s="50">
        <v>48</v>
      </c>
      <c r="D30" s="50">
        <v>6</v>
      </c>
      <c r="E30" s="50">
        <v>5</v>
      </c>
      <c r="F30" s="50">
        <v>18</v>
      </c>
      <c r="G30" s="50">
        <v>0</v>
      </c>
      <c r="H30" s="50">
        <v>0</v>
      </c>
      <c r="I30" s="50">
        <v>10</v>
      </c>
      <c r="J30" s="50">
        <v>3</v>
      </c>
      <c r="K30" s="50">
        <v>2</v>
      </c>
      <c r="L30" s="50">
        <v>1</v>
      </c>
      <c r="M30" s="50">
        <v>183</v>
      </c>
      <c r="N30" s="50">
        <v>0</v>
      </c>
      <c r="O30" s="15">
        <f t="shared" si="0"/>
        <v>93</v>
      </c>
      <c r="P30" s="15">
        <f t="shared" si="1"/>
        <v>276</v>
      </c>
    </row>
    <row r="31" spans="2:32" ht="23.1" customHeight="1" x14ac:dyDescent="0.25">
      <c r="B31" s="24" t="s">
        <v>58</v>
      </c>
      <c r="C31" s="50">
        <v>35</v>
      </c>
      <c r="D31" s="50">
        <v>5</v>
      </c>
      <c r="E31" s="50">
        <v>6</v>
      </c>
      <c r="F31" s="50">
        <v>16</v>
      </c>
      <c r="G31" s="50">
        <v>0</v>
      </c>
      <c r="H31" s="50">
        <v>1</v>
      </c>
      <c r="I31" s="50">
        <v>4</v>
      </c>
      <c r="J31" s="50">
        <v>2</v>
      </c>
      <c r="K31" s="50">
        <v>0</v>
      </c>
      <c r="L31" s="50">
        <v>4</v>
      </c>
      <c r="M31" s="50">
        <v>180</v>
      </c>
      <c r="N31" s="50">
        <v>0</v>
      </c>
      <c r="O31" s="15">
        <f t="shared" si="0"/>
        <v>73</v>
      </c>
      <c r="P31" s="15">
        <f t="shared" si="1"/>
        <v>253</v>
      </c>
    </row>
    <row r="32" spans="2:32" ht="23.1" customHeight="1" x14ac:dyDescent="0.25">
      <c r="B32" s="24" t="s">
        <v>59</v>
      </c>
      <c r="C32" s="50">
        <v>53</v>
      </c>
      <c r="D32" s="50">
        <v>8</v>
      </c>
      <c r="E32" s="50">
        <v>9</v>
      </c>
      <c r="F32" s="50">
        <v>24</v>
      </c>
      <c r="G32" s="50">
        <v>0</v>
      </c>
      <c r="H32" s="50">
        <v>0</v>
      </c>
      <c r="I32" s="50">
        <v>4</v>
      </c>
      <c r="J32" s="50">
        <v>5</v>
      </c>
      <c r="K32" s="50">
        <v>1</v>
      </c>
      <c r="L32" s="50">
        <v>1</v>
      </c>
      <c r="M32" s="50">
        <v>162</v>
      </c>
      <c r="N32" s="50">
        <v>0</v>
      </c>
      <c r="O32" s="15">
        <f t="shared" si="0"/>
        <v>105</v>
      </c>
      <c r="P32" s="15">
        <f t="shared" si="1"/>
        <v>267</v>
      </c>
    </row>
    <row r="33" spans="2:20" ht="23.1" customHeight="1" x14ac:dyDescent="0.25">
      <c r="B33" s="23" t="s">
        <v>60</v>
      </c>
      <c r="C33" s="50">
        <v>41</v>
      </c>
      <c r="D33" s="50">
        <v>1</v>
      </c>
      <c r="E33" s="50">
        <v>3</v>
      </c>
      <c r="F33" s="50">
        <v>9</v>
      </c>
      <c r="G33" s="50">
        <v>0</v>
      </c>
      <c r="H33" s="50">
        <v>1</v>
      </c>
      <c r="I33" s="50">
        <v>3</v>
      </c>
      <c r="J33" s="50">
        <v>3</v>
      </c>
      <c r="K33" s="50">
        <v>1</v>
      </c>
      <c r="L33" s="50">
        <v>2</v>
      </c>
      <c r="M33" s="50">
        <v>132</v>
      </c>
      <c r="N33" s="50">
        <v>0</v>
      </c>
      <c r="O33" s="15">
        <f t="shared" si="0"/>
        <v>64</v>
      </c>
      <c r="P33" s="15">
        <f t="shared" si="1"/>
        <v>196</v>
      </c>
    </row>
    <row r="34" spans="2:20" ht="23.1" customHeight="1" x14ac:dyDescent="0.25">
      <c r="B34" s="24" t="s">
        <v>61</v>
      </c>
      <c r="C34" s="50">
        <v>43</v>
      </c>
      <c r="D34" s="50">
        <v>2</v>
      </c>
      <c r="E34" s="50">
        <v>12</v>
      </c>
      <c r="F34" s="50">
        <v>23</v>
      </c>
      <c r="G34" s="50">
        <v>0</v>
      </c>
      <c r="H34" s="50">
        <v>0</v>
      </c>
      <c r="I34" s="50">
        <v>8</v>
      </c>
      <c r="J34" s="50">
        <v>5</v>
      </c>
      <c r="K34" s="50">
        <v>0</v>
      </c>
      <c r="L34" s="50">
        <v>3</v>
      </c>
      <c r="M34" s="50">
        <v>165</v>
      </c>
      <c r="N34" s="50">
        <v>0</v>
      </c>
      <c r="O34" s="15">
        <f t="shared" si="0"/>
        <v>96</v>
      </c>
      <c r="P34" s="15">
        <f t="shared" si="1"/>
        <v>261</v>
      </c>
    </row>
    <row r="35" spans="2:20" ht="23.1" customHeight="1" x14ac:dyDescent="0.25">
      <c r="B35" s="24" t="s">
        <v>62</v>
      </c>
      <c r="C35" s="50">
        <v>37</v>
      </c>
      <c r="D35" s="50">
        <v>0</v>
      </c>
      <c r="E35" s="50">
        <v>8</v>
      </c>
      <c r="F35" s="50">
        <v>24</v>
      </c>
      <c r="G35" s="50">
        <v>0</v>
      </c>
      <c r="H35" s="50">
        <v>0</v>
      </c>
      <c r="I35" s="50">
        <v>2</v>
      </c>
      <c r="J35" s="50">
        <v>5</v>
      </c>
      <c r="K35" s="50">
        <v>0</v>
      </c>
      <c r="L35" s="50">
        <v>2</v>
      </c>
      <c r="M35" s="50">
        <v>130</v>
      </c>
      <c r="N35" s="50">
        <v>0</v>
      </c>
      <c r="O35" s="15">
        <f t="shared" si="0"/>
        <v>78</v>
      </c>
      <c r="P35" s="15">
        <f t="shared" si="1"/>
        <v>208</v>
      </c>
    </row>
    <row r="36" spans="2:20" ht="23.1" customHeight="1" x14ac:dyDescent="0.25">
      <c r="B36" s="24" t="s">
        <v>63</v>
      </c>
      <c r="C36" s="50">
        <v>45</v>
      </c>
      <c r="D36" s="50">
        <v>1</v>
      </c>
      <c r="E36" s="50">
        <v>7</v>
      </c>
      <c r="F36" s="50">
        <v>19</v>
      </c>
      <c r="G36" s="50">
        <v>0</v>
      </c>
      <c r="H36" s="50">
        <v>0</v>
      </c>
      <c r="I36" s="50">
        <v>6</v>
      </c>
      <c r="J36" s="50">
        <v>8</v>
      </c>
      <c r="K36" s="50">
        <v>0</v>
      </c>
      <c r="L36" s="50">
        <v>2</v>
      </c>
      <c r="M36" s="50">
        <v>165</v>
      </c>
      <c r="N36" s="50">
        <v>0</v>
      </c>
      <c r="O36" s="15">
        <f t="shared" si="0"/>
        <v>88</v>
      </c>
      <c r="P36" s="15">
        <f t="shared" si="1"/>
        <v>253</v>
      </c>
    </row>
    <row r="37" spans="2:20" ht="23.1" customHeight="1" x14ac:dyDescent="0.25">
      <c r="B37" s="23" t="s">
        <v>64</v>
      </c>
      <c r="C37" s="50">
        <v>43</v>
      </c>
      <c r="D37" s="50">
        <v>2</v>
      </c>
      <c r="E37" s="50">
        <v>6</v>
      </c>
      <c r="F37" s="50">
        <v>16</v>
      </c>
      <c r="G37" s="50">
        <v>0</v>
      </c>
      <c r="H37" s="50">
        <v>0</v>
      </c>
      <c r="I37" s="50">
        <v>9</v>
      </c>
      <c r="J37" s="50">
        <v>8</v>
      </c>
      <c r="K37" s="50">
        <v>1</v>
      </c>
      <c r="L37" s="50">
        <v>1</v>
      </c>
      <c r="M37" s="50">
        <v>160</v>
      </c>
      <c r="N37" s="50">
        <v>0</v>
      </c>
      <c r="O37" s="15">
        <f t="shared" si="0"/>
        <v>86</v>
      </c>
      <c r="P37" s="15">
        <f t="shared" si="1"/>
        <v>246</v>
      </c>
    </row>
    <row r="38" spans="2:20" ht="23.1" customHeight="1" x14ac:dyDescent="0.25">
      <c r="B38" s="24" t="s">
        <v>65</v>
      </c>
      <c r="C38" s="50">
        <v>40</v>
      </c>
      <c r="D38" s="50">
        <v>2</v>
      </c>
      <c r="E38" s="50">
        <v>4</v>
      </c>
      <c r="F38" s="50">
        <v>20</v>
      </c>
      <c r="G38" s="50">
        <v>0</v>
      </c>
      <c r="H38" s="50">
        <v>0</v>
      </c>
      <c r="I38" s="50">
        <v>8</v>
      </c>
      <c r="J38" s="50">
        <v>7</v>
      </c>
      <c r="K38" s="50">
        <v>4</v>
      </c>
      <c r="L38" s="50">
        <v>2</v>
      </c>
      <c r="M38" s="50">
        <v>175</v>
      </c>
      <c r="N38" s="50">
        <v>0</v>
      </c>
      <c r="O38" s="15">
        <f t="shared" si="0"/>
        <v>87</v>
      </c>
      <c r="P38" s="15">
        <f t="shared" si="1"/>
        <v>262</v>
      </c>
    </row>
    <row r="39" spans="2:20" ht="23.1" customHeight="1" x14ac:dyDescent="0.25">
      <c r="B39" s="24" t="s">
        <v>66</v>
      </c>
      <c r="C39" s="50">
        <v>30</v>
      </c>
      <c r="D39" s="50">
        <v>0</v>
      </c>
      <c r="E39" s="50">
        <v>6</v>
      </c>
      <c r="F39" s="50">
        <v>13</v>
      </c>
      <c r="G39" s="50">
        <v>0</v>
      </c>
      <c r="H39" s="50">
        <v>0</v>
      </c>
      <c r="I39" s="50">
        <v>6</v>
      </c>
      <c r="J39" s="50">
        <v>9</v>
      </c>
      <c r="K39" s="50">
        <v>1</v>
      </c>
      <c r="L39" s="50">
        <v>1</v>
      </c>
      <c r="M39" s="50">
        <v>155</v>
      </c>
      <c r="N39" s="50">
        <v>0</v>
      </c>
      <c r="O39" s="15">
        <f t="shared" si="0"/>
        <v>66</v>
      </c>
      <c r="P39" s="15">
        <f t="shared" si="1"/>
        <v>221</v>
      </c>
    </row>
    <row r="40" spans="2:20" ht="23.1" customHeight="1" x14ac:dyDescent="0.25">
      <c r="B40" s="24" t="s">
        <v>67</v>
      </c>
      <c r="C40" s="50">
        <v>22</v>
      </c>
      <c r="D40" s="50">
        <v>2</v>
      </c>
      <c r="E40" s="50">
        <v>7</v>
      </c>
      <c r="F40" s="50">
        <v>7</v>
      </c>
      <c r="G40" s="50">
        <v>0</v>
      </c>
      <c r="H40" s="50">
        <v>0</v>
      </c>
      <c r="I40" s="50">
        <v>7</v>
      </c>
      <c r="J40" s="50">
        <v>3</v>
      </c>
      <c r="K40" s="50">
        <v>2</v>
      </c>
      <c r="L40" s="50">
        <v>0</v>
      </c>
      <c r="M40" s="50">
        <v>141</v>
      </c>
      <c r="N40" s="50">
        <v>0</v>
      </c>
      <c r="O40" s="15">
        <f t="shared" si="0"/>
        <v>50</v>
      </c>
      <c r="P40" s="15">
        <f t="shared" si="1"/>
        <v>191</v>
      </c>
    </row>
    <row r="41" spans="2:20" ht="23.1" customHeight="1" x14ac:dyDescent="0.25">
      <c r="B41" s="23" t="s">
        <v>68</v>
      </c>
      <c r="C41" s="50">
        <v>52</v>
      </c>
      <c r="D41" s="50">
        <v>4</v>
      </c>
      <c r="E41" s="50">
        <v>9</v>
      </c>
      <c r="F41" s="50">
        <v>25</v>
      </c>
      <c r="G41" s="50">
        <v>0</v>
      </c>
      <c r="H41" s="50">
        <v>1</v>
      </c>
      <c r="I41" s="50">
        <v>1</v>
      </c>
      <c r="J41" s="50">
        <v>13</v>
      </c>
      <c r="K41" s="50">
        <v>6</v>
      </c>
      <c r="L41" s="50">
        <v>0</v>
      </c>
      <c r="M41" s="50">
        <v>1</v>
      </c>
      <c r="N41" s="50">
        <v>185</v>
      </c>
      <c r="O41" s="15">
        <f t="shared" si="0"/>
        <v>296</v>
      </c>
      <c r="P41" s="15">
        <f t="shared" si="1"/>
        <v>297</v>
      </c>
    </row>
    <row r="42" spans="2:20" ht="23.1" customHeight="1" x14ac:dyDescent="0.25">
      <c r="B42" s="24" t="s">
        <v>69</v>
      </c>
      <c r="C42" s="50">
        <v>44</v>
      </c>
      <c r="D42" s="50">
        <v>9</v>
      </c>
      <c r="E42" s="50">
        <v>9</v>
      </c>
      <c r="F42" s="50">
        <v>18</v>
      </c>
      <c r="G42" s="50">
        <v>0</v>
      </c>
      <c r="H42" s="50">
        <v>1</v>
      </c>
      <c r="I42" s="50">
        <v>13</v>
      </c>
      <c r="J42" s="50">
        <v>4</v>
      </c>
      <c r="K42" s="50">
        <v>0</v>
      </c>
      <c r="L42" s="50">
        <v>3</v>
      </c>
      <c r="M42" s="50">
        <v>146</v>
      </c>
      <c r="N42" s="50">
        <v>0</v>
      </c>
      <c r="O42" s="15">
        <f t="shared" si="0"/>
        <v>101</v>
      </c>
      <c r="P42" s="15">
        <f t="shared" si="1"/>
        <v>247</v>
      </c>
    </row>
    <row r="43" spans="2:20" ht="23.1" customHeight="1" x14ac:dyDescent="0.25">
      <c r="B43" s="23" t="s">
        <v>70</v>
      </c>
      <c r="C43" s="50">
        <v>34</v>
      </c>
      <c r="D43" s="50">
        <v>2</v>
      </c>
      <c r="E43" s="50">
        <v>7</v>
      </c>
      <c r="F43" s="50">
        <v>12</v>
      </c>
      <c r="G43" s="50">
        <v>0</v>
      </c>
      <c r="H43" s="50">
        <v>0</v>
      </c>
      <c r="I43" s="50">
        <v>13</v>
      </c>
      <c r="J43" s="50">
        <v>4</v>
      </c>
      <c r="K43" s="50">
        <v>2</v>
      </c>
      <c r="L43" s="50">
        <v>3</v>
      </c>
      <c r="M43" s="50">
        <v>159</v>
      </c>
      <c r="N43" s="50">
        <v>0</v>
      </c>
      <c r="O43" s="15">
        <f t="shared" si="0"/>
        <v>77</v>
      </c>
      <c r="P43" s="15">
        <f t="shared" si="1"/>
        <v>236</v>
      </c>
    </row>
    <row r="44" spans="2:20" ht="23.1" customHeight="1" x14ac:dyDescent="0.25">
      <c r="B44" s="25" t="s">
        <v>71</v>
      </c>
      <c r="C44" s="50">
        <v>51</v>
      </c>
      <c r="D44" s="50">
        <v>4</v>
      </c>
      <c r="E44" s="50">
        <v>2</v>
      </c>
      <c r="F44" s="50">
        <v>25</v>
      </c>
      <c r="G44" s="50">
        <v>0</v>
      </c>
      <c r="H44" s="50">
        <v>1</v>
      </c>
      <c r="I44" s="50">
        <v>11</v>
      </c>
      <c r="J44" s="50">
        <v>3</v>
      </c>
      <c r="K44" s="50">
        <v>0</v>
      </c>
      <c r="L44" s="50">
        <v>3</v>
      </c>
      <c r="M44" s="50">
        <v>140</v>
      </c>
      <c r="N44" s="50">
        <v>0</v>
      </c>
      <c r="O44" s="15">
        <f t="shared" si="0"/>
        <v>100</v>
      </c>
      <c r="P44" s="15">
        <f t="shared" si="1"/>
        <v>240</v>
      </c>
    </row>
    <row r="45" spans="2:20" ht="23.1" customHeight="1" x14ac:dyDescent="0.25">
      <c r="B45" s="23" t="s">
        <v>72</v>
      </c>
      <c r="C45" s="50">
        <v>47</v>
      </c>
      <c r="D45" s="50">
        <v>3</v>
      </c>
      <c r="E45" s="50">
        <v>4</v>
      </c>
      <c r="F45" s="50">
        <v>12</v>
      </c>
      <c r="G45" s="50">
        <v>0</v>
      </c>
      <c r="H45" s="50">
        <v>2</v>
      </c>
      <c r="I45" s="50">
        <v>9</v>
      </c>
      <c r="J45" s="50">
        <v>2</v>
      </c>
      <c r="K45" s="50">
        <v>1</v>
      </c>
      <c r="L45" s="50">
        <v>1</v>
      </c>
      <c r="M45" s="50">
        <v>201</v>
      </c>
      <c r="N45" s="50">
        <v>0</v>
      </c>
      <c r="O45" s="15">
        <f t="shared" si="0"/>
        <v>81</v>
      </c>
      <c r="P45" s="15">
        <f t="shared" si="1"/>
        <v>282</v>
      </c>
    </row>
    <row r="46" spans="2:20" ht="23.1" customHeight="1" x14ac:dyDescent="0.25">
      <c r="B46" s="24" t="s">
        <v>73</v>
      </c>
      <c r="C46" s="50">
        <v>38</v>
      </c>
      <c r="D46" s="50">
        <v>1</v>
      </c>
      <c r="E46" s="50">
        <v>10</v>
      </c>
      <c r="F46" s="50">
        <v>13</v>
      </c>
      <c r="G46" s="50">
        <v>0</v>
      </c>
      <c r="H46" s="50">
        <v>0</v>
      </c>
      <c r="I46" s="50">
        <v>5</v>
      </c>
      <c r="J46" s="50">
        <v>2</v>
      </c>
      <c r="K46" s="50">
        <v>0</v>
      </c>
      <c r="L46" s="50">
        <v>1</v>
      </c>
      <c r="M46" s="50">
        <v>180</v>
      </c>
      <c r="N46" s="50">
        <v>0</v>
      </c>
      <c r="O46" s="15">
        <f t="shared" si="0"/>
        <v>70</v>
      </c>
      <c r="P46" s="15">
        <f t="shared" si="1"/>
        <v>250</v>
      </c>
      <c r="R46" s="8"/>
      <c r="T46"/>
    </row>
    <row r="47" spans="2:20" ht="23.1" customHeight="1" x14ac:dyDescent="0.25">
      <c r="B47" s="24" t="s">
        <v>74</v>
      </c>
      <c r="C47" s="50">
        <v>39</v>
      </c>
      <c r="D47" s="50">
        <v>3</v>
      </c>
      <c r="E47" s="50">
        <v>8</v>
      </c>
      <c r="F47" s="50">
        <v>23</v>
      </c>
      <c r="G47" s="50">
        <v>0</v>
      </c>
      <c r="H47" s="50">
        <v>0</v>
      </c>
      <c r="I47" s="50">
        <v>10</v>
      </c>
      <c r="J47" s="50">
        <v>5</v>
      </c>
      <c r="K47" s="50">
        <v>1</v>
      </c>
      <c r="L47" s="50">
        <v>2</v>
      </c>
      <c r="M47" s="50">
        <v>160</v>
      </c>
      <c r="N47" s="50">
        <v>0</v>
      </c>
      <c r="O47" s="15">
        <f t="shared" si="0"/>
        <v>91</v>
      </c>
      <c r="P47" s="15">
        <f t="shared" si="1"/>
        <v>251</v>
      </c>
      <c r="R47" s="8"/>
      <c r="T47"/>
    </row>
    <row r="48" spans="2:20" ht="23.1" customHeight="1" x14ac:dyDescent="0.25">
      <c r="B48" s="24" t="s">
        <v>75</v>
      </c>
      <c r="C48" s="50">
        <v>40</v>
      </c>
      <c r="D48" s="50">
        <v>4</v>
      </c>
      <c r="E48" s="50">
        <v>9</v>
      </c>
      <c r="F48" s="50">
        <v>20</v>
      </c>
      <c r="G48" s="50">
        <v>0</v>
      </c>
      <c r="H48" s="50">
        <v>0</v>
      </c>
      <c r="I48" s="50">
        <v>9</v>
      </c>
      <c r="J48" s="50">
        <v>3</v>
      </c>
      <c r="K48" s="50">
        <v>0</v>
      </c>
      <c r="L48" s="50">
        <v>1</v>
      </c>
      <c r="M48" s="50">
        <v>160</v>
      </c>
      <c r="N48" s="50">
        <v>0</v>
      </c>
      <c r="O48" s="15">
        <f t="shared" si="0"/>
        <v>86</v>
      </c>
      <c r="P48" s="15">
        <f t="shared" si="1"/>
        <v>246</v>
      </c>
      <c r="R48" s="8"/>
      <c r="T48"/>
    </row>
    <row r="49" spans="2:20" ht="23.1" customHeight="1" x14ac:dyDescent="0.25">
      <c r="B49" s="23" t="s">
        <v>76</v>
      </c>
      <c r="C49" s="50">
        <v>66</v>
      </c>
      <c r="D49" s="50">
        <v>4</v>
      </c>
      <c r="E49" s="50">
        <v>8</v>
      </c>
      <c r="F49" s="50">
        <v>22</v>
      </c>
      <c r="G49" s="50">
        <v>1</v>
      </c>
      <c r="H49" s="50">
        <v>0</v>
      </c>
      <c r="I49" s="50">
        <v>8</v>
      </c>
      <c r="J49" s="50">
        <v>4</v>
      </c>
      <c r="K49" s="50">
        <v>1</v>
      </c>
      <c r="L49" s="50">
        <v>4</v>
      </c>
      <c r="M49" s="50">
        <v>215</v>
      </c>
      <c r="N49" s="50">
        <v>0</v>
      </c>
      <c r="O49" s="15">
        <f t="shared" si="0"/>
        <v>118</v>
      </c>
      <c r="P49" s="15">
        <f t="shared" si="1"/>
        <v>333</v>
      </c>
      <c r="R49" s="8"/>
      <c r="T49"/>
    </row>
    <row r="50" spans="2:20" ht="23.1" customHeight="1" x14ac:dyDescent="0.25">
      <c r="B50" s="24" t="s">
        <v>77</v>
      </c>
      <c r="C50" s="50">
        <v>44</v>
      </c>
      <c r="D50" s="50">
        <v>1</v>
      </c>
      <c r="E50" s="50">
        <v>8</v>
      </c>
      <c r="F50" s="50">
        <v>39</v>
      </c>
      <c r="G50" s="50">
        <v>2</v>
      </c>
      <c r="H50" s="50">
        <v>1</v>
      </c>
      <c r="I50" s="50">
        <v>8</v>
      </c>
      <c r="J50" s="50">
        <v>7</v>
      </c>
      <c r="K50" s="50">
        <v>0</v>
      </c>
      <c r="L50" s="50">
        <v>4</v>
      </c>
      <c r="M50" s="50">
        <v>210</v>
      </c>
      <c r="N50" s="50">
        <v>0</v>
      </c>
      <c r="O50" s="15">
        <f t="shared" si="0"/>
        <v>114</v>
      </c>
      <c r="P50" s="15">
        <f t="shared" si="1"/>
        <v>324</v>
      </c>
      <c r="R50" s="8"/>
      <c r="T50"/>
    </row>
    <row r="51" spans="2:20" ht="23.1" customHeight="1" x14ac:dyDescent="0.25">
      <c r="B51" s="24" t="s">
        <v>78</v>
      </c>
      <c r="C51" s="50">
        <v>57</v>
      </c>
      <c r="D51" s="50">
        <v>0</v>
      </c>
      <c r="E51" s="50">
        <v>17</v>
      </c>
      <c r="F51" s="50">
        <v>11</v>
      </c>
      <c r="G51" s="50">
        <v>1</v>
      </c>
      <c r="H51" s="50">
        <v>0</v>
      </c>
      <c r="I51" s="50">
        <v>5</v>
      </c>
      <c r="J51" s="50">
        <v>3</v>
      </c>
      <c r="K51" s="50">
        <v>1</v>
      </c>
      <c r="L51" s="50">
        <v>3</v>
      </c>
      <c r="M51" s="50">
        <v>175</v>
      </c>
      <c r="N51" s="50">
        <v>0</v>
      </c>
      <c r="O51" s="15">
        <f t="shared" si="0"/>
        <v>98</v>
      </c>
      <c r="P51" s="15">
        <f t="shared" si="1"/>
        <v>273</v>
      </c>
      <c r="R51" s="8"/>
      <c r="T51"/>
    </row>
    <row r="52" spans="2:20" ht="23.1" customHeight="1" x14ac:dyDescent="0.25">
      <c r="B52" s="24" t="s">
        <v>79</v>
      </c>
      <c r="C52" s="50">
        <v>50</v>
      </c>
      <c r="D52" s="50">
        <v>2</v>
      </c>
      <c r="E52" s="50">
        <v>14</v>
      </c>
      <c r="F52" s="50">
        <v>18</v>
      </c>
      <c r="G52" s="50">
        <v>4</v>
      </c>
      <c r="H52" s="50">
        <v>0</v>
      </c>
      <c r="I52" s="50">
        <v>2</v>
      </c>
      <c r="J52" s="50">
        <v>6</v>
      </c>
      <c r="K52" s="50">
        <v>2</v>
      </c>
      <c r="L52" s="50">
        <v>2</v>
      </c>
      <c r="M52" s="50">
        <v>170</v>
      </c>
      <c r="N52" s="50">
        <v>0</v>
      </c>
      <c r="O52" s="15">
        <f t="shared" si="0"/>
        <v>100</v>
      </c>
      <c r="P52" s="15">
        <f t="shared" si="1"/>
        <v>270</v>
      </c>
      <c r="R52" s="8"/>
      <c r="T52"/>
    </row>
    <row r="53" spans="2:20" ht="23.1" customHeight="1" x14ac:dyDescent="0.25">
      <c r="B53" s="23" t="s">
        <v>80</v>
      </c>
      <c r="C53" s="50">
        <v>53</v>
      </c>
      <c r="D53" s="50">
        <v>5</v>
      </c>
      <c r="E53" s="50">
        <v>9</v>
      </c>
      <c r="F53" s="50">
        <v>29</v>
      </c>
      <c r="G53" s="50">
        <v>2</v>
      </c>
      <c r="H53" s="50">
        <v>1</v>
      </c>
      <c r="I53" s="50">
        <v>4</v>
      </c>
      <c r="J53" s="50">
        <v>6</v>
      </c>
      <c r="K53" s="50">
        <v>1</v>
      </c>
      <c r="L53" s="50">
        <v>0</v>
      </c>
      <c r="M53" s="50">
        <v>204</v>
      </c>
      <c r="N53" s="50">
        <v>0</v>
      </c>
      <c r="O53" s="15">
        <f t="shared" si="0"/>
        <v>110</v>
      </c>
      <c r="P53" s="15">
        <f t="shared" si="1"/>
        <v>314</v>
      </c>
      <c r="R53" s="8"/>
      <c r="T53"/>
    </row>
    <row r="54" spans="2:20" ht="23.1" customHeight="1" x14ac:dyDescent="0.25">
      <c r="B54" s="23" t="s">
        <v>81</v>
      </c>
      <c r="C54" s="50">
        <v>40</v>
      </c>
      <c r="D54" s="50">
        <v>0</v>
      </c>
      <c r="E54" s="50">
        <v>9</v>
      </c>
      <c r="F54" s="50">
        <v>25</v>
      </c>
      <c r="G54" s="50">
        <v>1</v>
      </c>
      <c r="H54" s="50">
        <v>2</v>
      </c>
      <c r="I54" s="50">
        <v>12</v>
      </c>
      <c r="J54" s="50">
        <v>4</v>
      </c>
      <c r="K54" s="50">
        <v>0</v>
      </c>
      <c r="L54" s="50">
        <v>1</v>
      </c>
      <c r="M54" s="50">
        <v>180</v>
      </c>
      <c r="N54" s="50">
        <v>0</v>
      </c>
      <c r="O54" s="15">
        <f t="shared" si="0"/>
        <v>94</v>
      </c>
      <c r="P54" s="15">
        <f t="shared" si="1"/>
        <v>274</v>
      </c>
      <c r="R54" s="8"/>
      <c r="T54"/>
    </row>
    <row r="55" spans="2:20" ht="23.1" customHeight="1" x14ac:dyDescent="0.25">
      <c r="B55" s="23" t="s">
        <v>82</v>
      </c>
      <c r="C55" s="50">
        <v>37</v>
      </c>
      <c r="D55" s="50">
        <v>3</v>
      </c>
      <c r="E55" s="50">
        <v>7</v>
      </c>
      <c r="F55" s="50">
        <v>22</v>
      </c>
      <c r="G55" s="50">
        <v>0</v>
      </c>
      <c r="H55" s="50">
        <v>0</v>
      </c>
      <c r="I55" s="50">
        <v>2</v>
      </c>
      <c r="J55" s="50">
        <v>1</v>
      </c>
      <c r="K55" s="50">
        <v>0</v>
      </c>
      <c r="L55" s="50">
        <v>2</v>
      </c>
      <c r="M55" s="50">
        <v>203</v>
      </c>
      <c r="N55" s="50">
        <v>0</v>
      </c>
      <c r="O55" s="15">
        <f t="shared" si="0"/>
        <v>74</v>
      </c>
      <c r="P55" s="15">
        <f t="shared" si="1"/>
        <v>277</v>
      </c>
      <c r="R55" s="8"/>
      <c r="T55"/>
    </row>
    <row r="56" spans="2:20" ht="23.1" customHeight="1" x14ac:dyDescent="0.25">
      <c r="B56" s="23" t="s">
        <v>83</v>
      </c>
      <c r="C56" s="50">
        <v>65</v>
      </c>
      <c r="D56" s="50">
        <v>4</v>
      </c>
      <c r="E56" s="50">
        <v>8</v>
      </c>
      <c r="F56" s="50">
        <v>26</v>
      </c>
      <c r="G56" s="50">
        <v>0</v>
      </c>
      <c r="H56" s="50">
        <v>1</v>
      </c>
      <c r="I56" s="50">
        <v>4</v>
      </c>
      <c r="J56" s="50">
        <v>4</v>
      </c>
      <c r="K56" s="50">
        <v>0</v>
      </c>
      <c r="L56" s="50">
        <v>1</v>
      </c>
      <c r="M56" s="50">
        <v>180</v>
      </c>
      <c r="N56" s="50">
        <v>0</v>
      </c>
      <c r="O56" s="15">
        <f t="shared" si="0"/>
        <v>113</v>
      </c>
      <c r="P56" s="15">
        <f t="shared" si="1"/>
        <v>293</v>
      </c>
      <c r="R56" s="8"/>
      <c r="T56"/>
    </row>
    <row r="57" spans="2:20" ht="23.1" customHeight="1" x14ac:dyDescent="0.25">
      <c r="B57" s="23" t="s">
        <v>84</v>
      </c>
      <c r="C57" s="50">
        <v>60</v>
      </c>
      <c r="D57" s="50">
        <v>0</v>
      </c>
      <c r="E57" s="50">
        <v>7</v>
      </c>
      <c r="F57" s="50">
        <v>26</v>
      </c>
      <c r="G57" s="50">
        <v>5</v>
      </c>
      <c r="H57" s="50">
        <v>0</v>
      </c>
      <c r="I57" s="50">
        <v>7</v>
      </c>
      <c r="J57" s="50">
        <v>4</v>
      </c>
      <c r="K57" s="50">
        <v>3</v>
      </c>
      <c r="L57" s="50">
        <v>4</v>
      </c>
      <c r="M57" s="50">
        <v>183</v>
      </c>
      <c r="N57" s="50">
        <v>0</v>
      </c>
      <c r="O57" s="15">
        <f t="shared" si="0"/>
        <v>116</v>
      </c>
      <c r="P57" s="15">
        <f t="shared" si="1"/>
        <v>299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2286</v>
      </c>
      <c r="D58" s="16">
        <f t="shared" si="21"/>
        <v>180</v>
      </c>
      <c r="E58" s="16">
        <f t="shared" si="21"/>
        <v>380</v>
      </c>
      <c r="F58" s="16">
        <f t="shared" si="21"/>
        <v>1161</v>
      </c>
      <c r="G58" s="16">
        <f t="shared" si="21"/>
        <v>36</v>
      </c>
      <c r="H58" s="16">
        <f t="shared" si="21"/>
        <v>20</v>
      </c>
      <c r="I58" s="16">
        <f t="shared" si="21"/>
        <v>329</v>
      </c>
      <c r="J58" s="16">
        <f t="shared" si="21"/>
        <v>223</v>
      </c>
      <c r="K58" s="16">
        <f t="shared" si="21"/>
        <v>51</v>
      </c>
      <c r="L58" s="16">
        <f t="shared" si="21"/>
        <v>80</v>
      </c>
      <c r="M58" s="16">
        <f t="shared" si="21"/>
        <v>6978</v>
      </c>
      <c r="N58" s="16">
        <f t="shared" si="21"/>
        <v>186</v>
      </c>
      <c r="O58" s="16">
        <f t="shared" si="21"/>
        <v>4932</v>
      </c>
      <c r="P58" s="16">
        <f t="shared" si="21"/>
        <v>11910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0.19193954659949622</v>
      </c>
      <c r="D59" s="43">
        <f t="shared" si="22"/>
        <v>1.5113350125944584E-2</v>
      </c>
      <c r="E59" s="43">
        <f t="shared" si="22"/>
        <v>3.190596137699412E-2</v>
      </c>
      <c r="F59" s="43">
        <f t="shared" si="22"/>
        <v>9.7481108312342565E-2</v>
      </c>
      <c r="G59" s="43">
        <f t="shared" si="22"/>
        <v>3.0226700251889168E-3</v>
      </c>
      <c r="H59" s="43">
        <f t="shared" si="22"/>
        <v>1.6792611251049538E-3</v>
      </c>
      <c r="I59" s="43">
        <f t="shared" si="22"/>
        <v>2.7623845507976492E-2</v>
      </c>
      <c r="J59" s="43">
        <f t="shared" si="22"/>
        <v>1.8723761544920236E-2</v>
      </c>
      <c r="K59" s="43">
        <f t="shared" si="22"/>
        <v>4.2821158690176326E-3</v>
      </c>
      <c r="L59" s="43">
        <f t="shared" si="22"/>
        <v>6.7170445004198151E-3</v>
      </c>
      <c r="M59" s="43">
        <f t="shared" si="22"/>
        <v>0.58589420654911839</v>
      </c>
      <c r="N59" s="43">
        <f t="shared" si="22"/>
        <v>1.5617128463476071E-2</v>
      </c>
      <c r="R59" s="8"/>
      <c r="T59"/>
    </row>
    <row r="60" spans="2:20" ht="23.1" customHeight="1" x14ac:dyDescent="0.25">
      <c r="B60" s="42" t="s">
        <v>94</v>
      </c>
      <c r="C60" s="44">
        <f>C58/$O$58</f>
        <v>0.46350364963503649</v>
      </c>
      <c r="D60" s="44">
        <f t="shared" ref="D60:N60" si="23">D58/$O$58</f>
        <v>3.6496350364963501E-2</v>
      </c>
      <c r="E60" s="44">
        <f t="shared" si="23"/>
        <v>7.7047850770478502E-2</v>
      </c>
      <c r="F60" s="44">
        <f t="shared" si="23"/>
        <v>0.23540145985401459</v>
      </c>
      <c r="G60" s="44">
        <f t="shared" si="23"/>
        <v>7.2992700729927005E-3</v>
      </c>
      <c r="H60" s="44">
        <f t="shared" si="23"/>
        <v>4.0551500405515001E-3</v>
      </c>
      <c r="I60" s="44">
        <f t="shared" si="23"/>
        <v>6.6707218167072188E-2</v>
      </c>
      <c r="J60" s="44">
        <f t="shared" si="23"/>
        <v>4.5214922952149232E-2</v>
      </c>
      <c r="K60" s="44">
        <f t="shared" si="23"/>
        <v>1.0340632603406326E-2</v>
      </c>
      <c r="L60" s="44">
        <f t="shared" si="23"/>
        <v>1.6220600162206E-2</v>
      </c>
      <c r="M60" s="44"/>
      <c r="N60" s="44">
        <f t="shared" si="23"/>
        <v>3.7712895377128956E-2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zoomScale="60" workbookViewId="0">
      <selection activeCell="J103" sqref="J10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'22.07 Busega-Bulenga'!C3:G3</f>
        <v>MCC - C1 - STN12-MITYANA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68" t="str">
        <f>'25.07 Bulenga-Busega'!G5:H5</f>
        <v xml:space="preserve">Petro Max </v>
      </c>
      <c r="H5" s="69"/>
      <c r="I5" s="14"/>
      <c r="J5" s="2" t="s">
        <v>5</v>
      </c>
      <c r="K5" s="68" t="str">
        <f>'25.07 Busega-Bulenga'!K5:L5</f>
        <v>Nabayunga Rashida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'22.07 Busega-Bulenga'!D6:E6</f>
        <v>Busega</v>
      </c>
      <c r="E6" s="69"/>
      <c r="F6" s="2" t="s">
        <v>2</v>
      </c>
      <c r="G6" s="68" t="str">
        <f>'22.07 Busega-Bulenga'!G6:H6</f>
        <v xml:space="preserve">Bulenga </v>
      </c>
      <c r="H6" s="69"/>
      <c r="J6" s="2" t="s">
        <v>21</v>
      </c>
      <c r="K6" s="68" t="str">
        <f>'25.07 Bulenga-Busega'!K6:L6</f>
        <v>Andrew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28</v>
      </c>
      <c r="D10" s="50">
        <v>2</v>
      </c>
      <c r="E10" s="50">
        <v>3</v>
      </c>
      <c r="F10" s="50">
        <v>12</v>
      </c>
      <c r="G10" s="50">
        <v>3</v>
      </c>
      <c r="H10" s="50">
        <v>1</v>
      </c>
      <c r="I10" s="50">
        <v>3</v>
      </c>
      <c r="J10" s="50">
        <v>3</v>
      </c>
      <c r="K10" s="50">
        <v>0</v>
      </c>
      <c r="L10" s="50">
        <v>5</v>
      </c>
      <c r="M10" s="50">
        <v>115</v>
      </c>
      <c r="N10" s="50">
        <v>0</v>
      </c>
      <c r="O10" s="15">
        <f t="shared" ref="O10:O57" si="0">SUM(C10:L10,N10)</f>
        <v>60</v>
      </c>
      <c r="P10" s="15">
        <f t="shared" ref="P10:P57" si="1">SUM(C10:N10)</f>
        <v>175</v>
      </c>
      <c r="R10" s="1" t="s">
        <v>6</v>
      </c>
      <c r="S10" s="17">
        <f t="shared" ref="S10:AF10" si="2">SUM(C10:C13)</f>
        <v>113</v>
      </c>
      <c r="T10" s="17">
        <f t="shared" si="2"/>
        <v>16</v>
      </c>
      <c r="U10" s="17">
        <f t="shared" si="2"/>
        <v>16</v>
      </c>
      <c r="V10" s="17">
        <f t="shared" si="2"/>
        <v>95</v>
      </c>
      <c r="W10" s="17">
        <f t="shared" si="2"/>
        <v>7</v>
      </c>
      <c r="X10" s="17">
        <f t="shared" si="2"/>
        <v>3</v>
      </c>
      <c r="Y10" s="17">
        <f t="shared" si="2"/>
        <v>24</v>
      </c>
      <c r="Z10" s="17">
        <f t="shared" si="2"/>
        <v>20</v>
      </c>
      <c r="AA10" s="17">
        <f t="shared" si="2"/>
        <v>4</v>
      </c>
      <c r="AB10" s="17">
        <f t="shared" si="2"/>
        <v>10</v>
      </c>
      <c r="AC10" s="17">
        <f t="shared" si="2"/>
        <v>837</v>
      </c>
      <c r="AD10" s="17">
        <f t="shared" si="2"/>
        <v>0</v>
      </c>
      <c r="AE10" s="31">
        <f t="shared" si="2"/>
        <v>308</v>
      </c>
      <c r="AF10" s="31">
        <f t="shared" si="2"/>
        <v>1145</v>
      </c>
    </row>
    <row r="11" spans="2:32" s="6" customFormat="1" ht="23.1" customHeight="1" x14ac:dyDescent="0.25">
      <c r="B11" s="45" t="s">
        <v>38</v>
      </c>
      <c r="C11" s="50">
        <v>23</v>
      </c>
      <c r="D11" s="50">
        <v>5</v>
      </c>
      <c r="E11" s="50">
        <v>3</v>
      </c>
      <c r="F11" s="50">
        <v>18</v>
      </c>
      <c r="G11" s="50">
        <v>1</v>
      </c>
      <c r="H11" s="50">
        <v>0</v>
      </c>
      <c r="I11" s="50">
        <v>2</v>
      </c>
      <c r="J11" s="50">
        <v>2</v>
      </c>
      <c r="K11" s="50">
        <v>1</v>
      </c>
      <c r="L11" s="50">
        <v>0</v>
      </c>
      <c r="M11" s="50">
        <v>192</v>
      </c>
      <c r="N11" s="50">
        <v>0</v>
      </c>
      <c r="O11" s="15">
        <f t="shared" si="0"/>
        <v>55</v>
      </c>
      <c r="P11" s="15">
        <f t="shared" si="1"/>
        <v>247</v>
      </c>
      <c r="R11" s="1" t="s">
        <v>7</v>
      </c>
      <c r="S11" s="17">
        <f t="shared" ref="S11:AF11" si="3">SUM(C14:C17)</f>
        <v>149</v>
      </c>
      <c r="T11" s="17">
        <f t="shared" si="3"/>
        <v>29</v>
      </c>
      <c r="U11" s="17">
        <f t="shared" si="3"/>
        <v>24</v>
      </c>
      <c r="V11" s="17">
        <f t="shared" si="3"/>
        <v>103</v>
      </c>
      <c r="W11" s="17">
        <f t="shared" si="3"/>
        <v>2</v>
      </c>
      <c r="X11" s="17">
        <f t="shared" si="3"/>
        <v>2</v>
      </c>
      <c r="Y11" s="17">
        <f t="shared" si="3"/>
        <v>24</v>
      </c>
      <c r="Z11" s="17">
        <f t="shared" si="3"/>
        <v>18</v>
      </c>
      <c r="AA11" s="17">
        <f t="shared" si="3"/>
        <v>0</v>
      </c>
      <c r="AB11" s="17">
        <f t="shared" si="3"/>
        <v>6</v>
      </c>
      <c r="AC11" s="17">
        <f t="shared" si="3"/>
        <v>1412</v>
      </c>
      <c r="AD11" s="17">
        <f t="shared" si="3"/>
        <v>2</v>
      </c>
      <c r="AE11" s="31">
        <f t="shared" si="3"/>
        <v>359</v>
      </c>
      <c r="AF11" s="31">
        <f t="shared" si="3"/>
        <v>1771</v>
      </c>
    </row>
    <row r="12" spans="2:32" ht="23.1" customHeight="1" x14ac:dyDescent="0.25">
      <c r="B12" s="45" t="s">
        <v>39</v>
      </c>
      <c r="C12" s="50">
        <v>21</v>
      </c>
      <c r="D12" s="50">
        <v>3</v>
      </c>
      <c r="E12" s="50">
        <v>2</v>
      </c>
      <c r="F12" s="50">
        <v>32</v>
      </c>
      <c r="G12" s="50">
        <v>1</v>
      </c>
      <c r="H12" s="50">
        <v>0</v>
      </c>
      <c r="I12" s="50">
        <v>11</v>
      </c>
      <c r="J12" s="50">
        <v>10</v>
      </c>
      <c r="K12" s="50">
        <v>1</v>
      </c>
      <c r="L12" s="50">
        <v>2</v>
      </c>
      <c r="M12" s="50">
        <v>240</v>
      </c>
      <c r="N12" s="50">
        <v>0</v>
      </c>
      <c r="O12" s="15">
        <f t="shared" si="0"/>
        <v>83</v>
      </c>
      <c r="P12" s="15">
        <f t="shared" si="1"/>
        <v>323</v>
      </c>
      <c r="R12" s="1" t="s">
        <v>8</v>
      </c>
      <c r="S12" s="17">
        <f t="shared" ref="S12:AF12" si="4">SUM(C18:C21)</f>
        <v>157</v>
      </c>
      <c r="T12" s="17">
        <f t="shared" si="4"/>
        <v>26</v>
      </c>
      <c r="U12" s="17">
        <f t="shared" si="4"/>
        <v>28</v>
      </c>
      <c r="V12" s="17">
        <f t="shared" si="4"/>
        <v>104</v>
      </c>
      <c r="W12" s="17">
        <f t="shared" si="4"/>
        <v>2</v>
      </c>
      <c r="X12" s="17">
        <f t="shared" si="4"/>
        <v>1</v>
      </c>
      <c r="Y12" s="17">
        <f t="shared" si="4"/>
        <v>38</v>
      </c>
      <c r="Z12" s="17">
        <f t="shared" si="4"/>
        <v>23</v>
      </c>
      <c r="AA12" s="17">
        <f t="shared" si="4"/>
        <v>4</v>
      </c>
      <c r="AB12" s="17">
        <f t="shared" si="4"/>
        <v>6</v>
      </c>
      <c r="AC12" s="17">
        <f t="shared" si="4"/>
        <v>1366</v>
      </c>
      <c r="AD12" s="17">
        <f t="shared" si="4"/>
        <v>0</v>
      </c>
      <c r="AE12" s="31">
        <f t="shared" si="4"/>
        <v>389</v>
      </c>
      <c r="AF12" s="31">
        <f t="shared" si="4"/>
        <v>1755</v>
      </c>
    </row>
    <row r="13" spans="2:32" ht="23.1" customHeight="1" x14ac:dyDescent="0.25">
      <c r="B13" s="45" t="s">
        <v>40</v>
      </c>
      <c r="C13" s="50">
        <v>41</v>
      </c>
      <c r="D13" s="50">
        <v>6</v>
      </c>
      <c r="E13" s="50">
        <v>8</v>
      </c>
      <c r="F13" s="50">
        <v>33</v>
      </c>
      <c r="G13" s="50">
        <v>2</v>
      </c>
      <c r="H13" s="50">
        <v>2</v>
      </c>
      <c r="I13" s="50">
        <v>8</v>
      </c>
      <c r="J13" s="50">
        <v>5</v>
      </c>
      <c r="K13" s="50">
        <v>2</v>
      </c>
      <c r="L13" s="50">
        <v>3</v>
      </c>
      <c r="M13" s="50">
        <v>290</v>
      </c>
      <c r="N13" s="50">
        <v>0</v>
      </c>
      <c r="O13" s="15">
        <f t="shared" si="0"/>
        <v>110</v>
      </c>
      <c r="P13" s="15">
        <f t="shared" si="1"/>
        <v>400</v>
      </c>
      <c r="R13" s="1" t="s">
        <v>9</v>
      </c>
      <c r="S13" s="17">
        <f t="shared" ref="S13:AF13" si="5">SUM(C22:C25)</f>
        <v>133</v>
      </c>
      <c r="T13" s="17">
        <f t="shared" si="5"/>
        <v>24</v>
      </c>
      <c r="U13" s="17">
        <f t="shared" si="5"/>
        <v>25</v>
      </c>
      <c r="V13" s="17">
        <f t="shared" si="5"/>
        <v>127</v>
      </c>
      <c r="W13" s="17">
        <f t="shared" si="5"/>
        <v>0</v>
      </c>
      <c r="X13" s="17">
        <f t="shared" si="5"/>
        <v>0</v>
      </c>
      <c r="Y13" s="17">
        <f t="shared" si="5"/>
        <v>56</v>
      </c>
      <c r="Z13" s="17">
        <f t="shared" si="5"/>
        <v>23</v>
      </c>
      <c r="AA13" s="17">
        <f t="shared" si="5"/>
        <v>5</v>
      </c>
      <c r="AB13" s="17">
        <f t="shared" si="5"/>
        <v>2</v>
      </c>
      <c r="AC13" s="17">
        <f t="shared" si="5"/>
        <v>1091</v>
      </c>
      <c r="AD13" s="17">
        <f t="shared" si="5"/>
        <v>0</v>
      </c>
      <c r="AE13" s="31">
        <f t="shared" si="5"/>
        <v>395</v>
      </c>
      <c r="AF13" s="31">
        <f t="shared" si="5"/>
        <v>1486</v>
      </c>
    </row>
    <row r="14" spans="2:32" ht="23.1" customHeight="1" x14ac:dyDescent="0.25">
      <c r="B14" s="45" t="s">
        <v>41</v>
      </c>
      <c r="C14" s="50">
        <v>26</v>
      </c>
      <c r="D14" s="50">
        <v>4</v>
      </c>
      <c r="E14" s="50">
        <v>4</v>
      </c>
      <c r="F14" s="50">
        <v>23</v>
      </c>
      <c r="G14" s="50">
        <v>0</v>
      </c>
      <c r="H14" s="50">
        <v>0</v>
      </c>
      <c r="I14" s="50">
        <v>5</v>
      </c>
      <c r="J14" s="50">
        <v>4</v>
      </c>
      <c r="K14" s="50">
        <v>0</v>
      </c>
      <c r="L14" s="50">
        <v>1</v>
      </c>
      <c r="M14" s="50">
        <v>288</v>
      </c>
      <c r="N14" s="50">
        <v>0</v>
      </c>
      <c r="O14" s="15">
        <f t="shared" si="0"/>
        <v>67</v>
      </c>
      <c r="P14" s="15">
        <f t="shared" si="1"/>
        <v>355</v>
      </c>
      <c r="R14" s="1" t="s">
        <v>10</v>
      </c>
      <c r="S14" s="17">
        <f t="shared" ref="S14:AF14" si="6">SUM(C26:C29)</f>
        <v>153</v>
      </c>
      <c r="T14" s="17">
        <f t="shared" si="6"/>
        <v>38</v>
      </c>
      <c r="U14" s="17">
        <f t="shared" si="6"/>
        <v>24</v>
      </c>
      <c r="V14" s="17">
        <f t="shared" si="6"/>
        <v>99</v>
      </c>
      <c r="W14" s="17">
        <f t="shared" si="6"/>
        <v>2</v>
      </c>
      <c r="X14" s="17">
        <f t="shared" si="6"/>
        <v>4</v>
      </c>
      <c r="Y14" s="17">
        <f t="shared" si="6"/>
        <v>69</v>
      </c>
      <c r="Z14" s="17">
        <f t="shared" si="6"/>
        <v>21</v>
      </c>
      <c r="AA14" s="17">
        <f t="shared" si="6"/>
        <v>7</v>
      </c>
      <c r="AB14" s="17">
        <f t="shared" si="6"/>
        <v>8</v>
      </c>
      <c r="AC14" s="17">
        <f t="shared" si="6"/>
        <v>900</v>
      </c>
      <c r="AD14" s="17">
        <f t="shared" si="6"/>
        <v>0</v>
      </c>
      <c r="AE14" s="31">
        <f t="shared" si="6"/>
        <v>425</v>
      </c>
      <c r="AF14" s="31">
        <f t="shared" si="6"/>
        <v>1325</v>
      </c>
    </row>
    <row r="15" spans="2:32" ht="23.1" customHeight="1" x14ac:dyDescent="0.25">
      <c r="B15" s="45" t="s">
        <v>42</v>
      </c>
      <c r="C15" s="50">
        <v>32</v>
      </c>
      <c r="D15" s="50">
        <v>6</v>
      </c>
      <c r="E15" s="50">
        <v>4</v>
      </c>
      <c r="F15" s="50">
        <v>16</v>
      </c>
      <c r="G15" s="50">
        <v>0</v>
      </c>
      <c r="H15" s="50">
        <v>2</v>
      </c>
      <c r="I15" s="50">
        <v>7</v>
      </c>
      <c r="J15" s="50">
        <v>3</v>
      </c>
      <c r="K15" s="50">
        <v>0</v>
      </c>
      <c r="L15" s="50">
        <v>1</v>
      </c>
      <c r="M15" s="50">
        <v>292</v>
      </c>
      <c r="N15" s="50">
        <v>0</v>
      </c>
      <c r="O15" s="15">
        <f t="shared" si="0"/>
        <v>71</v>
      </c>
      <c r="P15" s="15">
        <f t="shared" si="1"/>
        <v>363</v>
      </c>
      <c r="R15" s="1" t="s">
        <v>11</v>
      </c>
      <c r="S15" s="17">
        <f t="shared" ref="S15:AF15" si="7">SUM(C30:C33)</f>
        <v>118</v>
      </c>
      <c r="T15" s="17">
        <f t="shared" si="7"/>
        <v>35</v>
      </c>
      <c r="U15" s="17">
        <f t="shared" si="7"/>
        <v>12</v>
      </c>
      <c r="V15" s="17">
        <f t="shared" si="7"/>
        <v>110</v>
      </c>
      <c r="W15" s="17">
        <f t="shared" si="7"/>
        <v>2</v>
      </c>
      <c r="X15" s="17">
        <f t="shared" si="7"/>
        <v>2</v>
      </c>
      <c r="Y15" s="17">
        <f t="shared" si="7"/>
        <v>47</v>
      </c>
      <c r="Z15" s="17">
        <f t="shared" si="7"/>
        <v>26</v>
      </c>
      <c r="AA15" s="17">
        <f t="shared" si="7"/>
        <v>7</v>
      </c>
      <c r="AB15" s="17">
        <f t="shared" si="7"/>
        <v>9</v>
      </c>
      <c r="AC15" s="17">
        <f t="shared" si="7"/>
        <v>755</v>
      </c>
      <c r="AD15" s="17">
        <f t="shared" si="7"/>
        <v>0</v>
      </c>
      <c r="AE15" s="31">
        <f t="shared" si="7"/>
        <v>368</v>
      </c>
      <c r="AF15" s="31">
        <f t="shared" si="7"/>
        <v>1123</v>
      </c>
    </row>
    <row r="16" spans="2:32" ht="23.1" customHeight="1" x14ac:dyDescent="0.25">
      <c r="B16" s="45" t="s">
        <v>43</v>
      </c>
      <c r="C16" s="50">
        <v>24</v>
      </c>
      <c r="D16" s="50">
        <v>8</v>
      </c>
      <c r="E16" s="50">
        <v>7</v>
      </c>
      <c r="F16" s="50">
        <v>23</v>
      </c>
      <c r="G16" s="50">
        <v>1</v>
      </c>
      <c r="H16" s="50">
        <v>0</v>
      </c>
      <c r="I16" s="50">
        <v>5</v>
      </c>
      <c r="J16" s="50">
        <v>3</v>
      </c>
      <c r="K16" s="50">
        <v>0</v>
      </c>
      <c r="L16" s="50">
        <v>1</v>
      </c>
      <c r="M16" s="50">
        <v>316</v>
      </c>
      <c r="N16" s="50">
        <v>0</v>
      </c>
      <c r="O16" s="15">
        <f t="shared" si="0"/>
        <v>72</v>
      </c>
      <c r="P16" s="15">
        <f t="shared" si="1"/>
        <v>388</v>
      </c>
      <c r="R16" s="1" t="s">
        <v>12</v>
      </c>
      <c r="S16" s="17">
        <f t="shared" ref="S16:AF16" si="8">SUM(C34:C37)</f>
        <v>165</v>
      </c>
      <c r="T16" s="17">
        <f t="shared" si="8"/>
        <v>24</v>
      </c>
      <c r="U16" s="17">
        <f t="shared" si="8"/>
        <v>21</v>
      </c>
      <c r="V16" s="17">
        <f t="shared" si="8"/>
        <v>95</v>
      </c>
      <c r="W16" s="17">
        <f t="shared" si="8"/>
        <v>0</v>
      </c>
      <c r="X16" s="17">
        <f t="shared" si="8"/>
        <v>3</v>
      </c>
      <c r="Y16" s="17">
        <f t="shared" si="8"/>
        <v>53</v>
      </c>
      <c r="Z16" s="17">
        <f t="shared" si="8"/>
        <v>34</v>
      </c>
      <c r="AA16" s="17">
        <f t="shared" si="8"/>
        <v>4</v>
      </c>
      <c r="AB16" s="17">
        <f t="shared" si="8"/>
        <v>15</v>
      </c>
      <c r="AC16" s="17">
        <f t="shared" si="8"/>
        <v>828</v>
      </c>
      <c r="AD16" s="17">
        <f t="shared" si="8"/>
        <v>0</v>
      </c>
      <c r="AE16" s="31">
        <f t="shared" si="8"/>
        <v>414</v>
      </c>
      <c r="AF16" s="31">
        <f t="shared" si="8"/>
        <v>1242</v>
      </c>
    </row>
    <row r="17" spans="2:32" ht="23.1" customHeight="1" x14ac:dyDescent="0.25">
      <c r="B17" s="45" t="s">
        <v>44</v>
      </c>
      <c r="C17" s="50">
        <v>67</v>
      </c>
      <c r="D17" s="50">
        <v>11</v>
      </c>
      <c r="E17" s="50">
        <v>9</v>
      </c>
      <c r="F17" s="50">
        <v>41</v>
      </c>
      <c r="G17" s="50">
        <v>1</v>
      </c>
      <c r="H17" s="50">
        <v>0</v>
      </c>
      <c r="I17" s="50">
        <v>7</v>
      </c>
      <c r="J17" s="50">
        <v>8</v>
      </c>
      <c r="K17" s="50">
        <v>0</v>
      </c>
      <c r="L17" s="50">
        <v>3</v>
      </c>
      <c r="M17" s="50">
        <v>516</v>
      </c>
      <c r="N17" s="50">
        <v>2</v>
      </c>
      <c r="O17" s="15">
        <f t="shared" si="0"/>
        <v>149</v>
      </c>
      <c r="P17" s="15">
        <f t="shared" si="1"/>
        <v>665</v>
      </c>
      <c r="R17" s="1" t="s">
        <v>13</v>
      </c>
      <c r="S17" s="17">
        <f t="shared" ref="S17:AF17" si="9">SUM(C38:C41)</f>
        <v>159</v>
      </c>
      <c r="T17" s="17">
        <f t="shared" si="9"/>
        <v>24</v>
      </c>
      <c r="U17" s="17">
        <f t="shared" si="9"/>
        <v>30</v>
      </c>
      <c r="V17" s="17">
        <f t="shared" si="9"/>
        <v>74</v>
      </c>
      <c r="W17" s="17">
        <f t="shared" si="9"/>
        <v>2</v>
      </c>
      <c r="X17" s="17">
        <f t="shared" si="9"/>
        <v>2</v>
      </c>
      <c r="Y17" s="17">
        <f t="shared" si="9"/>
        <v>38</v>
      </c>
      <c r="Z17" s="17">
        <f t="shared" si="9"/>
        <v>43</v>
      </c>
      <c r="AA17" s="17">
        <f t="shared" si="9"/>
        <v>6</v>
      </c>
      <c r="AB17" s="17">
        <f t="shared" si="9"/>
        <v>10</v>
      </c>
      <c r="AC17" s="17">
        <f t="shared" si="9"/>
        <v>606</v>
      </c>
      <c r="AD17" s="17">
        <f t="shared" si="9"/>
        <v>0</v>
      </c>
      <c r="AE17" s="31">
        <f t="shared" si="9"/>
        <v>388</v>
      </c>
      <c r="AF17" s="31">
        <f t="shared" si="9"/>
        <v>994</v>
      </c>
    </row>
    <row r="18" spans="2:32" ht="23.1" customHeight="1" x14ac:dyDescent="0.25">
      <c r="B18" s="45" t="s">
        <v>45</v>
      </c>
      <c r="C18" s="50">
        <v>37</v>
      </c>
      <c r="D18" s="50">
        <v>4</v>
      </c>
      <c r="E18" s="50">
        <v>12</v>
      </c>
      <c r="F18" s="50">
        <v>26</v>
      </c>
      <c r="G18" s="50">
        <v>1</v>
      </c>
      <c r="H18" s="50">
        <v>0</v>
      </c>
      <c r="I18" s="50">
        <v>19</v>
      </c>
      <c r="J18" s="50">
        <v>8</v>
      </c>
      <c r="K18" s="50">
        <v>2</v>
      </c>
      <c r="L18" s="50">
        <v>2</v>
      </c>
      <c r="M18" s="50">
        <v>457</v>
      </c>
      <c r="N18" s="50">
        <v>0</v>
      </c>
      <c r="O18" s="15">
        <f t="shared" si="0"/>
        <v>111</v>
      </c>
      <c r="P18" s="15">
        <f t="shared" si="1"/>
        <v>568</v>
      </c>
      <c r="R18" s="1" t="s">
        <v>14</v>
      </c>
      <c r="S18" s="17">
        <f t="shared" ref="S18:AF18" si="10">SUM(C42:C45)</f>
        <v>197</v>
      </c>
      <c r="T18" s="17">
        <f t="shared" si="10"/>
        <v>39</v>
      </c>
      <c r="U18" s="17">
        <f t="shared" si="10"/>
        <v>24</v>
      </c>
      <c r="V18" s="17">
        <f t="shared" si="10"/>
        <v>109</v>
      </c>
      <c r="W18" s="17">
        <f t="shared" si="10"/>
        <v>1</v>
      </c>
      <c r="X18" s="17">
        <f t="shared" si="10"/>
        <v>1</v>
      </c>
      <c r="Y18" s="17">
        <f t="shared" si="10"/>
        <v>44</v>
      </c>
      <c r="Z18" s="17">
        <f t="shared" si="10"/>
        <v>43</v>
      </c>
      <c r="AA18" s="17">
        <f t="shared" si="10"/>
        <v>8</v>
      </c>
      <c r="AB18" s="17">
        <f t="shared" si="10"/>
        <v>9</v>
      </c>
      <c r="AC18" s="17">
        <f t="shared" si="10"/>
        <v>768</v>
      </c>
      <c r="AD18" s="17">
        <f t="shared" si="10"/>
        <v>0</v>
      </c>
      <c r="AE18" s="31">
        <f t="shared" si="10"/>
        <v>475</v>
      </c>
      <c r="AF18" s="31">
        <f t="shared" si="10"/>
        <v>1243</v>
      </c>
    </row>
    <row r="19" spans="2:32" ht="23.1" customHeight="1" x14ac:dyDescent="0.25">
      <c r="B19" s="45" t="s">
        <v>46</v>
      </c>
      <c r="C19" s="50">
        <v>40</v>
      </c>
      <c r="D19" s="50">
        <v>6</v>
      </c>
      <c r="E19" s="50">
        <v>6</v>
      </c>
      <c r="F19" s="50">
        <v>17</v>
      </c>
      <c r="G19" s="50">
        <v>1</v>
      </c>
      <c r="H19" s="50">
        <v>1</v>
      </c>
      <c r="I19" s="50">
        <v>7</v>
      </c>
      <c r="J19" s="50">
        <v>4</v>
      </c>
      <c r="K19" s="50">
        <v>0</v>
      </c>
      <c r="L19" s="50">
        <v>1</v>
      </c>
      <c r="M19" s="50">
        <v>338</v>
      </c>
      <c r="N19" s="50">
        <v>0</v>
      </c>
      <c r="O19" s="15">
        <f t="shared" si="0"/>
        <v>83</v>
      </c>
      <c r="P19" s="15">
        <f t="shared" si="1"/>
        <v>421</v>
      </c>
      <c r="R19" s="1" t="s">
        <v>15</v>
      </c>
      <c r="S19" s="17">
        <f t="shared" ref="S19:AF19" si="11">SUM(C46:C49)</f>
        <v>209</v>
      </c>
      <c r="T19" s="17">
        <f t="shared" si="11"/>
        <v>28</v>
      </c>
      <c r="U19" s="17">
        <f t="shared" si="11"/>
        <v>23</v>
      </c>
      <c r="V19" s="17">
        <f t="shared" si="11"/>
        <v>96</v>
      </c>
      <c r="W19" s="17">
        <f t="shared" si="11"/>
        <v>4</v>
      </c>
      <c r="X19" s="17">
        <f t="shared" si="11"/>
        <v>3</v>
      </c>
      <c r="Y19" s="17">
        <f t="shared" si="11"/>
        <v>34</v>
      </c>
      <c r="Z19" s="17">
        <f t="shared" si="11"/>
        <v>30</v>
      </c>
      <c r="AA19" s="17">
        <f t="shared" si="11"/>
        <v>8</v>
      </c>
      <c r="AB19" s="17">
        <f t="shared" si="11"/>
        <v>16</v>
      </c>
      <c r="AC19" s="17">
        <f t="shared" si="11"/>
        <v>1027</v>
      </c>
      <c r="AD19" s="17">
        <f t="shared" si="11"/>
        <v>0</v>
      </c>
      <c r="AE19" s="31">
        <f t="shared" si="11"/>
        <v>451</v>
      </c>
      <c r="AF19" s="31">
        <f t="shared" si="11"/>
        <v>1478</v>
      </c>
    </row>
    <row r="20" spans="2:32" ht="23.1" customHeight="1" x14ac:dyDescent="0.25">
      <c r="B20" s="45" t="s">
        <v>47</v>
      </c>
      <c r="C20" s="50">
        <v>38</v>
      </c>
      <c r="D20" s="50">
        <v>11</v>
      </c>
      <c r="E20" s="50">
        <v>7</v>
      </c>
      <c r="F20" s="50">
        <v>28</v>
      </c>
      <c r="G20" s="50">
        <v>0</v>
      </c>
      <c r="H20" s="50">
        <v>0</v>
      </c>
      <c r="I20" s="50">
        <v>8</v>
      </c>
      <c r="J20" s="50">
        <v>6</v>
      </c>
      <c r="K20" s="50">
        <v>2</v>
      </c>
      <c r="L20" s="50">
        <v>2</v>
      </c>
      <c r="M20" s="50">
        <v>335</v>
      </c>
      <c r="N20" s="50">
        <v>0</v>
      </c>
      <c r="O20" s="15">
        <f t="shared" si="0"/>
        <v>102</v>
      </c>
      <c r="P20" s="15">
        <f t="shared" si="1"/>
        <v>437</v>
      </c>
      <c r="R20" s="1" t="s">
        <v>16</v>
      </c>
      <c r="S20" s="17">
        <f t="shared" ref="S20:AF20" si="12">SUM(C50:C53)</f>
        <v>370</v>
      </c>
      <c r="T20" s="17">
        <f t="shared" si="12"/>
        <v>30</v>
      </c>
      <c r="U20" s="17">
        <f t="shared" si="12"/>
        <v>25</v>
      </c>
      <c r="V20" s="17">
        <f t="shared" si="12"/>
        <v>112</v>
      </c>
      <c r="W20" s="17">
        <f t="shared" si="12"/>
        <v>3</v>
      </c>
      <c r="X20" s="17">
        <f t="shared" si="12"/>
        <v>1</v>
      </c>
      <c r="Y20" s="17">
        <f t="shared" si="12"/>
        <v>26</v>
      </c>
      <c r="Z20" s="17">
        <f t="shared" si="12"/>
        <v>23</v>
      </c>
      <c r="AA20" s="17">
        <f t="shared" si="12"/>
        <v>7</v>
      </c>
      <c r="AB20" s="17">
        <f t="shared" si="12"/>
        <v>9</v>
      </c>
      <c r="AC20" s="17">
        <f t="shared" si="12"/>
        <v>1087</v>
      </c>
      <c r="AD20" s="17">
        <f t="shared" si="12"/>
        <v>0</v>
      </c>
      <c r="AE20" s="31">
        <f t="shared" si="12"/>
        <v>606</v>
      </c>
      <c r="AF20" s="31">
        <f t="shared" si="12"/>
        <v>1693</v>
      </c>
    </row>
    <row r="21" spans="2:32" ht="23.1" customHeight="1" x14ac:dyDescent="0.25">
      <c r="B21" s="45" t="s">
        <v>48</v>
      </c>
      <c r="C21" s="50">
        <v>42</v>
      </c>
      <c r="D21" s="50">
        <v>5</v>
      </c>
      <c r="E21" s="50">
        <v>3</v>
      </c>
      <c r="F21" s="50">
        <v>33</v>
      </c>
      <c r="G21" s="50">
        <v>0</v>
      </c>
      <c r="H21" s="50">
        <v>0</v>
      </c>
      <c r="I21" s="50">
        <v>4</v>
      </c>
      <c r="J21" s="50">
        <v>5</v>
      </c>
      <c r="K21" s="50">
        <v>0</v>
      </c>
      <c r="L21" s="50">
        <v>1</v>
      </c>
      <c r="M21" s="50">
        <v>236</v>
      </c>
      <c r="N21" s="50">
        <v>0</v>
      </c>
      <c r="O21" s="15">
        <f t="shared" si="0"/>
        <v>93</v>
      </c>
      <c r="P21" s="15">
        <f t="shared" si="1"/>
        <v>329</v>
      </c>
      <c r="R21" s="36" t="s">
        <v>20</v>
      </c>
      <c r="S21" s="34">
        <f t="shared" ref="S21:AF21" si="13">SUM(C54:C57)</f>
        <v>469</v>
      </c>
      <c r="T21" s="17">
        <f t="shared" si="13"/>
        <v>36</v>
      </c>
      <c r="U21" s="17">
        <f t="shared" si="13"/>
        <v>28</v>
      </c>
      <c r="V21" s="17">
        <f t="shared" si="13"/>
        <v>225</v>
      </c>
      <c r="W21" s="17">
        <f t="shared" si="13"/>
        <v>13</v>
      </c>
      <c r="X21" s="17">
        <f t="shared" si="13"/>
        <v>5</v>
      </c>
      <c r="Y21" s="17">
        <f t="shared" si="13"/>
        <v>22</v>
      </c>
      <c r="Z21" s="17">
        <f t="shared" si="13"/>
        <v>34</v>
      </c>
      <c r="AA21" s="17">
        <f t="shared" si="13"/>
        <v>6</v>
      </c>
      <c r="AB21" s="17">
        <f t="shared" si="13"/>
        <v>10</v>
      </c>
      <c r="AC21" s="17">
        <f t="shared" si="13"/>
        <v>1170</v>
      </c>
      <c r="AD21" s="17">
        <f t="shared" si="13"/>
        <v>0</v>
      </c>
      <c r="AE21" s="31">
        <f t="shared" si="13"/>
        <v>848</v>
      </c>
      <c r="AF21" s="31">
        <f t="shared" si="13"/>
        <v>2018</v>
      </c>
    </row>
    <row r="22" spans="2:32" ht="23.1" customHeight="1" x14ac:dyDescent="0.25">
      <c r="B22" s="45" t="s">
        <v>49</v>
      </c>
      <c r="C22" s="50">
        <v>47</v>
      </c>
      <c r="D22" s="50">
        <v>5</v>
      </c>
      <c r="E22" s="50">
        <v>7</v>
      </c>
      <c r="F22" s="50">
        <v>40</v>
      </c>
      <c r="G22" s="50">
        <v>0</v>
      </c>
      <c r="H22" s="50">
        <v>0</v>
      </c>
      <c r="I22" s="50">
        <v>18</v>
      </c>
      <c r="J22" s="50">
        <v>6</v>
      </c>
      <c r="K22" s="50">
        <v>2</v>
      </c>
      <c r="L22" s="50">
        <v>1</v>
      </c>
      <c r="M22" s="50">
        <v>355</v>
      </c>
      <c r="N22" s="50">
        <v>0</v>
      </c>
      <c r="O22" s="15">
        <f t="shared" si="0"/>
        <v>126</v>
      </c>
      <c r="P22" s="15">
        <f t="shared" si="1"/>
        <v>481</v>
      </c>
      <c r="R22" s="36" t="s">
        <v>146</v>
      </c>
      <c r="S22" s="34">
        <f>SUM(C58:C61)</f>
        <v>388</v>
      </c>
      <c r="T22" s="34">
        <f t="shared" ref="T22:AF22" si="14">SUM(D58:D61)</f>
        <v>36</v>
      </c>
      <c r="U22" s="34">
        <f t="shared" si="14"/>
        <v>32</v>
      </c>
      <c r="V22" s="34">
        <f t="shared" si="14"/>
        <v>102</v>
      </c>
      <c r="W22" s="34">
        <f t="shared" si="14"/>
        <v>10</v>
      </c>
      <c r="X22" s="34">
        <f t="shared" si="14"/>
        <v>6</v>
      </c>
      <c r="Y22" s="34">
        <f t="shared" si="14"/>
        <v>24</v>
      </c>
      <c r="Z22" s="34">
        <f t="shared" si="14"/>
        <v>29</v>
      </c>
      <c r="AA22" s="34">
        <f t="shared" si="14"/>
        <v>10</v>
      </c>
      <c r="AB22" s="34">
        <f t="shared" si="14"/>
        <v>5</v>
      </c>
      <c r="AC22" s="34">
        <f t="shared" si="14"/>
        <v>507</v>
      </c>
      <c r="AD22" s="34">
        <f t="shared" si="14"/>
        <v>0</v>
      </c>
      <c r="AE22" s="31">
        <f t="shared" si="14"/>
        <v>642</v>
      </c>
      <c r="AF22" s="31">
        <f t="shared" si="14"/>
        <v>1149</v>
      </c>
    </row>
    <row r="23" spans="2:32" ht="23.1" customHeight="1" x14ac:dyDescent="0.25">
      <c r="B23" s="45" t="s">
        <v>50</v>
      </c>
      <c r="C23" s="50">
        <v>30</v>
      </c>
      <c r="D23" s="50">
        <v>4</v>
      </c>
      <c r="E23" s="50">
        <v>6</v>
      </c>
      <c r="F23" s="50">
        <v>31</v>
      </c>
      <c r="G23" s="50">
        <v>0</v>
      </c>
      <c r="H23" s="50">
        <v>0</v>
      </c>
      <c r="I23" s="50">
        <v>22</v>
      </c>
      <c r="J23" s="50">
        <v>5</v>
      </c>
      <c r="K23" s="50">
        <v>1</v>
      </c>
      <c r="L23" s="50">
        <v>0</v>
      </c>
      <c r="M23" s="50">
        <v>271</v>
      </c>
      <c r="N23" s="50">
        <v>0</v>
      </c>
      <c r="O23" s="15">
        <f t="shared" si="0"/>
        <v>99</v>
      </c>
      <c r="P23" s="15">
        <f t="shared" si="1"/>
        <v>370</v>
      </c>
      <c r="R23" s="36" t="s">
        <v>147</v>
      </c>
      <c r="S23" s="34">
        <f>SUM(C62:C65)</f>
        <v>570</v>
      </c>
      <c r="T23" s="34">
        <f t="shared" ref="T23:AF23" si="15">SUM(D62:D65)</f>
        <v>34</v>
      </c>
      <c r="U23" s="34">
        <f t="shared" si="15"/>
        <v>34</v>
      </c>
      <c r="V23" s="34">
        <f t="shared" si="15"/>
        <v>188</v>
      </c>
      <c r="W23" s="34">
        <f t="shared" si="15"/>
        <v>7</v>
      </c>
      <c r="X23" s="34">
        <f t="shared" si="15"/>
        <v>2</v>
      </c>
      <c r="Y23" s="34">
        <f t="shared" si="15"/>
        <v>21</v>
      </c>
      <c r="Z23" s="34">
        <f t="shared" si="15"/>
        <v>16</v>
      </c>
      <c r="AA23" s="34">
        <f t="shared" si="15"/>
        <v>7</v>
      </c>
      <c r="AB23" s="34">
        <f t="shared" si="15"/>
        <v>4</v>
      </c>
      <c r="AC23" s="34">
        <f t="shared" si="15"/>
        <v>694</v>
      </c>
      <c r="AD23" s="34">
        <f t="shared" si="15"/>
        <v>0</v>
      </c>
      <c r="AE23" s="31">
        <f t="shared" si="15"/>
        <v>883</v>
      </c>
      <c r="AF23" s="31">
        <f t="shared" si="15"/>
        <v>1577</v>
      </c>
    </row>
    <row r="24" spans="2:32" ht="23.1" customHeight="1" x14ac:dyDescent="0.25">
      <c r="B24" s="45" t="s">
        <v>51</v>
      </c>
      <c r="C24" s="50">
        <v>24</v>
      </c>
      <c r="D24" s="50">
        <v>3</v>
      </c>
      <c r="E24" s="50">
        <v>4</v>
      </c>
      <c r="F24" s="50">
        <v>25</v>
      </c>
      <c r="G24" s="50">
        <v>0</v>
      </c>
      <c r="H24" s="50">
        <v>0</v>
      </c>
      <c r="I24" s="50">
        <v>7</v>
      </c>
      <c r="J24" s="50">
        <v>8</v>
      </c>
      <c r="K24" s="50">
        <v>2</v>
      </c>
      <c r="L24" s="50">
        <v>0</v>
      </c>
      <c r="M24" s="50">
        <v>222</v>
      </c>
      <c r="N24" s="50">
        <v>0</v>
      </c>
      <c r="O24" s="15">
        <f t="shared" si="0"/>
        <v>73</v>
      </c>
      <c r="P24" s="15">
        <f t="shared" si="1"/>
        <v>295</v>
      </c>
      <c r="R24" s="36" t="s">
        <v>148</v>
      </c>
      <c r="S24" s="34">
        <f>SUM(C66:C69)</f>
        <v>513</v>
      </c>
      <c r="T24" s="34">
        <f t="shared" ref="T24:AF24" si="16">SUM(D66:D69)</f>
        <v>63</v>
      </c>
      <c r="U24" s="34">
        <f t="shared" si="16"/>
        <v>34</v>
      </c>
      <c r="V24" s="34">
        <f t="shared" si="16"/>
        <v>190</v>
      </c>
      <c r="W24" s="34">
        <f t="shared" si="16"/>
        <v>1</v>
      </c>
      <c r="X24" s="34">
        <f t="shared" si="16"/>
        <v>2</v>
      </c>
      <c r="Y24" s="34">
        <f t="shared" si="16"/>
        <v>29</v>
      </c>
      <c r="Z24" s="34">
        <f t="shared" si="16"/>
        <v>30</v>
      </c>
      <c r="AA24" s="34">
        <f t="shared" si="16"/>
        <v>6</v>
      </c>
      <c r="AB24" s="34">
        <f t="shared" si="16"/>
        <v>6</v>
      </c>
      <c r="AC24" s="34">
        <f t="shared" si="16"/>
        <v>620</v>
      </c>
      <c r="AD24" s="34">
        <f t="shared" si="16"/>
        <v>0</v>
      </c>
      <c r="AE24" s="31">
        <f t="shared" si="16"/>
        <v>874</v>
      </c>
      <c r="AF24" s="31">
        <f t="shared" si="16"/>
        <v>1494</v>
      </c>
    </row>
    <row r="25" spans="2:32" ht="23.1" customHeight="1" x14ac:dyDescent="0.25">
      <c r="B25" s="45" t="s">
        <v>52</v>
      </c>
      <c r="C25" s="50">
        <v>32</v>
      </c>
      <c r="D25" s="50">
        <v>12</v>
      </c>
      <c r="E25" s="50">
        <v>8</v>
      </c>
      <c r="F25" s="50">
        <v>31</v>
      </c>
      <c r="G25" s="50">
        <v>0</v>
      </c>
      <c r="H25" s="50">
        <v>0</v>
      </c>
      <c r="I25" s="50">
        <v>9</v>
      </c>
      <c r="J25" s="50">
        <v>4</v>
      </c>
      <c r="K25" s="50">
        <v>0</v>
      </c>
      <c r="L25" s="50">
        <v>1</v>
      </c>
      <c r="M25" s="50">
        <v>243</v>
      </c>
      <c r="N25" s="50">
        <v>0</v>
      </c>
      <c r="O25" s="15">
        <f t="shared" si="0"/>
        <v>97</v>
      </c>
      <c r="P25" s="15">
        <f t="shared" si="1"/>
        <v>340</v>
      </c>
      <c r="R25" s="36" t="s">
        <v>149</v>
      </c>
      <c r="S25" s="34">
        <f>SUM(C70:C73)</f>
        <v>346</v>
      </c>
      <c r="T25" s="34">
        <f t="shared" ref="T25:AF25" si="17">SUM(D70:D73)</f>
        <v>42</v>
      </c>
      <c r="U25" s="34">
        <f t="shared" si="17"/>
        <v>28</v>
      </c>
      <c r="V25" s="34">
        <f t="shared" si="17"/>
        <v>141</v>
      </c>
      <c r="W25" s="34">
        <f t="shared" si="17"/>
        <v>1</v>
      </c>
      <c r="X25" s="34">
        <f t="shared" si="17"/>
        <v>1</v>
      </c>
      <c r="Y25" s="34">
        <f t="shared" si="17"/>
        <v>31</v>
      </c>
      <c r="Z25" s="34">
        <f t="shared" si="17"/>
        <v>23</v>
      </c>
      <c r="AA25" s="34">
        <f t="shared" si="17"/>
        <v>4</v>
      </c>
      <c r="AB25" s="34">
        <f t="shared" si="17"/>
        <v>3</v>
      </c>
      <c r="AC25" s="34">
        <f t="shared" si="17"/>
        <v>557</v>
      </c>
      <c r="AD25" s="34">
        <f t="shared" si="17"/>
        <v>0</v>
      </c>
      <c r="AE25" s="31">
        <f t="shared" si="17"/>
        <v>620</v>
      </c>
      <c r="AF25" s="31">
        <f t="shared" si="17"/>
        <v>1177</v>
      </c>
    </row>
    <row r="26" spans="2:32" ht="23.1" customHeight="1" x14ac:dyDescent="0.25">
      <c r="B26" s="45" t="s">
        <v>53</v>
      </c>
      <c r="C26" s="50">
        <v>32</v>
      </c>
      <c r="D26" s="50">
        <v>10</v>
      </c>
      <c r="E26" s="50">
        <v>4</v>
      </c>
      <c r="F26" s="50">
        <v>34</v>
      </c>
      <c r="G26" s="50">
        <v>0</v>
      </c>
      <c r="H26" s="50">
        <v>2</v>
      </c>
      <c r="I26" s="50">
        <v>21</v>
      </c>
      <c r="J26" s="50">
        <v>11</v>
      </c>
      <c r="K26" s="50">
        <v>2</v>
      </c>
      <c r="L26" s="50">
        <v>2</v>
      </c>
      <c r="M26" s="50">
        <v>305</v>
      </c>
      <c r="N26" s="50">
        <v>0</v>
      </c>
      <c r="O26" s="15">
        <f t="shared" si="0"/>
        <v>118</v>
      </c>
      <c r="P26" s="15">
        <f t="shared" si="1"/>
        <v>423</v>
      </c>
      <c r="R26" s="36" t="s">
        <v>150</v>
      </c>
      <c r="S26" s="34">
        <f>SUM(C74:C77)</f>
        <v>255</v>
      </c>
      <c r="T26" s="34">
        <f t="shared" ref="T26:AF26" si="18">SUM(D74:D77)</f>
        <v>44</v>
      </c>
      <c r="U26" s="34">
        <f t="shared" si="18"/>
        <v>26</v>
      </c>
      <c r="V26" s="34">
        <f t="shared" si="18"/>
        <v>61</v>
      </c>
      <c r="W26" s="34">
        <f t="shared" si="18"/>
        <v>3</v>
      </c>
      <c r="X26" s="34">
        <f t="shared" si="18"/>
        <v>0</v>
      </c>
      <c r="Y26" s="34">
        <f t="shared" si="18"/>
        <v>85</v>
      </c>
      <c r="Z26" s="34">
        <f t="shared" si="18"/>
        <v>16</v>
      </c>
      <c r="AA26" s="34">
        <f t="shared" si="18"/>
        <v>0</v>
      </c>
      <c r="AB26" s="34">
        <f t="shared" si="18"/>
        <v>6</v>
      </c>
      <c r="AC26" s="34">
        <f t="shared" si="18"/>
        <v>329</v>
      </c>
      <c r="AD26" s="34">
        <f t="shared" si="18"/>
        <v>0</v>
      </c>
      <c r="AE26" s="31">
        <f t="shared" si="18"/>
        <v>496</v>
      </c>
      <c r="AF26" s="31">
        <f t="shared" si="18"/>
        <v>825</v>
      </c>
    </row>
    <row r="27" spans="2:32" ht="23.1" customHeight="1" x14ac:dyDescent="0.25">
      <c r="B27" s="45" t="s">
        <v>54</v>
      </c>
      <c r="C27" s="50">
        <v>42</v>
      </c>
      <c r="D27" s="50">
        <v>9</v>
      </c>
      <c r="E27" s="50">
        <v>5</v>
      </c>
      <c r="F27" s="50">
        <v>25</v>
      </c>
      <c r="G27" s="50">
        <v>2</v>
      </c>
      <c r="H27" s="50">
        <v>0</v>
      </c>
      <c r="I27" s="50">
        <v>18</v>
      </c>
      <c r="J27" s="50">
        <v>3</v>
      </c>
      <c r="K27" s="50">
        <v>3</v>
      </c>
      <c r="L27" s="50">
        <v>4</v>
      </c>
      <c r="M27" s="50">
        <v>206</v>
      </c>
      <c r="N27" s="50">
        <v>0</v>
      </c>
      <c r="O27" s="15">
        <f t="shared" si="0"/>
        <v>111</v>
      </c>
      <c r="P27" s="15">
        <f t="shared" si="1"/>
        <v>317</v>
      </c>
      <c r="R27" s="36" t="s">
        <v>151</v>
      </c>
      <c r="S27" s="34">
        <f>SUM(C78:C81)</f>
        <v>147</v>
      </c>
      <c r="T27" s="34">
        <f t="shared" ref="T27:AF27" si="19">SUM(D78:D81)</f>
        <v>29</v>
      </c>
      <c r="U27" s="34">
        <f t="shared" si="19"/>
        <v>10</v>
      </c>
      <c r="V27" s="34">
        <f t="shared" si="19"/>
        <v>23</v>
      </c>
      <c r="W27" s="34">
        <f t="shared" si="19"/>
        <v>1</v>
      </c>
      <c r="X27" s="34">
        <f t="shared" si="19"/>
        <v>1</v>
      </c>
      <c r="Y27" s="34">
        <f t="shared" si="19"/>
        <v>13</v>
      </c>
      <c r="Z27" s="34">
        <f t="shared" si="19"/>
        <v>5</v>
      </c>
      <c r="AA27" s="34">
        <f t="shared" si="19"/>
        <v>3</v>
      </c>
      <c r="AB27" s="34">
        <f t="shared" si="19"/>
        <v>3</v>
      </c>
      <c r="AC27" s="34">
        <f t="shared" si="19"/>
        <v>181</v>
      </c>
      <c r="AD27" s="34">
        <f t="shared" si="19"/>
        <v>0</v>
      </c>
      <c r="AE27" s="31">
        <f t="shared" si="19"/>
        <v>235</v>
      </c>
      <c r="AF27" s="31">
        <f t="shared" si="19"/>
        <v>416</v>
      </c>
    </row>
    <row r="28" spans="2:32" ht="23.1" customHeight="1" x14ac:dyDescent="0.25">
      <c r="B28" s="45" t="s">
        <v>55</v>
      </c>
      <c r="C28" s="50">
        <v>41</v>
      </c>
      <c r="D28" s="50">
        <v>12</v>
      </c>
      <c r="E28" s="50">
        <v>7</v>
      </c>
      <c r="F28" s="50">
        <v>20</v>
      </c>
      <c r="G28" s="50">
        <v>0</v>
      </c>
      <c r="H28" s="50">
        <v>2</v>
      </c>
      <c r="I28" s="50">
        <v>19</v>
      </c>
      <c r="J28" s="50">
        <v>4</v>
      </c>
      <c r="K28" s="50">
        <v>1</v>
      </c>
      <c r="L28" s="50">
        <v>0</v>
      </c>
      <c r="M28" s="50">
        <v>221</v>
      </c>
      <c r="N28" s="50">
        <v>0</v>
      </c>
      <c r="O28" s="15">
        <f t="shared" si="0"/>
        <v>106</v>
      </c>
      <c r="P28" s="15">
        <f t="shared" si="1"/>
        <v>327</v>
      </c>
      <c r="R28" s="36" t="s">
        <v>152</v>
      </c>
      <c r="S28" s="34">
        <f>SUM(C82:C85)</f>
        <v>55</v>
      </c>
      <c r="T28" s="34">
        <f t="shared" ref="T28:AF28" si="20">SUM(D82:D85)</f>
        <v>3</v>
      </c>
      <c r="U28" s="34">
        <f t="shared" si="20"/>
        <v>6</v>
      </c>
      <c r="V28" s="34">
        <f t="shared" si="20"/>
        <v>14</v>
      </c>
      <c r="W28" s="34">
        <f t="shared" si="20"/>
        <v>0</v>
      </c>
      <c r="X28" s="34">
        <f t="shared" si="20"/>
        <v>0</v>
      </c>
      <c r="Y28" s="34">
        <f t="shared" si="20"/>
        <v>8</v>
      </c>
      <c r="Z28" s="34">
        <f t="shared" si="20"/>
        <v>5</v>
      </c>
      <c r="AA28" s="34">
        <f t="shared" si="20"/>
        <v>1</v>
      </c>
      <c r="AB28" s="34">
        <f t="shared" si="20"/>
        <v>3</v>
      </c>
      <c r="AC28" s="34">
        <f t="shared" si="20"/>
        <v>208</v>
      </c>
      <c r="AD28" s="34">
        <f t="shared" si="20"/>
        <v>0</v>
      </c>
      <c r="AE28" s="31">
        <f t="shared" si="20"/>
        <v>95</v>
      </c>
      <c r="AF28" s="31">
        <f t="shared" si="20"/>
        <v>303</v>
      </c>
    </row>
    <row r="29" spans="2:32" ht="23.1" customHeight="1" x14ac:dyDescent="0.25">
      <c r="B29" s="45" t="s">
        <v>56</v>
      </c>
      <c r="C29" s="50">
        <v>38</v>
      </c>
      <c r="D29" s="50">
        <v>7</v>
      </c>
      <c r="E29" s="50">
        <v>8</v>
      </c>
      <c r="F29" s="50">
        <v>20</v>
      </c>
      <c r="G29" s="50">
        <v>0</v>
      </c>
      <c r="H29" s="50">
        <v>0</v>
      </c>
      <c r="I29" s="50">
        <v>11</v>
      </c>
      <c r="J29" s="50">
        <v>3</v>
      </c>
      <c r="K29" s="50">
        <v>1</v>
      </c>
      <c r="L29" s="50">
        <v>2</v>
      </c>
      <c r="M29" s="50">
        <v>168</v>
      </c>
      <c r="N29" s="50">
        <v>0</v>
      </c>
      <c r="O29" s="15">
        <f t="shared" si="0"/>
        <v>90</v>
      </c>
      <c r="P29" s="15">
        <f t="shared" si="1"/>
        <v>258</v>
      </c>
      <c r="R29" s="36" t="s">
        <v>153</v>
      </c>
      <c r="S29" s="34">
        <f>SUM(C86:C89)</f>
        <v>52</v>
      </c>
      <c r="T29" s="34">
        <f t="shared" ref="T29:AF29" si="21">SUM(D86:D89)</f>
        <v>3</v>
      </c>
      <c r="U29" s="34">
        <f t="shared" si="21"/>
        <v>7</v>
      </c>
      <c r="V29" s="34">
        <f t="shared" si="21"/>
        <v>4</v>
      </c>
      <c r="W29" s="34">
        <f t="shared" si="21"/>
        <v>0</v>
      </c>
      <c r="X29" s="34">
        <f t="shared" si="21"/>
        <v>0</v>
      </c>
      <c r="Y29" s="34">
        <f t="shared" si="21"/>
        <v>5</v>
      </c>
      <c r="Z29" s="34">
        <f t="shared" si="21"/>
        <v>4</v>
      </c>
      <c r="AA29" s="34">
        <f t="shared" si="21"/>
        <v>0</v>
      </c>
      <c r="AB29" s="34">
        <f t="shared" si="21"/>
        <v>0</v>
      </c>
      <c r="AC29" s="34">
        <f t="shared" si="21"/>
        <v>159</v>
      </c>
      <c r="AD29" s="34">
        <f t="shared" si="21"/>
        <v>0</v>
      </c>
      <c r="AE29" s="31">
        <f t="shared" si="21"/>
        <v>75</v>
      </c>
      <c r="AF29" s="31">
        <f t="shared" si="21"/>
        <v>234</v>
      </c>
    </row>
    <row r="30" spans="2:32" ht="23.1" customHeight="1" x14ac:dyDescent="0.25">
      <c r="B30" s="45" t="s">
        <v>57</v>
      </c>
      <c r="C30" s="50">
        <v>20</v>
      </c>
      <c r="D30" s="50">
        <v>9</v>
      </c>
      <c r="E30" s="50">
        <v>2</v>
      </c>
      <c r="F30" s="50">
        <v>28</v>
      </c>
      <c r="G30" s="50">
        <v>1</v>
      </c>
      <c r="H30" s="50">
        <v>0</v>
      </c>
      <c r="I30" s="50">
        <v>14</v>
      </c>
      <c r="J30" s="50">
        <v>5</v>
      </c>
      <c r="K30" s="50">
        <v>2</v>
      </c>
      <c r="L30" s="50">
        <v>0</v>
      </c>
      <c r="M30" s="50">
        <v>255</v>
      </c>
      <c r="N30" s="50">
        <v>0</v>
      </c>
      <c r="O30" s="15">
        <f t="shared" si="0"/>
        <v>81</v>
      </c>
      <c r="P30" s="15">
        <f t="shared" si="1"/>
        <v>336</v>
      </c>
      <c r="R30" s="36" t="s">
        <v>154</v>
      </c>
      <c r="S30" s="34">
        <f>SUM(C90:C93)</f>
        <v>40</v>
      </c>
      <c r="T30" s="34">
        <f t="shared" ref="T30:AF30" si="22">SUM(D90:D93)</f>
        <v>1</v>
      </c>
      <c r="U30" s="34">
        <f t="shared" si="22"/>
        <v>5</v>
      </c>
      <c r="V30" s="34">
        <f t="shared" si="22"/>
        <v>3</v>
      </c>
      <c r="W30" s="34">
        <f t="shared" si="22"/>
        <v>0</v>
      </c>
      <c r="X30" s="34">
        <f t="shared" si="22"/>
        <v>0</v>
      </c>
      <c r="Y30" s="34">
        <f t="shared" si="22"/>
        <v>8</v>
      </c>
      <c r="Z30" s="34">
        <f t="shared" si="22"/>
        <v>4</v>
      </c>
      <c r="AA30" s="34">
        <f t="shared" si="22"/>
        <v>2</v>
      </c>
      <c r="AB30" s="34">
        <f t="shared" si="22"/>
        <v>1</v>
      </c>
      <c r="AC30" s="34">
        <f t="shared" si="22"/>
        <v>79</v>
      </c>
      <c r="AD30" s="34">
        <f t="shared" si="22"/>
        <v>0</v>
      </c>
      <c r="AE30" s="31">
        <f t="shared" si="22"/>
        <v>64</v>
      </c>
      <c r="AF30" s="31">
        <f t="shared" si="22"/>
        <v>143</v>
      </c>
    </row>
    <row r="31" spans="2:32" ht="23.1" customHeight="1" x14ac:dyDescent="0.25">
      <c r="B31" s="46" t="s">
        <v>58</v>
      </c>
      <c r="C31" s="50">
        <v>33</v>
      </c>
      <c r="D31" s="50">
        <v>14</v>
      </c>
      <c r="E31" s="50">
        <v>8</v>
      </c>
      <c r="F31" s="50">
        <v>22</v>
      </c>
      <c r="G31" s="50">
        <v>1</v>
      </c>
      <c r="H31" s="50">
        <v>0</v>
      </c>
      <c r="I31" s="50">
        <v>10</v>
      </c>
      <c r="J31" s="50">
        <v>10</v>
      </c>
      <c r="K31" s="50">
        <v>2</v>
      </c>
      <c r="L31" s="50">
        <v>3</v>
      </c>
      <c r="M31" s="50">
        <v>230</v>
      </c>
      <c r="N31" s="50">
        <v>0</v>
      </c>
      <c r="O31" s="15">
        <f t="shared" si="0"/>
        <v>103</v>
      </c>
      <c r="P31" s="15">
        <f t="shared" si="1"/>
        <v>333</v>
      </c>
      <c r="R31" s="36" t="s">
        <v>155</v>
      </c>
      <c r="S31" s="34">
        <f>SUM(C94:C97)</f>
        <v>35</v>
      </c>
      <c r="T31" s="34">
        <f t="shared" ref="T31:AF31" si="23">SUM(D94:D97)</f>
        <v>9</v>
      </c>
      <c r="U31" s="34">
        <f t="shared" si="23"/>
        <v>7</v>
      </c>
      <c r="V31" s="34">
        <f t="shared" si="23"/>
        <v>10</v>
      </c>
      <c r="W31" s="34">
        <f t="shared" si="23"/>
        <v>1</v>
      </c>
      <c r="X31" s="34">
        <f t="shared" si="23"/>
        <v>1</v>
      </c>
      <c r="Y31" s="34">
        <f t="shared" si="23"/>
        <v>7</v>
      </c>
      <c r="Z31" s="34">
        <f t="shared" si="23"/>
        <v>11</v>
      </c>
      <c r="AA31" s="34">
        <f t="shared" si="23"/>
        <v>1</v>
      </c>
      <c r="AB31" s="34">
        <f t="shared" si="23"/>
        <v>3</v>
      </c>
      <c r="AC31" s="34">
        <f t="shared" si="23"/>
        <v>128</v>
      </c>
      <c r="AD31" s="34">
        <f t="shared" si="23"/>
        <v>0</v>
      </c>
      <c r="AE31" s="31">
        <f t="shared" si="23"/>
        <v>85</v>
      </c>
      <c r="AF31" s="31">
        <f t="shared" si="23"/>
        <v>213</v>
      </c>
    </row>
    <row r="32" spans="2:32" ht="23.1" customHeight="1" x14ac:dyDescent="0.25">
      <c r="B32" s="46" t="s">
        <v>59</v>
      </c>
      <c r="C32" s="50">
        <v>30</v>
      </c>
      <c r="D32" s="50">
        <v>12</v>
      </c>
      <c r="E32" s="50">
        <v>1</v>
      </c>
      <c r="F32" s="50">
        <v>28</v>
      </c>
      <c r="G32" s="50">
        <v>0</v>
      </c>
      <c r="H32" s="50">
        <v>1</v>
      </c>
      <c r="I32" s="50">
        <v>13</v>
      </c>
      <c r="J32" s="50">
        <v>6</v>
      </c>
      <c r="K32" s="50">
        <v>1</v>
      </c>
      <c r="L32" s="50">
        <v>2</v>
      </c>
      <c r="M32" s="50">
        <v>160</v>
      </c>
      <c r="N32" s="50">
        <v>0</v>
      </c>
      <c r="O32" s="15">
        <f t="shared" si="0"/>
        <v>94</v>
      </c>
      <c r="P32" s="15">
        <f t="shared" si="1"/>
        <v>254</v>
      </c>
      <c r="R32" s="33" t="s">
        <v>156</v>
      </c>
      <c r="S32" s="34">
        <f>SUM(C98:C101)</f>
        <v>67</v>
      </c>
      <c r="T32" s="34">
        <f t="shared" ref="T32:AF32" si="24">SUM(D98:D101)</f>
        <v>25</v>
      </c>
      <c r="U32" s="34">
        <f t="shared" si="24"/>
        <v>10</v>
      </c>
      <c r="V32" s="34">
        <f t="shared" si="24"/>
        <v>19</v>
      </c>
      <c r="W32" s="34">
        <f t="shared" si="24"/>
        <v>2</v>
      </c>
      <c r="X32" s="34">
        <f t="shared" si="24"/>
        <v>1</v>
      </c>
      <c r="Y32" s="34">
        <f t="shared" si="24"/>
        <v>5</v>
      </c>
      <c r="Z32" s="34">
        <f t="shared" si="24"/>
        <v>11</v>
      </c>
      <c r="AA32" s="34">
        <f t="shared" si="24"/>
        <v>11</v>
      </c>
      <c r="AB32" s="34">
        <f t="shared" si="24"/>
        <v>2</v>
      </c>
      <c r="AC32" s="34">
        <f t="shared" si="24"/>
        <v>270</v>
      </c>
      <c r="AD32" s="34">
        <f t="shared" si="24"/>
        <v>0</v>
      </c>
      <c r="AE32" s="31">
        <f t="shared" si="24"/>
        <v>153</v>
      </c>
      <c r="AF32" s="31">
        <f t="shared" si="24"/>
        <v>423</v>
      </c>
    </row>
    <row r="33" spans="2:32" ht="23.1" customHeight="1" x14ac:dyDescent="0.25">
      <c r="B33" s="45" t="s">
        <v>60</v>
      </c>
      <c r="C33" s="50">
        <v>35</v>
      </c>
      <c r="D33" s="50">
        <v>0</v>
      </c>
      <c r="E33" s="50">
        <v>1</v>
      </c>
      <c r="F33" s="50">
        <v>32</v>
      </c>
      <c r="G33" s="50">
        <v>0</v>
      </c>
      <c r="H33" s="50">
        <v>1</v>
      </c>
      <c r="I33" s="50">
        <v>10</v>
      </c>
      <c r="J33" s="50">
        <v>5</v>
      </c>
      <c r="K33" s="50">
        <v>2</v>
      </c>
      <c r="L33" s="50">
        <v>4</v>
      </c>
      <c r="M33" s="50">
        <v>110</v>
      </c>
      <c r="N33" s="50">
        <v>0</v>
      </c>
      <c r="O33" s="15">
        <f t="shared" si="0"/>
        <v>90</v>
      </c>
      <c r="P33" s="15">
        <f t="shared" si="1"/>
        <v>200</v>
      </c>
      <c r="R33" s="33" t="s">
        <v>157</v>
      </c>
      <c r="S33" s="34">
        <f>SUM(C102:C105)</f>
        <v>105</v>
      </c>
      <c r="T33" s="34">
        <f t="shared" ref="T33:AF33" si="25">SUM(D102:D105)</f>
        <v>37</v>
      </c>
      <c r="U33" s="34">
        <f t="shared" si="25"/>
        <v>8</v>
      </c>
      <c r="V33" s="34">
        <f t="shared" si="25"/>
        <v>59</v>
      </c>
      <c r="W33" s="34">
        <f t="shared" si="25"/>
        <v>1</v>
      </c>
      <c r="X33" s="34">
        <f t="shared" si="25"/>
        <v>2</v>
      </c>
      <c r="Y33" s="34">
        <f t="shared" si="25"/>
        <v>18</v>
      </c>
      <c r="Z33" s="34">
        <f t="shared" si="25"/>
        <v>24</v>
      </c>
      <c r="AA33" s="34">
        <f t="shared" si="25"/>
        <v>0</v>
      </c>
      <c r="AB33" s="34">
        <f t="shared" si="25"/>
        <v>4</v>
      </c>
      <c r="AC33" s="34">
        <f t="shared" si="25"/>
        <v>483</v>
      </c>
      <c r="AD33" s="34">
        <f t="shared" si="25"/>
        <v>0</v>
      </c>
      <c r="AE33" s="31">
        <f t="shared" si="25"/>
        <v>258</v>
      </c>
      <c r="AF33" s="31">
        <f t="shared" si="25"/>
        <v>741</v>
      </c>
    </row>
    <row r="34" spans="2:32" ht="23.1" customHeight="1" x14ac:dyDescent="0.25">
      <c r="B34" s="46" t="s">
        <v>61</v>
      </c>
      <c r="C34" s="50">
        <v>51</v>
      </c>
      <c r="D34" s="50">
        <v>5</v>
      </c>
      <c r="E34" s="50">
        <v>6</v>
      </c>
      <c r="F34" s="50">
        <v>22</v>
      </c>
      <c r="G34" s="50">
        <v>0</v>
      </c>
      <c r="H34" s="50">
        <v>0</v>
      </c>
      <c r="I34" s="50">
        <v>12</v>
      </c>
      <c r="J34" s="50">
        <v>10</v>
      </c>
      <c r="K34" s="50">
        <v>0</v>
      </c>
      <c r="L34" s="50">
        <v>0</v>
      </c>
      <c r="M34" s="50">
        <v>285</v>
      </c>
      <c r="N34" s="50">
        <v>0</v>
      </c>
      <c r="O34" s="15">
        <f t="shared" si="0"/>
        <v>106</v>
      </c>
      <c r="P34" s="15">
        <f t="shared" si="1"/>
        <v>391</v>
      </c>
      <c r="R34" s="38" t="s">
        <v>90</v>
      </c>
      <c r="S34" s="39">
        <f t="shared" ref="S34:AF34" si="26">MAX(S10:S12)</f>
        <v>157</v>
      </c>
      <c r="T34" s="39">
        <f t="shared" si="26"/>
        <v>29</v>
      </c>
      <c r="U34" s="39">
        <f t="shared" si="26"/>
        <v>28</v>
      </c>
      <c r="V34" s="39">
        <f t="shared" si="26"/>
        <v>104</v>
      </c>
      <c r="W34" s="39">
        <f t="shared" si="26"/>
        <v>7</v>
      </c>
      <c r="X34" s="39">
        <f t="shared" si="26"/>
        <v>3</v>
      </c>
      <c r="Y34" s="39">
        <f t="shared" si="26"/>
        <v>38</v>
      </c>
      <c r="Z34" s="39">
        <f t="shared" si="26"/>
        <v>23</v>
      </c>
      <c r="AA34" s="39">
        <f t="shared" si="26"/>
        <v>4</v>
      </c>
      <c r="AB34" s="39">
        <f t="shared" si="26"/>
        <v>10</v>
      </c>
      <c r="AC34" s="39">
        <f t="shared" si="26"/>
        <v>1412</v>
      </c>
      <c r="AD34" s="39">
        <f t="shared" si="26"/>
        <v>2</v>
      </c>
      <c r="AE34" s="40">
        <f t="shared" si="26"/>
        <v>389</v>
      </c>
      <c r="AF34" s="40">
        <f t="shared" si="26"/>
        <v>1771</v>
      </c>
    </row>
    <row r="35" spans="2:32" ht="23.1" customHeight="1" x14ac:dyDescent="0.25">
      <c r="B35" s="46" t="s">
        <v>62</v>
      </c>
      <c r="C35" s="50">
        <v>47</v>
      </c>
      <c r="D35" s="50">
        <v>10</v>
      </c>
      <c r="E35" s="50">
        <v>7</v>
      </c>
      <c r="F35" s="50">
        <v>25</v>
      </c>
      <c r="G35" s="50">
        <v>0</v>
      </c>
      <c r="H35" s="50">
        <v>1</v>
      </c>
      <c r="I35" s="50">
        <v>13</v>
      </c>
      <c r="J35" s="50">
        <v>6</v>
      </c>
      <c r="K35" s="50">
        <v>0</v>
      </c>
      <c r="L35" s="50">
        <v>5</v>
      </c>
      <c r="M35" s="50">
        <v>210</v>
      </c>
      <c r="N35" s="50">
        <v>0</v>
      </c>
      <c r="O35" s="15">
        <f t="shared" si="0"/>
        <v>114</v>
      </c>
      <c r="P35" s="15">
        <f t="shared" si="1"/>
        <v>324</v>
      </c>
      <c r="R35" s="38" t="s">
        <v>91</v>
      </c>
      <c r="S35" s="39">
        <f t="shared" ref="S35:AF35" si="27">MAX(S13:S18)</f>
        <v>197</v>
      </c>
      <c r="T35" s="39">
        <f t="shared" si="27"/>
        <v>39</v>
      </c>
      <c r="U35" s="39">
        <f t="shared" si="27"/>
        <v>30</v>
      </c>
      <c r="V35" s="39">
        <f t="shared" si="27"/>
        <v>127</v>
      </c>
      <c r="W35" s="39">
        <f t="shared" si="27"/>
        <v>2</v>
      </c>
      <c r="X35" s="39">
        <f t="shared" si="27"/>
        <v>4</v>
      </c>
      <c r="Y35" s="39">
        <f t="shared" si="27"/>
        <v>69</v>
      </c>
      <c r="Z35" s="39">
        <f t="shared" si="27"/>
        <v>43</v>
      </c>
      <c r="AA35" s="39">
        <f t="shared" si="27"/>
        <v>8</v>
      </c>
      <c r="AB35" s="39">
        <f t="shared" si="27"/>
        <v>15</v>
      </c>
      <c r="AC35" s="39">
        <f t="shared" si="27"/>
        <v>1091</v>
      </c>
      <c r="AD35" s="39">
        <f t="shared" si="27"/>
        <v>0</v>
      </c>
      <c r="AE35" s="40">
        <f t="shared" si="27"/>
        <v>475</v>
      </c>
      <c r="AF35" s="40">
        <f t="shared" si="27"/>
        <v>1486</v>
      </c>
    </row>
    <row r="36" spans="2:32" ht="23.1" customHeight="1" x14ac:dyDescent="0.25">
      <c r="B36" s="46" t="s">
        <v>63</v>
      </c>
      <c r="C36" s="50">
        <v>38</v>
      </c>
      <c r="D36" s="50">
        <v>5</v>
      </c>
      <c r="E36" s="50">
        <v>4</v>
      </c>
      <c r="F36" s="50">
        <v>25</v>
      </c>
      <c r="G36" s="50">
        <v>0</v>
      </c>
      <c r="H36" s="50">
        <v>1</v>
      </c>
      <c r="I36" s="50">
        <v>13</v>
      </c>
      <c r="J36" s="50">
        <v>6</v>
      </c>
      <c r="K36" s="50">
        <v>0</v>
      </c>
      <c r="L36" s="50">
        <v>5</v>
      </c>
      <c r="M36" s="50">
        <v>210</v>
      </c>
      <c r="N36" s="50">
        <v>0</v>
      </c>
      <c r="O36" s="15">
        <f t="shared" si="0"/>
        <v>97</v>
      </c>
      <c r="P36" s="15">
        <f t="shared" si="1"/>
        <v>307</v>
      </c>
      <c r="R36" s="38" t="s">
        <v>92</v>
      </c>
      <c r="S36" s="39">
        <f t="shared" ref="S36:AF36" si="28">MAX(S19:S21)</f>
        <v>469</v>
      </c>
      <c r="T36" s="39">
        <f t="shared" si="28"/>
        <v>36</v>
      </c>
      <c r="U36" s="39">
        <f t="shared" si="28"/>
        <v>28</v>
      </c>
      <c r="V36" s="39">
        <f t="shared" si="28"/>
        <v>225</v>
      </c>
      <c r="W36" s="39">
        <f t="shared" si="28"/>
        <v>13</v>
      </c>
      <c r="X36" s="39">
        <f t="shared" si="28"/>
        <v>5</v>
      </c>
      <c r="Y36" s="39">
        <f t="shared" si="28"/>
        <v>34</v>
      </c>
      <c r="Z36" s="39">
        <f t="shared" si="28"/>
        <v>34</v>
      </c>
      <c r="AA36" s="39">
        <f t="shared" si="28"/>
        <v>8</v>
      </c>
      <c r="AB36" s="39">
        <f t="shared" si="28"/>
        <v>16</v>
      </c>
      <c r="AC36" s="39">
        <f t="shared" si="28"/>
        <v>1170</v>
      </c>
      <c r="AD36" s="39">
        <f t="shared" si="28"/>
        <v>0</v>
      </c>
      <c r="AE36" s="40">
        <f t="shared" si="28"/>
        <v>848</v>
      </c>
      <c r="AF36" s="40">
        <f t="shared" si="28"/>
        <v>2018</v>
      </c>
    </row>
    <row r="37" spans="2:32" ht="23.1" customHeight="1" x14ac:dyDescent="0.25">
      <c r="B37" s="45" t="s">
        <v>64</v>
      </c>
      <c r="C37" s="50">
        <v>29</v>
      </c>
      <c r="D37" s="50">
        <v>4</v>
      </c>
      <c r="E37" s="50">
        <v>4</v>
      </c>
      <c r="F37" s="50">
        <v>23</v>
      </c>
      <c r="G37" s="50">
        <v>0</v>
      </c>
      <c r="H37" s="50">
        <v>1</v>
      </c>
      <c r="I37" s="50">
        <v>15</v>
      </c>
      <c r="J37" s="50">
        <v>12</v>
      </c>
      <c r="K37" s="50">
        <v>4</v>
      </c>
      <c r="L37" s="50">
        <v>5</v>
      </c>
      <c r="M37" s="50">
        <v>123</v>
      </c>
      <c r="N37" s="50">
        <v>0</v>
      </c>
      <c r="O37" s="15">
        <f t="shared" si="0"/>
        <v>97</v>
      </c>
      <c r="P37" s="15">
        <f t="shared" si="1"/>
        <v>220</v>
      </c>
      <c r="R37" s="37" t="s">
        <v>85</v>
      </c>
      <c r="S37" s="35">
        <f t="shared" ref="S37:AF37" si="29">SUM(S10:S12)</f>
        <v>419</v>
      </c>
      <c r="T37" s="16">
        <f t="shared" si="29"/>
        <v>71</v>
      </c>
      <c r="U37" s="16">
        <f t="shared" si="29"/>
        <v>68</v>
      </c>
      <c r="V37" s="16">
        <f t="shared" si="29"/>
        <v>302</v>
      </c>
      <c r="W37" s="16">
        <f t="shared" si="29"/>
        <v>11</v>
      </c>
      <c r="X37" s="16">
        <f t="shared" si="29"/>
        <v>6</v>
      </c>
      <c r="Y37" s="16">
        <f t="shared" si="29"/>
        <v>86</v>
      </c>
      <c r="Z37" s="16">
        <f t="shared" si="29"/>
        <v>61</v>
      </c>
      <c r="AA37" s="16">
        <f t="shared" si="29"/>
        <v>8</v>
      </c>
      <c r="AB37" s="16">
        <f t="shared" si="29"/>
        <v>22</v>
      </c>
      <c r="AC37" s="16">
        <f t="shared" si="29"/>
        <v>3615</v>
      </c>
      <c r="AD37" s="16">
        <f t="shared" si="29"/>
        <v>2</v>
      </c>
      <c r="AE37" s="32">
        <f t="shared" si="29"/>
        <v>1056</v>
      </c>
      <c r="AF37" s="32">
        <f t="shared" si="29"/>
        <v>4671</v>
      </c>
    </row>
    <row r="38" spans="2:32" ht="23.1" customHeight="1" x14ac:dyDescent="0.25">
      <c r="B38" s="46" t="s">
        <v>65</v>
      </c>
      <c r="C38" s="50">
        <v>30</v>
      </c>
      <c r="D38" s="50">
        <v>8</v>
      </c>
      <c r="E38" s="50">
        <v>9</v>
      </c>
      <c r="F38" s="50">
        <v>23</v>
      </c>
      <c r="G38" s="50">
        <v>0</v>
      </c>
      <c r="H38" s="50">
        <v>1</v>
      </c>
      <c r="I38" s="50">
        <v>8</v>
      </c>
      <c r="J38" s="50">
        <v>11</v>
      </c>
      <c r="K38" s="50">
        <v>3</v>
      </c>
      <c r="L38" s="50">
        <v>0</v>
      </c>
      <c r="M38" s="50">
        <v>153</v>
      </c>
      <c r="N38" s="50">
        <v>0</v>
      </c>
      <c r="O38" s="15">
        <f t="shared" si="0"/>
        <v>93</v>
      </c>
      <c r="P38" s="15">
        <f t="shared" si="1"/>
        <v>246</v>
      </c>
      <c r="R38" s="28" t="s">
        <v>86</v>
      </c>
      <c r="S38" s="16">
        <f t="shared" ref="S38:AF38" si="30">SUM(S13:S18)</f>
        <v>925</v>
      </c>
      <c r="T38" s="16">
        <f t="shared" si="30"/>
        <v>184</v>
      </c>
      <c r="U38" s="16">
        <f t="shared" si="30"/>
        <v>136</v>
      </c>
      <c r="V38" s="16">
        <f t="shared" si="30"/>
        <v>614</v>
      </c>
      <c r="W38" s="16">
        <f t="shared" si="30"/>
        <v>7</v>
      </c>
      <c r="X38" s="16">
        <f t="shared" si="30"/>
        <v>12</v>
      </c>
      <c r="Y38" s="16">
        <f t="shared" si="30"/>
        <v>307</v>
      </c>
      <c r="Z38" s="16">
        <f t="shared" si="30"/>
        <v>190</v>
      </c>
      <c r="AA38" s="16">
        <f t="shared" si="30"/>
        <v>37</v>
      </c>
      <c r="AB38" s="16">
        <f t="shared" si="30"/>
        <v>53</v>
      </c>
      <c r="AC38" s="16">
        <f t="shared" si="30"/>
        <v>4948</v>
      </c>
      <c r="AD38" s="16">
        <f t="shared" si="30"/>
        <v>0</v>
      </c>
      <c r="AE38" s="32">
        <f t="shared" si="30"/>
        <v>2465</v>
      </c>
      <c r="AF38" s="32">
        <f t="shared" si="30"/>
        <v>7413</v>
      </c>
    </row>
    <row r="39" spans="2:32" ht="23.1" customHeight="1" x14ac:dyDescent="0.25">
      <c r="B39" s="46" t="s">
        <v>66</v>
      </c>
      <c r="C39" s="50">
        <v>46</v>
      </c>
      <c r="D39" s="50">
        <v>5</v>
      </c>
      <c r="E39" s="50">
        <v>5</v>
      </c>
      <c r="F39" s="50">
        <v>23</v>
      </c>
      <c r="G39" s="50">
        <v>1</v>
      </c>
      <c r="H39" s="50">
        <v>1</v>
      </c>
      <c r="I39" s="50">
        <v>9</v>
      </c>
      <c r="J39" s="50">
        <v>12</v>
      </c>
      <c r="K39" s="50">
        <v>2</v>
      </c>
      <c r="L39" s="50">
        <v>1</v>
      </c>
      <c r="M39" s="50">
        <v>140</v>
      </c>
      <c r="N39" s="50">
        <v>0</v>
      </c>
      <c r="O39" s="15">
        <f t="shared" si="0"/>
        <v>105</v>
      </c>
      <c r="P39" s="15">
        <f t="shared" si="1"/>
        <v>245</v>
      </c>
      <c r="R39" s="29" t="s">
        <v>87</v>
      </c>
      <c r="S39" s="16">
        <f t="shared" ref="S39:AF39" si="31">SUM(S19:S21)</f>
        <v>1048</v>
      </c>
      <c r="T39" s="16">
        <f t="shared" si="31"/>
        <v>94</v>
      </c>
      <c r="U39" s="16">
        <f t="shared" si="31"/>
        <v>76</v>
      </c>
      <c r="V39" s="16">
        <f t="shared" si="31"/>
        <v>433</v>
      </c>
      <c r="W39" s="16">
        <f t="shared" si="31"/>
        <v>20</v>
      </c>
      <c r="X39" s="16">
        <f t="shared" si="31"/>
        <v>9</v>
      </c>
      <c r="Y39" s="16">
        <f t="shared" si="31"/>
        <v>82</v>
      </c>
      <c r="Z39" s="16">
        <f t="shared" si="31"/>
        <v>87</v>
      </c>
      <c r="AA39" s="16">
        <f t="shared" si="31"/>
        <v>21</v>
      </c>
      <c r="AB39" s="16">
        <f t="shared" si="31"/>
        <v>35</v>
      </c>
      <c r="AC39" s="16">
        <f t="shared" si="31"/>
        <v>3284</v>
      </c>
      <c r="AD39" s="16">
        <f t="shared" si="31"/>
        <v>0</v>
      </c>
      <c r="AE39" s="32">
        <f t="shared" si="31"/>
        <v>1905</v>
      </c>
      <c r="AF39" s="32">
        <f t="shared" si="31"/>
        <v>5189</v>
      </c>
    </row>
    <row r="40" spans="2:32" ht="23.1" customHeight="1" x14ac:dyDescent="0.25">
      <c r="B40" s="46" t="s">
        <v>67</v>
      </c>
      <c r="C40" s="50">
        <v>48</v>
      </c>
      <c r="D40" s="50">
        <v>2</v>
      </c>
      <c r="E40" s="50">
        <v>6</v>
      </c>
      <c r="F40" s="50">
        <v>10</v>
      </c>
      <c r="G40" s="50">
        <v>0</v>
      </c>
      <c r="H40" s="50">
        <v>0</v>
      </c>
      <c r="I40" s="50">
        <v>9</v>
      </c>
      <c r="J40" s="50">
        <v>9</v>
      </c>
      <c r="K40" s="50">
        <v>0</v>
      </c>
      <c r="L40" s="50">
        <v>6</v>
      </c>
      <c r="M40" s="50">
        <v>136</v>
      </c>
      <c r="N40" s="50">
        <v>0</v>
      </c>
      <c r="O40" s="15">
        <f t="shared" si="0"/>
        <v>90</v>
      </c>
      <c r="P40" s="15">
        <f t="shared" si="1"/>
        <v>226</v>
      </c>
      <c r="R40" s="5" t="s">
        <v>17</v>
      </c>
      <c r="S40" s="16">
        <f t="shared" ref="S40:AF40" si="32">SUM(S10:S21)</f>
        <v>2392</v>
      </c>
      <c r="T40" s="16">
        <f t="shared" si="32"/>
        <v>349</v>
      </c>
      <c r="U40" s="16">
        <f t="shared" si="32"/>
        <v>280</v>
      </c>
      <c r="V40" s="16">
        <f t="shared" si="32"/>
        <v>1349</v>
      </c>
      <c r="W40" s="16">
        <f t="shared" si="32"/>
        <v>38</v>
      </c>
      <c r="X40" s="16">
        <f t="shared" si="32"/>
        <v>27</v>
      </c>
      <c r="Y40" s="16">
        <f t="shared" si="32"/>
        <v>475</v>
      </c>
      <c r="Z40" s="16">
        <f t="shared" si="32"/>
        <v>338</v>
      </c>
      <c r="AA40" s="16">
        <f t="shared" si="32"/>
        <v>66</v>
      </c>
      <c r="AB40" s="16">
        <f t="shared" si="32"/>
        <v>110</v>
      </c>
      <c r="AC40" s="16">
        <f t="shared" si="32"/>
        <v>11847</v>
      </c>
      <c r="AD40" s="16">
        <f t="shared" si="32"/>
        <v>2</v>
      </c>
      <c r="AE40" s="32">
        <f t="shared" si="32"/>
        <v>5426</v>
      </c>
      <c r="AF40" s="32">
        <f t="shared" si="32"/>
        <v>17273</v>
      </c>
    </row>
    <row r="41" spans="2:32" ht="23.1" customHeight="1" x14ac:dyDescent="0.25">
      <c r="B41" s="45" t="s">
        <v>68</v>
      </c>
      <c r="C41" s="50">
        <v>35</v>
      </c>
      <c r="D41" s="50">
        <v>9</v>
      </c>
      <c r="E41" s="50">
        <v>10</v>
      </c>
      <c r="F41" s="50">
        <v>18</v>
      </c>
      <c r="G41" s="50">
        <v>1</v>
      </c>
      <c r="H41" s="50">
        <v>0</v>
      </c>
      <c r="I41" s="50">
        <v>12</v>
      </c>
      <c r="J41" s="50">
        <v>11</v>
      </c>
      <c r="K41" s="50">
        <v>1</v>
      </c>
      <c r="L41" s="50">
        <v>3</v>
      </c>
      <c r="M41" s="50">
        <v>177</v>
      </c>
      <c r="N41" s="50">
        <v>0</v>
      </c>
      <c r="O41" s="15">
        <f t="shared" si="0"/>
        <v>100</v>
      </c>
      <c r="P41" s="15">
        <f t="shared" si="1"/>
        <v>277</v>
      </c>
      <c r="R41" s="5" t="s">
        <v>159</v>
      </c>
      <c r="S41" s="16">
        <f>SUM(S10:S33)</f>
        <v>4965</v>
      </c>
      <c r="T41" s="16">
        <f t="shared" ref="T41:AF41" si="33">SUM(T10:T33)</f>
        <v>675</v>
      </c>
      <c r="U41" s="16">
        <f t="shared" si="33"/>
        <v>487</v>
      </c>
      <c r="V41" s="16">
        <f t="shared" si="33"/>
        <v>2163</v>
      </c>
      <c r="W41" s="16">
        <f t="shared" si="33"/>
        <v>65</v>
      </c>
      <c r="X41" s="16">
        <f t="shared" si="33"/>
        <v>43</v>
      </c>
      <c r="Y41" s="16">
        <f t="shared" si="33"/>
        <v>729</v>
      </c>
      <c r="Z41" s="16">
        <f t="shared" si="33"/>
        <v>516</v>
      </c>
      <c r="AA41" s="16">
        <f t="shared" si="33"/>
        <v>111</v>
      </c>
      <c r="AB41" s="16">
        <f t="shared" si="33"/>
        <v>150</v>
      </c>
      <c r="AC41" s="16">
        <f t="shared" si="33"/>
        <v>16062</v>
      </c>
      <c r="AD41" s="16">
        <f t="shared" si="33"/>
        <v>2</v>
      </c>
      <c r="AE41" s="32">
        <f t="shared" si="33"/>
        <v>9906</v>
      </c>
      <c r="AF41" s="32">
        <f t="shared" si="33"/>
        <v>25968</v>
      </c>
    </row>
    <row r="42" spans="2:32" ht="23.1" customHeight="1" x14ac:dyDescent="0.25">
      <c r="B42" s="46" t="s">
        <v>69</v>
      </c>
      <c r="C42" s="50">
        <v>38</v>
      </c>
      <c r="D42" s="50">
        <v>12</v>
      </c>
      <c r="E42" s="50">
        <v>6</v>
      </c>
      <c r="F42" s="50">
        <v>36</v>
      </c>
      <c r="G42" s="50">
        <v>1</v>
      </c>
      <c r="H42" s="50">
        <v>0</v>
      </c>
      <c r="I42" s="50">
        <v>12</v>
      </c>
      <c r="J42" s="50">
        <v>9</v>
      </c>
      <c r="K42" s="50">
        <v>1</v>
      </c>
      <c r="L42" s="50">
        <v>2</v>
      </c>
      <c r="M42" s="50">
        <v>165</v>
      </c>
      <c r="N42" s="50">
        <v>0</v>
      </c>
      <c r="O42" s="15">
        <f t="shared" si="0"/>
        <v>117</v>
      </c>
      <c r="P42" s="15">
        <f t="shared" si="1"/>
        <v>282</v>
      </c>
      <c r="R42" s="5" t="s">
        <v>160</v>
      </c>
      <c r="S42" s="48">
        <f>S41/S40</f>
        <v>2.0756688963210701</v>
      </c>
      <c r="T42" s="48">
        <f t="shared" ref="T42:AF42" si="34">T41/T40</f>
        <v>1.9340974212034383</v>
      </c>
      <c r="U42" s="48">
        <f t="shared" si="34"/>
        <v>1.7392857142857143</v>
      </c>
      <c r="V42" s="48">
        <f t="shared" si="34"/>
        <v>1.603409933283914</v>
      </c>
      <c r="W42" s="48">
        <f t="shared" si="34"/>
        <v>1.7105263157894737</v>
      </c>
      <c r="X42" s="48">
        <f t="shared" si="34"/>
        <v>1.5925925925925926</v>
      </c>
      <c r="Y42" s="48">
        <f t="shared" si="34"/>
        <v>1.5347368421052632</v>
      </c>
      <c r="Z42" s="48">
        <f t="shared" si="34"/>
        <v>1.5266272189349113</v>
      </c>
      <c r="AA42" s="48">
        <f t="shared" si="34"/>
        <v>1.6818181818181819</v>
      </c>
      <c r="AB42" s="48">
        <f t="shared" si="34"/>
        <v>1.3636363636363635</v>
      </c>
      <c r="AC42" s="48">
        <f t="shared" si="34"/>
        <v>1.3557862750063308</v>
      </c>
      <c r="AD42" s="48">
        <f t="shared" si="34"/>
        <v>1</v>
      </c>
      <c r="AE42" s="48">
        <f t="shared" si="34"/>
        <v>1.825654257279764</v>
      </c>
      <c r="AF42" s="48">
        <f t="shared" si="34"/>
        <v>1.5033867886296532</v>
      </c>
    </row>
    <row r="43" spans="2:32" ht="23.1" customHeight="1" x14ac:dyDescent="0.25">
      <c r="B43" s="45" t="s">
        <v>70</v>
      </c>
      <c r="C43" s="50">
        <v>63</v>
      </c>
      <c r="D43" s="50">
        <v>12</v>
      </c>
      <c r="E43" s="50">
        <v>4</v>
      </c>
      <c r="F43" s="50">
        <v>20</v>
      </c>
      <c r="G43" s="50">
        <v>0</v>
      </c>
      <c r="H43" s="50">
        <v>0</v>
      </c>
      <c r="I43" s="50">
        <v>8</v>
      </c>
      <c r="J43" s="50">
        <v>7</v>
      </c>
      <c r="K43" s="50">
        <v>3</v>
      </c>
      <c r="L43" s="50">
        <v>3</v>
      </c>
      <c r="M43" s="50">
        <v>187</v>
      </c>
      <c r="N43" s="50">
        <v>0</v>
      </c>
      <c r="O43" s="15">
        <f t="shared" si="0"/>
        <v>120</v>
      </c>
      <c r="P43" s="15">
        <f t="shared" si="1"/>
        <v>307</v>
      </c>
    </row>
    <row r="44" spans="2:32" ht="23.1" customHeight="1" x14ac:dyDescent="0.25">
      <c r="B44" s="47" t="s">
        <v>71</v>
      </c>
      <c r="C44" s="50">
        <v>51</v>
      </c>
      <c r="D44" s="50">
        <v>5</v>
      </c>
      <c r="E44" s="50">
        <v>6</v>
      </c>
      <c r="F44" s="50">
        <v>33</v>
      </c>
      <c r="G44" s="50">
        <v>0</v>
      </c>
      <c r="H44" s="50">
        <v>1</v>
      </c>
      <c r="I44" s="50">
        <v>10</v>
      </c>
      <c r="J44" s="50">
        <v>14</v>
      </c>
      <c r="K44" s="50">
        <v>1</v>
      </c>
      <c r="L44" s="50">
        <v>1</v>
      </c>
      <c r="M44" s="50">
        <v>235</v>
      </c>
      <c r="N44" s="50">
        <v>0</v>
      </c>
      <c r="O44" s="15">
        <f t="shared" si="0"/>
        <v>122</v>
      </c>
      <c r="P44" s="15">
        <f t="shared" si="1"/>
        <v>357</v>
      </c>
    </row>
    <row r="45" spans="2:32" ht="23.1" customHeight="1" x14ac:dyDescent="0.25">
      <c r="B45" s="45" t="s">
        <v>72</v>
      </c>
      <c r="C45" s="50">
        <v>45</v>
      </c>
      <c r="D45" s="50">
        <v>10</v>
      </c>
      <c r="E45" s="50">
        <v>8</v>
      </c>
      <c r="F45" s="50">
        <v>20</v>
      </c>
      <c r="G45" s="50">
        <v>0</v>
      </c>
      <c r="H45" s="50">
        <v>0</v>
      </c>
      <c r="I45" s="50">
        <v>14</v>
      </c>
      <c r="J45" s="50">
        <v>13</v>
      </c>
      <c r="K45" s="50">
        <v>3</v>
      </c>
      <c r="L45" s="50">
        <v>3</v>
      </c>
      <c r="M45" s="50">
        <v>181</v>
      </c>
      <c r="N45" s="50">
        <v>0</v>
      </c>
      <c r="O45" s="15">
        <f t="shared" si="0"/>
        <v>116</v>
      </c>
      <c r="P45" s="15">
        <f t="shared" si="1"/>
        <v>297</v>
      </c>
    </row>
    <row r="46" spans="2:32" ht="23.1" customHeight="1" x14ac:dyDescent="0.25">
      <c r="B46" s="46" t="s">
        <v>73</v>
      </c>
      <c r="C46" s="50">
        <v>32</v>
      </c>
      <c r="D46" s="50">
        <v>3</v>
      </c>
      <c r="E46" s="50">
        <v>9</v>
      </c>
      <c r="F46" s="50">
        <v>25</v>
      </c>
      <c r="G46" s="50">
        <v>0</v>
      </c>
      <c r="H46" s="50">
        <v>1</v>
      </c>
      <c r="I46" s="50">
        <v>7</v>
      </c>
      <c r="J46" s="50">
        <v>8</v>
      </c>
      <c r="K46" s="50">
        <v>0</v>
      </c>
      <c r="L46" s="50">
        <v>6</v>
      </c>
      <c r="M46" s="50">
        <v>195</v>
      </c>
      <c r="N46" s="50">
        <v>0</v>
      </c>
      <c r="O46" s="15">
        <f t="shared" si="0"/>
        <v>91</v>
      </c>
      <c r="P46" s="15">
        <f t="shared" si="1"/>
        <v>286</v>
      </c>
      <c r="R46" s="8"/>
      <c r="T46"/>
    </row>
    <row r="47" spans="2:32" ht="23.1" customHeight="1" x14ac:dyDescent="0.25">
      <c r="B47" s="46" t="s">
        <v>74</v>
      </c>
      <c r="C47" s="50">
        <v>38</v>
      </c>
      <c r="D47" s="50">
        <v>6</v>
      </c>
      <c r="E47" s="50">
        <v>2</v>
      </c>
      <c r="F47" s="50">
        <v>22</v>
      </c>
      <c r="G47" s="50">
        <v>2</v>
      </c>
      <c r="H47" s="50">
        <v>0</v>
      </c>
      <c r="I47" s="50">
        <v>8</v>
      </c>
      <c r="J47" s="50">
        <v>5</v>
      </c>
      <c r="K47" s="50">
        <v>5</v>
      </c>
      <c r="L47" s="50">
        <v>6</v>
      </c>
      <c r="M47" s="50">
        <v>280</v>
      </c>
      <c r="N47" s="50">
        <v>0</v>
      </c>
      <c r="O47" s="15">
        <f t="shared" si="0"/>
        <v>94</v>
      </c>
      <c r="P47" s="15">
        <f t="shared" si="1"/>
        <v>374</v>
      </c>
      <c r="R47" s="8"/>
      <c r="T47"/>
    </row>
    <row r="48" spans="2:32" ht="23.1" customHeight="1" x14ac:dyDescent="0.25">
      <c r="B48" s="46" t="s">
        <v>75</v>
      </c>
      <c r="C48" s="50">
        <v>78</v>
      </c>
      <c r="D48" s="50">
        <v>13</v>
      </c>
      <c r="E48" s="50">
        <v>6</v>
      </c>
      <c r="F48" s="50">
        <v>34</v>
      </c>
      <c r="G48" s="50">
        <v>0</v>
      </c>
      <c r="H48" s="50">
        <v>1</v>
      </c>
      <c r="I48" s="50">
        <v>5</v>
      </c>
      <c r="J48" s="50">
        <v>7</v>
      </c>
      <c r="K48" s="50">
        <v>1</v>
      </c>
      <c r="L48" s="50">
        <v>1</v>
      </c>
      <c r="M48" s="50">
        <v>277</v>
      </c>
      <c r="N48" s="50">
        <v>0</v>
      </c>
      <c r="O48" s="15">
        <f t="shared" si="0"/>
        <v>146</v>
      </c>
      <c r="P48" s="15">
        <f t="shared" si="1"/>
        <v>423</v>
      </c>
      <c r="R48" s="8"/>
      <c r="T48"/>
    </row>
    <row r="49" spans="2:20" ht="23.1" customHeight="1" x14ac:dyDescent="0.25">
      <c r="B49" s="45" t="s">
        <v>76</v>
      </c>
      <c r="C49" s="50">
        <v>61</v>
      </c>
      <c r="D49" s="50">
        <v>6</v>
      </c>
      <c r="E49" s="50">
        <v>6</v>
      </c>
      <c r="F49" s="50">
        <v>15</v>
      </c>
      <c r="G49" s="50">
        <v>2</v>
      </c>
      <c r="H49" s="50">
        <v>1</v>
      </c>
      <c r="I49" s="50">
        <v>14</v>
      </c>
      <c r="J49" s="50">
        <v>10</v>
      </c>
      <c r="K49" s="50">
        <v>2</v>
      </c>
      <c r="L49" s="50">
        <v>3</v>
      </c>
      <c r="M49" s="50">
        <v>275</v>
      </c>
      <c r="N49" s="50">
        <v>0</v>
      </c>
      <c r="O49" s="15">
        <f t="shared" si="0"/>
        <v>120</v>
      </c>
      <c r="P49" s="15">
        <f t="shared" si="1"/>
        <v>395</v>
      </c>
      <c r="R49" s="8"/>
      <c r="T49"/>
    </row>
    <row r="50" spans="2:20" ht="23.1" customHeight="1" x14ac:dyDescent="0.25">
      <c r="B50" s="46" t="s">
        <v>77</v>
      </c>
      <c r="C50" s="50">
        <v>72</v>
      </c>
      <c r="D50" s="50">
        <v>7</v>
      </c>
      <c r="E50" s="50">
        <v>8</v>
      </c>
      <c r="F50" s="50">
        <v>28</v>
      </c>
      <c r="G50" s="50">
        <v>0</v>
      </c>
      <c r="H50" s="50">
        <v>0</v>
      </c>
      <c r="I50" s="50">
        <v>8</v>
      </c>
      <c r="J50" s="50">
        <v>6</v>
      </c>
      <c r="K50" s="50">
        <v>3</v>
      </c>
      <c r="L50" s="50">
        <v>4</v>
      </c>
      <c r="M50" s="50">
        <v>300</v>
      </c>
      <c r="N50" s="50">
        <v>0</v>
      </c>
      <c r="O50" s="15">
        <f t="shared" si="0"/>
        <v>136</v>
      </c>
      <c r="P50" s="15">
        <f t="shared" si="1"/>
        <v>436</v>
      </c>
      <c r="R50" s="8"/>
      <c r="T50"/>
    </row>
    <row r="51" spans="2:20" ht="23.1" customHeight="1" x14ac:dyDescent="0.25">
      <c r="B51" s="46" t="s">
        <v>78</v>
      </c>
      <c r="C51" s="50">
        <v>85</v>
      </c>
      <c r="D51" s="50">
        <v>8</v>
      </c>
      <c r="E51" s="50">
        <v>4</v>
      </c>
      <c r="F51" s="50">
        <v>34</v>
      </c>
      <c r="G51" s="50">
        <v>1</v>
      </c>
      <c r="H51" s="50">
        <v>1</v>
      </c>
      <c r="I51" s="50">
        <v>4</v>
      </c>
      <c r="J51" s="50">
        <v>4</v>
      </c>
      <c r="K51" s="50">
        <v>0</v>
      </c>
      <c r="L51" s="50">
        <v>2</v>
      </c>
      <c r="M51" s="50">
        <v>315</v>
      </c>
      <c r="N51" s="50">
        <v>0</v>
      </c>
      <c r="O51" s="15">
        <f t="shared" si="0"/>
        <v>143</v>
      </c>
      <c r="P51" s="15">
        <f t="shared" si="1"/>
        <v>458</v>
      </c>
      <c r="R51" s="8"/>
      <c r="T51"/>
    </row>
    <row r="52" spans="2:20" ht="23.1" customHeight="1" x14ac:dyDescent="0.25">
      <c r="B52" s="46" t="s">
        <v>79</v>
      </c>
      <c r="C52" s="50">
        <v>93</v>
      </c>
      <c r="D52" s="50">
        <v>5</v>
      </c>
      <c r="E52" s="50">
        <v>10</v>
      </c>
      <c r="F52" s="50">
        <v>30</v>
      </c>
      <c r="G52" s="50">
        <v>1</v>
      </c>
      <c r="H52" s="50">
        <v>0</v>
      </c>
      <c r="I52" s="50">
        <v>8</v>
      </c>
      <c r="J52" s="50">
        <v>10</v>
      </c>
      <c r="K52" s="50">
        <v>2</v>
      </c>
      <c r="L52" s="50">
        <v>3</v>
      </c>
      <c r="M52" s="50">
        <v>170</v>
      </c>
      <c r="N52" s="50">
        <v>0</v>
      </c>
      <c r="O52" s="15">
        <f t="shared" si="0"/>
        <v>162</v>
      </c>
      <c r="P52" s="15">
        <f t="shared" si="1"/>
        <v>332</v>
      </c>
      <c r="R52" s="8"/>
      <c r="T52"/>
    </row>
    <row r="53" spans="2:20" ht="23.1" customHeight="1" x14ac:dyDescent="0.25">
      <c r="B53" s="45" t="s">
        <v>80</v>
      </c>
      <c r="C53" s="50">
        <v>120</v>
      </c>
      <c r="D53" s="50">
        <v>10</v>
      </c>
      <c r="E53" s="50">
        <v>3</v>
      </c>
      <c r="F53" s="50">
        <v>20</v>
      </c>
      <c r="G53" s="50">
        <v>1</v>
      </c>
      <c r="H53" s="50">
        <v>0</v>
      </c>
      <c r="I53" s="50">
        <v>6</v>
      </c>
      <c r="J53" s="50">
        <v>3</v>
      </c>
      <c r="K53" s="50">
        <v>2</v>
      </c>
      <c r="L53" s="50">
        <v>0</v>
      </c>
      <c r="M53" s="50">
        <v>302</v>
      </c>
      <c r="N53" s="50">
        <v>0</v>
      </c>
      <c r="O53" s="15">
        <f t="shared" si="0"/>
        <v>165</v>
      </c>
      <c r="P53" s="15">
        <f t="shared" si="1"/>
        <v>467</v>
      </c>
      <c r="R53" s="8"/>
      <c r="T53"/>
    </row>
    <row r="54" spans="2:20" ht="23.1" customHeight="1" x14ac:dyDescent="0.25">
      <c r="B54" s="45" t="s">
        <v>81</v>
      </c>
      <c r="C54" s="50">
        <v>82</v>
      </c>
      <c r="D54" s="50">
        <v>9</v>
      </c>
      <c r="E54" s="50">
        <v>7</v>
      </c>
      <c r="F54" s="50">
        <v>30</v>
      </c>
      <c r="G54" s="50">
        <v>2</v>
      </c>
      <c r="H54" s="50">
        <v>0</v>
      </c>
      <c r="I54" s="50">
        <v>1</v>
      </c>
      <c r="J54" s="50">
        <v>4</v>
      </c>
      <c r="K54" s="50">
        <v>1</v>
      </c>
      <c r="L54" s="50">
        <v>3</v>
      </c>
      <c r="M54" s="50">
        <v>245</v>
      </c>
      <c r="N54" s="50">
        <v>0</v>
      </c>
      <c r="O54" s="15">
        <f t="shared" si="0"/>
        <v>139</v>
      </c>
      <c r="P54" s="15">
        <f t="shared" si="1"/>
        <v>384</v>
      </c>
      <c r="R54" s="8"/>
      <c r="T54"/>
    </row>
    <row r="55" spans="2:20" ht="23.1" customHeight="1" x14ac:dyDescent="0.25">
      <c r="B55" s="45" t="s">
        <v>82</v>
      </c>
      <c r="C55" s="50">
        <v>100</v>
      </c>
      <c r="D55" s="50">
        <v>7</v>
      </c>
      <c r="E55" s="50">
        <v>3</v>
      </c>
      <c r="F55" s="50">
        <v>70</v>
      </c>
      <c r="G55" s="50">
        <v>4</v>
      </c>
      <c r="H55" s="50">
        <v>0</v>
      </c>
      <c r="I55" s="50">
        <v>3</v>
      </c>
      <c r="J55" s="50">
        <v>6</v>
      </c>
      <c r="K55" s="50">
        <v>0</v>
      </c>
      <c r="L55" s="50">
        <v>1</v>
      </c>
      <c r="M55" s="50">
        <v>235</v>
      </c>
      <c r="N55" s="50">
        <v>0</v>
      </c>
      <c r="O55" s="15">
        <f t="shared" si="0"/>
        <v>194</v>
      </c>
      <c r="P55" s="15">
        <f t="shared" si="1"/>
        <v>429</v>
      </c>
      <c r="R55" s="8"/>
      <c r="T55"/>
    </row>
    <row r="56" spans="2:20" ht="23.1" customHeight="1" x14ac:dyDescent="0.25">
      <c r="B56" s="45" t="s">
        <v>83</v>
      </c>
      <c r="C56" s="50">
        <v>115</v>
      </c>
      <c r="D56" s="50">
        <v>5</v>
      </c>
      <c r="E56" s="50">
        <v>8</v>
      </c>
      <c r="F56" s="50">
        <v>45</v>
      </c>
      <c r="G56" s="50">
        <v>2</v>
      </c>
      <c r="H56" s="50">
        <v>2</v>
      </c>
      <c r="I56" s="50">
        <v>1</v>
      </c>
      <c r="J56" s="50">
        <v>1</v>
      </c>
      <c r="K56" s="50">
        <v>1</v>
      </c>
      <c r="L56" s="50">
        <v>3</v>
      </c>
      <c r="M56" s="50">
        <v>255</v>
      </c>
      <c r="N56" s="50">
        <v>0</v>
      </c>
      <c r="O56" s="15">
        <f t="shared" si="0"/>
        <v>183</v>
      </c>
      <c r="P56" s="15">
        <f t="shared" si="1"/>
        <v>438</v>
      </c>
      <c r="R56" s="8"/>
      <c r="T56"/>
    </row>
    <row r="57" spans="2:20" ht="23.1" customHeight="1" x14ac:dyDescent="0.25">
      <c r="B57" s="45" t="s">
        <v>84</v>
      </c>
      <c r="C57" s="50">
        <v>172</v>
      </c>
      <c r="D57" s="50">
        <v>15</v>
      </c>
      <c r="E57" s="50">
        <v>10</v>
      </c>
      <c r="F57" s="50">
        <v>80</v>
      </c>
      <c r="G57" s="50">
        <v>5</v>
      </c>
      <c r="H57" s="50">
        <v>3</v>
      </c>
      <c r="I57" s="50">
        <v>17</v>
      </c>
      <c r="J57" s="50">
        <v>23</v>
      </c>
      <c r="K57" s="50">
        <v>4</v>
      </c>
      <c r="L57" s="50">
        <v>3</v>
      </c>
      <c r="M57" s="50">
        <v>435</v>
      </c>
      <c r="N57" s="50">
        <v>0</v>
      </c>
      <c r="O57" s="15">
        <f t="shared" si="0"/>
        <v>332</v>
      </c>
      <c r="P57" s="15">
        <f t="shared" si="1"/>
        <v>767</v>
      </c>
      <c r="R57" s="8"/>
      <c r="T57"/>
    </row>
    <row r="58" spans="2:20" ht="23.1" customHeight="1" x14ac:dyDescent="0.25">
      <c r="B58" s="45" t="s">
        <v>99</v>
      </c>
      <c r="C58" s="50">
        <v>70</v>
      </c>
      <c r="D58" s="50">
        <v>7</v>
      </c>
      <c r="E58" s="50">
        <v>1</v>
      </c>
      <c r="F58" s="50">
        <v>12</v>
      </c>
      <c r="G58" s="50">
        <v>0</v>
      </c>
      <c r="H58" s="50">
        <v>2</v>
      </c>
      <c r="I58" s="50">
        <v>3</v>
      </c>
      <c r="J58" s="50">
        <v>2</v>
      </c>
      <c r="K58" s="50">
        <v>0</v>
      </c>
      <c r="L58" s="50">
        <v>1</v>
      </c>
      <c r="M58" s="50">
        <v>95</v>
      </c>
      <c r="N58" s="50">
        <v>0</v>
      </c>
      <c r="O58" s="15">
        <f t="shared" ref="O58:O105" si="35">SUM(C58:L58,N58)</f>
        <v>98</v>
      </c>
      <c r="P58" s="15">
        <f t="shared" ref="P58:P105" si="36">SUM(C58:N58)</f>
        <v>193</v>
      </c>
      <c r="R58" s="8"/>
      <c r="T58"/>
    </row>
    <row r="59" spans="2:20" ht="23.1" customHeight="1" x14ac:dyDescent="0.25">
      <c r="B59" s="45" t="s">
        <v>100</v>
      </c>
      <c r="C59" s="50">
        <v>96</v>
      </c>
      <c r="D59" s="50">
        <v>12</v>
      </c>
      <c r="E59" s="50">
        <v>15</v>
      </c>
      <c r="F59" s="50">
        <v>35</v>
      </c>
      <c r="G59" s="50">
        <v>7</v>
      </c>
      <c r="H59" s="50">
        <v>1</v>
      </c>
      <c r="I59" s="50">
        <v>12</v>
      </c>
      <c r="J59" s="50">
        <v>9</v>
      </c>
      <c r="K59" s="50">
        <v>3</v>
      </c>
      <c r="L59" s="50">
        <v>1</v>
      </c>
      <c r="M59" s="50">
        <v>130</v>
      </c>
      <c r="N59" s="50">
        <v>0</v>
      </c>
      <c r="O59" s="15">
        <f t="shared" si="35"/>
        <v>191</v>
      </c>
      <c r="P59" s="15">
        <f t="shared" si="36"/>
        <v>321</v>
      </c>
      <c r="R59" s="8"/>
      <c r="T59"/>
    </row>
    <row r="60" spans="2:20" ht="23.1" customHeight="1" x14ac:dyDescent="0.25">
      <c r="B60" s="45" t="s">
        <v>101</v>
      </c>
      <c r="C60" s="50">
        <v>105</v>
      </c>
      <c r="D60" s="50">
        <v>9</v>
      </c>
      <c r="E60" s="50">
        <v>9</v>
      </c>
      <c r="F60" s="50">
        <v>22</v>
      </c>
      <c r="G60" s="50">
        <v>2</v>
      </c>
      <c r="H60" s="50">
        <v>2</v>
      </c>
      <c r="I60" s="50">
        <v>8</v>
      </c>
      <c r="J60" s="50">
        <v>15</v>
      </c>
      <c r="K60" s="50">
        <v>4</v>
      </c>
      <c r="L60" s="50">
        <v>3</v>
      </c>
      <c r="M60" s="50">
        <v>113</v>
      </c>
      <c r="N60" s="50">
        <v>0</v>
      </c>
      <c r="O60" s="15">
        <f t="shared" si="35"/>
        <v>179</v>
      </c>
      <c r="P60" s="15">
        <f t="shared" si="36"/>
        <v>292</v>
      </c>
      <c r="R60" s="8"/>
      <c r="T60"/>
    </row>
    <row r="61" spans="2:20" ht="23.1" customHeight="1" x14ac:dyDescent="0.25">
      <c r="B61" s="45" t="s">
        <v>102</v>
      </c>
      <c r="C61" s="50">
        <v>117</v>
      </c>
      <c r="D61" s="50">
        <v>8</v>
      </c>
      <c r="E61" s="50">
        <v>7</v>
      </c>
      <c r="F61" s="50">
        <v>33</v>
      </c>
      <c r="G61" s="50">
        <v>1</v>
      </c>
      <c r="H61" s="50">
        <v>1</v>
      </c>
      <c r="I61" s="50">
        <v>1</v>
      </c>
      <c r="J61" s="50">
        <v>3</v>
      </c>
      <c r="K61" s="50">
        <v>3</v>
      </c>
      <c r="L61" s="50">
        <v>0</v>
      </c>
      <c r="M61" s="50">
        <v>169</v>
      </c>
      <c r="N61" s="50">
        <v>0</v>
      </c>
      <c r="O61" s="15">
        <f t="shared" si="35"/>
        <v>174</v>
      </c>
      <c r="P61" s="15">
        <f t="shared" si="36"/>
        <v>343</v>
      </c>
      <c r="R61" s="8"/>
      <c r="T61"/>
    </row>
    <row r="62" spans="2:20" ht="23.1" customHeight="1" x14ac:dyDescent="0.25">
      <c r="B62" s="45" t="s">
        <v>107</v>
      </c>
      <c r="C62" s="50">
        <v>155</v>
      </c>
      <c r="D62" s="50">
        <v>5</v>
      </c>
      <c r="E62" s="50">
        <v>7</v>
      </c>
      <c r="F62" s="50">
        <v>45</v>
      </c>
      <c r="G62" s="50">
        <v>2</v>
      </c>
      <c r="H62" s="50">
        <v>0</v>
      </c>
      <c r="I62" s="50">
        <v>6</v>
      </c>
      <c r="J62" s="50">
        <v>5</v>
      </c>
      <c r="K62" s="50">
        <v>2</v>
      </c>
      <c r="L62" s="50">
        <v>2</v>
      </c>
      <c r="M62" s="50">
        <v>161</v>
      </c>
      <c r="N62" s="50">
        <v>0</v>
      </c>
      <c r="O62" s="15">
        <f t="shared" si="35"/>
        <v>229</v>
      </c>
      <c r="P62" s="15">
        <f t="shared" si="36"/>
        <v>390</v>
      </c>
      <c r="R62" s="8"/>
      <c r="T62"/>
    </row>
    <row r="63" spans="2:20" ht="23.1" customHeight="1" x14ac:dyDescent="0.25">
      <c r="B63" s="45" t="s">
        <v>108</v>
      </c>
      <c r="C63" s="50">
        <v>151</v>
      </c>
      <c r="D63" s="50">
        <v>12</v>
      </c>
      <c r="E63" s="50">
        <v>10</v>
      </c>
      <c r="F63" s="50">
        <v>37</v>
      </c>
      <c r="G63" s="50">
        <v>2</v>
      </c>
      <c r="H63" s="50">
        <v>1</v>
      </c>
      <c r="I63" s="50">
        <v>5</v>
      </c>
      <c r="J63" s="50">
        <v>3</v>
      </c>
      <c r="K63" s="50">
        <v>1</v>
      </c>
      <c r="L63" s="50">
        <v>1</v>
      </c>
      <c r="M63" s="50">
        <v>145</v>
      </c>
      <c r="N63" s="50">
        <v>0</v>
      </c>
      <c r="O63" s="15">
        <f t="shared" si="35"/>
        <v>223</v>
      </c>
      <c r="P63" s="15">
        <f t="shared" si="36"/>
        <v>368</v>
      </c>
      <c r="R63" s="8"/>
      <c r="T63"/>
    </row>
    <row r="64" spans="2:20" ht="23.1" customHeight="1" x14ac:dyDescent="0.25">
      <c r="B64" s="45" t="s">
        <v>109</v>
      </c>
      <c r="C64" s="50">
        <v>149</v>
      </c>
      <c r="D64" s="50">
        <v>11</v>
      </c>
      <c r="E64" s="50">
        <v>8</v>
      </c>
      <c r="F64" s="50">
        <v>63</v>
      </c>
      <c r="G64" s="50">
        <v>1</v>
      </c>
      <c r="H64" s="50">
        <v>0</v>
      </c>
      <c r="I64" s="50">
        <v>6</v>
      </c>
      <c r="J64" s="50">
        <v>4</v>
      </c>
      <c r="K64" s="50">
        <v>2</v>
      </c>
      <c r="L64" s="50">
        <v>1</v>
      </c>
      <c r="M64" s="50">
        <v>178</v>
      </c>
      <c r="N64" s="50">
        <v>0</v>
      </c>
      <c r="O64" s="15">
        <f t="shared" si="35"/>
        <v>245</v>
      </c>
      <c r="P64" s="15">
        <f t="shared" si="36"/>
        <v>423</v>
      </c>
      <c r="R64" s="8"/>
      <c r="T64"/>
    </row>
    <row r="65" spans="2:20" ht="23.1" customHeight="1" x14ac:dyDescent="0.25">
      <c r="B65" s="45" t="s">
        <v>158</v>
      </c>
      <c r="C65" s="50">
        <v>115</v>
      </c>
      <c r="D65" s="50">
        <v>6</v>
      </c>
      <c r="E65" s="50">
        <v>9</v>
      </c>
      <c r="F65" s="50">
        <v>43</v>
      </c>
      <c r="G65" s="50">
        <v>2</v>
      </c>
      <c r="H65" s="50">
        <v>1</v>
      </c>
      <c r="I65" s="50">
        <v>4</v>
      </c>
      <c r="J65" s="50">
        <v>4</v>
      </c>
      <c r="K65" s="50">
        <v>2</v>
      </c>
      <c r="L65" s="50">
        <v>0</v>
      </c>
      <c r="M65" s="50">
        <v>210</v>
      </c>
      <c r="N65" s="50">
        <v>0</v>
      </c>
      <c r="O65" s="15">
        <f t="shared" si="35"/>
        <v>186</v>
      </c>
      <c r="P65" s="15">
        <f t="shared" si="36"/>
        <v>396</v>
      </c>
      <c r="R65" s="8"/>
      <c r="T65"/>
    </row>
    <row r="66" spans="2:20" ht="23.1" customHeight="1" x14ac:dyDescent="0.25">
      <c r="B66" s="45" t="s">
        <v>103</v>
      </c>
      <c r="C66" s="50">
        <v>141</v>
      </c>
      <c r="D66" s="50">
        <v>23</v>
      </c>
      <c r="E66" s="50">
        <v>10</v>
      </c>
      <c r="F66" s="50">
        <v>47</v>
      </c>
      <c r="G66" s="50">
        <v>1</v>
      </c>
      <c r="H66" s="50">
        <v>0</v>
      </c>
      <c r="I66" s="50">
        <v>11</v>
      </c>
      <c r="J66" s="50">
        <v>9</v>
      </c>
      <c r="K66" s="50">
        <v>3</v>
      </c>
      <c r="L66" s="50">
        <v>2</v>
      </c>
      <c r="M66" s="50">
        <v>108</v>
      </c>
      <c r="N66" s="50">
        <v>0</v>
      </c>
      <c r="O66" s="15">
        <f t="shared" si="35"/>
        <v>247</v>
      </c>
      <c r="P66" s="15">
        <f t="shared" si="36"/>
        <v>355</v>
      </c>
      <c r="R66" s="8"/>
      <c r="T66"/>
    </row>
    <row r="67" spans="2:20" ht="23.1" customHeight="1" x14ac:dyDescent="0.25">
      <c r="B67" s="45" t="s">
        <v>104</v>
      </c>
      <c r="C67" s="50">
        <v>135</v>
      </c>
      <c r="D67" s="50">
        <v>15</v>
      </c>
      <c r="E67" s="50">
        <v>12</v>
      </c>
      <c r="F67" s="50">
        <v>45</v>
      </c>
      <c r="G67" s="50">
        <v>0</v>
      </c>
      <c r="H67" s="50">
        <v>1</v>
      </c>
      <c r="I67" s="50">
        <v>6</v>
      </c>
      <c r="J67" s="50">
        <v>8</v>
      </c>
      <c r="K67" s="50">
        <v>1</v>
      </c>
      <c r="L67" s="50">
        <v>1</v>
      </c>
      <c r="M67" s="50">
        <v>160</v>
      </c>
      <c r="N67" s="50">
        <v>0</v>
      </c>
      <c r="O67" s="15">
        <f t="shared" si="35"/>
        <v>224</v>
      </c>
      <c r="P67" s="15">
        <f t="shared" si="36"/>
        <v>384</v>
      </c>
      <c r="R67" s="8"/>
      <c r="T67"/>
    </row>
    <row r="68" spans="2:20" ht="23.1" customHeight="1" x14ac:dyDescent="0.25">
      <c r="B68" s="45" t="s">
        <v>105</v>
      </c>
      <c r="C68" s="50">
        <v>128</v>
      </c>
      <c r="D68" s="50">
        <v>13</v>
      </c>
      <c r="E68" s="50">
        <v>7</v>
      </c>
      <c r="F68" s="50">
        <v>54</v>
      </c>
      <c r="G68" s="50">
        <v>0</v>
      </c>
      <c r="H68" s="50">
        <v>0</v>
      </c>
      <c r="I68" s="50">
        <v>8</v>
      </c>
      <c r="J68" s="50">
        <v>7</v>
      </c>
      <c r="K68" s="50">
        <v>0</v>
      </c>
      <c r="L68" s="50">
        <v>2</v>
      </c>
      <c r="M68" s="50">
        <v>153</v>
      </c>
      <c r="N68" s="50">
        <v>0</v>
      </c>
      <c r="O68" s="15">
        <f t="shared" si="35"/>
        <v>219</v>
      </c>
      <c r="P68" s="15">
        <f t="shared" si="36"/>
        <v>372</v>
      </c>
      <c r="R68" s="8"/>
      <c r="T68"/>
    </row>
    <row r="69" spans="2:20" ht="23.1" customHeight="1" x14ac:dyDescent="0.25">
      <c r="B69" s="45" t="s">
        <v>106</v>
      </c>
      <c r="C69" s="50">
        <v>109</v>
      </c>
      <c r="D69" s="50">
        <v>12</v>
      </c>
      <c r="E69" s="50">
        <v>5</v>
      </c>
      <c r="F69" s="50">
        <v>44</v>
      </c>
      <c r="G69" s="50">
        <v>0</v>
      </c>
      <c r="H69" s="50">
        <v>1</v>
      </c>
      <c r="I69" s="50">
        <v>4</v>
      </c>
      <c r="J69" s="50">
        <v>6</v>
      </c>
      <c r="K69" s="50">
        <v>2</v>
      </c>
      <c r="L69" s="50">
        <v>1</v>
      </c>
      <c r="M69" s="50">
        <v>199</v>
      </c>
      <c r="N69" s="50">
        <v>0</v>
      </c>
      <c r="O69" s="15">
        <f t="shared" si="35"/>
        <v>184</v>
      </c>
      <c r="P69" s="15">
        <f t="shared" si="36"/>
        <v>383</v>
      </c>
      <c r="R69" s="8"/>
      <c r="T69"/>
    </row>
    <row r="70" spans="2:20" ht="23.1" customHeight="1" x14ac:dyDescent="0.25">
      <c r="B70" s="45" t="s">
        <v>110</v>
      </c>
      <c r="C70" s="50">
        <v>140</v>
      </c>
      <c r="D70" s="50">
        <v>12</v>
      </c>
      <c r="E70" s="50">
        <v>8</v>
      </c>
      <c r="F70" s="50">
        <v>37</v>
      </c>
      <c r="G70" s="50">
        <v>0</v>
      </c>
      <c r="H70" s="50">
        <v>1</v>
      </c>
      <c r="I70" s="50">
        <v>9</v>
      </c>
      <c r="J70" s="50">
        <v>6</v>
      </c>
      <c r="K70" s="50">
        <v>3</v>
      </c>
      <c r="L70" s="50">
        <v>1</v>
      </c>
      <c r="M70" s="50">
        <v>160</v>
      </c>
      <c r="N70" s="50">
        <v>0</v>
      </c>
      <c r="O70" s="15">
        <f t="shared" si="35"/>
        <v>217</v>
      </c>
      <c r="P70" s="15">
        <f t="shared" si="36"/>
        <v>377</v>
      </c>
      <c r="R70" s="8"/>
      <c r="T70"/>
    </row>
    <row r="71" spans="2:20" ht="23.1" customHeight="1" x14ac:dyDescent="0.25">
      <c r="B71" s="45" t="s">
        <v>111</v>
      </c>
      <c r="C71" s="50">
        <v>11</v>
      </c>
      <c r="D71" s="50">
        <v>14</v>
      </c>
      <c r="E71" s="50">
        <v>10</v>
      </c>
      <c r="F71" s="50">
        <v>52</v>
      </c>
      <c r="G71" s="50">
        <v>1</v>
      </c>
      <c r="H71" s="50">
        <v>0</v>
      </c>
      <c r="I71" s="50">
        <v>6</v>
      </c>
      <c r="J71" s="50">
        <v>11</v>
      </c>
      <c r="K71" s="50">
        <v>0</v>
      </c>
      <c r="L71" s="50">
        <v>0</v>
      </c>
      <c r="M71" s="50">
        <v>183</v>
      </c>
      <c r="N71" s="50">
        <v>0</v>
      </c>
      <c r="O71" s="15">
        <f t="shared" si="35"/>
        <v>105</v>
      </c>
      <c r="P71" s="15">
        <f t="shared" si="36"/>
        <v>288</v>
      </c>
      <c r="R71" s="8"/>
      <c r="T71"/>
    </row>
    <row r="72" spans="2:20" ht="23.1" customHeight="1" x14ac:dyDescent="0.25">
      <c r="B72" s="45" t="s">
        <v>112</v>
      </c>
      <c r="C72" s="50">
        <v>119</v>
      </c>
      <c r="D72" s="50">
        <v>9</v>
      </c>
      <c r="E72" s="50">
        <v>3</v>
      </c>
      <c r="F72" s="50">
        <v>22</v>
      </c>
      <c r="G72" s="50">
        <v>0</v>
      </c>
      <c r="H72" s="50">
        <v>0</v>
      </c>
      <c r="I72" s="50">
        <v>9</v>
      </c>
      <c r="J72" s="50">
        <v>1</v>
      </c>
      <c r="K72" s="50">
        <v>0</v>
      </c>
      <c r="L72" s="50">
        <v>1</v>
      </c>
      <c r="M72" s="50">
        <v>129</v>
      </c>
      <c r="N72" s="50">
        <v>0</v>
      </c>
      <c r="O72" s="15">
        <f t="shared" si="35"/>
        <v>164</v>
      </c>
      <c r="P72" s="15">
        <f t="shared" si="36"/>
        <v>293</v>
      </c>
      <c r="R72" s="8"/>
      <c r="T72"/>
    </row>
    <row r="73" spans="2:20" ht="23.1" customHeight="1" x14ac:dyDescent="0.25">
      <c r="B73" s="45" t="s">
        <v>113</v>
      </c>
      <c r="C73" s="50">
        <v>76</v>
      </c>
      <c r="D73" s="50">
        <v>7</v>
      </c>
      <c r="E73" s="50">
        <v>7</v>
      </c>
      <c r="F73" s="50">
        <v>30</v>
      </c>
      <c r="G73" s="50">
        <v>0</v>
      </c>
      <c r="H73" s="50">
        <v>0</v>
      </c>
      <c r="I73" s="50">
        <v>7</v>
      </c>
      <c r="J73" s="50">
        <v>5</v>
      </c>
      <c r="K73" s="50">
        <v>1</v>
      </c>
      <c r="L73" s="50">
        <v>1</v>
      </c>
      <c r="M73" s="50">
        <v>85</v>
      </c>
      <c r="N73" s="50">
        <v>0</v>
      </c>
      <c r="O73" s="15">
        <f t="shared" si="35"/>
        <v>134</v>
      </c>
      <c r="P73" s="15">
        <f t="shared" si="36"/>
        <v>219</v>
      </c>
      <c r="R73" s="8"/>
      <c r="T73"/>
    </row>
    <row r="74" spans="2:20" ht="23.1" customHeight="1" x14ac:dyDescent="0.25">
      <c r="B74" s="45" t="s">
        <v>114</v>
      </c>
      <c r="C74" s="50">
        <v>98</v>
      </c>
      <c r="D74" s="50">
        <v>20</v>
      </c>
      <c r="E74" s="50">
        <v>8</v>
      </c>
      <c r="F74" s="50">
        <v>22</v>
      </c>
      <c r="G74" s="50">
        <v>1</v>
      </c>
      <c r="H74" s="50">
        <v>0</v>
      </c>
      <c r="I74" s="50">
        <v>5</v>
      </c>
      <c r="J74" s="50">
        <v>2</v>
      </c>
      <c r="K74" s="50">
        <v>0</v>
      </c>
      <c r="L74" s="50">
        <v>2</v>
      </c>
      <c r="M74" s="50">
        <v>114</v>
      </c>
      <c r="N74" s="50">
        <v>0</v>
      </c>
      <c r="O74" s="15">
        <f t="shared" si="35"/>
        <v>158</v>
      </c>
      <c r="P74" s="15">
        <f t="shared" si="36"/>
        <v>272</v>
      </c>
      <c r="R74" s="8"/>
      <c r="T74"/>
    </row>
    <row r="75" spans="2:20" ht="23.1" customHeight="1" x14ac:dyDescent="0.25">
      <c r="B75" s="45" t="s">
        <v>115</v>
      </c>
      <c r="C75" s="50">
        <v>80</v>
      </c>
      <c r="D75" s="50">
        <v>12</v>
      </c>
      <c r="E75" s="50">
        <v>6</v>
      </c>
      <c r="F75" s="50">
        <v>19</v>
      </c>
      <c r="G75" s="50">
        <v>1</v>
      </c>
      <c r="H75" s="50">
        <v>0</v>
      </c>
      <c r="I75" s="50">
        <v>4</v>
      </c>
      <c r="J75" s="50">
        <v>2</v>
      </c>
      <c r="K75" s="50">
        <v>0</v>
      </c>
      <c r="L75" s="50">
        <v>2</v>
      </c>
      <c r="M75" s="50">
        <v>82</v>
      </c>
      <c r="N75" s="50">
        <v>0</v>
      </c>
      <c r="O75" s="15">
        <f t="shared" si="35"/>
        <v>126</v>
      </c>
      <c r="P75" s="15">
        <f t="shared" si="36"/>
        <v>208</v>
      </c>
      <c r="R75" s="8"/>
      <c r="T75"/>
    </row>
    <row r="76" spans="2:20" ht="23.1" customHeight="1" x14ac:dyDescent="0.25">
      <c r="B76" s="45" t="s">
        <v>116</v>
      </c>
      <c r="C76" s="50">
        <v>49</v>
      </c>
      <c r="D76" s="50">
        <v>8</v>
      </c>
      <c r="E76" s="50">
        <v>4</v>
      </c>
      <c r="F76" s="50">
        <v>9</v>
      </c>
      <c r="G76" s="50">
        <v>1</v>
      </c>
      <c r="H76" s="50">
        <v>0</v>
      </c>
      <c r="I76" s="50">
        <v>70</v>
      </c>
      <c r="J76" s="50">
        <v>10</v>
      </c>
      <c r="K76" s="50">
        <v>0</v>
      </c>
      <c r="L76" s="50">
        <v>1</v>
      </c>
      <c r="M76" s="50">
        <v>80</v>
      </c>
      <c r="N76" s="50">
        <v>0</v>
      </c>
      <c r="O76" s="15">
        <f t="shared" si="35"/>
        <v>152</v>
      </c>
      <c r="P76" s="15">
        <f t="shared" si="36"/>
        <v>232</v>
      </c>
      <c r="R76" s="8"/>
      <c r="T76"/>
    </row>
    <row r="77" spans="2:20" ht="23.1" customHeight="1" x14ac:dyDescent="0.25">
      <c r="B77" s="45" t="s">
        <v>117</v>
      </c>
      <c r="C77" s="50">
        <v>28</v>
      </c>
      <c r="D77" s="50">
        <v>4</v>
      </c>
      <c r="E77" s="50">
        <v>8</v>
      </c>
      <c r="F77" s="50">
        <v>11</v>
      </c>
      <c r="G77" s="50">
        <v>0</v>
      </c>
      <c r="H77" s="50">
        <v>0</v>
      </c>
      <c r="I77" s="50">
        <v>6</v>
      </c>
      <c r="J77" s="50">
        <v>2</v>
      </c>
      <c r="K77" s="50">
        <v>0</v>
      </c>
      <c r="L77" s="50">
        <v>1</v>
      </c>
      <c r="M77" s="50">
        <v>53</v>
      </c>
      <c r="N77" s="50">
        <v>0</v>
      </c>
      <c r="O77" s="15">
        <f t="shared" si="35"/>
        <v>60</v>
      </c>
      <c r="P77" s="15">
        <f t="shared" si="36"/>
        <v>113</v>
      </c>
      <c r="R77" s="8"/>
      <c r="T77"/>
    </row>
    <row r="78" spans="2:20" ht="23.1" customHeight="1" x14ac:dyDescent="0.25">
      <c r="B78" s="46" t="s">
        <v>118</v>
      </c>
      <c r="C78" s="50">
        <v>40</v>
      </c>
      <c r="D78" s="50">
        <v>11</v>
      </c>
      <c r="E78" s="50">
        <v>4</v>
      </c>
      <c r="F78" s="50">
        <v>8</v>
      </c>
      <c r="G78" s="50">
        <v>1</v>
      </c>
      <c r="H78" s="50">
        <v>0</v>
      </c>
      <c r="I78" s="50">
        <v>5</v>
      </c>
      <c r="J78" s="50">
        <v>0</v>
      </c>
      <c r="K78" s="50">
        <v>1</v>
      </c>
      <c r="L78" s="50">
        <v>1</v>
      </c>
      <c r="M78" s="50">
        <v>54</v>
      </c>
      <c r="N78" s="50">
        <v>0</v>
      </c>
      <c r="O78" s="15">
        <f t="shared" si="35"/>
        <v>71</v>
      </c>
      <c r="P78" s="15">
        <f t="shared" si="36"/>
        <v>125</v>
      </c>
      <c r="R78" s="8"/>
      <c r="T78"/>
    </row>
    <row r="79" spans="2:20" ht="23.1" customHeight="1" x14ac:dyDescent="0.25">
      <c r="B79" s="45" t="s">
        <v>119</v>
      </c>
      <c r="C79" s="50">
        <v>45</v>
      </c>
      <c r="D79" s="50">
        <v>8</v>
      </c>
      <c r="E79" s="50">
        <v>1</v>
      </c>
      <c r="F79" s="50">
        <v>6</v>
      </c>
      <c r="G79" s="50">
        <v>0</v>
      </c>
      <c r="H79" s="50">
        <v>1</v>
      </c>
      <c r="I79" s="50">
        <v>4</v>
      </c>
      <c r="J79" s="50">
        <v>1</v>
      </c>
      <c r="K79" s="50">
        <v>1</v>
      </c>
      <c r="L79" s="50">
        <v>0</v>
      </c>
      <c r="M79" s="50">
        <v>45</v>
      </c>
      <c r="N79" s="50">
        <v>0</v>
      </c>
      <c r="O79" s="15">
        <f t="shared" si="35"/>
        <v>67</v>
      </c>
      <c r="P79" s="15">
        <f t="shared" si="36"/>
        <v>112</v>
      </c>
      <c r="R79" s="8"/>
      <c r="T79"/>
    </row>
    <row r="80" spans="2:20" ht="23.1" customHeight="1" x14ac:dyDescent="0.25">
      <c r="B80" s="47" t="s">
        <v>120</v>
      </c>
      <c r="C80" s="50">
        <v>32</v>
      </c>
      <c r="D80" s="50">
        <v>4</v>
      </c>
      <c r="E80" s="50">
        <v>5</v>
      </c>
      <c r="F80" s="50">
        <v>3</v>
      </c>
      <c r="G80" s="50">
        <v>0</v>
      </c>
      <c r="H80" s="50">
        <v>0</v>
      </c>
      <c r="I80" s="50">
        <v>2</v>
      </c>
      <c r="J80" s="50">
        <v>3</v>
      </c>
      <c r="K80" s="50">
        <v>1</v>
      </c>
      <c r="L80" s="50">
        <v>1</v>
      </c>
      <c r="M80" s="50">
        <v>43</v>
      </c>
      <c r="N80" s="50">
        <v>0</v>
      </c>
      <c r="O80" s="15">
        <f t="shared" si="35"/>
        <v>51</v>
      </c>
      <c r="P80" s="15">
        <f t="shared" si="36"/>
        <v>94</v>
      </c>
      <c r="R80" s="8"/>
      <c r="T80"/>
    </row>
    <row r="81" spans="2:20" ht="23.1" customHeight="1" x14ac:dyDescent="0.25">
      <c r="B81" s="45" t="s">
        <v>121</v>
      </c>
      <c r="C81" s="50">
        <v>30</v>
      </c>
      <c r="D81" s="50">
        <v>6</v>
      </c>
      <c r="E81" s="50">
        <v>0</v>
      </c>
      <c r="F81" s="50">
        <v>6</v>
      </c>
      <c r="G81" s="50">
        <v>0</v>
      </c>
      <c r="H81" s="50">
        <v>0</v>
      </c>
      <c r="I81" s="50">
        <v>2</v>
      </c>
      <c r="J81" s="50">
        <v>1</v>
      </c>
      <c r="K81" s="50">
        <v>0</v>
      </c>
      <c r="L81" s="50">
        <v>1</v>
      </c>
      <c r="M81" s="50">
        <v>39</v>
      </c>
      <c r="N81" s="50">
        <v>0</v>
      </c>
      <c r="O81" s="15">
        <f t="shared" si="35"/>
        <v>46</v>
      </c>
      <c r="P81" s="15">
        <f t="shared" si="36"/>
        <v>85</v>
      </c>
      <c r="R81" s="8"/>
      <c r="T81"/>
    </row>
    <row r="82" spans="2:20" ht="23.1" customHeight="1" x14ac:dyDescent="0.25">
      <c r="B82" s="46" t="s">
        <v>122</v>
      </c>
      <c r="C82" s="50">
        <v>18</v>
      </c>
      <c r="D82" s="50">
        <v>2</v>
      </c>
      <c r="E82" s="50">
        <v>0</v>
      </c>
      <c r="F82" s="50">
        <v>9</v>
      </c>
      <c r="G82" s="50">
        <v>0</v>
      </c>
      <c r="H82" s="50">
        <v>0</v>
      </c>
      <c r="I82" s="50">
        <v>0</v>
      </c>
      <c r="J82" s="50">
        <v>0</v>
      </c>
      <c r="K82" s="50">
        <v>1</v>
      </c>
      <c r="L82" s="50">
        <v>1</v>
      </c>
      <c r="M82" s="50">
        <v>32</v>
      </c>
      <c r="N82" s="50">
        <v>0</v>
      </c>
      <c r="O82" s="15">
        <f t="shared" si="35"/>
        <v>31</v>
      </c>
      <c r="P82" s="15">
        <f t="shared" si="36"/>
        <v>63</v>
      </c>
      <c r="R82" s="8"/>
      <c r="T82"/>
    </row>
    <row r="83" spans="2:20" ht="23.1" customHeight="1" x14ac:dyDescent="0.25">
      <c r="B83" s="45" t="s">
        <v>123</v>
      </c>
      <c r="C83" s="50">
        <v>10</v>
      </c>
      <c r="D83" s="50">
        <v>0</v>
      </c>
      <c r="E83" s="50">
        <v>4</v>
      </c>
      <c r="F83" s="50">
        <v>1</v>
      </c>
      <c r="G83" s="50">
        <v>0</v>
      </c>
      <c r="H83" s="50">
        <v>0</v>
      </c>
      <c r="I83" s="50">
        <v>2</v>
      </c>
      <c r="J83" s="50">
        <v>2</v>
      </c>
      <c r="K83" s="50">
        <v>0</v>
      </c>
      <c r="L83" s="50">
        <v>0</v>
      </c>
      <c r="M83" s="50">
        <v>69</v>
      </c>
      <c r="N83" s="50">
        <v>0</v>
      </c>
      <c r="O83" s="15">
        <f t="shared" si="35"/>
        <v>19</v>
      </c>
      <c r="P83" s="15">
        <f t="shared" si="36"/>
        <v>88</v>
      </c>
      <c r="R83" s="8"/>
      <c r="T83"/>
    </row>
    <row r="84" spans="2:20" ht="23.1" customHeight="1" x14ac:dyDescent="0.25">
      <c r="B84" s="47" t="s">
        <v>124</v>
      </c>
      <c r="C84" s="50">
        <v>7</v>
      </c>
      <c r="D84" s="50">
        <v>0</v>
      </c>
      <c r="E84" s="50">
        <v>1</v>
      </c>
      <c r="F84" s="50">
        <v>4</v>
      </c>
      <c r="G84" s="50">
        <v>0</v>
      </c>
      <c r="H84" s="50">
        <v>0</v>
      </c>
      <c r="I84" s="50">
        <v>4</v>
      </c>
      <c r="J84" s="50">
        <v>2</v>
      </c>
      <c r="K84" s="50">
        <v>0</v>
      </c>
      <c r="L84" s="50">
        <v>1</v>
      </c>
      <c r="M84" s="50">
        <v>55</v>
      </c>
      <c r="N84" s="50">
        <v>0</v>
      </c>
      <c r="O84" s="15">
        <f t="shared" si="35"/>
        <v>19</v>
      </c>
      <c r="P84" s="15">
        <f t="shared" si="36"/>
        <v>74</v>
      </c>
      <c r="R84" s="8"/>
      <c r="T84"/>
    </row>
    <row r="85" spans="2:20" ht="23.1" customHeight="1" x14ac:dyDescent="0.25">
      <c r="B85" s="45" t="s">
        <v>125</v>
      </c>
      <c r="C85" s="50">
        <v>20</v>
      </c>
      <c r="D85" s="50">
        <v>1</v>
      </c>
      <c r="E85" s="50">
        <v>1</v>
      </c>
      <c r="F85" s="50">
        <v>0</v>
      </c>
      <c r="G85" s="50">
        <v>0</v>
      </c>
      <c r="H85" s="50">
        <v>0</v>
      </c>
      <c r="I85" s="50">
        <v>2</v>
      </c>
      <c r="J85" s="50">
        <v>1</v>
      </c>
      <c r="K85" s="50">
        <v>0</v>
      </c>
      <c r="L85" s="50">
        <v>1</v>
      </c>
      <c r="M85" s="50">
        <v>52</v>
      </c>
      <c r="N85" s="50">
        <v>0</v>
      </c>
      <c r="O85" s="15">
        <f t="shared" si="35"/>
        <v>26</v>
      </c>
      <c r="P85" s="15">
        <f t="shared" si="36"/>
        <v>78</v>
      </c>
      <c r="R85" s="8"/>
      <c r="T85"/>
    </row>
    <row r="86" spans="2:20" ht="23.1" customHeight="1" x14ac:dyDescent="0.25">
      <c r="B86" s="46" t="s">
        <v>126</v>
      </c>
      <c r="C86" s="50">
        <v>18</v>
      </c>
      <c r="D86" s="50">
        <v>2</v>
      </c>
      <c r="E86" s="50">
        <v>0</v>
      </c>
      <c r="F86" s="50">
        <v>4</v>
      </c>
      <c r="G86" s="50">
        <v>0</v>
      </c>
      <c r="H86" s="50">
        <v>0</v>
      </c>
      <c r="I86" s="50">
        <v>2</v>
      </c>
      <c r="J86" s="50">
        <v>1</v>
      </c>
      <c r="K86" s="50">
        <v>0</v>
      </c>
      <c r="L86" s="50">
        <v>0</v>
      </c>
      <c r="M86" s="50">
        <v>42</v>
      </c>
      <c r="N86" s="50">
        <v>0</v>
      </c>
      <c r="O86" s="15">
        <f t="shared" si="35"/>
        <v>27</v>
      </c>
      <c r="P86" s="15">
        <f t="shared" si="36"/>
        <v>69</v>
      </c>
      <c r="R86" s="8"/>
      <c r="T86"/>
    </row>
    <row r="87" spans="2:20" ht="23.1" customHeight="1" x14ac:dyDescent="0.25">
      <c r="B87" s="45" t="s">
        <v>127</v>
      </c>
      <c r="C87" s="50">
        <v>19</v>
      </c>
      <c r="D87" s="50">
        <v>0</v>
      </c>
      <c r="E87" s="50">
        <v>5</v>
      </c>
      <c r="F87" s="50">
        <v>0</v>
      </c>
      <c r="G87" s="50">
        <v>0</v>
      </c>
      <c r="H87" s="50">
        <v>0</v>
      </c>
      <c r="I87" s="50">
        <v>2</v>
      </c>
      <c r="J87" s="50">
        <v>2</v>
      </c>
      <c r="K87" s="50">
        <v>0</v>
      </c>
      <c r="L87" s="50">
        <v>0</v>
      </c>
      <c r="M87" s="50">
        <v>50</v>
      </c>
      <c r="N87" s="50">
        <v>0</v>
      </c>
      <c r="O87" s="15">
        <f t="shared" si="35"/>
        <v>28</v>
      </c>
      <c r="P87" s="15">
        <f t="shared" si="36"/>
        <v>78</v>
      </c>
      <c r="R87" s="8"/>
      <c r="T87"/>
    </row>
    <row r="88" spans="2:20" ht="23.1" customHeight="1" x14ac:dyDescent="0.25">
      <c r="B88" s="47" t="s">
        <v>128</v>
      </c>
      <c r="C88" s="50">
        <v>6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1</v>
      </c>
      <c r="K88" s="50">
        <v>0</v>
      </c>
      <c r="L88" s="50">
        <v>0</v>
      </c>
      <c r="M88" s="50">
        <v>36</v>
      </c>
      <c r="N88" s="50">
        <v>0</v>
      </c>
      <c r="O88" s="15">
        <f t="shared" si="35"/>
        <v>7</v>
      </c>
      <c r="P88" s="15">
        <f t="shared" si="36"/>
        <v>43</v>
      </c>
      <c r="R88" s="8"/>
      <c r="T88"/>
    </row>
    <row r="89" spans="2:20" ht="23.1" customHeight="1" x14ac:dyDescent="0.25">
      <c r="B89" s="45" t="s">
        <v>129</v>
      </c>
      <c r="C89" s="50">
        <v>9</v>
      </c>
      <c r="D89" s="50">
        <v>1</v>
      </c>
      <c r="E89" s="50">
        <v>2</v>
      </c>
      <c r="F89" s="50">
        <v>0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0</v>
      </c>
      <c r="M89" s="50">
        <v>31</v>
      </c>
      <c r="N89" s="50">
        <v>0</v>
      </c>
      <c r="O89" s="15">
        <f t="shared" si="35"/>
        <v>13</v>
      </c>
      <c r="P89" s="15">
        <f t="shared" si="36"/>
        <v>44</v>
      </c>
      <c r="R89" s="8"/>
      <c r="T89"/>
    </row>
    <row r="90" spans="2:20" ht="23.1" customHeight="1" x14ac:dyDescent="0.25">
      <c r="B90" s="46" t="s">
        <v>130</v>
      </c>
      <c r="C90" s="50">
        <v>17</v>
      </c>
      <c r="D90" s="50">
        <v>0</v>
      </c>
      <c r="E90" s="50">
        <v>2</v>
      </c>
      <c r="F90" s="50">
        <v>1</v>
      </c>
      <c r="G90" s="50">
        <v>0</v>
      </c>
      <c r="H90" s="50">
        <v>0</v>
      </c>
      <c r="I90" s="50">
        <v>3</v>
      </c>
      <c r="J90" s="50">
        <v>0</v>
      </c>
      <c r="K90" s="50">
        <v>0</v>
      </c>
      <c r="L90" s="50">
        <v>0</v>
      </c>
      <c r="M90" s="50">
        <v>20</v>
      </c>
      <c r="N90" s="50">
        <v>0</v>
      </c>
      <c r="O90" s="15">
        <f t="shared" si="35"/>
        <v>23</v>
      </c>
      <c r="P90" s="15">
        <f t="shared" si="36"/>
        <v>43</v>
      </c>
      <c r="R90" s="8"/>
      <c r="T90"/>
    </row>
    <row r="91" spans="2:20" ht="23.1" customHeight="1" x14ac:dyDescent="0.25">
      <c r="B91" s="45" t="s">
        <v>131</v>
      </c>
      <c r="C91" s="50">
        <v>7</v>
      </c>
      <c r="D91" s="50">
        <v>1</v>
      </c>
      <c r="E91" s="50">
        <v>1</v>
      </c>
      <c r="F91" s="50">
        <v>1</v>
      </c>
      <c r="G91" s="50">
        <v>0</v>
      </c>
      <c r="H91" s="50">
        <v>0</v>
      </c>
      <c r="I91" s="50">
        <v>1</v>
      </c>
      <c r="J91" s="50">
        <v>0</v>
      </c>
      <c r="K91" s="50">
        <v>1</v>
      </c>
      <c r="L91" s="50">
        <v>0</v>
      </c>
      <c r="M91" s="50">
        <v>22</v>
      </c>
      <c r="N91" s="50">
        <v>0</v>
      </c>
      <c r="O91" s="15">
        <f t="shared" si="35"/>
        <v>12</v>
      </c>
      <c r="P91" s="15">
        <f t="shared" si="36"/>
        <v>34</v>
      </c>
      <c r="R91" s="8"/>
      <c r="T91"/>
    </row>
    <row r="92" spans="2:20" ht="23.1" customHeight="1" x14ac:dyDescent="0.25">
      <c r="B92" s="47" t="s">
        <v>132</v>
      </c>
      <c r="C92" s="50">
        <v>8</v>
      </c>
      <c r="D92" s="50">
        <v>0</v>
      </c>
      <c r="E92" s="50">
        <v>2</v>
      </c>
      <c r="F92" s="50">
        <v>0</v>
      </c>
      <c r="G92" s="50">
        <v>0</v>
      </c>
      <c r="H92" s="50">
        <v>0</v>
      </c>
      <c r="I92" s="50">
        <v>1</v>
      </c>
      <c r="J92" s="50">
        <v>2</v>
      </c>
      <c r="K92" s="50">
        <v>0</v>
      </c>
      <c r="L92" s="50">
        <v>1</v>
      </c>
      <c r="M92" s="50">
        <v>16</v>
      </c>
      <c r="N92" s="50">
        <v>0</v>
      </c>
      <c r="O92" s="15">
        <f t="shared" si="35"/>
        <v>14</v>
      </c>
      <c r="P92" s="15">
        <f t="shared" si="36"/>
        <v>30</v>
      </c>
      <c r="R92" s="8"/>
      <c r="T92"/>
    </row>
    <row r="93" spans="2:20" ht="23.1" customHeight="1" x14ac:dyDescent="0.25">
      <c r="B93" s="45" t="s">
        <v>133</v>
      </c>
      <c r="C93" s="50">
        <v>8</v>
      </c>
      <c r="D93" s="50">
        <v>0</v>
      </c>
      <c r="E93" s="50">
        <v>0</v>
      </c>
      <c r="F93" s="50">
        <v>1</v>
      </c>
      <c r="G93" s="50">
        <v>0</v>
      </c>
      <c r="H93" s="50">
        <v>0</v>
      </c>
      <c r="I93" s="50">
        <v>3</v>
      </c>
      <c r="J93" s="50">
        <v>2</v>
      </c>
      <c r="K93" s="50">
        <v>1</v>
      </c>
      <c r="L93" s="50">
        <v>0</v>
      </c>
      <c r="M93" s="50">
        <v>21</v>
      </c>
      <c r="N93" s="50">
        <v>0</v>
      </c>
      <c r="O93" s="15">
        <f t="shared" si="35"/>
        <v>15</v>
      </c>
      <c r="P93" s="15">
        <f t="shared" si="36"/>
        <v>36</v>
      </c>
      <c r="R93" s="8"/>
      <c r="T93"/>
    </row>
    <row r="94" spans="2:20" ht="23.1" customHeight="1" x14ac:dyDescent="0.25">
      <c r="B94" s="46" t="s">
        <v>134</v>
      </c>
      <c r="C94" s="50">
        <v>7</v>
      </c>
      <c r="D94" s="50">
        <v>3</v>
      </c>
      <c r="E94" s="50">
        <v>3</v>
      </c>
      <c r="F94" s="50">
        <v>3</v>
      </c>
      <c r="G94" s="50">
        <v>0</v>
      </c>
      <c r="H94" s="50">
        <v>1</v>
      </c>
      <c r="I94" s="50">
        <v>1</v>
      </c>
      <c r="J94" s="50">
        <v>2</v>
      </c>
      <c r="K94" s="50">
        <v>0</v>
      </c>
      <c r="L94" s="50">
        <v>3</v>
      </c>
      <c r="M94" s="50">
        <v>31</v>
      </c>
      <c r="N94" s="50">
        <v>0</v>
      </c>
      <c r="O94" s="15">
        <f t="shared" si="35"/>
        <v>23</v>
      </c>
      <c r="P94" s="15">
        <f t="shared" si="36"/>
        <v>54</v>
      </c>
      <c r="R94" s="8"/>
      <c r="T94"/>
    </row>
    <row r="95" spans="2:20" ht="23.1" customHeight="1" x14ac:dyDescent="0.25">
      <c r="B95" s="45" t="s">
        <v>135</v>
      </c>
      <c r="C95" s="50">
        <v>9</v>
      </c>
      <c r="D95" s="50">
        <v>1</v>
      </c>
      <c r="E95" s="50">
        <v>1</v>
      </c>
      <c r="F95" s="50">
        <v>1</v>
      </c>
      <c r="G95" s="50">
        <v>0</v>
      </c>
      <c r="H95" s="50">
        <v>0</v>
      </c>
      <c r="I95" s="50">
        <v>3</v>
      </c>
      <c r="J95" s="50">
        <v>1</v>
      </c>
      <c r="K95" s="50">
        <v>0</v>
      </c>
      <c r="L95" s="50">
        <v>0</v>
      </c>
      <c r="M95" s="50">
        <v>43</v>
      </c>
      <c r="N95" s="50">
        <v>0</v>
      </c>
      <c r="O95" s="15">
        <f t="shared" si="35"/>
        <v>16</v>
      </c>
      <c r="P95" s="15">
        <f t="shared" si="36"/>
        <v>59</v>
      </c>
      <c r="R95" s="8"/>
      <c r="T95"/>
    </row>
    <row r="96" spans="2:20" ht="23.1" customHeight="1" x14ac:dyDescent="0.25">
      <c r="B96" s="47" t="s">
        <v>136</v>
      </c>
      <c r="C96" s="50">
        <v>7</v>
      </c>
      <c r="D96" s="50">
        <v>3</v>
      </c>
      <c r="E96" s="50">
        <v>1</v>
      </c>
      <c r="F96" s="50">
        <v>4</v>
      </c>
      <c r="G96" s="50">
        <v>1</v>
      </c>
      <c r="H96" s="50">
        <v>0</v>
      </c>
      <c r="I96" s="50">
        <v>1</v>
      </c>
      <c r="J96" s="50">
        <v>6</v>
      </c>
      <c r="K96" s="50">
        <v>0</v>
      </c>
      <c r="L96" s="50">
        <v>0</v>
      </c>
      <c r="M96" s="50">
        <v>18</v>
      </c>
      <c r="N96" s="50">
        <v>0</v>
      </c>
      <c r="O96" s="15">
        <f t="shared" si="35"/>
        <v>23</v>
      </c>
      <c r="P96" s="15">
        <f t="shared" si="36"/>
        <v>41</v>
      </c>
      <c r="R96" s="8"/>
      <c r="T96"/>
    </row>
    <row r="97" spans="2:20" ht="23.1" customHeight="1" x14ac:dyDescent="0.25">
      <c r="B97" s="45" t="s">
        <v>137</v>
      </c>
      <c r="C97" s="50">
        <v>12</v>
      </c>
      <c r="D97" s="50">
        <v>2</v>
      </c>
      <c r="E97" s="50">
        <v>2</v>
      </c>
      <c r="F97" s="50">
        <v>2</v>
      </c>
      <c r="G97" s="50">
        <v>0</v>
      </c>
      <c r="H97" s="50">
        <v>0</v>
      </c>
      <c r="I97" s="50">
        <v>2</v>
      </c>
      <c r="J97" s="50">
        <v>2</v>
      </c>
      <c r="K97" s="50">
        <v>1</v>
      </c>
      <c r="L97" s="50">
        <v>0</v>
      </c>
      <c r="M97" s="50">
        <v>36</v>
      </c>
      <c r="N97" s="50">
        <v>0</v>
      </c>
      <c r="O97" s="15">
        <f t="shared" si="35"/>
        <v>23</v>
      </c>
      <c r="P97" s="15">
        <f t="shared" si="36"/>
        <v>59</v>
      </c>
      <c r="R97" s="8"/>
      <c r="T97"/>
    </row>
    <row r="98" spans="2:20" ht="23.1" customHeight="1" x14ac:dyDescent="0.25">
      <c r="B98" s="46" t="s">
        <v>138</v>
      </c>
      <c r="C98" s="50">
        <v>15</v>
      </c>
      <c r="D98" s="50">
        <v>9</v>
      </c>
      <c r="E98" s="50">
        <v>2</v>
      </c>
      <c r="F98" s="50">
        <v>0</v>
      </c>
      <c r="G98" s="50">
        <v>1</v>
      </c>
      <c r="H98" s="50">
        <v>0</v>
      </c>
      <c r="I98" s="50">
        <v>1</v>
      </c>
      <c r="J98" s="50">
        <v>0</v>
      </c>
      <c r="K98" s="50">
        <v>0</v>
      </c>
      <c r="L98" s="50">
        <v>1</v>
      </c>
      <c r="M98" s="50">
        <v>57</v>
      </c>
      <c r="N98" s="50">
        <v>0</v>
      </c>
      <c r="O98" s="15">
        <f t="shared" si="35"/>
        <v>29</v>
      </c>
      <c r="P98" s="15">
        <f t="shared" si="36"/>
        <v>86</v>
      </c>
      <c r="R98" s="8"/>
      <c r="T98"/>
    </row>
    <row r="99" spans="2:20" ht="23.1" customHeight="1" x14ac:dyDescent="0.25">
      <c r="B99" s="45" t="s">
        <v>139</v>
      </c>
      <c r="C99" s="50">
        <v>13</v>
      </c>
      <c r="D99" s="50">
        <v>5</v>
      </c>
      <c r="E99" s="50">
        <v>4</v>
      </c>
      <c r="F99" s="50">
        <v>10</v>
      </c>
      <c r="G99" s="50">
        <v>0</v>
      </c>
      <c r="H99" s="50">
        <v>1</v>
      </c>
      <c r="I99" s="50">
        <v>1</v>
      </c>
      <c r="J99" s="50">
        <v>3</v>
      </c>
      <c r="K99" s="50">
        <v>1</v>
      </c>
      <c r="L99" s="50">
        <v>0</v>
      </c>
      <c r="M99" s="50">
        <v>67</v>
      </c>
      <c r="N99" s="50">
        <v>0</v>
      </c>
      <c r="O99" s="15">
        <f t="shared" si="35"/>
        <v>38</v>
      </c>
      <c r="P99" s="15">
        <f t="shared" si="36"/>
        <v>105</v>
      </c>
      <c r="R99" s="8"/>
      <c r="T99"/>
    </row>
    <row r="100" spans="2:20" ht="23.1" customHeight="1" x14ac:dyDescent="0.25">
      <c r="B100" s="47" t="s">
        <v>140</v>
      </c>
      <c r="C100" s="50">
        <v>16</v>
      </c>
      <c r="D100" s="50">
        <v>5</v>
      </c>
      <c r="E100" s="50">
        <v>0</v>
      </c>
      <c r="F100" s="50">
        <v>3</v>
      </c>
      <c r="G100" s="50">
        <v>0</v>
      </c>
      <c r="H100" s="50">
        <v>0</v>
      </c>
      <c r="I100" s="50">
        <v>3</v>
      </c>
      <c r="J100" s="50">
        <v>5</v>
      </c>
      <c r="K100" s="50">
        <v>6</v>
      </c>
      <c r="L100" s="50">
        <v>1</v>
      </c>
      <c r="M100" s="50">
        <v>65</v>
      </c>
      <c r="N100" s="50">
        <v>0</v>
      </c>
      <c r="O100" s="15">
        <f t="shared" si="35"/>
        <v>39</v>
      </c>
      <c r="P100" s="15">
        <f t="shared" si="36"/>
        <v>104</v>
      </c>
      <c r="R100" s="8"/>
      <c r="T100"/>
    </row>
    <row r="101" spans="2:20" ht="23.1" customHeight="1" x14ac:dyDescent="0.25">
      <c r="B101" s="45" t="s">
        <v>141</v>
      </c>
      <c r="C101" s="50">
        <v>23</v>
      </c>
      <c r="D101" s="50">
        <v>6</v>
      </c>
      <c r="E101" s="50">
        <v>4</v>
      </c>
      <c r="F101" s="50">
        <v>6</v>
      </c>
      <c r="G101" s="50">
        <v>1</v>
      </c>
      <c r="H101" s="50">
        <v>0</v>
      </c>
      <c r="I101" s="50">
        <v>0</v>
      </c>
      <c r="J101" s="50">
        <v>3</v>
      </c>
      <c r="K101" s="50">
        <v>4</v>
      </c>
      <c r="L101" s="50">
        <v>0</v>
      </c>
      <c r="M101" s="50">
        <v>81</v>
      </c>
      <c r="N101" s="50">
        <v>0</v>
      </c>
      <c r="O101" s="15">
        <f t="shared" si="35"/>
        <v>47</v>
      </c>
      <c r="P101" s="15">
        <f t="shared" si="36"/>
        <v>128</v>
      </c>
      <c r="R101" s="8"/>
      <c r="T101"/>
    </row>
    <row r="102" spans="2:20" ht="23.1" customHeight="1" x14ac:dyDescent="0.25">
      <c r="B102" s="46" t="s">
        <v>142</v>
      </c>
      <c r="C102" s="50">
        <v>24</v>
      </c>
      <c r="D102" s="50">
        <v>4</v>
      </c>
      <c r="E102" s="50">
        <v>1</v>
      </c>
      <c r="F102" s="50">
        <v>14</v>
      </c>
      <c r="G102" s="50">
        <v>0</v>
      </c>
      <c r="H102" s="50">
        <v>0</v>
      </c>
      <c r="I102" s="50">
        <v>6</v>
      </c>
      <c r="J102" s="50">
        <v>3</v>
      </c>
      <c r="K102" s="50">
        <v>0</v>
      </c>
      <c r="L102" s="50">
        <v>2</v>
      </c>
      <c r="M102" s="50">
        <v>85</v>
      </c>
      <c r="N102" s="50">
        <v>0</v>
      </c>
      <c r="O102" s="15">
        <f t="shared" si="35"/>
        <v>54</v>
      </c>
      <c r="P102" s="15">
        <f t="shared" si="36"/>
        <v>139</v>
      </c>
      <c r="R102" s="8"/>
      <c r="T102"/>
    </row>
    <row r="103" spans="2:20" ht="23.1" customHeight="1" x14ac:dyDescent="0.25">
      <c r="B103" s="45" t="s">
        <v>143</v>
      </c>
      <c r="C103" s="50">
        <v>26</v>
      </c>
      <c r="D103" s="50">
        <v>10</v>
      </c>
      <c r="E103" s="50">
        <v>3</v>
      </c>
      <c r="F103" s="50">
        <v>6</v>
      </c>
      <c r="G103" s="50">
        <v>0</v>
      </c>
      <c r="H103" s="50">
        <v>2</v>
      </c>
      <c r="I103" s="50">
        <v>3</v>
      </c>
      <c r="J103" s="50">
        <v>5</v>
      </c>
      <c r="K103" s="50">
        <v>0</v>
      </c>
      <c r="L103" s="50">
        <v>0</v>
      </c>
      <c r="M103" s="50">
        <v>78</v>
      </c>
      <c r="N103" s="50">
        <v>0</v>
      </c>
      <c r="O103" s="15">
        <f t="shared" si="35"/>
        <v>55</v>
      </c>
      <c r="P103" s="15">
        <f t="shared" si="36"/>
        <v>133</v>
      </c>
      <c r="R103" s="8"/>
      <c r="T103"/>
    </row>
    <row r="104" spans="2:20" ht="23.1" customHeight="1" x14ac:dyDescent="0.25">
      <c r="B104" s="47" t="s">
        <v>144</v>
      </c>
      <c r="C104" s="50">
        <v>31</v>
      </c>
      <c r="D104" s="50">
        <v>15</v>
      </c>
      <c r="E104" s="50">
        <v>4</v>
      </c>
      <c r="F104" s="50">
        <v>22</v>
      </c>
      <c r="G104" s="50">
        <v>1</v>
      </c>
      <c r="H104" s="50">
        <v>0</v>
      </c>
      <c r="I104" s="50">
        <v>5</v>
      </c>
      <c r="J104" s="50">
        <v>5</v>
      </c>
      <c r="K104" s="50">
        <v>0</v>
      </c>
      <c r="L104" s="50">
        <v>2</v>
      </c>
      <c r="M104" s="50">
        <v>145</v>
      </c>
      <c r="N104" s="50">
        <v>0</v>
      </c>
      <c r="O104" s="15">
        <f t="shared" si="35"/>
        <v>85</v>
      </c>
      <c r="P104" s="15">
        <f t="shared" si="36"/>
        <v>230</v>
      </c>
      <c r="R104" s="8"/>
      <c r="T104"/>
    </row>
    <row r="105" spans="2:20" ht="23.1" customHeight="1" x14ac:dyDescent="0.25">
      <c r="B105" s="45" t="s">
        <v>145</v>
      </c>
      <c r="C105" s="50">
        <v>24</v>
      </c>
      <c r="D105" s="50">
        <v>8</v>
      </c>
      <c r="E105" s="50">
        <v>0</v>
      </c>
      <c r="F105" s="50">
        <v>17</v>
      </c>
      <c r="G105" s="50">
        <v>0</v>
      </c>
      <c r="H105" s="50">
        <v>0</v>
      </c>
      <c r="I105" s="50">
        <v>4</v>
      </c>
      <c r="J105" s="50">
        <v>11</v>
      </c>
      <c r="K105" s="50">
        <v>0</v>
      </c>
      <c r="L105" s="50">
        <v>0</v>
      </c>
      <c r="M105" s="50">
        <v>175</v>
      </c>
      <c r="N105" s="50">
        <v>0</v>
      </c>
      <c r="O105" s="15">
        <f t="shared" si="35"/>
        <v>64</v>
      </c>
      <c r="P105" s="15">
        <f t="shared" si="36"/>
        <v>239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4965</v>
      </c>
      <c r="D106" s="16">
        <f t="shared" ref="D106:P106" si="37">SUM(D10:D105)</f>
        <v>675</v>
      </c>
      <c r="E106" s="16">
        <f t="shared" si="37"/>
        <v>487</v>
      </c>
      <c r="F106" s="16">
        <f t="shared" si="37"/>
        <v>2163</v>
      </c>
      <c r="G106" s="16">
        <f t="shared" si="37"/>
        <v>65</v>
      </c>
      <c r="H106" s="16">
        <f t="shared" si="37"/>
        <v>43</v>
      </c>
      <c r="I106" s="16">
        <f t="shared" si="37"/>
        <v>729</v>
      </c>
      <c r="J106" s="16">
        <f t="shared" si="37"/>
        <v>516</v>
      </c>
      <c r="K106" s="16">
        <f t="shared" si="37"/>
        <v>111</v>
      </c>
      <c r="L106" s="16">
        <f t="shared" si="37"/>
        <v>150</v>
      </c>
      <c r="M106" s="16">
        <f t="shared" si="37"/>
        <v>16062</v>
      </c>
      <c r="N106" s="16">
        <f t="shared" si="37"/>
        <v>2</v>
      </c>
      <c r="O106" s="16">
        <f t="shared" si="37"/>
        <v>9906</v>
      </c>
      <c r="P106" s="16">
        <f t="shared" si="37"/>
        <v>25968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0.19119685767097966</v>
      </c>
      <c r="D107" s="43">
        <f t="shared" si="38"/>
        <v>2.5993530499075785E-2</v>
      </c>
      <c r="E107" s="43">
        <f t="shared" si="38"/>
        <v>1.8753850893407271E-2</v>
      </c>
      <c r="F107" s="43">
        <f t="shared" si="38"/>
        <v>8.3294824399260628E-2</v>
      </c>
      <c r="G107" s="43">
        <f t="shared" si="38"/>
        <v>2.5030807147258163E-3</v>
      </c>
      <c r="H107" s="43">
        <f t="shared" si="38"/>
        <v>1.6558841651263094E-3</v>
      </c>
      <c r="I107" s="43">
        <f t="shared" si="38"/>
        <v>2.807301293900185E-2</v>
      </c>
      <c r="J107" s="43">
        <f t="shared" si="38"/>
        <v>1.9870609981515713E-2</v>
      </c>
      <c r="K107" s="43">
        <f t="shared" si="38"/>
        <v>4.2744916820702406E-3</v>
      </c>
      <c r="L107" s="43">
        <f t="shared" si="38"/>
        <v>5.7763401109057304E-3</v>
      </c>
      <c r="M107" s="43">
        <f t="shared" si="38"/>
        <v>0.61853049907578561</v>
      </c>
      <c r="N107" s="43">
        <f t="shared" si="38"/>
        <v>7.7017868145409739E-5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0.50121138703815871</v>
      </c>
      <c r="D108" s="44">
        <f t="shared" ref="D108:N108" si="39">D106/$O$106</f>
        <v>6.8140520896426401E-2</v>
      </c>
      <c r="E108" s="44">
        <f t="shared" si="39"/>
        <v>4.9162123965273571E-2</v>
      </c>
      <c r="F108" s="44">
        <f t="shared" si="39"/>
        <v>0.21835251362810418</v>
      </c>
      <c r="G108" s="44">
        <f t="shared" si="39"/>
        <v>6.5616797900262466E-3</v>
      </c>
      <c r="H108" s="44">
        <f t="shared" si="39"/>
        <v>4.3408035534019786E-3</v>
      </c>
      <c r="I108" s="44">
        <f t="shared" si="39"/>
        <v>7.3591762568140526E-2</v>
      </c>
      <c r="J108" s="44">
        <f t="shared" si="39"/>
        <v>5.208964264082374E-2</v>
      </c>
      <c r="K108" s="44">
        <f t="shared" si="39"/>
        <v>1.1205330102967898E-2</v>
      </c>
      <c r="L108" s="44">
        <f t="shared" si="39"/>
        <v>1.5142337976983646E-2</v>
      </c>
      <c r="M108" s="44"/>
      <c r="N108" s="44">
        <f t="shared" si="39"/>
        <v>2.0189783969311529E-4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H1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'22.07 Busega-Bulenga'!C3:G3</f>
        <v>MCC - C1 - STN12-MITYANA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'26.07 Busega-Bulenga-24h'!D5</f>
        <v>26.07.19</v>
      </c>
      <c r="E5" s="3"/>
      <c r="F5" s="41" t="s">
        <v>1</v>
      </c>
      <c r="G5" s="68" t="str">
        <f>'26.07 Busega-Bulenga-24h'!G5:H5</f>
        <v xml:space="preserve">Petro Max </v>
      </c>
      <c r="H5" s="69"/>
      <c r="I5" s="14"/>
      <c r="J5" s="2" t="s">
        <v>5</v>
      </c>
      <c r="K5" s="68" t="str">
        <f>'25.07 Bulenga-Busega'!K5:L5</f>
        <v>Kiranzi Ronald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'22.07 Bulenga-Busega'!D6:E6</f>
        <v xml:space="preserve">Bulenga </v>
      </c>
      <c r="E6" s="69"/>
      <c r="F6" s="2" t="s">
        <v>2</v>
      </c>
      <c r="G6" s="68" t="str">
        <f>'23.07 Bulenga-Busega'!G6:H6</f>
        <v>Busega</v>
      </c>
      <c r="H6" s="69"/>
      <c r="J6" s="2" t="s">
        <v>21</v>
      </c>
      <c r="K6" s="68" t="str">
        <f>'25.07 Busega-Bulenga'!K6:L6</f>
        <v>Andrew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135</v>
      </c>
      <c r="D10" s="50">
        <v>45</v>
      </c>
      <c r="E10" s="50">
        <v>30</v>
      </c>
      <c r="F10" s="50">
        <v>130</v>
      </c>
      <c r="G10" s="50">
        <v>18</v>
      </c>
      <c r="H10" s="50">
        <v>10</v>
      </c>
      <c r="I10" s="50">
        <v>35</v>
      </c>
      <c r="J10" s="50">
        <v>3</v>
      </c>
      <c r="K10" s="50">
        <v>30</v>
      </c>
      <c r="L10" s="50">
        <v>1</v>
      </c>
      <c r="M10" s="50">
        <v>305</v>
      </c>
      <c r="N10" s="50">
        <v>0</v>
      </c>
      <c r="O10" s="15">
        <f t="shared" ref="O10:O73" si="0">SUM(C10:L10,N10)</f>
        <v>437</v>
      </c>
      <c r="P10" s="15">
        <f t="shared" ref="P10:P73" si="1">SUM(C10:N10)</f>
        <v>742</v>
      </c>
      <c r="R10" s="1" t="s">
        <v>6</v>
      </c>
      <c r="S10" s="17">
        <f t="shared" ref="S10:AF10" si="2">SUM(C10:C13)</f>
        <v>523</v>
      </c>
      <c r="T10" s="17">
        <f t="shared" si="2"/>
        <v>133</v>
      </c>
      <c r="U10" s="17">
        <f t="shared" si="2"/>
        <v>165</v>
      </c>
      <c r="V10" s="17">
        <f t="shared" si="2"/>
        <v>541</v>
      </c>
      <c r="W10" s="17">
        <f t="shared" si="2"/>
        <v>70</v>
      </c>
      <c r="X10" s="17">
        <f t="shared" si="2"/>
        <v>27</v>
      </c>
      <c r="Y10" s="17">
        <f t="shared" si="2"/>
        <v>183</v>
      </c>
      <c r="Z10" s="17">
        <f t="shared" si="2"/>
        <v>105</v>
      </c>
      <c r="AA10" s="17">
        <f t="shared" si="2"/>
        <v>58</v>
      </c>
      <c r="AB10" s="17">
        <f t="shared" si="2"/>
        <v>29</v>
      </c>
      <c r="AC10" s="17">
        <f t="shared" si="2"/>
        <v>1045</v>
      </c>
      <c r="AD10" s="17">
        <f t="shared" si="2"/>
        <v>0</v>
      </c>
      <c r="AE10" s="31">
        <f t="shared" si="2"/>
        <v>1834</v>
      </c>
      <c r="AF10" s="31">
        <f t="shared" si="2"/>
        <v>2879</v>
      </c>
    </row>
    <row r="11" spans="2:32" s="6" customFormat="1" ht="23.1" customHeight="1" x14ac:dyDescent="0.25">
      <c r="B11" s="45" t="s">
        <v>38</v>
      </c>
      <c r="C11" s="50">
        <v>113</v>
      </c>
      <c r="D11" s="50">
        <v>20</v>
      </c>
      <c r="E11" s="50">
        <v>45</v>
      </c>
      <c r="F11" s="50">
        <v>123</v>
      </c>
      <c r="G11" s="50">
        <v>34</v>
      </c>
      <c r="H11" s="50">
        <v>7</v>
      </c>
      <c r="I11" s="50">
        <v>40</v>
      </c>
      <c r="J11" s="50">
        <v>33</v>
      </c>
      <c r="K11" s="50">
        <v>5</v>
      </c>
      <c r="L11" s="50">
        <v>18</v>
      </c>
      <c r="M11" s="50">
        <v>165</v>
      </c>
      <c r="N11" s="50">
        <v>0</v>
      </c>
      <c r="O11" s="15">
        <f t="shared" si="0"/>
        <v>438</v>
      </c>
      <c r="P11" s="15">
        <f t="shared" si="1"/>
        <v>603</v>
      </c>
      <c r="R11" s="1" t="s">
        <v>7</v>
      </c>
      <c r="S11" s="17">
        <f t="shared" ref="S11:AF11" si="3">SUM(C14:C17)</f>
        <v>547</v>
      </c>
      <c r="T11" s="17">
        <f t="shared" si="3"/>
        <v>114</v>
      </c>
      <c r="U11" s="17">
        <f t="shared" si="3"/>
        <v>112</v>
      </c>
      <c r="V11" s="17">
        <f t="shared" si="3"/>
        <v>496</v>
      </c>
      <c r="W11" s="17">
        <f t="shared" si="3"/>
        <v>28</v>
      </c>
      <c r="X11" s="17">
        <f t="shared" si="3"/>
        <v>19</v>
      </c>
      <c r="Y11" s="17">
        <f t="shared" si="3"/>
        <v>170</v>
      </c>
      <c r="Z11" s="17">
        <f t="shared" si="3"/>
        <v>126</v>
      </c>
      <c r="AA11" s="17">
        <f t="shared" si="3"/>
        <v>21</v>
      </c>
      <c r="AB11" s="17">
        <f t="shared" si="3"/>
        <v>11</v>
      </c>
      <c r="AC11" s="17">
        <f t="shared" si="3"/>
        <v>1041</v>
      </c>
      <c r="AD11" s="17">
        <f t="shared" si="3"/>
        <v>0</v>
      </c>
      <c r="AE11" s="31">
        <f t="shared" si="3"/>
        <v>1644</v>
      </c>
      <c r="AF11" s="31">
        <f t="shared" si="3"/>
        <v>2685</v>
      </c>
    </row>
    <row r="12" spans="2:32" ht="23.1" customHeight="1" x14ac:dyDescent="0.25">
      <c r="B12" s="45" t="s">
        <v>39</v>
      </c>
      <c r="C12" s="50">
        <v>152</v>
      </c>
      <c r="D12" s="50">
        <v>40</v>
      </c>
      <c r="E12" s="50">
        <v>45</v>
      </c>
      <c r="F12" s="50">
        <v>148</v>
      </c>
      <c r="G12" s="50">
        <v>13</v>
      </c>
      <c r="H12" s="50">
        <v>7</v>
      </c>
      <c r="I12" s="50">
        <v>60</v>
      </c>
      <c r="J12" s="50">
        <v>45</v>
      </c>
      <c r="K12" s="50">
        <v>10</v>
      </c>
      <c r="L12" s="50">
        <v>5</v>
      </c>
      <c r="M12" s="50">
        <v>295</v>
      </c>
      <c r="N12" s="50">
        <v>0</v>
      </c>
      <c r="O12" s="15">
        <f t="shared" si="0"/>
        <v>525</v>
      </c>
      <c r="P12" s="15">
        <f t="shared" si="1"/>
        <v>820</v>
      </c>
      <c r="R12" s="1" t="s">
        <v>8</v>
      </c>
      <c r="S12" s="17">
        <f t="shared" ref="S12:AF12" si="4">SUM(C18:C21)</f>
        <v>497</v>
      </c>
      <c r="T12" s="17">
        <f t="shared" si="4"/>
        <v>47</v>
      </c>
      <c r="U12" s="17">
        <f t="shared" si="4"/>
        <v>58</v>
      </c>
      <c r="V12" s="17">
        <f t="shared" si="4"/>
        <v>371</v>
      </c>
      <c r="W12" s="17">
        <f t="shared" si="4"/>
        <v>19</v>
      </c>
      <c r="X12" s="17">
        <f t="shared" si="4"/>
        <v>4</v>
      </c>
      <c r="Y12" s="17">
        <f t="shared" si="4"/>
        <v>92</v>
      </c>
      <c r="Z12" s="17">
        <f t="shared" si="4"/>
        <v>52</v>
      </c>
      <c r="AA12" s="17">
        <f t="shared" si="4"/>
        <v>7</v>
      </c>
      <c r="AB12" s="17">
        <f t="shared" si="4"/>
        <v>4</v>
      </c>
      <c r="AC12" s="17">
        <f t="shared" si="4"/>
        <v>1007</v>
      </c>
      <c r="AD12" s="17">
        <f t="shared" si="4"/>
        <v>0</v>
      </c>
      <c r="AE12" s="31">
        <f t="shared" si="4"/>
        <v>1151</v>
      </c>
      <c r="AF12" s="31">
        <f t="shared" si="4"/>
        <v>2158</v>
      </c>
    </row>
    <row r="13" spans="2:32" ht="23.1" customHeight="1" x14ac:dyDescent="0.25">
      <c r="B13" s="45" t="s">
        <v>40</v>
      </c>
      <c r="C13" s="50">
        <v>123</v>
      </c>
      <c r="D13" s="50">
        <v>28</v>
      </c>
      <c r="E13" s="50">
        <v>45</v>
      </c>
      <c r="F13" s="50">
        <v>140</v>
      </c>
      <c r="G13" s="50">
        <v>5</v>
      </c>
      <c r="H13" s="50">
        <v>3</v>
      </c>
      <c r="I13" s="50">
        <v>48</v>
      </c>
      <c r="J13" s="50">
        <v>24</v>
      </c>
      <c r="K13" s="50">
        <v>13</v>
      </c>
      <c r="L13" s="50">
        <v>5</v>
      </c>
      <c r="M13" s="50">
        <v>280</v>
      </c>
      <c r="N13" s="50">
        <v>0</v>
      </c>
      <c r="O13" s="15">
        <f t="shared" si="0"/>
        <v>434</v>
      </c>
      <c r="P13" s="15">
        <f t="shared" si="1"/>
        <v>714</v>
      </c>
      <c r="R13" s="1" t="s">
        <v>9</v>
      </c>
      <c r="S13" s="17">
        <f t="shared" ref="S13:AF13" si="5">SUM(C22:C25)</f>
        <v>445</v>
      </c>
      <c r="T13" s="17">
        <f t="shared" si="5"/>
        <v>36</v>
      </c>
      <c r="U13" s="17">
        <f t="shared" si="5"/>
        <v>70</v>
      </c>
      <c r="V13" s="17">
        <f t="shared" si="5"/>
        <v>323</v>
      </c>
      <c r="W13" s="17">
        <f t="shared" si="5"/>
        <v>3</v>
      </c>
      <c r="X13" s="17">
        <f t="shared" si="5"/>
        <v>3</v>
      </c>
      <c r="Y13" s="17">
        <f t="shared" si="5"/>
        <v>97</v>
      </c>
      <c r="Z13" s="17">
        <f t="shared" si="5"/>
        <v>40</v>
      </c>
      <c r="AA13" s="17">
        <f t="shared" si="5"/>
        <v>10</v>
      </c>
      <c r="AB13" s="17">
        <f t="shared" si="5"/>
        <v>9</v>
      </c>
      <c r="AC13" s="17">
        <f t="shared" si="5"/>
        <v>918</v>
      </c>
      <c r="AD13" s="17">
        <f t="shared" si="5"/>
        <v>0</v>
      </c>
      <c r="AE13" s="31">
        <f t="shared" si="5"/>
        <v>1036</v>
      </c>
      <c r="AF13" s="31">
        <f t="shared" si="5"/>
        <v>1954</v>
      </c>
    </row>
    <row r="14" spans="2:32" ht="23.1" customHeight="1" x14ac:dyDescent="0.25">
      <c r="B14" s="45" t="s">
        <v>41</v>
      </c>
      <c r="C14" s="50">
        <v>152</v>
      </c>
      <c r="D14" s="50">
        <v>38</v>
      </c>
      <c r="E14" s="50">
        <v>40</v>
      </c>
      <c r="F14" s="50">
        <v>123</v>
      </c>
      <c r="G14" s="50">
        <v>12</v>
      </c>
      <c r="H14" s="50">
        <v>7</v>
      </c>
      <c r="I14" s="50">
        <v>55</v>
      </c>
      <c r="J14" s="50">
        <v>43</v>
      </c>
      <c r="K14" s="50">
        <v>0</v>
      </c>
      <c r="L14" s="50">
        <v>1</v>
      </c>
      <c r="M14" s="50">
        <v>198</v>
      </c>
      <c r="N14" s="50">
        <v>0</v>
      </c>
      <c r="O14" s="15">
        <f t="shared" si="0"/>
        <v>471</v>
      </c>
      <c r="P14" s="15">
        <f t="shared" si="1"/>
        <v>669</v>
      </c>
      <c r="R14" s="1" t="s">
        <v>10</v>
      </c>
      <c r="S14" s="17">
        <f t="shared" ref="S14:AF14" si="6">SUM(C26:C29)</f>
        <v>411</v>
      </c>
      <c r="T14" s="17">
        <f t="shared" si="6"/>
        <v>40</v>
      </c>
      <c r="U14" s="17">
        <f t="shared" si="6"/>
        <v>35</v>
      </c>
      <c r="V14" s="17">
        <f t="shared" si="6"/>
        <v>299</v>
      </c>
      <c r="W14" s="17">
        <f t="shared" si="6"/>
        <v>2</v>
      </c>
      <c r="X14" s="17">
        <f t="shared" si="6"/>
        <v>5</v>
      </c>
      <c r="Y14" s="17">
        <f t="shared" si="6"/>
        <v>79</v>
      </c>
      <c r="Z14" s="17">
        <f t="shared" si="6"/>
        <v>59</v>
      </c>
      <c r="AA14" s="17">
        <f t="shared" si="6"/>
        <v>7</v>
      </c>
      <c r="AB14" s="17">
        <f t="shared" si="6"/>
        <v>17</v>
      </c>
      <c r="AC14" s="17">
        <f t="shared" si="6"/>
        <v>1057</v>
      </c>
      <c r="AD14" s="17">
        <f t="shared" si="6"/>
        <v>0</v>
      </c>
      <c r="AE14" s="31">
        <f t="shared" si="6"/>
        <v>954</v>
      </c>
      <c r="AF14" s="31">
        <f t="shared" si="6"/>
        <v>2011</v>
      </c>
    </row>
    <row r="15" spans="2:32" ht="23.1" customHeight="1" x14ac:dyDescent="0.25">
      <c r="B15" s="45" t="s">
        <v>42</v>
      </c>
      <c r="C15" s="50">
        <v>150</v>
      </c>
      <c r="D15" s="50">
        <v>35</v>
      </c>
      <c r="E15" s="50">
        <v>20</v>
      </c>
      <c r="F15" s="50">
        <v>130</v>
      </c>
      <c r="G15" s="50">
        <v>7</v>
      </c>
      <c r="H15" s="50">
        <v>5</v>
      </c>
      <c r="I15" s="50">
        <v>50</v>
      </c>
      <c r="J15" s="50">
        <v>32</v>
      </c>
      <c r="K15" s="50">
        <v>5</v>
      </c>
      <c r="L15" s="50">
        <v>3</v>
      </c>
      <c r="M15" s="50">
        <v>303</v>
      </c>
      <c r="N15" s="50">
        <v>0</v>
      </c>
      <c r="O15" s="15">
        <f t="shared" si="0"/>
        <v>437</v>
      </c>
      <c r="P15" s="15">
        <f t="shared" si="1"/>
        <v>740</v>
      </c>
      <c r="R15" s="1" t="s">
        <v>11</v>
      </c>
      <c r="S15" s="17">
        <f t="shared" ref="S15:AF15" si="7">SUM(C30:C33)</f>
        <v>341</v>
      </c>
      <c r="T15" s="17">
        <f t="shared" si="7"/>
        <v>36</v>
      </c>
      <c r="U15" s="17">
        <f t="shared" si="7"/>
        <v>74</v>
      </c>
      <c r="V15" s="17">
        <f t="shared" si="7"/>
        <v>289</v>
      </c>
      <c r="W15" s="17">
        <f t="shared" si="7"/>
        <v>0</v>
      </c>
      <c r="X15" s="17">
        <f t="shared" si="7"/>
        <v>1</v>
      </c>
      <c r="Y15" s="17">
        <f t="shared" si="7"/>
        <v>115</v>
      </c>
      <c r="Z15" s="17">
        <f t="shared" si="7"/>
        <v>68</v>
      </c>
      <c r="AA15" s="17">
        <f t="shared" si="7"/>
        <v>2</v>
      </c>
      <c r="AB15" s="17">
        <f t="shared" si="7"/>
        <v>6</v>
      </c>
      <c r="AC15" s="17">
        <f t="shared" si="7"/>
        <v>885</v>
      </c>
      <c r="AD15" s="17">
        <f t="shared" si="7"/>
        <v>0</v>
      </c>
      <c r="AE15" s="31">
        <f t="shared" si="7"/>
        <v>932</v>
      </c>
      <c r="AF15" s="31">
        <f t="shared" si="7"/>
        <v>1817</v>
      </c>
    </row>
    <row r="16" spans="2:32" ht="23.1" customHeight="1" x14ac:dyDescent="0.25">
      <c r="B16" s="45" t="s">
        <v>43</v>
      </c>
      <c r="C16" s="50">
        <v>130</v>
      </c>
      <c r="D16" s="50">
        <v>18</v>
      </c>
      <c r="E16" s="50">
        <v>35</v>
      </c>
      <c r="F16" s="50">
        <v>138</v>
      </c>
      <c r="G16" s="50">
        <v>6</v>
      </c>
      <c r="H16" s="50">
        <v>2</v>
      </c>
      <c r="I16" s="50">
        <v>30</v>
      </c>
      <c r="J16" s="50">
        <v>15</v>
      </c>
      <c r="K16" s="50">
        <v>13</v>
      </c>
      <c r="L16" s="50">
        <v>7</v>
      </c>
      <c r="M16" s="50">
        <v>275</v>
      </c>
      <c r="N16" s="50">
        <v>0</v>
      </c>
      <c r="O16" s="15">
        <f t="shared" si="0"/>
        <v>394</v>
      </c>
      <c r="P16" s="15">
        <f t="shared" si="1"/>
        <v>669</v>
      </c>
      <c r="R16" s="1" t="s">
        <v>12</v>
      </c>
      <c r="S16" s="17">
        <f t="shared" ref="S16:AF16" si="8">SUM(C34:C37)</f>
        <v>401</v>
      </c>
      <c r="T16" s="17">
        <f t="shared" si="8"/>
        <v>73</v>
      </c>
      <c r="U16" s="17">
        <f t="shared" si="8"/>
        <v>117</v>
      </c>
      <c r="V16" s="17">
        <f t="shared" si="8"/>
        <v>284</v>
      </c>
      <c r="W16" s="17">
        <f t="shared" si="8"/>
        <v>21</v>
      </c>
      <c r="X16" s="17">
        <f t="shared" si="8"/>
        <v>14</v>
      </c>
      <c r="Y16" s="17">
        <f t="shared" si="8"/>
        <v>134</v>
      </c>
      <c r="Z16" s="17">
        <f t="shared" si="8"/>
        <v>76</v>
      </c>
      <c r="AA16" s="17">
        <f t="shared" si="8"/>
        <v>6</v>
      </c>
      <c r="AB16" s="17">
        <f t="shared" si="8"/>
        <v>10</v>
      </c>
      <c r="AC16" s="17">
        <f t="shared" si="8"/>
        <v>968</v>
      </c>
      <c r="AD16" s="17">
        <f t="shared" si="8"/>
        <v>0</v>
      </c>
      <c r="AE16" s="31">
        <f t="shared" si="8"/>
        <v>1136</v>
      </c>
      <c r="AF16" s="31">
        <f t="shared" si="8"/>
        <v>2104</v>
      </c>
    </row>
    <row r="17" spans="2:32" ht="23.1" customHeight="1" x14ac:dyDescent="0.25">
      <c r="B17" s="45" t="s">
        <v>44</v>
      </c>
      <c r="C17" s="50">
        <v>115</v>
      </c>
      <c r="D17" s="50">
        <v>23</v>
      </c>
      <c r="E17" s="50">
        <v>17</v>
      </c>
      <c r="F17" s="50">
        <v>105</v>
      </c>
      <c r="G17" s="50">
        <v>3</v>
      </c>
      <c r="H17" s="50">
        <v>5</v>
      </c>
      <c r="I17" s="50">
        <v>35</v>
      </c>
      <c r="J17" s="50">
        <v>36</v>
      </c>
      <c r="K17" s="50">
        <v>3</v>
      </c>
      <c r="L17" s="50">
        <v>0</v>
      </c>
      <c r="M17" s="50">
        <v>265</v>
      </c>
      <c r="N17" s="50">
        <v>0</v>
      </c>
      <c r="O17" s="15">
        <f t="shared" si="0"/>
        <v>342</v>
      </c>
      <c r="P17" s="15">
        <f t="shared" si="1"/>
        <v>607</v>
      </c>
      <c r="R17" s="1" t="s">
        <v>13</v>
      </c>
      <c r="S17" s="17">
        <f t="shared" ref="S17:AF17" si="9">SUM(C38:C41)</f>
        <v>303</v>
      </c>
      <c r="T17" s="17">
        <f t="shared" si="9"/>
        <v>48</v>
      </c>
      <c r="U17" s="17">
        <f t="shared" si="9"/>
        <v>72</v>
      </c>
      <c r="V17" s="17">
        <f t="shared" si="9"/>
        <v>249</v>
      </c>
      <c r="W17" s="17">
        <f t="shared" si="9"/>
        <v>0</v>
      </c>
      <c r="X17" s="17">
        <f t="shared" si="9"/>
        <v>2</v>
      </c>
      <c r="Y17" s="17">
        <f t="shared" si="9"/>
        <v>146</v>
      </c>
      <c r="Z17" s="17">
        <f t="shared" si="9"/>
        <v>108</v>
      </c>
      <c r="AA17" s="17">
        <f t="shared" si="9"/>
        <v>33</v>
      </c>
      <c r="AB17" s="17">
        <f t="shared" si="9"/>
        <v>12</v>
      </c>
      <c r="AC17" s="17">
        <f t="shared" si="9"/>
        <v>546.70000000000005</v>
      </c>
      <c r="AD17" s="17">
        <f t="shared" si="9"/>
        <v>0</v>
      </c>
      <c r="AE17" s="31">
        <f t="shared" si="9"/>
        <v>973</v>
      </c>
      <c r="AF17" s="31">
        <f t="shared" si="9"/>
        <v>1519.7</v>
      </c>
    </row>
    <row r="18" spans="2:32" ht="23.1" customHeight="1" x14ac:dyDescent="0.25">
      <c r="B18" s="45" t="s">
        <v>45</v>
      </c>
      <c r="C18" s="50">
        <v>150</v>
      </c>
      <c r="D18" s="50">
        <v>10</v>
      </c>
      <c r="E18" s="50">
        <v>18</v>
      </c>
      <c r="F18" s="50">
        <v>97</v>
      </c>
      <c r="G18" s="50">
        <v>5</v>
      </c>
      <c r="H18" s="50">
        <v>0</v>
      </c>
      <c r="I18" s="50">
        <v>44</v>
      </c>
      <c r="J18" s="50">
        <v>20</v>
      </c>
      <c r="K18" s="50">
        <v>0</v>
      </c>
      <c r="L18" s="50">
        <v>2</v>
      </c>
      <c r="M18" s="50">
        <v>307</v>
      </c>
      <c r="N18" s="50">
        <v>0</v>
      </c>
      <c r="O18" s="15">
        <f t="shared" si="0"/>
        <v>346</v>
      </c>
      <c r="P18" s="15">
        <f t="shared" si="1"/>
        <v>653</v>
      </c>
      <c r="R18" s="1" t="s">
        <v>14</v>
      </c>
      <c r="S18" s="17">
        <f t="shared" ref="S18:AF18" si="10">SUM(C42:C45)</f>
        <v>295</v>
      </c>
      <c r="T18" s="17">
        <f t="shared" si="10"/>
        <v>55</v>
      </c>
      <c r="U18" s="17">
        <f t="shared" si="10"/>
        <v>84</v>
      </c>
      <c r="V18" s="17">
        <f t="shared" si="10"/>
        <v>295</v>
      </c>
      <c r="W18" s="17">
        <f t="shared" si="10"/>
        <v>2</v>
      </c>
      <c r="X18" s="17">
        <f t="shared" si="10"/>
        <v>3</v>
      </c>
      <c r="Y18" s="17">
        <f t="shared" si="10"/>
        <v>109</v>
      </c>
      <c r="Z18" s="17">
        <f t="shared" si="10"/>
        <v>86</v>
      </c>
      <c r="AA18" s="17">
        <f t="shared" si="10"/>
        <v>17</v>
      </c>
      <c r="AB18" s="17">
        <f t="shared" si="10"/>
        <v>8</v>
      </c>
      <c r="AC18" s="17">
        <f t="shared" si="10"/>
        <v>840</v>
      </c>
      <c r="AD18" s="17">
        <f t="shared" si="10"/>
        <v>0</v>
      </c>
      <c r="AE18" s="31">
        <f t="shared" si="10"/>
        <v>954</v>
      </c>
      <c r="AF18" s="31">
        <f t="shared" si="10"/>
        <v>1794</v>
      </c>
    </row>
    <row r="19" spans="2:32" ht="23.1" customHeight="1" x14ac:dyDescent="0.25">
      <c r="B19" s="45" t="s">
        <v>46</v>
      </c>
      <c r="C19" s="50">
        <v>125</v>
      </c>
      <c r="D19" s="50">
        <v>18</v>
      </c>
      <c r="E19" s="50">
        <v>19</v>
      </c>
      <c r="F19" s="50">
        <v>107</v>
      </c>
      <c r="G19" s="50">
        <v>5</v>
      </c>
      <c r="H19" s="50">
        <v>1</v>
      </c>
      <c r="I19" s="50">
        <v>8</v>
      </c>
      <c r="J19" s="50">
        <v>12</v>
      </c>
      <c r="K19" s="50">
        <v>3</v>
      </c>
      <c r="L19" s="50">
        <v>0</v>
      </c>
      <c r="M19" s="50">
        <v>227</v>
      </c>
      <c r="N19" s="50">
        <v>0</v>
      </c>
      <c r="O19" s="15">
        <f t="shared" si="0"/>
        <v>298</v>
      </c>
      <c r="P19" s="15">
        <f t="shared" si="1"/>
        <v>525</v>
      </c>
      <c r="R19" s="1" t="s">
        <v>15</v>
      </c>
      <c r="S19" s="17">
        <f t="shared" ref="S19:AF19" si="11">SUM(C46:C49)</f>
        <v>325</v>
      </c>
      <c r="T19" s="17">
        <f t="shared" si="11"/>
        <v>82</v>
      </c>
      <c r="U19" s="17">
        <f t="shared" si="11"/>
        <v>79</v>
      </c>
      <c r="V19" s="17">
        <f t="shared" si="11"/>
        <v>262</v>
      </c>
      <c r="W19" s="17">
        <f t="shared" si="11"/>
        <v>4</v>
      </c>
      <c r="X19" s="17">
        <f t="shared" si="11"/>
        <v>2</v>
      </c>
      <c r="Y19" s="17">
        <f t="shared" si="11"/>
        <v>121</v>
      </c>
      <c r="Z19" s="17">
        <f t="shared" si="11"/>
        <v>129</v>
      </c>
      <c r="AA19" s="17">
        <f t="shared" si="11"/>
        <v>38</v>
      </c>
      <c r="AB19" s="17">
        <f t="shared" si="11"/>
        <v>32</v>
      </c>
      <c r="AC19" s="17">
        <f t="shared" si="11"/>
        <v>867</v>
      </c>
      <c r="AD19" s="17">
        <f t="shared" si="11"/>
        <v>0</v>
      </c>
      <c r="AE19" s="31">
        <f t="shared" si="11"/>
        <v>1074</v>
      </c>
      <c r="AF19" s="31">
        <f t="shared" si="11"/>
        <v>1941</v>
      </c>
    </row>
    <row r="20" spans="2:32" ht="23.1" customHeight="1" x14ac:dyDescent="0.25">
      <c r="B20" s="45" t="s">
        <v>47</v>
      </c>
      <c r="C20" s="50">
        <v>117</v>
      </c>
      <c r="D20" s="50">
        <v>16</v>
      </c>
      <c r="E20" s="50">
        <v>8</v>
      </c>
      <c r="F20" s="50">
        <v>92</v>
      </c>
      <c r="G20" s="50">
        <v>3</v>
      </c>
      <c r="H20" s="50">
        <v>1</v>
      </c>
      <c r="I20" s="50">
        <v>24</v>
      </c>
      <c r="J20" s="50">
        <v>6</v>
      </c>
      <c r="K20" s="50">
        <v>2</v>
      </c>
      <c r="L20" s="50">
        <v>1</v>
      </c>
      <c r="M20" s="50">
        <v>260</v>
      </c>
      <c r="N20" s="50">
        <v>0</v>
      </c>
      <c r="O20" s="15">
        <f t="shared" si="0"/>
        <v>270</v>
      </c>
      <c r="P20" s="15">
        <f t="shared" si="1"/>
        <v>530</v>
      </c>
      <c r="R20" s="1" t="s">
        <v>16</v>
      </c>
      <c r="S20" s="17">
        <f t="shared" ref="S20:AF20" si="12">SUM(C50:C53)</f>
        <v>1146</v>
      </c>
      <c r="T20" s="17">
        <f t="shared" si="12"/>
        <v>113</v>
      </c>
      <c r="U20" s="17">
        <f t="shared" si="12"/>
        <v>142</v>
      </c>
      <c r="V20" s="17">
        <f t="shared" si="12"/>
        <v>415</v>
      </c>
      <c r="W20" s="17">
        <f t="shared" si="12"/>
        <v>51</v>
      </c>
      <c r="X20" s="17">
        <f t="shared" si="12"/>
        <v>56</v>
      </c>
      <c r="Y20" s="17">
        <f t="shared" si="12"/>
        <v>184</v>
      </c>
      <c r="Z20" s="17">
        <f t="shared" si="12"/>
        <v>135</v>
      </c>
      <c r="AA20" s="17">
        <f t="shared" si="12"/>
        <v>41</v>
      </c>
      <c r="AB20" s="17">
        <f t="shared" si="12"/>
        <v>27</v>
      </c>
      <c r="AC20" s="17">
        <f t="shared" si="12"/>
        <v>983</v>
      </c>
      <c r="AD20" s="17">
        <f t="shared" si="12"/>
        <v>0</v>
      </c>
      <c r="AE20" s="31">
        <f t="shared" si="12"/>
        <v>2310</v>
      </c>
      <c r="AF20" s="31">
        <f t="shared" si="12"/>
        <v>3293</v>
      </c>
    </row>
    <row r="21" spans="2:32" ht="23.1" customHeight="1" x14ac:dyDescent="0.25">
      <c r="B21" s="45" t="s">
        <v>48</v>
      </c>
      <c r="C21" s="50">
        <v>105</v>
      </c>
      <c r="D21" s="50">
        <v>3</v>
      </c>
      <c r="E21" s="50">
        <v>13</v>
      </c>
      <c r="F21" s="50">
        <v>75</v>
      </c>
      <c r="G21" s="50">
        <v>6</v>
      </c>
      <c r="H21" s="50">
        <v>2</v>
      </c>
      <c r="I21" s="50">
        <v>16</v>
      </c>
      <c r="J21" s="50">
        <v>14</v>
      </c>
      <c r="K21" s="50">
        <v>2</v>
      </c>
      <c r="L21" s="50">
        <v>1</v>
      </c>
      <c r="M21" s="50">
        <v>213</v>
      </c>
      <c r="N21" s="50">
        <v>0</v>
      </c>
      <c r="O21" s="15">
        <f t="shared" si="0"/>
        <v>237</v>
      </c>
      <c r="P21" s="15">
        <f t="shared" si="1"/>
        <v>450</v>
      </c>
      <c r="R21" s="36" t="s">
        <v>20</v>
      </c>
      <c r="S21" s="34">
        <f t="shared" ref="S21:AF21" si="13">SUM(C54:C57)</f>
        <v>303</v>
      </c>
      <c r="T21" s="17">
        <f t="shared" si="13"/>
        <v>125</v>
      </c>
      <c r="U21" s="17">
        <f t="shared" si="13"/>
        <v>83</v>
      </c>
      <c r="V21" s="17">
        <f t="shared" si="13"/>
        <v>240</v>
      </c>
      <c r="W21" s="17">
        <f t="shared" si="13"/>
        <v>32</v>
      </c>
      <c r="X21" s="17">
        <f t="shared" si="13"/>
        <v>42</v>
      </c>
      <c r="Y21" s="17">
        <f t="shared" si="13"/>
        <v>160</v>
      </c>
      <c r="Z21" s="17">
        <f t="shared" si="13"/>
        <v>60</v>
      </c>
      <c r="AA21" s="17">
        <f t="shared" si="13"/>
        <v>11</v>
      </c>
      <c r="AB21" s="17">
        <f t="shared" si="13"/>
        <v>14</v>
      </c>
      <c r="AC21" s="17">
        <f t="shared" si="13"/>
        <v>575</v>
      </c>
      <c r="AD21" s="17">
        <f t="shared" si="13"/>
        <v>0</v>
      </c>
      <c r="AE21" s="31">
        <f t="shared" si="13"/>
        <v>1070</v>
      </c>
      <c r="AF21" s="31">
        <f t="shared" si="13"/>
        <v>1645</v>
      </c>
    </row>
    <row r="22" spans="2:32" ht="23.1" customHeight="1" x14ac:dyDescent="0.25">
      <c r="B22" s="45" t="s">
        <v>49</v>
      </c>
      <c r="C22" s="50">
        <v>88</v>
      </c>
      <c r="D22" s="50">
        <v>13</v>
      </c>
      <c r="E22" s="50">
        <v>10</v>
      </c>
      <c r="F22" s="50">
        <v>72</v>
      </c>
      <c r="G22" s="50">
        <v>0</v>
      </c>
      <c r="H22" s="50">
        <v>2</v>
      </c>
      <c r="I22" s="50">
        <v>19</v>
      </c>
      <c r="J22" s="50">
        <v>6</v>
      </c>
      <c r="K22" s="50">
        <v>3</v>
      </c>
      <c r="L22" s="50">
        <v>6</v>
      </c>
      <c r="M22" s="50">
        <v>250</v>
      </c>
      <c r="N22" s="50">
        <v>0</v>
      </c>
      <c r="O22" s="15">
        <f t="shared" si="0"/>
        <v>219</v>
      </c>
      <c r="P22" s="15">
        <f t="shared" si="1"/>
        <v>469</v>
      </c>
      <c r="R22" s="36" t="s">
        <v>146</v>
      </c>
      <c r="S22" s="34">
        <f>SUM(C58:C61)</f>
        <v>382</v>
      </c>
      <c r="T22" s="34">
        <f t="shared" ref="T22:AF22" si="14">SUM(D58:D61)</f>
        <v>72</v>
      </c>
      <c r="U22" s="34">
        <f t="shared" si="14"/>
        <v>101</v>
      </c>
      <c r="V22" s="34">
        <f t="shared" si="14"/>
        <v>394</v>
      </c>
      <c r="W22" s="34">
        <f t="shared" si="14"/>
        <v>23</v>
      </c>
      <c r="X22" s="34">
        <f t="shared" si="14"/>
        <v>27</v>
      </c>
      <c r="Y22" s="34">
        <f t="shared" si="14"/>
        <v>202</v>
      </c>
      <c r="Z22" s="34">
        <f t="shared" si="14"/>
        <v>99</v>
      </c>
      <c r="AA22" s="34">
        <f t="shared" si="14"/>
        <v>15</v>
      </c>
      <c r="AB22" s="34">
        <f t="shared" si="14"/>
        <v>16</v>
      </c>
      <c r="AC22" s="34">
        <f t="shared" si="14"/>
        <v>799</v>
      </c>
      <c r="AD22" s="34">
        <f t="shared" si="14"/>
        <v>0</v>
      </c>
      <c r="AE22" s="31">
        <f t="shared" si="14"/>
        <v>1331</v>
      </c>
      <c r="AF22" s="31">
        <f t="shared" si="14"/>
        <v>2130</v>
      </c>
    </row>
    <row r="23" spans="2:32" ht="23.1" customHeight="1" x14ac:dyDescent="0.25">
      <c r="B23" s="45" t="s">
        <v>50</v>
      </c>
      <c r="C23" s="50">
        <v>92</v>
      </c>
      <c r="D23" s="50">
        <v>7</v>
      </c>
      <c r="E23" s="50">
        <v>22</v>
      </c>
      <c r="F23" s="50">
        <v>75</v>
      </c>
      <c r="G23" s="50">
        <v>0</v>
      </c>
      <c r="H23" s="50">
        <v>0</v>
      </c>
      <c r="I23" s="50">
        <v>15</v>
      </c>
      <c r="J23" s="50">
        <v>10</v>
      </c>
      <c r="K23" s="50">
        <v>1</v>
      </c>
      <c r="L23" s="50">
        <v>1</v>
      </c>
      <c r="M23" s="50">
        <v>205</v>
      </c>
      <c r="N23" s="50">
        <v>0</v>
      </c>
      <c r="O23" s="15">
        <f t="shared" si="0"/>
        <v>223</v>
      </c>
      <c r="P23" s="15">
        <f t="shared" si="1"/>
        <v>428</v>
      </c>
      <c r="R23" s="36" t="s">
        <v>147</v>
      </c>
      <c r="S23" s="34">
        <f>SUM(C62:C65)</f>
        <v>185</v>
      </c>
      <c r="T23" s="34">
        <f t="shared" ref="T23:AF23" si="15">SUM(D62:D65)</f>
        <v>32</v>
      </c>
      <c r="U23" s="34">
        <f t="shared" si="15"/>
        <v>31</v>
      </c>
      <c r="V23" s="34">
        <f t="shared" si="15"/>
        <v>207</v>
      </c>
      <c r="W23" s="34">
        <f t="shared" si="15"/>
        <v>9</v>
      </c>
      <c r="X23" s="34">
        <f t="shared" si="15"/>
        <v>4</v>
      </c>
      <c r="Y23" s="34">
        <f t="shared" si="15"/>
        <v>58</v>
      </c>
      <c r="Z23" s="34">
        <f t="shared" si="15"/>
        <v>36</v>
      </c>
      <c r="AA23" s="34">
        <f t="shared" si="15"/>
        <v>15</v>
      </c>
      <c r="AB23" s="34">
        <f t="shared" si="15"/>
        <v>18</v>
      </c>
      <c r="AC23" s="34">
        <f t="shared" si="15"/>
        <v>639</v>
      </c>
      <c r="AD23" s="34">
        <f t="shared" si="15"/>
        <v>0</v>
      </c>
      <c r="AE23" s="31">
        <f t="shared" si="15"/>
        <v>595</v>
      </c>
      <c r="AF23" s="31">
        <f t="shared" si="15"/>
        <v>1234</v>
      </c>
    </row>
    <row r="24" spans="2:32" ht="23.1" customHeight="1" x14ac:dyDescent="0.25">
      <c r="B24" s="45" t="s">
        <v>51</v>
      </c>
      <c r="C24" s="50">
        <v>130</v>
      </c>
      <c r="D24" s="50">
        <v>8</v>
      </c>
      <c r="E24" s="50">
        <v>25</v>
      </c>
      <c r="F24" s="50">
        <v>104</v>
      </c>
      <c r="G24" s="50">
        <v>3</v>
      </c>
      <c r="H24" s="50">
        <v>1</v>
      </c>
      <c r="I24" s="50">
        <v>31</v>
      </c>
      <c r="J24" s="50">
        <v>18</v>
      </c>
      <c r="K24" s="50">
        <v>3</v>
      </c>
      <c r="L24" s="50">
        <v>1</v>
      </c>
      <c r="M24" s="50">
        <v>218</v>
      </c>
      <c r="N24" s="50">
        <v>0</v>
      </c>
      <c r="O24" s="15">
        <f t="shared" si="0"/>
        <v>324</v>
      </c>
      <c r="P24" s="15">
        <f t="shared" si="1"/>
        <v>542</v>
      </c>
      <c r="R24" s="36" t="s">
        <v>148</v>
      </c>
      <c r="S24" s="34">
        <f>SUM(C66:C69)</f>
        <v>241</v>
      </c>
      <c r="T24" s="34">
        <f t="shared" ref="T24:AF24" si="16">SUM(D66:D69)</f>
        <v>98</v>
      </c>
      <c r="U24" s="34">
        <f t="shared" si="16"/>
        <v>53</v>
      </c>
      <c r="V24" s="34">
        <f t="shared" si="16"/>
        <v>222</v>
      </c>
      <c r="W24" s="34">
        <f t="shared" si="16"/>
        <v>5</v>
      </c>
      <c r="X24" s="34">
        <f t="shared" si="16"/>
        <v>16</v>
      </c>
      <c r="Y24" s="34">
        <f t="shared" si="16"/>
        <v>81</v>
      </c>
      <c r="Z24" s="34">
        <f t="shared" si="16"/>
        <v>22</v>
      </c>
      <c r="AA24" s="34">
        <f t="shared" si="16"/>
        <v>28</v>
      </c>
      <c r="AB24" s="34">
        <f t="shared" si="16"/>
        <v>13</v>
      </c>
      <c r="AC24" s="34">
        <f t="shared" si="16"/>
        <v>554</v>
      </c>
      <c r="AD24" s="34">
        <f t="shared" si="16"/>
        <v>0</v>
      </c>
      <c r="AE24" s="31">
        <f t="shared" si="16"/>
        <v>779</v>
      </c>
      <c r="AF24" s="31">
        <f t="shared" si="16"/>
        <v>1333</v>
      </c>
    </row>
    <row r="25" spans="2:32" ht="23.1" customHeight="1" x14ac:dyDescent="0.25">
      <c r="B25" s="45" t="s">
        <v>52</v>
      </c>
      <c r="C25" s="50">
        <v>135</v>
      </c>
      <c r="D25" s="50">
        <v>8</v>
      </c>
      <c r="E25" s="50">
        <v>13</v>
      </c>
      <c r="F25" s="50">
        <v>72</v>
      </c>
      <c r="G25" s="50">
        <v>0</v>
      </c>
      <c r="H25" s="50">
        <v>0</v>
      </c>
      <c r="I25" s="50">
        <v>32</v>
      </c>
      <c r="J25" s="50">
        <v>6</v>
      </c>
      <c r="K25" s="50">
        <v>3</v>
      </c>
      <c r="L25" s="50">
        <v>1</v>
      </c>
      <c r="M25" s="50">
        <v>245</v>
      </c>
      <c r="N25" s="50">
        <v>0</v>
      </c>
      <c r="O25" s="15">
        <f t="shared" si="0"/>
        <v>270</v>
      </c>
      <c r="P25" s="15">
        <f t="shared" si="1"/>
        <v>515</v>
      </c>
      <c r="R25" s="36" t="s">
        <v>149</v>
      </c>
      <c r="S25" s="34">
        <f>SUM(C70:C73)</f>
        <v>225</v>
      </c>
      <c r="T25" s="34">
        <f t="shared" ref="T25:AF25" si="17">SUM(D70:D73)</f>
        <v>70</v>
      </c>
      <c r="U25" s="34">
        <f t="shared" si="17"/>
        <v>22</v>
      </c>
      <c r="V25" s="34">
        <f t="shared" si="17"/>
        <v>167</v>
      </c>
      <c r="W25" s="34">
        <f t="shared" si="17"/>
        <v>2</v>
      </c>
      <c r="X25" s="34">
        <f t="shared" si="17"/>
        <v>11</v>
      </c>
      <c r="Y25" s="34">
        <f t="shared" si="17"/>
        <v>48</v>
      </c>
      <c r="Z25" s="34">
        <f t="shared" si="17"/>
        <v>5</v>
      </c>
      <c r="AA25" s="34">
        <f t="shared" si="17"/>
        <v>18</v>
      </c>
      <c r="AB25" s="34">
        <f t="shared" si="17"/>
        <v>2</v>
      </c>
      <c r="AC25" s="34">
        <f t="shared" si="17"/>
        <v>361</v>
      </c>
      <c r="AD25" s="34">
        <f t="shared" si="17"/>
        <v>0</v>
      </c>
      <c r="AE25" s="31">
        <f t="shared" si="17"/>
        <v>570</v>
      </c>
      <c r="AF25" s="31">
        <f t="shared" si="17"/>
        <v>931</v>
      </c>
    </row>
    <row r="26" spans="2:32" ht="23.1" customHeight="1" x14ac:dyDescent="0.25">
      <c r="B26" s="45" t="s">
        <v>53</v>
      </c>
      <c r="C26" s="50">
        <v>115</v>
      </c>
      <c r="D26" s="50">
        <v>7</v>
      </c>
      <c r="E26" s="50">
        <v>5</v>
      </c>
      <c r="F26" s="50">
        <v>87</v>
      </c>
      <c r="G26" s="50">
        <v>1</v>
      </c>
      <c r="H26" s="50">
        <v>2</v>
      </c>
      <c r="I26" s="50">
        <v>27</v>
      </c>
      <c r="J26" s="50">
        <v>25</v>
      </c>
      <c r="K26" s="50">
        <v>1</v>
      </c>
      <c r="L26" s="50">
        <v>8</v>
      </c>
      <c r="M26" s="50">
        <v>282</v>
      </c>
      <c r="N26" s="50">
        <v>0</v>
      </c>
      <c r="O26" s="15">
        <f t="shared" si="0"/>
        <v>278</v>
      </c>
      <c r="P26" s="15">
        <f t="shared" si="1"/>
        <v>560</v>
      </c>
      <c r="R26" s="36" t="s">
        <v>150</v>
      </c>
      <c r="S26" s="34">
        <f>SUM(C74:C77)</f>
        <v>219</v>
      </c>
      <c r="T26" s="34">
        <f t="shared" ref="T26:AF26" si="18">SUM(D74:D77)</f>
        <v>50</v>
      </c>
      <c r="U26" s="34">
        <f t="shared" si="18"/>
        <v>22</v>
      </c>
      <c r="V26" s="34">
        <f t="shared" si="18"/>
        <v>91</v>
      </c>
      <c r="W26" s="34">
        <f t="shared" si="18"/>
        <v>0</v>
      </c>
      <c r="X26" s="34">
        <f t="shared" si="18"/>
        <v>0</v>
      </c>
      <c r="Y26" s="34">
        <f t="shared" si="18"/>
        <v>26</v>
      </c>
      <c r="Z26" s="34">
        <f t="shared" si="18"/>
        <v>9</v>
      </c>
      <c r="AA26" s="34">
        <f t="shared" si="18"/>
        <v>18</v>
      </c>
      <c r="AB26" s="34">
        <f t="shared" si="18"/>
        <v>2</v>
      </c>
      <c r="AC26" s="34">
        <f t="shared" si="18"/>
        <v>325</v>
      </c>
      <c r="AD26" s="34">
        <f t="shared" si="18"/>
        <v>0</v>
      </c>
      <c r="AE26" s="31">
        <f t="shared" si="18"/>
        <v>437</v>
      </c>
      <c r="AF26" s="31">
        <f t="shared" si="18"/>
        <v>762</v>
      </c>
    </row>
    <row r="27" spans="2:32" ht="23.1" customHeight="1" x14ac:dyDescent="0.25">
      <c r="B27" s="45" t="s">
        <v>54</v>
      </c>
      <c r="C27" s="50">
        <v>110</v>
      </c>
      <c r="D27" s="50">
        <v>12</v>
      </c>
      <c r="E27" s="50">
        <v>8</v>
      </c>
      <c r="F27" s="50">
        <v>76</v>
      </c>
      <c r="G27" s="50">
        <v>1</v>
      </c>
      <c r="H27" s="50">
        <v>2</v>
      </c>
      <c r="I27" s="50">
        <v>8</v>
      </c>
      <c r="J27" s="50">
        <v>8</v>
      </c>
      <c r="K27" s="50">
        <v>3</v>
      </c>
      <c r="L27" s="50">
        <v>1</v>
      </c>
      <c r="M27" s="50">
        <v>275</v>
      </c>
      <c r="N27" s="50">
        <v>0</v>
      </c>
      <c r="O27" s="15">
        <f t="shared" si="0"/>
        <v>229</v>
      </c>
      <c r="P27" s="15">
        <f t="shared" si="1"/>
        <v>504</v>
      </c>
      <c r="R27" s="36" t="s">
        <v>151</v>
      </c>
      <c r="S27" s="34">
        <f>SUM(C78:C81)</f>
        <v>103</v>
      </c>
      <c r="T27" s="34">
        <f t="shared" ref="T27:AF27" si="19">SUM(D78:D81)</f>
        <v>22</v>
      </c>
      <c r="U27" s="34">
        <f t="shared" si="19"/>
        <v>9</v>
      </c>
      <c r="V27" s="34">
        <f t="shared" si="19"/>
        <v>34</v>
      </c>
      <c r="W27" s="34">
        <f t="shared" si="19"/>
        <v>0</v>
      </c>
      <c r="X27" s="34">
        <f t="shared" si="19"/>
        <v>3</v>
      </c>
      <c r="Y27" s="34">
        <f t="shared" si="19"/>
        <v>42</v>
      </c>
      <c r="Z27" s="34">
        <f t="shared" si="19"/>
        <v>2</v>
      </c>
      <c r="AA27" s="34">
        <f t="shared" si="19"/>
        <v>3</v>
      </c>
      <c r="AB27" s="34">
        <f t="shared" si="19"/>
        <v>4</v>
      </c>
      <c r="AC27" s="34">
        <f t="shared" si="19"/>
        <v>164</v>
      </c>
      <c r="AD27" s="34">
        <f t="shared" si="19"/>
        <v>0</v>
      </c>
      <c r="AE27" s="31">
        <f t="shared" si="19"/>
        <v>222</v>
      </c>
      <c r="AF27" s="31">
        <f t="shared" si="19"/>
        <v>386</v>
      </c>
    </row>
    <row r="28" spans="2:32" ht="23.1" customHeight="1" x14ac:dyDescent="0.25">
      <c r="B28" s="45" t="s">
        <v>55</v>
      </c>
      <c r="C28" s="50">
        <v>88</v>
      </c>
      <c r="D28" s="50">
        <v>13</v>
      </c>
      <c r="E28" s="50">
        <v>17</v>
      </c>
      <c r="F28" s="50">
        <v>53</v>
      </c>
      <c r="G28" s="50">
        <v>0</v>
      </c>
      <c r="H28" s="50">
        <v>1</v>
      </c>
      <c r="I28" s="50">
        <v>2</v>
      </c>
      <c r="J28" s="50">
        <v>13</v>
      </c>
      <c r="K28" s="50">
        <v>2</v>
      </c>
      <c r="L28" s="50">
        <v>3</v>
      </c>
      <c r="M28" s="50">
        <v>242</v>
      </c>
      <c r="N28" s="50">
        <v>0</v>
      </c>
      <c r="O28" s="15">
        <f t="shared" si="0"/>
        <v>192</v>
      </c>
      <c r="P28" s="15">
        <f t="shared" si="1"/>
        <v>434</v>
      </c>
      <c r="R28" s="36" t="s">
        <v>152</v>
      </c>
      <c r="S28" s="34">
        <f>SUM(C82:C85)</f>
        <v>79</v>
      </c>
      <c r="T28" s="34">
        <f t="shared" ref="T28:AF28" si="20">SUM(D82:D85)</f>
        <v>5</v>
      </c>
      <c r="U28" s="34">
        <f t="shared" si="20"/>
        <v>4</v>
      </c>
      <c r="V28" s="34">
        <f t="shared" si="20"/>
        <v>32</v>
      </c>
      <c r="W28" s="34">
        <f t="shared" si="20"/>
        <v>3</v>
      </c>
      <c r="X28" s="34">
        <f t="shared" si="20"/>
        <v>0</v>
      </c>
      <c r="Y28" s="34">
        <f t="shared" si="20"/>
        <v>29</v>
      </c>
      <c r="Z28" s="34">
        <f t="shared" si="20"/>
        <v>13</v>
      </c>
      <c r="AA28" s="34">
        <f t="shared" si="20"/>
        <v>2</v>
      </c>
      <c r="AB28" s="34">
        <f t="shared" si="20"/>
        <v>0</v>
      </c>
      <c r="AC28" s="34">
        <f t="shared" si="20"/>
        <v>169</v>
      </c>
      <c r="AD28" s="34">
        <f t="shared" si="20"/>
        <v>0</v>
      </c>
      <c r="AE28" s="31">
        <f t="shared" si="20"/>
        <v>167</v>
      </c>
      <c r="AF28" s="31">
        <f t="shared" si="20"/>
        <v>336</v>
      </c>
    </row>
    <row r="29" spans="2:32" ht="23.1" customHeight="1" x14ac:dyDescent="0.25">
      <c r="B29" s="45" t="s">
        <v>56</v>
      </c>
      <c r="C29" s="50">
        <v>98</v>
      </c>
      <c r="D29" s="50">
        <v>8</v>
      </c>
      <c r="E29" s="50">
        <v>5</v>
      </c>
      <c r="F29" s="50">
        <v>83</v>
      </c>
      <c r="G29" s="50">
        <v>0</v>
      </c>
      <c r="H29" s="50">
        <v>0</v>
      </c>
      <c r="I29" s="50">
        <v>42</v>
      </c>
      <c r="J29" s="50">
        <v>13</v>
      </c>
      <c r="K29" s="50">
        <v>1</v>
      </c>
      <c r="L29" s="50">
        <v>5</v>
      </c>
      <c r="M29" s="50">
        <v>258</v>
      </c>
      <c r="N29" s="50">
        <v>0</v>
      </c>
      <c r="O29" s="15">
        <f t="shared" si="0"/>
        <v>255</v>
      </c>
      <c r="P29" s="15">
        <f t="shared" si="1"/>
        <v>513</v>
      </c>
      <c r="R29" s="36" t="s">
        <v>153</v>
      </c>
      <c r="S29" s="34">
        <f>SUM(C86:C89)</f>
        <v>20</v>
      </c>
      <c r="T29" s="34">
        <f t="shared" ref="T29:AF29" si="21">SUM(D86:D89)</f>
        <v>1</v>
      </c>
      <c r="U29" s="34">
        <f t="shared" si="21"/>
        <v>4</v>
      </c>
      <c r="V29" s="34">
        <f t="shared" si="21"/>
        <v>3</v>
      </c>
      <c r="W29" s="34">
        <f t="shared" si="21"/>
        <v>0</v>
      </c>
      <c r="X29" s="34">
        <f t="shared" si="21"/>
        <v>0</v>
      </c>
      <c r="Y29" s="34">
        <f t="shared" si="21"/>
        <v>14</v>
      </c>
      <c r="Z29" s="34">
        <f t="shared" si="21"/>
        <v>11</v>
      </c>
      <c r="AA29" s="34">
        <f t="shared" si="21"/>
        <v>10</v>
      </c>
      <c r="AB29" s="34">
        <f t="shared" si="21"/>
        <v>3</v>
      </c>
      <c r="AC29" s="34">
        <f t="shared" si="21"/>
        <v>101</v>
      </c>
      <c r="AD29" s="34">
        <f t="shared" si="21"/>
        <v>0</v>
      </c>
      <c r="AE29" s="31">
        <f t="shared" si="21"/>
        <v>66</v>
      </c>
      <c r="AF29" s="31">
        <f t="shared" si="21"/>
        <v>167</v>
      </c>
    </row>
    <row r="30" spans="2:32" ht="23.1" customHeight="1" x14ac:dyDescent="0.25">
      <c r="B30" s="45" t="s">
        <v>57</v>
      </c>
      <c r="C30" s="50">
        <v>87</v>
      </c>
      <c r="D30" s="50">
        <v>2</v>
      </c>
      <c r="E30" s="50">
        <v>26</v>
      </c>
      <c r="F30" s="50">
        <v>91</v>
      </c>
      <c r="G30" s="50">
        <v>0</v>
      </c>
      <c r="H30" s="50">
        <v>0</v>
      </c>
      <c r="I30" s="50">
        <v>36</v>
      </c>
      <c r="J30" s="50">
        <v>14</v>
      </c>
      <c r="K30" s="50">
        <v>0</v>
      </c>
      <c r="L30" s="50">
        <v>0</v>
      </c>
      <c r="M30" s="50">
        <v>263</v>
      </c>
      <c r="N30" s="50">
        <v>0</v>
      </c>
      <c r="O30" s="15">
        <f t="shared" si="0"/>
        <v>256</v>
      </c>
      <c r="P30" s="15">
        <f t="shared" si="1"/>
        <v>519</v>
      </c>
      <c r="R30" s="36" t="s">
        <v>154</v>
      </c>
      <c r="S30" s="34">
        <f>SUM(C90:C93)</f>
        <v>48</v>
      </c>
      <c r="T30" s="34">
        <f t="shared" ref="T30:AF30" si="22">SUM(D90:D93)</f>
        <v>24</v>
      </c>
      <c r="U30" s="34">
        <f t="shared" si="22"/>
        <v>3</v>
      </c>
      <c r="V30" s="34">
        <f t="shared" si="22"/>
        <v>4</v>
      </c>
      <c r="W30" s="34">
        <f t="shared" si="22"/>
        <v>1</v>
      </c>
      <c r="X30" s="34">
        <f t="shared" si="22"/>
        <v>2</v>
      </c>
      <c r="Y30" s="34">
        <f t="shared" si="22"/>
        <v>12</v>
      </c>
      <c r="Z30" s="34">
        <f t="shared" si="22"/>
        <v>23</v>
      </c>
      <c r="AA30" s="34">
        <f t="shared" si="22"/>
        <v>5</v>
      </c>
      <c r="AB30" s="34">
        <f t="shared" si="22"/>
        <v>3</v>
      </c>
      <c r="AC30" s="34">
        <f t="shared" si="22"/>
        <v>88</v>
      </c>
      <c r="AD30" s="34">
        <f t="shared" si="22"/>
        <v>1</v>
      </c>
      <c r="AE30" s="31">
        <f t="shared" si="22"/>
        <v>126</v>
      </c>
      <c r="AF30" s="31">
        <f t="shared" si="22"/>
        <v>214</v>
      </c>
    </row>
    <row r="31" spans="2:32" ht="23.1" customHeight="1" x14ac:dyDescent="0.25">
      <c r="B31" s="46" t="s">
        <v>58</v>
      </c>
      <c r="C31" s="50">
        <v>97</v>
      </c>
      <c r="D31" s="50">
        <v>8</v>
      </c>
      <c r="E31" s="50">
        <v>12</v>
      </c>
      <c r="F31" s="50">
        <v>57</v>
      </c>
      <c r="G31" s="50">
        <v>0</v>
      </c>
      <c r="H31" s="50">
        <v>0</v>
      </c>
      <c r="I31" s="50">
        <v>24</v>
      </c>
      <c r="J31" s="50">
        <v>17</v>
      </c>
      <c r="K31" s="50">
        <v>2</v>
      </c>
      <c r="L31" s="50">
        <v>1</v>
      </c>
      <c r="M31" s="50">
        <v>200</v>
      </c>
      <c r="N31" s="50">
        <v>0</v>
      </c>
      <c r="O31" s="15">
        <f t="shared" si="0"/>
        <v>218</v>
      </c>
      <c r="P31" s="15">
        <f t="shared" si="1"/>
        <v>418</v>
      </c>
      <c r="R31" s="36" t="s">
        <v>155</v>
      </c>
      <c r="S31" s="34">
        <f>SUM(C94:C97)</f>
        <v>71</v>
      </c>
      <c r="T31" s="34">
        <f t="shared" ref="T31:AF31" si="23">SUM(D94:D97)</f>
        <v>54</v>
      </c>
      <c r="U31" s="34">
        <f t="shared" si="23"/>
        <v>1</v>
      </c>
      <c r="V31" s="34">
        <f t="shared" si="23"/>
        <v>41</v>
      </c>
      <c r="W31" s="34">
        <f t="shared" si="23"/>
        <v>1</v>
      </c>
      <c r="X31" s="34">
        <f t="shared" si="23"/>
        <v>2</v>
      </c>
      <c r="Y31" s="34">
        <f t="shared" si="23"/>
        <v>12</v>
      </c>
      <c r="Z31" s="34">
        <f t="shared" si="23"/>
        <v>11</v>
      </c>
      <c r="AA31" s="34">
        <f t="shared" si="23"/>
        <v>11</v>
      </c>
      <c r="AB31" s="34">
        <f t="shared" si="23"/>
        <v>1</v>
      </c>
      <c r="AC31" s="34">
        <f t="shared" si="23"/>
        <v>192</v>
      </c>
      <c r="AD31" s="34">
        <f t="shared" si="23"/>
        <v>0</v>
      </c>
      <c r="AE31" s="31">
        <f t="shared" si="23"/>
        <v>205</v>
      </c>
      <c r="AF31" s="31">
        <f t="shared" si="23"/>
        <v>397</v>
      </c>
    </row>
    <row r="32" spans="2:32" ht="23.1" customHeight="1" x14ac:dyDescent="0.25">
      <c r="B32" s="46" t="s">
        <v>59</v>
      </c>
      <c r="C32" s="50">
        <v>74</v>
      </c>
      <c r="D32" s="50">
        <v>23</v>
      </c>
      <c r="E32" s="50">
        <v>28</v>
      </c>
      <c r="F32" s="50">
        <v>73</v>
      </c>
      <c r="G32" s="50">
        <v>0</v>
      </c>
      <c r="H32" s="50">
        <v>0</v>
      </c>
      <c r="I32" s="50">
        <v>32</v>
      </c>
      <c r="J32" s="50">
        <v>23</v>
      </c>
      <c r="K32" s="50">
        <v>0</v>
      </c>
      <c r="L32" s="50">
        <v>3</v>
      </c>
      <c r="M32" s="50">
        <v>204</v>
      </c>
      <c r="N32" s="50">
        <v>0</v>
      </c>
      <c r="O32" s="15">
        <f t="shared" si="0"/>
        <v>256</v>
      </c>
      <c r="P32" s="15">
        <f t="shared" si="1"/>
        <v>460</v>
      </c>
      <c r="R32" s="33" t="s">
        <v>156</v>
      </c>
      <c r="S32" s="34">
        <f>SUM(C98:C101)</f>
        <v>165</v>
      </c>
      <c r="T32" s="34">
        <f t="shared" ref="T32:AF32" si="24">SUM(D98:D101)</f>
        <v>37</v>
      </c>
      <c r="U32" s="34">
        <f t="shared" si="24"/>
        <v>12</v>
      </c>
      <c r="V32" s="34">
        <f t="shared" si="24"/>
        <v>220</v>
      </c>
      <c r="W32" s="34">
        <f t="shared" si="24"/>
        <v>3</v>
      </c>
      <c r="X32" s="34">
        <f t="shared" si="24"/>
        <v>9</v>
      </c>
      <c r="Y32" s="34">
        <f t="shared" si="24"/>
        <v>75</v>
      </c>
      <c r="Z32" s="34">
        <f t="shared" si="24"/>
        <v>38</v>
      </c>
      <c r="AA32" s="34">
        <f t="shared" si="24"/>
        <v>40</v>
      </c>
      <c r="AB32" s="34">
        <f t="shared" si="24"/>
        <v>4</v>
      </c>
      <c r="AC32" s="34">
        <f t="shared" si="24"/>
        <v>343</v>
      </c>
      <c r="AD32" s="34">
        <f t="shared" si="24"/>
        <v>0</v>
      </c>
      <c r="AE32" s="31">
        <f t="shared" si="24"/>
        <v>603</v>
      </c>
      <c r="AF32" s="31">
        <f t="shared" si="24"/>
        <v>946</v>
      </c>
    </row>
    <row r="33" spans="2:32" ht="23.1" customHeight="1" x14ac:dyDescent="0.25">
      <c r="B33" s="45" t="s">
        <v>60</v>
      </c>
      <c r="C33" s="50">
        <v>83</v>
      </c>
      <c r="D33" s="50">
        <v>3</v>
      </c>
      <c r="E33" s="50">
        <v>8</v>
      </c>
      <c r="F33" s="50">
        <v>68</v>
      </c>
      <c r="G33" s="50">
        <v>0</v>
      </c>
      <c r="H33" s="50">
        <v>1</v>
      </c>
      <c r="I33" s="50">
        <v>23</v>
      </c>
      <c r="J33" s="50">
        <v>14</v>
      </c>
      <c r="K33" s="50">
        <v>0</v>
      </c>
      <c r="L33" s="50">
        <v>2</v>
      </c>
      <c r="M33" s="50">
        <v>218</v>
      </c>
      <c r="N33" s="50">
        <v>0</v>
      </c>
      <c r="O33" s="15">
        <f t="shared" si="0"/>
        <v>202</v>
      </c>
      <c r="P33" s="15">
        <f t="shared" si="1"/>
        <v>420</v>
      </c>
      <c r="R33" s="33" t="s">
        <v>157</v>
      </c>
      <c r="S33" s="34">
        <f>SUM(C102:C105)</f>
        <v>218</v>
      </c>
      <c r="T33" s="34">
        <f t="shared" ref="T33:AF33" si="25">SUM(D102:D105)</f>
        <v>68</v>
      </c>
      <c r="U33" s="34">
        <f t="shared" si="25"/>
        <v>25</v>
      </c>
      <c r="V33" s="34">
        <f t="shared" si="25"/>
        <v>237</v>
      </c>
      <c r="W33" s="34">
        <f t="shared" si="25"/>
        <v>3</v>
      </c>
      <c r="X33" s="34">
        <f t="shared" si="25"/>
        <v>0</v>
      </c>
      <c r="Y33" s="34">
        <f t="shared" si="25"/>
        <v>85</v>
      </c>
      <c r="Z33" s="34">
        <f t="shared" si="25"/>
        <v>32</v>
      </c>
      <c r="AA33" s="34">
        <f t="shared" si="25"/>
        <v>16</v>
      </c>
      <c r="AB33" s="34">
        <f t="shared" si="25"/>
        <v>8</v>
      </c>
      <c r="AC33" s="34">
        <f t="shared" si="25"/>
        <v>478</v>
      </c>
      <c r="AD33" s="34">
        <f t="shared" si="25"/>
        <v>0</v>
      </c>
      <c r="AE33" s="31">
        <f t="shared" si="25"/>
        <v>692</v>
      </c>
      <c r="AF33" s="31">
        <f t="shared" si="25"/>
        <v>1170</v>
      </c>
    </row>
    <row r="34" spans="2:32" ht="23.1" customHeight="1" x14ac:dyDescent="0.25">
      <c r="B34" s="46" t="s">
        <v>61</v>
      </c>
      <c r="C34" s="50">
        <v>135</v>
      </c>
      <c r="D34" s="50">
        <v>28</v>
      </c>
      <c r="E34" s="50">
        <v>28</v>
      </c>
      <c r="F34" s="50">
        <v>68</v>
      </c>
      <c r="G34" s="50">
        <v>18</v>
      </c>
      <c r="H34" s="50">
        <v>7</v>
      </c>
      <c r="I34" s="50">
        <v>33</v>
      </c>
      <c r="J34" s="50">
        <v>25</v>
      </c>
      <c r="K34" s="50">
        <v>2</v>
      </c>
      <c r="L34" s="50">
        <v>5</v>
      </c>
      <c r="M34" s="50">
        <v>302</v>
      </c>
      <c r="N34" s="50">
        <v>0</v>
      </c>
      <c r="O34" s="15">
        <f t="shared" si="0"/>
        <v>349</v>
      </c>
      <c r="P34" s="15">
        <f t="shared" si="1"/>
        <v>651</v>
      </c>
      <c r="R34" s="38" t="s">
        <v>90</v>
      </c>
      <c r="S34" s="39">
        <f t="shared" ref="S34:AF34" si="26">MAX(S10:S12)</f>
        <v>547</v>
      </c>
      <c r="T34" s="39">
        <f t="shared" si="26"/>
        <v>133</v>
      </c>
      <c r="U34" s="39">
        <f t="shared" si="26"/>
        <v>165</v>
      </c>
      <c r="V34" s="39">
        <f t="shared" si="26"/>
        <v>541</v>
      </c>
      <c r="W34" s="39">
        <f t="shared" si="26"/>
        <v>70</v>
      </c>
      <c r="X34" s="39">
        <f t="shared" si="26"/>
        <v>27</v>
      </c>
      <c r="Y34" s="39">
        <f t="shared" si="26"/>
        <v>183</v>
      </c>
      <c r="Z34" s="39">
        <f t="shared" si="26"/>
        <v>126</v>
      </c>
      <c r="AA34" s="39">
        <f t="shared" si="26"/>
        <v>58</v>
      </c>
      <c r="AB34" s="39">
        <f t="shared" si="26"/>
        <v>29</v>
      </c>
      <c r="AC34" s="39">
        <f t="shared" si="26"/>
        <v>1045</v>
      </c>
      <c r="AD34" s="39">
        <f t="shared" si="26"/>
        <v>0</v>
      </c>
      <c r="AE34" s="40">
        <f t="shared" si="26"/>
        <v>1834</v>
      </c>
      <c r="AF34" s="40">
        <f t="shared" si="26"/>
        <v>2879</v>
      </c>
    </row>
    <row r="35" spans="2:32" ht="23.1" customHeight="1" x14ac:dyDescent="0.25">
      <c r="B35" s="46" t="s">
        <v>62</v>
      </c>
      <c r="C35" s="50">
        <v>83</v>
      </c>
      <c r="D35" s="50">
        <v>13</v>
      </c>
      <c r="E35" s="50">
        <v>30</v>
      </c>
      <c r="F35" s="50">
        <v>83</v>
      </c>
      <c r="G35" s="50">
        <v>0</v>
      </c>
      <c r="H35" s="50">
        <v>0</v>
      </c>
      <c r="I35" s="50">
        <v>29</v>
      </c>
      <c r="J35" s="50">
        <v>14</v>
      </c>
      <c r="K35" s="50">
        <v>2</v>
      </c>
      <c r="L35" s="50">
        <v>2</v>
      </c>
      <c r="M35" s="50">
        <v>225</v>
      </c>
      <c r="N35" s="50">
        <v>0</v>
      </c>
      <c r="O35" s="15">
        <f t="shared" si="0"/>
        <v>256</v>
      </c>
      <c r="P35" s="15">
        <f t="shared" si="1"/>
        <v>481</v>
      </c>
      <c r="R35" s="38" t="s">
        <v>91</v>
      </c>
      <c r="S35" s="39">
        <f t="shared" ref="S35:AF35" si="27">MAX(S13:S18)</f>
        <v>445</v>
      </c>
      <c r="T35" s="39">
        <f t="shared" si="27"/>
        <v>73</v>
      </c>
      <c r="U35" s="39">
        <f t="shared" si="27"/>
        <v>117</v>
      </c>
      <c r="V35" s="39">
        <f t="shared" si="27"/>
        <v>323</v>
      </c>
      <c r="W35" s="39">
        <f t="shared" si="27"/>
        <v>21</v>
      </c>
      <c r="X35" s="39">
        <f t="shared" si="27"/>
        <v>14</v>
      </c>
      <c r="Y35" s="39">
        <f t="shared" si="27"/>
        <v>146</v>
      </c>
      <c r="Z35" s="39">
        <f t="shared" si="27"/>
        <v>108</v>
      </c>
      <c r="AA35" s="39">
        <f t="shared" si="27"/>
        <v>33</v>
      </c>
      <c r="AB35" s="39">
        <f t="shared" si="27"/>
        <v>17</v>
      </c>
      <c r="AC35" s="39">
        <f t="shared" si="27"/>
        <v>1057</v>
      </c>
      <c r="AD35" s="39">
        <f t="shared" si="27"/>
        <v>0</v>
      </c>
      <c r="AE35" s="40">
        <f t="shared" si="27"/>
        <v>1136</v>
      </c>
      <c r="AF35" s="40">
        <f t="shared" si="27"/>
        <v>2104</v>
      </c>
    </row>
    <row r="36" spans="2:32" ht="23.1" customHeight="1" x14ac:dyDescent="0.25">
      <c r="B36" s="46" t="s">
        <v>63</v>
      </c>
      <c r="C36" s="50">
        <v>80</v>
      </c>
      <c r="D36" s="50">
        <v>18</v>
      </c>
      <c r="E36" s="50">
        <v>38</v>
      </c>
      <c r="F36" s="50">
        <v>75</v>
      </c>
      <c r="G36" s="50">
        <v>0</v>
      </c>
      <c r="H36" s="50">
        <v>0</v>
      </c>
      <c r="I36" s="50">
        <v>42</v>
      </c>
      <c r="J36" s="50">
        <v>30</v>
      </c>
      <c r="K36" s="50">
        <v>2</v>
      </c>
      <c r="L36" s="50">
        <v>3</v>
      </c>
      <c r="M36" s="50">
        <v>228</v>
      </c>
      <c r="N36" s="50">
        <v>0</v>
      </c>
      <c r="O36" s="15">
        <f t="shared" si="0"/>
        <v>288</v>
      </c>
      <c r="P36" s="15">
        <f t="shared" si="1"/>
        <v>516</v>
      </c>
      <c r="R36" s="38" t="s">
        <v>92</v>
      </c>
      <c r="S36" s="39">
        <f t="shared" ref="S36:AF36" si="28">MAX(S19:S21)</f>
        <v>1146</v>
      </c>
      <c r="T36" s="39">
        <f t="shared" si="28"/>
        <v>125</v>
      </c>
      <c r="U36" s="39">
        <f t="shared" si="28"/>
        <v>142</v>
      </c>
      <c r="V36" s="39">
        <f t="shared" si="28"/>
        <v>415</v>
      </c>
      <c r="W36" s="39">
        <f t="shared" si="28"/>
        <v>51</v>
      </c>
      <c r="X36" s="39">
        <f t="shared" si="28"/>
        <v>56</v>
      </c>
      <c r="Y36" s="39">
        <f t="shared" si="28"/>
        <v>184</v>
      </c>
      <c r="Z36" s="39">
        <f t="shared" si="28"/>
        <v>135</v>
      </c>
      <c r="AA36" s="39">
        <f t="shared" si="28"/>
        <v>41</v>
      </c>
      <c r="AB36" s="39">
        <f t="shared" si="28"/>
        <v>32</v>
      </c>
      <c r="AC36" s="39">
        <f t="shared" si="28"/>
        <v>983</v>
      </c>
      <c r="AD36" s="39">
        <f t="shared" si="28"/>
        <v>0</v>
      </c>
      <c r="AE36" s="40">
        <f t="shared" si="28"/>
        <v>2310</v>
      </c>
      <c r="AF36" s="40">
        <f t="shared" si="28"/>
        <v>3293</v>
      </c>
    </row>
    <row r="37" spans="2:32" ht="23.1" customHeight="1" x14ac:dyDescent="0.25">
      <c r="B37" s="45" t="s">
        <v>64</v>
      </c>
      <c r="C37" s="50">
        <v>103</v>
      </c>
      <c r="D37" s="50">
        <v>14</v>
      </c>
      <c r="E37" s="50">
        <v>21</v>
      </c>
      <c r="F37" s="50">
        <v>58</v>
      </c>
      <c r="G37" s="50">
        <v>3</v>
      </c>
      <c r="H37" s="50">
        <v>7</v>
      </c>
      <c r="I37" s="50">
        <v>30</v>
      </c>
      <c r="J37" s="50">
        <v>7</v>
      </c>
      <c r="K37" s="50">
        <v>0</v>
      </c>
      <c r="L37" s="50">
        <v>0</v>
      </c>
      <c r="M37" s="50">
        <v>213</v>
      </c>
      <c r="N37" s="50">
        <v>0</v>
      </c>
      <c r="O37" s="15">
        <f t="shared" si="0"/>
        <v>243</v>
      </c>
      <c r="P37" s="15">
        <f t="shared" si="1"/>
        <v>456</v>
      </c>
      <c r="R37" s="37" t="s">
        <v>85</v>
      </c>
      <c r="S37" s="35">
        <f t="shared" ref="S37:AF37" si="29">SUM(S10:S12)</f>
        <v>1567</v>
      </c>
      <c r="T37" s="16">
        <f t="shared" si="29"/>
        <v>294</v>
      </c>
      <c r="U37" s="16">
        <f t="shared" si="29"/>
        <v>335</v>
      </c>
      <c r="V37" s="16">
        <f t="shared" si="29"/>
        <v>1408</v>
      </c>
      <c r="W37" s="16">
        <f t="shared" si="29"/>
        <v>117</v>
      </c>
      <c r="X37" s="16">
        <f t="shared" si="29"/>
        <v>50</v>
      </c>
      <c r="Y37" s="16">
        <f t="shared" si="29"/>
        <v>445</v>
      </c>
      <c r="Z37" s="16">
        <f t="shared" si="29"/>
        <v>283</v>
      </c>
      <c r="AA37" s="16">
        <f t="shared" si="29"/>
        <v>86</v>
      </c>
      <c r="AB37" s="16">
        <f t="shared" si="29"/>
        <v>44</v>
      </c>
      <c r="AC37" s="16">
        <f t="shared" si="29"/>
        <v>3093</v>
      </c>
      <c r="AD37" s="16">
        <f t="shared" si="29"/>
        <v>0</v>
      </c>
      <c r="AE37" s="32">
        <f t="shared" si="29"/>
        <v>4629</v>
      </c>
      <c r="AF37" s="32">
        <f t="shared" si="29"/>
        <v>7722</v>
      </c>
    </row>
    <row r="38" spans="2:32" ht="23.1" customHeight="1" x14ac:dyDescent="0.25">
      <c r="B38" s="46" t="s">
        <v>65</v>
      </c>
      <c r="C38" s="50">
        <v>75</v>
      </c>
      <c r="D38" s="50">
        <v>11</v>
      </c>
      <c r="E38" s="50">
        <v>17</v>
      </c>
      <c r="F38" s="50">
        <v>65</v>
      </c>
      <c r="G38" s="50">
        <v>0</v>
      </c>
      <c r="H38" s="50">
        <v>0</v>
      </c>
      <c r="I38" s="50">
        <v>48</v>
      </c>
      <c r="J38" s="50">
        <v>28</v>
      </c>
      <c r="K38" s="50">
        <v>17</v>
      </c>
      <c r="L38" s="50">
        <v>0</v>
      </c>
      <c r="M38" s="50">
        <v>190</v>
      </c>
      <c r="N38" s="50">
        <v>0</v>
      </c>
      <c r="O38" s="15">
        <f t="shared" si="0"/>
        <v>261</v>
      </c>
      <c r="P38" s="15">
        <f t="shared" si="1"/>
        <v>451</v>
      </c>
      <c r="R38" s="28" t="s">
        <v>86</v>
      </c>
      <c r="S38" s="16">
        <f t="shared" ref="S38:AF38" si="30">SUM(S13:S18)</f>
        <v>2196</v>
      </c>
      <c r="T38" s="16">
        <f t="shared" si="30"/>
        <v>288</v>
      </c>
      <c r="U38" s="16">
        <f t="shared" si="30"/>
        <v>452</v>
      </c>
      <c r="V38" s="16">
        <f t="shared" si="30"/>
        <v>1739</v>
      </c>
      <c r="W38" s="16">
        <f t="shared" si="30"/>
        <v>28</v>
      </c>
      <c r="X38" s="16">
        <f t="shared" si="30"/>
        <v>28</v>
      </c>
      <c r="Y38" s="16">
        <f t="shared" si="30"/>
        <v>680</v>
      </c>
      <c r="Z38" s="16">
        <f t="shared" si="30"/>
        <v>437</v>
      </c>
      <c r="AA38" s="16">
        <f t="shared" si="30"/>
        <v>75</v>
      </c>
      <c r="AB38" s="16">
        <f t="shared" si="30"/>
        <v>62</v>
      </c>
      <c r="AC38" s="16">
        <f t="shared" si="30"/>
        <v>5214.7</v>
      </c>
      <c r="AD38" s="16">
        <f t="shared" si="30"/>
        <v>0</v>
      </c>
      <c r="AE38" s="32">
        <f t="shared" si="30"/>
        <v>5985</v>
      </c>
      <c r="AF38" s="32">
        <f t="shared" si="30"/>
        <v>11199.7</v>
      </c>
    </row>
    <row r="39" spans="2:32" ht="23.1" customHeight="1" x14ac:dyDescent="0.25">
      <c r="B39" s="46" t="s">
        <v>66</v>
      </c>
      <c r="C39" s="50">
        <v>60</v>
      </c>
      <c r="D39" s="50">
        <v>19</v>
      </c>
      <c r="E39" s="50">
        <v>13</v>
      </c>
      <c r="F39" s="50">
        <v>38</v>
      </c>
      <c r="G39" s="50">
        <v>0</v>
      </c>
      <c r="H39" s="50">
        <v>0</v>
      </c>
      <c r="I39" s="50">
        <v>34</v>
      </c>
      <c r="J39" s="50">
        <v>33</v>
      </c>
      <c r="K39" s="50">
        <v>2</v>
      </c>
      <c r="L39" s="50">
        <v>3</v>
      </c>
      <c r="M39" s="50">
        <v>1.7</v>
      </c>
      <c r="N39" s="50">
        <v>0</v>
      </c>
      <c r="O39" s="15">
        <f t="shared" si="0"/>
        <v>202</v>
      </c>
      <c r="P39" s="15">
        <f t="shared" si="1"/>
        <v>203.7</v>
      </c>
      <c r="R39" s="29" t="s">
        <v>87</v>
      </c>
      <c r="S39" s="16">
        <f t="shared" ref="S39:AF39" si="31">SUM(S19:S21)</f>
        <v>1774</v>
      </c>
      <c r="T39" s="16">
        <f t="shared" si="31"/>
        <v>320</v>
      </c>
      <c r="U39" s="16">
        <f t="shared" si="31"/>
        <v>304</v>
      </c>
      <c r="V39" s="16">
        <f t="shared" si="31"/>
        <v>917</v>
      </c>
      <c r="W39" s="16">
        <f t="shared" si="31"/>
        <v>87</v>
      </c>
      <c r="X39" s="16">
        <f t="shared" si="31"/>
        <v>100</v>
      </c>
      <c r="Y39" s="16">
        <f t="shared" si="31"/>
        <v>465</v>
      </c>
      <c r="Z39" s="16">
        <f t="shared" si="31"/>
        <v>324</v>
      </c>
      <c r="AA39" s="16">
        <f t="shared" si="31"/>
        <v>90</v>
      </c>
      <c r="AB39" s="16">
        <f t="shared" si="31"/>
        <v>73</v>
      </c>
      <c r="AC39" s="16">
        <f t="shared" si="31"/>
        <v>2425</v>
      </c>
      <c r="AD39" s="16">
        <f t="shared" si="31"/>
        <v>0</v>
      </c>
      <c r="AE39" s="32">
        <f t="shared" si="31"/>
        <v>4454</v>
      </c>
      <c r="AF39" s="32">
        <f t="shared" si="31"/>
        <v>6879</v>
      </c>
    </row>
    <row r="40" spans="2:32" ht="23.1" customHeight="1" x14ac:dyDescent="0.25">
      <c r="B40" s="46" t="s">
        <v>67</v>
      </c>
      <c r="C40" s="50">
        <v>93</v>
      </c>
      <c r="D40" s="50">
        <v>8</v>
      </c>
      <c r="E40" s="50">
        <v>18</v>
      </c>
      <c r="F40" s="50">
        <v>57</v>
      </c>
      <c r="G40" s="50">
        <v>0</v>
      </c>
      <c r="H40" s="50">
        <v>0</v>
      </c>
      <c r="I40" s="50">
        <v>42</v>
      </c>
      <c r="J40" s="50">
        <v>35</v>
      </c>
      <c r="K40" s="50">
        <v>14</v>
      </c>
      <c r="L40" s="50">
        <v>5</v>
      </c>
      <c r="M40" s="50">
        <v>175</v>
      </c>
      <c r="N40" s="50">
        <v>0</v>
      </c>
      <c r="O40" s="15">
        <f t="shared" si="0"/>
        <v>272</v>
      </c>
      <c r="P40" s="15">
        <f t="shared" si="1"/>
        <v>447</v>
      </c>
      <c r="R40" s="5" t="s">
        <v>17</v>
      </c>
      <c r="S40" s="16">
        <f t="shared" ref="S40:AF40" si="32">SUM(S10:S21)</f>
        <v>5537</v>
      </c>
      <c r="T40" s="16">
        <f t="shared" si="32"/>
        <v>902</v>
      </c>
      <c r="U40" s="16">
        <f t="shared" si="32"/>
        <v>1091</v>
      </c>
      <c r="V40" s="16">
        <f t="shared" si="32"/>
        <v>4064</v>
      </c>
      <c r="W40" s="16">
        <f t="shared" si="32"/>
        <v>232</v>
      </c>
      <c r="X40" s="16">
        <f t="shared" si="32"/>
        <v>178</v>
      </c>
      <c r="Y40" s="16">
        <f t="shared" si="32"/>
        <v>1590</v>
      </c>
      <c r="Z40" s="16">
        <f t="shared" si="32"/>
        <v>1044</v>
      </c>
      <c r="AA40" s="16">
        <f t="shared" si="32"/>
        <v>251</v>
      </c>
      <c r="AB40" s="16">
        <f t="shared" si="32"/>
        <v>179</v>
      </c>
      <c r="AC40" s="16">
        <f t="shared" si="32"/>
        <v>10732.7</v>
      </c>
      <c r="AD40" s="16">
        <f t="shared" si="32"/>
        <v>0</v>
      </c>
      <c r="AE40" s="32">
        <f t="shared" si="32"/>
        <v>15068</v>
      </c>
      <c r="AF40" s="32">
        <f t="shared" si="32"/>
        <v>25800.7</v>
      </c>
    </row>
    <row r="41" spans="2:32" ht="23.1" customHeight="1" x14ac:dyDescent="0.25">
      <c r="B41" s="45" t="s">
        <v>68</v>
      </c>
      <c r="C41" s="50">
        <v>75</v>
      </c>
      <c r="D41" s="50">
        <v>10</v>
      </c>
      <c r="E41" s="50">
        <v>24</v>
      </c>
      <c r="F41" s="50">
        <v>89</v>
      </c>
      <c r="G41" s="50">
        <v>0</v>
      </c>
      <c r="H41" s="50">
        <v>2</v>
      </c>
      <c r="I41" s="50">
        <v>22</v>
      </c>
      <c r="J41" s="50">
        <v>12</v>
      </c>
      <c r="K41" s="50">
        <v>0</v>
      </c>
      <c r="L41" s="50">
        <v>4</v>
      </c>
      <c r="M41" s="50">
        <v>180</v>
      </c>
      <c r="N41" s="50">
        <v>0</v>
      </c>
      <c r="O41" s="15">
        <f t="shared" si="0"/>
        <v>238</v>
      </c>
      <c r="P41" s="15">
        <f t="shared" si="1"/>
        <v>418</v>
      </c>
      <c r="R41" s="5" t="s">
        <v>159</v>
      </c>
      <c r="S41" s="16">
        <f>SUM(S10:S33)</f>
        <v>7493</v>
      </c>
      <c r="T41" s="16">
        <f t="shared" ref="T41:AF41" si="33">SUM(T10:T33)</f>
        <v>1435</v>
      </c>
      <c r="U41" s="16">
        <f t="shared" si="33"/>
        <v>1378</v>
      </c>
      <c r="V41" s="16">
        <f t="shared" si="33"/>
        <v>5716</v>
      </c>
      <c r="W41" s="16">
        <f t="shared" si="33"/>
        <v>282</v>
      </c>
      <c r="X41" s="16">
        <f t="shared" si="33"/>
        <v>252</v>
      </c>
      <c r="Y41" s="16">
        <f t="shared" si="33"/>
        <v>2274</v>
      </c>
      <c r="Z41" s="16">
        <f t="shared" si="33"/>
        <v>1345</v>
      </c>
      <c r="AA41" s="16">
        <f t="shared" si="33"/>
        <v>432</v>
      </c>
      <c r="AB41" s="16">
        <f t="shared" si="33"/>
        <v>253</v>
      </c>
      <c r="AC41" s="16">
        <f t="shared" si="33"/>
        <v>14945.7</v>
      </c>
      <c r="AD41" s="16">
        <f t="shared" si="33"/>
        <v>1</v>
      </c>
      <c r="AE41" s="32">
        <f t="shared" si="33"/>
        <v>20861</v>
      </c>
      <c r="AF41" s="32">
        <f t="shared" si="33"/>
        <v>35806.699999999997</v>
      </c>
    </row>
    <row r="42" spans="2:32" ht="23.1" customHeight="1" x14ac:dyDescent="0.25">
      <c r="B42" s="46" t="s">
        <v>69</v>
      </c>
      <c r="C42" s="50">
        <v>47</v>
      </c>
      <c r="D42" s="50">
        <v>17</v>
      </c>
      <c r="E42" s="50">
        <v>23</v>
      </c>
      <c r="F42" s="50">
        <v>90</v>
      </c>
      <c r="G42" s="50">
        <v>1</v>
      </c>
      <c r="H42" s="50">
        <v>2</v>
      </c>
      <c r="I42" s="50">
        <v>50</v>
      </c>
      <c r="J42" s="50">
        <v>28</v>
      </c>
      <c r="K42" s="50">
        <v>7</v>
      </c>
      <c r="L42" s="50">
        <v>1</v>
      </c>
      <c r="M42" s="50">
        <v>235</v>
      </c>
      <c r="N42" s="50">
        <v>0</v>
      </c>
      <c r="O42" s="15">
        <f t="shared" si="0"/>
        <v>266</v>
      </c>
      <c r="P42" s="15">
        <f t="shared" si="1"/>
        <v>501</v>
      </c>
      <c r="R42" s="5" t="s">
        <v>160</v>
      </c>
      <c r="S42" s="48">
        <f>S41/S40</f>
        <v>1.3532598880260069</v>
      </c>
      <c r="T42" s="48">
        <f t="shared" ref="T42:AF42" si="34">T41/T40</f>
        <v>1.5909090909090908</v>
      </c>
      <c r="U42" s="48">
        <f t="shared" si="34"/>
        <v>1.2630614115490375</v>
      </c>
      <c r="V42" s="48">
        <f t="shared" si="34"/>
        <v>1.4064960629921259</v>
      </c>
      <c r="W42" s="48">
        <f t="shared" si="34"/>
        <v>1.2155172413793103</v>
      </c>
      <c r="X42" s="48">
        <f t="shared" si="34"/>
        <v>1.4157303370786516</v>
      </c>
      <c r="Y42" s="48">
        <f t="shared" si="34"/>
        <v>1.4301886792452829</v>
      </c>
      <c r="Z42" s="48">
        <f t="shared" si="34"/>
        <v>1.2883141762452108</v>
      </c>
      <c r="AA42" s="48">
        <f t="shared" si="34"/>
        <v>1.7211155378486056</v>
      </c>
      <c r="AB42" s="48">
        <f t="shared" si="34"/>
        <v>1.4134078212290502</v>
      </c>
      <c r="AC42" s="48">
        <f t="shared" si="34"/>
        <v>1.3925386901711592</v>
      </c>
      <c r="AD42" s="48" t="e">
        <f t="shared" si="34"/>
        <v>#DIV/0!</v>
      </c>
      <c r="AE42" s="48">
        <f t="shared" si="34"/>
        <v>1.3844571276878153</v>
      </c>
      <c r="AF42" s="48">
        <f t="shared" si="34"/>
        <v>1.3878189351451704</v>
      </c>
    </row>
    <row r="43" spans="2:32" ht="23.1" customHeight="1" x14ac:dyDescent="0.25">
      <c r="B43" s="45" t="s">
        <v>70</v>
      </c>
      <c r="C43" s="50">
        <v>83</v>
      </c>
      <c r="D43" s="50">
        <v>5</v>
      </c>
      <c r="E43" s="50">
        <v>28</v>
      </c>
      <c r="F43" s="50">
        <v>80</v>
      </c>
      <c r="G43" s="50">
        <v>0</v>
      </c>
      <c r="H43" s="50">
        <v>0</v>
      </c>
      <c r="I43" s="50">
        <v>7</v>
      </c>
      <c r="J43" s="50">
        <v>10</v>
      </c>
      <c r="K43" s="50">
        <v>1</v>
      </c>
      <c r="L43" s="50">
        <v>0</v>
      </c>
      <c r="M43" s="50">
        <v>185</v>
      </c>
      <c r="N43" s="50">
        <v>0</v>
      </c>
      <c r="O43" s="15">
        <f t="shared" si="0"/>
        <v>214</v>
      </c>
      <c r="P43" s="15">
        <f t="shared" si="1"/>
        <v>399</v>
      </c>
    </row>
    <row r="44" spans="2:32" ht="23.1" customHeight="1" x14ac:dyDescent="0.25">
      <c r="B44" s="47" t="s">
        <v>71</v>
      </c>
      <c r="C44" s="50">
        <v>90</v>
      </c>
      <c r="D44" s="50">
        <v>10</v>
      </c>
      <c r="E44" s="50">
        <v>8</v>
      </c>
      <c r="F44" s="50">
        <v>60</v>
      </c>
      <c r="G44" s="50">
        <v>0</v>
      </c>
      <c r="H44" s="50">
        <v>1</v>
      </c>
      <c r="I44" s="50">
        <v>4</v>
      </c>
      <c r="J44" s="50">
        <v>23</v>
      </c>
      <c r="K44" s="50">
        <v>4</v>
      </c>
      <c r="L44" s="50">
        <v>2</v>
      </c>
      <c r="M44" s="50">
        <v>180</v>
      </c>
      <c r="N44" s="50">
        <v>0</v>
      </c>
      <c r="O44" s="15">
        <f t="shared" si="0"/>
        <v>202</v>
      </c>
      <c r="P44" s="15">
        <f t="shared" si="1"/>
        <v>382</v>
      </c>
    </row>
    <row r="45" spans="2:32" ht="23.1" customHeight="1" x14ac:dyDescent="0.25">
      <c r="B45" s="45" t="s">
        <v>72</v>
      </c>
      <c r="C45" s="50">
        <v>75</v>
      </c>
      <c r="D45" s="50">
        <v>23</v>
      </c>
      <c r="E45" s="50">
        <v>25</v>
      </c>
      <c r="F45" s="50">
        <v>65</v>
      </c>
      <c r="G45" s="50">
        <v>1</v>
      </c>
      <c r="H45" s="50">
        <v>0</v>
      </c>
      <c r="I45" s="50">
        <v>48</v>
      </c>
      <c r="J45" s="50">
        <v>25</v>
      </c>
      <c r="K45" s="50">
        <v>5</v>
      </c>
      <c r="L45" s="50">
        <v>5</v>
      </c>
      <c r="M45" s="50">
        <v>240</v>
      </c>
      <c r="N45" s="50">
        <v>0</v>
      </c>
      <c r="O45" s="15">
        <f t="shared" si="0"/>
        <v>272</v>
      </c>
      <c r="P45" s="15">
        <f t="shared" si="1"/>
        <v>512</v>
      </c>
    </row>
    <row r="46" spans="2:32" ht="23.1" customHeight="1" x14ac:dyDescent="0.25">
      <c r="B46" s="46" t="s">
        <v>73</v>
      </c>
      <c r="C46" s="50">
        <v>80</v>
      </c>
      <c r="D46" s="50">
        <v>23</v>
      </c>
      <c r="E46" s="50">
        <v>33</v>
      </c>
      <c r="F46" s="50">
        <v>62</v>
      </c>
      <c r="G46" s="50">
        <v>0</v>
      </c>
      <c r="H46" s="50">
        <v>0</v>
      </c>
      <c r="I46" s="50">
        <v>32</v>
      </c>
      <c r="J46" s="50">
        <v>31</v>
      </c>
      <c r="K46" s="50">
        <v>13</v>
      </c>
      <c r="L46" s="50">
        <v>3</v>
      </c>
      <c r="M46" s="50">
        <v>204</v>
      </c>
      <c r="N46" s="50">
        <v>0</v>
      </c>
      <c r="O46" s="15">
        <f t="shared" si="0"/>
        <v>277</v>
      </c>
      <c r="P46" s="15">
        <f t="shared" si="1"/>
        <v>481</v>
      </c>
      <c r="R46" s="8"/>
      <c r="T46"/>
    </row>
    <row r="47" spans="2:32" ht="23.1" customHeight="1" x14ac:dyDescent="0.25">
      <c r="B47" s="46" t="s">
        <v>74</v>
      </c>
      <c r="C47" s="50">
        <v>90</v>
      </c>
      <c r="D47" s="50">
        <v>13</v>
      </c>
      <c r="E47" s="50">
        <v>27</v>
      </c>
      <c r="F47" s="50">
        <v>35</v>
      </c>
      <c r="G47" s="50">
        <v>2</v>
      </c>
      <c r="H47" s="50">
        <v>2</v>
      </c>
      <c r="I47" s="50">
        <v>21</v>
      </c>
      <c r="J47" s="50">
        <v>44</v>
      </c>
      <c r="K47" s="50">
        <v>6</v>
      </c>
      <c r="L47" s="50">
        <v>13</v>
      </c>
      <c r="M47" s="50">
        <v>205</v>
      </c>
      <c r="N47" s="50">
        <v>0</v>
      </c>
      <c r="O47" s="15">
        <f t="shared" si="0"/>
        <v>253</v>
      </c>
      <c r="P47" s="15">
        <f t="shared" si="1"/>
        <v>458</v>
      </c>
      <c r="R47" s="8"/>
      <c r="T47"/>
    </row>
    <row r="48" spans="2:32" ht="23.1" customHeight="1" x14ac:dyDescent="0.25">
      <c r="B48" s="46" t="s">
        <v>75</v>
      </c>
      <c r="C48" s="50">
        <v>100</v>
      </c>
      <c r="D48" s="50">
        <v>33</v>
      </c>
      <c r="E48" s="50">
        <v>10</v>
      </c>
      <c r="F48" s="50">
        <v>90</v>
      </c>
      <c r="G48" s="50">
        <v>0</v>
      </c>
      <c r="H48" s="50">
        <v>0</v>
      </c>
      <c r="I48" s="50">
        <v>59</v>
      </c>
      <c r="J48" s="50">
        <v>44</v>
      </c>
      <c r="K48" s="50">
        <v>6</v>
      </c>
      <c r="L48" s="50">
        <v>13</v>
      </c>
      <c r="M48" s="50">
        <v>213</v>
      </c>
      <c r="N48" s="50">
        <v>0</v>
      </c>
      <c r="O48" s="15">
        <f t="shared" si="0"/>
        <v>355</v>
      </c>
      <c r="P48" s="15">
        <f t="shared" si="1"/>
        <v>568</v>
      </c>
      <c r="R48" s="8"/>
      <c r="T48"/>
    </row>
    <row r="49" spans="2:20" ht="23.1" customHeight="1" x14ac:dyDescent="0.25">
      <c r="B49" s="45" t="s">
        <v>76</v>
      </c>
      <c r="C49" s="50">
        <v>55</v>
      </c>
      <c r="D49" s="50">
        <v>13</v>
      </c>
      <c r="E49" s="50">
        <v>9</v>
      </c>
      <c r="F49" s="50">
        <v>75</v>
      </c>
      <c r="G49" s="50">
        <v>2</v>
      </c>
      <c r="H49" s="50">
        <v>0</v>
      </c>
      <c r="I49" s="50">
        <v>9</v>
      </c>
      <c r="J49" s="50">
        <v>10</v>
      </c>
      <c r="K49" s="50">
        <v>13</v>
      </c>
      <c r="L49" s="50">
        <v>3</v>
      </c>
      <c r="M49" s="50">
        <v>245</v>
      </c>
      <c r="N49" s="50">
        <v>0</v>
      </c>
      <c r="O49" s="15">
        <f t="shared" si="0"/>
        <v>189</v>
      </c>
      <c r="P49" s="15">
        <f t="shared" si="1"/>
        <v>434</v>
      </c>
      <c r="R49" s="8"/>
      <c r="T49"/>
    </row>
    <row r="50" spans="2:20" ht="23.1" customHeight="1" x14ac:dyDescent="0.25">
      <c r="B50" s="46" t="s">
        <v>77</v>
      </c>
      <c r="C50" s="50">
        <v>135</v>
      </c>
      <c r="D50" s="50">
        <v>34</v>
      </c>
      <c r="E50" s="50">
        <v>30</v>
      </c>
      <c r="F50" s="50">
        <v>75</v>
      </c>
      <c r="G50" s="50">
        <v>10</v>
      </c>
      <c r="H50" s="50">
        <v>15</v>
      </c>
      <c r="I50" s="50">
        <v>50</v>
      </c>
      <c r="J50" s="50">
        <v>45</v>
      </c>
      <c r="K50" s="50">
        <v>10</v>
      </c>
      <c r="L50" s="50">
        <v>13</v>
      </c>
      <c r="M50" s="50">
        <v>305</v>
      </c>
      <c r="N50" s="50">
        <v>0</v>
      </c>
      <c r="O50" s="15">
        <f t="shared" si="0"/>
        <v>417</v>
      </c>
      <c r="P50" s="15">
        <f t="shared" si="1"/>
        <v>722</v>
      </c>
      <c r="R50" s="8"/>
      <c r="T50"/>
    </row>
    <row r="51" spans="2:20" ht="23.1" customHeight="1" x14ac:dyDescent="0.25">
      <c r="B51" s="46" t="s">
        <v>78</v>
      </c>
      <c r="C51" s="50">
        <v>801</v>
      </c>
      <c r="D51" s="50">
        <v>25</v>
      </c>
      <c r="E51" s="50">
        <v>30</v>
      </c>
      <c r="F51" s="50">
        <v>100</v>
      </c>
      <c r="G51" s="50">
        <v>6</v>
      </c>
      <c r="H51" s="50">
        <v>9</v>
      </c>
      <c r="I51" s="50">
        <v>45</v>
      </c>
      <c r="J51" s="50">
        <v>30</v>
      </c>
      <c r="K51" s="50">
        <v>0</v>
      </c>
      <c r="L51" s="50">
        <v>9</v>
      </c>
      <c r="M51" s="50">
        <v>225</v>
      </c>
      <c r="N51" s="50">
        <v>0</v>
      </c>
      <c r="O51" s="15">
        <f t="shared" si="0"/>
        <v>1055</v>
      </c>
      <c r="P51" s="15">
        <f t="shared" si="1"/>
        <v>1280</v>
      </c>
      <c r="R51" s="8"/>
      <c r="T51"/>
    </row>
    <row r="52" spans="2:20" ht="23.1" customHeight="1" x14ac:dyDescent="0.25">
      <c r="B52" s="46" t="s">
        <v>79</v>
      </c>
      <c r="C52" s="50">
        <v>105</v>
      </c>
      <c r="D52" s="50">
        <v>40</v>
      </c>
      <c r="E52" s="50">
        <v>50</v>
      </c>
      <c r="F52" s="50">
        <v>135</v>
      </c>
      <c r="G52" s="50">
        <v>32</v>
      </c>
      <c r="H52" s="50">
        <v>30</v>
      </c>
      <c r="I52" s="50">
        <v>38</v>
      </c>
      <c r="J52" s="50">
        <v>35</v>
      </c>
      <c r="K52" s="50">
        <v>20</v>
      </c>
      <c r="L52" s="50">
        <v>2</v>
      </c>
      <c r="M52" s="50">
        <v>213</v>
      </c>
      <c r="N52" s="50">
        <v>0</v>
      </c>
      <c r="O52" s="15">
        <f t="shared" si="0"/>
        <v>487</v>
      </c>
      <c r="P52" s="15">
        <f t="shared" si="1"/>
        <v>700</v>
      </c>
      <c r="R52" s="8"/>
      <c r="T52"/>
    </row>
    <row r="53" spans="2:20" ht="23.1" customHeight="1" x14ac:dyDescent="0.25">
      <c r="B53" s="45" t="s">
        <v>80</v>
      </c>
      <c r="C53" s="50">
        <v>105</v>
      </c>
      <c r="D53" s="50">
        <v>14</v>
      </c>
      <c r="E53" s="50">
        <v>32</v>
      </c>
      <c r="F53" s="50">
        <v>105</v>
      </c>
      <c r="G53" s="50">
        <v>3</v>
      </c>
      <c r="H53" s="50">
        <v>2</v>
      </c>
      <c r="I53" s="50">
        <v>51</v>
      </c>
      <c r="J53" s="50">
        <v>25</v>
      </c>
      <c r="K53" s="50">
        <v>11</v>
      </c>
      <c r="L53" s="50">
        <v>3</v>
      </c>
      <c r="M53" s="50">
        <v>240</v>
      </c>
      <c r="N53" s="50">
        <v>0</v>
      </c>
      <c r="O53" s="15">
        <f t="shared" si="0"/>
        <v>351</v>
      </c>
      <c r="P53" s="15">
        <f t="shared" si="1"/>
        <v>591</v>
      </c>
      <c r="R53" s="8"/>
      <c r="T53"/>
    </row>
    <row r="54" spans="2:20" ht="23.1" customHeight="1" x14ac:dyDescent="0.25">
      <c r="B54" s="45" t="s">
        <v>81</v>
      </c>
      <c r="C54" s="50">
        <v>75</v>
      </c>
      <c r="D54" s="50">
        <v>25</v>
      </c>
      <c r="E54" s="50">
        <v>50</v>
      </c>
      <c r="F54" s="50">
        <v>75</v>
      </c>
      <c r="G54" s="50">
        <v>20</v>
      </c>
      <c r="H54" s="50">
        <v>17</v>
      </c>
      <c r="I54" s="50">
        <v>60</v>
      </c>
      <c r="J54" s="50">
        <v>15</v>
      </c>
      <c r="K54" s="50">
        <v>3</v>
      </c>
      <c r="L54" s="50">
        <v>3</v>
      </c>
      <c r="M54" s="50">
        <v>170</v>
      </c>
      <c r="N54" s="50">
        <v>0</v>
      </c>
      <c r="O54" s="15">
        <f t="shared" si="0"/>
        <v>343</v>
      </c>
      <c r="P54" s="15">
        <f t="shared" si="1"/>
        <v>513</v>
      </c>
      <c r="R54" s="8"/>
      <c r="T54"/>
    </row>
    <row r="55" spans="2:20" ht="23.1" customHeight="1" x14ac:dyDescent="0.25">
      <c r="B55" s="45" t="s">
        <v>82</v>
      </c>
      <c r="C55" s="50">
        <v>73</v>
      </c>
      <c r="D55" s="50">
        <v>40</v>
      </c>
      <c r="E55" s="50">
        <v>0</v>
      </c>
      <c r="F55" s="50">
        <v>45</v>
      </c>
      <c r="G55" s="50">
        <v>0</v>
      </c>
      <c r="H55" s="50">
        <v>0</v>
      </c>
      <c r="I55" s="50">
        <v>25</v>
      </c>
      <c r="J55" s="50">
        <v>20</v>
      </c>
      <c r="K55" s="50">
        <v>8</v>
      </c>
      <c r="L55" s="50">
        <v>7</v>
      </c>
      <c r="M55" s="50">
        <v>145</v>
      </c>
      <c r="N55" s="50">
        <v>0</v>
      </c>
      <c r="O55" s="15">
        <f t="shared" si="0"/>
        <v>218</v>
      </c>
      <c r="P55" s="15">
        <f t="shared" si="1"/>
        <v>363</v>
      </c>
      <c r="R55" s="8"/>
      <c r="T55"/>
    </row>
    <row r="56" spans="2:20" ht="23.1" customHeight="1" x14ac:dyDescent="0.25">
      <c r="B56" s="45" t="s">
        <v>83</v>
      </c>
      <c r="C56" s="50">
        <v>75</v>
      </c>
      <c r="D56" s="50">
        <v>40</v>
      </c>
      <c r="E56" s="50">
        <v>15</v>
      </c>
      <c r="F56" s="50">
        <v>70</v>
      </c>
      <c r="G56" s="50">
        <v>2</v>
      </c>
      <c r="H56" s="50">
        <v>10</v>
      </c>
      <c r="I56" s="50">
        <v>45</v>
      </c>
      <c r="J56" s="50">
        <v>10</v>
      </c>
      <c r="K56" s="50">
        <v>0</v>
      </c>
      <c r="L56" s="50">
        <v>2</v>
      </c>
      <c r="M56" s="50">
        <v>140</v>
      </c>
      <c r="N56" s="50">
        <v>0</v>
      </c>
      <c r="O56" s="15">
        <f t="shared" si="0"/>
        <v>269</v>
      </c>
      <c r="P56" s="15">
        <f t="shared" si="1"/>
        <v>409</v>
      </c>
      <c r="R56" s="8"/>
      <c r="T56"/>
    </row>
    <row r="57" spans="2:20" ht="23.1" customHeight="1" x14ac:dyDescent="0.25">
      <c r="B57" s="45" t="s">
        <v>84</v>
      </c>
      <c r="C57" s="50">
        <v>80</v>
      </c>
      <c r="D57" s="50">
        <v>20</v>
      </c>
      <c r="E57" s="50">
        <v>18</v>
      </c>
      <c r="F57" s="50">
        <v>50</v>
      </c>
      <c r="G57" s="50">
        <v>10</v>
      </c>
      <c r="H57" s="50">
        <v>15</v>
      </c>
      <c r="I57" s="50">
        <v>30</v>
      </c>
      <c r="J57" s="50">
        <v>15</v>
      </c>
      <c r="K57" s="50">
        <v>0</v>
      </c>
      <c r="L57" s="50">
        <v>2</v>
      </c>
      <c r="M57" s="50">
        <v>120</v>
      </c>
      <c r="N57" s="50">
        <v>0</v>
      </c>
      <c r="O57" s="15">
        <f t="shared" si="0"/>
        <v>240</v>
      </c>
      <c r="P57" s="15">
        <f t="shared" si="1"/>
        <v>360</v>
      </c>
      <c r="R57" s="8"/>
      <c r="T57"/>
    </row>
    <row r="58" spans="2:20" ht="23.1" customHeight="1" x14ac:dyDescent="0.25">
      <c r="B58" s="45" t="s">
        <v>99</v>
      </c>
      <c r="C58" s="50">
        <v>100</v>
      </c>
      <c r="D58" s="50">
        <v>33</v>
      </c>
      <c r="E58" s="50">
        <v>30</v>
      </c>
      <c r="F58" s="50">
        <v>135</v>
      </c>
      <c r="G58" s="50">
        <v>5</v>
      </c>
      <c r="H58" s="50">
        <v>14</v>
      </c>
      <c r="I58" s="50">
        <v>52</v>
      </c>
      <c r="J58" s="50">
        <v>29</v>
      </c>
      <c r="K58" s="50">
        <v>3</v>
      </c>
      <c r="L58" s="50">
        <v>4</v>
      </c>
      <c r="M58" s="50">
        <v>235</v>
      </c>
      <c r="N58" s="50">
        <v>0</v>
      </c>
      <c r="O58" s="15">
        <f t="shared" si="0"/>
        <v>405</v>
      </c>
      <c r="P58" s="15">
        <f t="shared" si="1"/>
        <v>640</v>
      </c>
      <c r="R58" s="8"/>
      <c r="T58"/>
    </row>
    <row r="59" spans="2:20" ht="23.1" customHeight="1" x14ac:dyDescent="0.25">
      <c r="B59" s="45" t="s">
        <v>100</v>
      </c>
      <c r="C59" s="50">
        <v>75</v>
      </c>
      <c r="D59" s="50">
        <v>15</v>
      </c>
      <c r="E59" s="50">
        <v>18</v>
      </c>
      <c r="F59" s="50">
        <v>60</v>
      </c>
      <c r="G59" s="50">
        <v>4</v>
      </c>
      <c r="H59" s="50">
        <v>5</v>
      </c>
      <c r="I59" s="50">
        <v>47</v>
      </c>
      <c r="J59" s="50">
        <v>18</v>
      </c>
      <c r="K59" s="50">
        <v>5</v>
      </c>
      <c r="L59" s="50">
        <v>2</v>
      </c>
      <c r="M59" s="50">
        <v>208</v>
      </c>
      <c r="N59" s="50">
        <v>0</v>
      </c>
      <c r="O59" s="15">
        <f t="shared" si="0"/>
        <v>249</v>
      </c>
      <c r="P59" s="15">
        <f t="shared" si="1"/>
        <v>457</v>
      </c>
      <c r="R59" s="8"/>
      <c r="T59"/>
    </row>
    <row r="60" spans="2:20" ht="23.1" customHeight="1" x14ac:dyDescent="0.25">
      <c r="B60" s="45" t="s">
        <v>101</v>
      </c>
      <c r="C60" s="50">
        <v>92</v>
      </c>
      <c r="D60" s="50">
        <v>14</v>
      </c>
      <c r="E60" s="50">
        <v>23</v>
      </c>
      <c r="F60" s="50">
        <v>90</v>
      </c>
      <c r="G60" s="50">
        <v>13</v>
      </c>
      <c r="H60" s="50">
        <v>8</v>
      </c>
      <c r="I60" s="50">
        <v>45</v>
      </c>
      <c r="J60" s="50">
        <v>25</v>
      </c>
      <c r="K60" s="50">
        <v>2</v>
      </c>
      <c r="L60" s="50">
        <v>3</v>
      </c>
      <c r="M60" s="50">
        <v>163</v>
      </c>
      <c r="N60" s="50">
        <v>0</v>
      </c>
      <c r="O60" s="15">
        <f t="shared" si="0"/>
        <v>315</v>
      </c>
      <c r="P60" s="15">
        <f t="shared" si="1"/>
        <v>478</v>
      </c>
      <c r="R60" s="8"/>
      <c r="T60"/>
    </row>
    <row r="61" spans="2:20" ht="23.1" customHeight="1" x14ac:dyDescent="0.25">
      <c r="B61" s="45" t="s">
        <v>102</v>
      </c>
      <c r="C61" s="50">
        <v>115</v>
      </c>
      <c r="D61" s="50">
        <v>10</v>
      </c>
      <c r="E61" s="50">
        <v>30</v>
      </c>
      <c r="F61" s="50">
        <v>109</v>
      </c>
      <c r="G61" s="50">
        <v>1</v>
      </c>
      <c r="H61" s="50">
        <v>0</v>
      </c>
      <c r="I61" s="50">
        <v>58</v>
      </c>
      <c r="J61" s="50">
        <v>27</v>
      </c>
      <c r="K61" s="50">
        <v>5</v>
      </c>
      <c r="L61" s="50">
        <v>7</v>
      </c>
      <c r="M61" s="50">
        <v>193</v>
      </c>
      <c r="N61" s="50">
        <v>0</v>
      </c>
      <c r="O61" s="15">
        <f t="shared" si="0"/>
        <v>362</v>
      </c>
      <c r="P61" s="15">
        <f t="shared" si="1"/>
        <v>555</v>
      </c>
      <c r="R61" s="8"/>
      <c r="T61"/>
    </row>
    <row r="62" spans="2:20" ht="23.1" customHeight="1" x14ac:dyDescent="0.25">
      <c r="B62" s="45" t="s">
        <v>107</v>
      </c>
      <c r="C62" s="50">
        <v>85</v>
      </c>
      <c r="D62" s="50">
        <v>30</v>
      </c>
      <c r="E62" s="50">
        <v>25</v>
      </c>
      <c r="F62" s="50">
        <v>100</v>
      </c>
      <c r="G62" s="50">
        <v>8</v>
      </c>
      <c r="H62" s="50">
        <v>3</v>
      </c>
      <c r="I62" s="50">
        <v>45</v>
      </c>
      <c r="J62" s="50">
        <v>30</v>
      </c>
      <c r="K62" s="50">
        <v>15</v>
      </c>
      <c r="L62" s="50">
        <v>13</v>
      </c>
      <c r="M62" s="50">
        <v>199</v>
      </c>
      <c r="N62" s="50">
        <v>0</v>
      </c>
      <c r="O62" s="15">
        <f t="shared" si="0"/>
        <v>354</v>
      </c>
      <c r="P62" s="15">
        <f t="shared" si="1"/>
        <v>553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32</v>
      </c>
      <c r="G63" s="50">
        <v>0</v>
      </c>
      <c r="H63" s="50">
        <v>0</v>
      </c>
      <c r="I63" s="50">
        <v>3</v>
      </c>
      <c r="J63" s="50">
        <v>0</v>
      </c>
      <c r="K63" s="50">
        <v>0</v>
      </c>
      <c r="L63" s="50">
        <v>2</v>
      </c>
      <c r="M63" s="50">
        <v>45</v>
      </c>
      <c r="N63" s="50">
        <v>0</v>
      </c>
      <c r="O63" s="15">
        <f t="shared" si="0"/>
        <v>37</v>
      </c>
      <c r="P63" s="15">
        <f t="shared" si="1"/>
        <v>82</v>
      </c>
      <c r="R63" s="8"/>
      <c r="T63"/>
    </row>
    <row r="64" spans="2:20" ht="23.1" customHeight="1" x14ac:dyDescent="0.25">
      <c r="B64" s="45" t="s">
        <v>109</v>
      </c>
      <c r="C64" s="50">
        <v>20</v>
      </c>
      <c r="D64" s="50">
        <v>0</v>
      </c>
      <c r="E64" s="50">
        <v>1</v>
      </c>
      <c r="F64" s="50">
        <v>15</v>
      </c>
      <c r="G64" s="50">
        <v>1</v>
      </c>
      <c r="H64" s="50">
        <v>0</v>
      </c>
      <c r="I64" s="50">
        <v>1</v>
      </c>
      <c r="J64" s="50">
        <v>3</v>
      </c>
      <c r="K64" s="50">
        <v>0</v>
      </c>
      <c r="L64" s="50">
        <v>1</v>
      </c>
      <c r="M64" s="50">
        <v>165</v>
      </c>
      <c r="N64" s="50">
        <v>0</v>
      </c>
      <c r="O64" s="15">
        <f t="shared" si="0"/>
        <v>42</v>
      </c>
      <c r="P64" s="15">
        <f t="shared" si="1"/>
        <v>207</v>
      </c>
      <c r="R64" s="8"/>
      <c r="T64"/>
    </row>
    <row r="65" spans="2:20" ht="23.1" customHeight="1" x14ac:dyDescent="0.25">
      <c r="B65" s="45" t="s">
        <v>158</v>
      </c>
      <c r="C65" s="50">
        <v>80</v>
      </c>
      <c r="D65" s="50">
        <v>2</v>
      </c>
      <c r="E65" s="50">
        <v>5</v>
      </c>
      <c r="F65" s="50">
        <v>60</v>
      </c>
      <c r="G65" s="50">
        <v>0</v>
      </c>
      <c r="H65" s="50">
        <v>1</v>
      </c>
      <c r="I65" s="50">
        <v>9</v>
      </c>
      <c r="J65" s="50">
        <v>3</v>
      </c>
      <c r="K65" s="50">
        <v>0</v>
      </c>
      <c r="L65" s="50">
        <v>2</v>
      </c>
      <c r="M65" s="50">
        <v>230</v>
      </c>
      <c r="N65" s="50">
        <v>0</v>
      </c>
      <c r="O65" s="15">
        <f t="shared" si="0"/>
        <v>162</v>
      </c>
      <c r="P65" s="15">
        <f t="shared" si="1"/>
        <v>392</v>
      </c>
      <c r="R65" s="8"/>
      <c r="T65"/>
    </row>
    <row r="66" spans="2:20" ht="23.1" customHeight="1" x14ac:dyDescent="0.25">
      <c r="B66" s="45" t="s">
        <v>103</v>
      </c>
      <c r="C66" s="50">
        <v>64</v>
      </c>
      <c r="D66" s="50">
        <v>29</v>
      </c>
      <c r="E66" s="50">
        <v>19</v>
      </c>
      <c r="F66" s="50">
        <v>52</v>
      </c>
      <c r="G66" s="50">
        <v>0</v>
      </c>
      <c r="H66" s="50">
        <v>7</v>
      </c>
      <c r="I66" s="50">
        <v>28</v>
      </c>
      <c r="J66" s="50">
        <v>0</v>
      </c>
      <c r="K66" s="50">
        <v>21</v>
      </c>
      <c r="L66" s="50">
        <v>7</v>
      </c>
      <c r="M66" s="50">
        <v>137</v>
      </c>
      <c r="N66" s="50">
        <v>0</v>
      </c>
      <c r="O66" s="15">
        <f t="shared" si="0"/>
        <v>227</v>
      </c>
      <c r="P66" s="15">
        <f t="shared" si="1"/>
        <v>364</v>
      </c>
      <c r="R66" s="8"/>
      <c r="T66"/>
    </row>
    <row r="67" spans="2:20" ht="23.1" customHeight="1" x14ac:dyDescent="0.25">
      <c r="B67" s="45" t="s">
        <v>104</v>
      </c>
      <c r="C67" s="50">
        <v>86</v>
      </c>
      <c r="D67" s="50">
        <v>42</v>
      </c>
      <c r="E67" s="50">
        <v>17</v>
      </c>
      <c r="F67" s="50">
        <v>74</v>
      </c>
      <c r="G67" s="50">
        <v>3</v>
      </c>
      <c r="H67" s="50">
        <v>8</v>
      </c>
      <c r="I67" s="50">
        <v>25</v>
      </c>
      <c r="J67" s="50">
        <v>15</v>
      </c>
      <c r="K67" s="50">
        <v>5</v>
      </c>
      <c r="L67" s="50">
        <v>3</v>
      </c>
      <c r="M67" s="50">
        <v>168</v>
      </c>
      <c r="N67" s="50">
        <v>0</v>
      </c>
      <c r="O67" s="15">
        <f t="shared" si="0"/>
        <v>278</v>
      </c>
      <c r="P67" s="15">
        <f t="shared" si="1"/>
        <v>446</v>
      </c>
      <c r="R67" s="8"/>
      <c r="T67"/>
    </row>
    <row r="68" spans="2:20" ht="23.1" customHeight="1" x14ac:dyDescent="0.25">
      <c r="B68" s="45" t="s">
        <v>105</v>
      </c>
      <c r="C68" s="50">
        <v>58</v>
      </c>
      <c r="D68" s="50">
        <v>19</v>
      </c>
      <c r="E68" s="50">
        <v>14</v>
      </c>
      <c r="F68" s="50">
        <v>63</v>
      </c>
      <c r="G68" s="50">
        <v>0</v>
      </c>
      <c r="H68" s="50">
        <v>1</v>
      </c>
      <c r="I68" s="50">
        <v>13</v>
      </c>
      <c r="J68" s="50">
        <v>7</v>
      </c>
      <c r="K68" s="50">
        <v>2</v>
      </c>
      <c r="L68" s="50">
        <v>3</v>
      </c>
      <c r="M68" s="50">
        <v>133</v>
      </c>
      <c r="N68" s="50">
        <v>0</v>
      </c>
      <c r="O68" s="15">
        <f t="shared" si="0"/>
        <v>180</v>
      </c>
      <c r="P68" s="15">
        <f t="shared" si="1"/>
        <v>313</v>
      </c>
      <c r="R68" s="8"/>
      <c r="T68"/>
    </row>
    <row r="69" spans="2:20" ht="23.1" customHeight="1" x14ac:dyDescent="0.25">
      <c r="B69" s="45" t="s">
        <v>106</v>
      </c>
      <c r="C69" s="50">
        <v>33</v>
      </c>
      <c r="D69" s="50">
        <v>8</v>
      </c>
      <c r="E69" s="50">
        <v>3</v>
      </c>
      <c r="F69" s="50">
        <v>33</v>
      </c>
      <c r="G69" s="50">
        <v>2</v>
      </c>
      <c r="H69" s="50">
        <v>0</v>
      </c>
      <c r="I69" s="50">
        <v>15</v>
      </c>
      <c r="J69" s="50">
        <v>0</v>
      </c>
      <c r="K69" s="50">
        <v>0</v>
      </c>
      <c r="L69" s="50">
        <v>0</v>
      </c>
      <c r="M69" s="50">
        <v>116</v>
      </c>
      <c r="N69" s="50">
        <v>0</v>
      </c>
      <c r="O69" s="15">
        <f t="shared" si="0"/>
        <v>94</v>
      </c>
      <c r="P69" s="15">
        <f t="shared" si="1"/>
        <v>210</v>
      </c>
      <c r="R69" s="8"/>
      <c r="T69"/>
    </row>
    <row r="70" spans="2:20" ht="23.1" customHeight="1" x14ac:dyDescent="0.25">
      <c r="B70" s="45" t="s">
        <v>110</v>
      </c>
      <c r="C70" s="50">
        <v>49</v>
      </c>
      <c r="D70" s="50">
        <v>41</v>
      </c>
      <c r="E70" s="50">
        <v>11</v>
      </c>
      <c r="F70" s="50">
        <v>47</v>
      </c>
      <c r="G70" s="50">
        <v>0</v>
      </c>
      <c r="H70" s="50">
        <v>7</v>
      </c>
      <c r="I70" s="50">
        <v>22</v>
      </c>
      <c r="J70" s="50">
        <v>1</v>
      </c>
      <c r="K70" s="50">
        <v>6</v>
      </c>
      <c r="L70" s="50">
        <v>1</v>
      </c>
      <c r="M70" s="50">
        <v>94</v>
      </c>
      <c r="N70" s="50">
        <v>0</v>
      </c>
      <c r="O70" s="15">
        <f t="shared" si="0"/>
        <v>185</v>
      </c>
      <c r="P70" s="15">
        <f t="shared" si="1"/>
        <v>279</v>
      </c>
      <c r="R70" s="8"/>
      <c r="T70"/>
    </row>
    <row r="71" spans="2:20" ht="23.1" customHeight="1" x14ac:dyDescent="0.25">
      <c r="B71" s="45" t="s">
        <v>111</v>
      </c>
      <c r="C71" s="50">
        <v>49</v>
      </c>
      <c r="D71" s="50">
        <v>21</v>
      </c>
      <c r="E71" s="50">
        <v>7</v>
      </c>
      <c r="F71" s="50">
        <v>53</v>
      </c>
      <c r="G71" s="50">
        <v>2</v>
      </c>
      <c r="H71" s="50">
        <v>4</v>
      </c>
      <c r="I71" s="50">
        <v>11</v>
      </c>
      <c r="J71" s="50">
        <v>2</v>
      </c>
      <c r="K71" s="50">
        <v>3</v>
      </c>
      <c r="L71" s="50">
        <v>0</v>
      </c>
      <c r="M71" s="50">
        <v>106</v>
      </c>
      <c r="N71" s="50">
        <v>0</v>
      </c>
      <c r="O71" s="15">
        <f t="shared" si="0"/>
        <v>152</v>
      </c>
      <c r="P71" s="15">
        <f t="shared" si="1"/>
        <v>258</v>
      </c>
      <c r="R71" s="8"/>
      <c r="T71"/>
    </row>
    <row r="72" spans="2:20" ht="23.1" customHeight="1" x14ac:dyDescent="0.25">
      <c r="B72" s="45" t="s">
        <v>112</v>
      </c>
      <c r="C72" s="50">
        <v>55</v>
      </c>
      <c r="D72" s="50">
        <v>8</v>
      </c>
      <c r="E72" s="50">
        <v>1</v>
      </c>
      <c r="F72" s="50">
        <v>30</v>
      </c>
      <c r="G72" s="50">
        <v>0</v>
      </c>
      <c r="H72" s="50">
        <v>0</v>
      </c>
      <c r="I72" s="50">
        <v>7</v>
      </c>
      <c r="J72" s="50">
        <v>1</v>
      </c>
      <c r="K72" s="50">
        <v>7</v>
      </c>
      <c r="L72" s="50">
        <v>0</v>
      </c>
      <c r="M72" s="50">
        <v>92</v>
      </c>
      <c r="N72" s="50">
        <v>0</v>
      </c>
      <c r="O72" s="15">
        <f t="shared" si="0"/>
        <v>109</v>
      </c>
      <c r="P72" s="15">
        <f t="shared" si="1"/>
        <v>201</v>
      </c>
      <c r="R72" s="8"/>
      <c r="T72"/>
    </row>
    <row r="73" spans="2:20" ht="23.1" customHeight="1" x14ac:dyDescent="0.25">
      <c r="B73" s="45" t="s">
        <v>113</v>
      </c>
      <c r="C73" s="50">
        <v>72</v>
      </c>
      <c r="D73" s="50">
        <v>0</v>
      </c>
      <c r="E73" s="50">
        <v>3</v>
      </c>
      <c r="F73" s="50">
        <v>37</v>
      </c>
      <c r="G73" s="50">
        <v>0</v>
      </c>
      <c r="H73" s="50">
        <v>0</v>
      </c>
      <c r="I73" s="50">
        <v>8</v>
      </c>
      <c r="J73" s="50">
        <v>1</v>
      </c>
      <c r="K73" s="50">
        <v>2</v>
      </c>
      <c r="L73" s="50">
        <v>1</v>
      </c>
      <c r="M73" s="50">
        <v>69</v>
      </c>
      <c r="N73" s="50">
        <v>0</v>
      </c>
      <c r="O73" s="15">
        <f t="shared" si="0"/>
        <v>124</v>
      </c>
      <c r="P73" s="15">
        <f t="shared" si="1"/>
        <v>193</v>
      </c>
      <c r="R73" s="8"/>
      <c r="T73"/>
    </row>
    <row r="74" spans="2:20" ht="23.1" customHeight="1" x14ac:dyDescent="0.25">
      <c r="B74" s="45" t="s">
        <v>114</v>
      </c>
      <c r="C74" s="50">
        <v>48</v>
      </c>
      <c r="D74" s="50">
        <v>7</v>
      </c>
      <c r="E74" s="50">
        <v>5</v>
      </c>
      <c r="F74" s="50">
        <v>18</v>
      </c>
      <c r="G74" s="50">
        <v>0</v>
      </c>
      <c r="H74" s="50">
        <v>0</v>
      </c>
      <c r="I74" s="50">
        <v>9</v>
      </c>
      <c r="J74" s="50">
        <v>2</v>
      </c>
      <c r="K74" s="50">
        <v>7</v>
      </c>
      <c r="L74" s="50">
        <v>0</v>
      </c>
      <c r="M74" s="50">
        <v>88</v>
      </c>
      <c r="N74" s="50">
        <v>0</v>
      </c>
      <c r="O74" s="15">
        <f t="shared" ref="O74:O105" si="35">SUM(C74:L74,N74)</f>
        <v>96</v>
      </c>
      <c r="P74" s="15">
        <f t="shared" ref="P74:P105" si="36">SUM(C74:N74)</f>
        <v>184</v>
      </c>
      <c r="R74" s="8"/>
      <c r="T74"/>
    </row>
    <row r="75" spans="2:20" ht="23.1" customHeight="1" x14ac:dyDescent="0.25">
      <c r="B75" s="45" t="s">
        <v>115</v>
      </c>
      <c r="C75" s="50">
        <v>47</v>
      </c>
      <c r="D75" s="50">
        <v>18</v>
      </c>
      <c r="E75" s="50">
        <v>4</v>
      </c>
      <c r="F75" s="50">
        <v>32</v>
      </c>
      <c r="G75" s="50">
        <v>0</v>
      </c>
      <c r="H75" s="50">
        <v>0</v>
      </c>
      <c r="I75" s="50">
        <v>5</v>
      </c>
      <c r="J75" s="50">
        <v>4</v>
      </c>
      <c r="K75" s="50">
        <v>2</v>
      </c>
      <c r="L75" s="50">
        <v>0</v>
      </c>
      <c r="M75" s="50">
        <v>95</v>
      </c>
      <c r="N75" s="50">
        <v>0</v>
      </c>
      <c r="O75" s="15">
        <f t="shared" si="35"/>
        <v>112</v>
      </c>
      <c r="P75" s="15">
        <f t="shared" si="36"/>
        <v>207</v>
      </c>
      <c r="R75" s="8"/>
      <c r="T75"/>
    </row>
    <row r="76" spans="2:20" ht="23.1" customHeight="1" x14ac:dyDescent="0.25">
      <c r="B76" s="45" t="s">
        <v>116</v>
      </c>
      <c r="C76" s="50">
        <v>87</v>
      </c>
      <c r="D76" s="50">
        <v>18</v>
      </c>
      <c r="E76" s="50">
        <v>7</v>
      </c>
      <c r="F76" s="50">
        <v>20</v>
      </c>
      <c r="G76" s="50">
        <v>0</v>
      </c>
      <c r="H76" s="50">
        <v>0</v>
      </c>
      <c r="I76" s="50">
        <v>5</v>
      </c>
      <c r="J76" s="50">
        <v>3</v>
      </c>
      <c r="K76" s="50">
        <v>8</v>
      </c>
      <c r="L76" s="50">
        <v>2</v>
      </c>
      <c r="M76" s="50">
        <v>74</v>
      </c>
      <c r="N76" s="50">
        <v>0</v>
      </c>
      <c r="O76" s="15">
        <f t="shared" si="35"/>
        <v>150</v>
      </c>
      <c r="P76" s="15">
        <f t="shared" si="36"/>
        <v>224</v>
      </c>
      <c r="R76" s="8"/>
      <c r="T76"/>
    </row>
    <row r="77" spans="2:20" ht="23.1" customHeight="1" x14ac:dyDescent="0.25">
      <c r="B77" s="45" t="s">
        <v>117</v>
      </c>
      <c r="C77" s="50">
        <v>37</v>
      </c>
      <c r="D77" s="50">
        <v>7</v>
      </c>
      <c r="E77" s="50">
        <v>6</v>
      </c>
      <c r="F77" s="50">
        <v>21</v>
      </c>
      <c r="G77" s="50">
        <v>0</v>
      </c>
      <c r="H77" s="50">
        <v>0</v>
      </c>
      <c r="I77" s="50">
        <v>7</v>
      </c>
      <c r="J77" s="50">
        <v>0</v>
      </c>
      <c r="K77" s="50">
        <v>1</v>
      </c>
      <c r="L77" s="50">
        <v>0</v>
      </c>
      <c r="M77" s="50">
        <v>68</v>
      </c>
      <c r="N77" s="50">
        <v>0</v>
      </c>
      <c r="O77" s="15">
        <f t="shared" si="35"/>
        <v>79</v>
      </c>
      <c r="P77" s="15">
        <f t="shared" si="36"/>
        <v>147</v>
      </c>
      <c r="R77" s="8"/>
      <c r="T77"/>
    </row>
    <row r="78" spans="2:20" ht="23.1" customHeight="1" x14ac:dyDescent="0.25">
      <c r="B78" s="46" t="s">
        <v>118</v>
      </c>
      <c r="C78" s="50">
        <v>24</v>
      </c>
      <c r="D78" s="50">
        <v>18</v>
      </c>
      <c r="E78" s="50">
        <v>4</v>
      </c>
      <c r="F78" s="50">
        <v>20</v>
      </c>
      <c r="G78" s="50">
        <v>0</v>
      </c>
      <c r="H78" s="50">
        <v>0</v>
      </c>
      <c r="I78" s="50">
        <v>8</v>
      </c>
      <c r="J78" s="50">
        <v>0</v>
      </c>
      <c r="K78" s="50">
        <v>3</v>
      </c>
      <c r="L78" s="50">
        <v>2</v>
      </c>
      <c r="M78" s="50">
        <v>45</v>
      </c>
      <c r="N78" s="50">
        <v>0</v>
      </c>
      <c r="O78" s="15">
        <f t="shared" si="35"/>
        <v>79</v>
      </c>
      <c r="P78" s="15">
        <f t="shared" si="36"/>
        <v>124</v>
      </c>
      <c r="R78" s="8"/>
      <c r="T78"/>
    </row>
    <row r="79" spans="2:20" ht="23.1" customHeight="1" x14ac:dyDescent="0.25">
      <c r="B79" s="45" t="s">
        <v>119</v>
      </c>
      <c r="C79" s="50">
        <v>20</v>
      </c>
      <c r="D79" s="50">
        <v>4</v>
      </c>
      <c r="E79" s="50">
        <v>3</v>
      </c>
      <c r="F79" s="50">
        <v>8</v>
      </c>
      <c r="G79" s="50">
        <v>0</v>
      </c>
      <c r="H79" s="50">
        <v>0</v>
      </c>
      <c r="I79" s="50">
        <v>15</v>
      </c>
      <c r="J79" s="50">
        <v>0</v>
      </c>
      <c r="K79" s="50">
        <v>0</v>
      </c>
      <c r="L79" s="50">
        <v>2</v>
      </c>
      <c r="M79" s="50">
        <v>42</v>
      </c>
      <c r="N79" s="50">
        <v>0</v>
      </c>
      <c r="O79" s="15">
        <f t="shared" si="35"/>
        <v>52</v>
      </c>
      <c r="P79" s="15">
        <f t="shared" si="36"/>
        <v>94</v>
      </c>
      <c r="R79" s="8"/>
      <c r="T79"/>
    </row>
    <row r="80" spans="2:20" ht="23.1" customHeight="1" x14ac:dyDescent="0.25">
      <c r="B80" s="47" t="s">
        <v>120</v>
      </c>
      <c r="C80" s="50">
        <v>29</v>
      </c>
      <c r="D80" s="50">
        <v>0</v>
      </c>
      <c r="E80" s="50">
        <v>1</v>
      </c>
      <c r="F80" s="50">
        <v>5</v>
      </c>
      <c r="G80" s="50">
        <v>0</v>
      </c>
      <c r="H80" s="50">
        <v>3</v>
      </c>
      <c r="I80" s="50">
        <v>16</v>
      </c>
      <c r="J80" s="50">
        <v>2</v>
      </c>
      <c r="K80" s="50">
        <v>0</v>
      </c>
      <c r="L80" s="50">
        <v>0</v>
      </c>
      <c r="M80" s="50">
        <v>50</v>
      </c>
      <c r="N80" s="50">
        <v>0</v>
      </c>
      <c r="O80" s="15">
        <f t="shared" si="35"/>
        <v>56</v>
      </c>
      <c r="P80" s="15">
        <f t="shared" si="36"/>
        <v>106</v>
      </c>
      <c r="R80" s="8"/>
      <c r="T80"/>
    </row>
    <row r="81" spans="2:20" ht="23.1" customHeight="1" x14ac:dyDescent="0.25">
      <c r="B81" s="45" t="s">
        <v>121</v>
      </c>
      <c r="C81" s="50">
        <v>30</v>
      </c>
      <c r="D81" s="50">
        <v>0</v>
      </c>
      <c r="E81" s="50">
        <v>1</v>
      </c>
      <c r="F81" s="50">
        <v>1</v>
      </c>
      <c r="G81" s="50">
        <v>0</v>
      </c>
      <c r="H81" s="50">
        <v>0</v>
      </c>
      <c r="I81" s="50">
        <v>3</v>
      </c>
      <c r="J81" s="50">
        <v>0</v>
      </c>
      <c r="K81" s="50">
        <v>0</v>
      </c>
      <c r="L81" s="50">
        <v>0</v>
      </c>
      <c r="M81" s="50">
        <v>27</v>
      </c>
      <c r="N81" s="50">
        <v>0</v>
      </c>
      <c r="O81" s="15">
        <f t="shared" si="35"/>
        <v>35</v>
      </c>
      <c r="P81" s="15">
        <f t="shared" si="36"/>
        <v>62</v>
      </c>
      <c r="R81" s="8"/>
      <c r="T81"/>
    </row>
    <row r="82" spans="2:20" ht="23.1" customHeight="1" x14ac:dyDescent="0.25">
      <c r="B82" s="46" t="s">
        <v>122</v>
      </c>
      <c r="C82" s="50">
        <v>49</v>
      </c>
      <c r="D82" s="50">
        <v>3</v>
      </c>
      <c r="E82" s="50">
        <v>3</v>
      </c>
      <c r="F82" s="50">
        <v>27</v>
      </c>
      <c r="G82" s="50">
        <v>1</v>
      </c>
      <c r="H82" s="50">
        <v>0</v>
      </c>
      <c r="I82" s="50">
        <v>7</v>
      </c>
      <c r="J82" s="50">
        <v>1</v>
      </c>
      <c r="K82" s="50">
        <v>0</v>
      </c>
      <c r="L82" s="50">
        <v>0</v>
      </c>
      <c r="M82" s="50">
        <v>62</v>
      </c>
      <c r="N82" s="50">
        <v>0</v>
      </c>
      <c r="O82" s="15">
        <f t="shared" si="35"/>
        <v>91</v>
      </c>
      <c r="P82" s="15">
        <f t="shared" si="36"/>
        <v>153</v>
      </c>
      <c r="R82" s="8"/>
      <c r="T82"/>
    </row>
    <row r="83" spans="2:20" ht="23.1" customHeight="1" x14ac:dyDescent="0.25">
      <c r="B83" s="45" t="s">
        <v>123</v>
      </c>
      <c r="C83" s="50">
        <v>8</v>
      </c>
      <c r="D83" s="50">
        <v>1</v>
      </c>
      <c r="E83" s="50">
        <v>0</v>
      </c>
      <c r="F83" s="50">
        <v>1</v>
      </c>
      <c r="G83" s="50">
        <v>1</v>
      </c>
      <c r="H83" s="50">
        <v>0</v>
      </c>
      <c r="I83" s="50">
        <v>10</v>
      </c>
      <c r="J83" s="50">
        <v>1</v>
      </c>
      <c r="K83" s="50">
        <v>0</v>
      </c>
      <c r="L83" s="50">
        <v>0</v>
      </c>
      <c r="M83" s="50">
        <v>26</v>
      </c>
      <c r="N83" s="50">
        <v>0</v>
      </c>
      <c r="O83" s="15">
        <f t="shared" si="35"/>
        <v>22</v>
      </c>
      <c r="P83" s="15">
        <f t="shared" si="36"/>
        <v>48</v>
      </c>
      <c r="R83" s="8"/>
      <c r="T83"/>
    </row>
    <row r="84" spans="2:20" ht="23.1" customHeight="1" x14ac:dyDescent="0.25">
      <c r="B84" s="47" t="s">
        <v>124</v>
      </c>
      <c r="C84" s="50">
        <v>16</v>
      </c>
      <c r="D84" s="50">
        <v>0</v>
      </c>
      <c r="E84" s="50">
        <v>1</v>
      </c>
      <c r="F84" s="50">
        <v>4</v>
      </c>
      <c r="G84" s="50">
        <v>1</v>
      </c>
      <c r="H84" s="50">
        <v>0</v>
      </c>
      <c r="I84" s="50">
        <v>7</v>
      </c>
      <c r="J84" s="50">
        <v>7</v>
      </c>
      <c r="K84" s="50">
        <v>0</v>
      </c>
      <c r="L84" s="50">
        <v>0</v>
      </c>
      <c r="M84" s="50">
        <v>41</v>
      </c>
      <c r="N84" s="50">
        <v>0</v>
      </c>
      <c r="O84" s="15">
        <f t="shared" si="35"/>
        <v>36</v>
      </c>
      <c r="P84" s="15">
        <f t="shared" si="36"/>
        <v>77</v>
      </c>
      <c r="R84" s="8"/>
      <c r="T84"/>
    </row>
    <row r="85" spans="2:20" ht="23.1" customHeight="1" x14ac:dyDescent="0.25">
      <c r="B85" s="45" t="s">
        <v>125</v>
      </c>
      <c r="C85" s="50">
        <v>6</v>
      </c>
      <c r="D85" s="50">
        <v>1</v>
      </c>
      <c r="E85" s="50">
        <v>0</v>
      </c>
      <c r="F85" s="50">
        <v>0</v>
      </c>
      <c r="G85" s="50">
        <v>0</v>
      </c>
      <c r="H85" s="50">
        <v>0</v>
      </c>
      <c r="I85" s="50">
        <v>5</v>
      </c>
      <c r="J85" s="50">
        <v>4</v>
      </c>
      <c r="K85" s="50">
        <v>2</v>
      </c>
      <c r="L85" s="50">
        <v>0</v>
      </c>
      <c r="M85" s="50">
        <v>40</v>
      </c>
      <c r="N85" s="50">
        <v>0</v>
      </c>
      <c r="O85" s="15">
        <f t="shared" si="35"/>
        <v>18</v>
      </c>
      <c r="P85" s="15">
        <f t="shared" si="36"/>
        <v>58</v>
      </c>
      <c r="R85" s="8"/>
      <c r="T85"/>
    </row>
    <row r="86" spans="2:20" ht="23.1" customHeight="1" x14ac:dyDescent="0.25">
      <c r="B86" s="46" t="s">
        <v>126</v>
      </c>
      <c r="C86" s="50">
        <v>4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6</v>
      </c>
      <c r="J86" s="50">
        <v>5</v>
      </c>
      <c r="K86" s="50">
        <v>3</v>
      </c>
      <c r="L86" s="50">
        <v>2</v>
      </c>
      <c r="M86" s="50">
        <v>22</v>
      </c>
      <c r="N86" s="50">
        <v>0</v>
      </c>
      <c r="O86" s="15">
        <f t="shared" si="35"/>
        <v>20</v>
      </c>
      <c r="P86" s="15">
        <f t="shared" si="36"/>
        <v>42</v>
      </c>
      <c r="R86" s="8"/>
      <c r="T86"/>
    </row>
    <row r="87" spans="2:20" ht="23.1" customHeight="1" x14ac:dyDescent="0.25">
      <c r="B87" s="45" t="s">
        <v>127</v>
      </c>
      <c r="C87" s="50">
        <v>3</v>
      </c>
      <c r="D87" s="50">
        <v>0</v>
      </c>
      <c r="E87" s="50">
        <v>0</v>
      </c>
      <c r="F87" s="50">
        <v>1</v>
      </c>
      <c r="G87" s="50">
        <v>0</v>
      </c>
      <c r="H87" s="50">
        <v>0</v>
      </c>
      <c r="I87" s="50">
        <v>2</v>
      </c>
      <c r="J87" s="50">
        <v>2</v>
      </c>
      <c r="K87" s="50">
        <v>1</v>
      </c>
      <c r="L87" s="50">
        <v>0</v>
      </c>
      <c r="M87" s="50">
        <v>27</v>
      </c>
      <c r="N87" s="50">
        <v>0</v>
      </c>
      <c r="O87" s="15">
        <f t="shared" si="35"/>
        <v>9</v>
      </c>
      <c r="P87" s="15">
        <f t="shared" si="36"/>
        <v>36</v>
      </c>
      <c r="R87" s="8"/>
      <c r="T87"/>
    </row>
    <row r="88" spans="2:20" ht="23.1" customHeight="1" x14ac:dyDescent="0.25">
      <c r="B88" s="47" t="s">
        <v>128</v>
      </c>
      <c r="C88" s="50">
        <v>10</v>
      </c>
      <c r="D88" s="50">
        <v>1</v>
      </c>
      <c r="E88" s="50">
        <v>1</v>
      </c>
      <c r="F88" s="50">
        <v>1</v>
      </c>
      <c r="G88" s="50">
        <v>0</v>
      </c>
      <c r="H88" s="50">
        <v>0</v>
      </c>
      <c r="I88" s="50">
        <v>0</v>
      </c>
      <c r="J88" s="50">
        <v>2</v>
      </c>
      <c r="K88" s="50">
        <v>5</v>
      </c>
      <c r="L88" s="50">
        <v>1</v>
      </c>
      <c r="M88" s="50">
        <v>32</v>
      </c>
      <c r="N88" s="50">
        <v>0</v>
      </c>
      <c r="O88" s="15">
        <f t="shared" si="35"/>
        <v>21</v>
      </c>
      <c r="P88" s="15">
        <f t="shared" si="36"/>
        <v>53</v>
      </c>
      <c r="R88" s="8"/>
      <c r="T88"/>
    </row>
    <row r="89" spans="2:20" ht="23.1" customHeight="1" x14ac:dyDescent="0.25">
      <c r="B89" s="45" t="s">
        <v>129</v>
      </c>
      <c r="C89" s="50">
        <v>3</v>
      </c>
      <c r="D89" s="50">
        <v>0</v>
      </c>
      <c r="E89" s="50">
        <v>3</v>
      </c>
      <c r="F89" s="50">
        <v>1</v>
      </c>
      <c r="G89" s="50">
        <v>0</v>
      </c>
      <c r="H89" s="50">
        <v>0</v>
      </c>
      <c r="I89" s="50">
        <v>6</v>
      </c>
      <c r="J89" s="50">
        <v>2</v>
      </c>
      <c r="K89" s="50">
        <v>1</v>
      </c>
      <c r="L89" s="50">
        <v>0</v>
      </c>
      <c r="M89" s="50">
        <v>20</v>
      </c>
      <c r="N89" s="50">
        <v>0</v>
      </c>
      <c r="O89" s="15">
        <f t="shared" si="35"/>
        <v>16</v>
      </c>
      <c r="P89" s="15">
        <f t="shared" si="36"/>
        <v>36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6</v>
      </c>
      <c r="E90" s="50">
        <v>0</v>
      </c>
      <c r="F90" s="50">
        <v>0</v>
      </c>
      <c r="G90" s="50">
        <v>0</v>
      </c>
      <c r="H90" s="50">
        <v>0</v>
      </c>
      <c r="I90" s="50">
        <v>1</v>
      </c>
      <c r="J90" s="50">
        <v>8</v>
      </c>
      <c r="K90" s="50">
        <v>0</v>
      </c>
      <c r="L90" s="50">
        <v>0</v>
      </c>
      <c r="M90" s="50">
        <v>20</v>
      </c>
      <c r="N90" s="50">
        <v>0</v>
      </c>
      <c r="O90" s="15">
        <f t="shared" si="35"/>
        <v>17</v>
      </c>
      <c r="P90" s="15">
        <f t="shared" si="36"/>
        <v>37</v>
      </c>
      <c r="R90" s="8"/>
      <c r="T90"/>
    </row>
    <row r="91" spans="2:20" ht="23.1" customHeight="1" x14ac:dyDescent="0.25">
      <c r="B91" s="45" t="s">
        <v>131</v>
      </c>
      <c r="C91" s="50">
        <v>18</v>
      </c>
      <c r="D91" s="50">
        <v>4</v>
      </c>
      <c r="E91" s="50">
        <v>2</v>
      </c>
      <c r="F91" s="50">
        <v>1</v>
      </c>
      <c r="G91" s="50">
        <v>1</v>
      </c>
      <c r="H91" s="50">
        <v>1</v>
      </c>
      <c r="I91" s="50">
        <v>4</v>
      </c>
      <c r="J91" s="50">
        <v>11</v>
      </c>
      <c r="K91" s="50">
        <v>0</v>
      </c>
      <c r="L91" s="50">
        <v>0</v>
      </c>
      <c r="M91" s="50">
        <v>32</v>
      </c>
      <c r="N91" s="50">
        <v>0</v>
      </c>
      <c r="O91" s="15">
        <f t="shared" si="35"/>
        <v>42</v>
      </c>
      <c r="P91" s="15">
        <f t="shared" si="36"/>
        <v>74</v>
      </c>
      <c r="R91" s="8"/>
      <c r="T91"/>
    </row>
    <row r="92" spans="2:20" ht="23.1" customHeight="1" x14ac:dyDescent="0.25">
      <c r="B92" s="47" t="s">
        <v>132</v>
      </c>
      <c r="C92" s="50">
        <v>22</v>
      </c>
      <c r="D92" s="50">
        <v>3</v>
      </c>
      <c r="E92" s="50">
        <v>0</v>
      </c>
      <c r="F92" s="50">
        <v>3</v>
      </c>
      <c r="G92" s="50">
        <v>0</v>
      </c>
      <c r="H92" s="50">
        <v>1</v>
      </c>
      <c r="I92" s="50">
        <v>6</v>
      </c>
      <c r="J92" s="50">
        <v>2</v>
      </c>
      <c r="K92" s="50">
        <v>3</v>
      </c>
      <c r="L92" s="50">
        <v>3</v>
      </c>
      <c r="M92" s="50">
        <v>18</v>
      </c>
      <c r="N92" s="50">
        <v>1</v>
      </c>
      <c r="O92" s="15">
        <f t="shared" si="35"/>
        <v>44</v>
      </c>
      <c r="P92" s="15">
        <f t="shared" si="36"/>
        <v>62</v>
      </c>
      <c r="R92" s="8"/>
      <c r="T92"/>
    </row>
    <row r="93" spans="2:20" ht="23.1" customHeight="1" x14ac:dyDescent="0.25">
      <c r="B93" s="45" t="s">
        <v>133</v>
      </c>
      <c r="C93" s="50">
        <v>6</v>
      </c>
      <c r="D93" s="50">
        <v>11</v>
      </c>
      <c r="E93" s="50">
        <v>1</v>
      </c>
      <c r="F93" s="50">
        <v>0</v>
      </c>
      <c r="G93" s="50">
        <v>0</v>
      </c>
      <c r="H93" s="50">
        <v>0</v>
      </c>
      <c r="I93" s="50">
        <v>1</v>
      </c>
      <c r="J93" s="50">
        <v>2</v>
      </c>
      <c r="K93" s="50">
        <v>2</v>
      </c>
      <c r="L93" s="50">
        <v>0</v>
      </c>
      <c r="M93" s="50">
        <v>18</v>
      </c>
      <c r="N93" s="50">
        <v>0</v>
      </c>
      <c r="O93" s="15">
        <f t="shared" si="35"/>
        <v>23</v>
      </c>
      <c r="P93" s="15">
        <f t="shared" si="36"/>
        <v>41</v>
      </c>
      <c r="R93" s="8"/>
      <c r="T93"/>
    </row>
    <row r="94" spans="2:20" ht="23.1" customHeight="1" x14ac:dyDescent="0.25">
      <c r="B94" s="46" t="s">
        <v>134</v>
      </c>
      <c r="C94" s="50">
        <v>16</v>
      </c>
      <c r="D94" s="50">
        <v>5</v>
      </c>
      <c r="E94" s="50">
        <v>1</v>
      </c>
      <c r="F94" s="50">
        <v>2</v>
      </c>
      <c r="G94" s="50">
        <v>0</v>
      </c>
      <c r="H94" s="50">
        <v>0</v>
      </c>
      <c r="I94" s="50">
        <v>3</v>
      </c>
      <c r="J94" s="50">
        <v>2</v>
      </c>
      <c r="K94" s="50">
        <v>3</v>
      </c>
      <c r="L94" s="50">
        <v>1</v>
      </c>
      <c r="M94" s="50">
        <v>39</v>
      </c>
      <c r="N94" s="50">
        <v>0</v>
      </c>
      <c r="O94" s="15">
        <f t="shared" si="35"/>
        <v>33</v>
      </c>
      <c r="P94" s="15">
        <f t="shared" si="36"/>
        <v>72</v>
      </c>
      <c r="R94" s="8"/>
      <c r="T94"/>
    </row>
    <row r="95" spans="2:20" ht="23.1" customHeight="1" x14ac:dyDescent="0.25">
      <c r="B95" s="45" t="s">
        <v>135</v>
      </c>
      <c r="C95" s="50">
        <v>15</v>
      </c>
      <c r="D95" s="50">
        <v>20</v>
      </c>
      <c r="E95" s="50">
        <v>0</v>
      </c>
      <c r="F95" s="50">
        <v>15</v>
      </c>
      <c r="G95" s="50">
        <v>0</v>
      </c>
      <c r="H95" s="50">
        <v>1</v>
      </c>
      <c r="I95" s="50">
        <v>3</v>
      </c>
      <c r="J95" s="50">
        <v>1</v>
      </c>
      <c r="K95" s="50">
        <v>2</v>
      </c>
      <c r="L95" s="50">
        <v>0</v>
      </c>
      <c r="M95" s="50">
        <v>53</v>
      </c>
      <c r="N95" s="50">
        <v>0</v>
      </c>
      <c r="O95" s="15">
        <f t="shared" si="35"/>
        <v>57</v>
      </c>
      <c r="P95" s="15">
        <f t="shared" si="36"/>
        <v>110</v>
      </c>
      <c r="R95" s="8"/>
      <c r="T95"/>
    </row>
    <row r="96" spans="2:20" ht="23.1" customHeight="1" x14ac:dyDescent="0.25">
      <c r="B96" s="47" t="s">
        <v>136</v>
      </c>
      <c r="C96" s="50">
        <v>9</v>
      </c>
      <c r="D96" s="50">
        <v>6</v>
      </c>
      <c r="E96" s="50">
        <v>0</v>
      </c>
      <c r="F96" s="50">
        <v>11</v>
      </c>
      <c r="G96" s="50">
        <v>0</v>
      </c>
      <c r="H96" s="50">
        <v>0</v>
      </c>
      <c r="I96" s="50">
        <v>0</v>
      </c>
      <c r="J96" s="50">
        <v>3</v>
      </c>
      <c r="K96" s="50">
        <v>2</v>
      </c>
      <c r="L96" s="50">
        <v>0</v>
      </c>
      <c r="M96" s="50">
        <v>53</v>
      </c>
      <c r="N96" s="50">
        <v>0</v>
      </c>
      <c r="O96" s="15">
        <f t="shared" si="35"/>
        <v>31</v>
      </c>
      <c r="P96" s="15">
        <f t="shared" si="36"/>
        <v>84</v>
      </c>
      <c r="R96" s="8"/>
      <c r="T96"/>
    </row>
    <row r="97" spans="2:20" ht="23.1" customHeight="1" x14ac:dyDescent="0.25">
      <c r="B97" s="45" t="s">
        <v>137</v>
      </c>
      <c r="C97" s="50">
        <v>31</v>
      </c>
      <c r="D97" s="50">
        <v>23</v>
      </c>
      <c r="E97" s="50">
        <v>0</v>
      </c>
      <c r="F97" s="50">
        <v>13</v>
      </c>
      <c r="G97" s="50">
        <v>1</v>
      </c>
      <c r="H97" s="50">
        <v>1</v>
      </c>
      <c r="I97" s="50">
        <v>6</v>
      </c>
      <c r="J97" s="50">
        <v>5</v>
      </c>
      <c r="K97" s="50">
        <v>4</v>
      </c>
      <c r="L97" s="50">
        <v>0</v>
      </c>
      <c r="M97" s="50">
        <v>47</v>
      </c>
      <c r="N97" s="50">
        <v>0</v>
      </c>
      <c r="O97" s="15">
        <f t="shared" si="35"/>
        <v>84</v>
      </c>
      <c r="P97" s="15">
        <f t="shared" si="36"/>
        <v>131</v>
      </c>
      <c r="R97" s="8"/>
      <c r="T97"/>
    </row>
    <row r="98" spans="2:20" ht="23.1" customHeight="1" x14ac:dyDescent="0.25">
      <c r="B98" s="46" t="s">
        <v>138</v>
      </c>
      <c r="C98" s="50">
        <v>29</v>
      </c>
      <c r="D98" s="50">
        <v>6</v>
      </c>
      <c r="E98" s="50">
        <v>3</v>
      </c>
      <c r="F98" s="50">
        <v>27</v>
      </c>
      <c r="G98" s="50">
        <v>0</v>
      </c>
      <c r="H98" s="50">
        <v>3</v>
      </c>
      <c r="I98" s="50">
        <v>9</v>
      </c>
      <c r="J98" s="50">
        <v>3</v>
      </c>
      <c r="K98" s="50">
        <v>5</v>
      </c>
      <c r="L98" s="50">
        <v>1</v>
      </c>
      <c r="M98" s="50">
        <v>69</v>
      </c>
      <c r="N98" s="50">
        <v>0</v>
      </c>
      <c r="O98" s="15">
        <f t="shared" si="35"/>
        <v>86</v>
      </c>
      <c r="P98" s="15">
        <f t="shared" si="36"/>
        <v>155</v>
      </c>
      <c r="R98" s="8"/>
      <c r="T98"/>
    </row>
    <row r="99" spans="2:20" ht="23.1" customHeight="1" x14ac:dyDescent="0.25">
      <c r="B99" s="45" t="s">
        <v>139</v>
      </c>
      <c r="C99" s="50">
        <v>54</v>
      </c>
      <c r="D99" s="50">
        <v>0</v>
      </c>
      <c r="E99" s="50">
        <v>3</v>
      </c>
      <c r="F99" s="50">
        <v>50</v>
      </c>
      <c r="G99" s="50">
        <v>0</v>
      </c>
      <c r="H99" s="50">
        <v>0</v>
      </c>
      <c r="I99" s="50">
        <v>3</v>
      </c>
      <c r="J99" s="50">
        <v>4</v>
      </c>
      <c r="K99" s="50">
        <v>3</v>
      </c>
      <c r="L99" s="50">
        <v>2</v>
      </c>
      <c r="M99" s="50">
        <v>56</v>
      </c>
      <c r="N99" s="50">
        <v>0</v>
      </c>
      <c r="O99" s="15">
        <f t="shared" si="35"/>
        <v>119</v>
      </c>
      <c r="P99" s="15">
        <f t="shared" si="36"/>
        <v>175</v>
      </c>
      <c r="R99" s="8"/>
      <c r="T99"/>
    </row>
    <row r="100" spans="2:20" ht="23.1" customHeight="1" x14ac:dyDescent="0.25">
      <c r="B100" s="47" t="s">
        <v>140</v>
      </c>
      <c r="C100" s="50">
        <v>47</v>
      </c>
      <c r="D100" s="50">
        <v>17</v>
      </c>
      <c r="E100" s="50">
        <v>6</v>
      </c>
      <c r="F100" s="50">
        <v>83</v>
      </c>
      <c r="G100" s="50">
        <v>3</v>
      </c>
      <c r="H100" s="50">
        <v>0</v>
      </c>
      <c r="I100" s="50">
        <v>34</v>
      </c>
      <c r="J100" s="50">
        <v>12</v>
      </c>
      <c r="K100" s="50">
        <v>21</v>
      </c>
      <c r="L100" s="50">
        <v>0</v>
      </c>
      <c r="M100" s="50">
        <v>114</v>
      </c>
      <c r="N100" s="50">
        <v>0</v>
      </c>
      <c r="O100" s="15">
        <f t="shared" si="35"/>
        <v>223</v>
      </c>
      <c r="P100" s="15">
        <f t="shared" si="36"/>
        <v>337</v>
      </c>
      <c r="R100" s="8"/>
      <c r="T100"/>
    </row>
    <row r="101" spans="2:20" ht="23.1" customHeight="1" x14ac:dyDescent="0.25">
      <c r="B101" s="45" t="s">
        <v>141</v>
      </c>
      <c r="C101" s="50">
        <v>35</v>
      </c>
      <c r="D101" s="50">
        <v>14</v>
      </c>
      <c r="E101" s="50">
        <v>0</v>
      </c>
      <c r="F101" s="50">
        <v>60</v>
      </c>
      <c r="G101" s="50">
        <v>0</v>
      </c>
      <c r="H101" s="50">
        <v>6</v>
      </c>
      <c r="I101" s="50">
        <v>29</v>
      </c>
      <c r="J101" s="50">
        <v>19</v>
      </c>
      <c r="K101" s="50">
        <v>11</v>
      </c>
      <c r="L101" s="50">
        <v>1</v>
      </c>
      <c r="M101" s="50">
        <v>104</v>
      </c>
      <c r="N101" s="50">
        <v>0</v>
      </c>
      <c r="O101" s="15">
        <f t="shared" si="35"/>
        <v>175</v>
      </c>
      <c r="P101" s="15">
        <f t="shared" si="36"/>
        <v>279</v>
      </c>
      <c r="R101" s="8"/>
      <c r="T101"/>
    </row>
    <row r="102" spans="2:20" ht="23.1" customHeight="1" x14ac:dyDescent="0.25">
      <c r="B102" s="46" t="s">
        <v>142</v>
      </c>
      <c r="C102" s="50">
        <v>38</v>
      </c>
      <c r="D102" s="50">
        <v>11</v>
      </c>
      <c r="E102" s="50">
        <v>3</v>
      </c>
      <c r="F102" s="50">
        <v>63</v>
      </c>
      <c r="G102" s="50">
        <v>0</v>
      </c>
      <c r="H102" s="50">
        <v>0</v>
      </c>
      <c r="I102" s="50">
        <v>16</v>
      </c>
      <c r="J102" s="50">
        <v>10</v>
      </c>
      <c r="K102" s="50">
        <v>5</v>
      </c>
      <c r="L102" s="50">
        <v>0</v>
      </c>
      <c r="M102" s="50">
        <v>82</v>
      </c>
      <c r="N102" s="50">
        <v>0</v>
      </c>
      <c r="O102" s="15">
        <f t="shared" si="35"/>
        <v>146</v>
      </c>
      <c r="P102" s="15">
        <f t="shared" si="36"/>
        <v>228</v>
      </c>
      <c r="R102" s="8"/>
      <c r="T102"/>
    </row>
    <row r="103" spans="2:20" ht="23.1" customHeight="1" x14ac:dyDescent="0.25">
      <c r="B103" s="45" t="s">
        <v>143</v>
      </c>
      <c r="C103" s="50">
        <v>51</v>
      </c>
      <c r="D103" s="50">
        <v>22</v>
      </c>
      <c r="E103" s="50">
        <v>6</v>
      </c>
      <c r="F103" s="50">
        <v>67</v>
      </c>
      <c r="G103" s="50">
        <v>1</v>
      </c>
      <c r="H103" s="50">
        <v>0</v>
      </c>
      <c r="I103" s="50">
        <v>18</v>
      </c>
      <c r="J103" s="50">
        <v>7</v>
      </c>
      <c r="K103" s="50">
        <v>4</v>
      </c>
      <c r="L103" s="50">
        <v>5</v>
      </c>
      <c r="M103" s="50">
        <v>123</v>
      </c>
      <c r="N103" s="50">
        <v>0</v>
      </c>
      <c r="O103" s="15">
        <f t="shared" si="35"/>
        <v>181</v>
      </c>
      <c r="P103" s="15">
        <f t="shared" si="36"/>
        <v>304</v>
      </c>
      <c r="R103" s="8"/>
      <c r="T103"/>
    </row>
    <row r="104" spans="2:20" ht="23.1" customHeight="1" x14ac:dyDescent="0.25">
      <c r="B104" s="47" t="s">
        <v>144</v>
      </c>
      <c r="C104" s="50">
        <v>59</v>
      </c>
      <c r="D104" s="50">
        <v>10</v>
      </c>
      <c r="E104" s="50">
        <v>13</v>
      </c>
      <c r="F104" s="50">
        <v>44</v>
      </c>
      <c r="G104" s="50">
        <v>2</v>
      </c>
      <c r="H104" s="50">
        <v>0</v>
      </c>
      <c r="I104" s="50">
        <v>21</v>
      </c>
      <c r="J104" s="50">
        <v>13</v>
      </c>
      <c r="K104" s="50">
        <v>1</v>
      </c>
      <c r="L104" s="50">
        <v>2</v>
      </c>
      <c r="M104" s="50">
        <v>114</v>
      </c>
      <c r="N104" s="50">
        <v>0</v>
      </c>
      <c r="O104" s="15">
        <f t="shared" si="35"/>
        <v>165</v>
      </c>
      <c r="P104" s="15">
        <f t="shared" si="36"/>
        <v>279</v>
      </c>
      <c r="R104" s="8"/>
      <c r="T104"/>
    </row>
    <row r="105" spans="2:20" ht="23.1" customHeight="1" x14ac:dyDescent="0.25">
      <c r="B105" s="45" t="s">
        <v>145</v>
      </c>
      <c r="C105" s="50">
        <v>70</v>
      </c>
      <c r="D105" s="50">
        <v>25</v>
      </c>
      <c r="E105" s="50">
        <v>3</v>
      </c>
      <c r="F105" s="50">
        <v>63</v>
      </c>
      <c r="G105" s="50">
        <v>0</v>
      </c>
      <c r="H105" s="50">
        <v>0</v>
      </c>
      <c r="I105" s="50">
        <v>30</v>
      </c>
      <c r="J105" s="50">
        <v>2</v>
      </c>
      <c r="K105" s="50">
        <v>6</v>
      </c>
      <c r="L105" s="50">
        <v>1</v>
      </c>
      <c r="M105" s="50">
        <v>159</v>
      </c>
      <c r="N105" s="50">
        <v>0</v>
      </c>
      <c r="O105" s="15">
        <f t="shared" si="35"/>
        <v>200</v>
      </c>
      <c r="P105" s="15">
        <f t="shared" si="36"/>
        <v>359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7493</v>
      </c>
      <c r="D106" s="16">
        <f t="shared" ref="D106:P106" si="37">SUM(D10:D105)</f>
        <v>1435</v>
      </c>
      <c r="E106" s="16">
        <f t="shared" si="37"/>
        <v>1378</v>
      </c>
      <c r="F106" s="16">
        <f t="shared" si="37"/>
        <v>5716</v>
      </c>
      <c r="G106" s="16">
        <f t="shared" si="37"/>
        <v>282</v>
      </c>
      <c r="H106" s="16">
        <f t="shared" si="37"/>
        <v>252</v>
      </c>
      <c r="I106" s="16">
        <f t="shared" si="37"/>
        <v>2274</v>
      </c>
      <c r="J106" s="16">
        <f t="shared" si="37"/>
        <v>1345</v>
      </c>
      <c r="K106" s="16">
        <f t="shared" si="37"/>
        <v>432</v>
      </c>
      <c r="L106" s="16">
        <f t="shared" si="37"/>
        <v>253</v>
      </c>
      <c r="M106" s="16">
        <f t="shared" si="37"/>
        <v>14945.7</v>
      </c>
      <c r="N106" s="16">
        <f t="shared" si="37"/>
        <v>1</v>
      </c>
      <c r="O106" s="16">
        <f t="shared" si="37"/>
        <v>20861</v>
      </c>
      <c r="P106" s="16">
        <f t="shared" si="37"/>
        <v>35806.699999999997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0.20926251232311274</v>
      </c>
      <c r="D107" s="43">
        <f t="shared" si="38"/>
        <v>4.0076298569820736E-2</v>
      </c>
      <c r="E107" s="43">
        <f t="shared" si="38"/>
        <v>3.8484417720705905E-2</v>
      </c>
      <c r="F107" s="43">
        <f t="shared" si="38"/>
        <v>0.15963492865860301</v>
      </c>
      <c r="G107" s="43">
        <f t="shared" si="38"/>
        <v>7.8756210429891619E-3</v>
      </c>
      <c r="H107" s="43">
        <f t="shared" si="38"/>
        <v>7.037789017139251E-3</v>
      </c>
      <c r="I107" s="43">
        <f t="shared" si="38"/>
        <v>6.3507667559423248E-2</v>
      </c>
      <c r="J107" s="43">
        <f t="shared" si="38"/>
        <v>3.7562802492271001E-2</v>
      </c>
      <c r="K107" s="43">
        <f t="shared" si="38"/>
        <v>1.2064781172238716E-2</v>
      </c>
      <c r="L107" s="43">
        <f t="shared" si="38"/>
        <v>7.065716751334248E-3</v>
      </c>
      <c r="M107" s="43">
        <f t="shared" si="38"/>
        <v>0.41739953695816712</v>
      </c>
      <c r="N107" s="43">
        <f t="shared" si="38"/>
        <v>2.7927734194997027E-5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0.35918699966444562</v>
      </c>
      <c r="D108" s="44">
        <f t="shared" ref="D108:N108" si="39">D106/$O$106</f>
        <v>6.8788648674560179E-2</v>
      </c>
      <c r="E108" s="44">
        <f t="shared" si="39"/>
        <v>6.6056277263793678E-2</v>
      </c>
      <c r="F108" s="44">
        <f t="shared" si="39"/>
        <v>0.27400412252528644</v>
      </c>
      <c r="G108" s="44">
        <f t="shared" si="39"/>
        <v>1.3518048032213221E-2</v>
      </c>
      <c r="H108" s="44">
        <f t="shared" si="39"/>
        <v>1.2079957816020325E-2</v>
      </c>
      <c r="I108" s="44">
        <f t="shared" si="39"/>
        <v>0.1090072383874215</v>
      </c>
      <c r="J108" s="44">
        <f t="shared" si="39"/>
        <v>6.4474378025981494E-2</v>
      </c>
      <c r="K108" s="44">
        <f t="shared" si="39"/>
        <v>2.0708499113177702E-2</v>
      </c>
      <c r="L108" s="44">
        <f t="shared" si="39"/>
        <v>1.2127894156560088E-2</v>
      </c>
      <c r="M108" s="44"/>
      <c r="N108" s="44">
        <f t="shared" si="39"/>
        <v>4.7936340539763194E-5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zoomScale="60" workbookViewId="0">
      <selection activeCell="G25" sqref="G2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'22.07 Busega-Bulenga'!C3:G3</f>
        <v>MCC - C1 - STN12-MITYANA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68" t="str">
        <f>'26.07 Bulenga-Busega-24h'!G5:H5</f>
        <v xml:space="preserve">Petro Max </v>
      </c>
      <c r="H5" s="69"/>
      <c r="I5" s="14"/>
      <c r="J5" s="2" t="s">
        <v>5</v>
      </c>
      <c r="K5" s="68" t="str">
        <f>'26.07 Busega-Bulenga-24h'!K5:L5</f>
        <v>Nabayunga Rashida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'22.07 Busega-Bulenga'!D6:E6</f>
        <v>Busega</v>
      </c>
      <c r="E6" s="69"/>
      <c r="F6" s="2" t="s">
        <v>2</v>
      </c>
      <c r="G6" s="68" t="str">
        <f>'22.07 Busega-Bulenga'!G6:H6</f>
        <v xml:space="preserve">Bulenga </v>
      </c>
      <c r="H6" s="69"/>
      <c r="J6" s="2" t="s">
        <v>21</v>
      </c>
      <c r="K6" s="68" t="str">
        <f>'26.07 Bulenga-Busega-24h'!K6:L6</f>
        <v>Andrew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30</v>
      </c>
      <c r="D10" s="50">
        <v>5</v>
      </c>
      <c r="E10" s="50">
        <v>4</v>
      </c>
      <c r="F10" s="50">
        <v>10</v>
      </c>
      <c r="G10" s="50">
        <v>2</v>
      </c>
      <c r="H10" s="50">
        <v>1</v>
      </c>
      <c r="I10" s="50">
        <v>3</v>
      </c>
      <c r="J10" s="50">
        <v>1</v>
      </c>
      <c r="K10" s="50">
        <v>1</v>
      </c>
      <c r="L10" s="50">
        <v>3</v>
      </c>
      <c r="M10" s="50">
        <v>150</v>
      </c>
      <c r="N10" s="50">
        <v>0</v>
      </c>
      <c r="O10" s="15">
        <f t="shared" ref="O10:O73" si="0">SUM(C10:L10,N10)</f>
        <v>60</v>
      </c>
      <c r="P10" s="15">
        <f t="shared" ref="P10:P73" si="1">SUM(C10:N10)</f>
        <v>210</v>
      </c>
      <c r="R10" s="1" t="s">
        <v>6</v>
      </c>
      <c r="S10" s="17">
        <f t="shared" ref="S10:AF10" si="2">SUM(C10:C13)</f>
        <v>156</v>
      </c>
      <c r="T10" s="17">
        <f t="shared" si="2"/>
        <v>14</v>
      </c>
      <c r="U10" s="17">
        <f t="shared" si="2"/>
        <v>18</v>
      </c>
      <c r="V10" s="17">
        <f t="shared" si="2"/>
        <v>77</v>
      </c>
      <c r="W10" s="17">
        <f t="shared" si="2"/>
        <v>6</v>
      </c>
      <c r="X10" s="17">
        <f t="shared" si="2"/>
        <v>1</v>
      </c>
      <c r="Y10" s="17">
        <f t="shared" si="2"/>
        <v>27</v>
      </c>
      <c r="Z10" s="17">
        <f t="shared" si="2"/>
        <v>10</v>
      </c>
      <c r="AA10" s="17">
        <f t="shared" si="2"/>
        <v>2</v>
      </c>
      <c r="AB10" s="17">
        <f t="shared" si="2"/>
        <v>7</v>
      </c>
      <c r="AC10" s="17">
        <f t="shared" si="2"/>
        <v>704</v>
      </c>
      <c r="AD10" s="17">
        <f t="shared" si="2"/>
        <v>0</v>
      </c>
      <c r="AE10" s="31">
        <f t="shared" si="2"/>
        <v>318</v>
      </c>
      <c r="AF10" s="31">
        <f t="shared" si="2"/>
        <v>1022</v>
      </c>
    </row>
    <row r="11" spans="2:32" s="6" customFormat="1" ht="23.1" customHeight="1" x14ac:dyDescent="0.25">
      <c r="B11" s="45" t="s">
        <v>38</v>
      </c>
      <c r="C11" s="50">
        <v>45</v>
      </c>
      <c r="D11" s="50">
        <v>3</v>
      </c>
      <c r="E11" s="50">
        <v>7</v>
      </c>
      <c r="F11" s="50">
        <v>22</v>
      </c>
      <c r="G11" s="50">
        <v>0</v>
      </c>
      <c r="H11" s="50">
        <v>0</v>
      </c>
      <c r="I11" s="50">
        <v>10</v>
      </c>
      <c r="J11" s="50">
        <v>5</v>
      </c>
      <c r="K11" s="50">
        <v>0</v>
      </c>
      <c r="L11" s="50">
        <v>2</v>
      </c>
      <c r="M11" s="50">
        <v>170</v>
      </c>
      <c r="N11" s="50">
        <v>0</v>
      </c>
      <c r="O11" s="15">
        <f t="shared" si="0"/>
        <v>94</v>
      </c>
      <c r="P11" s="15">
        <f t="shared" si="1"/>
        <v>264</v>
      </c>
      <c r="R11" s="1" t="s">
        <v>7</v>
      </c>
      <c r="S11" s="17">
        <f t="shared" ref="S11:AF11" si="3">SUM(C14:C17)</f>
        <v>182</v>
      </c>
      <c r="T11" s="17">
        <f t="shared" si="3"/>
        <v>37</v>
      </c>
      <c r="U11" s="17">
        <f t="shared" si="3"/>
        <v>31</v>
      </c>
      <c r="V11" s="17">
        <f t="shared" si="3"/>
        <v>130</v>
      </c>
      <c r="W11" s="17">
        <f t="shared" si="3"/>
        <v>1</v>
      </c>
      <c r="X11" s="17">
        <f t="shared" si="3"/>
        <v>5</v>
      </c>
      <c r="Y11" s="17">
        <f t="shared" si="3"/>
        <v>30</v>
      </c>
      <c r="Z11" s="17">
        <f t="shared" si="3"/>
        <v>14</v>
      </c>
      <c r="AA11" s="17">
        <f t="shared" si="3"/>
        <v>9</v>
      </c>
      <c r="AB11" s="17">
        <f t="shared" si="3"/>
        <v>7</v>
      </c>
      <c r="AC11" s="17">
        <f t="shared" si="3"/>
        <v>1134</v>
      </c>
      <c r="AD11" s="17">
        <f t="shared" si="3"/>
        <v>0</v>
      </c>
      <c r="AE11" s="31">
        <f t="shared" si="3"/>
        <v>446</v>
      </c>
      <c r="AF11" s="31">
        <f t="shared" si="3"/>
        <v>1580</v>
      </c>
    </row>
    <row r="12" spans="2:32" ht="23.1" customHeight="1" x14ac:dyDescent="0.25">
      <c r="B12" s="45" t="s">
        <v>39</v>
      </c>
      <c r="C12" s="50">
        <v>60</v>
      </c>
      <c r="D12" s="50">
        <v>4</v>
      </c>
      <c r="E12" s="50">
        <v>6</v>
      </c>
      <c r="F12" s="50">
        <v>40</v>
      </c>
      <c r="G12" s="50">
        <v>4</v>
      </c>
      <c r="H12" s="50">
        <v>0</v>
      </c>
      <c r="I12" s="50">
        <v>7</v>
      </c>
      <c r="J12" s="50">
        <v>4</v>
      </c>
      <c r="K12" s="50">
        <v>0</v>
      </c>
      <c r="L12" s="50">
        <v>0</v>
      </c>
      <c r="M12" s="50">
        <v>162</v>
      </c>
      <c r="N12" s="50">
        <v>0</v>
      </c>
      <c r="O12" s="15">
        <f t="shared" si="0"/>
        <v>125</v>
      </c>
      <c r="P12" s="15">
        <f t="shared" si="1"/>
        <v>287</v>
      </c>
      <c r="R12" s="1" t="s">
        <v>8</v>
      </c>
      <c r="S12" s="17">
        <f t="shared" ref="S12:AF12" si="4">SUM(C18:C21)</f>
        <v>204</v>
      </c>
      <c r="T12" s="17">
        <f t="shared" si="4"/>
        <v>41</v>
      </c>
      <c r="U12" s="17">
        <f t="shared" si="4"/>
        <v>27</v>
      </c>
      <c r="V12" s="17">
        <f t="shared" si="4"/>
        <v>121</v>
      </c>
      <c r="W12" s="17">
        <f t="shared" si="4"/>
        <v>0</v>
      </c>
      <c r="X12" s="17">
        <f t="shared" si="4"/>
        <v>2</v>
      </c>
      <c r="Y12" s="17">
        <f t="shared" si="4"/>
        <v>40</v>
      </c>
      <c r="Z12" s="17">
        <f t="shared" si="4"/>
        <v>24</v>
      </c>
      <c r="AA12" s="17">
        <f t="shared" si="4"/>
        <v>7</v>
      </c>
      <c r="AB12" s="17">
        <f t="shared" si="4"/>
        <v>5</v>
      </c>
      <c r="AC12" s="17">
        <f t="shared" si="4"/>
        <v>1287</v>
      </c>
      <c r="AD12" s="17">
        <f t="shared" si="4"/>
        <v>0</v>
      </c>
      <c r="AE12" s="31">
        <f t="shared" si="4"/>
        <v>471</v>
      </c>
      <c r="AF12" s="31">
        <f t="shared" si="4"/>
        <v>1758</v>
      </c>
    </row>
    <row r="13" spans="2:32" ht="23.1" customHeight="1" x14ac:dyDescent="0.25">
      <c r="B13" s="45" t="s">
        <v>40</v>
      </c>
      <c r="C13" s="50">
        <v>21</v>
      </c>
      <c r="D13" s="50">
        <v>2</v>
      </c>
      <c r="E13" s="50">
        <v>1</v>
      </c>
      <c r="F13" s="50">
        <v>5</v>
      </c>
      <c r="G13" s="50">
        <v>0</v>
      </c>
      <c r="H13" s="50">
        <v>0</v>
      </c>
      <c r="I13" s="50">
        <v>7</v>
      </c>
      <c r="J13" s="50">
        <v>0</v>
      </c>
      <c r="K13" s="50">
        <v>1</v>
      </c>
      <c r="L13" s="50">
        <v>2</v>
      </c>
      <c r="M13" s="50">
        <v>222</v>
      </c>
      <c r="N13" s="50">
        <v>0</v>
      </c>
      <c r="O13" s="15">
        <f t="shared" si="0"/>
        <v>39</v>
      </c>
      <c r="P13" s="15">
        <f t="shared" si="1"/>
        <v>261</v>
      </c>
      <c r="R13" s="1" t="s">
        <v>9</v>
      </c>
      <c r="S13" s="17">
        <f t="shared" ref="S13:AF13" si="5">SUM(C22:C25)</f>
        <v>162</v>
      </c>
      <c r="T13" s="17">
        <f t="shared" si="5"/>
        <v>22</v>
      </c>
      <c r="U13" s="17">
        <f t="shared" si="5"/>
        <v>30</v>
      </c>
      <c r="V13" s="17">
        <f t="shared" si="5"/>
        <v>138</v>
      </c>
      <c r="W13" s="17">
        <f t="shared" si="5"/>
        <v>5</v>
      </c>
      <c r="X13" s="17">
        <f t="shared" si="5"/>
        <v>1</v>
      </c>
      <c r="Y13" s="17">
        <f t="shared" si="5"/>
        <v>33</v>
      </c>
      <c r="Z13" s="17">
        <f t="shared" si="5"/>
        <v>38</v>
      </c>
      <c r="AA13" s="17">
        <f t="shared" si="5"/>
        <v>14</v>
      </c>
      <c r="AB13" s="17">
        <f t="shared" si="5"/>
        <v>14</v>
      </c>
      <c r="AC13" s="17">
        <f t="shared" si="5"/>
        <v>908</v>
      </c>
      <c r="AD13" s="17">
        <f t="shared" si="5"/>
        <v>0</v>
      </c>
      <c r="AE13" s="31">
        <f t="shared" si="5"/>
        <v>457</v>
      </c>
      <c r="AF13" s="31">
        <f t="shared" si="5"/>
        <v>1365</v>
      </c>
    </row>
    <row r="14" spans="2:32" ht="23.1" customHeight="1" x14ac:dyDescent="0.25">
      <c r="B14" s="45" t="s">
        <v>41</v>
      </c>
      <c r="C14" s="50">
        <v>46</v>
      </c>
      <c r="D14" s="50">
        <v>5</v>
      </c>
      <c r="E14" s="50">
        <v>3</v>
      </c>
      <c r="F14" s="50">
        <v>22</v>
      </c>
      <c r="G14" s="50">
        <v>0</v>
      </c>
      <c r="H14" s="50">
        <v>2</v>
      </c>
      <c r="I14" s="50">
        <v>7</v>
      </c>
      <c r="J14" s="50">
        <v>2</v>
      </c>
      <c r="K14" s="50">
        <v>1</v>
      </c>
      <c r="L14" s="50">
        <v>2</v>
      </c>
      <c r="M14" s="50">
        <v>280</v>
      </c>
      <c r="N14" s="50">
        <v>0</v>
      </c>
      <c r="O14" s="15">
        <f t="shared" si="0"/>
        <v>90</v>
      </c>
      <c r="P14" s="15">
        <f t="shared" si="1"/>
        <v>370</v>
      </c>
      <c r="R14" s="1" t="s">
        <v>10</v>
      </c>
      <c r="S14" s="17">
        <f t="shared" ref="S14:AF14" si="6">SUM(C26:C29)</f>
        <v>222</v>
      </c>
      <c r="T14" s="17">
        <f t="shared" si="6"/>
        <v>37</v>
      </c>
      <c r="U14" s="17">
        <f t="shared" si="6"/>
        <v>32</v>
      </c>
      <c r="V14" s="17">
        <f t="shared" si="6"/>
        <v>117</v>
      </c>
      <c r="W14" s="17">
        <f t="shared" si="6"/>
        <v>5</v>
      </c>
      <c r="X14" s="17">
        <f t="shared" si="6"/>
        <v>2</v>
      </c>
      <c r="Y14" s="17">
        <f t="shared" si="6"/>
        <v>36</v>
      </c>
      <c r="Z14" s="17">
        <f t="shared" si="6"/>
        <v>26</v>
      </c>
      <c r="AA14" s="17">
        <f t="shared" si="6"/>
        <v>3</v>
      </c>
      <c r="AB14" s="17">
        <f t="shared" si="6"/>
        <v>0</v>
      </c>
      <c r="AC14" s="17">
        <f t="shared" si="6"/>
        <v>827</v>
      </c>
      <c r="AD14" s="17">
        <f t="shared" si="6"/>
        <v>0</v>
      </c>
      <c r="AE14" s="31">
        <f t="shared" si="6"/>
        <v>480</v>
      </c>
      <c r="AF14" s="31">
        <f t="shared" si="6"/>
        <v>1307</v>
      </c>
    </row>
    <row r="15" spans="2:32" ht="23.1" customHeight="1" x14ac:dyDescent="0.25">
      <c r="B15" s="45" t="s">
        <v>42</v>
      </c>
      <c r="C15" s="50">
        <v>38</v>
      </c>
      <c r="D15" s="50">
        <v>6</v>
      </c>
      <c r="E15" s="50">
        <v>7</v>
      </c>
      <c r="F15" s="50">
        <v>31</v>
      </c>
      <c r="G15" s="50">
        <v>0</v>
      </c>
      <c r="H15" s="50">
        <v>1</v>
      </c>
      <c r="I15" s="50">
        <v>1</v>
      </c>
      <c r="J15" s="50">
        <v>3</v>
      </c>
      <c r="K15" s="50">
        <v>3</v>
      </c>
      <c r="L15" s="50">
        <v>2</v>
      </c>
      <c r="M15" s="50">
        <v>288</v>
      </c>
      <c r="N15" s="50">
        <v>0</v>
      </c>
      <c r="O15" s="15">
        <f t="shared" si="0"/>
        <v>92</v>
      </c>
      <c r="P15" s="15">
        <f t="shared" si="1"/>
        <v>380</v>
      </c>
      <c r="R15" s="1" t="s">
        <v>11</v>
      </c>
      <c r="S15" s="17">
        <f t="shared" ref="S15:AF15" si="7">SUM(C30:C33)</f>
        <v>171</v>
      </c>
      <c r="T15" s="17">
        <f t="shared" si="7"/>
        <v>37</v>
      </c>
      <c r="U15" s="17">
        <f t="shared" si="7"/>
        <v>20</v>
      </c>
      <c r="V15" s="17">
        <f t="shared" si="7"/>
        <v>99</v>
      </c>
      <c r="W15" s="17">
        <f t="shared" si="7"/>
        <v>2</v>
      </c>
      <c r="X15" s="17">
        <f t="shared" si="7"/>
        <v>6</v>
      </c>
      <c r="Y15" s="17">
        <f t="shared" si="7"/>
        <v>42</v>
      </c>
      <c r="Z15" s="17">
        <f t="shared" si="7"/>
        <v>15</v>
      </c>
      <c r="AA15" s="17">
        <f t="shared" si="7"/>
        <v>9</v>
      </c>
      <c r="AB15" s="17">
        <f t="shared" si="7"/>
        <v>13</v>
      </c>
      <c r="AC15" s="17">
        <f t="shared" si="7"/>
        <v>975</v>
      </c>
      <c r="AD15" s="17">
        <f t="shared" si="7"/>
        <v>0</v>
      </c>
      <c r="AE15" s="31">
        <f t="shared" si="7"/>
        <v>414</v>
      </c>
      <c r="AF15" s="31">
        <f t="shared" si="7"/>
        <v>1389</v>
      </c>
    </row>
    <row r="16" spans="2:32" ht="23.1" customHeight="1" x14ac:dyDescent="0.25">
      <c r="B16" s="45" t="s">
        <v>43</v>
      </c>
      <c r="C16" s="50">
        <v>53</v>
      </c>
      <c r="D16" s="50">
        <v>20</v>
      </c>
      <c r="E16" s="50">
        <v>12</v>
      </c>
      <c r="F16" s="50">
        <v>48</v>
      </c>
      <c r="G16" s="50">
        <v>0</v>
      </c>
      <c r="H16" s="50">
        <v>2</v>
      </c>
      <c r="I16" s="50">
        <v>6</v>
      </c>
      <c r="J16" s="50">
        <v>5</v>
      </c>
      <c r="K16" s="50">
        <v>2</v>
      </c>
      <c r="L16" s="50">
        <v>1</v>
      </c>
      <c r="M16" s="50">
        <v>311</v>
      </c>
      <c r="N16" s="50">
        <v>0</v>
      </c>
      <c r="O16" s="15">
        <f t="shared" si="0"/>
        <v>149</v>
      </c>
      <c r="P16" s="15">
        <f t="shared" si="1"/>
        <v>460</v>
      </c>
      <c r="R16" s="1" t="s">
        <v>12</v>
      </c>
      <c r="S16" s="17">
        <f t="shared" ref="S16:AF16" si="8">SUM(C34:C37)</f>
        <v>160</v>
      </c>
      <c r="T16" s="17">
        <f t="shared" si="8"/>
        <v>43</v>
      </c>
      <c r="U16" s="17">
        <f t="shared" si="8"/>
        <v>23</v>
      </c>
      <c r="V16" s="17">
        <f t="shared" si="8"/>
        <v>126</v>
      </c>
      <c r="W16" s="17">
        <f t="shared" si="8"/>
        <v>7</v>
      </c>
      <c r="X16" s="17">
        <f t="shared" si="8"/>
        <v>2</v>
      </c>
      <c r="Y16" s="17">
        <f t="shared" si="8"/>
        <v>50</v>
      </c>
      <c r="Z16" s="17">
        <f t="shared" si="8"/>
        <v>19</v>
      </c>
      <c r="AA16" s="17">
        <f t="shared" si="8"/>
        <v>5</v>
      </c>
      <c r="AB16" s="17">
        <f t="shared" si="8"/>
        <v>11</v>
      </c>
      <c r="AC16" s="17">
        <f t="shared" si="8"/>
        <v>726</v>
      </c>
      <c r="AD16" s="17">
        <f t="shared" si="8"/>
        <v>0</v>
      </c>
      <c r="AE16" s="31">
        <f t="shared" si="8"/>
        <v>446</v>
      </c>
      <c r="AF16" s="31">
        <f t="shared" si="8"/>
        <v>1172</v>
      </c>
    </row>
    <row r="17" spans="2:32" ht="23.1" customHeight="1" x14ac:dyDescent="0.25">
      <c r="B17" s="45" t="s">
        <v>44</v>
      </c>
      <c r="C17" s="50">
        <v>45</v>
      </c>
      <c r="D17" s="50">
        <v>6</v>
      </c>
      <c r="E17" s="50">
        <v>9</v>
      </c>
      <c r="F17" s="50">
        <v>29</v>
      </c>
      <c r="G17" s="50">
        <v>1</v>
      </c>
      <c r="H17" s="50">
        <v>0</v>
      </c>
      <c r="I17" s="50">
        <v>16</v>
      </c>
      <c r="J17" s="50">
        <v>4</v>
      </c>
      <c r="K17" s="50">
        <v>3</v>
      </c>
      <c r="L17" s="50">
        <v>2</v>
      </c>
      <c r="M17" s="50">
        <v>255</v>
      </c>
      <c r="N17" s="50">
        <v>0</v>
      </c>
      <c r="O17" s="15">
        <f t="shared" si="0"/>
        <v>115</v>
      </c>
      <c r="P17" s="15">
        <f t="shared" si="1"/>
        <v>370</v>
      </c>
      <c r="R17" s="1" t="s">
        <v>13</v>
      </c>
      <c r="S17" s="17">
        <f t="shared" ref="S17:AF17" si="9">SUM(C38:C41)</f>
        <v>232</v>
      </c>
      <c r="T17" s="17">
        <f t="shared" si="9"/>
        <v>40</v>
      </c>
      <c r="U17" s="17">
        <f t="shared" si="9"/>
        <v>35</v>
      </c>
      <c r="V17" s="17">
        <f t="shared" si="9"/>
        <v>98</v>
      </c>
      <c r="W17" s="17">
        <f t="shared" si="9"/>
        <v>1</v>
      </c>
      <c r="X17" s="17">
        <f t="shared" si="9"/>
        <v>1</v>
      </c>
      <c r="Y17" s="17">
        <f t="shared" si="9"/>
        <v>52</v>
      </c>
      <c r="Z17" s="17">
        <f t="shared" si="9"/>
        <v>35</v>
      </c>
      <c r="AA17" s="17">
        <f t="shared" si="9"/>
        <v>9</v>
      </c>
      <c r="AB17" s="17">
        <f t="shared" si="9"/>
        <v>10</v>
      </c>
      <c r="AC17" s="17">
        <f t="shared" si="9"/>
        <v>648</v>
      </c>
      <c r="AD17" s="17">
        <f t="shared" si="9"/>
        <v>1</v>
      </c>
      <c r="AE17" s="31">
        <f t="shared" si="9"/>
        <v>514</v>
      </c>
      <c r="AF17" s="31">
        <f t="shared" si="9"/>
        <v>1162</v>
      </c>
    </row>
    <row r="18" spans="2:32" ht="23.1" customHeight="1" x14ac:dyDescent="0.25">
      <c r="B18" s="45" t="s">
        <v>45</v>
      </c>
      <c r="C18" s="50">
        <v>46</v>
      </c>
      <c r="D18" s="50">
        <v>11</v>
      </c>
      <c r="E18" s="50">
        <v>5</v>
      </c>
      <c r="F18" s="50">
        <v>28</v>
      </c>
      <c r="G18" s="50">
        <v>0</v>
      </c>
      <c r="H18" s="50">
        <v>0</v>
      </c>
      <c r="I18" s="50">
        <v>12</v>
      </c>
      <c r="J18" s="50">
        <v>3</v>
      </c>
      <c r="K18" s="50">
        <v>1</v>
      </c>
      <c r="L18" s="50">
        <v>1</v>
      </c>
      <c r="M18" s="50">
        <v>305</v>
      </c>
      <c r="N18" s="50">
        <v>0</v>
      </c>
      <c r="O18" s="15">
        <f t="shared" si="0"/>
        <v>107</v>
      </c>
      <c r="P18" s="15">
        <f t="shared" si="1"/>
        <v>412</v>
      </c>
      <c r="R18" s="1" t="s">
        <v>14</v>
      </c>
      <c r="S18" s="17">
        <f t="shared" ref="S18:AF18" si="10">SUM(C42:C45)</f>
        <v>342</v>
      </c>
      <c r="T18" s="17">
        <f t="shared" si="10"/>
        <v>51</v>
      </c>
      <c r="U18" s="17">
        <f t="shared" si="10"/>
        <v>35</v>
      </c>
      <c r="V18" s="17">
        <f t="shared" si="10"/>
        <v>95</v>
      </c>
      <c r="W18" s="17">
        <f t="shared" si="10"/>
        <v>3</v>
      </c>
      <c r="X18" s="17">
        <f t="shared" si="10"/>
        <v>4</v>
      </c>
      <c r="Y18" s="17">
        <f t="shared" si="10"/>
        <v>59</v>
      </c>
      <c r="Z18" s="17">
        <f t="shared" si="10"/>
        <v>22</v>
      </c>
      <c r="AA18" s="17">
        <f t="shared" si="10"/>
        <v>18</v>
      </c>
      <c r="AB18" s="17">
        <f t="shared" si="10"/>
        <v>14</v>
      </c>
      <c r="AC18" s="17">
        <f t="shared" si="10"/>
        <v>693</v>
      </c>
      <c r="AD18" s="17">
        <f t="shared" si="10"/>
        <v>0</v>
      </c>
      <c r="AE18" s="31">
        <f t="shared" si="10"/>
        <v>643</v>
      </c>
      <c r="AF18" s="31">
        <f t="shared" si="10"/>
        <v>1336</v>
      </c>
    </row>
    <row r="19" spans="2:32" ht="23.1" customHeight="1" x14ac:dyDescent="0.25">
      <c r="B19" s="45" t="s">
        <v>46</v>
      </c>
      <c r="C19" s="50">
        <v>50</v>
      </c>
      <c r="D19" s="50">
        <v>7</v>
      </c>
      <c r="E19" s="50">
        <v>6</v>
      </c>
      <c r="F19" s="50">
        <v>30</v>
      </c>
      <c r="G19" s="50">
        <v>0</v>
      </c>
      <c r="H19" s="50">
        <v>2</v>
      </c>
      <c r="I19" s="50">
        <v>10</v>
      </c>
      <c r="J19" s="50">
        <v>5</v>
      </c>
      <c r="K19" s="50">
        <v>1</v>
      </c>
      <c r="L19" s="50">
        <v>1</v>
      </c>
      <c r="M19" s="50">
        <v>322</v>
      </c>
      <c r="N19" s="50">
        <v>0</v>
      </c>
      <c r="O19" s="15">
        <f t="shared" si="0"/>
        <v>112</v>
      </c>
      <c r="P19" s="15">
        <f t="shared" si="1"/>
        <v>434</v>
      </c>
      <c r="R19" s="1" t="s">
        <v>15</v>
      </c>
      <c r="S19" s="17">
        <f t="shared" ref="S19:AF19" si="11">SUM(C46:C49)</f>
        <v>209</v>
      </c>
      <c r="T19" s="17">
        <f t="shared" si="11"/>
        <v>26</v>
      </c>
      <c r="U19" s="17">
        <f t="shared" si="11"/>
        <v>23</v>
      </c>
      <c r="V19" s="17">
        <f t="shared" si="11"/>
        <v>66</v>
      </c>
      <c r="W19" s="17">
        <f t="shared" si="11"/>
        <v>0</v>
      </c>
      <c r="X19" s="17">
        <f t="shared" si="11"/>
        <v>1</v>
      </c>
      <c r="Y19" s="17">
        <f t="shared" si="11"/>
        <v>28</v>
      </c>
      <c r="Z19" s="17">
        <f t="shared" si="11"/>
        <v>18</v>
      </c>
      <c r="AA19" s="17">
        <f t="shared" si="11"/>
        <v>9</v>
      </c>
      <c r="AB19" s="17">
        <f t="shared" si="11"/>
        <v>5</v>
      </c>
      <c r="AC19" s="17">
        <f t="shared" si="11"/>
        <v>1041</v>
      </c>
      <c r="AD19" s="17">
        <f t="shared" si="11"/>
        <v>0</v>
      </c>
      <c r="AE19" s="31">
        <f t="shared" si="11"/>
        <v>385</v>
      </c>
      <c r="AF19" s="31">
        <f t="shared" si="11"/>
        <v>1426</v>
      </c>
    </row>
    <row r="20" spans="2:32" ht="23.1" customHeight="1" x14ac:dyDescent="0.25">
      <c r="B20" s="45" t="s">
        <v>47</v>
      </c>
      <c r="C20" s="50">
        <v>45</v>
      </c>
      <c r="D20" s="50">
        <v>4</v>
      </c>
      <c r="E20" s="50">
        <v>9</v>
      </c>
      <c r="F20" s="50">
        <v>31</v>
      </c>
      <c r="G20" s="50">
        <v>0</v>
      </c>
      <c r="H20" s="50">
        <v>0</v>
      </c>
      <c r="I20" s="50">
        <v>7</v>
      </c>
      <c r="J20" s="50">
        <v>10</v>
      </c>
      <c r="K20" s="50">
        <v>3</v>
      </c>
      <c r="L20" s="50">
        <v>0</v>
      </c>
      <c r="M20" s="50">
        <v>305</v>
      </c>
      <c r="N20" s="50">
        <v>0</v>
      </c>
      <c r="O20" s="15">
        <f t="shared" si="0"/>
        <v>109</v>
      </c>
      <c r="P20" s="15">
        <f t="shared" si="1"/>
        <v>414</v>
      </c>
      <c r="R20" s="1" t="s">
        <v>16</v>
      </c>
      <c r="S20" s="17">
        <f t="shared" ref="S20:AF20" si="12">SUM(C50:C53)</f>
        <v>431</v>
      </c>
      <c r="T20" s="17">
        <f t="shared" si="12"/>
        <v>31</v>
      </c>
      <c r="U20" s="17">
        <f t="shared" si="12"/>
        <v>23</v>
      </c>
      <c r="V20" s="17">
        <f t="shared" si="12"/>
        <v>117</v>
      </c>
      <c r="W20" s="17">
        <f t="shared" si="12"/>
        <v>0</v>
      </c>
      <c r="X20" s="17">
        <f t="shared" si="12"/>
        <v>3</v>
      </c>
      <c r="Y20" s="17">
        <f t="shared" si="12"/>
        <v>46</v>
      </c>
      <c r="Z20" s="17">
        <f t="shared" si="12"/>
        <v>29</v>
      </c>
      <c r="AA20" s="17">
        <f t="shared" si="12"/>
        <v>9</v>
      </c>
      <c r="AB20" s="17">
        <f t="shared" si="12"/>
        <v>13</v>
      </c>
      <c r="AC20" s="17">
        <f t="shared" si="12"/>
        <v>1390</v>
      </c>
      <c r="AD20" s="17">
        <f t="shared" si="12"/>
        <v>0</v>
      </c>
      <c r="AE20" s="31">
        <f t="shared" si="12"/>
        <v>702</v>
      </c>
      <c r="AF20" s="31">
        <f t="shared" si="12"/>
        <v>2092</v>
      </c>
    </row>
    <row r="21" spans="2:32" ht="23.1" customHeight="1" x14ac:dyDescent="0.25">
      <c r="B21" s="45" t="s">
        <v>48</v>
      </c>
      <c r="C21" s="50">
        <v>63</v>
      </c>
      <c r="D21" s="50">
        <v>19</v>
      </c>
      <c r="E21" s="50">
        <v>7</v>
      </c>
      <c r="F21" s="50">
        <v>32</v>
      </c>
      <c r="G21" s="50">
        <v>0</v>
      </c>
      <c r="H21" s="50">
        <v>0</v>
      </c>
      <c r="I21" s="50">
        <v>11</v>
      </c>
      <c r="J21" s="50">
        <v>6</v>
      </c>
      <c r="K21" s="50">
        <v>2</v>
      </c>
      <c r="L21" s="50">
        <v>3</v>
      </c>
      <c r="M21" s="50">
        <v>355</v>
      </c>
      <c r="N21" s="50">
        <v>0</v>
      </c>
      <c r="O21" s="15">
        <f t="shared" si="0"/>
        <v>143</v>
      </c>
      <c r="P21" s="15">
        <f t="shared" si="1"/>
        <v>498</v>
      </c>
      <c r="R21" s="36" t="s">
        <v>20</v>
      </c>
      <c r="S21" s="34">
        <f t="shared" ref="S21:AF21" si="13">SUM(C54:C57)</f>
        <v>394</v>
      </c>
      <c r="T21" s="17">
        <f t="shared" si="13"/>
        <v>29</v>
      </c>
      <c r="U21" s="17">
        <f t="shared" si="13"/>
        <v>29</v>
      </c>
      <c r="V21" s="17">
        <f t="shared" si="13"/>
        <v>112</v>
      </c>
      <c r="W21" s="17">
        <f t="shared" si="13"/>
        <v>4</v>
      </c>
      <c r="X21" s="17">
        <f t="shared" si="13"/>
        <v>2</v>
      </c>
      <c r="Y21" s="17">
        <f t="shared" si="13"/>
        <v>33</v>
      </c>
      <c r="Z21" s="17">
        <f t="shared" si="13"/>
        <v>20</v>
      </c>
      <c r="AA21" s="17">
        <f t="shared" si="13"/>
        <v>4</v>
      </c>
      <c r="AB21" s="17">
        <f t="shared" si="13"/>
        <v>6</v>
      </c>
      <c r="AC21" s="17">
        <f t="shared" si="13"/>
        <v>1490</v>
      </c>
      <c r="AD21" s="17">
        <f t="shared" si="13"/>
        <v>0</v>
      </c>
      <c r="AE21" s="31">
        <f t="shared" si="13"/>
        <v>633</v>
      </c>
      <c r="AF21" s="31">
        <f t="shared" si="13"/>
        <v>2123</v>
      </c>
    </row>
    <row r="22" spans="2:32" ht="23.1" customHeight="1" x14ac:dyDescent="0.25">
      <c r="B22" s="45" t="s">
        <v>49</v>
      </c>
      <c r="C22" s="50">
        <v>34</v>
      </c>
      <c r="D22" s="50">
        <v>8</v>
      </c>
      <c r="E22" s="50">
        <v>9</v>
      </c>
      <c r="F22" s="50">
        <v>47</v>
      </c>
      <c r="G22" s="50">
        <v>1</v>
      </c>
      <c r="H22" s="50">
        <v>0</v>
      </c>
      <c r="I22" s="50">
        <v>10</v>
      </c>
      <c r="J22" s="50">
        <v>11</v>
      </c>
      <c r="K22" s="50">
        <v>5</v>
      </c>
      <c r="L22" s="50">
        <v>3</v>
      </c>
      <c r="M22" s="50">
        <v>207</v>
      </c>
      <c r="N22" s="50">
        <v>0</v>
      </c>
      <c r="O22" s="15">
        <f t="shared" si="0"/>
        <v>128</v>
      </c>
      <c r="P22" s="15">
        <f t="shared" si="1"/>
        <v>335</v>
      </c>
      <c r="R22" s="36" t="s">
        <v>146</v>
      </c>
      <c r="S22" s="34">
        <f>SUM(C58:C61)</f>
        <v>352</v>
      </c>
      <c r="T22" s="34">
        <f t="shared" ref="T22:AF22" si="14">SUM(D58:D61)</f>
        <v>84</v>
      </c>
      <c r="U22" s="34">
        <f t="shared" si="14"/>
        <v>33</v>
      </c>
      <c r="V22" s="34">
        <f t="shared" si="14"/>
        <v>150</v>
      </c>
      <c r="W22" s="34">
        <f t="shared" si="14"/>
        <v>10</v>
      </c>
      <c r="X22" s="34">
        <f t="shared" si="14"/>
        <v>6</v>
      </c>
      <c r="Y22" s="34">
        <f t="shared" si="14"/>
        <v>47</v>
      </c>
      <c r="Z22" s="34">
        <f t="shared" si="14"/>
        <v>26</v>
      </c>
      <c r="AA22" s="34">
        <f t="shared" si="14"/>
        <v>12</v>
      </c>
      <c r="AB22" s="34">
        <f t="shared" si="14"/>
        <v>7</v>
      </c>
      <c r="AC22" s="34">
        <f t="shared" si="14"/>
        <v>695</v>
      </c>
      <c r="AD22" s="34">
        <f t="shared" si="14"/>
        <v>1</v>
      </c>
      <c r="AE22" s="31">
        <f t="shared" si="14"/>
        <v>728</v>
      </c>
      <c r="AF22" s="31">
        <f t="shared" si="14"/>
        <v>1423</v>
      </c>
    </row>
    <row r="23" spans="2:32" ht="23.1" customHeight="1" x14ac:dyDescent="0.25">
      <c r="B23" s="45" t="s">
        <v>50</v>
      </c>
      <c r="C23" s="50">
        <v>43</v>
      </c>
      <c r="D23" s="50">
        <v>4</v>
      </c>
      <c r="E23" s="50">
        <v>6</v>
      </c>
      <c r="F23" s="50">
        <v>26</v>
      </c>
      <c r="G23" s="50">
        <v>1</v>
      </c>
      <c r="H23" s="50">
        <v>0</v>
      </c>
      <c r="I23" s="50">
        <v>6</v>
      </c>
      <c r="J23" s="50">
        <v>10</v>
      </c>
      <c r="K23" s="50">
        <v>2</v>
      </c>
      <c r="L23" s="50">
        <v>6</v>
      </c>
      <c r="M23" s="50">
        <v>242</v>
      </c>
      <c r="N23" s="50">
        <v>0</v>
      </c>
      <c r="O23" s="15">
        <f t="shared" si="0"/>
        <v>104</v>
      </c>
      <c r="P23" s="15">
        <f t="shared" si="1"/>
        <v>346</v>
      </c>
      <c r="R23" s="36" t="s">
        <v>147</v>
      </c>
      <c r="S23" s="34">
        <f>SUM(C62:C65)</f>
        <v>369</v>
      </c>
      <c r="T23" s="34">
        <f t="shared" ref="T23:AF23" si="15">SUM(D62:D65)</f>
        <v>37</v>
      </c>
      <c r="U23" s="34">
        <f t="shared" si="15"/>
        <v>30</v>
      </c>
      <c r="V23" s="34">
        <f t="shared" si="15"/>
        <v>114</v>
      </c>
      <c r="W23" s="34">
        <f t="shared" si="15"/>
        <v>4</v>
      </c>
      <c r="X23" s="34">
        <f t="shared" si="15"/>
        <v>1</v>
      </c>
      <c r="Y23" s="34">
        <f t="shared" si="15"/>
        <v>26</v>
      </c>
      <c r="Z23" s="34">
        <f t="shared" si="15"/>
        <v>21</v>
      </c>
      <c r="AA23" s="34">
        <f t="shared" si="15"/>
        <v>6</v>
      </c>
      <c r="AB23" s="34">
        <f t="shared" si="15"/>
        <v>6</v>
      </c>
      <c r="AC23" s="34">
        <f t="shared" si="15"/>
        <v>702</v>
      </c>
      <c r="AD23" s="34">
        <f t="shared" si="15"/>
        <v>0</v>
      </c>
      <c r="AE23" s="31">
        <f t="shared" si="15"/>
        <v>614</v>
      </c>
      <c r="AF23" s="31">
        <f t="shared" si="15"/>
        <v>1316</v>
      </c>
    </row>
    <row r="24" spans="2:32" ht="23.1" customHeight="1" x14ac:dyDescent="0.25">
      <c r="B24" s="45" t="s">
        <v>51</v>
      </c>
      <c r="C24" s="50">
        <v>47</v>
      </c>
      <c r="D24" s="50">
        <v>7</v>
      </c>
      <c r="E24" s="50">
        <v>7</v>
      </c>
      <c r="F24" s="50">
        <v>30</v>
      </c>
      <c r="G24" s="50">
        <v>2</v>
      </c>
      <c r="H24" s="50">
        <v>1</v>
      </c>
      <c r="I24" s="50">
        <v>11</v>
      </c>
      <c r="J24" s="50">
        <v>7</v>
      </c>
      <c r="K24" s="50">
        <v>4</v>
      </c>
      <c r="L24" s="50">
        <v>1</v>
      </c>
      <c r="M24" s="50">
        <v>283</v>
      </c>
      <c r="N24" s="50">
        <v>0</v>
      </c>
      <c r="O24" s="15">
        <f t="shared" si="0"/>
        <v>117</v>
      </c>
      <c r="P24" s="15">
        <f t="shared" si="1"/>
        <v>400</v>
      </c>
      <c r="R24" s="36" t="s">
        <v>148</v>
      </c>
      <c r="S24" s="34">
        <f>SUM(C66:C69)</f>
        <v>433</v>
      </c>
      <c r="T24" s="34">
        <f t="shared" ref="T24:AF24" si="16">SUM(D66:D69)</f>
        <v>58</v>
      </c>
      <c r="U24" s="34">
        <f t="shared" si="16"/>
        <v>34</v>
      </c>
      <c r="V24" s="34">
        <f t="shared" si="16"/>
        <v>163</v>
      </c>
      <c r="W24" s="34">
        <f t="shared" si="16"/>
        <v>4</v>
      </c>
      <c r="X24" s="34">
        <f t="shared" si="16"/>
        <v>2</v>
      </c>
      <c r="Y24" s="34">
        <f t="shared" si="16"/>
        <v>24</v>
      </c>
      <c r="Z24" s="34">
        <f t="shared" si="16"/>
        <v>18</v>
      </c>
      <c r="AA24" s="34">
        <f t="shared" si="16"/>
        <v>4</v>
      </c>
      <c r="AB24" s="34">
        <f t="shared" si="16"/>
        <v>4</v>
      </c>
      <c r="AC24" s="34">
        <f t="shared" si="16"/>
        <v>571</v>
      </c>
      <c r="AD24" s="34">
        <f t="shared" si="16"/>
        <v>0</v>
      </c>
      <c r="AE24" s="31">
        <f t="shared" si="16"/>
        <v>744</v>
      </c>
      <c r="AF24" s="31">
        <f t="shared" si="16"/>
        <v>1315</v>
      </c>
    </row>
    <row r="25" spans="2:32" ht="23.1" customHeight="1" x14ac:dyDescent="0.25">
      <c r="B25" s="45" t="s">
        <v>52</v>
      </c>
      <c r="C25" s="50">
        <v>38</v>
      </c>
      <c r="D25" s="50">
        <v>3</v>
      </c>
      <c r="E25" s="50">
        <v>8</v>
      </c>
      <c r="F25" s="50">
        <v>35</v>
      </c>
      <c r="G25" s="50">
        <v>1</v>
      </c>
      <c r="H25" s="50">
        <v>0</v>
      </c>
      <c r="I25" s="50">
        <v>6</v>
      </c>
      <c r="J25" s="50">
        <v>10</v>
      </c>
      <c r="K25" s="50">
        <v>3</v>
      </c>
      <c r="L25" s="50">
        <v>4</v>
      </c>
      <c r="M25" s="50">
        <v>176</v>
      </c>
      <c r="N25" s="50">
        <v>0</v>
      </c>
      <c r="O25" s="15">
        <f t="shared" si="0"/>
        <v>108</v>
      </c>
      <c r="P25" s="15">
        <f t="shared" si="1"/>
        <v>284</v>
      </c>
      <c r="R25" s="36" t="s">
        <v>149</v>
      </c>
      <c r="S25" s="34">
        <f>SUM(C70:C73)</f>
        <v>405</v>
      </c>
      <c r="T25" s="34">
        <f t="shared" ref="T25:AF25" si="17">SUM(D70:D73)</f>
        <v>39</v>
      </c>
      <c r="U25" s="34">
        <f t="shared" si="17"/>
        <v>20</v>
      </c>
      <c r="V25" s="34">
        <f t="shared" si="17"/>
        <v>102</v>
      </c>
      <c r="W25" s="34">
        <f t="shared" si="17"/>
        <v>3</v>
      </c>
      <c r="X25" s="34">
        <f t="shared" si="17"/>
        <v>1</v>
      </c>
      <c r="Y25" s="34">
        <f t="shared" si="17"/>
        <v>18</v>
      </c>
      <c r="Z25" s="34">
        <f t="shared" si="17"/>
        <v>31</v>
      </c>
      <c r="AA25" s="34">
        <f t="shared" si="17"/>
        <v>2</v>
      </c>
      <c r="AB25" s="34">
        <f t="shared" si="17"/>
        <v>7</v>
      </c>
      <c r="AC25" s="34">
        <f t="shared" si="17"/>
        <v>442</v>
      </c>
      <c r="AD25" s="34">
        <f t="shared" si="17"/>
        <v>0</v>
      </c>
      <c r="AE25" s="31">
        <f t="shared" si="17"/>
        <v>628</v>
      </c>
      <c r="AF25" s="31">
        <f t="shared" si="17"/>
        <v>1070</v>
      </c>
    </row>
    <row r="26" spans="2:32" ht="23.1" customHeight="1" x14ac:dyDescent="0.25">
      <c r="B26" s="45" t="s">
        <v>53</v>
      </c>
      <c r="C26" s="50">
        <v>62</v>
      </c>
      <c r="D26" s="50">
        <v>9</v>
      </c>
      <c r="E26" s="50">
        <v>10</v>
      </c>
      <c r="F26" s="50">
        <v>30</v>
      </c>
      <c r="G26" s="50">
        <v>1</v>
      </c>
      <c r="H26" s="50">
        <v>1</v>
      </c>
      <c r="I26" s="50">
        <v>5</v>
      </c>
      <c r="J26" s="50">
        <v>7</v>
      </c>
      <c r="K26" s="50">
        <v>0</v>
      </c>
      <c r="L26" s="50">
        <v>0</v>
      </c>
      <c r="M26" s="50">
        <v>240</v>
      </c>
      <c r="N26" s="50">
        <v>0</v>
      </c>
      <c r="O26" s="15">
        <f t="shared" si="0"/>
        <v>125</v>
      </c>
      <c r="P26" s="15">
        <f t="shared" si="1"/>
        <v>365</v>
      </c>
      <c r="R26" s="36" t="s">
        <v>150</v>
      </c>
      <c r="S26" s="34">
        <f>SUM(C74:C77)</f>
        <v>262</v>
      </c>
      <c r="T26" s="34">
        <f t="shared" ref="T26:AF26" si="18">SUM(D74:D77)</f>
        <v>37</v>
      </c>
      <c r="U26" s="34">
        <f t="shared" si="18"/>
        <v>12</v>
      </c>
      <c r="V26" s="34">
        <f t="shared" si="18"/>
        <v>68</v>
      </c>
      <c r="W26" s="34">
        <f t="shared" si="18"/>
        <v>1</v>
      </c>
      <c r="X26" s="34">
        <f t="shared" si="18"/>
        <v>1</v>
      </c>
      <c r="Y26" s="34">
        <f t="shared" si="18"/>
        <v>19</v>
      </c>
      <c r="Z26" s="34">
        <f t="shared" si="18"/>
        <v>16</v>
      </c>
      <c r="AA26" s="34">
        <f t="shared" si="18"/>
        <v>4</v>
      </c>
      <c r="AB26" s="34">
        <f t="shared" si="18"/>
        <v>1</v>
      </c>
      <c r="AC26" s="34">
        <f t="shared" si="18"/>
        <v>387</v>
      </c>
      <c r="AD26" s="34">
        <f t="shared" si="18"/>
        <v>0</v>
      </c>
      <c r="AE26" s="31">
        <f t="shared" si="18"/>
        <v>421</v>
      </c>
      <c r="AF26" s="31">
        <f t="shared" si="18"/>
        <v>808</v>
      </c>
    </row>
    <row r="27" spans="2:32" ht="23.1" customHeight="1" x14ac:dyDescent="0.25">
      <c r="B27" s="45" t="s">
        <v>54</v>
      </c>
      <c r="C27" s="50">
        <v>60</v>
      </c>
      <c r="D27" s="50">
        <v>11</v>
      </c>
      <c r="E27" s="50">
        <v>6</v>
      </c>
      <c r="F27" s="50">
        <v>31</v>
      </c>
      <c r="G27" s="50">
        <v>1</v>
      </c>
      <c r="H27" s="50">
        <v>1</v>
      </c>
      <c r="I27" s="50">
        <v>14</v>
      </c>
      <c r="J27" s="50">
        <v>6</v>
      </c>
      <c r="K27" s="50">
        <v>1</v>
      </c>
      <c r="L27" s="50">
        <v>0</v>
      </c>
      <c r="M27" s="50">
        <v>230</v>
      </c>
      <c r="N27" s="50">
        <v>0</v>
      </c>
      <c r="O27" s="15">
        <f t="shared" si="0"/>
        <v>131</v>
      </c>
      <c r="P27" s="15">
        <f t="shared" si="1"/>
        <v>361</v>
      </c>
      <c r="R27" s="36" t="s">
        <v>151</v>
      </c>
      <c r="S27" s="34">
        <f>SUM(C78:C81)</f>
        <v>147</v>
      </c>
      <c r="T27" s="34">
        <f t="shared" ref="T27:AF27" si="19">SUM(D78:D81)</f>
        <v>31</v>
      </c>
      <c r="U27" s="34">
        <f t="shared" si="19"/>
        <v>9</v>
      </c>
      <c r="V27" s="34">
        <f t="shared" si="19"/>
        <v>25</v>
      </c>
      <c r="W27" s="34">
        <f t="shared" si="19"/>
        <v>1</v>
      </c>
      <c r="X27" s="34">
        <f t="shared" si="19"/>
        <v>0</v>
      </c>
      <c r="Y27" s="34">
        <f t="shared" si="19"/>
        <v>9</v>
      </c>
      <c r="Z27" s="34">
        <f t="shared" si="19"/>
        <v>9</v>
      </c>
      <c r="AA27" s="34">
        <f t="shared" si="19"/>
        <v>0</v>
      </c>
      <c r="AB27" s="34">
        <f t="shared" si="19"/>
        <v>3</v>
      </c>
      <c r="AC27" s="34">
        <f t="shared" si="19"/>
        <v>318</v>
      </c>
      <c r="AD27" s="34">
        <f t="shared" si="19"/>
        <v>0</v>
      </c>
      <c r="AE27" s="31">
        <f t="shared" si="19"/>
        <v>234</v>
      </c>
      <c r="AF27" s="31">
        <f t="shared" si="19"/>
        <v>552</v>
      </c>
    </row>
    <row r="28" spans="2:32" ht="23.1" customHeight="1" x14ac:dyDescent="0.25">
      <c r="B28" s="45" t="s">
        <v>55</v>
      </c>
      <c r="C28" s="50">
        <v>46</v>
      </c>
      <c r="D28" s="50">
        <v>9</v>
      </c>
      <c r="E28" s="50">
        <v>10</v>
      </c>
      <c r="F28" s="50">
        <v>32</v>
      </c>
      <c r="G28" s="50">
        <v>1</v>
      </c>
      <c r="H28" s="50">
        <v>0</v>
      </c>
      <c r="I28" s="50">
        <v>10</v>
      </c>
      <c r="J28" s="50">
        <v>9</v>
      </c>
      <c r="K28" s="50">
        <v>0</v>
      </c>
      <c r="L28" s="50">
        <v>0</v>
      </c>
      <c r="M28" s="50">
        <v>222</v>
      </c>
      <c r="N28" s="50">
        <v>0</v>
      </c>
      <c r="O28" s="15">
        <f t="shared" si="0"/>
        <v>117</v>
      </c>
      <c r="P28" s="15">
        <f t="shared" si="1"/>
        <v>339</v>
      </c>
      <c r="R28" s="36" t="s">
        <v>152</v>
      </c>
      <c r="S28" s="34">
        <f>SUM(C82:C85)</f>
        <v>88</v>
      </c>
      <c r="T28" s="34">
        <f t="shared" ref="T28:AF28" si="20">SUM(D82:D85)</f>
        <v>18</v>
      </c>
      <c r="U28" s="34">
        <f t="shared" si="20"/>
        <v>9</v>
      </c>
      <c r="V28" s="34">
        <f t="shared" si="20"/>
        <v>14</v>
      </c>
      <c r="W28" s="34">
        <f t="shared" si="20"/>
        <v>4</v>
      </c>
      <c r="X28" s="34">
        <f t="shared" si="20"/>
        <v>0</v>
      </c>
      <c r="Y28" s="34">
        <f t="shared" si="20"/>
        <v>11</v>
      </c>
      <c r="Z28" s="34">
        <f t="shared" si="20"/>
        <v>9</v>
      </c>
      <c r="AA28" s="34">
        <f t="shared" si="20"/>
        <v>0</v>
      </c>
      <c r="AB28" s="34">
        <f t="shared" si="20"/>
        <v>4</v>
      </c>
      <c r="AC28" s="34">
        <f t="shared" si="20"/>
        <v>324</v>
      </c>
      <c r="AD28" s="34">
        <f t="shared" si="20"/>
        <v>0</v>
      </c>
      <c r="AE28" s="31">
        <f t="shared" si="20"/>
        <v>157</v>
      </c>
      <c r="AF28" s="31">
        <f t="shared" si="20"/>
        <v>481</v>
      </c>
    </row>
    <row r="29" spans="2:32" ht="23.1" customHeight="1" x14ac:dyDescent="0.25">
      <c r="B29" s="45" t="s">
        <v>56</v>
      </c>
      <c r="C29" s="50">
        <v>54</v>
      </c>
      <c r="D29" s="50">
        <v>8</v>
      </c>
      <c r="E29" s="50">
        <v>6</v>
      </c>
      <c r="F29" s="50">
        <v>24</v>
      </c>
      <c r="G29" s="50">
        <v>2</v>
      </c>
      <c r="H29" s="50">
        <v>0</v>
      </c>
      <c r="I29" s="50">
        <v>7</v>
      </c>
      <c r="J29" s="50">
        <v>4</v>
      </c>
      <c r="K29" s="50">
        <v>2</v>
      </c>
      <c r="L29" s="50">
        <v>0</v>
      </c>
      <c r="M29" s="50">
        <v>135</v>
      </c>
      <c r="N29" s="50">
        <v>0</v>
      </c>
      <c r="O29" s="15">
        <f t="shared" si="0"/>
        <v>107</v>
      </c>
      <c r="P29" s="15">
        <f t="shared" si="1"/>
        <v>242</v>
      </c>
      <c r="R29" s="36" t="s">
        <v>153</v>
      </c>
      <c r="S29" s="34">
        <f>SUM(C86:C89)</f>
        <v>55</v>
      </c>
      <c r="T29" s="34">
        <f t="shared" ref="T29:AF29" si="21">SUM(D86:D89)</f>
        <v>5</v>
      </c>
      <c r="U29" s="34">
        <f t="shared" si="21"/>
        <v>3</v>
      </c>
      <c r="V29" s="34">
        <f t="shared" si="21"/>
        <v>2</v>
      </c>
      <c r="W29" s="34">
        <f t="shared" si="21"/>
        <v>2</v>
      </c>
      <c r="X29" s="34">
        <f t="shared" si="21"/>
        <v>0</v>
      </c>
      <c r="Y29" s="34">
        <f t="shared" si="21"/>
        <v>3</v>
      </c>
      <c r="Z29" s="34">
        <f t="shared" si="21"/>
        <v>6</v>
      </c>
      <c r="AA29" s="34">
        <f t="shared" si="21"/>
        <v>0</v>
      </c>
      <c r="AB29" s="34">
        <f t="shared" si="21"/>
        <v>1</v>
      </c>
      <c r="AC29" s="34">
        <f t="shared" si="21"/>
        <v>108</v>
      </c>
      <c r="AD29" s="34">
        <f t="shared" si="21"/>
        <v>0</v>
      </c>
      <c r="AE29" s="31">
        <f t="shared" si="21"/>
        <v>77</v>
      </c>
      <c r="AF29" s="31">
        <f t="shared" si="21"/>
        <v>185</v>
      </c>
    </row>
    <row r="30" spans="2:32" ht="23.1" customHeight="1" x14ac:dyDescent="0.25">
      <c r="B30" s="45" t="s">
        <v>57</v>
      </c>
      <c r="C30" s="50">
        <v>58</v>
      </c>
      <c r="D30" s="50">
        <v>15</v>
      </c>
      <c r="E30" s="50">
        <v>2</v>
      </c>
      <c r="F30" s="50">
        <v>28</v>
      </c>
      <c r="G30" s="50">
        <v>1</v>
      </c>
      <c r="H30" s="50">
        <v>1</v>
      </c>
      <c r="I30" s="50">
        <v>16</v>
      </c>
      <c r="J30" s="50">
        <v>5</v>
      </c>
      <c r="K30" s="50">
        <v>2</v>
      </c>
      <c r="L30" s="50">
        <v>2</v>
      </c>
      <c r="M30" s="50">
        <v>190</v>
      </c>
      <c r="N30" s="50">
        <v>0</v>
      </c>
      <c r="O30" s="15">
        <f t="shared" si="0"/>
        <v>130</v>
      </c>
      <c r="P30" s="15">
        <f t="shared" si="1"/>
        <v>320</v>
      </c>
      <c r="R30" s="36" t="s">
        <v>154</v>
      </c>
      <c r="S30" s="34">
        <f>SUM(C90:C93)</f>
        <v>43</v>
      </c>
      <c r="T30" s="34">
        <f t="shared" ref="T30:AF30" si="22">SUM(D90:D93)</f>
        <v>6</v>
      </c>
      <c r="U30" s="34">
        <f t="shared" si="22"/>
        <v>6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5</v>
      </c>
      <c r="AA30" s="34">
        <f t="shared" si="22"/>
        <v>5</v>
      </c>
      <c r="AB30" s="34">
        <f t="shared" si="22"/>
        <v>7</v>
      </c>
      <c r="AC30" s="34">
        <f t="shared" si="22"/>
        <v>71</v>
      </c>
      <c r="AD30" s="34">
        <f t="shared" si="22"/>
        <v>0</v>
      </c>
      <c r="AE30" s="31">
        <f t="shared" si="22"/>
        <v>74</v>
      </c>
      <c r="AF30" s="31">
        <f t="shared" si="22"/>
        <v>145</v>
      </c>
    </row>
    <row r="31" spans="2:32" ht="23.1" customHeight="1" x14ac:dyDescent="0.25">
      <c r="B31" s="46" t="s">
        <v>58</v>
      </c>
      <c r="C31" s="50">
        <v>43</v>
      </c>
      <c r="D31" s="50">
        <v>5</v>
      </c>
      <c r="E31" s="50">
        <v>5</v>
      </c>
      <c r="F31" s="50">
        <v>14</v>
      </c>
      <c r="G31" s="50">
        <v>0</v>
      </c>
      <c r="H31" s="50">
        <v>1</v>
      </c>
      <c r="I31" s="50">
        <v>2</v>
      </c>
      <c r="J31" s="50">
        <v>5</v>
      </c>
      <c r="K31" s="50">
        <v>2</v>
      </c>
      <c r="L31" s="50">
        <v>1</v>
      </c>
      <c r="M31" s="50">
        <v>265</v>
      </c>
      <c r="N31" s="50">
        <v>0</v>
      </c>
      <c r="O31" s="15">
        <f t="shared" si="0"/>
        <v>78</v>
      </c>
      <c r="P31" s="15">
        <f t="shared" si="1"/>
        <v>343</v>
      </c>
      <c r="R31" s="36" t="s">
        <v>155</v>
      </c>
      <c r="S31" s="34">
        <f>SUM(C94:C97)</f>
        <v>30</v>
      </c>
      <c r="T31" s="34">
        <f t="shared" ref="T31:AF31" si="23">SUM(D94:D97)</f>
        <v>3</v>
      </c>
      <c r="U31" s="34">
        <f t="shared" si="23"/>
        <v>4</v>
      </c>
      <c r="V31" s="34">
        <f t="shared" si="23"/>
        <v>1</v>
      </c>
      <c r="W31" s="34">
        <f t="shared" si="23"/>
        <v>0</v>
      </c>
      <c r="X31" s="34">
        <f t="shared" si="23"/>
        <v>1</v>
      </c>
      <c r="Y31" s="34">
        <f t="shared" si="23"/>
        <v>1</v>
      </c>
      <c r="Z31" s="34">
        <f t="shared" si="23"/>
        <v>4</v>
      </c>
      <c r="AA31" s="34">
        <f t="shared" si="23"/>
        <v>0</v>
      </c>
      <c r="AB31" s="34">
        <f t="shared" si="23"/>
        <v>3</v>
      </c>
      <c r="AC31" s="34">
        <f t="shared" si="23"/>
        <v>83</v>
      </c>
      <c r="AD31" s="34">
        <f t="shared" si="23"/>
        <v>0</v>
      </c>
      <c r="AE31" s="31">
        <f t="shared" si="23"/>
        <v>47</v>
      </c>
      <c r="AF31" s="31">
        <f t="shared" si="23"/>
        <v>130</v>
      </c>
    </row>
    <row r="32" spans="2:32" ht="23.1" customHeight="1" x14ac:dyDescent="0.25">
      <c r="B32" s="46" t="s">
        <v>59</v>
      </c>
      <c r="C32" s="50">
        <v>34</v>
      </c>
      <c r="D32" s="50">
        <v>8</v>
      </c>
      <c r="E32" s="50">
        <v>4</v>
      </c>
      <c r="F32" s="50">
        <v>26</v>
      </c>
      <c r="G32" s="50">
        <v>1</v>
      </c>
      <c r="H32" s="50">
        <v>4</v>
      </c>
      <c r="I32" s="50">
        <v>14</v>
      </c>
      <c r="J32" s="50">
        <v>0</v>
      </c>
      <c r="K32" s="50">
        <v>2</v>
      </c>
      <c r="L32" s="50">
        <v>9</v>
      </c>
      <c r="M32" s="50">
        <v>285</v>
      </c>
      <c r="N32" s="50">
        <v>0</v>
      </c>
      <c r="O32" s="15">
        <f t="shared" si="0"/>
        <v>102</v>
      </c>
      <c r="P32" s="15">
        <f t="shared" si="1"/>
        <v>387</v>
      </c>
      <c r="R32" s="33" t="s">
        <v>156</v>
      </c>
      <c r="S32" s="34">
        <f>SUM(C98:C101)</f>
        <v>33</v>
      </c>
      <c r="T32" s="34">
        <f t="shared" ref="T32:AF32" si="24">SUM(D98:D101)</f>
        <v>5</v>
      </c>
      <c r="U32" s="34">
        <f t="shared" si="24"/>
        <v>7</v>
      </c>
      <c r="V32" s="34">
        <f t="shared" si="24"/>
        <v>6</v>
      </c>
      <c r="W32" s="34">
        <f t="shared" si="24"/>
        <v>4</v>
      </c>
      <c r="X32" s="34">
        <f t="shared" si="24"/>
        <v>1</v>
      </c>
      <c r="Y32" s="34">
        <f t="shared" si="24"/>
        <v>7</v>
      </c>
      <c r="Z32" s="34">
        <f t="shared" si="24"/>
        <v>6</v>
      </c>
      <c r="AA32" s="34">
        <f t="shared" si="24"/>
        <v>5</v>
      </c>
      <c r="AB32" s="34">
        <f t="shared" si="24"/>
        <v>3</v>
      </c>
      <c r="AC32" s="34">
        <f t="shared" si="24"/>
        <v>154</v>
      </c>
      <c r="AD32" s="34">
        <f t="shared" si="24"/>
        <v>0</v>
      </c>
      <c r="AE32" s="31">
        <f t="shared" si="24"/>
        <v>77</v>
      </c>
      <c r="AF32" s="31">
        <f t="shared" si="24"/>
        <v>231</v>
      </c>
    </row>
    <row r="33" spans="2:32" ht="23.1" customHeight="1" x14ac:dyDescent="0.25">
      <c r="B33" s="45" t="s">
        <v>60</v>
      </c>
      <c r="C33" s="50">
        <v>36</v>
      </c>
      <c r="D33" s="50">
        <v>9</v>
      </c>
      <c r="E33" s="50">
        <v>9</v>
      </c>
      <c r="F33" s="50">
        <v>31</v>
      </c>
      <c r="G33" s="50">
        <v>0</v>
      </c>
      <c r="H33" s="50">
        <v>0</v>
      </c>
      <c r="I33" s="50">
        <v>10</v>
      </c>
      <c r="J33" s="50">
        <v>5</v>
      </c>
      <c r="K33" s="50">
        <v>3</v>
      </c>
      <c r="L33" s="50">
        <v>1</v>
      </c>
      <c r="M33" s="50">
        <v>235</v>
      </c>
      <c r="N33" s="50">
        <v>0</v>
      </c>
      <c r="O33" s="15">
        <f t="shared" si="0"/>
        <v>104</v>
      </c>
      <c r="P33" s="15">
        <f t="shared" si="1"/>
        <v>339</v>
      </c>
      <c r="R33" s="33" t="s">
        <v>157</v>
      </c>
      <c r="S33" s="34">
        <f>SUM(C102:C105)</f>
        <v>79</v>
      </c>
      <c r="T33" s="34">
        <f t="shared" ref="T33:AF33" si="25">SUM(D102:D105)</f>
        <v>12</v>
      </c>
      <c r="U33" s="34">
        <f t="shared" si="25"/>
        <v>9</v>
      </c>
      <c r="V33" s="34">
        <f t="shared" si="25"/>
        <v>31</v>
      </c>
      <c r="W33" s="34">
        <f t="shared" si="25"/>
        <v>3</v>
      </c>
      <c r="X33" s="34">
        <f t="shared" si="25"/>
        <v>2</v>
      </c>
      <c r="Y33" s="34">
        <f t="shared" si="25"/>
        <v>8</v>
      </c>
      <c r="Z33" s="34">
        <f t="shared" si="25"/>
        <v>11</v>
      </c>
      <c r="AA33" s="34">
        <f t="shared" si="25"/>
        <v>5</v>
      </c>
      <c r="AB33" s="34">
        <f t="shared" si="25"/>
        <v>4</v>
      </c>
      <c r="AC33" s="34">
        <f t="shared" si="25"/>
        <v>404</v>
      </c>
      <c r="AD33" s="34">
        <f t="shared" si="25"/>
        <v>0</v>
      </c>
      <c r="AE33" s="31">
        <f t="shared" si="25"/>
        <v>164</v>
      </c>
      <c r="AF33" s="31">
        <f t="shared" si="25"/>
        <v>568</v>
      </c>
    </row>
    <row r="34" spans="2:32" ht="23.1" customHeight="1" x14ac:dyDescent="0.25">
      <c r="B34" s="46" t="s">
        <v>61</v>
      </c>
      <c r="C34" s="50">
        <v>41</v>
      </c>
      <c r="D34" s="50">
        <v>9</v>
      </c>
      <c r="E34" s="50">
        <v>8</v>
      </c>
      <c r="F34" s="50">
        <v>33</v>
      </c>
      <c r="G34" s="50">
        <v>3</v>
      </c>
      <c r="H34" s="50">
        <v>0</v>
      </c>
      <c r="I34" s="50">
        <v>11</v>
      </c>
      <c r="J34" s="50">
        <v>10</v>
      </c>
      <c r="K34" s="50">
        <v>4</v>
      </c>
      <c r="L34" s="50">
        <v>1</v>
      </c>
      <c r="M34" s="50">
        <v>273</v>
      </c>
      <c r="N34" s="50">
        <v>0</v>
      </c>
      <c r="O34" s="15">
        <f t="shared" si="0"/>
        <v>120</v>
      </c>
      <c r="P34" s="15">
        <f t="shared" si="1"/>
        <v>393</v>
      </c>
      <c r="R34" s="38" t="s">
        <v>90</v>
      </c>
      <c r="S34" s="39">
        <f t="shared" ref="S34:AF34" si="26">MAX(S10:S12)</f>
        <v>204</v>
      </c>
      <c r="T34" s="39">
        <f t="shared" si="26"/>
        <v>41</v>
      </c>
      <c r="U34" s="39">
        <f t="shared" si="26"/>
        <v>31</v>
      </c>
      <c r="V34" s="39">
        <f t="shared" si="26"/>
        <v>130</v>
      </c>
      <c r="W34" s="39">
        <f t="shared" si="26"/>
        <v>6</v>
      </c>
      <c r="X34" s="39">
        <f t="shared" si="26"/>
        <v>5</v>
      </c>
      <c r="Y34" s="39">
        <f t="shared" si="26"/>
        <v>40</v>
      </c>
      <c r="Z34" s="39">
        <f t="shared" si="26"/>
        <v>24</v>
      </c>
      <c r="AA34" s="39">
        <f t="shared" si="26"/>
        <v>9</v>
      </c>
      <c r="AB34" s="39">
        <f t="shared" si="26"/>
        <v>7</v>
      </c>
      <c r="AC34" s="39">
        <f t="shared" si="26"/>
        <v>1287</v>
      </c>
      <c r="AD34" s="39">
        <f t="shared" si="26"/>
        <v>0</v>
      </c>
      <c r="AE34" s="40">
        <f t="shared" si="26"/>
        <v>471</v>
      </c>
      <c r="AF34" s="40">
        <f t="shared" si="26"/>
        <v>1758</v>
      </c>
    </row>
    <row r="35" spans="2:32" ht="23.1" customHeight="1" x14ac:dyDescent="0.25">
      <c r="B35" s="46" t="s">
        <v>62</v>
      </c>
      <c r="C35" s="50">
        <v>35</v>
      </c>
      <c r="D35" s="50">
        <v>16</v>
      </c>
      <c r="E35" s="50">
        <v>5</v>
      </c>
      <c r="F35" s="50">
        <v>31</v>
      </c>
      <c r="G35" s="50">
        <v>2</v>
      </c>
      <c r="H35" s="50">
        <v>0</v>
      </c>
      <c r="I35" s="50">
        <v>8</v>
      </c>
      <c r="J35" s="50">
        <v>3</v>
      </c>
      <c r="K35" s="50">
        <v>1</v>
      </c>
      <c r="L35" s="50">
        <v>2</v>
      </c>
      <c r="M35" s="50">
        <v>138</v>
      </c>
      <c r="N35" s="50">
        <v>0</v>
      </c>
      <c r="O35" s="15">
        <f t="shared" si="0"/>
        <v>103</v>
      </c>
      <c r="P35" s="15">
        <f t="shared" si="1"/>
        <v>241</v>
      </c>
      <c r="R35" s="38" t="s">
        <v>91</v>
      </c>
      <c r="S35" s="39">
        <f t="shared" ref="S35:AF35" si="27">MAX(S13:S18)</f>
        <v>342</v>
      </c>
      <c r="T35" s="39">
        <f t="shared" si="27"/>
        <v>51</v>
      </c>
      <c r="U35" s="39">
        <f t="shared" si="27"/>
        <v>35</v>
      </c>
      <c r="V35" s="39">
        <f t="shared" si="27"/>
        <v>138</v>
      </c>
      <c r="W35" s="39">
        <f t="shared" si="27"/>
        <v>7</v>
      </c>
      <c r="X35" s="39">
        <f t="shared" si="27"/>
        <v>6</v>
      </c>
      <c r="Y35" s="39">
        <f t="shared" si="27"/>
        <v>59</v>
      </c>
      <c r="Z35" s="39">
        <f t="shared" si="27"/>
        <v>38</v>
      </c>
      <c r="AA35" s="39">
        <f t="shared" si="27"/>
        <v>18</v>
      </c>
      <c r="AB35" s="39">
        <f t="shared" si="27"/>
        <v>14</v>
      </c>
      <c r="AC35" s="39">
        <f t="shared" si="27"/>
        <v>975</v>
      </c>
      <c r="AD35" s="39">
        <f t="shared" si="27"/>
        <v>1</v>
      </c>
      <c r="AE35" s="40">
        <f t="shared" si="27"/>
        <v>643</v>
      </c>
      <c r="AF35" s="40">
        <f t="shared" si="27"/>
        <v>1389</v>
      </c>
    </row>
    <row r="36" spans="2:32" ht="23.1" customHeight="1" x14ac:dyDescent="0.25">
      <c r="B36" s="46" t="s">
        <v>63</v>
      </c>
      <c r="C36" s="50">
        <v>49</v>
      </c>
      <c r="D36" s="50">
        <v>4</v>
      </c>
      <c r="E36" s="50">
        <v>9</v>
      </c>
      <c r="F36" s="50">
        <v>25</v>
      </c>
      <c r="G36" s="50">
        <v>1</v>
      </c>
      <c r="H36" s="50">
        <v>1</v>
      </c>
      <c r="I36" s="50">
        <v>16</v>
      </c>
      <c r="J36" s="50">
        <v>2</v>
      </c>
      <c r="K36" s="50">
        <v>0</v>
      </c>
      <c r="L36" s="50">
        <v>5</v>
      </c>
      <c r="M36" s="50">
        <v>165</v>
      </c>
      <c r="N36" s="50">
        <v>0</v>
      </c>
      <c r="O36" s="15">
        <f t="shared" si="0"/>
        <v>112</v>
      </c>
      <c r="P36" s="15">
        <f t="shared" si="1"/>
        <v>277</v>
      </c>
      <c r="R36" s="38" t="s">
        <v>92</v>
      </c>
      <c r="S36" s="39">
        <f t="shared" ref="S36:AF36" si="28">MAX(S19:S21)</f>
        <v>431</v>
      </c>
      <c r="T36" s="39">
        <f t="shared" si="28"/>
        <v>31</v>
      </c>
      <c r="U36" s="39">
        <f t="shared" si="28"/>
        <v>29</v>
      </c>
      <c r="V36" s="39">
        <f t="shared" si="28"/>
        <v>117</v>
      </c>
      <c r="W36" s="39">
        <f t="shared" si="28"/>
        <v>4</v>
      </c>
      <c r="X36" s="39">
        <f t="shared" si="28"/>
        <v>3</v>
      </c>
      <c r="Y36" s="39">
        <f t="shared" si="28"/>
        <v>46</v>
      </c>
      <c r="Z36" s="39">
        <f t="shared" si="28"/>
        <v>29</v>
      </c>
      <c r="AA36" s="39">
        <f t="shared" si="28"/>
        <v>9</v>
      </c>
      <c r="AB36" s="39">
        <f t="shared" si="28"/>
        <v>13</v>
      </c>
      <c r="AC36" s="39">
        <f t="shared" si="28"/>
        <v>1490</v>
      </c>
      <c r="AD36" s="39">
        <f t="shared" si="28"/>
        <v>0</v>
      </c>
      <c r="AE36" s="40">
        <f t="shared" si="28"/>
        <v>702</v>
      </c>
      <c r="AF36" s="40">
        <f t="shared" si="28"/>
        <v>2123</v>
      </c>
    </row>
    <row r="37" spans="2:32" ht="23.1" customHeight="1" x14ac:dyDescent="0.25">
      <c r="B37" s="45" t="s">
        <v>64</v>
      </c>
      <c r="C37" s="50">
        <v>35</v>
      </c>
      <c r="D37" s="50">
        <v>14</v>
      </c>
      <c r="E37" s="50">
        <v>1</v>
      </c>
      <c r="F37" s="50">
        <v>37</v>
      </c>
      <c r="G37" s="50">
        <v>1</v>
      </c>
      <c r="H37" s="50">
        <v>1</v>
      </c>
      <c r="I37" s="50">
        <v>15</v>
      </c>
      <c r="J37" s="50">
        <v>4</v>
      </c>
      <c r="K37" s="50">
        <v>0</v>
      </c>
      <c r="L37" s="50">
        <v>3</v>
      </c>
      <c r="M37" s="50">
        <v>150</v>
      </c>
      <c r="N37" s="50">
        <v>0</v>
      </c>
      <c r="O37" s="15">
        <f t="shared" si="0"/>
        <v>111</v>
      </c>
      <c r="P37" s="15">
        <f t="shared" si="1"/>
        <v>261</v>
      </c>
      <c r="R37" s="37" t="s">
        <v>85</v>
      </c>
      <c r="S37" s="35">
        <f t="shared" ref="S37:AF37" si="29">SUM(S10:S12)</f>
        <v>542</v>
      </c>
      <c r="T37" s="16">
        <f t="shared" si="29"/>
        <v>92</v>
      </c>
      <c r="U37" s="16">
        <f t="shared" si="29"/>
        <v>76</v>
      </c>
      <c r="V37" s="16">
        <f t="shared" si="29"/>
        <v>328</v>
      </c>
      <c r="W37" s="16">
        <f t="shared" si="29"/>
        <v>7</v>
      </c>
      <c r="X37" s="16">
        <f t="shared" si="29"/>
        <v>8</v>
      </c>
      <c r="Y37" s="16">
        <f t="shared" si="29"/>
        <v>97</v>
      </c>
      <c r="Z37" s="16">
        <f t="shared" si="29"/>
        <v>48</v>
      </c>
      <c r="AA37" s="16">
        <f t="shared" si="29"/>
        <v>18</v>
      </c>
      <c r="AB37" s="16">
        <f t="shared" si="29"/>
        <v>19</v>
      </c>
      <c r="AC37" s="16">
        <f t="shared" si="29"/>
        <v>3125</v>
      </c>
      <c r="AD37" s="16">
        <f t="shared" si="29"/>
        <v>0</v>
      </c>
      <c r="AE37" s="32">
        <f t="shared" si="29"/>
        <v>1235</v>
      </c>
      <c r="AF37" s="32">
        <f t="shared" si="29"/>
        <v>4360</v>
      </c>
    </row>
    <row r="38" spans="2:32" ht="23.1" customHeight="1" x14ac:dyDescent="0.25">
      <c r="B38" s="46" t="s">
        <v>65</v>
      </c>
      <c r="C38" s="50">
        <v>70</v>
      </c>
      <c r="D38" s="50">
        <v>15</v>
      </c>
      <c r="E38" s="50">
        <v>6</v>
      </c>
      <c r="F38" s="50">
        <v>35</v>
      </c>
      <c r="G38" s="50">
        <v>0</v>
      </c>
      <c r="H38" s="50">
        <v>0</v>
      </c>
      <c r="I38" s="50">
        <v>17</v>
      </c>
      <c r="J38" s="50">
        <v>9</v>
      </c>
      <c r="K38" s="50">
        <v>1</v>
      </c>
      <c r="L38" s="50">
        <v>4</v>
      </c>
      <c r="M38" s="50">
        <v>240</v>
      </c>
      <c r="N38" s="50">
        <v>0</v>
      </c>
      <c r="O38" s="15">
        <f t="shared" si="0"/>
        <v>157</v>
      </c>
      <c r="P38" s="15">
        <f t="shared" si="1"/>
        <v>397</v>
      </c>
      <c r="R38" s="28" t="s">
        <v>86</v>
      </c>
      <c r="S38" s="16">
        <f t="shared" ref="S38:AF38" si="30">SUM(S13:S18)</f>
        <v>1289</v>
      </c>
      <c r="T38" s="16">
        <f t="shared" si="30"/>
        <v>230</v>
      </c>
      <c r="U38" s="16">
        <f t="shared" si="30"/>
        <v>175</v>
      </c>
      <c r="V38" s="16">
        <f t="shared" si="30"/>
        <v>673</v>
      </c>
      <c r="W38" s="16">
        <f t="shared" si="30"/>
        <v>23</v>
      </c>
      <c r="X38" s="16">
        <f t="shared" si="30"/>
        <v>16</v>
      </c>
      <c r="Y38" s="16">
        <f t="shared" si="30"/>
        <v>272</v>
      </c>
      <c r="Z38" s="16">
        <f t="shared" si="30"/>
        <v>155</v>
      </c>
      <c r="AA38" s="16">
        <f t="shared" si="30"/>
        <v>58</v>
      </c>
      <c r="AB38" s="16">
        <f t="shared" si="30"/>
        <v>62</v>
      </c>
      <c r="AC38" s="16">
        <f t="shared" si="30"/>
        <v>4777</v>
      </c>
      <c r="AD38" s="16">
        <f t="shared" si="30"/>
        <v>1</v>
      </c>
      <c r="AE38" s="32">
        <f t="shared" si="30"/>
        <v>2954</v>
      </c>
      <c r="AF38" s="32">
        <f t="shared" si="30"/>
        <v>7731</v>
      </c>
    </row>
    <row r="39" spans="2:32" ht="23.1" customHeight="1" x14ac:dyDescent="0.25">
      <c r="B39" s="46" t="s">
        <v>66</v>
      </c>
      <c r="C39" s="50">
        <v>76</v>
      </c>
      <c r="D39" s="50">
        <v>14</v>
      </c>
      <c r="E39" s="50">
        <v>8</v>
      </c>
      <c r="F39" s="50">
        <v>19</v>
      </c>
      <c r="G39" s="50">
        <v>0</v>
      </c>
      <c r="H39" s="50">
        <v>0</v>
      </c>
      <c r="I39" s="50">
        <v>14</v>
      </c>
      <c r="J39" s="50">
        <v>11</v>
      </c>
      <c r="K39" s="50">
        <v>2</v>
      </c>
      <c r="L39" s="50">
        <v>1</v>
      </c>
      <c r="M39" s="50">
        <v>150</v>
      </c>
      <c r="N39" s="50">
        <v>0</v>
      </c>
      <c r="O39" s="15">
        <f t="shared" si="0"/>
        <v>145</v>
      </c>
      <c r="P39" s="15">
        <f t="shared" si="1"/>
        <v>295</v>
      </c>
      <c r="R39" s="29" t="s">
        <v>87</v>
      </c>
      <c r="S39" s="16">
        <f t="shared" ref="S39:AF39" si="31">SUM(S19:S21)</f>
        <v>1034</v>
      </c>
      <c r="T39" s="16">
        <f t="shared" si="31"/>
        <v>86</v>
      </c>
      <c r="U39" s="16">
        <f t="shared" si="31"/>
        <v>75</v>
      </c>
      <c r="V39" s="16">
        <f t="shared" si="31"/>
        <v>295</v>
      </c>
      <c r="W39" s="16">
        <f t="shared" si="31"/>
        <v>4</v>
      </c>
      <c r="X39" s="16">
        <f t="shared" si="31"/>
        <v>6</v>
      </c>
      <c r="Y39" s="16">
        <f t="shared" si="31"/>
        <v>107</v>
      </c>
      <c r="Z39" s="16">
        <f t="shared" si="31"/>
        <v>67</v>
      </c>
      <c r="AA39" s="16">
        <f t="shared" si="31"/>
        <v>22</v>
      </c>
      <c r="AB39" s="16">
        <f t="shared" si="31"/>
        <v>24</v>
      </c>
      <c r="AC39" s="16">
        <f t="shared" si="31"/>
        <v>3921</v>
      </c>
      <c r="AD39" s="16">
        <f t="shared" si="31"/>
        <v>0</v>
      </c>
      <c r="AE39" s="32">
        <f t="shared" si="31"/>
        <v>1720</v>
      </c>
      <c r="AF39" s="32">
        <f t="shared" si="31"/>
        <v>5641</v>
      </c>
    </row>
    <row r="40" spans="2:32" ht="23.1" customHeight="1" x14ac:dyDescent="0.25">
      <c r="B40" s="46" t="s">
        <v>67</v>
      </c>
      <c r="C40" s="50">
        <v>40</v>
      </c>
      <c r="D40" s="50">
        <v>5</v>
      </c>
      <c r="E40" s="50">
        <v>13</v>
      </c>
      <c r="F40" s="50">
        <v>20</v>
      </c>
      <c r="G40" s="50">
        <v>1</v>
      </c>
      <c r="H40" s="50">
        <v>0</v>
      </c>
      <c r="I40" s="50">
        <v>11</v>
      </c>
      <c r="J40" s="50">
        <v>9</v>
      </c>
      <c r="K40" s="50">
        <v>2</v>
      </c>
      <c r="L40" s="50">
        <v>4</v>
      </c>
      <c r="M40" s="50">
        <v>130</v>
      </c>
      <c r="N40" s="50">
        <v>1</v>
      </c>
      <c r="O40" s="15">
        <f t="shared" si="0"/>
        <v>106</v>
      </c>
      <c r="P40" s="15">
        <f t="shared" si="1"/>
        <v>236</v>
      </c>
      <c r="R40" s="5" t="s">
        <v>17</v>
      </c>
      <c r="S40" s="16">
        <f t="shared" ref="S40:AF40" si="32">SUM(S10:S21)</f>
        <v>2865</v>
      </c>
      <c r="T40" s="16">
        <f t="shared" si="32"/>
        <v>408</v>
      </c>
      <c r="U40" s="16">
        <f t="shared" si="32"/>
        <v>326</v>
      </c>
      <c r="V40" s="16">
        <f t="shared" si="32"/>
        <v>1296</v>
      </c>
      <c r="W40" s="16">
        <f t="shared" si="32"/>
        <v>34</v>
      </c>
      <c r="X40" s="16">
        <f t="shared" si="32"/>
        <v>30</v>
      </c>
      <c r="Y40" s="16">
        <f t="shared" si="32"/>
        <v>476</v>
      </c>
      <c r="Z40" s="16">
        <f t="shared" si="32"/>
        <v>270</v>
      </c>
      <c r="AA40" s="16">
        <f t="shared" si="32"/>
        <v>98</v>
      </c>
      <c r="AB40" s="16">
        <f t="shared" si="32"/>
        <v>105</v>
      </c>
      <c r="AC40" s="16">
        <f t="shared" si="32"/>
        <v>11823</v>
      </c>
      <c r="AD40" s="16">
        <f t="shared" si="32"/>
        <v>1</v>
      </c>
      <c r="AE40" s="32">
        <f t="shared" si="32"/>
        <v>5909</v>
      </c>
      <c r="AF40" s="32">
        <f t="shared" si="32"/>
        <v>17732</v>
      </c>
    </row>
    <row r="41" spans="2:32" ht="23.1" customHeight="1" x14ac:dyDescent="0.25">
      <c r="B41" s="45" t="s">
        <v>68</v>
      </c>
      <c r="C41" s="50">
        <v>46</v>
      </c>
      <c r="D41" s="50">
        <v>6</v>
      </c>
      <c r="E41" s="50">
        <v>8</v>
      </c>
      <c r="F41" s="50">
        <v>24</v>
      </c>
      <c r="G41" s="50">
        <v>0</v>
      </c>
      <c r="H41" s="50">
        <v>1</v>
      </c>
      <c r="I41" s="50">
        <v>10</v>
      </c>
      <c r="J41" s="50">
        <v>6</v>
      </c>
      <c r="K41" s="50">
        <v>4</v>
      </c>
      <c r="L41" s="50">
        <v>1</v>
      </c>
      <c r="M41" s="50">
        <v>128</v>
      </c>
      <c r="N41" s="50">
        <v>0</v>
      </c>
      <c r="O41" s="15">
        <f t="shared" si="0"/>
        <v>106</v>
      </c>
      <c r="P41" s="15">
        <f t="shared" si="1"/>
        <v>234</v>
      </c>
      <c r="R41" s="5" t="s">
        <v>159</v>
      </c>
      <c r="S41" s="16">
        <f>SUM(S10:S33)</f>
        <v>5161</v>
      </c>
      <c r="T41" s="16">
        <f t="shared" ref="T41:AF41" si="33">SUM(T10:T33)</f>
        <v>743</v>
      </c>
      <c r="U41" s="16">
        <f t="shared" si="33"/>
        <v>502</v>
      </c>
      <c r="V41" s="16">
        <f t="shared" si="33"/>
        <v>1973</v>
      </c>
      <c r="W41" s="16">
        <f t="shared" si="33"/>
        <v>70</v>
      </c>
      <c r="X41" s="16">
        <f t="shared" si="33"/>
        <v>45</v>
      </c>
      <c r="Y41" s="16">
        <f t="shared" si="33"/>
        <v>650</v>
      </c>
      <c r="Z41" s="16">
        <f t="shared" si="33"/>
        <v>432</v>
      </c>
      <c r="AA41" s="16">
        <f t="shared" si="33"/>
        <v>141</v>
      </c>
      <c r="AB41" s="16">
        <f t="shared" si="33"/>
        <v>155</v>
      </c>
      <c r="AC41" s="16">
        <f t="shared" si="33"/>
        <v>16082</v>
      </c>
      <c r="AD41" s="16">
        <f t="shared" si="33"/>
        <v>2</v>
      </c>
      <c r="AE41" s="32">
        <f t="shared" si="33"/>
        <v>9874</v>
      </c>
      <c r="AF41" s="32">
        <f t="shared" si="33"/>
        <v>25956</v>
      </c>
    </row>
    <row r="42" spans="2:32" ht="23.1" customHeight="1" x14ac:dyDescent="0.25">
      <c r="B42" s="46" t="s">
        <v>69</v>
      </c>
      <c r="C42" s="50">
        <v>55</v>
      </c>
      <c r="D42" s="50">
        <v>4</v>
      </c>
      <c r="E42" s="50">
        <v>4</v>
      </c>
      <c r="F42" s="50">
        <v>24</v>
      </c>
      <c r="G42" s="50">
        <v>1</v>
      </c>
      <c r="H42" s="50">
        <v>1</v>
      </c>
      <c r="I42" s="50">
        <v>12</v>
      </c>
      <c r="J42" s="50">
        <v>4</v>
      </c>
      <c r="K42" s="50">
        <v>1</v>
      </c>
      <c r="L42" s="50">
        <v>0</v>
      </c>
      <c r="M42" s="50">
        <v>161</v>
      </c>
      <c r="N42" s="50">
        <v>0</v>
      </c>
      <c r="O42" s="15">
        <f t="shared" si="0"/>
        <v>106</v>
      </c>
      <c r="P42" s="15">
        <f t="shared" si="1"/>
        <v>267</v>
      </c>
      <c r="R42" s="5" t="s">
        <v>160</v>
      </c>
      <c r="S42" s="48">
        <f>S41/S40</f>
        <v>1.8013961605584643</v>
      </c>
      <c r="T42" s="48">
        <f t="shared" ref="T42:AF42" si="34">T41/T40</f>
        <v>1.821078431372549</v>
      </c>
      <c r="U42" s="48">
        <f t="shared" si="34"/>
        <v>1.5398773006134969</v>
      </c>
      <c r="V42" s="48">
        <f t="shared" si="34"/>
        <v>1.5223765432098766</v>
      </c>
      <c r="W42" s="48">
        <f t="shared" si="34"/>
        <v>2.0588235294117645</v>
      </c>
      <c r="X42" s="48">
        <f t="shared" si="34"/>
        <v>1.5</v>
      </c>
      <c r="Y42" s="48">
        <f t="shared" si="34"/>
        <v>1.365546218487395</v>
      </c>
      <c r="Z42" s="48">
        <f t="shared" si="34"/>
        <v>1.6</v>
      </c>
      <c r="AA42" s="48">
        <f t="shared" si="34"/>
        <v>1.4387755102040816</v>
      </c>
      <c r="AB42" s="48">
        <f t="shared" si="34"/>
        <v>1.4761904761904763</v>
      </c>
      <c r="AC42" s="48">
        <f t="shared" si="34"/>
        <v>1.3602300600524402</v>
      </c>
      <c r="AD42" s="48">
        <f t="shared" si="34"/>
        <v>2</v>
      </c>
      <c r="AE42" s="48">
        <f t="shared" si="34"/>
        <v>1.6710103232357421</v>
      </c>
      <c r="AF42" s="48">
        <f t="shared" si="34"/>
        <v>1.463794270245883</v>
      </c>
    </row>
    <row r="43" spans="2:32" ht="23.1" customHeight="1" x14ac:dyDescent="0.25">
      <c r="B43" s="45" t="s">
        <v>70</v>
      </c>
      <c r="C43" s="50">
        <v>90</v>
      </c>
      <c r="D43" s="50">
        <v>19</v>
      </c>
      <c r="E43" s="50">
        <v>13</v>
      </c>
      <c r="F43" s="50">
        <v>27</v>
      </c>
      <c r="G43" s="50">
        <v>0</v>
      </c>
      <c r="H43" s="50">
        <v>0</v>
      </c>
      <c r="I43" s="50">
        <v>19</v>
      </c>
      <c r="J43" s="50">
        <v>0</v>
      </c>
      <c r="K43" s="50">
        <v>8</v>
      </c>
      <c r="L43" s="50">
        <v>5</v>
      </c>
      <c r="M43" s="50">
        <v>195</v>
      </c>
      <c r="N43" s="50">
        <v>0</v>
      </c>
      <c r="O43" s="15">
        <f t="shared" si="0"/>
        <v>181</v>
      </c>
      <c r="P43" s="15">
        <f t="shared" si="1"/>
        <v>376</v>
      </c>
    </row>
    <row r="44" spans="2:32" ht="23.1" customHeight="1" x14ac:dyDescent="0.25">
      <c r="B44" s="47" t="s">
        <v>71</v>
      </c>
      <c r="C44" s="50">
        <v>110</v>
      </c>
      <c r="D44" s="50">
        <v>21</v>
      </c>
      <c r="E44" s="50">
        <v>8</v>
      </c>
      <c r="F44" s="50">
        <v>14</v>
      </c>
      <c r="G44" s="50">
        <v>2</v>
      </c>
      <c r="H44" s="50">
        <v>2</v>
      </c>
      <c r="I44" s="50">
        <v>13</v>
      </c>
      <c r="J44" s="50">
        <v>9</v>
      </c>
      <c r="K44" s="50">
        <v>4</v>
      </c>
      <c r="L44" s="50">
        <v>3</v>
      </c>
      <c r="M44" s="50">
        <v>225</v>
      </c>
      <c r="N44" s="50">
        <v>0</v>
      </c>
      <c r="O44" s="15">
        <f t="shared" si="0"/>
        <v>186</v>
      </c>
      <c r="P44" s="15">
        <f t="shared" si="1"/>
        <v>411</v>
      </c>
    </row>
    <row r="45" spans="2:32" ht="23.1" customHeight="1" x14ac:dyDescent="0.25">
      <c r="B45" s="45" t="s">
        <v>72</v>
      </c>
      <c r="C45" s="50">
        <v>87</v>
      </c>
      <c r="D45" s="50">
        <v>7</v>
      </c>
      <c r="E45" s="50">
        <v>10</v>
      </c>
      <c r="F45" s="50">
        <v>30</v>
      </c>
      <c r="G45" s="50">
        <v>0</v>
      </c>
      <c r="H45" s="50">
        <v>1</v>
      </c>
      <c r="I45" s="50">
        <v>15</v>
      </c>
      <c r="J45" s="50">
        <v>9</v>
      </c>
      <c r="K45" s="50">
        <v>5</v>
      </c>
      <c r="L45" s="50">
        <v>6</v>
      </c>
      <c r="M45" s="50">
        <v>112</v>
      </c>
      <c r="N45" s="50">
        <v>0</v>
      </c>
      <c r="O45" s="15">
        <f t="shared" si="0"/>
        <v>170</v>
      </c>
      <c r="P45" s="15">
        <f t="shared" si="1"/>
        <v>282</v>
      </c>
    </row>
    <row r="46" spans="2:32" ht="23.1" customHeight="1" x14ac:dyDescent="0.25">
      <c r="B46" s="46" t="s">
        <v>73</v>
      </c>
      <c r="C46" s="50">
        <v>56</v>
      </c>
      <c r="D46" s="50">
        <v>5</v>
      </c>
      <c r="E46" s="50">
        <v>1</v>
      </c>
      <c r="F46" s="50">
        <v>9</v>
      </c>
      <c r="G46" s="50">
        <v>0</v>
      </c>
      <c r="H46" s="50">
        <v>0</v>
      </c>
      <c r="I46" s="50">
        <v>5</v>
      </c>
      <c r="J46" s="50">
        <v>1</v>
      </c>
      <c r="K46" s="50">
        <v>0</v>
      </c>
      <c r="L46" s="50">
        <v>0</v>
      </c>
      <c r="M46" s="50">
        <v>198</v>
      </c>
      <c r="N46" s="50">
        <v>0</v>
      </c>
      <c r="O46" s="15">
        <f t="shared" si="0"/>
        <v>77</v>
      </c>
      <c r="P46" s="15">
        <f t="shared" si="1"/>
        <v>275</v>
      </c>
      <c r="R46" s="8"/>
      <c r="T46"/>
    </row>
    <row r="47" spans="2:32" ht="23.1" customHeight="1" x14ac:dyDescent="0.25">
      <c r="B47" s="46" t="s">
        <v>74</v>
      </c>
      <c r="C47" s="50">
        <v>42</v>
      </c>
      <c r="D47" s="50">
        <v>4</v>
      </c>
      <c r="E47" s="50">
        <v>2</v>
      </c>
      <c r="F47" s="50">
        <v>21</v>
      </c>
      <c r="G47" s="50">
        <v>0</v>
      </c>
      <c r="H47" s="50">
        <v>0</v>
      </c>
      <c r="I47" s="50">
        <v>7</v>
      </c>
      <c r="J47" s="50">
        <v>4</v>
      </c>
      <c r="K47" s="50">
        <v>3</v>
      </c>
      <c r="L47" s="50">
        <v>1</v>
      </c>
      <c r="M47" s="50">
        <v>268</v>
      </c>
      <c r="N47" s="50">
        <v>0</v>
      </c>
      <c r="O47" s="15">
        <f t="shared" si="0"/>
        <v>84</v>
      </c>
      <c r="P47" s="15">
        <f t="shared" si="1"/>
        <v>352</v>
      </c>
      <c r="R47" s="8"/>
      <c r="T47"/>
    </row>
    <row r="48" spans="2:32" ht="23.1" customHeight="1" x14ac:dyDescent="0.25">
      <c r="B48" s="46" t="s">
        <v>75</v>
      </c>
      <c r="C48" s="50">
        <v>46</v>
      </c>
      <c r="D48" s="50">
        <v>5</v>
      </c>
      <c r="E48" s="50">
        <v>4</v>
      </c>
      <c r="F48" s="50">
        <v>11</v>
      </c>
      <c r="G48" s="50">
        <v>0</v>
      </c>
      <c r="H48" s="50">
        <v>0</v>
      </c>
      <c r="I48" s="50">
        <v>5</v>
      </c>
      <c r="J48" s="50">
        <v>7</v>
      </c>
      <c r="K48" s="50">
        <v>3</v>
      </c>
      <c r="L48" s="50">
        <v>1</v>
      </c>
      <c r="M48" s="50">
        <v>310</v>
      </c>
      <c r="N48" s="50">
        <v>0</v>
      </c>
      <c r="O48" s="15">
        <f t="shared" si="0"/>
        <v>82</v>
      </c>
      <c r="P48" s="15">
        <f t="shared" si="1"/>
        <v>392</v>
      </c>
      <c r="R48" s="8"/>
      <c r="T48"/>
    </row>
    <row r="49" spans="2:20" ht="23.1" customHeight="1" x14ac:dyDescent="0.25">
      <c r="B49" s="45" t="s">
        <v>76</v>
      </c>
      <c r="C49" s="50">
        <v>65</v>
      </c>
      <c r="D49" s="50">
        <v>12</v>
      </c>
      <c r="E49" s="50">
        <v>16</v>
      </c>
      <c r="F49" s="50">
        <v>25</v>
      </c>
      <c r="G49" s="50">
        <v>0</v>
      </c>
      <c r="H49" s="50">
        <v>1</v>
      </c>
      <c r="I49" s="50">
        <v>11</v>
      </c>
      <c r="J49" s="50">
        <v>6</v>
      </c>
      <c r="K49" s="50">
        <v>3</v>
      </c>
      <c r="L49" s="50">
        <v>3</v>
      </c>
      <c r="M49" s="50">
        <v>265</v>
      </c>
      <c r="N49" s="50">
        <v>0</v>
      </c>
      <c r="O49" s="15">
        <f t="shared" si="0"/>
        <v>142</v>
      </c>
      <c r="P49" s="15">
        <f t="shared" si="1"/>
        <v>407</v>
      </c>
      <c r="R49" s="8"/>
      <c r="T49"/>
    </row>
    <row r="50" spans="2:20" ht="23.1" customHeight="1" x14ac:dyDescent="0.25">
      <c r="B50" s="46" t="s">
        <v>77</v>
      </c>
      <c r="C50" s="50">
        <v>71</v>
      </c>
      <c r="D50" s="50">
        <v>8</v>
      </c>
      <c r="E50" s="50">
        <v>9</v>
      </c>
      <c r="F50" s="50">
        <v>35</v>
      </c>
      <c r="G50" s="50">
        <v>0</v>
      </c>
      <c r="H50" s="50">
        <v>3</v>
      </c>
      <c r="I50" s="50">
        <v>13</v>
      </c>
      <c r="J50" s="50">
        <v>7</v>
      </c>
      <c r="K50" s="50">
        <v>2</v>
      </c>
      <c r="L50" s="50">
        <v>4</v>
      </c>
      <c r="M50" s="50">
        <v>285</v>
      </c>
      <c r="N50" s="50">
        <v>0</v>
      </c>
      <c r="O50" s="15">
        <f t="shared" si="0"/>
        <v>152</v>
      </c>
      <c r="P50" s="15">
        <f t="shared" si="1"/>
        <v>437</v>
      </c>
      <c r="R50" s="8"/>
      <c r="T50"/>
    </row>
    <row r="51" spans="2:20" ht="23.1" customHeight="1" x14ac:dyDescent="0.25">
      <c r="B51" s="46" t="s">
        <v>78</v>
      </c>
      <c r="C51" s="50">
        <v>100</v>
      </c>
      <c r="D51" s="50">
        <v>8</v>
      </c>
      <c r="E51" s="50">
        <v>4</v>
      </c>
      <c r="F51" s="50">
        <v>30</v>
      </c>
      <c r="G51" s="50">
        <v>0</v>
      </c>
      <c r="H51" s="50">
        <v>0</v>
      </c>
      <c r="I51" s="50">
        <v>4</v>
      </c>
      <c r="J51" s="50">
        <v>3</v>
      </c>
      <c r="K51" s="50">
        <v>2</v>
      </c>
      <c r="L51" s="50">
        <v>2</v>
      </c>
      <c r="M51" s="50">
        <v>280</v>
      </c>
      <c r="N51" s="50">
        <v>0</v>
      </c>
      <c r="O51" s="15">
        <f t="shared" si="0"/>
        <v>153</v>
      </c>
      <c r="P51" s="15">
        <f t="shared" si="1"/>
        <v>433</v>
      </c>
      <c r="R51" s="8"/>
      <c r="T51"/>
    </row>
    <row r="52" spans="2:20" ht="23.1" customHeight="1" x14ac:dyDescent="0.25">
      <c r="B52" s="46" t="s">
        <v>79</v>
      </c>
      <c r="C52" s="50">
        <v>115</v>
      </c>
      <c r="D52" s="50">
        <v>7</v>
      </c>
      <c r="E52" s="50">
        <v>5</v>
      </c>
      <c r="F52" s="50">
        <v>22</v>
      </c>
      <c r="G52" s="50">
        <v>0</v>
      </c>
      <c r="H52" s="50">
        <v>0</v>
      </c>
      <c r="I52" s="50">
        <v>13</v>
      </c>
      <c r="J52" s="50">
        <v>9</v>
      </c>
      <c r="K52" s="50">
        <v>1</v>
      </c>
      <c r="L52" s="50">
        <v>3</v>
      </c>
      <c r="M52" s="50">
        <v>355</v>
      </c>
      <c r="N52" s="50">
        <v>0</v>
      </c>
      <c r="O52" s="15">
        <f t="shared" si="0"/>
        <v>175</v>
      </c>
      <c r="P52" s="15">
        <f t="shared" si="1"/>
        <v>530</v>
      </c>
      <c r="R52" s="8"/>
      <c r="T52"/>
    </row>
    <row r="53" spans="2:20" ht="23.1" customHeight="1" x14ac:dyDescent="0.25">
      <c r="B53" s="45" t="s">
        <v>80</v>
      </c>
      <c r="C53" s="50">
        <v>145</v>
      </c>
      <c r="D53" s="50">
        <v>8</v>
      </c>
      <c r="E53" s="50">
        <v>5</v>
      </c>
      <c r="F53" s="50">
        <v>30</v>
      </c>
      <c r="G53" s="50">
        <v>0</v>
      </c>
      <c r="H53" s="50">
        <v>0</v>
      </c>
      <c r="I53" s="50">
        <v>16</v>
      </c>
      <c r="J53" s="50">
        <v>10</v>
      </c>
      <c r="K53" s="50">
        <v>4</v>
      </c>
      <c r="L53" s="50">
        <v>4</v>
      </c>
      <c r="M53" s="50">
        <v>470</v>
      </c>
      <c r="N53" s="50">
        <v>0</v>
      </c>
      <c r="O53" s="15">
        <f t="shared" si="0"/>
        <v>222</v>
      </c>
      <c r="P53" s="15">
        <f t="shared" si="1"/>
        <v>692</v>
      </c>
      <c r="R53" s="8"/>
      <c r="T53"/>
    </row>
    <row r="54" spans="2:20" ht="23.1" customHeight="1" x14ac:dyDescent="0.25">
      <c r="B54" s="45" t="s">
        <v>81</v>
      </c>
      <c r="C54" s="50">
        <v>86</v>
      </c>
      <c r="D54" s="50">
        <v>12</v>
      </c>
      <c r="E54" s="50">
        <v>8</v>
      </c>
      <c r="F54" s="50">
        <v>26</v>
      </c>
      <c r="G54" s="50">
        <v>0</v>
      </c>
      <c r="H54" s="50">
        <v>2</v>
      </c>
      <c r="I54" s="50">
        <v>5</v>
      </c>
      <c r="J54" s="50">
        <v>8</v>
      </c>
      <c r="K54" s="50">
        <v>2</v>
      </c>
      <c r="L54" s="50">
        <v>4</v>
      </c>
      <c r="M54" s="50">
        <v>330</v>
      </c>
      <c r="N54" s="50">
        <v>0</v>
      </c>
      <c r="O54" s="15">
        <f t="shared" si="0"/>
        <v>153</v>
      </c>
      <c r="P54" s="15">
        <f t="shared" si="1"/>
        <v>483</v>
      </c>
      <c r="R54" s="8"/>
      <c r="T54"/>
    </row>
    <row r="55" spans="2:20" ht="23.1" customHeight="1" x14ac:dyDescent="0.25">
      <c r="B55" s="45" t="s">
        <v>82</v>
      </c>
      <c r="C55" s="50">
        <v>61</v>
      </c>
      <c r="D55" s="50">
        <v>6</v>
      </c>
      <c r="E55" s="50">
        <v>2</v>
      </c>
      <c r="F55" s="50">
        <v>30</v>
      </c>
      <c r="G55" s="50">
        <v>2</v>
      </c>
      <c r="H55" s="50">
        <v>0</v>
      </c>
      <c r="I55" s="50">
        <v>8</v>
      </c>
      <c r="J55" s="50">
        <v>6</v>
      </c>
      <c r="K55" s="50">
        <v>1</v>
      </c>
      <c r="L55" s="50">
        <v>1</v>
      </c>
      <c r="M55" s="50">
        <v>300</v>
      </c>
      <c r="N55" s="50">
        <v>0</v>
      </c>
      <c r="O55" s="15">
        <f t="shared" si="0"/>
        <v>117</v>
      </c>
      <c r="P55" s="15">
        <f t="shared" si="1"/>
        <v>417</v>
      </c>
      <c r="R55" s="8"/>
      <c r="T55"/>
    </row>
    <row r="56" spans="2:20" ht="23.1" customHeight="1" x14ac:dyDescent="0.25">
      <c r="B56" s="45" t="s">
        <v>83</v>
      </c>
      <c r="C56" s="50">
        <v>76</v>
      </c>
      <c r="D56" s="50">
        <v>6</v>
      </c>
      <c r="E56" s="50">
        <v>11</v>
      </c>
      <c r="F56" s="50">
        <v>32</v>
      </c>
      <c r="G56" s="50">
        <v>2</v>
      </c>
      <c r="H56" s="50">
        <v>0</v>
      </c>
      <c r="I56" s="50">
        <v>13</v>
      </c>
      <c r="J56" s="50">
        <v>4</v>
      </c>
      <c r="K56" s="50">
        <v>1</v>
      </c>
      <c r="L56" s="50">
        <v>1</v>
      </c>
      <c r="M56" s="50">
        <v>350</v>
      </c>
      <c r="N56" s="50">
        <v>0</v>
      </c>
      <c r="O56" s="15">
        <f t="shared" si="0"/>
        <v>146</v>
      </c>
      <c r="P56" s="15">
        <f t="shared" si="1"/>
        <v>496</v>
      </c>
      <c r="R56" s="8"/>
      <c r="T56"/>
    </row>
    <row r="57" spans="2:20" ht="23.1" customHeight="1" x14ac:dyDescent="0.25">
      <c r="B57" s="45" t="s">
        <v>84</v>
      </c>
      <c r="C57" s="50">
        <v>171</v>
      </c>
      <c r="D57" s="50">
        <v>5</v>
      </c>
      <c r="E57" s="50">
        <v>8</v>
      </c>
      <c r="F57" s="50">
        <v>24</v>
      </c>
      <c r="G57" s="50">
        <v>0</v>
      </c>
      <c r="H57" s="50">
        <v>0</v>
      </c>
      <c r="I57" s="50">
        <v>7</v>
      </c>
      <c r="J57" s="50">
        <v>2</v>
      </c>
      <c r="K57" s="50">
        <v>0</v>
      </c>
      <c r="L57" s="50">
        <v>0</v>
      </c>
      <c r="M57" s="50">
        <v>510</v>
      </c>
      <c r="N57" s="50">
        <v>0</v>
      </c>
      <c r="O57" s="15">
        <f t="shared" si="0"/>
        <v>217</v>
      </c>
      <c r="P57" s="15">
        <f t="shared" si="1"/>
        <v>727</v>
      </c>
      <c r="R57" s="8"/>
      <c r="T57"/>
    </row>
    <row r="58" spans="2:20" ht="23.1" customHeight="1" x14ac:dyDescent="0.25">
      <c r="B58" s="45" t="s">
        <v>99</v>
      </c>
      <c r="C58" s="50">
        <v>91</v>
      </c>
      <c r="D58" s="50">
        <v>22</v>
      </c>
      <c r="E58" s="50">
        <v>9</v>
      </c>
      <c r="F58" s="50">
        <v>43</v>
      </c>
      <c r="G58" s="50">
        <v>3</v>
      </c>
      <c r="H58" s="50">
        <v>3</v>
      </c>
      <c r="I58" s="50">
        <v>7</v>
      </c>
      <c r="J58" s="50">
        <v>3</v>
      </c>
      <c r="K58" s="50">
        <v>3</v>
      </c>
      <c r="L58" s="50">
        <v>1</v>
      </c>
      <c r="M58" s="50">
        <v>140</v>
      </c>
      <c r="N58" s="50">
        <v>1</v>
      </c>
      <c r="O58" s="15">
        <f t="shared" si="0"/>
        <v>186</v>
      </c>
      <c r="P58" s="15">
        <f t="shared" si="1"/>
        <v>326</v>
      </c>
      <c r="R58" s="8"/>
      <c r="T58"/>
    </row>
    <row r="59" spans="2:20" ht="23.1" customHeight="1" x14ac:dyDescent="0.25">
      <c r="B59" s="45" t="s">
        <v>100</v>
      </c>
      <c r="C59" s="50">
        <v>75</v>
      </c>
      <c r="D59" s="50">
        <v>27</v>
      </c>
      <c r="E59" s="50">
        <v>7</v>
      </c>
      <c r="F59" s="50">
        <v>37</v>
      </c>
      <c r="G59" s="50">
        <v>5</v>
      </c>
      <c r="H59" s="50">
        <v>2</v>
      </c>
      <c r="I59" s="50">
        <v>20</v>
      </c>
      <c r="J59" s="50">
        <v>5</v>
      </c>
      <c r="K59" s="50">
        <v>4</v>
      </c>
      <c r="L59" s="50">
        <v>3</v>
      </c>
      <c r="M59" s="50">
        <v>155</v>
      </c>
      <c r="N59" s="50">
        <v>0</v>
      </c>
      <c r="O59" s="15">
        <f t="shared" si="0"/>
        <v>185</v>
      </c>
      <c r="P59" s="15">
        <f t="shared" si="1"/>
        <v>340</v>
      </c>
      <c r="R59" s="8"/>
      <c r="T59"/>
    </row>
    <row r="60" spans="2:20" ht="23.1" customHeight="1" x14ac:dyDescent="0.25">
      <c r="B60" s="45" t="s">
        <v>101</v>
      </c>
      <c r="C60" s="50">
        <v>103</v>
      </c>
      <c r="D60" s="50">
        <v>26</v>
      </c>
      <c r="E60" s="50">
        <v>12</v>
      </c>
      <c r="F60" s="50">
        <v>44</v>
      </c>
      <c r="G60" s="50">
        <v>2</v>
      </c>
      <c r="H60" s="50">
        <v>1</v>
      </c>
      <c r="I60" s="50">
        <v>14</v>
      </c>
      <c r="J60" s="50">
        <v>10</v>
      </c>
      <c r="K60" s="50">
        <v>3</v>
      </c>
      <c r="L60" s="50">
        <v>2</v>
      </c>
      <c r="M60" s="50">
        <v>210</v>
      </c>
      <c r="N60" s="50">
        <v>0</v>
      </c>
      <c r="O60" s="15">
        <f t="shared" si="0"/>
        <v>217</v>
      </c>
      <c r="P60" s="15">
        <f t="shared" si="1"/>
        <v>427</v>
      </c>
      <c r="R60" s="8"/>
      <c r="T60"/>
    </row>
    <row r="61" spans="2:20" ht="23.1" customHeight="1" x14ac:dyDescent="0.25">
      <c r="B61" s="45" t="s">
        <v>102</v>
      </c>
      <c r="C61" s="50">
        <v>83</v>
      </c>
      <c r="D61" s="50">
        <v>9</v>
      </c>
      <c r="E61" s="50">
        <v>5</v>
      </c>
      <c r="F61" s="50">
        <v>26</v>
      </c>
      <c r="G61" s="50">
        <v>0</v>
      </c>
      <c r="H61" s="50">
        <v>0</v>
      </c>
      <c r="I61" s="50">
        <v>6</v>
      </c>
      <c r="J61" s="50">
        <v>8</v>
      </c>
      <c r="K61" s="50">
        <v>2</v>
      </c>
      <c r="L61" s="50">
        <v>1</v>
      </c>
      <c r="M61" s="50">
        <v>190</v>
      </c>
      <c r="N61" s="50">
        <v>0</v>
      </c>
      <c r="O61" s="15">
        <f t="shared" si="0"/>
        <v>140</v>
      </c>
      <c r="P61" s="15">
        <f t="shared" si="1"/>
        <v>330</v>
      </c>
      <c r="R61" s="8"/>
      <c r="T61"/>
    </row>
    <row r="62" spans="2:20" ht="23.1" customHeight="1" x14ac:dyDescent="0.25">
      <c r="B62" s="45" t="s">
        <v>107</v>
      </c>
      <c r="C62" s="50">
        <v>88</v>
      </c>
      <c r="D62" s="50">
        <v>9</v>
      </c>
      <c r="E62" s="50">
        <v>12</v>
      </c>
      <c r="F62" s="50">
        <v>39</v>
      </c>
      <c r="G62" s="50">
        <v>1</v>
      </c>
      <c r="H62" s="50">
        <v>0</v>
      </c>
      <c r="I62" s="50">
        <v>6</v>
      </c>
      <c r="J62" s="50">
        <v>8</v>
      </c>
      <c r="K62" s="50">
        <v>1</v>
      </c>
      <c r="L62" s="50">
        <v>0</v>
      </c>
      <c r="M62" s="50">
        <v>225</v>
      </c>
      <c r="N62" s="50">
        <v>0</v>
      </c>
      <c r="O62" s="15">
        <f t="shared" si="0"/>
        <v>164</v>
      </c>
      <c r="P62" s="15">
        <f t="shared" si="1"/>
        <v>389</v>
      </c>
      <c r="R62" s="8"/>
      <c r="T62"/>
    </row>
    <row r="63" spans="2:20" ht="23.1" customHeight="1" x14ac:dyDescent="0.25">
      <c r="B63" s="45" t="s">
        <v>108</v>
      </c>
      <c r="C63" s="50">
        <v>75</v>
      </c>
      <c r="D63" s="50">
        <v>10</v>
      </c>
      <c r="E63" s="50">
        <v>6</v>
      </c>
      <c r="F63" s="50">
        <v>20</v>
      </c>
      <c r="G63" s="50">
        <v>1</v>
      </c>
      <c r="H63" s="50">
        <v>0</v>
      </c>
      <c r="I63" s="50">
        <v>3</v>
      </c>
      <c r="J63" s="50">
        <v>5</v>
      </c>
      <c r="K63" s="50">
        <v>2</v>
      </c>
      <c r="L63" s="50">
        <v>2</v>
      </c>
      <c r="M63" s="50">
        <v>145</v>
      </c>
      <c r="N63" s="50">
        <v>0</v>
      </c>
      <c r="O63" s="15">
        <f t="shared" si="0"/>
        <v>124</v>
      </c>
      <c r="P63" s="15">
        <f t="shared" si="1"/>
        <v>269</v>
      </c>
      <c r="R63" s="8"/>
      <c r="T63"/>
    </row>
    <row r="64" spans="2:20" ht="23.1" customHeight="1" x14ac:dyDescent="0.25">
      <c r="B64" s="45" t="s">
        <v>109</v>
      </c>
      <c r="C64" s="50">
        <v>110</v>
      </c>
      <c r="D64" s="50">
        <v>8</v>
      </c>
      <c r="E64" s="50">
        <v>6</v>
      </c>
      <c r="F64" s="50">
        <v>28</v>
      </c>
      <c r="G64" s="50">
        <v>2</v>
      </c>
      <c r="H64" s="50">
        <v>1</v>
      </c>
      <c r="I64" s="50">
        <v>8</v>
      </c>
      <c r="J64" s="50">
        <v>3</v>
      </c>
      <c r="K64" s="50">
        <v>2</v>
      </c>
      <c r="L64" s="50">
        <v>0</v>
      </c>
      <c r="M64" s="50">
        <v>157</v>
      </c>
      <c r="N64" s="50">
        <v>0</v>
      </c>
      <c r="O64" s="15">
        <f t="shared" si="0"/>
        <v>168</v>
      </c>
      <c r="P64" s="15">
        <f t="shared" si="1"/>
        <v>325</v>
      </c>
      <c r="R64" s="8"/>
      <c r="T64"/>
    </row>
    <row r="65" spans="2:20" ht="23.1" customHeight="1" x14ac:dyDescent="0.25">
      <c r="B65" s="45" t="s">
        <v>158</v>
      </c>
      <c r="C65" s="50">
        <v>96</v>
      </c>
      <c r="D65" s="50">
        <v>10</v>
      </c>
      <c r="E65" s="50">
        <v>6</v>
      </c>
      <c r="F65" s="50">
        <v>27</v>
      </c>
      <c r="G65" s="50">
        <v>0</v>
      </c>
      <c r="H65" s="50">
        <v>0</v>
      </c>
      <c r="I65" s="50">
        <v>9</v>
      </c>
      <c r="J65" s="50">
        <v>5</v>
      </c>
      <c r="K65" s="50">
        <v>1</v>
      </c>
      <c r="L65" s="50">
        <v>4</v>
      </c>
      <c r="M65" s="50">
        <v>175</v>
      </c>
      <c r="N65" s="50">
        <v>0</v>
      </c>
      <c r="O65" s="15">
        <f t="shared" si="0"/>
        <v>158</v>
      </c>
      <c r="P65" s="15">
        <f t="shared" si="1"/>
        <v>333</v>
      </c>
      <c r="R65" s="8"/>
      <c r="T65"/>
    </row>
    <row r="66" spans="2:20" ht="23.1" customHeight="1" x14ac:dyDescent="0.25">
      <c r="B66" s="45" t="s">
        <v>103</v>
      </c>
      <c r="C66" s="50">
        <v>105</v>
      </c>
      <c r="D66" s="50">
        <v>18</v>
      </c>
      <c r="E66" s="50">
        <v>9</v>
      </c>
      <c r="F66" s="50">
        <v>39</v>
      </c>
      <c r="G66" s="50">
        <v>1</v>
      </c>
      <c r="H66" s="50">
        <v>1</v>
      </c>
      <c r="I66" s="50">
        <v>9</v>
      </c>
      <c r="J66" s="50">
        <v>4</v>
      </c>
      <c r="K66" s="50">
        <v>1</v>
      </c>
      <c r="L66" s="50">
        <v>2</v>
      </c>
      <c r="M66" s="50">
        <v>172</v>
      </c>
      <c r="N66" s="50">
        <v>0</v>
      </c>
      <c r="O66" s="15">
        <f t="shared" si="0"/>
        <v>189</v>
      </c>
      <c r="P66" s="15">
        <f t="shared" si="1"/>
        <v>361</v>
      </c>
      <c r="R66" s="8"/>
      <c r="T66"/>
    </row>
    <row r="67" spans="2:20" ht="23.1" customHeight="1" x14ac:dyDescent="0.25">
      <c r="B67" s="45" t="s">
        <v>104</v>
      </c>
      <c r="C67" s="50">
        <v>105</v>
      </c>
      <c r="D67" s="50">
        <v>16</v>
      </c>
      <c r="E67" s="50">
        <v>5</v>
      </c>
      <c r="F67" s="50">
        <v>48</v>
      </c>
      <c r="G67" s="50">
        <v>2</v>
      </c>
      <c r="H67" s="50">
        <v>1</v>
      </c>
      <c r="I67" s="50">
        <v>13</v>
      </c>
      <c r="J67" s="50">
        <v>4</v>
      </c>
      <c r="K67" s="50">
        <v>2</v>
      </c>
      <c r="L67" s="50">
        <v>1</v>
      </c>
      <c r="M67" s="50">
        <v>155</v>
      </c>
      <c r="N67" s="50">
        <v>0</v>
      </c>
      <c r="O67" s="15">
        <f t="shared" si="0"/>
        <v>197</v>
      </c>
      <c r="P67" s="15">
        <f t="shared" si="1"/>
        <v>352</v>
      </c>
      <c r="R67" s="8"/>
      <c r="T67"/>
    </row>
    <row r="68" spans="2:20" ht="23.1" customHeight="1" x14ac:dyDescent="0.25">
      <c r="B68" s="45" t="s">
        <v>105</v>
      </c>
      <c r="C68" s="50">
        <v>103</v>
      </c>
      <c r="D68" s="50">
        <v>11</v>
      </c>
      <c r="E68" s="50">
        <v>11</v>
      </c>
      <c r="F68" s="50">
        <v>40</v>
      </c>
      <c r="G68" s="50">
        <v>1</v>
      </c>
      <c r="H68" s="50">
        <v>0</v>
      </c>
      <c r="I68" s="50">
        <v>1</v>
      </c>
      <c r="J68" s="50">
        <v>6</v>
      </c>
      <c r="K68" s="50">
        <v>1</v>
      </c>
      <c r="L68" s="50">
        <v>0</v>
      </c>
      <c r="M68" s="50">
        <v>104</v>
      </c>
      <c r="N68" s="50">
        <v>0</v>
      </c>
      <c r="O68" s="15">
        <f t="shared" si="0"/>
        <v>174</v>
      </c>
      <c r="P68" s="15">
        <f t="shared" si="1"/>
        <v>278</v>
      </c>
      <c r="R68" s="8"/>
      <c r="T68"/>
    </row>
    <row r="69" spans="2:20" ht="23.1" customHeight="1" x14ac:dyDescent="0.25">
      <c r="B69" s="45" t="s">
        <v>106</v>
      </c>
      <c r="C69" s="50">
        <v>120</v>
      </c>
      <c r="D69" s="50">
        <v>13</v>
      </c>
      <c r="E69" s="50">
        <v>9</v>
      </c>
      <c r="F69" s="50">
        <v>36</v>
      </c>
      <c r="G69" s="50">
        <v>0</v>
      </c>
      <c r="H69" s="50">
        <v>0</v>
      </c>
      <c r="I69" s="50">
        <v>1</v>
      </c>
      <c r="J69" s="50">
        <v>4</v>
      </c>
      <c r="K69" s="50">
        <v>0</v>
      </c>
      <c r="L69" s="50">
        <v>1</v>
      </c>
      <c r="M69" s="50">
        <v>140</v>
      </c>
      <c r="N69" s="50">
        <v>0</v>
      </c>
      <c r="O69" s="15">
        <f t="shared" si="0"/>
        <v>184</v>
      </c>
      <c r="P69" s="15">
        <f t="shared" si="1"/>
        <v>324</v>
      </c>
      <c r="R69" s="8"/>
      <c r="T69"/>
    </row>
    <row r="70" spans="2:20" ht="23.1" customHeight="1" x14ac:dyDescent="0.25">
      <c r="B70" s="45" t="s">
        <v>110</v>
      </c>
      <c r="C70" s="50">
        <v>62</v>
      </c>
      <c r="D70" s="50">
        <v>9</v>
      </c>
      <c r="E70" s="50">
        <v>5</v>
      </c>
      <c r="F70" s="50">
        <v>33</v>
      </c>
      <c r="G70" s="50">
        <v>1</v>
      </c>
      <c r="H70" s="50">
        <v>1</v>
      </c>
      <c r="I70" s="50">
        <v>3</v>
      </c>
      <c r="J70" s="50">
        <v>5</v>
      </c>
      <c r="K70" s="50">
        <v>0</v>
      </c>
      <c r="L70" s="50">
        <v>1</v>
      </c>
      <c r="M70" s="50">
        <v>100</v>
      </c>
      <c r="N70" s="50">
        <v>0</v>
      </c>
      <c r="O70" s="15">
        <f t="shared" si="0"/>
        <v>120</v>
      </c>
      <c r="P70" s="15">
        <f t="shared" si="1"/>
        <v>220</v>
      </c>
      <c r="R70" s="8"/>
      <c r="T70"/>
    </row>
    <row r="71" spans="2:20" ht="23.1" customHeight="1" x14ac:dyDescent="0.25">
      <c r="B71" s="45" t="s">
        <v>111</v>
      </c>
      <c r="C71" s="50">
        <v>166</v>
      </c>
      <c r="D71" s="50">
        <v>9</v>
      </c>
      <c r="E71" s="50">
        <v>4</v>
      </c>
      <c r="F71" s="50">
        <v>21</v>
      </c>
      <c r="G71" s="50">
        <v>1</v>
      </c>
      <c r="H71" s="50">
        <v>0</v>
      </c>
      <c r="I71" s="50">
        <v>4</v>
      </c>
      <c r="J71" s="50">
        <v>21</v>
      </c>
      <c r="K71" s="50">
        <v>0</v>
      </c>
      <c r="L71" s="50">
        <v>4</v>
      </c>
      <c r="M71" s="50">
        <v>99</v>
      </c>
      <c r="N71" s="50">
        <v>0</v>
      </c>
      <c r="O71" s="15">
        <f t="shared" si="0"/>
        <v>230</v>
      </c>
      <c r="P71" s="15">
        <f t="shared" si="1"/>
        <v>329</v>
      </c>
      <c r="R71" s="8"/>
      <c r="T71"/>
    </row>
    <row r="72" spans="2:20" ht="23.1" customHeight="1" x14ac:dyDescent="0.25">
      <c r="B72" s="45" t="s">
        <v>112</v>
      </c>
      <c r="C72" s="50">
        <v>102</v>
      </c>
      <c r="D72" s="50">
        <v>10</v>
      </c>
      <c r="E72" s="50">
        <v>6</v>
      </c>
      <c r="F72" s="50">
        <v>23</v>
      </c>
      <c r="G72" s="50">
        <v>1</v>
      </c>
      <c r="H72" s="50">
        <v>0</v>
      </c>
      <c r="I72" s="50">
        <v>3</v>
      </c>
      <c r="J72" s="50">
        <v>0</v>
      </c>
      <c r="K72" s="50">
        <v>0</v>
      </c>
      <c r="L72" s="50">
        <v>1</v>
      </c>
      <c r="M72" s="50">
        <v>150</v>
      </c>
      <c r="N72" s="50">
        <v>0</v>
      </c>
      <c r="O72" s="15">
        <f t="shared" si="0"/>
        <v>146</v>
      </c>
      <c r="P72" s="15">
        <f t="shared" si="1"/>
        <v>296</v>
      </c>
      <c r="R72" s="8"/>
      <c r="T72"/>
    </row>
    <row r="73" spans="2:20" ht="23.1" customHeight="1" x14ac:dyDescent="0.25">
      <c r="B73" s="45" t="s">
        <v>113</v>
      </c>
      <c r="C73" s="50">
        <v>75</v>
      </c>
      <c r="D73" s="50">
        <v>11</v>
      </c>
      <c r="E73" s="50">
        <v>5</v>
      </c>
      <c r="F73" s="50">
        <v>25</v>
      </c>
      <c r="G73" s="50">
        <v>0</v>
      </c>
      <c r="H73" s="50">
        <v>0</v>
      </c>
      <c r="I73" s="50">
        <v>8</v>
      </c>
      <c r="J73" s="50">
        <v>5</v>
      </c>
      <c r="K73" s="50">
        <v>2</v>
      </c>
      <c r="L73" s="50">
        <v>1</v>
      </c>
      <c r="M73" s="50">
        <v>93</v>
      </c>
      <c r="N73" s="50">
        <v>0</v>
      </c>
      <c r="O73" s="15">
        <f t="shared" si="0"/>
        <v>132</v>
      </c>
      <c r="P73" s="15">
        <f t="shared" si="1"/>
        <v>225</v>
      </c>
      <c r="R73" s="8"/>
      <c r="T73"/>
    </row>
    <row r="74" spans="2:20" ht="23.1" customHeight="1" x14ac:dyDescent="0.25">
      <c r="B74" s="45" t="s">
        <v>114</v>
      </c>
      <c r="C74" s="50">
        <v>78</v>
      </c>
      <c r="D74" s="50">
        <v>10</v>
      </c>
      <c r="E74" s="50">
        <v>6</v>
      </c>
      <c r="F74" s="50">
        <v>26</v>
      </c>
      <c r="G74" s="50">
        <v>0</v>
      </c>
      <c r="H74" s="50">
        <v>0</v>
      </c>
      <c r="I74" s="50">
        <v>2</v>
      </c>
      <c r="J74" s="50">
        <v>2</v>
      </c>
      <c r="K74" s="50">
        <v>2</v>
      </c>
      <c r="L74" s="50">
        <v>1</v>
      </c>
      <c r="M74" s="50">
        <v>89</v>
      </c>
      <c r="N74" s="50">
        <v>0</v>
      </c>
      <c r="O74" s="15">
        <f t="shared" ref="O74:O105" si="35">SUM(C74:L74,N74)</f>
        <v>127</v>
      </c>
      <c r="P74" s="15">
        <f t="shared" ref="P74:P105" si="36">SUM(C74:N74)</f>
        <v>216</v>
      </c>
      <c r="R74" s="8"/>
      <c r="T74"/>
    </row>
    <row r="75" spans="2:20" ht="23.1" customHeight="1" x14ac:dyDescent="0.25">
      <c r="B75" s="45" t="s">
        <v>115</v>
      </c>
      <c r="C75" s="50">
        <v>68</v>
      </c>
      <c r="D75" s="50">
        <v>12</v>
      </c>
      <c r="E75" s="50">
        <v>3</v>
      </c>
      <c r="F75" s="50">
        <v>14</v>
      </c>
      <c r="G75" s="50">
        <v>0</v>
      </c>
      <c r="H75" s="50">
        <v>0</v>
      </c>
      <c r="I75" s="50">
        <v>5</v>
      </c>
      <c r="J75" s="50">
        <v>4</v>
      </c>
      <c r="K75" s="50">
        <v>2</v>
      </c>
      <c r="L75" s="50">
        <v>0</v>
      </c>
      <c r="M75" s="50">
        <v>119</v>
      </c>
      <c r="N75" s="50">
        <v>0</v>
      </c>
      <c r="O75" s="15">
        <f t="shared" si="35"/>
        <v>108</v>
      </c>
      <c r="P75" s="15">
        <f t="shared" si="36"/>
        <v>227</v>
      </c>
      <c r="R75" s="8"/>
      <c r="T75"/>
    </row>
    <row r="76" spans="2:20" ht="23.1" customHeight="1" x14ac:dyDescent="0.25">
      <c r="B76" s="45" t="s">
        <v>116</v>
      </c>
      <c r="C76" s="50">
        <v>72</v>
      </c>
      <c r="D76" s="50">
        <v>8</v>
      </c>
      <c r="E76" s="50">
        <v>1</v>
      </c>
      <c r="F76" s="50">
        <v>18</v>
      </c>
      <c r="G76" s="50">
        <v>1</v>
      </c>
      <c r="H76" s="50">
        <v>1</v>
      </c>
      <c r="I76" s="50">
        <v>8</v>
      </c>
      <c r="J76" s="50">
        <v>5</v>
      </c>
      <c r="K76" s="50">
        <v>0</v>
      </c>
      <c r="L76" s="50">
        <v>0</v>
      </c>
      <c r="M76" s="50">
        <v>95</v>
      </c>
      <c r="N76" s="50">
        <v>0</v>
      </c>
      <c r="O76" s="15">
        <f t="shared" si="35"/>
        <v>114</v>
      </c>
      <c r="P76" s="15">
        <f t="shared" si="36"/>
        <v>209</v>
      </c>
      <c r="R76" s="8"/>
      <c r="T76"/>
    </row>
    <row r="77" spans="2:20" ht="23.1" customHeight="1" x14ac:dyDescent="0.25">
      <c r="B77" s="45" t="s">
        <v>117</v>
      </c>
      <c r="C77" s="50">
        <v>44</v>
      </c>
      <c r="D77" s="50">
        <v>7</v>
      </c>
      <c r="E77" s="50">
        <v>2</v>
      </c>
      <c r="F77" s="50">
        <v>10</v>
      </c>
      <c r="G77" s="50">
        <v>0</v>
      </c>
      <c r="H77" s="50">
        <v>0</v>
      </c>
      <c r="I77" s="50">
        <v>4</v>
      </c>
      <c r="J77" s="50">
        <v>5</v>
      </c>
      <c r="K77" s="50">
        <v>0</v>
      </c>
      <c r="L77" s="50">
        <v>0</v>
      </c>
      <c r="M77" s="50">
        <v>84</v>
      </c>
      <c r="N77" s="50">
        <v>0</v>
      </c>
      <c r="O77" s="15">
        <f t="shared" si="35"/>
        <v>72</v>
      </c>
      <c r="P77" s="15">
        <f t="shared" si="36"/>
        <v>156</v>
      </c>
      <c r="R77" s="8"/>
      <c r="T77"/>
    </row>
    <row r="78" spans="2:20" ht="23.1" customHeight="1" x14ac:dyDescent="0.25">
      <c r="B78" s="46" t="s">
        <v>118</v>
      </c>
      <c r="C78" s="50">
        <v>76</v>
      </c>
      <c r="D78" s="50">
        <v>8</v>
      </c>
      <c r="E78" s="50">
        <v>1</v>
      </c>
      <c r="F78" s="50">
        <v>10</v>
      </c>
      <c r="G78" s="50">
        <v>1</v>
      </c>
      <c r="H78" s="50">
        <v>0</v>
      </c>
      <c r="I78" s="50">
        <v>3</v>
      </c>
      <c r="J78" s="50">
        <v>3</v>
      </c>
      <c r="K78" s="50">
        <v>0</v>
      </c>
      <c r="L78" s="50">
        <v>3</v>
      </c>
      <c r="M78" s="50">
        <v>60</v>
      </c>
      <c r="N78" s="50">
        <v>0</v>
      </c>
      <c r="O78" s="15">
        <f t="shared" si="35"/>
        <v>105</v>
      </c>
      <c r="P78" s="15">
        <f t="shared" si="36"/>
        <v>165</v>
      </c>
      <c r="R78" s="8"/>
      <c r="T78"/>
    </row>
    <row r="79" spans="2:20" ht="23.1" customHeight="1" x14ac:dyDescent="0.25">
      <c r="B79" s="45" t="s">
        <v>119</v>
      </c>
      <c r="C79" s="50">
        <v>25</v>
      </c>
      <c r="D79" s="50">
        <v>4</v>
      </c>
      <c r="E79" s="50">
        <v>1</v>
      </c>
      <c r="F79" s="50">
        <v>6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85</v>
      </c>
      <c r="N79" s="50">
        <v>0</v>
      </c>
      <c r="O79" s="15">
        <f t="shared" si="35"/>
        <v>37</v>
      </c>
      <c r="P79" s="15">
        <f t="shared" si="36"/>
        <v>122</v>
      </c>
      <c r="R79" s="8"/>
      <c r="T79"/>
    </row>
    <row r="80" spans="2:20" ht="23.1" customHeight="1" x14ac:dyDescent="0.25">
      <c r="B80" s="47" t="s">
        <v>120</v>
      </c>
      <c r="C80" s="50">
        <v>19</v>
      </c>
      <c r="D80" s="50">
        <v>11</v>
      </c>
      <c r="E80" s="50">
        <v>4</v>
      </c>
      <c r="F80" s="50">
        <v>6</v>
      </c>
      <c r="G80" s="50">
        <v>0</v>
      </c>
      <c r="H80" s="50">
        <v>0</v>
      </c>
      <c r="I80" s="50">
        <v>3</v>
      </c>
      <c r="J80" s="50">
        <v>1</v>
      </c>
      <c r="K80" s="50">
        <v>0</v>
      </c>
      <c r="L80" s="50">
        <v>0</v>
      </c>
      <c r="M80" s="50">
        <v>93</v>
      </c>
      <c r="N80" s="50">
        <v>0</v>
      </c>
      <c r="O80" s="15">
        <f t="shared" si="35"/>
        <v>44</v>
      </c>
      <c r="P80" s="15">
        <f t="shared" si="36"/>
        <v>137</v>
      </c>
      <c r="R80" s="8"/>
      <c r="T80"/>
    </row>
    <row r="81" spans="2:20" ht="23.1" customHeight="1" x14ac:dyDescent="0.25">
      <c r="B81" s="45" t="s">
        <v>121</v>
      </c>
      <c r="C81" s="50">
        <v>27</v>
      </c>
      <c r="D81" s="50">
        <v>8</v>
      </c>
      <c r="E81" s="50">
        <v>3</v>
      </c>
      <c r="F81" s="50">
        <v>3</v>
      </c>
      <c r="G81" s="50">
        <v>0</v>
      </c>
      <c r="H81" s="50">
        <v>0</v>
      </c>
      <c r="I81" s="50">
        <v>2</v>
      </c>
      <c r="J81" s="50">
        <v>5</v>
      </c>
      <c r="K81" s="50">
        <v>0</v>
      </c>
      <c r="L81" s="50">
        <v>0</v>
      </c>
      <c r="M81" s="50">
        <v>80</v>
      </c>
      <c r="N81" s="50">
        <v>0</v>
      </c>
      <c r="O81" s="15">
        <f t="shared" si="35"/>
        <v>48</v>
      </c>
      <c r="P81" s="15">
        <f t="shared" si="36"/>
        <v>128</v>
      </c>
      <c r="R81" s="8"/>
      <c r="T81"/>
    </row>
    <row r="82" spans="2:20" ht="23.1" customHeight="1" x14ac:dyDescent="0.25">
      <c r="B82" s="46" t="s">
        <v>122</v>
      </c>
      <c r="C82" s="50">
        <v>28</v>
      </c>
      <c r="D82" s="50">
        <v>5</v>
      </c>
      <c r="E82" s="50">
        <v>0</v>
      </c>
      <c r="F82" s="50">
        <v>3</v>
      </c>
      <c r="G82" s="50">
        <v>1</v>
      </c>
      <c r="H82" s="50">
        <v>0</v>
      </c>
      <c r="I82" s="50">
        <v>5</v>
      </c>
      <c r="J82" s="50">
        <v>3</v>
      </c>
      <c r="K82" s="50">
        <v>0</v>
      </c>
      <c r="L82" s="50">
        <v>1</v>
      </c>
      <c r="M82" s="50">
        <v>76</v>
      </c>
      <c r="N82" s="50">
        <v>0</v>
      </c>
      <c r="O82" s="15">
        <f t="shared" si="35"/>
        <v>46</v>
      </c>
      <c r="P82" s="15">
        <f t="shared" si="36"/>
        <v>122</v>
      </c>
      <c r="R82" s="8"/>
      <c r="T82"/>
    </row>
    <row r="83" spans="2:20" ht="23.1" customHeight="1" x14ac:dyDescent="0.25">
      <c r="B83" s="45" t="s">
        <v>123</v>
      </c>
      <c r="C83" s="50">
        <v>26</v>
      </c>
      <c r="D83" s="50">
        <v>5</v>
      </c>
      <c r="E83" s="50">
        <v>4</v>
      </c>
      <c r="F83" s="50">
        <v>6</v>
      </c>
      <c r="G83" s="50">
        <v>1</v>
      </c>
      <c r="H83" s="50">
        <v>0</v>
      </c>
      <c r="I83" s="50">
        <v>2</v>
      </c>
      <c r="J83" s="50">
        <v>1</v>
      </c>
      <c r="K83" s="50">
        <v>0</v>
      </c>
      <c r="L83" s="50">
        <v>3</v>
      </c>
      <c r="M83" s="50">
        <v>80</v>
      </c>
      <c r="N83" s="50">
        <v>0</v>
      </c>
      <c r="O83" s="15">
        <f t="shared" si="35"/>
        <v>48</v>
      </c>
      <c r="P83" s="15">
        <f t="shared" si="36"/>
        <v>128</v>
      </c>
      <c r="R83" s="8"/>
      <c r="T83"/>
    </row>
    <row r="84" spans="2:20" ht="23.1" customHeight="1" x14ac:dyDescent="0.25">
      <c r="B84" s="47" t="s">
        <v>124</v>
      </c>
      <c r="C84" s="50">
        <v>11</v>
      </c>
      <c r="D84" s="50">
        <v>3</v>
      </c>
      <c r="E84" s="50">
        <v>1</v>
      </c>
      <c r="F84" s="50">
        <v>2</v>
      </c>
      <c r="G84" s="50">
        <v>0</v>
      </c>
      <c r="H84" s="50">
        <v>0</v>
      </c>
      <c r="I84" s="50">
        <v>2</v>
      </c>
      <c r="J84" s="50">
        <v>4</v>
      </c>
      <c r="K84" s="50">
        <v>0</v>
      </c>
      <c r="L84" s="50">
        <v>0</v>
      </c>
      <c r="M84" s="50">
        <v>98</v>
      </c>
      <c r="N84" s="50">
        <v>0</v>
      </c>
      <c r="O84" s="15">
        <f t="shared" si="35"/>
        <v>23</v>
      </c>
      <c r="P84" s="15">
        <f t="shared" si="36"/>
        <v>121</v>
      </c>
      <c r="R84" s="8"/>
      <c r="T84"/>
    </row>
    <row r="85" spans="2:20" ht="23.1" customHeight="1" x14ac:dyDescent="0.25">
      <c r="B85" s="45" t="s">
        <v>125</v>
      </c>
      <c r="C85" s="50">
        <v>23</v>
      </c>
      <c r="D85" s="50">
        <v>5</v>
      </c>
      <c r="E85" s="50">
        <v>4</v>
      </c>
      <c r="F85" s="50">
        <v>3</v>
      </c>
      <c r="G85" s="50">
        <v>2</v>
      </c>
      <c r="H85" s="50">
        <v>0</v>
      </c>
      <c r="I85" s="50">
        <v>2</v>
      </c>
      <c r="J85" s="50">
        <v>1</v>
      </c>
      <c r="K85" s="50">
        <v>0</v>
      </c>
      <c r="L85" s="50">
        <v>0</v>
      </c>
      <c r="M85" s="50">
        <v>70</v>
      </c>
      <c r="N85" s="50">
        <v>0</v>
      </c>
      <c r="O85" s="15">
        <f t="shared" si="35"/>
        <v>40</v>
      </c>
      <c r="P85" s="15">
        <f t="shared" si="36"/>
        <v>110</v>
      </c>
      <c r="R85" s="8"/>
      <c r="T85"/>
    </row>
    <row r="86" spans="2:20" ht="23.1" customHeight="1" x14ac:dyDescent="0.25">
      <c r="B86" s="46" t="s">
        <v>126</v>
      </c>
      <c r="C86" s="50">
        <v>11</v>
      </c>
      <c r="D86" s="50">
        <v>0</v>
      </c>
      <c r="E86" s="50">
        <v>2</v>
      </c>
      <c r="F86" s="50">
        <v>0</v>
      </c>
      <c r="G86" s="50">
        <v>1</v>
      </c>
      <c r="H86" s="50">
        <v>0</v>
      </c>
      <c r="I86" s="50">
        <v>1</v>
      </c>
      <c r="J86" s="50">
        <v>1</v>
      </c>
      <c r="K86" s="50">
        <v>0</v>
      </c>
      <c r="L86" s="50">
        <v>0</v>
      </c>
      <c r="M86" s="50">
        <v>35</v>
      </c>
      <c r="N86" s="50">
        <v>0</v>
      </c>
      <c r="O86" s="15">
        <f t="shared" si="35"/>
        <v>16</v>
      </c>
      <c r="P86" s="15">
        <f t="shared" si="36"/>
        <v>51</v>
      </c>
      <c r="R86" s="8"/>
      <c r="T86"/>
    </row>
    <row r="87" spans="2:20" ht="23.1" customHeight="1" x14ac:dyDescent="0.25">
      <c r="B87" s="45" t="s">
        <v>127</v>
      </c>
      <c r="C87" s="50">
        <v>27</v>
      </c>
      <c r="D87" s="50">
        <v>2</v>
      </c>
      <c r="E87" s="50">
        <v>0</v>
      </c>
      <c r="F87" s="50">
        <v>0</v>
      </c>
      <c r="G87" s="50">
        <v>0</v>
      </c>
      <c r="H87" s="50">
        <v>0</v>
      </c>
      <c r="I87" s="50">
        <v>1</v>
      </c>
      <c r="J87" s="50">
        <v>4</v>
      </c>
      <c r="K87" s="50">
        <v>0</v>
      </c>
      <c r="L87" s="50">
        <v>0</v>
      </c>
      <c r="M87" s="50">
        <v>35</v>
      </c>
      <c r="N87" s="50">
        <v>0</v>
      </c>
      <c r="O87" s="15">
        <f t="shared" si="35"/>
        <v>34</v>
      </c>
      <c r="P87" s="15">
        <f t="shared" si="36"/>
        <v>69</v>
      </c>
      <c r="R87" s="8"/>
      <c r="T87"/>
    </row>
    <row r="88" spans="2:20" ht="23.1" customHeight="1" x14ac:dyDescent="0.25">
      <c r="B88" s="47" t="s">
        <v>128</v>
      </c>
      <c r="C88" s="50">
        <v>10</v>
      </c>
      <c r="D88" s="50">
        <v>0</v>
      </c>
      <c r="E88" s="50">
        <v>0</v>
      </c>
      <c r="F88" s="50">
        <v>2</v>
      </c>
      <c r="G88" s="50">
        <v>1</v>
      </c>
      <c r="H88" s="50">
        <v>0</v>
      </c>
      <c r="I88" s="50">
        <v>1</v>
      </c>
      <c r="J88" s="50">
        <v>1</v>
      </c>
      <c r="K88" s="50">
        <v>0</v>
      </c>
      <c r="L88" s="50">
        <v>1</v>
      </c>
      <c r="M88" s="50">
        <v>21</v>
      </c>
      <c r="N88" s="50">
        <v>0</v>
      </c>
      <c r="O88" s="15">
        <f t="shared" si="35"/>
        <v>16</v>
      </c>
      <c r="P88" s="15">
        <f t="shared" si="36"/>
        <v>37</v>
      </c>
      <c r="R88" s="8"/>
      <c r="T88"/>
    </row>
    <row r="89" spans="2:20" ht="23.1" customHeight="1" x14ac:dyDescent="0.25">
      <c r="B89" s="45" t="s">
        <v>129</v>
      </c>
      <c r="C89" s="50">
        <v>7</v>
      </c>
      <c r="D89" s="50">
        <v>3</v>
      </c>
      <c r="E89" s="50">
        <v>1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17</v>
      </c>
      <c r="N89" s="50">
        <v>0</v>
      </c>
      <c r="O89" s="15">
        <f t="shared" si="35"/>
        <v>11</v>
      </c>
      <c r="P89" s="15">
        <f t="shared" si="36"/>
        <v>28</v>
      </c>
      <c r="R89" s="8"/>
      <c r="T89"/>
    </row>
    <row r="90" spans="2:20" ht="23.1" customHeight="1" x14ac:dyDescent="0.25">
      <c r="B90" s="46" t="s">
        <v>130</v>
      </c>
      <c r="C90" s="50">
        <v>12</v>
      </c>
      <c r="D90" s="50">
        <v>1</v>
      </c>
      <c r="E90" s="50">
        <v>1</v>
      </c>
      <c r="F90" s="50">
        <v>1</v>
      </c>
      <c r="G90" s="50">
        <v>0</v>
      </c>
      <c r="H90" s="50">
        <v>0</v>
      </c>
      <c r="I90" s="50">
        <v>1</v>
      </c>
      <c r="J90" s="50">
        <v>0</v>
      </c>
      <c r="K90" s="50">
        <v>1</v>
      </c>
      <c r="L90" s="50">
        <v>1</v>
      </c>
      <c r="M90" s="50">
        <v>19</v>
      </c>
      <c r="N90" s="50">
        <v>0</v>
      </c>
      <c r="O90" s="15">
        <f t="shared" si="35"/>
        <v>18</v>
      </c>
      <c r="P90" s="15">
        <f t="shared" si="36"/>
        <v>37</v>
      </c>
      <c r="R90" s="8"/>
      <c r="T90"/>
    </row>
    <row r="91" spans="2:20" ht="23.1" customHeight="1" x14ac:dyDescent="0.25">
      <c r="B91" s="45" t="s">
        <v>131</v>
      </c>
      <c r="C91" s="50">
        <v>12</v>
      </c>
      <c r="D91" s="50">
        <v>2</v>
      </c>
      <c r="E91" s="50">
        <v>4</v>
      </c>
      <c r="F91" s="50">
        <v>0</v>
      </c>
      <c r="G91" s="50">
        <v>0</v>
      </c>
      <c r="H91" s="50">
        <v>0</v>
      </c>
      <c r="I91" s="50">
        <v>0</v>
      </c>
      <c r="J91" s="50">
        <v>1</v>
      </c>
      <c r="K91" s="50">
        <v>3</v>
      </c>
      <c r="L91" s="50">
        <v>1</v>
      </c>
      <c r="M91" s="50">
        <v>29</v>
      </c>
      <c r="N91" s="50">
        <v>0</v>
      </c>
      <c r="O91" s="15">
        <f t="shared" si="35"/>
        <v>23</v>
      </c>
      <c r="P91" s="15">
        <f t="shared" si="36"/>
        <v>52</v>
      </c>
      <c r="R91" s="8"/>
      <c r="T91"/>
    </row>
    <row r="92" spans="2:20" ht="23.1" customHeight="1" x14ac:dyDescent="0.25">
      <c r="B92" s="47" t="s">
        <v>132</v>
      </c>
      <c r="C92" s="50">
        <v>13</v>
      </c>
      <c r="D92" s="50">
        <v>3</v>
      </c>
      <c r="E92" s="50">
        <v>1</v>
      </c>
      <c r="F92" s="50">
        <v>0</v>
      </c>
      <c r="G92" s="50">
        <v>0</v>
      </c>
      <c r="H92" s="50">
        <v>0</v>
      </c>
      <c r="I92" s="50">
        <v>0</v>
      </c>
      <c r="J92" s="50">
        <v>3</v>
      </c>
      <c r="K92" s="50">
        <v>1</v>
      </c>
      <c r="L92" s="50">
        <v>4</v>
      </c>
      <c r="M92" s="50">
        <v>14</v>
      </c>
      <c r="N92" s="50">
        <v>0</v>
      </c>
      <c r="O92" s="15">
        <f t="shared" si="35"/>
        <v>25</v>
      </c>
      <c r="P92" s="15">
        <f t="shared" si="36"/>
        <v>39</v>
      </c>
      <c r="R92" s="8"/>
      <c r="T92"/>
    </row>
    <row r="93" spans="2:20" ht="23.1" customHeight="1" x14ac:dyDescent="0.25">
      <c r="B93" s="45" t="s">
        <v>133</v>
      </c>
      <c r="C93" s="50">
        <v>6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1</v>
      </c>
      <c r="K93" s="50">
        <v>0</v>
      </c>
      <c r="L93" s="50">
        <v>1</v>
      </c>
      <c r="M93" s="50">
        <v>9</v>
      </c>
      <c r="N93" s="50">
        <v>0</v>
      </c>
      <c r="O93" s="15">
        <f t="shared" si="35"/>
        <v>8</v>
      </c>
      <c r="P93" s="15">
        <f t="shared" si="36"/>
        <v>17</v>
      </c>
      <c r="R93" s="8"/>
      <c r="T93"/>
    </row>
    <row r="94" spans="2:20" ht="23.1" customHeight="1" x14ac:dyDescent="0.25">
      <c r="B94" s="46" t="s">
        <v>134</v>
      </c>
      <c r="C94" s="50">
        <v>6</v>
      </c>
      <c r="D94" s="50">
        <v>1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9</v>
      </c>
      <c r="N94" s="50">
        <v>0</v>
      </c>
      <c r="O94" s="15">
        <f t="shared" si="35"/>
        <v>7</v>
      </c>
      <c r="P94" s="15">
        <f t="shared" si="36"/>
        <v>16</v>
      </c>
      <c r="R94" s="8"/>
      <c r="T94"/>
    </row>
    <row r="95" spans="2:20" ht="23.1" customHeight="1" x14ac:dyDescent="0.25">
      <c r="B95" s="45" t="s">
        <v>135</v>
      </c>
      <c r="C95" s="50">
        <v>6</v>
      </c>
      <c r="D95" s="50">
        <v>1</v>
      </c>
      <c r="E95" s="50">
        <v>1</v>
      </c>
      <c r="F95" s="50">
        <v>0</v>
      </c>
      <c r="G95" s="50">
        <v>0</v>
      </c>
      <c r="H95" s="50">
        <v>0</v>
      </c>
      <c r="I95" s="50">
        <v>0</v>
      </c>
      <c r="J95" s="50">
        <v>1</v>
      </c>
      <c r="K95" s="50">
        <v>0</v>
      </c>
      <c r="L95" s="50">
        <v>0</v>
      </c>
      <c r="M95" s="50">
        <v>16</v>
      </c>
      <c r="N95" s="50">
        <v>0</v>
      </c>
      <c r="O95" s="15">
        <f t="shared" si="35"/>
        <v>9</v>
      </c>
      <c r="P95" s="15">
        <f t="shared" si="36"/>
        <v>25</v>
      </c>
      <c r="R95" s="8"/>
      <c r="T95"/>
    </row>
    <row r="96" spans="2:20" ht="23.1" customHeight="1" x14ac:dyDescent="0.25">
      <c r="B96" s="47" t="s">
        <v>136</v>
      </c>
      <c r="C96" s="50">
        <v>5</v>
      </c>
      <c r="D96" s="50">
        <v>1</v>
      </c>
      <c r="E96" s="50">
        <v>1</v>
      </c>
      <c r="F96" s="50">
        <v>1</v>
      </c>
      <c r="G96" s="50">
        <v>0</v>
      </c>
      <c r="H96" s="50">
        <v>1</v>
      </c>
      <c r="I96" s="50">
        <v>0</v>
      </c>
      <c r="J96" s="50">
        <v>0</v>
      </c>
      <c r="K96" s="50">
        <v>0</v>
      </c>
      <c r="L96" s="50">
        <v>1</v>
      </c>
      <c r="M96" s="50">
        <v>22</v>
      </c>
      <c r="N96" s="50">
        <v>0</v>
      </c>
      <c r="O96" s="15">
        <f t="shared" si="35"/>
        <v>10</v>
      </c>
      <c r="P96" s="15">
        <f t="shared" si="36"/>
        <v>32</v>
      </c>
      <c r="R96" s="8"/>
      <c r="T96"/>
    </row>
    <row r="97" spans="2:20" ht="23.1" customHeight="1" x14ac:dyDescent="0.25">
      <c r="B97" s="45" t="s">
        <v>137</v>
      </c>
      <c r="C97" s="50">
        <v>13</v>
      </c>
      <c r="D97" s="50">
        <v>0</v>
      </c>
      <c r="E97" s="50">
        <v>2</v>
      </c>
      <c r="F97" s="50">
        <v>0</v>
      </c>
      <c r="G97" s="50">
        <v>0</v>
      </c>
      <c r="H97" s="50">
        <v>0</v>
      </c>
      <c r="I97" s="50">
        <v>1</v>
      </c>
      <c r="J97" s="50">
        <v>3</v>
      </c>
      <c r="K97" s="50">
        <v>0</v>
      </c>
      <c r="L97" s="50">
        <v>2</v>
      </c>
      <c r="M97" s="50">
        <v>36</v>
      </c>
      <c r="N97" s="50">
        <v>0</v>
      </c>
      <c r="O97" s="15">
        <f t="shared" si="35"/>
        <v>21</v>
      </c>
      <c r="P97" s="15">
        <f t="shared" si="36"/>
        <v>57</v>
      </c>
      <c r="R97" s="8"/>
      <c r="T97"/>
    </row>
    <row r="98" spans="2:20" ht="23.1" customHeight="1" x14ac:dyDescent="0.25">
      <c r="B98" s="46" t="s">
        <v>138</v>
      </c>
      <c r="C98" s="50">
        <v>8</v>
      </c>
      <c r="D98" s="50">
        <v>1</v>
      </c>
      <c r="E98" s="50">
        <v>0</v>
      </c>
      <c r="F98" s="50">
        <v>2</v>
      </c>
      <c r="G98" s="50">
        <v>1</v>
      </c>
      <c r="H98" s="50">
        <v>0</v>
      </c>
      <c r="I98" s="50">
        <v>1</v>
      </c>
      <c r="J98" s="50">
        <v>1</v>
      </c>
      <c r="K98" s="50">
        <v>0</v>
      </c>
      <c r="L98" s="50">
        <v>0</v>
      </c>
      <c r="M98" s="50">
        <v>15</v>
      </c>
      <c r="N98" s="50">
        <v>0</v>
      </c>
      <c r="O98" s="15">
        <f t="shared" si="35"/>
        <v>14</v>
      </c>
      <c r="P98" s="15">
        <f t="shared" si="36"/>
        <v>29</v>
      </c>
      <c r="R98" s="8"/>
      <c r="T98"/>
    </row>
    <row r="99" spans="2:20" ht="23.1" customHeight="1" x14ac:dyDescent="0.25">
      <c r="B99" s="45" t="s">
        <v>139</v>
      </c>
      <c r="C99" s="50">
        <v>8</v>
      </c>
      <c r="D99" s="50">
        <v>1</v>
      </c>
      <c r="E99" s="50">
        <v>2</v>
      </c>
      <c r="F99" s="50">
        <v>1</v>
      </c>
      <c r="G99" s="50">
        <v>2</v>
      </c>
      <c r="H99" s="50">
        <v>0</v>
      </c>
      <c r="I99" s="50">
        <v>3</v>
      </c>
      <c r="J99" s="50">
        <v>1</v>
      </c>
      <c r="K99" s="50">
        <v>2</v>
      </c>
      <c r="L99" s="50">
        <v>0</v>
      </c>
      <c r="M99" s="50">
        <v>25</v>
      </c>
      <c r="N99" s="50">
        <v>0</v>
      </c>
      <c r="O99" s="15">
        <f t="shared" si="35"/>
        <v>20</v>
      </c>
      <c r="P99" s="15">
        <f t="shared" si="36"/>
        <v>45</v>
      </c>
      <c r="R99" s="8"/>
      <c r="T99"/>
    </row>
    <row r="100" spans="2:20" ht="23.1" customHeight="1" x14ac:dyDescent="0.25">
      <c r="B100" s="47" t="s">
        <v>140</v>
      </c>
      <c r="C100" s="50">
        <v>7</v>
      </c>
      <c r="D100" s="50">
        <v>1</v>
      </c>
      <c r="E100" s="50">
        <v>4</v>
      </c>
      <c r="F100" s="50">
        <v>1</v>
      </c>
      <c r="G100" s="50">
        <v>0</v>
      </c>
      <c r="H100" s="50">
        <v>0</v>
      </c>
      <c r="I100" s="50">
        <v>1</v>
      </c>
      <c r="J100" s="50">
        <v>4</v>
      </c>
      <c r="K100" s="50">
        <v>3</v>
      </c>
      <c r="L100" s="50">
        <v>3</v>
      </c>
      <c r="M100" s="50">
        <v>45</v>
      </c>
      <c r="N100" s="50">
        <v>0</v>
      </c>
      <c r="O100" s="15">
        <f t="shared" si="35"/>
        <v>24</v>
      </c>
      <c r="P100" s="15">
        <f t="shared" si="36"/>
        <v>69</v>
      </c>
      <c r="R100" s="8"/>
      <c r="T100"/>
    </row>
    <row r="101" spans="2:20" ht="23.1" customHeight="1" x14ac:dyDescent="0.25">
      <c r="B101" s="45" t="s">
        <v>141</v>
      </c>
      <c r="C101" s="50">
        <v>10</v>
      </c>
      <c r="D101" s="50">
        <v>2</v>
      </c>
      <c r="E101" s="50">
        <v>1</v>
      </c>
      <c r="F101" s="50">
        <v>2</v>
      </c>
      <c r="G101" s="50">
        <v>1</v>
      </c>
      <c r="H101" s="50">
        <v>1</v>
      </c>
      <c r="I101" s="50">
        <v>2</v>
      </c>
      <c r="J101" s="50">
        <v>0</v>
      </c>
      <c r="K101" s="50">
        <v>0</v>
      </c>
      <c r="L101" s="50">
        <v>0</v>
      </c>
      <c r="M101" s="50">
        <v>69</v>
      </c>
      <c r="N101" s="50">
        <v>0</v>
      </c>
      <c r="O101" s="15">
        <f t="shared" si="35"/>
        <v>19</v>
      </c>
      <c r="P101" s="15">
        <f t="shared" si="36"/>
        <v>88</v>
      </c>
      <c r="R101" s="8"/>
      <c r="T101"/>
    </row>
    <row r="102" spans="2:20" ht="23.1" customHeight="1" x14ac:dyDescent="0.25">
      <c r="B102" s="46" t="s">
        <v>142</v>
      </c>
      <c r="C102" s="50">
        <v>14</v>
      </c>
      <c r="D102" s="50">
        <v>3</v>
      </c>
      <c r="E102" s="50">
        <v>1</v>
      </c>
      <c r="F102" s="50">
        <v>2</v>
      </c>
      <c r="G102" s="50">
        <v>0</v>
      </c>
      <c r="H102" s="50">
        <v>0</v>
      </c>
      <c r="I102" s="50">
        <v>3</v>
      </c>
      <c r="J102" s="50">
        <v>4</v>
      </c>
      <c r="K102" s="50">
        <v>2</v>
      </c>
      <c r="L102" s="50">
        <v>0</v>
      </c>
      <c r="M102" s="50">
        <v>83</v>
      </c>
      <c r="N102" s="50">
        <v>0</v>
      </c>
      <c r="O102" s="15">
        <f t="shared" si="35"/>
        <v>29</v>
      </c>
      <c r="P102" s="15">
        <f t="shared" si="36"/>
        <v>112</v>
      </c>
      <c r="R102" s="8"/>
      <c r="T102"/>
    </row>
    <row r="103" spans="2:20" ht="23.1" customHeight="1" x14ac:dyDescent="0.25">
      <c r="B103" s="45" t="s">
        <v>143</v>
      </c>
      <c r="C103" s="50">
        <v>16</v>
      </c>
      <c r="D103" s="50">
        <v>3</v>
      </c>
      <c r="E103" s="50">
        <v>1</v>
      </c>
      <c r="F103" s="50">
        <v>6</v>
      </c>
      <c r="G103" s="50">
        <v>0</v>
      </c>
      <c r="H103" s="50">
        <v>0</v>
      </c>
      <c r="I103" s="50">
        <v>3</v>
      </c>
      <c r="J103" s="50">
        <v>1</v>
      </c>
      <c r="K103" s="50">
        <v>0</v>
      </c>
      <c r="L103" s="50">
        <v>4</v>
      </c>
      <c r="M103" s="50">
        <v>72</v>
      </c>
      <c r="N103" s="50">
        <v>0</v>
      </c>
      <c r="O103" s="15">
        <f t="shared" si="35"/>
        <v>34</v>
      </c>
      <c r="P103" s="15">
        <f t="shared" si="36"/>
        <v>106</v>
      </c>
      <c r="R103" s="8"/>
      <c r="T103"/>
    </row>
    <row r="104" spans="2:20" ht="23.1" customHeight="1" x14ac:dyDescent="0.25">
      <c r="B104" s="47" t="s">
        <v>144</v>
      </c>
      <c r="C104" s="50">
        <v>23</v>
      </c>
      <c r="D104" s="50">
        <v>3</v>
      </c>
      <c r="E104" s="50">
        <v>3</v>
      </c>
      <c r="F104" s="50">
        <v>11</v>
      </c>
      <c r="G104" s="50">
        <v>2</v>
      </c>
      <c r="H104" s="50">
        <v>0</v>
      </c>
      <c r="I104" s="50">
        <v>1</v>
      </c>
      <c r="J104" s="50">
        <v>3</v>
      </c>
      <c r="K104" s="50">
        <v>1</v>
      </c>
      <c r="L104" s="50">
        <v>0</v>
      </c>
      <c r="M104" s="50">
        <v>119</v>
      </c>
      <c r="N104" s="50">
        <v>0</v>
      </c>
      <c r="O104" s="15">
        <f t="shared" si="35"/>
        <v>47</v>
      </c>
      <c r="P104" s="15">
        <f t="shared" si="36"/>
        <v>166</v>
      </c>
      <c r="R104" s="8"/>
      <c r="T104"/>
    </row>
    <row r="105" spans="2:20" ht="23.1" customHeight="1" x14ac:dyDescent="0.25">
      <c r="B105" s="45" t="s">
        <v>145</v>
      </c>
      <c r="C105" s="50">
        <v>26</v>
      </c>
      <c r="D105" s="50">
        <v>3</v>
      </c>
      <c r="E105" s="50">
        <v>4</v>
      </c>
      <c r="F105" s="50">
        <v>12</v>
      </c>
      <c r="G105" s="50">
        <v>1</v>
      </c>
      <c r="H105" s="50">
        <v>2</v>
      </c>
      <c r="I105" s="50">
        <v>1</v>
      </c>
      <c r="J105" s="50">
        <v>3</v>
      </c>
      <c r="K105" s="50">
        <v>2</v>
      </c>
      <c r="L105" s="50">
        <v>0</v>
      </c>
      <c r="M105" s="50">
        <v>130</v>
      </c>
      <c r="N105" s="50">
        <v>0</v>
      </c>
      <c r="O105" s="15">
        <f t="shared" si="35"/>
        <v>54</v>
      </c>
      <c r="P105" s="15">
        <f t="shared" si="36"/>
        <v>184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5161</v>
      </c>
      <c r="D106" s="16">
        <f t="shared" ref="D106:P106" si="37">SUM(D10:D105)</f>
        <v>743</v>
      </c>
      <c r="E106" s="16">
        <f t="shared" si="37"/>
        <v>502</v>
      </c>
      <c r="F106" s="16">
        <f t="shared" si="37"/>
        <v>1973</v>
      </c>
      <c r="G106" s="16">
        <f t="shared" si="37"/>
        <v>70</v>
      </c>
      <c r="H106" s="16">
        <f t="shared" si="37"/>
        <v>45</v>
      </c>
      <c r="I106" s="16">
        <f t="shared" si="37"/>
        <v>650</v>
      </c>
      <c r="J106" s="16">
        <f t="shared" si="37"/>
        <v>432</v>
      </c>
      <c r="K106" s="16">
        <f t="shared" si="37"/>
        <v>141</v>
      </c>
      <c r="L106" s="16">
        <f t="shared" si="37"/>
        <v>155</v>
      </c>
      <c r="M106" s="16">
        <f t="shared" si="37"/>
        <v>16082</v>
      </c>
      <c r="N106" s="16">
        <f t="shared" si="37"/>
        <v>2</v>
      </c>
      <c r="O106" s="16">
        <f t="shared" si="37"/>
        <v>9874</v>
      </c>
      <c r="P106" s="16">
        <f t="shared" si="37"/>
        <v>25956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0.19883649252581292</v>
      </c>
      <c r="D107" s="43">
        <f t="shared" si="38"/>
        <v>2.862536600400678E-2</v>
      </c>
      <c r="E107" s="43">
        <f t="shared" si="38"/>
        <v>1.9340422253043613E-2</v>
      </c>
      <c r="F107" s="43">
        <f t="shared" si="38"/>
        <v>7.6013253197719219E-2</v>
      </c>
      <c r="G107" s="43">
        <f t="shared" si="38"/>
        <v>2.6968716289104641E-3</v>
      </c>
      <c r="H107" s="43">
        <f t="shared" si="38"/>
        <v>1.7337031900138697E-3</v>
      </c>
      <c r="I107" s="43">
        <f t="shared" si="38"/>
        <v>2.504237941131145E-2</v>
      </c>
      <c r="J107" s="43">
        <f t="shared" si="38"/>
        <v>1.6643550624133148E-2</v>
      </c>
      <c r="K107" s="43">
        <f t="shared" si="38"/>
        <v>5.4322699953767914E-3</v>
      </c>
      <c r="L107" s="43">
        <f t="shared" si="38"/>
        <v>5.9716443211588841E-3</v>
      </c>
      <c r="M107" s="43">
        <f t="shared" si="38"/>
        <v>0.61958699337340117</v>
      </c>
      <c r="N107" s="43">
        <f t="shared" si="38"/>
        <v>7.7053475111727544E-5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0.52268584160421305</v>
      </c>
      <c r="D108" s="44">
        <f t="shared" ref="D108:N108" si="39">D106/$O$106</f>
        <v>7.5248126392546077E-2</v>
      </c>
      <c r="E108" s="44">
        <f t="shared" si="39"/>
        <v>5.0840591452298967E-2</v>
      </c>
      <c r="F108" s="44">
        <f t="shared" si="39"/>
        <v>0.19981770305853758</v>
      </c>
      <c r="G108" s="44">
        <f t="shared" si="39"/>
        <v>7.0893255013165894E-3</v>
      </c>
      <c r="H108" s="44">
        <f t="shared" si="39"/>
        <v>4.5574235365606645E-3</v>
      </c>
      <c r="I108" s="44">
        <f t="shared" si="39"/>
        <v>6.5829451083654039E-2</v>
      </c>
      <c r="J108" s="44">
        <f t="shared" si="39"/>
        <v>4.3751265950982381E-2</v>
      </c>
      <c r="K108" s="44">
        <f t="shared" si="39"/>
        <v>1.4279927081223415E-2</v>
      </c>
      <c r="L108" s="44">
        <f t="shared" si="39"/>
        <v>1.5697792181486734E-2</v>
      </c>
      <c r="M108" s="44"/>
      <c r="N108" s="44">
        <f t="shared" si="39"/>
        <v>2.0255215718047398E-4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'22.07 Busega-Bulenga'!C3:G3</f>
        <v>MCC - C1 - STN12-MITYANA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'27.07 Busega-Bulenga-24h'!D5</f>
        <v>27.07.19</v>
      </c>
      <c r="E5" s="3"/>
      <c r="F5" s="41" t="s">
        <v>1</v>
      </c>
      <c r="G5" s="68" t="str">
        <f>'27.07 Busega-Bulenga-24h'!G5:H5</f>
        <v xml:space="preserve">Petro Max </v>
      </c>
      <c r="H5" s="69"/>
      <c r="I5" s="14"/>
      <c r="J5" s="2" t="s">
        <v>5</v>
      </c>
      <c r="K5" s="68" t="str">
        <f>'26.07 Bulenga-Busega-24h'!K5:L5</f>
        <v>Kiranzi Ronald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'22.07 Bulenga-Busega'!D6:E6</f>
        <v xml:space="preserve">Bulenga </v>
      </c>
      <c r="E6" s="69"/>
      <c r="F6" s="2" t="s">
        <v>2</v>
      </c>
      <c r="G6" s="68" t="str">
        <f>'22.07 Bulenga-Busega'!G6:H6</f>
        <v>Busega</v>
      </c>
      <c r="H6" s="69"/>
      <c r="J6" s="2" t="s">
        <v>21</v>
      </c>
      <c r="K6" s="68" t="str">
        <f>'27.07 Busega-Bulenga-24h'!K6:L6</f>
        <v>Andrew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75</v>
      </c>
      <c r="D10" s="50">
        <v>18</v>
      </c>
      <c r="E10" s="50">
        <v>23</v>
      </c>
      <c r="F10" s="50">
        <v>78</v>
      </c>
      <c r="G10" s="50">
        <v>0</v>
      </c>
      <c r="H10" s="50">
        <v>2</v>
      </c>
      <c r="I10" s="50">
        <v>34</v>
      </c>
      <c r="J10" s="50">
        <v>18</v>
      </c>
      <c r="K10" s="50">
        <v>2</v>
      </c>
      <c r="L10" s="50">
        <v>3</v>
      </c>
      <c r="M10" s="50">
        <v>160</v>
      </c>
      <c r="N10" s="50">
        <v>0</v>
      </c>
      <c r="O10" s="15">
        <f t="shared" ref="O10:O73" si="0">SUM(C10:L10,N10)</f>
        <v>253</v>
      </c>
      <c r="P10" s="15">
        <f t="shared" ref="P10:P73" si="1">SUM(C10:N10)</f>
        <v>413</v>
      </c>
      <c r="R10" s="1" t="s">
        <v>6</v>
      </c>
      <c r="S10" s="17">
        <f t="shared" ref="S10:AF10" si="2">SUM(C10:C13)</f>
        <v>345</v>
      </c>
      <c r="T10" s="17">
        <f t="shared" si="2"/>
        <v>68</v>
      </c>
      <c r="U10" s="17">
        <f t="shared" si="2"/>
        <v>186</v>
      </c>
      <c r="V10" s="17">
        <f t="shared" si="2"/>
        <v>193</v>
      </c>
      <c r="W10" s="17">
        <f t="shared" si="2"/>
        <v>7</v>
      </c>
      <c r="X10" s="17">
        <f t="shared" si="2"/>
        <v>4</v>
      </c>
      <c r="Y10" s="17">
        <f t="shared" si="2"/>
        <v>137</v>
      </c>
      <c r="Z10" s="17">
        <f t="shared" si="2"/>
        <v>66</v>
      </c>
      <c r="AA10" s="17">
        <f t="shared" si="2"/>
        <v>9</v>
      </c>
      <c r="AB10" s="17">
        <f t="shared" si="2"/>
        <v>10</v>
      </c>
      <c r="AC10" s="17">
        <f t="shared" si="2"/>
        <v>736</v>
      </c>
      <c r="AD10" s="17">
        <f t="shared" si="2"/>
        <v>0</v>
      </c>
      <c r="AE10" s="31">
        <f t="shared" si="2"/>
        <v>1025</v>
      </c>
      <c r="AF10" s="31">
        <f t="shared" si="2"/>
        <v>1761</v>
      </c>
    </row>
    <row r="11" spans="2:32" s="6" customFormat="1" ht="23.1" customHeight="1" x14ac:dyDescent="0.25">
      <c r="B11" s="45" t="s">
        <v>38</v>
      </c>
      <c r="C11" s="50">
        <v>105</v>
      </c>
      <c r="D11" s="50">
        <v>23</v>
      </c>
      <c r="E11" s="50">
        <v>34</v>
      </c>
      <c r="F11" s="50">
        <v>45</v>
      </c>
      <c r="G11" s="50">
        <v>1</v>
      </c>
      <c r="H11" s="50">
        <v>0</v>
      </c>
      <c r="I11" s="50">
        <v>32</v>
      </c>
      <c r="J11" s="50">
        <v>18</v>
      </c>
      <c r="K11" s="50">
        <v>1</v>
      </c>
      <c r="L11" s="50">
        <v>3</v>
      </c>
      <c r="M11" s="50">
        <v>184</v>
      </c>
      <c r="N11" s="50">
        <v>0</v>
      </c>
      <c r="O11" s="15">
        <f t="shared" si="0"/>
        <v>262</v>
      </c>
      <c r="P11" s="15">
        <f t="shared" si="1"/>
        <v>446</v>
      </c>
      <c r="R11" s="1" t="s">
        <v>7</v>
      </c>
      <c r="S11" s="17">
        <f t="shared" ref="S11:AF11" si="3">SUM(C14:C17)</f>
        <v>407</v>
      </c>
      <c r="T11" s="17">
        <f t="shared" si="3"/>
        <v>40</v>
      </c>
      <c r="U11" s="17">
        <f t="shared" si="3"/>
        <v>69</v>
      </c>
      <c r="V11" s="17">
        <f t="shared" si="3"/>
        <v>344</v>
      </c>
      <c r="W11" s="17">
        <f t="shared" si="3"/>
        <v>2</v>
      </c>
      <c r="X11" s="17">
        <f t="shared" si="3"/>
        <v>0</v>
      </c>
      <c r="Y11" s="17">
        <f t="shared" si="3"/>
        <v>92</v>
      </c>
      <c r="Z11" s="17">
        <f t="shared" si="3"/>
        <v>56</v>
      </c>
      <c r="AA11" s="17">
        <f t="shared" si="3"/>
        <v>10</v>
      </c>
      <c r="AB11" s="17">
        <f t="shared" si="3"/>
        <v>5</v>
      </c>
      <c r="AC11" s="17">
        <f t="shared" si="3"/>
        <v>1008</v>
      </c>
      <c r="AD11" s="17">
        <f t="shared" si="3"/>
        <v>0</v>
      </c>
      <c r="AE11" s="31">
        <f t="shared" si="3"/>
        <v>1025</v>
      </c>
      <c r="AF11" s="31">
        <f t="shared" si="3"/>
        <v>2033</v>
      </c>
    </row>
    <row r="12" spans="2:32" ht="23.1" customHeight="1" x14ac:dyDescent="0.25">
      <c r="B12" s="45" t="s">
        <v>39</v>
      </c>
      <c r="C12" s="50">
        <v>63</v>
      </c>
      <c r="D12" s="50">
        <v>17</v>
      </c>
      <c r="E12" s="50">
        <v>24</v>
      </c>
      <c r="F12" s="50">
        <v>49</v>
      </c>
      <c r="G12" s="50">
        <v>3</v>
      </c>
      <c r="H12" s="50">
        <v>0</v>
      </c>
      <c r="I12" s="50">
        <v>33</v>
      </c>
      <c r="J12" s="50">
        <v>13</v>
      </c>
      <c r="K12" s="50">
        <v>2</v>
      </c>
      <c r="L12" s="50">
        <v>2</v>
      </c>
      <c r="M12" s="50">
        <v>120</v>
      </c>
      <c r="N12" s="50">
        <v>0</v>
      </c>
      <c r="O12" s="15">
        <f t="shared" si="0"/>
        <v>206</v>
      </c>
      <c r="P12" s="15">
        <f t="shared" si="1"/>
        <v>326</v>
      </c>
      <c r="R12" s="1" t="s">
        <v>8</v>
      </c>
      <c r="S12" s="17">
        <f t="shared" ref="S12:AF12" si="4">SUM(C18:C21)</f>
        <v>432</v>
      </c>
      <c r="T12" s="17">
        <f t="shared" si="4"/>
        <v>40</v>
      </c>
      <c r="U12" s="17">
        <f t="shared" si="4"/>
        <v>70</v>
      </c>
      <c r="V12" s="17">
        <f t="shared" si="4"/>
        <v>362</v>
      </c>
      <c r="W12" s="17">
        <f t="shared" si="4"/>
        <v>60</v>
      </c>
      <c r="X12" s="17">
        <f t="shared" si="4"/>
        <v>4</v>
      </c>
      <c r="Y12" s="17">
        <f t="shared" si="4"/>
        <v>141</v>
      </c>
      <c r="Z12" s="17">
        <f t="shared" si="4"/>
        <v>45</v>
      </c>
      <c r="AA12" s="17">
        <f t="shared" si="4"/>
        <v>4</v>
      </c>
      <c r="AB12" s="17">
        <f t="shared" si="4"/>
        <v>7</v>
      </c>
      <c r="AC12" s="17">
        <f t="shared" si="4"/>
        <v>1049</v>
      </c>
      <c r="AD12" s="17">
        <f t="shared" si="4"/>
        <v>0</v>
      </c>
      <c r="AE12" s="31">
        <f t="shared" si="4"/>
        <v>1165</v>
      </c>
      <c r="AF12" s="31">
        <f t="shared" si="4"/>
        <v>2214</v>
      </c>
    </row>
    <row r="13" spans="2:32" ht="23.1" customHeight="1" x14ac:dyDescent="0.25">
      <c r="B13" s="45" t="s">
        <v>40</v>
      </c>
      <c r="C13" s="50">
        <v>102</v>
      </c>
      <c r="D13" s="50">
        <v>10</v>
      </c>
      <c r="E13" s="50">
        <v>105</v>
      </c>
      <c r="F13" s="50">
        <v>21</v>
      </c>
      <c r="G13" s="50">
        <v>3</v>
      </c>
      <c r="H13" s="50">
        <v>2</v>
      </c>
      <c r="I13" s="50">
        <v>38</v>
      </c>
      <c r="J13" s="50">
        <v>17</v>
      </c>
      <c r="K13" s="50">
        <v>4</v>
      </c>
      <c r="L13" s="50">
        <v>2</v>
      </c>
      <c r="M13" s="50">
        <v>272</v>
      </c>
      <c r="N13" s="50">
        <v>0</v>
      </c>
      <c r="O13" s="15">
        <f t="shared" si="0"/>
        <v>304</v>
      </c>
      <c r="P13" s="15">
        <f t="shared" si="1"/>
        <v>576</v>
      </c>
      <c r="R13" s="1" t="s">
        <v>9</v>
      </c>
      <c r="S13" s="17">
        <f t="shared" ref="S13:AF13" si="5">SUM(C22:C25)</f>
        <v>477</v>
      </c>
      <c r="T13" s="17">
        <f t="shared" si="5"/>
        <v>22</v>
      </c>
      <c r="U13" s="17">
        <f t="shared" si="5"/>
        <v>36</v>
      </c>
      <c r="V13" s="17">
        <f t="shared" si="5"/>
        <v>239</v>
      </c>
      <c r="W13" s="17">
        <f t="shared" si="5"/>
        <v>24</v>
      </c>
      <c r="X13" s="17">
        <f t="shared" si="5"/>
        <v>1</v>
      </c>
      <c r="Y13" s="17">
        <f t="shared" si="5"/>
        <v>49</v>
      </c>
      <c r="Z13" s="17">
        <f t="shared" si="5"/>
        <v>29</v>
      </c>
      <c r="AA13" s="17">
        <f t="shared" si="5"/>
        <v>4</v>
      </c>
      <c r="AB13" s="17">
        <f t="shared" si="5"/>
        <v>1</v>
      </c>
      <c r="AC13" s="17">
        <f t="shared" si="5"/>
        <v>991</v>
      </c>
      <c r="AD13" s="17">
        <f t="shared" si="5"/>
        <v>0</v>
      </c>
      <c r="AE13" s="31">
        <f t="shared" si="5"/>
        <v>882</v>
      </c>
      <c r="AF13" s="31">
        <f t="shared" si="5"/>
        <v>1873</v>
      </c>
    </row>
    <row r="14" spans="2:32" ht="23.1" customHeight="1" x14ac:dyDescent="0.25">
      <c r="B14" s="45" t="s">
        <v>41</v>
      </c>
      <c r="C14" s="50">
        <v>90</v>
      </c>
      <c r="D14" s="50">
        <v>18</v>
      </c>
      <c r="E14" s="50">
        <v>11</v>
      </c>
      <c r="F14" s="50">
        <v>102</v>
      </c>
      <c r="G14" s="50">
        <v>2</v>
      </c>
      <c r="H14" s="50">
        <v>0</v>
      </c>
      <c r="I14" s="50">
        <v>24</v>
      </c>
      <c r="J14" s="50">
        <v>20</v>
      </c>
      <c r="K14" s="50">
        <v>7</v>
      </c>
      <c r="L14" s="50">
        <v>2</v>
      </c>
      <c r="M14" s="50">
        <v>230</v>
      </c>
      <c r="N14" s="50">
        <v>0</v>
      </c>
      <c r="O14" s="15">
        <f t="shared" si="0"/>
        <v>276</v>
      </c>
      <c r="P14" s="15">
        <f t="shared" si="1"/>
        <v>506</v>
      </c>
      <c r="R14" s="1" t="s">
        <v>10</v>
      </c>
      <c r="S14" s="17">
        <f t="shared" ref="S14:AF14" si="6">SUM(C26:C29)</f>
        <v>490</v>
      </c>
      <c r="T14" s="17">
        <f t="shared" si="6"/>
        <v>41</v>
      </c>
      <c r="U14" s="17">
        <f t="shared" si="6"/>
        <v>37</v>
      </c>
      <c r="V14" s="17">
        <f t="shared" si="6"/>
        <v>231</v>
      </c>
      <c r="W14" s="17">
        <f t="shared" si="6"/>
        <v>2</v>
      </c>
      <c r="X14" s="17">
        <f t="shared" si="6"/>
        <v>1</v>
      </c>
      <c r="Y14" s="17">
        <f t="shared" si="6"/>
        <v>63</v>
      </c>
      <c r="Z14" s="17">
        <f t="shared" si="6"/>
        <v>31</v>
      </c>
      <c r="AA14" s="17">
        <f t="shared" si="6"/>
        <v>5</v>
      </c>
      <c r="AB14" s="17">
        <f t="shared" si="6"/>
        <v>7</v>
      </c>
      <c r="AC14" s="17">
        <f t="shared" si="6"/>
        <v>965</v>
      </c>
      <c r="AD14" s="17">
        <f t="shared" si="6"/>
        <v>0</v>
      </c>
      <c r="AE14" s="31">
        <f t="shared" si="6"/>
        <v>908</v>
      </c>
      <c r="AF14" s="31">
        <f t="shared" si="6"/>
        <v>1873</v>
      </c>
    </row>
    <row r="15" spans="2:32" ht="23.1" customHeight="1" x14ac:dyDescent="0.25">
      <c r="B15" s="45" t="s">
        <v>42</v>
      </c>
      <c r="C15" s="50">
        <v>118</v>
      </c>
      <c r="D15" s="50">
        <v>13</v>
      </c>
      <c r="E15" s="50">
        <v>32</v>
      </c>
      <c r="F15" s="50">
        <v>97</v>
      </c>
      <c r="G15" s="50">
        <v>0</v>
      </c>
      <c r="H15" s="50">
        <v>0</v>
      </c>
      <c r="I15" s="50">
        <v>28</v>
      </c>
      <c r="J15" s="50">
        <v>10</v>
      </c>
      <c r="K15" s="50">
        <v>2</v>
      </c>
      <c r="L15" s="50">
        <v>1</v>
      </c>
      <c r="M15" s="50">
        <v>273</v>
      </c>
      <c r="N15" s="50">
        <v>0</v>
      </c>
      <c r="O15" s="15">
        <f t="shared" si="0"/>
        <v>301</v>
      </c>
      <c r="P15" s="15">
        <f t="shared" si="1"/>
        <v>574</v>
      </c>
      <c r="R15" s="1" t="s">
        <v>11</v>
      </c>
      <c r="S15" s="17">
        <f t="shared" ref="S15:AF15" si="7">SUM(C30:C33)</f>
        <v>434</v>
      </c>
      <c r="T15" s="17">
        <f t="shared" si="7"/>
        <v>29</v>
      </c>
      <c r="U15" s="17">
        <f t="shared" si="7"/>
        <v>42</v>
      </c>
      <c r="V15" s="17">
        <f t="shared" si="7"/>
        <v>190</v>
      </c>
      <c r="W15" s="17">
        <f t="shared" si="7"/>
        <v>3</v>
      </c>
      <c r="X15" s="17">
        <f t="shared" si="7"/>
        <v>16</v>
      </c>
      <c r="Y15" s="17">
        <f t="shared" si="7"/>
        <v>79</v>
      </c>
      <c r="Z15" s="17">
        <f t="shared" si="7"/>
        <v>27</v>
      </c>
      <c r="AA15" s="17">
        <f t="shared" si="7"/>
        <v>2</v>
      </c>
      <c r="AB15" s="17">
        <f t="shared" si="7"/>
        <v>236</v>
      </c>
      <c r="AC15" s="17">
        <f t="shared" si="7"/>
        <v>646</v>
      </c>
      <c r="AD15" s="17">
        <f t="shared" si="7"/>
        <v>0</v>
      </c>
      <c r="AE15" s="31">
        <f t="shared" si="7"/>
        <v>1058</v>
      </c>
      <c r="AF15" s="31">
        <f t="shared" si="7"/>
        <v>1704</v>
      </c>
    </row>
    <row r="16" spans="2:32" ht="23.1" customHeight="1" x14ac:dyDescent="0.25">
      <c r="B16" s="45" t="s">
        <v>43</v>
      </c>
      <c r="C16" s="50">
        <v>97</v>
      </c>
      <c r="D16" s="50">
        <v>3</v>
      </c>
      <c r="E16" s="50">
        <v>14</v>
      </c>
      <c r="F16" s="50">
        <v>60</v>
      </c>
      <c r="G16" s="50">
        <v>0</v>
      </c>
      <c r="H16" s="50">
        <v>0</v>
      </c>
      <c r="I16" s="50">
        <v>23</v>
      </c>
      <c r="J16" s="50">
        <v>18</v>
      </c>
      <c r="K16" s="50">
        <v>0</v>
      </c>
      <c r="L16" s="50">
        <v>0</v>
      </c>
      <c r="M16" s="50">
        <v>245</v>
      </c>
      <c r="N16" s="50">
        <v>0</v>
      </c>
      <c r="O16" s="15">
        <f t="shared" si="0"/>
        <v>215</v>
      </c>
      <c r="P16" s="15">
        <f t="shared" si="1"/>
        <v>460</v>
      </c>
      <c r="R16" s="1" t="s">
        <v>12</v>
      </c>
      <c r="S16" s="17">
        <f t="shared" ref="S16:AF16" si="8">SUM(C34:C37)</f>
        <v>401</v>
      </c>
      <c r="T16" s="17">
        <f t="shared" si="8"/>
        <v>17</v>
      </c>
      <c r="U16" s="17">
        <f t="shared" si="8"/>
        <v>21</v>
      </c>
      <c r="V16" s="17">
        <f t="shared" si="8"/>
        <v>147</v>
      </c>
      <c r="W16" s="17">
        <f t="shared" si="8"/>
        <v>2</v>
      </c>
      <c r="X16" s="17">
        <f t="shared" si="8"/>
        <v>2</v>
      </c>
      <c r="Y16" s="17">
        <f t="shared" si="8"/>
        <v>34</v>
      </c>
      <c r="Z16" s="17">
        <f t="shared" si="8"/>
        <v>35</v>
      </c>
      <c r="AA16" s="17">
        <f t="shared" si="8"/>
        <v>3</v>
      </c>
      <c r="AB16" s="17">
        <f t="shared" si="8"/>
        <v>5</v>
      </c>
      <c r="AC16" s="17">
        <f t="shared" si="8"/>
        <v>821</v>
      </c>
      <c r="AD16" s="17">
        <f t="shared" si="8"/>
        <v>0</v>
      </c>
      <c r="AE16" s="31">
        <f t="shared" si="8"/>
        <v>667</v>
      </c>
      <c r="AF16" s="31">
        <f t="shared" si="8"/>
        <v>1488</v>
      </c>
    </row>
    <row r="17" spans="2:32" ht="23.1" customHeight="1" x14ac:dyDescent="0.25">
      <c r="B17" s="45" t="s">
        <v>44</v>
      </c>
      <c r="C17" s="50">
        <v>102</v>
      </c>
      <c r="D17" s="50">
        <v>6</v>
      </c>
      <c r="E17" s="50">
        <v>12</v>
      </c>
      <c r="F17" s="50">
        <v>85</v>
      </c>
      <c r="G17" s="50">
        <v>0</v>
      </c>
      <c r="H17" s="50">
        <v>0</v>
      </c>
      <c r="I17" s="50">
        <v>17</v>
      </c>
      <c r="J17" s="50">
        <v>8</v>
      </c>
      <c r="K17" s="50">
        <v>1</v>
      </c>
      <c r="L17" s="50">
        <v>2</v>
      </c>
      <c r="M17" s="50">
        <v>260</v>
      </c>
      <c r="N17" s="50">
        <v>0</v>
      </c>
      <c r="O17" s="15">
        <f t="shared" si="0"/>
        <v>233</v>
      </c>
      <c r="P17" s="15">
        <f t="shared" si="1"/>
        <v>493</v>
      </c>
      <c r="R17" s="1" t="s">
        <v>13</v>
      </c>
      <c r="S17" s="17">
        <f t="shared" ref="S17:AF17" si="9">SUM(C38:C41)</f>
        <v>344</v>
      </c>
      <c r="T17" s="17">
        <f t="shared" si="9"/>
        <v>13</v>
      </c>
      <c r="U17" s="17">
        <f t="shared" si="9"/>
        <v>22</v>
      </c>
      <c r="V17" s="17">
        <f t="shared" si="9"/>
        <v>103</v>
      </c>
      <c r="W17" s="17">
        <f t="shared" si="9"/>
        <v>8</v>
      </c>
      <c r="X17" s="17">
        <f t="shared" si="9"/>
        <v>14</v>
      </c>
      <c r="Y17" s="17">
        <f t="shared" si="9"/>
        <v>38</v>
      </c>
      <c r="Z17" s="17">
        <f t="shared" si="9"/>
        <v>18</v>
      </c>
      <c r="AA17" s="17">
        <f t="shared" si="9"/>
        <v>8</v>
      </c>
      <c r="AB17" s="17">
        <f t="shared" si="9"/>
        <v>231</v>
      </c>
      <c r="AC17" s="17">
        <f t="shared" si="9"/>
        <v>557</v>
      </c>
      <c r="AD17" s="17">
        <f t="shared" si="9"/>
        <v>0</v>
      </c>
      <c r="AE17" s="31">
        <f t="shared" si="9"/>
        <v>799</v>
      </c>
      <c r="AF17" s="31">
        <f t="shared" si="9"/>
        <v>1356</v>
      </c>
    </row>
    <row r="18" spans="2:32" ht="23.1" customHeight="1" x14ac:dyDescent="0.25">
      <c r="B18" s="45" t="s">
        <v>45</v>
      </c>
      <c r="C18" s="50">
        <v>110</v>
      </c>
      <c r="D18" s="50">
        <v>17</v>
      </c>
      <c r="E18" s="50">
        <v>15</v>
      </c>
      <c r="F18" s="50">
        <v>120</v>
      </c>
      <c r="G18" s="50">
        <v>50</v>
      </c>
      <c r="H18" s="50">
        <v>1</v>
      </c>
      <c r="I18" s="50">
        <v>47</v>
      </c>
      <c r="J18" s="50">
        <v>10</v>
      </c>
      <c r="K18" s="50">
        <v>2</v>
      </c>
      <c r="L18" s="50">
        <v>5</v>
      </c>
      <c r="M18" s="50">
        <v>265</v>
      </c>
      <c r="N18" s="50">
        <v>0</v>
      </c>
      <c r="O18" s="15">
        <f t="shared" si="0"/>
        <v>377</v>
      </c>
      <c r="P18" s="15">
        <f t="shared" si="1"/>
        <v>642</v>
      </c>
      <c r="R18" s="1" t="s">
        <v>14</v>
      </c>
      <c r="S18" s="17">
        <f t="shared" ref="S18:AF18" si="10">SUM(C42:C45)</f>
        <v>388</v>
      </c>
      <c r="T18" s="17">
        <f t="shared" si="10"/>
        <v>19</v>
      </c>
      <c r="U18" s="17">
        <f t="shared" si="10"/>
        <v>34</v>
      </c>
      <c r="V18" s="17">
        <f t="shared" si="10"/>
        <v>147</v>
      </c>
      <c r="W18" s="17">
        <f t="shared" si="10"/>
        <v>0</v>
      </c>
      <c r="X18" s="17">
        <f t="shared" si="10"/>
        <v>1</v>
      </c>
      <c r="Y18" s="17">
        <f t="shared" si="10"/>
        <v>132</v>
      </c>
      <c r="Z18" s="17">
        <f t="shared" si="10"/>
        <v>23</v>
      </c>
      <c r="AA18" s="17">
        <f t="shared" si="10"/>
        <v>10</v>
      </c>
      <c r="AB18" s="17">
        <f t="shared" si="10"/>
        <v>13</v>
      </c>
      <c r="AC18" s="17">
        <f t="shared" si="10"/>
        <v>750</v>
      </c>
      <c r="AD18" s="17">
        <f t="shared" si="10"/>
        <v>0</v>
      </c>
      <c r="AE18" s="31">
        <f t="shared" si="10"/>
        <v>767</v>
      </c>
      <c r="AF18" s="31">
        <f t="shared" si="10"/>
        <v>1517</v>
      </c>
    </row>
    <row r="19" spans="2:32" ht="23.1" customHeight="1" x14ac:dyDescent="0.25">
      <c r="B19" s="45" t="s">
        <v>46</v>
      </c>
      <c r="C19" s="50">
        <v>104</v>
      </c>
      <c r="D19" s="50">
        <v>11</v>
      </c>
      <c r="E19" s="50">
        <v>28</v>
      </c>
      <c r="F19" s="50">
        <v>92</v>
      </c>
      <c r="G19" s="50">
        <v>10</v>
      </c>
      <c r="H19" s="50">
        <v>0</v>
      </c>
      <c r="I19" s="50">
        <v>49</v>
      </c>
      <c r="J19" s="50">
        <v>17</v>
      </c>
      <c r="K19" s="50">
        <v>0</v>
      </c>
      <c r="L19" s="50">
        <v>1</v>
      </c>
      <c r="M19" s="50">
        <v>248</v>
      </c>
      <c r="N19" s="50">
        <v>0</v>
      </c>
      <c r="O19" s="15">
        <f t="shared" si="0"/>
        <v>312</v>
      </c>
      <c r="P19" s="15">
        <f t="shared" si="1"/>
        <v>560</v>
      </c>
      <c r="R19" s="1" t="s">
        <v>15</v>
      </c>
      <c r="S19" s="17">
        <f t="shared" ref="S19:AF19" si="11">SUM(C46:C49)</f>
        <v>345</v>
      </c>
      <c r="T19" s="17">
        <f t="shared" si="11"/>
        <v>27</v>
      </c>
      <c r="U19" s="17">
        <f t="shared" si="11"/>
        <v>51</v>
      </c>
      <c r="V19" s="17">
        <f t="shared" si="11"/>
        <v>162</v>
      </c>
      <c r="W19" s="17">
        <f t="shared" si="11"/>
        <v>1</v>
      </c>
      <c r="X19" s="17">
        <f t="shared" si="11"/>
        <v>4</v>
      </c>
      <c r="Y19" s="17">
        <f t="shared" si="11"/>
        <v>100</v>
      </c>
      <c r="Z19" s="17">
        <f t="shared" si="11"/>
        <v>58</v>
      </c>
      <c r="AA19" s="17">
        <f t="shared" si="11"/>
        <v>3</v>
      </c>
      <c r="AB19" s="17">
        <f t="shared" si="11"/>
        <v>12</v>
      </c>
      <c r="AC19" s="17">
        <f t="shared" si="11"/>
        <v>836</v>
      </c>
      <c r="AD19" s="17">
        <f t="shared" si="11"/>
        <v>0</v>
      </c>
      <c r="AE19" s="31">
        <f t="shared" si="11"/>
        <v>763</v>
      </c>
      <c r="AF19" s="31">
        <f t="shared" si="11"/>
        <v>1599</v>
      </c>
    </row>
    <row r="20" spans="2:32" ht="23.1" customHeight="1" x14ac:dyDescent="0.25">
      <c r="B20" s="45" t="s">
        <v>47</v>
      </c>
      <c r="C20" s="50">
        <v>75</v>
      </c>
      <c r="D20" s="50">
        <v>9</v>
      </c>
      <c r="E20" s="50">
        <v>9</v>
      </c>
      <c r="F20" s="50">
        <v>71</v>
      </c>
      <c r="G20" s="50">
        <v>0</v>
      </c>
      <c r="H20" s="50">
        <v>3</v>
      </c>
      <c r="I20" s="50">
        <v>21</v>
      </c>
      <c r="J20" s="50">
        <v>8</v>
      </c>
      <c r="K20" s="50">
        <v>0</v>
      </c>
      <c r="L20" s="50">
        <v>1</v>
      </c>
      <c r="M20" s="50">
        <v>225</v>
      </c>
      <c r="N20" s="50">
        <v>0</v>
      </c>
      <c r="O20" s="15">
        <f t="shared" si="0"/>
        <v>197</v>
      </c>
      <c r="P20" s="15">
        <f t="shared" si="1"/>
        <v>422</v>
      </c>
      <c r="R20" s="1" t="s">
        <v>16</v>
      </c>
      <c r="S20" s="17">
        <f t="shared" ref="S20:AF20" si="12">SUM(C50:C53)</f>
        <v>356</v>
      </c>
      <c r="T20" s="17">
        <f t="shared" si="12"/>
        <v>25</v>
      </c>
      <c r="U20" s="17">
        <f t="shared" si="12"/>
        <v>138</v>
      </c>
      <c r="V20" s="17">
        <f t="shared" si="12"/>
        <v>152</v>
      </c>
      <c r="W20" s="17">
        <f t="shared" si="12"/>
        <v>5</v>
      </c>
      <c r="X20" s="17">
        <f t="shared" si="12"/>
        <v>2</v>
      </c>
      <c r="Y20" s="17">
        <f t="shared" si="12"/>
        <v>38</v>
      </c>
      <c r="Z20" s="17">
        <f t="shared" si="12"/>
        <v>27</v>
      </c>
      <c r="AA20" s="17">
        <f t="shared" si="12"/>
        <v>10</v>
      </c>
      <c r="AB20" s="17">
        <f t="shared" si="12"/>
        <v>9</v>
      </c>
      <c r="AC20" s="17">
        <f t="shared" si="12"/>
        <v>867</v>
      </c>
      <c r="AD20" s="17">
        <f t="shared" si="12"/>
        <v>0</v>
      </c>
      <c r="AE20" s="31">
        <f t="shared" si="12"/>
        <v>762</v>
      </c>
      <c r="AF20" s="31">
        <f t="shared" si="12"/>
        <v>1629</v>
      </c>
    </row>
    <row r="21" spans="2:32" ht="23.1" customHeight="1" x14ac:dyDescent="0.25">
      <c r="B21" s="45" t="s">
        <v>48</v>
      </c>
      <c r="C21" s="50">
        <v>143</v>
      </c>
      <c r="D21" s="50">
        <v>3</v>
      </c>
      <c r="E21" s="50">
        <v>18</v>
      </c>
      <c r="F21" s="50">
        <v>79</v>
      </c>
      <c r="G21" s="50">
        <v>0</v>
      </c>
      <c r="H21" s="50">
        <v>0</v>
      </c>
      <c r="I21" s="50">
        <v>24</v>
      </c>
      <c r="J21" s="50">
        <v>10</v>
      </c>
      <c r="K21" s="50">
        <v>2</v>
      </c>
      <c r="L21" s="50">
        <v>0</v>
      </c>
      <c r="M21" s="50">
        <v>311</v>
      </c>
      <c r="N21" s="50">
        <v>0</v>
      </c>
      <c r="O21" s="15">
        <f t="shared" si="0"/>
        <v>279</v>
      </c>
      <c r="P21" s="15">
        <f t="shared" si="1"/>
        <v>590</v>
      </c>
      <c r="R21" s="36" t="s">
        <v>20</v>
      </c>
      <c r="S21" s="34">
        <f t="shared" ref="S21:AF21" si="13">SUM(C54:C57)</f>
        <v>330</v>
      </c>
      <c r="T21" s="17">
        <f t="shared" si="13"/>
        <v>28</v>
      </c>
      <c r="U21" s="17">
        <f t="shared" si="13"/>
        <v>47</v>
      </c>
      <c r="V21" s="17">
        <f t="shared" si="13"/>
        <v>199</v>
      </c>
      <c r="W21" s="17">
        <f t="shared" si="13"/>
        <v>6</v>
      </c>
      <c r="X21" s="17">
        <f t="shared" si="13"/>
        <v>6</v>
      </c>
      <c r="Y21" s="17">
        <f t="shared" si="13"/>
        <v>86</v>
      </c>
      <c r="Z21" s="17">
        <f t="shared" si="13"/>
        <v>37</v>
      </c>
      <c r="AA21" s="17">
        <f t="shared" si="13"/>
        <v>4</v>
      </c>
      <c r="AB21" s="17">
        <f t="shared" si="13"/>
        <v>14</v>
      </c>
      <c r="AC21" s="17">
        <f t="shared" si="13"/>
        <v>736</v>
      </c>
      <c r="AD21" s="17">
        <f t="shared" si="13"/>
        <v>0</v>
      </c>
      <c r="AE21" s="31">
        <f t="shared" si="13"/>
        <v>757</v>
      </c>
      <c r="AF21" s="31">
        <f t="shared" si="13"/>
        <v>1493</v>
      </c>
    </row>
    <row r="22" spans="2:32" ht="23.1" customHeight="1" x14ac:dyDescent="0.25">
      <c r="B22" s="45" t="s">
        <v>49</v>
      </c>
      <c r="C22" s="50">
        <v>105</v>
      </c>
      <c r="D22" s="50">
        <v>7</v>
      </c>
      <c r="E22" s="50">
        <v>13</v>
      </c>
      <c r="F22" s="50">
        <v>57</v>
      </c>
      <c r="G22" s="50">
        <v>3</v>
      </c>
      <c r="H22" s="50">
        <v>0</v>
      </c>
      <c r="I22" s="50">
        <v>11</v>
      </c>
      <c r="J22" s="50">
        <v>5</v>
      </c>
      <c r="K22" s="50">
        <v>2</v>
      </c>
      <c r="L22" s="50">
        <v>0</v>
      </c>
      <c r="M22" s="50">
        <v>275</v>
      </c>
      <c r="N22" s="50">
        <v>0</v>
      </c>
      <c r="O22" s="15">
        <f t="shared" si="0"/>
        <v>203</v>
      </c>
      <c r="P22" s="15">
        <f t="shared" si="1"/>
        <v>478</v>
      </c>
      <c r="R22" s="36" t="s">
        <v>146</v>
      </c>
      <c r="S22" s="34">
        <f>SUM(C58:C61)</f>
        <v>364</v>
      </c>
      <c r="T22" s="34">
        <f t="shared" ref="T22:AF22" si="14">SUM(D58:D61)</f>
        <v>167</v>
      </c>
      <c r="U22" s="34">
        <f t="shared" si="14"/>
        <v>33</v>
      </c>
      <c r="V22" s="34">
        <f t="shared" si="14"/>
        <v>251</v>
      </c>
      <c r="W22" s="34">
        <f t="shared" si="14"/>
        <v>12</v>
      </c>
      <c r="X22" s="34">
        <f t="shared" si="14"/>
        <v>9</v>
      </c>
      <c r="Y22" s="34">
        <f t="shared" si="14"/>
        <v>216</v>
      </c>
      <c r="Z22" s="34">
        <f t="shared" si="14"/>
        <v>88</v>
      </c>
      <c r="AA22" s="34">
        <f t="shared" si="14"/>
        <v>29</v>
      </c>
      <c r="AB22" s="34">
        <f t="shared" si="14"/>
        <v>3</v>
      </c>
      <c r="AC22" s="34">
        <f t="shared" si="14"/>
        <v>620</v>
      </c>
      <c r="AD22" s="34">
        <f t="shared" si="14"/>
        <v>0</v>
      </c>
      <c r="AE22" s="31">
        <f t="shared" si="14"/>
        <v>1172</v>
      </c>
      <c r="AF22" s="31">
        <f t="shared" si="14"/>
        <v>1792</v>
      </c>
    </row>
    <row r="23" spans="2:32" ht="23.1" customHeight="1" x14ac:dyDescent="0.25">
      <c r="B23" s="45" t="s">
        <v>50</v>
      </c>
      <c r="C23" s="50">
        <v>106</v>
      </c>
      <c r="D23" s="50">
        <v>8</v>
      </c>
      <c r="E23" s="50">
        <v>8</v>
      </c>
      <c r="F23" s="50">
        <v>73</v>
      </c>
      <c r="G23" s="50">
        <v>20</v>
      </c>
      <c r="H23" s="50">
        <v>0</v>
      </c>
      <c r="I23" s="50">
        <v>12</v>
      </c>
      <c r="J23" s="50">
        <v>8</v>
      </c>
      <c r="K23" s="50">
        <v>1</v>
      </c>
      <c r="L23" s="50">
        <v>0</v>
      </c>
      <c r="M23" s="50">
        <v>253</v>
      </c>
      <c r="N23" s="50">
        <v>0</v>
      </c>
      <c r="O23" s="15">
        <f t="shared" si="0"/>
        <v>236</v>
      </c>
      <c r="P23" s="15">
        <f t="shared" si="1"/>
        <v>489</v>
      </c>
      <c r="R23" s="36" t="s">
        <v>147</v>
      </c>
      <c r="S23" s="34">
        <f>SUM(C62:C65)</f>
        <v>407</v>
      </c>
      <c r="T23" s="34">
        <f t="shared" ref="T23:AF23" si="15">SUM(D62:D65)</f>
        <v>306</v>
      </c>
      <c r="U23" s="34">
        <f t="shared" si="15"/>
        <v>103</v>
      </c>
      <c r="V23" s="34">
        <f t="shared" si="15"/>
        <v>326</v>
      </c>
      <c r="W23" s="34">
        <f t="shared" si="15"/>
        <v>32</v>
      </c>
      <c r="X23" s="34">
        <f t="shared" si="15"/>
        <v>3</v>
      </c>
      <c r="Y23" s="34">
        <f t="shared" si="15"/>
        <v>196</v>
      </c>
      <c r="Z23" s="34">
        <f t="shared" si="15"/>
        <v>41</v>
      </c>
      <c r="AA23" s="34">
        <f t="shared" si="15"/>
        <v>40</v>
      </c>
      <c r="AB23" s="34">
        <f t="shared" si="15"/>
        <v>17</v>
      </c>
      <c r="AC23" s="34">
        <f t="shared" si="15"/>
        <v>614</v>
      </c>
      <c r="AD23" s="34">
        <f t="shared" si="15"/>
        <v>0</v>
      </c>
      <c r="AE23" s="31">
        <f t="shared" si="15"/>
        <v>1471</v>
      </c>
      <c r="AF23" s="31">
        <f t="shared" si="15"/>
        <v>2085</v>
      </c>
    </row>
    <row r="24" spans="2:32" ht="23.1" customHeight="1" x14ac:dyDescent="0.25">
      <c r="B24" s="45" t="s">
        <v>51</v>
      </c>
      <c r="C24" s="50">
        <v>128</v>
      </c>
      <c r="D24" s="50">
        <v>3</v>
      </c>
      <c r="E24" s="50">
        <v>9</v>
      </c>
      <c r="F24" s="50">
        <v>57</v>
      </c>
      <c r="G24" s="50">
        <v>0</v>
      </c>
      <c r="H24" s="50">
        <v>1</v>
      </c>
      <c r="I24" s="50">
        <v>9</v>
      </c>
      <c r="J24" s="50">
        <v>8</v>
      </c>
      <c r="K24" s="50">
        <v>0</v>
      </c>
      <c r="L24" s="50">
        <v>0</v>
      </c>
      <c r="M24" s="50">
        <v>245</v>
      </c>
      <c r="N24" s="50">
        <v>0</v>
      </c>
      <c r="O24" s="15">
        <f t="shared" si="0"/>
        <v>215</v>
      </c>
      <c r="P24" s="15">
        <f t="shared" si="1"/>
        <v>460</v>
      </c>
      <c r="R24" s="36" t="s">
        <v>148</v>
      </c>
      <c r="S24" s="34">
        <f>SUM(C66:C69)</f>
        <v>387</v>
      </c>
      <c r="T24" s="34">
        <f t="shared" ref="T24:AF24" si="16">SUM(D66:D69)</f>
        <v>90</v>
      </c>
      <c r="U24" s="34">
        <f t="shared" si="16"/>
        <v>95</v>
      </c>
      <c r="V24" s="34">
        <f t="shared" si="16"/>
        <v>289</v>
      </c>
      <c r="W24" s="34">
        <f t="shared" si="16"/>
        <v>10</v>
      </c>
      <c r="X24" s="34">
        <f t="shared" si="16"/>
        <v>0</v>
      </c>
      <c r="Y24" s="34">
        <f t="shared" si="16"/>
        <v>145</v>
      </c>
      <c r="Z24" s="34">
        <f t="shared" si="16"/>
        <v>24</v>
      </c>
      <c r="AA24" s="34">
        <f t="shared" si="16"/>
        <v>25</v>
      </c>
      <c r="AB24" s="34">
        <f t="shared" si="16"/>
        <v>17</v>
      </c>
      <c r="AC24" s="34">
        <f t="shared" si="16"/>
        <v>533</v>
      </c>
      <c r="AD24" s="34">
        <f t="shared" si="16"/>
        <v>0</v>
      </c>
      <c r="AE24" s="31">
        <f t="shared" si="16"/>
        <v>1082</v>
      </c>
      <c r="AF24" s="31">
        <f t="shared" si="16"/>
        <v>1615</v>
      </c>
    </row>
    <row r="25" spans="2:32" ht="23.1" customHeight="1" x14ac:dyDescent="0.25">
      <c r="B25" s="45" t="s">
        <v>52</v>
      </c>
      <c r="C25" s="50">
        <v>138</v>
      </c>
      <c r="D25" s="50">
        <v>4</v>
      </c>
      <c r="E25" s="50">
        <v>6</v>
      </c>
      <c r="F25" s="50">
        <v>52</v>
      </c>
      <c r="G25" s="50">
        <v>1</v>
      </c>
      <c r="H25" s="50">
        <v>0</v>
      </c>
      <c r="I25" s="50">
        <v>17</v>
      </c>
      <c r="J25" s="50">
        <v>8</v>
      </c>
      <c r="K25" s="50">
        <v>1</v>
      </c>
      <c r="L25" s="50">
        <v>1</v>
      </c>
      <c r="M25" s="50">
        <v>218</v>
      </c>
      <c r="N25" s="50">
        <v>0</v>
      </c>
      <c r="O25" s="15">
        <f t="shared" si="0"/>
        <v>228</v>
      </c>
      <c r="P25" s="15">
        <f t="shared" si="1"/>
        <v>446</v>
      </c>
      <c r="R25" s="36" t="s">
        <v>149</v>
      </c>
      <c r="S25" s="34">
        <f>SUM(C70:C73)</f>
        <v>281</v>
      </c>
      <c r="T25" s="34">
        <f t="shared" ref="T25:AF25" si="17">SUM(D70:D73)</f>
        <v>132</v>
      </c>
      <c r="U25" s="34">
        <f t="shared" si="17"/>
        <v>116</v>
      </c>
      <c r="V25" s="34">
        <f t="shared" si="17"/>
        <v>254</v>
      </c>
      <c r="W25" s="34">
        <f t="shared" si="17"/>
        <v>13</v>
      </c>
      <c r="X25" s="34">
        <f t="shared" si="17"/>
        <v>3</v>
      </c>
      <c r="Y25" s="34">
        <f t="shared" si="17"/>
        <v>149</v>
      </c>
      <c r="Z25" s="34">
        <f t="shared" si="17"/>
        <v>6</v>
      </c>
      <c r="AA25" s="34">
        <f t="shared" si="17"/>
        <v>24</v>
      </c>
      <c r="AB25" s="34">
        <f t="shared" si="17"/>
        <v>1</v>
      </c>
      <c r="AC25" s="34">
        <f t="shared" si="17"/>
        <v>422</v>
      </c>
      <c r="AD25" s="34">
        <f t="shared" si="17"/>
        <v>0</v>
      </c>
      <c r="AE25" s="31">
        <f t="shared" si="17"/>
        <v>979</v>
      </c>
      <c r="AF25" s="31">
        <f t="shared" si="17"/>
        <v>1401</v>
      </c>
    </row>
    <row r="26" spans="2:32" ht="23.1" customHeight="1" x14ac:dyDescent="0.25">
      <c r="B26" s="45" t="s">
        <v>53</v>
      </c>
      <c r="C26" s="50">
        <v>133</v>
      </c>
      <c r="D26" s="50">
        <v>16</v>
      </c>
      <c r="E26" s="50">
        <v>6</v>
      </c>
      <c r="F26" s="50">
        <v>52</v>
      </c>
      <c r="G26" s="50">
        <v>2</v>
      </c>
      <c r="H26" s="50">
        <v>0</v>
      </c>
      <c r="I26" s="50">
        <v>18</v>
      </c>
      <c r="J26" s="50">
        <v>4</v>
      </c>
      <c r="K26" s="50">
        <v>2</v>
      </c>
      <c r="L26" s="50">
        <v>2</v>
      </c>
      <c r="M26" s="50">
        <v>283</v>
      </c>
      <c r="N26" s="50">
        <v>0</v>
      </c>
      <c r="O26" s="15">
        <f t="shared" si="0"/>
        <v>235</v>
      </c>
      <c r="P26" s="15">
        <f t="shared" si="1"/>
        <v>518</v>
      </c>
      <c r="R26" s="36" t="s">
        <v>150</v>
      </c>
      <c r="S26" s="34">
        <f>SUM(C74:C77)</f>
        <v>301</v>
      </c>
      <c r="T26" s="34">
        <f t="shared" ref="T26:AF26" si="18">SUM(D74:D77)</f>
        <v>27</v>
      </c>
      <c r="U26" s="34">
        <f t="shared" si="18"/>
        <v>11</v>
      </c>
      <c r="V26" s="34">
        <f t="shared" si="18"/>
        <v>131</v>
      </c>
      <c r="W26" s="34">
        <f t="shared" si="18"/>
        <v>3</v>
      </c>
      <c r="X26" s="34">
        <f t="shared" si="18"/>
        <v>1</v>
      </c>
      <c r="Y26" s="34">
        <f t="shared" si="18"/>
        <v>54</v>
      </c>
      <c r="Z26" s="34">
        <f t="shared" si="18"/>
        <v>0</v>
      </c>
      <c r="AA26" s="34">
        <f t="shared" si="18"/>
        <v>32</v>
      </c>
      <c r="AB26" s="34">
        <f t="shared" si="18"/>
        <v>9</v>
      </c>
      <c r="AC26" s="34">
        <f t="shared" si="18"/>
        <v>417</v>
      </c>
      <c r="AD26" s="34">
        <f t="shared" si="18"/>
        <v>0</v>
      </c>
      <c r="AE26" s="31">
        <f t="shared" si="18"/>
        <v>569</v>
      </c>
      <c r="AF26" s="31">
        <f t="shared" si="18"/>
        <v>986</v>
      </c>
    </row>
    <row r="27" spans="2:32" ht="23.1" customHeight="1" x14ac:dyDescent="0.25">
      <c r="B27" s="45" t="s">
        <v>54</v>
      </c>
      <c r="C27" s="50">
        <v>148</v>
      </c>
      <c r="D27" s="50">
        <v>13</v>
      </c>
      <c r="E27" s="50">
        <v>5</v>
      </c>
      <c r="F27" s="50">
        <v>41</v>
      </c>
      <c r="G27" s="50">
        <v>0</v>
      </c>
      <c r="H27" s="50">
        <v>0</v>
      </c>
      <c r="I27" s="50">
        <v>9</v>
      </c>
      <c r="J27" s="50">
        <v>7</v>
      </c>
      <c r="K27" s="50">
        <v>2</v>
      </c>
      <c r="L27" s="50">
        <v>1</v>
      </c>
      <c r="M27" s="50">
        <v>215</v>
      </c>
      <c r="N27" s="50">
        <v>0</v>
      </c>
      <c r="O27" s="15">
        <f t="shared" si="0"/>
        <v>226</v>
      </c>
      <c r="P27" s="15">
        <f t="shared" si="1"/>
        <v>441</v>
      </c>
      <c r="R27" s="36" t="s">
        <v>151</v>
      </c>
      <c r="S27" s="34">
        <f>SUM(C78:C81)</f>
        <v>147</v>
      </c>
      <c r="T27" s="34">
        <f t="shared" ref="T27:AF27" si="19">SUM(D78:D81)</f>
        <v>25</v>
      </c>
      <c r="U27" s="34">
        <f t="shared" si="19"/>
        <v>7</v>
      </c>
      <c r="V27" s="34">
        <f t="shared" si="19"/>
        <v>26</v>
      </c>
      <c r="W27" s="34">
        <f t="shared" si="19"/>
        <v>1</v>
      </c>
      <c r="X27" s="34">
        <f t="shared" si="19"/>
        <v>2</v>
      </c>
      <c r="Y27" s="34">
        <f t="shared" si="19"/>
        <v>23</v>
      </c>
      <c r="Z27" s="34">
        <f t="shared" si="19"/>
        <v>4</v>
      </c>
      <c r="AA27" s="34">
        <f t="shared" si="19"/>
        <v>16</v>
      </c>
      <c r="AB27" s="34">
        <f t="shared" si="19"/>
        <v>5</v>
      </c>
      <c r="AC27" s="34">
        <f t="shared" si="19"/>
        <v>270</v>
      </c>
      <c r="AD27" s="34">
        <f t="shared" si="19"/>
        <v>0</v>
      </c>
      <c r="AE27" s="31">
        <f t="shared" si="19"/>
        <v>256</v>
      </c>
      <c r="AF27" s="31">
        <f t="shared" si="19"/>
        <v>526</v>
      </c>
    </row>
    <row r="28" spans="2:32" ht="23.1" customHeight="1" x14ac:dyDescent="0.25">
      <c r="B28" s="45" t="s">
        <v>55</v>
      </c>
      <c r="C28" s="50">
        <v>82</v>
      </c>
      <c r="D28" s="50">
        <v>4</v>
      </c>
      <c r="E28" s="50">
        <v>13</v>
      </c>
      <c r="F28" s="50">
        <v>54</v>
      </c>
      <c r="G28" s="50">
        <v>0</v>
      </c>
      <c r="H28" s="50">
        <v>0</v>
      </c>
      <c r="I28" s="50">
        <v>19</v>
      </c>
      <c r="J28" s="50">
        <v>7</v>
      </c>
      <c r="K28" s="50">
        <v>1</v>
      </c>
      <c r="L28" s="50">
        <v>2</v>
      </c>
      <c r="M28" s="50">
        <v>244</v>
      </c>
      <c r="N28" s="50">
        <v>0</v>
      </c>
      <c r="O28" s="15">
        <f t="shared" si="0"/>
        <v>182</v>
      </c>
      <c r="P28" s="15">
        <f t="shared" si="1"/>
        <v>426</v>
      </c>
      <c r="R28" s="36" t="s">
        <v>152</v>
      </c>
      <c r="S28" s="34">
        <f>SUM(C82:C85)</f>
        <v>215</v>
      </c>
      <c r="T28" s="34">
        <f t="shared" ref="T28:AF28" si="20">SUM(D82:D85)</f>
        <v>41</v>
      </c>
      <c r="U28" s="34">
        <f t="shared" si="20"/>
        <v>14</v>
      </c>
      <c r="V28" s="34">
        <f t="shared" si="20"/>
        <v>20</v>
      </c>
      <c r="W28" s="34">
        <f t="shared" si="20"/>
        <v>0</v>
      </c>
      <c r="X28" s="34">
        <f t="shared" si="20"/>
        <v>1</v>
      </c>
      <c r="Y28" s="34">
        <f t="shared" si="20"/>
        <v>32</v>
      </c>
      <c r="Z28" s="34">
        <f t="shared" si="20"/>
        <v>6</v>
      </c>
      <c r="AA28" s="34">
        <f t="shared" si="20"/>
        <v>17</v>
      </c>
      <c r="AB28" s="34">
        <f t="shared" si="20"/>
        <v>8</v>
      </c>
      <c r="AC28" s="34">
        <f t="shared" si="20"/>
        <v>330</v>
      </c>
      <c r="AD28" s="34">
        <f t="shared" si="20"/>
        <v>0</v>
      </c>
      <c r="AE28" s="31">
        <f t="shared" si="20"/>
        <v>354</v>
      </c>
      <c r="AF28" s="31">
        <f t="shared" si="20"/>
        <v>684</v>
      </c>
    </row>
    <row r="29" spans="2:32" ht="23.1" customHeight="1" x14ac:dyDescent="0.25">
      <c r="B29" s="45" t="s">
        <v>56</v>
      </c>
      <c r="C29" s="50">
        <v>127</v>
      </c>
      <c r="D29" s="50">
        <v>8</v>
      </c>
      <c r="E29" s="50">
        <v>13</v>
      </c>
      <c r="F29" s="50">
        <v>84</v>
      </c>
      <c r="G29" s="50">
        <v>0</v>
      </c>
      <c r="H29" s="50">
        <v>1</v>
      </c>
      <c r="I29" s="50">
        <v>17</v>
      </c>
      <c r="J29" s="50">
        <v>13</v>
      </c>
      <c r="K29" s="50">
        <v>0</v>
      </c>
      <c r="L29" s="50">
        <v>2</v>
      </c>
      <c r="M29" s="50">
        <v>223</v>
      </c>
      <c r="N29" s="50">
        <v>0</v>
      </c>
      <c r="O29" s="15">
        <f t="shared" si="0"/>
        <v>265</v>
      </c>
      <c r="P29" s="15">
        <f t="shared" si="1"/>
        <v>488</v>
      </c>
      <c r="R29" s="36" t="s">
        <v>153</v>
      </c>
      <c r="S29" s="34">
        <f>SUM(C86:C89)</f>
        <v>107</v>
      </c>
      <c r="T29" s="34">
        <f t="shared" ref="T29:AF29" si="21">SUM(D86:D89)</f>
        <v>10</v>
      </c>
      <c r="U29" s="34">
        <f t="shared" si="21"/>
        <v>3</v>
      </c>
      <c r="V29" s="34">
        <f t="shared" si="21"/>
        <v>8</v>
      </c>
      <c r="W29" s="34">
        <f t="shared" si="21"/>
        <v>2</v>
      </c>
      <c r="X29" s="34">
        <f t="shared" si="21"/>
        <v>2</v>
      </c>
      <c r="Y29" s="34">
        <f t="shared" si="21"/>
        <v>25</v>
      </c>
      <c r="Z29" s="34">
        <f t="shared" si="21"/>
        <v>4</v>
      </c>
      <c r="AA29" s="34">
        <f t="shared" si="21"/>
        <v>6</v>
      </c>
      <c r="AB29" s="34">
        <f t="shared" si="21"/>
        <v>9</v>
      </c>
      <c r="AC29" s="34">
        <f t="shared" si="21"/>
        <v>240</v>
      </c>
      <c r="AD29" s="34">
        <f t="shared" si="21"/>
        <v>0</v>
      </c>
      <c r="AE29" s="31">
        <f t="shared" si="21"/>
        <v>176</v>
      </c>
      <c r="AF29" s="31">
        <f t="shared" si="21"/>
        <v>416</v>
      </c>
    </row>
    <row r="30" spans="2:32" ht="23.1" customHeight="1" x14ac:dyDescent="0.25">
      <c r="B30" s="45" t="s">
        <v>57</v>
      </c>
      <c r="C30" s="50">
        <v>85</v>
      </c>
      <c r="D30" s="50">
        <v>2</v>
      </c>
      <c r="E30" s="50">
        <v>16</v>
      </c>
      <c r="F30" s="50">
        <v>53</v>
      </c>
      <c r="G30" s="50">
        <v>1</v>
      </c>
      <c r="H30" s="50">
        <v>0</v>
      </c>
      <c r="I30" s="50">
        <v>27</v>
      </c>
      <c r="J30" s="50">
        <v>7</v>
      </c>
      <c r="K30" s="50">
        <v>1</v>
      </c>
      <c r="L30" s="50">
        <v>2</v>
      </c>
      <c r="M30" s="50">
        <v>235</v>
      </c>
      <c r="N30" s="50">
        <v>0</v>
      </c>
      <c r="O30" s="15">
        <f t="shared" si="0"/>
        <v>194</v>
      </c>
      <c r="P30" s="15">
        <f t="shared" si="1"/>
        <v>429</v>
      </c>
      <c r="R30" s="36" t="s">
        <v>154</v>
      </c>
      <c r="S30" s="34">
        <f>SUM(C90:C93)</f>
        <v>66</v>
      </c>
      <c r="T30" s="34">
        <f t="shared" ref="T30:AF30" si="22">SUM(D90:D93)</f>
        <v>10</v>
      </c>
      <c r="U30" s="34">
        <f t="shared" si="22"/>
        <v>4</v>
      </c>
      <c r="V30" s="34">
        <f t="shared" si="22"/>
        <v>6</v>
      </c>
      <c r="W30" s="34">
        <f t="shared" si="22"/>
        <v>1</v>
      </c>
      <c r="X30" s="34">
        <f t="shared" si="22"/>
        <v>0</v>
      </c>
      <c r="Y30" s="34">
        <f t="shared" si="22"/>
        <v>16</v>
      </c>
      <c r="Z30" s="34">
        <f t="shared" si="22"/>
        <v>7</v>
      </c>
      <c r="AA30" s="34">
        <f t="shared" si="22"/>
        <v>18</v>
      </c>
      <c r="AB30" s="34">
        <f t="shared" si="22"/>
        <v>5</v>
      </c>
      <c r="AC30" s="34">
        <f t="shared" si="22"/>
        <v>136</v>
      </c>
      <c r="AD30" s="34">
        <f t="shared" si="22"/>
        <v>0</v>
      </c>
      <c r="AE30" s="31">
        <f t="shared" si="22"/>
        <v>133</v>
      </c>
      <c r="AF30" s="31">
        <f t="shared" si="22"/>
        <v>269</v>
      </c>
    </row>
    <row r="31" spans="2:32" ht="23.1" customHeight="1" x14ac:dyDescent="0.25">
      <c r="B31" s="46" t="s">
        <v>58</v>
      </c>
      <c r="C31" s="50">
        <v>125</v>
      </c>
      <c r="D31" s="50">
        <v>3</v>
      </c>
      <c r="E31" s="50">
        <v>8</v>
      </c>
      <c r="F31" s="50">
        <v>32</v>
      </c>
      <c r="G31" s="50">
        <v>0</v>
      </c>
      <c r="H31" s="50">
        <v>0</v>
      </c>
      <c r="I31" s="50">
        <v>12</v>
      </c>
      <c r="J31" s="50">
        <v>13</v>
      </c>
      <c r="K31" s="50">
        <v>0</v>
      </c>
      <c r="L31" s="50">
        <v>1</v>
      </c>
      <c r="M31" s="50">
        <v>178</v>
      </c>
      <c r="N31" s="50">
        <v>0</v>
      </c>
      <c r="O31" s="15">
        <f t="shared" si="0"/>
        <v>194</v>
      </c>
      <c r="P31" s="15">
        <f t="shared" si="1"/>
        <v>372</v>
      </c>
      <c r="R31" s="36" t="s">
        <v>155</v>
      </c>
      <c r="S31" s="34">
        <f>SUM(C94:C97)</f>
        <v>36</v>
      </c>
      <c r="T31" s="34">
        <f t="shared" ref="T31:AF31" si="23">SUM(D94:D97)</f>
        <v>4</v>
      </c>
      <c r="U31" s="34">
        <f t="shared" si="23"/>
        <v>1</v>
      </c>
      <c r="V31" s="34">
        <f t="shared" si="23"/>
        <v>9</v>
      </c>
      <c r="W31" s="34">
        <f t="shared" si="23"/>
        <v>1</v>
      </c>
      <c r="X31" s="34">
        <f t="shared" si="23"/>
        <v>2</v>
      </c>
      <c r="Y31" s="34">
        <f t="shared" si="23"/>
        <v>8</v>
      </c>
      <c r="Z31" s="34">
        <f t="shared" si="23"/>
        <v>9</v>
      </c>
      <c r="AA31" s="34">
        <f t="shared" si="23"/>
        <v>7</v>
      </c>
      <c r="AB31" s="34">
        <f t="shared" si="23"/>
        <v>3</v>
      </c>
      <c r="AC31" s="34">
        <f t="shared" si="23"/>
        <v>70</v>
      </c>
      <c r="AD31" s="34">
        <f t="shared" si="23"/>
        <v>0</v>
      </c>
      <c r="AE31" s="31">
        <f t="shared" si="23"/>
        <v>80</v>
      </c>
      <c r="AF31" s="31">
        <f t="shared" si="23"/>
        <v>150</v>
      </c>
    </row>
    <row r="32" spans="2:32" ht="23.1" customHeight="1" x14ac:dyDescent="0.25">
      <c r="B32" s="46" t="s">
        <v>59</v>
      </c>
      <c r="C32" s="50">
        <v>105</v>
      </c>
      <c r="D32" s="50">
        <v>17</v>
      </c>
      <c r="E32" s="50">
        <v>11</v>
      </c>
      <c r="F32" s="50">
        <v>69</v>
      </c>
      <c r="G32" s="50">
        <v>0</v>
      </c>
      <c r="H32" s="50">
        <v>0</v>
      </c>
      <c r="I32" s="50">
        <v>26</v>
      </c>
      <c r="J32" s="50">
        <v>6</v>
      </c>
      <c r="K32" s="50">
        <v>0</v>
      </c>
      <c r="L32" s="50">
        <v>0</v>
      </c>
      <c r="M32" s="50">
        <v>233</v>
      </c>
      <c r="N32" s="50">
        <v>0</v>
      </c>
      <c r="O32" s="15">
        <f t="shared" si="0"/>
        <v>234</v>
      </c>
      <c r="P32" s="15">
        <f t="shared" si="1"/>
        <v>467</v>
      </c>
      <c r="R32" s="33" t="s">
        <v>156</v>
      </c>
      <c r="S32" s="34">
        <f>SUM(C98:C101)</f>
        <v>124</v>
      </c>
      <c r="T32" s="34">
        <f t="shared" ref="T32:AF32" si="24">SUM(D98:D101)</f>
        <v>35</v>
      </c>
      <c r="U32" s="34">
        <f t="shared" si="24"/>
        <v>19</v>
      </c>
      <c r="V32" s="34">
        <f t="shared" si="24"/>
        <v>115</v>
      </c>
      <c r="W32" s="34">
        <f t="shared" si="24"/>
        <v>4</v>
      </c>
      <c r="X32" s="34">
        <f t="shared" si="24"/>
        <v>3</v>
      </c>
      <c r="Y32" s="34">
        <f t="shared" si="24"/>
        <v>48</v>
      </c>
      <c r="Z32" s="34">
        <f t="shared" si="24"/>
        <v>16</v>
      </c>
      <c r="AA32" s="34">
        <f t="shared" si="24"/>
        <v>12</v>
      </c>
      <c r="AB32" s="34">
        <f t="shared" si="24"/>
        <v>6</v>
      </c>
      <c r="AC32" s="34">
        <f t="shared" si="24"/>
        <v>220</v>
      </c>
      <c r="AD32" s="34">
        <f t="shared" si="24"/>
        <v>0</v>
      </c>
      <c r="AE32" s="31">
        <f t="shared" si="24"/>
        <v>382</v>
      </c>
      <c r="AF32" s="31">
        <f t="shared" si="24"/>
        <v>602</v>
      </c>
    </row>
    <row r="33" spans="2:32" ht="23.1" customHeight="1" x14ac:dyDescent="0.25">
      <c r="B33" s="45" t="s">
        <v>60</v>
      </c>
      <c r="C33" s="50">
        <v>119</v>
      </c>
      <c r="D33" s="50">
        <v>7</v>
      </c>
      <c r="E33" s="50">
        <v>7</v>
      </c>
      <c r="F33" s="50">
        <v>36</v>
      </c>
      <c r="G33" s="50">
        <v>2</v>
      </c>
      <c r="H33" s="50">
        <v>16</v>
      </c>
      <c r="I33" s="50">
        <v>14</v>
      </c>
      <c r="J33" s="50">
        <v>1</v>
      </c>
      <c r="K33" s="50">
        <v>1</v>
      </c>
      <c r="L33" s="50">
        <v>233</v>
      </c>
      <c r="M33" s="50">
        <v>0</v>
      </c>
      <c r="N33" s="50">
        <v>0</v>
      </c>
      <c r="O33" s="15">
        <f t="shared" si="0"/>
        <v>436</v>
      </c>
      <c r="P33" s="15">
        <f t="shared" si="1"/>
        <v>436</v>
      </c>
      <c r="R33" s="33" t="s">
        <v>157</v>
      </c>
      <c r="S33" s="34">
        <f>SUM(C102:C105)</f>
        <v>202</v>
      </c>
      <c r="T33" s="34">
        <f t="shared" ref="T33:AF33" si="25">SUM(D102:D105)</f>
        <v>81</v>
      </c>
      <c r="U33" s="34">
        <f t="shared" si="25"/>
        <v>30</v>
      </c>
      <c r="V33" s="34">
        <f t="shared" si="25"/>
        <v>242</v>
      </c>
      <c r="W33" s="34">
        <f t="shared" si="25"/>
        <v>8</v>
      </c>
      <c r="X33" s="34">
        <f t="shared" si="25"/>
        <v>9</v>
      </c>
      <c r="Y33" s="34">
        <f t="shared" si="25"/>
        <v>110</v>
      </c>
      <c r="Z33" s="34">
        <f t="shared" si="25"/>
        <v>18</v>
      </c>
      <c r="AA33" s="34">
        <f t="shared" si="25"/>
        <v>104</v>
      </c>
      <c r="AB33" s="34">
        <f t="shared" si="25"/>
        <v>26</v>
      </c>
      <c r="AC33" s="34">
        <f t="shared" si="25"/>
        <v>506</v>
      </c>
      <c r="AD33" s="34">
        <f t="shared" si="25"/>
        <v>0</v>
      </c>
      <c r="AE33" s="31">
        <f t="shared" si="25"/>
        <v>830</v>
      </c>
      <c r="AF33" s="31">
        <f t="shared" si="25"/>
        <v>1336</v>
      </c>
    </row>
    <row r="34" spans="2:32" ht="23.1" customHeight="1" x14ac:dyDescent="0.25">
      <c r="B34" s="46" t="s">
        <v>61</v>
      </c>
      <c r="C34" s="50">
        <v>105</v>
      </c>
      <c r="D34" s="50">
        <v>4</v>
      </c>
      <c r="E34" s="50">
        <v>2</v>
      </c>
      <c r="F34" s="50">
        <v>32</v>
      </c>
      <c r="G34" s="50">
        <v>0</v>
      </c>
      <c r="H34" s="50">
        <v>0</v>
      </c>
      <c r="I34" s="50">
        <v>7</v>
      </c>
      <c r="J34" s="50">
        <v>5</v>
      </c>
      <c r="K34" s="50">
        <v>1</v>
      </c>
      <c r="L34" s="50">
        <v>1</v>
      </c>
      <c r="M34" s="50">
        <v>180</v>
      </c>
      <c r="N34" s="50">
        <v>0</v>
      </c>
      <c r="O34" s="15">
        <f t="shared" si="0"/>
        <v>157</v>
      </c>
      <c r="P34" s="15">
        <f t="shared" si="1"/>
        <v>337</v>
      </c>
      <c r="R34" s="38" t="s">
        <v>90</v>
      </c>
      <c r="S34" s="39">
        <f t="shared" ref="S34:AF34" si="26">MAX(S10:S12)</f>
        <v>432</v>
      </c>
      <c r="T34" s="39">
        <f t="shared" si="26"/>
        <v>68</v>
      </c>
      <c r="U34" s="39">
        <f t="shared" si="26"/>
        <v>186</v>
      </c>
      <c r="V34" s="39">
        <f t="shared" si="26"/>
        <v>362</v>
      </c>
      <c r="W34" s="39">
        <f t="shared" si="26"/>
        <v>60</v>
      </c>
      <c r="X34" s="39">
        <f t="shared" si="26"/>
        <v>4</v>
      </c>
      <c r="Y34" s="39">
        <f t="shared" si="26"/>
        <v>141</v>
      </c>
      <c r="Z34" s="39">
        <f t="shared" si="26"/>
        <v>66</v>
      </c>
      <c r="AA34" s="39">
        <f t="shared" si="26"/>
        <v>10</v>
      </c>
      <c r="AB34" s="39">
        <f t="shared" si="26"/>
        <v>10</v>
      </c>
      <c r="AC34" s="39">
        <f t="shared" si="26"/>
        <v>1049</v>
      </c>
      <c r="AD34" s="39">
        <f t="shared" si="26"/>
        <v>0</v>
      </c>
      <c r="AE34" s="40">
        <f t="shared" si="26"/>
        <v>1165</v>
      </c>
      <c r="AF34" s="40">
        <f t="shared" si="26"/>
        <v>2214</v>
      </c>
    </row>
    <row r="35" spans="2:32" ht="23.1" customHeight="1" x14ac:dyDescent="0.25">
      <c r="B35" s="46" t="s">
        <v>62</v>
      </c>
      <c r="C35" s="50">
        <v>85</v>
      </c>
      <c r="D35" s="50">
        <v>8</v>
      </c>
      <c r="E35" s="50">
        <v>6</v>
      </c>
      <c r="F35" s="50">
        <v>35</v>
      </c>
      <c r="G35" s="50">
        <v>0</v>
      </c>
      <c r="H35" s="50">
        <v>0</v>
      </c>
      <c r="I35" s="50">
        <v>11</v>
      </c>
      <c r="J35" s="50">
        <v>11</v>
      </c>
      <c r="K35" s="50">
        <v>1</v>
      </c>
      <c r="L35" s="50">
        <v>2</v>
      </c>
      <c r="M35" s="50">
        <v>220</v>
      </c>
      <c r="N35" s="50">
        <v>0</v>
      </c>
      <c r="O35" s="15">
        <f t="shared" si="0"/>
        <v>159</v>
      </c>
      <c r="P35" s="15">
        <f t="shared" si="1"/>
        <v>379</v>
      </c>
      <c r="R35" s="38" t="s">
        <v>91</v>
      </c>
      <c r="S35" s="39">
        <f t="shared" ref="S35:AF35" si="27">MAX(S13:S18)</f>
        <v>490</v>
      </c>
      <c r="T35" s="39">
        <f t="shared" si="27"/>
        <v>41</v>
      </c>
      <c r="U35" s="39">
        <f t="shared" si="27"/>
        <v>42</v>
      </c>
      <c r="V35" s="39">
        <f t="shared" si="27"/>
        <v>239</v>
      </c>
      <c r="W35" s="39">
        <f t="shared" si="27"/>
        <v>24</v>
      </c>
      <c r="X35" s="39">
        <f t="shared" si="27"/>
        <v>16</v>
      </c>
      <c r="Y35" s="39">
        <f t="shared" si="27"/>
        <v>132</v>
      </c>
      <c r="Z35" s="39">
        <f t="shared" si="27"/>
        <v>35</v>
      </c>
      <c r="AA35" s="39">
        <f t="shared" si="27"/>
        <v>10</v>
      </c>
      <c r="AB35" s="39">
        <f t="shared" si="27"/>
        <v>236</v>
      </c>
      <c r="AC35" s="39">
        <f t="shared" si="27"/>
        <v>991</v>
      </c>
      <c r="AD35" s="39">
        <f t="shared" si="27"/>
        <v>0</v>
      </c>
      <c r="AE35" s="40">
        <f t="shared" si="27"/>
        <v>1058</v>
      </c>
      <c r="AF35" s="40">
        <f t="shared" si="27"/>
        <v>1873</v>
      </c>
    </row>
    <row r="36" spans="2:32" ht="23.1" customHeight="1" x14ac:dyDescent="0.25">
      <c r="B36" s="46" t="s">
        <v>63</v>
      </c>
      <c r="C36" s="50">
        <v>123</v>
      </c>
      <c r="D36" s="50">
        <v>5</v>
      </c>
      <c r="E36" s="50">
        <v>4</v>
      </c>
      <c r="F36" s="50">
        <v>26</v>
      </c>
      <c r="G36" s="50">
        <v>0</v>
      </c>
      <c r="H36" s="50">
        <v>1</v>
      </c>
      <c r="I36" s="50">
        <v>8</v>
      </c>
      <c r="J36" s="50">
        <v>7</v>
      </c>
      <c r="K36" s="50">
        <v>1</v>
      </c>
      <c r="L36" s="50">
        <v>1</v>
      </c>
      <c r="M36" s="50">
        <v>203</v>
      </c>
      <c r="N36" s="50">
        <v>0</v>
      </c>
      <c r="O36" s="15">
        <f t="shared" si="0"/>
        <v>176</v>
      </c>
      <c r="P36" s="15">
        <f t="shared" si="1"/>
        <v>379</v>
      </c>
      <c r="R36" s="38" t="s">
        <v>92</v>
      </c>
      <c r="S36" s="39">
        <f t="shared" ref="S36:AF36" si="28">MAX(S19:S21)</f>
        <v>356</v>
      </c>
      <c r="T36" s="39">
        <f t="shared" si="28"/>
        <v>28</v>
      </c>
      <c r="U36" s="39">
        <f t="shared" si="28"/>
        <v>138</v>
      </c>
      <c r="V36" s="39">
        <f t="shared" si="28"/>
        <v>199</v>
      </c>
      <c r="W36" s="39">
        <f t="shared" si="28"/>
        <v>6</v>
      </c>
      <c r="X36" s="39">
        <f t="shared" si="28"/>
        <v>6</v>
      </c>
      <c r="Y36" s="39">
        <f t="shared" si="28"/>
        <v>100</v>
      </c>
      <c r="Z36" s="39">
        <f t="shared" si="28"/>
        <v>58</v>
      </c>
      <c r="AA36" s="39">
        <f t="shared" si="28"/>
        <v>10</v>
      </c>
      <c r="AB36" s="39">
        <f t="shared" si="28"/>
        <v>14</v>
      </c>
      <c r="AC36" s="39">
        <f t="shared" si="28"/>
        <v>867</v>
      </c>
      <c r="AD36" s="39">
        <f t="shared" si="28"/>
        <v>0</v>
      </c>
      <c r="AE36" s="40">
        <f t="shared" si="28"/>
        <v>763</v>
      </c>
      <c r="AF36" s="40">
        <f t="shared" si="28"/>
        <v>1629</v>
      </c>
    </row>
    <row r="37" spans="2:32" ht="23.1" customHeight="1" x14ac:dyDescent="0.25">
      <c r="B37" s="45" t="s">
        <v>64</v>
      </c>
      <c r="C37" s="50">
        <v>88</v>
      </c>
      <c r="D37" s="50">
        <v>0</v>
      </c>
      <c r="E37" s="50">
        <v>9</v>
      </c>
      <c r="F37" s="50">
        <v>54</v>
      </c>
      <c r="G37" s="50">
        <v>2</v>
      </c>
      <c r="H37" s="50">
        <v>1</v>
      </c>
      <c r="I37" s="50">
        <v>8</v>
      </c>
      <c r="J37" s="50">
        <v>12</v>
      </c>
      <c r="K37" s="50">
        <v>0</v>
      </c>
      <c r="L37" s="50">
        <v>1</v>
      </c>
      <c r="M37" s="50">
        <v>218</v>
      </c>
      <c r="N37" s="50">
        <v>0</v>
      </c>
      <c r="O37" s="15">
        <f t="shared" si="0"/>
        <v>175</v>
      </c>
      <c r="P37" s="15">
        <f t="shared" si="1"/>
        <v>393</v>
      </c>
      <c r="R37" s="37" t="s">
        <v>85</v>
      </c>
      <c r="S37" s="35">
        <f t="shared" ref="S37:AF37" si="29">SUM(S10:S12)</f>
        <v>1184</v>
      </c>
      <c r="T37" s="16">
        <f t="shared" si="29"/>
        <v>148</v>
      </c>
      <c r="U37" s="16">
        <f t="shared" si="29"/>
        <v>325</v>
      </c>
      <c r="V37" s="16">
        <f t="shared" si="29"/>
        <v>899</v>
      </c>
      <c r="W37" s="16">
        <f t="shared" si="29"/>
        <v>69</v>
      </c>
      <c r="X37" s="16">
        <f t="shared" si="29"/>
        <v>8</v>
      </c>
      <c r="Y37" s="16">
        <f t="shared" si="29"/>
        <v>370</v>
      </c>
      <c r="Z37" s="16">
        <f t="shared" si="29"/>
        <v>167</v>
      </c>
      <c r="AA37" s="16">
        <f t="shared" si="29"/>
        <v>23</v>
      </c>
      <c r="AB37" s="16">
        <f t="shared" si="29"/>
        <v>22</v>
      </c>
      <c r="AC37" s="16">
        <f t="shared" si="29"/>
        <v>2793</v>
      </c>
      <c r="AD37" s="16">
        <f t="shared" si="29"/>
        <v>0</v>
      </c>
      <c r="AE37" s="32">
        <f t="shared" si="29"/>
        <v>3215</v>
      </c>
      <c r="AF37" s="32">
        <f t="shared" si="29"/>
        <v>6008</v>
      </c>
    </row>
    <row r="38" spans="2:32" ht="23.1" customHeight="1" x14ac:dyDescent="0.25">
      <c r="B38" s="46" t="s">
        <v>65</v>
      </c>
      <c r="C38" s="50">
        <v>97</v>
      </c>
      <c r="D38" s="50">
        <v>3</v>
      </c>
      <c r="E38" s="50">
        <v>5</v>
      </c>
      <c r="F38" s="50">
        <v>36</v>
      </c>
      <c r="G38" s="50">
        <v>6</v>
      </c>
      <c r="H38" s="50">
        <v>2</v>
      </c>
      <c r="I38" s="50">
        <v>13</v>
      </c>
      <c r="J38" s="50">
        <v>7</v>
      </c>
      <c r="K38" s="50">
        <v>2</v>
      </c>
      <c r="L38" s="50">
        <v>5</v>
      </c>
      <c r="M38" s="50">
        <v>188</v>
      </c>
      <c r="N38" s="50">
        <v>0</v>
      </c>
      <c r="O38" s="15">
        <f t="shared" si="0"/>
        <v>176</v>
      </c>
      <c r="P38" s="15">
        <f t="shared" si="1"/>
        <v>364</v>
      </c>
      <c r="R38" s="28" t="s">
        <v>86</v>
      </c>
      <c r="S38" s="16">
        <f t="shared" ref="S38:AF38" si="30">SUM(S13:S18)</f>
        <v>2534</v>
      </c>
      <c r="T38" s="16">
        <f t="shared" si="30"/>
        <v>141</v>
      </c>
      <c r="U38" s="16">
        <f t="shared" si="30"/>
        <v>192</v>
      </c>
      <c r="V38" s="16">
        <f t="shared" si="30"/>
        <v>1057</v>
      </c>
      <c r="W38" s="16">
        <f t="shared" si="30"/>
        <v>39</v>
      </c>
      <c r="X38" s="16">
        <f t="shared" si="30"/>
        <v>35</v>
      </c>
      <c r="Y38" s="16">
        <f t="shared" si="30"/>
        <v>395</v>
      </c>
      <c r="Z38" s="16">
        <f t="shared" si="30"/>
        <v>163</v>
      </c>
      <c r="AA38" s="16">
        <f t="shared" si="30"/>
        <v>32</v>
      </c>
      <c r="AB38" s="16">
        <f t="shared" si="30"/>
        <v>493</v>
      </c>
      <c r="AC38" s="16">
        <f t="shared" si="30"/>
        <v>4730</v>
      </c>
      <c r="AD38" s="16">
        <f t="shared" si="30"/>
        <v>0</v>
      </c>
      <c r="AE38" s="32">
        <f t="shared" si="30"/>
        <v>5081</v>
      </c>
      <c r="AF38" s="32">
        <f t="shared" si="30"/>
        <v>9811</v>
      </c>
    </row>
    <row r="39" spans="2:32" ht="23.1" customHeight="1" x14ac:dyDescent="0.25">
      <c r="B39" s="46" t="s">
        <v>66</v>
      </c>
      <c r="C39" s="50">
        <v>94</v>
      </c>
      <c r="D39" s="50">
        <v>4</v>
      </c>
      <c r="E39" s="50">
        <v>4</v>
      </c>
      <c r="F39" s="50">
        <v>24</v>
      </c>
      <c r="G39" s="50">
        <v>0</v>
      </c>
      <c r="H39" s="50">
        <v>0</v>
      </c>
      <c r="I39" s="50">
        <v>12</v>
      </c>
      <c r="J39" s="50">
        <v>4</v>
      </c>
      <c r="K39" s="50">
        <v>3</v>
      </c>
      <c r="L39" s="50">
        <v>0</v>
      </c>
      <c r="M39" s="50">
        <v>185</v>
      </c>
      <c r="N39" s="50">
        <v>0</v>
      </c>
      <c r="O39" s="15">
        <f t="shared" si="0"/>
        <v>145</v>
      </c>
      <c r="P39" s="15">
        <f t="shared" si="1"/>
        <v>330</v>
      </c>
      <c r="R39" s="29" t="s">
        <v>87</v>
      </c>
      <c r="S39" s="16">
        <f t="shared" ref="S39:AF39" si="31">SUM(S19:S21)</f>
        <v>1031</v>
      </c>
      <c r="T39" s="16">
        <f t="shared" si="31"/>
        <v>80</v>
      </c>
      <c r="U39" s="16">
        <f t="shared" si="31"/>
        <v>236</v>
      </c>
      <c r="V39" s="16">
        <f t="shared" si="31"/>
        <v>513</v>
      </c>
      <c r="W39" s="16">
        <f t="shared" si="31"/>
        <v>12</v>
      </c>
      <c r="X39" s="16">
        <f t="shared" si="31"/>
        <v>12</v>
      </c>
      <c r="Y39" s="16">
        <f t="shared" si="31"/>
        <v>224</v>
      </c>
      <c r="Z39" s="16">
        <f t="shared" si="31"/>
        <v>122</v>
      </c>
      <c r="AA39" s="16">
        <f t="shared" si="31"/>
        <v>17</v>
      </c>
      <c r="AB39" s="16">
        <f t="shared" si="31"/>
        <v>35</v>
      </c>
      <c r="AC39" s="16">
        <f t="shared" si="31"/>
        <v>2439</v>
      </c>
      <c r="AD39" s="16">
        <f t="shared" si="31"/>
        <v>0</v>
      </c>
      <c r="AE39" s="32">
        <f t="shared" si="31"/>
        <v>2282</v>
      </c>
      <c r="AF39" s="32">
        <f t="shared" si="31"/>
        <v>4721</v>
      </c>
    </row>
    <row r="40" spans="2:32" ht="23.1" customHeight="1" x14ac:dyDescent="0.25">
      <c r="B40" s="46" t="s">
        <v>67</v>
      </c>
      <c r="C40" s="50">
        <v>54</v>
      </c>
      <c r="D40" s="50">
        <v>1</v>
      </c>
      <c r="E40" s="50">
        <v>8</v>
      </c>
      <c r="F40" s="50">
        <v>14</v>
      </c>
      <c r="G40" s="50">
        <v>0</v>
      </c>
      <c r="H40" s="50">
        <v>0</v>
      </c>
      <c r="I40" s="50">
        <v>6</v>
      </c>
      <c r="J40" s="50">
        <v>7</v>
      </c>
      <c r="K40" s="50">
        <v>2</v>
      </c>
      <c r="L40" s="50">
        <v>1</v>
      </c>
      <c r="M40" s="50">
        <v>184</v>
      </c>
      <c r="N40" s="50">
        <v>0</v>
      </c>
      <c r="O40" s="15">
        <f t="shared" si="0"/>
        <v>93</v>
      </c>
      <c r="P40" s="15">
        <f t="shared" si="1"/>
        <v>277</v>
      </c>
      <c r="R40" s="5" t="s">
        <v>17</v>
      </c>
      <c r="S40" s="16">
        <f t="shared" ref="S40:AF40" si="32">SUM(S10:S21)</f>
        <v>4749</v>
      </c>
      <c r="T40" s="16">
        <f t="shared" si="32"/>
        <v>369</v>
      </c>
      <c r="U40" s="16">
        <f t="shared" si="32"/>
        <v>753</v>
      </c>
      <c r="V40" s="16">
        <f t="shared" si="32"/>
        <v>2469</v>
      </c>
      <c r="W40" s="16">
        <f t="shared" si="32"/>
        <v>120</v>
      </c>
      <c r="X40" s="16">
        <f t="shared" si="32"/>
        <v>55</v>
      </c>
      <c r="Y40" s="16">
        <f t="shared" si="32"/>
        <v>989</v>
      </c>
      <c r="Z40" s="16">
        <f t="shared" si="32"/>
        <v>452</v>
      </c>
      <c r="AA40" s="16">
        <f t="shared" si="32"/>
        <v>72</v>
      </c>
      <c r="AB40" s="16">
        <f t="shared" si="32"/>
        <v>550</v>
      </c>
      <c r="AC40" s="16">
        <f t="shared" si="32"/>
        <v>9962</v>
      </c>
      <c r="AD40" s="16">
        <f t="shared" si="32"/>
        <v>0</v>
      </c>
      <c r="AE40" s="32">
        <f t="shared" si="32"/>
        <v>10578</v>
      </c>
      <c r="AF40" s="32">
        <f t="shared" si="32"/>
        <v>20540</v>
      </c>
    </row>
    <row r="41" spans="2:32" ht="23.1" customHeight="1" x14ac:dyDescent="0.25">
      <c r="B41" s="45" t="s">
        <v>68</v>
      </c>
      <c r="C41" s="50">
        <v>99</v>
      </c>
      <c r="D41" s="50">
        <v>5</v>
      </c>
      <c r="E41" s="50">
        <v>5</v>
      </c>
      <c r="F41" s="50">
        <v>29</v>
      </c>
      <c r="G41" s="50">
        <v>2</v>
      </c>
      <c r="H41" s="50">
        <v>12</v>
      </c>
      <c r="I41" s="50">
        <v>7</v>
      </c>
      <c r="J41" s="50">
        <v>0</v>
      </c>
      <c r="K41" s="50">
        <v>1</v>
      </c>
      <c r="L41" s="50">
        <v>225</v>
      </c>
      <c r="M41" s="50">
        <v>0</v>
      </c>
      <c r="N41" s="50">
        <v>0</v>
      </c>
      <c r="O41" s="15">
        <f t="shared" si="0"/>
        <v>385</v>
      </c>
      <c r="P41" s="15">
        <f t="shared" si="1"/>
        <v>385</v>
      </c>
      <c r="R41" s="5" t="s">
        <v>159</v>
      </c>
      <c r="S41" s="16">
        <f>SUM(S10:S33)</f>
        <v>7386</v>
      </c>
      <c r="T41" s="16">
        <f t="shared" ref="T41:AF41" si="33">SUM(T10:T33)</f>
        <v>1297</v>
      </c>
      <c r="U41" s="16">
        <f t="shared" si="33"/>
        <v>1189</v>
      </c>
      <c r="V41" s="16">
        <f t="shared" si="33"/>
        <v>4146</v>
      </c>
      <c r="W41" s="16">
        <f t="shared" si="33"/>
        <v>207</v>
      </c>
      <c r="X41" s="16">
        <f t="shared" si="33"/>
        <v>90</v>
      </c>
      <c r="Y41" s="16">
        <f t="shared" si="33"/>
        <v>2011</v>
      </c>
      <c r="Z41" s="16">
        <f t="shared" si="33"/>
        <v>675</v>
      </c>
      <c r="AA41" s="16">
        <f t="shared" si="33"/>
        <v>402</v>
      </c>
      <c r="AB41" s="16">
        <f t="shared" si="33"/>
        <v>659</v>
      </c>
      <c r="AC41" s="16">
        <f t="shared" si="33"/>
        <v>14340</v>
      </c>
      <c r="AD41" s="16">
        <f t="shared" si="33"/>
        <v>0</v>
      </c>
      <c r="AE41" s="32">
        <f t="shared" si="33"/>
        <v>18062</v>
      </c>
      <c r="AF41" s="32">
        <f t="shared" si="33"/>
        <v>32402</v>
      </c>
    </row>
    <row r="42" spans="2:32" ht="23.1" customHeight="1" x14ac:dyDescent="0.25">
      <c r="B42" s="46" t="s">
        <v>69</v>
      </c>
      <c r="C42" s="50">
        <v>165</v>
      </c>
      <c r="D42" s="50">
        <v>4</v>
      </c>
      <c r="E42" s="50">
        <v>7</v>
      </c>
      <c r="F42" s="50">
        <v>29</v>
      </c>
      <c r="G42" s="50">
        <v>0</v>
      </c>
      <c r="H42" s="50">
        <v>1</v>
      </c>
      <c r="I42" s="50">
        <v>111</v>
      </c>
      <c r="J42" s="50">
        <v>8</v>
      </c>
      <c r="K42" s="50">
        <v>4</v>
      </c>
      <c r="L42" s="50">
        <v>3</v>
      </c>
      <c r="M42" s="50">
        <v>113</v>
      </c>
      <c r="N42" s="50">
        <v>0</v>
      </c>
      <c r="O42" s="15">
        <f t="shared" si="0"/>
        <v>332</v>
      </c>
      <c r="P42" s="15">
        <f t="shared" si="1"/>
        <v>445</v>
      </c>
      <c r="R42" s="5" t="s">
        <v>160</v>
      </c>
      <c r="S42" s="48">
        <f>S41/S40</f>
        <v>1.5552747946936196</v>
      </c>
      <c r="T42" s="48">
        <f t="shared" ref="T42:AF42" si="34">T41/T40</f>
        <v>3.5149051490514904</v>
      </c>
      <c r="U42" s="48">
        <f t="shared" si="34"/>
        <v>1.5790172642762283</v>
      </c>
      <c r="V42" s="48">
        <f t="shared" si="34"/>
        <v>1.6792223572296476</v>
      </c>
      <c r="W42" s="48">
        <f t="shared" si="34"/>
        <v>1.7250000000000001</v>
      </c>
      <c r="X42" s="48">
        <f t="shared" si="34"/>
        <v>1.6363636363636365</v>
      </c>
      <c r="Y42" s="48">
        <f t="shared" si="34"/>
        <v>2.0333670374115269</v>
      </c>
      <c r="Z42" s="48">
        <f t="shared" si="34"/>
        <v>1.4933628318584071</v>
      </c>
      <c r="AA42" s="48">
        <f t="shared" si="34"/>
        <v>5.583333333333333</v>
      </c>
      <c r="AB42" s="48">
        <f t="shared" si="34"/>
        <v>1.1981818181818182</v>
      </c>
      <c r="AC42" s="48">
        <f t="shared" si="34"/>
        <v>1.4394699859465971</v>
      </c>
      <c r="AD42" s="48" t="e">
        <f t="shared" si="34"/>
        <v>#DIV/0!</v>
      </c>
      <c r="AE42" s="48">
        <f t="shared" si="34"/>
        <v>1.7075061448288902</v>
      </c>
      <c r="AF42" s="48">
        <f t="shared" si="34"/>
        <v>1.5775073028237585</v>
      </c>
    </row>
    <row r="43" spans="2:32" ht="23.1" customHeight="1" x14ac:dyDescent="0.25">
      <c r="B43" s="45" t="s">
        <v>70</v>
      </c>
      <c r="C43" s="50">
        <v>51</v>
      </c>
      <c r="D43" s="50">
        <v>1</v>
      </c>
      <c r="E43" s="50">
        <v>16</v>
      </c>
      <c r="F43" s="50">
        <v>28</v>
      </c>
      <c r="G43" s="50">
        <v>0</v>
      </c>
      <c r="H43" s="50">
        <v>0</v>
      </c>
      <c r="I43" s="50">
        <v>4</v>
      </c>
      <c r="J43" s="50">
        <v>6</v>
      </c>
      <c r="K43" s="50">
        <v>0</v>
      </c>
      <c r="L43" s="50">
        <v>9</v>
      </c>
      <c r="M43" s="50">
        <v>242</v>
      </c>
      <c r="N43" s="50">
        <v>0</v>
      </c>
      <c r="O43" s="15">
        <f t="shared" si="0"/>
        <v>115</v>
      </c>
      <c r="P43" s="15">
        <f t="shared" si="1"/>
        <v>357</v>
      </c>
    </row>
    <row r="44" spans="2:32" ht="23.1" customHeight="1" x14ac:dyDescent="0.25">
      <c r="B44" s="47" t="s">
        <v>71</v>
      </c>
      <c r="C44" s="50">
        <v>84</v>
      </c>
      <c r="D44" s="50">
        <v>7</v>
      </c>
      <c r="E44" s="50">
        <v>5</v>
      </c>
      <c r="F44" s="50">
        <v>40</v>
      </c>
      <c r="G44" s="50">
        <v>0</v>
      </c>
      <c r="H44" s="50">
        <v>0</v>
      </c>
      <c r="I44" s="50">
        <v>10</v>
      </c>
      <c r="J44" s="50">
        <v>4</v>
      </c>
      <c r="K44" s="50">
        <v>3</v>
      </c>
      <c r="L44" s="50">
        <v>0</v>
      </c>
      <c r="M44" s="50">
        <v>200</v>
      </c>
      <c r="N44" s="50">
        <v>0</v>
      </c>
      <c r="O44" s="15">
        <f t="shared" si="0"/>
        <v>153</v>
      </c>
      <c r="P44" s="15">
        <f t="shared" si="1"/>
        <v>353</v>
      </c>
    </row>
    <row r="45" spans="2:32" ht="23.1" customHeight="1" x14ac:dyDescent="0.25">
      <c r="B45" s="45" t="s">
        <v>72</v>
      </c>
      <c r="C45" s="50">
        <v>88</v>
      </c>
      <c r="D45" s="50">
        <v>7</v>
      </c>
      <c r="E45" s="50">
        <v>6</v>
      </c>
      <c r="F45" s="50">
        <v>50</v>
      </c>
      <c r="G45" s="50">
        <v>0</v>
      </c>
      <c r="H45" s="50">
        <v>0</v>
      </c>
      <c r="I45" s="50">
        <v>7</v>
      </c>
      <c r="J45" s="50">
        <v>5</v>
      </c>
      <c r="K45" s="50">
        <v>3</v>
      </c>
      <c r="L45" s="50">
        <v>1</v>
      </c>
      <c r="M45" s="50">
        <v>195</v>
      </c>
      <c r="N45" s="50">
        <v>0</v>
      </c>
      <c r="O45" s="15">
        <f t="shared" si="0"/>
        <v>167</v>
      </c>
      <c r="P45" s="15">
        <f t="shared" si="1"/>
        <v>362</v>
      </c>
    </row>
    <row r="46" spans="2:32" ht="23.1" customHeight="1" x14ac:dyDescent="0.25">
      <c r="B46" s="46" t="s">
        <v>73</v>
      </c>
      <c r="C46" s="50">
        <v>95</v>
      </c>
      <c r="D46" s="50">
        <v>6</v>
      </c>
      <c r="E46" s="50">
        <v>18</v>
      </c>
      <c r="F46" s="50">
        <v>38</v>
      </c>
      <c r="G46" s="50">
        <v>0</v>
      </c>
      <c r="H46" s="50">
        <v>0</v>
      </c>
      <c r="I46" s="50">
        <v>17</v>
      </c>
      <c r="J46" s="50">
        <v>18</v>
      </c>
      <c r="K46" s="50">
        <v>0</v>
      </c>
      <c r="L46" s="50">
        <v>3</v>
      </c>
      <c r="M46" s="50">
        <v>230</v>
      </c>
      <c r="N46" s="50">
        <v>0</v>
      </c>
      <c r="O46" s="15">
        <f t="shared" si="0"/>
        <v>195</v>
      </c>
      <c r="P46" s="15">
        <f t="shared" si="1"/>
        <v>425</v>
      </c>
      <c r="R46" s="8"/>
      <c r="T46"/>
    </row>
    <row r="47" spans="2:32" ht="23.1" customHeight="1" x14ac:dyDescent="0.25">
      <c r="B47" s="46" t="s">
        <v>74</v>
      </c>
      <c r="C47" s="50">
        <v>85</v>
      </c>
      <c r="D47" s="50">
        <v>7</v>
      </c>
      <c r="E47" s="50">
        <v>9</v>
      </c>
      <c r="F47" s="50">
        <v>37</v>
      </c>
      <c r="G47" s="50">
        <v>0</v>
      </c>
      <c r="H47" s="50">
        <v>0</v>
      </c>
      <c r="I47" s="50">
        <v>49</v>
      </c>
      <c r="J47" s="50">
        <v>13</v>
      </c>
      <c r="K47" s="50">
        <v>2</v>
      </c>
      <c r="L47" s="50">
        <v>3</v>
      </c>
      <c r="M47" s="50">
        <v>183</v>
      </c>
      <c r="N47" s="50">
        <v>0</v>
      </c>
      <c r="O47" s="15">
        <f t="shared" si="0"/>
        <v>205</v>
      </c>
      <c r="P47" s="15">
        <f t="shared" si="1"/>
        <v>388</v>
      </c>
      <c r="R47" s="8"/>
      <c r="T47"/>
    </row>
    <row r="48" spans="2:32" ht="23.1" customHeight="1" x14ac:dyDescent="0.25">
      <c r="B48" s="46" t="s">
        <v>75</v>
      </c>
      <c r="C48" s="50">
        <v>87</v>
      </c>
      <c r="D48" s="50">
        <v>7</v>
      </c>
      <c r="E48" s="50">
        <v>16</v>
      </c>
      <c r="F48" s="50">
        <v>48</v>
      </c>
      <c r="G48" s="50">
        <v>0</v>
      </c>
      <c r="H48" s="50">
        <v>4</v>
      </c>
      <c r="I48" s="50">
        <v>16</v>
      </c>
      <c r="J48" s="50">
        <v>13</v>
      </c>
      <c r="K48" s="50">
        <v>1</v>
      </c>
      <c r="L48" s="50">
        <v>4</v>
      </c>
      <c r="M48" s="50">
        <v>200</v>
      </c>
      <c r="N48" s="50">
        <v>0</v>
      </c>
      <c r="O48" s="15">
        <f t="shared" si="0"/>
        <v>196</v>
      </c>
      <c r="P48" s="15">
        <f t="shared" si="1"/>
        <v>396</v>
      </c>
      <c r="R48" s="8"/>
      <c r="T48"/>
    </row>
    <row r="49" spans="2:20" ht="23.1" customHeight="1" x14ac:dyDescent="0.25">
      <c r="B49" s="45" t="s">
        <v>76</v>
      </c>
      <c r="C49" s="50">
        <v>78</v>
      </c>
      <c r="D49" s="50">
        <v>7</v>
      </c>
      <c r="E49" s="50">
        <v>8</v>
      </c>
      <c r="F49" s="50">
        <v>39</v>
      </c>
      <c r="G49" s="50">
        <v>1</v>
      </c>
      <c r="H49" s="50">
        <v>0</v>
      </c>
      <c r="I49" s="50">
        <v>18</v>
      </c>
      <c r="J49" s="50">
        <v>14</v>
      </c>
      <c r="K49" s="50">
        <v>0</v>
      </c>
      <c r="L49" s="50">
        <v>2</v>
      </c>
      <c r="M49" s="50">
        <v>223</v>
      </c>
      <c r="N49" s="50">
        <v>0</v>
      </c>
      <c r="O49" s="15">
        <f t="shared" si="0"/>
        <v>167</v>
      </c>
      <c r="P49" s="15">
        <f t="shared" si="1"/>
        <v>390</v>
      </c>
      <c r="R49" s="8"/>
      <c r="T49"/>
    </row>
    <row r="50" spans="2:20" ht="23.1" customHeight="1" x14ac:dyDescent="0.25">
      <c r="B50" s="46" t="s">
        <v>77</v>
      </c>
      <c r="C50" s="50">
        <v>105</v>
      </c>
      <c r="D50" s="50">
        <v>5</v>
      </c>
      <c r="E50" s="50">
        <v>13</v>
      </c>
      <c r="F50" s="50">
        <v>33</v>
      </c>
      <c r="G50" s="50">
        <v>2</v>
      </c>
      <c r="H50" s="50">
        <v>2</v>
      </c>
      <c r="I50" s="50">
        <v>12</v>
      </c>
      <c r="J50" s="50">
        <v>10</v>
      </c>
      <c r="K50" s="50">
        <v>5</v>
      </c>
      <c r="L50" s="50">
        <v>4</v>
      </c>
      <c r="M50" s="50">
        <v>234</v>
      </c>
      <c r="N50" s="50">
        <v>0</v>
      </c>
      <c r="O50" s="15">
        <f t="shared" si="0"/>
        <v>191</v>
      </c>
      <c r="P50" s="15">
        <f t="shared" si="1"/>
        <v>425</v>
      </c>
      <c r="R50" s="8"/>
      <c r="T50"/>
    </row>
    <row r="51" spans="2:20" ht="23.1" customHeight="1" x14ac:dyDescent="0.25">
      <c r="B51" s="46" t="s">
        <v>78</v>
      </c>
      <c r="C51" s="50">
        <v>80</v>
      </c>
      <c r="D51" s="50">
        <v>4</v>
      </c>
      <c r="E51" s="50">
        <v>6</v>
      </c>
      <c r="F51" s="50">
        <v>29</v>
      </c>
      <c r="G51" s="50">
        <v>0</v>
      </c>
      <c r="H51" s="50">
        <v>0</v>
      </c>
      <c r="I51" s="50">
        <v>9</v>
      </c>
      <c r="J51" s="50">
        <v>6</v>
      </c>
      <c r="K51" s="50">
        <v>1</v>
      </c>
      <c r="L51" s="50">
        <v>1</v>
      </c>
      <c r="M51" s="50">
        <v>210</v>
      </c>
      <c r="N51" s="50">
        <v>0</v>
      </c>
      <c r="O51" s="15">
        <f t="shared" si="0"/>
        <v>136</v>
      </c>
      <c r="P51" s="15">
        <f t="shared" si="1"/>
        <v>346</v>
      </c>
      <c r="R51" s="8"/>
      <c r="T51"/>
    </row>
    <row r="52" spans="2:20" ht="23.1" customHeight="1" x14ac:dyDescent="0.25">
      <c r="B52" s="46" t="s">
        <v>79</v>
      </c>
      <c r="C52" s="50">
        <v>76</v>
      </c>
      <c r="D52" s="50">
        <v>3</v>
      </c>
      <c r="E52" s="50">
        <v>8</v>
      </c>
      <c r="F52" s="50">
        <v>38</v>
      </c>
      <c r="G52" s="50">
        <v>1</v>
      </c>
      <c r="H52" s="50">
        <v>0</v>
      </c>
      <c r="I52" s="50">
        <v>12</v>
      </c>
      <c r="J52" s="50">
        <v>8</v>
      </c>
      <c r="K52" s="50">
        <v>2</v>
      </c>
      <c r="L52" s="50">
        <v>1</v>
      </c>
      <c r="M52" s="50">
        <v>203</v>
      </c>
      <c r="N52" s="50">
        <v>0</v>
      </c>
      <c r="O52" s="15">
        <f t="shared" si="0"/>
        <v>149</v>
      </c>
      <c r="P52" s="15">
        <f t="shared" si="1"/>
        <v>352</v>
      </c>
      <c r="R52" s="8"/>
      <c r="T52"/>
    </row>
    <row r="53" spans="2:20" ht="23.1" customHeight="1" x14ac:dyDescent="0.25">
      <c r="B53" s="45" t="s">
        <v>80</v>
      </c>
      <c r="C53" s="50">
        <v>95</v>
      </c>
      <c r="D53" s="50">
        <v>13</v>
      </c>
      <c r="E53" s="50">
        <v>111</v>
      </c>
      <c r="F53" s="50">
        <v>52</v>
      </c>
      <c r="G53" s="50">
        <v>2</v>
      </c>
      <c r="H53" s="50">
        <v>0</v>
      </c>
      <c r="I53" s="50">
        <v>5</v>
      </c>
      <c r="J53" s="50">
        <v>3</v>
      </c>
      <c r="K53" s="50">
        <v>2</v>
      </c>
      <c r="L53" s="50">
        <v>3</v>
      </c>
      <c r="M53" s="50">
        <v>220</v>
      </c>
      <c r="N53" s="50">
        <v>0</v>
      </c>
      <c r="O53" s="15">
        <f t="shared" si="0"/>
        <v>286</v>
      </c>
      <c r="P53" s="15">
        <f t="shared" si="1"/>
        <v>506</v>
      </c>
      <c r="R53" s="8"/>
      <c r="T53"/>
    </row>
    <row r="54" spans="2:20" ht="23.1" customHeight="1" x14ac:dyDescent="0.25">
      <c r="B54" s="45" t="s">
        <v>81</v>
      </c>
      <c r="C54" s="50">
        <v>112</v>
      </c>
      <c r="D54" s="50">
        <v>7</v>
      </c>
      <c r="E54" s="50">
        <v>3</v>
      </c>
      <c r="F54" s="50">
        <v>32</v>
      </c>
      <c r="G54" s="50">
        <v>0</v>
      </c>
      <c r="H54" s="50">
        <v>0</v>
      </c>
      <c r="I54" s="50">
        <v>19</v>
      </c>
      <c r="J54" s="50">
        <v>5</v>
      </c>
      <c r="K54" s="50">
        <v>2</v>
      </c>
      <c r="L54" s="50">
        <v>1</v>
      </c>
      <c r="M54" s="50">
        <v>208</v>
      </c>
      <c r="N54" s="50">
        <v>0</v>
      </c>
      <c r="O54" s="15">
        <f t="shared" si="0"/>
        <v>181</v>
      </c>
      <c r="P54" s="15">
        <f t="shared" si="1"/>
        <v>389</v>
      </c>
      <c r="R54" s="8"/>
      <c r="T54"/>
    </row>
    <row r="55" spans="2:20" ht="23.1" customHeight="1" x14ac:dyDescent="0.25">
      <c r="B55" s="45" t="s">
        <v>82</v>
      </c>
      <c r="C55" s="50">
        <v>105</v>
      </c>
      <c r="D55" s="50">
        <v>13</v>
      </c>
      <c r="E55" s="50">
        <v>15</v>
      </c>
      <c r="F55" s="50">
        <v>32</v>
      </c>
      <c r="G55" s="50">
        <v>0</v>
      </c>
      <c r="H55" s="50">
        <v>1</v>
      </c>
      <c r="I55" s="50">
        <v>12</v>
      </c>
      <c r="J55" s="50">
        <v>6</v>
      </c>
      <c r="K55" s="50">
        <v>0</v>
      </c>
      <c r="L55" s="50">
        <v>1</v>
      </c>
      <c r="M55" s="50">
        <v>183</v>
      </c>
      <c r="N55" s="50">
        <v>0</v>
      </c>
      <c r="O55" s="15">
        <f t="shared" si="0"/>
        <v>185</v>
      </c>
      <c r="P55" s="15">
        <f t="shared" si="1"/>
        <v>368</v>
      </c>
      <c r="R55" s="8"/>
      <c r="T55"/>
    </row>
    <row r="56" spans="2:20" ht="23.1" customHeight="1" x14ac:dyDescent="0.25">
      <c r="B56" s="45" t="s">
        <v>83</v>
      </c>
      <c r="C56" s="50">
        <v>73</v>
      </c>
      <c r="D56" s="50">
        <v>5</v>
      </c>
      <c r="E56" s="50">
        <v>9</v>
      </c>
      <c r="F56" s="50">
        <v>85</v>
      </c>
      <c r="G56" s="50">
        <v>0</v>
      </c>
      <c r="H56" s="50">
        <v>0</v>
      </c>
      <c r="I56" s="50">
        <v>15</v>
      </c>
      <c r="J56" s="50">
        <v>13</v>
      </c>
      <c r="K56" s="50">
        <v>0</v>
      </c>
      <c r="L56" s="50">
        <v>5</v>
      </c>
      <c r="M56" s="50">
        <v>205</v>
      </c>
      <c r="N56" s="50">
        <v>0</v>
      </c>
      <c r="O56" s="15">
        <f t="shared" si="0"/>
        <v>205</v>
      </c>
      <c r="P56" s="15">
        <f t="shared" si="1"/>
        <v>410</v>
      </c>
      <c r="R56" s="8"/>
      <c r="T56"/>
    </row>
    <row r="57" spans="2:20" ht="23.1" customHeight="1" x14ac:dyDescent="0.25">
      <c r="B57" s="45" t="s">
        <v>84</v>
      </c>
      <c r="C57" s="50">
        <v>40</v>
      </c>
      <c r="D57" s="50">
        <v>3</v>
      </c>
      <c r="E57" s="50">
        <v>20</v>
      </c>
      <c r="F57" s="50">
        <v>50</v>
      </c>
      <c r="G57" s="50">
        <v>6</v>
      </c>
      <c r="H57" s="50">
        <v>5</v>
      </c>
      <c r="I57" s="50">
        <v>40</v>
      </c>
      <c r="J57" s="50">
        <v>13</v>
      </c>
      <c r="K57" s="50">
        <v>2</v>
      </c>
      <c r="L57" s="50">
        <v>7</v>
      </c>
      <c r="M57" s="50">
        <v>140</v>
      </c>
      <c r="N57" s="50">
        <v>0</v>
      </c>
      <c r="O57" s="15">
        <f t="shared" si="0"/>
        <v>186</v>
      </c>
      <c r="P57" s="15">
        <f t="shared" si="1"/>
        <v>326</v>
      </c>
      <c r="R57" s="8"/>
      <c r="T57"/>
    </row>
    <row r="58" spans="2:20" ht="23.1" customHeight="1" x14ac:dyDescent="0.25">
      <c r="B58" s="45" t="s">
        <v>99</v>
      </c>
      <c r="C58" s="50">
        <v>82</v>
      </c>
      <c r="D58" s="50">
        <v>22</v>
      </c>
      <c r="E58" s="50">
        <v>13</v>
      </c>
      <c r="F58" s="50">
        <v>30</v>
      </c>
      <c r="G58" s="50">
        <v>4</v>
      </c>
      <c r="H58" s="50">
        <v>6</v>
      </c>
      <c r="I58" s="50">
        <v>47</v>
      </c>
      <c r="J58" s="50">
        <v>33</v>
      </c>
      <c r="K58" s="50">
        <v>5</v>
      </c>
      <c r="L58" s="50">
        <v>3</v>
      </c>
      <c r="M58" s="50">
        <v>152</v>
      </c>
      <c r="N58" s="50">
        <v>0</v>
      </c>
      <c r="O58" s="15">
        <f t="shared" si="0"/>
        <v>245</v>
      </c>
      <c r="P58" s="15">
        <f t="shared" si="1"/>
        <v>397</v>
      </c>
      <c r="R58" s="8"/>
      <c r="T58"/>
    </row>
    <row r="59" spans="2:20" ht="23.1" customHeight="1" x14ac:dyDescent="0.25">
      <c r="B59" s="45" t="s">
        <v>100</v>
      </c>
      <c r="C59" s="50">
        <v>92</v>
      </c>
      <c r="D59" s="50">
        <v>45</v>
      </c>
      <c r="E59" s="50">
        <v>4</v>
      </c>
      <c r="F59" s="50">
        <v>68</v>
      </c>
      <c r="G59" s="50">
        <v>3</v>
      </c>
      <c r="H59" s="50">
        <v>0</v>
      </c>
      <c r="I59" s="50">
        <v>77</v>
      </c>
      <c r="J59" s="50">
        <v>17</v>
      </c>
      <c r="K59" s="50">
        <v>7</v>
      </c>
      <c r="L59" s="50">
        <v>0</v>
      </c>
      <c r="M59" s="50">
        <v>168</v>
      </c>
      <c r="N59" s="50">
        <v>0</v>
      </c>
      <c r="O59" s="15">
        <f t="shared" si="0"/>
        <v>313</v>
      </c>
      <c r="P59" s="15">
        <f t="shared" si="1"/>
        <v>481</v>
      </c>
      <c r="R59" s="8"/>
      <c r="T59"/>
    </row>
    <row r="60" spans="2:20" ht="23.1" customHeight="1" x14ac:dyDescent="0.25">
      <c r="B60" s="45" t="s">
        <v>101</v>
      </c>
      <c r="C60" s="50">
        <v>118</v>
      </c>
      <c r="D60" s="50">
        <v>43</v>
      </c>
      <c r="E60" s="50">
        <v>7</v>
      </c>
      <c r="F60" s="50">
        <v>66</v>
      </c>
      <c r="G60" s="50">
        <v>2</v>
      </c>
      <c r="H60" s="50">
        <v>0</v>
      </c>
      <c r="I60" s="50">
        <v>44</v>
      </c>
      <c r="J60" s="50">
        <v>26</v>
      </c>
      <c r="K60" s="50">
        <v>6</v>
      </c>
      <c r="L60" s="50">
        <v>0</v>
      </c>
      <c r="M60" s="50">
        <v>108</v>
      </c>
      <c r="N60" s="50">
        <v>0</v>
      </c>
      <c r="O60" s="15">
        <f t="shared" si="0"/>
        <v>312</v>
      </c>
      <c r="P60" s="15">
        <f t="shared" si="1"/>
        <v>420</v>
      </c>
      <c r="R60" s="8"/>
      <c r="T60"/>
    </row>
    <row r="61" spans="2:20" ht="23.1" customHeight="1" x14ac:dyDescent="0.25">
      <c r="B61" s="45" t="s">
        <v>102</v>
      </c>
      <c r="C61" s="50">
        <v>72</v>
      </c>
      <c r="D61" s="50">
        <v>57</v>
      </c>
      <c r="E61" s="50">
        <v>9</v>
      </c>
      <c r="F61" s="50">
        <v>87</v>
      </c>
      <c r="G61" s="50">
        <v>3</v>
      </c>
      <c r="H61" s="50">
        <v>3</v>
      </c>
      <c r="I61" s="50">
        <v>48</v>
      </c>
      <c r="J61" s="50">
        <v>12</v>
      </c>
      <c r="K61" s="50">
        <v>11</v>
      </c>
      <c r="L61" s="50">
        <v>0</v>
      </c>
      <c r="M61" s="50">
        <v>192</v>
      </c>
      <c r="N61" s="50">
        <v>0</v>
      </c>
      <c r="O61" s="15">
        <f t="shared" si="0"/>
        <v>302</v>
      </c>
      <c r="P61" s="15">
        <f t="shared" si="1"/>
        <v>494</v>
      </c>
      <c r="R61" s="8"/>
      <c r="T61"/>
    </row>
    <row r="62" spans="2:20" ht="23.1" customHeight="1" x14ac:dyDescent="0.25">
      <c r="B62" s="45" t="s">
        <v>107</v>
      </c>
      <c r="C62" s="50">
        <v>123</v>
      </c>
      <c r="D62" s="50">
        <v>46</v>
      </c>
      <c r="E62" s="50">
        <v>4</v>
      </c>
      <c r="F62" s="50">
        <v>82</v>
      </c>
      <c r="G62" s="50">
        <v>10</v>
      </c>
      <c r="H62" s="50">
        <v>0</v>
      </c>
      <c r="I62" s="50">
        <v>49</v>
      </c>
      <c r="J62" s="50">
        <v>4</v>
      </c>
      <c r="K62" s="50">
        <v>9</v>
      </c>
      <c r="L62" s="50">
        <v>4</v>
      </c>
      <c r="M62" s="50">
        <v>195</v>
      </c>
      <c r="N62" s="50">
        <v>0</v>
      </c>
      <c r="O62" s="15">
        <f t="shared" si="0"/>
        <v>331</v>
      </c>
      <c r="P62" s="15">
        <f t="shared" si="1"/>
        <v>526</v>
      </c>
      <c r="R62" s="8"/>
      <c r="T62"/>
    </row>
    <row r="63" spans="2:20" ht="23.1" customHeight="1" x14ac:dyDescent="0.25">
      <c r="B63" s="45" t="s">
        <v>108</v>
      </c>
      <c r="C63" s="50">
        <v>79</v>
      </c>
      <c r="D63" s="50">
        <v>33</v>
      </c>
      <c r="E63" s="50">
        <v>34</v>
      </c>
      <c r="F63" s="50">
        <v>65</v>
      </c>
      <c r="G63" s="50">
        <v>11</v>
      </c>
      <c r="H63" s="50">
        <v>0</v>
      </c>
      <c r="I63" s="50">
        <v>53</v>
      </c>
      <c r="J63" s="50">
        <v>4</v>
      </c>
      <c r="K63" s="50">
        <v>9</v>
      </c>
      <c r="L63" s="50">
        <v>0</v>
      </c>
      <c r="M63" s="50">
        <v>162</v>
      </c>
      <c r="N63" s="50">
        <v>0</v>
      </c>
      <c r="O63" s="15">
        <f t="shared" si="0"/>
        <v>288</v>
      </c>
      <c r="P63" s="15">
        <f t="shared" si="1"/>
        <v>450</v>
      </c>
      <c r="R63" s="8"/>
      <c r="T63"/>
    </row>
    <row r="64" spans="2:20" ht="23.1" customHeight="1" x14ac:dyDescent="0.25">
      <c r="B64" s="45" t="s">
        <v>109</v>
      </c>
      <c r="C64" s="50">
        <v>82</v>
      </c>
      <c r="D64" s="50">
        <v>45</v>
      </c>
      <c r="E64" s="50">
        <v>19</v>
      </c>
      <c r="F64" s="50">
        <v>69</v>
      </c>
      <c r="G64" s="50">
        <v>7</v>
      </c>
      <c r="H64" s="50">
        <v>0</v>
      </c>
      <c r="I64" s="50">
        <v>44</v>
      </c>
      <c r="J64" s="50">
        <v>16</v>
      </c>
      <c r="K64" s="50">
        <v>18</v>
      </c>
      <c r="L64" s="50">
        <v>8</v>
      </c>
      <c r="M64" s="50">
        <v>119</v>
      </c>
      <c r="N64" s="50">
        <v>0</v>
      </c>
      <c r="O64" s="15">
        <f t="shared" si="0"/>
        <v>308</v>
      </c>
      <c r="P64" s="15">
        <f t="shared" si="1"/>
        <v>427</v>
      </c>
      <c r="R64" s="8"/>
      <c r="T64"/>
    </row>
    <row r="65" spans="2:20" ht="23.1" customHeight="1" x14ac:dyDescent="0.25">
      <c r="B65" s="45" t="s">
        <v>158</v>
      </c>
      <c r="C65" s="50">
        <v>123</v>
      </c>
      <c r="D65" s="50">
        <v>182</v>
      </c>
      <c r="E65" s="50">
        <v>46</v>
      </c>
      <c r="F65" s="50">
        <v>110</v>
      </c>
      <c r="G65" s="50">
        <v>4</v>
      </c>
      <c r="H65" s="50">
        <v>3</v>
      </c>
      <c r="I65" s="50">
        <v>50</v>
      </c>
      <c r="J65" s="50">
        <v>17</v>
      </c>
      <c r="K65" s="50">
        <v>4</v>
      </c>
      <c r="L65" s="50">
        <v>5</v>
      </c>
      <c r="M65" s="50">
        <v>138</v>
      </c>
      <c r="N65" s="50">
        <v>0</v>
      </c>
      <c r="O65" s="15">
        <f t="shared" si="0"/>
        <v>544</v>
      </c>
      <c r="P65" s="15">
        <f t="shared" si="1"/>
        <v>682</v>
      </c>
      <c r="R65" s="8"/>
      <c r="T65"/>
    </row>
    <row r="66" spans="2:20" ht="23.1" customHeight="1" x14ac:dyDescent="0.25">
      <c r="B66" s="45" t="s">
        <v>103</v>
      </c>
      <c r="C66" s="50">
        <v>92</v>
      </c>
      <c r="D66" s="50">
        <v>19</v>
      </c>
      <c r="E66" s="50">
        <v>18</v>
      </c>
      <c r="F66" s="50">
        <v>75</v>
      </c>
      <c r="G66" s="50">
        <v>4</v>
      </c>
      <c r="H66" s="50">
        <v>0</v>
      </c>
      <c r="I66" s="50">
        <v>23</v>
      </c>
      <c r="J66" s="50">
        <v>4</v>
      </c>
      <c r="K66" s="50">
        <v>21</v>
      </c>
      <c r="L66" s="50">
        <v>6</v>
      </c>
      <c r="M66" s="50">
        <v>143</v>
      </c>
      <c r="N66" s="50">
        <v>0</v>
      </c>
      <c r="O66" s="15">
        <f t="shared" si="0"/>
        <v>262</v>
      </c>
      <c r="P66" s="15">
        <f t="shared" si="1"/>
        <v>405</v>
      </c>
      <c r="R66" s="8"/>
      <c r="T66"/>
    </row>
    <row r="67" spans="2:20" ht="23.1" customHeight="1" x14ac:dyDescent="0.25">
      <c r="B67" s="45" t="s">
        <v>104</v>
      </c>
      <c r="C67" s="50">
        <v>105</v>
      </c>
      <c r="D67" s="50">
        <v>26</v>
      </c>
      <c r="E67" s="50">
        <v>33</v>
      </c>
      <c r="F67" s="50">
        <v>88</v>
      </c>
      <c r="G67" s="50">
        <v>4</v>
      </c>
      <c r="H67" s="50">
        <v>0</v>
      </c>
      <c r="I67" s="50">
        <v>34</v>
      </c>
      <c r="J67" s="50">
        <v>3</v>
      </c>
      <c r="K67" s="50">
        <v>3</v>
      </c>
      <c r="L67" s="50">
        <v>3</v>
      </c>
      <c r="M67" s="50">
        <v>150</v>
      </c>
      <c r="N67" s="50">
        <v>0</v>
      </c>
      <c r="O67" s="15">
        <f t="shared" si="0"/>
        <v>299</v>
      </c>
      <c r="P67" s="15">
        <f t="shared" si="1"/>
        <v>449</v>
      </c>
      <c r="R67" s="8"/>
      <c r="T67"/>
    </row>
    <row r="68" spans="2:20" ht="23.1" customHeight="1" x14ac:dyDescent="0.25">
      <c r="B68" s="45" t="s">
        <v>105</v>
      </c>
      <c r="C68" s="50">
        <v>89</v>
      </c>
      <c r="D68" s="50">
        <v>20</v>
      </c>
      <c r="E68" s="50">
        <v>24</v>
      </c>
      <c r="F68" s="50">
        <v>79</v>
      </c>
      <c r="G68" s="50">
        <v>0</v>
      </c>
      <c r="H68" s="50">
        <v>0</v>
      </c>
      <c r="I68" s="50">
        <v>35</v>
      </c>
      <c r="J68" s="50">
        <v>8</v>
      </c>
      <c r="K68" s="50">
        <v>1</v>
      </c>
      <c r="L68" s="50">
        <v>5</v>
      </c>
      <c r="M68" s="50">
        <v>97</v>
      </c>
      <c r="N68" s="50">
        <v>0</v>
      </c>
      <c r="O68" s="15">
        <f t="shared" si="0"/>
        <v>261</v>
      </c>
      <c r="P68" s="15">
        <f t="shared" si="1"/>
        <v>358</v>
      </c>
      <c r="R68" s="8"/>
      <c r="T68"/>
    </row>
    <row r="69" spans="2:20" ht="23.1" customHeight="1" x14ac:dyDescent="0.25">
      <c r="B69" s="45" t="s">
        <v>106</v>
      </c>
      <c r="C69" s="50">
        <v>101</v>
      </c>
      <c r="D69" s="50">
        <v>25</v>
      </c>
      <c r="E69" s="50">
        <v>20</v>
      </c>
      <c r="F69" s="50">
        <v>47</v>
      </c>
      <c r="G69" s="50">
        <v>2</v>
      </c>
      <c r="H69" s="50">
        <v>0</v>
      </c>
      <c r="I69" s="50">
        <v>53</v>
      </c>
      <c r="J69" s="50">
        <v>9</v>
      </c>
      <c r="K69" s="50">
        <v>0</v>
      </c>
      <c r="L69" s="50">
        <v>3</v>
      </c>
      <c r="M69" s="50">
        <v>143</v>
      </c>
      <c r="N69" s="50">
        <v>0</v>
      </c>
      <c r="O69" s="15">
        <f t="shared" si="0"/>
        <v>260</v>
      </c>
      <c r="P69" s="15">
        <f t="shared" si="1"/>
        <v>403</v>
      </c>
      <c r="R69" s="8"/>
      <c r="T69"/>
    </row>
    <row r="70" spans="2:20" ht="23.1" customHeight="1" x14ac:dyDescent="0.25">
      <c r="B70" s="45" t="s">
        <v>110</v>
      </c>
      <c r="C70" s="50">
        <v>64</v>
      </c>
      <c r="D70" s="50">
        <v>48</v>
      </c>
      <c r="E70" s="50">
        <v>42</v>
      </c>
      <c r="F70" s="50">
        <v>62</v>
      </c>
      <c r="G70" s="50">
        <v>3</v>
      </c>
      <c r="H70" s="50">
        <v>2</v>
      </c>
      <c r="I70" s="50">
        <v>52</v>
      </c>
      <c r="J70" s="50">
        <v>1</v>
      </c>
      <c r="K70" s="50">
        <v>12</v>
      </c>
      <c r="L70" s="50">
        <v>1</v>
      </c>
      <c r="M70" s="50">
        <v>103</v>
      </c>
      <c r="N70" s="50">
        <v>0</v>
      </c>
      <c r="O70" s="15">
        <f t="shared" si="0"/>
        <v>287</v>
      </c>
      <c r="P70" s="15">
        <f t="shared" si="1"/>
        <v>390</v>
      </c>
      <c r="R70" s="8"/>
      <c r="T70"/>
    </row>
    <row r="71" spans="2:20" ht="23.1" customHeight="1" x14ac:dyDescent="0.25">
      <c r="B71" s="45" t="s">
        <v>111</v>
      </c>
      <c r="C71" s="50">
        <v>80</v>
      </c>
      <c r="D71" s="50">
        <v>20</v>
      </c>
      <c r="E71" s="50">
        <v>39</v>
      </c>
      <c r="F71" s="50">
        <v>59</v>
      </c>
      <c r="G71" s="50">
        <v>7</v>
      </c>
      <c r="H71" s="50">
        <v>0</v>
      </c>
      <c r="I71" s="50">
        <v>42</v>
      </c>
      <c r="J71" s="50">
        <v>0</v>
      </c>
      <c r="K71" s="50">
        <v>2</v>
      </c>
      <c r="L71" s="50">
        <v>0</v>
      </c>
      <c r="M71" s="50">
        <v>122</v>
      </c>
      <c r="N71" s="50">
        <v>0</v>
      </c>
      <c r="O71" s="15">
        <f t="shared" si="0"/>
        <v>249</v>
      </c>
      <c r="P71" s="15">
        <f t="shared" si="1"/>
        <v>371</v>
      </c>
      <c r="R71" s="8"/>
      <c r="T71"/>
    </row>
    <row r="72" spans="2:20" ht="23.1" customHeight="1" x14ac:dyDescent="0.25">
      <c r="B72" s="45" t="s">
        <v>112</v>
      </c>
      <c r="C72" s="50">
        <v>59</v>
      </c>
      <c r="D72" s="50">
        <v>32</v>
      </c>
      <c r="E72" s="50">
        <v>18</v>
      </c>
      <c r="F72" s="50">
        <v>82</v>
      </c>
      <c r="G72" s="50">
        <v>3</v>
      </c>
      <c r="H72" s="50">
        <v>1</v>
      </c>
      <c r="I72" s="50">
        <v>34</v>
      </c>
      <c r="J72" s="50">
        <v>4</v>
      </c>
      <c r="K72" s="50">
        <v>1</v>
      </c>
      <c r="L72" s="50">
        <v>0</v>
      </c>
      <c r="M72" s="50">
        <v>109</v>
      </c>
      <c r="N72" s="50">
        <v>0</v>
      </c>
      <c r="O72" s="15">
        <f t="shared" si="0"/>
        <v>234</v>
      </c>
      <c r="P72" s="15">
        <f t="shared" si="1"/>
        <v>343</v>
      </c>
      <c r="R72" s="8"/>
      <c r="T72"/>
    </row>
    <row r="73" spans="2:20" ht="23.1" customHeight="1" x14ac:dyDescent="0.25">
      <c r="B73" s="45" t="s">
        <v>113</v>
      </c>
      <c r="C73" s="50">
        <v>78</v>
      </c>
      <c r="D73" s="50">
        <v>32</v>
      </c>
      <c r="E73" s="50">
        <v>17</v>
      </c>
      <c r="F73" s="50">
        <v>51</v>
      </c>
      <c r="G73" s="50">
        <v>0</v>
      </c>
      <c r="H73" s="50">
        <v>0</v>
      </c>
      <c r="I73" s="50">
        <v>21</v>
      </c>
      <c r="J73" s="50">
        <v>1</v>
      </c>
      <c r="K73" s="50">
        <v>9</v>
      </c>
      <c r="L73" s="50">
        <v>0</v>
      </c>
      <c r="M73" s="50">
        <v>88</v>
      </c>
      <c r="N73" s="50">
        <v>0</v>
      </c>
      <c r="O73" s="15">
        <f t="shared" si="0"/>
        <v>209</v>
      </c>
      <c r="P73" s="15">
        <f t="shared" si="1"/>
        <v>297</v>
      </c>
      <c r="R73" s="8"/>
      <c r="T73"/>
    </row>
    <row r="74" spans="2:20" ht="23.1" customHeight="1" x14ac:dyDescent="0.25">
      <c r="B74" s="45" t="s">
        <v>114</v>
      </c>
      <c r="C74" s="50">
        <v>55</v>
      </c>
      <c r="D74" s="50">
        <v>0</v>
      </c>
      <c r="E74" s="50">
        <v>3</v>
      </c>
      <c r="F74" s="50">
        <v>47</v>
      </c>
      <c r="G74" s="50">
        <v>3</v>
      </c>
      <c r="H74" s="50">
        <v>0</v>
      </c>
      <c r="I74" s="50">
        <v>29</v>
      </c>
      <c r="J74" s="50">
        <v>0</v>
      </c>
      <c r="K74" s="50">
        <v>20</v>
      </c>
      <c r="L74" s="50">
        <v>2</v>
      </c>
      <c r="M74" s="50">
        <v>90</v>
      </c>
      <c r="N74" s="50">
        <v>0</v>
      </c>
      <c r="O74" s="15">
        <f t="shared" ref="O74:O105" si="35">SUM(C74:L74,N74)</f>
        <v>159</v>
      </c>
      <c r="P74" s="15">
        <f t="shared" ref="P74:P105" si="36">SUM(C74:N74)</f>
        <v>249</v>
      </c>
      <c r="R74" s="8"/>
      <c r="T74"/>
    </row>
    <row r="75" spans="2:20" ht="23.1" customHeight="1" x14ac:dyDescent="0.25">
      <c r="B75" s="45" t="s">
        <v>115</v>
      </c>
      <c r="C75" s="50">
        <v>74</v>
      </c>
      <c r="D75" s="50">
        <v>12</v>
      </c>
      <c r="E75" s="50">
        <v>6</v>
      </c>
      <c r="F75" s="50">
        <v>32</v>
      </c>
      <c r="G75" s="50">
        <v>0</v>
      </c>
      <c r="H75" s="50">
        <v>1</v>
      </c>
      <c r="I75" s="50">
        <v>9</v>
      </c>
      <c r="J75" s="50">
        <v>0</v>
      </c>
      <c r="K75" s="50">
        <v>7</v>
      </c>
      <c r="L75" s="50">
        <v>0</v>
      </c>
      <c r="M75" s="50">
        <v>118</v>
      </c>
      <c r="N75" s="50">
        <v>0</v>
      </c>
      <c r="O75" s="15">
        <f t="shared" si="35"/>
        <v>141</v>
      </c>
      <c r="P75" s="15">
        <f t="shared" si="36"/>
        <v>259</v>
      </c>
      <c r="R75" s="8"/>
      <c r="T75"/>
    </row>
    <row r="76" spans="2:20" ht="23.1" customHeight="1" x14ac:dyDescent="0.25">
      <c r="B76" s="45" t="s">
        <v>116</v>
      </c>
      <c r="C76" s="50">
        <v>97</v>
      </c>
      <c r="D76" s="50">
        <v>10</v>
      </c>
      <c r="E76" s="50">
        <v>0</v>
      </c>
      <c r="F76" s="50">
        <v>42</v>
      </c>
      <c r="G76" s="50">
        <v>0</v>
      </c>
      <c r="H76" s="50">
        <v>0</v>
      </c>
      <c r="I76" s="50">
        <v>11</v>
      </c>
      <c r="J76" s="50">
        <v>0</v>
      </c>
      <c r="K76" s="50">
        <v>3</v>
      </c>
      <c r="L76" s="50">
        <v>4</v>
      </c>
      <c r="M76" s="50">
        <v>106</v>
      </c>
      <c r="N76" s="50">
        <v>0</v>
      </c>
      <c r="O76" s="15">
        <f t="shared" si="35"/>
        <v>167</v>
      </c>
      <c r="P76" s="15">
        <f t="shared" si="36"/>
        <v>273</v>
      </c>
      <c r="R76" s="8"/>
      <c r="T76"/>
    </row>
    <row r="77" spans="2:20" ht="23.1" customHeight="1" x14ac:dyDescent="0.25">
      <c r="B77" s="45" t="s">
        <v>117</v>
      </c>
      <c r="C77" s="50">
        <v>75</v>
      </c>
      <c r="D77" s="50">
        <v>5</v>
      </c>
      <c r="E77" s="50">
        <v>2</v>
      </c>
      <c r="F77" s="50">
        <v>10</v>
      </c>
      <c r="G77" s="50">
        <v>0</v>
      </c>
      <c r="H77" s="50">
        <v>0</v>
      </c>
      <c r="I77" s="50">
        <v>5</v>
      </c>
      <c r="J77" s="50">
        <v>0</v>
      </c>
      <c r="K77" s="50">
        <v>2</v>
      </c>
      <c r="L77" s="50">
        <v>3</v>
      </c>
      <c r="M77" s="50">
        <v>103</v>
      </c>
      <c r="N77" s="50">
        <v>0</v>
      </c>
      <c r="O77" s="15">
        <f t="shared" si="35"/>
        <v>102</v>
      </c>
      <c r="P77" s="15">
        <f t="shared" si="36"/>
        <v>205</v>
      </c>
      <c r="R77" s="8"/>
      <c r="T77"/>
    </row>
    <row r="78" spans="2:20" ht="23.1" customHeight="1" x14ac:dyDescent="0.25">
      <c r="B78" s="46" t="s">
        <v>118</v>
      </c>
      <c r="C78" s="50">
        <v>33</v>
      </c>
      <c r="D78" s="50">
        <v>7</v>
      </c>
      <c r="E78" s="50">
        <v>2</v>
      </c>
      <c r="F78" s="50">
        <v>13</v>
      </c>
      <c r="G78" s="50">
        <v>0</v>
      </c>
      <c r="H78" s="50">
        <v>0</v>
      </c>
      <c r="I78" s="50">
        <v>17</v>
      </c>
      <c r="J78" s="50">
        <v>0</v>
      </c>
      <c r="K78" s="50">
        <v>2</v>
      </c>
      <c r="L78" s="50">
        <v>4</v>
      </c>
      <c r="M78" s="50">
        <v>77</v>
      </c>
      <c r="N78" s="50">
        <v>0</v>
      </c>
      <c r="O78" s="15">
        <f t="shared" si="35"/>
        <v>78</v>
      </c>
      <c r="P78" s="15">
        <f t="shared" si="36"/>
        <v>155</v>
      </c>
      <c r="R78" s="8"/>
      <c r="T78"/>
    </row>
    <row r="79" spans="2:20" ht="23.1" customHeight="1" x14ac:dyDescent="0.25">
      <c r="B79" s="45" t="s">
        <v>119</v>
      </c>
      <c r="C79" s="50">
        <v>30</v>
      </c>
      <c r="D79" s="50">
        <v>2</v>
      </c>
      <c r="E79" s="50">
        <v>5</v>
      </c>
      <c r="F79" s="50">
        <v>0</v>
      </c>
      <c r="G79" s="50">
        <v>0</v>
      </c>
      <c r="H79" s="50">
        <v>1</v>
      </c>
      <c r="I79" s="50">
        <v>2</v>
      </c>
      <c r="J79" s="50">
        <v>3</v>
      </c>
      <c r="K79" s="50">
        <v>3</v>
      </c>
      <c r="L79" s="50">
        <v>1</v>
      </c>
      <c r="M79" s="50">
        <v>49</v>
      </c>
      <c r="N79" s="50">
        <v>0</v>
      </c>
      <c r="O79" s="15">
        <f t="shared" si="35"/>
        <v>47</v>
      </c>
      <c r="P79" s="15">
        <f t="shared" si="36"/>
        <v>96</v>
      </c>
      <c r="R79" s="8"/>
      <c r="T79"/>
    </row>
    <row r="80" spans="2:20" ht="23.1" customHeight="1" x14ac:dyDescent="0.25">
      <c r="B80" s="47" t="s">
        <v>120</v>
      </c>
      <c r="C80" s="50">
        <v>46</v>
      </c>
      <c r="D80" s="50">
        <v>10</v>
      </c>
      <c r="E80" s="50">
        <v>0</v>
      </c>
      <c r="F80" s="50">
        <v>8</v>
      </c>
      <c r="G80" s="50">
        <v>1</v>
      </c>
      <c r="H80" s="50">
        <v>0</v>
      </c>
      <c r="I80" s="50">
        <v>1</v>
      </c>
      <c r="J80" s="50">
        <v>1</v>
      </c>
      <c r="K80" s="50">
        <v>8</v>
      </c>
      <c r="L80" s="50">
        <v>0</v>
      </c>
      <c r="M80" s="50">
        <v>69</v>
      </c>
      <c r="N80" s="50">
        <v>0</v>
      </c>
      <c r="O80" s="15">
        <f t="shared" si="35"/>
        <v>75</v>
      </c>
      <c r="P80" s="15">
        <f t="shared" si="36"/>
        <v>144</v>
      </c>
      <c r="R80" s="8"/>
      <c r="T80"/>
    </row>
    <row r="81" spans="2:20" ht="23.1" customHeight="1" x14ac:dyDescent="0.25">
      <c r="B81" s="45" t="s">
        <v>121</v>
      </c>
      <c r="C81" s="50">
        <v>38</v>
      </c>
      <c r="D81" s="50">
        <v>6</v>
      </c>
      <c r="E81" s="50">
        <v>0</v>
      </c>
      <c r="F81" s="50">
        <v>5</v>
      </c>
      <c r="G81" s="50">
        <v>0</v>
      </c>
      <c r="H81" s="50">
        <v>1</v>
      </c>
      <c r="I81" s="50">
        <v>3</v>
      </c>
      <c r="J81" s="50">
        <v>0</v>
      </c>
      <c r="K81" s="50">
        <v>3</v>
      </c>
      <c r="L81" s="50">
        <v>0</v>
      </c>
      <c r="M81" s="50">
        <v>75</v>
      </c>
      <c r="N81" s="50">
        <v>0</v>
      </c>
      <c r="O81" s="15">
        <f t="shared" si="35"/>
        <v>56</v>
      </c>
      <c r="P81" s="15">
        <f t="shared" si="36"/>
        <v>131</v>
      </c>
      <c r="R81" s="8"/>
      <c r="T81"/>
    </row>
    <row r="82" spans="2:20" ht="23.1" customHeight="1" x14ac:dyDescent="0.25">
      <c r="B82" s="46" t="s">
        <v>122</v>
      </c>
      <c r="C82" s="50">
        <v>68</v>
      </c>
      <c r="D82" s="50">
        <v>16</v>
      </c>
      <c r="E82" s="50">
        <v>4</v>
      </c>
      <c r="F82" s="50">
        <v>10</v>
      </c>
      <c r="G82" s="50">
        <v>0</v>
      </c>
      <c r="H82" s="50">
        <v>0</v>
      </c>
      <c r="I82" s="50">
        <v>18</v>
      </c>
      <c r="J82" s="50">
        <v>2</v>
      </c>
      <c r="K82" s="50">
        <v>4</v>
      </c>
      <c r="L82" s="50">
        <v>2</v>
      </c>
      <c r="M82" s="50">
        <v>110</v>
      </c>
      <c r="N82" s="50">
        <v>0</v>
      </c>
      <c r="O82" s="15">
        <f t="shared" si="35"/>
        <v>124</v>
      </c>
      <c r="P82" s="15">
        <f t="shared" si="36"/>
        <v>234</v>
      </c>
      <c r="R82" s="8"/>
      <c r="T82"/>
    </row>
    <row r="83" spans="2:20" ht="23.1" customHeight="1" x14ac:dyDescent="0.25">
      <c r="B83" s="45" t="s">
        <v>123</v>
      </c>
      <c r="C83" s="50">
        <v>49</v>
      </c>
      <c r="D83" s="50">
        <v>3</v>
      </c>
      <c r="E83" s="50">
        <v>0</v>
      </c>
      <c r="F83" s="50">
        <v>0</v>
      </c>
      <c r="G83" s="50">
        <v>0</v>
      </c>
      <c r="H83" s="50">
        <v>0</v>
      </c>
      <c r="I83" s="50">
        <v>5</v>
      </c>
      <c r="J83" s="50">
        <v>0</v>
      </c>
      <c r="K83" s="50">
        <v>4</v>
      </c>
      <c r="L83" s="50">
        <v>4</v>
      </c>
      <c r="M83" s="50">
        <v>64</v>
      </c>
      <c r="N83" s="50">
        <v>0</v>
      </c>
      <c r="O83" s="15">
        <f t="shared" si="35"/>
        <v>65</v>
      </c>
      <c r="P83" s="15">
        <f t="shared" si="36"/>
        <v>129</v>
      </c>
      <c r="R83" s="8"/>
      <c r="T83"/>
    </row>
    <row r="84" spans="2:20" ht="23.1" customHeight="1" x14ac:dyDescent="0.25">
      <c r="B84" s="47" t="s">
        <v>124</v>
      </c>
      <c r="C84" s="50">
        <v>82</v>
      </c>
      <c r="D84" s="50">
        <v>22</v>
      </c>
      <c r="E84" s="50">
        <v>7</v>
      </c>
      <c r="F84" s="50">
        <v>8</v>
      </c>
      <c r="G84" s="50">
        <v>0</v>
      </c>
      <c r="H84" s="50">
        <v>0</v>
      </c>
      <c r="I84" s="50">
        <v>6</v>
      </c>
      <c r="J84" s="50">
        <v>3</v>
      </c>
      <c r="K84" s="50">
        <v>6</v>
      </c>
      <c r="L84" s="50">
        <v>1</v>
      </c>
      <c r="M84" s="50">
        <v>79</v>
      </c>
      <c r="N84" s="50">
        <v>0</v>
      </c>
      <c r="O84" s="15">
        <f t="shared" si="35"/>
        <v>135</v>
      </c>
      <c r="P84" s="15">
        <f t="shared" si="36"/>
        <v>214</v>
      </c>
      <c r="R84" s="8"/>
      <c r="T84"/>
    </row>
    <row r="85" spans="2:20" ht="23.1" customHeight="1" x14ac:dyDescent="0.25">
      <c r="B85" s="45" t="s">
        <v>125</v>
      </c>
      <c r="C85" s="50">
        <v>16</v>
      </c>
      <c r="D85" s="50">
        <v>0</v>
      </c>
      <c r="E85" s="50">
        <v>3</v>
      </c>
      <c r="F85" s="50">
        <v>2</v>
      </c>
      <c r="G85" s="50">
        <v>0</v>
      </c>
      <c r="H85" s="50">
        <v>1</v>
      </c>
      <c r="I85" s="50">
        <v>3</v>
      </c>
      <c r="J85" s="50">
        <v>1</v>
      </c>
      <c r="K85" s="50">
        <v>3</v>
      </c>
      <c r="L85" s="50">
        <v>1</v>
      </c>
      <c r="M85" s="50">
        <v>77</v>
      </c>
      <c r="N85" s="50">
        <v>0</v>
      </c>
      <c r="O85" s="15">
        <f t="shared" si="35"/>
        <v>30</v>
      </c>
      <c r="P85" s="15">
        <f t="shared" si="36"/>
        <v>107</v>
      </c>
      <c r="R85" s="8"/>
      <c r="T85"/>
    </row>
    <row r="86" spans="2:20" ht="23.1" customHeight="1" x14ac:dyDescent="0.25">
      <c r="B86" s="46" t="s">
        <v>126</v>
      </c>
      <c r="C86" s="50">
        <v>37</v>
      </c>
      <c r="D86" s="50">
        <v>4</v>
      </c>
      <c r="E86" s="50">
        <v>1</v>
      </c>
      <c r="F86" s="50">
        <v>3</v>
      </c>
      <c r="G86" s="50">
        <v>0</v>
      </c>
      <c r="H86" s="50">
        <v>0</v>
      </c>
      <c r="I86" s="50">
        <v>8</v>
      </c>
      <c r="J86" s="50">
        <v>0</v>
      </c>
      <c r="K86" s="50">
        <v>1</v>
      </c>
      <c r="L86" s="50">
        <v>8</v>
      </c>
      <c r="M86" s="50">
        <v>82</v>
      </c>
      <c r="N86" s="50">
        <v>0</v>
      </c>
      <c r="O86" s="15">
        <f t="shared" si="35"/>
        <v>62</v>
      </c>
      <c r="P86" s="15">
        <f t="shared" si="36"/>
        <v>144</v>
      </c>
      <c r="R86" s="8"/>
      <c r="T86"/>
    </row>
    <row r="87" spans="2:20" ht="23.1" customHeight="1" x14ac:dyDescent="0.25">
      <c r="B87" s="45" t="s">
        <v>127</v>
      </c>
      <c r="C87" s="50">
        <v>32</v>
      </c>
      <c r="D87" s="50">
        <v>4</v>
      </c>
      <c r="E87" s="50">
        <v>0</v>
      </c>
      <c r="F87" s="50">
        <v>0</v>
      </c>
      <c r="G87" s="50">
        <v>0</v>
      </c>
      <c r="H87" s="50">
        <v>2</v>
      </c>
      <c r="I87" s="50">
        <v>13</v>
      </c>
      <c r="J87" s="50">
        <v>3</v>
      </c>
      <c r="K87" s="50">
        <v>0</v>
      </c>
      <c r="L87" s="50">
        <v>0</v>
      </c>
      <c r="M87" s="50">
        <v>63</v>
      </c>
      <c r="N87" s="50">
        <v>0</v>
      </c>
      <c r="O87" s="15">
        <f t="shared" si="35"/>
        <v>54</v>
      </c>
      <c r="P87" s="15">
        <f t="shared" si="36"/>
        <v>117</v>
      </c>
      <c r="R87" s="8"/>
      <c r="T87"/>
    </row>
    <row r="88" spans="2:20" ht="23.1" customHeight="1" x14ac:dyDescent="0.25">
      <c r="B88" s="47" t="s">
        <v>128</v>
      </c>
      <c r="C88" s="50">
        <v>20</v>
      </c>
      <c r="D88" s="50">
        <v>2</v>
      </c>
      <c r="E88" s="50">
        <v>1</v>
      </c>
      <c r="F88" s="50">
        <v>2</v>
      </c>
      <c r="G88" s="50">
        <v>1</v>
      </c>
      <c r="H88" s="50">
        <v>0</v>
      </c>
      <c r="I88" s="50">
        <v>4</v>
      </c>
      <c r="J88" s="50">
        <v>1</v>
      </c>
      <c r="K88" s="50">
        <v>4</v>
      </c>
      <c r="L88" s="50">
        <v>1</v>
      </c>
      <c r="M88" s="50">
        <v>51</v>
      </c>
      <c r="N88" s="50">
        <v>0</v>
      </c>
      <c r="O88" s="15">
        <f t="shared" si="35"/>
        <v>36</v>
      </c>
      <c r="P88" s="15">
        <f t="shared" si="36"/>
        <v>87</v>
      </c>
      <c r="R88" s="8"/>
      <c r="T88"/>
    </row>
    <row r="89" spans="2:20" ht="23.1" customHeight="1" x14ac:dyDescent="0.25">
      <c r="B89" s="45" t="s">
        <v>129</v>
      </c>
      <c r="C89" s="50">
        <v>18</v>
      </c>
      <c r="D89" s="50">
        <v>0</v>
      </c>
      <c r="E89" s="50">
        <v>1</v>
      </c>
      <c r="F89" s="50">
        <v>3</v>
      </c>
      <c r="G89" s="50">
        <v>1</v>
      </c>
      <c r="H89" s="50">
        <v>0</v>
      </c>
      <c r="I89" s="50">
        <v>0</v>
      </c>
      <c r="J89" s="50">
        <v>0</v>
      </c>
      <c r="K89" s="50">
        <v>1</v>
      </c>
      <c r="L89" s="50">
        <v>0</v>
      </c>
      <c r="M89" s="50">
        <v>44</v>
      </c>
      <c r="N89" s="50">
        <v>0</v>
      </c>
      <c r="O89" s="15">
        <f t="shared" si="35"/>
        <v>24</v>
      </c>
      <c r="P89" s="15">
        <f t="shared" si="36"/>
        <v>68</v>
      </c>
      <c r="R89" s="8"/>
      <c r="T89"/>
    </row>
    <row r="90" spans="2:20" ht="23.1" customHeight="1" x14ac:dyDescent="0.25">
      <c r="B90" s="46" t="s">
        <v>130</v>
      </c>
      <c r="C90" s="50">
        <v>24</v>
      </c>
      <c r="D90" s="50">
        <v>2</v>
      </c>
      <c r="E90" s="50">
        <v>0</v>
      </c>
      <c r="F90" s="50">
        <v>3</v>
      </c>
      <c r="G90" s="50">
        <v>1</v>
      </c>
      <c r="H90" s="50">
        <v>0</v>
      </c>
      <c r="I90" s="50">
        <v>9</v>
      </c>
      <c r="J90" s="50">
        <v>2</v>
      </c>
      <c r="K90" s="50">
        <v>5</v>
      </c>
      <c r="L90" s="50">
        <v>4</v>
      </c>
      <c r="M90" s="50">
        <v>39</v>
      </c>
      <c r="N90" s="50">
        <v>0</v>
      </c>
      <c r="O90" s="15">
        <f t="shared" si="35"/>
        <v>50</v>
      </c>
      <c r="P90" s="15">
        <f t="shared" si="36"/>
        <v>89</v>
      </c>
      <c r="R90" s="8"/>
      <c r="T90"/>
    </row>
    <row r="91" spans="2:20" ht="23.1" customHeight="1" x14ac:dyDescent="0.25">
      <c r="B91" s="45" t="s">
        <v>131</v>
      </c>
      <c r="C91" s="50">
        <v>15</v>
      </c>
      <c r="D91" s="50">
        <v>2</v>
      </c>
      <c r="E91" s="50">
        <v>4</v>
      </c>
      <c r="F91" s="50">
        <v>1</v>
      </c>
      <c r="G91" s="50">
        <v>0</v>
      </c>
      <c r="H91" s="50">
        <v>0</v>
      </c>
      <c r="I91" s="50">
        <v>5</v>
      </c>
      <c r="J91" s="50">
        <v>1</v>
      </c>
      <c r="K91" s="50">
        <v>5</v>
      </c>
      <c r="L91" s="50">
        <v>0</v>
      </c>
      <c r="M91" s="50">
        <v>23</v>
      </c>
      <c r="N91" s="50">
        <v>0</v>
      </c>
      <c r="O91" s="15">
        <f t="shared" si="35"/>
        <v>33</v>
      </c>
      <c r="P91" s="15">
        <f t="shared" si="36"/>
        <v>56</v>
      </c>
      <c r="R91" s="8"/>
      <c r="T91"/>
    </row>
    <row r="92" spans="2:20" ht="23.1" customHeight="1" x14ac:dyDescent="0.25">
      <c r="B92" s="47" t="s">
        <v>132</v>
      </c>
      <c r="C92" s="50">
        <v>19</v>
      </c>
      <c r="D92" s="50">
        <v>6</v>
      </c>
      <c r="E92" s="50">
        <v>0</v>
      </c>
      <c r="F92" s="50">
        <v>2</v>
      </c>
      <c r="G92" s="50">
        <v>0</v>
      </c>
      <c r="H92" s="50">
        <v>0</v>
      </c>
      <c r="I92" s="50">
        <v>1</v>
      </c>
      <c r="J92" s="50">
        <v>2</v>
      </c>
      <c r="K92" s="50">
        <v>5</v>
      </c>
      <c r="L92" s="50">
        <v>1</v>
      </c>
      <c r="M92" s="50">
        <v>31</v>
      </c>
      <c r="N92" s="50">
        <v>0</v>
      </c>
      <c r="O92" s="15">
        <f t="shared" si="35"/>
        <v>36</v>
      </c>
      <c r="P92" s="15">
        <f t="shared" si="36"/>
        <v>67</v>
      </c>
      <c r="R92" s="8"/>
      <c r="T92"/>
    </row>
    <row r="93" spans="2:20" ht="23.1" customHeight="1" x14ac:dyDescent="0.25">
      <c r="B93" s="45" t="s">
        <v>133</v>
      </c>
      <c r="C93" s="50">
        <v>8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1</v>
      </c>
      <c r="J93" s="50">
        <v>2</v>
      </c>
      <c r="K93" s="50">
        <v>3</v>
      </c>
      <c r="L93" s="50">
        <v>0</v>
      </c>
      <c r="M93" s="50">
        <v>43</v>
      </c>
      <c r="N93" s="50">
        <v>0</v>
      </c>
      <c r="O93" s="15">
        <f t="shared" si="35"/>
        <v>14</v>
      </c>
      <c r="P93" s="15">
        <f t="shared" si="36"/>
        <v>57</v>
      </c>
      <c r="R93" s="8"/>
      <c r="T93"/>
    </row>
    <row r="94" spans="2:20" ht="23.1" customHeight="1" x14ac:dyDescent="0.25">
      <c r="B94" s="46" t="s">
        <v>134</v>
      </c>
      <c r="C94" s="50">
        <v>12</v>
      </c>
      <c r="D94" s="50">
        <v>2</v>
      </c>
      <c r="E94" s="50">
        <v>1</v>
      </c>
      <c r="F94" s="50">
        <v>5</v>
      </c>
      <c r="G94" s="50">
        <v>0</v>
      </c>
      <c r="H94" s="50">
        <v>1</v>
      </c>
      <c r="I94" s="50">
        <v>1</v>
      </c>
      <c r="J94" s="50">
        <v>3</v>
      </c>
      <c r="K94" s="50">
        <v>1</v>
      </c>
      <c r="L94" s="50">
        <v>0</v>
      </c>
      <c r="M94" s="50">
        <v>23</v>
      </c>
      <c r="N94" s="50">
        <v>0</v>
      </c>
      <c r="O94" s="15">
        <f t="shared" si="35"/>
        <v>26</v>
      </c>
      <c r="P94" s="15">
        <f t="shared" si="36"/>
        <v>49</v>
      </c>
      <c r="R94" s="8"/>
      <c r="T94"/>
    </row>
    <row r="95" spans="2:20" ht="23.1" customHeight="1" x14ac:dyDescent="0.25">
      <c r="B95" s="45" t="s">
        <v>135</v>
      </c>
      <c r="C95" s="50">
        <v>9</v>
      </c>
      <c r="D95" s="50">
        <v>1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2</v>
      </c>
      <c r="M95" s="50">
        <v>13</v>
      </c>
      <c r="N95" s="50">
        <v>0</v>
      </c>
      <c r="O95" s="15">
        <f t="shared" si="35"/>
        <v>12</v>
      </c>
      <c r="P95" s="15">
        <f t="shared" si="36"/>
        <v>25</v>
      </c>
      <c r="R95" s="8"/>
      <c r="T95"/>
    </row>
    <row r="96" spans="2:20" ht="23.1" customHeight="1" x14ac:dyDescent="0.25">
      <c r="B96" s="47" t="s">
        <v>136</v>
      </c>
      <c r="C96" s="50">
        <v>2</v>
      </c>
      <c r="D96" s="50">
        <v>1</v>
      </c>
      <c r="E96" s="50">
        <v>0</v>
      </c>
      <c r="F96" s="50">
        <v>1</v>
      </c>
      <c r="G96" s="50">
        <v>0</v>
      </c>
      <c r="H96" s="50">
        <v>0</v>
      </c>
      <c r="I96" s="50">
        <v>4</v>
      </c>
      <c r="J96" s="50">
        <v>3</v>
      </c>
      <c r="K96" s="50">
        <v>3</v>
      </c>
      <c r="L96" s="50">
        <v>1</v>
      </c>
      <c r="M96" s="50">
        <v>25</v>
      </c>
      <c r="N96" s="50">
        <v>0</v>
      </c>
      <c r="O96" s="15">
        <f t="shared" si="35"/>
        <v>15</v>
      </c>
      <c r="P96" s="15">
        <f t="shared" si="36"/>
        <v>40</v>
      </c>
      <c r="R96" s="8"/>
      <c r="T96"/>
    </row>
    <row r="97" spans="2:20" ht="23.1" customHeight="1" x14ac:dyDescent="0.25">
      <c r="B97" s="45" t="s">
        <v>137</v>
      </c>
      <c r="C97" s="50">
        <v>13</v>
      </c>
      <c r="D97" s="50">
        <v>0</v>
      </c>
      <c r="E97" s="50">
        <v>0</v>
      </c>
      <c r="F97" s="50">
        <v>3</v>
      </c>
      <c r="G97" s="50">
        <v>1</v>
      </c>
      <c r="H97" s="50">
        <v>1</v>
      </c>
      <c r="I97" s="50">
        <v>3</v>
      </c>
      <c r="J97" s="50">
        <v>3</v>
      </c>
      <c r="K97" s="50">
        <v>3</v>
      </c>
      <c r="L97" s="50">
        <v>0</v>
      </c>
      <c r="M97" s="50">
        <v>9</v>
      </c>
      <c r="N97" s="50">
        <v>0</v>
      </c>
      <c r="O97" s="15">
        <f t="shared" si="35"/>
        <v>27</v>
      </c>
      <c r="P97" s="15">
        <f t="shared" si="36"/>
        <v>36</v>
      </c>
      <c r="R97" s="8"/>
      <c r="T97"/>
    </row>
    <row r="98" spans="2:20" ht="23.1" customHeight="1" x14ac:dyDescent="0.25">
      <c r="B98" s="46" t="s">
        <v>138</v>
      </c>
      <c r="C98" s="50">
        <v>12</v>
      </c>
      <c r="D98" s="50">
        <v>4</v>
      </c>
      <c r="E98" s="50">
        <v>3</v>
      </c>
      <c r="F98" s="50">
        <v>23</v>
      </c>
      <c r="G98" s="50">
        <v>0</v>
      </c>
      <c r="H98" s="50">
        <v>0</v>
      </c>
      <c r="I98" s="50">
        <v>0</v>
      </c>
      <c r="J98" s="50">
        <v>3</v>
      </c>
      <c r="K98" s="50">
        <v>1</v>
      </c>
      <c r="L98" s="50">
        <v>4</v>
      </c>
      <c r="M98" s="50">
        <v>32</v>
      </c>
      <c r="N98" s="50">
        <v>0</v>
      </c>
      <c r="O98" s="15">
        <f t="shared" si="35"/>
        <v>50</v>
      </c>
      <c r="P98" s="15">
        <f t="shared" si="36"/>
        <v>82</v>
      </c>
      <c r="R98" s="8"/>
      <c r="T98"/>
    </row>
    <row r="99" spans="2:20" ht="23.1" customHeight="1" x14ac:dyDescent="0.25">
      <c r="B99" s="45" t="s">
        <v>139</v>
      </c>
      <c r="C99" s="50">
        <v>47</v>
      </c>
      <c r="D99" s="50">
        <v>17</v>
      </c>
      <c r="E99" s="50">
        <v>4</v>
      </c>
      <c r="F99" s="50">
        <v>46</v>
      </c>
      <c r="G99" s="50">
        <v>3</v>
      </c>
      <c r="H99" s="50">
        <v>2</v>
      </c>
      <c r="I99" s="50">
        <v>0</v>
      </c>
      <c r="J99" s="50">
        <v>3</v>
      </c>
      <c r="K99" s="50">
        <v>1</v>
      </c>
      <c r="L99" s="50">
        <v>0</v>
      </c>
      <c r="M99" s="50">
        <v>46</v>
      </c>
      <c r="N99" s="50">
        <v>0</v>
      </c>
      <c r="O99" s="15">
        <f t="shared" si="35"/>
        <v>123</v>
      </c>
      <c r="P99" s="15">
        <f t="shared" si="36"/>
        <v>169</v>
      </c>
      <c r="R99" s="8"/>
      <c r="T99"/>
    </row>
    <row r="100" spans="2:20" ht="23.1" customHeight="1" x14ac:dyDescent="0.25">
      <c r="B100" s="47" t="s">
        <v>140</v>
      </c>
      <c r="C100" s="50">
        <v>23</v>
      </c>
      <c r="D100" s="50">
        <v>1</v>
      </c>
      <c r="E100" s="50">
        <v>6</v>
      </c>
      <c r="F100" s="50">
        <v>13</v>
      </c>
      <c r="G100" s="50">
        <v>0</v>
      </c>
      <c r="H100" s="50">
        <v>1</v>
      </c>
      <c r="I100" s="50">
        <v>25</v>
      </c>
      <c r="J100" s="50">
        <v>8</v>
      </c>
      <c r="K100" s="50">
        <v>6</v>
      </c>
      <c r="L100" s="50">
        <v>2</v>
      </c>
      <c r="M100" s="50">
        <v>62</v>
      </c>
      <c r="N100" s="50">
        <v>0</v>
      </c>
      <c r="O100" s="15">
        <f t="shared" si="35"/>
        <v>85</v>
      </c>
      <c r="P100" s="15">
        <f t="shared" si="36"/>
        <v>147</v>
      </c>
      <c r="R100" s="8"/>
      <c r="T100"/>
    </row>
    <row r="101" spans="2:20" ht="23.1" customHeight="1" x14ac:dyDescent="0.25">
      <c r="B101" s="45" t="s">
        <v>141</v>
      </c>
      <c r="C101" s="50">
        <v>42</v>
      </c>
      <c r="D101" s="50">
        <v>13</v>
      </c>
      <c r="E101" s="50">
        <v>6</v>
      </c>
      <c r="F101" s="50">
        <v>33</v>
      </c>
      <c r="G101" s="50">
        <v>1</v>
      </c>
      <c r="H101" s="50">
        <v>0</v>
      </c>
      <c r="I101" s="50">
        <v>23</v>
      </c>
      <c r="J101" s="50">
        <v>2</v>
      </c>
      <c r="K101" s="50">
        <v>4</v>
      </c>
      <c r="L101" s="50">
        <v>0</v>
      </c>
      <c r="M101" s="50">
        <v>80</v>
      </c>
      <c r="N101" s="50">
        <v>0</v>
      </c>
      <c r="O101" s="15">
        <f t="shared" si="35"/>
        <v>124</v>
      </c>
      <c r="P101" s="15">
        <f t="shared" si="36"/>
        <v>204</v>
      </c>
      <c r="R101" s="8"/>
      <c r="T101"/>
    </row>
    <row r="102" spans="2:20" ht="23.1" customHeight="1" x14ac:dyDescent="0.25">
      <c r="B102" s="46" t="s">
        <v>142</v>
      </c>
      <c r="C102" s="50">
        <v>47</v>
      </c>
      <c r="D102" s="50">
        <v>26</v>
      </c>
      <c r="E102" s="50">
        <v>13</v>
      </c>
      <c r="F102" s="50">
        <v>70</v>
      </c>
      <c r="G102" s="50">
        <v>4</v>
      </c>
      <c r="H102" s="50">
        <v>3</v>
      </c>
      <c r="I102" s="50">
        <v>38</v>
      </c>
      <c r="J102" s="50">
        <v>0</v>
      </c>
      <c r="K102" s="50">
        <v>29</v>
      </c>
      <c r="L102" s="50">
        <v>19</v>
      </c>
      <c r="M102" s="50">
        <v>98</v>
      </c>
      <c r="N102" s="50">
        <v>0</v>
      </c>
      <c r="O102" s="15">
        <f t="shared" si="35"/>
        <v>249</v>
      </c>
      <c r="P102" s="15">
        <f t="shared" si="36"/>
        <v>347</v>
      </c>
      <c r="R102" s="8"/>
      <c r="T102"/>
    </row>
    <row r="103" spans="2:20" ht="23.1" customHeight="1" x14ac:dyDescent="0.25">
      <c r="B103" s="45" t="s">
        <v>143</v>
      </c>
      <c r="C103" s="50">
        <v>50</v>
      </c>
      <c r="D103" s="50">
        <v>14</v>
      </c>
      <c r="E103" s="50">
        <v>4</v>
      </c>
      <c r="F103" s="50">
        <v>63</v>
      </c>
      <c r="G103" s="50">
        <v>0</v>
      </c>
      <c r="H103" s="50">
        <v>4</v>
      </c>
      <c r="I103" s="50">
        <v>19</v>
      </c>
      <c r="J103" s="50">
        <v>15</v>
      </c>
      <c r="K103" s="50">
        <v>29</v>
      </c>
      <c r="L103" s="50">
        <v>3</v>
      </c>
      <c r="M103" s="50">
        <v>133</v>
      </c>
      <c r="N103" s="50">
        <v>0</v>
      </c>
      <c r="O103" s="15">
        <f t="shared" si="35"/>
        <v>201</v>
      </c>
      <c r="P103" s="15">
        <f t="shared" si="36"/>
        <v>334</v>
      </c>
      <c r="R103" s="8"/>
      <c r="T103"/>
    </row>
    <row r="104" spans="2:20" ht="23.1" customHeight="1" x14ac:dyDescent="0.25">
      <c r="B104" s="47" t="s">
        <v>144</v>
      </c>
      <c r="C104" s="50">
        <v>42</v>
      </c>
      <c r="D104" s="50">
        <v>9</v>
      </c>
      <c r="E104" s="50">
        <v>0</v>
      </c>
      <c r="F104" s="50">
        <v>36</v>
      </c>
      <c r="G104" s="50">
        <v>0</v>
      </c>
      <c r="H104" s="50">
        <v>0</v>
      </c>
      <c r="I104" s="50">
        <v>7</v>
      </c>
      <c r="J104" s="50">
        <v>0</v>
      </c>
      <c r="K104" s="50">
        <v>23</v>
      </c>
      <c r="L104" s="50">
        <v>2</v>
      </c>
      <c r="M104" s="50">
        <v>121</v>
      </c>
      <c r="N104" s="50">
        <v>0</v>
      </c>
      <c r="O104" s="15">
        <f t="shared" si="35"/>
        <v>119</v>
      </c>
      <c r="P104" s="15">
        <f t="shared" si="36"/>
        <v>240</v>
      </c>
      <c r="R104" s="8"/>
      <c r="T104"/>
    </row>
    <row r="105" spans="2:20" ht="23.1" customHeight="1" x14ac:dyDescent="0.25">
      <c r="B105" s="45" t="s">
        <v>145</v>
      </c>
      <c r="C105" s="50">
        <v>63</v>
      </c>
      <c r="D105" s="50">
        <v>32</v>
      </c>
      <c r="E105" s="50">
        <v>13</v>
      </c>
      <c r="F105" s="50">
        <v>73</v>
      </c>
      <c r="G105" s="50">
        <v>4</v>
      </c>
      <c r="H105" s="50">
        <v>2</v>
      </c>
      <c r="I105" s="50">
        <v>46</v>
      </c>
      <c r="J105" s="50">
        <v>3</v>
      </c>
      <c r="K105" s="50">
        <v>23</v>
      </c>
      <c r="L105" s="50">
        <v>2</v>
      </c>
      <c r="M105" s="50">
        <v>154</v>
      </c>
      <c r="N105" s="50">
        <v>0</v>
      </c>
      <c r="O105" s="15">
        <f t="shared" si="35"/>
        <v>261</v>
      </c>
      <c r="P105" s="15">
        <f t="shared" si="36"/>
        <v>415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7386</v>
      </c>
      <c r="D106" s="16">
        <f t="shared" ref="D106:P106" si="37">SUM(D10:D105)</f>
        <v>1297</v>
      </c>
      <c r="E106" s="16">
        <f t="shared" si="37"/>
        <v>1189</v>
      </c>
      <c r="F106" s="16">
        <f t="shared" si="37"/>
        <v>4146</v>
      </c>
      <c r="G106" s="16">
        <f t="shared" si="37"/>
        <v>207</v>
      </c>
      <c r="H106" s="16">
        <f t="shared" si="37"/>
        <v>90</v>
      </c>
      <c r="I106" s="16">
        <f t="shared" si="37"/>
        <v>2011</v>
      </c>
      <c r="J106" s="16">
        <f t="shared" si="37"/>
        <v>675</v>
      </c>
      <c r="K106" s="16">
        <f t="shared" si="37"/>
        <v>402</v>
      </c>
      <c r="L106" s="16">
        <f t="shared" si="37"/>
        <v>659</v>
      </c>
      <c r="M106" s="16">
        <f t="shared" si="37"/>
        <v>14340</v>
      </c>
      <c r="N106" s="16">
        <f t="shared" si="37"/>
        <v>0</v>
      </c>
      <c r="O106" s="16">
        <f t="shared" si="37"/>
        <v>18062</v>
      </c>
      <c r="P106" s="16">
        <f t="shared" si="37"/>
        <v>32402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0.227948892043701</v>
      </c>
      <c r="D107" s="43">
        <f t="shared" si="38"/>
        <v>4.0028393309054999E-2</v>
      </c>
      <c r="E107" s="43">
        <f t="shared" si="38"/>
        <v>3.6695265724338004E-2</v>
      </c>
      <c r="F107" s="43">
        <f t="shared" si="38"/>
        <v>0.12795506450219121</v>
      </c>
      <c r="G107" s="43">
        <f t="shared" si="38"/>
        <v>6.388494537374236E-3</v>
      </c>
      <c r="H107" s="43">
        <f t="shared" si="38"/>
        <v>2.777606320597494E-3</v>
      </c>
      <c r="I107" s="43">
        <f t="shared" si="38"/>
        <v>6.2064070119128449E-2</v>
      </c>
      <c r="J107" s="43">
        <f t="shared" si="38"/>
        <v>2.0832047404481205E-2</v>
      </c>
      <c r="K107" s="43">
        <f t="shared" si="38"/>
        <v>1.2406641565335472E-2</v>
      </c>
      <c r="L107" s="43">
        <f t="shared" si="38"/>
        <v>2.0338250725263872E-2</v>
      </c>
      <c r="M107" s="43">
        <f t="shared" si="38"/>
        <v>0.44256527374853405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0.40892481452773777</v>
      </c>
      <c r="D108" s="44">
        <f t="shared" ref="D108:N108" si="39">D106/$O$106</f>
        <v>7.1808216144391535E-2</v>
      </c>
      <c r="E108" s="44">
        <f t="shared" si="39"/>
        <v>6.5828811870224782E-2</v>
      </c>
      <c r="F108" s="44">
        <f t="shared" si="39"/>
        <v>0.22954268630273503</v>
      </c>
      <c r="G108" s="44">
        <f t="shared" si="39"/>
        <v>1.1460524858819621E-2</v>
      </c>
      <c r="H108" s="44">
        <f t="shared" si="39"/>
        <v>4.9828368951389656E-3</v>
      </c>
      <c r="I108" s="44">
        <f t="shared" si="39"/>
        <v>0.11133872217916067</v>
      </c>
      <c r="J108" s="44">
        <f t="shared" si="39"/>
        <v>3.7371276713542241E-2</v>
      </c>
      <c r="K108" s="44">
        <f t="shared" si="39"/>
        <v>2.2256671464954046E-2</v>
      </c>
      <c r="L108" s="44">
        <f t="shared" si="39"/>
        <v>3.6485439043295313E-2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6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'22.07 Busega-Bulenga'!C3:G3</f>
        <v>MCC - C1 - STN12-MITYANA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68" t="str">
        <f>'27.07 Bulenga-Busega-24h'!G5:H5</f>
        <v xml:space="preserve">Petro Max </v>
      </c>
      <c r="H5" s="69"/>
      <c r="I5" s="14"/>
      <c r="J5" s="2" t="s">
        <v>5</v>
      </c>
      <c r="K5" s="68" t="str">
        <f>'27.07 Busega-Bulenga-24h'!K5:L5</f>
        <v>Nabayunga Rashida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'22.07 Busega-Bulenga'!D6:E6</f>
        <v>Busega</v>
      </c>
      <c r="E6" s="69"/>
      <c r="F6" s="2" t="s">
        <v>2</v>
      </c>
      <c r="G6" s="68" t="str">
        <f>'22.07 Busega-Bulenga'!G6:H6</f>
        <v xml:space="preserve">Bulenga </v>
      </c>
      <c r="H6" s="69"/>
      <c r="J6" s="2" t="s">
        <v>21</v>
      </c>
      <c r="K6" s="68" t="str">
        <f>'27.07 Bulenga-Busega-24h'!K6:L6</f>
        <v>Andrew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15</v>
      </c>
      <c r="D10" s="50">
        <v>0</v>
      </c>
      <c r="E10" s="50">
        <v>1</v>
      </c>
      <c r="F10" s="50">
        <v>3</v>
      </c>
      <c r="G10" s="50">
        <v>0</v>
      </c>
      <c r="H10" s="50">
        <v>0</v>
      </c>
      <c r="I10" s="50">
        <v>2</v>
      </c>
      <c r="J10" s="50">
        <v>1</v>
      </c>
      <c r="K10" s="50">
        <v>0</v>
      </c>
      <c r="L10" s="50">
        <v>0</v>
      </c>
      <c r="M10" s="50">
        <v>80</v>
      </c>
      <c r="N10" s="50">
        <v>0</v>
      </c>
      <c r="O10" s="15">
        <f t="shared" ref="O10:O57" si="0">SUM(C10:L10,N10)</f>
        <v>22</v>
      </c>
      <c r="P10" s="15">
        <f t="shared" ref="P10:P57" si="1">SUM(C10:N10)</f>
        <v>102</v>
      </c>
      <c r="R10" s="1" t="s">
        <v>6</v>
      </c>
      <c r="S10" s="17">
        <f t="shared" ref="S10:AF10" si="2">SUM(C10:C13)</f>
        <v>100</v>
      </c>
      <c r="T10" s="17">
        <f t="shared" si="2"/>
        <v>25</v>
      </c>
      <c r="U10" s="17">
        <f t="shared" si="2"/>
        <v>11</v>
      </c>
      <c r="V10" s="17">
        <f t="shared" si="2"/>
        <v>75</v>
      </c>
      <c r="W10" s="17">
        <f t="shared" si="2"/>
        <v>2</v>
      </c>
      <c r="X10" s="17">
        <f t="shared" si="2"/>
        <v>1</v>
      </c>
      <c r="Y10" s="17">
        <f t="shared" si="2"/>
        <v>31</v>
      </c>
      <c r="Z10" s="17">
        <f t="shared" si="2"/>
        <v>12</v>
      </c>
      <c r="AA10" s="17">
        <f t="shared" si="2"/>
        <v>3</v>
      </c>
      <c r="AB10" s="17">
        <f t="shared" si="2"/>
        <v>1</v>
      </c>
      <c r="AC10" s="17">
        <f t="shared" si="2"/>
        <v>585</v>
      </c>
      <c r="AD10" s="17">
        <f t="shared" si="2"/>
        <v>0</v>
      </c>
      <c r="AE10" s="31">
        <f t="shared" si="2"/>
        <v>261</v>
      </c>
      <c r="AF10" s="31">
        <f t="shared" si="2"/>
        <v>846</v>
      </c>
    </row>
    <row r="11" spans="2:32" s="6" customFormat="1" ht="23.1" customHeight="1" x14ac:dyDescent="0.25">
      <c r="B11" s="23" t="s">
        <v>38</v>
      </c>
      <c r="C11" s="50">
        <v>19</v>
      </c>
      <c r="D11" s="50">
        <v>1</v>
      </c>
      <c r="E11" s="50">
        <v>3</v>
      </c>
      <c r="F11" s="50">
        <v>16</v>
      </c>
      <c r="G11" s="50">
        <v>0</v>
      </c>
      <c r="H11" s="50">
        <v>0</v>
      </c>
      <c r="I11" s="50">
        <v>9</v>
      </c>
      <c r="J11" s="50">
        <v>2</v>
      </c>
      <c r="K11" s="50">
        <v>0</v>
      </c>
      <c r="L11" s="50">
        <v>0</v>
      </c>
      <c r="M11" s="50">
        <v>173</v>
      </c>
      <c r="N11" s="50">
        <v>0</v>
      </c>
      <c r="O11" s="15">
        <f t="shared" si="0"/>
        <v>50</v>
      </c>
      <c r="P11" s="15">
        <f t="shared" si="1"/>
        <v>223</v>
      </c>
      <c r="R11" s="1" t="s">
        <v>7</v>
      </c>
      <c r="S11" s="17">
        <f t="shared" ref="S11:AF11" si="3">SUM(C14:C17)</f>
        <v>133</v>
      </c>
      <c r="T11" s="17">
        <f t="shared" si="3"/>
        <v>28</v>
      </c>
      <c r="U11" s="17">
        <f t="shared" si="3"/>
        <v>16</v>
      </c>
      <c r="V11" s="17">
        <f t="shared" si="3"/>
        <v>84</v>
      </c>
      <c r="W11" s="17">
        <f t="shared" si="3"/>
        <v>3</v>
      </c>
      <c r="X11" s="17">
        <f t="shared" si="3"/>
        <v>1</v>
      </c>
      <c r="Y11" s="17">
        <f t="shared" si="3"/>
        <v>19</v>
      </c>
      <c r="Z11" s="17">
        <f t="shared" si="3"/>
        <v>28</v>
      </c>
      <c r="AA11" s="17">
        <f t="shared" si="3"/>
        <v>5</v>
      </c>
      <c r="AB11" s="17">
        <f t="shared" si="3"/>
        <v>1</v>
      </c>
      <c r="AC11" s="17">
        <f t="shared" si="3"/>
        <v>785</v>
      </c>
      <c r="AD11" s="17">
        <f t="shared" si="3"/>
        <v>0</v>
      </c>
      <c r="AE11" s="31">
        <f t="shared" si="3"/>
        <v>318</v>
      </c>
      <c r="AF11" s="31">
        <f t="shared" si="3"/>
        <v>1103</v>
      </c>
    </row>
    <row r="12" spans="2:32" ht="23.1" customHeight="1" x14ac:dyDescent="0.25">
      <c r="B12" s="23" t="s">
        <v>39</v>
      </c>
      <c r="C12" s="50">
        <v>27</v>
      </c>
      <c r="D12" s="50">
        <v>7</v>
      </c>
      <c r="E12" s="50">
        <v>3</v>
      </c>
      <c r="F12" s="50">
        <v>24</v>
      </c>
      <c r="G12" s="50">
        <v>1</v>
      </c>
      <c r="H12" s="50">
        <v>1</v>
      </c>
      <c r="I12" s="50">
        <v>9</v>
      </c>
      <c r="J12" s="50">
        <v>8</v>
      </c>
      <c r="K12" s="50">
        <v>2</v>
      </c>
      <c r="L12" s="50">
        <v>1</v>
      </c>
      <c r="M12" s="50">
        <v>222</v>
      </c>
      <c r="N12" s="50">
        <v>0</v>
      </c>
      <c r="O12" s="15">
        <f t="shared" si="0"/>
        <v>83</v>
      </c>
      <c r="P12" s="15">
        <f t="shared" si="1"/>
        <v>305</v>
      </c>
      <c r="R12" s="1" t="s">
        <v>8</v>
      </c>
      <c r="S12" s="17">
        <f t="shared" ref="S12:AF12" si="4">SUM(C18:C21)</f>
        <v>183</v>
      </c>
      <c r="T12" s="17">
        <f t="shared" si="4"/>
        <v>26</v>
      </c>
      <c r="U12" s="17">
        <f t="shared" si="4"/>
        <v>25</v>
      </c>
      <c r="V12" s="17">
        <f t="shared" si="4"/>
        <v>98</v>
      </c>
      <c r="W12" s="17">
        <f t="shared" si="4"/>
        <v>2</v>
      </c>
      <c r="X12" s="17">
        <f t="shared" si="4"/>
        <v>2</v>
      </c>
      <c r="Y12" s="17">
        <f t="shared" si="4"/>
        <v>26</v>
      </c>
      <c r="Z12" s="17">
        <f t="shared" si="4"/>
        <v>25</v>
      </c>
      <c r="AA12" s="17">
        <f t="shared" si="4"/>
        <v>2</v>
      </c>
      <c r="AB12" s="17">
        <f t="shared" si="4"/>
        <v>7</v>
      </c>
      <c r="AC12" s="17">
        <f t="shared" si="4"/>
        <v>750</v>
      </c>
      <c r="AD12" s="17">
        <f t="shared" si="4"/>
        <v>0</v>
      </c>
      <c r="AE12" s="31">
        <f t="shared" si="4"/>
        <v>396</v>
      </c>
      <c r="AF12" s="31">
        <f t="shared" si="4"/>
        <v>1146</v>
      </c>
    </row>
    <row r="13" spans="2:32" ht="23.1" customHeight="1" x14ac:dyDescent="0.25">
      <c r="B13" s="23" t="s">
        <v>40</v>
      </c>
      <c r="C13" s="50">
        <v>39</v>
      </c>
      <c r="D13" s="50">
        <v>17</v>
      </c>
      <c r="E13" s="50">
        <v>4</v>
      </c>
      <c r="F13" s="50">
        <v>32</v>
      </c>
      <c r="G13" s="50">
        <v>1</v>
      </c>
      <c r="H13" s="50">
        <v>0</v>
      </c>
      <c r="I13" s="50">
        <v>11</v>
      </c>
      <c r="J13" s="50">
        <v>1</v>
      </c>
      <c r="K13" s="50">
        <v>1</v>
      </c>
      <c r="L13" s="50">
        <v>0</v>
      </c>
      <c r="M13" s="50">
        <v>110</v>
      </c>
      <c r="N13" s="50">
        <v>0</v>
      </c>
      <c r="O13" s="15">
        <f t="shared" si="0"/>
        <v>106</v>
      </c>
      <c r="P13" s="15">
        <f t="shared" si="1"/>
        <v>216</v>
      </c>
      <c r="R13" s="1" t="s">
        <v>9</v>
      </c>
      <c r="S13" s="17">
        <f t="shared" ref="S13:AF13" si="5">SUM(C22:C25)</f>
        <v>252</v>
      </c>
      <c r="T13" s="17">
        <f t="shared" si="5"/>
        <v>31</v>
      </c>
      <c r="U13" s="17">
        <f t="shared" si="5"/>
        <v>22</v>
      </c>
      <c r="V13" s="17">
        <f t="shared" si="5"/>
        <v>111</v>
      </c>
      <c r="W13" s="17">
        <f t="shared" si="5"/>
        <v>4</v>
      </c>
      <c r="X13" s="17">
        <f t="shared" si="5"/>
        <v>2</v>
      </c>
      <c r="Y13" s="17">
        <f t="shared" si="5"/>
        <v>33</v>
      </c>
      <c r="Z13" s="17">
        <f t="shared" si="5"/>
        <v>19</v>
      </c>
      <c r="AA13" s="17">
        <f t="shared" si="5"/>
        <v>7</v>
      </c>
      <c r="AB13" s="17">
        <f t="shared" si="5"/>
        <v>5</v>
      </c>
      <c r="AC13" s="17">
        <f t="shared" si="5"/>
        <v>824</v>
      </c>
      <c r="AD13" s="17">
        <f t="shared" si="5"/>
        <v>1</v>
      </c>
      <c r="AE13" s="31">
        <f t="shared" si="5"/>
        <v>487</v>
      </c>
      <c r="AF13" s="31">
        <f t="shared" si="5"/>
        <v>1311</v>
      </c>
    </row>
    <row r="14" spans="2:32" ht="23.1" customHeight="1" x14ac:dyDescent="0.25">
      <c r="B14" s="23" t="s">
        <v>41</v>
      </c>
      <c r="C14" s="50">
        <v>31</v>
      </c>
      <c r="D14" s="50">
        <v>6</v>
      </c>
      <c r="E14" s="50">
        <v>6</v>
      </c>
      <c r="F14" s="50">
        <v>18</v>
      </c>
      <c r="G14" s="50">
        <v>3</v>
      </c>
      <c r="H14" s="50">
        <v>0</v>
      </c>
      <c r="I14" s="50">
        <v>7</v>
      </c>
      <c r="J14" s="50">
        <v>5</v>
      </c>
      <c r="K14" s="50">
        <v>2</v>
      </c>
      <c r="L14" s="50">
        <v>0</v>
      </c>
      <c r="M14" s="50">
        <v>151</v>
      </c>
      <c r="N14" s="50">
        <v>0</v>
      </c>
      <c r="O14" s="15">
        <f t="shared" si="0"/>
        <v>78</v>
      </c>
      <c r="P14" s="15">
        <f t="shared" si="1"/>
        <v>229</v>
      </c>
      <c r="R14" s="1" t="s">
        <v>10</v>
      </c>
      <c r="S14" s="17">
        <f t="shared" ref="S14:AF14" si="6">SUM(C26:C29)</f>
        <v>190</v>
      </c>
      <c r="T14" s="17">
        <f t="shared" si="6"/>
        <v>36</v>
      </c>
      <c r="U14" s="17">
        <f t="shared" si="6"/>
        <v>27</v>
      </c>
      <c r="V14" s="17">
        <f t="shared" si="6"/>
        <v>113</v>
      </c>
      <c r="W14" s="17">
        <f t="shared" si="6"/>
        <v>7</v>
      </c>
      <c r="X14" s="17">
        <f t="shared" si="6"/>
        <v>1</v>
      </c>
      <c r="Y14" s="17">
        <f t="shared" si="6"/>
        <v>21</v>
      </c>
      <c r="Z14" s="17">
        <f t="shared" si="6"/>
        <v>17</v>
      </c>
      <c r="AA14" s="17">
        <f t="shared" si="6"/>
        <v>2</v>
      </c>
      <c r="AB14" s="17">
        <f t="shared" si="6"/>
        <v>3</v>
      </c>
      <c r="AC14" s="17">
        <f t="shared" si="6"/>
        <v>701</v>
      </c>
      <c r="AD14" s="17">
        <f t="shared" si="6"/>
        <v>1</v>
      </c>
      <c r="AE14" s="31">
        <f t="shared" si="6"/>
        <v>418</v>
      </c>
      <c r="AF14" s="31">
        <f t="shared" si="6"/>
        <v>1119</v>
      </c>
    </row>
    <row r="15" spans="2:32" ht="23.1" customHeight="1" x14ac:dyDescent="0.25">
      <c r="B15" s="23" t="s">
        <v>42</v>
      </c>
      <c r="C15" s="50">
        <v>23</v>
      </c>
      <c r="D15" s="50">
        <v>7</v>
      </c>
      <c r="E15" s="50">
        <v>3</v>
      </c>
      <c r="F15" s="50">
        <v>18</v>
      </c>
      <c r="G15" s="50">
        <v>0</v>
      </c>
      <c r="H15" s="50">
        <v>1</v>
      </c>
      <c r="I15" s="50">
        <v>4</v>
      </c>
      <c r="J15" s="50">
        <v>8</v>
      </c>
      <c r="K15" s="50">
        <v>2</v>
      </c>
      <c r="L15" s="50">
        <v>1</v>
      </c>
      <c r="M15" s="50">
        <v>170</v>
      </c>
      <c r="N15" s="50">
        <v>0</v>
      </c>
      <c r="O15" s="15">
        <f t="shared" si="0"/>
        <v>67</v>
      </c>
      <c r="P15" s="15">
        <f t="shared" si="1"/>
        <v>237</v>
      </c>
      <c r="R15" s="1" t="s">
        <v>11</v>
      </c>
      <c r="S15" s="17">
        <f t="shared" ref="S15:AF15" si="7">SUM(C30:C33)</f>
        <v>333</v>
      </c>
      <c r="T15" s="17">
        <f t="shared" si="7"/>
        <v>38</v>
      </c>
      <c r="U15" s="17">
        <f t="shared" si="7"/>
        <v>50</v>
      </c>
      <c r="V15" s="17">
        <f t="shared" si="7"/>
        <v>84</v>
      </c>
      <c r="W15" s="17">
        <f t="shared" si="7"/>
        <v>4</v>
      </c>
      <c r="X15" s="17">
        <f t="shared" si="7"/>
        <v>15</v>
      </c>
      <c r="Y15" s="17">
        <f t="shared" si="7"/>
        <v>34</v>
      </c>
      <c r="Z15" s="17">
        <f t="shared" si="7"/>
        <v>19</v>
      </c>
      <c r="AA15" s="17">
        <f t="shared" si="7"/>
        <v>1</v>
      </c>
      <c r="AB15" s="17">
        <f t="shared" si="7"/>
        <v>214</v>
      </c>
      <c r="AC15" s="17">
        <f t="shared" si="7"/>
        <v>661</v>
      </c>
      <c r="AD15" s="17">
        <f t="shared" si="7"/>
        <v>0</v>
      </c>
      <c r="AE15" s="31">
        <f t="shared" si="7"/>
        <v>792</v>
      </c>
      <c r="AF15" s="31">
        <f t="shared" si="7"/>
        <v>1453</v>
      </c>
    </row>
    <row r="16" spans="2:32" ht="23.1" customHeight="1" x14ac:dyDescent="0.25">
      <c r="B16" s="23" t="s">
        <v>43</v>
      </c>
      <c r="C16" s="50">
        <v>29</v>
      </c>
      <c r="D16" s="50">
        <v>9</v>
      </c>
      <c r="E16" s="50">
        <v>3</v>
      </c>
      <c r="F16" s="50">
        <v>24</v>
      </c>
      <c r="G16" s="50">
        <v>0</v>
      </c>
      <c r="H16" s="50">
        <v>0</v>
      </c>
      <c r="I16" s="50">
        <v>4</v>
      </c>
      <c r="J16" s="50">
        <v>10</v>
      </c>
      <c r="K16" s="50">
        <v>0</v>
      </c>
      <c r="L16" s="50">
        <v>0</v>
      </c>
      <c r="M16" s="50">
        <v>267</v>
      </c>
      <c r="N16" s="50">
        <v>0</v>
      </c>
      <c r="O16" s="15">
        <f t="shared" si="0"/>
        <v>79</v>
      </c>
      <c r="P16" s="15">
        <f t="shared" si="1"/>
        <v>346</v>
      </c>
      <c r="R16" s="1" t="s">
        <v>12</v>
      </c>
      <c r="S16" s="17">
        <f t="shared" ref="S16:AF16" si="8">SUM(C34:C37)</f>
        <v>331</v>
      </c>
      <c r="T16" s="17">
        <f t="shared" si="8"/>
        <v>38</v>
      </c>
      <c r="U16" s="17">
        <f t="shared" si="8"/>
        <v>29</v>
      </c>
      <c r="V16" s="17">
        <f t="shared" si="8"/>
        <v>105</v>
      </c>
      <c r="W16" s="17">
        <f t="shared" si="8"/>
        <v>1</v>
      </c>
      <c r="X16" s="17">
        <f t="shared" si="8"/>
        <v>1</v>
      </c>
      <c r="Y16" s="17">
        <f t="shared" si="8"/>
        <v>30</v>
      </c>
      <c r="Z16" s="17">
        <f t="shared" si="8"/>
        <v>26</v>
      </c>
      <c r="AA16" s="17">
        <f t="shared" si="8"/>
        <v>2</v>
      </c>
      <c r="AB16" s="17">
        <f t="shared" si="8"/>
        <v>6</v>
      </c>
      <c r="AC16" s="17">
        <f t="shared" si="8"/>
        <v>762</v>
      </c>
      <c r="AD16" s="17">
        <f t="shared" si="8"/>
        <v>1</v>
      </c>
      <c r="AE16" s="31">
        <f t="shared" si="8"/>
        <v>570</v>
      </c>
      <c r="AF16" s="31">
        <f t="shared" si="8"/>
        <v>1332</v>
      </c>
    </row>
    <row r="17" spans="2:32" ht="23.1" customHeight="1" x14ac:dyDescent="0.25">
      <c r="B17" s="23" t="s">
        <v>44</v>
      </c>
      <c r="C17" s="50">
        <v>50</v>
      </c>
      <c r="D17" s="50">
        <v>6</v>
      </c>
      <c r="E17" s="50">
        <v>4</v>
      </c>
      <c r="F17" s="50">
        <v>24</v>
      </c>
      <c r="G17" s="50">
        <v>0</v>
      </c>
      <c r="H17" s="50">
        <v>0</v>
      </c>
      <c r="I17" s="50">
        <v>4</v>
      </c>
      <c r="J17" s="50">
        <v>5</v>
      </c>
      <c r="K17" s="50">
        <v>1</v>
      </c>
      <c r="L17" s="50">
        <v>0</v>
      </c>
      <c r="M17" s="50">
        <v>197</v>
      </c>
      <c r="N17" s="50">
        <v>0</v>
      </c>
      <c r="O17" s="15">
        <f t="shared" si="0"/>
        <v>94</v>
      </c>
      <c r="P17" s="15">
        <f t="shared" si="1"/>
        <v>291</v>
      </c>
      <c r="R17" s="1" t="s">
        <v>13</v>
      </c>
      <c r="S17" s="17">
        <f t="shared" ref="S17:AF17" si="9">SUM(C38:C41)</f>
        <v>264</v>
      </c>
      <c r="T17" s="17">
        <f t="shared" si="9"/>
        <v>39</v>
      </c>
      <c r="U17" s="17">
        <f t="shared" si="9"/>
        <v>36</v>
      </c>
      <c r="V17" s="17">
        <f t="shared" si="9"/>
        <v>79</v>
      </c>
      <c r="W17" s="17">
        <f t="shared" si="9"/>
        <v>2</v>
      </c>
      <c r="X17" s="17">
        <f t="shared" si="9"/>
        <v>4</v>
      </c>
      <c r="Y17" s="17">
        <f t="shared" si="9"/>
        <v>30</v>
      </c>
      <c r="Z17" s="17">
        <f t="shared" si="9"/>
        <v>23</v>
      </c>
      <c r="AA17" s="17">
        <f t="shared" si="9"/>
        <v>4</v>
      </c>
      <c r="AB17" s="17">
        <f t="shared" si="9"/>
        <v>6</v>
      </c>
      <c r="AC17" s="17">
        <f t="shared" si="9"/>
        <v>876</v>
      </c>
      <c r="AD17" s="17">
        <f t="shared" si="9"/>
        <v>0</v>
      </c>
      <c r="AE17" s="31">
        <f t="shared" si="9"/>
        <v>487</v>
      </c>
      <c r="AF17" s="31">
        <f t="shared" si="9"/>
        <v>1363</v>
      </c>
    </row>
    <row r="18" spans="2:32" ht="23.1" customHeight="1" x14ac:dyDescent="0.25">
      <c r="B18" s="23" t="s">
        <v>45</v>
      </c>
      <c r="C18" s="50">
        <v>43</v>
      </c>
      <c r="D18" s="50">
        <v>4</v>
      </c>
      <c r="E18" s="50">
        <v>4</v>
      </c>
      <c r="F18" s="50">
        <v>20</v>
      </c>
      <c r="G18" s="50">
        <v>0</v>
      </c>
      <c r="H18" s="50">
        <v>1</v>
      </c>
      <c r="I18" s="50">
        <v>7</v>
      </c>
      <c r="J18" s="50">
        <v>4</v>
      </c>
      <c r="K18" s="50">
        <v>1</v>
      </c>
      <c r="L18" s="50">
        <v>1</v>
      </c>
      <c r="M18" s="50">
        <v>200</v>
      </c>
      <c r="N18" s="50">
        <v>0</v>
      </c>
      <c r="O18" s="15">
        <f t="shared" si="0"/>
        <v>85</v>
      </c>
      <c r="P18" s="15">
        <f t="shared" si="1"/>
        <v>285</v>
      </c>
      <c r="R18" s="1" t="s">
        <v>14</v>
      </c>
      <c r="S18" s="17">
        <f t="shared" ref="S18:AF18" si="10">SUM(C42:C45)</f>
        <v>238</v>
      </c>
      <c r="T18" s="17">
        <f t="shared" si="10"/>
        <v>35</v>
      </c>
      <c r="U18" s="17">
        <f t="shared" si="10"/>
        <v>16</v>
      </c>
      <c r="V18" s="17">
        <f t="shared" si="10"/>
        <v>102</v>
      </c>
      <c r="W18" s="17">
        <f t="shared" si="10"/>
        <v>2</v>
      </c>
      <c r="X18" s="17">
        <f t="shared" si="10"/>
        <v>0</v>
      </c>
      <c r="Y18" s="17">
        <f t="shared" si="10"/>
        <v>34</v>
      </c>
      <c r="Z18" s="17">
        <f t="shared" si="10"/>
        <v>22</v>
      </c>
      <c r="AA18" s="17">
        <f t="shared" si="10"/>
        <v>6</v>
      </c>
      <c r="AB18" s="17">
        <f t="shared" si="10"/>
        <v>3</v>
      </c>
      <c r="AC18" s="17">
        <f t="shared" si="10"/>
        <v>830</v>
      </c>
      <c r="AD18" s="17">
        <f t="shared" si="10"/>
        <v>0</v>
      </c>
      <c r="AE18" s="31">
        <f t="shared" si="10"/>
        <v>458</v>
      </c>
      <c r="AF18" s="31">
        <f t="shared" si="10"/>
        <v>1288</v>
      </c>
    </row>
    <row r="19" spans="2:32" ht="23.1" customHeight="1" x14ac:dyDescent="0.25">
      <c r="B19" s="23" t="s">
        <v>46</v>
      </c>
      <c r="C19" s="50">
        <v>30</v>
      </c>
      <c r="D19" s="50">
        <v>5</v>
      </c>
      <c r="E19" s="50">
        <v>7</v>
      </c>
      <c r="F19" s="50">
        <v>24</v>
      </c>
      <c r="G19" s="50">
        <v>2</v>
      </c>
      <c r="H19" s="50">
        <v>0</v>
      </c>
      <c r="I19" s="50">
        <v>8</v>
      </c>
      <c r="J19" s="50">
        <v>5</v>
      </c>
      <c r="K19" s="50">
        <v>0</v>
      </c>
      <c r="L19" s="50">
        <v>2</v>
      </c>
      <c r="M19" s="50">
        <v>180</v>
      </c>
      <c r="N19" s="50">
        <v>0</v>
      </c>
      <c r="O19" s="15">
        <f t="shared" si="0"/>
        <v>83</v>
      </c>
      <c r="P19" s="15">
        <f t="shared" si="1"/>
        <v>263</v>
      </c>
      <c r="R19" s="1" t="s">
        <v>15</v>
      </c>
      <c r="S19" s="17">
        <f t="shared" ref="S19:AF19" si="11">SUM(C46:C49)</f>
        <v>236</v>
      </c>
      <c r="T19" s="17">
        <f t="shared" si="11"/>
        <v>30</v>
      </c>
      <c r="U19" s="17">
        <f t="shared" si="11"/>
        <v>26</v>
      </c>
      <c r="V19" s="17">
        <f t="shared" si="11"/>
        <v>96</v>
      </c>
      <c r="W19" s="17">
        <f t="shared" si="11"/>
        <v>10</v>
      </c>
      <c r="X19" s="17">
        <f t="shared" si="11"/>
        <v>2</v>
      </c>
      <c r="Y19" s="17">
        <f t="shared" si="11"/>
        <v>20</v>
      </c>
      <c r="Z19" s="17">
        <f t="shared" si="11"/>
        <v>16</v>
      </c>
      <c r="AA19" s="17">
        <f t="shared" si="11"/>
        <v>4</v>
      </c>
      <c r="AB19" s="17">
        <f t="shared" si="11"/>
        <v>1</v>
      </c>
      <c r="AC19" s="17">
        <f t="shared" si="11"/>
        <v>783</v>
      </c>
      <c r="AD19" s="17">
        <f t="shared" si="11"/>
        <v>0</v>
      </c>
      <c r="AE19" s="31">
        <f t="shared" si="11"/>
        <v>441</v>
      </c>
      <c r="AF19" s="31">
        <f t="shared" si="11"/>
        <v>1224</v>
      </c>
    </row>
    <row r="20" spans="2:32" ht="23.1" customHeight="1" x14ac:dyDescent="0.25">
      <c r="B20" s="23" t="s">
        <v>47</v>
      </c>
      <c r="C20" s="50">
        <v>49</v>
      </c>
      <c r="D20" s="50">
        <v>8</v>
      </c>
      <c r="E20" s="50">
        <v>6</v>
      </c>
      <c r="F20" s="50">
        <v>28</v>
      </c>
      <c r="G20" s="50">
        <v>0</v>
      </c>
      <c r="H20" s="50">
        <v>0</v>
      </c>
      <c r="I20" s="50">
        <v>6</v>
      </c>
      <c r="J20" s="50">
        <v>10</v>
      </c>
      <c r="K20" s="50">
        <v>1</v>
      </c>
      <c r="L20" s="50">
        <v>3</v>
      </c>
      <c r="M20" s="50">
        <v>190</v>
      </c>
      <c r="N20" s="50">
        <v>0</v>
      </c>
      <c r="O20" s="15">
        <f t="shared" si="0"/>
        <v>111</v>
      </c>
      <c r="P20" s="15">
        <f t="shared" si="1"/>
        <v>301</v>
      </c>
      <c r="R20" s="1" t="s">
        <v>16</v>
      </c>
      <c r="S20" s="17">
        <f t="shared" ref="S20:AF20" si="12">SUM(C50:C53)</f>
        <v>323</v>
      </c>
      <c r="T20" s="17">
        <f t="shared" si="12"/>
        <v>26</v>
      </c>
      <c r="U20" s="17">
        <f t="shared" si="12"/>
        <v>33</v>
      </c>
      <c r="V20" s="17">
        <f t="shared" si="12"/>
        <v>124</v>
      </c>
      <c r="W20" s="17">
        <f t="shared" si="12"/>
        <v>5</v>
      </c>
      <c r="X20" s="17">
        <f t="shared" si="12"/>
        <v>2</v>
      </c>
      <c r="Y20" s="17">
        <f t="shared" si="12"/>
        <v>29</v>
      </c>
      <c r="Z20" s="17">
        <f t="shared" si="12"/>
        <v>21</v>
      </c>
      <c r="AA20" s="17">
        <f t="shared" si="12"/>
        <v>3</v>
      </c>
      <c r="AB20" s="17">
        <f t="shared" si="12"/>
        <v>1</v>
      </c>
      <c r="AC20" s="17">
        <f t="shared" si="12"/>
        <v>865</v>
      </c>
      <c r="AD20" s="17">
        <f t="shared" si="12"/>
        <v>0</v>
      </c>
      <c r="AE20" s="31">
        <f t="shared" si="12"/>
        <v>567</v>
      </c>
      <c r="AF20" s="31">
        <f t="shared" si="12"/>
        <v>1432</v>
      </c>
    </row>
    <row r="21" spans="2:32" ht="23.1" customHeight="1" x14ac:dyDescent="0.25">
      <c r="B21" s="23" t="s">
        <v>48</v>
      </c>
      <c r="C21" s="50">
        <v>61</v>
      </c>
      <c r="D21" s="50">
        <v>9</v>
      </c>
      <c r="E21" s="50">
        <v>8</v>
      </c>
      <c r="F21" s="50">
        <v>26</v>
      </c>
      <c r="G21" s="50">
        <v>0</v>
      </c>
      <c r="H21" s="50">
        <v>1</v>
      </c>
      <c r="I21" s="50">
        <v>5</v>
      </c>
      <c r="J21" s="50">
        <v>6</v>
      </c>
      <c r="K21" s="50">
        <v>0</v>
      </c>
      <c r="L21" s="50">
        <v>1</v>
      </c>
      <c r="M21" s="50">
        <v>180</v>
      </c>
      <c r="N21" s="50">
        <v>0</v>
      </c>
      <c r="O21" s="15">
        <f t="shared" si="0"/>
        <v>117</v>
      </c>
      <c r="P21" s="15">
        <f t="shared" si="1"/>
        <v>297</v>
      </c>
      <c r="R21" s="36" t="s">
        <v>20</v>
      </c>
      <c r="S21" s="34">
        <f t="shared" ref="S21:AF21" si="13">SUM(C54:C57)</f>
        <v>367</v>
      </c>
      <c r="T21" s="17">
        <f t="shared" si="13"/>
        <v>22</v>
      </c>
      <c r="U21" s="17">
        <f t="shared" si="13"/>
        <v>19</v>
      </c>
      <c r="V21" s="17">
        <f t="shared" si="13"/>
        <v>151</v>
      </c>
      <c r="W21" s="17">
        <f t="shared" si="13"/>
        <v>2</v>
      </c>
      <c r="X21" s="17">
        <f t="shared" si="13"/>
        <v>2</v>
      </c>
      <c r="Y21" s="17">
        <f t="shared" si="13"/>
        <v>29</v>
      </c>
      <c r="Z21" s="17">
        <f t="shared" si="13"/>
        <v>34</v>
      </c>
      <c r="AA21" s="17">
        <f t="shared" si="13"/>
        <v>9</v>
      </c>
      <c r="AB21" s="17">
        <f t="shared" si="13"/>
        <v>7</v>
      </c>
      <c r="AC21" s="17">
        <f t="shared" si="13"/>
        <v>1025</v>
      </c>
      <c r="AD21" s="17">
        <f t="shared" si="13"/>
        <v>0</v>
      </c>
      <c r="AE21" s="31">
        <f t="shared" si="13"/>
        <v>642</v>
      </c>
      <c r="AF21" s="31">
        <f t="shared" si="13"/>
        <v>1667</v>
      </c>
    </row>
    <row r="22" spans="2:32" ht="23.1" customHeight="1" x14ac:dyDescent="0.25">
      <c r="B22" s="23" t="s">
        <v>49</v>
      </c>
      <c r="C22" s="50">
        <v>49</v>
      </c>
      <c r="D22" s="50">
        <v>4</v>
      </c>
      <c r="E22" s="50">
        <v>8</v>
      </c>
      <c r="F22" s="50">
        <v>27</v>
      </c>
      <c r="G22" s="50">
        <v>0</v>
      </c>
      <c r="H22" s="50">
        <v>0</v>
      </c>
      <c r="I22" s="50">
        <v>6</v>
      </c>
      <c r="J22" s="50">
        <v>4</v>
      </c>
      <c r="K22" s="50">
        <v>2</v>
      </c>
      <c r="L22" s="50">
        <v>0</v>
      </c>
      <c r="M22" s="50">
        <v>175</v>
      </c>
      <c r="N22" s="50">
        <v>0</v>
      </c>
      <c r="O22" s="15">
        <f t="shared" si="0"/>
        <v>100</v>
      </c>
      <c r="P22" s="15">
        <f t="shared" si="1"/>
        <v>275</v>
      </c>
      <c r="R22" s="38" t="s">
        <v>90</v>
      </c>
      <c r="S22" s="39">
        <f>MAX(S10:S12)</f>
        <v>183</v>
      </c>
      <c r="T22" s="39">
        <f t="shared" ref="T22:AF22" si="14">MAX(T10:T12)</f>
        <v>28</v>
      </c>
      <c r="U22" s="39">
        <f t="shared" si="14"/>
        <v>25</v>
      </c>
      <c r="V22" s="39">
        <f t="shared" si="14"/>
        <v>98</v>
      </c>
      <c r="W22" s="39">
        <f t="shared" si="14"/>
        <v>3</v>
      </c>
      <c r="X22" s="39">
        <f t="shared" si="14"/>
        <v>2</v>
      </c>
      <c r="Y22" s="39">
        <f t="shared" si="14"/>
        <v>31</v>
      </c>
      <c r="Z22" s="39">
        <f t="shared" si="14"/>
        <v>28</v>
      </c>
      <c r="AA22" s="39">
        <f t="shared" si="14"/>
        <v>5</v>
      </c>
      <c r="AB22" s="39">
        <f t="shared" si="14"/>
        <v>7</v>
      </c>
      <c r="AC22" s="39">
        <f t="shared" si="14"/>
        <v>785</v>
      </c>
      <c r="AD22" s="39">
        <f t="shared" si="14"/>
        <v>0</v>
      </c>
      <c r="AE22" s="40">
        <f t="shared" si="14"/>
        <v>396</v>
      </c>
      <c r="AF22" s="40">
        <f t="shared" si="14"/>
        <v>1146</v>
      </c>
    </row>
    <row r="23" spans="2:32" ht="23.1" customHeight="1" x14ac:dyDescent="0.25">
      <c r="B23" s="23" t="s">
        <v>50</v>
      </c>
      <c r="C23" s="50">
        <v>66</v>
      </c>
      <c r="D23" s="50">
        <v>8</v>
      </c>
      <c r="E23" s="50">
        <v>4</v>
      </c>
      <c r="F23" s="50">
        <v>24</v>
      </c>
      <c r="G23" s="50">
        <v>1</v>
      </c>
      <c r="H23" s="50">
        <v>1</v>
      </c>
      <c r="I23" s="50">
        <v>5</v>
      </c>
      <c r="J23" s="50">
        <v>6</v>
      </c>
      <c r="K23" s="50">
        <v>2</v>
      </c>
      <c r="L23" s="50">
        <v>2</v>
      </c>
      <c r="M23" s="50">
        <v>188</v>
      </c>
      <c r="N23" s="50">
        <v>0</v>
      </c>
      <c r="O23" s="15">
        <f t="shared" si="0"/>
        <v>119</v>
      </c>
      <c r="P23" s="15">
        <f t="shared" si="1"/>
        <v>307</v>
      </c>
      <c r="R23" s="38" t="s">
        <v>91</v>
      </c>
      <c r="S23" s="39">
        <f>MAX(S13:S18)</f>
        <v>333</v>
      </c>
      <c r="T23" s="39">
        <f t="shared" ref="T23:AF23" si="15">MAX(T13:T18)</f>
        <v>39</v>
      </c>
      <c r="U23" s="39">
        <f t="shared" si="15"/>
        <v>50</v>
      </c>
      <c r="V23" s="39">
        <f t="shared" si="15"/>
        <v>113</v>
      </c>
      <c r="W23" s="39">
        <f t="shared" si="15"/>
        <v>7</v>
      </c>
      <c r="X23" s="39">
        <f t="shared" si="15"/>
        <v>15</v>
      </c>
      <c r="Y23" s="39">
        <f t="shared" si="15"/>
        <v>34</v>
      </c>
      <c r="Z23" s="39">
        <f t="shared" si="15"/>
        <v>26</v>
      </c>
      <c r="AA23" s="39">
        <f t="shared" si="15"/>
        <v>7</v>
      </c>
      <c r="AB23" s="39">
        <f t="shared" si="15"/>
        <v>214</v>
      </c>
      <c r="AC23" s="39">
        <f t="shared" si="15"/>
        <v>876</v>
      </c>
      <c r="AD23" s="39">
        <f t="shared" si="15"/>
        <v>1</v>
      </c>
      <c r="AE23" s="40">
        <f t="shared" si="15"/>
        <v>792</v>
      </c>
      <c r="AF23" s="40">
        <f t="shared" si="15"/>
        <v>1453</v>
      </c>
    </row>
    <row r="24" spans="2:32" ht="23.1" customHeight="1" x14ac:dyDescent="0.25">
      <c r="B24" s="23" t="s">
        <v>51</v>
      </c>
      <c r="C24" s="50">
        <v>70</v>
      </c>
      <c r="D24" s="50">
        <v>9</v>
      </c>
      <c r="E24" s="50">
        <v>6</v>
      </c>
      <c r="F24" s="50">
        <v>33</v>
      </c>
      <c r="G24" s="50">
        <v>1</v>
      </c>
      <c r="H24" s="50">
        <v>1</v>
      </c>
      <c r="I24" s="50">
        <v>14</v>
      </c>
      <c r="J24" s="50">
        <v>6</v>
      </c>
      <c r="K24" s="50">
        <v>0</v>
      </c>
      <c r="L24" s="50">
        <v>2</v>
      </c>
      <c r="M24" s="50">
        <v>256</v>
      </c>
      <c r="N24" s="50">
        <v>0</v>
      </c>
      <c r="O24" s="15">
        <f t="shared" si="0"/>
        <v>142</v>
      </c>
      <c r="P24" s="15">
        <f t="shared" si="1"/>
        <v>398</v>
      </c>
      <c r="R24" s="38" t="s">
        <v>92</v>
      </c>
      <c r="S24" s="39">
        <f>MAX(S19:S21)</f>
        <v>367</v>
      </c>
      <c r="T24" s="39">
        <f t="shared" ref="T24:AF24" si="16">MAX(T19:T21)</f>
        <v>30</v>
      </c>
      <c r="U24" s="39">
        <f t="shared" si="16"/>
        <v>33</v>
      </c>
      <c r="V24" s="39">
        <f t="shared" si="16"/>
        <v>151</v>
      </c>
      <c r="W24" s="39">
        <f t="shared" si="16"/>
        <v>10</v>
      </c>
      <c r="X24" s="39">
        <f t="shared" si="16"/>
        <v>2</v>
      </c>
      <c r="Y24" s="39">
        <f t="shared" si="16"/>
        <v>29</v>
      </c>
      <c r="Z24" s="39">
        <f t="shared" si="16"/>
        <v>34</v>
      </c>
      <c r="AA24" s="39">
        <f t="shared" si="16"/>
        <v>9</v>
      </c>
      <c r="AB24" s="39">
        <f t="shared" si="16"/>
        <v>7</v>
      </c>
      <c r="AC24" s="39">
        <f t="shared" si="16"/>
        <v>1025</v>
      </c>
      <c r="AD24" s="39">
        <f t="shared" si="16"/>
        <v>0</v>
      </c>
      <c r="AE24" s="40">
        <f t="shared" si="16"/>
        <v>642</v>
      </c>
      <c r="AF24" s="40">
        <f t="shared" si="16"/>
        <v>1667</v>
      </c>
    </row>
    <row r="25" spans="2:32" ht="23.1" customHeight="1" x14ac:dyDescent="0.25">
      <c r="B25" s="23" t="s">
        <v>52</v>
      </c>
      <c r="C25" s="50">
        <v>67</v>
      </c>
      <c r="D25" s="50">
        <v>10</v>
      </c>
      <c r="E25" s="50">
        <v>4</v>
      </c>
      <c r="F25" s="50">
        <v>27</v>
      </c>
      <c r="G25" s="50">
        <v>2</v>
      </c>
      <c r="H25" s="50">
        <v>0</v>
      </c>
      <c r="I25" s="50">
        <v>8</v>
      </c>
      <c r="J25" s="50">
        <v>3</v>
      </c>
      <c r="K25" s="50">
        <v>3</v>
      </c>
      <c r="L25" s="50">
        <v>1</v>
      </c>
      <c r="M25" s="50">
        <v>205</v>
      </c>
      <c r="N25" s="50">
        <v>1</v>
      </c>
      <c r="O25" s="15">
        <f t="shared" si="0"/>
        <v>126</v>
      </c>
      <c r="P25" s="15">
        <f t="shared" si="1"/>
        <v>331</v>
      </c>
      <c r="R25" s="37" t="s">
        <v>85</v>
      </c>
      <c r="S25" s="35">
        <f t="shared" ref="S25:AF25" si="17">SUM(S10:S12)</f>
        <v>416</v>
      </c>
      <c r="T25" s="16">
        <f t="shared" si="17"/>
        <v>79</v>
      </c>
      <c r="U25" s="16">
        <f t="shared" si="17"/>
        <v>52</v>
      </c>
      <c r="V25" s="16">
        <f t="shared" si="17"/>
        <v>257</v>
      </c>
      <c r="W25" s="16">
        <f t="shared" si="17"/>
        <v>7</v>
      </c>
      <c r="X25" s="16">
        <f t="shared" si="17"/>
        <v>4</v>
      </c>
      <c r="Y25" s="16">
        <f t="shared" si="17"/>
        <v>76</v>
      </c>
      <c r="Z25" s="16">
        <f t="shared" si="17"/>
        <v>65</v>
      </c>
      <c r="AA25" s="16">
        <f t="shared" si="17"/>
        <v>10</v>
      </c>
      <c r="AB25" s="16">
        <f t="shared" si="17"/>
        <v>9</v>
      </c>
      <c r="AC25" s="16">
        <f t="shared" si="17"/>
        <v>2120</v>
      </c>
      <c r="AD25" s="16">
        <f t="shared" si="17"/>
        <v>0</v>
      </c>
      <c r="AE25" s="32">
        <f t="shared" si="17"/>
        <v>975</v>
      </c>
      <c r="AF25" s="32">
        <f t="shared" si="17"/>
        <v>3095</v>
      </c>
    </row>
    <row r="26" spans="2:32" ht="23.1" customHeight="1" x14ac:dyDescent="0.25">
      <c r="B26" s="23" t="s">
        <v>53</v>
      </c>
      <c r="C26" s="50">
        <v>42</v>
      </c>
      <c r="D26" s="50">
        <v>13</v>
      </c>
      <c r="E26" s="50">
        <v>9</v>
      </c>
      <c r="F26" s="50">
        <v>27</v>
      </c>
      <c r="G26" s="50">
        <v>1</v>
      </c>
      <c r="H26" s="50">
        <v>0</v>
      </c>
      <c r="I26" s="50">
        <v>6</v>
      </c>
      <c r="J26" s="50">
        <v>7</v>
      </c>
      <c r="K26" s="50">
        <v>1</v>
      </c>
      <c r="L26" s="50">
        <v>1</v>
      </c>
      <c r="M26" s="50">
        <v>206</v>
      </c>
      <c r="N26" s="50">
        <v>0</v>
      </c>
      <c r="O26" s="15">
        <f t="shared" si="0"/>
        <v>107</v>
      </c>
      <c r="P26" s="15">
        <f t="shared" si="1"/>
        <v>313</v>
      </c>
      <c r="R26" s="28" t="s">
        <v>86</v>
      </c>
      <c r="S26" s="16">
        <f t="shared" ref="S26:AF26" si="18">SUM(S13:S18)</f>
        <v>1608</v>
      </c>
      <c r="T26" s="16">
        <f t="shared" si="18"/>
        <v>217</v>
      </c>
      <c r="U26" s="16">
        <f t="shared" si="18"/>
        <v>180</v>
      </c>
      <c r="V26" s="16">
        <f t="shared" si="18"/>
        <v>594</v>
      </c>
      <c r="W26" s="16">
        <f t="shared" si="18"/>
        <v>20</v>
      </c>
      <c r="X26" s="16">
        <f t="shared" si="18"/>
        <v>23</v>
      </c>
      <c r="Y26" s="16">
        <f t="shared" si="18"/>
        <v>182</v>
      </c>
      <c r="Z26" s="16">
        <f t="shared" si="18"/>
        <v>126</v>
      </c>
      <c r="AA26" s="16">
        <f t="shared" si="18"/>
        <v>22</v>
      </c>
      <c r="AB26" s="16">
        <f t="shared" si="18"/>
        <v>237</v>
      </c>
      <c r="AC26" s="16">
        <f t="shared" si="18"/>
        <v>4654</v>
      </c>
      <c r="AD26" s="16">
        <f t="shared" si="18"/>
        <v>3</v>
      </c>
      <c r="AE26" s="32">
        <f t="shared" si="18"/>
        <v>3212</v>
      </c>
      <c r="AF26" s="32">
        <f t="shared" si="18"/>
        <v>7866</v>
      </c>
    </row>
    <row r="27" spans="2:32" ht="23.1" customHeight="1" x14ac:dyDescent="0.25">
      <c r="B27" s="23" t="s">
        <v>54</v>
      </c>
      <c r="C27" s="50">
        <v>60</v>
      </c>
      <c r="D27" s="50">
        <v>9</v>
      </c>
      <c r="E27" s="50">
        <v>3</v>
      </c>
      <c r="F27" s="50">
        <v>30</v>
      </c>
      <c r="G27" s="50">
        <v>3</v>
      </c>
      <c r="H27" s="50">
        <v>0</v>
      </c>
      <c r="I27" s="50">
        <v>6</v>
      </c>
      <c r="J27" s="50">
        <v>5</v>
      </c>
      <c r="K27" s="50">
        <v>0</v>
      </c>
      <c r="L27" s="50">
        <v>0</v>
      </c>
      <c r="M27" s="50">
        <v>180</v>
      </c>
      <c r="N27" s="50">
        <v>0</v>
      </c>
      <c r="O27" s="15">
        <f t="shared" si="0"/>
        <v>116</v>
      </c>
      <c r="P27" s="15">
        <f t="shared" si="1"/>
        <v>296</v>
      </c>
      <c r="R27" s="29" t="s">
        <v>87</v>
      </c>
      <c r="S27" s="16">
        <f t="shared" ref="S27:AF27" si="19">SUM(S19:S21)</f>
        <v>926</v>
      </c>
      <c r="T27" s="16">
        <f t="shared" si="19"/>
        <v>78</v>
      </c>
      <c r="U27" s="16">
        <f t="shared" si="19"/>
        <v>78</v>
      </c>
      <c r="V27" s="16">
        <f t="shared" si="19"/>
        <v>371</v>
      </c>
      <c r="W27" s="16">
        <f t="shared" si="19"/>
        <v>17</v>
      </c>
      <c r="X27" s="16">
        <f t="shared" si="19"/>
        <v>6</v>
      </c>
      <c r="Y27" s="16">
        <f t="shared" si="19"/>
        <v>78</v>
      </c>
      <c r="Z27" s="16">
        <f t="shared" si="19"/>
        <v>71</v>
      </c>
      <c r="AA27" s="16">
        <f t="shared" si="19"/>
        <v>16</v>
      </c>
      <c r="AB27" s="16">
        <f t="shared" si="19"/>
        <v>9</v>
      </c>
      <c r="AC27" s="16">
        <f t="shared" si="19"/>
        <v>2673</v>
      </c>
      <c r="AD27" s="16">
        <f t="shared" si="19"/>
        <v>0</v>
      </c>
      <c r="AE27" s="32">
        <f t="shared" si="19"/>
        <v>1650</v>
      </c>
      <c r="AF27" s="32">
        <f t="shared" si="19"/>
        <v>4323</v>
      </c>
    </row>
    <row r="28" spans="2:32" ht="23.1" customHeight="1" x14ac:dyDescent="0.25">
      <c r="B28" s="23" t="s">
        <v>55</v>
      </c>
      <c r="C28" s="50">
        <v>43</v>
      </c>
      <c r="D28" s="50">
        <v>6</v>
      </c>
      <c r="E28" s="50">
        <v>10</v>
      </c>
      <c r="F28" s="50">
        <v>38</v>
      </c>
      <c r="G28" s="50">
        <v>3</v>
      </c>
      <c r="H28" s="50">
        <v>1</v>
      </c>
      <c r="I28" s="50">
        <v>7</v>
      </c>
      <c r="J28" s="50">
        <v>4</v>
      </c>
      <c r="K28" s="50">
        <v>1</v>
      </c>
      <c r="L28" s="50">
        <v>2</v>
      </c>
      <c r="M28" s="50">
        <v>220</v>
      </c>
      <c r="N28" s="50">
        <v>1</v>
      </c>
      <c r="O28" s="15">
        <f t="shared" si="0"/>
        <v>116</v>
      </c>
      <c r="P28" s="15">
        <f t="shared" si="1"/>
        <v>336</v>
      </c>
      <c r="R28" s="5" t="s">
        <v>17</v>
      </c>
      <c r="S28" s="16">
        <f t="shared" ref="S28:AF28" si="20">SUM(S10:S21)</f>
        <v>2950</v>
      </c>
      <c r="T28" s="16">
        <f t="shared" si="20"/>
        <v>374</v>
      </c>
      <c r="U28" s="16">
        <f t="shared" si="20"/>
        <v>310</v>
      </c>
      <c r="V28" s="16">
        <f t="shared" si="20"/>
        <v>1222</v>
      </c>
      <c r="W28" s="16">
        <f t="shared" si="20"/>
        <v>44</v>
      </c>
      <c r="X28" s="16">
        <f t="shared" si="20"/>
        <v>33</v>
      </c>
      <c r="Y28" s="16">
        <f t="shared" si="20"/>
        <v>336</v>
      </c>
      <c r="Z28" s="16">
        <f t="shared" si="20"/>
        <v>262</v>
      </c>
      <c r="AA28" s="16">
        <f t="shared" si="20"/>
        <v>48</v>
      </c>
      <c r="AB28" s="16">
        <f t="shared" si="20"/>
        <v>255</v>
      </c>
      <c r="AC28" s="16">
        <f t="shared" si="20"/>
        <v>9447</v>
      </c>
      <c r="AD28" s="16">
        <f t="shared" si="20"/>
        <v>3</v>
      </c>
      <c r="AE28" s="32">
        <f t="shared" si="20"/>
        <v>5837</v>
      </c>
      <c r="AF28" s="32">
        <f t="shared" si="20"/>
        <v>15284</v>
      </c>
    </row>
    <row r="29" spans="2:32" ht="23.1" customHeight="1" x14ac:dyDescent="0.25">
      <c r="B29" s="23" t="s">
        <v>56</v>
      </c>
      <c r="C29" s="50">
        <v>45</v>
      </c>
      <c r="D29" s="50">
        <v>8</v>
      </c>
      <c r="E29" s="50">
        <v>5</v>
      </c>
      <c r="F29" s="50">
        <v>18</v>
      </c>
      <c r="G29" s="50">
        <v>0</v>
      </c>
      <c r="H29" s="50">
        <v>0</v>
      </c>
      <c r="I29" s="50">
        <v>2</v>
      </c>
      <c r="J29" s="50">
        <v>1</v>
      </c>
      <c r="K29" s="50">
        <v>0</v>
      </c>
      <c r="L29" s="50">
        <v>0</v>
      </c>
      <c r="M29" s="50">
        <v>95</v>
      </c>
      <c r="N29" s="50">
        <v>0</v>
      </c>
      <c r="O29" s="15">
        <f t="shared" si="0"/>
        <v>79</v>
      </c>
      <c r="P29" s="15">
        <f t="shared" si="1"/>
        <v>174</v>
      </c>
      <c r="R29"/>
      <c r="S29" s="20"/>
      <c r="T29" s="19"/>
    </row>
    <row r="30" spans="2:32" ht="23.1" customHeight="1" x14ac:dyDescent="0.25">
      <c r="B30" s="23" t="s">
        <v>57</v>
      </c>
      <c r="C30" s="50">
        <v>78</v>
      </c>
      <c r="D30" s="50">
        <v>8</v>
      </c>
      <c r="E30" s="50">
        <v>11</v>
      </c>
      <c r="F30" s="50">
        <v>32</v>
      </c>
      <c r="G30" s="50">
        <v>1</v>
      </c>
      <c r="H30" s="50">
        <v>0</v>
      </c>
      <c r="I30" s="50">
        <v>4</v>
      </c>
      <c r="J30" s="50">
        <v>7</v>
      </c>
      <c r="K30" s="50">
        <v>0</v>
      </c>
      <c r="L30" s="50">
        <v>1</v>
      </c>
      <c r="M30" s="50">
        <v>285</v>
      </c>
      <c r="N30" s="50">
        <v>0</v>
      </c>
      <c r="O30" s="15">
        <f t="shared" si="0"/>
        <v>142</v>
      </c>
      <c r="P30" s="15">
        <f t="shared" si="1"/>
        <v>427</v>
      </c>
    </row>
    <row r="31" spans="2:32" ht="23.1" customHeight="1" x14ac:dyDescent="0.25">
      <c r="B31" s="24" t="s">
        <v>58</v>
      </c>
      <c r="C31" s="50">
        <v>52</v>
      </c>
      <c r="D31" s="50">
        <v>3</v>
      </c>
      <c r="E31" s="50">
        <v>1</v>
      </c>
      <c r="F31" s="50">
        <v>20</v>
      </c>
      <c r="G31" s="50">
        <v>0</v>
      </c>
      <c r="H31" s="50">
        <v>0</v>
      </c>
      <c r="I31" s="50">
        <v>5</v>
      </c>
      <c r="J31" s="50">
        <v>4</v>
      </c>
      <c r="K31" s="50">
        <v>0</v>
      </c>
      <c r="L31" s="50">
        <v>0</v>
      </c>
      <c r="M31" s="50">
        <v>241</v>
      </c>
      <c r="N31" s="50">
        <v>0</v>
      </c>
      <c r="O31" s="15">
        <f t="shared" si="0"/>
        <v>85</v>
      </c>
      <c r="P31" s="15">
        <f t="shared" si="1"/>
        <v>326</v>
      </c>
    </row>
    <row r="32" spans="2:32" ht="23.1" customHeight="1" x14ac:dyDescent="0.25">
      <c r="B32" s="24" t="s">
        <v>59</v>
      </c>
      <c r="C32" s="50">
        <v>98</v>
      </c>
      <c r="D32" s="50">
        <v>16</v>
      </c>
      <c r="E32" s="50">
        <v>29</v>
      </c>
      <c r="F32" s="50">
        <v>5</v>
      </c>
      <c r="G32" s="50">
        <v>0</v>
      </c>
      <c r="H32" s="50">
        <v>12</v>
      </c>
      <c r="I32" s="50">
        <v>12</v>
      </c>
      <c r="J32" s="50">
        <v>0</v>
      </c>
      <c r="K32" s="50">
        <v>0</v>
      </c>
      <c r="L32" s="50">
        <v>210</v>
      </c>
      <c r="M32" s="50">
        <v>0</v>
      </c>
      <c r="N32" s="50">
        <v>0</v>
      </c>
      <c r="O32" s="15">
        <f t="shared" si="0"/>
        <v>382</v>
      </c>
      <c r="P32" s="15">
        <f t="shared" si="1"/>
        <v>382</v>
      </c>
    </row>
    <row r="33" spans="2:20" ht="23.1" customHeight="1" x14ac:dyDescent="0.25">
      <c r="B33" s="23" t="s">
        <v>60</v>
      </c>
      <c r="C33" s="50">
        <v>105</v>
      </c>
      <c r="D33" s="50">
        <v>11</v>
      </c>
      <c r="E33" s="50">
        <v>9</v>
      </c>
      <c r="F33" s="50">
        <v>27</v>
      </c>
      <c r="G33" s="50">
        <v>3</v>
      </c>
      <c r="H33" s="50">
        <v>3</v>
      </c>
      <c r="I33" s="50">
        <v>13</v>
      </c>
      <c r="J33" s="50">
        <v>8</v>
      </c>
      <c r="K33" s="50">
        <v>1</v>
      </c>
      <c r="L33" s="50">
        <v>3</v>
      </c>
      <c r="M33" s="50">
        <v>135</v>
      </c>
      <c r="N33" s="50">
        <v>0</v>
      </c>
      <c r="O33" s="15">
        <f t="shared" si="0"/>
        <v>183</v>
      </c>
      <c r="P33" s="15">
        <f t="shared" si="1"/>
        <v>318</v>
      </c>
    </row>
    <row r="34" spans="2:20" ht="23.1" customHeight="1" x14ac:dyDescent="0.25">
      <c r="B34" s="24" t="s">
        <v>61</v>
      </c>
      <c r="C34" s="50">
        <v>137</v>
      </c>
      <c r="D34" s="50">
        <v>15</v>
      </c>
      <c r="E34" s="50">
        <v>9</v>
      </c>
      <c r="F34" s="50">
        <v>35</v>
      </c>
      <c r="G34" s="50">
        <v>0</v>
      </c>
      <c r="H34" s="50">
        <v>1</v>
      </c>
      <c r="I34" s="50">
        <v>13</v>
      </c>
      <c r="J34" s="50">
        <v>12</v>
      </c>
      <c r="K34" s="50">
        <v>1</v>
      </c>
      <c r="L34" s="50">
        <v>1</v>
      </c>
      <c r="M34" s="50">
        <v>210</v>
      </c>
      <c r="N34" s="50">
        <v>0</v>
      </c>
      <c r="O34" s="15">
        <f t="shared" si="0"/>
        <v>224</v>
      </c>
      <c r="P34" s="15">
        <f t="shared" si="1"/>
        <v>434</v>
      </c>
    </row>
    <row r="35" spans="2:20" ht="23.1" customHeight="1" x14ac:dyDescent="0.25">
      <c r="B35" s="24" t="s">
        <v>62</v>
      </c>
      <c r="C35" s="50">
        <v>75</v>
      </c>
      <c r="D35" s="50">
        <v>4</v>
      </c>
      <c r="E35" s="50">
        <v>9</v>
      </c>
      <c r="F35" s="50">
        <v>27</v>
      </c>
      <c r="G35" s="50">
        <v>1</v>
      </c>
      <c r="H35" s="50">
        <v>0</v>
      </c>
      <c r="I35" s="50">
        <v>9</v>
      </c>
      <c r="J35" s="50">
        <v>5</v>
      </c>
      <c r="K35" s="50">
        <v>1</v>
      </c>
      <c r="L35" s="50">
        <v>1</v>
      </c>
      <c r="M35" s="50">
        <v>202</v>
      </c>
      <c r="N35" s="50">
        <v>0</v>
      </c>
      <c r="O35" s="15">
        <f t="shared" si="0"/>
        <v>132</v>
      </c>
      <c r="P35" s="15">
        <f t="shared" si="1"/>
        <v>334</v>
      </c>
    </row>
    <row r="36" spans="2:20" ht="23.1" customHeight="1" x14ac:dyDescent="0.25">
      <c r="B36" s="24" t="s">
        <v>63</v>
      </c>
      <c r="C36" s="50">
        <v>54</v>
      </c>
      <c r="D36" s="50">
        <v>9</v>
      </c>
      <c r="E36" s="50">
        <v>4</v>
      </c>
      <c r="F36" s="50">
        <v>17</v>
      </c>
      <c r="G36" s="50">
        <v>0</v>
      </c>
      <c r="H36" s="50">
        <v>0</v>
      </c>
      <c r="I36" s="50">
        <v>4</v>
      </c>
      <c r="J36" s="50">
        <v>5</v>
      </c>
      <c r="K36" s="50">
        <v>0</v>
      </c>
      <c r="L36" s="50">
        <v>1</v>
      </c>
      <c r="M36" s="50">
        <v>170</v>
      </c>
      <c r="N36" s="50">
        <v>0</v>
      </c>
      <c r="O36" s="15">
        <f t="shared" si="0"/>
        <v>94</v>
      </c>
      <c r="P36" s="15">
        <f t="shared" si="1"/>
        <v>264</v>
      </c>
    </row>
    <row r="37" spans="2:20" ht="23.1" customHeight="1" x14ac:dyDescent="0.25">
      <c r="B37" s="23" t="s">
        <v>64</v>
      </c>
      <c r="C37" s="50">
        <v>65</v>
      </c>
      <c r="D37" s="50">
        <v>10</v>
      </c>
      <c r="E37" s="50">
        <v>7</v>
      </c>
      <c r="F37" s="50">
        <v>26</v>
      </c>
      <c r="G37" s="50">
        <v>0</v>
      </c>
      <c r="H37" s="50">
        <v>0</v>
      </c>
      <c r="I37" s="50">
        <v>4</v>
      </c>
      <c r="J37" s="50">
        <v>4</v>
      </c>
      <c r="K37" s="50">
        <v>0</v>
      </c>
      <c r="L37" s="50">
        <v>3</v>
      </c>
      <c r="M37" s="50">
        <v>180</v>
      </c>
      <c r="N37" s="50">
        <v>1</v>
      </c>
      <c r="O37" s="15">
        <f t="shared" si="0"/>
        <v>120</v>
      </c>
      <c r="P37" s="15">
        <f t="shared" si="1"/>
        <v>300</v>
      </c>
    </row>
    <row r="38" spans="2:20" ht="23.1" customHeight="1" x14ac:dyDescent="0.25">
      <c r="B38" s="24" t="s">
        <v>65</v>
      </c>
      <c r="C38" s="50">
        <v>62</v>
      </c>
      <c r="D38" s="50">
        <v>18</v>
      </c>
      <c r="E38" s="50">
        <v>11</v>
      </c>
      <c r="F38" s="50">
        <v>14</v>
      </c>
      <c r="G38" s="50">
        <v>0</v>
      </c>
      <c r="H38" s="50">
        <v>0</v>
      </c>
      <c r="I38" s="50">
        <v>9</v>
      </c>
      <c r="J38" s="50">
        <v>10</v>
      </c>
      <c r="K38" s="50">
        <v>0</v>
      </c>
      <c r="L38" s="50">
        <v>4</v>
      </c>
      <c r="M38" s="50">
        <v>145</v>
      </c>
      <c r="N38" s="50">
        <v>0</v>
      </c>
      <c r="O38" s="15">
        <f t="shared" si="0"/>
        <v>128</v>
      </c>
      <c r="P38" s="15">
        <f t="shared" si="1"/>
        <v>273</v>
      </c>
    </row>
    <row r="39" spans="2:20" ht="23.1" customHeight="1" x14ac:dyDescent="0.25">
      <c r="B39" s="24" t="s">
        <v>66</v>
      </c>
      <c r="C39" s="50">
        <v>65</v>
      </c>
      <c r="D39" s="50">
        <v>7</v>
      </c>
      <c r="E39" s="50">
        <v>5</v>
      </c>
      <c r="F39" s="50">
        <v>21</v>
      </c>
      <c r="G39" s="50">
        <v>0</v>
      </c>
      <c r="H39" s="50">
        <v>0</v>
      </c>
      <c r="I39" s="50">
        <v>6</v>
      </c>
      <c r="J39" s="50">
        <v>3</v>
      </c>
      <c r="K39" s="50">
        <v>0</v>
      </c>
      <c r="L39" s="50">
        <v>1</v>
      </c>
      <c r="M39" s="50">
        <v>221</v>
      </c>
      <c r="N39" s="50">
        <v>0</v>
      </c>
      <c r="O39" s="15">
        <f t="shared" si="0"/>
        <v>108</v>
      </c>
      <c r="P39" s="15">
        <f t="shared" si="1"/>
        <v>329</v>
      </c>
    </row>
    <row r="40" spans="2:20" ht="23.1" customHeight="1" x14ac:dyDescent="0.25">
      <c r="B40" s="24" t="s">
        <v>67</v>
      </c>
      <c r="C40" s="50">
        <v>63</v>
      </c>
      <c r="D40" s="50">
        <v>8</v>
      </c>
      <c r="E40" s="50">
        <v>10</v>
      </c>
      <c r="F40" s="50">
        <v>20</v>
      </c>
      <c r="G40" s="50">
        <v>1</v>
      </c>
      <c r="H40" s="50">
        <v>4</v>
      </c>
      <c r="I40" s="50">
        <v>11</v>
      </c>
      <c r="J40" s="50">
        <v>5</v>
      </c>
      <c r="K40" s="50">
        <v>1</v>
      </c>
      <c r="L40" s="50">
        <v>0</v>
      </c>
      <c r="M40" s="50">
        <v>240</v>
      </c>
      <c r="N40" s="50">
        <v>0</v>
      </c>
      <c r="O40" s="15">
        <f t="shared" si="0"/>
        <v>123</v>
      </c>
      <c r="P40" s="15">
        <f t="shared" si="1"/>
        <v>363</v>
      </c>
    </row>
    <row r="41" spans="2:20" ht="23.1" customHeight="1" x14ac:dyDescent="0.25">
      <c r="B41" s="23" t="s">
        <v>68</v>
      </c>
      <c r="C41" s="50">
        <v>74</v>
      </c>
      <c r="D41" s="50">
        <v>6</v>
      </c>
      <c r="E41" s="50">
        <v>10</v>
      </c>
      <c r="F41" s="50">
        <v>24</v>
      </c>
      <c r="G41" s="50">
        <v>1</v>
      </c>
      <c r="H41" s="50">
        <v>0</v>
      </c>
      <c r="I41" s="50">
        <v>4</v>
      </c>
      <c r="J41" s="50">
        <v>5</v>
      </c>
      <c r="K41" s="50">
        <v>3</v>
      </c>
      <c r="L41" s="50">
        <v>1</v>
      </c>
      <c r="M41" s="50">
        <v>270</v>
      </c>
      <c r="N41" s="50">
        <v>0</v>
      </c>
      <c r="O41" s="15">
        <f t="shared" si="0"/>
        <v>128</v>
      </c>
      <c r="P41" s="15">
        <f t="shared" si="1"/>
        <v>398</v>
      </c>
    </row>
    <row r="42" spans="2:20" ht="23.1" customHeight="1" x14ac:dyDescent="0.25">
      <c r="B42" s="24" t="s">
        <v>69</v>
      </c>
      <c r="C42" s="50">
        <v>60</v>
      </c>
      <c r="D42" s="50">
        <v>17</v>
      </c>
      <c r="E42" s="50">
        <v>6</v>
      </c>
      <c r="F42" s="50">
        <v>34</v>
      </c>
      <c r="G42" s="50">
        <v>1</v>
      </c>
      <c r="H42" s="50">
        <v>0</v>
      </c>
      <c r="I42" s="50">
        <v>14</v>
      </c>
      <c r="J42" s="50">
        <v>10</v>
      </c>
      <c r="K42" s="50">
        <v>3</v>
      </c>
      <c r="L42" s="50">
        <v>2</v>
      </c>
      <c r="M42" s="50">
        <v>275</v>
      </c>
      <c r="N42" s="50">
        <v>0</v>
      </c>
      <c r="O42" s="15">
        <f t="shared" si="0"/>
        <v>147</v>
      </c>
      <c r="P42" s="15">
        <f t="shared" si="1"/>
        <v>422</v>
      </c>
    </row>
    <row r="43" spans="2:20" ht="23.1" customHeight="1" x14ac:dyDescent="0.25">
      <c r="B43" s="23" t="s">
        <v>70</v>
      </c>
      <c r="C43" s="50">
        <v>46</v>
      </c>
      <c r="D43" s="50">
        <v>3</v>
      </c>
      <c r="E43" s="50">
        <v>3</v>
      </c>
      <c r="F43" s="50">
        <v>18</v>
      </c>
      <c r="G43" s="50">
        <v>0</v>
      </c>
      <c r="H43" s="50">
        <v>0</v>
      </c>
      <c r="I43" s="50">
        <v>4</v>
      </c>
      <c r="J43" s="50">
        <v>4</v>
      </c>
      <c r="K43" s="50">
        <v>1</v>
      </c>
      <c r="L43" s="50">
        <v>1</v>
      </c>
      <c r="M43" s="50">
        <v>130</v>
      </c>
      <c r="N43" s="50">
        <v>0</v>
      </c>
      <c r="O43" s="15">
        <f t="shared" si="0"/>
        <v>80</v>
      </c>
      <c r="P43" s="15">
        <f t="shared" si="1"/>
        <v>210</v>
      </c>
    </row>
    <row r="44" spans="2:20" ht="23.1" customHeight="1" x14ac:dyDescent="0.25">
      <c r="B44" s="25" t="s">
        <v>71</v>
      </c>
      <c r="C44" s="50">
        <v>67</v>
      </c>
      <c r="D44" s="50">
        <v>7</v>
      </c>
      <c r="E44" s="50">
        <v>1</v>
      </c>
      <c r="F44" s="50">
        <v>22</v>
      </c>
      <c r="G44" s="50">
        <v>0</v>
      </c>
      <c r="H44" s="50">
        <v>0</v>
      </c>
      <c r="I44" s="50">
        <v>8</v>
      </c>
      <c r="J44" s="50">
        <v>5</v>
      </c>
      <c r="K44" s="50">
        <v>0</v>
      </c>
      <c r="L44" s="50">
        <v>0</v>
      </c>
      <c r="M44" s="50">
        <v>215</v>
      </c>
      <c r="N44" s="50">
        <v>0</v>
      </c>
      <c r="O44" s="15">
        <f t="shared" si="0"/>
        <v>110</v>
      </c>
      <c r="P44" s="15">
        <f t="shared" si="1"/>
        <v>325</v>
      </c>
    </row>
    <row r="45" spans="2:20" ht="23.1" customHeight="1" x14ac:dyDescent="0.25">
      <c r="B45" s="23" t="s">
        <v>72</v>
      </c>
      <c r="C45" s="50">
        <v>65</v>
      </c>
      <c r="D45" s="50">
        <v>8</v>
      </c>
      <c r="E45" s="50">
        <v>6</v>
      </c>
      <c r="F45" s="50">
        <v>28</v>
      </c>
      <c r="G45" s="50">
        <v>1</v>
      </c>
      <c r="H45" s="50">
        <v>0</v>
      </c>
      <c r="I45" s="50">
        <v>8</v>
      </c>
      <c r="J45" s="50">
        <v>3</v>
      </c>
      <c r="K45" s="50">
        <v>2</v>
      </c>
      <c r="L45" s="50">
        <v>0</v>
      </c>
      <c r="M45" s="50">
        <v>210</v>
      </c>
      <c r="N45" s="50">
        <v>0</v>
      </c>
      <c r="O45" s="15">
        <f t="shared" si="0"/>
        <v>121</v>
      </c>
      <c r="P45" s="15">
        <f t="shared" si="1"/>
        <v>331</v>
      </c>
    </row>
    <row r="46" spans="2:20" ht="23.1" customHeight="1" x14ac:dyDescent="0.25">
      <c r="B46" s="24" t="s">
        <v>73</v>
      </c>
      <c r="C46" s="50">
        <v>41</v>
      </c>
      <c r="D46" s="50">
        <v>8</v>
      </c>
      <c r="E46" s="50">
        <v>9</v>
      </c>
      <c r="F46" s="50">
        <v>30</v>
      </c>
      <c r="G46" s="50">
        <v>1</v>
      </c>
      <c r="H46" s="50">
        <v>0</v>
      </c>
      <c r="I46" s="50">
        <v>2</v>
      </c>
      <c r="J46" s="50">
        <v>0</v>
      </c>
      <c r="K46" s="50">
        <v>2</v>
      </c>
      <c r="L46" s="50">
        <v>0</v>
      </c>
      <c r="M46" s="50">
        <v>100</v>
      </c>
      <c r="N46" s="50">
        <v>0</v>
      </c>
      <c r="O46" s="15">
        <f t="shared" si="0"/>
        <v>93</v>
      </c>
      <c r="P46" s="15">
        <f t="shared" si="1"/>
        <v>193</v>
      </c>
      <c r="R46" s="8"/>
      <c r="T46"/>
    </row>
    <row r="47" spans="2:20" ht="23.1" customHeight="1" x14ac:dyDescent="0.25">
      <c r="B47" s="24" t="s">
        <v>74</v>
      </c>
      <c r="C47" s="50">
        <v>71</v>
      </c>
      <c r="D47" s="50">
        <v>5</v>
      </c>
      <c r="E47" s="50">
        <v>7</v>
      </c>
      <c r="F47" s="50">
        <v>33</v>
      </c>
      <c r="G47" s="50">
        <v>0</v>
      </c>
      <c r="H47" s="50">
        <v>1</v>
      </c>
      <c r="I47" s="50">
        <v>6</v>
      </c>
      <c r="J47" s="50">
        <v>7</v>
      </c>
      <c r="K47" s="50">
        <v>1</v>
      </c>
      <c r="L47" s="50">
        <v>0</v>
      </c>
      <c r="M47" s="50">
        <v>220</v>
      </c>
      <c r="N47" s="50">
        <v>0</v>
      </c>
      <c r="O47" s="15">
        <f t="shared" si="0"/>
        <v>131</v>
      </c>
      <c r="P47" s="15">
        <f t="shared" si="1"/>
        <v>351</v>
      </c>
      <c r="R47" s="8"/>
      <c r="T47"/>
    </row>
    <row r="48" spans="2:20" ht="23.1" customHeight="1" x14ac:dyDescent="0.25">
      <c r="B48" s="24" t="s">
        <v>75</v>
      </c>
      <c r="C48" s="50">
        <v>39</v>
      </c>
      <c r="D48" s="50">
        <v>5</v>
      </c>
      <c r="E48" s="50">
        <v>2</v>
      </c>
      <c r="F48" s="50">
        <v>16</v>
      </c>
      <c r="G48" s="50">
        <v>0</v>
      </c>
      <c r="H48" s="50">
        <v>0</v>
      </c>
      <c r="I48" s="50">
        <v>4</v>
      </c>
      <c r="J48" s="50">
        <v>3</v>
      </c>
      <c r="K48" s="50">
        <v>1</v>
      </c>
      <c r="L48" s="50">
        <v>0</v>
      </c>
      <c r="M48" s="50">
        <v>238</v>
      </c>
      <c r="N48" s="50">
        <v>0</v>
      </c>
      <c r="O48" s="15">
        <f t="shared" si="0"/>
        <v>70</v>
      </c>
      <c r="P48" s="15">
        <f t="shared" si="1"/>
        <v>308</v>
      </c>
      <c r="R48" s="8"/>
      <c r="T48"/>
    </row>
    <row r="49" spans="2:20" ht="23.1" customHeight="1" x14ac:dyDescent="0.25">
      <c r="B49" s="23" t="s">
        <v>76</v>
      </c>
      <c r="C49" s="50">
        <v>85</v>
      </c>
      <c r="D49" s="50">
        <v>12</v>
      </c>
      <c r="E49" s="50">
        <v>8</v>
      </c>
      <c r="F49" s="50">
        <v>17</v>
      </c>
      <c r="G49" s="50">
        <v>9</v>
      </c>
      <c r="H49" s="50">
        <v>1</v>
      </c>
      <c r="I49" s="50">
        <v>8</v>
      </c>
      <c r="J49" s="50">
        <v>6</v>
      </c>
      <c r="K49" s="50">
        <v>0</v>
      </c>
      <c r="L49" s="50">
        <v>1</v>
      </c>
      <c r="M49" s="50">
        <v>225</v>
      </c>
      <c r="N49" s="50">
        <v>0</v>
      </c>
      <c r="O49" s="15">
        <f t="shared" si="0"/>
        <v>147</v>
      </c>
      <c r="P49" s="15">
        <f t="shared" si="1"/>
        <v>372</v>
      </c>
      <c r="R49" s="8"/>
      <c r="T49"/>
    </row>
    <row r="50" spans="2:20" ht="23.1" customHeight="1" x14ac:dyDescent="0.25">
      <c r="B50" s="24" t="s">
        <v>77</v>
      </c>
      <c r="C50" s="50">
        <v>96</v>
      </c>
      <c r="D50" s="50">
        <v>13</v>
      </c>
      <c r="E50" s="50">
        <v>8</v>
      </c>
      <c r="F50" s="50">
        <v>42</v>
      </c>
      <c r="G50" s="50">
        <v>0</v>
      </c>
      <c r="H50" s="50">
        <v>0</v>
      </c>
      <c r="I50" s="50">
        <v>8</v>
      </c>
      <c r="J50" s="50">
        <v>5</v>
      </c>
      <c r="K50" s="50">
        <v>1</v>
      </c>
      <c r="L50" s="50">
        <v>0</v>
      </c>
      <c r="M50" s="50">
        <v>195</v>
      </c>
      <c r="N50" s="50">
        <v>0</v>
      </c>
      <c r="O50" s="15">
        <f t="shared" si="0"/>
        <v>173</v>
      </c>
      <c r="P50" s="15">
        <f t="shared" si="1"/>
        <v>368</v>
      </c>
      <c r="R50" s="8"/>
      <c r="T50"/>
    </row>
    <row r="51" spans="2:20" ht="23.1" customHeight="1" x14ac:dyDescent="0.25">
      <c r="B51" s="24" t="s">
        <v>78</v>
      </c>
      <c r="C51" s="50">
        <v>77</v>
      </c>
      <c r="D51" s="50">
        <v>4</v>
      </c>
      <c r="E51" s="50">
        <v>5</v>
      </c>
      <c r="F51" s="50">
        <v>32</v>
      </c>
      <c r="G51" s="50">
        <v>1</v>
      </c>
      <c r="H51" s="50">
        <v>1</v>
      </c>
      <c r="I51" s="50">
        <v>11</v>
      </c>
      <c r="J51" s="50">
        <v>8</v>
      </c>
      <c r="K51" s="50">
        <v>2</v>
      </c>
      <c r="L51" s="50">
        <v>0</v>
      </c>
      <c r="M51" s="50">
        <v>220</v>
      </c>
      <c r="N51" s="50">
        <v>0</v>
      </c>
      <c r="O51" s="15">
        <f t="shared" si="0"/>
        <v>141</v>
      </c>
      <c r="P51" s="15">
        <f t="shared" si="1"/>
        <v>361</v>
      </c>
      <c r="R51" s="8"/>
      <c r="T51"/>
    </row>
    <row r="52" spans="2:20" ht="23.1" customHeight="1" x14ac:dyDescent="0.25">
      <c r="B52" s="24" t="s">
        <v>79</v>
      </c>
      <c r="C52" s="50">
        <v>55</v>
      </c>
      <c r="D52" s="50">
        <v>5</v>
      </c>
      <c r="E52" s="50">
        <v>9</v>
      </c>
      <c r="F52" s="50">
        <v>20</v>
      </c>
      <c r="G52" s="50">
        <v>3</v>
      </c>
      <c r="H52" s="50">
        <v>1</v>
      </c>
      <c r="I52" s="50">
        <v>7</v>
      </c>
      <c r="J52" s="50">
        <v>3</v>
      </c>
      <c r="K52" s="50">
        <v>0</v>
      </c>
      <c r="L52" s="50">
        <v>1</v>
      </c>
      <c r="M52" s="50">
        <v>195</v>
      </c>
      <c r="N52" s="50">
        <v>0</v>
      </c>
      <c r="O52" s="15">
        <f t="shared" si="0"/>
        <v>104</v>
      </c>
      <c r="P52" s="15">
        <f t="shared" si="1"/>
        <v>299</v>
      </c>
      <c r="R52" s="8"/>
      <c r="T52"/>
    </row>
    <row r="53" spans="2:20" ht="23.1" customHeight="1" x14ac:dyDescent="0.25">
      <c r="B53" s="23" t="s">
        <v>80</v>
      </c>
      <c r="C53" s="50">
        <v>95</v>
      </c>
      <c r="D53" s="50">
        <v>4</v>
      </c>
      <c r="E53" s="50">
        <v>11</v>
      </c>
      <c r="F53" s="50">
        <v>30</v>
      </c>
      <c r="G53" s="50">
        <v>1</v>
      </c>
      <c r="H53" s="50">
        <v>0</v>
      </c>
      <c r="I53" s="50">
        <v>3</v>
      </c>
      <c r="J53" s="50">
        <v>5</v>
      </c>
      <c r="K53" s="50">
        <v>0</v>
      </c>
      <c r="L53" s="50">
        <v>0</v>
      </c>
      <c r="M53" s="50">
        <v>255</v>
      </c>
      <c r="N53" s="50">
        <v>0</v>
      </c>
      <c r="O53" s="15">
        <f t="shared" si="0"/>
        <v>149</v>
      </c>
      <c r="P53" s="15">
        <f t="shared" si="1"/>
        <v>404</v>
      </c>
      <c r="R53" s="8"/>
      <c r="T53"/>
    </row>
    <row r="54" spans="2:20" ht="23.1" customHeight="1" x14ac:dyDescent="0.25">
      <c r="B54" s="23" t="s">
        <v>81</v>
      </c>
      <c r="C54" s="50">
        <v>77</v>
      </c>
      <c r="D54" s="50">
        <v>7</v>
      </c>
      <c r="E54" s="50">
        <v>4</v>
      </c>
      <c r="F54" s="50">
        <v>21</v>
      </c>
      <c r="G54" s="50">
        <v>0</v>
      </c>
      <c r="H54" s="50">
        <v>1</v>
      </c>
      <c r="I54" s="50">
        <v>6</v>
      </c>
      <c r="J54" s="50">
        <v>5</v>
      </c>
      <c r="K54" s="50">
        <v>3</v>
      </c>
      <c r="L54" s="50">
        <v>2</v>
      </c>
      <c r="M54" s="50">
        <v>217</v>
      </c>
      <c r="N54" s="50">
        <v>0</v>
      </c>
      <c r="O54" s="15">
        <f t="shared" si="0"/>
        <v>126</v>
      </c>
      <c r="P54" s="15">
        <f t="shared" si="1"/>
        <v>343</v>
      </c>
      <c r="R54" s="8"/>
      <c r="T54"/>
    </row>
    <row r="55" spans="2:20" ht="23.1" customHeight="1" x14ac:dyDescent="0.25">
      <c r="B55" s="23" t="s">
        <v>82</v>
      </c>
      <c r="C55" s="50">
        <v>70</v>
      </c>
      <c r="D55" s="50">
        <v>5</v>
      </c>
      <c r="E55" s="50">
        <v>3</v>
      </c>
      <c r="F55" s="50">
        <v>41</v>
      </c>
      <c r="G55" s="50">
        <v>1</v>
      </c>
      <c r="H55" s="50">
        <v>0</v>
      </c>
      <c r="I55" s="50">
        <v>5</v>
      </c>
      <c r="J55" s="50">
        <v>9</v>
      </c>
      <c r="K55" s="50">
        <v>0</v>
      </c>
      <c r="L55" s="50">
        <v>2</v>
      </c>
      <c r="M55" s="50">
        <v>265</v>
      </c>
      <c r="N55" s="50">
        <v>0</v>
      </c>
      <c r="O55" s="15">
        <f t="shared" si="0"/>
        <v>136</v>
      </c>
      <c r="P55" s="15">
        <f t="shared" si="1"/>
        <v>401</v>
      </c>
      <c r="R55" s="8"/>
      <c r="T55"/>
    </row>
    <row r="56" spans="2:20" ht="23.1" customHeight="1" x14ac:dyDescent="0.25">
      <c r="B56" s="23" t="s">
        <v>83</v>
      </c>
      <c r="C56" s="50">
        <v>95</v>
      </c>
      <c r="D56" s="50">
        <v>3</v>
      </c>
      <c r="E56" s="50">
        <v>2</v>
      </c>
      <c r="F56" s="50">
        <v>36</v>
      </c>
      <c r="G56" s="50">
        <v>0</v>
      </c>
      <c r="H56" s="50">
        <v>0</v>
      </c>
      <c r="I56" s="50">
        <v>10</v>
      </c>
      <c r="J56" s="50">
        <v>6</v>
      </c>
      <c r="K56" s="50">
        <v>4</v>
      </c>
      <c r="L56" s="50">
        <v>2</v>
      </c>
      <c r="M56" s="50">
        <v>255</v>
      </c>
      <c r="N56" s="50">
        <v>0</v>
      </c>
      <c r="O56" s="15">
        <f t="shared" si="0"/>
        <v>158</v>
      </c>
      <c r="P56" s="15">
        <f t="shared" si="1"/>
        <v>413</v>
      </c>
      <c r="R56" s="8"/>
      <c r="T56"/>
    </row>
    <row r="57" spans="2:20" ht="23.1" customHeight="1" x14ac:dyDescent="0.25">
      <c r="B57" s="23" t="s">
        <v>84</v>
      </c>
      <c r="C57" s="50">
        <v>125</v>
      </c>
      <c r="D57" s="50">
        <v>7</v>
      </c>
      <c r="E57" s="50">
        <v>10</v>
      </c>
      <c r="F57" s="50">
        <v>53</v>
      </c>
      <c r="G57" s="50">
        <v>1</v>
      </c>
      <c r="H57" s="50">
        <v>1</v>
      </c>
      <c r="I57" s="50">
        <v>8</v>
      </c>
      <c r="J57" s="50">
        <v>14</v>
      </c>
      <c r="K57" s="50">
        <v>2</v>
      </c>
      <c r="L57" s="50">
        <v>1</v>
      </c>
      <c r="M57" s="50">
        <v>288</v>
      </c>
      <c r="N57" s="50">
        <v>0</v>
      </c>
      <c r="O57" s="15">
        <f t="shared" si="0"/>
        <v>222</v>
      </c>
      <c r="P57" s="15">
        <f t="shared" si="1"/>
        <v>510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2950</v>
      </c>
      <c r="D58" s="16">
        <f t="shared" si="21"/>
        <v>374</v>
      </c>
      <c r="E58" s="16">
        <f t="shared" si="21"/>
        <v>310</v>
      </c>
      <c r="F58" s="16">
        <f t="shared" si="21"/>
        <v>1222</v>
      </c>
      <c r="G58" s="16">
        <f t="shared" si="21"/>
        <v>44</v>
      </c>
      <c r="H58" s="16">
        <f t="shared" si="21"/>
        <v>33</v>
      </c>
      <c r="I58" s="16">
        <f t="shared" si="21"/>
        <v>336</v>
      </c>
      <c r="J58" s="16">
        <f t="shared" si="21"/>
        <v>262</v>
      </c>
      <c r="K58" s="16">
        <f t="shared" si="21"/>
        <v>48</v>
      </c>
      <c r="L58" s="16">
        <f t="shared" si="21"/>
        <v>255</v>
      </c>
      <c r="M58" s="16">
        <f t="shared" si="21"/>
        <v>9447</v>
      </c>
      <c r="N58" s="16">
        <f t="shared" si="21"/>
        <v>3</v>
      </c>
      <c r="O58" s="16">
        <f t="shared" si="21"/>
        <v>5837</v>
      </c>
      <c r="P58" s="16">
        <f t="shared" si="21"/>
        <v>15284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0.19301230044490972</v>
      </c>
      <c r="D59" s="43">
        <f t="shared" si="22"/>
        <v>2.4470034022507196E-2</v>
      </c>
      <c r="E59" s="43">
        <f t="shared" si="22"/>
        <v>2.0282648521329494E-2</v>
      </c>
      <c r="F59" s="43">
        <f t="shared" si="22"/>
        <v>7.9952891913111751E-2</v>
      </c>
      <c r="G59" s="43">
        <f t="shared" si="22"/>
        <v>2.8788275320596702E-3</v>
      </c>
      <c r="H59" s="43">
        <f t="shared" si="22"/>
        <v>2.1591206490447529E-3</v>
      </c>
      <c r="I59" s="43">
        <f t="shared" si="22"/>
        <v>2.1983773881182937E-2</v>
      </c>
      <c r="J59" s="43">
        <f t="shared" si="22"/>
        <v>1.7142109395446217E-2</v>
      </c>
      <c r="K59" s="43">
        <f t="shared" si="22"/>
        <v>3.1405391258832768E-3</v>
      </c>
      <c r="L59" s="43">
        <f t="shared" si="22"/>
        <v>1.6684114106254908E-2</v>
      </c>
      <c r="M59" s="43">
        <f t="shared" si="22"/>
        <v>0.61809735671290233</v>
      </c>
      <c r="N59" s="43">
        <f t="shared" si="22"/>
        <v>1.962836953677048E-4</v>
      </c>
      <c r="R59" s="8"/>
      <c r="T59"/>
    </row>
    <row r="60" spans="2:20" ht="23.1" customHeight="1" x14ac:dyDescent="0.25">
      <c r="B60" s="42" t="s">
        <v>94</v>
      </c>
      <c r="C60" s="44">
        <f>C58/$O$58</f>
        <v>0.50539660784649654</v>
      </c>
      <c r="D60" s="44">
        <f t="shared" ref="D60:N60" si="23">D58/$O$58</f>
        <v>6.4074010621894814E-2</v>
      </c>
      <c r="E60" s="44">
        <f t="shared" si="23"/>
        <v>5.3109474044886071E-2</v>
      </c>
      <c r="F60" s="44">
        <f t="shared" si="23"/>
        <v>0.20935412026726058</v>
      </c>
      <c r="G60" s="44">
        <f t="shared" si="23"/>
        <v>7.5381188966935067E-3</v>
      </c>
      <c r="H60" s="44">
        <f t="shared" si="23"/>
        <v>5.6535891725201298E-3</v>
      </c>
      <c r="I60" s="44">
        <f t="shared" si="23"/>
        <v>5.7563817029295875E-2</v>
      </c>
      <c r="J60" s="44">
        <f t="shared" si="23"/>
        <v>4.488607161212952E-2</v>
      </c>
      <c r="K60" s="44">
        <f t="shared" si="23"/>
        <v>8.2234024327565523E-3</v>
      </c>
      <c r="L60" s="44">
        <f t="shared" si="23"/>
        <v>4.3686825424019186E-2</v>
      </c>
      <c r="M60" s="44"/>
      <c r="N60" s="44">
        <f t="shared" si="23"/>
        <v>5.1396265204728452E-4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C3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'22.07 Bulenga-Busega'!C3:G3</f>
        <v>MCC - C1 - STN12-MITYANA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'28.07 Busega-Bulenga'!D5</f>
        <v>28.07.19</v>
      </c>
      <c r="E5" s="3"/>
      <c r="F5" s="41" t="s">
        <v>1</v>
      </c>
      <c r="G5" s="68" t="str">
        <f>'28.07 Busega-Bulenga'!G5:H5</f>
        <v xml:space="preserve">Petro Max </v>
      </c>
      <c r="H5" s="69"/>
      <c r="I5" s="14"/>
      <c r="J5" s="2" t="s">
        <v>5</v>
      </c>
      <c r="K5" s="68" t="s">
        <v>179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'22.07 Bulenga-Busega'!D6:E6</f>
        <v xml:space="preserve">Bulenga </v>
      </c>
      <c r="E6" s="69"/>
      <c r="F6" s="2" t="s">
        <v>2</v>
      </c>
      <c r="G6" s="68" t="str">
        <f>'22.07 Bulenga-Busega'!G6:H6</f>
        <v>Busega</v>
      </c>
      <c r="H6" s="69"/>
      <c r="J6" s="2" t="s">
        <v>21</v>
      </c>
      <c r="K6" s="68" t="str">
        <f>'28.07 Busega-Bulenga'!K6:L6</f>
        <v>Andrew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46</v>
      </c>
      <c r="D10" s="50">
        <v>3</v>
      </c>
      <c r="E10" s="50">
        <v>3</v>
      </c>
      <c r="F10" s="50">
        <v>19</v>
      </c>
      <c r="G10" s="50">
        <v>2</v>
      </c>
      <c r="H10" s="50">
        <v>3</v>
      </c>
      <c r="I10" s="50">
        <v>6</v>
      </c>
      <c r="J10" s="50">
        <v>4</v>
      </c>
      <c r="K10" s="50">
        <v>1</v>
      </c>
      <c r="L10" s="50">
        <v>1</v>
      </c>
      <c r="M10" s="50">
        <v>160</v>
      </c>
      <c r="N10" s="50">
        <v>0</v>
      </c>
      <c r="O10" s="15">
        <f t="shared" ref="O10:O57" si="0">SUM(C10:L10,N10)</f>
        <v>88</v>
      </c>
      <c r="P10" s="15">
        <f t="shared" ref="P10:P57" si="1">SUM(C10:N10)</f>
        <v>248</v>
      </c>
      <c r="R10" s="1" t="s">
        <v>6</v>
      </c>
      <c r="S10" s="17">
        <f t="shared" ref="S10:AF10" si="2">SUM(C10:C13)</f>
        <v>202</v>
      </c>
      <c r="T10" s="17">
        <f t="shared" si="2"/>
        <v>24</v>
      </c>
      <c r="U10" s="17">
        <f t="shared" si="2"/>
        <v>22</v>
      </c>
      <c r="V10" s="17">
        <f t="shared" si="2"/>
        <v>114</v>
      </c>
      <c r="W10" s="17">
        <f t="shared" si="2"/>
        <v>10</v>
      </c>
      <c r="X10" s="17">
        <f t="shared" si="2"/>
        <v>6</v>
      </c>
      <c r="Y10" s="17">
        <f t="shared" si="2"/>
        <v>18</v>
      </c>
      <c r="Z10" s="17">
        <f t="shared" si="2"/>
        <v>22</v>
      </c>
      <c r="AA10" s="17">
        <f t="shared" si="2"/>
        <v>2</v>
      </c>
      <c r="AB10" s="17">
        <f t="shared" si="2"/>
        <v>4</v>
      </c>
      <c r="AC10" s="17">
        <f t="shared" si="2"/>
        <v>822</v>
      </c>
      <c r="AD10" s="17">
        <f t="shared" si="2"/>
        <v>0</v>
      </c>
      <c r="AE10" s="31">
        <f t="shared" si="2"/>
        <v>424</v>
      </c>
      <c r="AF10" s="31">
        <f t="shared" si="2"/>
        <v>1246</v>
      </c>
    </row>
    <row r="11" spans="2:32" s="6" customFormat="1" ht="23.1" customHeight="1" x14ac:dyDescent="0.25">
      <c r="B11" s="23" t="s">
        <v>38</v>
      </c>
      <c r="C11" s="50">
        <v>49</v>
      </c>
      <c r="D11" s="50">
        <v>6</v>
      </c>
      <c r="E11" s="50">
        <v>8</v>
      </c>
      <c r="F11" s="50">
        <v>30</v>
      </c>
      <c r="G11" s="50">
        <v>2</v>
      </c>
      <c r="H11" s="50">
        <v>2</v>
      </c>
      <c r="I11" s="50">
        <v>3</v>
      </c>
      <c r="J11" s="50">
        <v>8</v>
      </c>
      <c r="K11" s="50">
        <v>0</v>
      </c>
      <c r="L11" s="50">
        <v>0</v>
      </c>
      <c r="M11" s="50">
        <v>213</v>
      </c>
      <c r="N11" s="50">
        <v>0</v>
      </c>
      <c r="O11" s="15">
        <f t="shared" si="0"/>
        <v>108</v>
      </c>
      <c r="P11" s="15">
        <f t="shared" si="1"/>
        <v>321</v>
      </c>
      <c r="R11" s="1" t="s">
        <v>7</v>
      </c>
      <c r="S11" s="17">
        <f t="shared" ref="S11:AF11" si="3">SUM(C14:C17)</f>
        <v>256</v>
      </c>
      <c r="T11" s="17">
        <f t="shared" si="3"/>
        <v>32</v>
      </c>
      <c r="U11" s="17">
        <f t="shared" si="3"/>
        <v>29</v>
      </c>
      <c r="V11" s="17">
        <f t="shared" si="3"/>
        <v>130</v>
      </c>
      <c r="W11" s="17">
        <f t="shared" si="3"/>
        <v>6</v>
      </c>
      <c r="X11" s="17">
        <f t="shared" si="3"/>
        <v>0</v>
      </c>
      <c r="Y11" s="17">
        <f t="shared" si="3"/>
        <v>31</v>
      </c>
      <c r="Z11" s="17">
        <f t="shared" si="3"/>
        <v>17</v>
      </c>
      <c r="AA11" s="17">
        <f t="shared" si="3"/>
        <v>9</v>
      </c>
      <c r="AB11" s="17">
        <f t="shared" si="3"/>
        <v>11</v>
      </c>
      <c r="AC11" s="17">
        <f t="shared" si="3"/>
        <v>898</v>
      </c>
      <c r="AD11" s="17">
        <f t="shared" si="3"/>
        <v>0</v>
      </c>
      <c r="AE11" s="31">
        <f t="shared" si="3"/>
        <v>521</v>
      </c>
      <c r="AF11" s="31">
        <f t="shared" si="3"/>
        <v>1419</v>
      </c>
    </row>
    <row r="12" spans="2:32" ht="23.1" customHeight="1" x14ac:dyDescent="0.25">
      <c r="B12" s="23" t="s">
        <v>39</v>
      </c>
      <c r="C12" s="50">
        <v>46</v>
      </c>
      <c r="D12" s="50">
        <v>9</v>
      </c>
      <c r="E12" s="50">
        <v>6</v>
      </c>
      <c r="F12" s="50">
        <v>35</v>
      </c>
      <c r="G12" s="50">
        <v>2</v>
      </c>
      <c r="H12" s="50">
        <v>0</v>
      </c>
      <c r="I12" s="50">
        <v>6</v>
      </c>
      <c r="J12" s="50">
        <v>4</v>
      </c>
      <c r="K12" s="50">
        <v>1</v>
      </c>
      <c r="L12" s="50">
        <v>1</v>
      </c>
      <c r="M12" s="50">
        <v>219</v>
      </c>
      <c r="N12" s="50">
        <v>0</v>
      </c>
      <c r="O12" s="15">
        <f t="shared" si="0"/>
        <v>110</v>
      </c>
      <c r="P12" s="15">
        <f t="shared" si="1"/>
        <v>329</v>
      </c>
      <c r="R12" s="1" t="s">
        <v>8</v>
      </c>
      <c r="S12" s="17">
        <f t="shared" ref="S12:AF12" si="4">SUM(C18:C21)</f>
        <v>362</v>
      </c>
      <c r="T12" s="17">
        <f t="shared" si="4"/>
        <v>45</v>
      </c>
      <c r="U12" s="17">
        <f t="shared" si="4"/>
        <v>24</v>
      </c>
      <c r="V12" s="17">
        <f t="shared" si="4"/>
        <v>121</v>
      </c>
      <c r="W12" s="17">
        <f t="shared" si="4"/>
        <v>5</v>
      </c>
      <c r="X12" s="17">
        <f t="shared" si="4"/>
        <v>0</v>
      </c>
      <c r="Y12" s="17">
        <f t="shared" si="4"/>
        <v>32</v>
      </c>
      <c r="Z12" s="17">
        <f t="shared" si="4"/>
        <v>20</v>
      </c>
      <c r="AA12" s="17">
        <f t="shared" si="4"/>
        <v>5</v>
      </c>
      <c r="AB12" s="17">
        <f t="shared" si="4"/>
        <v>10</v>
      </c>
      <c r="AC12" s="17">
        <f t="shared" si="4"/>
        <v>716</v>
      </c>
      <c r="AD12" s="17">
        <f t="shared" si="4"/>
        <v>0</v>
      </c>
      <c r="AE12" s="31">
        <f t="shared" si="4"/>
        <v>624</v>
      </c>
      <c r="AF12" s="31">
        <f t="shared" si="4"/>
        <v>1340</v>
      </c>
    </row>
    <row r="13" spans="2:32" ht="23.1" customHeight="1" x14ac:dyDescent="0.25">
      <c r="B13" s="23" t="s">
        <v>40</v>
      </c>
      <c r="C13" s="50">
        <v>61</v>
      </c>
      <c r="D13" s="50">
        <v>6</v>
      </c>
      <c r="E13" s="50">
        <v>5</v>
      </c>
      <c r="F13" s="50">
        <v>30</v>
      </c>
      <c r="G13" s="50">
        <v>4</v>
      </c>
      <c r="H13" s="50">
        <v>1</v>
      </c>
      <c r="I13" s="50">
        <v>3</v>
      </c>
      <c r="J13" s="50">
        <v>6</v>
      </c>
      <c r="K13" s="50">
        <v>0</v>
      </c>
      <c r="L13" s="50">
        <v>2</v>
      </c>
      <c r="M13" s="50">
        <v>230</v>
      </c>
      <c r="N13" s="50">
        <v>0</v>
      </c>
      <c r="O13" s="15">
        <f t="shared" si="0"/>
        <v>118</v>
      </c>
      <c r="P13" s="15">
        <f t="shared" si="1"/>
        <v>348</v>
      </c>
      <c r="R13" s="1" t="s">
        <v>9</v>
      </c>
      <c r="S13" s="17">
        <f t="shared" ref="S13:AF13" si="5">SUM(C22:C25)</f>
        <v>370</v>
      </c>
      <c r="T13" s="17">
        <f t="shared" si="5"/>
        <v>73</v>
      </c>
      <c r="U13" s="17">
        <f t="shared" si="5"/>
        <v>26</v>
      </c>
      <c r="V13" s="17">
        <f t="shared" si="5"/>
        <v>107</v>
      </c>
      <c r="W13" s="17">
        <f t="shared" si="5"/>
        <v>0</v>
      </c>
      <c r="X13" s="17">
        <f t="shared" si="5"/>
        <v>0</v>
      </c>
      <c r="Y13" s="17">
        <f t="shared" si="5"/>
        <v>30</v>
      </c>
      <c r="Z13" s="17">
        <f t="shared" si="5"/>
        <v>16</v>
      </c>
      <c r="AA13" s="17">
        <f t="shared" si="5"/>
        <v>6</v>
      </c>
      <c r="AB13" s="17">
        <f t="shared" si="5"/>
        <v>5</v>
      </c>
      <c r="AC13" s="17">
        <f t="shared" si="5"/>
        <v>850</v>
      </c>
      <c r="AD13" s="17">
        <f t="shared" si="5"/>
        <v>0</v>
      </c>
      <c r="AE13" s="31">
        <f t="shared" si="5"/>
        <v>633</v>
      </c>
      <c r="AF13" s="31">
        <f t="shared" si="5"/>
        <v>1483</v>
      </c>
    </row>
    <row r="14" spans="2:32" ht="23.1" customHeight="1" x14ac:dyDescent="0.25">
      <c r="B14" s="23" t="s">
        <v>41</v>
      </c>
      <c r="C14" s="50">
        <v>71</v>
      </c>
      <c r="D14" s="50">
        <v>5</v>
      </c>
      <c r="E14" s="50">
        <v>9</v>
      </c>
      <c r="F14" s="50">
        <v>31</v>
      </c>
      <c r="G14" s="50">
        <v>3</v>
      </c>
      <c r="H14" s="50">
        <v>0</v>
      </c>
      <c r="I14" s="50">
        <v>9</v>
      </c>
      <c r="J14" s="50">
        <v>6</v>
      </c>
      <c r="K14" s="50">
        <v>1</v>
      </c>
      <c r="L14" s="50">
        <v>2</v>
      </c>
      <c r="M14" s="50">
        <v>241</v>
      </c>
      <c r="N14" s="50">
        <v>0</v>
      </c>
      <c r="O14" s="15">
        <f t="shared" si="0"/>
        <v>137</v>
      </c>
      <c r="P14" s="15">
        <f t="shared" si="1"/>
        <v>378</v>
      </c>
      <c r="R14" s="1" t="s">
        <v>10</v>
      </c>
      <c r="S14" s="17">
        <f t="shared" ref="S14:AF14" si="6">SUM(C26:C29)</f>
        <v>355</v>
      </c>
      <c r="T14" s="17">
        <f t="shared" si="6"/>
        <v>61</v>
      </c>
      <c r="U14" s="17">
        <f t="shared" si="6"/>
        <v>26</v>
      </c>
      <c r="V14" s="17">
        <f t="shared" si="6"/>
        <v>104</v>
      </c>
      <c r="W14" s="17">
        <f t="shared" si="6"/>
        <v>2</v>
      </c>
      <c r="X14" s="17">
        <f t="shared" si="6"/>
        <v>2</v>
      </c>
      <c r="Y14" s="17">
        <f t="shared" si="6"/>
        <v>27</v>
      </c>
      <c r="Z14" s="17">
        <f t="shared" si="6"/>
        <v>21</v>
      </c>
      <c r="AA14" s="17">
        <f t="shared" si="6"/>
        <v>4</v>
      </c>
      <c r="AB14" s="17">
        <f t="shared" si="6"/>
        <v>8</v>
      </c>
      <c r="AC14" s="17">
        <f t="shared" si="6"/>
        <v>876</v>
      </c>
      <c r="AD14" s="17">
        <f t="shared" si="6"/>
        <v>0</v>
      </c>
      <c r="AE14" s="31">
        <f t="shared" si="6"/>
        <v>610</v>
      </c>
      <c r="AF14" s="31">
        <f t="shared" si="6"/>
        <v>1486</v>
      </c>
    </row>
    <row r="15" spans="2:32" ht="23.1" customHeight="1" x14ac:dyDescent="0.25">
      <c r="B15" s="23" t="s">
        <v>42</v>
      </c>
      <c r="C15" s="50">
        <v>51</v>
      </c>
      <c r="D15" s="50">
        <v>5</v>
      </c>
      <c r="E15" s="50">
        <v>7</v>
      </c>
      <c r="F15" s="50">
        <v>35</v>
      </c>
      <c r="G15" s="50">
        <v>1</v>
      </c>
      <c r="H15" s="50">
        <v>0</v>
      </c>
      <c r="I15" s="50">
        <v>12</v>
      </c>
      <c r="J15" s="50">
        <v>0</v>
      </c>
      <c r="K15" s="50">
        <v>2</v>
      </c>
      <c r="L15" s="50">
        <v>4</v>
      </c>
      <c r="M15" s="50">
        <v>195</v>
      </c>
      <c r="N15" s="50">
        <v>0</v>
      </c>
      <c r="O15" s="15">
        <f t="shared" si="0"/>
        <v>117</v>
      </c>
      <c r="P15" s="15">
        <f t="shared" si="1"/>
        <v>312</v>
      </c>
      <c r="R15" s="1" t="s">
        <v>11</v>
      </c>
      <c r="S15" s="17">
        <f t="shared" ref="S15:AF15" si="7">SUM(C30:C33)</f>
        <v>291</v>
      </c>
      <c r="T15" s="17">
        <f t="shared" si="7"/>
        <v>47</v>
      </c>
      <c r="U15" s="17">
        <f t="shared" si="7"/>
        <v>25</v>
      </c>
      <c r="V15" s="17">
        <f t="shared" si="7"/>
        <v>109</v>
      </c>
      <c r="W15" s="17">
        <f t="shared" si="7"/>
        <v>3</v>
      </c>
      <c r="X15" s="17">
        <f t="shared" si="7"/>
        <v>0</v>
      </c>
      <c r="Y15" s="17">
        <f t="shared" si="7"/>
        <v>14</v>
      </c>
      <c r="Z15" s="17">
        <f t="shared" si="7"/>
        <v>18</v>
      </c>
      <c r="AA15" s="17">
        <f t="shared" si="7"/>
        <v>1</v>
      </c>
      <c r="AB15" s="17">
        <f t="shared" si="7"/>
        <v>4</v>
      </c>
      <c r="AC15" s="17">
        <f t="shared" si="7"/>
        <v>836</v>
      </c>
      <c r="AD15" s="17">
        <f t="shared" si="7"/>
        <v>0</v>
      </c>
      <c r="AE15" s="31">
        <f t="shared" si="7"/>
        <v>512</v>
      </c>
      <c r="AF15" s="31">
        <f t="shared" si="7"/>
        <v>1348</v>
      </c>
    </row>
    <row r="16" spans="2:32" ht="23.1" customHeight="1" x14ac:dyDescent="0.25">
      <c r="B16" s="23" t="s">
        <v>43</v>
      </c>
      <c r="C16" s="50">
        <v>83</v>
      </c>
      <c r="D16" s="50">
        <v>13</v>
      </c>
      <c r="E16" s="50">
        <v>7</v>
      </c>
      <c r="F16" s="50">
        <v>39</v>
      </c>
      <c r="G16" s="50">
        <v>1</v>
      </c>
      <c r="H16" s="50">
        <v>0</v>
      </c>
      <c r="I16" s="50">
        <v>5</v>
      </c>
      <c r="J16" s="50">
        <v>7</v>
      </c>
      <c r="K16" s="50">
        <v>4</v>
      </c>
      <c r="L16" s="50">
        <v>4</v>
      </c>
      <c r="M16" s="50">
        <v>227</v>
      </c>
      <c r="N16" s="50">
        <v>0</v>
      </c>
      <c r="O16" s="15">
        <f t="shared" si="0"/>
        <v>163</v>
      </c>
      <c r="P16" s="15">
        <f t="shared" si="1"/>
        <v>390</v>
      </c>
      <c r="R16" s="1" t="s">
        <v>12</v>
      </c>
      <c r="S16" s="17">
        <f t="shared" ref="S16:AF16" si="8">SUM(C34:C37)</f>
        <v>251</v>
      </c>
      <c r="T16" s="17">
        <f t="shared" si="8"/>
        <v>65</v>
      </c>
      <c r="U16" s="17">
        <f t="shared" si="8"/>
        <v>20</v>
      </c>
      <c r="V16" s="17">
        <f t="shared" si="8"/>
        <v>85</v>
      </c>
      <c r="W16" s="17">
        <f t="shared" si="8"/>
        <v>4</v>
      </c>
      <c r="X16" s="17">
        <f t="shared" si="8"/>
        <v>2</v>
      </c>
      <c r="Y16" s="17">
        <f t="shared" si="8"/>
        <v>26</v>
      </c>
      <c r="Z16" s="17">
        <f t="shared" si="8"/>
        <v>16</v>
      </c>
      <c r="AA16" s="17">
        <f t="shared" si="8"/>
        <v>5</v>
      </c>
      <c r="AB16" s="17">
        <f t="shared" si="8"/>
        <v>6</v>
      </c>
      <c r="AC16" s="17">
        <f t="shared" si="8"/>
        <v>601</v>
      </c>
      <c r="AD16" s="17">
        <f t="shared" si="8"/>
        <v>0</v>
      </c>
      <c r="AE16" s="31">
        <f t="shared" si="8"/>
        <v>480</v>
      </c>
      <c r="AF16" s="31">
        <f t="shared" si="8"/>
        <v>1081</v>
      </c>
    </row>
    <row r="17" spans="2:32" ht="23.1" customHeight="1" x14ac:dyDescent="0.25">
      <c r="B17" s="23" t="s">
        <v>44</v>
      </c>
      <c r="C17" s="50">
        <v>51</v>
      </c>
      <c r="D17" s="50">
        <v>9</v>
      </c>
      <c r="E17" s="50">
        <v>6</v>
      </c>
      <c r="F17" s="50">
        <v>25</v>
      </c>
      <c r="G17" s="50">
        <v>1</v>
      </c>
      <c r="H17" s="50">
        <v>0</v>
      </c>
      <c r="I17" s="50">
        <v>5</v>
      </c>
      <c r="J17" s="50">
        <v>4</v>
      </c>
      <c r="K17" s="50">
        <v>2</v>
      </c>
      <c r="L17" s="50">
        <v>1</v>
      </c>
      <c r="M17" s="50">
        <v>235</v>
      </c>
      <c r="N17" s="50">
        <v>0</v>
      </c>
      <c r="O17" s="15">
        <f t="shared" si="0"/>
        <v>104</v>
      </c>
      <c r="P17" s="15">
        <f t="shared" si="1"/>
        <v>339</v>
      </c>
      <c r="R17" s="1" t="s">
        <v>13</v>
      </c>
      <c r="S17" s="17">
        <f t="shared" ref="S17:AF17" si="9">SUM(C38:C41)</f>
        <v>329</v>
      </c>
      <c r="T17" s="17">
        <f t="shared" si="9"/>
        <v>64</v>
      </c>
      <c r="U17" s="17">
        <f t="shared" si="9"/>
        <v>19</v>
      </c>
      <c r="V17" s="17">
        <f t="shared" si="9"/>
        <v>99</v>
      </c>
      <c r="W17" s="17">
        <f t="shared" si="9"/>
        <v>0</v>
      </c>
      <c r="X17" s="17">
        <f t="shared" si="9"/>
        <v>1</v>
      </c>
      <c r="Y17" s="17">
        <f t="shared" si="9"/>
        <v>15</v>
      </c>
      <c r="Z17" s="17">
        <f t="shared" si="9"/>
        <v>24</v>
      </c>
      <c r="AA17" s="17">
        <f t="shared" si="9"/>
        <v>3</v>
      </c>
      <c r="AB17" s="17">
        <f t="shared" si="9"/>
        <v>9</v>
      </c>
      <c r="AC17" s="17">
        <f t="shared" si="9"/>
        <v>592</v>
      </c>
      <c r="AD17" s="17">
        <f t="shared" si="9"/>
        <v>0</v>
      </c>
      <c r="AE17" s="31">
        <f t="shared" si="9"/>
        <v>563</v>
      </c>
      <c r="AF17" s="31">
        <f t="shared" si="9"/>
        <v>1155</v>
      </c>
    </row>
    <row r="18" spans="2:32" ht="23.1" customHeight="1" x14ac:dyDescent="0.25">
      <c r="B18" s="23" t="s">
        <v>45</v>
      </c>
      <c r="C18" s="50">
        <v>86</v>
      </c>
      <c r="D18" s="50">
        <v>11</v>
      </c>
      <c r="E18" s="50">
        <v>8</v>
      </c>
      <c r="F18" s="50">
        <v>23</v>
      </c>
      <c r="G18" s="50">
        <v>3</v>
      </c>
      <c r="H18" s="50">
        <v>0</v>
      </c>
      <c r="I18" s="50">
        <v>8</v>
      </c>
      <c r="J18" s="50">
        <v>4</v>
      </c>
      <c r="K18" s="50">
        <v>1</v>
      </c>
      <c r="L18" s="50">
        <v>3</v>
      </c>
      <c r="M18" s="50">
        <v>180</v>
      </c>
      <c r="N18" s="50">
        <v>0</v>
      </c>
      <c r="O18" s="15">
        <f t="shared" si="0"/>
        <v>147</v>
      </c>
      <c r="P18" s="15">
        <f t="shared" si="1"/>
        <v>327</v>
      </c>
      <c r="R18" s="1" t="s">
        <v>14</v>
      </c>
      <c r="S18" s="17">
        <f t="shared" ref="S18:AF18" si="10">SUM(C42:C45)</f>
        <v>337</v>
      </c>
      <c r="T18" s="17">
        <f t="shared" si="10"/>
        <v>60</v>
      </c>
      <c r="U18" s="17">
        <f t="shared" si="10"/>
        <v>21</v>
      </c>
      <c r="V18" s="17">
        <f t="shared" si="10"/>
        <v>108</v>
      </c>
      <c r="W18" s="17">
        <f t="shared" si="10"/>
        <v>3</v>
      </c>
      <c r="X18" s="17">
        <f t="shared" si="10"/>
        <v>3</v>
      </c>
      <c r="Y18" s="17">
        <f t="shared" si="10"/>
        <v>19</v>
      </c>
      <c r="Z18" s="17">
        <f t="shared" si="10"/>
        <v>19</v>
      </c>
      <c r="AA18" s="17">
        <f t="shared" si="10"/>
        <v>7</v>
      </c>
      <c r="AB18" s="17">
        <f t="shared" si="10"/>
        <v>10</v>
      </c>
      <c r="AC18" s="17">
        <f t="shared" si="10"/>
        <v>576</v>
      </c>
      <c r="AD18" s="17">
        <f t="shared" si="10"/>
        <v>0</v>
      </c>
      <c r="AE18" s="31">
        <f t="shared" si="10"/>
        <v>587</v>
      </c>
      <c r="AF18" s="31">
        <f t="shared" si="10"/>
        <v>1163</v>
      </c>
    </row>
    <row r="19" spans="2:32" ht="23.1" customHeight="1" x14ac:dyDescent="0.25">
      <c r="B19" s="23" t="s">
        <v>46</v>
      </c>
      <c r="C19" s="50">
        <v>79</v>
      </c>
      <c r="D19" s="50">
        <v>9</v>
      </c>
      <c r="E19" s="50">
        <v>4</v>
      </c>
      <c r="F19" s="50">
        <v>36</v>
      </c>
      <c r="G19" s="50">
        <v>1</v>
      </c>
      <c r="H19" s="50">
        <v>0</v>
      </c>
      <c r="I19" s="50">
        <v>9</v>
      </c>
      <c r="J19" s="50">
        <v>2</v>
      </c>
      <c r="K19" s="50">
        <v>0</v>
      </c>
      <c r="L19" s="50">
        <v>1</v>
      </c>
      <c r="M19" s="50">
        <v>214</v>
      </c>
      <c r="N19" s="50">
        <v>0</v>
      </c>
      <c r="O19" s="15">
        <f t="shared" si="0"/>
        <v>141</v>
      </c>
      <c r="P19" s="15">
        <f t="shared" si="1"/>
        <v>355</v>
      </c>
      <c r="R19" s="1" t="s">
        <v>15</v>
      </c>
      <c r="S19" s="17">
        <f t="shared" ref="S19:AF19" si="11">SUM(C46:C49)</f>
        <v>348</v>
      </c>
      <c r="T19" s="17">
        <f t="shared" si="11"/>
        <v>69</v>
      </c>
      <c r="U19" s="17">
        <f t="shared" si="11"/>
        <v>34</v>
      </c>
      <c r="V19" s="17">
        <f t="shared" si="11"/>
        <v>101</v>
      </c>
      <c r="W19" s="17">
        <f t="shared" si="11"/>
        <v>2</v>
      </c>
      <c r="X19" s="17">
        <f t="shared" si="11"/>
        <v>2</v>
      </c>
      <c r="Y19" s="17">
        <f t="shared" si="11"/>
        <v>39</v>
      </c>
      <c r="Z19" s="17">
        <f t="shared" si="11"/>
        <v>28</v>
      </c>
      <c r="AA19" s="17">
        <f t="shared" si="11"/>
        <v>1</v>
      </c>
      <c r="AB19" s="17">
        <f t="shared" si="11"/>
        <v>9</v>
      </c>
      <c r="AC19" s="17">
        <f t="shared" si="11"/>
        <v>699</v>
      </c>
      <c r="AD19" s="17">
        <f t="shared" si="11"/>
        <v>0</v>
      </c>
      <c r="AE19" s="31">
        <f t="shared" si="11"/>
        <v>633</v>
      </c>
      <c r="AF19" s="31">
        <f t="shared" si="11"/>
        <v>1332</v>
      </c>
    </row>
    <row r="20" spans="2:32" ht="23.1" customHeight="1" x14ac:dyDescent="0.25">
      <c r="B20" s="23" t="s">
        <v>47</v>
      </c>
      <c r="C20" s="50">
        <v>92</v>
      </c>
      <c r="D20" s="50">
        <v>11</v>
      </c>
      <c r="E20" s="50">
        <v>5</v>
      </c>
      <c r="F20" s="50">
        <v>21</v>
      </c>
      <c r="G20" s="50">
        <v>1</v>
      </c>
      <c r="H20" s="50">
        <v>0</v>
      </c>
      <c r="I20" s="50">
        <v>10</v>
      </c>
      <c r="J20" s="50">
        <v>6</v>
      </c>
      <c r="K20" s="50">
        <v>2</v>
      </c>
      <c r="L20" s="50">
        <v>2</v>
      </c>
      <c r="M20" s="50">
        <v>117</v>
      </c>
      <c r="N20" s="50">
        <v>0</v>
      </c>
      <c r="O20" s="15">
        <f t="shared" si="0"/>
        <v>150</v>
      </c>
      <c r="P20" s="15">
        <f t="shared" si="1"/>
        <v>267</v>
      </c>
      <c r="R20" s="1" t="s">
        <v>16</v>
      </c>
      <c r="S20" s="17">
        <f t="shared" ref="S20:AF20" si="12">SUM(C50:C53)</f>
        <v>299</v>
      </c>
      <c r="T20" s="17">
        <f t="shared" si="12"/>
        <v>49</v>
      </c>
      <c r="U20" s="17">
        <f t="shared" si="12"/>
        <v>31</v>
      </c>
      <c r="V20" s="17">
        <f t="shared" si="12"/>
        <v>103</v>
      </c>
      <c r="W20" s="17">
        <f t="shared" si="12"/>
        <v>2</v>
      </c>
      <c r="X20" s="17">
        <f t="shared" si="12"/>
        <v>2</v>
      </c>
      <c r="Y20" s="17">
        <f t="shared" si="12"/>
        <v>20</v>
      </c>
      <c r="Z20" s="17">
        <f t="shared" si="12"/>
        <v>9</v>
      </c>
      <c r="AA20" s="17">
        <f t="shared" si="12"/>
        <v>2</v>
      </c>
      <c r="AB20" s="17">
        <f t="shared" si="12"/>
        <v>9</v>
      </c>
      <c r="AC20" s="17">
        <f t="shared" si="12"/>
        <v>545</v>
      </c>
      <c r="AD20" s="17">
        <f t="shared" si="12"/>
        <v>1</v>
      </c>
      <c r="AE20" s="31">
        <f t="shared" si="12"/>
        <v>527</v>
      </c>
      <c r="AF20" s="31">
        <f t="shared" si="12"/>
        <v>1072</v>
      </c>
    </row>
    <row r="21" spans="2:32" ht="23.1" customHeight="1" x14ac:dyDescent="0.25">
      <c r="B21" s="23" t="s">
        <v>48</v>
      </c>
      <c r="C21" s="50">
        <v>105</v>
      </c>
      <c r="D21" s="50">
        <v>14</v>
      </c>
      <c r="E21" s="50">
        <v>7</v>
      </c>
      <c r="F21" s="50">
        <v>41</v>
      </c>
      <c r="G21" s="50">
        <v>0</v>
      </c>
      <c r="H21" s="50">
        <v>0</v>
      </c>
      <c r="I21" s="50">
        <v>5</v>
      </c>
      <c r="J21" s="50">
        <v>8</v>
      </c>
      <c r="K21" s="50">
        <v>2</v>
      </c>
      <c r="L21" s="50">
        <v>4</v>
      </c>
      <c r="M21" s="50">
        <v>205</v>
      </c>
      <c r="N21" s="50">
        <v>0</v>
      </c>
      <c r="O21" s="15">
        <f t="shared" si="0"/>
        <v>186</v>
      </c>
      <c r="P21" s="15">
        <f t="shared" si="1"/>
        <v>391</v>
      </c>
      <c r="R21" s="36" t="s">
        <v>20</v>
      </c>
      <c r="S21" s="34">
        <f t="shared" ref="S21:AF21" si="13">SUM(C54:C57)</f>
        <v>367</v>
      </c>
      <c r="T21" s="17">
        <f t="shared" si="13"/>
        <v>76</v>
      </c>
      <c r="U21" s="17">
        <f t="shared" si="13"/>
        <v>15</v>
      </c>
      <c r="V21" s="17">
        <f t="shared" si="13"/>
        <v>167</v>
      </c>
      <c r="W21" s="17">
        <f t="shared" si="13"/>
        <v>6</v>
      </c>
      <c r="X21" s="17">
        <f t="shared" si="13"/>
        <v>5</v>
      </c>
      <c r="Y21" s="17">
        <f t="shared" si="13"/>
        <v>23</v>
      </c>
      <c r="Z21" s="17">
        <f t="shared" si="13"/>
        <v>25</v>
      </c>
      <c r="AA21" s="17">
        <f t="shared" si="13"/>
        <v>3</v>
      </c>
      <c r="AB21" s="17">
        <f t="shared" si="13"/>
        <v>5</v>
      </c>
      <c r="AC21" s="17">
        <f t="shared" si="13"/>
        <v>530</v>
      </c>
      <c r="AD21" s="17">
        <f t="shared" si="13"/>
        <v>0</v>
      </c>
      <c r="AE21" s="31">
        <f t="shared" si="13"/>
        <v>692</v>
      </c>
      <c r="AF21" s="31">
        <f t="shared" si="13"/>
        <v>1222</v>
      </c>
    </row>
    <row r="22" spans="2:32" ht="23.1" customHeight="1" x14ac:dyDescent="0.25">
      <c r="B22" s="23" t="s">
        <v>49</v>
      </c>
      <c r="C22" s="50">
        <v>84</v>
      </c>
      <c r="D22" s="50">
        <v>20</v>
      </c>
      <c r="E22" s="50">
        <v>6</v>
      </c>
      <c r="F22" s="50">
        <v>27</v>
      </c>
      <c r="G22" s="50">
        <v>0</v>
      </c>
      <c r="H22" s="50">
        <v>0</v>
      </c>
      <c r="I22" s="50">
        <v>11</v>
      </c>
      <c r="J22" s="50">
        <v>5</v>
      </c>
      <c r="K22" s="50">
        <v>1</v>
      </c>
      <c r="L22" s="50">
        <v>2</v>
      </c>
      <c r="M22" s="50">
        <v>207</v>
      </c>
      <c r="N22" s="50">
        <v>0</v>
      </c>
      <c r="O22" s="15">
        <f t="shared" si="0"/>
        <v>156</v>
      </c>
      <c r="P22" s="15">
        <f t="shared" si="1"/>
        <v>363</v>
      </c>
      <c r="R22" s="38" t="s">
        <v>90</v>
      </c>
      <c r="S22" s="39">
        <f>MAX(S10:S12)</f>
        <v>362</v>
      </c>
      <c r="T22" s="39">
        <f t="shared" ref="T22:AF22" si="14">MAX(T10:T12)</f>
        <v>45</v>
      </c>
      <c r="U22" s="39">
        <f t="shared" si="14"/>
        <v>29</v>
      </c>
      <c r="V22" s="39">
        <f t="shared" si="14"/>
        <v>130</v>
      </c>
      <c r="W22" s="39">
        <f t="shared" si="14"/>
        <v>10</v>
      </c>
      <c r="X22" s="39">
        <f t="shared" si="14"/>
        <v>6</v>
      </c>
      <c r="Y22" s="39">
        <f t="shared" si="14"/>
        <v>32</v>
      </c>
      <c r="Z22" s="39">
        <f t="shared" si="14"/>
        <v>22</v>
      </c>
      <c r="AA22" s="39">
        <f t="shared" si="14"/>
        <v>9</v>
      </c>
      <c r="AB22" s="39">
        <f t="shared" si="14"/>
        <v>11</v>
      </c>
      <c r="AC22" s="39">
        <f t="shared" si="14"/>
        <v>898</v>
      </c>
      <c r="AD22" s="39">
        <f t="shared" si="14"/>
        <v>0</v>
      </c>
      <c r="AE22" s="40">
        <f t="shared" si="14"/>
        <v>624</v>
      </c>
      <c r="AF22" s="40">
        <f t="shared" si="14"/>
        <v>1419</v>
      </c>
    </row>
    <row r="23" spans="2:32" ht="23.1" customHeight="1" x14ac:dyDescent="0.25">
      <c r="B23" s="23" t="s">
        <v>50</v>
      </c>
      <c r="C23" s="50">
        <v>86</v>
      </c>
      <c r="D23" s="50">
        <v>14</v>
      </c>
      <c r="E23" s="50">
        <v>11</v>
      </c>
      <c r="F23" s="50">
        <v>29</v>
      </c>
      <c r="G23" s="50">
        <v>0</v>
      </c>
      <c r="H23" s="50">
        <v>0</v>
      </c>
      <c r="I23" s="50">
        <v>8</v>
      </c>
      <c r="J23" s="50">
        <v>4</v>
      </c>
      <c r="K23" s="50">
        <v>0</v>
      </c>
      <c r="L23" s="50">
        <v>1</v>
      </c>
      <c r="M23" s="50">
        <v>235</v>
      </c>
      <c r="N23" s="50">
        <v>0</v>
      </c>
      <c r="O23" s="15">
        <f t="shared" si="0"/>
        <v>153</v>
      </c>
      <c r="P23" s="15">
        <f t="shared" si="1"/>
        <v>388</v>
      </c>
      <c r="R23" s="38" t="s">
        <v>91</v>
      </c>
      <c r="S23" s="39">
        <f>MAX(S13:S18)</f>
        <v>370</v>
      </c>
      <c r="T23" s="39">
        <f t="shared" ref="T23:AF23" si="15">MAX(T13:T18)</f>
        <v>73</v>
      </c>
      <c r="U23" s="39">
        <f t="shared" si="15"/>
        <v>26</v>
      </c>
      <c r="V23" s="39">
        <f t="shared" si="15"/>
        <v>109</v>
      </c>
      <c r="W23" s="39">
        <f t="shared" si="15"/>
        <v>4</v>
      </c>
      <c r="X23" s="39">
        <f t="shared" si="15"/>
        <v>3</v>
      </c>
      <c r="Y23" s="39">
        <f t="shared" si="15"/>
        <v>30</v>
      </c>
      <c r="Z23" s="39">
        <f t="shared" si="15"/>
        <v>24</v>
      </c>
      <c r="AA23" s="39">
        <f t="shared" si="15"/>
        <v>7</v>
      </c>
      <c r="AB23" s="39">
        <f t="shared" si="15"/>
        <v>10</v>
      </c>
      <c r="AC23" s="39">
        <f t="shared" si="15"/>
        <v>876</v>
      </c>
      <c r="AD23" s="39">
        <f t="shared" si="15"/>
        <v>0</v>
      </c>
      <c r="AE23" s="40">
        <f t="shared" si="15"/>
        <v>633</v>
      </c>
      <c r="AF23" s="40">
        <f t="shared" si="15"/>
        <v>1486</v>
      </c>
    </row>
    <row r="24" spans="2:32" ht="23.1" customHeight="1" x14ac:dyDescent="0.25">
      <c r="B24" s="23" t="s">
        <v>51</v>
      </c>
      <c r="C24" s="50">
        <v>93</v>
      </c>
      <c r="D24" s="50">
        <v>14</v>
      </c>
      <c r="E24" s="50">
        <v>5</v>
      </c>
      <c r="F24" s="50">
        <v>26</v>
      </c>
      <c r="G24" s="50">
        <v>0</v>
      </c>
      <c r="H24" s="50">
        <v>0</v>
      </c>
      <c r="I24" s="50">
        <v>5</v>
      </c>
      <c r="J24" s="50">
        <v>4</v>
      </c>
      <c r="K24" s="50">
        <v>1</v>
      </c>
      <c r="L24" s="50">
        <v>0</v>
      </c>
      <c r="M24" s="50">
        <v>213</v>
      </c>
      <c r="N24" s="50">
        <v>0</v>
      </c>
      <c r="O24" s="15">
        <f t="shared" si="0"/>
        <v>148</v>
      </c>
      <c r="P24" s="15">
        <f t="shared" si="1"/>
        <v>361</v>
      </c>
      <c r="R24" s="38" t="s">
        <v>92</v>
      </c>
      <c r="S24" s="39">
        <f>MAX(S19:S21)</f>
        <v>367</v>
      </c>
      <c r="T24" s="39">
        <f t="shared" ref="T24:AF24" si="16">MAX(T19:T21)</f>
        <v>76</v>
      </c>
      <c r="U24" s="39">
        <f t="shared" si="16"/>
        <v>34</v>
      </c>
      <c r="V24" s="39">
        <f t="shared" si="16"/>
        <v>167</v>
      </c>
      <c r="W24" s="39">
        <f t="shared" si="16"/>
        <v>6</v>
      </c>
      <c r="X24" s="39">
        <f t="shared" si="16"/>
        <v>5</v>
      </c>
      <c r="Y24" s="39">
        <f t="shared" si="16"/>
        <v>39</v>
      </c>
      <c r="Z24" s="39">
        <f t="shared" si="16"/>
        <v>28</v>
      </c>
      <c r="AA24" s="39">
        <f t="shared" si="16"/>
        <v>3</v>
      </c>
      <c r="AB24" s="39">
        <f t="shared" si="16"/>
        <v>9</v>
      </c>
      <c r="AC24" s="39">
        <f t="shared" si="16"/>
        <v>699</v>
      </c>
      <c r="AD24" s="39">
        <f t="shared" si="16"/>
        <v>1</v>
      </c>
      <c r="AE24" s="40">
        <f t="shared" si="16"/>
        <v>692</v>
      </c>
      <c r="AF24" s="40">
        <f t="shared" si="16"/>
        <v>1332</v>
      </c>
    </row>
    <row r="25" spans="2:32" ht="23.1" customHeight="1" x14ac:dyDescent="0.25">
      <c r="B25" s="23" t="s">
        <v>52</v>
      </c>
      <c r="C25" s="50">
        <v>107</v>
      </c>
      <c r="D25" s="50">
        <v>25</v>
      </c>
      <c r="E25" s="50">
        <v>4</v>
      </c>
      <c r="F25" s="50">
        <v>25</v>
      </c>
      <c r="G25" s="50">
        <v>0</v>
      </c>
      <c r="H25" s="50">
        <v>0</v>
      </c>
      <c r="I25" s="50">
        <v>6</v>
      </c>
      <c r="J25" s="50">
        <v>3</v>
      </c>
      <c r="K25" s="50">
        <v>4</v>
      </c>
      <c r="L25" s="50">
        <v>2</v>
      </c>
      <c r="M25" s="50">
        <v>195</v>
      </c>
      <c r="N25" s="50">
        <v>0</v>
      </c>
      <c r="O25" s="15">
        <f t="shared" si="0"/>
        <v>176</v>
      </c>
      <c r="P25" s="15">
        <f t="shared" si="1"/>
        <v>371</v>
      </c>
      <c r="R25" s="37" t="s">
        <v>85</v>
      </c>
      <c r="S25" s="35">
        <f t="shared" ref="S25:AF25" si="17">SUM(S10:S12)</f>
        <v>820</v>
      </c>
      <c r="T25" s="16">
        <f t="shared" si="17"/>
        <v>101</v>
      </c>
      <c r="U25" s="16">
        <f t="shared" si="17"/>
        <v>75</v>
      </c>
      <c r="V25" s="16">
        <f t="shared" si="17"/>
        <v>365</v>
      </c>
      <c r="W25" s="16">
        <f t="shared" si="17"/>
        <v>21</v>
      </c>
      <c r="X25" s="16">
        <f t="shared" si="17"/>
        <v>6</v>
      </c>
      <c r="Y25" s="16">
        <f t="shared" si="17"/>
        <v>81</v>
      </c>
      <c r="Z25" s="16">
        <f t="shared" si="17"/>
        <v>59</v>
      </c>
      <c r="AA25" s="16">
        <f t="shared" si="17"/>
        <v>16</v>
      </c>
      <c r="AB25" s="16">
        <f t="shared" si="17"/>
        <v>25</v>
      </c>
      <c r="AC25" s="16">
        <f t="shared" si="17"/>
        <v>2436</v>
      </c>
      <c r="AD25" s="16">
        <f t="shared" si="17"/>
        <v>0</v>
      </c>
      <c r="AE25" s="32">
        <f t="shared" si="17"/>
        <v>1569</v>
      </c>
      <c r="AF25" s="32">
        <f t="shared" si="17"/>
        <v>4005</v>
      </c>
    </row>
    <row r="26" spans="2:32" ht="23.1" customHeight="1" x14ac:dyDescent="0.25">
      <c r="B26" s="23" t="s">
        <v>53</v>
      </c>
      <c r="C26" s="50">
        <v>84</v>
      </c>
      <c r="D26" s="50">
        <v>21</v>
      </c>
      <c r="E26" s="50">
        <v>4</v>
      </c>
      <c r="F26" s="50">
        <v>27</v>
      </c>
      <c r="G26" s="50">
        <v>1</v>
      </c>
      <c r="H26" s="50">
        <v>0</v>
      </c>
      <c r="I26" s="50">
        <v>8</v>
      </c>
      <c r="J26" s="50">
        <v>5</v>
      </c>
      <c r="K26" s="50">
        <v>1</v>
      </c>
      <c r="L26" s="50">
        <v>3</v>
      </c>
      <c r="M26" s="50">
        <v>242</v>
      </c>
      <c r="N26" s="50">
        <v>0</v>
      </c>
      <c r="O26" s="15">
        <f t="shared" si="0"/>
        <v>154</v>
      </c>
      <c r="P26" s="15">
        <f t="shared" si="1"/>
        <v>396</v>
      </c>
      <c r="R26" s="28" t="s">
        <v>86</v>
      </c>
      <c r="S26" s="16">
        <f t="shared" ref="S26:AF26" si="18">SUM(S13:S18)</f>
        <v>1933</v>
      </c>
      <c r="T26" s="16">
        <f t="shared" si="18"/>
        <v>370</v>
      </c>
      <c r="U26" s="16">
        <f t="shared" si="18"/>
        <v>137</v>
      </c>
      <c r="V26" s="16">
        <f t="shared" si="18"/>
        <v>612</v>
      </c>
      <c r="W26" s="16">
        <f t="shared" si="18"/>
        <v>12</v>
      </c>
      <c r="X26" s="16">
        <f t="shared" si="18"/>
        <v>8</v>
      </c>
      <c r="Y26" s="16">
        <f t="shared" si="18"/>
        <v>131</v>
      </c>
      <c r="Z26" s="16">
        <f t="shared" si="18"/>
        <v>114</v>
      </c>
      <c r="AA26" s="16">
        <f t="shared" si="18"/>
        <v>26</v>
      </c>
      <c r="AB26" s="16">
        <f t="shared" si="18"/>
        <v>42</v>
      </c>
      <c r="AC26" s="16">
        <f t="shared" si="18"/>
        <v>4331</v>
      </c>
      <c r="AD26" s="16">
        <f t="shared" si="18"/>
        <v>0</v>
      </c>
      <c r="AE26" s="32">
        <f t="shared" si="18"/>
        <v>3385</v>
      </c>
      <c r="AF26" s="32">
        <f t="shared" si="18"/>
        <v>7716</v>
      </c>
    </row>
    <row r="27" spans="2:32" ht="23.1" customHeight="1" x14ac:dyDescent="0.25">
      <c r="B27" s="23" t="s">
        <v>54</v>
      </c>
      <c r="C27" s="50">
        <v>108</v>
      </c>
      <c r="D27" s="50">
        <v>18</v>
      </c>
      <c r="E27" s="50">
        <v>6</v>
      </c>
      <c r="F27" s="50">
        <v>26</v>
      </c>
      <c r="G27" s="50">
        <v>0</v>
      </c>
      <c r="H27" s="50">
        <v>1</v>
      </c>
      <c r="I27" s="50">
        <v>5</v>
      </c>
      <c r="J27" s="50">
        <v>5</v>
      </c>
      <c r="K27" s="50">
        <v>2</v>
      </c>
      <c r="L27" s="50">
        <v>3</v>
      </c>
      <c r="M27" s="50">
        <v>210</v>
      </c>
      <c r="N27" s="50">
        <v>0</v>
      </c>
      <c r="O27" s="15">
        <f t="shared" si="0"/>
        <v>174</v>
      </c>
      <c r="P27" s="15">
        <f t="shared" si="1"/>
        <v>384</v>
      </c>
      <c r="R27" s="29" t="s">
        <v>87</v>
      </c>
      <c r="S27" s="16">
        <f t="shared" ref="S27:AF27" si="19">SUM(S19:S21)</f>
        <v>1014</v>
      </c>
      <c r="T27" s="16">
        <f t="shared" si="19"/>
        <v>194</v>
      </c>
      <c r="U27" s="16">
        <f t="shared" si="19"/>
        <v>80</v>
      </c>
      <c r="V27" s="16">
        <f t="shared" si="19"/>
        <v>371</v>
      </c>
      <c r="W27" s="16">
        <f t="shared" si="19"/>
        <v>10</v>
      </c>
      <c r="X27" s="16">
        <f t="shared" si="19"/>
        <v>9</v>
      </c>
      <c r="Y27" s="16">
        <f t="shared" si="19"/>
        <v>82</v>
      </c>
      <c r="Z27" s="16">
        <f t="shared" si="19"/>
        <v>62</v>
      </c>
      <c r="AA27" s="16">
        <f t="shared" si="19"/>
        <v>6</v>
      </c>
      <c r="AB27" s="16">
        <f t="shared" si="19"/>
        <v>23</v>
      </c>
      <c r="AC27" s="16">
        <f t="shared" si="19"/>
        <v>1774</v>
      </c>
      <c r="AD27" s="16">
        <f t="shared" si="19"/>
        <v>1</v>
      </c>
      <c r="AE27" s="32">
        <f t="shared" si="19"/>
        <v>1852</v>
      </c>
      <c r="AF27" s="32">
        <f t="shared" si="19"/>
        <v>3626</v>
      </c>
    </row>
    <row r="28" spans="2:32" ht="23.1" customHeight="1" x14ac:dyDescent="0.25">
      <c r="B28" s="23" t="s">
        <v>55</v>
      </c>
      <c r="C28" s="50">
        <v>83</v>
      </c>
      <c r="D28" s="50">
        <v>14</v>
      </c>
      <c r="E28" s="50">
        <v>11</v>
      </c>
      <c r="F28" s="50">
        <v>29</v>
      </c>
      <c r="G28" s="50">
        <v>1</v>
      </c>
      <c r="H28" s="50">
        <v>1</v>
      </c>
      <c r="I28" s="50">
        <v>6</v>
      </c>
      <c r="J28" s="50">
        <v>7</v>
      </c>
      <c r="K28" s="50">
        <v>0</v>
      </c>
      <c r="L28" s="50">
        <v>1</v>
      </c>
      <c r="M28" s="50">
        <v>214</v>
      </c>
      <c r="N28" s="50">
        <v>0</v>
      </c>
      <c r="O28" s="15">
        <f t="shared" si="0"/>
        <v>153</v>
      </c>
      <c r="P28" s="15">
        <f t="shared" si="1"/>
        <v>367</v>
      </c>
      <c r="R28" s="5" t="s">
        <v>17</v>
      </c>
      <c r="S28" s="16">
        <f t="shared" ref="S28:AF28" si="20">SUM(S10:S21)</f>
        <v>3767</v>
      </c>
      <c r="T28" s="16">
        <f t="shared" si="20"/>
        <v>665</v>
      </c>
      <c r="U28" s="16">
        <f t="shared" si="20"/>
        <v>292</v>
      </c>
      <c r="V28" s="16">
        <f t="shared" si="20"/>
        <v>1348</v>
      </c>
      <c r="W28" s="16">
        <f t="shared" si="20"/>
        <v>43</v>
      </c>
      <c r="X28" s="16">
        <f t="shared" si="20"/>
        <v>23</v>
      </c>
      <c r="Y28" s="16">
        <f t="shared" si="20"/>
        <v>294</v>
      </c>
      <c r="Z28" s="16">
        <f t="shared" si="20"/>
        <v>235</v>
      </c>
      <c r="AA28" s="16">
        <f t="shared" si="20"/>
        <v>48</v>
      </c>
      <c r="AB28" s="16">
        <f t="shared" si="20"/>
        <v>90</v>
      </c>
      <c r="AC28" s="16">
        <f t="shared" si="20"/>
        <v>8541</v>
      </c>
      <c r="AD28" s="16">
        <f t="shared" si="20"/>
        <v>1</v>
      </c>
      <c r="AE28" s="32">
        <f t="shared" si="20"/>
        <v>6806</v>
      </c>
      <c r="AF28" s="32">
        <f t="shared" si="20"/>
        <v>15347</v>
      </c>
    </row>
    <row r="29" spans="2:32" ht="23.1" customHeight="1" x14ac:dyDescent="0.25">
      <c r="B29" s="23" t="s">
        <v>56</v>
      </c>
      <c r="C29" s="50">
        <v>80</v>
      </c>
      <c r="D29" s="50">
        <v>8</v>
      </c>
      <c r="E29" s="50">
        <v>5</v>
      </c>
      <c r="F29" s="50">
        <v>22</v>
      </c>
      <c r="G29" s="50">
        <v>0</v>
      </c>
      <c r="H29" s="50">
        <v>0</v>
      </c>
      <c r="I29" s="50">
        <v>8</v>
      </c>
      <c r="J29" s="50">
        <v>4</v>
      </c>
      <c r="K29" s="50">
        <v>1</v>
      </c>
      <c r="L29" s="50">
        <v>1</v>
      </c>
      <c r="M29" s="50">
        <v>210</v>
      </c>
      <c r="N29" s="50">
        <v>0</v>
      </c>
      <c r="O29" s="15">
        <f t="shared" si="0"/>
        <v>129</v>
      </c>
      <c r="P29" s="15">
        <f t="shared" si="1"/>
        <v>339</v>
      </c>
      <c r="R29"/>
      <c r="S29" s="20"/>
      <c r="T29" s="19"/>
    </row>
    <row r="30" spans="2:32" ht="23.1" customHeight="1" x14ac:dyDescent="0.25">
      <c r="B30" s="23" t="s">
        <v>57</v>
      </c>
      <c r="C30" s="50">
        <v>79</v>
      </c>
      <c r="D30" s="50">
        <v>11</v>
      </c>
      <c r="E30" s="50">
        <v>5</v>
      </c>
      <c r="F30" s="50">
        <v>21</v>
      </c>
      <c r="G30" s="50">
        <v>1</v>
      </c>
      <c r="H30" s="50">
        <v>0</v>
      </c>
      <c r="I30" s="50">
        <v>0</v>
      </c>
      <c r="J30" s="50">
        <v>5</v>
      </c>
      <c r="K30" s="50">
        <v>1</v>
      </c>
      <c r="L30" s="50">
        <v>0</v>
      </c>
      <c r="M30" s="50">
        <v>232</v>
      </c>
      <c r="N30" s="50">
        <v>0</v>
      </c>
      <c r="O30" s="15">
        <f t="shared" si="0"/>
        <v>123</v>
      </c>
      <c r="P30" s="15">
        <f t="shared" si="1"/>
        <v>355</v>
      </c>
    </row>
    <row r="31" spans="2:32" ht="23.1" customHeight="1" x14ac:dyDescent="0.25">
      <c r="B31" s="24" t="s">
        <v>58</v>
      </c>
      <c r="C31" s="50">
        <v>61</v>
      </c>
      <c r="D31" s="50">
        <v>13</v>
      </c>
      <c r="E31" s="50">
        <v>7</v>
      </c>
      <c r="F31" s="50">
        <v>32</v>
      </c>
      <c r="G31" s="50">
        <v>0</v>
      </c>
      <c r="H31" s="50">
        <v>0</v>
      </c>
      <c r="I31" s="50">
        <v>2</v>
      </c>
      <c r="J31" s="50">
        <v>5</v>
      </c>
      <c r="K31" s="50">
        <v>0</v>
      </c>
      <c r="L31" s="50">
        <v>2</v>
      </c>
      <c r="M31" s="50">
        <v>209</v>
      </c>
      <c r="N31" s="50">
        <v>0</v>
      </c>
      <c r="O31" s="15">
        <f t="shared" si="0"/>
        <v>122</v>
      </c>
      <c r="P31" s="15">
        <f t="shared" si="1"/>
        <v>331</v>
      </c>
    </row>
    <row r="32" spans="2:32" ht="23.1" customHeight="1" x14ac:dyDescent="0.25">
      <c r="B32" s="24" t="s">
        <v>59</v>
      </c>
      <c r="C32" s="50">
        <v>76</v>
      </c>
      <c r="D32" s="50">
        <v>13</v>
      </c>
      <c r="E32" s="50">
        <v>7</v>
      </c>
      <c r="F32" s="50">
        <v>27</v>
      </c>
      <c r="G32" s="50">
        <v>1</v>
      </c>
      <c r="H32" s="50">
        <v>0</v>
      </c>
      <c r="I32" s="50">
        <v>9</v>
      </c>
      <c r="J32" s="50">
        <v>3</v>
      </c>
      <c r="K32" s="50">
        <v>0</v>
      </c>
      <c r="L32" s="50">
        <v>1</v>
      </c>
      <c r="M32" s="50">
        <v>210</v>
      </c>
      <c r="N32" s="50">
        <v>0</v>
      </c>
      <c r="O32" s="15">
        <f t="shared" si="0"/>
        <v>137</v>
      </c>
      <c r="P32" s="15">
        <f t="shared" si="1"/>
        <v>347</v>
      </c>
    </row>
    <row r="33" spans="2:20" ht="23.1" customHeight="1" x14ac:dyDescent="0.25">
      <c r="B33" s="23" t="s">
        <v>60</v>
      </c>
      <c r="C33" s="50">
        <v>75</v>
      </c>
      <c r="D33" s="50">
        <v>10</v>
      </c>
      <c r="E33" s="50">
        <v>6</v>
      </c>
      <c r="F33" s="50">
        <v>29</v>
      </c>
      <c r="G33" s="50">
        <v>1</v>
      </c>
      <c r="H33" s="50">
        <v>0</v>
      </c>
      <c r="I33" s="50">
        <v>3</v>
      </c>
      <c r="J33" s="50">
        <v>5</v>
      </c>
      <c r="K33" s="50">
        <v>0</v>
      </c>
      <c r="L33" s="50">
        <v>1</v>
      </c>
      <c r="M33" s="50">
        <v>185</v>
      </c>
      <c r="N33" s="50">
        <v>0</v>
      </c>
      <c r="O33" s="15">
        <f t="shared" si="0"/>
        <v>130</v>
      </c>
      <c r="P33" s="15">
        <f t="shared" si="1"/>
        <v>315</v>
      </c>
    </row>
    <row r="34" spans="2:20" ht="23.1" customHeight="1" x14ac:dyDescent="0.25">
      <c r="B34" s="24" t="s">
        <v>61</v>
      </c>
      <c r="C34" s="50">
        <v>53</v>
      </c>
      <c r="D34" s="50">
        <v>15</v>
      </c>
      <c r="E34" s="50">
        <v>8</v>
      </c>
      <c r="F34" s="50">
        <v>18</v>
      </c>
      <c r="G34" s="50">
        <v>1</v>
      </c>
      <c r="H34" s="50">
        <v>1</v>
      </c>
      <c r="I34" s="50">
        <v>9</v>
      </c>
      <c r="J34" s="50">
        <v>4</v>
      </c>
      <c r="K34" s="50">
        <v>2</v>
      </c>
      <c r="L34" s="50">
        <v>3</v>
      </c>
      <c r="M34" s="50">
        <v>189</v>
      </c>
      <c r="N34" s="50">
        <v>0</v>
      </c>
      <c r="O34" s="15">
        <f t="shared" si="0"/>
        <v>114</v>
      </c>
      <c r="P34" s="15">
        <f t="shared" si="1"/>
        <v>303</v>
      </c>
    </row>
    <row r="35" spans="2:20" ht="23.1" customHeight="1" x14ac:dyDescent="0.25">
      <c r="B35" s="24" t="s">
        <v>62</v>
      </c>
      <c r="C35" s="50">
        <v>70</v>
      </c>
      <c r="D35" s="50">
        <v>19</v>
      </c>
      <c r="E35" s="50">
        <v>5</v>
      </c>
      <c r="F35" s="50">
        <v>22</v>
      </c>
      <c r="G35" s="50">
        <v>1</v>
      </c>
      <c r="H35" s="50">
        <v>0</v>
      </c>
      <c r="I35" s="50">
        <v>7</v>
      </c>
      <c r="J35" s="50">
        <v>4</v>
      </c>
      <c r="K35" s="50">
        <v>2</v>
      </c>
      <c r="L35" s="50">
        <v>2</v>
      </c>
      <c r="M35" s="50">
        <v>125</v>
      </c>
      <c r="N35" s="50">
        <v>0</v>
      </c>
      <c r="O35" s="15">
        <f t="shared" si="0"/>
        <v>132</v>
      </c>
      <c r="P35" s="15">
        <f t="shared" si="1"/>
        <v>257</v>
      </c>
    </row>
    <row r="36" spans="2:20" ht="23.1" customHeight="1" x14ac:dyDescent="0.25">
      <c r="B36" s="24" t="s">
        <v>63</v>
      </c>
      <c r="C36" s="50">
        <v>68</v>
      </c>
      <c r="D36" s="50">
        <v>13</v>
      </c>
      <c r="E36" s="50">
        <v>4</v>
      </c>
      <c r="F36" s="50">
        <v>23</v>
      </c>
      <c r="G36" s="50">
        <v>1</v>
      </c>
      <c r="H36" s="50">
        <v>1</v>
      </c>
      <c r="I36" s="50">
        <v>3</v>
      </c>
      <c r="J36" s="50">
        <v>5</v>
      </c>
      <c r="K36" s="50">
        <v>1</v>
      </c>
      <c r="L36" s="50">
        <v>1</v>
      </c>
      <c r="M36" s="50">
        <v>145</v>
      </c>
      <c r="N36" s="50">
        <v>0</v>
      </c>
      <c r="O36" s="15">
        <f t="shared" si="0"/>
        <v>120</v>
      </c>
      <c r="P36" s="15">
        <f t="shared" si="1"/>
        <v>265</v>
      </c>
    </row>
    <row r="37" spans="2:20" ht="23.1" customHeight="1" x14ac:dyDescent="0.25">
      <c r="B37" s="23" t="s">
        <v>64</v>
      </c>
      <c r="C37" s="50">
        <v>60</v>
      </c>
      <c r="D37" s="50">
        <v>18</v>
      </c>
      <c r="E37" s="50">
        <v>3</v>
      </c>
      <c r="F37" s="50">
        <v>22</v>
      </c>
      <c r="G37" s="50">
        <v>1</v>
      </c>
      <c r="H37" s="50">
        <v>0</v>
      </c>
      <c r="I37" s="50">
        <v>7</v>
      </c>
      <c r="J37" s="50">
        <v>3</v>
      </c>
      <c r="K37" s="50">
        <v>0</v>
      </c>
      <c r="L37" s="50">
        <v>0</v>
      </c>
      <c r="M37" s="50">
        <v>142</v>
      </c>
      <c r="N37" s="50">
        <v>0</v>
      </c>
      <c r="O37" s="15">
        <f t="shared" si="0"/>
        <v>114</v>
      </c>
      <c r="P37" s="15">
        <f t="shared" si="1"/>
        <v>256</v>
      </c>
    </row>
    <row r="38" spans="2:20" ht="23.1" customHeight="1" x14ac:dyDescent="0.25">
      <c r="B38" s="24" t="s">
        <v>65</v>
      </c>
      <c r="C38" s="50">
        <v>55</v>
      </c>
      <c r="D38" s="50">
        <v>15</v>
      </c>
      <c r="E38" s="50">
        <v>6</v>
      </c>
      <c r="F38" s="50">
        <v>23</v>
      </c>
      <c r="G38" s="50">
        <v>0</v>
      </c>
      <c r="H38" s="50">
        <v>0</v>
      </c>
      <c r="I38" s="50">
        <v>3</v>
      </c>
      <c r="J38" s="50">
        <v>5</v>
      </c>
      <c r="K38" s="50">
        <v>0</v>
      </c>
      <c r="L38" s="50">
        <v>2</v>
      </c>
      <c r="M38" s="50">
        <v>135</v>
      </c>
      <c r="N38" s="50">
        <v>0</v>
      </c>
      <c r="O38" s="15">
        <f t="shared" si="0"/>
        <v>109</v>
      </c>
      <c r="P38" s="15">
        <f t="shared" si="1"/>
        <v>244</v>
      </c>
    </row>
    <row r="39" spans="2:20" ht="23.1" customHeight="1" x14ac:dyDescent="0.25">
      <c r="B39" s="24" t="s">
        <v>66</v>
      </c>
      <c r="C39" s="50">
        <v>82</v>
      </c>
      <c r="D39" s="50">
        <v>12</v>
      </c>
      <c r="E39" s="50">
        <v>3</v>
      </c>
      <c r="F39" s="50">
        <v>28</v>
      </c>
      <c r="G39" s="50">
        <v>0</v>
      </c>
      <c r="H39" s="50">
        <v>1</v>
      </c>
      <c r="I39" s="50">
        <v>3</v>
      </c>
      <c r="J39" s="50">
        <v>10</v>
      </c>
      <c r="K39" s="50">
        <v>0</v>
      </c>
      <c r="L39" s="50">
        <v>3</v>
      </c>
      <c r="M39" s="50">
        <v>150</v>
      </c>
      <c r="N39" s="50">
        <v>0</v>
      </c>
      <c r="O39" s="15">
        <f t="shared" si="0"/>
        <v>142</v>
      </c>
      <c r="P39" s="15">
        <f t="shared" si="1"/>
        <v>292</v>
      </c>
    </row>
    <row r="40" spans="2:20" ht="23.1" customHeight="1" x14ac:dyDescent="0.25">
      <c r="B40" s="24" t="s">
        <v>67</v>
      </c>
      <c r="C40" s="50">
        <v>83</v>
      </c>
      <c r="D40" s="50">
        <v>19</v>
      </c>
      <c r="E40" s="50">
        <v>6</v>
      </c>
      <c r="F40" s="50">
        <v>22</v>
      </c>
      <c r="G40" s="50">
        <v>0</v>
      </c>
      <c r="H40" s="50">
        <v>0</v>
      </c>
      <c r="I40" s="50">
        <v>4</v>
      </c>
      <c r="J40" s="50">
        <v>3</v>
      </c>
      <c r="K40" s="50">
        <v>2</v>
      </c>
      <c r="L40" s="50">
        <v>2</v>
      </c>
      <c r="M40" s="50">
        <v>153</v>
      </c>
      <c r="N40" s="50">
        <v>0</v>
      </c>
      <c r="O40" s="15">
        <f t="shared" si="0"/>
        <v>141</v>
      </c>
      <c r="P40" s="15">
        <f t="shared" si="1"/>
        <v>294</v>
      </c>
    </row>
    <row r="41" spans="2:20" ht="23.1" customHeight="1" x14ac:dyDescent="0.25">
      <c r="B41" s="23" t="s">
        <v>68</v>
      </c>
      <c r="C41" s="50">
        <v>109</v>
      </c>
      <c r="D41" s="50">
        <v>18</v>
      </c>
      <c r="E41" s="50">
        <v>4</v>
      </c>
      <c r="F41" s="50">
        <v>26</v>
      </c>
      <c r="G41" s="50">
        <v>0</v>
      </c>
      <c r="H41" s="50">
        <v>0</v>
      </c>
      <c r="I41" s="50">
        <v>5</v>
      </c>
      <c r="J41" s="50">
        <v>6</v>
      </c>
      <c r="K41" s="50">
        <v>1</v>
      </c>
      <c r="L41" s="50">
        <v>2</v>
      </c>
      <c r="M41" s="50">
        <v>154</v>
      </c>
      <c r="N41" s="50">
        <v>0</v>
      </c>
      <c r="O41" s="15">
        <f t="shared" si="0"/>
        <v>171</v>
      </c>
      <c r="P41" s="15">
        <f t="shared" si="1"/>
        <v>325</v>
      </c>
    </row>
    <row r="42" spans="2:20" ht="23.1" customHeight="1" x14ac:dyDescent="0.25">
      <c r="B42" s="24" t="s">
        <v>69</v>
      </c>
      <c r="C42" s="50">
        <v>81</v>
      </c>
      <c r="D42" s="50">
        <v>14</v>
      </c>
      <c r="E42" s="50">
        <v>7</v>
      </c>
      <c r="F42" s="50">
        <v>23</v>
      </c>
      <c r="G42" s="50">
        <v>3</v>
      </c>
      <c r="H42" s="50">
        <v>0</v>
      </c>
      <c r="I42" s="50">
        <v>5</v>
      </c>
      <c r="J42" s="50">
        <v>5</v>
      </c>
      <c r="K42" s="50">
        <v>2</v>
      </c>
      <c r="L42" s="50">
        <v>4</v>
      </c>
      <c r="M42" s="50">
        <v>150</v>
      </c>
      <c r="N42" s="50">
        <v>0</v>
      </c>
      <c r="O42" s="15">
        <f t="shared" si="0"/>
        <v>144</v>
      </c>
      <c r="P42" s="15">
        <f t="shared" si="1"/>
        <v>294</v>
      </c>
    </row>
    <row r="43" spans="2:20" ht="23.1" customHeight="1" x14ac:dyDescent="0.25">
      <c r="B43" s="23" t="s">
        <v>70</v>
      </c>
      <c r="C43" s="50">
        <v>89</v>
      </c>
      <c r="D43" s="50">
        <v>9</v>
      </c>
      <c r="E43" s="50">
        <v>6</v>
      </c>
      <c r="F43" s="50">
        <v>30</v>
      </c>
      <c r="G43" s="50">
        <v>0</v>
      </c>
      <c r="H43" s="50">
        <v>1</v>
      </c>
      <c r="I43" s="50">
        <v>8</v>
      </c>
      <c r="J43" s="50">
        <v>5</v>
      </c>
      <c r="K43" s="50">
        <v>1</v>
      </c>
      <c r="L43" s="50">
        <v>0</v>
      </c>
      <c r="M43" s="50">
        <v>166</v>
      </c>
      <c r="N43" s="50">
        <v>0</v>
      </c>
      <c r="O43" s="15">
        <f t="shared" si="0"/>
        <v>149</v>
      </c>
      <c r="P43" s="15">
        <f t="shared" si="1"/>
        <v>315</v>
      </c>
    </row>
    <row r="44" spans="2:20" ht="23.1" customHeight="1" x14ac:dyDescent="0.25">
      <c r="B44" s="25" t="s">
        <v>71</v>
      </c>
      <c r="C44" s="50">
        <v>76</v>
      </c>
      <c r="D44" s="50">
        <v>19</v>
      </c>
      <c r="E44" s="50">
        <v>4</v>
      </c>
      <c r="F44" s="50">
        <v>30</v>
      </c>
      <c r="G44" s="50">
        <v>0</v>
      </c>
      <c r="H44" s="50">
        <v>1</v>
      </c>
      <c r="I44" s="50">
        <v>3</v>
      </c>
      <c r="J44" s="50">
        <v>5</v>
      </c>
      <c r="K44" s="50">
        <v>2</v>
      </c>
      <c r="L44" s="50">
        <v>6</v>
      </c>
      <c r="M44" s="50">
        <v>160</v>
      </c>
      <c r="N44" s="50">
        <v>0</v>
      </c>
      <c r="O44" s="15">
        <f t="shared" si="0"/>
        <v>146</v>
      </c>
      <c r="P44" s="15">
        <f t="shared" si="1"/>
        <v>306</v>
      </c>
    </row>
    <row r="45" spans="2:20" ht="23.1" customHeight="1" x14ac:dyDescent="0.25">
      <c r="B45" s="23" t="s">
        <v>72</v>
      </c>
      <c r="C45" s="50">
        <v>91</v>
      </c>
      <c r="D45" s="50">
        <v>18</v>
      </c>
      <c r="E45" s="50">
        <v>4</v>
      </c>
      <c r="F45" s="50">
        <v>25</v>
      </c>
      <c r="G45" s="50">
        <v>0</v>
      </c>
      <c r="H45" s="50">
        <v>1</v>
      </c>
      <c r="I45" s="50">
        <v>3</v>
      </c>
      <c r="J45" s="50">
        <v>4</v>
      </c>
      <c r="K45" s="50">
        <v>2</v>
      </c>
      <c r="L45" s="50">
        <v>0</v>
      </c>
      <c r="M45" s="50">
        <v>100</v>
      </c>
      <c r="N45" s="50">
        <v>0</v>
      </c>
      <c r="O45" s="15">
        <f t="shared" si="0"/>
        <v>148</v>
      </c>
      <c r="P45" s="15">
        <f t="shared" si="1"/>
        <v>248</v>
      </c>
    </row>
    <row r="46" spans="2:20" ht="23.1" customHeight="1" x14ac:dyDescent="0.25">
      <c r="B46" s="24" t="s">
        <v>73</v>
      </c>
      <c r="C46" s="50">
        <v>95</v>
      </c>
      <c r="D46" s="50">
        <v>16</v>
      </c>
      <c r="E46" s="50">
        <v>6</v>
      </c>
      <c r="F46" s="50">
        <v>27</v>
      </c>
      <c r="G46" s="50">
        <v>2</v>
      </c>
      <c r="H46" s="50">
        <v>0</v>
      </c>
      <c r="I46" s="50">
        <v>17</v>
      </c>
      <c r="J46" s="50">
        <v>5</v>
      </c>
      <c r="K46" s="50">
        <v>0</v>
      </c>
      <c r="L46" s="50">
        <v>1</v>
      </c>
      <c r="M46" s="50">
        <v>180</v>
      </c>
      <c r="N46" s="50">
        <v>0</v>
      </c>
      <c r="O46" s="15">
        <f t="shared" si="0"/>
        <v>169</v>
      </c>
      <c r="P46" s="15">
        <f t="shared" si="1"/>
        <v>349</v>
      </c>
      <c r="R46" s="8"/>
      <c r="T46"/>
    </row>
    <row r="47" spans="2:20" ht="23.1" customHeight="1" x14ac:dyDescent="0.25">
      <c r="B47" s="24" t="s">
        <v>74</v>
      </c>
      <c r="C47" s="50">
        <v>89</v>
      </c>
      <c r="D47" s="50">
        <v>23</v>
      </c>
      <c r="E47" s="50">
        <v>8</v>
      </c>
      <c r="F47" s="50">
        <v>28</v>
      </c>
      <c r="G47" s="50">
        <v>0</v>
      </c>
      <c r="H47" s="50">
        <v>0</v>
      </c>
      <c r="I47" s="50">
        <v>11</v>
      </c>
      <c r="J47" s="50">
        <v>8</v>
      </c>
      <c r="K47" s="50">
        <v>0</v>
      </c>
      <c r="L47" s="50">
        <v>3</v>
      </c>
      <c r="M47" s="50">
        <v>165</v>
      </c>
      <c r="N47" s="50">
        <v>0</v>
      </c>
      <c r="O47" s="15">
        <f t="shared" si="0"/>
        <v>170</v>
      </c>
      <c r="P47" s="15">
        <f t="shared" si="1"/>
        <v>335</v>
      </c>
      <c r="R47" s="8"/>
      <c r="T47"/>
    </row>
    <row r="48" spans="2:20" ht="23.1" customHeight="1" x14ac:dyDescent="0.25">
      <c r="B48" s="24" t="s">
        <v>75</v>
      </c>
      <c r="C48" s="50">
        <v>78</v>
      </c>
      <c r="D48" s="50">
        <v>16</v>
      </c>
      <c r="E48" s="50">
        <v>10</v>
      </c>
      <c r="F48" s="50">
        <v>20</v>
      </c>
      <c r="G48" s="50">
        <v>0</v>
      </c>
      <c r="H48" s="50">
        <v>1</v>
      </c>
      <c r="I48" s="50">
        <v>5</v>
      </c>
      <c r="J48" s="50">
        <v>8</v>
      </c>
      <c r="K48" s="50">
        <v>0</v>
      </c>
      <c r="L48" s="50">
        <v>4</v>
      </c>
      <c r="M48" s="50">
        <v>175</v>
      </c>
      <c r="N48" s="50">
        <v>0</v>
      </c>
      <c r="O48" s="15">
        <f t="shared" si="0"/>
        <v>142</v>
      </c>
      <c r="P48" s="15">
        <f t="shared" si="1"/>
        <v>317</v>
      </c>
      <c r="R48" s="8"/>
      <c r="T48"/>
    </row>
    <row r="49" spans="2:20" ht="23.1" customHeight="1" x14ac:dyDescent="0.25">
      <c r="B49" s="23" t="s">
        <v>76</v>
      </c>
      <c r="C49" s="50">
        <v>86</v>
      </c>
      <c r="D49" s="50">
        <v>14</v>
      </c>
      <c r="E49" s="50">
        <v>10</v>
      </c>
      <c r="F49" s="50">
        <v>26</v>
      </c>
      <c r="G49" s="50">
        <v>0</v>
      </c>
      <c r="H49" s="50">
        <v>1</v>
      </c>
      <c r="I49" s="50">
        <v>6</v>
      </c>
      <c r="J49" s="50">
        <v>7</v>
      </c>
      <c r="K49" s="50">
        <v>1</v>
      </c>
      <c r="L49" s="50">
        <v>1</v>
      </c>
      <c r="M49" s="50">
        <v>179</v>
      </c>
      <c r="N49" s="50">
        <v>0</v>
      </c>
      <c r="O49" s="15">
        <f t="shared" si="0"/>
        <v>152</v>
      </c>
      <c r="P49" s="15">
        <f t="shared" si="1"/>
        <v>331</v>
      </c>
      <c r="R49" s="8"/>
      <c r="T49"/>
    </row>
    <row r="50" spans="2:20" ht="23.1" customHeight="1" x14ac:dyDescent="0.25">
      <c r="B50" s="24" t="s">
        <v>77</v>
      </c>
      <c r="C50" s="50">
        <v>82</v>
      </c>
      <c r="D50" s="50">
        <v>12</v>
      </c>
      <c r="E50" s="50">
        <v>10</v>
      </c>
      <c r="F50" s="50">
        <v>19</v>
      </c>
      <c r="G50" s="50">
        <v>0</v>
      </c>
      <c r="H50" s="50">
        <v>0</v>
      </c>
      <c r="I50" s="50">
        <v>4</v>
      </c>
      <c r="J50" s="50">
        <v>3</v>
      </c>
      <c r="K50" s="50">
        <v>1</v>
      </c>
      <c r="L50" s="50">
        <v>5</v>
      </c>
      <c r="M50" s="50">
        <v>150</v>
      </c>
      <c r="N50" s="50">
        <v>0</v>
      </c>
      <c r="O50" s="15">
        <f t="shared" si="0"/>
        <v>136</v>
      </c>
      <c r="P50" s="15">
        <f t="shared" si="1"/>
        <v>286</v>
      </c>
      <c r="R50" s="8"/>
      <c r="T50"/>
    </row>
    <row r="51" spans="2:20" ht="23.1" customHeight="1" x14ac:dyDescent="0.25">
      <c r="B51" s="24" t="s">
        <v>78</v>
      </c>
      <c r="C51" s="50">
        <v>90</v>
      </c>
      <c r="D51" s="50">
        <v>11</v>
      </c>
      <c r="E51" s="50">
        <v>10</v>
      </c>
      <c r="F51" s="50">
        <v>35</v>
      </c>
      <c r="G51" s="50">
        <v>0</v>
      </c>
      <c r="H51" s="50">
        <v>0</v>
      </c>
      <c r="I51" s="50">
        <v>8</v>
      </c>
      <c r="J51" s="50">
        <v>1</v>
      </c>
      <c r="K51" s="50">
        <v>1</v>
      </c>
      <c r="L51" s="50">
        <v>3</v>
      </c>
      <c r="M51" s="50">
        <v>123</v>
      </c>
      <c r="N51" s="50">
        <v>1</v>
      </c>
      <c r="O51" s="15">
        <f t="shared" si="0"/>
        <v>160</v>
      </c>
      <c r="P51" s="15">
        <f t="shared" si="1"/>
        <v>283</v>
      </c>
      <c r="R51" s="8"/>
      <c r="T51"/>
    </row>
    <row r="52" spans="2:20" ht="23.1" customHeight="1" x14ac:dyDescent="0.25">
      <c r="B52" s="24" t="s">
        <v>79</v>
      </c>
      <c r="C52" s="50">
        <v>59</v>
      </c>
      <c r="D52" s="50">
        <v>16</v>
      </c>
      <c r="E52" s="50">
        <v>6</v>
      </c>
      <c r="F52" s="50">
        <v>20</v>
      </c>
      <c r="G52" s="50">
        <v>1</v>
      </c>
      <c r="H52" s="50">
        <v>1</v>
      </c>
      <c r="I52" s="50">
        <v>5</v>
      </c>
      <c r="J52" s="50">
        <v>3</v>
      </c>
      <c r="K52" s="50">
        <v>0</v>
      </c>
      <c r="L52" s="50">
        <v>1</v>
      </c>
      <c r="M52" s="50">
        <v>135</v>
      </c>
      <c r="N52" s="50">
        <v>0</v>
      </c>
      <c r="O52" s="15">
        <f t="shared" si="0"/>
        <v>112</v>
      </c>
      <c r="P52" s="15">
        <f t="shared" si="1"/>
        <v>247</v>
      </c>
      <c r="R52" s="8"/>
      <c r="T52"/>
    </row>
    <row r="53" spans="2:20" ht="23.1" customHeight="1" x14ac:dyDescent="0.25">
      <c r="B53" s="23" t="s">
        <v>80</v>
      </c>
      <c r="C53" s="50">
        <v>68</v>
      </c>
      <c r="D53" s="50">
        <v>10</v>
      </c>
      <c r="E53" s="50">
        <v>5</v>
      </c>
      <c r="F53" s="50">
        <v>29</v>
      </c>
      <c r="G53" s="50">
        <v>1</v>
      </c>
      <c r="H53" s="50">
        <v>1</v>
      </c>
      <c r="I53" s="50">
        <v>3</v>
      </c>
      <c r="J53" s="50">
        <v>2</v>
      </c>
      <c r="K53" s="50">
        <v>0</v>
      </c>
      <c r="L53" s="50">
        <v>0</v>
      </c>
      <c r="M53" s="50">
        <v>137</v>
      </c>
      <c r="N53" s="50">
        <v>0</v>
      </c>
      <c r="O53" s="15">
        <f t="shared" si="0"/>
        <v>119</v>
      </c>
      <c r="P53" s="15">
        <f t="shared" si="1"/>
        <v>256</v>
      </c>
      <c r="R53" s="8"/>
      <c r="T53"/>
    </row>
    <row r="54" spans="2:20" ht="23.1" customHeight="1" x14ac:dyDescent="0.25">
      <c r="B54" s="23" t="s">
        <v>81</v>
      </c>
      <c r="C54" s="50">
        <v>75</v>
      </c>
      <c r="D54" s="50">
        <v>11</v>
      </c>
      <c r="E54" s="50">
        <v>6</v>
      </c>
      <c r="F54" s="50">
        <v>30</v>
      </c>
      <c r="G54" s="50">
        <v>1</v>
      </c>
      <c r="H54" s="50">
        <v>3</v>
      </c>
      <c r="I54" s="50">
        <v>6</v>
      </c>
      <c r="J54" s="50">
        <v>2</v>
      </c>
      <c r="K54" s="50">
        <v>2</v>
      </c>
      <c r="L54" s="50">
        <v>2</v>
      </c>
      <c r="M54" s="50">
        <v>159</v>
      </c>
      <c r="N54" s="50">
        <v>0</v>
      </c>
      <c r="O54" s="15">
        <f t="shared" si="0"/>
        <v>138</v>
      </c>
      <c r="P54" s="15">
        <f t="shared" si="1"/>
        <v>297</v>
      </c>
      <c r="R54" s="8"/>
      <c r="T54"/>
    </row>
    <row r="55" spans="2:20" ht="23.1" customHeight="1" x14ac:dyDescent="0.25">
      <c r="B55" s="23" t="s">
        <v>82</v>
      </c>
      <c r="C55" s="50">
        <v>52</v>
      </c>
      <c r="D55" s="50">
        <v>21</v>
      </c>
      <c r="E55" s="50">
        <v>4</v>
      </c>
      <c r="F55" s="50">
        <v>28</v>
      </c>
      <c r="G55" s="50">
        <v>1</v>
      </c>
      <c r="H55" s="50">
        <v>0</v>
      </c>
      <c r="I55" s="50">
        <v>3</v>
      </c>
      <c r="J55" s="50">
        <v>5</v>
      </c>
      <c r="K55" s="50">
        <v>0</v>
      </c>
      <c r="L55" s="50">
        <v>1</v>
      </c>
      <c r="M55" s="50">
        <v>103</v>
      </c>
      <c r="N55" s="50">
        <v>0</v>
      </c>
      <c r="O55" s="15">
        <f t="shared" si="0"/>
        <v>115</v>
      </c>
      <c r="P55" s="15">
        <f t="shared" si="1"/>
        <v>218</v>
      </c>
      <c r="R55" s="8"/>
      <c r="T55"/>
    </row>
    <row r="56" spans="2:20" ht="23.1" customHeight="1" x14ac:dyDescent="0.25">
      <c r="B56" s="23" t="s">
        <v>83</v>
      </c>
      <c r="C56" s="50">
        <v>130</v>
      </c>
      <c r="D56" s="50">
        <v>22</v>
      </c>
      <c r="E56" s="50">
        <v>1</v>
      </c>
      <c r="F56" s="50">
        <v>48</v>
      </c>
      <c r="G56" s="50">
        <v>1</v>
      </c>
      <c r="H56" s="50">
        <v>2</v>
      </c>
      <c r="I56" s="50">
        <v>5</v>
      </c>
      <c r="J56" s="50">
        <v>6</v>
      </c>
      <c r="K56" s="50">
        <v>0</v>
      </c>
      <c r="L56" s="50">
        <v>1</v>
      </c>
      <c r="M56" s="50">
        <v>158</v>
      </c>
      <c r="N56" s="50">
        <v>0</v>
      </c>
      <c r="O56" s="15">
        <f t="shared" si="0"/>
        <v>216</v>
      </c>
      <c r="P56" s="15">
        <f t="shared" si="1"/>
        <v>374</v>
      </c>
      <c r="R56" s="8"/>
      <c r="T56"/>
    </row>
    <row r="57" spans="2:20" ht="23.1" customHeight="1" x14ac:dyDescent="0.25">
      <c r="B57" s="23" t="s">
        <v>84</v>
      </c>
      <c r="C57" s="50">
        <v>110</v>
      </c>
      <c r="D57" s="50">
        <v>22</v>
      </c>
      <c r="E57" s="50">
        <v>4</v>
      </c>
      <c r="F57" s="50">
        <v>61</v>
      </c>
      <c r="G57" s="50">
        <v>3</v>
      </c>
      <c r="H57" s="50">
        <v>0</v>
      </c>
      <c r="I57" s="50">
        <v>9</v>
      </c>
      <c r="J57" s="50">
        <v>12</v>
      </c>
      <c r="K57" s="50">
        <v>1</v>
      </c>
      <c r="L57" s="50">
        <v>1</v>
      </c>
      <c r="M57" s="50">
        <v>110</v>
      </c>
      <c r="N57" s="50">
        <v>0</v>
      </c>
      <c r="O57" s="15">
        <f t="shared" si="0"/>
        <v>223</v>
      </c>
      <c r="P57" s="15">
        <f t="shared" si="1"/>
        <v>333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3767</v>
      </c>
      <c r="D58" s="16">
        <f t="shared" si="21"/>
        <v>665</v>
      </c>
      <c r="E58" s="16">
        <f t="shared" si="21"/>
        <v>292</v>
      </c>
      <c r="F58" s="16">
        <f t="shared" si="21"/>
        <v>1348</v>
      </c>
      <c r="G58" s="16">
        <f t="shared" si="21"/>
        <v>43</v>
      </c>
      <c r="H58" s="16">
        <f t="shared" si="21"/>
        <v>23</v>
      </c>
      <c r="I58" s="16">
        <f t="shared" si="21"/>
        <v>294</v>
      </c>
      <c r="J58" s="16">
        <f t="shared" si="21"/>
        <v>235</v>
      </c>
      <c r="K58" s="16">
        <f t="shared" si="21"/>
        <v>48</v>
      </c>
      <c r="L58" s="16">
        <f t="shared" si="21"/>
        <v>90</v>
      </c>
      <c r="M58" s="16">
        <f t="shared" si="21"/>
        <v>8541</v>
      </c>
      <c r="N58" s="16">
        <f t="shared" si="21"/>
        <v>1</v>
      </c>
      <c r="O58" s="16">
        <f t="shared" si="21"/>
        <v>6806</v>
      </c>
      <c r="P58" s="16">
        <f t="shared" si="21"/>
        <v>15347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0.24545513781195022</v>
      </c>
      <c r="D59" s="43">
        <f t="shared" si="22"/>
        <v>4.3330944158467451E-2</v>
      </c>
      <c r="E59" s="43">
        <f t="shared" si="22"/>
        <v>1.9026519841011273E-2</v>
      </c>
      <c r="F59" s="43">
        <f t="shared" si="22"/>
        <v>8.783475597836711E-2</v>
      </c>
      <c r="G59" s="43">
        <f t="shared" si="22"/>
        <v>2.8018505245324819E-3</v>
      </c>
      <c r="H59" s="43">
        <f t="shared" si="22"/>
        <v>1.4986642340522579E-3</v>
      </c>
      <c r="I59" s="43">
        <f t="shared" si="22"/>
        <v>1.9156838470059296E-2</v>
      </c>
      <c r="J59" s="43">
        <f t="shared" si="22"/>
        <v>1.5312438913142634E-2</v>
      </c>
      <c r="K59" s="43">
        <f t="shared" si="22"/>
        <v>3.1276470971525381E-3</v>
      </c>
      <c r="L59" s="43">
        <f t="shared" si="22"/>
        <v>5.8643383071610086E-3</v>
      </c>
      <c r="M59" s="43">
        <f t="shared" si="22"/>
        <v>0.55652570534957968</v>
      </c>
      <c r="N59" s="43">
        <f t="shared" si="22"/>
        <v>6.515931452401121E-5</v>
      </c>
      <c r="R59" s="8"/>
      <c r="T59"/>
    </row>
    <row r="60" spans="2:20" ht="23.1" customHeight="1" x14ac:dyDescent="0.25">
      <c r="B60" s="42" t="s">
        <v>94</v>
      </c>
      <c r="C60" s="44">
        <f>C58/$O$58</f>
        <v>0.55348222156920368</v>
      </c>
      <c r="D60" s="44">
        <f t="shared" ref="D60:N60" si="23">D58/$O$58</f>
        <v>9.7707904789891276E-2</v>
      </c>
      <c r="E60" s="44">
        <f t="shared" si="23"/>
        <v>4.2903320599471058E-2</v>
      </c>
      <c r="F60" s="44">
        <f t="shared" si="23"/>
        <v>0.19806053482221569</v>
      </c>
      <c r="G60" s="44">
        <f t="shared" si="23"/>
        <v>6.3179547458125183E-3</v>
      </c>
      <c r="H60" s="44">
        <f t="shared" si="23"/>
        <v>3.3793711431090215E-3</v>
      </c>
      <c r="I60" s="44">
        <f t="shared" si="23"/>
        <v>4.3197178959741407E-2</v>
      </c>
      <c r="J60" s="44">
        <f t="shared" si="23"/>
        <v>3.4528357331766089E-2</v>
      </c>
      <c r="K60" s="44">
        <f t="shared" si="23"/>
        <v>7.0526006464883923E-3</v>
      </c>
      <c r="L60" s="44">
        <f t="shared" si="23"/>
        <v>1.3223626212165737E-2</v>
      </c>
      <c r="M60" s="44"/>
      <c r="N60" s="44">
        <f t="shared" si="23"/>
        <v>1.4692918013517486E-4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L58" zoomScale="60" workbookViewId="0">
      <selection activeCell="Y77" sqref="Y7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'28.07 Bulenga-Busega'!C3:G3</f>
        <v>MCC - C1 - STN12-MITYANA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0" t="s">
        <v>169</v>
      </c>
      <c r="E5" s="71"/>
      <c r="F5" s="41" t="s">
        <v>1</v>
      </c>
      <c r="G5" s="68" t="str">
        <f>'28.07 Busega-Bulenga'!G5:H5</f>
        <v xml:space="preserve">Petro Max </v>
      </c>
      <c r="H5" s="69"/>
      <c r="I5" s="14"/>
      <c r="J5" s="2" t="s">
        <v>5</v>
      </c>
      <c r="K5" s="68" t="str">
        <f>'28.07 Busega-Bulenga'!K5:L5</f>
        <v>Nabayunga Rashida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'28.07 Busega-Bulenga'!D6:E6</f>
        <v>Busega</v>
      </c>
      <c r="E6" s="69"/>
      <c r="F6" s="2" t="s">
        <v>2</v>
      </c>
      <c r="G6" s="68" t="str">
        <f>'28.07 Busega-Bulenga'!G6:H6</f>
        <v xml:space="preserve">Bulenga </v>
      </c>
      <c r="H6" s="69"/>
      <c r="J6" s="2" t="s">
        <v>21</v>
      </c>
      <c r="K6" s="68" t="str">
        <f>'28.07 Busega-Bulenga'!K6:L6</f>
        <v>Andrew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Busega-Bulenga'!C10,'23.07 Busega-Bulenga'!C10,'24.07 Busega-Bulenga'!C10,'25.07 Busega-Bulenga'!C10,'26.07 Busega-Bulenga-24h'!C10,'27.07 Busega-Bulenga-24h'!C10,'28.07 Busega-Bulenga'!C10)</f>
        <v>27</v>
      </c>
      <c r="D10" s="49">
        <f>AVERAGE('22.07 Busega-Bulenga'!D10,'23.07 Busega-Bulenga'!D10,'24.07 Busega-Bulenga'!D10,'25.07 Busega-Bulenga'!D10,'26.07 Busega-Bulenga-24h'!D10,'27.07 Busega-Bulenga-24h'!D10,'28.07 Busega-Bulenga'!D10)</f>
        <v>5.1428571428571432</v>
      </c>
      <c r="E10" s="49">
        <f>AVERAGE('22.07 Busega-Bulenga'!E10,'23.07 Busega-Bulenga'!E10,'24.07 Busega-Bulenga'!E10,'25.07 Busega-Bulenga'!E10,'26.07 Busega-Bulenga-24h'!E10,'27.07 Busega-Bulenga-24h'!E10,'28.07 Busega-Bulenga'!E10)</f>
        <v>3.4285714285714284</v>
      </c>
      <c r="F10" s="49">
        <f>AVERAGE('22.07 Busega-Bulenga'!F10,'23.07 Busega-Bulenga'!F10,'24.07 Busega-Bulenga'!F10,'25.07 Busega-Bulenga'!F10,'26.07 Busega-Bulenga-24h'!F10,'27.07 Busega-Bulenga-24h'!F10,'28.07 Busega-Bulenga'!F10)</f>
        <v>17.857142857142858</v>
      </c>
      <c r="G10" s="49">
        <f>AVERAGE('22.07 Busega-Bulenga'!G10,'23.07 Busega-Bulenga'!G10,'24.07 Busega-Bulenga'!G10,'25.07 Busega-Bulenga'!G10,'26.07 Busega-Bulenga-24h'!G10,'27.07 Busega-Bulenga-24h'!G10,'28.07 Busega-Bulenga'!G10)</f>
        <v>1</v>
      </c>
      <c r="H10" s="49">
        <f>AVERAGE('22.07 Busega-Bulenga'!H10,'23.07 Busega-Bulenga'!H10,'24.07 Busega-Bulenga'!H10,'25.07 Busega-Bulenga'!H10,'26.07 Busega-Bulenga-24h'!H10,'27.07 Busega-Bulenga-24h'!H10,'28.07 Busega-Bulenga'!H10)</f>
        <v>0.5714285714285714</v>
      </c>
      <c r="I10" s="49">
        <f>AVERAGE('22.07 Busega-Bulenga'!I10,'23.07 Busega-Bulenga'!I10,'24.07 Busega-Bulenga'!I10,'25.07 Busega-Bulenga'!I10,'26.07 Busega-Bulenga-24h'!I10,'27.07 Busega-Bulenga-24h'!I10,'28.07 Busega-Bulenga'!I10)</f>
        <v>6.5714285714285712</v>
      </c>
      <c r="J10" s="49">
        <f>AVERAGE('22.07 Busega-Bulenga'!J10,'23.07 Busega-Bulenga'!J10,'24.07 Busega-Bulenga'!J10,'25.07 Busega-Bulenga'!J10,'26.07 Busega-Bulenga-24h'!J10,'27.07 Busega-Bulenga-24h'!J10,'28.07 Busega-Bulenga'!J10)</f>
        <v>3.1428571428571428</v>
      </c>
      <c r="K10" s="49">
        <f>AVERAGE('22.07 Busega-Bulenga'!K10,'23.07 Busega-Bulenga'!K10,'24.07 Busega-Bulenga'!K10,'25.07 Busega-Bulenga'!K10,'26.07 Busega-Bulenga-24h'!K10,'27.07 Busega-Bulenga-24h'!K10,'28.07 Busega-Bulenga'!K10)</f>
        <v>0.5714285714285714</v>
      </c>
      <c r="L10" s="49">
        <f>AVERAGE('22.07 Busega-Bulenga'!L10,'23.07 Busega-Bulenga'!L10,'24.07 Busega-Bulenga'!L10,'25.07 Busega-Bulenga'!L10,'26.07 Busega-Bulenga-24h'!L10,'27.07 Busega-Bulenga-24h'!L10,'28.07 Busega-Bulenga'!L10)</f>
        <v>2</v>
      </c>
      <c r="M10" s="49">
        <f>AVERAGE('22.07 Busega-Bulenga'!M10,'23.07 Busega-Bulenga'!M10,'24.07 Busega-Bulenga'!M10,'25.07 Busega-Bulenga'!M10,'26.07 Busega-Bulenga-24h'!M10,'27.07 Busega-Bulenga-24h'!M10,'28.07 Busega-Bulenga'!M10)</f>
        <v>153.14285714285714</v>
      </c>
      <c r="N10" s="49">
        <f>AVERAGE('22.07 Busega-Bulenga'!N10,'23.07 Busega-Bulenga'!N10,'24.07 Busega-Bulenga'!N10,'25.07 Busega-Bulenga'!N10,'26.07 Busega-Bulenga-24h'!N10,'27.07 Busega-Bulenga-24h'!N10,'28.07 Busega-Bulenga'!N10)</f>
        <v>0</v>
      </c>
      <c r="O10" s="15">
        <f t="shared" ref="O10:O73" si="0">SUM(C10:L10,N10)</f>
        <v>67.285714285714278</v>
      </c>
      <c r="P10" s="15">
        <f t="shared" ref="P10:P73" si="1">SUM(C10:N10)</f>
        <v>220.42857142857142</v>
      </c>
      <c r="R10" s="1" t="s">
        <v>6</v>
      </c>
      <c r="S10" s="17">
        <f t="shared" ref="S10:AF10" si="2">SUM(C10:C13)</f>
        <v>126.57142857142857</v>
      </c>
      <c r="T10" s="17">
        <f t="shared" si="2"/>
        <v>22.142857142857142</v>
      </c>
      <c r="U10" s="17">
        <f t="shared" si="2"/>
        <v>15.714285714285712</v>
      </c>
      <c r="V10" s="17">
        <f t="shared" si="2"/>
        <v>93.428571428571431</v>
      </c>
      <c r="W10" s="17">
        <f t="shared" si="2"/>
        <v>5.2857142857142856</v>
      </c>
      <c r="X10" s="17">
        <f t="shared" si="2"/>
        <v>0.99999999999999989</v>
      </c>
      <c r="Y10" s="17">
        <f t="shared" si="2"/>
        <v>26</v>
      </c>
      <c r="Z10" s="17">
        <f t="shared" si="2"/>
        <v>14.285714285714286</v>
      </c>
      <c r="AA10" s="17">
        <f t="shared" si="2"/>
        <v>3.4285714285714288</v>
      </c>
      <c r="AB10" s="17">
        <f t="shared" si="2"/>
        <v>4.5714285714285712</v>
      </c>
      <c r="AC10" s="17">
        <f t="shared" si="2"/>
        <v>756.14285714285722</v>
      </c>
      <c r="AD10" s="17">
        <f t="shared" si="2"/>
        <v>0</v>
      </c>
      <c r="AE10" s="31">
        <f t="shared" si="2"/>
        <v>312.42857142857144</v>
      </c>
      <c r="AF10" s="31">
        <f t="shared" si="2"/>
        <v>1068.5714285714284</v>
      </c>
    </row>
    <row r="11" spans="2:32" s="6" customFormat="1" ht="23.1" customHeight="1" x14ac:dyDescent="0.25">
      <c r="B11" s="23" t="s">
        <v>38</v>
      </c>
      <c r="C11" s="49">
        <f>AVERAGE('22.07 Busega-Bulenga'!C11,'23.07 Busega-Bulenga'!C11,'24.07 Busega-Bulenga'!C11,'25.07 Busega-Bulenga'!C11,'26.07 Busega-Bulenga-24h'!C11,'27.07 Busega-Bulenga-24h'!C11,'28.07 Busega-Bulenga'!C11)</f>
        <v>32.142857142857146</v>
      </c>
      <c r="D11" s="49">
        <f>AVERAGE('22.07 Busega-Bulenga'!D11,'23.07 Busega-Bulenga'!D11,'24.07 Busega-Bulenga'!D11,'25.07 Busega-Bulenga'!D11,'26.07 Busega-Bulenga-24h'!D11,'27.07 Busega-Bulenga-24h'!D11,'28.07 Busega-Bulenga'!D11)</f>
        <v>4.7142857142857144</v>
      </c>
      <c r="E11" s="49">
        <f>AVERAGE('22.07 Busega-Bulenga'!E11,'23.07 Busega-Bulenga'!E11,'24.07 Busega-Bulenga'!E11,'25.07 Busega-Bulenga'!E11,'26.07 Busega-Bulenga-24h'!E11,'27.07 Busega-Bulenga-24h'!E11,'28.07 Busega-Bulenga'!E11)</f>
        <v>3.7142857142857144</v>
      </c>
      <c r="F11" s="49">
        <f>AVERAGE('22.07 Busega-Bulenga'!F11,'23.07 Busega-Bulenga'!F11,'24.07 Busega-Bulenga'!F11,'25.07 Busega-Bulenga'!F11,'26.07 Busega-Bulenga-24h'!F11,'27.07 Busega-Bulenga-24h'!F11,'28.07 Busega-Bulenga'!F11)</f>
        <v>22.142857142857142</v>
      </c>
      <c r="G11" s="49">
        <f>AVERAGE('22.07 Busega-Bulenga'!G11,'23.07 Busega-Bulenga'!G11,'24.07 Busega-Bulenga'!G11,'25.07 Busega-Bulenga'!G11,'26.07 Busega-Bulenga-24h'!G11,'27.07 Busega-Bulenga-24h'!G11,'28.07 Busega-Bulenga'!G11)</f>
        <v>1.1428571428571428</v>
      </c>
      <c r="H11" s="49">
        <f>AVERAGE('22.07 Busega-Bulenga'!H11,'23.07 Busega-Bulenga'!H11,'24.07 Busega-Bulenga'!H11,'25.07 Busega-Bulenga'!H11,'26.07 Busega-Bulenga-24h'!H11,'27.07 Busega-Bulenga-24h'!H11,'28.07 Busega-Bulenga'!H11)</f>
        <v>0</v>
      </c>
      <c r="I11" s="49">
        <f>AVERAGE('22.07 Busega-Bulenga'!I11,'23.07 Busega-Bulenga'!I11,'24.07 Busega-Bulenga'!I11,'25.07 Busega-Bulenga'!I11,'26.07 Busega-Bulenga-24h'!I11,'27.07 Busega-Bulenga-24h'!I11,'28.07 Busega-Bulenga'!I11)</f>
        <v>6.5714285714285712</v>
      </c>
      <c r="J11" s="49">
        <f>AVERAGE('22.07 Busega-Bulenga'!J11,'23.07 Busega-Bulenga'!J11,'24.07 Busega-Bulenga'!J11,'25.07 Busega-Bulenga'!J11,'26.07 Busega-Bulenga-24h'!J11,'27.07 Busega-Bulenga-24h'!J11,'28.07 Busega-Bulenga'!J11)</f>
        <v>3.2857142857142856</v>
      </c>
      <c r="K11" s="49">
        <f>AVERAGE('22.07 Busega-Bulenga'!K11,'23.07 Busega-Bulenga'!K11,'24.07 Busega-Bulenga'!K11,'25.07 Busega-Bulenga'!K11,'26.07 Busega-Bulenga-24h'!K11,'27.07 Busega-Bulenga-24h'!K11,'28.07 Busega-Bulenga'!K11)</f>
        <v>0.42857142857142855</v>
      </c>
      <c r="L11" s="49">
        <f>AVERAGE('22.07 Busega-Bulenga'!L11,'23.07 Busega-Bulenga'!L11,'24.07 Busega-Bulenga'!L11,'25.07 Busega-Bulenga'!L11,'26.07 Busega-Bulenga-24h'!L11,'27.07 Busega-Bulenga-24h'!L11,'28.07 Busega-Bulenga'!L11)</f>
        <v>0.7142857142857143</v>
      </c>
      <c r="M11" s="49">
        <f>AVERAGE('22.07 Busega-Bulenga'!M11,'23.07 Busega-Bulenga'!M11,'24.07 Busega-Bulenga'!M11,'25.07 Busega-Bulenga'!M11,'26.07 Busega-Bulenga-24h'!M11,'27.07 Busega-Bulenga-24h'!M11,'28.07 Busega-Bulenga'!M11)</f>
        <v>166.71428571428572</v>
      </c>
      <c r="N11" s="49">
        <f>AVERAGE('22.07 Busega-Bulenga'!N11,'23.07 Busega-Bulenga'!N11,'24.07 Busega-Bulenga'!N11,'25.07 Busega-Bulenga'!N11,'26.07 Busega-Bulenga-24h'!N11,'27.07 Busega-Bulenga-24h'!N11,'28.07 Busega-Bulenga'!N11)</f>
        <v>0</v>
      </c>
      <c r="O11" s="15">
        <f t="shared" si="0"/>
        <v>74.857142857142875</v>
      </c>
      <c r="P11" s="15">
        <f t="shared" si="1"/>
        <v>241.57142857142861</v>
      </c>
      <c r="R11" s="1" t="s">
        <v>7</v>
      </c>
      <c r="S11" s="17">
        <f t="shared" ref="S11:AF11" si="3">SUM(C14:C17)</f>
        <v>146</v>
      </c>
      <c r="T11" s="17">
        <f t="shared" si="3"/>
        <v>28</v>
      </c>
      <c r="U11" s="17">
        <f t="shared" si="3"/>
        <v>20.714285714285715</v>
      </c>
      <c r="V11" s="17">
        <f t="shared" si="3"/>
        <v>126.42857142857142</v>
      </c>
      <c r="W11" s="17">
        <f t="shared" si="3"/>
        <v>2.1428571428571428</v>
      </c>
      <c r="X11" s="17">
        <f t="shared" si="3"/>
        <v>2.1428571428571428</v>
      </c>
      <c r="Y11" s="17">
        <f t="shared" si="3"/>
        <v>23.571428571428569</v>
      </c>
      <c r="Z11" s="17">
        <f t="shared" si="3"/>
        <v>22.714285714285715</v>
      </c>
      <c r="AA11" s="17">
        <f t="shared" si="3"/>
        <v>4.2857142857142856</v>
      </c>
      <c r="AB11" s="17">
        <f t="shared" si="3"/>
        <v>4.5714285714285712</v>
      </c>
      <c r="AC11" s="17">
        <f t="shared" si="3"/>
        <v>1024.4285714285716</v>
      </c>
      <c r="AD11" s="17">
        <f t="shared" si="3"/>
        <v>0.2857142857142857</v>
      </c>
      <c r="AE11" s="31">
        <f t="shared" si="3"/>
        <v>380.85714285714283</v>
      </c>
      <c r="AF11" s="31">
        <f t="shared" si="3"/>
        <v>1405.2857142857142</v>
      </c>
    </row>
    <row r="12" spans="2:32" ht="23.1" customHeight="1" x14ac:dyDescent="0.25">
      <c r="B12" s="23" t="s">
        <v>39</v>
      </c>
      <c r="C12" s="49">
        <f>AVERAGE('22.07 Busega-Bulenga'!C12,'23.07 Busega-Bulenga'!C12,'24.07 Busega-Bulenga'!C12,'25.07 Busega-Bulenga'!C12,'26.07 Busega-Bulenga-24h'!C12,'27.07 Busega-Bulenga-24h'!C12,'28.07 Busega-Bulenga'!C12)</f>
        <v>32.857142857142854</v>
      </c>
      <c r="D12" s="49">
        <f>AVERAGE('22.07 Busega-Bulenga'!D12,'23.07 Busega-Bulenga'!D12,'24.07 Busega-Bulenga'!D12,'25.07 Busega-Bulenga'!D12,'26.07 Busega-Bulenga-24h'!D12,'27.07 Busega-Bulenga-24h'!D12,'28.07 Busega-Bulenga'!D12)</f>
        <v>5</v>
      </c>
      <c r="E12" s="49">
        <f>AVERAGE('22.07 Busega-Bulenga'!E12,'23.07 Busega-Bulenga'!E12,'24.07 Busega-Bulenga'!E12,'25.07 Busega-Bulenga'!E12,'26.07 Busega-Bulenga-24h'!E12,'27.07 Busega-Bulenga-24h'!E12,'28.07 Busega-Bulenga'!E12)</f>
        <v>3.2857142857142856</v>
      </c>
      <c r="F12" s="49">
        <f>AVERAGE('22.07 Busega-Bulenga'!F12,'23.07 Busega-Bulenga'!F12,'24.07 Busega-Bulenga'!F12,'25.07 Busega-Bulenga'!F12,'26.07 Busega-Bulenga-24h'!F12,'27.07 Busega-Bulenga-24h'!F12,'28.07 Busega-Bulenga'!F12)</f>
        <v>27.428571428571427</v>
      </c>
      <c r="G12" s="49">
        <f>AVERAGE('22.07 Busega-Bulenga'!G12,'23.07 Busega-Bulenga'!G12,'24.07 Busega-Bulenga'!G12,'25.07 Busega-Bulenga'!G12,'26.07 Busega-Bulenga-24h'!G12,'27.07 Busega-Bulenga-24h'!G12,'28.07 Busega-Bulenga'!G12)</f>
        <v>1.8571428571428572</v>
      </c>
      <c r="H12" s="49">
        <f>AVERAGE('22.07 Busega-Bulenga'!H12,'23.07 Busega-Bulenga'!H12,'24.07 Busega-Bulenga'!H12,'25.07 Busega-Bulenga'!H12,'26.07 Busega-Bulenga-24h'!H12,'27.07 Busega-Bulenga-24h'!H12,'28.07 Busega-Bulenga'!H12)</f>
        <v>0.14285714285714285</v>
      </c>
      <c r="I12" s="49">
        <f>AVERAGE('22.07 Busega-Bulenga'!I12,'23.07 Busega-Bulenga'!I12,'24.07 Busega-Bulenga'!I12,'25.07 Busega-Bulenga'!I12,'26.07 Busega-Bulenga-24h'!I12,'27.07 Busega-Bulenga-24h'!I12,'28.07 Busega-Bulenga'!I12)</f>
        <v>7.1428571428571432</v>
      </c>
      <c r="J12" s="49">
        <f>AVERAGE('22.07 Busega-Bulenga'!J12,'23.07 Busega-Bulenga'!J12,'24.07 Busega-Bulenga'!J12,'25.07 Busega-Bulenga'!J12,'26.07 Busega-Bulenga-24h'!J12,'27.07 Busega-Bulenga-24h'!J12,'28.07 Busega-Bulenga'!J12)</f>
        <v>5</v>
      </c>
      <c r="K12" s="49">
        <f>AVERAGE('22.07 Busega-Bulenga'!K12,'23.07 Busega-Bulenga'!K12,'24.07 Busega-Bulenga'!K12,'25.07 Busega-Bulenga'!K12,'26.07 Busega-Bulenga-24h'!K12,'27.07 Busega-Bulenga-24h'!K12,'28.07 Busega-Bulenga'!K12)</f>
        <v>1</v>
      </c>
      <c r="L12" s="49">
        <f>AVERAGE('22.07 Busega-Bulenga'!L12,'23.07 Busega-Bulenga'!L12,'24.07 Busega-Bulenga'!L12,'25.07 Busega-Bulenga'!L12,'26.07 Busega-Bulenga-24h'!L12,'27.07 Busega-Bulenga-24h'!L12,'28.07 Busega-Bulenga'!L12)</f>
        <v>0.5714285714285714</v>
      </c>
      <c r="M12" s="49">
        <f>AVERAGE('22.07 Busega-Bulenga'!M12,'23.07 Busega-Bulenga'!M12,'24.07 Busega-Bulenga'!M12,'25.07 Busega-Bulenga'!M12,'26.07 Busega-Bulenga-24h'!M12,'27.07 Busega-Bulenga-24h'!M12,'28.07 Busega-Bulenga'!M12)</f>
        <v>207.42857142857142</v>
      </c>
      <c r="N12" s="49">
        <f>AVERAGE('22.07 Busega-Bulenga'!N12,'23.07 Busega-Bulenga'!N12,'24.07 Busega-Bulenga'!N12,'25.07 Busega-Bulenga'!N12,'26.07 Busega-Bulenga-24h'!N12,'27.07 Busega-Bulenga-24h'!N12,'28.07 Busega-Bulenga'!N12)</f>
        <v>0</v>
      </c>
      <c r="O12" s="15">
        <f t="shared" si="0"/>
        <v>84.285714285714278</v>
      </c>
      <c r="P12" s="15">
        <f t="shared" si="1"/>
        <v>291.71428571428567</v>
      </c>
      <c r="R12" s="1" t="s">
        <v>8</v>
      </c>
      <c r="S12" s="17">
        <f t="shared" ref="S12:AF12" si="4">SUM(C18:C21)</f>
        <v>155.71428571428572</v>
      </c>
      <c r="T12" s="17">
        <f t="shared" si="4"/>
        <v>24.428571428571427</v>
      </c>
      <c r="U12" s="17">
        <f t="shared" si="4"/>
        <v>19.428571428571431</v>
      </c>
      <c r="V12" s="17">
        <f t="shared" si="4"/>
        <v>111.42857142857143</v>
      </c>
      <c r="W12" s="17">
        <f t="shared" si="4"/>
        <v>2.2857142857142856</v>
      </c>
      <c r="X12" s="17">
        <f t="shared" si="4"/>
        <v>1.9999999999999998</v>
      </c>
      <c r="Y12" s="17">
        <f t="shared" si="4"/>
        <v>33.142857142857139</v>
      </c>
      <c r="Z12" s="17">
        <f t="shared" si="4"/>
        <v>25.142857142857139</v>
      </c>
      <c r="AA12" s="17">
        <f t="shared" si="4"/>
        <v>4.5714285714285712</v>
      </c>
      <c r="AB12" s="17">
        <f t="shared" si="4"/>
        <v>5.4285714285714288</v>
      </c>
      <c r="AC12" s="17">
        <f t="shared" si="4"/>
        <v>1019.5714285714284</v>
      </c>
      <c r="AD12" s="17">
        <f t="shared" si="4"/>
        <v>0</v>
      </c>
      <c r="AE12" s="31">
        <f t="shared" si="4"/>
        <v>383.57142857142856</v>
      </c>
      <c r="AF12" s="31">
        <f t="shared" si="4"/>
        <v>1403.1428571428571</v>
      </c>
    </row>
    <row r="13" spans="2:32" ht="23.1" customHeight="1" x14ac:dyDescent="0.25">
      <c r="B13" s="23" t="s">
        <v>40</v>
      </c>
      <c r="C13" s="49">
        <f>AVERAGE('22.07 Busega-Bulenga'!C13,'23.07 Busega-Bulenga'!C13,'24.07 Busega-Bulenga'!C13,'25.07 Busega-Bulenga'!C13,'26.07 Busega-Bulenga-24h'!C13,'27.07 Busega-Bulenga-24h'!C13,'28.07 Busega-Bulenga'!C13)</f>
        <v>34.571428571428569</v>
      </c>
      <c r="D13" s="49">
        <f>AVERAGE('22.07 Busega-Bulenga'!D13,'23.07 Busega-Bulenga'!D13,'24.07 Busega-Bulenga'!D13,'25.07 Busega-Bulenga'!D13,'26.07 Busega-Bulenga-24h'!D13,'27.07 Busega-Bulenga-24h'!D13,'28.07 Busega-Bulenga'!D13)</f>
        <v>7.2857142857142856</v>
      </c>
      <c r="E13" s="49">
        <f>AVERAGE('22.07 Busega-Bulenga'!E13,'23.07 Busega-Bulenga'!E13,'24.07 Busega-Bulenga'!E13,'25.07 Busega-Bulenga'!E13,'26.07 Busega-Bulenga-24h'!E13,'27.07 Busega-Bulenga-24h'!E13,'28.07 Busega-Bulenga'!E13)</f>
        <v>5.2857142857142856</v>
      </c>
      <c r="F13" s="49">
        <f>AVERAGE('22.07 Busega-Bulenga'!F13,'23.07 Busega-Bulenga'!F13,'24.07 Busega-Bulenga'!F13,'25.07 Busega-Bulenga'!F13,'26.07 Busega-Bulenga-24h'!F13,'27.07 Busega-Bulenga-24h'!F13,'28.07 Busega-Bulenga'!F13)</f>
        <v>26</v>
      </c>
      <c r="G13" s="49">
        <f>AVERAGE('22.07 Busega-Bulenga'!G13,'23.07 Busega-Bulenga'!G13,'24.07 Busega-Bulenga'!G13,'25.07 Busega-Bulenga'!G13,'26.07 Busega-Bulenga-24h'!G13,'27.07 Busega-Bulenga-24h'!G13,'28.07 Busega-Bulenga'!G13)</f>
        <v>1.2857142857142858</v>
      </c>
      <c r="H13" s="49">
        <f>AVERAGE('22.07 Busega-Bulenga'!H13,'23.07 Busega-Bulenga'!H13,'24.07 Busega-Bulenga'!H13,'25.07 Busega-Bulenga'!H13,'26.07 Busega-Bulenga-24h'!H13,'27.07 Busega-Bulenga-24h'!H13,'28.07 Busega-Bulenga'!H13)</f>
        <v>0.2857142857142857</v>
      </c>
      <c r="I13" s="49">
        <f>AVERAGE('22.07 Busega-Bulenga'!I13,'23.07 Busega-Bulenga'!I13,'24.07 Busega-Bulenga'!I13,'25.07 Busega-Bulenga'!I13,'26.07 Busega-Bulenga-24h'!I13,'27.07 Busega-Bulenga-24h'!I13,'28.07 Busega-Bulenga'!I13)</f>
        <v>5.7142857142857144</v>
      </c>
      <c r="J13" s="49">
        <f>AVERAGE('22.07 Busega-Bulenga'!J13,'23.07 Busega-Bulenga'!J13,'24.07 Busega-Bulenga'!J13,'25.07 Busega-Bulenga'!J13,'26.07 Busega-Bulenga-24h'!J13,'27.07 Busega-Bulenga-24h'!J13,'28.07 Busega-Bulenga'!J13)</f>
        <v>2.8571428571428572</v>
      </c>
      <c r="K13" s="49">
        <f>AVERAGE('22.07 Busega-Bulenga'!K13,'23.07 Busega-Bulenga'!K13,'24.07 Busega-Bulenga'!K13,'25.07 Busega-Bulenga'!K13,'26.07 Busega-Bulenga-24h'!K13,'27.07 Busega-Bulenga-24h'!K13,'28.07 Busega-Bulenga'!K13)</f>
        <v>1.4285714285714286</v>
      </c>
      <c r="L13" s="49">
        <f>AVERAGE('22.07 Busega-Bulenga'!L13,'23.07 Busega-Bulenga'!L13,'24.07 Busega-Bulenga'!L13,'25.07 Busega-Bulenga'!L13,'26.07 Busega-Bulenga-24h'!L13,'27.07 Busega-Bulenga-24h'!L13,'28.07 Busega-Bulenga'!L13)</f>
        <v>1.2857142857142858</v>
      </c>
      <c r="M13" s="49">
        <f>AVERAGE('22.07 Busega-Bulenga'!M13,'23.07 Busega-Bulenga'!M13,'24.07 Busega-Bulenga'!M13,'25.07 Busega-Bulenga'!M13,'26.07 Busega-Bulenga-24h'!M13,'27.07 Busega-Bulenga-24h'!M13,'28.07 Busega-Bulenga'!M13)</f>
        <v>228.85714285714286</v>
      </c>
      <c r="N13" s="49">
        <f>AVERAGE('22.07 Busega-Bulenga'!N13,'23.07 Busega-Bulenga'!N13,'24.07 Busega-Bulenga'!N13,'25.07 Busega-Bulenga'!N13,'26.07 Busega-Bulenga-24h'!N13,'27.07 Busega-Bulenga-24h'!N13,'28.07 Busega-Bulenga'!N13)</f>
        <v>0</v>
      </c>
      <c r="O13" s="15">
        <f t="shared" si="0"/>
        <v>86.000000000000014</v>
      </c>
      <c r="P13" s="15">
        <f t="shared" si="1"/>
        <v>314.85714285714289</v>
      </c>
      <c r="R13" s="1" t="s">
        <v>9</v>
      </c>
      <c r="S13" s="17">
        <f t="shared" ref="S13:AF13" si="5">SUM(C22:C25)</f>
        <v>162.57142857142856</v>
      </c>
      <c r="T13" s="17">
        <f t="shared" si="5"/>
        <v>22</v>
      </c>
      <c r="U13" s="17">
        <f t="shared" si="5"/>
        <v>23</v>
      </c>
      <c r="V13" s="17">
        <f t="shared" si="5"/>
        <v>109.14285714285714</v>
      </c>
      <c r="W13" s="17">
        <f t="shared" si="5"/>
        <v>3.1428571428571428</v>
      </c>
      <c r="X13" s="17">
        <f t="shared" si="5"/>
        <v>1.1428571428571428</v>
      </c>
      <c r="Y13" s="17">
        <f t="shared" si="5"/>
        <v>39.857142857142854</v>
      </c>
      <c r="Z13" s="17">
        <f t="shared" si="5"/>
        <v>26.428571428571431</v>
      </c>
      <c r="AA13" s="17">
        <f t="shared" si="5"/>
        <v>6.8571428571428568</v>
      </c>
      <c r="AB13" s="17">
        <f t="shared" si="5"/>
        <v>6.2857142857142856</v>
      </c>
      <c r="AC13" s="17">
        <f t="shared" si="5"/>
        <v>884.85714285714289</v>
      </c>
      <c r="AD13" s="17">
        <f t="shared" si="5"/>
        <v>0.14285714285714285</v>
      </c>
      <c r="AE13" s="31">
        <f t="shared" si="5"/>
        <v>400.57142857142861</v>
      </c>
      <c r="AF13" s="31">
        <f t="shared" si="5"/>
        <v>1285.4285714285716</v>
      </c>
    </row>
    <row r="14" spans="2:32" ht="23.1" customHeight="1" x14ac:dyDescent="0.25">
      <c r="B14" s="23" t="s">
        <v>41</v>
      </c>
      <c r="C14" s="49">
        <f>AVERAGE('22.07 Busega-Bulenga'!C14,'23.07 Busega-Bulenga'!C14,'24.07 Busega-Bulenga'!C14,'25.07 Busega-Bulenga'!C14,'26.07 Busega-Bulenga-24h'!C14,'27.07 Busega-Bulenga-24h'!C14,'28.07 Busega-Bulenga'!C14)</f>
        <v>34.571428571428569</v>
      </c>
      <c r="D14" s="49">
        <f>AVERAGE('22.07 Busega-Bulenga'!D14,'23.07 Busega-Bulenga'!D14,'24.07 Busega-Bulenga'!D14,'25.07 Busega-Bulenga'!D14,'26.07 Busega-Bulenga-24h'!D14,'27.07 Busega-Bulenga-24h'!D14,'28.07 Busega-Bulenga'!D14)</f>
        <v>5.7142857142857144</v>
      </c>
      <c r="E14" s="49">
        <f>AVERAGE('22.07 Busega-Bulenga'!E14,'23.07 Busega-Bulenga'!E14,'24.07 Busega-Bulenga'!E14,'25.07 Busega-Bulenga'!E14,'26.07 Busega-Bulenga-24h'!E14,'27.07 Busega-Bulenga-24h'!E14,'28.07 Busega-Bulenga'!E14)</f>
        <v>4.7142857142857144</v>
      </c>
      <c r="F14" s="49">
        <f>AVERAGE('22.07 Busega-Bulenga'!F14,'23.07 Busega-Bulenga'!F14,'24.07 Busega-Bulenga'!F14,'25.07 Busega-Bulenga'!F14,'26.07 Busega-Bulenga-24h'!F14,'27.07 Busega-Bulenga-24h'!F14,'28.07 Busega-Bulenga'!F14)</f>
        <v>26.428571428571427</v>
      </c>
      <c r="G14" s="49">
        <f>AVERAGE('22.07 Busega-Bulenga'!G14,'23.07 Busega-Bulenga'!G14,'24.07 Busega-Bulenga'!G14,'25.07 Busega-Bulenga'!G14,'26.07 Busega-Bulenga-24h'!G14,'27.07 Busega-Bulenga-24h'!G14,'28.07 Busega-Bulenga'!G14)</f>
        <v>1.4285714285714286</v>
      </c>
      <c r="H14" s="49">
        <f>AVERAGE('22.07 Busega-Bulenga'!H14,'23.07 Busega-Bulenga'!H14,'24.07 Busega-Bulenga'!H14,'25.07 Busega-Bulenga'!H14,'26.07 Busega-Bulenga-24h'!H14,'27.07 Busega-Bulenga-24h'!H14,'28.07 Busega-Bulenga'!H14)</f>
        <v>0.5714285714285714</v>
      </c>
      <c r="I14" s="49">
        <f>AVERAGE('22.07 Busega-Bulenga'!I14,'23.07 Busega-Bulenga'!I14,'24.07 Busega-Bulenga'!I14,'25.07 Busega-Bulenga'!I14,'26.07 Busega-Bulenga-24h'!I14,'27.07 Busega-Bulenga-24h'!I14,'28.07 Busega-Bulenga'!I14)</f>
        <v>5.5714285714285712</v>
      </c>
      <c r="J14" s="49">
        <f>AVERAGE('22.07 Busega-Bulenga'!J14,'23.07 Busega-Bulenga'!J14,'24.07 Busega-Bulenga'!J14,'25.07 Busega-Bulenga'!J14,'26.07 Busega-Bulenga-24h'!J14,'27.07 Busega-Bulenga-24h'!J14,'28.07 Busega-Bulenga'!J14)</f>
        <v>4.8571428571428568</v>
      </c>
      <c r="K14" s="49">
        <f>AVERAGE('22.07 Busega-Bulenga'!K14,'23.07 Busega-Bulenga'!K14,'24.07 Busega-Bulenga'!K14,'25.07 Busega-Bulenga'!K14,'26.07 Busega-Bulenga-24h'!K14,'27.07 Busega-Bulenga-24h'!K14,'28.07 Busega-Bulenga'!K14)</f>
        <v>0.8571428571428571</v>
      </c>
      <c r="L14" s="49">
        <f>AVERAGE('22.07 Busega-Bulenga'!L14,'23.07 Busega-Bulenga'!L14,'24.07 Busega-Bulenga'!L14,'25.07 Busega-Bulenga'!L14,'26.07 Busega-Bulenga-24h'!L14,'27.07 Busega-Bulenga-24h'!L14,'28.07 Busega-Bulenga'!L14)</f>
        <v>0.5714285714285714</v>
      </c>
      <c r="M14" s="49">
        <f>AVERAGE('22.07 Busega-Bulenga'!M14,'23.07 Busega-Bulenga'!M14,'24.07 Busega-Bulenga'!M14,'25.07 Busega-Bulenga'!M14,'26.07 Busega-Bulenga-24h'!M14,'27.07 Busega-Bulenga-24h'!M14,'28.07 Busega-Bulenga'!M14)</f>
        <v>243</v>
      </c>
      <c r="N14" s="49">
        <f>AVERAGE('22.07 Busega-Bulenga'!N14,'23.07 Busega-Bulenga'!N14,'24.07 Busega-Bulenga'!N14,'25.07 Busega-Bulenga'!N14,'26.07 Busega-Bulenga-24h'!N14,'27.07 Busega-Bulenga-24h'!N14,'28.07 Busega-Bulenga'!N14)</f>
        <v>0</v>
      </c>
      <c r="O14" s="15">
        <f t="shared" si="0"/>
        <v>85.285714285714292</v>
      </c>
      <c r="P14" s="15">
        <f t="shared" si="1"/>
        <v>328.28571428571428</v>
      </c>
      <c r="R14" s="1" t="s">
        <v>10</v>
      </c>
      <c r="S14" s="17">
        <f t="shared" ref="S14:AF14" si="6">SUM(C26:C29)</f>
        <v>171.85714285714289</v>
      </c>
      <c r="T14" s="17">
        <f t="shared" si="6"/>
        <v>29.285714285714285</v>
      </c>
      <c r="U14" s="17">
        <f t="shared" si="6"/>
        <v>21.714285714285715</v>
      </c>
      <c r="V14" s="17">
        <f t="shared" si="6"/>
        <v>117.57142857142857</v>
      </c>
      <c r="W14" s="17">
        <f t="shared" si="6"/>
        <v>4.4285714285714288</v>
      </c>
      <c r="X14" s="17">
        <f t="shared" si="6"/>
        <v>2.8571428571428568</v>
      </c>
      <c r="Y14" s="17">
        <f t="shared" si="6"/>
        <v>42.142857142857146</v>
      </c>
      <c r="Z14" s="17">
        <f t="shared" si="6"/>
        <v>26</v>
      </c>
      <c r="AA14" s="17">
        <f t="shared" si="6"/>
        <v>5.4285714285714288</v>
      </c>
      <c r="AB14" s="17">
        <f t="shared" si="6"/>
        <v>6</v>
      </c>
      <c r="AC14" s="17">
        <f t="shared" si="6"/>
        <v>682.14285714285711</v>
      </c>
      <c r="AD14" s="17">
        <f t="shared" si="6"/>
        <v>0.14285714285714285</v>
      </c>
      <c r="AE14" s="31">
        <f t="shared" si="6"/>
        <v>427.42857142857144</v>
      </c>
      <c r="AF14" s="31">
        <f t="shared" si="6"/>
        <v>1109.5714285714284</v>
      </c>
    </row>
    <row r="15" spans="2:32" ht="23.1" customHeight="1" x14ac:dyDescent="0.25">
      <c r="B15" s="23" t="s">
        <v>42</v>
      </c>
      <c r="C15" s="49">
        <f>AVERAGE('22.07 Busega-Bulenga'!C15,'23.07 Busega-Bulenga'!C15,'24.07 Busega-Bulenga'!C15,'25.07 Busega-Bulenga'!C15,'26.07 Busega-Bulenga-24h'!C15,'27.07 Busega-Bulenga-24h'!C15,'28.07 Busega-Bulenga'!C15)</f>
        <v>31.714285714285715</v>
      </c>
      <c r="D15" s="49">
        <f>AVERAGE('22.07 Busega-Bulenga'!D15,'23.07 Busega-Bulenga'!D15,'24.07 Busega-Bulenga'!D15,'25.07 Busega-Bulenga'!D15,'26.07 Busega-Bulenga-24h'!D15,'27.07 Busega-Bulenga-24h'!D15,'28.07 Busega-Bulenga'!D15)</f>
        <v>5</v>
      </c>
      <c r="E15" s="49">
        <f>AVERAGE('22.07 Busega-Bulenga'!E15,'23.07 Busega-Bulenga'!E15,'24.07 Busega-Bulenga'!E15,'25.07 Busega-Bulenga'!E15,'26.07 Busega-Bulenga-24h'!E15,'27.07 Busega-Bulenga-24h'!E15,'28.07 Busega-Bulenga'!E15)</f>
        <v>5.7142857142857144</v>
      </c>
      <c r="F15" s="49">
        <f>AVERAGE('22.07 Busega-Bulenga'!F15,'23.07 Busega-Bulenga'!F15,'24.07 Busega-Bulenga'!F15,'25.07 Busega-Bulenga'!F15,'26.07 Busega-Bulenga-24h'!F15,'27.07 Busega-Bulenga-24h'!F15,'28.07 Busega-Bulenga'!F15)</f>
        <v>26.714285714285715</v>
      </c>
      <c r="G15" s="49">
        <f>AVERAGE('22.07 Busega-Bulenga'!G15,'23.07 Busega-Bulenga'!G15,'24.07 Busega-Bulenga'!G15,'25.07 Busega-Bulenga'!G15,'26.07 Busega-Bulenga-24h'!G15,'27.07 Busega-Bulenga-24h'!G15,'28.07 Busega-Bulenga'!G15)</f>
        <v>0.2857142857142857</v>
      </c>
      <c r="H15" s="49">
        <f>AVERAGE('22.07 Busega-Bulenga'!H15,'23.07 Busega-Bulenga'!H15,'24.07 Busega-Bulenga'!H15,'25.07 Busega-Bulenga'!H15,'26.07 Busega-Bulenga-24h'!H15,'27.07 Busega-Bulenga-24h'!H15,'28.07 Busega-Bulenga'!H15)</f>
        <v>0.8571428571428571</v>
      </c>
      <c r="I15" s="49">
        <f>AVERAGE('22.07 Busega-Bulenga'!I15,'23.07 Busega-Bulenga'!I15,'24.07 Busega-Bulenga'!I15,'25.07 Busega-Bulenga'!I15,'26.07 Busega-Bulenga-24h'!I15,'27.07 Busega-Bulenga-24h'!I15,'28.07 Busega-Bulenga'!I15)</f>
        <v>4.5714285714285712</v>
      </c>
      <c r="J15" s="49">
        <f>AVERAGE('22.07 Busega-Bulenga'!J15,'23.07 Busega-Bulenga'!J15,'24.07 Busega-Bulenga'!J15,'25.07 Busega-Bulenga'!J15,'26.07 Busega-Bulenga-24h'!J15,'27.07 Busega-Bulenga-24h'!J15,'28.07 Busega-Bulenga'!J15)</f>
        <v>5.8571428571428568</v>
      </c>
      <c r="K15" s="49">
        <f>AVERAGE('22.07 Busega-Bulenga'!K15,'23.07 Busega-Bulenga'!K15,'24.07 Busega-Bulenga'!K15,'25.07 Busega-Bulenga'!K15,'26.07 Busega-Bulenga-24h'!K15,'27.07 Busega-Bulenga-24h'!K15,'28.07 Busega-Bulenga'!K15)</f>
        <v>1</v>
      </c>
      <c r="L15" s="49">
        <f>AVERAGE('22.07 Busega-Bulenga'!L15,'23.07 Busega-Bulenga'!L15,'24.07 Busega-Bulenga'!L15,'25.07 Busega-Bulenga'!L15,'26.07 Busega-Bulenga-24h'!L15,'27.07 Busega-Bulenga-24h'!L15,'28.07 Busega-Bulenga'!L15)</f>
        <v>1.7142857142857142</v>
      </c>
      <c r="M15" s="49">
        <f>AVERAGE('22.07 Busega-Bulenga'!M15,'23.07 Busega-Bulenga'!M15,'24.07 Busega-Bulenga'!M15,'25.07 Busega-Bulenga'!M15,'26.07 Busega-Bulenga-24h'!M15,'27.07 Busega-Bulenga-24h'!M15,'28.07 Busega-Bulenga'!M15)</f>
        <v>235.71428571428572</v>
      </c>
      <c r="N15" s="49">
        <f>AVERAGE('22.07 Busega-Bulenga'!N15,'23.07 Busega-Bulenga'!N15,'24.07 Busega-Bulenga'!N15,'25.07 Busega-Bulenga'!N15,'26.07 Busega-Bulenga-24h'!N15,'27.07 Busega-Bulenga-24h'!N15,'28.07 Busega-Bulenga'!N15)</f>
        <v>0</v>
      </c>
      <c r="O15" s="15">
        <f t="shared" si="0"/>
        <v>83.428571428571431</v>
      </c>
      <c r="P15" s="15">
        <f t="shared" si="1"/>
        <v>319.14285714285717</v>
      </c>
      <c r="R15" s="1" t="s">
        <v>11</v>
      </c>
      <c r="S15" s="17">
        <f t="shared" ref="S15:AF15" si="7">SUM(C30:C33)</f>
        <v>172.28571428571428</v>
      </c>
      <c r="T15" s="17">
        <f t="shared" si="7"/>
        <v>28.142857142857139</v>
      </c>
      <c r="U15" s="17">
        <f t="shared" si="7"/>
        <v>21.571428571428573</v>
      </c>
      <c r="V15" s="17">
        <f t="shared" si="7"/>
        <v>98.142857142857139</v>
      </c>
      <c r="W15" s="17">
        <f t="shared" si="7"/>
        <v>2.8571428571428568</v>
      </c>
      <c r="X15" s="17">
        <f t="shared" si="7"/>
        <v>4.5714285714285712</v>
      </c>
      <c r="Y15" s="17">
        <f t="shared" si="7"/>
        <v>40.714285714285715</v>
      </c>
      <c r="Z15" s="17">
        <f t="shared" si="7"/>
        <v>27</v>
      </c>
      <c r="AA15" s="17">
        <f t="shared" si="7"/>
        <v>6.4285714285714288</v>
      </c>
      <c r="AB15" s="17">
        <f t="shared" si="7"/>
        <v>37</v>
      </c>
      <c r="AC15" s="17">
        <f t="shared" si="7"/>
        <v>626.71428571428567</v>
      </c>
      <c r="AD15" s="17">
        <f t="shared" si="7"/>
        <v>0</v>
      </c>
      <c r="AE15" s="31">
        <f t="shared" si="7"/>
        <v>438.71428571428567</v>
      </c>
      <c r="AF15" s="31">
        <f t="shared" si="7"/>
        <v>1065.4285714285716</v>
      </c>
    </row>
    <row r="16" spans="2:32" ht="23.1" customHeight="1" x14ac:dyDescent="0.25">
      <c r="B16" s="23" t="s">
        <v>43</v>
      </c>
      <c r="C16" s="49">
        <f>AVERAGE('22.07 Busega-Bulenga'!C16,'23.07 Busega-Bulenga'!C16,'24.07 Busega-Bulenga'!C16,'25.07 Busega-Bulenga'!C16,'26.07 Busega-Bulenga-24h'!C16,'27.07 Busega-Bulenga-24h'!C16,'28.07 Busega-Bulenga'!C16)</f>
        <v>36</v>
      </c>
      <c r="D16" s="49">
        <f>AVERAGE('22.07 Busega-Bulenga'!D16,'23.07 Busega-Bulenga'!D16,'24.07 Busega-Bulenga'!D16,'25.07 Busega-Bulenga'!D16,'26.07 Busega-Bulenga-24h'!D16,'27.07 Busega-Bulenga-24h'!D16,'28.07 Busega-Bulenga'!D16)</f>
        <v>9.2857142857142865</v>
      </c>
      <c r="E16" s="49">
        <f>AVERAGE('22.07 Busega-Bulenga'!E16,'23.07 Busega-Bulenga'!E16,'24.07 Busega-Bulenga'!E16,'25.07 Busega-Bulenga'!E16,'26.07 Busega-Bulenga-24h'!E16,'27.07 Busega-Bulenga-24h'!E16,'28.07 Busega-Bulenga'!E16)</f>
        <v>5.1428571428571432</v>
      </c>
      <c r="F16" s="49">
        <f>AVERAGE('22.07 Busega-Bulenga'!F16,'23.07 Busega-Bulenga'!F16,'24.07 Busega-Bulenga'!F16,'25.07 Busega-Bulenga'!F16,'26.07 Busega-Bulenga-24h'!F16,'27.07 Busega-Bulenga-24h'!F16,'28.07 Busega-Bulenga'!F16)</f>
        <v>35.571428571428569</v>
      </c>
      <c r="G16" s="49">
        <f>AVERAGE('22.07 Busega-Bulenga'!G16,'23.07 Busega-Bulenga'!G16,'24.07 Busega-Bulenga'!G16,'25.07 Busega-Bulenga'!G16,'26.07 Busega-Bulenga-24h'!G16,'27.07 Busega-Bulenga-24h'!G16,'28.07 Busega-Bulenga'!G16)</f>
        <v>0.14285714285714285</v>
      </c>
      <c r="H16" s="49">
        <f>AVERAGE('22.07 Busega-Bulenga'!H16,'23.07 Busega-Bulenga'!H16,'24.07 Busega-Bulenga'!H16,'25.07 Busega-Bulenga'!H16,'26.07 Busega-Bulenga-24h'!H16,'27.07 Busega-Bulenga-24h'!H16,'28.07 Busega-Bulenga'!H16)</f>
        <v>0.7142857142857143</v>
      </c>
      <c r="I16" s="49">
        <f>AVERAGE('22.07 Busega-Bulenga'!I16,'23.07 Busega-Bulenga'!I16,'24.07 Busega-Bulenga'!I16,'25.07 Busega-Bulenga'!I16,'26.07 Busega-Bulenga-24h'!I16,'27.07 Busega-Bulenga-24h'!I16,'28.07 Busega-Bulenga'!I16)</f>
        <v>5.8571428571428568</v>
      </c>
      <c r="J16" s="49">
        <f>AVERAGE('22.07 Busega-Bulenga'!J16,'23.07 Busega-Bulenga'!J16,'24.07 Busega-Bulenga'!J16,'25.07 Busega-Bulenga'!J16,'26.07 Busega-Bulenga-24h'!J16,'27.07 Busega-Bulenga-24h'!J16,'28.07 Busega-Bulenga'!J16)</f>
        <v>6.2857142857142856</v>
      </c>
      <c r="K16" s="49">
        <f>AVERAGE('22.07 Busega-Bulenga'!K16,'23.07 Busega-Bulenga'!K16,'24.07 Busega-Bulenga'!K16,'25.07 Busega-Bulenga'!K16,'26.07 Busega-Bulenga-24h'!K16,'27.07 Busega-Bulenga-24h'!K16,'28.07 Busega-Bulenga'!K16)</f>
        <v>0.7142857142857143</v>
      </c>
      <c r="L16" s="49">
        <f>AVERAGE('22.07 Busega-Bulenga'!L16,'23.07 Busega-Bulenga'!L16,'24.07 Busega-Bulenga'!L16,'25.07 Busega-Bulenga'!L16,'26.07 Busega-Bulenga-24h'!L16,'27.07 Busega-Bulenga-24h'!L16,'28.07 Busega-Bulenga'!L16)</f>
        <v>1.1428571428571428</v>
      </c>
      <c r="M16" s="49">
        <f>AVERAGE('22.07 Busega-Bulenga'!M16,'23.07 Busega-Bulenga'!M16,'24.07 Busega-Bulenga'!M16,'25.07 Busega-Bulenga'!M16,'26.07 Busega-Bulenga-24h'!M16,'27.07 Busega-Bulenga-24h'!M16,'28.07 Busega-Bulenga'!M16)</f>
        <v>265</v>
      </c>
      <c r="N16" s="49">
        <f>AVERAGE('22.07 Busega-Bulenga'!N16,'23.07 Busega-Bulenga'!N16,'24.07 Busega-Bulenga'!N16,'25.07 Busega-Bulenga'!N16,'26.07 Busega-Bulenga-24h'!N16,'27.07 Busega-Bulenga-24h'!N16,'28.07 Busega-Bulenga'!N16)</f>
        <v>0</v>
      </c>
      <c r="O16" s="15">
        <f t="shared" si="0"/>
        <v>100.85714285714285</v>
      </c>
      <c r="P16" s="15">
        <f t="shared" si="1"/>
        <v>365.85714285714283</v>
      </c>
      <c r="R16" s="1" t="s">
        <v>12</v>
      </c>
      <c r="S16" s="17">
        <f t="shared" ref="S16:AF16" si="8">SUM(C34:C37)</f>
        <v>176.28571428571428</v>
      </c>
      <c r="T16" s="17">
        <f t="shared" si="8"/>
        <v>29.714285714285712</v>
      </c>
      <c r="U16" s="17">
        <f t="shared" si="8"/>
        <v>17.857142857142858</v>
      </c>
      <c r="V16" s="17">
        <f t="shared" si="8"/>
        <v>106</v>
      </c>
      <c r="W16" s="17">
        <f t="shared" si="8"/>
        <v>1.9999999999999998</v>
      </c>
      <c r="X16" s="17">
        <f t="shared" si="8"/>
        <v>2.2857142857142856</v>
      </c>
      <c r="Y16" s="17">
        <f t="shared" si="8"/>
        <v>38.428571428571431</v>
      </c>
      <c r="Z16" s="17">
        <f t="shared" si="8"/>
        <v>26.142857142857146</v>
      </c>
      <c r="AA16" s="17">
        <f t="shared" si="8"/>
        <v>5.4285714285714279</v>
      </c>
      <c r="AB16" s="17">
        <f t="shared" si="8"/>
        <v>8.7142857142857153</v>
      </c>
      <c r="AC16" s="17">
        <f t="shared" si="8"/>
        <v>606.71428571428578</v>
      </c>
      <c r="AD16" s="17">
        <f t="shared" si="8"/>
        <v>0.14285714285714285</v>
      </c>
      <c r="AE16" s="31">
        <f t="shared" si="8"/>
        <v>413</v>
      </c>
      <c r="AF16" s="31">
        <f t="shared" si="8"/>
        <v>1019.7142857142857</v>
      </c>
    </row>
    <row r="17" spans="2:32" ht="23.1" customHeight="1" x14ac:dyDescent="0.25">
      <c r="B17" s="23" t="s">
        <v>44</v>
      </c>
      <c r="C17" s="49">
        <f>AVERAGE('22.07 Busega-Bulenga'!C17,'23.07 Busega-Bulenga'!C17,'24.07 Busega-Bulenga'!C17,'25.07 Busega-Bulenga'!C17,'26.07 Busega-Bulenga-24h'!C17,'27.07 Busega-Bulenga-24h'!C17,'28.07 Busega-Bulenga'!C17)</f>
        <v>43.714285714285715</v>
      </c>
      <c r="D17" s="49">
        <f>AVERAGE('22.07 Busega-Bulenga'!D17,'23.07 Busega-Bulenga'!D17,'24.07 Busega-Bulenga'!D17,'25.07 Busega-Bulenga'!D17,'26.07 Busega-Bulenga-24h'!D17,'27.07 Busega-Bulenga-24h'!D17,'28.07 Busega-Bulenga'!D17)</f>
        <v>8</v>
      </c>
      <c r="E17" s="49">
        <f>AVERAGE('22.07 Busega-Bulenga'!E17,'23.07 Busega-Bulenga'!E17,'24.07 Busega-Bulenga'!E17,'25.07 Busega-Bulenga'!E17,'26.07 Busega-Bulenga-24h'!E17,'27.07 Busega-Bulenga-24h'!E17,'28.07 Busega-Bulenga'!E17)</f>
        <v>5.1428571428571432</v>
      </c>
      <c r="F17" s="49">
        <f>AVERAGE('22.07 Busega-Bulenga'!F17,'23.07 Busega-Bulenga'!F17,'24.07 Busega-Bulenga'!F17,'25.07 Busega-Bulenga'!F17,'26.07 Busega-Bulenga-24h'!F17,'27.07 Busega-Bulenga-24h'!F17,'28.07 Busega-Bulenga'!F17)</f>
        <v>37.714285714285715</v>
      </c>
      <c r="G17" s="49">
        <f>AVERAGE('22.07 Busega-Bulenga'!G17,'23.07 Busega-Bulenga'!G17,'24.07 Busega-Bulenga'!G17,'25.07 Busega-Bulenga'!G17,'26.07 Busega-Bulenga-24h'!G17,'27.07 Busega-Bulenga-24h'!G17,'28.07 Busega-Bulenga'!G17)</f>
        <v>0.2857142857142857</v>
      </c>
      <c r="H17" s="49">
        <f>AVERAGE('22.07 Busega-Bulenga'!H17,'23.07 Busega-Bulenga'!H17,'24.07 Busega-Bulenga'!H17,'25.07 Busega-Bulenga'!H17,'26.07 Busega-Bulenga-24h'!H17,'27.07 Busega-Bulenga-24h'!H17,'28.07 Busega-Bulenga'!H17)</f>
        <v>0</v>
      </c>
      <c r="I17" s="49">
        <f>AVERAGE('22.07 Busega-Bulenga'!I17,'23.07 Busega-Bulenga'!I17,'24.07 Busega-Bulenga'!I17,'25.07 Busega-Bulenga'!I17,'26.07 Busega-Bulenga-24h'!I17,'27.07 Busega-Bulenga-24h'!I17,'28.07 Busega-Bulenga'!I17)</f>
        <v>7.5714285714285712</v>
      </c>
      <c r="J17" s="49">
        <f>AVERAGE('22.07 Busega-Bulenga'!J17,'23.07 Busega-Bulenga'!J17,'24.07 Busega-Bulenga'!J17,'25.07 Busega-Bulenga'!J17,'26.07 Busega-Bulenga-24h'!J17,'27.07 Busega-Bulenga-24h'!J17,'28.07 Busega-Bulenga'!J17)</f>
        <v>5.7142857142857144</v>
      </c>
      <c r="K17" s="49">
        <f>AVERAGE('22.07 Busega-Bulenga'!K17,'23.07 Busega-Bulenga'!K17,'24.07 Busega-Bulenga'!K17,'25.07 Busega-Bulenga'!K17,'26.07 Busega-Bulenga-24h'!K17,'27.07 Busega-Bulenga-24h'!K17,'28.07 Busega-Bulenga'!K17)</f>
        <v>1.7142857142857142</v>
      </c>
      <c r="L17" s="49">
        <f>AVERAGE('22.07 Busega-Bulenga'!L17,'23.07 Busega-Bulenga'!L17,'24.07 Busega-Bulenga'!L17,'25.07 Busega-Bulenga'!L17,'26.07 Busega-Bulenga-24h'!L17,'27.07 Busega-Bulenga-24h'!L17,'28.07 Busega-Bulenga'!L17)</f>
        <v>1.1428571428571428</v>
      </c>
      <c r="M17" s="49">
        <f>AVERAGE('22.07 Busega-Bulenga'!M17,'23.07 Busega-Bulenga'!M17,'24.07 Busega-Bulenga'!M17,'25.07 Busega-Bulenga'!M17,'26.07 Busega-Bulenga-24h'!M17,'27.07 Busega-Bulenga-24h'!M17,'28.07 Busega-Bulenga'!M17)</f>
        <v>280.71428571428572</v>
      </c>
      <c r="N17" s="49">
        <f>AVERAGE('22.07 Busega-Bulenga'!N17,'23.07 Busega-Bulenga'!N17,'24.07 Busega-Bulenga'!N17,'25.07 Busega-Bulenga'!N17,'26.07 Busega-Bulenga-24h'!N17,'27.07 Busega-Bulenga-24h'!N17,'28.07 Busega-Bulenga'!N17)</f>
        <v>0.2857142857142857</v>
      </c>
      <c r="O17" s="15">
        <f t="shared" si="0"/>
        <v>111.28571428571429</v>
      </c>
      <c r="P17" s="15">
        <f t="shared" si="1"/>
        <v>392</v>
      </c>
      <c r="R17" s="1" t="s">
        <v>13</v>
      </c>
      <c r="S17" s="17">
        <f t="shared" ref="S17:AF17" si="9">SUM(C38:C41)</f>
        <v>186.42857142857144</v>
      </c>
      <c r="T17" s="17">
        <f t="shared" si="9"/>
        <v>24.857142857142861</v>
      </c>
      <c r="U17" s="17">
        <f t="shared" si="9"/>
        <v>25</v>
      </c>
      <c r="V17" s="17">
        <f t="shared" si="9"/>
        <v>93.571428571428584</v>
      </c>
      <c r="W17" s="17">
        <f t="shared" si="9"/>
        <v>1.4285714285714284</v>
      </c>
      <c r="X17" s="17">
        <f t="shared" si="9"/>
        <v>2.1428571428571428</v>
      </c>
      <c r="Y17" s="17">
        <f t="shared" si="9"/>
        <v>37.428571428571431</v>
      </c>
      <c r="Z17" s="17">
        <f t="shared" si="9"/>
        <v>29.285714285714285</v>
      </c>
      <c r="AA17" s="17">
        <f t="shared" si="9"/>
        <v>6</v>
      </c>
      <c r="AB17" s="17">
        <f t="shared" si="9"/>
        <v>8.571428571428573</v>
      </c>
      <c r="AC17" s="17">
        <f t="shared" si="9"/>
        <v>572.28571428571422</v>
      </c>
      <c r="AD17" s="17">
        <f t="shared" si="9"/>
        <v>0.14285714285714285</v>
      </c>
      <c r="AE17" s="31">
        <f t="shared" si="9"/>
        <v>414.85714285714289</v>
      </c>
      <c r="AF17" s="31">
        <f t="shared" si="9"/>
        <v>987.14285714285722</v>
      </c>
    </row>
    <row r="18" spans="2:32" ht="23.1" customHeight="1" x14ac:dyDescent="0.25">
      <c r="B18" s="23" t="s">
        <v>45</v>
      </c>
      <c r="C18" s="49">
        <f>AVERAGE('22.07 Busega-Bulenga'!C18,'23.07 Busega-Bulenga'!C18,'24.07 Busega-Bulenga'!C18,'25.07 Busega-Bulenga'!C18,'26.07 Busega-Bulenga-24h'!C18,'27.07 Busega-Bulenga-24h'!C18,'28.07 Busega-Bulenga'!C18)</f>
        <v>39.571428571428569</v>
      </c>
      <c r="D18" s="49">
        <f>AVERAGE('22.07 Busega-Bulenga'!D18,'23.07 Busega-Bulenga'!D18,'24.07 Busega-Bulenga'!D18,'25.07 Busega-Bulenga'!D18,'26.07 Busega-Bulenga-24h'!D18,'27.07 Busega-Bulenga-24h'!D18,'28.07 Busega-Bulenga'!D18)</f>
        <v>7</v>
      </c>
      <c r="E18" s="49">
        <f>AVERAGE('22.07 Busega-Bulenga'!E18,'23.07 Busega-Bulenga'!E18,'24.07 Busega-Bulenga'!E18,'25.07 Busega-Bulenga'!E18,'26.07 Busega-Bulenga-24h'!E18,'27.07 Busega-Bulenga-24h'!E18,'28.07 Busega-Bulenga'!E18)</f>
        <v>4.7142857142857144</v>
      </c>
      <c r="F18" s="49">
        <f>AVERAGE('22.07 Busega-Bulenga'!F18,'23.07 Busega-Bulenga'!F18,'24.07 Busega-Bulenga'!F18,'25.07 Busega-Bulenga'!F18,'26.07 Busega-Bulenga-24h'!F18,'27.07 Busega-Bulenga-24h'!F18,'28.07 Busega-Bulenga'!F18)</f>
        <v>24.142857142857142</v>
      </c>
      <c r="G18" s="49">
        <f>AVERAGE('22.07 Busega-Bulenga'!G18,'23.07 Busega-Bulenga'!G18,'24.07 Busega-Bulenga'!G18,'25.07 Busega-Bulenga'!G18,'26.07 Busega-Bulenga-24h'!G18,'27.07 Busega-Bulenga-24h'!G18,'28.07 Busega-Bulenga'!G18)</f>
        <v>0.42857142857142855</v>
      </c>
      <c r="H18" s="49">
        <f>AVERAGE('22.07 Busega-Bulenga'!H18,'23.07 Busega-Bulenga'!H18,'24.07 Busega-Bulenga'!H18,'25.07 Busega-Bulenga'!H18,'26.07 Busega-Bulenga-24h'!H18,'27.07 Busega-Bulenga-24h'!H18,'28.07 Busega-Bulenga'!H18)</f>
        <v>0.42857142857142855</v>
      </c>
      <c r="I18" s="49">
        <f>AVERAGE('22.07 Busega-Bulenga'!I18,'23.07 Busega-Bulenga'!I18,'24.07 Busega-Bulenga'!I18,'25.07 Busega-Bulenga'!I18,'26.07 Busega-Bulenga-24h'!I18,'27.07 Busega-Bulenga-24h'!I18,'28.07 Busega-Bulenga'!I18)</f>
        <v>10.285714285714286</v>
      </c>
      <c r="J18" s="49">
        <f>AVERAGE('22.07 Busega-Bulenga'!J18,'23.07 Busega-Bulenga'!J18,'24.07 Busega-Bulenga'!J18,'25.07 Busega-Bulenga'!J18,'26.07 Busega-Bulenga-24h'!J18,'27.07 Busega-Bulenga-24h'!J18,'28.07 Busega-Bulenga'!J18)</f>
        <v>5.2857142857142856</v>
      </c>
      <c r="K18" s="49">
        <f>AVERAGE('22.07 Busega-Bulenga'!K18,'23.07 Busega-Bulenga'!K18,'24.07 Busega-Bulenga'!K18,'25.07 Busega-Bulenga'!K18,'26.07 Busega-Bulenga-24h'!K18,'27.07 Busega-Bulenga-24h'!K18,'28.07 Busega-Bulenga'!K18)</f>
        <v>1.1428571428571428</v>
      </c>
      <c r="L18" s="49">
        <f>AVERAGE('22.07 Busega-Bulenga'!L18,'23.07 Busega-Bulenga'!L18,'24.07 Busega-Bulenga'!L18,'25.07 Busega-Bulenga'!L18,'26.07 Busega-Bulenga-24h'!L18,'27.07 Busega-Bulenga-24h'!L18,'28.07 Busega-Bulenga'!L18)</f>
        <v>1.5714285714285714</v>
      </c>
      <c r="M18" s="49">
        <f>AVERAGE('22.07 Busega-Bulenga'!M18,'23.07 Busega-Bulenga'!M18,'24.07 Busega-Bulenga'!M18,'25.07 Busega-Bulenga'!M18,'26.07 Busega-Bulenga-24h'!M18,'27.07 Busega-Bulenga-24h'!M18,'28.07 Busega-Bulenga'!M18)</f>
        <v>303.71428571428572</v>
      </c>
      <c r="N18" s="49">
        <f>AVERAGE('22.07 Busega-Bulenga'!N18,'23.07 Busega-Bulenga'!N18,'24.07 Busega-Bulenga'!N18,'25.07 Busega-Bulenga'!N18,'26.07 Busega-Bulenga-24h'!N18,'27.07 Busega-Bulenga-24h'!N18,'28.07 Busega-Bulenga'!N18)</f>
        <v>0</v>
      </c>
      <c r="O18" s="15">
        <f t="shared" si="0"/>
        <v>94.571428571428584</v>
      </c>
      <c r="P18" s="15">
        <f t="shared" si="1"/>
        <v>398.28571428571433</v>
      </c>
      <c r="R18" s="1" t="s">
        <v>14</v>
      </c>
      <c r="S18" s="17">
        <f t="shared" ref="S18:AF18" si="10">SUM(C42:C45)</f>
        <v>204.14285714285717</v>
      </c>
      <c r="T18" s="17">
        <f t="shared" si="10"/>
        <v>31.142857142857146</v>
      </c>
      <c r="U18" s="17">
        <f t="shared" si="10"/>
        <v>21.714285714285715</v>
      </c>
      <c r="V18" s="17">
        <f t="shared" si="10"/>
        <v>89.285714285714278</v>
      </c>
      <c r="W18" s="17">
        <f t="shared" si="10"/>
        <v>1.8571428571428568</v>
      </c>
      <c r="X18" s="17">
        <f t="shared" si="10"/>
        <v>2.4285714285714284</v>
      </c>
      <c r="Y18" s="17">
        <f t="shared" si="10"/>
        <v>38.714285714285715</v>
      </c>
      <c r="Z18" s="17">
        <f t="shared" si="10"/>
        <v>27.142857142857146</v>
      </c>
      <c r="AA18" s="17">
        <f t="shared" si="10"/>
        <v>11</v>
      </c>
      <c r="AB18" s="17">
        <f t="shared" si="10"/>
        <v>8.7142857142857153</v>
      </c>
      <c r="AC18" s="17">
        <f t="shared" si="10"/>
        <v>605.85714285714289</v>
      </c>
      <c r="AD18" s="17">
        <f t="shared" si="10"/>
        <v>0</v>
      </c>
      <c r="AE18" s="31">
        <f t="shared" si="10"/>
        <v>436.14285714285711</v>
      </c>
      <c r="AF18" s="31">
        <f t="shared" si="10"/>
        <v>1042</v>
      </c>
    </row>
    <row r="19" spans="2:32" ht="23.1" customHeight="1" x14ac:dyDescent="0.25">
      <c r="B19" s="23" t="s">
        <v>46</v>
      </c>
      <c r="C19" s="49">
        <f>AVERAGE('22.07 Busega-Bulenga'!C19,'23.07 Busega-Bulenga'!C19,'24.07 Busega-Bulenga'!C19,'25.07 Busega-Bulenga'!C19,'26.07 Busega-Bulenga-24h'!C19,'27.07 Busega-Bulenga-24h'!C19,'28.07 Busega-Bulenga'!C19)</f>
        <v>35.571428571428569</v>
      </c>
      <c r="D19" s="49">
        <f>AVERAGE('22.07 Busega-Bulenga'!D19,'23.07 Busega-Bulenga'!D19,'24.07 Busega-Bulenga'!D19,'25.07 Busega-Bulenga'!D19,'26.07 Busega-Bulenga-24h'!D19,'27.07 Busega-Bulenga-24h'!D19,'28.07 Busega-Bulenga'!D19)</f>
        <v>5.1428571428571432</v>
      </c>
      <c r="E19" s="49">
        <f>AVERAGE('22.07 Busega-Bulenga'!E19,'23.07 Busega-Bulenga'!E19,'24.07 Busega-Bulenga'!E19,'25.07 Busega-Bulenga'!E19,'26.07 Busega-Bulenga-24h'!E19,'27.07 Busega-Bulenga-24h'!E19,'28.07 Busega-Bulenga'!E19)</f>
        <v>4</v>
      </c>
      <c r="F19" s="49">
        <f>AVERAGE('22.07 Busega-Bulenga'!F19,'23.07 Busega-Bulenga'!F19,'24.07 Busega-Bulenga'!F19,'25.07 Busega-Bulenga'!F19,'26.07 Busega-Bulenga-24h'!F19,'27.07 Busega-Bulenga-24h'!F19,'28.07 Busega-Bulenga'!F19)</f>
        <v>25.142857142857142</v>
      </c>
      <c r="G19" s="49">
        <f>AVERAGE('22.07 Busega-Bulenga'!G19,'23.07 Busega-Bulenga'!G19,'24.07 Busega-Bulenga'!G19,'25.07 Busega-Bulenga'!G19,'26.07 Busega-Bulenga-24h'!G19,'27.07 Busega-Bulenga-24h'!G19,'28.07 Busega-Bulenga'!G19)</f>
        <v>1.1428571428571428</v>
      </c>
      <c r="H19" s="49">
        <f>AVERAGE('22.07 Busega-Bulenga'!H19,'23.07 Busega-Bulenga'!H19,'24.07 Busega-Bulenga'!H19,'25.07 Busega-Bulenga'!H19,'26.07 Busega-Bulenga-24h'!H19,'27.07 Busega-Bulenga-24h'!H19,'28.07 Busega-Bulenga'!H19)</f>
        <v>0.7142857142857143</v>
      </c>
      <c r="I19" s="49">
        <f>AVERAGE('22.07 Busega-Bulenga'!I19,'23.07 Busega-Bulenga'!I19,'24.07 Busega-Bulenga'!I19,'25.07 Busega-Bulenga'!I19,'26.07 Busega-Bulenga-24h'!I19,'27.07 Busega-Bulenga-24h'!I19,'28.07 Busega-Bulenga'!I19)</f>
        <v>7.5714285714285712</v>
      </c>
      <c r="J19" s="49">
        <f>AVERAGE('22.07 Busega-Bulenga'!J19,'23.07 Busega-Bulenga'!J19,'24.07 Busega-Bulenga'!J19,'25.07 Busega-Bulenga'!J19,'26.07 Busega-Bulenga-24h'!J19,'27.07 Busega-Bulenga-24h'!J19,'28.07 Busega-Bulenga'!J19)</f>
        <v>4.8571428571428568</v>
      </c>
      <c r="K19" s="49">
        <f>AVERAGE('22.07 Busega-Bulenga'!K19,'23.07 Busega-Bulenga'!K19,'24.07 Busega-Bulenga'!K19,'25.07 Busega-Bulenga'!K19,'26.07 Busega-Bulenga-24h'!K19,'27.07 Busega-Bulenga-24h'!K19,'28.07 Busega-Bulenga'!K19)</f>
        <v>1.1428571428571428</v>
      </c>
      <c r="L19" s="49">
        <f>AVERAGE('22.07 Busega-Bulenga'!L19,'23.07 Busega-Bulenga'!L19,'24.07 Busega-Bulenga'!L19,'25.07 Busega-Bulenga'!L19,'26.07 Busega-Bulenga-24h'!L19,'27.07 Busega-Bulenga-24h'!L19,'28.07 Busega-Bulenga'!L19)</f>
        <v>1.1428571428571428</v>
      </c>
      <c r="M19" s="49">
        <f>AVERAGE('22.07 Busega-Bulenga'!M19,'23.07 Busega-Bulenga'!M19,'24.07 Busega-Bulenga'!M19,'25.07 Busega-Bulenga'!M19,'26.07 Busega-Bulenga-24h'!M19,'27.07 Busega-Bulenga-24h'!M19,'28.07 Busega-Bulenga'!M19)</f>
        <v>247.28571428571428</v>
      </c>
      <c r="N19" s="49">
        <f>AVERAGE('22.07 Busega-Bulenga'!N19,'23.07 Busega-Bulenga'!N19,'24.07 Busega-Bulenga'!N19,'25.07 Busega-Bulenga'!N19,'26.07 Busega-Bulenga-24h'!N19,'27.07 Busega-Bulenga-24h'!N19,'28.07 Busega-Bulenga'!N19)</f>
        <v>0</v>
      </c>
      <c r="O19" s="15">
        <f t="shared" si="0"/>
        <v>86.428571428571416</v>
      </c>
      <c r="P19" s="15">
        <f t="shared" si="1"/>
        <v>333.71428571428567</v>
      </c>
      <c r="R19" s="1" t="s">
        <v>15</v>
      </c>
      <c r="S19" s="17">
        <f t="shared" ref="S19:AF19" si="11">SUM(C46:C49)</f>
        <v>191.28571428571431</v>
      </c>
      <c r="T19" s="17">
        <f t="shared" si="11"/>
        <v>23.428571428571431</v>
      </c>
      <c r="U19" s="17">
        <f t="shared" si="11"/>
        <v>23.285714285714285</v>
      </c>
      <c r="V19" s="17">
        <f t="shared" si="11"/>
        <v>91.285714285714278</v>
      </c>
      <c r="W19" s="17">
        <f t="shared" si="11"/>
        <v>4</v>
      </c>
      <c r="X19" s="17">
        <f t="shared" si="11"/>
        <v>1.8571428571428572</v>
      </c>
      <c r="Y19" s="17">
        <f t="shared" si="11"/>
        <v>30.571428571428577</v>
      </c>
      <c r="Z19" s="17">
        <f t="shared" si="11"/>
        <v>23.428571428571431</v>
      </c>
      <c r="AA19" s="17">
        <f t="shared" si="11"/>
        <v>7.2857142857142856</v>
      </c>
      <c r="AB19" s="17">
        <f t="shared" si="11"/>
        <v>8.5714285714285712</v>
      </c>
      <c r="AC19" s="17">
        <f t="shared" si="11"/>
        <v>795.57142857142856</v>
      </c>
      <c r="AD19" s="17">
        <f t="shared" si="11"/>
        <v>0</v>
      </c>
      <c r="AE19" s="31">
        <f t="shared" si="11"/>
        <v>405</v>
      </c>
      <c r="AF19" s="31">
        <f t="shared" si="11"/>
        <v>1200.5714285714287</v>
      </c>
    </row>
    <row r="20" spans="2:32" ht="23.1" customHeight="1" x14ac:dyDescent="0.25">
      <c r="B20" s="23" t="s">
        <v>47</v>
      </c>
      <c r="C20" s="49">
        <f>AVERAGE('22.07 Busega-Bulenga'!C20,'23.07 Busega-Bulenga'!C20,'24.07 Busega-Bulenga'!C20,'25.07 Busega-Bulenga'!C20,'26.07 Busega-Bulenga-24h'!C20,'27.07 Busega-Bulenga-24h'!C20,'28.07 Busega-Bulenga'!C20)</f>
        <v>40.142857142857146</v>
      </c>
      <c r="D20" s="49">
        <f>AVERAGE('22.07 Busega-Bulenga'!D20,'23.07 Busega-Bulenga'!D20,'24.07 Busega-Bulenga'!D20,'25.07 Busega-Bulenga'!D20,'26.07 Busega-Bulenga-24h'!D20,'27.07 Busega-Bulenga-24h'!D20,'28.07 Busega-Bulenga'!D20)</f>
        <v>5</v>
      </c>
      <c r="E20" s="49">
        <f>AVERAGE('22.07 Busega-Bulenga'!E20,'23.07 Busega-Bulenga'!E20,'24.07 Busega-Bulenga'!E20,'25.07 Busega-Bulenga'!E20,'26.07 Busega-Bulenga-24h'!E20,'27.07 Busega-Bulenga-24h'!E20,'28.07 Busega-Bulenga'!E20)</f>
        <v>5.7142857142857144</v>
      </c>
      <c r="F20" s="49">
        <f>AVERAGE('22.07 Busega-Bulenga'!F20,'23.07 Busega-Bulenga'!F20,'24.07 Busega-Bulenga'!F20,'25.07 Busega-Bulenga'!F20,'26.07 Busega-Bulenga-24h'!F20,'27.07 Busega-Bulenga-24h'!F20,'28.07 Busega-Bulenga'!F20)</f>
        <v>36.571428571428569</v>
      </c>
      <c r="G20" s="49">
        <f>AVERAGE('22.07 Busega-Bulenga'!G20,'23.07 Busega-Bulenga'!G20,'24.07 Busega-Bulenga'!G20,'25.07 Busega-Bulenga'!G20,'26.07 Busega-Bulenga-24h'!G20,'27.07 Busega-Bulenga-24h'!G20,'28.07 Busega-Bulenga'!G20)</f>
        <v>0.5714285714285714</v>
      </c>
      <c r="H20" s="49">
        <f>AVERAGE('22.07 Busega-Bulenga'!H20,'23.07 Busega-Bulenga'!H20,'24.07 Busega-Bulenga'!H20,'25.07 Busega-Bulenga'!H20,'26.07 Busega-Bulenga-24h'!H20,'27.07 Busega-Bulenga-24h'!H20,'28.07 Busega-Bulenga'!H20)</f>
        <v>0.2857142857142857</v>
      </c>
      <c r="I20" s="49">
        <f>AVERAGE('22.07 Busega-Bulenga'!I20,'23.07 Busega-Bulenga'!I20,'24.07 Busega-Bulenga'!I20,'25.07 Busega-Bulenga'!I20,'26.07 Busega-Bulenga-24h'!I20,'27.07 Busega-Bulenga-24h'!I20,'28.07 Busega-Bulenga'!I20)</f>
        <v>7.1428571428571432</v>
      </c>
      <c r="J20" s="49">
        <f>AVERAGE('22.07 Busega-Bulenga'!J20,'23.07 Busega-Bulenga'!J20,'24.07 Busega-Bulenga'!J20,'25.07 Busega-Bulenga'!J20,'26.07 Busega-Bulenga-24h'!J20,'27.07 Busega-Bulenga-24h'!J20,'28.07 Busega-Bulenga'!J20)</f>
        <v>7.4285714285714288</v>
      </c>
      <c r="K20" s="49">
        <f>AVERAGE('22.07 Busega-Bulenga'!K20,'23.07 Busega-Bulenga'!K20,'24.07 Busega-Bulenga'!K20,'25.07 Busega-Bulenga'!K20,'26.07 Busega-Bulenga-24h'!K20,'27.07 Busega-Bulenga-24h'!K20,'28.07 Busega-Bulenga'!K20)</f>
        <v>1.4285714285714286</v>
      </c>
      <c r="L20" s="49">
        <f>AVERAGE('22.07 Busega-Bulenga'!L20,'23.07 Busega-Bulenga'!L20,'24.07 Busega-Bulenga'!L20,'25.07 Busega-Bulenga'!L20,'26.07 Busega-Bulenga-24h'!L20,'27.07 Busega-Bulenga-24h'!L20,'28.07 Busega-Bulenga'!L20)</f>
        <v>1.2857142857142858</v>
      </c>
      <c r="M20" s="49">
        <f>AVERAGE('22.07 Busega-Bulenga'!M20,'23.07 Busega-Bulenga'!M20,'24.07 Busega-Bulenga'!M20,'25.07 Busega-Bulenga'!M20,'26.07 Busega-Bulenga-24h'!M20,'27.07 Busega-Bulenga-24h'!M20,'28.07 Busega-Bulenga'!M20)</f>
        <v>255.28571428571428</v>
      </c>
      <c r="N20" s="49">
        <f>AVERAGE('22.07 Busega-Bulenga'!N20,'23.07 Busega-Bulenga'!N20,'24.07 Busega-Bulenga'!N20,'25.07 Busega-Bulenga'!N20,'26.07 Busega-Bulenga-24h'!N20,'27.07 Busega-Bulenga-24h'!N20,'28.07 Busega-Bulenga'!N20)</f>
        <v>0</v>
      </c>
      <c r="O20" s="15">
        <f t="shared" si="0"/>
        <v>105.57142857142858</v>
      </c>
      <c r="P20" s="15">
        <f t="shared" si="1"/>
        <v>360.85714285714289</v>
      </c>
      <c r="R20" s="1" t="s">
        <v>16</v>
      </c>
      <c r="S20" s="17">
        <f t="shared" ref="S20:AF20" si="12">SUM(C50:C53)</f>
        <v>361.28571428571428</v>
      </c>
      <c r="T20" s="17">
        <f t="shared" si="12"/>
        <v>32</v>
      </c>
      <c r="U20" s="17">
        <f t="shared" si="12"/>
        <v>27.142857142857139</v>
      </c>
      <c r="V20" s="17">
        <f t="shared" si="12"/>
        <v>124</v>
      </c>
      <c r="W20" s="17">
        <f t="shared" si="12"/>
        <v>3</v>
      </c>
      <c r="X20" s="17">
        <f t="shared" si="12"/>
        <v>2.4285714285714284</v>
      </c>
      <c r="Y20" s="17">
        <f t="shared" si="12"/>
        <v>35.857142857142854</v>
      </c>
      <c r="Z20" s="17">
        <f t="shared" si="12"/>
        <v>26.428571428571427</v>
      </c>
      <c r="AA20" s="17">
        <f t="shared" si="12"/>
        <v>7.7142857142857135</v>
      </c>
      <c r="AB20" s="17">
        <f t="shared" si="12"/>
        <v>6.8571428571428568</v>
      </c>
      <c r="AC20" s="17">
        <f t="shared" si="12"/>
        <v>950.28571428571433</v>
      </c>
      <c r="AD20" s="17">
        <f t="shared" si="12"/>
        <v>0</v>
      </c>
      <c r="AE20" s="31">
        <f t="shared" si="12"/>
        <v>626.71428571428567</v>
      </c>
      <c r="AF20" s="31">
        <f t="shared" si="12"/>
        <v>1576.9999999999998</v>
      </c>
    </row>
    <row r="21" spans="2:32" ht="23.1" customHeight="1" x14ac:dyDescent="0.25">
      <c r="B21" s="23" t="s">
        <v>48</v>
      </c>
      <c r="C21" s="49">
        <f>AVERAGE('22.07 Busega-Bulenga'!C21,'23.07 Busega-Bulenga'!C21,'24.07 Busega-Bulenga'!C21,'25.07 Busega-Bulenga'!C21,'26.07 Busega-Bulenga-24h'!C21,'27.07 Busega-Bulenga-24h'!C21,'28.07 Busega-Bulenga'!C21)</f>
        <v>40.428571428571431</v>
      </c>
      <c r="D21" s="49">
        <f>AVERAGE('22.07 Busega-Bulenga'!D21,'23.07 Busega-Bulenga'!D21,'24.07 Busega-Bulenga'!D21,'25.07 Busega-Bulenga'!D21,'26.07 Busega-Bulenga-24h'!D21,'27.07 Busega-Bulenga-24h'!D21,'28.07 Busega-Bulenga'!D21)</f>
        <v>7.2857142857142856</v>
      </c>
      <c r="E21" s="49">
        <f>AVERAGE('22.07 Busega-Bulenga'!E21,'23.07 Busega-Bulenga'!E21,'24.07 Busega-Bulenga'!E21,'25.07 Busega-Bulenga'!E21,'26.07 Busega-Bulenga-24h'!E21,'27.07 Busega-Bulenga-24h'!E21,'28.07 Busega-Bulenga'!E21)</f>
        <v>5</v>
      </c>
      <c r="F21" s="49">
        <f>AVERAGE('22.07 Busega-Bulenga'!F21,'23.07 Busega-Bulenga'!F21,'24.07 Busega-Bulenga'!F21,'25.07 Busega-Bulenga'!F21,'26.07 Busega-Bulenga-24h'!F21,'27.07 Busega-Bulenga-24h'!F21,'28.07 Busega-Bulenga'!F21)</f>
        <v>25.571428571428573</v>
      </c>
      <c r="G21" s="49">
        <f>AVERAGE('22.07 Busega-Bulenga'!G21,'23.07 Busega-Bulenga'!G21,'24.07 Busega-Bulenga'!G21,'25.07 Busega-Bulenga'!G21,'26.07 Busega-Bulenga-24h'!G21,'27.07 Busega-Bulenga-24h'!G21,'28.07 Busega-Bulenga'!G21)</f>
        <v>0.14285714285714285</v>
      </c>
      <c r="H21" s="49">
        <f>AVERAGE('22.07 Busega-Bulenga'!H21,'23.07 Busega-Bulenga'!H21,'24.07 Busega-Bulenga'!H21,'25.07 Busega-Bulenga'!H21,'26.07 Busega-Bulenga-24h'!H21,'27.07 Busega-Bulenga-24h'!H21,'28.07 Busega-Bulenga'!H21)</f>
        <v>0.5714285714285714</v>
      </c>
      <c r="I21" s="49">
        <f>AVERAGE('22.07 Busega-Bulenga'!I21,'23.07 Busega-Bulenga'!I21,'24.07 Busega-Bulenga'!I21,'25.07 Busega-Bulenga'!I21,'26.07 Busega-Bulenga-24h'!I21,'27.07 Busega-Bulenga-24h'!I21,'28.07 Busega-Bulenga'!I21)</f>
        <v>8.1428571428571423</v>
      </c>
      <c r="J21" s="49">
        <f>AVERAGE('22.07 Busega-Bulenga'!J21,'23.07 Busega-Bulenga'!J21,'24.07 Busega-Bulenga'!J21,'25.07 Busega-Bulenga'!J21,'26.07 Busega-Bulenga-24h'!J21,'27.07 Busega-Bulenga-24h'!J21,'28.07 Busega-Bulenga'!J21)</f>
        <v>7.5714285714285712</v>
      </c>
      <c r="K21" s="49">
        <f>AVERAGE('22.07 Busega-Bulenga'!K21,'23.07 Busega-Bulenga'!K21,'24.07 Busega-Bulenga'!K21,'25.07 Busega-Bulenga'!K21,'26.07 Busega-Bulenga-24h'!K21,'27.07 Busega-Bulenga-24h'!K21,'28.07 Busega-Bulenga'!K21)</f>
        <v>0.8571428571428571</v>
      </c>
      <c r="L21" s="49">
        <f>AVERAGE('22.07 Busega-Bulenga'!L21,'23.07 Busega-Bulenga'!L21,'24.07 Busega-Bulenga'!L21,'25.07 Busega-Bulenga'!L21,'26.07 Busega-Bulenga-24h'!L21,'27.07 Busega-Bulenga-24h'!L21,'28.07 Busega-Bulenga'!L21)</f>
        <v>1.4285714285714286</v>
      </c>
      <c r="M21" s="49">
        <f>AVERAGE('22.07 Busega-Bulenga'!M21,'23.07 Busega-Bulenga'!M21,'24.07 Busega-Bulenga'!M21,'25.07 Busega-Bulenga'!M21,'26.07 Busega-Bulenga-24h'!M21,'27.07 Busega-Bulenga-24h'!M21,'28.07 Busega-Bulenga'!M21)</f>
        <v>213.28571428571428</v>
      </c>
      <c r="N21" s="49">
        <f>AVERAGE('22.07 Busega-Bulenga'!N21,'23.07 Busega-Bulenga'!N21,'24.07 Busega-Bulenga'!N21,'25.07 Busega-Bulenga'!N21,'26.07 Busega-Bulenga-24h'!N21,'27.07 Busega-Bulenga-24h'!N21,'28.07 Busega-Bulenga'!N21)</f>
        <v>0</v>
      </c>
      <c r="O21" s="15">
        <f t="shared" si="0"/>
        <v>97</v>
      </c>
      <c r="P21" s="15">
        <f t="shared" si="1"/>
        <v>310.28571428571428</v>
      </c>
      <c r="R21" s="36" t="s">
        <v>20</v>
      </c>
      <c r="S21" s="34">
        <f t="shared" ref="S21:AF33" si="13">SUM(C54:C57)</f>
        <v>435.57142857142856</v>
      </c>
      <c r="T21" s="17">
        <f t="shared" si="13"/>
        <v>29.142857142857139</v>
      </c>
      <c r="U21" s="17">
        <f t="shared" si="13"/>
        <v>21.857142857142858</v>
      </c>
      <c r="V21" s="17">
        <f t="shared" si="13"/>
        <v>190.85714285714286</v>
      </c>
      <c r="W21" s="17">
        <f t="shared" si="13"/>
        <v>6.5714285714285712</v>
      </c>
      <c r="X21" s="17">
        <f t="shared" si="13"/>
        <v>3</v>
      </c>
      <c r="Y21" s="17">
        <f t="shared" si="13"/>
        <v>30.857142857142861</v>
      </c>
      <c r="Z21" s="17">
        <f t="shared" si="13"/>
        <v>32</v>
      </c>
      <c r="AA21" s="17">
        <f t="shared" si="13"/>
        <v>9.2857142857142847</v>
      </c>
      <c r="AB21" s="17">
        <f t="shared" si="13"/>
        <v>9.571428571428573</v>
      </c>
      <c r="AC21" s="17">
        <f t="shared" si="13"/>
        <v>1085.8571428571429</v>
      </c>
      <c r="AD21" s="17">
        <f t="shared" si="13"/>
        <v>0</v>
      </c>
      <c r="AE21" s="31">
        <f t="shared" si="13"/>
        <v>768.71428571428578</v>
      </c>
      <c r="AF21" s="31">
        <f t="shared" si="13"/>
        <v>1854.5714285714287</v>
      </c>
    </row>
    <row r="22" spans="2:32" ht="23.1" customHeight="1" x14ac:dyDescent="0.25">
      <c r="B22" s="23" t="s">
        <v>49</v>
      </c>
      <c r="C22" s="49">
        <f>AVERAGE('22.07 Busega-Bulenga'!C22,'23.07 Busega-Bulenga'!C22,'24.07 Busega-Bulenga'!C22,'25.07 Busega-Bulenga'!C22,'26.07 Busega-Bulenga-24h'!C22,'27.07 Busega-Bulenga-24h'!C22,'28.07 Busega-Bulenga'!C22)</f>
        <v>40.571428571428569</v>
      </c>
      <c r="D22" s="49">
        <f>AVERAGE('22.07 Busega-Bulenga'!D22,'23.07 Busega-Bulenga'!D22,'24.07 Busega-Bulenga'!D22,'25.07 Busega-Bulenga'!D22,'26.07 Busega-Bulenga-24h'!D22,'27.07 Busega-Bulenga-24h'!D22,'28.07 Busega-Bulenga'!D22)</f>
        <v>5.8571428571428568</v>
      </c>
      <c r="E22" s="49">
        <f>AVERAGE('22.07 Busega-Bulenga'!E22,'23.07 Busega-Bulenga'!E22,'24.07 Busega-Bulenga'!E22,'25.07 Busega-Bulenga'!E22,'26.07 Busega-Bulenga-24h'!E22,'27.07 Busega-Bulenga-24h'!E22,'28.07 Busega-Bulenga'!E22)</f>
        <v>6.2857142857142856</v>
      </c>
      <c r="F22" s="49">
        <f>AVERAGE('22.07 Busega-Bulenga'!F22,'23.07 Busega-Bulenga'!F22,'24.07 Busega-Bulenga'!F22,'25.07 Busega-Bulenga'!F22,'26.07 Busega-Bulenga-24h'!F22,'27.07 Busega-Bulenga-24h'!F22,'28.07 Busega-Bulenga'!F22)</f>
        <v>31.285714285714285</v>
      </c>
      <c r="G22" s="49">
        <f>AVERAGE('22.07 Busega-Bulenga'!G22,'23.07 Busega-Bulenga'!G22,'24.07 Busega-Bulenga'!G22,'25.07 Busega-Bulenga'!G22,'26.07 Busega-Bulenga-24h'!G22,'27.07 Busega-Bulenga-24h'!G22,'28.07 Busega-Bulenga'!G22)</f>
        <v>0.5714285714285714</v>
      </c>
      <c r="H22" s="49">
        <f>AVERAGE('22.07 Busega-Bulenga'!H22,'23.07 Busega-Bulenga'!H22,'24.07 Busega-Bulenga'!H22,'25.07 Busega-Bulenga'!H22,'26.07 Busega-Bulenga-24h'!H22,'27.07 Busega-Bulenga-24h'!H22,'28.07 Busega-Bulenga'!H22)</f>
        <v>0.2857142857142857</v>
      </c>
      <c r="I22" s="49">
        <f>AVERAGE('22.07 Busega-Bulenga'!I22,'23.07 Busega-Bulenga'!I22,'24.07 Busega-Bulenga'!I22,'25.07 Busega-Bulenga'!I22,'26.07 Busega-Bulenga-24h'!I22,'27.07 Busega-Bulenga-24h'!I22,'28.07 Busega-Bulenga'!I22)</f>
        <v>11.428571428571429</v>
      </c>
      <c r="J22" s="49">
        <f>AVERAGE('22.07 Busega-Bulenga'!J22,'23.07 Busega-Bulenga'!J22,'24.07 Busega-Bulenga'!J22,'25.07 Busega-Bulenga'!J22,'26.07 Busega-Bulenga-24h'!J22,'27.07 Busega-Bulenga-24h'!J22,'28.07 Busega-Bulenga'!J22)</f>
        <v>6.8571428571428568</v>
      </c>
      <c r="K22" s="49">
        <f>AVERAGE('22.07 Busega-Bulenga'!K22,'23.07 Busega-Bulenga'!K22,'24.07 Busega-Bulenga'!K22,'25.07 Busega-Bulenga'!K22,'26.07 Busega-Bulenga-24h'!K22,'27.07 Busega-Bulenga-24h'!K22,'28.07 Busega-Bulenga'!K22)</f>
        <v>2.4285714285714284</v>
      </c>
      <c r="L22" s="49">
        <f>AVERAGE('22.07 Busega-Bulenga'!L22,'23.07 Busega-Bulenga'!L22,'24.07 Busega-Bulenga'!L22,'25.07 Busega-Bulenga'!L22,'26.07 Busega-Bulenga-24h'!L22,'27.07 Busega-Bulenga-24h'!L22,'28.07 Busega-Bulenga'!L22)</f>
        <v>1.4285714285714286</v>
      </c>
      <c r="M22" s="49">
        <f>AVERAGE('22.07 Busega-Bulenga'!M22,'23.07 Busega-Bulenga'!M22,'24.07 Busega-Bulenga'!M22,'25.07 Busega-Bulenga'!M22,'26.07 Busega-Bulenga-24h'!M22,'27.07 Busega-Bulenga-24h'!M22,'28.07 Busega-Bulenga'!M22)</f>
        <v>230.57142857142858</v>
      </c>
      <c r="N22" s="49">
        <f>AVERAGE('22.07 Busega-Bulenga'!N22,'23.07 Busega-Bulenga'!N22,'24.07 Busega-Bulenga'!N22,'25.07 Busega-Bulenga'!N22,'26.07 Busega-Bulenga-24h'!N22,'27.07 Busega-Bulenga-24h'!N22,'28.07 Busega-Bulenga'!N22)</f>
        <v>0</v>
      </c>
      <c r="O22" s="15">
        <f t="shared" si="0"/>
        <v>107.00000000000001</v>
      </c>
      <c r="P22" s="15">
        <f t="shared" si="1"/>
        <v>337.57142857142861</v>
      </c>
      <c r="R22" s="1" t="s">
        <v>146</v>
      </c>
      <c r="S22" s="34">
        <f>SUM(C58:C61)</f>
        <v>246.66666666666669</v>
      </c>
      <c r="T22" s="34">
        <f t="shared" ref="T22:AD22" si="14">SUM(D58:D61)</f>
        <v>39.999999999999993</v>
      </c>
      <c r="U22" s="34">
        <f t="shared" si="14"/>
        <v>21.666666666666664</v>
      </c>
      <c r="V22" s="34">
        <f t="shared" si="14"/>
        <v>84</v>
      </c>
      <c r="W22" s="34">
        <f t="shared" si="14"/>
        <v>6.6666666666666661</v>
      </c>
      <c r="X22" s="34">
        <f t="shared" si="14"/>
        <v>4</v>
      </c>
      <c r="Y22" s="34">
        <f t="shared" si="14"/>
        <v>23.666666666666664</v>
      </c>
      <c r="Z22" s="34">
        <f t="shared" si="14"/>
        <v>18.333333333333336</v>
      </c>
      <c r="AA22" s="34">
        <f t="shared" si="14"/>
        <v>7.3333333333333339</v>
      </c>
      <c r="AB22" s="34">
        <f t="shared" si="14"/>
        <v>4</v>
      </c>
      <c r="AC22" s="34">
        <f t="shared" si="14"/>
        <v>400.66666666666669</v>
      </c>
      <c r="AD22" s="34">
        <f t="shared" si="14"/>
        <v>0.33333333333333331</v>
      </c>
      <c r="AE22" s="31">
        <f t="shared" si="13"/>
        <v>686.52380952380952</v>
      </c>
      <c r="AF22" s="31">
        <f t="shared" si="13"/>
        <v>1580.4285714285716</v>
      </c>
    </row>
    <row r="23" spans="2:32" ht="23.1" customHeight="1" x14ac:dyDescent="0.25">
      <c r="B23" s="23" t="s">
        <v>50</v>
      </c>
      <c r="C23" s="49">
        <f>AVERAGE('22.07 Busega-Bulenga'!C23,'23.07 Busega-Bulenga'!C23,'24.07 Busega-Bulenga'!C23,'25.07 Busega-Bulenga'!C23,'26.07 Busega-Bulenga-24h'!C23,'27.07 Busega-Bulenga-24h'!C23,'28.07 Busega-Bulenga'!C23)</f>
        <v>37.428571428571431</v>
      </c>
      <c r="D23" s="49">
        <f>AVERAGE('22.07 Busega-Bulenga'!D23,'23.07 Busega-Bulenga'!D23,'24.07 Busega-Bulenga'!D23,'25.07 Busega-Bulenga'!D23,'26.07 Busega-Bulenga-24h'!D23,'27.07 Busega-Bulenga-24h'!D23,'28.07 Busega-Bulenga'!D23)</f>
        <v>5.1428571428571432</v>
      </c>
      <c r="E23" s="49">
        <f>AVERAGE('22.07 Busega-Bulenga'!E23,'23.07 Busega-Bulenga'!E23,'24.07 Busega-Bulenga'!E23,'25.07 Busega-Bulenga'!E23,'26.07 Busega-Bulenga-24h'!E23,'27.07 Busega-Bulenga-24h'!E23,'28.07 Busega-Bulenga'!E23)</f>
        <v>6.7142857142857144</v>
      </c>
      <c r="F23" s="49">
        <f>AVERAGE('22.07 Busega-Bulenga'!F23,'23.07 Busega-Bulenga'!F23,'24.07 Busega-Bulenga'!F23,'25.07 Busega-Bulenga'!F23,'26.07 Busega-Bulenga-24h'!F23,'27.07 Busega-Bulenga-24h'!F23,'28.07 Busega-Bulenga'!F23)</f>
        <v>23.285714285714285</v>
      </c>
      <c r="G23" s="49">
        <f>AVERAGE('22.07 Busega-Bulenga'!G23,'23.07 Busega-Bulenga'!G23,'24.07 Busega-Bulenga'!G23,'25.07 Busega-Bulenga'!G23,'26.07 Busega-Bulenga-24h'!G23,'27.07 Busega-Bulenga-24h'!G23,'28.07 Busega-Bulenga'!G23)</f>
        <v>1</v>
      </c>
      <c r="H23" s="49">
        <f>AVERAGE('22.07 Busega-Bulenga'!H23,'23.07 Busega-Bulenga'!H23,'24.07 Busega-Bulenga'!H23,'25.07 Busega-Bulenga'!H23,'26.07 Busega-Bulenga-24h'!H23,'27.07 Busega-Bulenga-24h'!H23,'28.07 Busega-Bulenga'!H23)</f>
        <v>0.2857142857142857</v>
      </c>
      <c r="I23" s="49">
        <f>AVERAGE('22.07 Busega-Bulenga'!I23,'23.07 Busega-Bulenga'!I23,'24.07 Busega-Bulenga'!I23,'25.07 Busega-Bulenga'!I23,'26.07 Busega-Bulenga-24h'!I23,'27.07 Busega-Bulenga-24h'!I23,'28.07 Busega-Bulenga'!I23)</f>
        <v>8.8571428571428577</v>
      </c>
      <c r="J23" s="49">
        <f>AVERAGE('22.07 Busega-Bulenga'!J23,'23.07 Busega-Bulenga'!J23,'24.07 Busega-Bulenga'!J23,'25.07 Busega-Bulenga'!J23,'26.07 Busega-Bulenga-24h'!J23,'27.07 Busega-Bulenga-24h'!J23,'28.07 Busega-Bulenga'!J23)</f>
        <v>6.8571428571428568</v>
      </c>
      <c r="K23" s="49">
        <f>AVERAGE('22.07 Busega-Bulenga'!K23,'23.07 Busega-Bulenga'!K23,'24.07 Busega-Bulenga'!K23,'25.07 Busega-Bulenga'!K23,'26.07 Busega-Bulenga-24h'!K23,'27.07 Busega-Bulenga-24h'!K23,'28.07 Busega-Bulenga'!K23)</f>
        <v>1.2857142857142858</v>
      </c>
      <c r="L23" s="49">
        <f>AVERAGE('22.07 Busega-Bulenga'!L23,'23.07 Busega-Bulenga'!L23,'24.07 Busega-Bulenga'!L23,'25.07 Busega-Bulenga'!L23,'26.07 Busega-Bulenga-24h'!L23,'27.07 Busega-Bulenga-24h'!L23,'28.07 Busega-Bulenga'!L23)</f>
        <v>2.4285714285714284</v>
      </c>
      <c r="M23" s="49">
        <f>AVERAGE('22.07 Busega-Bulenga'!M23,'23.07 Busega-Bulenga'!M23,'24.07 Busega-Bulenga'!M23,'25.07 Busega-Bulenga'!M23,'26.07 Busega-Bulenga-24h'!M23,'27.07 Busega-Bulenga-24h'!M23,'28.07 Busega-Bulenga'!M23)</f>
        <v>226.57142857142858</v>
      </c>
      <c r="N23" s="49">
        <f>AVERAGE('22.07 Busega-Bulenga'!N23,'23.07 Busega-Bulenga'!N23,'24.07 Busega-Bulenga'!N23,'25.07 Busega-Bulenga'!N23,'26.07 Busega-Bulenga-24h'!N23,'27.07 Busega-Bulenga-24h'!N23,'28.07 Busega-Bulenga'!N23)</f>
        <v>0</v>
      </c>
      <c r="O23" s="15">
        <f t="shared" si="0"/>
        <v>93.28571428571432</v>
      </c>
      <c r="P23" s="15">
        <f t="shared" si="1"/>
        <v>319.85714285714289</v>
      </c>
      <c r="R23" s="1" t="s">
        <v>147</v>
      </c>
      <c r="S23" s="34">
        <f>SUM(C62:C65)</f>
        <v>312.99999999999994</v>
      </c>
      <c r="T23" s="34">
        <f t="shared" ref="T23:AD23" si="15">SUM(D62:D65)</f>
        <v>23.666666666666664</v>
      </c>
      <c r="U23" s="34">
        <f t="shared" si="15"/>
        <v>21.333333333333332</v>
      </c>
      <c r="V23" s="34">
        <f t="shared" si="15"/>
        <v>100.66666666666666</v>
      </c>
      <c r="W23" s="34">
        <f t="shared" si="15"/>
        <v>3.6666666666666665</v>
      </c>
      <c r="X23" s="34">
        <f t="shared" si="15"/>
        <v>1</v>
      </c>
      <c r="Y23" s="34">
        <f t="shared" si="15"/>
        <v>15.666666666666664</v>
      </c>
      <c r="Z23" s="34">
        <f t="shared" si="15"/>
        <v>12.333333333333334</v>
      </c>
      <c r="AA23" s="34">
        <f t="shared" si="15"/>
        <v>4.333333333333333</v>
      </c>
      <c r="AB23" s="34">
        <f t="shared" si="15"/>
        <v>3.333333333333333</v>
      </c>
      <c r="AC23" s="34">
        <f t="shared" si="15"/>
        <v>465.33333333333337</v>
      </c>
      <c r="AD23" s="34">
        <f t="shared" si="15"/>
        <v>0</v>
      </c>
      <c r="AE23" s="31">
        <f t="shared" si="13"/>
        <v>631.28571428571433</v>
      </c>
      <c r="AF23" s="31">
        <f t="shared" si="13"/>
        <v>1386.1904761904761</v>
      </c>
    </row>
    <row r="24" spans="2:32" ht="23.1" customHeight="1" x14ac:dyDescent="0.25">
      <c r="B24" s="23" t="s">
        <v>51</v>
      </c>
      <c r="C24" s="49">
        <f>AVERAGE('22.07 Busega-Bulenga'!C24,'23.07 Busega-Bulenga'!C24,'24.07 Busega-Bulenga'!C24,'25.07 Busega-Bulenga'!C24,'26.07 Busega-Bulenga-24h'!C24,'27.07 Busega-Bulenga-24h'!C24,'28.07 Busega-Bulenga'!C24)</f>
        <v>45.571428571428569</v>
      </c>
      <c r="D24" s="49">
        <f>AVERAGE('22.07 Busega-Bulenga'!D24,'23.07 Busega-Bulenga'!D24,'24.07 Busega-Bulenga'!D24,'25.07 Busega-Bulenga'!D24,'26.07 Busega-Bulenga-24h'!D24,'27.07 Busega-Bulenga-24h'!D24,'28.07 Busega-Bulenga'!D24)</f>
        <v>5.7142857142857144</v>
      </c>
      <c r="E24" s="49">
        <f>AVERAGE('22.07 Busega-Bulenga'!E24,'23.07 Busega-Bulenga'!E24,'24.07 Busega-Bulenga'!E24,'25.07 Busega-Bulenga'!E24,'26.07 Busega-Bulenga-24h'!E24,'27.07 Busega-Bulenga-24h'!E24,'28.07 Busega-Bulenga'!E24)</f>
        <v>4.8571428571428568</v>
      </c>
      <c r="F24" s="49">
        <f>AVERAGE('22.07 Busega-Bulenga'!F24,'23.07 Busega-Bulenga'!F24,'24.07 Busega-Bulenga'!F24,'25.07 Busega-Bulenga'!F24,'26.07 Busega-Bulenga-24h'!F24,'27.07 Busega-Bulenga-24h'!F24,'28.07 Busega-Bulenga'!F24)</f>
        <v>29.571428571428573</v>
      </c>
      <c r="G24" s="49">
        <f>AVERAGE('22.07 Busega-Bulenga'!G24,'23.07 Busega-Bulenga'!G24,'24.07 Busega-Bulenga'!G24,'25.07 Busega-Bulenga'!G24,'26.07 Busega-Bulenga-24h'!G24,'27.07 Busega-Bulenga-24h'!G24,'28.07 Busega-Bulenga'!G24)</f>
        <v>0.7142857142857143</v>
      </c>
      <c r="H24" s="49">
        <f>AVERAGE('22.07 Busega-Bulenga'!H24,'23.07 Busega-Bulenga'!H24,'24.07 Busega-Bulenga'!H24,'25.07 Busega-Bulenga'!H24,'26.07 Busega-Bulenga-24h'!H24,'27.07 Busega-Bulenga-24h'!H24,'28.07 Busega-Bulenga'!H24)</f>
        <v>0.2857142857142857</v>
      </c>
      <c r="I24" s="49">
        <f>AVERAGE('22.07 Busega-Bulenga'!I24,'23.07 Busega-Bulenga'!I24,'24.07 Busega-Bulenga'!I24,'25.07 Busega-Bulenga'!I24,'26.07 Busega-Bulenga-24h'!I24,'27.07 Busega-Bulenga-24h'!I24,'28.07 Busega-Bulenga'!I24)</f>
        <v>10.571428571428571</v>
      </c>
      <c r="J24" s="49">
        <f>AVERAGE('22.07 Busega-Bulenga'!J24,'23.07 Busega-Bulenga'!J24,'24.07 Busega-Bulenga'!J24,'25.07 Busega-Bulenga'!J24,'26.07 Busega-Bulenga-24h'!J24,'27.07 Busega-Bulenga-24h'!J24,'28.07 Busega-Bulenga'!J24)</f>
        <v>7</v>
      </c>
      <c r="K24" s="49">
        <f>AVERAGE('22.07 Busega-Bulenga'!K24,'23.07 Busega-Bulenga'!K24,'24.07 Busega-Bulenga'!K24,'25.07 Busega-Bulenga'!K24,'26.07 Busega-Bulenga-24h'!K24,'27.07 Busega-Bulenga-24h'!K24,'28.07 Busega-Bulenga'!K24)</f>
        <v>1.5714285714285714</v>
      </c>
      <c r="L24" s="49">
        <f>AVERAGE('22.07 Busega-Bulenga'!L24,'23.07 Busega-Bulenga'!L24,'24.07 Busega-Bulenga'!L24,'25.07 Busega-Bulenga'!L24,'26.07 Busega-Bulenga-24h'!L24,'27.07 Busega-Bulenga-24h'!L24,'28.07 Busega-Bulenga'!L24)</f>
        <v>1.1428571428571428</v>
      </c>
      <c r="M24" s="49">
        <f>AVERAGE('22.07 Busega-Bulenga'!M24,'23.07 Busega-Bulenga'!M24,'24.07 Busega-Bulenga'!M24,'25.07 Busega-Bulenga'!M24,'26.07 Busega-Bulenga-24h'!M24,'27.07 Busega-Bulenga-24h'!M24,'28.07 Busega-Bulenga'!M24)</f>
        <v>240.57142857142858</v>
      </c>
      <c r="N24" s="49">
        <f>AVERAGE('22.07 Busega-Bulenga'!N24,'23.07 Busega-Bulenga'!N24,'24.07 Busega-Bulenga'!N24,'25.07 Busega-Bulenga'!N24,'26.07 Busega-Bulenga-24h'!N24,'27.07 Busega-Bulenga-24h'!N24,'28.07 Busega-Bulenga'!N24)</f>
        <v>0</v>
      </c>
      <c r="O24" s="15">
        <f t="shared" si="0"/>
        <v>106.99999999999999</v>
      </c>
      <c r="P24" s="15">
        <f t="shared" si="1"/>
        <v>347.57142857142856</v>
      </c>
      <c r="R24" s="1" t="s">
        <v>148</v>
      </c>
      <c r="S24" s="34">
        <f>SUM(C66:C69)</f>
        <v>315.33333333333331</v>
      </c>
      <c r="T24" s="34">
        <f t="shared" ref="T24:AD24" si="16">SUM(D66:D69)</f>
        <v>40.333333333333336</v>
      </c>
      <c r="U24" s="34">
        <f t="shared" si="16"/>
        <v>22.666666666666668</v>
      </c>
      <c r="V24" s="34">
        <f t="shared" si="16"/>
        <v>117.66666666666667</v>
      </c>
      <c r="W24" s="34">
        <f t="shared" si="16"/>
        <v>1.6666666666666665</v>
      </c>
      <c r="X24" s="34">
        <f t="shared" si="16"/>
        <v>1.3333333333333333</v>
      </c>
      <c r="Y24" s="34">
        <f t="shared" si="16"/>
        <v>17.666666666666668</v>
      </c>
      <c r="Z24" s="34">
        <f t="shared" si="16"/>
        <v>15.999999999999998</v>
      </c>
      <c r="AA24" s="34">
        <f t="shared" si="16"/>
        <v>3.333333333333333</v>
      </c>
      <c r="AB24" s="34">
        <f t="shared" si="16"/>
        <v>3.333333333333333</v>
      </c>
      <c r="AC24" s="34">
        <f t="shared" si="16"/>
        <v>397</v>
      </c>
      <c r="AD24" s="34">
        <f t="shared" si="16"/>
        <v>0</v>
      </c>
      <c r="AE24" s="31">
        <f t="shared" si="13"/>
        <v>584.85714285714278</v>
      </c>
      <c r="AF24" s="31">
        <f t="shared" si="13"/>
        <v>1203.8571428571427</v>
      </c>
    </row>
    <row r="25" spans="2:32" ht="23.1" customHeight="1" x14ac:dyDescent="0.25">
      <c r="B25" s="23" t="s">
        <v>52</v>
      </c>
      <c r="C25" s="49">
        <f>AVERAGE('22.07 Busega-Bulenga'!C25,'23.07 Busega-Bulenga'!C25,'24.07 Busega-Bulenga'!C25,'25.07 Busega-Bulenga'!C25,'26.07 Busega-Bulenga-24h'!C25,'27.07 Busega-Bulenga-24h'!C25,'28.07 Busega-Bulenga'!C25)</f>
        <v>39</v>
      </c>
      <c r="D25" s="49">
        <f>AVERAGE('22.07 Busega-Bulenga'!D25,'23.07 Busega-Bulenga'!D25,'24.07 Busega-Bulenga'!D25,'25.07 Busega-Bulenga'!D25,'26.07 Busega-Bulenga-24h'!D25,'27.07 Busega-Bulenga-24h'!D25,'28.07 Busega-Bulenga'!D25)</f>
        <v>5.2857142857142856</v>
      </c>
      <c r="E25" s="49">
        <f>AVERAGE('22.07 Busega-Bulenga'!E25,'23.07 Busega-Bulenga'!E25,'24.07 Busega-Bulenga'!E25,'25.07 Busega-Bulenga'!E25,'26.07 Busega-Bulenga-24h'!E25,'27.07 Busega-Bulenga-24h'!E25,'28.07 Busega-Bulenga'!E25)</f>
        <v>5.1428571428571432</v>
      </c>
      <c r="F25" s="49">
        <f>AVERAGE('22.07 Busega-Bulenga'!F25,'23.07 Busega-Bulenga'!F25,'24.07 Busega-Bulenga'!F25,'25.07 Busega-Bulenga'!F25,'26.07 Busega-Bulenga-24h'!F25,'27.07 Busega-Bulenga-24h'!F25,'28.07 Busega-Bulenga'!F25)</f>
        <v>25</v>
      </c>
      <c r="G25" s="49">
        <f>AVERAGE('22.07 Busega-Bulenga'!G25,'23.07 Busega-Bulenga'!G25,'24.07 Busega-Bulenga'!G25,'25.07 Busega-Bulenga'!G25,'26.07 Busega-Bulenga-24h'!G25,'27.07 Busega-Bulenga-24h'!G25,'28.07 Busega-Bulenga'!G25)</f>
        <v>0.8571428571428571</v>
      </c>
      <c r="H25" s="49">
        <f>AVERAGE('22.07 Busega-Bulenga'!H25,'23.07 Busega-Bulenga'!H25,'24.07 Busega-Bulenga'!H25,'25.07 Busega-Bulenga'!H25,'26.07 Busega-Bulenga-24h'!H25,'27.07 Busega-Bulenga-24h'!H25,'28.07 Busega-Bulenga'!H25)</f>
        <v>0.2857142857142857</v>
      </c>
      <c r="I25" s="49">
        <f>AVERAGE('22.07 Busega-Bulenga'!I25,'23.07 Busega-Bulenga'!I25,'24.07 Busega-Bulenga'!I25,'25.07 Busega-Bulenga'!I25,'26.07 Busega-Bulenga-24h'!I25,'27.07 Busega-Bulenga-24h'!I25,'28.07 Busega-Bulenga'!I25)</f>
        <v>9</v>
      </c>
      <c r="J25" s="49">
        <f>AVERAGE('22.07 Busega-Bulenga'!J25,'23.07 Busega-Bulenga'!J25,'24.07 Busega-Bulenga'!J25,'25.07 Busega-Bulenga'!J25,'26.07 Busega-Bulenga-24h'!J25,'27.07 Busega-Bulenga-24h'!J25,'28.07 Busega-Bulenga'!J25)</f>
        <v>5.7142857142857144</v>
      </c>
      <c r="K25" s="49">
        <f>AVERAGE('22.07 Busega-Bulenga'!K25,'23.07 Busega-Bulenga'!K25,'24.07 Busega-Bulenga'!K25,'25.07 Busega-Bulenga'!K25,'26.07 Busega-Bulenga-24h'!K25,'27.07 Busega-Bulenga-24h'!K25,'28.07 Busega-Bulenga'!K25)</f>
        <v>1.5714285714285714</v>
      </c>
      <c r="L25" s="49">
        <f>AVERAGE('22.07 Busega-Bulenga'!L25,'23.07 Busega-Bulenga'!L25,'24.07 Busega-Bulenga'!L25,'25.07 Busega-Bulenga'!L25,'26.07 Busega-Bulenga-24h'!L25,'27.07 Busega-Bulenga-24h'!L25,'28.07 Busega-Bulenga'!L25)</f>
        <v>1.2857142857142858</v>
      </c>
      <c r="M25" s="49">
        <f>AVERAGE('22.07 Busega-Bulenga'!M25,'23.07 Busega-Bulenga'!M25,'24.07 Busega-Bulenga'!M25,'25.07 Busega-Bulenga'!M25,'26.07 Busega-Bulenga-24h'!M25,'27.07 Busega-Bulenga-24h'!M25,'28.07 Busega-Bulenga'!M25)</f>
        <v>187.14285714285714</v>
      </c>
      <c r="N25" s="49">
        <f>AVERAGE('22.07 Busega-Bulenga'!N25,'23.07 Busega-Bulenga'!N25,'24.07 Busega-Bulenga'!N25,'25.07 Busega-Bulenga'!N25,'26.07 Busega-Bulenga-24h'!N25,'27.07 Busega-Bulenga-24h'!N25,'28.07 Busega-Bulenga'!N25)</f>
        <v>0.14285714285714285</v>
      </c>
      <c r="O25" s="15">
        <f t="shared" si="0"/>
        <v>93.285714285714292</v>
      </c>
      <c r="P25" s="15">
        <f t="shared" si="1"/>
        <v>280.42857142857144</v>
      </c>
      <c r="R25" s="1" t="s">
        <v>149</v>
      </c>
      <c r="S25" s="34">
        <f>SUM(C70:C73)</f>
        <v>250.33333333333334</v>
      </c>
      <c r="T25" s="34">
        <f t="shared" ref="T25:AD25" si="17">SUM(D70:D73)</f>
        <v>27</v>
      </c>
      <c r="U25" s="34">
        <f t="shared" si="17"/>
        <v>16</v>
      </c>
      <c r="V25" s="34">
        <f t="shared" si="17"/>
        <v>81</v>
      </c>
      <c r="W25" s="34">
        <f t="shared" si="17"/>
        <v>1.3333333333333333</v>
      </c>
      <c r="X25" s="34">
        <f t="shared" si="17"/>
        <v>0.66666666666666663</v>
      </c>
      <c r="Y25" s="34">
        <f t="shared" si="17"/>
        <v>16.333333333333336</v>
      </c>
      <c r="Z25" s="34">
        <f t="shared" si="17"/>
        <v>18</v>
      </c>
      <c r="AA25" s="34">
        <f t="shared" si="17"/>
        <v>2</v>
      </c>
      <c r="AB25" s="34">
        <f t="shared" si="17"/>
        <v>3.333333333333333</v>
      </c>
      <c r="AC25" s="34">
        <f t="shared" si="17"/>
        <v>333</v>
      </c>
      <c r="AD25" s="34">
        <f t="shared" si="17"/>
        <v>0</v>
      </c>
      <c r="AE25" s="31">
        <f t="shared" si="13"/>
        <v>456.66666666666669</v>
      </c>
      <c r="AF25" s="31">
        <f t="shared" si="13"/>
        <v>857.33333333333337</v>
      </c>
    </row>
    <row r="26" spans="2:32" ht="23.1" customHeight="1" x14ac:dyDescent="0.25">
      <c r="B26" s="23" t="s">
        <v>53</v>
      </c>
      <c r="C26" s="49">
        <f>AVERAGE('22.07 Busega-Bulenga'!C26,'23.07 Busega-Bulenga'!C26,'24.07 Busega-Bulenga'!C26,'25.07 Busega-Bulenga'!C26,'26.07 Busega-Bulenga-24h'!C26,'27.07 Busega-Bulenga-24h'!C26,'28.07 Busega-Bulenga'!C26)</f>
        <v>37.142857142857146</v>
      </c>
      <c r="D26" s="49">
        <f>AVERAGE('22.07 Busega-Bulenga'!D26,'23.07 Busega-Bulenga'!D26,'24.07 Busega-Bulenga'!D26,'25.07 Busega-Bulenga'!D26,'26.07 Busega-Bulenga-24h'!D26,'27.07 Busega-Bulenga-24h'!D26,'28.07 Busega-Bulenga'!D26)</f>
        <v>9.7142857142857135</v>
      </c>
      <c r="E26" s="49">
        <f>AVERAGE('22.07 Busega-Bulenga'!E26,'23.07 Busega-Bulenga'!E26,'24.07 Busega-Bulenga'!E26,'25.07 Busega-Bulenga'!E26,'26.07 Busega-Bulenga-24h'!E26,'27.07 Busega-Bulenga-24h'!E26,'28.07 Busega-Bulenga'!E26)</f>
        <v>7.4285714285714288</v>
      </c>
      <c r="F26" s="49">
        <f>AVERAGE('22.07 Busega-Bulenga'!F26,'23.07 Busega-Bulenga'!F26,'24.07 Busega-Bulenga'!F26,'25.07 Busega-Bulenga'!F26,'26.07 Busega-Bulenga-24h'!F26,'27.07 Busega-Bulenga-24h'!F26,'28.07 Busega-Bulenga'!F26)</f>
        <v>33</v>
      </c>
      <c r="G26" s="49">
        <f>AVERAGE('22.07 Busega-Bulenga'!G26,'23.07 Busega-Bulenga'!G26,'24.07 Busega-Bulenga'!G26,'25.07 Busega-Bulenga'!G26,'26.07 Busega-Bulenga-24h'!G26,'27.07 Busega-Bulenga-24h'!G26,'28.07 Busega-Bulenga'!G26)</f>
        <v>0.7142857142857143</v>
      </c>
      <c r="H26" s="49">
        <f>AVERAGE('22.07 Busega-Bulenga'!H26,'23.07 Busega-Bulenga'!H26,'24.07 Busega-Bulenga'!H26,'25.07 Busega-Bulenga'!H26,'26.07 Busega-Bulenga-24h'!H26,'27.07 Busega-Bulenga-24h'!H26,'28.07 Busega-Bulenga'!H26)</f>
        <v>1</v>
      </c>
      <c r="I26" s="49">
        <f>AVERAGE('22.07 Busega-Bulenga'!I26,'23.07 Busega-Bulenga'!I26,'24.07 Busega-Bulenga'!I26,'25.07 Busega-Bulenga'!I26,'26.07 Busega-Bulenga-24h'!I26,'27.07 Busega-Bulenga-24h'!I26,'28.07 Busega-Bulenga'!I26)</f>
        <v>11.571428571428571</v>
      </c>
      <c r="J26" s="49">
        <f>AVERAGE('22.07 Busega-Bulenga'!J26,'23.07 Busega-Bulenga'!J26,'24.07 Busega-Bulenga'!J26,'25.07 Busega-Bulenga'!J26,'26.07 Busega-Bulenga-24h'!J26,'27.07 Busega-Bulenga-24h'!J26,'28.07 Busega-Bulenga'!J26)</f>
        <v>7.4285714285714288</v>
      </c>
      <c r="K26" s="49">
        <f>AVERAGE('22.07 Busega-Bulenga'!K26,'23.07 Busega-Bulenga'!K26,'24.07 Busega-Bulenga'!K26,'25.07 Busega-Bulenga'!K26,'26.07 Busega-Bulenga-24h'!K26,'27.07 Busega-Bulenga-24h'!K26,'28.07 Busega-Bulenga'!K26)</f>
        <v>1.4285714285714286</v>
      </c>
      <c r="L26" s="49">
        <f>AVERAGE('22.07 Busega-Bulenga'!L26,'23.07 Busega-Bulenga'!L26,'24.07 Busega-Bulenga'!L26,'25.07 Busega-Bulenga'!L26,'26.07 Busega-Bulenga-24h'!L26,'27.07 Busega-Bulenga-24h'!L26,'28.07 Busega-Bulenga'!L26)</f>
        <v>1.1428571428571428</v>
      </c>
      <c r="M26" s="49">
        <f>AVERAGE('22.07 Busega-Bulenga'!M26,'23.07 Busega-Bulenga'!M26,'24.07 Busega-Bulenga'!M26,'25.07 Busega-Bulenga'!M26,'26.07 Busega-Bulenga-24h'!M26,'27.07 Busega-Bulenga-24h'!M26,'28.07 Busega-Bulenga'!M26)</f>
        <v>206.71428571428572</v>
      </c>
      <c r="N26" s="49">
        <f>AVERAGE('22.07 Busega-Bulenga'!N26,'23.07 Busega-Bulenga'!N26,'24.07 Busega-Bulenga'!N26,'25.07 Busega-Bulenga'!N26,'26.07 Busega-Bulenga-24h'!N26,'27.07 Busega-Bulenga-24h'!N26,'28.07 Busega-Bulenga'!N26)</f>
        <v>0</v>
      </c>
      <c r="O26" s="15">
        <f t="shared" si="0"/>
        <v>110.57142857142857</v>
      </c>
      <c r="P26" s="15">
        <f t="shared" si="1"/>
        <v>317.28571428571428</v>
      </c>
      <c r="R26" s="1" t="s">
        <v>150</v>
      </c>
      <c r="S26" s="34">
        <f>SUM(C74:C77)</f>
        <v>172.33333333333334</v>
      </c>
      <c r="T26" s="34">
        <f t="shared" ref="T26:AD26" si="18">SUM(D74:D77)</f>
        <v>27</v>
      </c>
      <c r="U26" s="34">
        <f t="shared" si="18"/>
        <v>12.666666666666668</v>
      </c>
      <c r="V26" s="34">
        <f t="shared" si="18"/>
        <v>43</v>
      </c>
      <c r="W26" s="34">
        <f t="shared" si="18"/>
        <v>1.3333333333333333</v>
      </c>
      <c r="X26" s="34">
        <f t="shared" si="18"/>
        <v>0.33333333333333331</v>
      </c>
      <c r="Y26" s="34">
        <f t="shared" si="18"/>
        <v>34.666666666666671</v>
      </c>
      <c r="Z26" s="34">
        <f t="shared" si="18"/>
        <v>10.666666666666666</v>
      </c>
      <c r="AA26" s="34">
        <f t="shared" si="18"/>
        <v>1.3333333333333333</v>
      </c>
      <c r="AB26" s="34">
        <f t="shared" si="18"/>
        <v>2.333333333333333</v>
      </c>
      <c r="AC26" s="34">
        <f t="shared" si="18"/>
        <v>238.66666666666669</v>
      </c>
      <c r="AD26" s="34">
        <f t="shared" si="18"/>
        <v>0</v>
      </c>
      <c r="AE26" s="31">
        <f t="shared" si="13"/>
        <v>493</v>
      </c>
      <c r="AF26" s="31">
        <f t="shared" si="13"/>
        <v>943.99999999999989</v>
      </c>
    </row>
    <row r="27" spans="2:32" ht="23.1" customHeight="1" x14ac:dyDescent="0.25">
      <c r="B27" s="23" t="s">
        <v>54</v>
      </c>
      <c r="C27" s="49">
        <f>AVERAGE('22.07 Busega-Bulenga'!C27,'23.07 Busega-Bulenga'!C27,'24.07 Busega-Bulenga'!C27,'25.07 Busega-Bulenga'!C27,'26.07 Busega-Bulenga-24h'!C27,'27.07 Busega-Bulenga-24h'!C27,'28.07 Busega-Bulenga'!C27)</f>
        <v>45.857142857142854</v>
      </c>
      <c r="D27" s="49">
        <f>AVERAGE('22.07 Busega-Bulenga'!D27,'23.07 Busega-Bulenga'!D27,'24.07 Busega-Bulenga'!D27,'25.07 Busega-Bulenga'!D27,'26.07 Busega-Bulenga-24h'!D27,'27.07 Busega-Bulenga-24h'!D27,'28.07 Busega-Bulenga'!D27)</f>
        <v>7</v>
      </c>
      <c r="E27" s="49">
        <f>AVERAGE('22.07 Busega-Bulenga'!E27,'23.07 Busega-Bulenga'!E27,'24.07 Busega-Bulenga'!E27,'25.07 Busega-Bulenga'!E27,'26.07 Busega-Bulenga-24h'!E27,'27.07 Busega-Bulenga-24h'!E27,'28.07 Busega-Bulenga'!E27)</f>
        <v>3.8571428571428572</v>
      </c>
      <c r="F27" s="49">
        <f>AVERAGE('22.07 Busega-Bulenga'!F27,'23.07 Busega-Bulenga'!F27,'24.07 Busega-Bulenga'!F27,'25.07 Busega-Bulenga'!F27,'26.07 Busega-Bulenga-24h'!F27,'27.07 Busega-Bulenga-24h'!F27,'28.07 Busega-Bulenga'!F27)</f>
        <v>26.142857142857142</v>
      </c>
      <c r="G27" s="49">
        <f>AVERAGE('22.07 Busega-Bulenga'!G27,'23.07 Busega-Bulenga'!G27,'24.07 Busega-Bulenga'!G27,'25.07 Busega-Bulenga'!G27,'26.07 Busega-Bulenga-24h'!G27,'27.07 Busega-Bulenga-24h'!G27,'28.07 Busega-Bulenga'!G27)</f>
        <v>1.8571428571428572</v>
      </c>
      <c r="H27" s="49">
        <f>AVERAGE('22.07 Busega-Bulenga'!H27,'23.07 Busega-Bulenga'!H27,'24.07 Busega-Bulenga'!H27,'25.07 Busega-Bulenga'!H27,'26.07 Busega-Bulenga-24h'!H27,'27.07 Busega-Bulenga-24h'!H27,'28.07 Busega-Bulenga'!H27)</f>
        <v>0.5714285714285714</v>
      </c>
      <c r="I27" s="49">
        <f>AVERAGE('22.07 Busega-Bulenga'!I27,'23.07 Busega-Bulenga'!I27,'24.07 Busega-Bulenga'!I27,'25.07 Busega-Bulenga'!I27,'26.07 Busega-Bulenga-24h'!I27,'27.07 Busega-Bulenga-24h'!I27,'28.07 Busega-Bulenga'!I27)</f>
        <v>10.857142857142858</v>
      </c>
      <c r="J27" s="49">
        <f>AVERAGE('22.07 Busega-Bulenga'!J27,'23.07 Busega-Bulenga'!J27,'24.07 Busega-Bulenga'!J27,'25.07 Busega-Bulenga'!J27,'26.07 Busega-Bulenga-24h'!J27,'27.07 Busega-Bulenga-24h'!J27,'28.07 Busega-Bulenga'!J27)</f>
        <v>6.2857142857142856</v>
      </c>
      <c r="K27" s="49">
        <f>AVERAGE('22.07 Busega-Bulenga'!K27,'23.07 Busega-Bulenga'!K27,'24.07 Busega-Bulenga'!K27,'25.07 Busega-Bulenga'!K27,'26.07 Busega-Bulenga-24h'!K27,'27.07 Busega-Bulenga-24h'!K27,'28.07 Busega-Bulenga'!K27)</f>
        <v>1.2857142857142858</v>
      </c>
      <c r="L27" s="49">
        <f>AVERAGE('22.07 Busega-Bulenga'!L27,'23.07 Busega-Bulenga'!L27,'24.07 Busega-Bulenga'!L27,'25.07 Busega-Bulenga'!L27,'26.07 Busega-Bulenga-24h'!L27,'27.07 Busega-Bulenga-24h'!L27,'28.07 Busega-Bulenga'!L27)</f>
        <v>1.8571428571428572</v>
      </c>
      <c r="M27" s="49">
        <f>AVERAGE('22.07 Busega-Bulenga'!M27,'23.07 Busega-Bulenga'!M27,'24.07 Busega-Bulenga'!M27,'25.07 Busega-Bulenga'!M27,'26.07 Busega-Bulenga-24h'!M27,'27.07 Busega-Bulenga-24h'!M27,'28.07 Busega-Bulenga'!M27)</f>
        <v>170</v>
      </c>
      <c r="N27" s="49">
        <f>AVERAGE('22.07 Busega-Bulenga'!N27,'23.07 Busega-Bulenga'!N27,'24.07 Busega-Bulenga'!N27,'25.07 Busega-Bulenga'!N27,'26.07 Busega-Bulenga-24h'!N27,'27.07 Busega-Bulenga-24h'!N27,'28.07 Busega-Bulenga'!N27)</f>
        <v>0</v>
      </c>
      <c r="O27" s="15">
        <f t="shared" si="0"/>
        <v>105.57142857142858</v>
      </c>
      <c r="P27" s="15">
        <f t="shared" si="1"/>
        <v>275.57142857142856</v>
      </c>
      <c r="R27" s="1" t="s">
        <v>151</v>
      </c>
      <c r="S27" s="34">
        <f>SUM(C78:C81)</f>
        <v>98</v>
      </c>
      <c r="T27" s="34">
        <f t="shared" ref="T27:AD27" si="19">SUM(D78:D81)</f>
        <v>20</v>
      </c>
      <c r="U27" s="34">
        <f t="shared" si="19"/>
        <v>6.3333333333333339</v>
      </c>
      <c r="V27" s="34">
        <f t="shared" si="19"/>
        <v>16</v>
      </c>
      <c r="W27" s="34">
        <f t="shared" si="19"/>
        <v>0.66666666666666663</v>
      </c>
      <c r="X27" s="34">
        <f t="shared" si="19"/>
        <v>0.33333333333333331</v>
      </c>
      <c r="Y27" s="34">
        <f t="shared" si="19"/>
        <v>7.333333333333333</v>
      </c>
      <c r="Z27" s="34">
        <f t="shared" si="19"/>
        <v>4.6666666666666661</v>
      </c>
      <c r="AA27" s="34">
        <f t="shared" si="19"/>
        <v>1</v>
      </c>
      <c r="AB27" s="34">
        <f t="shared" si="19"/>
        <v>1.9999999999999998</v>
      </c>
      <c r="AC27" s="34">
        <f t="shared" si="19"/>
        <v>166.33333333333334</v>
      </c>
      <c r="AD27" s="34">
        <f t="shared" si="19"/>
        <v>0</v>
      </c>
      <c r="AE27" s="31">
        <f t="shared" si="13"/>
        <v>483.33333333333326</v>
      </c>
      <c r="AF27" s="31">
        <f t="shared" si="13"/>
        <v>936</v>
      </c>
    </row>
    <row r="28" spans="2:32" ht="23.1" customHeight="1" x14ac:dyDescent="0.25">
      <c r="B28" s="23" t="s">
        <v>55</v>
      </c>
      <c r="C28" s="49">
        <f>AVERAGE('22.07 Busega-Bulenga'!C28,'23.07 Busega-Bulenga'!C28,'24.07 Busega-Bulenga'!C28,'25.07 Busega-Bulenga'!C28,'26.07 Busega-Bulenga-24h'!C28,'27.07 Busega-Bulenga-24h'!C28,'28.07 Busega-Bulenga'!C28)</f>
        <v>46.428571428571431</v>
      </c>
      <c r="D28" s="49">
        <f>AVERAGE('22.07 Busega-Bulenga'!D28,'23.07 Busega-Bulenga'!D28,'24.07 Busega-Bulenga'!D28,'25.07 Busega-Bulenga'!D28,'26.07 Busega-Bulenga-24h'!D28,'27.07 Busega-Bulenga-24h'!D28,'28.07 Busega-Bulenga'!D28)</f>
        <v>7</v>
      </c>
      <c r="E28" s="49">
        <f>AVERAGE('22.07 Busega-Bulenga'!E28,'23.07 Busega-Bulenga'!E28,'24.07 Busega-Bulenga'!E28,'25.07 Busega-Bulenga'!E28,'26.07 Busega-Bulenga-24h'!E28,'27.07 Busega-Bulenga-24h'!E28,'28.07 Busega-Bulenga'!E28)</f>
        <v>5.8571428571428568</v>
      </c>
      <c r="F28" s="49">
        <f>AVERAGE('22.07 Busega-Bulenga'!F28,'23.07 Busega-Bulenga'!F28,'24.07 Busega-Bulenga'!F28,'25.07 Busega-Bulenga'!F28,'26.07 Busega-Bulenga-24h'!F28,'27.07 Busega-Bulenga-24h'!F28,'28.07 Busega-Bulenga'!F28)</f>
        <v>34</v>
      </c>
      <c r="G28" s="49">
        <f>AVERAGE('22.07 Busega-Bulenga'!G28,'23.07 Busega-Bulenga'!G28,'24.07 Busega-Bulenga'!G28,'25.07 Busega-Bulenga'!G28,'26.07 Busega-Bulenga-24h'!G28,'27.07 Busega-Bulenga-24h'!G28,'28.07 Busega-Bulenga'!G28)</f>
        <v>1</v>
      </c>
      <c r="H28" s="49">
        <f>AVERAGE('22.07 Busega-Bulenga'!H28,'23.07 Busega-Bulenga'!H28,'24.07 Busega-Bulenga'!H28,'25.07 Busega-Bulenga'!H28,'26.07 Busega-Bulenga-24h'!H28,'27.07 Busega-Bulenga-24h'!H28,'28.07 Busega-Bulenga'!H28)</f>
        <v>0.8571428571428571</v>
      </c>
      <c r="I28" s="49">
        <f>AVERAGE('22.07 Busega-Bulenga'!I28,'23.07 Busega-Bulenga'!I28,'24.07 Busega-Bulenga'!I28,'25.07 Busega-Bulenga'!I28,'26.07 Busega-Bulenga-24h'!I28,'27.07 Busega-Bulenga-24h'!I28,'28.07 Busega-Bulenga'!I28)</f>
        <v>11</v>
      </c>
      <c r="J28" s="49">
        <f>AVERAGE('22.07 Busega-Bulenga'!J28,'23.07 Busega-Bulenga'!J28,'24.07 Busega-Bulenga'!J28,'25.07 Busega-Bulenga'!J28,'26.07 Busega-Bulenga-24h'!J28,'27.07 Busega-Bulenga-24h'!J28,'28.07 Busega-Bulenga'!J28)</f>
        <v>7.2857142857142856</v>
      </c>
      <c r="K28" s="49">
        <f>AVERAGE('22.07 Busega-Bulenga'!K28,'23.07 Busega-Bulenga'!K28,'24.07 Busega-Bulenga'!K28,'25.07 Busega-Bulenga'!K28,'26.07 Busega-Bulenga-24h'!K28,'27.07 Busega-Bulenga-24h'!K28,'28.07 Busega-Bulenga'!K28)</f>
        <v>0.8571428571428571</v>
      </c>
      <c r="L28" s="49">
        <f>AVERAGE('22.07 Busega-Bulenga'!L28,'23.07 Busega-Bulenga'!L28,'24.07 Busega-Bulenga'!L28,'25.07 Busega-Bulenga'!L28,'26.07 Busega-Bulenga-24h'!L28,'27.07 Busega-Bulenga-24h'!L28,'28.07 Busega-Bulenga'!L28)</f>
        <v>1.2857142857142858</v>
      </c>
      <c r="M28" s="49">
        <f>AVERAGE('22.07 Busega-Bulenga'!M28,'23.07 Busega-Bulenga'!M28,'24.07 Busega-Bulenga'!M28,'25.07 Busega-Bulenga'!M28,'26.07 Busega-Bulenga-24h'!M28,'27.07 Busega-Bulenga-24h'!M28,'28.07 Busega-Bulenga'!M28)</f>
        <v>176.42857142857142</v>
      </c>
      <c r="N28" s="49">
        <f>AVERAGE('22.07 Busega-Bulenga'!N28,'23.07 Busega-Bulenga'!N28,'24.07 Busega-Bulenga'!N28,'25.07 Busega-Bulenga'!N28,'26.07 Busega-Bulenga-24h'!N28,'27.07 Busega-Bulenga-24h'!N28,'28.07 Busega-Bulenga'!N28)</f>
        <v>0.14285714285714285</v>
      </c>
      <c r="O28" s="15">
        <f t="shared" si="0"/>
        <v>115.71428571428572</v>
      </c>
      <c r="P28" s="15">
        <f t="shared" si="1"/>
        <v>292.14285714285717</v>
      </c>
      <c r="R28" s="1" t="s">
        <v>152</v>
      </c>
      <c r="S28" s="34">
        <f>SUM(C82:C85)</f>
        <v>47.666666666666671</v>
      </c>
      <c r="T28" s="34">
        <f t="shared" ref="T28:AD28" si="20">SUM(D82:D85)</f>
        <v>7</v>
      </c>
      <c r="U28" s="34">
        <f t="shared" si="20"/>
        <v>5</v>
      </c>
      <c r="V28" s="34">
        <f t="shared" si="20"/>
        <v>9.3333333333333339</v>
      </c>
      <c r="W28" s="34">
        <f t="shared" si="20"/>
        <v>1.3333333333333333</v>
      </c>
      <c r="X28" s="34">
        <f t="shared" si="20"/>
        <v>0</v>
      </c>
      <c r="Y28" s="34">
        <f t="shared" si="20"/>
        <v>6.333333333333333</v>
      </c>
      <c r="Z28" s="34">
        <f t="shared" si="20"/>
        <v>4.666666666666667</v>
      </c>
      <c r="AA28" s="34">
        <f t="shared" si="20"/>
        <v>0.33333333333333331</v>
      </c>
      <c r="AB28" s="34">
        <f t="shared" si="20"/>
        <v>2.333333333333333</v>
      </c>
      <c r="AC28" s="34">
        <f t="shared" si="20"/>
        <v>177.33333333333331</v>
      </c>
      <c r="AD28" s="34">
        <f t="shared" si="20"/>
        <v>0</v>
      </c>
      <c r="AE28" s="31">
        <f t="shared" si="13"/>
        <v>489.00000000000006</v>
      </c>
      <c r="AF28" s="31">
        <f t="shared" si="13"/>
        <v>945.66666666666663</v>
      </c>
    </row>
    <row r="29" spans="2:32" ht="23.1" customHeight="1" x14ac:dyDescent="0.25">
      <c r="B29" s="23" t="s">
        <v>56</v>
      </c>
      <c r="C29" s="49">
        <f>AVERAGE('22.07 Busega-Bulenga'!C29,'23.07 Busega-Bulenga'!C29,'24.07 Busega-Bulenga'!C29,'25.07 Busega-Bulenga'!C29,'26.07 Busega-Bulenga-24h'!C29,'27.07 Busega-Bulenga-24h'!C29,'28.07 Busega-Bulenga'!C29)</f>
        <v>42.428571428571431</v>
      </c>
      <c r="D29" s="49">
        <f>AVERAGE('22.07 Busega-Bulenga'!D29,'23.07 Busega-Bulenga'!D29,'24.07 Busega-Bulenga'!D29,'25.07 Busega-Bulenga'!D29,'26.07 Busega-Bulenga-24h'!D29,'27.07 Busega-Bulenga-24h'!D29,'28.07 Busega-Bulenga'!D29)</f>
        <v>5.5714285714285712</v>
      </c>
      <c r="E29" s="49">
        <f>AVERAGE('22.07 Busega-Bulenga'!E29,'23.07 Busega-Bulenga'!E29,'24.07 Busega-Bulenga'!E29,'25.07 Busega-Bulenga'!E29,'26.07 Busega-Bulenga-24h'!E29,'27.07 Busega-Bulenga-24h'!E29,'28.07 Busega-Bulenga'!E29)</f>
        <v>4.5714285714285712</v>
      </c>
      <c r="F29" s="49">
        <f>AVERAGE('22.07 Busega-Bulenga'!F29,'23.07 Busega-Bulenga'!F29,'24.07 Busega-Bulenga'!F29,'25.07 Busega-Bulenga'!F29,'26.07 Busega-Bulenga-24h'!F29,'27.07 Busega-Bulenga-24h'!F29,'28.07 Busega-Bulenga'!F29)</f>
        <v>24.428571428571427</v>
      </c>
      <c r="G29" s="49">
        <f>AVERAGE('22.07 Busega-Bulenga'!G29,'23.07 Busega-Bulenga'!G29,'24.07 Busega-Bulenga'!G29,'25.07 Busega-Bulenga'!G29,'26.07 Busega-Bulenga-24h'!G29,'27.07 Busega-Bulenga-24h'!G29,'28.07 Busega-Bulenga'!G29)</f>
        <v>0.8571428571428571</v>
      </c>
      <c r="H29" s="49">
        <f>AVERAGE('22.07 Busega-Bulenga'!H29,'23.07 Busega-Bulenga'!H29,'24.07 Busega-Bulenga'!H29,'25.07 Busega-Bulenga'!H29,'26.07 Busega-Bulenga-24h'!H29,'27.07 Busega-Bulenga-24h'!H29,'28.07 Busega-Bulenga'!H29)</f>
        <v>0.42857142857142855</v>
      </c>
      <c r="I29" s="49">
        <f>AVERAGE('22.07 Busega-Bulenga'!I29,'23.07 Busega-Bulenga'!I29,'24.07 Busega-Bulenga'!I29,'25.07 Busega-Bulenga'!I29,'26.07 Busega-Bulenga-24h'!I29,'27.07 Busega-Bulenga-24h'!I29,'28.07 Busega-Bulenga'!I29)</f>
        <v>8.7142857142857135</v>
      </c>
      <c r="J29" s="49">
        <f>AVERAGE('22.07 Busega-Bulenga'!J29,'23.07 Busega-Bulenga'!J29,'24.07 Busega-Bulenga'!J29,'25.07 Busega-Bulenga'!J29,'26.07 Busega-Bulenga-24h'!J29,'27.07 Busega-Bulenga-24h'!J29,'28.07 Busega-Bulenga'!J29)</f>
        <v>5</v>
      </c>
      <c r="K29" s="49">
        <f>AVERAGE('22.07 Busega-Bulenga'!K29,'23.07 Busega-Bulenga'!K29,'24.07 Busega-Bulenga'!K29,'25.07 Busega-Bulenga'!K29,'26.07 Busega-Bulenga-24h'!K29,'27.07 Busega-Bulenga-24h'!K29,'28.07 Busega-Bulenga'!K29)</f>
        <v>1.8571428571428572</v>
      </c>
      <c r="L29" s="49">
        <f>AVERAGE('22.07 Busega-Bulenga'!L29,'23.07 Busega-Bulenga'!L29,'24.07 Busega-Bulenga'!L29,'25.07 Busega-Bulenga'!L29,'26.07 Busega-Bulenga-24h'!L29,'27.07 Busega-Bulenga-24h'!L29,'28.07 Busega-Bulenga'!L29)</f>
        <v>1.7142857142857142</v>
      </c>
      <c r="M29" s="49">
        <f>AVERAGE('22.07 Busega-Bulenga'!M29,'23.07 Busega-Bulenga'!M29,'24.07 Busega-Bulenga'!M29,'25.07 Busega-Bulenga'!M29,'26.07 Busega-Bulenga-24h'!M29,'27.07 Busega-Bulenga-24h'!M29,'28.07 Busega-Bulenga'!M29)</f>
        <v>129</v>
      </c>
      <c r="N29" s="49">
        <f>AVERAGE('22.07 Busega-Bulenga'!N29,'23.07 Busega-Bulenga'!N29,'24.07 Busega-Bulenga'!N29,'25.07 Busega-Bulenga'!N29,'26.07 Busega-Bulenga-24h'!N29,'27.07 Busega-Bulenga-24h'!N29,'28.07 Busega-Bulenga'!N29)</f>
        <v>0</v>
      </c>
      <c r="O29" s="15">
        <f t="shared" si="0"/>
        <v>95.571428571428569</v>
      </c>
      <c r="P29" s="15">
        <f t="shared" si="1"/>
        <v>224.57142857142856</v>
      </c>
      <c r="R29" s="1" t="s">
        <v>153</v>
      </c>
      <c r="S29" s="34">
        <f>SUM(C86:C89)</f>
        <v>35.666666666666664</v>
      </c>
      <c r="T29" s="34">
        <f t="shared" ref="T29:AD29" si="21">SUM(D86:D89)</f>
        <v>2.6666666666666665</v>
      </c>
      <c r="U29" s="34">
        <f t="shared" si="21"/>
        <v>3.3333333333333335</v>
      </c>
      <c r="V29" s="34">
        <f t="shared" si="21"/>
        <v>2</v>
      </c>
      <c r="W29" s="34">
        <f t="shared" si="21"/>
        <v>0.66666666666666663</v>
      </c>
      <c r="X29" s="34">
        <f t="shared" si="21"/>
        <v>0</v>
      </c>
      <c r="Y29" s="34">
        <f t="shared" si="21"/>
        <v>2.666666666666667</v>
      </c>
      <c r="Z29" s="34">
        <f t="shared" si="21"/>
        <v>3.333333333333333</v>
      </c>
      <c r="AA29" s="34">
        <f t="shared" si="21"/>
        <v>0</v>
      </c>
      <c r="AB29" s="34">
        <f t="shared" si="21"/>
        <v>0.33333333333333331</v>
      </c>
      <c r="AC29" s="34">
        <f t="shared" si="21"/>
        <v>89</v>
      </c>
      <c r="AD29" s="34">
        <f t="shared" si="21"/>
        <v>0</v>
      </c>
      <c r="AE29" s="31">
        <f t="shared" si="13"/>
        <v>499</v>
      </c>
      <c r="AF29" s="31">
        <f t="shared" si="13"/>
        <v>964.33333333333326</v>
      </c>
    </row>
    <row r="30" spans="2:32" ht="23.1" customHeight="1" x14ac:dyDescent="0.25">
      <c r="B30" s="23" t="s">
        <v>57</v>
      </c>
      <c r="C30" s="49">
        <f>AVERAGE('22.07 Busega-Bulenga'!C30,'23.07 Busega-Bulenga'!C30,'24.07 Busega-Bulenga'!C30,'25.07 Busega-Bulenga'!C30,'26.07 Busega-Bulenga-24h'!C30,'27.07 Busega-Bulenga-24h'!C30,'28.07 Busega-Bulenga'!C30)</f>
        <v>46.428571428571431</v>
      </c>
      <c r="D30" s="49">
        <f>AVERAGE('22.07 Busega-Bulenga'!D30,'23.07 Busega-Bulenga'!D30,'24.07 Busega-Bulenga'!D30,'25.07 Busega-Bulenga'!D30,'26.07 Busega-Bulenga-24h'!D30,'27.07 Busega-Bulenga-24h'!D30,'28.07 Busega-Bulenga'!D30)</f>
        <v>8.1428571428571423</v>
      </c>
      <c r="E30" s="49">
        <f>AVERAGE('22.07 Busega-Bulenga'!E30,'23.07 Busega-Bulenga'!E30,'24.07 Busega-Bulenga'!E30,'25.07 Busega-Bulenga'!E30,'26.07 Busega-Bulenga-24h'!E30,'27.07 Busega-Bulenga-24h'!E30,'28.07 Busega-Bulenga'!E30)</f>
        <v>5.4285714285714288</v>
      </c>
      <c r="F30" s="49">
        <f>AVERAGE('22.07 Busega-Bulenga'!F30,'23.07 Busega-Bulenga'!F30,'24.07 Busega-Bulenga'!F30,'25.07 Busega-Bulenga'!F30,'26.07 Busega-Bulenga-24h'!F30,'27.07 Busega-Bulenga-24h'!F30,'28.07 Busega-Bulenga'!F30)</f>
        <v>28.285714285714285</v>
      </c>
      <c r="G30" s="49">
        <f>AVERAGE('22.07 Busega-Bulenga'!G30,'23.07 Busega-Bulenga'!G30,'24.07 Busega-Bulenga'!G30,'25.07 Busega-Bulenga'!G30,'26.07 Busega-Bulenga-24h'!G30,'27.07 Busega-Bulenga-24h'!G30,'28.07 Busega-Bulenga'!G30)</f>
        <v>1</v>
      </c>
      <c r="H30" s="49">
        <f>AVERAGE('22.07 Busega-Bulenga'!H30,'23.07 Busega-Bulenga'!H30,'24.07 Busega-Bulenga'!H30,'25.07 Busega-Bulenga'!H30,'26.07 Busega-Bulenga-24h'!H30,'27.07 Busega-Bulenga-24h'!H30,'28.07 Busega-Bulenga'!H30)</f>
        <v>0.42857142857142855</v>
      </c>
      <c r="I30" s="49">
        <f>AVERAGE('22.07 Busega-Bulenga'!I30,'23.07 Busega-Bulenga'!I30,'24.07 Busega-Bulenga'!I30,'25.07 Busega-Bulenga'!I30,'26.07 Busega-Bulenga-24h'!I30,'27.07 Busega-Bulenga-24h'!I30,'28.07 Busega-Bulenga'!I30)</f>
        <v>12.571428571428571</v>
      </c>
      <c r="J30" s="49">
        <f>AVERAGE('22.07 Busega-Bulenga'!J30,'23.07 Busega-Bulenga'!J30,'24.07 Busega-Bulenga'!J30,'25.07 Busega-Bulenga'!J30,'26.07 Busega-Bulenga-24h'!J30,'27.07 Busega-Bulenga-24h'!J30,'28.07 Busega-Bulenga'!J30)</f>
        <v>7</v>
      </c>
      <c r="K30" s="49">
        <f>AVERAGE('22.07 Busega-Bulenga'!K30,'23.07 Busega-Bulenga'!K30,'24.07 Busega-Bulenga'!K30,'25.07 Busega-Bulenga'!K30,'26.07 Busega-Bulenga-24h'!K30,'27.07 Busega-Bulenga-24h'!K30,'28.07 Busega-Bulenga'!K30)</f>
        <v>2.4285714285714284</v>
      </c>
      <c r="L30" s="49">
        <f>AVERAGE('22.07 Busega-Bulenga'!L30,'23.07 Busega-Bulenga'!L30,'24.07 Busega-Bulenga'!L30,'25.07 Busega-Bulenga'!L30,'26.07 Busega-Bulenga-24h'!L30,'27.07 Busega-Bulenga-24h'!L30,'28.07 Busega-Bulenga'!L30)</f>
        <v>1.8571428571428572</v>
      </c>
      <c r="M30" s="49">
        <f>AVERAGE('22.07 Busega-Bulenga'!M30,'23.07 Busega-Bulenga'!M30,'24.07 Busega-Bulenga'!M30,'25.07 Busega-Bulenga'!M30,'26.07 Busega-Bulenga-24h'!M30,'27.07 Busega-Bulenga-24h'!M30,'28.07 Busega-Bulenga'!M30)</f>
        <v>177.85714285714286</v>
      </c>
      <c r="N30" s="49">
        <f>AVERAGE('22.07 Busega-Bulenga'!N30,'23.07 Busega-Bulenga'!N30,'24.07 Busega-Bulenga'!N30,'25.07 Busega-Bulenga'!N30,'26.07 Busega-Bulenga-24h'!N30,'27.07 Busega-Bulenga-24h'!N30,'28.07 Busega-Bulenga'!N30)</f>
        <v>0</v>
      </c>
      <c r="O30" s="15">
        <f t="shared" si="0"/>
        <v>113.57142857142857</v>
      </c>
      <c r="P30" s="15">
        <f t="shared" si="1"/>
        <v>291.42857142857144</v>
      </c>
      <c r="R30" s="1" t="s">
        <v>154</v>
      </c>
      <c r="S30" s="34">
        <f>SUM(C90:C93)</f>
        <v>27.666666666666668</v>
      </c>
      <c r="T30" s="34">
        <f t="shared" ref="T30:AD30" si="22">SUM(D90:D93)</f>
        <v>2.333333333333333</v>
      </c>
      <c r="U30" s="34">
        <f t="shared" si="22"/>
        <v>3.666666666666667</v>
      </c>
      <c r="V30" s="34">
        <f t="shared" si="22"/>
        <v>1.3333333333333333</v>
      </c>
      <c r="W30" s="34">
        <f t="shared" si="22"/>
        <v>0</v>
      </c>
      <c r="X30" s="34">
        <f t="shared" si="22"/>
        <v>0</v>
      </c>
      <c r="Y30" s="34">
        <f t="shared" si="22"/>
        <v>3</v>
      </c>
      <c r="Z30" s="34">
        <f t="shared" si="22"/>
        <v>3</v>
      </c>
      <c r="AA30" s="34">
        <f t="shared" si="22"/>
        <v>2.333333333333333</v>
      </c>
      <c r="AB30" s="34">
        <f t="shared" si="22"/>
        <v>2.666666666666667</v>
      </c>
      <c r="AC30" s="34">
        <f t="shared" si="22"/>
        <v>50</v>
      </c>
      <c r="AD30" s="34">
        <f t="shared" si="22"/>
        <v>0</v>
      </c>
      <c r="AE30" s="31">
        <f t="shared" si="13"/>
        <v>513.33333333333337</v>
      </c>
      <c r="AF30" s="31">
        <f t="shared" si="13"/>
        <v>943.33333333333348</v>
      </c>
    </row>
    <row r="31" spans="2:32" ht="23.1" customHeight="1" x14ac:dyDescent="0.25">
      <c r="B31" s="24" t="s">
        <v>58</v>
      </c>
      <c r="C31" s="49">
        <f>AVERAGE('22.07 Busega-Bulenga'!C31,'23.07 Busega-Bulenga'!C31,'24.07 Busega-Bulenga'!C31,'25.07 Busega-Bulenga'!C31,'26.07 Busega-Bulenga-24h'!C31,'27.07 Busega-Bulenga-24h'!C31,'28.07 Busega-Bulenga'!C31)</f>
        <v>34.285714285714285</v>
      </c>
      <c r="D31" s="49">
        <f>AVERAGE('22.07 Busega-Bulenga'!D31,'23.07 Busega-Bulenga'!D31,'24.07 Busega-Bulenga'!D31,'25.07 Busega-Bulenga'!D31,'26.07 Busega-Bulenga-24h'!D31,'27.07 Busega-Bulenga-24h'!D31,'28.07 Busega-Bulenga'!D31)</f>
        <v>5.7142857142857144</v>
      </c>
      <c r="E31" s="49">
        <f>AVERAGE('22.07 Busega-Bulenga'!E31,'23.07 Busega-Bulenga'!E31,'24.07 Busega-Bulenga'!E31,'25.07 Busega-Bulenga'!E31,'26.07 Busega-Bulenga-24h'!E31,'27.07 Busega-Bulenga-24h'!E31,'28.07 Busega-Bulenga'!E31)</f>
        <v>3.4285714285714284</v>
      </c>
      <c r="F31" s="49">
        <f>AVERAGE('22.07 Busega-Bulenga'!F31,'23.07 Busega-Bulenga'!F31,'24.07 Busega-Bulenga'!F31,'25.07 Busega-Bulenga'!F31,'26.07 Busega-Bulenga-24h'!F31,'27.07 Busega-Bulenga-24h'!F31,'28.07 Busega-Bulenga'!F31)</f>
        <v>18.428571428571427</v>
      </c>
      <c r="G31" s="49">
        <f>AVERAGE('22.07 Busega-Bulenga'!G31,'23.07 Busega-Bulenga'!G31,'24.07 Busega-Bulenga'!G31,'25.07 Busega-Bulenga'!G31,'26.07 Busega-Bulenga-24h'!G31,'27.07 Busega-Bulenga-24h'!G31,'28.07 Busega-Bulenga'!G31)</f>
        <v>0.2857142857142857</v>
      </c>
      <c r="H31" s="49">
        <f>AVERAGE('22.07 Busega-Bulenga'!H31,'23.07 Busega-Bulenga'!H31,'24.07 Busega-Bulenga'!H31,'25.07 Busega-Bulenga'!H31,'26.07 Busega-Bulenga-24h'!H31,'27.07 Busega-Bulenga-24h'!H31,'28.07 Busega-Bulenga'!H31)</f>
        <v>0.2857142857142857</v>
      </c>
      <c r="I31" s="49">
        <f>AVERAGE('22.07 Busega-Bulenga'!I31,'23.07 Busega-Bulenga'!I31,'24.07 Busega-Bulenga'!I31,'25.07 Busega-Bulenga'!I31,'26.07 Busega-Bulenga-24h'!I31,'27.07 Busega-Bulenga-24h'!I31,'28.07 Busega-Bulenga'!I31)</f>
        <v>8.5714285714285712</v>
      </c>
      <c r="J31" s="49">
        <f>AVERAGE('22.07 Busega-Bulenga'!J31,'23.07 Busega-Bulenga'!J31,'24.07 Busega-Bulenga'!J31,'25.07 Busega-Bulenga'!J31,'26.07 Busega-Bulenga-24h'!J31,'27.07 Busega-Bulenga-24h'!J31,'28.07 Busega-Bulenga'!J31)</f>
        <v>6.4285714285714288</v>
      </c>
      <c r="K31" s="49">
        <f>AVERAGE('22.07 Busega-Bulenga'!K31,'23.07 Busega-Bulenga'!K31,'24.07 Busega-Bulenga'!K31,'25.07 Busega-Bulenga'!K31,'26.07 Busega-Bulenga-24h'!K31,'27.07 Busega-Bulenga-24h'!K31,'28.07 Busega-Bulenga'!K31)</f>
        <v>1</v>
      </c>
      <c r="L31" s="49">
        <f>AVERAGE('22.07 Busega-Bulenga'!L31,'23.07 Busega-Bulenga'!L31,'24.07 Busega-Bulenga'!L31,'25.07 Busega-Bulenga'!L31,'26.07 Busega-Bulenga-24h'!L31,'27.07 Busega-Bulenga-24h'!L31,'28.07 Busega-Bulenga'!L31)</f>
        <v>1.5714285714285714</v>
      </c>
      <c r="M31" s="49">
        <f>AVERAGE('22.07 Busega-Bulenga'!M31,'23.07 Busega-Bulenga'!M31,'24.07 Busega-Bulenga'!M31,'25.07 Busega-Bulenga'!M31,'26.07 Busega-Bulenga-24h'!M31,'27.07 Busega-Bulenga-24h'!M31,'28.07 Busega-Bulenga'!M31)</f>
        <v>174.14285714285714</v>
      </c>
      <c r="N31" s="49">
        <f>AVERAGE('22.07 Busega-Bulenga'!N31,'23.07 Busega-Bulenga'!N31,'24.07 Busega-Bulenga'!N31,'25.07 Busega-Bulenga'!N31,'26.07 Busega-Bulenga-24h'!N31,'27.07 Busega-Bulenga-24h'!N31,'28.07 Busega-Bulenga'!N31)</f>
        <v>0</v>
      </c>
      <c r="O31" s="15">
        <f t="shared" si="0"/>
        <v>80</v>
      </c>
      <c r="P31" s="15">
        <f t="shared" si="1"/>
        <v>254.14285714285714</v>
      </c>
      <c r="R31" s="1" t="s">
        <v>155</v>
      </c>
      <c r="S31" s="34">
        <f>SUM(C94:C97)</f>
        <v>21.666666666666664</v>
      </c>
      <c r="T31" s="34">
        <f t="shared" ref="T31:AD31" si="23">SUM(D94:D97)</f>
        <v>3.9999999999999996</v>
      </c>
      <c r="U31" s="34">
        <f t="shared" si="23"/>
        <v>3.6666666666666661</v>
      </c>
      <c r="V31" s="34">
        <f t="shared" si="23"/>
        <v>3.6666666666666665</v>
      </c>
      <c r="W31" s="34">
        <f t="shared" si="23"/>
        <v>0.33333333333333331</v>
      </c>
      <c r="X31" s="34">
        <f t="shared" si="23"/>
        <v>0.66666666666666663</v>
      </c>
      <c r="Y31" s="34">
        <f t="shared" si="23"/>
        <v>2.6666666666666665</v>
      </c>
      <c r="Z31" s="34">
        <f t="shared" si="23"/>
        <v>5</v>
      </c>
      <c r="AA31" s="34">
        <f t="shared" si="23"/>
        <v>0.33333333333333331</v>
      </c>
      <c r="AB31" s="34">
        <f t="shared" si="23"/>
        <v>2</v>
      </c>
      <c r="AC31" s="34">
        <f t="shared" si="23"/>
        <v>70.333333333333343</v>
      </c>
      <c r="AD31" s="34">
        <f t="shared" si="23"/>
        <v>0</v>
      </c>
      <c r="AE31" s="31">
        <f t="shared" si="13"/>
        <v>538</v>
      </c>
      <c r="AF31" s="31">
        <f t="shared" si="13"/>
        <v>976.33333333333337</v>
      </c>
    </row>
    <row r="32" spans="2:32" ht="23.1" customHeight="1" x14ac:dyDescent="0.25">
      <c r="B32" s="24" t="s">
        <v>59</v>
      </c>
      <c r="C32" s="49">
        <f>AVERAGE('22.07 Busega-Bulenga'!C32,'23.07 Busega-Bulenga'!C32,'24.07 Busega-Bulenga'!C32,'25.07 Busega-Bulenga'!C32,'26.07 Busega-Bulenga-24h'!C32,'27.07 Busega-Bulenga-24h'!C32,'28.07 Busega-Bulenga'!C32)</f>
        <v>49.571428571428569</v>
      </c>
      <c r="D32" s="49">
        <f>AVERAGE('22.07 Busega-Bulenga'!D32,'23.07 Busega-Bulenga'!D32,'24.07 Busega-Bulenga'!D32,'25.07 Busega-Bulenga'!D32,'26.07 Busega-Bulenga-24h'!D32,'27.07 Busega-Bulenga-24h'!D32,'28.07 Busega-Bulenga'!D32)</f>
        <v>8.7142857142857135</v>
      </c>
      <c r="E32" s="49">
        <f>AVERAGE('22.07 Busega-Bulenga'!E32,'23.07 Busega-Bulenga'!E32,'24.07 Busega-Bulenga'!E32,'25.07 Busega-Bulenga'!E32,'26.07 Busega-Bulenga-24h'!E32,'27.07 Busega-Bulenga-24h'!E32,'28.07 Busega-Bulenga'!E32)</f>
        <v>8</v>
      </c>
      <c r="F32" s="49">
        <f>AVERAGE('22.07 Busega-Bulenga'!F32,'23.07 Busega-Bulenga'!F32,'24.07 Busega-Bulenga'!F32,'25.07 Busega-Bulenga'!F32,'26.07 Busega-Bulenga-24h'!F32,'27.07 Busega-Bulenga-24h'!F32,'28.07 Busega-Bulenga'!F32)</f>
        <v>24.142857142857142</v>
      </c>
      <c r="G32" s="49">
        <f>AVERAGE('22.07 Busega-Bulenga'!G32,'23.07 Busega-Bulenga'!G32,'24.07 Busega-Bulenga'!G32,'25.07 Busega-Bulenga'!G32,'26.07 Busega-Bulenga-24h'!G32,'27.07 Busega-Bulenga-24h'!G32,'28.07 Busega-Bulenga'!G32)</f>
        <v>0.5714285714285714</v>
      </c>
      <c r="H32" s="49">
        <f>AVERAGE('22.07 Busega-Bulenga'!H32,'23.07 Busega-Bulenga'!H32,'24.07 Busega-Bulenga'!H32,'25.07 Busega-Bulenga'!H32,'26.07 Busega-Bulenga-24h'!H32,'27.07 Busega-Bulenga-24h'!H32,'28.07 Busega-Bulenga'!H32)</f>
        <v>2.8571428571428572</v>
      </c>
      <c r="I32" s="49">
        <f>AVERAGE('22.07 Busega-Bulenga'!I32,'23.07 Busega-Bulenga'!I32,'24.07 Busega-Bulenga'!I32,'25.07 Busega-Bulenga'!I32,'26.07 Busega-Bulenga-24h'!I32,'27.07 Busega-Bulenga-24h'!I32,'28.07 Busega-Bulenga'!I32)</f>
        <v>10</v>
      </c>
      <c r="J32" s="49">
        <f>AVERAGE('22.07 Busega-Bulenga'!J32,'23.07 Busega-Bulenga'!J32,'24.07 Busega-Bulenga'!J32,'25.07 Busega-Bulenga'!J32,'26.07 Busega-Bulenga-24h'!J32,'27.07 Busega-Bulenga-24h'!J32,'28.07 Busega-Bulenga'!J32)</f>
        <v>5.1428571428571432</v>
      </c>
      <c r="K32" s="49">
        <f>AVERAGE('22.07 Busega-Bulenga'!K32,'23.07 Busega-Bulenga'!K32,'24.07 Busega-Bulenga'!K32,'25.07 Busega-Bulenga'!K32,'26.07 Busega-Bulenga-24h'!K32,'27.07 Busega-Bulenga-24h'!K32,'28.07 Busega-Bulenga'!K32)</f>
        <v>1.5714285714285714</v>
      </c>
      <c r="L32" s="49">
        <f>AVERAGE('22.07 Busega-Bulenga'!L32,'23.07 Busega-Bulenga'!L32,'24.07 Busega-Bulenga'!L32,'25.07 Busega-Bulenga'!L32,'26.07 Busega-Bulenga-24h'!L32,'27.07 Busega-Bulenga-24h'!L32,'28.07 Busega-Bulenga'!L32)</f>
        <v>31.714285714285715</v>
      </c>
      <c r="M32" s="49">
        <f>AVERAGE('22.07 Busega-Bulenga'!M32,'23.07 Busega-Bulenga'!M32,'24.07 Busega-Bulenga'!M32,'25.07 Busega-Bulenga'!M32,'26.07 Busega-Bulenga-24h'!M32,'27.07 Busega-Bulenga-24h'!M32,'28.07 Busega-Bulenga'!M32)</f>
        <v>144.14285714285714</v>
      </c>
      <c r="N32" s="49">
        <f>AVERAGE('22.07 Busega-Bulenga'!N32,'23.07 Busega-Bulenga'!N32,'24.07 Busega-Bulenga'!N32,'25.07 Busega-Bulenga'!N32,'26.07 Busega-Bulenga-24h'!N32,'27.07 Busega-Bulenga-24h'!N32,'28.07 Busega-Bulenga'!N32)</f>
        <v>0</v>
      </c>
      <c r="O32" s="15">
        <f t="shared" si="0"/>
        <v>142.28571428571428</v>
      </c>
      <c r="P32" s="15">
        <f t="shared" si="1"/>
        <v>286.42857142857144</v>
      </c>
      <c r="R32" s="1" t="s">
        <v>156</v>
      </c>
      <c r="S32" s="34">
        <f>SUM(C98:C101)</f>
        <v>33.333333333333336</v>
      </c>
      <c r="T32" s="34">
        <f t="shared" ref="T32:AD32" si="24">SUM(D98:D101)</f>
        <v>10</v>
      </c>
      <c r="U32" s="34">
        <f t="shared" si="24"/>
        <v>5.666666666666667</v>
      </c>
      <c r="V32" s="34">
        <f t="shared" si="24"/>
        <v>8.3333333333333321</v>
      </c>
      <c r="W32" s="34">
        <f t="shared" si="24"/>
        <v>2</v>
      </c>
      <c r="X32" s="34">
        <f t="shared" si="24"/>
        <v>0.66666666666666663</v>
      </c>
      <c r="Y32" s="34">
        <f t="shared" si="24"/>
        <v>3.9999999999999996</v>
      </c>
      <c r="Z32" s="34">
        <f t="shared" si="24"/>
        <v>5.6666666666666661</v>
      </c>
      <c r="AA32" s="34">
        <f t="shared" si="24"/>
        <v>5.333333333333333</v>
      </c>
      <c r="AB32" s="34">
        <f t="shared" si="24"/>
        <v>1.6666666666666665</v>
      </c>
      <c r="AC32" s="34">
        <f t="shared" si="24"/>
        <v>141.33333333333334</v>
      </c>
      <c r="AD32" s="34">
        <f t="shared" si="24"/>
        <v>0</v>
      </c>
      <c r="AE32" s="31">
        <f t="shared" si="13"/>
        <v>531.33333333333337</v>
      </c>
      <c r="AF32" s="31">
        <f t="shared" si="13"/>
        <v>943.66666666666674</v>
      </c>
    </row>
    <row r="33" spans="2:32" ht="23.1" customHeight="1" x14ac:dyDescent="0.25">
      <c r="B33" s="23" t="s">
        <v>60</v>
      </c>
      <c r="C33" s="49">
        <f>AVERAGE('22.07 Busega-Bulenga'!C33,'23.07 Busega-Bulenga'!C33,'24.07 Busega-Bulenga'!C33,'25.07 Busega-Bulenga'!C33,'26.07 Busega-Bulenga-24h'!C33,'27.07 Busega-Bulenga-24h'!C33,'28.07 Busega-Bulenga'!C33)</f>
        <v>42</v>
      </c>
      <c r="D33" s="49">
        <f>AVERAGE('22.07 Busega-Bulenga'!D33,'23.07 Busega-Bulenga'!D33,'24.07 Busega-Bulenga'!D33,'25.07 Busega-Bulenga'!D33,'26.07 Busega-Bulenga-24h'!D33,'27.07 Busega-Bulenga-24h'!D33,'28.07 Busega-Bulenga'!D33)</f>
        <v>5.5714285714285712</v>
      </c>
      <c r="E33" s="49">
        <f>AVERAGE('22.07 Busega-Bulenga'!E33,'23.07 Busega-Bulenga'!E33,'24.07 Busega-Bulenga'!E33,'25.07 Busega-Bulenga'!E33,'26.07 Busega-Bulenga-24h'!E33,'27.07 Busega-Bulenga-24h'!E33,'28.07 Busega-Bulenga'!E33)</f>
        <v>4.7142857142857144</v>
      </c>
      <c r="F33" s="49">
        <f>AVERAGE('22.07 Busega-Bulenga'!F33,'23.07 Busega-Bulenga'!F33,'24.07 Busega-Bulenga'!F33,'25.07 Busega-Bulenga'!F33,'26.07 Busega-Bulenga-24h'!F33,'27.07 Busega-Bulenga-24h'!F33,'28.07 Busega-Bulenga'!F33)</f>
        <v>27.285714285714285</v>
      </c>
      <c r="G33" s="49">
        <f>AVERAGE('22.07 Busega-Bulenga'!G33,'23.07 Busega-Bulenga'!G33,'24.07 Busega-Bulenga'!G33,'25.07 Busega-Bulenga'!G33,'26.07 Busega-Bulenga-24h'!G33,'27.07 Busega-Bulenga-24h'!G33,'28.07 Busega-Bulenga'!G33)</f>
        <v>1</v>
      </c>
      <c r="H33" s="49">
        <f>AVERAGE('22.07 Busega-Bulenga'!H33,'23.07 Busega-Bulenga'!H33,'24.07 Busega-Bulenga'!H33,'25.07 Busega-Bulenga'!H33,'26.07 Busega-Bulenga-24h'!H33,'27.07 Busega-Bulenga-24h'!H33,'28.07 Busega-Bulenga'!H33)</f>
        <v>1</v>
      </c>
      <c r="I33" s="49">
        <f>AVERAGE('22.07 Busega-Bulenga'!I33,'23.07 Busega-Bulenga'!I33,'24.07 Busega-Bulenga'!I33,'25.07 Busega-Bulenga'!I33,'26.07 Busega-Bulenga-24h'!I33,'27.07 Busega-Bulenga-24h'!I33,'28.07 Busega-Bulenga'!I33)</f>
        <v>9.5714285714285712</v>
      </c>
      <c r="J33" s="49">
        <f>AVERAGE('22.07 Busega-Bulenga'!J33,'23.07 Busega-Bulenga'!J33,'24.07 Busega-Bulenga'!J33,'25.07 Busega-Bulenga'!J33,'26.07 Busega-Bulenga-24h'!J33,'27.07 Busega-Bulenga-24h'!J33,'28.07 Busega-Bulenga'!J33)</f>
        <v>8.4285714285714288</v>
      </c>
      <c r="K33" s="49">
        <f>AVERAGE('22.07 Busega-Bulenga'!K33,'23.07 Busega-Bulenga'!K33,'24.07 Busega-Bulenga'!K33,'25.07 Busega-Bulenga'!K33,'26.07 Busega-Bulenga-24h'!K33,'27.07 Busega-Bulenga-24h'!K33,'28.07 Busega-Bulenga'!K33)</f>
        <v>1.4285714285714286</v>
      </c>
      <c r="L33" s="49">
        <f>AVERAGE('22.07 Busega-Bulenga'!L33,'23.07 Busega-Bulenga'!L33,'24.07 Busega-Bulenga'!L33,'25.07 Busega-Bulenga'!L33,'26.07 Busega-Bulenga-24h'!L33,'27.07 Busega-Bulenga-24h'!L33,'28.07 Busega-Bulenga'!L33)</f>
        <v>1.8571428571428572</v>
      </c>
      <c r="M33" s="49">
        <f>AVERAGE('22.07 Busega-Bulenga'!M33,'23.07 Busega-Bulenga'!M33,'24.07 Busega-Bulenga'!M33,'25.07 Busega-Bulenga'!M33,'26.07 Busega-Bulenga-24h'!M33,'27.07 Busega-Bulenga-24h'!M33,'28.07 Busega-Bulenga'!M33)</f>
        <v>130.57142857142858</v>
      </c>
      <c r="N33" s="49">
        <f>AVERAGE('22.07 Busega-Bulenga'!N33,'23.07 Busega-Bulenga'!N33,'24.07 Busega-Bulenga'!N33,'25.07 Busega-Bulenga'!N33,'26.07 Busega-Bulenga-24h'!N33,'27.07 Busega-Bulenga-24h'!N33,'28.07 Busega-Bulenga'!N33)</f>
        <v>0</v>
      </c>
      <c r="O33" s="15">
        <f t="shared" si="0"/>
        <v>102.85714285714286</v>
      </c>
      <c r="P33" s="15">
        <f t="shared" si="1"/>
        <v>233.42857142857144</v>
      </c>
      <c r="R33" s="1" t="s">
        <v>157</v>
      </c>
      <c r="S33" s="34">
        <f>SUM(C102:C105)</f>
        <v>61.333333333333329</v>
      </c>
      <c r="T33" s="34">
        <f t="shared" ref="T33:AD33" si="25">SUM(D102:D105)</f>
        <v>16.333333333333332</v>
      </c>
      <c r="U33" s="34">
        <f t="shared" si="25"/>
        <v>5.666666666666667</v>
      </c>
      <c r="V33" s="34">
        <f t="shared" si="25"/>
        <v>30</v>
      </c>
      <c r="W33" s="34">
        <f t="shared" si="25"/>
        <v>1.3333333333333333</v>
      </c>
      <c r="X33" s="34">
        <f t="shared" si="25"/>
        <v>1.3333333333333333</v>
      </c>
      <c r="Y33" s="34">
        <f t="shared" si="25"/>
        <v>8.6666666666666661</v>
      </c>
      <c r="Z33" s="34">
        <f t="shared" si="25"/>
        <v>11.666666666666668</v>
      </c>
      <c r="AA33" s="34">
        <f t="shared" si="25"/>
        <v>1.6666666666666665</v>
      </c>
      <c r="AB33" s="34">
        <f t="shared" si="25"/>
        <v>2.6666666666666665</v>
      </c>
      <c r="AC33" s="34">
        <f t="shared" si="25"/>
        <v>295.66666666666669</v>
      </c>
      <c r="AD33" s="34">
        <f t="shared" si="25"/>
        <v>0</v>
      </c>
      <c r="AE33" s="31">
        <f t="shared" si="13"/>
        <v>539.33333333333337</v>
      </c>
      <c r="AF33" s="31">
        <f t="shared" si="13"/>
        <v>936.33333333333348</v>
      </c>
    </row>
    <row r="34" spans="2:32" ht="23.1" customHeight="1" x14ac:dyDescent="0.25">
      <c r="B34" s="24" t="s">
        <v>61</v>
      </c>
      <c r="C34" s="49">
        <f>AVERAGE('22.07 Busega-Bulenga'!C34,'23.07 Busega-Bulenga'!C34,'24.07 Busega-Bulenga'!C34,'25.07 Busega-Bulenga'!C34,'26.07 Busega-Bulenga-24h'!C34,'27.07 Busega-Bulenga-24h'!C34,'28.07 Busega-Bulenga'!C34)</f>
        <v>53.571428571428569</v>
      </c>
      <c r="D34" s="49">
        <f>AVERAGE('22.07 Busega-Bulenga'!D34,'23.07 Busega-Bulenga'!D34,'24.07 Busega-Bulenga'!D34,'25.07 Busega-Bulenga'!D34,'26.07 Busega-Bulenga-24h'!D34,'27.07 Busega-Bulenga-24h'!D34,'28.07 Busega-Bulenga'!D34)</f>
        <v>8.1428571428571423</v>
      </c>
      <c r="E34" s="49">
        <f>AVERAGE('22.07 Busega-Bulenga'!E34,'23.07 Busega-Bulenga'!E34,'24.07 Busega-Bulenga'!E34,'25.07 Busega-Bulenga'!E34,'26.07 Busega-Bulenga-24h'!E34,'27.07 Busega-Bulenga-24h'!E34,'28.07 Busega-Bulenga'!E34)</f>
        <v>5</v>
      </c>
      <c r="F34" s="49">
        <f>AVERAGE('22.07 Busega-Bulenga'!F34,'23.07 Busega-Bulenga'!F34,'24.07 Busega-Bulenga'!F34,'25.07 Busega-Bulenga'!F34,'26.07 Busega-Bulenga-24h'!F34,'27.07 Busega-Bulenga-24h'!F34,'28.07 Busega-Bulenga'!F34)</f>
        <v>27.142857142857142</v>
      </c>
      <c r="G34" s="49">
        <f>AVERAGE('22.07 Busega-Bulenga'!G34,'23.07 Busega-Bulenga'!G34,'24.07 Busega-Bulenga'!G34,'25.07 Busega-Bulenga'!G34,'26.07 Busega-Bulenga-24h'!G34,'27.07 Busega-Bulenga-24h'!G34,'28.07 Busega-Bulenga'!G34)</f>
        <v>0.8571428571428571</v>
      </c>
      <c r="H34" s="49">
        <f>AVERAGE('22.07 Busega-Bulenga'!H34,'23.07 Busega-Bulenga'!H34,'24.07 Busega-Bulenga'!H34,'25.07 Busega-Bulenga'!H34,'26.07 Busega-Bulenga-24h'!H34,'27.07 Busega-Bulenga-24h'!H34,'28.07 Busega-Bulenga'!H34)</f>
        <v>0.7142857142857143</v>
      </c>
      <c r="I34" s="49">
        <f>AVERAGE('22.07 Busega-Bulenga'!I34,'23.07 Busega-Bulenga'!I34,'24.07 Busega-Bulenga'!I34,'25.07 Busega-Bulenga'!I34,'26.07 Busega-Bulenga-24h'!I34,'27.07 Busega-Bulenga-24h'!I34,'28.07 Busega-Bulenga'!I34)</f>
        <v>10.285714285714286</v>
      </c>
      <c r="J34" s="49">
        <f>AVERAGE('22.07 Busega-Bulenga'!J34,'23.07 Busega-Bulenga'!J34,'24.07 Busega-Bulenga'!J34,'25.07 Busega-Bulenga'!J34,'26.07 Busega-Bulenga-24h'!J34,'27.07 Busega-Bulenga-24h'!J34,'28.07 Busega-Bulenga'!J34)</f>
        <v>9.4285714285714288</v>
      </c>
      <c r="K34" s="49">
        <f>AVERAGE('22.07 Busega-Bulenga'!K34,'23.07 Busega-Bulenga'!K34,'24.07 Busega-Bulenga'!K34,'25.07 Busega-Bulenga'!K34,'26.07 Busega-Bulenga-24h'!K34,'27.07 Busega-Bulenga-24h'!K34,'28.07 Busega-Bulenga'!K34)</f>
        <v>1.8571428571428572</v>
      </c>
      <c r="L34" s="49">
        <f>AVERAGE('22.07 Busega-Bulenga'!L34,'23.07 Busega-Bulenga'!L34,'24.07 Busega-Bulenga'!L34,'25.07 Busega-Bulenga'!L34,'26.07 Busega-Bulenga-24h'!L34,'27.07 Busega-Bulenga-24h'!L34,'28.07 Busega-Bulenga'!L34)</f>
        <v>1.1428571428571428</v>
      </c>
      <c r="M34" s="49">
        <f>AVERAGE('22.07 Busega-Bulenga'!M34,'23.07 Busega-Bulenga'!M34,'24.07 Busega-Bulenga'!M34,'25.07 Busega-Bulenga'!M34,'26.07 Busega-Bulenga-24h'!M34,'27.07 Busega-Bulenga-24h'!M34,'28.07 Busega-Bulenga'!M34)</f>
        <v>183</v>
      </c>
      <c r="N34" s="49">
        <f>AVERAGE('22.07 Busega-Bulenga'!N34,'23.07 Busega-Bulenga'!N34,'24.07 Busega-Bulenga'!N34,'25.07 Busega-Bulenga'!N34,'26.07 Busega-Bulenga-24h'!N34,'27.07 Busega-Bulenga-24h'!N34,'28.07 Busega-Bulenga'!N34)</f>
        <v>0</v>
      </c>
      <c r="O34" s="15">
        <f t="shared" si="0"/>
        <v>118.14285714285714</v>
      </c>
      <c r="P34" s="15">
        <f t="shared" si="1"/>
        <v>301.14285714285711</v>
      </c>
      <c r="R34" s="38" t="s">
        <v>90</v>
      </c>
      <c r="S34" s="39">
        <f t="shared" ref="S34:AF34" si="26">MAX(S10:S12)</f>
        <v>155.71428571428572</v>
      </c>
      <c r="T34" s="39">
        <f t="shared" si="26"/>
        <v>28</v>
      </c>
      <c r="U34" s="39">
        <f t="shared" si="26"/>
        <v>20.714285714285715</v>
      </c>
      <c r="V34" s="39">
        <f t="shared" si="26"/>
        <v>126.42857142857142</v>
      </c>
      <c r="W34" s="39">
        <f t="shared" si="26"/>
        <v>5.2857142857142856</v>
      </c>
      <c r="X34" s="39">
        <f t="shared" si="26"/>
        <v>2.1428571428571428</v>
      </c>
      <c r="Y34" s="39">
        <f t="shared" si="26"/>
        <v>33.142857142857139</v>
      </c>
      <c r="Z34" s="39">
        <f t="shared" si="26"/>
        <v>25.142857142857139</v>
      </c>
      <c r="AA34" s="39">
        <f t="shared" si="26"/>
        <v>4.5714285714285712</v>
      </c>
      <c r="AB34" s="39">
        <f t="shared" si="26"/>
        <v>5.4285714285714288</v>
      </c>
      <c r="AC34" s="39">
        <f t="shared" si="26"/>
        <v>1024.4285714285716</v>
      </c>
      <c r="AD34" s="39">
        <f t="shared" si="26"/>
        <v>0.2857142857142857</v>
      </c>
      <c r="AE34" s="40">
        <f t="shared" si="26"/>
        <v>383.57142857142856</v>
      </c>
      <c r="AF34" s="40">
        <f t="shared" si="26"/>
        <v>1405.2857142857142</v>
      </c>
    </row>
    <row r="35" spans="2:32" ht="23.1" customHeight="1" x14ac:dyDescent="0.25">
      <c r="B35" s="24" t="s">
        <v>62</v>
      </c>
      <c r="C35" s="49">
        <f>AVERAGE('22.07 Busega-Bulenga'!C35,'23.07 Busega-Bulenga'!C35,'24.07 Busega-Bulenga'!C35,'25.07 Busega-Bulenga'!C35,'26.07 Busega-Bulenga-24h'!C35,'27.07 Busega-Bulenga-24h'!C35,'28.07 Busega-Bulenga'!C35)</f>
        <v>41.571428571428569</v>
      </c>
      <c r="D35" s="49">
        <f>AVERAGE('22.07 Busega-Bulenga'!D35,'23.07 Busega-Bulenga'!D35,'24.07 Busega-Bulenga'!D35,'25.07 Busega-Bulenga'!D35,'26.07 Busega-Bulenga-24h'!D35,'27.07 Busega-Bulenga-24h'!D35,'28.07 Busega-Bulenga'!D35)</f>
        <v>7.2857142857142856</v>
      </c>
      <c r="E35" s="49">
        <f>AVERAGE('22.07 Busega-Bulenga'!E35,'23.07 Busega-Bulenga'!E35,'24.07 Busega-Bulenga'!E35,'25.07 Busega-Bulenga'!E35,'26.07 Busega-Bulenga-24h'!E35,'27.07 Busega-Bulenga-24h'!E35,'28.07 Busega-Bulenga'!E35)</f>
        <v>4.7142857142857144</v>
      </c>
      <c r="F35" s="49">
        <f>AVERAGE('22.07 Busega-Bulenga'!F35,'23.07 Busega-Bulenga'!F35,'24.07 Busega-Bulenga'!F35,'25.07 Busega-Bulenga'!F35,'26.07 Busega-Bulenga-24h'!F35,'27.07 Busega-Bulenga-24h'!F35,'28.07 Busega-Bulenga'!F35)</f>
        <v>27.857142857142858</v>
      </c>
      <c r="G35" s="49">
        <f>AVERAGE('22.07 Busega-Bulenga'!G35,'23.07 Busega-Bulenga'!G35,'24.07 Busega-Bulenga'!G35,'25.07 Busega-Bulenga'!G35,'26.07 Busega-Bulenga-24h'!G35,'27.07 Busega-Bulenga-24h'!G35,'28.07 Busega-Bulenga'!G35)</f>
        <v>0.42857142857142855</v>
      </c>
      <c r="H35" s="49">
        <f>AVERAGE('22.07 Busega-Bulenga'!H35,'23.07 Busega-Bulenga'!H35,'24.07 Busega-Bulenga'!H35,'25.07 Busega-Bulenga'!H35,'26.07 Busega-Bulenga-24h'!H35,'27.07 Busega-Bulenga-24h'!H35,'28.07 Busega-Bulenga'!H35)</f>
        <v>0.2857142857142857</v>
      </c>
      <c r="I35" s="49">
        <f>AVERAGE('22.07 Busega-Bulenga'!I35,'23.07 Busega-Bulenga'!I35,'24.07 Busega-Bulenga'!I35,'25.07 Busega-Bulenga'!I35,'26.07 Busega-Bulenga-24h'!I35,'27.07 Busega-Bulenga-24h'!I35,'28.07 Busega-Bulenga'!I35)</f>
        <v>8.1428571428571423</v>
      </c>
      <c r="J35" s="49">
        <f>AVERAGE('22.07 Busega-Bulenga'!J35,'23.07 Busega-Bulenga'!J35,'24.07 Busega-Bulenga'!J35,'25.07 Busega-Bulenga'!J35,'26.07 Busega-Bulenga-24h'!J35,'27.07 Busega-Bulenga-24h'!J35,'28.07 Busega-Bulenga'!J35)</f>
        <v>4.2857142857142856</v>
      </c>
      <c r="K35" s="49">
        <f>AVERAGE('22.07 Busega-Bulenga'!K35,'23.07 Busega-Bulenga'!K35,'24.07 Busega-Bulenga'!K35,'25.07 Busega-Bulenga'!K35,'26.07 Busega-Bulenga-24h'!K35,'27.07 Busega-Bulenga-24h'!K35,'28.07 Busega-Bulenga'!K35)</f>
        <v>1.5714285714285714</v>
      </c>
      <c r="L35" s="49">
        <f>AVERAGE('22.07 Busega-Bulenga'!L35,'23.07 Busega-Bulenga'!L35,'24.07 Busega-Bulenga'!L35,'25.07 Busega-Bulenga'!L35,'26.07 Busega-Bulenga-24h'!L35,'27.07 Busega-Bulenga-24h'!L35,'28.07 Busega-Bulenga'!L35)</f>
        <v>2.5714285714285716</v>
      </c>
      <c r="M35" s="49">
        <f>AVERAGE('22.07 Busega-Bulenga'!M35,'23.07 Busega-Bulenga'!M35,'24.07 Busega-Bulenga'!M35,'25.07 Busega-Bulenga'!M35,'26.07 Busega-Bulenga-24h'!M35,'27.07 Busega-Bulenga-24h'!M35,'28.07 Busega-Bulenga'!M35)</f>
        <v>137.42857142857142</v>
      </c>
      <c r="N35" s="49">
        <f>AVERAGE('22.07 Busega-Bulenga'!N35,'23.07 Busega-Bulenga'!N35,'24.07 Busega-Bulenga'!N35,'25.07 Busega-Bulenga'!N35,'26.07 Busega-Bulenga-24h'!N35,'27.07 Busega-Bulenga-24h'!N35,'28.07 Busega-Bulenga'!N35)</f>
        <v>0</v>
      </c>
      <c r="O35" s="15">
        <f t="shared" si="0"/>
        <v>98.714285714285722</v>
      </c>
      <c r="P35" s="15">
        <f t="shared" si="1"/>
        <v>236.14285714285714</v>
      </c>
      <c r="R35" s="38" t="s">
        <v>91</v>
      </c>
      <c r="S35" s="39">
        <f t="shared" ref="S35:AF35" si="27">MAX(S13:S18)</f>
        <v>204.14285714285717</v>
      </c>
      <c r="T35" s="39">
        <f t="shared" si="27"/>
        <v>31.142857142857146</v>
      </c>
      <c r="U35" s="39">
        <f t="shared" si="27"/>
        <v>25</v>
      </c>
      <c r="V35" s="39">
        <f t="shared" si="27"/>
        <v>117.57142857142857</v>
      </c>
      <c r="W35" s="39">
        <f t="shared" si="27"/>
        <v>4.4285714285714288</v>
      </c>
      <c r="X35" s="39">
        <f t="shared" si="27"/>
        <v>4.5714285714285712</v>
      </c>
      <c r="Y35" s="39">
        <f t="shared" si="27"/>
        <v>42.142857142857146</v>
      </c>
      <c r="Z35" s="39">
        <f t="shared" si="27"/>
        <v>29.285714285714285</v>
      </c>
      <c r="AA35" s="39">
        <f t="shared" si="27"/>
        <v>11</v>
      </c>
      <c r="AB35" s="39">
        <f t="shared" si="27"/>
        <v>37</v>
      </c>
      <c r="AC35" s="39">
        <f t="shared" si="27"/>
        <v>884.85714285714289</v>
      </c>
      <c r="AD35" s="39">
        <f t="shared" si="27"/>
        <v>0.14285714285714285</v>
      </c>
      <c r="AE35" s="40">
        <f t="shared" si="27"/>
        <v>438.71428571428567</v>
      </c>
      <c r="AF35" s="40">
        <f t="shared" si="27"/>
        <v>1285.4285714285716</v>
      </c>
    </row>
    <row r="36" spans="2:32" ht="23.1" customHeight="1" x14ac:dyDescent="0.25">
      <c r="B36" s="24" t="s">
        <v>63</v>
      </c>
      <c r="C36" s="49">
        <f>AVERAGE('22.07 Busega-Bulenga'!C36,'23.07 Busega-Bulenga'!C36,'24.07 Busega-Bulenga'!C36,'25.07 Busega-Bulenga'!C36,'26.07 Busega-Bulenga-24h'!C36,'27.07 Busega-Bulenga-24h'!C36,'28.07 Busega-Bulenga'!C36)</f>
        <v>39.571428571428569</v>
      </c>
      <c r="D36" s="49">
        <f>AVERAGE('22.07 Busega-Bulenga'!D36,'23.07 Busega-Bulenga'!D36,'24.07 Busega-Bulenga'!D36,'25.07 Busega-Bulenga'!D36,'26.07 Busega-Bulenga-24h'!D36,'27.07 Busega-Bulenga-24h'!D36,'28.07 Busega-Bulenga'!D36)</f>
        <v>7.1428571428571432</v>
      </c>
      <c r="E36" s="49">
        <f>AVERAGE('22.07 Busega-Bulenga'!E36,'23.07 Busega-Bulenga'!E36,'24.07 Busega-Bulenga'!E36,'25.07 Busega-Bulenga'!E36,'26.07 Busega-Bulenga-24h'!E36,'27.07 Busega-Bulenga-24h'!E36,'28.07 Busega-Bulenga'!E36)</f>
        <v>4.7142857142857144</v>
      </c>
      <c r="F36" s="49">
        <f>AVERAGE('22.07 Busega-Bulenga'!F36,'23.07 Busega-Bulenga'!F36,'24.07 Busega-Bulenga'!F36,'25.07 Busega-Bulenga'!F36,'26.07 Busega-Bulenga-24h'!F36,'27.07 Busega-Bulenga-24h'!F36,'28.07 Busega-Bulenga'!F36)</f>
        <v>25.285714285714285</v>
      </c>
      <c r="G36" s="49">
        <f>AVERAGE('22.07 Busega-Bulenga'!G36,'23.07 Busega-Bulenga'!G36,'24.07 Busega-Bulenga'!G36,'25.07 Busega-Bulenga'!G36,'26.07 Busega-Bulenga-24h'!G36,'27.07 Busega-Bulenga-24h'!G36,'28.07 Busega-Bulenga'!G36)</f>
        <v>0.5714285714285714</v>
      </c>
      <c r="H36" s="49">
        <f>AVERAGE('22.07 Busega-Bulenga'!H36,'23.07 Busega-Bulenga'!H36,'24.07 Busega-Bulenga'!H36,'25.07 Busega-Bulenga'!H36,'26.07 Busega-Bulenga-24h'!H36,'27.07 Busega-Bulenga-24h'!H36,'28.07 Busega-Bulenga'!H36)</f>
        <v>0.5714285714285714</v>
      </c>
      <c r="I36" s="49">
        <f>AVERAGE('22.07 Busega-Bulenga'!I36,'23.07 Busega-Bulenga'!I36,'24.07 Busega-Bulenga'!I36,'25.07 Busega-Bulenga'!I36,'26.07 Busega-Bulenga-24h'!I36,'27.07 Busega-Bulenga-24h'!I36,'28.07 Busega-Bulenga'!I36)</f>
        <v>10.142857142857142</v>
      </c>
      <c r="J36" s="49">
        <f>AVERAGE('22.07 Busega-Bulenga'!J36,'23.07 Busega-Bulenga'!J36,'24.07 Busega-Bulenga'!J36,'25.07 Busega-Bulenga'!J36,'26.07 Busega-Bulenga-24h'!J36,'27.07 Busega-Bulenga-24h'!J36,'28.07 Busega-Bulenga'!J36)</f>
        <v>5.8571428571428568</v>
      </c>
      <c r="K36" s="49">
        <f>AVERAGE('22.07 Busega-Bulenga'!K36,'23.07 Busega-Bulenga'!K36,'24.07 Busega-Bulenga'!K36,'25.07 Busega-Bulenga'!K36,'26.07 Busega-Bulenga-24h'!K36,'27.07 Busega-Bulenga-24h'!K36,'28.07 Busega-Bulenga'!K36)</f>
        <v>1.1428571428571428</v>
      </c>
      <c r="L36" s="49">
        <f>AVERAGE('22.07 Busega-Bulenga'!L36,'23.07 Busega-Bulenga'!L36,'24.07 Busega-Bulenga'!L36,'25.07 Busega-Bulenga'!L36,'26.07 Busega-Bulenga-24h'!L36,'27.07 Busega-Bulenga-24h'!L36,'28.07 Busega-Bulenga'!L36)</f>
        <v>2.1428571428571428</v>
      </c>
      <c r="M36" s="49">
        <f>AVERAGE('22.07 Busega-Bulenga'!M36,'23.07 Busega-Bulenga'!M36,'24.07 Busega-Bulenga'!M36,'25.07 Busega-Bulenga'!M36,'26.07 Busega-Bulenga-24h'!M36,'27.07 Busega-Bulenga-24h'!M36,'28.07 Busega-Bulenga'!M36)</f>
        <v>149.71428571428572</v>
      </c>
      <c r="N36" s="49">
        <f>AVERAGE('22.07 Busega-Bulenga'!N36,'23.07 Busega-Bulenga'!N36,'24.07 Busega-Bulenga'!N36,'25.07 Busega-Bulenga'!N36,'26.07 Busega-Bulenga-24h'!N36,'27.07 Busega-Bulenga-24h'!N36,'28.07 Busega-Bulenga'!N36)</f>
        <v>0</v>
      </c>
      <c r="O36" s="15">
        <f t="shared" si="0"/>
        <v>97.142857142857139</v>
      </c>
      <c r="P36" s="15">
        <f t="shared" si="1"/>
        <v>246.85714285714286</v>
      </c>
      <c r="R36" s="38" t="s">
        <v>92</v>
      </c>
      <c r="S36" s="39">
        <f t="shared" ref="S36:AF36" si="28">MAX(S19:S21)</f>
        <v>435.57142857142856</v>
      </c>
      <c r="T36" s="39">
        <f t="shared" si="28"/>
        <v>32</v>
      </c>
      <c r="U36" s="39">
        <f t="shared" si="28"/>
        <v>27.142857142857139</v>
      </c>
      <c r="V36" s="39">
        <f t="shared" si="28"/>
        <v>190.85714285714286</v>
      </c>
      <c r="W36" s="39">
        <f t="shared" si="28"/>
        <v>6.5714285714285712</v>
      </c>
      <c r="X36" s="39">
        <f t="shared" si="28"/>
        <v>3</v>
      </c>
      <c r="Y36" s="39">
        <f t="shared" si="28"/>
        <v>35.857142857142854</v>
      </c>
      <c r="Z36" s="39">
        <f t="shared" si="28"/>
        <v>32</v>
      </c>
      <c r="AA36" s="39">
        <f t="shared" si="28"/>
        <v>9.2857142857142847</v>
      </c>
      <c r="AB36" s="39">
        <f t="shared" si="28"/>
        <v>9.571428571428573</v>
      </c>
      <c r="AC36" s="39">
        <f t="shared" si="28"/>
        <v>1085.8571428571429</v>
      </c>
      <c r="AD36" s="39">
        <f t="shared" si="28"/>
        <v>0</v>
      </c>
      <c r="AE36" s="40">
        <f t="shared" si="28"/>
        <v>768.71428571428578</v>
      </c>
      <c r="AF36" s="40">
        <f t="shared" si="28"/>
        <v>1854.5714285714287</v>
      </c>
    </row>
    <row r="37" spans="2:32" ht="23.1" customHeight="1" x14ac:dyDescent="0.25">
      <c r="B37" s="23" t="s">
        <v>64</v>
      </c>
      <c r="C37" s="49">
        <f>AVERAGE('22.07 Busega-Bulenga'!C37,'23.07 Busega-Bulenga'!C37,'24.07 Busega-Bulenga'!C37,'25.07 Busega-Bulenga'!C37,'26.07 Busega-Bulenga-24h'!C37,'27.07 Busega-Bulenga-24h'!C37,'28.07 Busega-Bulenga'!C37)</f>
        <v>41.571428571428569</v>
      </c>
      <c r="D37" s="49">
        <f>AVERAGE('22.07 Busega-Bulenga'!D37,'23.07 Busega-Bulenga'!D37,'24.07 Busega-Bulenga'!D37,'25.07 Busega-Bulenga'!D37,'26.07 Busega-Bulenga-24h'!D37,'27.07 Busega-Bulenga-24h'!D37,'28.07 Busega-Bulenga'!D37)</f>
        <v>7.1428571428571432</v>
      </c>
      <c r="E37" s="49">
        <f>AVERAGE('22.07 Busega-Bulenga'!E37,'23.07 Busega-Bulenga'!E37,'24.07 Busega-Bulenga'!E37,'25.07 Busega-Bulenga'!E37,'26.07 Busega-Bulenga-24h'!E37,'27.07 Busega-Bulenga-24h'!E37,'28.07 Busega-Bulenga'!E37)</f>
        <v>3.4285714285714284</v>
      </c>
      <c r="F37" s="49">
        <f>AVERAGE('22.07 Busega-Bulenga'!F37,'23.07 Busega-Bulenga'!F37,'24.07 Busega-Bulenga'!F37,'25.07 Busega-Bulenga'!F37,'26.07 Busega-Bulenga-24h'!F37,'27.07 Busega-Bulenga-24h'!F37,'28.07 Busega-Bulenga'!F37)</f>
        <v>25.714285714285715</v>
      </c>
      <c r="G37" s="49">
        <f>AVERAGE('22.07 Busega-Bulenga'!G37,'23.07 Busega-Bulenga'!G37,'24.07 Busega-Bulenga'!G37,'25.07 Busega-Bulenga'!G37,'26.07 Busega-Bulenga-24h'!G37,'27.07 Busega-Bulenga-24h'!G37,'28.07 Busega-Bulenga'!G37)</f>
        <v>0.14285714285714285</v>
      </c>
      <c r="H37" s="49">
        <f>AVERAGE('22.07 Busega-Bulenga'!H37,'23.07 Busega-Bulenga'!H37,'24.07 Busega-Bulenga'!H37,'25.07 Busega-Bulenga'!H37,'26.07 Busega-Bulenga-24h'!H37,'27.07 Busega-Bulenga-24h'!H37,'28.07 Busega-Bulenga'!H37)</f>
        <v>0.7142857142857143</v>
      </c>
      <c r="I37" s="49">
        <f>AVERAGE('22.07 Busega-Bulenga'!I37,'23.07 Busega-Bulenga'!I37,'24.07 Busega-Bulenga'!I37,'25.07 Busega-Bulenga'!I37,'26.07 Busega-Bulenga-24h'!I37,'27.07 Busega-Bulenga-24h'!I37,'28.07 Busega-Bulenga'!I37)</f>
        <v>9.8571428571428577</v>
      </c>
      <c r="J37" s="49">
        <f>AVERAGE('22.07 Busega-Bulenga'!J37,'23.07 Busega-Bulenga'!J37,'24.07 Busega-Bulenga'!J37,'25.07 Busega-Bulenga'!J37,'26.07 Busega-Bulenga-24h'!J37,'27.07 Busega-Bulenga-24h'!J37,'28.07 Busega-Bulenga'!J37)</f>
        <v>6.5714285714285712</v>
      </c>
      <c r="K37" s="49">
        <f>AVERAGE('22.07 Busega-Bulenga'!K37,'23.07 Busega-Bulenga'!K37,'24.07 Busega-Bulenga'!K37,'25.07 Busega-Bulenga'!K37,'26.07 Busega-Bulenga-24h'!K37,'27.07 Busega-Bulenga-24h'!K37,'28.07 Busega-Bulenga'!K37)</f>
        <v>0.8571428571428571</v>
      </c>
      <c r="L37" s="49">
        <f>AVERAGE('22.07 Busega-Bulenga'!L37,'23.07 Busega-Bulenga'!L37,'24.07 Busega-Bulenga'!L37,'25.07 Busega-Bulenga'!L37,'26.07 Busega-Bulenga-24h'!L37,'27.07 Busega-Bulenga-24h'!L37,'28.07 Busega-Bulenga'!L37)</f>
        <v>2.8571428571428572</v>
      </c>
      <c r="M37" s="49">
        <f>AVERAGE('22.07 Busega-Bulenga'!M37,'23.07 Busega-Bulenga'!M37,'24.07 Busega-Bulenga'!M37,'25.07 Busega-Bulenga'!M37,'26.07 Busega-Bulenga-24h'!M37,'27.07 Busega-Bulenga-24h'!M37,'28.07 Busega-Bulenga'!M37)</f>
        <v>136.57142857142858</v>
      </c>
      <c r="N37" s="49">
        <f>AVERAGE('22.07 Busega-Bulenga'!N37,'23.07 Busega-Bulenga'!N37,'24.07 Busega-Bulenga'!N37,'25.07 Busega-Bulenga'!N37,'26.07 Busega-Bulenga-24h'!N37,'27.07 Busega-Bulenga-24h'!N37,'28.07 Busega-Bulenga'!N37)</f>
        <v>0.14285714285714285</v>
      </c>
      <c r="O37" s="15">
        <f t="shared" si="0"/>
        <v>99</v>
      </c>
      <c r="P37" s="15">
        <f t="shared" si="1"/>
        <v>235.57142857142858</v>
      </c>
      <c r="R37" s="37" t="s">
        <v>85</v>
      </c>
      <c r="S37" s="35">
        <f t="shared" ref="S37:AF37" si="29">SUM(S10:S12)</f>
        <v>428.28571428571428</v>
      </c>
      <c r="T37" s="16">
        <f t="shared" si="29"/>
        <v>74.571428571428569</v>
      </c>
      <c r="U37" s="16">
        <f t="shared" si="29"/>
        <v>55.857142857142861</v>
      </c>
      <c r="V37" s="16">
        <f t="shared" si="29"/>
        <v>331.28571428571428</v>
      </c>
      <c r="W37" s="16">
        <f t="shared" si="29"/>
        <v>9.7142857142857153</v>
      </c>
      <c r="X37" s="16">
        <f t="shared" si="29"/>
        <v>5.1428571428571423</v>
      </c>
      <c r="Y37" s="16">
        <f t="shared" si="29"/>
        <v>82.714285714285708</v>
      </c>
      <c r="Z37" s="16">
        <f t="shared" si="29"/>
        <v>62.142857142857139</v>
      </c>
      <c r="AA37" s="16">
        <f t="shared" si="29"/>
        <v>12.285714285714285</v>
      </c>
      <c r="AB37" s="16">
        <f t="shared" si="29"/>
        <v>14.571428571428571</v>
      </c>
      <c r="AC37" s="16">
        <f t="shared" si="29"/>
        <v>2800.1428571428573</v>
      </c>
      <c r="AD37" s="16">
        <f t="shared" si="29"/>
        <v>0.2857142857142857</v>
      </c>
      <c r="AE37" s="32">
        <f t="shared" si="29"/>
        <v>1076.8571428571427</v>
      </c>
      <c r="AF37" s="32">
        <f t="shared" si="29"/>
        <v>3877</v>
      </c>
    </row>
    <row r="38" spans="2:32" ht="23.1" customHeight="1" x14ac:dyDescent="0.25">
      <c r="B38" s="24" t="s">
        <v>65</v>
      </c>
      <c r="C38" s="49">
        <f>AVERAGE('22.07 Busega-Bulenga'!C38,'23.07 Busega-Bulenga'!C38,'24.07 Busega-Bulenga'!C38,'25.07 Busega-Bulenga'!C38,'26.07 Busega-Bulenga-24h'!C38,'27.07 Busega-Bulenga-24h'!C38,'28.07 Busega-Bulenga'!C38)</f>
        <v>48.714285714285715</v>
      </c>
      <c r="D38" s="49">
        <f>AVERAGE('22.07 Busega-Bulenga'!D38,'23.07 Busega-Bulenga'!D38,'24.07 Busega-Bulenga'!D38,'25.07 Busega-Bulenga'!D38,'26.07 Busega-Bulenga-24h'!D38,'27.07 Busega-Bulenga-24h'!D38,'28.07 Busega-Bulenga'!D38)</f>
        <v>8.4285714285714288</v>
      </c>
      <c r="E38" s="49">
        <f>AVERAGE('22.07 Busega-Bulenga'!E38,'23.07 Busega-Bulenga'!E38,'24.07 Busega-Bulenga'!E38,'25.07 Busega-Bulenga'!E38,'26.07 Busega-Bulenga-24h'!E38,'27.07 Busega-Bulenga-24h'!E38,'28.07 Busega-Bulenga'!E38)</f>
        <v>7.7142857142857144</v>
      </c>
      <c r="F38" s="49">
        <f>AVERAGE('22.07 Busega-Bulenga'!F38,'23.07 Busega-Bulenga'!F38,'24.07 Busega-Bulenga'!F38,'25.07 Busega-Bulenga'!F38,'26.07 Busega-Bulenga-24h'!F38,'27.07 Busega-Bulenga-24h'!F38,'28.07 Busega-Bulenga'!F38)</f>
        <v>26.857142857142858</v>
      </c>
      <c r="G38" s="49">
        <f>AVERAGE('22.07 Busega-Bulenga'!G38,'23.07 Busega-Bulenga'!G38,'24.07 Busega-Bulenga'!G38,'25.07 Busega-Bulenga'!G38,'26.07 Busega-Bulenga-24h'!G38,'27.07 Busega-Bulenga-24h'!G38,'28.07 Busega-Bulenga'!G38)</f>
        <v>0.14285714285714285</v>
      </c>
      <c r="H38" s="49">
        <f>AVERAGE('22.07 Busega-Bulenga'!H38,'23.07 Busega-Bulenga'!H38,'24.07 Busega-Bulenga'!H38,'25.07 Busega-Bulenga'!H38,'26.07 Busega-Bulenga-24h'!H38,'27.07 Busega-Bulenga-24h'!H38,'28.07 Busega-Bulenga'!H38)</f>
        <v>0.14285714285714285</v>
      </c>
      <c r="I38" s="49">
        <f>AVERAGE('22.07 Busega-Bulenga'!I38,'23.07 Busega-Bulenga'!I38,'24.07 Busega-Bulenga'!I38,'25.07 Busega-Bulenga'!I38,'26.07 Busega-Bulenga-24h'!I38,'27.07 Busega-Bulenga-24h'!I38,'28.07 Busega-Bulenga'!I38)</f>
        <v>9.8571428571428577</v>
      </c>
      <c r="J38" s="49">
        <f>AVERAGE('22.07 Busega-Bulenga'!J38,'23.07 Busega-Bulenga'!J38,'24.07 Busega-Bulenga'!J38,'25.07 Busega-Bulenga'!J38,'26.07 Busega-Bulenga-24h'!J38,'27.07 Busega-Bulenga-24h'!J38,'28.07 Busega-Bulenga'!J38)</f>
        <v>8.4285714285714288</v>
      </c>
      <c r="K38" s="49">
        <f>AVERAGE('22.07 Busega-Bulenga'!K38,'23.07 Busega-Bulenga'!K38,'24.07 Busega-Bulenga'!K38,'25.07 Busega-Bulenga'!K38,'26.07 Busega-Bulenga-24h'!K38,'27.07 Busega-Bulenga-24h'!K38,'28.07 Busega-Bulenga'!K38)</f>
        <v>1.4285714285714286</v>
      </c>
      <c r="L38" s="49">
        <f>AVERAGE('22.07 Busega-Bulenga'!L38,'23.07 Busega-Bulenga'!L38,'24.07 Busega-Bulenga'!L38,'25.07 Busega-Bulenga'!L38,'26.07 Busega-Bulenga-24h'!L38,'27.07 Busega-Bulenga-24h'!L38,'28.07 Busega-Bulenga'!L38)</f>
        <v>2.8571428571428572</v>
      </c>
      <c r="M38" s="49">
        <f>AVERAGE('22.07 Busega-Bulenga'!M38,'23.07 Busega-Bulenga'!M38,'24.07 Busega-Bulenga'!M38,'25.07 Busega-Bulenga'!M38,'26.07 Busega-Bulenga-24h'!M38,'27.07 Busega-Bulenga-24h'!M38,'28.07 Busega-Bulenga'!M38)</f>
        <v>144</v>
      </c>
      <c r="N38" s="49">
        <f>AVERAGE('22.07 Busega-Bulenga'!N38,'23.07 Busega-Bulenga'!N38,'24.07 Busega-Bulenga'!N38,'25.07 Busega-Bulenga'!N38,'26.07 Busega-Bulenga-24h'!N38,'27.07 Busega-Bulenga-24h'!N38,'28.07 Busega-Bulenga'!N38)</f>
        <v>0</v>
      </c>
      <c r="O38" s="15">
        <f t="shared" si="0"/>
        <v>114.57142857142858</v>
      </c>
      <c r="P38" s="15">
        <f t="shared" si="1"/>
        <v>258.57142857142856</v>
      </c>
      <c r="R38" s="28" t="s">
        <v>86</v>
      </c>
      <c r="S38" s="16">
        <f t="shared" ref="S38:AF38" si="30">SUM(S13:S18)</f>
        <v>1073.5714285714287</v>
      </c>
      <c r="T38" s="16">
        <f t="shared" si="30"/>
        <v>165.14285714285714</v>
      </c>
      <c r="U38" s="16">
        <f t="shared" si="30"/>
        <v>130.85714285714286</v>
      </c>
      <c r="V38" s="16">
        <f t="shared" si="30"/>
        <v>613.71428571428578</v>
      </c>
      <c r="W38" s="16">
        <f t="shared" si="30"/>
        <v>15.714285714285712</v>
      </c>
      <c r="X38" s="16">
        <f t="shared" si="30"/>
        <v>15.428571428571429</v>
      </c>
      <c r="Y38" s="16">
        <f t="shared" si="30"/>
        <v>237.28571428571433</v>
      </c>
      <c r="Z38" s="16">
        <f t="shared" si="30"/>
        <v>162</v>
      </c>
      <c r="AA38" s="16">
        <f t="shared" si="30"/>
        <v>41.142857142857139</v>
      </c>
      <c r="AB38" s="16">
        <f t="shared" si="30"/>
        <v>75.285714285714278</v>
      </c>
      <c r="AC38" s="16">
        <f t="shared" si="30"/>
        <v>3978.5714285714284</v>
      </c>
      <c r="AD38" s="16">
        <f t="shared" si="30"/>
        <v>0.5714285714285714</v>
      </c>
      <c r="AE38" s="32">
        <f t="shared" si="30"/>
        <v>2530.7142857142853</v>
      </c>
      <c r="AF38" s="32">
        <f t="shared" si="30"/>
        <v>6509.2857142857138</v>
      </c>
    </row>
    <row r="39" spans="2:32" ht="23.1" customHeight="1" x14ac:dyDescent="0.25">
      <c r="B39" s="24" t="s">
        <v>66</v>
      </c>
      <c r="C39" s="49">
        <f>AVERAGE('22.07 Busega-Bulenga'!C39,'23.07 Busega-Bulenga'!C39,'24.07 Busega-Bulenga'!C39,'25.07 Busega-Bulenga'!C39,'26.07 Busega-Bulenga-24h'!C39,'27.07 Busega-Bulenga-24h'!C39,'28.07 Busega-Bulenga'!C39)</f>
        <v>51.714285714285715</v>
      </c>
      <c r="D39" s="49">
        <f>AVERAGE('22.07 Busega-Bulenga'!D39,'23.07 Busega-Bulenga'!D39,'24.07 Busega-Bulenga'!D39,'25.07 Busega-Bulenga'!D39,'26.07 Busega-Bulenga-24h'!D39,'27.07 Busega-Bulenga-24h'!D39,'28.07 Busega-Bulenga'!D39)</f>
        <v>6.1428571428571432</v>
      </c>
      <c r="E39" s="49">
        <f>AVERAGE('22.07 Busega-Bulenga'!E39,'23.07 Busega-Bulenga'!E39,'24.07 Busega-Bulenga'!E39,'25.07 Busega-Bulenga'!E39,'26.07 Busega-Bulenga-24h'!E39,'27.07 Busega-Bulenga-24h'!E39,'28.07 Busega-Bulenga'!E39)</f>
        <v>5.1428571428571432</v>
      </c>
      <c r="F39" s="49">
        <f>AVERAGE('22.07 Busega-Bulenga'!F39,'23.07 Busega-Bulenga'!F39,'24.07 Busega-Bulenga'!F39,'25.07 Busega-Bulenga'!F39,'26.07 Busega-Bulenga-24h'!F39,'27.07 Busega-Bulenga-24h'!F39,'28.07 Busega-Bulenga'!F39)</f>
        <v>21.571428571428573</v>
      </c>
      <c r="G39" s="49">
        <f>AVERAGE('22.07 Busega-Bulenga'!G39,'23.07 Busega-Bulenga'!G39,'24.07 Busega-Bulenga'!G39,'25.07 Busega-Bulenga'!G39,'26.07 Busega-Bulenga-24h'!G39,'27.07 Busega-Bulenga-24h'!G39,'28.07 Busega-Bulenga'!G39)</f>
        <v>0.42857142857142855</v>
      </c>
      <c r="H39" s="49">
        <f>AVERAGE('22.07 Busega-Bulenga'!H39,'23.07 Busega-Bulenga'!H39,'24.07 Busega-Bulenga'!H39,'25.07 Busega-Bulenga'!H39,'26.07 Busega-Bulenga-24h'!H39,'27.07 Busega-Bulenga-24h'!H39,'28.07 Busega-Bulenga'!H39)</f>
        <v>0.42857142857142855</v>
      </c>
      <c r="I39" s="49">
        <f>AVERAGE('22.07 Busega-Bulenga'!I39,'23.07 Busega-Bulenga'!I39,'24.07 Busega-Bulenga'!I39,'25.07 Busega-Bulenga'!I39,'26.07 Busega-Bulenga-24h'!I39,'27.07 Busega-Bulenga-24h'!I39,'28.07 Busega-Bulenga'!I39)</f>
        <v>8.2857142857142865</v>
      </c>
      <c r="J39" s="49">
        <f>AVERAGE('22.07 Busega-Bulenga'!J39,'23.07 Busega-Bulenga'!J39,'24.07 Busega-Bulenga'!J39,'25.07 Busega-Bulenga'!J39,'26.07 Busega-Bulenga-24h'!J39,'27.07 Busega-Bulenga-24h'!J39,'28.07 Busega-Bulenga'!J39)</f>
        <v>6.4285714285714288</v>
      </c>
      <c r="K39" s="49">
        <f>AVERAGE('22.07 Busega-Bulenga'!K39,'23.07 Busega-Bulenga'!K39,'24.07 Busega-Bulenga'!K39,'25.07 Busega-Bulenga'!K39,'26.07 Busega-Bulenga-24h'!K39,'27.07 Busega-Bulenga-24h'!K39,'28.07 Busega-Bulenga'!K39)</f>
        <v>1.8571428571428572</v>
      </c>
      <c r="L39" s="49">
        <f>AVERAGE('22.07 Busega-Bulenga'!L39,'23.07 Busega-Bulenga'!L39,'24.07 Busega-Bulenga'!L39,'25.07 Busega-Bulenga'!L39,'26.07 Busega-Bulenga-24h'!L39,'27.07 Busega-Bulenga-24h'!L39,'28.07 Busega-Bulenga'!L39)</f>
        <v>1.2857142857142858</v>
      </c>
      <c r="M39" s="49">
        <f>AVERAGE('22.07 Busega-Bulenga'!M39,'23.07 Busega-Bulenga'!M39,'24.07 Busega-Bulenga'!M39,'25.07 Busega-Bulenga'!M39,'26.07 Busega-Bulenga-24h'!M39,'27.07 Busega-Bulenga-24h'!M39,'28.07 Busega-Bulenga'!M39)</f>
        <v>138.14285714285714</v>
      </c>
      <c r="N39" s="49">
        <f>AVERAGE('22.07 Busega-Bulenga'!N39,'23.07 Busega-Bulenga'!N39,'24.07 Busega-Bulenga'!N39,'25.07 Busega-Bulenga'!N39,'26.07 Busega-Bulenga-24h'!N39,'27.07 Busega-Bulenga-24h'!N39,'28.07 Busega-Bulenga'!N39)</f>
        <v>0</v>
      </c>
      <c r="O39" s="15">
        <f t="shared" si="0"/>
        <v>103.28571428571432</v>
      </c>
      <c r="P39" s="15">
        <f t="shared" si="1"/>
        <v>241.42857142857144</v>
      </c>
      <c r="R39" s="29" t="s">
        <v>87</v>
      </c>
      <c r="S39" s="16">
        <f t="shared" ref="S39:AF39" si="31">SUM(S19:S21)</f>
        <v>988.14285714285711</v>
      </c>
      <c r="T39" s="16">
        <f t="shared" si="31"/>
        <v>84.571428571428569</v>
      </c>
      <c r="U39" s="16">
        <f t="shared" si="31"/>
        <v>72.285714285714278</v>
      </c>
      <c r="V39" s="16">
        <f t="shared" si="31"/>
        <v>406.14285714285711</v>
      </c>
      <c r="W39" s="16">
        <f t="shared" si="31"/>
        <v>13.571428571428571</v>
      </c>
      <c r="X39" s="16">
        <f t="shared" si="31"/>
        <v>7.2857142857142856</v>
      </c>
      <c r="Y39" s="16">
        <f t="shared" si="31"/>
        <v>97.285714285714292</v>
      </c>
      <c r="Z39" s="16">
        <f t="shared" si="31"/>
        <v>81.857142857142861</v>
      </c>
      <c r="AA39" s="16">
        <f t="shared" si="31"/>
        <v>24.285714285714285</v>
      </c>
      <c r="AB39" s="16">
        <f t="shared" si="31"/>
        <v>25</v>
      </c>
      <c r="AC39" s="16">
        <f t="shared" si="31"/>
        <v>2831.7142857142858</v>
      </c>
      <c r="AD39" s="16">
        <f t="shared" si="31"/>
        <v>0</v>
      </c>
      <c r="AE39" s="32">
        <f t="shared" si="31"/>
        <v>1800.4285714285716</v>
      </c>
      <c r="AF39" s="32">
        <f t="shared" si="31"/>
        <v>4632.1428571428569</v>
      </c>
    </row>
    <row r="40" spans="2:32" ht="23.1" customHeight="1" x14ac:dyDescent="0.25">
      <c r="B40" s="24" t="s">
        <v>67</v>
      </c>
      <c r="C40" s="49">
        <f>AVERAGE('22.07 Busega-Bulenga'!C40,'23.07 Busega-Bulenga'!C40,'24.07 Busega-Bulenga'!C40,'25.07 Busega-Bulenga'!C40,'26.07 Busega-Bulenga-24h'!C40,'27.07 Busega-Bulenga-24h'!C40,'28.07 Busega-Bulenga'!C40)</f>
        <v>44.142857142857146</v>
      </c>
      <c r="D40" s="49">
        <f>AVERAGE('22.07 Busega-Bulenga'!D40,'23.07 Busega-Bulenga'!D40,'24.07 Busega-Bulenga'!D40,'25.07 Busega-Bulenga'!D40,'26.07 Busega-Bulenga-24h'!D40,'27.07 Busega-Bulenga-24h'!D40,'28.07 Busega-Bulenga'!D40)</f>
        <v>4.7142857142857144</v>
      </c>
      <c r="E40" s="49">
        <f>AVERAGE('22.07 Busega-Bulenga'!E40,'23.07 Busega-Bulenga'!E40,'24.07 Busega-Bulenga'!E40,'25.07 Busega-Bulenga'!E40,'26.07 Busega-Bulenga-24h'!E40,'27.07 Busega-Bulenga-24h'!E40,'28.07 Busega-Bulenga'!E40)</f>
        <v>6.4285714285714288</v>
      </c>
      <c r="F40" s="49">
        <f>AVERAGE('22.07 Busega-Bulenga'!F40,'23.07 Busega-Bulenga'!F40,'24.07 Busega-Bulenga'!F40,'25.07 Busega-Bulenga'!F40,'26.07 Busega-Bulenga-24h'!F40,'27.07 Busega-Bulenga-24h'!F40,'28.07 Busega-Bulenga'!F40)</f>
        <v>27.857142857142858</v>
      </c>
      <c r="G40" s="49">
        <f>AVERAGE('22.07 Busega-Bulenga'!G40,'23.07 Busega-Bulenga'!G40,'24.07 Busega-Bulenga'!G40,'25.07 Busega-Bulenga'!G40,'26.07 Busega-Bulenga-24h'!G40,'27.07 Busega-Bulenga-24h'!G40,'28.07 Busega-Bulenga'!G40)</f>
        <v>0.5714285714285714</v>
      </c>
      <c r="H40" s="49">
        <f>AVERAGE('22.07 Busega-Bulenga'!H40,'23.07 Busega-Bulenga'!H40,'24.07 Busega-Bulenga'!H40,'25.07 Busega-Bulenga'!H40,'26.07 Busega-Bulenga-24h'!H40,'27.07 Busega-Bulenga-24h'!H40,'28.07 Busega-Bulenga'!H40)</f>
        <v>1</v>
      </c>
      <c r="I40" s="49">
        <f>AVERAGE('22.07 Busega-Bulenga'!I40,'23.07 Busega-Bulenga'!I40,'24.07 Busega-Bulenga'!I40,'25.07 Busega-Bulenga'!I40,'26.07 Busega-Bulenga-24h'!I40,'27.07 Busega-Bulenga-24h'!I40,'28.07 Busega-Bulenga'!I40)</f>
        <v>12.285714285714286</v>
      </c>
      <c r="J40" s="49">
        <f>AVERAGE('22.07 Busega-Bulenga'!J40,'23.07 Busega-Bulenga'!J40,'24.07 Busega-Bulenga'!J40,'25.07 Busega-Bulenga'!J40,'26.07 Busega-Bulenga-24h'!J40,'27.07 Busega-Bulenga-24h'!J40,'28.07 Busega-Bulenga'!J40)</f>
        <v>7.2857142857142856</v>
      </c>
      <c r="K40" s="49">
        <f>AVERAGE('22.07 Busega-Bulenga'!K40,'23.07 Busega-Bulenga'!K40,'24.07 Busega-Bulenga'!K40,'25.07 Busega-Bulenga'!K40,'26.07 Busega-Bulenga-24h'!K40,'27.07 Busega-Bulenga-24h'!K40,'28.07 Busega-Bulenga'!K40)</f>
        <v>1.1428571428571428</v>
      </c>
      <c r="L40" s="49">
        <f>AVERAGE('22.07 Busega-Bulenga'!L40,'23.07 Busega-Bulenga'!L40,'24.07 Busega-Bulenga'!L40,'25.07 Busega-Bulenga'!L40,'26.07 Busega-Bulenga-24h'!L40,'27.07 Busega-Bulenga-24h'!L40,'28.07 Busega-Bulenga'!L40)</f>
        <v>2.5714285714285716</v>
      </c>
      <c r="M40" s="49">
        <f>AVERAGE('22.07 Busega-Bulenga'!M40,'23.07 Busega-Bulenga'!M40,'24.07 Busega-Bulenga'!M40,'25.07 Busega-Bulenga'!M40,'26.07 Busega-Bulenga-24h'!M40,'27.07 Busega-Bulenga-24h'!M40,'28.07 Busega-Bulenga'!M40)</f>
        <v>148.57142857142858</v>
      </c>
      <c r="N40" s="49">
        <f>AVERAGE('22.07 Busega-Bulenga'!N40,'23.07 Busega-Bulenga'!N40,'24.07 Busega-Bulenga'!N40,'25.07 Busega-Bulenga'!N40,'26.07 Busega-Bulenga-24h'!N40,'27.07 Busega-Bulenga-24h'!N40,'28.07 Busega-Bulenga'!N40)</f>
        <v>0.14285714285714285</v>
      </c>
      <c r="O40" s="15">
        <f t="shared" si="0"/>
        <v>108.14285714285715</v>
      </c>
      <c r="P40" s="15">
        <f t="shared" si="1"/>
        <v>256.71428571428578</v>
      </c>
      <c r="R40" s="5" t="s">
        <v>17</v>
      </c>
      <c r="S40" s="16">
        <f t="shared" ref="S40:AF40" si="32">SUM(S10:S21)</f>
        <v>2490</v>
      </c>
      <c r="T40" s="16">
        <f t="shared" si="32"/>
        <v>324.28571428571433</v>
      </c>
      <c r="U40" s="16">
        <f t="shared" si="32"/>
        <v>259</v>
      </c>
      <c r="V40" s="16">
        <f t="shared" si="32"/>
        <v>1351.1428571428571</v>
      </c>
      <c r="W40" s="16">
        <f t="shared" si="32"/>
        <v>39</v>
      </c>
      <c r="X40" s="16">
        <f t="shared" si="32"/>
        <v>27.857142857142854</v>
      </c>
      <c r="Y40" s="16">
        <f t="shared" si="32"/>
        <v>417.28571428571422</v>
      </c>
      <c r="Z40" s="16">
        <f t="shared" si="32"/>
        <v>306</v>
      </c>
      <c r="AA40" s="16">
        <f t="shared" si="32"/>
        <v>77.714285714285722</v>
      </c>
      <c r="AB40" s="16">
        <f t="shared" si="32"/>
        <v>114.85714285714286</v>
      </c>
      <c r="AC40" s="16">
        <f t="shared" si="32"/>
        <v>9610.4285714285706</v>
      </c>
      <c r="AD40" s="16">
        <f t="shared" si="32"/>
        <v>0.85714285714285698</v>
      </c>
      <c r="AE40" s="32">
        <f t="shared" si="32"/>
        <v>5408</v>
      </c>
      <c r="AF40" s="32">
        <f t="shared" si="32"/>
        <v>15018.428571428572</v>
      </c>
    </row>
    <row r="41" spans="2:32" ht="23.1" customHeight="1" x14ac:dyDescent="0.25">
      <c r="B41" s="23" t="s">
        <v>68</v>
      </c>
      <c r="C41" s="49">
        <f>AVERAGE('22.07 Busega-Bulenga'!C41,'23.07 Busega-Bulenga'!C41,'24.07 Busega-Bulenga'!C41,'25.07 Busega-Bulenga'!C41,'26.07 Busega-Bulenga-24h'!C41,'27.07 Busega-Bulenga-24h'!C41,'28.07 Busega-Bulenga'!C41)</f>
        <v>41.857142857142854</v>
      </c>
      <c r="D41" s="49">
        <f>AVERAGE('22.07 Busega-Bulenga'!D41,'23.07 Busega-Bulenga'!D41,'24.07 Busega-Bulenga'!D41,'25.07 Busega-Bulenga'!D41,'26.07 Busega-Bulenga-24h'!D41,'27.07 Busega-Bulenga-24h'!D41,'28.07 Busega-Bulenga'!D41)</f>
        <v>5.5714285714285712</v>
      </c>
      <c r="E41" s="49">
        <f>AVERAGE('22.07 Busega-Bulenga'!E41,'23.07 Busega-Bulenga'!E41,'24.07 Busega-Bulenga'!E41,'25.07 Busega-Bulenga'!E41,'26.07 Busega-Bulenga-24h'!E41,'27.07 Busega-Bulenga-24h'!E41,'28.07 Busega-Bulenga'!E41)</f>
        <v>5.7142857142857144</v>
      </c>
      <c r="F41" s="49">
        <f>AVERAGE('22.07 Busega-Bulenga'!F41,'23.07 Busega-Bulenga'!F41,'24.07 Busega-Bulenga'!F41,'25.07 Busega-Bulenga'!F41,'26.07 Busega-Bulenga-24h'!F41,'27.07 Busega-Bulenga-24h'!F41,'28.07 Busega-Bulenga'!F41)</f>
        <v>17.285714285714285</v>
      </c>
      <c r="G41" s="49">
        <f>AVERAGE('22.07 Busega-Bulenga'!G41,'23.07 Busega-Bulenga'!G41,'24.07 Busega-Bulenga'!G41,'25.07 Busega-Bulenga'!G41,'26.07 Busega-Bulenga-24h'!G41,'27.07 Busega-Bulenga-24h'!G41,'28.07 Busega-Bulenga'!G41)</f>
        <v>0.2857142857142857</v>
      </c>
      <c r="H41" s="49">
        <f>AVERAGE('22.07 Busega-Bulenga'!H41,'23.07 Busega-Bulenga'!H41,'24.07 Busega-Bulenga'!H41,'25.07 Busega-Bulenga'!H41,'26.07 Busega-Bulenga-24h'!H41,'27.07 Busega-Bulenga-24h'!H41,'28.07 Busega-Bulenga'!H41)</f>
        <v>0.5714285714285714</v>
      </c>
      <c r="I41" s="49">
        <f>AVERAGE('22.07 Busega-Bulenga'!I41,'23.07 Busega-Bulenga'!I41,'24.07 Busega-Bulenga'!I41,'25.07 Busega-Bulenga'!I41,'26.07 Busega-Bulenga-24h'!I41,'27.07 Busega-Bulenga-24h'!I41,'28.07 Busega-Bulenga'!I41)</f>
        <v>7</v>
      </c>
      <c r="J41" s="49">
        <f>AVERAGE('22.07 Busega-Bulenga'!J41,'23.07 Busega-Bulenga'!J41,'24.07 Busega-Bulenga'!J41,'25.07 Busega-Bulenga'!J41,'26.07 Busega-Bulenga-24h'!J41,'27.07 Busega-Bulenga-24h'!J41,'28.07 Busega-Bulenga'!J41)</f>
        <v>7.1428571428571432</v>
      </c>
      <c r="K41" s="49">
        <f>AVERAGE('22.07 Busega-Bulenga'!K41,'23.07 Busega-Bulenga'!K41,'24.07 Busega-Bulenga'!K41,'25.07 Busega-Bulenga'!K41,'26.07 Busega-Bulenga-24h'!K41,'27.07 Busega-Bulenga-24h'!K41,'28.07 Busega-Bulenga'!K41)</f>
        <v>1.5714285714285714</v>
      </c>
      <c r="L41" s="49">
        <f>AVERAGE('22.07 Busega-Bulenga'!L41,'23.07 Busega-Bulenga'!L41,'24.07 Busega-Bulenga'!L41,'25.07 Busega-Bulenga'!L41,'26.07 Busega-Bulenga-24h'!L41,'27.07 Busega-Bulenga-24h'!L41,'28.07 Busega-Bulenga'!L41)</f>
        <v>1.8571428571428572</v>
      </c>
      <c r="M41" s="49">
        <f>AVERAGE('22.07 Busega-Bulenga'!M41,'23.07 Busega-Bulenga'!M41,'24.07 Busega-Bulenga'!M41,'25.07 Busega-Bulenga'!M41,'26.07 Busega-Bulenga-24h'!M41,'27.07 Busega-Bulenga-24h'!M41,'28.07 Busega-Bulenga'!M41)</f>
        <v>141.57142857142858</v>
      </c>
      <c r="N41" s="49">
        <f>AVERAGE('22.07 Busega-Bulenga'!N41,'23.07 Busega-Bulenga'!N41,'24.07 Busega-Bulenga'!N41,'25.07 Busega-Bulenga'!N41,'26.07 Busega-Bulenga-24h'!N41,'27.07 Busega-Bulenga-24h'!N41,'28.07 Busega-Bulenga'!N41)</f>
        <v>0</v>
      </c>
      <c r="O41" s="15">
        <f t="shared" si="0"/>
        <v>88.857142857142847</v>
      </c>
      <c r="P41" s="15">
        <f t="shared" si="1"/>
        <v>230.42857142857144</v>
      </c>
      <c r="R41" s="5" t="s">
        <v>180</v>
      </c>
      <c r="S41" s="56">
        <f>SUM(S10:S33)</f>
        <v>4113</v>
      </c>
      <c r="T41" s="56">
        <f t="shared" ref="T41:AD41" si="33">SUM(T10:T33)</f>
        <v>544.61904761904771</v>
      </c>
      <c r="U41" s="56">
        <f t="shared" si="33"/>
        <v>386.66666666666674</v>
      </c>
      <c r="V41" s="56">
        <f t="shared" si="33"/>
        <v>1848.1428571428571</v>
      </c>
      <c r="W41" s="56">
        <f t="shared" si="33"/>
        <v>60</v>
      </c>
      <c r="X41" s="56">
        <f t="shared" si="33"/>
        <v>38.19047619047619</v>
      </c>
      <c r="Y41" s="56">
        <f t="shared" si="33"/>
        <v>559.95238095238085</v>
      </c>
      <c r="Z41" s="56">
        <f t="shared" si="33"/>
        <v>419.33333333333337</v>
      </c>
      <c r="AA41" s="56">
        <f t="shared" si="33"/>
        <v>107.04761904761902</v>
      </c>
      <c r="AB41" s="56">
        <f t="shared" si="33"/>
        <v>144.85714285714286</v>
      </c>
      <c r="AC41" s="56">
        <f t="shared" si="33"/>
        <v>12435.095238095239</v>
      </c>
      <c r="AD41" s="56">
        <f t="shared" si="33"/>
        <v>1.1904761904761902</v>
      </c>
      <c r="AE41" s="57">
        <f>SUM(AE10:AE33)</f>
        <v>11853.66666666667</v>
      </c>
      <c r="AF41" s="57">
        <f>SUM(AF10:AF33)</f>
        <v>27635.90476190476</v>
      </c>
    </row>
    <row r="42" spans="2:32" ht="23.1" customHeight="1" x14ac:dyDescent="0.25">
      <c r="B42" s="24" t="s">
        <v>69</v>
      </c>
      <c r="C42" s="49">
        <f>AVERAGE('22.07 Busega-Bulenga'!C42,'23.07 Busega-Bulenga'!C42,'24.07 Busega-Bulenga'!C42,'25.07 Busega-Bulenga'!C42,'26.07 Busega-Bulenga-24h'!C42,'27.07 Busega-Bulenga-24h'!C42,'28.07 Busega-Bulenga'!C42)</f>
        <v>47</v>
      </c>
      <c r="D42" s="49">
        <f>AVERAGE('22.07 Busega-Bulenga'!D42,'23.07 Busega-Bulenga'!D42,'24.07 Busega-Bulenga'!D42,'25.07 Busega-Bulenga'!D42,'26.07 Busega-Bulenga-24h'!D42,'27.07 Busega-Bulenga-24h'!D42,'28.07 Busega-Bulenga'!D42)</f>
        <v>9.1428571428571423</v>
      </c>
      <c r="E42" s="49">
        <f>AVERAGE('22.07 Busega-Bulenga'!E42,'23.07 Busega-Bulenga'!E42,'24.07 Busega-Bulenga'!E42,'25.07 Busega-Bulenga'!E42,'26.07 Busega-Bulenga-24h'!E42,'27.07 Busega-Bulenga-24h'!E42,'28.07 Busega-Bulenga'!E42)</f>
        <v>5</v>
      </c>
      <c r="F42" s="49">
        <f>AVERAGE('22.07 Busega-Bulenga'!F42,'23.07 Busega-Bulenga'!F42,'24.07 Busega-Bulenga'!F42,'25.07 Busega-Bulenga'!F42,'26.07 Busega-Bulenga-24h'!F42,'27.07 Busega-Bulenga-24h'!F42,'28.07 Busega-Bulenga'!F42)</f>
        <v>26.142857142857142</v>
      </c>
      <c r="G42" s="49">
        <f>AVERAGE('22.07 Busega-Bulenga'!G42,'23.07 Busega-Bulenga'!G42,'24.07 Busega-Bulenga'!G42,'25.07 Busega-Bulenga'!G42,'26.07 Busega-Bulenga-24h'!G42,'27.07 Busega-Bulenga-24h'!G42,'28.07 Busega-Bulenga'!G42)</f>
        <v>1.1428571428571428</v>
      </c>
      <c r="H42" s="49">
        <f>AVERAGE('22.07 Busega-Bulenga'!H42,'23.07 Busega-Bulenga'!H42,'24.07 Busega-Bulenga'!H42,'25.07 Busega-Bulenga'!H42,'26.07 Busega-Bulenga-24h'!H42,'27.07 Busega-Bulenga-24h'!H42,'28.07 Busega-Bulenga'!H42)</f>
        <v>0.5714285714285714</v>
      </c>
      <c r="I42" s="49">
        <f>AVERAGE('22.07 Busega-Bulenga'!I42,'23.07 Busega-Bulenga'!I42,'24.07 Busega-Bulenga'!I42,'25.07 Busega-Bulenga'!I42,'26.07 Busega-Bulenga-24h'!I42,'27.07 Busega-Bulenga-24h'!I42,'28.07 Busega-Bulenga'!I42)</f>
        <v>10</v>
      </c>
      <c r="J42" s="49">
        <f>AVERAGE('22.07 Busega-Bulenga'!J42,'23.07 Busega-Bulenga'!J42,'24.07 Busega-Bulenga'!J42,'25.07 Busega-Bulenga'!J42,'26.07 Busega-Bulenga-24h'!J42,'27.07 Busega-Bulenga-24h'!J42,'28.07 Busega-Bulenga'!J42)</f>
        <v>7.5714285714285712</v>
      </c>
      <c r="K42" s="49">
        <f>AVERAGE('22.07 Busega-Bulenga'!K42,'23.07 Busega-Bulenga'!K42,'24.07 Busega-Bulenga'!K42,'25.07 Busega-Bulenga'!K42,'26.07 Busega-Bulenga-24h'!K42,'27.07 Busega-Bulenga-24h'!K42,'28.07 Busega-Bulenga'!K42)</f>
        <v>2.4285714285714284</v>
      </c>
      <c r="L42" s="49">
        <f>AVERAGE('22.07 Busega-Bulenga'!L42,'23.07 Busega-Bulenga'!L42,'24.07 Busega-Bulenga'!L42,'25.07 Busega-Bulenga'!L42,'26.07 Busega-Bulenga-24h'!L42,'27.07 Busega-Bulenga-24h'!L42,'28.07 Busega-Bulenga'!L42)</f>
        <v>1.7142857142857142</v>
      </c>
      <c r="M42" s="49">
        <f>AVERAGE('22.07 Busega-Bulenga'!M42,'23.07 Busega-Bulenga'!M42,'24.07 Busega-Bulenga'!M42,'25.07 Busega-Bulenga'!M42,'26.07 Busega-Bulenga-24h'!M42,'27.07 Busega-Bulenga-24h'!M42,'28.07 Busega-Bulenga'!M42)</f>
        <v>174.71428571428572</v>
      </c>
      <c r="N42" s="49">
        <f>AVERAGE('22.07 Busega-Bulenga'!N42,'23.07 Busega-Bulenga'!N42,'24.07 Busega-Bulenga'!N42,'25.07 Busega-Bulenga'!N42,'26.07 Busega-Bulenga-24h'!N42,'27.07 Busega-Bulenga-24h'!N42,'28.07 Busega-Bulenga'!N42)</f>
        <v>0</v>
      </c>
      <c r="O42" s="15">
        <f t="shared" si="0"/>
        <v>110.71428571428569</v>
      </c>
      <c r="P42" s="15">
        <f t="shared" si="1"/>
        <v>285.42857142857144</v>
      </c>
      <c r="R42" s="5" t="s">
        <v>160</v>
      </c>
      <c r="S42" s="48">
        <f>S41/S40</f>
        <v>1.6518072289156627</v>
      </c>
      <c r="T42" s="48">
        <f t="shared" ref="T42:AF42" si="34">T41/T40</f>
        <v>1.6794419970631425</v>
      </c>
      <c r="U42" s="48">
        <f t="shared" si="34"/>
        <v>1.4929214929214931</v>
      </c>
      <c r="V42" s="48">
        <f t="shared" si="34"/>
        <v>1.3678367519560162</v>
      </c>
      <c r="W42" s="48">
        <f t="shared" si="34"/>
        <v>1.5384615384615385</v>
      </c>
      <c r="X42" s="48">
        <f t="shared" si="34"/>
        <v>1.3709401709401712</v>
      </c>
      <c r="Y42" s="48">
        <f t="shared" si="34"/>
        <v>1.3418920461029327</v>
      </c>
      <c r="Z42" s="48">
        <f t="shared" si="34"/>
        <v>1.3703703703703705</v>
      </c>
      <c r="AA42" s="48">
        <f t="shared" si="34"/>
        <v>1.3774509803921564</v>
      </c>
      <c r="AB42" s="48">
        <f t="shared" si="34"/>
        <v>1.2611940298507462</v>
      </c>
      <c r="AC42" s="48">
        <f t="shared" si="34"/>
        <v>1.2939168264633163</v>
      </c>
      <c r="AD42" s="48">
        <f t="shared" si="34"/>
        <v>1.3888888888888888</v>
      </c>
      <c r="AE42" s="58">
        <f t="shared" si="34"/>
        <v>2.1918762327416181</v>
      </c>
      <c r="AF42" s="58">
        <f t="shared" si="34"/>
        <v>1.8401329160681954</v>
      </c>
    </row>
    <row r="43" spans="2:32" ht="23.1" customHeight="1" x14ac:dyDescent="0.25">
      <c r="B43" s="23" t="s">
        <v>70</v>
      </c>
      <c r="C43" s="49">
        <f>AVERAGE('22.07 Busega-Bulenga'!C43,'23.07 Busega-Bulenga'!C43,'24.07 Busega-Bulenga'!C43,'25.07 Busega-Bulenga'!C43,'26.07 Busega-Bulenga-24h'!C43,'27.07 Busega-Bulenga-24h'!C43,'28.07 Busega-Bulenga'!C43)</f>
        <v>51.428571428571431</v>
      </c>
      <c r="D43" s="49">
        <f>AVERAGE('22.07 Busega-Bulenga'!D43,'23.07 Busega-Bulenga'!D43,'24.07 Busega-Bulenga'!D43,'25.07 Busega-Bulenga'!D43,'26.07 Busega-Bulenga-24h'!D43,'27.07 Busega-Bulenga-24h'!D43,'28.07 Busega-Bulenga'!D43)</f>
        <v>8.2857142857142865</v>
      </c>
      <c r="E43" s="49">
        <f>AVERAGE('22.07 Busega-Bulenga'!E43,'23.07 Busega-Bulenga'!E43,'24.07 Busega-Bulenga'!E43,'25.07 Busega-Bulenga'!E43,'26.07 Busega-Bulenga-24h'!E43,'27.07 Busega-Bulenga-24h'!E43,'28.07 Busega-Bulenga'!E43)</f>
        <v>5</v>
      </c>
      <c r="F43" s="49">
        <f>AVERAGE('22.07 Busega-Bulenga'!F43,'23.07 Busega-Bulenga'!F43,'24.07 Busega-Bulenga'!F43,'25.07 Busega-Bulenga'!F43,'26.07 Busega-Bulenga-24h'!F43,'27.07 Busega-Bulenga-24h'!F43,'28.07 Busega-Bulenga'!F43)</f>
        <v>23.428571428571427</v>
      </c>
      <c r="G43" s="49">
        <f>AVERAGE('22.07 Busega-Bulenga'!G43,'23.07 Busega-Bulenga'!G43,'24.07 Busega-Bulenga'!G43,'25.07 Busega-Bulenga'!G43,'26.07 Busega-Bulenga-24h'!G43,'27.07 Busega-Bulenga-24h'!G43,'28.07 Busega-Bulenga'!G43)</f>
        <v>0.2857142857142857</v>
      </c>
      <c r="H43" s="49">
        <f>AVERAGE('22.07 Busega-Bulenga'!H43,'23.07 Busega-Bulenga'!H43,'24.07 Busega-Bulenga'!H43,'25.07 Busega-Bulenga'!H43,'26.07 Busega-Bulenga-24h'!H43,'27.07 Busega-Bulenga-24h'!H43,'28.07 Busega-Bulenga'!H43)</f>
        <v>0.7142857142857143</v>
      </c>
      <c r="I43" s="49">
        <f>AVERAGE('22.07 Busega-Bulenga'!I43,'23.07 Busega-Bulenga'!I43,'24.07 Busega-Bulenga'!I43,'25.07 Busega-Bulenga'!I43,'26.07 Busega-Bulenga-24h'!I43,'27.07 Busega-Bulenga-24h'!I43,'28.07 Busega-Bulenga'!I43)</f>
        <v>8.7142857142857135</v>
      </c>
      <c r="J43" s="49">
        <f>AVERAGE('22.07 Busega-Bulenga'!J43,'23.07 Busega-Bulenga'!J43,'24.07 Busega-Bulenga'!J43,'25.07 Busega-Bulenga'!J43,'26.07 Busega-Bulenga-24h'!J43,'27.07 Busega-Bulenga-24h'!J43,'28.07 Busega-Bulenga'!J43)</f>
        <v>4</v>
      </c>
      <c r="K43" s="49">
        <f>AVERAGE('22.07 Busega-Bulenga'!K43,'23.07 Busega-Bulenga'!K43,'24.07 Busega-Bulenga'!K43,'25.07 Busega-Bulenga'!K43,'26.07 Busega-Bulenga-24h'!K43,'27.07 Busega-Bulenga-24h'!K43,'28.07 Busega-Bulenga'!K43)</f>
        <v>3.2857142857142856</v>
      </c>
      <c r="L43" s="49">
        <f>AVERAGE('22.07 Busega-Bulenga'!L43,'23.07 Busega-Bulenga'!L43,'24.07 Busega-Bulenga'!L43,'25.07 Busega-Bulenga'!L43,'26.07 Busega-Bulenga-24h'!L43,'27.07 Busega-Bulenga-24h'!L43,'28.07 Busega-Bulenga'!L43)</f>
        <v>2.7142857142857144</v>
      </c>
      <c r="M43" s="49">
        <f>AVERAGE('22.07 Busega-Bulenga'!M43,'23.07 Busega-Bulenga'!M43,'24.07 Busega-Bulenga'!M43,'25.07 Busega-Bulenga'!M43,'26.07 Busega-Bulenga-24h'!M43,'27.07 Busega-Bulenga-24h'!M43,'28.07 Busega-Bulenga'!M43)</f>
        <v>134.42857142857142</v>
      </c>
      <c r="N43" s="49">
        <f>AVERAGE('22.07 Busega-Bulenga'!N43,'23.07 Busega-Bulenga'!N43,'24.07 Busega-Bulenga'!N43,'25.07 Busega-Bulenga'!N43,'26.07 Busega-Bulenga-24h'!N43,'27.07 Busega-Bulenga-24h'!N43,'28.07 Busega-Bulenga'!N43)</f>
        <v>0</v>
      </c>
      <c r="O43" s="15">
        <f t="shared" si="0"/>
        <v>107.85714285714286</v>
      </c>
      <c r="P43" s="15">
        <f t="shared" si="1"/>
        <v>242.28571428571428</v>
      </c>
    </row>
    <row r="44" spans="2:32" ht="23.1" customHeight="1" x14ac:dyDescent="0.25">
      <c r="B44" s="25" t="s">
        <v>71</v>
      </c>
      <c r="C44" s="49">
        <f>AVERAGE('22.07 Busega-Bulenga'!C44,'23.07 Busega-Bulenga'!C44,'24.07 Busega-Bulenga'!C44,'25.07 Busega-Bulenga'!C44,'26.07 Busega-Bulenga-24h'!C44,'27.07 Busega-Bulenga-24h'!C44,'28.07 Busega-Bulenga'!C44)</f>
        <v>59.142857142857146</v>
      </c>
      <c r="D44" s="49">
        <f>AVERAGE('22.07 Busega-Bulenga'!D44,'23.07 Busega-Bulenga'!D44,'24.07 Busega-Bulenga'!D44,'25.07 Busega-Bulenga'!D44,'26.07 Busega-Bulenga-24h'!D44,'27.07 Busega-Bulenga-24h'!D44,'28.07 Busega-Bulenga'!D44)</f>
        <v>7.4285714285714288</v>
      </c>
      <c r="E44" s="49">
        <f>AVERAGE('22.07 Busega-Bulenga'!E44,'23.07 Busega-Bulenga'!E44,'24.07 Busega-Bulenga'!E44,'25.07 Busega-Bulenga'!E44,'26.07 Busega-Bulenga-24h'!E44,'27.07 Busega-Bulenga-24h'!E44,'28.07 Busega-Bulenga'!E44)</f>
        <v>5</v>
      </c>
      <c r="F44" s="49">
        <f>AVERAGE('22.07 Busega-Bulenga'!F44,'23.07 Busega-Bulenga'!F44,'24.07 Busega-Bulenga'!F44,'25.07 Busega-Bulenga'!F44,'26.07 Busega-Bulenga-24h'!F44,'27.07 Busega-Bulenga-24h'!F44,'28.07 Busega-Bulenga'!F44)</f>
        <v>20.714285714285715</v>
      </c>
      <c r="G44" s="49">
        <f>AVERAGE('22.07 Busega-Bulenga'!G44,'23.07 Busega-Bulenga'!G44,'24.07 Busega-Bulenga'!G44,'25.07 Busega-Bulenga'!G44,'26.07 Busega-Bulenga-24h'!G44,'27.07 Busega-Bulenga-24h'!G44,'28.07 Busega-Bulenga'!G44)</f>
        <v>0.2857142857142857</v>
      </c>
      <c r="H44" s="49">
        <f>AVERAGE('22.07 Busega-Bulenga'!H44,'23.07 Busega-Bulenga'!H44,'24.07 Busega-Bulenga'!H44,'25.07 Busega-Bulenga'!H44,'26.07 Busega-Bulenga-24h'!H44,'27.07 Busega-Bulenga-24h'!H44,'28.07 Busega-Bulenga'!H44)</f>
        <v>0.7142857142857143</v>
      </c>
      <c r="I44" s="49">
        <f>AVERAGE('22.07 Busega-Bulenga'!I44,'23.07 Busega-Bulenga'!I44,'24.07 Busega-Bulenga'!I44,'25.07 Busega-Bulenga'!I44,'26.07 Busega-Bulenga-24h'!I44,'27.07 Busega-Bulenga-24h'!I44,'28.07 Busega-Bulenga'!I44)</f>
        <v>10.857142857142858</v>
      </c>
      <c r="J44" s="49">
        <f>AVERAGE('22.07 Busega-Bulenga'!J44,'23.07 Busega-Bulenga'!J44,'24.07 Busega-Bulenga'!J44,'25.07 Busega-Bulenga'!J44,'26.07 Busega-Bulenga-24h'!J44,'27.07 Busega-Bulenga-24h'!J44,'28.07 Busega-Bulenga'!J44)</f>
        <v>8.8571428571428577</v>
      </c>
      <c r="K44" s="49">
        <f>AVERAGE('22.07 Busega-Bulenga'!K44,'23.07 Busega-Bulenga'!K44,'24.07 Busega-Bulenga'!K44,'25.07 Busega-Bulenga'!K44,'26.07 Busega-Bulenga-24h'!K44,'27.07 Busega-Bulenga-24h'!K44,'28.07 Busega-Bulenga'!K44)</f>
        <v>2.5714285714285716</v>
      </c>
      <c r="L44" s="49">
        <f>AVERAGE('22.07 Busega-Bulenga'!L44,'23.07 Busega-Bulenga'!L44,'24.07 Busega-Bulenga'!L44,'25.07 Busega-Bulenga'!L44,'26.07 Busega-Bulenga-24h'!L44,'27.07 Busega-Bulenga-24h'!L44,'28.07 Busega-Bulenga'!L44)</f>
        <v>1.7142857142857142</v>
      </c>
      <c r="M44" s="49">
        <f>AVERAGE('22.07 Busega-Bulenga'!M44,'23.07 Busega-Bulenga'!M44,'24.07 Busega-Bulenga'!M44,'25.07 Busega-Bulenga'!M44,'26.07 Busega-Bulenga-24h'!M44,'27.07 Busega-Bulenga-24h'!M44,'28.07 Busega-Bulenga'!M44)</f>
        <v>169.71428571428572</v>
      </c>
      <c r="N44" s="49">
        <f>AVERAGE('22.07 Busega-Bulenga'!N44,'23.07 Busega-Bulenga'!N44,'24.07 Busega-Bulenga'!N44,'25.07 Busega-Bulenga'!N44,'26.07 Busega-Bulenga-24h'!N44,'27.07 Busega-Bulenga-24h'!N44,'28.07 Busega-Bulenga'!N44)</f>
        <v>0</v>
      </c>
      <c r="O44" s="15">
        <f t="shared" si="0"/>
        <v>117.28571428571428</v>
      </c>
      <c r="P44" s="15">
        <f t="shared" si="1"/>
        <v>287</v>
      </c>
    </row>
    <row r="45" spans="2:32" ht="23.1" customHeight="1" x14ac:dyDescent="0.25">
      <c r="B45" s="23" t="s">
        <v>72</v>
      </c>
      <c r="C45" s="49">
        <f>AVERAGE('22.07 Busega-Bulenga'!C45,'23.07 Busega-Bulenga'!C45,'24.07 Busega-Bulenga'!C45,'25.07 Busega-Bulenga'!C45,'26.07 Busega-Bulenga-24h'!C45,'27.07 Busega-Bulenga-24h'!C45,'28.07 Busega-Bulenga'!C45)</f>
        <v>46.571428571428569</v>
      </c>
      <c r="D45" s="49">
        <f>AVERAGE('22.07 Busega-Bulenga'!D45,'23.07 Busega-Bulenga'!D45,'24.07 Busega-Bulenga'!D45,'25.07 Busega-Bulenga'!D45,'26.07 Busega-Bulenga-24h'!D45,'27.07 Busega-Bulenga-24h'!D45,'28.07 Busega-Bulenga'!D45)</f>
        <v>6.2857142857142856</v>
      </c>
      <c r="E45" s="49">
        <f>AVERAGE('22.07 Busega-Bulenga'!E45,'23.07 Busega-Bulenga'!E45,'24.07 Busega-Bulenga'!E45,'25.07 Busega-Bulenga'!E45,'26.07 Busega-Bulenga-24h'!E45,'27.07 Busega-Bulenga-24h'!E45,'28.07 Busega-Bulenga'!E45)</f>
        <v>6.7142857142857144</v>
      </c>
      <c r="F45" s="49">
        <f>AVERAGE('22.07 Busega-Bulenga'!F45,'23.07 Busega-Bulenga'!F45,'24.07 Busega-Bulenga'!F45,'25.07 Busega-Bulenga'!F45,'26.07 Busega-Bulenga-24h'!F45,'27.07 Busega-Bulenga-24h'!F45,'28.07 Busega-Bulenga'!F45)</f>
        <v>19</v>
      </c>
      <c r="G45" s="49">
        <f>AVERAGE('22.07 Busega-Bulenga'!G45,'23.07 Busega-Bulenga'!G45,'24.07 Busega-Bulenga'!G45,'25.07 Busega-Bulenga'!G45,'26.07 Busega-Bulenga-24h'!G45,'27.07 Busega-Bulenga-24h'!G45,'28.07 Busega-Bulenga'!G45)</f>
        <v>0.14285714285714285</v>
      </c>
      <c r="H45" s="49">
        <f>AVERAGE('22.07 Busega-Bulenga'!H45,'23.07 Busega-Bulenga'!H45,'24.07 Busega-Bulenga'!H45,'25.07 Busega-Bulenga'!H45,'26.07 Busega-Bulenga-24h'!H45,'27.07 Busega-Bulenga-24h'!H45,'28.07 Busega-Bulenga'!H45)</f>
        <v>0.42857142857142855</v>
      </c>
      <c r="I45" s="49">
        <f>AVERAGE('22.07 Busega-Bulenga'!I45,'23.07 Busega-Bulenga'!I45,'24.07 Busega-Bulenga'!I45,'25.07 Busega-Bulenga'!I45,'26.07 Busega-Bulenga-24h'!I45,'27.07 Busega-Bulenga-24h'!I45,'28.07 Busega-Bulenga'!I45)</f>
        <v>9.1428571428571423</v>
      </c>
      <c r="J45" s="49">
        <f>AVERAGE('22.07 Busega-Bulenga'!J45,'23.07 Busega-Bulenga'!J45,'24.07 Busega-Bulenga'!J45,'25.07 Busega-Bulenga'!J45,'26.07 Busega-Bulenga-24h'!J45,'27.07 Busega-Bulenga-24h'!J45,'28.07 Busega-Bulenga'!J45)</f>
        <v>6.7142857142857144</v>
      </c>
      <c r="K45" s="49">
        <f>AVERAGE('22.07 Busega-Bulenga'!K45,'23.07 Busega-Bulenga'!K45,'24.07 Busega-Bulenga'!K45,'25.07 Busega-Bulenga'!K45,'26.07 Busega-Bulenga-24h'!K45,'27.07 Busega-Bulenga-24h'!K45,'28.07 Busega-Bulenga'!K45)</f>
        <v>2.7142857142857144</v>
      </c>
      <c r="L45" s="49">
        <f>AVERAGE('22.07 Busega-Bulenga'!L45,'23.07 Busega-Bulenga'!L45,'24.07 Busega-Bulenga'!L45,'25.07 Busega-Bulenga'!L45,'26.07 Busega-Bulenga-24h'!L45,'27.07 Busega-Bulenga-24h'!L45,'28.07 Busega-Bulenga'!L45)</f>
        <v>2.5714285714285716</v>
      </c>
      <c r="M45" s="49">
        <f>AVERAGE('22.07 Busega-Bulenga'!M45,'23.07 Busega-Bulenga'!M45,'24.07 Busega-Bulenga'!M45,'25.07 Busega-Bulenga'!M45,'26.07 Busega-Bulenga-24h'!M45,'27.07 Busega-Bulenga-24h'!M45,'28.07 Busega-Bulenga'!M45)</f>
        <v>127</v>
      </c>
      <c r="N45" s="49">
        <f>AVERAGE('22.07 Busega-Bulenga'!N45,'23.07 Busega-Bulenga'!N45,'24.07 Busega-Bulenga'!N45,'25.07 Busega-Bulenga'!N45,'26.07 Busega-Bulenga-24h'!N45,'27.07 Busega-Bulenga-24h'!N45,'28.07 Busega-Bulenga'!N45)</f>
        <v>0</v>
      </c>
      <c r="O45" s="15">
        <f t="shared" si="0"/>
        <v>100.28571428571426</v>
      </c>
      <c r="P45" s="15">
        <f t="shared" si="1"/>
        <v>227.28571428571428</v>
      </c>
    </row>
    <row r="46" spans="2:32" ht="23.1" customHeight="1" x14ac:dyDescent="0.25">
      <c r="B46" s="24" t="s">
        <v>73</v>
      </c>
      <c r="C46" s="49">
        <f>AVERAGE('22.07 Busega-Bulenga'!C46,'23.07 Busega-Bulenga'!C46,'24.07 Busega-Bulenga'!C46,'25.07 Busega-Bulenga'!C46,'26.07 Busega-Bulenga-24h'!C46,'27.07 Busega-Bulenga-24h'!C46,'28.07 Busega-Bulenga'!C46)</f>
        <v>43</v>
      </c>
      <c r="D46" s="49">
        <f>AVERAGE('22.07 Busega-Bulenga'!D46,'23.07 Busega-Bulenga'!D46,'24.07 Busega-Bulenga'!D46,'25.07 Busega-Bulenga'!D46,'26.07 Busega-Bulenga-24h'!D46,'27.07 Busega-Bulenga-24h'!D46,'28.07 Busega-Bulenga'!D46)</f>
        <v>5.2857142857142856</v>
      </c>
      <c r="E46" s="49">
        <f>AVERAGE('22.07 Busega-Bulenga'!E46,'23.07 Busega-Bulenga'!E46,'24.07 Busega-Bulenga'!E46,'25.07 Busega-Bulenga'!E46,'26.07 Busega-Bulenga-24h'!E46,'27.07 Busega-Bulenga-24h'!E46,'28.07 Busega-Bulenga'!E46)</f>
        <v>6.1428571428571432</v>
      </c>
      <c r="F46" s="49">
        <f>AVERAGE('22.07 Busega-Bulenga'!F46,'23.07 Busega-Bulenga'!F46,'24.07 Busega-Bulenga'!F46,'25.07 Busega-Bulenga'!F46,'26.07 Busega-Bulenga-24h'!F46,'27.07 Busega-Bulenga-24h'!F46,'28.07 Busega-Bulenga'!F46)</f>
        <v>23.571428571428573</v>
      </c>
      <c r="G46" s="49">
        <f>AVERAGE('22.07 Busega-Bulenga'!G46,'23.07 Busega-Bulenga'!G46,'24.07 Busega-Bulenga'!G46,'25.07 Busega-Bulenga'!G46,'26.07 Busega-Bulenga-24h'!G46,'27.07 Busega-Bulenga-24h'!G46,'28.07 Busega-Bulenga'!G46)</f>
        <v>0.42857142857142855</v>
      </c>
      <c r="H46" s="49">
        <f>AVERAGE('22.07 Busega-Bulenga'!H46,'23.07 Busega-Bulenga'!H46,'24.07 Busega-Bulenga'!H46,'25.07 Busega-Bulenga'!H46,'26.07 Busega-Bulenga-24h'!H46,'27.07 Busega-Bulenga-24h'!H46,'28.07 Busega-Bulenga'!H46)</f>
        <v>0.42857142857142855</v>
      </c>
      <c r="I46" s="49">
        <f>AVERAGE('22.07 Busega-Bulenga'!I46,'23.07 Busega-Bulenga'!I46,'24.07 Busega-Bulenga'!I46,'25.07 Busega-Bulenga'!I46,'26.07 Busega-Bulenga-24h'!I46,'27.07 Busega-Bulenga-24h'!I46,'28.07 Busega-Bulenga'!I46)</f>
        <v>6.1428571428571432</v>
      </c>
      <c r="J46" s="49">
        <f>AVERAGE('22.07 Busega-Bulenga'!J46,'23.07 Busega-Bulenga'!J46,'24.07 Busega-Bulenga'!J46,'25.07 Busega-Bulenga'!J46,'26.07 Busega-Bulenga-24h'!J46,'27.07 Busega-Bulenga-24h'!J46,'28.07 Busega-Bulenga'!J46)</f>
        <v>4.4285714285714288</v>
      </c>
      <c r="K46" s="49">
        <f>AVERAGE('22.07 Busega-Bulenga'!K46,'23.07 Busega-Bulenga'!K46,'24.07 Busega-Bulenga'!K46,'25.07 Busega-Bulenga'!K46,'26.07 Busega-Bulenga-24h'!K46,'27.07 Busega-Bulenga-24h'!K46,'28.07 Busega-Bulenga'!K46)</f>
        <v>1.1428571428571428</v>
      </c>
      <c r="L46" s="49">
        <f>AVERAGE('22.07 Busega-Bulenga'!L46,'23.07 Busega-Bulenga'!L46,'24.07 Busega-Bulenga'!L46,'25.07 Busega-Bulenga'!L46,'26.07 Busega-Bulenga-24h'!L46,'27.07 Busega-Bulenga-24h'!L46,'28.07 Busega-Bulenga'!L46)</f>
        <v>2.4285714285714284</v>
      </c>
      <c r="M46" s="49">
        <f>AVERAGE('22.07 Busega-Bulenga'!M46,'23.07 Busega-Bulenga'!M46,'24.07 Busega-Bulenga'!M46,'25.07 Busega-Bulenga'!M46,'26.07 Busega-Bulenga-24h'!M46,'27.07 Busega-Bulenga-24h'!M46,'28.07 Busega-Bulenga'!M46)</f>
        <v>159.57142857142858</v>
      </c>
      <c r="N46" s="49">
        <f>AVERAGE('22.07 Busega-Bulenga'!N46,'23.07 Busega-Bulenga'!N46,'24.07 Busega-Bulenga'!N46,'25.07 Busega-Bulenga'!N46,'26.07 Busega-Bulenga-24h'!N46,'27.07 Busega-Bulenga-24h'!N46,'28.07 Busega-Bulenga'!N46)</f>
        <v>0</v>
      </c>
      <c r="O46" s="15">
        <f t="shared" si="0"/>
        <v>93</v>
      </c>
      <c r="P46" s="15">
        <f t="shared" si="1"/>
        <v>252.57142857142858</v>
      </c>
      <c r="R46" s="8"/>
      <c r="T46"/>
    </row>
    <row r="47" spans="2:32" ht="23.1" customHeight="1" x14ac:dyDescent="0.25">
      <c r="B47" s="24" t="s">
        <v>74</v>
      </c>
      <c r="C47" s="49">
        <f>AVERAGE('22.07 Busega-Bulenga'!C47,'23.07 Busega-Bulenga'!C47,'24.07 Busega-Bulenga'!C47,'25.07 Busega-Bulenga'!C47,'26.07 Busega-Bulenga-24h'!C47,'27.07 Busega-Bulenga-24h'!C47,'28.07 Busega-Bulenga'!C47)</f>
        <v>39.428571428571431</v>
      </c>
      <c r="D47" s="49">
        <f>AVERAGE('22.07 Busega-Bulenga'!D47,'23.07 Busega-Bulenga'!D47,'24.07 Busega-Bulenga'!D47,'25.07 Busega-Bulenga'!D47,'26.07 Busega-Bulenga-24h'!D47,'27.07 Busega-Bulenga-24h'!D47,'28.07 Busega-Bulenga'!D47)</f>
        <v>4.2857142857142856</v>
      </c>
      <c r="E47" s="49">
        <f>AVERAGE('22.07 Busega-Bulenga'!E47,'23.07 Busega-Bulenga'!E47,'24.07 Busega-Bulenga'!E47,'25.07 Busega-Bulenga'!E47,'26.07 Busega-Bulenga-24h'!E47,'27.07 Busega-Bulenga-24h'!E47,'28.07 Busega-Bulenga'!E47)</f>
        <v>3.5714285714285716</v>
      </c>
      <c r="F47" s="49">
        <f>AVERAGE('22.07 Busega-Bulenga'!F47,'23.07 Busega-Bulenga'!F47,'24.07 Busega-Bulenga'!F47,'25.07 Busega-Bulenga'!F47,'26.07 Busega-Bulenga-24h'!F47,'27.07 Busega-Bulenga-24h'!F47,'28.07 Busega-Bulenga'!F47)</f>
        <v>21</v>
      </c>
      <c r="G47" s="49">
        <f>AVERAGE('22.07 Busega-Bulenga'!G47,'23.07 Busega-Bulenga'!G47,'24.07 Busega-Bulenga'!G47,'25.07 Busega-Bulenga'!G47,'26.07 Busega-Bulenga-24h'!G47,'27.07 Busega-Bulenga-24h'!G47,'28.07 Busega-Bulenga'!G47)</f>
        <v>1</v>
      </c>
      <c r="H47" s="49">
        <f>AVERAGE('22.07 Busega-Bulenga'!H47,'23.07 Busega-Bulenga'!H47,'24.07 Busega-Bulenga'!H47,'25.07 Busega-Bulenga'!H47,'26.07 Busega-Bulenga-24h'!H47,'27.07 Busega-Bulenga-24h'!H47,'28.07 Busega-Bulenga'!H47)</f>
        <v>0.2857142857142857</v>
      </c>
      <c r="I47" s="49">
        <f>AVERAGE('22.07 Busega-Bulenga'!I47,'23.07 Busega-Bulenga'!I47,'24.07 Busega-Bulenga'!I47,'25.07 Busega-Bulenga'!I47,'26.07 Busega-Bulenga-24h'!I47,'27.07 Busega-Bulenga-24h'!I47,'28.07 Busega-Bulenga'!I47)</f>
        <v>7.4285714285714288</v>
      </c>
      <c r="J47" s="49">
        <f>AVERAGE('22.07 Busega-Bulenga'!J47,'23.07 Busega-Bulenga'!J47,'24.07 Busega-Bulenga'!J47,'25.07 Busega-Bulenga'!J47,'26.07 Busega-Bulenga-24h'!J47,'27.07 Busega-Bulenga-24h'!J47,'28.07 Busega-Bulenga'!J47)</f>
        <v>7.1428571428571432</v>
      </c>
      <c r="K47" s="49">
        <f>AVERAGE('22.07 Busega-Bulenga'!K47,'23.07 Busega-Bulenga'!K47,'24.07 Busega-Bulenga'!K47,'25.07 Busega-Bulenga'!K47,'26.07 Busega-Bulenga-24h'!K47,'27.07 Busega-Bulenga-24h'!K47,'28.07 Busega-Bulenga'!K47)</f>
        <v>2.5714285714285716</v>
      </c>
      <c r="L47" s="49">
        <f>AVERAGE('22.07 Busega-Bulenga'!L47,'23.07 Busega-Bulenga'!L47,'24.07 Busega-Bulenga'!L47,'25.07 Busega-Bulenga'!L47,'26.07 Busega-Bulenga-24h'!L47,'27.07 Busega-Bulenga-24h'!L47,'28.07 Busega-Bulenga'!L47)</f>
        <v>1.7142857142857142</v>
      </c>
      <c r="M47" s="49">
        <f>AVERAGE('22.07 Busega-Bulenga'!M47,'23.07 Busega-Bulenga'!M47,'24.07 Busega-Bulenga'!M47,'25.07 Busega-Bulenga'!M47,'26.07 Busega-Bulenga-24h'!M47,'27.07 Busega-Bulenga-24h'!M47,'28.07 Busega-Bulenga'!M47)</f>
        <v>189.85714285714286</v>
      </c>
      <c r="N47" s="49">
        <f>AVERAGE('22.07 Busega-Bulenga'!N47,'23.07 Busega-Bulenga'!N47,'24.07 Busega-Bulenga'!N47,'25.07 Busega-Bulenga'!N47,'26.07 Busega-Bulenga-24h'!N47,'27.07 Busega-Bulenga-24h'!N47,'28.07 Busega-Bulenga'!N47)</f>
        <v>0</v>
      </c>
      <c r="O47" s="15">
        <f t="shared" si="0"/>
        <v>88.428571428571416</v>
      </c>
      <c r="P47" s="15">
        <f t="shared" si="1"/>
        <v>278.28571428571428</v>
      </c>
      <c r="R47" s="8"/>
      <c r="T47"/>
    </row>
    <row r="48" spans="2:32" ht="23.1" customHeight="1" x14ac:dyDescent="0.25">
      <c r="B48" s="24" t="s">
        <v>75</v>
      </c>
      <c r="C48" s="49">
        <f>AVERAGE('22.07 Busega-Bulenga'!C48,'23.07 Busega-Bulenga'!C48,'24.07 Busega-Bulenga'!C48,'25.07 Busega-Bulenga'!C48,'26.07 Busega-Bulenga-24h'!C48,'27.07 Busega-Bulenga-24h'!C48,'28.07 Busega-Bulenga'!C48)</f>
        <v>50.142857142857146</v>
      </c>
      <c r="D48" s="49">
        <f>AVERAGE('22.07 Busega-Bulenga'!D48,'23.07 Busega-Bulenga'!D48,'24.07 Busega-Bulenga'!D48,'25.07 Busega-Bulenga'!D48,'26.07 Busega-Bulenga-24h'!D48,'27.07 Busega-Bulenga-24h'!D48,'28.07 Busega-Bulenga'!D48)</f>
        <v>6.2857142857142856</v>
      </c>
      <c r="E48" s="49">
        <f>AVERAGE('22.07 Busega-Bulenga'!E48,'23.07 Busega-Bulenga'!E48,'24.07 Busega-Bulenga'!E48,'25.07 Busega-Bulenga'!E48,'26.07 Busega-Bulenga-24h'!E48,'27.07 Busega-Bulenga-24h'!E48,'28.07 Busega-Bulenga'!E48)</f>
        <v>5.5714285714285712</v>
      </c>
      <c r="F48" s="49">
        <f>AVERAGE('22.07 Busega-Bulenga'!F48,'23.07 Busega-Bulenga'!F48,'24.07 Busega-Bulenga'!F48,'25.07 Busega-Bulenga'!F48,'26.07 Busega-Bulenga-24h'!F48,'27.07 Busega-Bulenga-24h'!F48,'28.07 Busega-Bulenga'!F48)</f>
        <v>22.571428571428573</v>
      </c>
      <c r="G48" s="49">
        <f>AVERAGE('22.07 Busega-Bulenga'!G48,'23.07 Busega-Bulenga'!G48,'24.07 Busega-Bulenga'!G48,'25.07 Busega-Bulenga'!G48,'26.07 Busega-Bulenga-24h'!G48,'27.07 Busega-Bulenga-24h'!G48,'28.07 Busega-Bulenga'!G48)</f>
        <v>0.42857142857142855</v>
      </c>
      <c r="H48" s="49">
        <f>AVERAGE('22.07 Busega-Bulenga'!H48,'23.07 Busega-Bulenga'!H48,'24.07 Busega-Bulenga'!H48,'25.07 Busega-Bulenga'!H48,'26.07 Busega-Bulenga-24h'!H48,'27.07 Busega-Bulenga-24h'!H48,'28.07 Busega-Bulenga'!H48)</f>
        <v>0.42857142857142855</v>
      </c>
      <c r="I48" s="49">
        <f>AVERAGE('22.07 Busega-Bulenga'!I48,'23.07 Busega-Bulenga'!I48,'24.07 Busega-Bulenga'!I48,'25.07 Busega-Bulenga'!I48,'26.07 Busega-Bulenga-24h'!I48,'27.07 Busega-Bulenga-24h'!I48,'28.07 Busega-Bulenga'!I48)</f>
        <v>7.5714285714285712</v>
      </c>
      <c r="J48" s="49">
        <f>AVERAGE('22.07 Busega-Bulenga'!J48,'23.07 Busega-Bulenga'!J48,'24.07 Busega-Bulenga'!J48,'25.07 Busega-Bulenga'!J48,'26.07 Busega-Bulenga-24h'!J48,'27.07 Busega-Bulenga-24h'!J48,'28.07 Busega-Bulenga'!J48)</f>
        <v>5.4285714285714288</v>
      </c>
      <c r="K48" s="49">
        <f>AVERAGE('22.07 Busega-Bulenga'!K48,'23.07 Busega-Bulenga'!K48,'24.07 Busega-Bulenga'!K48,'25.07 Busega-Bulenga'!K48,'26.07 Busega-Bulenga-24h'!K48,'27.07 Busega-Bulenga-24h'!K48,'28.07 Busega-Bulenga'!K48)</f>
        <v>1.8571428571428572</v>
      </c>
      <c r="L48" s="49">
        <f>AVERAGE('22.07 Busega-Bulenga'!L48,'23.07 Busega-Bulenga'!L48,'24.07 Busega-Bulenga'!L48,'25.07 Busega-Bulenga'!L48,'26.07 Busega-Bulenga-24h'!L48,'27.07 Busega-Bulenga-24h'!L48,'28.07 Busega-Bulenga'!L48)</f>
        <v>1.8571428571428572</v>
      </c>
      <c r="M48" s="49">
        <f>AVERAGE('22.07 Busega-Bulenga'!M48,'23.07 Busega-Bulenga'!M48,'24.07 Busega-Bulenga'!M48,'25.07 Busega-Bulenga'!M48,'26.07 Busega-Bulenga-24h'!M48,'27.07 Busega-Bulenga-24h'!M48,'28.07 Busega-Bulenga'!M48)</f>
        <v>219.71428571428572</v>
      </c>
      <c r="N48" s="49">
        <f>AVERAGE('22.07 Busega-Bulenga'!N48,'23.07 Busega-Bulenga'!N48,'24.07 Busega-Bulenga'!N48,'25.07 Busega-Bulenga'!N48,'26.07 Busega-Bulenga-24h'!N48,'27.07 Busega-Bulenga-24h'!N48,'28.07 Busega-Bulenga'!N48)</f>
        <v>0</v>
      </c>
      <c r="O48" s="15">
        <f t="shared" si="0"/>
        <v>102.14285714285715</v>
      </c>
      <c r="P48" s="15">
        <f t="shared" si="1"/>
        <v>321.85714285714289</v>
      </c>
      <c r="R48" s="8"/>
      <c r="T48"/>
    </row>
    <row r="49" spans="2:20" ht="23.1" customHeight="1" x14ac:dyDescent="0.25">
      <c r="B49" s="23" t="s">
        <v>76</v>
      </c>
      <c r="C49" s="49">
        <f>AVERAGE('22.07 Busega-Bulenga'!C49,'23.07 Busega-Bulenga'!C49,'24.07 Busega-Bulenga'!C49,'25.07 Busega-Bulenga'!C49,'26.07 Busega-Bulenga-24h'!C49,'27.07 Busega-Bulenga-24h'!C49,'28.07 Busega-Bulenga'!C49)</f>
        <v>58.714285714285715</v>
      </c>
      <c r="D49" s="49">
        <f>AVERAGE('22.07 Busega-Bulenga'!D49,'23.07 Busega-Bulenga'!D49,'24.07 Busega-Bulenga'!D49,'25.07 Busega-Bulenga'!D49,'26.07 Busega-Bulenga-24h'!D49,'27.07 Busega-Bulenga-24h'!D49,'28.07 Busega-Bulenga'!D49)</f>
        <v>7.5714285714285712</v>
      </c>
      <c r="E49" s="49">
        <f>AVERAGE('22.07 Busega-Bulenga'!E49,'23.07 Busega-Bulenga'!E49,'24.07 Busega-Bulenga'!E49,'25.07 Busega-Bulenga'!E49,'26.07 Busega-Bulenga-24h'!E49,'27.07 Busega-Bulenga-24h'!E49,'28.07 Busega-Bulenga'!E49)</f>
        <v>8</v>
      </c>
      <c r="F49" s="49">
        <f>AVERAGE('22.07 Busega-Bulenga'!F49,'23.07 Busega-Bulenga'!F49,'24.07 Busega-Bulenga'!F49,'25.07 Busega-Bulenga'!F49,'26.07 Busega-Bulenga-24h'!F49,'27.07 Busega-Bulenga-24h'!F49,'28.07 Busega-Bulenga'!F49)</f>
        <v>24.142857142857142</v>
      </c>
      <c r="G49" s="49">
        <f>AVERAGE('22.07 Busega-Bulenga'!G49,'23.07 Busega-Bulenga'!G49,'24.07 Busega-Bulenga'!G49,'25.07 Busega-Bulenga'!G49,'26.07 Busega-Bulenga-24h'!G49,'27.07 Busega-Bulenga-24h'!G49,'28.07 Busega-Bulenga'!G49)</f>
        <v>2.1428571428571428</v>
      </c>
      <c r="H49" s="49">
        <f>AVERAGE('22.07 Busega-Bulenga'!H49,'23.07 Busega-Bulenga'!H49,'24.07 Busega-Bulenga'!H49,'25.07 Busega-Bulenga'!H49,'26.07 Busega-Bulenga-24h'!H49,'27.07 Busega-Bulenga-24h'!H49,'28.07 Busega-Bulenga'!H49)</f>
        <v>0.7142857142857143</v>
      </c>
      <c r="I49" s="49">
        <f>AVERAGE('22.07 Busega-Bulenga'!I49,'23.07 Busega-Bulenga'!I49,'24.07 Busega-Bulenga'!I49,'25.07 Busega-Bulenga'!I49,'26.07 Busega-Bulenga-24h'!I49,'27.07 Busega-Bulenga-24h'!I49,'28.07 Busega-Bulenga'!I49)</f>
        <v>9.4285714285714288</v>
      </c>
      <c r="J49" s="49">
        <f>AVERAGE('22.07 Busega-Bulenga'!J49,'23.07 Busega-Bulenga'!J49,'24.07 Busega-Bulenga'!J49,'25.07 Busega-Bulenga'!J49,'26.07 Busega-Bulenga-24h'!J49,'27.07 Busega-Bulenga-24h'!J49,'28.07 Busega-Bulenga'!J49)</f>
        <v>6.4285714285714288</v>
      </c>
      <c r="K49" s="49">
        <f>AVERAGE('22.07 Busega-Bulenga'!K49,'23.07 Busega-Bulenga'!K49,'24.07 Busega-Bulenga'!K49,'25.07 Busega-Bulenga'!K49,'26.07 Busega-Bulenga-24h'!K49,'27.07 Busega-Bulenga-24h'!K49,'28.07 Busega-Bulenga'!K49)</f>
        <v>1.7142857142857142</v>
      </c>
      <c r="L49" s="49">
        <f>AVERAGE('22.07 Busega-Bulenga'!L49,'23.07 Busega-Bulenga'!L49,'24.07 Busega-Bulenga'!L49,'25.07 Busega-Bulenga'!L49,'26.07 Busega-Bulenga-24h'!L49,'27.07 Busega-Bulenga-24h'!L49,'28.07 Busega-Bulenga'!L49)</f>
        <v>2.5714285714285716</v>
      </c>
      <c r="M49" s="49">
        <f>AVERAGE('22.07 Busega-Bulenga'!M49,'23.07 Busega-Bulenga'!M49,'24.07 Busega-Bulenga'!M49,'25.07 Busega-Bulenga'!M49,'26.07 Busega-Bulenga-24h'!M49,'27.07 Busega-Bulenga-24h'!M49,'28.07 Busega-Bulenga'!M49)</f>
        <v>226.42857142857142</v>
      </c>
      <c r="N49" s="49">
        <f>AVERAGE('22.07 Busega-Bulenga'!N49,'23.07 Busega-Bulenga'!N49,'24.07 Busega-Bulenga'!N49,'25.07 Busega-Bulenga'!N49,'26.07 Busega-Bulenga-24h'!N49,'27.07 Busega-Bulenga-24h'!N49,'28.07 Busega-Bulenga'!N49)</f>
        <v>0</v>
      </c>
      <c r="O49" s="15">
        <f t="shared" si="0"/>
        <v>121.42857142857142</v>
      </c>
      <c r="P49" s="15">
        <f t="shared" si="1"/>
        <v>347.85714285714283</v>
      </c>
      <c r="R49" s="8"/>
      <c r="T49"/>
    </row>
    <row r="50" spans="2:20" ht="23.1" customHeight="1" x14ac:dyDescent="0.25">
      <c r="B50" s="24" t="s">
        <v>77</v>
      </c>
      <c r="C50" s="49">
        <f>AVERAGE('22.07 Busega-Bulenga'!C50,'23.07 Busega-Bulenga'!C50,'24.07 Busega-Bulenga'!C50,'25.07 Busega-Bulenga'!C50,'26.07 Busega-Bulenga-24h'!C50,'27.07 Busega-Bulenga-24h'!C50,'28.07 Busega-Bulenga'!C50)</f>
        <v>68.571428571428569</v>
      </c>
      <c r="D50" s="49">
        <f>AVERAGE('22.07 Busega-Bulenga'!D50,'23.07 Busega-Bulenga'!D50,'24.07 Busega-Bulenga'!D50,'25.07 Busega-Bulenga'!D50,'26.07 Busega-Bulenga-24h'!D50,'27.07 Busega-Bulenga-24h'!D50,'28.07 Busega-Bulenga'!D50)</f>
        <v>9.5714285714285712</v>
      </c>
      <c r="E50" s="49">
        <f>AVERAGE('22.07 Busega-Bulenga'!E50,'23.07 Busega-Bulenga'!E50,'24.07 Busega-Bulenga'!E50,'25.07 Busega-Bulenga'!E50,'26.07 Busega-Bulenga-24h'!E50,'27.07 Busega-Bulenga-24h'!E50,'28.07 Busega-Bulenga'!E50)</f>
        <v>8.7142857142857135</v>
      </c>
      <c r="F50" s="49">
        <f>AVERAGE('22.07 Busega-Bulenga'!F50,'23.07 Busega-Bulenga'!F50,'24.07 Busega-Bulenga'!F50,'25.07 Busega-Bulenga'!F50,'26.07 Busega-Bulenga-24h'!F50,'27.07 Busega-Bulenga-24h'!F50,'28.07 Busega-Bulenga'!F50)</f>
        <v>32</v>
      </c>
      <c r="G50" s="49">
        <f>AVERAGE('22.07 Busega-Bulenga'!G50,'23.07 Busega-Bulenga'!G50,'24.07 Busega-Bulenga'!G50,'25.07 Busega-Bulenga'!G50,'26.07 Busega-Bulenga-24h'!G50,'27.07 Busega-Bulenga-24h'!G50,'28.07 Busega-Bulenga'!G50)</f>
        <v>0.2857142857142857</v>
      </c>
      <c r="H50" s="49">
        <f>AVERAGE('22.07 Busega-Bulenga'!H50,'23.07 Busega-Bulenga'!H50,'24.07 Busega-Bulenga'!H50,'25.07 Busega-Bulenga'!H50,'26.07 Busega-Bulenga-24h'!H50,'27.07 Busega-Bulenga-24h'!H50,'28.07 Busega-Bulenga'!H50)</f>
        <v>1</v>
      </c>
      <c r="I50" s="49">
        <f>AVERAGE('22.07 Busega-Bulenga'!I50,'23.07 Busega-Bulenga'!I50,'24.07 Busega-Bulenga'!I50,'25.07 Busega-Bulenga'!I50,'26.07 Busega-Bulenga-24h'!I50,'27.07 Busega-Bulenga-24h'!I50,'28.07 Busega-Bulenga'!I50)</f>
        <v>9.4285714285714288</v>
      </c>
      <c r="J50" s="49">
        <f>AVERAGE('22.07 Busega-Bulenga'!J50,'23.07 Busega-Bulenga'!J50,'24.07 Busega-Bulenga'!J50,'25.07 Busega-Bulenga'!J50,'26.07 Busega-Bulenga-24h'!J50,'27.07 Busega-Bulenga-24h'!J50,'28.07 Busega-Bulenga'!J50)</f>
        <v>5.4285714285714288</v>
      </c>
      <c r="K50" s="49">
        <f>AVERAGE('22.07 Busega-Bulenga'!K50,'23.07 Busega-Bulenga'!K50,'24.07 Busega-Bulenga'!K50,'25.07 Busega-Bulenga'!K50,'26.07 Busega-Bulenga-24h'!K50,'27.07 Busega-Bulenga-24h'!K50,'28.07 Busega-Bulenga'!K50)</f>
        <v>1.8571428571428572</v>
      </c>
      <c r="L50" s="49">
        <f>AVERAGE('22.07 Busega-Bulenga'!L50,'23.07 Busega-Bulenga'!L50,'24.07 Busega-Bulenga'!L50,'25.07 Busega-Bulenga'!L50,'26.07 Busega-Bulenga-24h'!L50,'27.07 Busega-Bulenga-24h'!L50,'28.07 Busega-Bulenga'!L50)</f>
        <v>2.4285714285714284</v>
      </c>
      <c r="M50" s="49">
        <f>AVERAGE('22.07 Busega-Bulenga'!M50,'23.07 Busega-Bulenga'!M50,'24.07 Busega-Bulenga'!M50,'25.07 Busega-Bulenga'!M50,'26.07 Busega-Bulenga-24h'!M50,'27.07 Busega-Bulenga-24h'!M50,'28.07 Busega-Bulenga'!M50)</f>
        <v>246</v>
      </c>
      <c r="N50" s="49">
        <f>AVERAGE('22.07 Busega-Bulenga'!N50,'23.07 Busega-Bulenga'!N50,'24.07 Busega-Bulenga'!N50,'25.07 Busega-Bulenga'!N50,'26.07 Busega-Bulenga-24h'!N50,'27.07 Busega-Bulenga-24h'!N50,'28.07 Busega-Bulenga'!N50)</f>
        <v>0</v>
      </c>
      <c r="O50" s="15">
        <f t="shared" si="0"/>
        <v>139.28571428571425</v>
      </c>
      <c r="P50" s="15">
        <f t="shared" si="1"/>
        <v>385.28571428571422</v>
      </c>
      <c r="R50" s="8"/>
      <c r="T50"/>
    </row>
    <row r="51" spans="2:20" ht="23.1" customHeight="1" x14ac:dyDescent="0.25">
      <c r="B51" s="24" t="s">
        <v>78</v>
      </c>
      <c r="C51" s="49">
        <f>AVERAGE('22.07 Busega-Bulenga'!C51,'23.07 Busega-Bulenga'!C51,'24.07 Busega-Bulenga'!C51,'25.07 Busega-Bulenga'!C51,'26.07 Busega-Bulenga-24h'!C51,'27.07 Busega-Bulenga-24h'!C51,'28.07 Busega-Bulenga'!C51)</f>
        <v>77.571428571428569</v>
      </c>
      <c r="D51" s="49">
        <f>AVERAGE('22.07 Busega-Bulenga'!D51,'23.07 Busega-Bulenga'!D51,'24.07 Busega-Bulenga'!D51,'25.07 Busega-Bulenga'!D51,'26.07 Busega-Bulenga-24h'!D51,'27.07 Busega-Bulenga-24h'!D51,'28.07 Busega-Bulenga'!D51)</f>
        <v>7.1428571428571432</v>
      </c>
      <c r="E51" s="49">
        <f>AVERAGE('22.07 Busega-Bulenga'!E51,'23.07 Busega-Bulenga'!E51,'24.07 Busega-Bulenga'!E51,'25.07 Busega-Bulenga'!E51,'26.07 Busega-Bulenga-24h'!E51,'27.07 Busega-Bulenga-24h'!E51,'28.07 Busega-Bulenga'!E51)</f>
        <v>5.8571428571428568</v>
      </c>
      <c r="F51" s="49">
        <f>AVERAGE('22.07 Busega-Bulenga'!F51,'23.07 Busega-Bulenga'!F51,'24.07 Busega-Bulenga'!F51,'25.07 Busega-Bulenga'!F51,'26.07 Busega-Bulenga-24h'!F51,'27.07 Busega-Bulenga-24h'!F51,'28.07 Busega-Bulenga'!F51)</f>
        <v>33.142857142857146</v>
      </c>
      <c r="G51" s="49">
        <f>AVERAGE('22.07 Busega-Bulenga'!G51,'23.07 Busega-Bulenga'!G51,'24.07 Busega-Bulenga'!G51,'25.07 Busega-Bulenga'!G51,'26.07 Busega-Bulenga-24h'!G51,'27.07 Busega-Bulenga-24h'!G51,'28.07 Busega-Bulenga'!G51)</f>
        <v>0.8571428571428571</v>
      </c>
      <c r="H51" s="49">
        <f>AVERAGE('22.07 Busega-Bulenga'!H51,'23.07 Busega-Bulenga'!H51,'24.07 Busega-Bulenga'!H51,'25.07 Busega-Bulenga'!H51,'26.07 Busega-Bulenga-24h'!H51,'27.07 Busega-Bulenga-24h'!H51,'28.07 Busega-Bulenga'!H51)</f>
        <v>0.7142857142857143</v>
      </c>
      <c r="I51" s="49">
        <f>AVERAGE('22.07 Busega-Bulenga'!I51,'23.07 Busega-Bulenga'!I51,'24.07 Busega-Bulenga'!I51,'25.07 Busega-Bulenga'!I51,'26.07 Busega-Bulenga-24h'!I51,'27.07 Busega-Bulenga-24h'!I51,'28.07 Busega-Bulenga'!I51)</f>
        <v>6.4285714285714288</v>
      </c>
      <c r="J51" s="49">
        <f>AVERAGE('22.07 Busega-Bulenga'!J51,'23.07 Busega-Bulenga'!J51,'24.07 Busega-Bulenga'!J51,'25.07 Busega-Bulenga'!J51,'26.07 Busega-Bulenga-24h'!J51,'27.07 Busega-Bulenga-24h'!J51,'28.07 Busega-Bulenga'!J51)</f>
        <v>6.7142857142857144</v>
      </c>
      <c r="K51" s="49">
        <f>AVERAGE('22.07 Busega-Bulenga'!K51,'23.07 Busega-Bulenga'!K51,'24.07 Busega-Bulenga'!K51,'25.07 Busega-Bulenga'!K51,'26.07 Busega-Bulenga-24h'!K51,'27.07 Busega-Bulenga-24h'!K51,'28.07 Busega-Bulenga'!K51)</f>
        <v>1.1428571428571428</v>
      </c>
      <c r="L51" s="49">
        <f>AVERAGE('22.07 Busega-Bulenga'!L51,'23.07 Busega-Bulenga'!L51,'24.07 Busega-Bulenga'!L51,'25.07 Busega-Bulenga'!L51,'26.07 Busega-Bulenga-24h'!L51,'27.07 Busega-Bulenga-24h'!L51,'28.07 Busega-Bulenga'!L51)</f>
        <v>0.7142857142857143</v>
      </c>
      <c r="M51" s="49">
        <f>AVERAGE('22.07 Busega-Bulenga'!M51,'23.07 Busega-Bulenga'!M51,'24.07 Busega-Bulenga'!M51,'25.07 Busega-Bulenga'!M51,'26.07 Busega-Bulenga-24h'!M51,'27.07 Busega-Bulenga-24h'!M51,'28.07 Busega-Bulenga'!M51)</f>
        <v>224.85714285714286</v>
      </c>
      <c r="N51" s="49">
        <f>AVERAGE('22.07 Busega-Bulenga'!N51,'23.07 Busega-Bulenga'!N51,'24.07 Busega-Bulenga'!N51,'25.07 Busega-Bulenga'!N51,'26.07 Busega-Bulenga-24h'!N51,'27.07 Busega-Bulenga-24h'!N51,'28.07 Busega-Bulenga'!N51)</f>
        <v>0</v>
      </c>
      <c r="O51" s="15">
        <f t="shared" si="0"/>
        <v>140.28571428571431</v>
      </c>
      <c r="P51" s="15">
        <f t="shared" si="1"/>
        <v>365.14285714285717</v>
      </c>
      <c r="R51" s="8"/>
      <c r="T51"/>
    </row>
    <row r="52" spans="2:20" ht="23.1" customHeight="1" x14ac:dyDescent="0.25">
      <c r="B52" s="24" t="s">
        <v>79</v>
      </c>
      <c r="C52" s="49">
        <f>AVERAGE('22.07 Busega-Bulenga'!C52,'23.07 Busega-Bulenga'!C52,'24.07 Busega-Bulenga'!C52,'25.07 Busega-Bulenga'!C52,'26.07 Busega-Bulenga-24h'!C52,'27.07 Busega-Bulenga-24h'!C52,'28.07 Busega-Bulenga'!C52)</f>
        <v>101.42857142857143</v>
      </c>
      <c r="D52" s="49">
        <f>AVERAGE('22.07 Busega-Bulenga'!D52,'23.07 Busega-Bulenga'!D52,'24.07 Busega-Bulenga'!D52,'25.07 Busega-Bulenga'!D52,'26.07 Busega-Bulenga-24h'!D52,'27.07 Busega-Bulenga-24h'!D52,'28.07 Busega-Bulenga'!D52)</f>
        <v>7.5714285714285712</v>
      </c>
      <c r="E52" s="49">
        <f>AVERAGE('22.07 Busega-Bulenga'!E52,'23.07 Busega-Bulenga'!E52,'24.07 Busega-Bulenga'!E52,'25.07 Busega-Bulenga'!E52,'26.07 Busega-Bulenga-24h'!E52,'27.07 Busega-Bulenga-24h'!E52,'28.07 Busega-Bulenga'!E52)</f>
        <v>7</v>
      </c>
      <c r="F52" s="49">
        <f>AVERAGE('22.07 Busega-Bulenga'!F52,'23.07 Busega-Bulenga'!F52,'24.07 Busega-Bulenga'!F52,'25.07 Busega-Bulenga'!F52,'26.07 Busega-Bulenga-24h'!F52,'27.07 Busega-Bulenga-24h'!F52,'28.07 Busega-Bulenga'!F52)</f>
        <v>31.428571428571427</v>
      </c>
      <c r="G52" s="49">
        <f>AVERAGE('22.07 Busega-Bulenga'!G52,'23.07 Busega-Bulenga'!G52,'24.07 Busega-Bulenga'!G52,'25.07 Busega-Bulenga'!G52,'26.07 Busega-Bulenga-24h'!G52,'27.07 Busega-Bulenga-24h'!G52,'28.07 Busega-Bulenga'!G52)</f>
        <v>1</v>
      </c>
      <c r="H52" s="49">
        <f>AVERAGE('22.07 Busega-Bulenga'!H52,'23.07 Busega-Bulenga'!H52,'24.07 Busega-Bulenga'!H52,'25.07 Busega-Bulenga'!H52,'26.07 Busega-Bulenga-24h'!H52,'27.07 Busega-Bulenga-24h'!H52,'28.07 Busega-Bulenga'!H52)</f>
        <v>0.2857142857142857</v>
      </c>
      <c r="I52" s="49">
        <f>AVERAGE('22.07 Busega-Bulenga'!I52,'23.07 Busega-Bulenga'!I52,'24.07 Busega-Bulenga'!I52,'25.07 Busega-Bulenga'!I52,'26.07 Busega-Bulenga-24h'!I52,'27.07 Busega-Bulenga-24h'!I52,'28.07 Busega-Bulenga'!I52)</f>
        <v>11.428571428571429</v>
      </c>
      <c r="J52" s="49">
        <f>AVERAGE('22.07 Busega-Bulenga'!J52,'23.07 Busega-Bulenga'!J52,'24.07 Busega-Bulenga'!J52,'25.07 Busega-Bulenga'!J52,'26.07 Busega-Bulenga-24h'!J52,'27.07 Busega-Bulenga-24h'!J52,'28.07 Busega-Bulenga'!J52)</f>
        <v>9.1428571428571423</v>
      </c>
      <c r="K52" s="49">
        <f>AVERAGE('22.07 Busega-Bulenga'!K52,'23.07 Busega-Bulenga'!K52,'24.07 Busega-Bulenga'!K52,'25.07 Busega-Bulenga'!K52,'26.07 Busega-Bulenga-24h'!K52,'27.07 Busega-Bulenga-24h'!K52,'28.07 Busega-Bulenga'!K52)</f>
        <v>2.2857142857142856</v>
      </c>
      <c r="L52" s="49">
        <f>AVERAGE('22.07 Busega-Bulenga'!L52,'23.07 Busega-Bulenga'!L52,'24.07 Busega-Bulenga'!L52,'25.07 Busega-Bulenga'!L52,'26.07 Busega-Bulenga-24h'!L52,'27.07 Busega-Bulenga-24h'!L52,'28.07 Busega-Bulenga'!L52)</f>
        <v>2.8571428571428572</v>
      </c>
      <c r="M52" s="49">
        <f>AVERAGE('22.07 Busega-Bulenga'!M52,'23.07 Busega-Bulenga'!M52,'24.07 Busega-Bulenga'!M52,'25.07 Busega-Bulenga'!M52,'26.07 Busega-Bulenga-24h'!M52,'27.07 Busega-Bulenga-24h'!M52,'28.07 Busega-Bulenga'!M52)</f>
        <v>222.85714285714286</v>
      </c>
      <c r="N52" s="49">
        <f>AVERAGE('22.07 Busega-Bulenga'!N52,'23.07 Busega-Bulenga'!N52,'24.07 Busega-Bulenga'!N52,'25.07 Busega-Bulenga'!N52,'26.07 Busega-Bulenga-24h'!N52,'27.07 Busega-Bulenga-24h'!N52,'28.07 Busega-Bulenga'!N52)</f>
        <v>0</v>
      </c>
      <c r="O52" s="15">
        <f t="shared" si="0"/>
        <v>174.42857142857139</v>
      </c>
      <c r="P52" s="15">
        <f t="shared" si="1"/>
        <v>397.28571428571422</v>
      </c>
      <c r="R52" s="8"/>
      <c r="T52"/>
    </row>
    <row r="53" spans="2:20" ht="23.1" customHeight="1" x14ac:dyDescent="0.25">
      <c r="B53" s="23" t="s">
        <v>80</v>
      </c>
      <c r="C53" s="49">
        <f>AVERAGE('22.07 Busega-Bulenga'!C53,'23.07 Busega-Bulenga'!C53,'24.07 Busega-Bulenga'!C53,'25.07 Busega-Bulenga'!C53,'26.07 Busega-Bulenga-24h'!C53,'27.07 Busega-Bulenga-24h'!C53,'28.07 Busega-Bulenga'!C53)</f>
        <v>113.71428571428571</v>
      </c>
      <c r="D53" s="49">
        <f>AVERAGE('22.07 Busega-Bulenga'!D53,'23.07 Busega-Bulenga'!D53,'24.07 Busega-Bulenga'!D53,'25.07 Busega-Bulenga'!D53,'26.07 Busega-Bulenga-24h'!D53,'27.07 Busega-Bulenga-24h'!D53,'28.07 Busega-Bulenga'!D53)</f>
        <v>7.7142857142857144</v>
      </c>
      <c r="E53" s="49">
        <f>AVERAGE('22.07 Busega-Bulenga'!E53,'23.07 Busega-Bulenga'!E53,'24.07 Busega-Bulenga'!E53,'25.07 Busega-Bulenga'!E53,'26.07 Busega-Bulenga-24h'!E53,'27.07 Busega-Bulenga-24h'!E53,'28.07 Busega-Bulenga'!E53)</f>
        <v>5.5714285714285712</v>
      </c>
      <c r="F53" s="49">
        <f>AVERAGE('22.07 Busega-Bulenga'!F53,'23.07 Busega-Bulenga'!F53,'24.07 Busega-Bulenga'!F53,'25.07 Busega-Bulenga'!F53,'26.07 Busega-Bulenga-24h'!F53,'27.07 Busega-Bulenga-24h'!F53,'28.07 Busega-Bulenga'!F53)</f>
        <v>27.428571428571427</v>
      </c>
      <c r="G53" s="49">
        <f>AVERAGE('22.07 Busega-Bulenga'!G53,'23.07 Busega-Bulenga'!G53,'24.07 Busega-Bulenga'!G53,'25.07 Busega-Bulenga'!G53,'26.07 Busega-Bulenga-24h'!G53,'27.07 Busega-Bulenga-24h'!G53,'28.07 Busega-Bulenga'!G53)</f>
        <v>0.8571428571428571</v>
      </c>
      <c r="H53" s="49">
        <f>AVERAGE('22.07 Busega-Bulenga'!H53,'23.07 Busega-Bulenga'!H53,'24.07 Busega-Bulenga'!H53,'25.07 Busega-Bulenga'!H53,'26.07 Busega-Bulenga-24h'!H53,'27.07 Busega-Bulenga-24h'!H53,'28.07 Busega-Bulenga'!H53)</f>
        <v>0.42857142857142855</v>
      </c>
      <c r="I53" s="49">
        <f>AVERAGE('22.07 Busega-Bulenga'!I53,'23.07 Busega-Bulenga'!I53,'24.07 Busega-Bulenga'!I53,'25.07 Busega-Bulenga'!I53,'26.07 Busega-Bulenga-24h'!I53,'27.07 Busega-Bulenga-24h'!I53,'28.07 Busega-Bulenga'!I53)</f>
        <v>8.5714285714285712</v>
      </c>
      <c r="J53" s="49">
        <f>AVERAGE('22.07 Busega-Bulenga'!J53,'23.07 Busega-Bulenga'!J53,'24.07 Busega-Bulenga'!J53,'25.07 Busega-Bulenga'!J53,'26.07 Busega-Bulenga-24h'!J53,'27.07 Busega-Bulenga-24h'!J53,'28.07 Busega-Bulenga'!J53)</f>
        <v>5.1428571428571432</v>
      </c>
      <c r="K53" s="49">
        <f>AVERAGE('22.07 Busega-Bulenga'!K53,'23.07 Busega-Bulenga'!K53,'24.07 Busega-Bulenga'!K53,'25.07 Busega-Bulenga'!K53,'26.07 Busega-Bulenga-24h'!K53,'27.07 Busega-Bulenga-24h'!K53,'28.07 Busega-Bulenga'!K53)</f>
        <v>2.4285714285714284</v>
      </c>
      <c r="L53" s="49">
        <f>AVERAGE('22.07 Busega-Bulenga'!L53,'23.07 Busega-Bulenga'!L53,'24.07 Busega-Bulenga'!L53,'25.07 Busega-Bulenga'!L53,'26.07 Busega-Bulenga-24h'!L53,'27.07 Busega-Bulenga-24h'!L53,'28.07 Busega-Bulenga'!L53)</f>
        <v>0.8571428571428571</v>
      </c>
      <c r="M53" s="49">
        <f>AVERAGE('22.07 Busega-Bulenga'!M53,'23.07 Busega-Bulenga'!M53,'24.07 Busega-Bulenga'!M53,'25.07 Busega-Bulenga'!M53,'26.07 Busega-Bulenga-24h'!M53,'27.07 Busega-Bulenga-24h'!M53,'28.07 Busega-Bulenga'!M53)</f>
        <v>256.57142857142856</v>
      </c>
      <c r="N53" s="49">
        <f>AVERAGE('22.07 Busega-Bulenga'!N53,'23.07 Busega-Bulenga'!N53,'24.07 Busega-Bulenga'!N53,'25.07 Busega-Bulenga'!N53,'26.07 Busega-Bulenga-24h'!N53,'27.07 Busega-Bulenga-24h'!N53,'28.07 Busega-Bulenga'!N53)</f>
        <v>0</v>
      </c>
      <c r="O53" s="15">
        <f t="shared" si="0"/>
        <v>172.71428571428569</v>
      </c>
      <c r="P53" s="15">
        <f t="shared" si="1"/>
        <v>429.28571428571422</v>
      </c>
      <c r="R53" s="8"/>
      <c r="T53"/>
    </row>
    <row r="54" spans="2:20" ht="23.1" customHeight="1" x14ac:dyDescent="0.25">
      <c r="B54" s="23" t="s">
        <v>81</v>
      </c>
      <c r="C54" s="49">
        <f>AVERAGE('22.07 Busega-Bulenga'!C54,'23.07 Busega-Bulenga'!C54,'24.07 Busega-Bulenga'!C54,'25.07 Busega-Bulenga'!C54,'26.07 Busega-Bulenga-24h'!C54,'27.07 Busega-Bulenga-24h'!C54,'28.07 Busega-Bulenga'!C54)</f>
        <v>95.142857142857139</v>
      </c>
      <c r="D54" s="49">
        <f>AVERAGE('22.07 Busega-Bulenga'!D54,'23.07 Busega-Bulenga'!D54,'24.07 Busega-Bulenga'!D54,'25.07 Busega-Bulenga'!D54,'26.07 Busega-Bulenga-24h'!D54,'27.07 Busega-Bulenga-24h'!D54,'28.07 Busega-Bulenga'!D54)</f>
        <v>9.7142857142857135</v>
      </c>
      <c r="E54" s="49">
        <f>AVERAGE('22.07 Busega-Bulenga'!E54,'23.07 Busega-Bulenga'!E54,'24.07 Busega-Bulenga'!E54,'25.07 Busega-Bulenga'!E54,'26.07 Busega-Bulenga-24h'!E54,'27.07 Busega-Bulenga-24h'!E54,'28.07 Busega-Bulenga'!E54)</f>
        <v>7.4285714285714288</v>
      </c>
      <c r="F54" s="49">
        <f>AVERAGE('22.07 Busega-Bulenga'!F54,'23.07 Busega-Bulenga'!F54,'24.07 Busega-Bulenga'!F54,'25.07 Busega-Bulenga'!F54,'26.07 Busega-Bulenga-24h'!F54,'27.07 Busega-Bulenga-24h'!F54,'28.07 Busega-Bulenga'!F54)</f>
        <v>43</v>
      </c>
      <c r="G54" s="49">
        <f>AVERAGE('22.07 Busega-Bulenga'!G54,'23.07 Busega-Bulenga'!G54,'24.07 Busega-Bulenga'!G54,'25.07 Busega-Bulenga'!G54,'26.07 Busega-Bulenga-24h'!G54,'27.07 Busega-Bulenga-24h'!G54,'28.07 Busega-Bulenga'!G54)</f>
        <v>1.5714285714285714</v>
      </c>
      <c r="H54" s="49">
        <f>AVERAGE('22.07 Busega-Bulenga'!H54,'23.07 Busega-Bulenga'!H54,'24.07 Busega-Bulenga'!H54,'25.07 Busega-Bulenga'!H54,'26.07 Busega-Bulenga-24h'!H54,'27.07 Busega-Bulenga-24h'!H54,'28.07 Busega-Bulenga'!H54)</f>
        <v>0.7142857142857143</v>
      </c>
      <c r="I54" s="49">
        <f>AVERAGE('22.07 Busega-Bulenga'!I54,'23.07 Busega-Bulenga'!I54,'24.07 Busega-Bulenga'!I54,'25.07 Busega-Bulenga'!I54,'26.07 Busega-Bulenga-24h'!I54,'27.07 Busega-Bulenga-24h'!I54,'28.07 Busega-Bulenga'!I54)</f>
        <v>5.8571428571428568</v>
      </c>
      <c r="J54" s="49">
        <f>AVERAGE('22.07 Busega-Bulenga'!J54,'23.07 Busega-Bulenga'!J54,'24.07 Busega-Bulenga'!J54,'25.07 Busega-Bulenga'!J54,'26.07 Busega-Bulenga-24h'!J54,'27.07 Busega-Bulenga-24h'!J54,'28.07 Busega-Bulenga'!J54)</f>
        <v>8.7142857142857135</v>
      </c>
      <c r="K54" s="49">
        <f>AVERAGE('22.07 Busega-Bulenga'!K54,'23.07 Busega-Bulenga'!K54,'24.07 Busega-Bulenga'!K54,'25.07 Busega-Bulenga'!K54,'26.07 Busega-Bulenga-24h'!K54,'27.07 Busega-Bulenga-24h'!K54,'28.07 Busega-Bulenga'!K54)</f>
        <v>2.1428571428571428</v>
      </c>
      <c r="L54" s="49">
        <f>AVERAGE('22.07 Busega-Bulenga'!L54,'23.07 Busega-Bulenga'!L54,'24.07 Busega-Bulenga'!L54,'25.07 Busega-Bulenga'!L54,'26.07 Busega-Bulenga-24h'!L54,'27.07 Busega-Bulenga-24h'!L54,'28.07 Busega-Bulenga'!L54)</f>
        <v>2.5714285714285716</v>
      </c>
      <c r="M54" s="49">
        <f>AVERAGE('22.07 Busega-Bulenga'!M54,'23.07 Busega-Bulenga'!M54,'24.07 Busega-Bulenga'!M54,'25.07 Busega-Bulenga'!M54,'26.07 Busega-Bulenga-24h'!M54,'27.07 Busega-Bulenga-24h'!M54,'28.07 Busega-Bulenga'!M54)</f>
        <v>270.28571428571428</v>
      </c>
      <c r="N54" s="49">
        <f>AVERAGE('22.07 Busega-Bulenga'!N54,'23.07 Busega-Bulenga'!N54,'24.07 Busega-Bulenga'!N54,'25.07 Busega-Bulenga'!N54,'26.07 Busega-Bulenga-24h'!N54,'27.07 Busega-Bulenga-24h'!N54,'28.07 Busega-Bulenga'!N54)</f>
        <v>0</v>
      </c>
      <c r="O54" s="15">
        <f t="shared" si="0"/>
        <v>176.85714285714289</v>
      </c>
      <c r="P54" s="15">
        <f t="shared" si="1"/>
        <v>447.14285714285717</v>
      </c>
      <c r="R54" s="8"/>
      <c r="T54"/>
    </row>
    <row r="55" spans="2:20" ht="23.1" customHeight="1" x14ac:dyDescent="0.25">
      <c r="B55" s="23" t="s">
        <v>82</v>
      </c>
      <c r="C55" s="49">
        <f>AVERAGE('22.07 Busega-Bulenga'!C55,'23.07 Busega-Bulenga'!C55,'24.07 Busega-Bulenga'!C55,'25.07 Busega-Bulenga'!C55,'26.07 Busega-Bulenga-24h'!C55,'27.07 Busega-Bulenga-24h'!C55,'28.07 Busega-Bulenga'!C55)</f>
        <v>100.85714285714286</v>
      </c>
      <c r="D55" s="49">
        <f>AVERAGE('22.07 Busega-Bulenga'!D55,'23.07 Busega-Bulenga'!D55,'24.07 Busega-Bulenga'!D55,'25.07 Busega-Bulenga'!D55,'26.07 Busega-Bulenga-24h'!D55,'27.07 Busega-Bulenga-24h'!D55,'28.07 Busega-Bulenga'!D55)</f>
        <v>4.5714285714285712</v>
      </c>
      <c r="E55" s="49">
        <f>AVERAGE('22.07 Busega-Bulenga'!E55,'23.07 Busega-Bulenga'!E55,'24.07 Busega-Bulenga'!E55,'25.07 Busega-Bulenga'!E55,'26.07 Busega-Bulenga-24h'!E55,'27.07 Busega-Bulenga-24h'!E55,'28.07 Busega-Bulenga'!E55)</f>
        <v>3.4285714285714284</v>
      </c>
      <c r="F55" s="49">
        <f>AVERAGE('22.07 Busega-Bulenga'!F55,'23.07 Busega-Bulenga'!F55,'24.07 Busega-Bulenga'!F55,'25.07 Busega-Bulenga'!F55,'26.07 Busega-Bulenga-24h'!F55,'27.07 Busega-Bulenga-24h'!F55,'28.07 Busega-Bulenga'!F55)</f>
        <v>49.857142857142854</v>
      </c>
      <c r="G55" s="49">
        <f>AVERAGE('22.07 Busega-Bulenga'!G55,'23.07 Busega-Bulenga'!G55,'24.07 Busega-Bulenga'!G55,'25.07 Busega-Bulenga'!G55,'26.07 Busega-Bulenga-24h'!G55,'27.07 Busega-Bulenga-24h'!G55,'28.07 Busega-Bulenga'!G55)</f>
        <v>1.7142857142857142</v>
      </c>
      <c r="H55" s="49">
        <f>AVERAGE('22.07 Busega-Bulenga'!H55,'23.07 Busega-Bulenga'!H55,'24.07 Busega-Bulenga'!H55,'25.07 Busega-Bulenga'!H55,'26.07 Busega-Bulenga-24h'!H55,'27.07 Busega-Bulenga-24h'!H55,'28.07 Busega-Bulenga'!H55)</f>
        <v>0.5714285714285714</v>
      </c>
      <c r="I55" s="49">
        <f>AVERAGE('22.07 Busega-Bulenga'!I55,'23.07 Busega-Bulenga'!I55,'24.07 Busega-Bulenga'!I55,'25.07 Busega-Bulenga'!I55,'26.07 Busega-Bulenga-24h'!I55,'27.07 Busega-Bulenga-24h'!I55,'28.07 Busega-Bulenga'!I55)</f>
        <v>8.1428571428571423</v>
      </c>
      <c r="J55" s="49">
        <f>AVERAGE('22.07 Busega-Bulenga'!J55,'23.07 Busega-Bulenga'!J55,'24.07 Busega-Bulenga'!J55,'25.07 Busega-Bulenga'!J55,'26.07 Busega-Bulenga-24h'!J55,'27.07 Busega-Bulenga-24h'!J55,'28.07 Busega-Bulenga'!J55)</f>
        <v>7.4285714285714288</v>
      </c>
      <c r="K55" s="49">
        <f>AVERAGE('22.07 Busega-Bulenga'!K55,'23.07 Busega-Bulenga'!K55,'24.07 Busega-Bulenga'!K55,'25.07 Busega-Bulenga'!K55,'26.07 Busega-Bulenga-24h'!K55,'27.07 Busega-Bulenga-24h'!K55,'28.07 Busega-Bulenga'!K55)</f>
        <v>1.8571428571428572</v>
      </c>
      <c r="L55" s="49">
        <f>AVERAGE('22.07 Busega-Bulenga'!L55,'23.07 Busega-Bulenga'!L55,'24.07 Busega-Bulenga'!L55,'25.07 Busega-Bulenga'!L55,'26.07 Busega-Bulenga-24h'!L55,'27.07 Busega-Bulenga-24h'!L55,'28.07 Busega-Bulenga'!L55)</f>
        <v>2.1428571428571428</v>
      </c>
      <c r="M55" s="49">
        <f>AVERAGE('22.07 Busega-Bulenga'!M55,'23.07 Busega-Bulenga'!M55,'24.07 Busega-Bulenga'!M55,'25.07 Busega-Bulenga'!M55,'26.07 Busega-Bulenga-24h'!M55,'27.07 Busega-Bulenga-24h'!M55,'28.07 Busega-Bulenga'!M55)</f>
        <v>234</v>
      </c>
      <c r="N55" s="49">
        <f>AVERAGE('22.07 Busega-Bulenga'!N55,'23.07 Busega-Bulenga'!N55,'24.07 Busega-Bulenga'!N55,'25.07 Busega-Bulenga'!N55,'26.07 Busega-Bulenga-24h'!N55,'27.07 Busega-Bulenga-24h'!N55,'28.07 Busega-Bulenga'!N55)</f>
        <v>0</v>
      </c>
      <c r="O55" s="15">
        <f t="shared" si="0"/>
        <v>180.57142857142858</v>
      </c>
      <c r="P55" s="15">
        <f t="shared" si="1"/>
        <v>414.57142857142856</v>
      </c>
      <c r="R55" s="8"/>
      <c r="T55"/>
    </row>
    <row r="56" spans="2:20" ht="23.1" customHeight="1" x14ac:dyDescent="0.25">
      <c r="B56" s="23" t="s">
        <v>83</v>
      </c>
      <c r="C56" s="49">
        <f>AVERAGE('22.07 Busega-Bulenga'!C56,'23.07 Busega-Bulenga'!C56,'24.07 Busega-Bulenga'!C56,'25.07 Busega-Bulenga'!C56,'26.07 Busega-Bulenga-24h'!C56,'27.07 Busega-Bulenga-24h'!C56,'28.07 Busega-Bulenga'!C56)</f>
        <v>107</v>
      </c>
      <c r="D56" s="49">
        <f>AVERAGE('22.07 Busega-Bulenga'!D56,'23.07 Busega-Bulenga'!D56,'24.07 Busega-Bulenga'!D56,'25.07 Busega-Bulenga'!D56,'26.07 Busega-Bulenga-24h'!D56,'27.07 Busega-Bulenga-24h'!D56,'28.07 Busega-Bulenga'!D56)</f>
        <v>5.2857142857142856</v>
      </c>
      <c r="E56" s="49">
        <f>AVERAGE('22.07 Busega-Bulenga'!E56,'23.07 Busega-Bulenga'!E56,'24.07 Busega-Bulenga'!E56,'25.07 Busega-Bulenga'!E56,'26.07 Busega-Bulenga-24h'!E56,'27.07 Busega-Bulenga-24h'!E56,'28.07 Busega-Bulenga'!E56)</f>
        <v>4.8571428571428568</v>
      </c>
      <c r="F56" s="49">
        <f>AVERAGE('22.07 Busega-Bulenga'!F56,'23.07 Busega-Bulenga'!F56,'24.07 Busega-Bulenga'!F56,'25.07 Busega-Bulenga'!F56,'26.07 Busega-Bulenga-24h'!F56,'27.07 Busega-Bulenga-24h'!F56,'28.07 Busega-Bulenga'!F56)</f>
        <v>41</v>
      </c>
      <c r="G56" s="49">
        <f>AVERAGE('22.07 Busega-Bulenga'!G56,'23.07 Busega-Bulenga'!G56,'24.07 Busega-Bulenga'!G56,'25.07 Busega-Bulenga'!G56,'26.07 Busega-Bulenga-24h'!G56,'27.07 Busega-Bulenga-24h'!G56,'28.07 Busega-Bulenga'!G56)</f>
        <v>2</v>
      </c>
      <c r="H56" s="49">
        <f>AVERAGE('22.07 Busega-Bulenga'!H56,'23.07 Busega-Bulenga'!H56,'24.07 Busega-Bulenga'!H56,'25.07 Busega-Bulenga'!H56,'26.07 Busega-Bulenga-24h'!H56,'27.07 Busega-Bulenga-24h'!H56,'28.07 Busega-Bulenga'!H56)</f>
        <v>0.8571428571428571</v>
      </c>
      <c r="I56" s="49">
        <f>AVERAGE('22.07 Busega-Bulenga'!I56,'23.07 Busega-Bulenga'!I56,'24.07 Busega-Bulenga'!I56,'25.07 Busega-Bulenga'!I56,'26.07 Busega-Bulenga-24h'!I56,'27.07 Busega-Bulenga-24h'!I56,'28.07 Busega-Bulenga'!I56)</f>
        <v>7.4285714285714288</v>
      </c>
      <c r="J56" s="49">
        <f>AVERAGE('22.07 Busega-Bulenga'!J56,'23.07 Busega-Bulenga'!J56,'24.07 Busega-Bulenga'!J56,'25.07 Busega-Bulenga'!J56,'26.07 Busega-Bulenga-24h'!J56,'27.07 Busega-Bulenga-24h'!J56,'28.07 Busega-Bulenga'!J56)</f>
        <v>5.8571428571428568</v>
      </c>
      <c r="K56" s="49">
        <f>AVERAGE('22.07 Busega-Bulenga'!K56,'23.07 Busega-Bulenga'!K56,'24.07 Busega-Bulenga'!K56,'25.07 Busega-Bulenga'!K56,'26.07 Busega-Bulenga-24h'!K56,'27.07 Busega-Bulenga-24h'!K56,'28.07 Busega-Bulenga'!K56)</f>
        <v>2</v>
      </c>
      <c r="L56" s="49">
        <f>AVERAGE('22.07 Busega-Bulenga'!L56,'23.07 Busega-Bulenga'!L56,'24.07 Busega-Bulenga'!L56,'25.07 Busega-Bulenga'!L56,'26.07 Busega-Bulenga-24h'!L56,'27.07 Busega-Bulenga-24h'!L56,'28.07 Busega-Bulenga'!L56)</f>
        <v>2.1428571428571428</v>
      </c>
      <c r="M56" s="49">
        <f>AVERAGE('22.07 Busega-Bulenga'!M56,'23.07 Busega-Bulenga'!M56,'24.07 Busega-Bulenga'!M56,'25.07 Busega-Bulenga'!M56,'26.07 Busega-Bulenga-24h'!M56,'27.07 Busega-Bulenga-24h'!M56,'28.07 Busega-Bulenga'!M56)</f>
        <v>243.57142857142858</v>
      </c>
      <c r="N56" s="49">
        <f>AVERAGE('22.07 Busega-Bulenga'!N56,'23.07 Busega-Bulenga'!N56,'24.07 Busega-Bulenga'!N56,'25.07 Busega-Bulenga'!N56,'26.07 Busega-Bulenga-24h'!N56,'27.07 Busega-Bulenga-24h'!N56,'28.07 Busega-Bulenga'!N56)</f>
        <v>0</v>
      </c>
      <c r="O56" s="15">
        <f t="shared" si="0"/>
        <v>178.42857142857144</v>
      </c>
      <c r="P56" s="15">
        <f t="shared" si="1"/>
        <v>422</v>
      </c>
      <c r="R56" s="8"/>
      <c r="T56"/>
    </row>
    <row r="57" spans="2:20" ht="23.1" customHeight="1" x14ac:dyDescent="0.25">
      <c r="B57" s="23" t="s">
        <v>84</v>
      </c>
      <c r="C57" s="49">
        <f>AVERAGE('22.07 Busega-Bulenga'!C57,'23.07 Busega-Bulenga'!C57,'24.07 Busega-Bulenga'!C57,'25.07 Busega-Bulenga'!C57,'26.07 Busega-Bulenga-24h'!C57,'27.07 Busega-Bulenga-24h'!C57,'28.07 Busega-Bulenga'!C57)</f>
        <v>132.57142857142858</v>
      </c>
      <c r="D57" s="49">
        <f>AVERAGE('22.07 Busega-Bulenga'!D57,'23.07 Busega-Bulenga'!D57,'24.07 Busega-Bulenga'!D57,'25.07 Busega-Bulenga'!D57,'26.07 Busega-Bulenga-24h'!D57,'27.07 Busega-Bulenga-24h'!D57,'28.07 Busega-Bulenga'!D57)</f>
        <v>9.5714285714285712</v>
      </c>
      <c r="E57" s="49">
        <f>AVERAGE('22.07 Busega-Bulenga'!E57,'23.07 Busega-Bulenga'!E57,'24.07 Busega-Bulenga'!E57,'25.07 Busega-Bulenga'!E57,'26.07 Busega-Bulenga-24h'!E57,'27.07 Busega-Bulenga-24h'!E57,'28.07 Busega-Bulenga'!E57)</f>
        <v>6.1428571428571432</v>
      </c>
      <c r="F57" s="49">
        <f>AVERAGE('22.07 Busega-Bulenga'!F57,'23.07 Busega-Bulenga'!F57,'24.07 Busega-Bulenga'!F57,'25.07 Busega-Bulenga'!F57,'26.07 Busega-Bulenga-24h'!F57,'27.07 Busega-Bulenga-24h'!F57,'28.07 Busega-Bulenga'!F57)</f>
        <v>57</v>
      </c>
      <c r="G57" s="49">
        <f>AVERAGE('22.07 Busega-Bulenga'!G57,'23.07 Busega-Bulenga'!G57,'24.07 Busega-Bulenga'!G57,'25.07 Busega-Bulenga'!G57,'26.07 Busega-Bulenga-24h'!G57,'27.07 Busega-Bulenga-24h'!G57,'28.07 Busega-Bulenga'!G57)</f>
        <v>1.2857142857142858</v>
      </c>
      <c r="H57" s="49">
        <f>AVERAGE('22.07 Busega-Bulenga'!H57,'23.07 Busega-Bulenga'!H57,'24.07 Busega-Bulenga'!H57,'25.07 Busega-Bulenga'!H57,'26.07 Busega-Bulenga-24h'!H57,'27.07 Busega-Bulenga-24h'!H57,'28.07 Busega-Bulenga'!H57)</f>
        <v>0.8571428571428571</v>
      </c>
      <c r="I57" s="49">
        <f>AVERAGE('22.07 Busega-Bulenga'!I57,'23.07 Busega-Bulenga'!I57,'24.07 Busega-Bulenga'!I57,'25.07 Busega-Bulenga'!I57,'26.07 Busega-Bulenga-24h'!I57,'27.07 Busega-Bulenga-24h'!I57,'28.07 Busega-Bulenga'!I57)</f>
        <v>9.4285714285714288</v>
      </c>
      <c r="J57" s="49">
        <f>AVERAGE('22.07 Busega-Bulenga'!J57,'23.07 Busega-Bulenga'!J57,'24.07 Busega-Bulenga'!J57,'25.07 Busega-Bulenga'!J57,'26.07 Busega-Bulenga-24h'!J57,'27.07 Busega-Bulenga-24h'!J57,'28.07 Busega-Bulenga'!J57)</f>
        <v>10</v>
      </c>
      <c r="K57" s="49">
        <f>AVERAGE('22.07 Busega-Bulenga'!K57,'23.07 Busega-Bulenga'!K57,'24.07 Busega-Bulenga'!K57,'25.07 Busega-Bulenga'!K57,'26.07 Busega-Bulenga-24h'!K57,'27.07 Busega-Bulenga-24h'!K57,'28.07 Busega-Bulenga'!K57)</f>
        <v>3.2857142857142856</v>
      </c>
      <c r="L57" s="49">
        <f>AVERAGE('22.07 Busega-Bulenga'!L57,'23.07 Busega-Bulenga'!L57,'24.07 Busega-Bulenga'!L57,'25.07 Busega-Bulenga'!L57,'26.07 Busega-Bulenga-24h'!L57,'27.07 Busega-Bulenga-24h'!L57,'28.07 Busega-Bulenga'!L57)</f>
        <v>2.7142857142857144</v>
      </c>
      <c r="M57" s="49">
        <f>AVERAGE('22.07 Busega-Bulenga'!M57,'23.07 Busega-Bulenga'!M57,'24.07 Busega-Bulenga'!M57,'25.07 Busega-Bulenga'!M57,'26.07 Busega-Bulenga-24h'!M57,'27.07 Busega-Bulenga-24h'!M57,'28.07 Busega-Bulenga'!M57)</f>
        <v>338</v>
      </c>
      <c r="N57" s="49">
        <f>AVERAGE('22.07 Busega-Bulenga'!N57,'23.07 Busega-Bulenga'!N57,'24.07 Busega-Bulenga'!N57,'25.07 Busega-Bulenga'!N57,'26.07 Busega-Bulenga-24h'!N57,'27.07 Busega-Bulenga-24h'!N57,'28.07 Busega-Bulenga'!N57)</f>
        <v>0</v>
      </c>
      <c r="O57" s="15">
        <f t="shared" si="0"/>
        <v>232.85714285714286</v>
      </c>
      <c r="P57" s="15">
        <f t="shared" si="1"/>
        <v>570.85714285714289</v>
      </c>
      <c r="R57" s="8"/>
      <c r="T57"/>
    </row>
    <row r="58" spans="2:20" ht="23.1" customHeight="1" x14ac:dyDescent="0.25">
      <c r="B58" s="23" t="s">
        <v>99</v>
      </c>
      <c r="C58" s="49">
        <f>AVERAGE('26.07 Busega-Bulenga-24h'!C58,'27.07 Busega-Bulenga-24h'!C58,)</f>
        <v>53.666666666666664</v>
      </c>
      <c r="D58" s="49">
        <f>AVERAGE('26.07 Busega-Bulenga-24h'!D58,'27.07 Busega-Bulenga-24h'!D58,)</f>
        <v>9.6666666666666661</v>
      </c>
      <c r="E58" s="49">
        <f>AVERAGE('26.07 Busega-Bulenga-24h'!E58,'27.07 Busega-Bulenga-24h'!E58,)</f>
        <v>3.3333333333333335</v>
      </c>
      <c r="F58" s="49">
        <f>AVERAGE('26.07 Busega-Bulenga-24h'!F58,'27.07 Busega-Bulenga-24h'!F58,)</f>
        <v>18.333333333333332</v>
      </c>
      <c r="G58" s="49">
        <f>AVERAGE('26.07 Busega-Bulenga-24h'!G58,'27.07 Busega-Bulenga-24h'!G58,)</f>
        <v>1</v>
      </c>
      <c r="H58" s="49">
        <f>AVERAGE('26.07 Busega-Bulenga-24h'!H58,'27.07 Busega-Bulenga-24h'!H58,)</f>
        <v>1.6666666666666667</v>
      </c>
      <c r="I58" s="49">
        <f>AVERAGE('26.07 Busega-Bulenga-24h'!I58,'27.07 Busega-Bulenga-24h'!I58,)</f>
        <v>3.3333333333333335</v>
      </c>
      <c r="J58" s="49">
        <f>AVERAGE('26.07 Busega-Bulenga-24h'!J58,'27.07 Busega-Bulenga-24h'!J58,)</f>
        <v>1.6666666666666667</v>
      </c>
      <c r="K58" s="49">
        <f>AVERAGE('26.07 Busega-Bulenga-24h'!K58,'27.07 Busega-Bulenga-24h'!K58,)</f>
        <v>1</v>
      </c>
      <c r="L58" s="49">
        <f>AVERAGE('26.07 Busega-Bulenga-24h'!L58,'27.07 Busega-Bulenga-24h'!L58,)</f>
        <v>0.66666666666666663</v>
      </c>
      <c r="M58" s="49">
        <f>AVERAGE('26.07 Busega-Bulenga-24h'!M58,'27.07 Busega-Bulenga-24h'!M58,)</f>
        <v>78.333333333333329</v>
      </c>
      <c r="N58" s="49">
        <f>AVERAGE('26.07 Busega-Bulenga-24h'!N58,'27.07 Busega-Bulenga-24h'!N58,)</f>
        <v>0.33333333333333331</v>
      </c>
      <c r="O58" s="15">
        <f t="shared" si="0"/>
        <v>94.666666666666657</v>
      </c>
      <c r="P58" s="15">
        <f t="shared" si="1"/>
        <v>173</v>
      </c>
      <c r="R58" s="8"/>
      <c r="T58"/>
    </row>
    <row r="59" spans="2:20" ht="23.1" customHeight="1" x14ac:dyDescent="0.25">
      <c r="B59" s="23" t="s">
        <v>100</v>
      </c>
      <c r="C59" s="49">
        <f>AVERAGE('26.07 Busega-Bulenga-24h'!C59,'27.07 Busega-Bulenga-24h'!C59,)</f>
        <v>57</v>
      </c>
      <c r="D59" s="49">
        <f>AVERAGE('26.07 Busega-Bulenga-24h'!D59,'27.07 Busega-Bulenga-24h'!D59,)</f>
        <v>13</v>
      </c>
      <c r="E59" s="49">
        <f>AVERAGE('26.07 Busega-Bulenga-24h'!E59,'27.07 Busega-Bulenga-24h'!E59,)</f>
        <v>7.333333333333333</v>
      </c>
      <c r="F59" s="49">
        <f>AVERAGE('26.07 Busega-Bulenga-24h'!F59,'27.07 Busega-Bulenga-24h'!F59,)</f>
        <v>24</v>
      </c>
      <c r="G59" s="49">
        <f>AVERAGE('26.07 Busega-Bulenga-24h'!G59,'27.07 Busega-Bulenga-24h'!G59,)</f>
        <v>4</v>
      </c>
      <c r="H59" s="49">
        <f>AVERAGE('26.07 Busega-Bulenga-24h'!H59,'27.07 Busega-Bulenga-24h'!H59,)</f>
        <v>1</v>
      </c>
      <c r="I59" s="49">
        <f>AVERAGE('26.07 Busega-Bulenga-24h'!I59,'27.07 Busega-Bulenga-24h'!I59,)</f>
        <v>10.666666666666666</v>
      </c>
      <c r="J59" s="49">
        <f>AVERAGE('26.07 Busega-Bulenga-24h'!J59,'27.07 Busega-Bulenga-24h'!J59,)</f>
        <v>4.666666666666667</v>
      </c>
      <c r="K59" s="49">
        <f>AVERAGE('26.07 Busega-Bulenga-24h'!K59,'27.07 Busega-Bulenga-24h'!K59,)</f>
        <v>2.3333333333333335</v>
      </c>
      <c r="L59" s="49">
        <f>AVERAGE('26.07 Busega-Bulenga-24h'!L59,'27.07 Busega-Bulenga-24h'!L59,)</f>
        <v>1.3333333333333333</v>
      </c>
      <c r="M59" s="49">
        <f>AVERAGE('26.07 Busega-Bulenga-24h'!M59,'27.07 Busega-Bulenga-24h'!M59,)</f>
        <v>95</v>
      </c>
      <c r="N59" s="49">
        <f>AVERAGE('26.07 Busega-Bulenga-24h'!N59,'27.07 Busega-Bulenga-24h'!N59,)</f>
        <v>0</v>
      </c>
      <c r="O59" s="15">
        <f t="shared" si="0"/>
        <v>125.33333333333333</v>
      </c>
      <c r="P59" s="15">
        <f t="shared" si="1"/>
        <v>220.33333333333331</v>
      </c>
      <c r="R59" s="8"/>
      <c r="T59"/>
    </row>
    <row r="60" spans="2:20" ht="23.1" customHeight="1" x14ac:dyDescent="0.25">
      <c r="B60" s="23" t="s">
        <v>101</v>
      </c>
      <c r="C60" s="49">
        <f>AVERAGE('26.07 Busega-Bulenga-24h'!C60,'27.07 Busega-Bulenga-24h'!C60,)</f>
        <v>69.333333333333329</v>
      </c>
      <c r="D60" s="49">
        <f>AVERAGE('26.07 Busega-Bulenga-24h'!D60,'27.07 Busega-Bulenga-24h'!D60,)</f>
        <v>11.666666666666666</v>
      </c>
      <c r="E60" s="49">
        <f>AVERAGE('26.07 Busega-Bulenga-24h'!E60,'27.07 Busega-Bulenga-24h'!E60,)</f>
        <v>7</v>
      </c>
      <c r="F60" s="49">
        <f>AVERAGE('26.07 Busega-Bulenga-24h'!F60,'27.07 Busega-Bulenga-24h'!F60,)</f>
        <v>22</v>
      </c>
      <c r="G60" s="49">
        <f>AVERAGE('26.07 Busega-Bulenga-24h'!G60,'27.07 Busega-Bulenga-24h'!G60,)</f>
        <v>1.3333333333333333</v>
      </c>
      <c r="H60" s="49">
        <f>AVERAGE('26.07 Busega-Bulenga-24h'!H60,'27.07 Busega-Bulenga-24h'!H60,)</f>
        <v>1</v>
      </c>
      <c r="I60" s="49">
        <f>AVERAGE('26.07 Busega-Bulenga-24h'!I60,'27.07 Busega-Bulenga-24h'!I60,)</f>
        <v>7.333333333333333</v>
      </c>
      <c r="J60" s="49">
        <f>AVERAGE('26.07 Busega-Bulenga-24h'!J60,'27.07 Busega-Bulenga-24h'!J60,)</f>
        <v>8.3333333333333339</v>
      </c>
      <c r="K60" s="49">
        <f>AVERAGE('26.07 Busega-Bulenga-24h'!K60,'27.07 Busega-Bulenga-24h'!K60,)</f>
        <v>2.3333333333333335</v>
      </c>
      <c r="L60" s="49">
        <f>AVERAGE('26.07 Busega-Bulenga-24h'!L60,'27.07 Busega-Bulenga-24h'!L60,)</f>
        <v>1.6666666666666667</v>
      </c>
      <c r="M60" s="49">
        <f>AVERAGE('26.07 Busega-Bulenga-24h'!M60,'27.07 Busega-Bulenga-24h'!M60,)</f>
        <v>107.66666666666667</v>
      </c>
      <c r="N60" s="49">
        <f>AVERAGE('26.07 Busega-Bulenga-24h'!N60,'27.07 Busega-Bulenga-24h'!N60,)</f>
        <v>0</v>
      </c>
      <c r="O60" s="15">
        <f t="shared" si="0"/>
        <v>131.99999999999997</v>
      </c>
      <c r="P60" s="15">
        <f t="shared" si="1"/>
        <v>239.66666666666663</v>
      </c>
      <c r="R60" s="8"/>
      <c r="T60"/>
    </row>
    <row r="61" spans="2:20" ht="23.1" customHeight="1" x14ac:dyDescent="0.25">
      <c r="B61" s="23" t="s">
        <v>102</v>
      </c>
      <c r="C61" s="49">
        <f>AVERAGE('26.07 Busega-Bulenga-24h'!C61,'27.07 Busega-Bulenga-24h'!C61,)</f>
        <v>66.666666666666671</v>
      </c>
      <c r="D61" s="49">
        <f>AVERAGE('26.07 Busega-Bulenga-24h'!D61,'27.07 Busega-Bulenga-24h'!D61,)</f>
        <v>5.666666666666667</v>
      </c>
      <c r="E61" s="49">
        <f>AVERAGE('26.07 Busega-Bulenga-24h'!E61,'27.07 Busega-Bulenga-24h'!E61,)</f>
        <v>4</v>
      </c>
      <c r="F61" s="49">
        <f>AVERAGE('26.07 Busega-Bulenga-24h'!F61,'27.07 Busega-Bulenga-24h'!F61,)</f>
        <v>19.666666666666668</v>
      </c>
      <c r="G61" s="49">
        <f>AVERAGE('26.07 Busega-Bulenga-24h'!G61,'27.07 Busega-Bulenga-24h'!G61,)</f>
        <v>0.33333333333333331</v>
      </c>
      <c r="H61" s="49">
        <f>AVERAGE('26.07 Busega-Bulenga-24h'!H61,'27.07 Busega-Bulenga-24h'!H61,)</f>
        <v>0.33333333333333331</v>
      </c>
      <c r="I61" s="49">
        <f>AVERAGE('26.07 Busega-Bulenga-24h'!I61,'27.07 Busega-Bulenga-24h'!I61,)</f>
        <v>2.3333333333333335</v>
      </c>
      <c r="J61" s="49">
        <f>AVERAGE('26.07 Busega-Bulenga-24h'!J61,'27.07 Busega-Bulenga-24h'!J61,)</f>
        <v>3.6666666666666665</v>
      </c>
      <c r="K61" s="49">
        <f>AVERAGE('26.07 Busega-Bulenga-24h'!K61,'27.07 Busega-Bulenga-24h'!K61,)</f>
        <v>1.6666666666666667</v>
      </c>
      <c r="L61" s="49">
        <f>AVERAGE('26.07 Busega-Bulenga-24h'!L61,'27.07 Busega-Bulenga-24h'!L61,)</f>
        <v>0.33333333333333331</v>
      </c>
      <c r="M61" s="49">
        <f>AVERAGE('26.07 Busega-Bulenga-24h'!M61,'27.07 Busega-Bulenga-24h'!M61,)</f>
        <v>119.66666666666667</v>
      </c>
      <c r="N61" s="49">
        <f>AVERAGE('26.07 Busega-Bulenga-24h'!N61,'27.07 Busega-Bulenga-24h'!N61,)</f>
        <v>0</v>
      </c>
      <c r="O61" s="15">
        <f t="shared" si="0"/>
        <v>104.66666666666667</v>
      </c>
      <c r="P61" s="15">
        <f t="shared" si="1"/>
        <v>224.33333333333334</v>
      </c>
      <c r="R61" s="8"/>
      <c r="T61"/>
    </row>
    <row r="62" spans="2:20" ht="23.1" customHeight="1" x14ac:dyDescent="0.25">
      <c r="B62" s="23" t="s">
        <v>107</v>
      </c>
      <c r="C62" s="49">
        <f>AVERAGE('26.07 Busega-Bulenga-24h'!C62,'27.07 Busega-Bulenga-24h'!C62,)</f>
        <v>81</v>
      </c>
      <c r="D62" s="49">
        <f>AVERAGE('26.07 Busega-Bulenga-24h'!D62,'27.07 Busega-Bulenga-24h'!D62,)</f>
        <v>4.666666666666667</v>
      </c>
      <c r="E62" s="49">
        <f>AVERAGE('26.07 Busega-Bulenga-24h'!E62,'27.07 Busega-Bulenga-24h'!E62,)</f>
        <v>6.333333333333333</v>
      </c>
      <c r="F62" s="49">
        <f>AVERAGE('26.07 Busega-Bulenga-24h'!F62,'27.07 Busega-Bulenga-24h'!F62,)</f>
        <v>28</v>
      </c>
      <c r="G62" s="49">
        <f>AVERAGE('26.07 Busega-Bulenga-24h'!G62,'27.07 Busega-Bulenga-24h'!G62,)</f>
        <v>1</v>
      </c>
      <c r="H62" s="49">
        <f>AVERAGE('26.07 Busega-Bulenga-24h'!H62,'27.07 Busega-Bulenga-24h'!H62,)</f>
        <v>0</v>
      </c>
      <c r="I62" s="49">
        <f>AVERAGE('26.07 Busega-Bulenga-24h'!I62,'27.07 Busega-Bulenga-24h'!I62,)</f>
        <v>4</v>
      </c>
      <c r="J62" s="49">
        <f>AVERAGE('26.07 Busega-Bulenga-24h'!J62,'27.07 Busega-Bulenga-24h'!J62,)</f>
        <v>4.333333333333333</v>
      </c>
      <c r="K62" s="49">
        <f>AVERAGE('26.07 Busega-Bulenga-24h'!K62,'27.07 Busega-Bulenga-24h'!K62,)</f>
        <v>1</v>
      </c>
      <c r="L62" s="49">
        <f>AVERAGE('26.07 Busega-Bulenga-24h'!L62,'27.07 Busega-Bulenga-24h'!L62,)</f>
        <v>0.66666666666666663</v>
      </c>
      <c r="M62" s="49">
        <f>AVERAGE('26.07 Busega-Bulenga-24h'!M62,'27.07 Busega-Bulenga-24h'!M62,)</f>
        <v>128.66666666666666</v>
      </c>
      <c r="N62" s="49">
        <f>AVERAGE('26.07 Busega-Bulenga-24h'!N62,'27.07 Busega-Bulenga-24h'!N62,)</f>
        <v>0</v>
      </c>
      <c r="O62" s="15">
        <f t="shared" si="0"/>
        <v>131</v>
      </c>
      <c r="P62" s="15">
        <f t="shared" si="1"/>
        <v>259.66666666666663</v>
      </c>
      <c r="R62" s="8"/>
      <c r="T62"/>
    </row>
    <row r="63" spans="2:20" ht="23.1" customHeight="1" x14ac:dyDescent="0.25">
      <c r="B63" s="23" t="s">
        <v>108</v>
      </c>
      <c r="C63" s="49">
        <f>AVERAGE('26.07 Busega-Bulenga-24h'!C63,'27.07 Busega-Bulenga-24h'!C63,)</f>
        <v>75.333333333333329</v>
      </c>
      <c r="D63" s="49">
        <f>AVERAGE('26.07 Busega-Bulenga-24h'!D63,'27.07 Busega-Bulenga-24h'!D63,)</f>
        <v>7.333333333333333</v>
      </c>
      <c r="E63" s="49">
        <f>AVERAGE('26.07 Busega-Bulenga-24h'!E63,'27.07 Busega-Bulenga-24h'!E63,)</f>
        <v>5.333333333333333</v>
      </c>
      <c r="F63" s="49">
        <f>AVERAGE('26.07 Busega-Bulenga-24h'!F63,'27.07 Busega-Bulenga-24h'!F63,)</f>
        <v>19</v>
      </c>
      <c r="G63" s="49">
        <f>AVERAGE('26.07 Busega-Bulenga-24h'!G63,'27.07 Busega-Bulenga-24h'!G63,)</f>
        <v>1</v>
      </c>
      <c r="H63" s="49">
        <f>AVERAGE('26.07 Busega-Bulenga-24h'!H63,'27.07 Busega-Bulenga-24h'!H63,)</f>
        <v>0.33333333333333331</v>
      </c>
      <c r="I63" s="49">
        <f>AVERAGE('26.07 Busega-Bulenga-24h'!I63,'27.07 Busega-Bulenga-24h'!I63,)</f>
        <v>2.6666666666666665</v>
      </c>
      <c r="J63" s="49">
        <f>AVERAGE('26.07 Busega-Bulenga-24h'!J63,'27.07 Busega-Bulenga-24h'!J63,)</f>
        <v>2.6666666666666665</v>
      </c>
      <c r="K63" s="49">
        <f>AVERAGE('26.07 Busega-Bulenga-24h'!K63,'27.07 Busega-Bulenga-24h'!K63,)</f>
        <v>1</v>
      </c>
      <c r="L63" s="49">
        <f>AVERAGE('26.07 Busega-Bulenga-24h'!L63,'27.07 Busega-Bulenga-24h'!L63,)</f>
        <v>1</v>
      </c>
      <c r="M63" s="49">
        <f>AVERAGE('26.07 Busega-Bulenga-24h'!M63,'27.07 Busega-Bulenga-24h'!M63,)</f>
        <v>96.666666666666671</v>
      </c>
      <c r="N63" s="49">
        <f>AVERAGE('26.07 Busega-Bulenga-24h'!N63,'27.07 Busega-Bulenga-24h'!N63,)</f>
        <v>0</v>
      </c>
      <c r="O63" s="15">
        <f t="shared" si="0"/>
        <v>115.66666666666666</v>
      </c>
      <c r="P63" s="15">
        <f t="shared" si="1"/>
        <v>212.33333333333331</v>
      </c>
      <c r="R63" s="8"/>
      <c r="T63"/>
    </row>
    <row r="64" spans="2:20" ht="23.1" customHeight="1" x14ac:dyDescent="0.25">
      <c r="B64" s="23" t="s">
        <v>109</v>
      </c>
      <c r="C64" s="49">
        <f>AVERAGE('26.07 Busega-Bulenga-24h'!C64,'27.07 Busega-Bulenga-24h'!C64,)</f>
        <v>86.333333333333329</v>
      </c>
      <c r="D64" s="49">
        <f>AVERAGE('26.07 Busega-Bulenga-24h'!D64,'27.07 Busega-Bulenga-24h'!D64,)</f>
        <v>6.333333333333333</v>
      </c>
      <c r="E64" s="49">
        <f>AVERAGE('26.07 Busega-Bulenga-24h'!E64,'27.07 Busega-Bulenga-24h'!E64,)</f>
        <v>4.666666666666667</v>
      </c>
      <c r="F64" s="49">
        <f>AVERAGE('26.07 Busega-Bulenga-24h'!F64,'27.07 Busega-Bulenga-24h'!F64,)</f>
        <v>30.333333333333332</v>
      </c>
      <c r="G64" s="49">
        <f>AVERAGE('26.07 Busega-Bulenga-24h'!G64,'27.07 Busega-Bulenga-24h'!G64,)</f>
        <v>1</v>
      </c>
      <c r="H64" s="49">
        <f>AVERAGE('26.07 Busega-Bulenga-24h'!H64,'27.07 Busega-Bulenga-24h'!H64,)</f>
        <v>0.33333333333333331</v>
      </c>
      <c r="I64" s="49">
        <f>AVERAGE('26.07 Busega-Bulenga-24h'!I64,'27.07 Busega-Bulenga-24h'!I64,)</f>
        <v>4.666666666666667</v>
      </c>
      <c r="J64" s="49">
        <f>AVERAGE('26.07 Busega-Bulenga-24h'!J64,'27.07 Busega-Bulenga-24h'!J64,)</f>
        <v>2.3333333333333335</v>
      </c>
      <c r="K64" s="49">
        <f>AVERAGE('26.07 Busega-Bulenga-24h'!K64,'27.07 Busega-Bulenga-24h'!K64,)</f>
        <v>1.3333333333333333</v>
      </c>
      <c r="L64" s="49">
        <f>AVERAGE('26.07 Busega-Bulenga-24h'!L64,'27.07 Busega-Bulenga-24h'!L64,)</f>
        <v>0.33333333333333331</v>
      </c>
      <c r="M64" s="49">
        <f>AVERAGE('26.07 Busega-Bulenga-24h'!M64,'27.07 Busega-Bulenga-24h'!M64,)</f>
        <v>111.66666666666667</v>
      </c>
      <c r="N64" s="49">
        <f>AVERAGE('26.07 Busega-Bulenga-24h'!N64,'27.07 Busega-Bulenga-24h'!N64,)</f>
        <v>0</v>
      </c>
      <c r="O64" s="15">
        <f t="shared" si="0"/>
        <v>137.66666666666669</v>
      </c>
      <c r="P64" s="15">
        <f t="shared" si="1"/>
        <v>249.33333333333337</v>
      </c>
      <c r="R64" s="8"/>
      <c r="T64"/>
    </row>
    <row r="65" spans="2:20" ht="23.1" customHeight="1" x14ac:dyDescent="0.25">
      <c r="B65" s="23" t="s">
        <v>158</v>
      </c>
      <c r="C65" s="49">
        <f>AVERAGE('26.07 Busega-Bulenga-24h'!C65,'27.07 Busega-Bulenga-24h'!C65,)</f>
        <v>70.333333333333329</v>
      </c>
      <c r="D65" s="49">
        <f>AVERAGE('26.07 Busega-Bulenga-24h'!D65,'27.07 Busega-Bulenga-24h'!D65,)</f>
        <v>5.333333333333333</v>
      </c>
      <c r="E65" s="49">
        <f>AVERAGE('26.07 Busega-Bulenga-24h'!E65,'27.07 Busega-Bulenga-24h'!E65,)</f>
        <v>5</v>
      </c>
      <c r="F65" s="49">
        <f>AVERAGE('26.07 Busega-Bulenga-24h'!F65,'27.07 Busega-Bulenga-24h'!F65,)</f>
        <v>23.333333333333332</v>
      </c>
      <c r="G65" s="49">
        <f>AVERAGE('26.07 Busega-Bulenga-24h'!G65,'27.07 Busega-Bulenga-24h'!G65,)</f>
        <v>0.66666666666666663</v>
      </c>
      <c r="H65" s="49">
        <f>AVERAGE('26.07 Busega-Bulenga-24h'!H65,'27.07 Busega-Bulenga-24h'!H65,)</f>
        <v>0.33333333333333331</v>
      </c>
      <c r="I65" s="49">
        <f>AVERAGE('26.07 Busega-Bulenga-24h'!I65,'27.07 Busega-Bulenga-24h'!I65,)</f>
        <v>4.333333333333333</v>
      </c>
      <c r="J65" s="49">
        <f>AVERAGE('26.07 Busega-Bulenga-24h'!J65,'27.07 Busega-Bulenga-24h'!J65,)</f>
        <v>3</v>
      </c>
      <c r="K65" s="49">
        <f>AVERAGE('26.07 Busega-Bulenga-24h'!K65,'27.07 Busega-Bulenga-24h'!K65,)</f>
        <v>1</v>
      </c>
      <c r="L65" s="49">
        <f>AVERAGE('26.07 Busega-Bulenga-24h'!L65,'27.07 Busega-Bulenga-24h'!L65,)</f>
        <v>1.3333333333333333</v>
      </c>
      <c r="M65" s="49">
        <f>AVERAGE('26.07 Busega-Bulenga-24h'!M65,'27.07 Busega-Bulenga-24h'!M65,)</f>
        <v>128.33333333333334</v>
      </c>
      <c r="N65" s="49">
        <f>AVERAGE('26.07 Busega-Bulenga-24h'!N65,'27.07 Busega-Bulenga-24h'!N65,)</f>
        <v>0</v>
      </c>
      <c r="O65" s="15">
        <f t="shared" si="0"/>
        <v>114.66666666666664</v>
      </c>
      <c r="P65" s="15">
        <f t="shared" si="1"/>
        <v>243</v>
      </c>
      <c r="R65" s="8"/>
      <c r="T65"/>
    </row>
    <row r="66" spans="2:20" ht="23.1" customHeight="1" x14ac:dyDescent="0.25">
      <c r="B66" s="23" t="s">
        <v>103</v>
      </c>
      <c r="C66" s="49">
        <f>AVERAGE('26.07 Busega-Bulenga-24h'!C66,'27.07 Busega-Bulenga-24h'!C66,)</f>
        <v>82</v>
      </c>
      <c r="D66" s="49">
        <f>AVERAGE('26.07 Busega-Bulenga-24h'!D66,'27.07 Busega-Bulenga-24h'!D66,)</f>
        <v>13.666666666666666</v>
      </c>
      <c r="E66" s="49">
        <f>AVERAGE('26.07 Busega-Bulenga-24h'!E66,'27.07 Busega-Bulenga-24h'!E66,)</f>
        <v>6.333333333333333</v>
      </c>
      <c r="F66" s="49">
        <f>AVERAGE('26.07 Busega-Bulenga-24h'!F66,'27.07 Busega-Bulenga-24h'!F66,)</f>
        <v>28.666666666666668</v>
      </c>
      <c r="G66" s="49">
        <f>AVERAGE('26.07 Busega-Bulenga-24h'!G66,'27.07 Busega-Bulenga-24h'!G66,)</f>
        <v>0.66666666666666663</v>
      </c>
      <c r="H66" s="49">
        <f>AVERAGE('26.07 Busega-Bulenga-24h'!H66,'27.07 Busega-Bulenga-24h'!H66,)</f>
        <v>0.33333333333333331</v>
      </c>
      <c r="I66" s="49">
        <f>AVERAGE('26.07 Busega-Bulenga-24h'!I66,'27.07 Busega-Bulenga-24h'!I66,)</f>
        <v>6.666666666666667</v>
      </c>
      <c r="J66" s="49">
        <f>AVERAGE('26.07 Busega-Bulenga-24h'!J66,'27.07 Busega-Bulenga-24h'!J66,)</f>
        <v>4.333333333333333</v>
      </c>
      <c r="K66" s="49">
        <f>AVERAGE('26.07 Busega-Bulenga-24h'!K66,'27.07 Busega-Bulenga-24h'!K66,)</f>
        <v>1.3333333333333333</v>
      </c>
      <c r="L66" s="49">
        <f>AVERAGE('26.07 Busega-Bulenga-24h'!L66,'27.07 Busega-Bulenga-24h'!L66,)</f>
        <v>1.3333333333333333</v>
      </c>
      <c r="M66" s="49">
        <f>AVERAGE('26.07 Busega-Bulenga-24h'!M66,'27.07 Busega-Bulenga-24h'!M66,)</f>
        <v>93.333333333333329</v>
      </c>
      <c r="N66" s="49">
        <f>AVERAGE('26.07 Busega-Bulenga-24h'!N66,'27.07 Busega-Bulenga-24h'!N66,)</f>
        <v>0</v>
      </c>
      <c r="O66" s="15">
        <f t="shared" si="0"/>
        <v>145.33333333333334</v>
      </c>
      <c r="P66" s="15">
        <f t="shared" si="1"/>
        <v>238.66666666666669</v>
      </c>
      <c r="R66" s="8"/>
      <c r="T66"/>
    </row>
    <row r="67" spans="2:20" ht="23.1" customHeight="1" x14ac:dyDescent="0.25">
      <c r="B67" s="23" t="s">
        <v>104</v>
      </c>
      <c r="C67" s="49">
        <f>AVERAGE('26.07 Busega-Bulenga-24h'!C67,'27.07 Busega-Bulenga-24h'!C67,)</f>
        <v>80</v>
      </c>
      <c r="D67" s="49">
        <f>AVERAGE('26.07 Busega-Bulenga-24h'!D67,'27.07 Busega-Bulenga-24h'!D67,)</f>
        <v>10.333333333333334</v>
      </c>
      <c r="E67" s="49">
        <f>AVERAGE('26.07 Busega-Bulenga-24h'!E67,'27.07 Busega-Bulenga-24h'!E67,)</f>
        <v>5.666666666666667</v>
      </c>
      <c r="F67" s="49">
        <f>AVERAGE('26.07 Busega-Bulenga-24h'!F67,'27.07 Busega-Bulenga-24h'!F67,)</f>
        <v>31</v>
      </c>
      <c r="G67" s="49">
        <f>AVERAGE('26.07 Busega-Bulenga-24h'!G67,'27.07 Busega-Bulenga-24h'!G67,)</f>
        <v>0.66666666666666663</v>
      </c>
      <c r="H67" s="49">
        <f>AVERAGE('26.07 Busega-Bulenga-24h'!H67,'27.07 Busega-Bulenga-24h'!H67,)</f>
        <v>0.66666666666666663</v>
      </c>
      <c r="I67" s="49">
        <f>AVERAGE('26.07 Busega-Bulenga-24h'!I67,'27.07 Busega-Bulenga-24h'!I67,)</f>
        <v>6.333333333333333</v>
      </c>
      <c r="J67" s="49">
        <f>AVERAGE('26.07 Busega-Bulenga-24h'!J67,'27.07 Busega-Bulenga-24h'!J67,)</f>
        <v>4</v>
      </c>
      <c r="K67" s="49">
        <f>AVERAGE('26.07 Busega-Bulenga-24h'!K67,'27.07 Busega-Bulenga-24h'!K67,)</f>
        <v>1</v>
      </c>
      <c r="L67" s="49">
        <f>AVERAGE('26.07 Busega-Bulenga-24h'!L67,'27.07 Busega-Bulenga-24h'!L67,)</f>
        <v>0.66666666666666663</v>
      </c>
      <c r="M67" s="49">
        <f>AVERAGE('26.07 Busega-Bulenga-24h'!M67,'27.07 Busega-Bulenga-24h'!M67,)</f>
        <v>105</v>
      </c>
      <c r="N67" s="49">
        <f>AVERAGE('26.07 Busega-Bulenga-24h'!N67,'27.07 Busega-Bulenga-24h'!N67,)</f>
        <v>0</v>
      </c>
      <c r="O67" s="15">
        <f t="shared" si="0"/>
        <v>140.33333333333334</v>
      </c>
      <c r="P67" s="15">
        <f t="shared" si="1"/>
        <v>245.33333333333334</v>
      </c>
      <c r="R67" s="8"/>
      <c r="T67"/>
    </row>
    <row r="68" spans="2:20" ht="23.1" customHeight="1" x14ac:dyDescent="0.25">
      <c r="B68" s="23" t="s">
        <v>105</v>
      </c>
      <c r="C68" s="49">
        <f>AVERAGE('26.07 Busega-Bulenga-24h'!C68,'27.07 Busega-Bulenga-24h'!C68,)</f>
        <v>77</v>
      </c>
      <c r="D68" s="49">
        <f>AVERAGE('26.07 Busega-Bulenga-24h'!D68,'27.07 Busega-Bulenga-24h'!D68,)</f>
        <v>8</v>
      </c>
      <c r="E68" s="49">
        <f>AVERAGE('26.07 Busega-Bulenga-24h'!E68,'27.07 Busega-Bulenga-24h'!E68,)</f>
        <v>6</v>
      </c>
      <c r="F68" s="49">
        <f>AVERAGE('26.07 Busega-Bulenga-24h'!F68,'27.07 Busega-Bulenga-24h'!F68,)</f>
        <v>31.333333333333332</v>
      </c>
      <c r="G68" s="49">
        <f>AVERAGE('26.07 Busega-Bulenga-24h'!G68,'27.07 Busega-Bulenga-24h'!G68,)</f>
        <v>0.33333333333333331</v>
      </c>
      <c r="H68" s="49">
        <f>AVERAGE('26.07 Busega-Bulenga-24h'!H68,'27.07 Busega-Bulenga-24h'!H68,)</f>
        <v>0</v>
      </c>
      <c r="I68" s="49">
        <f>AVERAGE('26.07 Busega-Bulenga-24h'!I68,'27.07 Busega-Bulenga-24h'!I68,)</f>
        <v>3</v>
      </c>
      <c r="J68" s="49">
        <f>AVERAGE('26.07 Busega-Bulenga-24h'!J68,'27.07 Busega-Bulenga-24h'!J68,)</f>
        <v>4.333333333333333</v>
      </c>
      <c r="K68" s="49">
        <f>AVERAGE('26.07 Busega-Bulenga-24h'!K68,'27.07 Busega-Bulenga-24h'!K68,)</f>
        <v>0.33333333333333331</v>
      </c>
      <c r="L68" s="49">
        <f>AVERAGE('26.07 Busega-Bulenga-24h'!L68,'27.07 Busega-Bulenga-24h'!L68,)</f>
        <v>0.66666666666666663</v>
      </c>
      <c r="M68" s="49">
        <f>AVERAGE('26.07 Busega-Bulenga-24h'!M68,'27.07 Busega-Bulenga-24h'!M68,)</f>
        <v>85.666666666666671</v>
      </c>
      <c r="N68" s="49">
        <f>AVERAGE('26.07 Busega-Bulenga-24h'!N68,'27.07 Busega-Bulenga-24h'!N68,)</f>
        <v>0</v>
      </c>
      <c r="O68" s="15">
        <f t="shared" si="0"/>
        <v>131</v>
      </c>
      <c r="P68" s="15">
        <f t="shared" si="1"/>
        <v>216.66666666666669</v>
      </c>
      <c r="R68" s="8"/>
      <c r="T68"/>
    </row>
    <row r="69" spans="2:20" ht="23.1" customHeight="1" x14ac:dyDescent="0.25">
      <c r="B69" s="23" t="s">
        <v>106</v>
      </c>
      <c r="C69" s="49">
        <f>AVERAGE('26.07 Busega-Bulenga-24h'!C69,'27.07 Busega-Bulenga-24h'!C69,)</f>
        <v>76.333333333333329</v>
      </c>
      <c r="D69" s="49">
        <f>AVERAGE('26.07 Busega-Bulenga-24h'!D69,'27.07 Busega-Bulenga-24h'!D69,)</f>
        <v>8.3333333333333339</v>
      </c>
      <c r="E69" s="49">
        <f>AVERAGE('26.07 Busega-Bulenga-24h'!E69,'27.07 Busega-Bulenga-24h'!E69,)</f>
        <v>4.666666666666667</v>
      </c>
      <c r="F69" s="49">
        <f>AVERAGE('26.07 Busega-Bulenga-24h'!F69,'27.07 Busega-Bulenga-24h'!F69,)</f>
        <v>26.666666666666668</v>
      </c>
      <c r="G69" s="49">
        <f>AVERAGE('26.07 Busega-Bulenga-24h'!G69,'27.07 Busega-Bulenga-24h'!G69,)</f>
        <v>0</v>
      </c>
      <c r="H69" s="49">
        <f>AVERAGE('26.07 Busega-Bulenga-24h'!H69,'27.07 Busega-Bulenga-24h'!H69,)</f>
        <v>0.33333333333333331</v>
      </c>
      <c r="I69" s="49">
        <f>AVERAGE('26.07 Busega-Bulenga-24h'!I69,'27.07 Busega-Bulenga-24h'!I69,)</f>
        <v>1.6666666666666667</v>
      </c>
      <c r="J69" s="49">
        <f>AVERAGE('26.07 Busega-Bulenga-24h'!J69,'27.07 Busega-Bulenga-24h'!J69,)</f>
        <v>3.3333333333333335</v>
      </c>
      <c r="K69" s="49">
        <f>AVERAGE('26.07 Busega-Bulenga-24h'!K69,'27.07 Busega-Bulenga-24h'!K69,)</f>
        <v>0.66666666666666663</v>
      </c>
      <c r="L69" s="49">
        <f>AVERAGE('26.07 Busega-Bulenga-24h'!L69,'27.07 Busega-Bulenga-24h'!L69,)</f>
        <v>0.66666666666666663</v>
      </c>
      <c r="M69" s="49">
        <f>AVERAGE('26.07 Busega-Bulenga-24h'!M69,'27.07 Busega-Bulenga-24h'!M69,)</f>
        <v>113</v>
      </c>
      <c r="N69" s="49">
        <f>AVERAGE('26.07 Busega-Bulenga-24h'!N69,'27.07 Busega-Bulenga-24h'!N69,)</f>
        <v>0</v>
      </c>
      <c r="O69" s="15">
        <f t="shared" si="0"/>
        <v>122.66666666666667</v>
      </c>
      <c r="P69" s="15">
        <f t="shared" si="1"/>
        <v>235.66666666666669</v>
      </c>
      <c r="R69" s="8"/>
      <c r="T69"/>
    </row>
    <row r="70" spans="2:20" ht="23.1" customHeight="1" x14ac:dyDescent="0.25">
      <c r="B70" s="23" t="s">
        <v>110</v>
      </c>
      <c r="C70" s="49">
        <f>AVERAGE('26.07 Busega-Bulenga-24h'!C70,'27.07 Busega-Bulenga-24h'!C70,)</f>
        <v>67.333333333333329</v>
      </c>
      <c r="D70" s="49">
        <f>AVERAGE('26.07 Busega-Bulenga-24h'!D70,'27.07 Busega-Bulenga-24h'!D70,)</f>
        <v>7</v>
      </c>
      <c r="E70" s="49">
        <f>AVERAGE('26.07 Busega-Bulenga-24h'!E70,'27.07 Busega-Bulenga-24h'!E70,)</f>
        <v>4.333333333333333</v>
      </c>
      <c r="F70" s="49">
        <f>AVERAGE('26.07 Busega-Bulenga-24h'!F70,'27.07 Busega-Bulenga-24h'!F70,)</f>
        <v>23.333333333333332</v>
      </c>
      <c r="G70" s="49">
        <f>AVERAGE('26.07 Busega-Bulenga-24h'!G70,'27.07 Busega-Bulenga-24h'!G70,)</f>
        <v>0.33333333333333331</v>
      </c>
      <c r="H70" s="49">
        <f>AVERAGE('26.07 Busega-Bulenga-24h'!H70,'27.07 Busega-Bulenga-24h'!H70,)</f>
        <v>0.66666666666666663</v>
      </c>
      <c r="I70" s="49">
        <f>AVERAGE('26.07 Busega-Bulenga-24h'!I70,'27.07 Busega-Bulenga-24h'!I70,)</f>
        <v>4</v>
      </c>
      <c r="J70" s="49">
        <f>AVERAGE('26.07 Busega-Bulenga-24h'!J70,'27.07 Busega-Bulenga-24h'!J70,)</f>
        <v>3.6666666666666665</v>
      </c>
      <c r="K70" s="49">
        <f>AVERAGE('26.07 Busega-Bulenga-24h'!K70,'27.07 Busega-Bulenga-24h'!K70,)</f>
        <v>1</v>
      </c>
      <c r="L70" s="49">
        <f>AVERAGE('26.07 Busega-Bulenga-24h'!L70,'27.07 Busega-Bulenga-24h'!L70,)</f>
        <v>0.66666666666666663</v>
      </c>
      <c r="M70" s="49">
        <f>AVERAGE('26.07 Busega-Bulenga-24h'!M70,'27.07 Busega-Bulenga-24h'!M70,)</f>
        <v>86.666666666666671</v>
      </c>
      <c r="N70" s="49">
        <f>AVERAGE('26.07 Busega-Bulenga-24h'!N70,'27.07 Busega-Bulenga-24h'!N70,)</f>
        <v>0</v>
      </c>
      <c r="O70" s="15">
        <f t="shared" si="0"/>
        <v>112.33333333333333</v>
      </c>
      <c r="P70" s="15">
        <f t="shared" si="1"/>
        <v>199</v>
      </c>
      <c r="R70" s="8"/>
      <c r="T70"/>
    </row>
    <row r="71" spans="2:20" ht="23.1" customHeight="1" x14ac:dyDescent="0.25">
      <c r="B71" s="23" t="s">
        <v>111</v>
      </c>
      <c r="C71" s="49">
        <f>AVERAGE('26.07 Busega-Bulenga-24h'!C71,'27.07 Busega-Bulenga-24h'!C71,)</f>
        <v>59</v>
      </c>
      <c r="D71" s="49">
        <f>AVERAGE('26.07 Busega-Bulenga-24h'!D71,'27.07 Busega-Bulenga-24h'!D71,)</f>
        <v>7.666666666666667</v>
      </c>
      <c r="E71" s="49">
        <f>AVERAGE('26.07 Busega-Bulenga-24h'!E71,'27.07 Busega-Bulenga-24h'!E71,)</f>
        <v>4.666666666666667</v>
      </c>
      <c r="F71" s="49">
        <f>AVERAGE('26.07 Busega-Bulenga-24h'!F71,'27.07 Busega-Bulenga-24h'!F71,)</f>
        <v>24.333333333333332</v>
      </c>
      <c r="G71" s="49">
        <f>AVERAGE('26.07 Busega-Bulenga-24h'!G71,'27.07 Busega-Bulenga-24h'!G71,)</f>
        <v>0.66666666666666663</v>
      </c>
      <c r="H71" s="49">
        <f>AVERAGE('26.07 Busega-Bulenga-24h'!H71,'27.07 Busega-Bulenga-24h'!H71,)</f>
        <v>0</v>
      </c>
      <c r="I71" s="49">
        <f>AVERAGE('26.07 Busega-Bulenga-24h'!I71,'27.07 Busega-Bulenga-24h'!I71,)</f>
        <v>3.3333333333333335</v>
      </c>
      <c r="J71" s="49">
        <f>AVERAGE('26.07 Busega-Bulenga-24h'!J71,'27.07 Busega-Bulenga-24h'!J71,)</f>
        <v>10.666666666666666</v>
      </c>
      <c r="K71" s="49">
        <f>AVERAGE('26.07 Busega-Bulenga-24h'!K71,'27.07 Busega-Bulenga-24h'!K71,)</f>
        <v>0</v>
      </c>
      <c r="L71" s="49">
        <f>AVERAGE('26.07 Busega-Bulenga-24h'!L71,'27.07 Busega-Bulenga-24h'!L71,)</f>
        <v>1.3333333333333333</v>
      </c>
      <c r="M71" s="49">
        <f>AVERAGE('26.07 Busega-Bulenga-24h'!M71,'27.07 Busega-Bulenga-24h'!M71,)</f>
        <v>94</v>
      </c>
      <c r="N71" s="49">
        <f>AVERAGE('26.07 Busega-Bulenga-24h'!N71,'27.07 Busega-Bulenga-24h'!N71,)</f>
        <v>0</v>
      </c>
      <c r="O71" s="15">
        <f t="shared" si="0"/>
        <v>111.66666666666667</v>
      </c>
      <c r="P71" s="15">
        <f t="shared" si="1"/>
        <v>205.66666666666669</v>
      </c>
      <c r="R71" s="8"/>
      <c r="T71"/>
    </row>
    <row r="72" spans="2:20" ht="23.1" customHeight="1" x14ac:dyDescent="0.25">
      <c r="B72" s="23" t="s">
        <v>112</v>
      </c>
      <c r="C72" s="49">
        <f>AVERAGE('26.07 Busega-Bulenga-24h'!C72,'27.07 Busega-Bulenga-24h'!C72,)</f>
        <v>73.666666666666671</v>
      </c>
      <c r="D72" s="49">
        <f>AVERAGE('26.07 Busega-Bulenga-24h'!D72,'27.07 Busega-Bulenga-24h'!D72,)</f>
        <v>6.333333333333333</v>
      </c>
      <c r="E72" s="49">
        <f>AVERAGE('26.07 Busega-Bulenga-24h'!E72,'27.07 Busega-Bulenga-24h'!E72,)</f>
        <v>3</v>
      </c>
      <c r="F72" s="49">
        <f>AVERAGE('26.07 Busega-Bulenga-24h'!F72,'27.07 Busega-Bulenga-24h'!F72,)</f>
        <v>15</v>
      </c>
      <c r="G72" s="49">
        <f>AVERAGE('26.07 Busega-Bulenga-24h'!G72,'27.07 Busega-Bulenga-24h'!G72,)</f>
        <v>0.33333333333333331</v>
      </c>
      <c r="H72" s="49">
        <f>AVERAGE('26.07 Busega-Bulenga-24h'!H72,'27.07 Busega-Bulenga-24h'!H72,)</f>
        <v>0</v>
      </c>
      <c r="I72" s="49">
        <f>AVERAGE('26.07 Busega-Bulenga-24h'!I72,'27.07 Busega-Bulenga-24h'!I72,)</f>
        <v>4</v>
      </c>
      <c r="J72" s="49">
        <f>AVERAGE('26.07 Busega-Bulenga-24h'!J72,'27.07 Busega-Bulenga-24h'!J72,)</f>
        <v>0.33333333333333331</v>
      </c>
      <c r="K72" s="49">
        <f>AVERAGE('26.07 Busega-Bulenga-24h'!K72,'27.07 Busega-Bulenga-24h'!K72,)</f>
        <v>0</v>
      </c>
      <c r="L72" s="49">
        <f>AVERAGE('26.07 Busega-Bulenga-24h'!L72,'27.07 Busega-Bulenga-24h'!L72,)</f>
        <v>0.66666666666666663</v>
      </c>
      <c r="M72" s="49">
        <f>AVERAGE('26.07 Busega-Bulenga-24h'!M72,'27.07 Busega-Bulenga-24h'!M72,)</f>
        <v>93</v>
      </c>
      <c r="N72" s="49">
        <f>AVERAGE('26.07 Busega-Bulenga-24h'!N72,'27.07 Busega-Bulenga-24h'!N72,)</f>
        <v>0</v>
      </c>
      <c r="O72" s="15">
        <f t="shared" si="0"/>
        <v>103.33333333333333</v>
      </c>
      <c r="P72" s="15">
        <f t="shared" si="1"/>
        <v>196.33333333333331</v>
      </c>
      <c r="R72" s="8"/>
      <c r="T72"/>
    </row>
    <row r="73" spans="2:20" ht="23.1" customHeight="1" x14ac:dyDescent="0.25">
      <c r="B73" s="23" t="s">
        <v>113</v>
      </c>
      <c r="C73" s="49">
        <f>AVERAGE('26.07 Busega-Bulenga-24h'!C73,'27.07 Busega-Bulenga-24h'!C73,)</f>
        <v>50.333333333333336</v>
      </c>
      <c r="D73" s="49">
        <f>AVERAGE('26.07 Busega-Bulenga-24h'!D73,'27.07 Busega-Bulenga-24h'!D73,)</f>
        <v>6</v>
      </c>
      <c r="E73" s="49">
        <f>AVERAGE('26.07 Busega-Bulenga-24h'!E73,'27.07 Busega-Bulenga-24h'!E73,)</f>
        <v>4</v>
      </c>
      <c r="F73" s="49">
        <f>AVERAGE('26.07 Busega-Bulenga-24h'!F73,'27.07 Busega-Bulenga-24h'!F73,)</f>
        <v>18.333333333333332</v>
      </c>
      <c r="G73" s="49">
        <f>AVERAGE('26.07 Busega-Bulenga-24h'!G73,'27.07 Busega-Bulenga-24h'!G73,)</f>
        <v>0</v>
      </c>
      <c r="H73" s="49">
        <f>AVERAGE('26.07 Busega-Bulenga-24h'!H73,'27.07 Busega-Bulenga-24h'!H73,)</f>
        <v>0</v>
      </c>
      <c r="I73" s="49">
        <f>AVERAGE('26.07 Busega-Bulenga-24h'!I73,'27.07 Busega-Bulenga-24h'!I73,)</f>
        <v>5</v>
      </c>
      <c r="J73" s="49">
        <f>AVERAGE('26.07 Busega-Bulenga-24h'!J73,'27.07 Busega-Bulenga-24h'!J73,)</f>
        <v>3.3333333333333335</v>
      </c>
      <c r="K73" s="49">
        <f>AVERAGE('26.07 Busega-Bulenga-24h'!K73,'27.07 Busega-Bulenga-24h'!K73,)</f>
        <v>1</v>
      </c>
      <c r="L73" s="49">
        <f>AVERAGE('26.07 Busega-Bulenga-24h'!L73,'27.07 Busega-Bulenga-24h'!L73,)</f>
        <v>0.66666666666666663</v>
      </c>
      <c r="M73" s="49">
        <f>AVERAGE('26.07 Busega-Bulenga-24h'!M73,'27.07 Busega-Bulenga-24h'!M73,)</f>
        <v>59.333333333333336</v>
      </c>
      <c r="N73" s="49">
        <f>AVERAGE('26.07 Busega-Bulenga-24h'!N73,'27.07 Busega-Bulenga-24h'!N73,)</f>
        <v>0</v>
      </c>
      <c r="O73" s="15">
        <f t="shared" si="0"/>
        <v>88.666666666666671</v>
      </c>
      <c r="P73" s="15">
        <f t="shared" si="1"/>
        <v>148</v>
      </c>
      <c r="R73" s="8"/>
      <c r="T73"/>
    </row>
    <row r="74" spans="2:20" ht="23.1" customHeight="1" x14ac:dyDescent="0.25">
      <c r="B74" s="23" t="s">
        <v>114</v>
      </c>
      <c r="C74" s="49">
        <f>AVERAGE('26.07 Busega-Bulenga-24h'!C74,'27.07 Busega-Bulenga-24h'!C74,)</f>
        <v>58.666666666666664</v>
      </c>
      <c r="D74" s="49">
        <f>AVERAGE('26.07 Busega-Bulenga-24h'!D74,'27.07 Busega-Bulenga-24h'!D74,)</f>
        <v>10</v>
      </c>
      <c r="E74" s="49">
        <f>AVERAGE('26.07 Busega-Bulenga-24h'!E74,'27.07 Busega-Bulenga-24h'!E74,)</f>
        <v>4.666666666666667</v>
      </c>
      <c r="F74" s="49">
        <f>AVERAGE('26.07 Busega-Bulenga-24h'!F74,'27.07 Busega-Bulenga-24h'!F74,)</f>
        <v>16</v>
      </c>
      <c r="G74" s="49">
        <f>AVERAGE('26.07 Busega-Bulenga-24h'!G74,'27.07 Busega-Bulenga-24h'!G74,)</f>
        <v>0.33333333333333331</v>
      </c>
      <c r="H74" s="49">
        <f>AVERAGE('26.07 Busega-Bulenga-24h'!H74,'27.07 Busega-Bulenga-24h'!H74,)</f>
        <v>0</v>
      </c>
      <c r="I74" s="49">
        <f>AVERAGE('26.07 Busega-Bulenga-24h'!I74,'27.07 Busega-Bulenga-24h'!I74,)</f>
        <v>2.3333333333333335</v>
      </c>
      <c r="J74" s="49">
        <f>AVERAGE('26.07 Busega-Bulenga-24h'!J74,'27.07 Busega-Bulenga-24h'!J74,)</f>
        <v>1.3333333333333333</v>
      </c>
      <c r="K74" s="49">
        <f>AVERAGE('26.07 Busega-Bulenga-24h'!K74,'27.07 Busega-Bulenga-24h'!K74,)</f>
        <v>0.66666666666666663</v>
      </c>
      <c r="L74" s="49">
        <f>AVERAGE('26.07 Busega-Bulenga-24h'!L74,'27.07 Busega-Bulenga-24h'!L74,)</f>
        <v>1</v>
      </c>
      <c r="M74" s="49">
        <f>AVERAGE('26.07 Busega-Bulenga-24h'!M74,'27.07 Busega-Bulenga-24h'!M74,)</f>
        <v>67.666666666666671</v>
      </c>
      <c r="N74" s="49">
        <f>AVERAGE('26.07 Busega-Bulenga-24h'!N74,'27.07 Busega-Bulenga-24h'!N74,)</f>
        <v>0</v>
      </c>
      <c r="O74" s="15">
        <f t="shared" ref="O74:O105" si="35">SUM(C74:L74,N74)</f>
        <v>94.999999999999986</v>
      </c>
      <c r="P74" s="15">
        <f t="shared" ref="P74:P105" si="36">SUM(C74:N74)</f>
        <v>162.66666666666666</v>
      </c>
      <c r="R74" s="8"/>
      <c r="T74"/>
    </row>
    <row r="75" spans="2:20" ht="23.1" customHeight="1" x14ac:dyDescent="0.25">
      <c r="B75" s="23" t="s">
        <v>115</v>
      </c>
      <c r="C75" s="49">
        <f>AVERAGE('26.07 Busega-Bulenga-24h'!C75,'27.07 Busega-Bulenga-24h'!C75,)</f>
        <v>49.333333333333336</v>
      </c>
      <c r="D75" s="49">
        <f>AVERAGE('26.07 Busega-Bulenga-24h'!D75,'27.07 Busega-Bulenga-24h'!D75,)</f>
        <v>8</v>
      </c>
      <c r="E75" s="49">
        <f>AVERAGE('26.07 Busega-Bulenga-24h'!E75,'27.07 Busega-Bulenga-24h'!E75,)</f>
        <v>3</v>
      </c>
      <c r="F75" s="49">
        <f>AVERAGE('26.07 Busega-Bulenga-24h'!F75,'27.07 Busega-Bulenga-24h'!F75,)</f>
        <v>11</v>
      </c>
      <c r="G75" s="49">
        <f>AVERAGE('26.07 Busega-Bulenga-24h'!G75,'27.07 Busega-Bulenga-24h'!G75,)</f>
        <v>0.33333333333333331</v>
      </c>
      <c r="H75" s="49">
        <f>AVERAGE('26.07 Busega-Bulenga-24h'!H75,'27.07 Busega-Bulenga-24h'!H75,)</f>
        <v>0</v>
      </c>
      <c r="I75" s="49">
        <f>AVERAGE('26.07 Busega-Bulenga-24h'!I75,'27.07 Busega-Bulenga-24h'!I75,)</f>
        <v>3</v>
      </c>
      <c r="J75" s="49">
        <f>AVERAGE('26.07 Busega-Bulenga-24h'!J75,'27.07 Busega-Bulenga-24h'!J75,)</f>
        <v>2</v>
      </c>
      <c r="K75" s="49">
        <f>AVERAGE('26.07 Busega-Bulenga-24h'!K75,'27.07 Busega-Bulenga-24h'!K75,)</f>
        <v>0.66666666666666663</v>
      </c>
      <c r="L75" s="49">
        <f>AVERAGE('26.07 Busega-Bulenga-24h'!L75,'27.07 Busega-Bulenga-24h'!L75,)</f>
        <v>0.66666666666666663</v>
      </c>
      <c r="M75" s="49">
        <f>AVERAGE('26.07 Busega-Bulenga-24h'!M75,'27.07 Busega-Bulenga-24h'!M75,)</f>
        <v>67</v>
      </c>
      <c r="N75" s="49">
        <f>AVERAGE('26.07 Busega-Bulenga-24h'!N75,'27.07 Busega-Bulenga-24h'!N75,)</f>
        <v>0</v>
      </c>
      <c r="O75" s="15">
        <f t="shared" si="35"/>
        <v>78.000000000000014</v>
      </c>
      <c r="P75" s="15">
        <f t="shared" si="36"/>
        <v>145</v>
      </c>
      <c r="R75" s="8"/>
      <c r="T75"/>
    </row>
    <row r="76" spans="2:20" ht="23.1" customHeight="1" x14ac:dyDescent="0.25">
      <c r="B76" s="23" t="s">
        <v>116</v>
      </c>
      <c r="C76" s="49">
        <f>AVERAGE('26.07 Busega-Bulenga-24h'!C76,'27.07 Busega-Bulenga-24h'!C76,)</f>
        <v>40.333333333333336</v>
      </c>
      <c r="D76" s="49">
        <f>AVERAGE('26.07 Busega-Bulenga-24h'!D76,'27.07 Busega-Bulenga-24h'!D76,)</f>
        <v>5.333333333333333</v>
      </c>
      <c r="E76" s="49">
        <f>AVERAGE('26.07 Busega-Bulenga-24h'!E76,'27.07 Busega-Bulenga-24h'!E76,)</f>
        <v>1.6666666666666667</v>
      </c>
      <c r="F76" s="49">
        <f>AVERAGE('26.07 Busega-Bulenga-24h'!F76,'27.07 Busega-Bulenga-24h'!F76,)</f>
        <v>9</v>
      </c>
      <c r="G76" s="49">
        <f>AVERAGE('26.07 Busega-Bulenga-24h'!G76,'27.07 Busega-Bulenga-24h'!G76,)</f>
        <v>0.66666666666666663</v>
      </c>
      <c r="H76" s="49">
        <f>AVERAGE('26.07 Busega-Bulenga-24h'!H76,'27.07 Busega-Bulenga-24h'!H76,)</f>
        <v>0.33333333333333331</v>
      </c>
      <c r="I76" s="49">
        <f>AVERAGE('26.07 Busega-Bulenga-24h'!I76,'27.07 Busega-Bulenga-24h'!I76,)</f>
        <v>26</v>
      </c>
      <c r="J76" s="49">
        <f>AVERAGE('26.07 Busega-Bulenga-24h'!J76,'27.07 Busega-Bulenga-24h'!J76,)</f>
        <v>5</v>
      </c>
      <c r="K76" s="49">
        <f>AVERAGE('26.07 Busega-Bulenga-24h'!K76,'27.07 Busega-Bulenga-24h'!K76,)</f>
        <v>0</v>
      </c>
      <c r="L76" s="49">
        <f>AVERAGE('26.07 Busega-Bulenga-24h'!L76,'27.07 Busega-Bulenga-24h'!L76,)</f>
        <v>0.33333333333333331</v>
      </c>
      <c r="M76" s="49">
        <f>AVERAGE('26.07 Busega-Bulenga-24h'!M76,'27.07 Busega-Bulenga-24h'!M76,)</f>
        <v>58.333333333333336</v>
      </c>
      <c r="N76" s="49">
        <f>AVERAGE('26.07 Busega-Bulenga-24h'!N76,'27.07 Busega-Bulenga-24h'!N76,)</f>
        <v>0</v>
      </c>
      <c r="O76" s="15">
        <f t="shared" si="35"/>
        <v>88.666666666666671</v>
      </c>
      <c r="P76" s="15">
        <f t="shared" si="36"/>
        <v>147</v>
      </c>
      <c r="R76" s="8"/>
      <c r="T76"/>
    </row>
    <row r="77" spans="2:20" ht="23.1" customHeight="1" x14ac:dyDescent="0.25">
      <c r="B77" s="23" t="s">
        <v>117</v>
      </c>
      <c r="C77" s="49">
        <f>AVERAGE('26.07 Busega-Bulenga-24h'!C77,'27.07 Busega-Bulenga-24h'!C77,)</f>
        <v>24</v>
      </c>
      <c r="D77" s="49">
        <f>AVERAGE('26.07 Busega-Bulenga-24h'!D77,'27.07 Busega-Bulenga-24h'!D77,)</f>
        <v>3.6666666666666665</v>
      </c>
      <c r="E77" s="49">
        <f>AVERAGE('26.07 Busega-Bulenga-24h'!E77,'27.07 Busega-Bulenga-24h'!E77,)</f>
        <v>3.3333333333333335</v>
      </c>
      <c r="F77" s="49">
        <f>AVERAGE('26.07 Busega-Bulenga-24h'!F77,'27.07 Busega-Bulenga-24h'!F77,)</f>
        <v>7</v>
      </c>
      <c r="G77" s="49">
        <f>AVERAGE('26.07 Busega-Bulenga-24h'!G77,'27.07 Busega-Bulenga-24h'!G77,)</f>
        <v>0</v>
      </c>
      <c r="H77" s="49">
        <f>AVERAGE('26.07 Busega-Bulenga-24h'!H77,'27.07 Busega-Bulenga-24h'!H77,)</f>
        <v>0</v>
      </c>
      <c r="I77" s="49">
        <f>AVERAGE('26.07 Busega-Bulenga-24h'!I77,'27.07 Busega-Bulenga-24h'!I77,)</f>
        <v>3.3333333333333335</v>
      </c>
      <c r="J77" s="49">
        <f>AVERAGE('26.07 Busega-Bulenga-24h'!J77,'27.07 Busega-Bulenga-24h'!J77,)</f>
        <v>2.3333333333333335</v>
      </c>
      <c r="K77" s="49">
        <f>AVERAGE('26.07 Busega-Bulenga-24h'!K77,'27.07 Busega-Bulenga-24h'!K77,)</f>
        <v>0</v>
      </c>
      <c r="L77" s="49">
        <f>AVERAGE('26.07 Busega-Bulenga-24h'!L77,'27.07 Busega-Bulenga-24h'!L77,)</f>
        <v>0.33333333333333331</v>
      </c>
      <c r="M77" s="49">
        <f>AVERAGE('26.07 Busega-Bulenga-24h'!M77,'27.07 Busega-Bulenga-24h'!M77,)</f>
        <v>45.666666666666664</v>
      </c>
      <c r="N77" s="49">
        <f>AVERAGE('26.07 Busega-Bulenga-24h'!N77,'27.07 Busega-Bulenga-24h'!N77,)</f>
        <v>0</v>
      </c>
      <c r="O77" s="15">
        <f t="shared" si="35"/>
        <v>44.000000000000007</v>
      </c>
      <c r="P77" s="15">
        <f t="shared" si="36"/>
        <v>89.666666666666671</v>
      </c>
      <c r="R77" s="8"/>
      <c r="T77"/>
    </row>
    <row r="78" spans="2:20" ht="23.1" customHeight="1" x14ac:dyDescent="0.25">
      <c r="B78" s="24" t="s">
        <v>118</v>
      </c>
      <c r="C78" s="49">
        <f>AVERAGE('26.07 Busega-Bulenga-24h'!C78,'27.07 Busega-Bulenga-24h'!C78,)</f>
        <v>38.666666666666664</v>
      </c>
      <c r="D78" s="49">
        <f>AVERAGE('26.07 Busega-Bulenga-24h'!D78,'27.07 Busega-Bulenga-24h'!D78,)</f>
        <v>6.333333333333333</v>
      </c>
      <c r="E78" s="49">
        <f>AVERAGE('26.07 Busega-Bulenga-24h'!E78,'27.07 Busega-Bulenga-24h'!E78,)</f>
        <v>1.6666666666666667</v>
      </c>
      <c r="F78" s="49">
        <f>AVERAGE('26.07 Busega-Bulenga-24h'!F78,'27.07 Busega-Bulenga-24h'!F78,)</f>
        <v>6</v>
      </c>
      <c r="G78" s="49">
        <f>AVERAGE('26.07 Busega-Bulenga-24h'!G78,'27.07 Busega-Bulenga-24h'!G78,)</f>
        <v>0.66666666666666663</v>
      </c>
      <c r="H78" s="49">
        <f>AVERAGE('26.07 Busega-Bulenga-24h'!H78,'27.07 Busega-Bulenga-24h'!H78,)</f>
        <v>0</v>
      </c>
      <c r="I78" s="49">
        <f>AVERAGE('26.07 Busega-Bulenga-24h'!I78,'27.07 Busega-Bulenga-24h'!I78,)</f>
        <v>2.6666666666666665</v>
      </c>
      <c r="J78" s="49">
        <f>AVERAGE('26.07 Busega-Bulenga-24h'!J78,'27.07 Busega-Bulenga-24h'!J78,)</f>
        <v>1</v>
      </c>
      <c r="K78" s="49">
        <f>AVERAGE('26.07 Busega-Bulenga-24h'!K78,'27.07 Busega-Bulenga-24h'!K78,)</f>
        <v>0.33333333333333331</v>
      </c>
      <c r="L78" s="49">
        <f>AVERAGE('26.07 Busega-Bulenga-24h'!L78,'27.07 Busega-Bulenga-24h'!L78,)</f>
        <v>1.3333333333333333</v>
      </c>
      <c r="M78" s="49">
        <f>AVERAGE('26.07 Busega-Bulenga-24h'!M78,'27.07 Busega-Bulenga-24h'!M78,)</f>
        <v>38</v>
      </c>
      <c r="N78" s="49">
        <f>AVERAGE('26.07 Busega-Bulenga-24h'!N78,'27.07 Busega-Bulenga-24h'!N78,)</f>
        <v>0</v>
      </c>
      <c r="O78" s="15">
        <f t="shared" si="35"/>
        <v>58.666666666666664</v>
      </c>
      <c r="P78" s="15">
        <f t="shared" si="36"/>
        <v>96.666666666666657</v>
      </c>
      <c r="R78" s="8"/>
      <c r="T78"/>
    </row>
    <row r="79" spans="2:20" ht="23.1" customHeight="1" x14ac:dyDescent="0.25">
      <c r="B79" s="23" t="s">
        <v>119</v>
      </c>
      <c r="C79" s="49">
        <f>AVERAGE('26.07 Busega-Bulenga-24h'!C79,'27.07 Busega-Bulenga-24h'!C79,)</f>
        <v>23.333333333333332</v>
      </c>
      <c r="D79" s="49">
        <f>AVERAGE('26.07 Busega-Bulenga-24h'!D79,'27.07 Busega-Bulenga-24h'!D79,)</f>
        <v>4</v>
      </c>
      <c r="E79" s="49">
        <f>AVERAGE('26.07 Busega-Bulenga-24h'!E79,'27.07 Busega-Bulenga-24h'!E79,)</f>
        <v>0.66666666666666663</v>
      </c>
      <c r="F79" s="49">
        <f>AVERAGE('26.07 Busega-Bulenga-24h'!F79,'27.07 Busega-Bulenga-24h'!F79,)</f>
        <v>4</v>
      </c>
      <c r="G79" s="49">
        <f>AVERAGE('26.07 Busega-Bulenga-24h'!G79,'27.07 Busega-Bulenga-24h'!G79,)</f>
        <v>0</v>
      </c>
      <c r="H79" s="49">
        <f>AVERAGE('26.07 Busega-Bulenga-24h'!H79,'27.07 Busega-Bulenga-24h'!H79,)</f>
        <v>0.33333333333333331</v>
      </c>
      <c r="I79" s="49">
        <f>AVERAGE('26.07 Busega-Bulenga-24h'!I79,'27.07 Busega-Bulenga-24h'!I79,)</f>
        <v>1.6666666666666667</v>
      </c>
      <c r="J79" s="49">
        <f>AVERAGE('26.07 Busega-Bulenga-24h'!J79,'27.07 Busega-Bulenga-24h'!J79,)</f>
        <v>0.33333333333333331</v>
      </c>
      <c r="K79" s="49">
        <f>AVERAGE('26.07 Busega-Bulenga-24h'!K79,'27.07 Busega-Bulenga-24h'!K79,)</f>
        <v>0.33333333333333331</v>
      </c>
      <c r="L79" s="49">
        <f>AVERAGE('26.07 Busega-Bulenga-24h'!L79,'27.07 Busega-Bulenga-24h'!L79,)</f>
        <v>0</v>
      </c>
      <c r="M79" s="49">
        <f>AVERAGE('26.07 Busega-Bulenga-24h'!M79,'27.07 Busega-Bulenga-24h'!M79,)</f>
        <v>43.333333333333336</v>
      </c>
      <c r="N79" s="49">
        <f>AVERAGE('26.07 Busega-Bulenga-24h'!N79,'27.07 Busega-Bulenga-24h'!N79,)</f>
        <v>0</v>
      </c>
      <c r="O79" s="15">
        <f t="shared" si="35"/>
        <v>34.666666666666671</v>
      </c>
      <c r="P79" s="15">
        <f t="shared" si="36"/>
        <v>78</v>
      </c>
      <c r="R79" s="8"/>
      <c r="T79"/>
    </row>
    <row r="80" spans="2:20" ht="23.1" customHeight="1" x14ac:dyDescent="0.25">
      <c r="B80" s="25" t="s">
        <v>120</v>
      </c>
      <c r="C80" s="49">
        <f>AVERAGE('26.07 Busega-Bulenga-24h'!C80,'27.07 Busega-Bulenga-24h'!C80,)</f>
        <v>17</v>
      </c>
      <c r="D80" s="49">
        <f>AVERAGE('26.07 Busega-Bulenga-24h'!D80,'27.07 Busega-Bulenga-24h'!D80,)</f>
        <v>5</v>
      </c>
      <c r="E80" s="49">
        <f>AVERAGE('26.07 Busega-Bulenga-24h'!E80,'27.07 Busega-Bulenga-24h'!E80,)</f>
        <v>3</v>
      </c>
      <c r="F80" s="49">
        <f>AVERAGE('26.07 Busega-Bulenga-24h'!F80,'27.07 Busega-Bulenga-24h'!F80,)</f>
        <v>3</v>
      </c>
      <c r="G80" s="49">
        <f>AVERAGE('26.07 Busega-Bulenga-24h'!G80,'27.07 Busega-Bulenga-24h'!G80,)</f>
        <v>0</v>
      </c>
      <c r="H80" s="49">
        <f>AVERAGE('26.07 Busega-Bulenga-24h'!H80,'27.07 Busega-Bulenga-24h'!H80,)</f>
        <v>0</v>
      </c>
      <c r="I80" s="49">
        <f>AVERAGE('26.07 Busega-Bulenga-24h'!I80,'27.07 Busega-Bulenga-24h'!I80,)</f>
        <v>1.6666666666666667</v>
      </c>
      <c r="J80" s="49">
        <f>AVERAGE('26.07 Busega-Bulenga-24h'!J80,'27.07 Busega-Bulenga-24h'!J80,)</f>
        <v>1.3333333333333333</v>
      </c>
      <c r="K80" s="49">
        <f>AVERAGE('26.07 Busega-Bulenga-24h'!K80,'27.07 Busega-Bulenga-24h'!K80,)</f>
        <v>0.33333333333333331</v>
      </c>
      <c r="L80" s="49">
        <f>AVERAGE('26.07 Busega-Bulenga-24h'!L80,'27.07 Busega-Bulenga-24h'!L80,)</f>
        <v>0.33333333333333331</v>
      </c>
      <c r="M80" s="49">
        <f>AVERAGE('26.07 Busega-Bulenga-24h'!M80,'27.07 Busega-Bulenga-24h'!M80,)</f>
        <v>45.333333333333336</v>
      </c>
      <c r="N80" s="49">
        <f>AVERAGE('26.07 Busega-Bulenga-24h'!N80,'27.07 Busega-Bulenga-24h'!N80,)</f>
        <v>0</v>
      </c>
      <c r="O80" s="15">
        <f t="shared" si="35"/>
        <v>31.666666666666664</v>
      </c>
      <c r="P80" s="15">
        <f t="shared" si="36"/>
        <v>77</v>
      </c>
      <c r="R80" s="8"/>
      <c r="T80"/>
    </row>
    <row r="81" spans="2:20" ht="23.1" customHeight="1" x14ac:dyDescent="0.25">
      <c r="B81" s="23" t="s">
        <v>121</v>
      </c>
      <c r="C81" s="49">
        <f>AVERAGE('26.07 Busega-Bulenga-24h'!C81,'27.07 Busega-Bulenga-24h'!C81,)</f>
        <v>19</v>
      </c>
      <c r="D81" s="49">
        <f>AVERAGE('26.07 Busega-Bulenga-24h'!D81,'27.07 Busega-Bulenga-24h'!D81,)</f>
        <v>4.666666666666667</v>
      </c>
      <c r="E81" s="49">
        <f>AVERAGE('26.07 Busega-Bulenga-24h'!E81,'27.07 Busega-Bulenga-24h'!E81,)</f>
        <v>1</v>
      </c>
      <c r="F81" s="49">
        <f>AVERAGE('26.07 Busega-Bulenga-24h'!F81,'27.07 Busega-Bulenga-24h'!F81,)</f>
        <v>3</v>
      </c>
      <c r="G81" s="49">
        <f>AVERAGE('26.07 Busega-Bulenga-24h'!G81,'27.07 Busega-Bulenga-24h'!G81,)</f>
        <v>0</v>
      </c>
      <c r="H81" s="49">
        <f>AVERAGE('26.07 Busega-Bulenga-24h'!H81,'27.07 Busega-Bulenga-24h'!H81,)</f>
        <v>0</v>
      </c>
      <c r="I81" s="49">
        <f>AVERAGE('26.07 Busega-Bulenga-24h'!I81,'27.07 Busega-Bulenga-24h'!I81,)</f>
        <v>1.3333333333333333</v>
      </c>
      <c r="J81" s="49">
        <f>AVERAGE('26.07 Busega-Bulenga-24h'!J81,'27.07 Busega-Bulenga-24h'!J81,)</f>
        <v>2</v>
      </c>
      <c r="K81" s="49">
        <f>AVERAGE('26.07 Busega-Bulenga-24h'!K81,'27.07 Busega-Bulenga-24h'!K81,)</f>
        <v>0</v>
      </c>
      <c r="L81" s="49">
        <f>AVERAGE('26.07 Busega-Bulenga-24h'!L81,'27.07 Busega-Bulenga-24h'!L81,)</f>
        <v>0.33333333333333331</v>
      </c>
      <c r="M81" s="49">
        <f>AVERAGE('26.07 Busega-Bulenga-24h'!M81,'27.07 Busega-Bulenga-24h'!M81,)</f>
        <v>39.666666666666664</v>
      </c>
      <c r="N81" s="49">
        <f>AVERAGE('26.07 Busega-Bulenga-24h'!N81,'27.07 Busega-Bulenga-24h'!N81,)</f>
        <v>0</v>
      </c>
      <c r="O81" s="15">
        <f t="shared" si="35"/>
        <v>31.333333333333332</v>
      </c>
      <c r="P81" s="15">
        <f t="shared" si="36"/>
        <v>71</v>
      </c>
      <c r="R81" s="8"/>
      <c r="T81"/>
    </row>
    <row r="82" spans="2:20" ht="23.1" customHeight="1" x14ac:dyDescent="0.25">
      <c r="B82" s="24" t="s">
        <v>122</v>
      </c>
      <c r="C82" s="49">
        <f>AVERAGE('26.07 Busega-Bulenga-24h'!C82,'27.07 Busega-Bulenga-24h'!C82,)</f>
        <v>15.333333333333334</v>
      </c>
      <c r="D82" s="49">
        <f>AVERAGE('26.07 Busega-Bulenga-24h'!D82,'27.07 Busega-Bulenga-24h'!D82,)</f>
        <v>2.3333333333333335</v>
      </c>
      <c r="E82" s="49">
        <f>AVERAGE('26.07 Busega-Bulenga-24h'!E82,'27.07 Busega-Bulenga-24h'!E82,)</f>
        <v>0</v>
      </c>
      <c r="F82" s="49">
        <f>AVERAGE('26.07 Busega-Bulenga-24h'!F82,'27.07 Busega-Bulenga-24h'!F82,)</f>
        <v>4</v>
      </c>
      <c r="G82" s="49">
        <f>AVERAGE('26.07 Busega-Bulenga-24h'!G82,'27.07 Busega-Bulenga-24h'!G82,)</f>
        <v>0.33333333333333331</v>
      </c>
      <c r="H82" s="49">
        <f>AVERAGE('26.07 Busega-Bulenga-24h'!H82,'27.07 Busega-Bulenga-24h'!H82,)</f>
        <v>0</v>
      </c>
      <c r="I82" s="49">
        <f>AVERAGE('26.07 Busega-Bulenga-24h'!I82,'27.07 Busega-Bulenga-24h'!I82,)</f>
        <v>1.6666666666666667</v>
      </c>
      <c r="J82" s="49">
        <f>AVERAGE('26.07 Busega-Bulenga-24h'!J82,'27.07 Busega-Bulenga-24h'!J82,)</f>
        <v>1</v>
      </c>
      <c r="K82" s="49">
        <f>AVERAGE('26.07 Busega-Bulenga-24h'!K82,'27.07 Busega-Bulenga-24h'!K82,)</f>
        <v>0.33333333333333331</v>
      </c>
      <c r="L82" s="49">
        <f>AVERAGE('26.07 Busega-Bulenga-24h'!L82,'27.07 Busega-Bulenga-24h'!L82,)</f>
        <v>0.66666666666666663</v>
      </c>
      <c r="M82" s="49">
        <f>AVERAGE('26.07 Busega-Bulenga-24h'!M82,'27.07 Busega-Bulenga-24h'!M82,)</f>
        <v>36</v>
      </c>
      <c r="N82" s="49">
        <f>AVERAGE('26.07 Busega-Bulenga-24h'!N82,'27.07 Busega-Bulenga-24h'!N82,)</f>
        <v>0</v>
      </c>
      <c r="O82" s="15">
        <f t="shared" si="35"/>
        <v>25.666666666666668</v>
      </c>
      <c r="P82" s="15">
        <f t="shared" si="36"/>
        <v>61.666666666666671</v>
      </c>
      <c r="R82" s="8"/>
      <c r="T82"/>
    </row>
    <row r="83" spans="2:20" ht="23.1" customHeight="1" x14ac:dyDescent="0.25">
      <c r="B83" s="23" t="s">
        <v>123</v>
      </c>
      <c r="C83" s="49">
        <f>AVERAGE('26.07 Busega-Bulenga-24h'!C83,'27.07 Busega-Bulenga-24h'!C83,)</f>
        <v>12</v>
      </c>
      <c r="D83" s="49">
        <f>AVERAGE('26.07 Busega-Bulenga-24h'!D83,'27.07 Busega-Bulenga-24h'!D83,)</f>
        <v>1.6666666666666667</v>
      </c>
      <c r="E83" s="49">
        <f>AVERAGE('26.07 Busega-Bulenga-24h'!E83,'27.07 Busega-Bulenga-24h'!E83,)</f>
        <v>2.6666666666666665</v>
      </c>
      <c r="F83" s="49">
        <f>AVERAGE('26.07 Busega-Bulenga-24h'!F83,'27.07 Busega-Bulenga-24h'!F83,)</f>
        <v>2.3333333333333335</v>
      </c>
      <c r="G83" s="49">
        <f>AVERAGE('26.07 Busega-Bulenga-24h'!G83,'27.07 Busega-Bulenga-24h'!G83,)</f>
        <v>0.33333333333333331</v>
      </c>
      <c r="H83" s="49">
        <f>AVERAGE('26.07 Busega-Bulenga-24h'!H83,'27.07 Busega-Bulenga-24h'!H83,)</f>
        <v>0</v>
      </c>
      <c r="I83" s="49">
        <f>AVERAGE('26.07 Busega-Bulenga-24h'!I83,'27.07 Busega-Bulenga-24h'!I83,)</f>
        <v>1.3333333333333333</v>
      </c>
      <c r="J83" s="49">
        <f>AVERAGE('26.07 Busega-Bulenga-24h'!J83,'27.07 Busega-Bulenga-24h'!J83,)</f>
        <v>1</v>
      </c>
      <c r="K83" s="49">
        <f>AVERAGE('26.07 Busega-Bulenga-24h'!K83,'27.07 Busega-Bulenga-24h'!K83,)</f>
        <v>0</v>
      </c>
      <c r="L83" s="49">
        <f>AVERAGE('26.07 Busega-Bulenga-24h'!L83,'27.07 Busega-Bulenga-24h'!L83,)</f>
        <v>1</v>
      </c>
      <c r="M83" s="49">
        <f>AVERAGE('26.07 Busega-Bulenga-24h'!M83,'27.07 Busega-Bulenga-24h'!M83,)</f>
        <v>49.666666666666664</v>
      </c>
      <c r="N83" s="49">
        <f>AVERAGE('26.07 Busega-Bulenga-24h'!N83,'27.07 Busega-Bulenga-24h'!N83,)</f>
        <v>0</v>
      </c>
      <c r="O83" s="15">
        <f t="shared" si="35"/>
        <v>22.333333333333329</v>
      </c>
      <c r="P83" s="15">
        <f t="shared" si="36"/>
        <v>72</v>
      </c>
      <c r="R83" s="8"/>
      <c r="T83"/>
    </row>
    <row r="84" spans="2:20" ht="23.1" customHeight="1" x14ac:dyDescent="0.25">
      <c r="B84" s="25" t="s">
        <v>124</v>
      </c>
      <c r="C84" s="49">
        <f>AVERAGE('26.07 Busega-Bulenga-24h'!C84,'27.07 Busega-Bulenga-24h'!C84,)</f>
        <v>6</v>
      </c>
      <c r="D84" s="49">
        <f>AVERAGE('26.07 Busega-Bulenga-24h'!D84,'27.07 Busega-Bulenga-24h'!D84,)</f>
        <v>1</v>
      </c>
      <c r="E84" s="49">
        <f>AVERAGE('26.07 Busega-Bulenga-24h'!E84,'27.07 Busega-Bulenga-24h'!E84,)</f>
        <v>0.66666666666666663</v>
      </c>
      <c r="F84" s="49">
        <f>AVERAGE('26.07 Busega-Bulenga-24h'!F84,'27.07 Busega-Bulenga-24h'!F84,)</f>
        <v>2</v>
      </c>
      <c r="G84" s="49">
        <f>AVERAGE('26.07 Busega-Bulenga-24h'!G84,'27.07 Busega-Bulenga-24h'!G84,)</f>
        <v>0</v>
      </c>
      <c r="H84" s="49">
        <f>AVERAGE('26.07 Busega-Bulenga-24h'!H84,'27.07 Busega-Bulenga-24h'!H84,)</f>
        <v>0</v>
      </c>
      <c r="I84" s="49">
        <f>AVERAGE('26.07 Busega-Bulenga-24h'!I84,'27.07 Busega-Bulenga-24h'!I84,)</f>
        <v>2</v>
      </c>
      <c r="J84" s="49">
        <f>AVERAGE('26.07 Busega-Bulenga-24h'!J84,'27.07 Busega-Bulenga-24h'!J84,)</f>
        <v>2</v>
      </c>
      <c r="K84" s="49">
        <f>AVERAGE('26.07 Busega-Bulenga-24h'!K84,'27.07 Busega-Bulenga-24h'!K84,)</f>
        <v>0</v>
      </c>
      <c r="L84" s="49">
        <f>AVERAGE('26.07 Busega-Bulenga-24h'!L84,'27.07 Busega-Bulenga-24h'!L84,)</f>
        <v>0.33333333333333331</v>
      </c>
      <c r="M84" s="49">
        <f>AVERAGE('26.07 Busega-Bulenga-24h'!M84,'27.07 Busega-Bulenga-24h'!M84,)</f>
        <v>51</v>
      </c>
      <c r="N84" s="49">
        <f>AVERAGE('26.07 Busega-Bulenga-24h'!N84,'27.07 Busega-Bulenga-24h'!N84,)</f>
        <v>0</v>
      </c>
      <c r="O84" s="15">
        <f t="shared" si="35"/>
        <v>14.000000000000002</v>
      </c>
      <c r="P84" s="15">
        <f t="shared" si="36"/>
        <v>65</v>
      </c>
      <c r="R84" s="8"/>
      <c r="T84"/>
    </row>
    <row r="85" spans="2:20" ht="23.1" customHeight="1" x14ac:dyDescent="0.25">
      <c r="B85" s="23" t="s">
        <v>125</v>
      </c>
      <c r="C85" s="49">
        <f>AVERAGE('26.07 Busega-Bulenga-24h'!C85,'27.07 Busega-Bulenga-24h'!C85,)</f>
        <v>14.333333333333334</v>
      </c>
      <c r="D85" s="49">
        <f>AVERAGE('26.07 Busega-Bulenga-24h'!D85,'27.07 Busega-Bulenga-24h'!D85,)</f>
        <v>2</v>
      </c>
      <c r="E85" s="49">
        <f>AVERAGE('26.07 Busega-Bulenga-24h'!E85,'27.07 Busega-Bulenga-24h'!E85,)</f>
        <v>1.6666666666666667</v>
      </c>
      <c r="F85" s="49">
        <f>AVERAGE('26.07 Busega-Bulenga-24h'!F85,'27.07 Busega-Bulenga-24h'!F85,)</f>
        <v>1</v>
      </c>
      <c r="G85" s="49">
        <f>AVERAGE('26.07 Busega-Bulenga-24h'!G85,'27.07 Busega-Bulenga-24h'!G85,)</f>
        <v>0.66666666666666663</v>
      </c>
      <c r="H85" s="49">
        <f>AVERAGE('26.07 Busega-Bulenga-24h'!H85,'27.07 Busega-Bulenga-24h'!H85,)</f>
        <v>0</v>
      </c>
      <c r="I85" s="49">
        <f>AVERAGE('26.07 Busega-Bulenga-24h'!I85,'27.07 Busega-Bulenga-24h'!I85,)</f>
        <v>1.3333333333333333</v>
      </c>
      <c r="J85" s="49">
        <f>AVERAGE('26.07 Busega-Bulenga-24h'!J85,'27.07 Busega-Bulenga-24h'!J85,)</f>
        <v>0.66666666666666663</v>
      </c>
      <c r="K85" s="49">
        <f>AVERAGE('26.07 Busega-Bulenga-24h'!K85,'27.07 Busega-Bulenga-24h'!K85,)</f>
        <v>0</v>
      </c>
      <c r="L85" s="49">
        <f>AVERAGE('26.07 Busega-Bulenga-24h'!L85,'27.07 Busega-Bulenga-24h'!L85,)</f>
        <v>0.33333333333333331</v>
      </c>
      <c r="M85" s="49">
        <f>AVERAGE('26.07 Busega-Bulenga-24h'!M85,'27.07 Busega-Bulenga-24h'!M85,)</f>
        <v>40.666666666666664</v>
      </c>
      <c r="N85" s="49">
        <f>AVERAGE('26.07 Busega-Bulenga-24h'!N85,'27.07 Busega-Bulenga-24h'!N85,)</f>
        <v>0</v>
      </c>
      <c r="O85" s="15">
        <f t="shared" si="35"/>
        <v>22.000000000000004</v>
      </c>
      <c r="P85" s="15">
        <f t="shared" si="36"/>
        <v>62.666666666666671</v>
      </c>
      <c r="R85" s="8"/>
      <c r="T85"/>
    </row>
    <row r="86" spans="2:20" ht="23.1" customHeight="1" x14ac:dyDescent="0.25">
      <c r="B86" s="24" t="s">
        <v>126</v>
      </c>
      <c r="C86" s="49">
        <f>AVERAGE('26.07 Busega-Bulenga-24h'!C86,'27.07 Busega-Bulenga-24h'!C86,)</f>
        <v>9.6666666666666661</v>
      </c>
      <c r="D86" s="49">
        <f>AVERAGE('26.07 Busega-Bulenga-24h'!D86,'27.07 Busega-Bulenga-24h'!D86,)</f>
        <v>0.66666666666666663</v>
      </c>
      <c r="E86" s="49">
        <f>AVERAGE('26.07 Busega-Bulenga-24h'!E86,'27.07 Busega-Bulenga-24h'!E86,)</f>
        <v>0.66666666666666663</v>
      </c>
      <c r="F86" s="49">
        <f>AVERAGE('26.07 Busega-Bulenga-24h'!F86,'27.07 Busega-Bulenga-24h'!F86,)</f>
        <v>1.3333333333333333</v>
      </c>
      <c r="G86" s="49">
        <f>AVERAGE('26.07 Busega-Bulenga-24h'!G86,'27.07 Busega-Bulenga-24h'!G86,)</f>
        <v>0.33333333333333331</v>
      </c>
      <c r="H86" s="49">
        <f>AVERAGE('26.07 Busega-Bulenga-24h'!H86,'27.07 Busega-Bulenga-24h'!H86,)</f>
        <v>0</v>
      </c>
      <c r="I86" s="49">
        <f>AVERAGE('26.07 Busega-Bulenga-24h'!I86,'27.07 Busega-Bulenga-24h'!I86,)</f>
        <v>1</v>
      </c>
      <c r="J86" s="49">
        <f>AVERAGE('26.07 Busega-Bulenga-24h'!J86,'27.07 Busega-Bulenga-24h'!J86,)</f>
        <v>0.66666666666666663</v>
      </c>
      <c r="K86" s="49">
        <f>AVERAGE('26.07 Busega-Bulenga-24h'!K86,'27.07 Busega-Bulenga-24h'!K86,)</f>
        <v>0</v>
      </c>
      <c r="L86" s="49">
        <f>AVERAGE('26.07 Busega-Bulenga-24h'!L86,'27.07 Busega-Bulenga-24h'!L86,)</f>
        <v>0</v>
      </c>
      <c r="M86" s="49">
        <f>AVERAGE('26.07 Busega-Bulenga-24h'!M86,'27.07 Busega-Bulenga-24h'!M86,)</f>
        <v>25.666666666666668</v>
      </c>
      <c r="N86" s="49">
        <f>AVERAGE('26.07 Busega-Bulenga-24h'!N86,'27.07 Busega-Bulenga-24h'!N86,)</f>
        <v>0</v>
      </c>
      <c r="O86" s="15">
        <f t="shared" si="35"/>
        <v>14.333333333333332</v>
      </c>
      <c r="P86" s="15">
        <f t="shared" si="36"/>
        <v>40</v>
      </c>
      <c r="R86" s="8"/>
      <c r="T86"/>
    </row>
    <row r="87" spans="2:20" ht="23.1" customHeight="1" x14ac:dyDescent="0.25">
      <c r="B87" s="23" t="s">
        <v>127</v>
      </c>
      <c r="C87" s="49">
        <f>AVERAGE('26.07 Busega-Bulenga-24h'!C87,'27.07 Busega-Bulenga-24h'!C87,)</f>
        <v>15.333333333333334</v>
      </c>
      <c r="D87" s="49">
        <f>AVERAGE('26.07 Busega-Bulenga-24h'!D87,'27.07 Busega-Bulenga-24h'!D87,)</f>
        <v>0.66666666666666663</v>
      </c>
      <c r="E87" s="49">
        <f>AVERAGE('26.07 Busega-Bulenga-24h'!E87,'27.07 Busega-Bulenga-24h'!E87,)</f>
        <v>1.6666666666666667</v>
      </c>
      <c r="F87" s="49">
        <f>AVERAGE('26.07 Busega-Bulenga-24h'!F87,'27.07 Busega-Bulenga-24h'!F87,)</f>
        <v>0</v>
      </c>
      <c r="G87" s="49">
        <f>AVERAGE('26.07 Busega-Bulenga-24h'!G87,'27.07 Busega-Bulenga-24h'!G87,)</f>
        <v>0</v>
      </c>
      <c r="H87" s="49">
        <f>AVERAGE('26.07 Busega-Bulenga-24h'!H87,'27.07 Busega-Bulenga-24h'!H87,)</f>
        <v>0</v>
      </c>
      <c r="I87" s="49">
        <f>AVERAGE('26.07 Busega-Bulenga-24h'!I87,'27.07 Busega-Bulenga-24h'!I87,)</f>
        <v>1</v>
      </c>
      <c r="J87" s="49">
        <f>AVERAGE('26.07 Busega-Bulenga-24h'!J87,'27.07 Busega-Bulenga-24h'!J87,)</f>
        <v>2</v>
      </c>
      <c r="K87" s="49">
        <f>AVERAGE('26.07 Busega-Bulenga-24h'!K87,'27.07 Busega-Bulenga-24h'!K87,)</f>
        <v>0</v>
      </c>
      <c r="L87" s="49">
        <f>AVERAGE('26.07 Busega-Bulenga-24h'!L87,'27.07 Busega-Bulenga-24h'!L87,)</f>
        <v>0</v>
      </c>
      <c r="M87" s="49">
        <f>AVERAGE('26.07 Busega-Bulenga-24h'!M87,'27.07 Busega-Bulenga-24h'!M87,)</f>
        <v>28.333333333333332</v>
      </c>
      <c r="N87" s="49">
        <f>AVERAGE('26.07 Busega-Bulenga-24h'!N87,'27.07 Busega-Bulenga-24h'!N87,)</f>
        <v>0</v>
      </c>
      <c r="O87" s="15">
        <f t="shared" si="35"/>
        <v>20.666666666666668</v>
      </c>
      <c r="P87" s="15">
        <f t="shared" si="36"/>
        <v>49</v>
      </c>
      <c r="R87" s="8"/>
      <c r="T87"/>
    </row>
    <row r="88" spans="2:20" ht="23.1" customHeight="1" x14ac:dyDescent="0.25">
      <c r="B88" s="25" t="s">
        <v>128</v>
      </c>
      <c r="C88" s="49">
        <f>AVERAGE('26.07 Busega-Bulenga-24h'!C88,'27.07 Busega-Bulenga-24h'!C88,)</f>
        <v>5.333333333333333</v>
      </c>
      <c r="D88" s="49">
        <f>AVERAGE('26.07 Busega-Bulenga-24h'!D88,'27.07 Busega-Bulenga-24h'!D88,)</f>
        <v>0</v>
      </c>
      <c r="E88" s="49">
        <f>AVERAGE('26.07 Busega-Bulenga-24h'!E88,'27.07 Busega-Bulenga-24h'!E88,)</f>
        <v>0</v>
      </c>
      <c r="F88" s="49">
        <f>AVERAGE('26.07 Busega-Bulenga-24h'!F88,'27.07 Busega-Bulenga-24h'!F88,)</f>
        <v>0.66666666666666663</v>
      </c>
      <c r="G88" s="49">
        <f>AVERAGE('26.07 Busega-Bulenga-24h'!G88,'27.07 Busega-Bulenga-24h'!G88,)</f>
        <v>0.33333333333333331</v>
      </c>
      <c r="H88" s="49">
        <f>AVERAGE('26.07 Busega-Bulenga-24h'!H88,'27.07 Busega-Bulenga-24h'!H88,)</f>
        <v>0</v>
      </c>
      <c r="I88" s="49">
        <f>AVERAGE('26.07 Busega-Bulenga-24h'!I88,'27.07 Busega-Bulenga-24h'!I88,)</f>
        <v>0.33333333333333331</v>
      </c>
      <c r="J88" s="49">
        <f>AVERAGE('26.07 Busega-Bulenga-24h'!J88,'27.07 Busega-Bulenga-24h'!J88,)</f>
        <v>0.66666666666666663</v>
      </c>
      <c r="K88" s="49">
        <f>AVERAGE('26.07 Busega-Bulenga-24h'!K88,'27.07 Busega-Bulenga-24h'!K88,)</f>
        <v>0</v>
      </c>
      <c r="L88" s="49">
        <f>AVERAGE('26.07 Busega-Bulenga-24h'!L88,'27.07 Busega-Bulenga-24h'!L88,)</f>
        <v>0.33333333333333331</v>
      </c>
      <c r="M88" s="49">
        <f>AVERAGE('26.07 Busega-Bulenga-24h'!M88,'27.07 Busega-Bulenga-24h'!M88,)</f>
        <v>19</v>
      </c>
      <c r="N88" s="49">
        <f>AVERAGE('26.07 Busega-Bulenga-24h'!N88,'27.07 Busega-Bulenga-24h'!N88,)</f>
        <v>0</v>
      </c>
      <c r="O88" s="15">
        <f t="shared" si="35"/>
        <v>7.6666666666666661</v>
      </c>
      <c r="P88" s="15">
        <f t="shared" si="36"/>
        <v>26.666666666666664</v>
      </c>
      <c r="R88" s="8"/>
      <c r="T88"/>
    </row>
    <row r="89" spans="2:20" ht="23.1" customHeight="1" x14ac:dyDescent="0.25">
      <c r="B89" s="23" t="s">
        <v>129</v>
      </c>
      <c r="C89" s="49">
        <f>AVERAGE('26.07 Busega-Bulenga-24h'!C89,'27.07 Busega-Bulenga-24h'!C89,)</f>
        <v>5.333333333333333</v>
      </c>
      <c r="D89" s="49">
        <f>AVERAGE('26.07 Busega-Bulenga-24h'!D89,'27.07 Busega-Bulenga-24h'!D89,)</f>
        <v>1.3333333333333333</v>
      </c>
      <c r="E89" s="49">
        <f>AVERAGE('26.07 Busega-Bulenga-24h'!E89,'27.07 Busega-Bulenga-24h'!E89,)</f>
        <v>1</v>
      </c>
      <c r="F89" s="49">
        <f>AVERAGE('26.07 Busega-Bulenga-24h'!F89,'27.07 Busega-Bulenga-24h'!F89,)</f>
        <v>0</v>
      </c>
      <c r="G89" s="49">
        <f>AVERAGE('26.07 Busega-Bulenga-24h'!G89,'27.07 Busega-Bulenga-24h'!G89,)</f>
        <v>0</v>
      </c>
      <c r="H89" s="49">
        <f>AVERAGE('26.07 Busega-Bulenga-24h'!H89,'27.07 Busega-Bulenga-24h'!H89,)</f>
        <v>0</v>
      </c>
      <c r="I89" s="49">
        <f>AVERAGE('26.07 Busega-Bulenga-24h'!I89,'27.07 Busega-Bulenga-24h'!I89,)</f>
        <v>0.33333333333333331</v>
      </c>
      <c r="J89" s="49">
        <f>AVERAGE('26.07 Busega-Bulenga-24h'!J89,'27.07 Busega-Bulenga-24h'!J89,)</f>
        <v>0</v>
      </c>
      <c r="K89" s="49">
        <f>AVERAGE('26.07 Busega-Bulenga-24h'!K89,'27.07 Busega-Bulenga-24h'!K89,)</f>
        <v>0</v>
      </c>
      <c r="L89" s="49">
        <f>AVERAGE('26.07 Busega-Bulenga-24h'!L89,'27.07 Busega-Bulenga-24h'!L89,)</f>
        <v>0</v>
      </c>
      <c r="M89" s="49">
        <f>AVERAGE('26.07 Busega-Bulenga-24h'!M89,'27.07 Busega-Bulenga-24h'!M89,)</f>
        <v>16</v>
      </c>
      <c r="N89" s="49">
        <f>AVERAGE('26.07 Busega-Bulenga-24h'!N89,'27.07 Busega-Bulenga-24h'!N89,)</f>
        <v>0</v>
      </c>
      <c r="O89" s="15">
        <f t="shared" si="35"/>
        <v>7.9999999999999991</v>
      </c>
      <c r="P89" s="15">
        <f t="shared" si="36"/>
        <v>24</v>
      </c>
      <c r="R89" s="8"/>
      <c r="T89"/>
    </row>
    <row r="90" spans="2:20" ht="23.1" customHeight="1" x14ac:dyDescent="0.25">
      <c r="B90" s="24" t="s">
        <v>130</v>
      </c>
      <c r="C90" s="49">
        <f>AVERAGE('26.07 Busega-Bulenga-24h'!C90,'27.07 Busega-Bulenga-24h'!C90,)</f>
        <v>9.6666666666666661</v>
      </c>
      <c r="D90" s="49">
        <f>AVERAGE('26.07 Busega-Bulenga-24h'!D90,'27.07 Busega-Bulenga-24h'!D90,)</f>
        <v>0.33333333333333331</v>
      </c>
      <c r="E90" s="49">
        <f>AVERAGE('26.07 Busega-Bulenga-24h'!E90,'27.07 Busega-Bulenga-24h'!E90,)</f>
        <v>1</v>
      </c>
      <c r="F90" s="49">
        <f>AVERAGE('26.07 Busega-Bulenga-24h'!F90,'27.07 Busega-Bulenga-24h'!F90,)</f>
        <v>0.66666666666666663</v>
      </c>
      <c r="G90" s="49">
        <f>AVERAGE('26.07 Busega-Bulenga-24h'!G90,'27.07 Busega-Bulenga-24h'!G90,)</f>
        <v>0</v>
      </c>
      <c r="H90" s="49">
        <f>AVERAGE('26.07 Busega-Bulenga-24h'!H90,'27.07 Busega-Bulenga-24h'!H90,)</f>
        <v>0</v>
      </c>
      <c r="I90" s="49">
        <f>AVERAGE('26.07 Busega-Bulenga-24h'!I90,'27.07 Busega-Bulenga-24h'!I90,)</f>
        <v>1.3333333333333333</v>
      </c>
      <c r="J90" s="49">
        <f>AVERAGE('26.07 Busega-Bulenga-24h'!J90,'27.07 Busega-Bulenga-24h'!J90,)</f>
        <v>0</v>
      </c>
      <c r="K90" s="49">
        <f>AVERAGE('26.07 Busega-Bulenga-24h'!K90,'27.07 Busega-Bulenga-24h'!K90,)</f>
        <v>0.33333333333333331</v>
      </c>
      <c r="L90" s="49">
        <f>AVERAGE('26.07 Busega-Bulenga-24h'!L90,'27.07 Busega-Bulenga-24h'!L90,)</f>
        <v>0.33333333333333331</v>
      </c>
      <c r="M90" s="49">
        <f>AVERAGE('26.07 Busega-Bulenga-24h'!M90,'27.07 Busega-Bulenga-24h'!M90,)</f>
        <v>13</v>
      </c>
      <c r="N90" s="49">
        <f>AVERAGE('26.07 Busega-Bulenga-24h'!N90,'27.07 Busega-Bulenga-24h'!N90,)</f>
        <v>0</v>
      </c>
      <c r="O90" s="15">
        <f t="shared" si="35"/>
        <v>13.666666666666668</v>
      </c>
      <c r="P90" s="15">
        <f t="shared" si="36"/>
        <v>26.666666666666668</v>
      </c>
      <c r="R90" s="8"/>
      <c r="T90"/>
    </row>
    <row r="91" spans="2:20" ht="23.1" customHeight="1" x14ac:dyDescent="0.25">
      <c r="B91" s="23" t="s">
        <v>131</v>
      </c>
      <c r="C91" s="49">
        <f>AVERAGE('26.07 Busega-Bulenga-24h'!C91,'27.07 Busega-Bulenga-24h'!C91,)</f>
        <v>6.333333333333333</v>
      </c>
      <c r="D91" s="49">
        <f>AVERAGE('26.07 Busega-Bulenga-24h'!D91,'27.07 Busega-Bulenga-24h'!D91,)</f>
        <v>1</v>
      </c>
      <c r="E91" s="49">
        <f>AVERAGE('26.07 Busega-Bulenga-24h'!E91,'27.07 Busega-Bulenga-24h'!E91,)</f>
        <v>1.6666666666666667</v>
      </c>
      <c r="F91" s="49">
        <f>AVERAGE('26.07 Busega-Bulenga-24h'!F91,'27.07 Busega-Bulenga-24h'!F91,)</f>
        <v>0.33333333333333331</v>
      </c>
      <c r="G91" s="49">
        <f>AVERAGE('26.07 Busega-Bulenga-24h'!G91,'27.07 Busega-Bulenga-24h'!G91,)</f>
        <v>0</v>
      </c>
      <c r="H91" s="49">
        <f>AVERAGE('26.07 Busega-Bulenga-24h'!H91,'27.07 Busega-Bulenga-24h'!H91,)</f>
        <v>0</v>
      </c>
      <c r="I91" s="49">
        <f>AVERAGE('26.07 Busega-Bulenga-24h'!I91,'27.07 Busega-Bulenga-24h'!I91,)</f>
        <v>0.33333333333333331</v>
      </c>
      <c r="J91" s="49">
        <f>AVERAGE('26.07 Busega-Bulenga-24h'!J91,'27.07 Busega-Bulenga-24h'!J91,)</f>
        <v>0.33333333333333331</v>
      </c>
      <c r="K91" s="49">
        <f>AVERAGE('26.07 Busega-Bulenga-24h'!K91,'27.07 Busega-Bulenga-24h'!K91,)</f>
        <v>1.3333333333333333</v>
      </c>
      <c r="L91" s="49">
        <f>AVERAGE('26.07 Busega-Bulenga-24h'!L91,'27.07 Busega-Bulenga-24h'!L91,)</f>
        <v>0.33333333333333331</v>
      </c>
      <c r="M91" s="49">
        <f>AVERAGE('26.07 Busega-Bulenga-24h'!M91,'27.07 Busega-Bulenga-24h'!M91,)</f>
        <v>17</v>
      </c>
      <c r="N91" s="49">
        <f>AVERAGE('26.07 Busega-Bulenga-24h'!N91,'27.07 Busega-Bulenga-24h'!N91,)</f>
        <v>0</v>
      </c>
      <c r="O91" s="15">
        <f t="shared" si="35"/>
        <v>11.66666666666667</v>
      </c>
      <c r="P91" s="15">
        <f t="shared" si="36"/>
        <v>28.666666666666671</v>
      </c>
      <c r="R91" s="8"/>
      <c r="T91"/>
    </row>
    <row r="92" spans="2:20" ht="23.1" customHeight="1" x14ac:dyDescent="0.25">
      <c r="B92" s="25" t="s">
        <v>132</v>
      </c>
      <c r="C92" s="49">
        <f>AVERAGE('26.07 Busega-Bulenga-24h'!C92,'27.07 Busega-Bulenga-24h'!C92,)</f>
        <v>7</v>
      </c>
      <c r="D92" s="49">
        <f>AVERAGE('26.07 Busega-Bulenga-24h'!D92,'27.07 Busega-Bulenga-24h'!D92,)</f>
        <v>1</v>
      </c>
      <c r="E92" s="49">
        <f>AVERAGE('26.07 Busega-Bulenga-24h'!E92,'27.07 Busega-Bulenga-24h'!E92,)</f>
        <v>1</v>
      </c>
      <c r="F92" s="49">
        <f>AVERAGE('26.07 Busega-Bulenga-24h'!F92,'27.07 Busega-Bulenga-24h'!F92,)</f>
        <v>0</v>
      </c>
      <c r="G92" s="49">
        <f>AVERAGE('26.07 Busega-Bulenga-24h'!G92,'27.07 Busega-Bulenga-24h'!G92,)</f>
        <v>0</v>
      </c>
      <c r="H92" s="49">
        <f>AVERAGE('26.07 Busega-Bulenga-24h'!H92,'27.07 Busega-Bulenga-24h'!H92,)</f>
        <v>0</v>
      </c>
      <c r="I92" s="49">
        <f>AVERAGE('26.07 Busega-Bulenga-24h'!I92,'27.07 Busega-Bulenga-24h'!I92,)</f>
        <v>0.33333333333333331</v>
      </c>
      <c r="J92" s="49">
        <f>AVERAGE('26.07 Busega-Bulenga-24h'!J92,'27.07 Busega-Bulenga-24h'!J92,)</f>
        <v>1.6666666666666667</v>
      </c>
      <c r="K92" s="49">
        <f>AVERAGE('26.07 Busega-Bulenga-24h'!K92,'27.07 Busega-Bulenga-24h'!K92,)</f>
        <v>0.33333333333333331</v>
      </c>
      <c r="L92" s="49">
        <f>AVERAGE('26.07 Busega-Bulenga-24h'!L92,'27.07 Busega-Bulenga-24h'!L92,)</f>
        <v>1.6666666666666667</v>
      </c>
      <c r="M92" s="49">
        <f>AVERAGE('26.07 Busega-Bulenga-24h'!M92,'27.07 Busega-Bulenga-24h'!M92,)</f>
        <v>10</v>
      </c>
      <c r="N92" s="49">
        <f>AVERAGE('26.07 Busega-Bulenga-24h'!N92,'27.07 Busega-Bulenga-24h'!N92,)</f>
        <v>0</v>
      </c>
      <c r="O92" s="15">
        <f t="shared" si="35"/>
        <v>13</v>
      </c>
      <c r="P92" s="15">
        <f t="shared" si="36"/>
        <v>23</v>
      </c>
      <c r="R92" s="8"/>
      <c r="T92"/>
    </row>
    <row r="93" spans="2:20" ht="23.1" customHeight="1" x14ac:dyDescent="0.25">
      <c r="B93" s="23" t="s">
        <v>133</v>
      </c>
      <c r="C93" s="49">
        <f>AVERAGE('26.07 Busega-Bulenga-24h'!C93,'27.07 Busega-Bulenga-24h'!C93,)</f>
        <v>4.666666666666667</v>
      </c>
      <c r="D93" s="49">
        <f>AVERAGE('26.07 Busega-Bulenga-24h'!D93,'27.07 Busega-Bulenga-24h'!D93,)</f>
        <v>0</v>
      </c>
      <c r="E93" s="49">
        <f>AVERAGE('26.07 Busega-Bulenga-24h'!E93,'27.07 Busega-Bulenga-24h'!E93,)</f>
        <v>0</v>
      </c>
      <c r="F93" s="49">
        <f>AVERAGE('26.07 Busega-Bulenga-24h'!F93,'27.07 Busega-Bulenga-24h'!F93,)</f>
        <v>0.33333333333333331</v>
      </c>
      <c r="G93" s="49">
        <f>AVERAGE('26.07 Busega-Bulenga-24h'!G93,'27.07 Busega-Bulenga-24h'!G93,)</f>
        <v>0</v>
      </c>
      <c r="H93" s="49">
        <f>AVERAGE('26.07 Busega-Bulenga-24h'!H93,'27.07 Busega-Bulenga-24h'!H93,)</f>
        <v>0</v>
      </c>
      <c r="I93" s="49">
        <f>AVERAGE('26.07 Busega-Bulenga-24h'!I93,'27.07 Busega-Bulenga-24h'!I93,)</f>
        <v>1</v>
      </c>
      <c r="J93" s="49">
        <f>AVERAGE('26.07 Busega-Bulenga-24h'!J93,'27.07 Busega-Bulenga-24h'!J93,)</f>
        <v>1</v>
      </c>
      <c r="K93" s="49">
        <f>AVERAGE('26.07 Busega-Bulenga-24h'!K93,'27.07 Busega-Bulenga-24h'!K93,)</f>
        <v>0.33333333333333331</v>
      </c>
      <c r="L93" s="49">
        <f>AVERAGE('26.07 Busega-Bulenga-24h'!L93,'27.07 Busega-Bulenga-24h'!L93,)</f>
        <v>0.33333333333333331</v>
      </c>
      <c r="M93" s="49">
        <f>AVERAGE('26.07 Busega-Bulenga-24h'!M93,'27.07 Busega-Bulenga-24h'!M93,)</f>
        <v>10</v>
      </c>
      <c r="N93" s="49">
        <f>AVERAGE('26.07 Busega-Bulenga-24h'!N93,'27.07 Busega-Bulenga-24h'!N93,)</f>
        <v>0</v>
      </c>
      <c r="O93" s="15">
        <f t="shared" si="35"/>
        <v>7.6666666666666661</v>
      </c>
      <c r="P93" s="15">
        <f t="shared" si="36"/>
        <v>17.666666666666664</v>
      </c>
      <c r="R93" s="8"/>
      <c r="T93"/>
    </row>
    <row r="94" spans="2:20" ht="23.1" customHeight="1" x14ac:dyDescent="0.25">
      <c r="B94" s="24" t="s">
        <v>134</v>
      </c>
      <c r="C94" s="49">
        <f>AVERAGE('26.07 Busega-Bulenga-24h'!C94,'27.07 Busega-Bulenga-24h'!C94,)</f>
        <v>4.333333333333333</v>
      </c>
      <c r="D94" s="49">
        <f>AVERAGE('26.07 Busega-Bulenga-24h'!D94,'27.07 Busega-Bulenga-24h'!D94,)</f>
        <v>1.3333333333333333</v>
      </c>
      <c r="E94" s="49">
        <f>AVERAGE('26.07 Busega-Bulenga-24h'!E94,'27.07 Busega-Bulenga-24h'!E94,)</f>
        <v>1</v>
      </c>
      <c r="F94" s="49">
        <f>AVERAGE('26.07 Busega-Bulenga-24h'!F94,'27.07 Busega-Bulenga-24h'!F94,)</f>
        <v>1</v>
      </c>
      <c r="G94" s="49">
        <f>AVERAGE('26.07 Busega-Bulenga-24h'!G94,'27.07 Busega-Bulenga-24h'!G94,)</f>
        <v>0</v>
      </c>
      <c r="H94" s="49">
        <f>AVERAGE('26.07 Busega-Bulenga-24h'!H94,'27.07 Busega-Bulenga-24h'!H94,)</f>
        <v>0.33333333333333331</v>
      </c>
      <c r="I94" s="49">
        <f>AVERAGE('26.07 Busega-Bulenga-24h'!I94,'27.07 Busega-Bulenga-24h'!I94,)</f>
        <v>0.33333333333333331</v>
      </c>
      <c r="J94" s="49">
        <f>AVERAGE('26.07 Busega-Bulenga-24h'!J94,'27.07 Busega-Bulenga-24h'!J94,)</f>
        <v>0.66666666666666663</v>
      </c>
      <c r="K94" s="49">
        <f>AVERAGE('26.07 Busega-Bulenga-24h'!K94,'27.07 Busega-Bulenga-24h'!K94,)</f>
        <v>0</v>
      </c>
      <c r="L94" s="49">
        <f>AVERAGE('26.07 Busega-Bulenga-24h'!L94,'27.07 Busega-Bulenga-24h'!L94,)</f>
        <v>1</v>
      </c>
      <c r="M94" s="49">
        <f>AVERAGE('26.07 Busega-Bulenga-24h'!M94,'27.07 Busega-Bulenga-24h'!M94,)</f>
        <v>13.333333333333334</v>
      </c>
      <c r="N94" s="49">
        <f>AVERAGE('26.07 Busega-Bulenga-24h'!N94,'27.07 Busega-Bulenga-24h'!N94,)</f>
        <v>0</v>
      </c>
      <c r="O94" s="15">
        <f t="shared" si="35"/>
        <v>9.9999999999999982</v>
      </c>
      <c r="P94" s="15">
        <f t="shared" si="36"/>
        <v>23.333333333333332</v>
      </c>
      <c r="R94" s="8"/>
      <c r="T94"/>
    </row>
    <row r="95" spans="2:20" ht="23.1" customHeight="1" x14ac:dyDescent="0.25">
      <c r="B95" s="23" t="s">
        <v>135</v>
      </c>
      <c r="C95" s="49">
        <f>AVERAGE('26.07 Busega-Bulenga-24h'!C95,'27.07 Busega-Bulenga-24h'!C95,)</f>
        <v>5</v>
      </c>
      <c r="D95" s="49">
        <f>AVERAGE('26.07 Busega-Bulenga-24h'!D95,'27.07 Busega-Bulenga-24h'!D95,)</f>
        <v>0.66666666666666663</v>
      </c>
      <c r="E95" s="49">
        <f>AVERAGE('26.07 Busega-Bulenga-24h'!E95,'27.07 Busega-Bulenga-24h'!E95,)</f>
        <v>0.66666666666666663</v>
      </c>
      <c r="F95" s="49">
        <f>AVERAGE('26.07 Busega-Bulenga-24h'!F95,'27.07 Busega-Bulenga-24h'!F95,)</f>
        <v>0.33333333333333331</v>
      </c>
      <c r="G95" s="49">
        <f>AVERAGE('26.07 Busega-Bulenga-24h'!G95,'27.07 Busega-Bulenga-24h'!G95,)</f>
        <v>0</v>
      </c>
      <c r="H95" s="49">
        <f>AVERAGE('26.07 Busega-Bulenga-24h'!H95,'27.07 Busega-Bulenga-24h'!H95,)</f>
        <v>0</v>
      </c>
      <c r="I95" s="49">
        <f>AVERAGE('26.07 Busega-Bulenga-24h'!I95,'27.07 Busega-Bulenga-24h'!I95,)</f>
        <v>1</v>
      </c>
      <c r="J95" s="49">
        <f>AVERAGE('26.07 Busega-Bulenga-24h'!J95,'27.07 Busega-Bulenga-24h'!J95,)</f>
        <v>0.66666666666666663</v>
      </c>
      <c r="K95" s="49">
        <f>AVERAGE('26.07 Busega-Bulenga-24h'!K95,'27.07 Busega-Bulenga-24h'!K95,)</f>
        <v>0</v>
      </c>
      <c r="L95" s="49">
        <f>AVERAGE('26.07 Busega-Bulenga-24h'!L95,'27.07 Busega-Bulenga-24h'!L95,)</f>
        <v>0</v>
      </c>
      <c r="M95" s="49">
        <f>AVERAGE('26.07 Busega-Bulenga-24h'!M95,'27.07 Busega-Bulenga-24h'!M95,)</f>
        <v>19.666666666666668</v>
      </c>
      <c r="N95" s="49">
        <f>AVERAGE('26.07 Busega-Bulenga-24h'!N95,'27.07 Busega-Bulenga-24h'!N95,)</f>
        <v>0</v>
      </c>
      <c r="O95" s="15">
        <f t="shared" si="35"/>
        <v>8.3333333333333339</v>
      </c>
      <c r="P95" s="15">
        <f t="shared" si="36"/>
        <v>28</v>
      </c>
      <c r="R95" s="8"/>
      <c r="T95"/>
    </row>
    <row r="96" spans="2:20" ht="23.1" customHeight="1" x14ac:dyDescent="0.25">
      <c r="B96" s="25" t="s">
        <v>136</v>
      </c>
      <c r="C96" s="49">
        <f>AVERAGE('26.07 Busega-Bulenga-24h'!C96,'27.07 Busega-Bulenga-24h'!C96,)</f>
        <v>4</v>
      </c>
      <c r="D96" s="49">
        <f>AVERAGE('26.07 Busega-Bulenga-24h'!D96,'27.07 Busega-Bulenga-24h'!D96,)</f>
        <v>1.3333333333333333</v>
      </c>
      <c r="E96" s="49">
        <f>AVERAGE('26.07 Busega-Bulenga-24h'!E96,'27.07 Busega-Bulenga-24h'!E96,)</f>
        <v>0.66666666666666663</v>
      </c>
      <c r="F96" s="49">
        <f>AVERAGE('26.07 Busega-Bulenga-24h'!F96,'27.07 Busega-Bulenga-24h'!F96,)</f>
        <v>1.6666666666666667</v>
      </c>
      <c r="G96" s="49">
        <f>AVERAGE('26.07 Busega-Bulenga-24h'!G96,'27.07 Busega-Bulenga-24h'!G96,)</f>
        <v>0.33333333333333331</v>
      </c>
      <c r="H96" s="49">
        <f>AVERAGE('26.07 Busega-Bulenga-24h'!H96,'27.07 Busega-Bulenga-24h'!H96,)</f>
        <v>0.33333333333333331</v>
      </c>
      <c r="I96" s="49">
        <f>AVERAGE('26.07 Busega-Bulenga-24h'!I96,'27.07 Busega-Bulenga-24h'!I96,)</f>
        <v>0.33333333333333331</v>
      </c>
      <c r="J96" s="49">
        <f>AVERAGE('26.07 Busega-Bulenga-24h'!J96,'27.07 Busega-Bulenga-24h'!J96,)</f>
        <v>2</v>
      </c>
      <c r="K96" s="49">
        <f>AVERAGE('26.07 Busega-Bulenga-24h'!K96,'27.07 Busega-Bulenga-24h'!K96,)</f>
        <v>0</v>
      </c>
      <c r="L96" s="49">
        <f>AVERAGE('26.07 Busega-Bulenga-24h'!L96,'27.07 Busega-Bulenga-24h'!L96,)</f>
        <v>0.33333333333333331</v>
      </c>
      <c r="M96" s="49">
        <f>AVERAGE('26.07 Busega-Bulenga-24h'!M96,'27.07 Busega-Bulenga-24h'!M96,)</f>
        <v>13.333333333333334</v>
      </c>
      <c r="N96" s="49">
        <f>AVERAGE('26.07 Busega-Bulenga-24h'!N96,'27.07 Busega-Bulenga-24h'!N96,)</f>
        <v>0</v>
      </c>
      <c r="O96" s="15">
        <f t="shared" si="35"/>
        <v>11.000000000000002</v>
      </c>
      <c r="P96" s="15">
        <f t="shared" si="36"/>
        <v>24.333333333333336</v>
      </c>
      <c r="R96" s="8"/>
      <c r="T96"/>
    </row>
    <row r="97" spans="2:20" ht="23.1" customHeight="1" x14ac:dyDescent="0.25">
      <c r="B97" s="23" t="s">
        <v>137</v>
      </c>
      <c r="C97" s="49">
        <f>AVERAGE('26.07 Busega-Bulenga-24h'!C97,'27.07 Busega-Bulenga-24h'!C97,)</f>
        <v>8.3333333333333339</v>
      </c>
      <c r="D97" s="49">
        <f>AVERAGE('26.07 Busega-Bulenga-24h'!D97,'27.07 Busega-Bulenga-24h'!D97,)</f>
        <v>0.66666666666666663</v>
      </c>
      <c r="E97" s="49">
        <f>AVERAGE('26.07 Busega-Bulenga-24h'!E97,'27.07 Busega-Bulenga-24h'!E97,)</f>
        <v>1.3333333333333333</v>
      </c>
      <c r="F97" s="49">
        <f>AVERAGE('26.07 Busega-Bulenga-24h'!F97,'27.07 Busega-Bulenga-24h'!F97,)</f>
        <v>0.66666666666666663</v>
      </c>
      <c r="G97" s="49">
        <f>AVERAGE('26.07 Busega-Bulenga-24h'!G97,'27.07 Busega-Bulenga-24h'!G97,)</f>
        <v>0</v>
      </c>
      <c r="H97" s="49">
        <f>AVERAGE('26.07 Busega-Bulenga-24h'!H97,'27.07 Busega-Bulenga-24h'!H97,)</f>
        <v>0</v>
      </c>
      <c r="I97" s="49">
        <f>AVERAGE('26.07 Busega-Bulenga-24h'!I97,'27.07 Busega-Bulenga-24h'!I97,)</f>
        <v>1</v>
      </c>
      <c r="J97" s="49">
        <f>AVERAGE('26.07 Busega-Bulenga-24h'!J97,'27.07 Busega-Bulenga-24h'!J97,)</f>
        <v>1.6666666666666667</v>
      </c>
      <c r="K97" s="49">
        <f>AVERAGE('26.07 Busega-Bulenga-24h'!K97,'27.07 Busega-Bulenga-24h'!K97,)</f>
        <v>0.33333333333333331</v>
      </c>
      <c r="L97" s="49">
        <f>AVERAGE('26.07 Busega-Bulenga-24h'!L97,'27.07 Busega-Bulenga-24h'!L97,)</f>
        <v>0.66666666666666663</v>
      </c>
      <c r="M97" s="49">
        <f>AVERAGE('26.07 Busega-Bulenga-24h'!M97,'27.07 Busega-Bulenga-24h'!M97,)</f>
        <v>24</v>
      </c>
      <c r="N97" s="49">
        <f>AVERAGE('26.07 Busega-Bulenga-24h'!N97,'27.07 Busega-Bulenga-24h'!N97,)</f>
        <v>0</v>
      </c>
      <c r="O97" s="15">
        <f t="shared" si="35"/>
        <v>14.666666666666666</v>
      </c>
      <c r="P97" s="15">
        <f t="shared" si="36"/>
        <v>38.666666666666664</v>
      </c>
      <c r="R97" s="8"/>
      <c r="T97"/>
    </row>
    <row r="98" spans="2:20" ht="23.1" customHeight="1" x14ac:dyDescent="0.25">
      <c r="B98" s="24" t="s">
        <v>138</v>
      </c>
      <c r="C98" s="49">
        <f>AVERAGE('26.07 Busega-Bulenga-24h'!C98,'27.07 Busega-Bulenga-24h'!C98,)</f>
        <v>7.666666666666667</v>
      </c>
      <c r="D98" s="49">
        <f>AVERAGE('26.07 Busega-Bulenga-24h'!D98,'27.07 Busega-Bulenga-24h'!D98,)</f>
        <v>3.3333333333333335</v>
      </c>
      <c r="E98" s="49">
        <f>AVERAGE('26.07 Busega-Bulenga-24h'!E98,'27.07 Busega-Bulenga-24h'!E98,)</f>
        <v>0.66666666666666663</v>
      </c>
      <c r="F98" s="49">
        <f>AVERAGE('26.07 Busega-Bulenga-24h'!F98,'27.07 Busega-Bulenga-24h'!F98,)</f>
        <v>0.66666666666666663</v>
      </c>
      <c r="G98" s="49">
        <f>AVERAGE('26.07 Busega-Bulenga-24h'!G98,'27.07 Busega-Bulenga-24h'!G98,)</f>
        <v>0.66666666666666663</v>
      </c>
      <c r="H98" s="49">
        <f>AVERAGE('26.07 Busega-Bulenga-24h'!H98,'27.07 Busega-Bulenga-24h'!H98,)</f>
        <v>0</v>
      </c>
      <c r="I98" s="49">
        <f>AVERAGE('26.07 Busega-Bulenga-24h'!I98,'27.07 Busega-Bulenga-24h'!I98,)</f>
        <v>0.66666666666666663</v>
      </c>
      <c r="J98" s="49">
        <f>AVERAGE('26.07 Busega-Bulenga-24h'!J98,'27.07 Busega-Bulenga-24h'!J98,)</f>
        <v>0.33333333333333331</v>
      </c>
      <c r="K98" s="49">
        <f>AVERAGE('26.07 Busega-Bulenga-24h'!K98,'27.07 Busega-Bulenga-24h'!K98,)</f>
        <v>0</v>
      </c>
      <c r="L98" s="49">
        <f>AVERAGE('26.07 Busega-Bulenga-24h'!L98,'27.07 Busega-Bulenga-24h'!L98,)</f>
        <v>0.33333333333333331</v>
      </c>
      <c r="M98" s="49">
        <f>AVERAGE('26.07 Busega-Bulenga-24h'!M98,'27.07 Busega-Bulenga-24h'!M98,)</f>
        <v>24</v>
      </c>
      <c r="N98" s="49">
        <f>AVERAGE('26.07 Busega-Bulenga-24h'!N98,'27.07 Busega-Bulenga-24h'!N98,)</f>
        <v>0</v>
      </c>
      <c r="O98" s="15">
        <f t="shared" si="35"/>
        <v>14.333333333333332</v>
      </c>
      <c r="P98" s="15">
        <f t="shared" si="36"/>
        <v>38.333333333333329</v>
      </c>
      <c r="R98" s="8"/>
      <c r="T98"/>
    </row>
    <row r="99" spans="2:20" ht="23.1" customHeight="1" x14ac:dyDescent="0.25">
      <c r="B99" s="23" t="s">
        <v>139</v>
      </c>
      <c r="C99" s="49">
        <f>AVERAGE('26.07 Busega-Bulenga-24h'!C99,'27.07 Busega-Bulenga-24h'!C99,)</f>
        <v>7</v>
      </c>
      <c r="D99" s="49">
        <f>AVERAGE('26.07 Busega-Bulenga-24h'!D99,'27.07 Busega-Bulenga-24h'!D99,)</f>
        <v>2</v>
      </c>
      <c r="E99" s="49">
        <f>AVERAGE('26.07 Busega-Bulenga-24h'!E99,'27.07 Busega-Bulenga-24h'!E99,)</f>
        <v>2</v>
      </c>
      <c r="F99" s="49">
        <f>AVERAGE('26.07 Busega-Bulenga-24h'!F99,'27.07 Busega-Bulenga-24h'!F99,)</f>
        <v>3.6666666666666665</v>
      </c>
      <c r="G99" s="49">
        <f>AVERAGE('26.07 Busega-Bulenga-24h'!G99,'27.07 Busega-Bulenga-24h'!G99,)</f>
        <v>0.66666666666666663</v>
      </c>
      <c r="H99" s="49">
        <f>AVERAGE('26.07 Busega-Bulenga-24h'!H99,'27.07 Busega-Bulenga-24h'!H99,)</f>
        <v>0.33333333333333331</v>
      </c>
      <c r="I99" s="49">
        <f>AVERAGE('26.07 Busega-Bulenga-24h'!I99,'27.07 Busega-Bulenga-24h'!I99,)</f>
        <v>1.3333333333333333</v>
      </c>
      <c r="J99" s="49">
        <f>AVERAGE('26.07 Busega-Bulenga-24h'!J99,'27.07 Busega-Bulenga-24h'!J99,)</f>
        <v>1.3333333333333333</v>
      </c>
      <c r="K99" s="49">
        <f>AVERAGE('26.07 Busega-Bulenga-24h'!K99,'27.07 Busega-Bulenga-24h'!K99,)</f>
        <v>1</v>
      </c>
      <c r="L99" s="49">
        <f>AVERAGE('26.07 Busega-Bulenga-24h'!L99,'27.07 Busega-Bulenga-24h'!L99,)</f>
        <v>0</v>
      </c>
      <c r="M99" s="49">
        <f>AVERAGE('26.07 Busega-Bulenga-24h'!M99,'27.07 Busega-Bulenga-24h'!M99,)</f>
        <v>30.666666666666668</v>
      </c>
      <c r="N99" s="49">
        <f>AVERAGE('26.07 Busega-Bulenga-24h'!N99,'27.07 Busega-Bulenga-24h'!N99,)</f>
        <v>0</v>
      </c>
      <c r="O99" s="15">
        <f t="shared" si="35"/>
        <v>19.333333333333332</v>
      </c>
      <c r="P99" s="15">
        <f t="shared" si="36"/>
        <v>50</v>
      </c>
      <c r="R99" s="8"/>
      <c r="T99"/>
    </row>
    <row r="100" spans="2:20" ht="23.1" customHeight="1" x14ac:dyDescent="0.25">
      <c r="B100" s="25" t="s">
        <v>140</v>
      </c>
      <c r="C100" s="49">
        <f>AVERAGE('26.07 Busega-Bulenga-24h'!C100,'27.07 Busega-Bulenga-24h'!C100,)</f>
        <v>7.666666666666667</v>
      </c>
      <c r="D100" s="49">
        <f>AVERAGE('26.07 Busega-Bulenga-24h'!D100,'27.07 Busega-Bulenga-24h'!D100,)</f>
        <v>2</v>
      </c>
      <c r="E100" s="49">
        <f>AVERAGE('26.07 Busega-Bulenga-24h'!E100,'27.07 Busega-Bulenga-24h'!E100,)</f>
        <v>1.3333333333333333</v>
      </c>
      <c r="F100" s="49">
        <f>AVERAGE('26.07 Busega-Bulenga-24h'!F100,'27.07 Busega-Bulenga-24h'!F100,)</f>
        <v>1.3333333333333333</v>
      </c>
      <c r="G100" s="49">
        <f>AVERAGE('26.07 Busega-Bulenga-24h'!G100,'27.07 Busega-Bulenga-24h'!G100,)</f>
        <v>0</v>
      </c>
      <c r="H100" s="49">
        <f>AVERAGE('26.07 Busega-Bulenga-24h'!H100,'27.07 Busega-Bulenga-24h'!H100,)</f>
        <v>0</v>
      </c>
      <c r="I100" s="49">
        <f>AVERAGE('26.07 Busega-Bulenga-24h'!I100,'27.07 Busega-Bulenga-24h'!I100,)</f>
        <v>1.3333333333333333</v>
      </c>
      <c r="J100" s="49">
        <f>AVERAGE('26.07 Busega-Bulenga-24h'!J100,'27.07 Busega-Bulenga-24h'!J100,)</f>
        <v>3</v>
      </c>
      <c r="K100" s="49">
        <f>AVERAGE('26.07 Busega-Bulenga-24h'!K100,'27.07 Busega-Bulenga-24h'!K100,)</f>
        <v>3</v>
      </c>
      <c r="L100" s="49">
        <f>AVERAGE('26.07 Busega-Bulenga-24h'!L100,'27.07 Busega-Bulenga-24h'!L100,)</f>
        <v>1.3333333333333333</v>
      </c>
      <c r="M100" s="49">
        <f>AVERAGE('26.07 Busega-Bulenga-24h'!M100,'27.07 Busega-Bulenga-24h'!M100,)</f>
        <v>36.666666666666664</v>
      </c>
      <c r="N100" s="49">
        <f>AVERAGE('26.07 Busega-Bulenga-24h'!N100,'27.07 Busega-Bulenga-24h'!N100,)</f>
        <v>0</v>
      </c>
      <c r="O100" s="15">
        <f t="shared" si="35"/>
        <v>21.000000000000004</v>
      </c>
      <c r="P100" s="15">
        <f t="shared" si="36"/>
        <v>57.666666666666671</v>
      </c>
      <c r="R100" s="8"/>
      <c r="T100"/>
    </row>
    <row r="101" spans="2:20" ht="23.1" customHeight="1" x14ac:dyDescent="0.25">
      <c r="B101" s="23" t="s">
        <v>141</v>
      </c>
      <c r="C101" s="49">
        <f>AVERAGE('26.07 Busega-Bulenga-24h'!C101,'27.07 Busega-Bulenga-24h'!C101,)</f>
        <v>11</v>
      </c>
      <c r="D101" s="49">
        <f>AVERAGE('26.07 Busega-Bulenga-24h'!D101,'27.07 Busega-Bulenga-24h'!D101,)</f>
        <v>2.6666666666666665</v>
      </c>
      <c r="E101" s="49">
        <f>AVERAGE('26.07 Busega-Bulenga-24h'!E101,'27.07 Busega-Bulenga-24h'!E101,)</f>
        <v>1.6666666666666667</v>
      </c>
      <c r="F101" s="49">
        <f>AVERAGE('26.07 Busega-Bulenga-24h'!F101,'27.07 Busega-Bulenga-24h'!F101,)</f>
        <v>2.6666666666666665</v>
      </c>
      <c r="G101" s="49">
        <f>AVERAGE('26.07 Busega-Bulenga-24h'!G101,'27.07 Busega-Bulenga-24h'!G101,)</f>
        <v>0.66666666666666663</v>
      </c>
      <c r="H101" s="49">
        <f>AVERAGE('26.07 Busega-Bulenga-24h'!H101,'27.07 Busega-Bulenga-24h'!H101,)</f>
        <v>0.33333333333333331</v>
      </c>
      <c r="I101" s="49">
        <f>AVERAGE('26.07 Busega-Bulenga-24h'!I101,'27.07 Busega-Bulenga-24h'!I101,)</f>
        <v>0.66666666666666663</v>
      </c>
      <c r="J101" s="49">
        <f>AVERAGE('26.07 Busega-Bulenga-24h'!J101,'27.07 Busega-Bulenga-24h'!J101,)</f>
        <v>1</v>
      </c>
      <c r="K101" s="49">
        <f>AVERAGE('26.07 Busega-Bulenga-24h'!K101,'27.07 Busega-Bulenga-24h'!K101,)</f>
        <v>1.3333333333333333</v>
      </c>
      <c r="L101" s="49">
        <f>AVERAGE('26.07 Busega-Bulenga-24h'!L101,'27.07 Busega-Bulenga-24h'!L101,)</f>
        <v>0</v>
      </c>
      <c r="M101" s="49">
        <f>AVERAGE('26.07 Busega-Bulenga-24h'!M101,'27.07 Busega-Bulenga-24h'!M101,)</f>
        <v>50</v>
      </c>
      <c r="N101" s="49">
        <f>AVERAGE('26.07 Busega-Bulenga-24h'!N101,'27.07 Busega-Bulenga-24h'!N101,)</f>
        <v>0</v>
      </c>
      <c r="O101" s="15">
        <f t="shared" si="35"/>
        <v>22</v>
      </c>
      <c r="P101" s="15">
        <f t="shared" si="36"/>
        <v>72</v>
      </c>
      <c r="R101" s="8"/>
      <c r="T101"/>
    </row>
    <row r="102" spans="2:20" ht="23.1" customHeight="1" x14ac:dyDescent="0.25">
      <c r="B102" s="24" t="s">
        <v>142</v>
      </c>
      <c r="C102" s="49">
        <f>AVERAGE('26.07 Busega-Bulenga-24h'!C102,'27.07 Busega-Bulenga-24h'!C102,)</f>
        <v>12.666666666666666</v>
      </c>
      <c r="D102" s="49">
        <f>AVERAGE('26.07 Busega-Bulenga-24h'!D102,'27.07 Busega-Bulenga-24h'!D102,)</f>
        <v>2.3333333333333335</v>
      </c>
      <c r="E102" s="49">
        <f>AVERAGE('26.07 Busega-Bulenga-24h'!E102,'27.07 Busega-Bulenga-24h'!E102,)</f>
        <v>0.66666666666666663</v>
      </c>
      <c r="F102" s="49">
        <f>AVERAGE('26.07 Busega-Bulenga-24h'!F102,'27.07 Busega-Bulenga-24h'!F102,)</f>
        <v>5.333333333333333</v>
      </c>
      <c r="G102" s="49">
        <f>AVERAGE('26.07 Busega-Bulenga-24h'!G102,'27.07 Busega-Bulenga-24h'!G102,)</f>
        <v>0</v>
      </c>
      <c r="H102" s="49">
        <f>AVERAGE('26.07 Busega-Bulenga-24h'!H102,'27.07 Busega-Bulenga-24h'!H102,)</f>
        <v>0</v>
      </c>
      <c r="I102" s="49">
        <f>AVERAGE('26.07 Busega-Bulenga-24h'!I102,'27.07 Busega-Bulenga-24h'!I102,)</f>
        <v>3</v>
      </c>
      <c r="J102" s="49">
        <f>AVERAGE('26.07 Busega-Bulenga-24h'!J102,'27.07 Busega-Bulenga-24h'!J102,)</f>
        <v>2.3333333333333335</v>
      </c>
      <c r="K102" s="49">
        <f>AVERAGE('26.07 Busega-Bulenga-24h'!K102,'27.07 Busega-Bulenga-24h'!K102,)</f>
        <v>0.66666666666666663</v>
      </c>
      <c r="L102" s="49">
        <f>AVERAGE('26.07 Busega-Bulenga-24h'!L102,'27.07 Busega-Bulenga-24h'!L102,)</f>
        <v>0.66666666666666663</v>
      </c>
      <c r="M102" s="49">
        <f>AVERAGE('26.07 Busega-Bulenga-24h'!M102,'27.07 Busega-Bulenga-24h'!M102,)</f>
        <v>56</v>
      </c>
      <c r="N102" s="49">
        <f>AVERAGE('26.07 Busega-Bulenga-24h'!N102,'27.07 Busega-Bulenga-24h'!N102,)</f>
        <v>0</v>
      </c>
      <c r="O102" s="15">
        <f t="shared" si="35"/>
        <v>27.666666666666668</v>
      </c>
      <c r="P102" s="15">
        <f t="shared" si="36"/>
        <v>83.666666666666671</v>
      </c>
      <c r="R102" s="8"/>
      <c r="T102"/>
    </row>
    <row r="103" spans="2:20" ht="23.1" customHeight="1" x14ac:dyDescent="0.25">
      <c r="B103" s="23" t="s">
        <v>143</v>
      </c>
      <c r="C103" s="49">
        <f>AVERAGE('26.07 Busega-Bulenga-24h'!C103,'27.07 Busega-Bulenga-24h'!C103,)</f>
        <v>14</v>
      </c>
      <c r="D103" s="49">
        <f>AVERAGE('26.07 Busega-Bulenga-24h'!D103,'27.07 Busega-Bulenga-24h'!D103,)</f>
        <v>4.333333333333333</v>
      </c>
      <c r="E103" s="49">
        <f>AVERAGE('26.07 Busega-Bulenga-24h'!E103,'27.07 Busega-Bulenga-24h'!E103,)</f>
        <v>1.3333333333333333</v>
      </c>
      <c r="F103" s="49">
        <f>AVERAGE('26.07 Busega-Bulenga-24h'!F103,'27.07 Busega-Bulenga-24h'!F103,)</f>
        <v>4</v>
      </c>
      <c r="G103" s="49">
        <f>AVERAGE('26.07 Busega-Bulenga-24h'!G103,'27.07 Busega-Bulenga-24h'!G103,)</f>
        <v>0</v>
      </c>
      <c r="H103" s="49">
        <f>AVERAGE('26.07 Busega-Bulenga-24h'!H103,'27.07 Busega-Bulenga-24h'!H103,)</f>
        <v>0.66666666666666663</v>
      </c>
      <c r="I103" s="49">
        <f>AVERAGE('26.07 Busega-Bulenga-24h'!I103,'27.07 Busega-Bulenga-24h'!I103,)</f>
        <v>2</v>
      </c>
      <c r="J103" s="49">
        <f>AVERAGE('26.07 Busega-Bulenga-24h'!J103,'27.07 Busega-Bulenga-24h'!J103,)</f>
        <v>2</v>
      </c>
      <c r="K103" s="49">
        <f>AVERAGE('26.07 Busega-Bulenga-24h'!K103,'27.07 Busega-Bulenga-24h'!K103,)</f>
        <v>0</v>
      </c>
      <c r="L103" s="49">
        <f>AVERAGE('26.07 Busega-Bulenga-24h'!L103,'27.07 Busega-Bulenga-24h'!L103,)</f>
        <v>1.3333333333333333</v>
      </c>
      <c r="M103" s="49">
        <f>AVERAGE('26.07 Busega-Bulenga-24h'!M103,'27.07 Busega-Bulenga-24h'!M103,)</f>
        <v>50</v>
      </c>
      <c r="N103" s="49">
        <f>AVERAGE('26.07 Busega-Bulenga-24h'!N103,'27.07 Busega-Bulenga-24h'!N103,)</f>
        <v>0</v>
      </c>
      <c r="O103" s="15">
        <f t="shared" si="35"/>
        <v>29.666666666666664</v>
      </c>
      <c r="P103" s="15">
        <f t="shared" si="36"/>
        <v>79.666666666666657</v>
      </c>
      <c r="R103" s="8"/>
      <c r="T103"/>
    </row>
    <row r="104" spans="2:20" ht="23.1" customHeight="1" x14ac:dyDescent="0.25">
      <c r="B104" s="25" t="s">
        <v>144</v>
      </c>
      <c r="C104" s="49">
        <f>AVERAGE('26.07 Busega-Bulenga-24h'!C104,'27.07 Busega-Bulenga-24h'!C104,)</f>
        <v>18</v>
      </c>
      <c r="D104" s="49">
        <f>AVERAGE('26.07 Busega-Bulenga-24h'!D104,'27.07 Busega-Bulenga-24h'!D104,)</f>
        <v>6</v>
      </c>
      <c r="E104" s="49">
        <f>AVERAGE('26.07 Busega-Bulenga-24h'!E104,'27.07 Busega-Bulenga-24h'!E104,)</f>
        <v>2.3333333333333335</v>
      </c>
      <c r="F104" s="49">
        <f>AVERAGE('26.07 Busega-Bulenga-24h'!F104,'27.07 Busega-Bulenga-24h'!F104,)</f>
        <v>11</v>
      </c>
      <c r="G104" s="49">
        <f>AVERAGE('26.07 Busega-Bulenga-24h'!G104,'27.07 Busega-Bulenga-24h'!G104,)</f>
        <v>1</v>
      </c>
      <c r="H104" s="49">
        <f>AVERAGE('26.07 Busega-Bulenga-24h'!H104,'27.07 Busega-Bulenga-24h'!H104,)</f>
        <v>0</v>
      </c>
      <c r="I104" s="49">
        <f>AVERAGE('26.07 Busega-Bulenga-24h'!I104,'27.07 Busega-Bulenga-24h'!I104,)</f>
        <v>2</v>
      </c>
      <c r="J104" s="49">
        <f>AVERAGE('26.07 Busega-Bulenga-24h'!J104,'27.07 Busega-Bulenga-24h'!J104,)</f>
        <v>2.6666666666666665</v>
      </c>
      <c r="K104" s="49">
        <f>AVERAGE('26.07 Busega-Bulenga-24h'!K104,'27.07 Busega-Bulenga-24h'!K104,)</f>
        <v>0.33333333333333331</v>
      </c>
      <c r="L104" s="49">
        <f>AVERAGE('26.07 Busega-Bulenga-24h'!L104,'27.07 Busega-Bulenga-24h'!L104,)</f>
        <v>0.66666666666666663</v>
      </c>
      <c r="M104" s="49">
        <f>AVERAGE('26.07 Busega-Bulenga-24h'!M104,'27.07 Busega-Bulenga-24h'!M104,)</f>
        <v>88</v>
      </c>
      <c r="N104" s="49">
        <f>AVERAGE('26.07 Busega-Bulenga-24h'!N104,'27.07 Busega-Bulenga-24h'!N104,)</f>
        <v>0</v>
      </c>
      <c r="O104" s="15">
        <f t="shared" si="35"/>
        <v>43.999999999999993</v>
      </c>
      <c r="P104" s="15">
        <f t="shared" si="36"/>
        <v>132</v>
      </c>
      <c r="R104" s="8"/>
      <c r="T104"/>
    </row>
    <row r="105" spans="2:20" ht="23.1" customHeight="1" x14ac:dyDescent="0.25">
      <c r="B105" s="23" t="s">
        <v>145</v>
      </c>
      <c r="C105" s="49">
        <f>AVERAGE('26.07 Busega-Bulenga-24h'!C105,'27.07 Busega-Bulenga-24h'!C105,)</f>
        <v>16.666666666666668</v>
      </c>
      <c r="D105" s="49">
        <f>AVERAGE('26.07 Busega-Bulenga-24h'!D105,'27.07 Busega-Bulenga-24h'!D105,)</f>
        <v>3.6666666666666665</v>
      </c>
      <c r="E105" s="49">
        <f>AVERAGE('26.07 Busega-Bulenga-24h'!E105,'27.07 Busega-Bulenga-24h'!E105,)</f>
        <v>1.3333333333333333</v>
      </c>
      <c r="F105" s="49">
        <f>AVERAGE('26.07 Busega-Bulenga-24h'!F105,'27.07 Busega-Bulenga-24h'!F105,)</f>
        <v>9.6666666666666661</v>
      </c>
      <c r="G105" s="49">
        <f>AVERAGE('26.07 Busega-Bulenga-24h'!G105,'27.07 Busega-Bulenga-24h'!G105,)</f>
        <v>0.33333333333333331</v>
      </c>
      <c r="H105" s="49">
        <f>AVERAGE('26.07 Busega-Bulenga-24h'!H105,'27.07 Busega-Bulenga-24h'!H105,)</f>
        <v>0.66666666666666663</v>
      </c>
      <c r="I105" s="49">
        <f>AVERAGE('26.07 Busega-Bulenga-24h'!I105,'27.07 Busega-Bulenga-24h'!I105,)</f>
        <v>1.6666666666666667</v>
      </c>
      <c r="J105" s="49">
        <f>AVERAGE('26.07 Busega-Bulenga-24h'!J105,'27.07 Busega-Bulenga-24h'!J105,)</f>
        <v>4.666666666666667</v>
      </c>
      <c r="K105" s="49">
        <f>AVERAGE('26.07 Busega-Bulenga-24h'!K105,'27.07 Busega-Bulenga-24h'!K105,)</f>
        <v>0.66666666666666663</v>
      </c>
      <c r="L105" s="49">
        <f>AVERAGE('26.07 Busega-Bulenga-24h'!L105,'27.07 Busega-Bulenga-24h'!L105,)</f>
        <v>0</v>
      </c>
      <c r="M105" s="49">
        <f>AVERAGE('26.07 Busega-Bulenga-24h'!M105,'27.07 Busega-Bulenga-24h'!M105,)</f>
        <v>101.66666666666667</v>
      </c>
      <c r="N105" s="49">
        <f>AVERAGE('26.07 Busega-Bulenga-24h'!N105,'27.07 Busega-Bulenga-24h'!N105,)</f>
        <v>0</v>
      </c>
      <c r="O105" s="15">
        <f t="shared" si="35"/>
        <v>39.333333333333329</v>
      </c>
      <c r="P105" s="15">
        <f t="shared" si="36"/>
        <v>141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4113.0000000000018</v>
      </c>
      <c r="D106" s="16">
        <f t="shared" ref="D106:P106" si="37">SUM(D10:D105)</f>
        <v>544.61904761904759</v>
      </c>
      <c r="E106" s="16">
        <f t="shared" si="37"/>
        <v>386.66666666666686</v>
      </c>
      <c r="F106" s="16">
        <f t="shared" si="37"/>
        <v>1848.1428571428569</v>
      </c>
      <c r="G106" s="16">
        <f t="shared" si="37"/>
        <v>59.999999999999993</v>
      </c>
      <c r="H106" s="16">
        <f t="shared" si="37"/>
        <v>38.190476190476204</v>
      </c>
      <c r="I106" s="16">
        <f t="shared" si="37"/>
        <v>559.9523809523813</v>
      </c>
      <c r="J106" s="16">
        <f t="shared" si="37"/>
        <v>419.33333333333326</v>
      </c>
      <c r="K106" s="16">
        <f t="shared" si="37"/>
        <v>107.04761904761901</v>
      </c>
      <c r="L106" s="16">
        <f t="shared" si="37"/>
        <v>144.85714285714292</v>
      </c>
      <c r="M106" s="16">
        <f t="shared" si="37"/>
        <v>12435.095238095233</v>
      </c>
      <c r="N106" s="16">
        <f t="shared" si="37"/>
        <v>1.1904761904761902</v>
      </c>
      <c r="O106" s="16">
        <f t="shared" si="37"/>
        <v>8223.0000000000036</v>
      </c>
      <c r="P106" s="16">
        <f t="shared" si="37"/>
        <v>20658.095238095251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0.19909870453183345</v>
      </c>
      <c r="D107" s="43">
        <f t="shared" si="38"/>
        <v>2.6363468719745497E-2</v>
      </c>
      <c r="E107" s="43">
        <f t="shared" si="38"/>
        <v>1.8717440413074545E-2</v>
      </c>
      <c r="F107" s="43">
        <f t="shared" si="38"/>
        <v>8.9463371905398478E-2</v>
      </c>
      <c r="G107" s="43">
        <f t="shared" si="38"/>
        <v>2.9044304089253584E-3</v>
      </c>
      <c r="H107" s="43">
        <f t="shared" si="38"/>
        <v>1.8486930063159831E-3</v>
      </c>
      <c r="I107" s="43">
        <f t="shared" si="38"/>
        <v>2.7105712046470887E-2</v>
      </c>
      <c r="J107" s="43">
        <f t="shared" si="38"/>
        <v>2.029874141348945E-2</v>
      </c>
      <c r="K107" s="43">
        <f t="shared" si="38"/>
        <v>5.1818726660827017E-3</v>
      </c>
      <c r="L107" s="43">
        <f t="shared" si="38"/>
        <v>7.0121248444055123E-3</v>
      </c>
      <c r="M107" s="43">
        <f t="shared" si="38"/>
        <v>0.60194781245677864</v>
      </c>
      <c r="N107" s="43">
        <f t="shared" si="38"/>
        <v>5.7627587478677747E-5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0.50018241517694273</v>
      </c>
      <c r="D108" s="44">
        <f t="shared" ref="D108:N108" si="39">D106/$O$106</f>
        <v>6.6231186625203373E-2</v>
      </c>
      <c r="E108" s="44">
        <f t="shared" si="39"/>
        <v>4.7022578945234914E-2</v>
      </c>
      <c r="F108" s="44">
        <f t="shared" si="39"/>
        <v>0.22475287086742746</v>
      </c>
      <c r="G108" s="44">
        <f t="shared" si="39"/>
        <v>7.2966070777088611E-3</v>
      </c>
      <c r="H108" s="44">
        <f t="shared" si="39"/>
        <v>4.6443483145416744E-3</v>
      </c>
      <c r="I108" s="44">
        <f t="shared" si="39"/>
        <v>6.8095875100617903E-2</v>
      </c>
      <c r="J108" s="44">
        <f t="shared" si="39"/>
        <v>5.099517613198748E-2</v>
      </c>
      <c r="K108" s="44">
        <f t="shared" si="39"/>
        <v>1.3018073579912314E-2</v>
      </c>
      <c r="L108" s="44">
        <f t="shared" si="39"/>
        <v>1.7616094230468546E-2</v>
      </c>
      <c r="M108" s="44"/>
      <c r="N108" s="44">
        <f t="shared" si="39"/>
        <v>1.447739499545409E-4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L52" zoomScale="60" workbookViewId="0">
      <selection activeCell="Y75" sqref="Y7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'28.07 Bulenga-Busega'!C3:G3</f>
        <v>MCC - C1 - STN12-MITYANA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0" t="s">
        <v>169</v>
      </c>
      <c r="E5" s="71"/>
      <c r="F5" s="41" t="s">
        <v>1</v>
      </c>
      <c r="G5" s="68" t="str">
        <f>'28.07 Bulenga-Busega'!G5:H5</f>
        <v xml:space="preserve">Petro Max </v>
      </c>
      <c r="H5" s="69"/>
      <c r="I5" s="14"/>
      <c r="J5" s="2" t="s">
        <v>5</v>
      </c>
      <c r="K5" s="68" t="str">
        <f>'28.07 Bulenga-Busega'!K5:L5</f>
        <v>Harriet Nabitosi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'28.07 Bulenga-Busega'!D6:E6</f>
        <v xml:space="preserve">Bulenga </v>
      </c>
      <c r="E6" s="69"/>
      <c r="F6" s="2" t="s">
        <v>2</v>
      </c>
      <c r="G6" s="68" t="str">
        <f>'28.07 Bulenga-Busega'!G6:H6</f>
        <v>Busega</v>
      </c>
      <c r="H6" s="69"/>
      <c r="J6" s="2" t="s">
        <v>21</v>
      </c>
      <c r="K6" s="68" t="str">
        <f>'28.07 Bulenga-Busega'!K6:L6</f>
        <v>Andrew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Bulenga-Busega'!C10,'23.07 Bulenga-Busega'!C10,'24.07 Bulenga-Busega'!C10,'25.07 Bulenga-Busega'!C10,'26.07 Bulenga-Busega-24h'!C10,'27.07 Bulenga-Busega-24h'!C10,'28.07 Bulenga-Busega'!C10)</f>
        <v>78.142857142857139</v>
      </c>
      <c r="D10" s="49">
        <f>AVERAGE('22.07 Bulenga-Busega'!D10,'23.07 Bulenga-Busega'!D10,'24.07 Bulenga-Busega'!D10,'25.07 Bulenga-Busega'!D10,'26.07 Bulenga-Busega-24h'!D10,'27.07 Bulenga-Busega-24h'!D10,'28.07 Bulenga-Busega'!D10)</f>
        <v>14.142857142857142</v>
      </c>
      <c r="E10" s="49">
        <f>AVERAGE('22.07 Bulenga-Busega'!E10,'23.07 Bulenga-Busega'!E10,'24.07 Bulenga-Busega'!E10,'25.07 Bulenga-Busega'!E10,'26.07 Bulenga-Busega-24h'!E10,'27.07 Bulenga-Busega-24h'!E10,'28.07 Bulenga-Busega'!E10)</f>
        <v>12.571428571428571</v>
      </c>
      <c r="F10" s="49">
        <f>AVERAGE('22.07 Bulenga-Busega'!F10,'23.07 Bulenga-Busega'!F10,'24.07 Bulenga-Busega'!F10,'25.07 Bulenga-Busega'!F10,'26.07 Bulenga-Busega-24h'!F10,'27.07 Bulenga-Busega-24h'!F10,'28.07 Bulenga-Busega'!F10)</f>
        <v>59.428571428571431</v>
      </c>
      <c r="G10" s="49">
        <f>AVERAGE('22.07 Bulenga-Busega'!G10,'23.07 Bulenga-Busega'!G10,'24.07 Bulenga-Busega'!G10,'25.07 Bulenga-Busega'!G10,'26.07 Bulenga-Busega-24h'!G10,'27.07 Bulenga-Busega-24h'!G10,'28.07 Bulenga-Busega'!G10)</f>
        <v>3.8571428571428572</v>
      </c>
      <c r="H10" s="49">
        <f>AVERAGE('22.07 Bulenga-Busega'!H10,'23.07 Bulenga-Busega'!H10,'24.07 Bulenga-Busega'!H10,'25.07 Bulenga-Busega'!H10,'26.07 Bulenga-Busega-24h'!H10,'27.07 Bulenga-Busega-24h'!H10,'28.07 Bulenga-Busega'!H10)</f>
        <v>2.4285714285714284</v>
      </c>
      <c r="I10" s="49">
        <f>AVERAGE('22.07 Bulenga-Busega'!I10,'23.07 Bulenga-Busega'!I10,'24.07 Bulenga-Busega'!I10,'25.07 Bulenga-Busega'!I10,'26.07 Bulenga-Busega-24h'!I10,'27.07 Bulenga-Busega-24h'!I10,'28.07 Bulenga-Busega'!I10)</f>
        <v>13.857142857142858</v>
      </c>
      <c r="J10" s="49">
        <f>AVERAGE('22.07 Bulenga-Busega'!J10,'23.07 Bulenga-Busega'!J10,'24.07 Bulenga-Busega'!J10,'25.07 Bulenga-Busega'!J10,'26.07 Bulenga-Busega-24h'!J10,'27.07 Bulenga-Busega-24h'!J10,'28.07 Bulenga-Busega'!J10)</f>
        <v>5.8571428571428568</v>
      </c>
      <c r="K10" s="49">
        <f>AVERAGE('22.07 Bulenga-Busega'!K10,'23.07 Bulenga-Busega'!K10,'24.07 Bulenga-Busega'!K10,'25.07 Bulenga-Busega'!K10,'26.07 Bulenga-Busega-24h'!K10,'27.07 Bulenga-Busega-24h'!K10,'28.07 Bulenga-Busega'!K10)</f>
        <v>5.4285714285714288</v>
      </c>
      <c r="L10" s="49">
        <f>AVERAGE('22.07 Bulenga-Busega'!L10,'23.07 Bulenga-Busega'!L10,'24.07 Bulenga-Busega'!L10,'25.07 Bulenga-Busega'!L10,'26.07 Bulenga-Busega-24h'!L10,'27.07 Bulenga-Busega-24h'!L10,'28.07 Bulenga-Busega'!L10)</f>
        <v>2</v>
      </c>
      <c r="M10" s="49">
        <f>AVERAGE('22.07 Bulenga-Busega'!M10,'23.07 Bulenga-Busega'!M10,'24.07 Bulenga-Busega'!M10,'25.07 Bulenga-Busega'!M10,'26.07 Bulenga-Busega-24h'!M10,'27.07 Bulenga-Busega-24h'!M10,'28.07 Bulenga-Busega'!M10)</f>
        <v>180.28571428571428</v>
      </c>
      <c r="N10" s="49">
        <f>AVERAGE('22.07 Bulenga-Busega'!N10,'23.07 Bulenga-Busega'!N10,'24.07 Bulenga-Busega'!N10,'25.07 Bulenga-Busega'!N10,'26.07 Bulenga-Busega-24h'!N10,'27.07 Bulenga-Busega-24h'!N10,'28.07 Bulenga-Busega'!N10)</f>
        <v>0</v>
      </c>
      <c r="O10" s="15">
        <f t="shared" ref="O10:O73" si="0">SUM(C10:L10,N10)</f>
        <v>197.71428571428569</v>
      </c>
      <c r="P10" s="15">
        <f t="shared" ref="P10:P56" si="1">SUM(C10:N10)</f>
        <v>378</v>
      </c>
      <c r="R10" s="1" t="s">
        <v>6</v>
      </c>
      <c r="S10" s="17">
        <f t="shared" ref="S10:AF10" si="2">SUM(C10:C13)</f>
        <v>304.14285714285717</v>
      </c>
      <c r="T10" s="17">
        <f t="shared" si="2"/>
        <v>49.142857142857146</v>
      </c>
      <c r="U10" s="17">
        <f t="shared" si="2"/>
        <v>73.714285714285722</v>
      </c>
      <c r="V10" s="17">
        <f t="shared" si="2"/>
        <v>264.42857142857144</v>
      </c>
      <c r="W10" s="17">
        <f t="shared" si="2"/>
        <v>15.285714285714285</v>
      </c>
      <c r="X10" s="17">
        <f t="shared" si="2"/>
        <v>6.1428571428571423</v>
      </c>
      <c r="Y10" s="17">
        <f t="shared" si="2"/>
        <v>57.428571428571431</v>
      </c>
      <c r="Z10" s="17">
        <f t="shared" si="2"/>
        <v>39.857142857142854</v>
      </c>
      <c r="AA10" s="17">
        <f t="shared" si="2"/>
        <v>12.571428571428573</v>
      </c>
      <c r="AB10" s="17">
        <f t="shared" si="2"/>
        <v>10.857142857142858</v>
      </c>
      <c r="AC10" s="17">
        <f t="shared" si="2"/>
        <v>714.42857142857144</v>
      </c>
      <c r="AD10" s="17">
        <f t="shared" si="2"/>
        <v>0</v>
      </c>
      <c r="AE10" s="31">
        <f t="shared" si="2"/>
        <v>833.57142857142844</v>
      </c>
      <c r="AF10" s="31">
        <f t="shared" si="2"/>
        <v>1548</v>
      </c>
    </row>
    <row r="11" spans="2:32" s="6" customFormat="1" ht="23.1" customHeight="1" x14ac:dyDescent="0.25">
      <c r="B11" s="23" t="s">
        <v>38</v>
      </c>
      <c r="C11" s="49">
        <f>AVERAGE('22.07 Bulenga-Busega'!C11,'23.07 Bulenga-Busega'!C11,'24.07 Bulenga-Busega'!C11,'25.07 Bulenga-Busega'!C11,'26.07 Bulenga-Busega-24h'!C11,'27.07 Bulenga-Busega-24h'!C11,'28.07 Bulenga-Busega'!C11)</f>
        <v>73.142857142857139</v>
      </c>
      <c r="D11" s="49">
        <f>AVERAGE('22.07 Bulenga-Busega'!D11,'23.07 Bulenga-Busega'!D11,'24.07 Bulenga-Busega'!D11,'25.07 Bulenga-Busega'!D11,'26.07 Bulenga-Busega-24h'!D11,'27.07 Bulenga-Busega-24h'!D11,'28.07 Bulenga-Busega'!D11)</f>
        <v>11.285714285714286</v>
      </c>
      <c r="E11" s="49">
        <f>AVERAGE('22.07 Bulenga-Busega'!E11,'23.07 Bulenga-Busega'!E11,'24.07 Bulenga-Busega'!E11,'25.07 Bulenga-Busega'!E11,'26.07 Bulenga-Busega-24h'!E11,'27.07 Bulenga-Busega-24h'!E11,'28.07 Bulenga-Busega'!E11)</f>
        <v>18.714285714285715</v>
      </c>
      <c r="F11" s="49">
        <f>AVERAGE('22.07 Bulenga-Busega'!F11,'23.07 Bulenga-Busega'!F11,'24.07 Bulenga-Busega'!F11,'25.07 Bulenga-Busega'!F11,'26.07 Bulenga-Busega-24h'!F11,'27.07 Bulenga-Busega-24h'!F11,'28.07 Bulenga-Busega'!F11)</f>
        <v>63.142857142857146</v>
      </c>
      <c r="G11" s="49">
        <f>AVERAGE('22.07 Bulenga-Busega'!G11,'23.07 Bulenga-Busega'!G11,'24.07 Bulenga-Busega'!G11,'25.07 Bulenga-Busega'!G11,'26.07 Bulenga-Busega-24h'!G11,'27.07 Bulenga-Busega-24h'!G11,'28.07 Bulenga-Busega'!G11)</f>
        <v>5.8571428571428568</v>
      </c>
      <c r="H11" s="49">
        <f>AVERAGE('22.07 Bulenga-Busega'!H11,'23.07 Bulenga-Busega'!H11,'24.07 Bulenga-Busega'!H11,'25.07 Bulenga-Busega'!H11,'26.07 Bulenga-Busega-24h'!H11,'27.07 Bulenga-Busega-24h'!H11,'28.07 Bulenga-Busega'!H11)</f>
        <v>1.5714285714285714</v>
      </c>
      <c r="I11" s="49">
        <f>AVERAGE('22.07 Bulenga-Busega'!I11,'23.07 Bulenga-Busega'!I11,'24.07 Bulenga-Busega'!I11,'25.07 Bulenga-Busega'!I11,'26.07 Bulenga-Busega-24h'!I11,'27.07 Bulenga-Busega-24h'!I11,'28.07 Bulenga-Busega'!I11)</f>
        <v>12.857142857142858</v>
      </c>
      <c r="J11" s="49">
        <f>AVERAGE('22.07 Bulenga-Busega'!J11,'23.07 Bulenga-Busega'!J11,'24.07 Bulenga-Busega'!J11,'25.07 Bulenga-Busega'!J11,'26.07 Bulenga-Busega-24h'!J11,'27.07 Bulenga-Busega-24h'!J11,'28.07 Bulenga-Busega'!J11)</f>
        <v>11.571428571428571</v>
      </c>
      <c r="K11" s="49">
        <f>AVERAGE('22.07 Bulenga-Busega'!K11,'23.07 Bulenga-Busega'!K11,'24.07 Bulenga-Busega'!K11,'25.07 Bulenga-Busega'!K11,'26.07 Bulenga-Busega-24h'!K11,'27.07 Bulenga-Busega-24h'!K11,'28.07 Bulenga-Busega'!K11)</f>
        <v>1.4285714285714286</v>
      </c>
      <c r="L11" s="49">
        <f>AVERAGE('22.07 Bulenga-Busega'!L11,'23.07 Bulenga-Busega'!L11,'24.07 Bulenga-Busega'!L11,'25.07 Bulenga-Busega'!L11,'26.07 Bulenga-Busega-24h'!L11,'27.07 Bulenga-Busega-24h'!L11,'28.07 Bulenga-Busega'!L11)</f>
        <v>3.5714285714285716</v>
      </c>
      <c r="M11" s="49">
        <f>AVERAGE('22.07 Bulenga-Busega'!M11,'23.07 Bulenga-Busega'!M11,'24.07 Bulenga-Busega'!M11,'25.07 Bulenga-Busega'!M11,'26.07 Bulenga-Busega-24h'!M11,'27.07 Bulenga-Busega-24h'!M11,'28.07 Bulenga-Busega'!M11)</f>
        <v>163.14285714285714</v>
      </c>
      <c r="N11" s="49">
        <f>AVERAGE('22.07 Bulenga-Busega'!N11,'23.07 Bulenga-Busega'!N11,'24.07 Bulenga-Busega'!N11,'25.07 Bulenga-Busega'!N11,'26.07 Bulenga-Busega-24h'!N11,'27.07 Bulenga-Busega-24h'!N11,'28.07 Bulenga-Busega'!N11)</f>
        <v>0</v>
      </c>
      <c r="O11" s="15">
        <f t="shared" si="0"/>
        <v>203.14285714285717</v>
      </c>
      <c r="P11" s="15">
        <f t="shared" si="1"/>
        <v>366.28571428571433</v>
      </c>
      <c r="R11" s="1" t="s">
        <v>7</v>
      </c>
      <c r="S11" s="17">
        <f t="shared" ref="S11:AF11" si="3">SUM(C14:C17)</f>
        <v>300.28571428571428</v>
      </c>
      <c r="T11" s="17">
        <f t="shared" si="3"/>
        <v>35</v>
      </c>
      <c r="U11" s="17">
        <f t="shared" si="3"/>
        <v>45.857142857142861</v>
      </c>
      <c r="V11" s="17">
        <f t="shared" si="3"/>
        <v>238.28571428571431</v>
      </c>
      <c r="W11" s="17">
        <f t="shared" si="3"/>
        <v>6.1428571428571423</v>
      </c>
      <c r="X11" s="17">
        <f t="shared" si="3"/>
        <v>3</v>
      </c>
      <c r="Y11" s="17">
        <f t="shared" si="3"/>
        <v>47.571428571428569</v>
      </c>
      <c r="Z11" s="17">
        <f t="shared" si="3"/>
        <v>36.714285714285715</v>
      </c>
      <c r="AA11" s="17">
        <f t="shared" si="3"/>
        <v>7.2857142857142856</v>
      </c>
      <c r="AB11" s="17">
        <f t="shared" si="3"/>
        <v>6.8571428571428577</v>
      </c>
      <c r="AC11" s="17">
        <f t="shared" si="3"/>
        <v>751.57142857142867</v>
      </c>
      <c r="AD11" s="17">
        <f t="shared" si="3"/>
        <v>0.14285714285714285</v>
      </c>
      <c r="AE11" s="31">
        <f t="shared" si="3"/>
        <v>727.14285714285711</v>
      </c>
      <c r="AF11" s="31">
        <f t="shared" si="3"/>
        <v>1478.7142857142858</v>
      </c>
    </row>
    <row r="12" spans="2:32" ht="23.1" customHeight="1" x14ac:dyDescent="0.25">
      <c r="B12" s="23" t="s">
        <v>39</v>
      </c>
      <c r="C12" s="49">
        <f>AVERAGE('22.07 Bulenga-Busega'!C12,'23.07 Bulenga-Busega'!C12,'24.07 Bulenga-Busega'!C12,'25.07 Bulenga-Busega'!C12,'26.07 Bulenga-Busega-24h'!C12,'27.07 Bulenga-Busega-24h'!C12,'28.07 Bulenga-Busega'!C12)</f>
        <v>74.428571428571431</v>
      </c>
      <c r="D12" s="49">
        <f>AVERAGE('22.07 Bulenga-Busega'!D12,'23.07 Bulenga-Busega'!D12,'24.07 Bulenga-Busega'!D12,'25.07 Bulenga-Busega'!D12,'26.07 Bulenga-Busega-24h'!D12,'27.07 Bulenga-Busega-24h'!D12,'28.07 Bulenga-Busega'!D12)</f>
        <v>14</v>
      </c>
      <c r="E12" s="49">
        <f>AVERAGE('22.07 Bulenga-Busega'!E12,'23.07 Bulenga-Busega'!E12,'24.07 Bulenga-Busega'!E12,'25.07 Bulenga-Busega'!E12,'26.07 Bulenga-Busega-24h'!E12,'27.07 Bulenga-Busega-24h'!E12,'28.07 Bulenga-Busega'!E12)</f>
        <v>16.714285714285715</v>
      </c>
      <c r="F12" s="49">
        <f>AVERAGE('22.07 Bulenga-Busega'!F12,'23.07 Bulenga-Busega'!F12,'24.07 Bulenga-Busega'!F12,'25.07 Bulenga-Busega'!F12,'26.07 Bulenga-Busega-24h'!F12,'27.07 Bulenga-Busega-24h'!F12,'28.07 Bulenga-Busega'!F12)</f>
        <v>69.142857142857139</v>
      </c>
      <c r="G12" s="49">
        <f>AVERAGE('22.07 Bulenga-Busega'!G12,'23.07 Bulenga-Busega'!G12,'24.07 Bulenga-Busega'!G12,'25.07 Bulenga-Busega'!G12,'26.07 Bulenga-Busega-24h'!G12,'27.07 Bulenga-Busega-24h'!G12,'28.07 Bulenga-Busega'!G12)</f>
        <v>3.1428571428571428</v>
      </c>
      <c r="H12" s="49">
        <f>AVERAGE('22.07 Bulenga-Busega'!H12,'23.07 Bulenga-Busega'!H12,'24.07 Bulenga-Busega'!H12,'25.07 Bulenga-Busega'!H12,'26.07 Bulenga-Busega-24h'!H12,'27.07 Bulenga-Busega-24h'!H12,'28.07 Bulenga-Busega'!H12)</f>
        <v>1.1428571428571428</v>
      </c>
      <c r="I12" s="49">
        <f>AVERAGE('22.07 Bulenga-Busega'!I12,'23.07 Bulenga-Busega'!I12,'24.07 Bulenga-Busega'!I12,'25.07 Bulenga-Busega'!I12,'26.07 Bulenga-Busega-24h'!I12,'27.07 Bulenga-Busega-24h'!I12,'28.07 Bulenga-Busega'!I12)</f>
        <v>16.285714285714285</v>
      </c>
      <c r="J12" s="49">
        <f>AVERAGE('22.07 Bulenga-Busega'!J12,'23.07 Bulenga-Busega'!J12,'24.07 Bulenga-Busega'!J12,'25.07 Bulenga-Busega'!J12,'26.07 Bulenga-Busega-24h'!J12,'27.07 Bulenga-Busega-24h'!J12,'28.07 Bulenga-Busega'!J12)</f>
        <v>11.714285714285714</v>
      </c>
      <c r="K12" s="49">
        <f>AVERAGE('22.07 Bulenga-Busega'!K12,'23.07 Bulenga-Busega'!K12,'24.07 Bulenga-Busega'!K12,'25.07 Bulenga-Busega'!K12,'26.07 Bulenga-Busega-24h'!K12,'27.07 Bulenga-Busega-24h'!K12,'28.07 Bulenga-Busega'!K12)</f>
        <v>2.4285714285714284</v>
      </c>
      <c r="L12" s="49">
        <f>AVERAGE('22.07 Bulenga-Busega'!L12,'23.07 Bulenga-Busega'!L12,'24.07 Bulenga-Busega'!L12,'25.07 Bulenga-Busega'!L12,'26.07 Bulenga-Busega-24h'!L12,'27.07 Bulenga-Busega-24h'!L12,'28.07 Bulenga-Busega'!L12)</f>
        <v>2.2857142857142856</v>
      </c>
      <c r="M12" s="49">
        <f>AVERAGE('22.07 Bulenga-Busega'!M12,'23.07 Bulenga-Busega'!M12,'24.07 Bulenga-Busega'!M12,'25.07 Bulenga-Busega'!M12,'26.07 Bulenga-Busega-24h'!M12,'27.07 Bulenga-Busega-24h'!M12,'28.07 Bulenga-Busega'!M12)</f>
        <v>162.71428571428572</v>
      </c>
      <c r="N12" s="49">
        <f>AVERAGE('22.07 Bulenga-Busega'!N12,'23.07 Bulenga-Busega'!N12,'24.07 Bulenga-Busega'!N12,'25.07 Bulenga-Busega'!N12,'26.07 Bulenga-Busega-24h'!N12,'27.07 Bulenga-Busega-24h'!N12,'28.07 Bulenga-Busega'!N12)</f>
        <v>0</v>
      </c>
      <c r="O12" s="15">
        <f t="shared" si="0"/>
        <v>211.28571428571425</v>
      </c>
      <c r="P12" s="15">
        <f t="shared" si="1"/>
        <v>374</v>
      </c>
      <c r="R12" s="1" t="s">
        <v>8</v>
      </c>
      <c r="S12" s="17">
        <f t="shared" ref="S12:AF12" si="4">SUM(C18:C21)</f>
        <v>296.14285714285717</v>
      </c>
      <c r="T12" s="17">
        <f t="shared" si="4"/>
        <v>31.428571428571431</v>
      </c>
      <c r="U12" s="17">
        <f t="shared" si="4"/>
        <v>41</v>
      </c>
      <c r="V12" s="17">
        <f t="shared" si="4"/>
        <v>217.57142857142856</v>
      </c>
      <c r="W12" s="17">
        <f t="shared" si="4"/>
        <v>14.285714285714286</v>
      </c>
      <c r="X12" s="17">
        <f t="shared" si="4"/>
        <v>1.2857142857142856</v>
      </c>
      <c r="Y12" s="17">
        <f t="shared" si="4"/>
        <v>47.285714285714292</v>
      </c>
      <c r="Z12" s="17">
        <f t="shared" si="4"/>
        <v>30.142857142857142</v>
      </c>
      <c r="AA12" s="17">
        <f t="shared" si="4"/>
        <v>3.1428571428571428</v>
      </c>
      <c r="AB12" s="17">
        <f t="shared" si="4"/>
        <v>6.2857142857142856</v>
      </c>
      <c r="AC12" s="17">
        <f t="shared" si="4"/>
        <v>801.14285714285711</v>
      </c>
      <c r="AD12" s="17">
        <f t="shared" si="4"/>
        <v>0</v>
      </c>
      <c r="AE12" s="31">
        <f t="shared" si="4"/>
        <v>688.57142857142856</v>
      </c>
      <c r="AF12" s="31">
        <f t="shared" si="4"/>
        <v>1489.7142857142858</v>
      </c>
    </row>
    <row r="13" spans="2:32" ht="23.1" customHeight="1" x14ac:dyDescent="0.25">
      <c r="B13" s="23" t="s">
        <v>40</v>
      </c>
      <c r="C13" s="49">
        <f>AVERAGE('22.07 Bulenga-Busega'!C13,'23.07 Bulenga-Busega'!C13,'24.07 Bulenga-Busega'!C13,'25.07 Bulenga-Busega'!C13,'26.07 Bulenga-Busega-24h'!C13,'27.07 Bulenga-Busega-24h'!C13,'28.07 Bulenga-Busega'!C13)</f>
        <v>78.428571428571431</v>
      </c>
      <c r="D13" s="49">
        <f>AVERAGE('22.07 Bulenga-Busega'!D13,'23.07 Bulenga-Busega'!D13,'24.07 Bulenga-Busega'!D13,'25.07 Bulenga-Busega'!D13,'26.07 Bulenga-Busega-24h'!D13,'27.07 Bulenga-Busega-24h'!D13,'28.07 Bulenga-Busega'!D13)</f>
        <v>9.7142857142857135</v>
      </c>
      <c r="E13" s="49">
        <f>AVERAGE('22.07 Bulenga-Busega'!E13,'23.07 Bulenga-Busega'!E13,'24.07 Bulenga-Busega'!E13,'25.07 Bulenga-Busega'!E13,'26.07 Bulenga-Busega-24h'!E13,'27.07 Bulenga-Busega-24h'!E13,'28.07 Bulenga-Busega'!E13)</f>
        <v>25.714285714285715</v>
      </c>
      <c r="F13" s="49">
        <f>AVERAGE('22.07 Bulenga-Busega'!F13,'23.07 Bulenga-Busega'!F13,'24.07 Bulenga-Busega'!F13,'25.07 Bulenga-Busega'!F13,'26.07 Bulenga-Busega-24h'!F13,'27.07 Bulenga-Busega-24h'!F13,'28.07 Bulenga-Busega'!F13)</f>
        <v>72.714285714285708</v>
      </c>
      <c r="G13" s="49">
        <f>AVERAGE('22.07 Bulenga-Busega'!G13,'23.07 Bulenga-Busega'!G13,'24.07 Bulenga-Busega'!G13,'25.07 Bulenga-Busega'!G13,'26.07 Bulenga-Busega-24h'!G13,'27.07 Bulenga-Busega-24h'!G13,'28.07 Bulenga-Busega'!G13)</f>
        <v>2.4285714285714284</v>
      </c>
      <c r="H13" s="49">
        <f>AVERAGE('22.07 Bulenga-Busega'!H13,'23.07 Bulenga-Busega'!H13,'24.07 Bulenga-Busega'!H13,'25.07 Bulenga-Busega'!H13,'26.07 Bulenga-Busega-24h'!H13,'27.07 Bulenga-Busega-24h'!H13,'28.07 Bulenga-Busega'!H13)</f>
        <v>1</v>
      </c>
      <c r="I13" s="49">
        <f>AVERAGE('22.07 Bulenga-Busega'!I13,'23.07 Bulenga-Busega'!I13,'24.07 Bulenga-Busega'!I13,'25.07 Bulenga-Busega'!I13,'26.07 Bulenga-Busega-24h'!I13,'27.07 Bulenga-Busega-24h'!I13,'28.07 Bulenga-Busega'!I13)</f>
        <v>14.428571428571429</v>
      </c>
      <c r="J13" s="49">
        <f>AVERAGE('22.07 Bulenga-Busega'!J13,'23.07 Bulenga-Busega'!J13,'24.07 Bulenga-Busega'!J13,'25.07 Bulenga-Busega'!J13,'26.07 Bulenga-Busega-24h'!J13,'27.07 Bulenga-Busega-24h'!J13,'28.07 Bulenga-Busega'!J13)</f>
        <v>10.714285714285714</v>
      </c>
      <c r="K13" s="49">
        <f>AVERAGE('22.07 Bulenga-Busega'!K13,'23.07 Bulenga-Busega'!K13,'24.07 Bulenga-Busega'!K13,'25.07 Bulenga-Busega'!K13,'26.07 Bulenga-Busega-24h'!K13,'27.07 Bulenga-Busega-24h'!K13,'28.07 Bulenga-Busega'!K13)</f>
        <v>3.2857142857142856</v>
      </c>
      <c r="L13" s="49">
        <f>AVERAGE('22.07 Bulenga-Busega'!L13,'23.07 Bulenga-Busega'!L13,'24.07 Bulenga-Busega'!L13,'25.07 Bulenga-Busega'!L13,'26.07 Bulenga-Busega-24h'!L13,'27.07 Bulenga-Busega-24h'!L13,'28.07 Bulenga-Busega'!L13)</f>
        <v>3</v>
      </c>
      <c r="M13" s="49">
        <f>AVERAGE('22.07 Bulenga-Busega'!M13,'23.07 Bulenga-Busega'!M13,'24.07 Bulenga-Busega'!M13,'25.07 Bulenga-Busega'!M13,'26.07 Bulenga-Busega-24h'!M13,'27.07 Bulenga-Busega-24h'!M13,'28.07 Bulenga-Busega'!M13)</f>
        <v>208.28571428571428</v>
      </c>
      <c r="N13" s="49">
        <f>AVERAGE('22.07 Bulenga-Busega'!N13,'23.07 Bulenga-Busega'!N13,'24.07 Bulenga-Busega'!N13,'25.07 Bulenga-Busega'!N13,'26.07 Bulenga-Busega-24h'!N13,'27.07 Bulenga-Busega-24h'!N13,'28.07 Bulenga-Busega'!N13)</f>
        <v>0</v>
      </c>
      <c r="O13" s="15">
        <f t="shared" si="0"/>
        <v>221.42857142857139</v>
      </c>
      <c r="P13" s="15">
        <f t="shared" si="1"/>
        <v>429.71428571428567</v>
      </c>
      <c r="R13" s="1" t="s">
        <v>9</v>
      </c>
      <c r="S13" s="17">
        <f t="shared" ref="S13:AF13" si="5">SUM(C22:C25)</f>
        <v>290.71428571428572</v>
      </c>
      <c r="T13" s="17">
        <f t="shared" si="5"/>
        <v>26.857142857142858</v>
      </c>
      <c r="U13" s="17">
        <f t="shared" si="5"/>
        <v>31.857142857142858</v>
      </c>
      <c r="V13" s="17">
        <f t="shared" si="5"/>
        <v>194.85714285714289</v>
      </c>
      <c r="W13" s="17">
        <f t="shared" si="5"/>
        <v>5.7142857142857135</v>
      </c>
      <c r="X13" s="17">
        <f t="shared" si="5"/>
        <v>0.8571428571428571</v>
      </c>
      <c r="Y13" s="17">
        <f t="shared" si="5"/>
        <v>33.571428571428569</v>
      </c>
      <c r="Z13" s="17">
        <f t="shared" si="5"/>
        <v>26.571428571428569</v>
      </c>
      <c r="AA13" s="17">
        <f t="shared" si="5"/>
        <v>6.2857142857142865</v>
      </c>
      <c r="AB13" s="17">
        <f t="shared" si="5"/>
        <v>4.2857142857142856</v>
      </c>
      <c r="AC13" s="17">
        <f t="shared" si="5"/>
        <v>747.85714285714278</v>
      </c>
      <c r="AD13" s="17">
        <f t="shared" si="5"/>
        <v>0</v>
      </c>
      <c r="AE13" s="31">
        <f t="shared" si="5"/>
        <v>621.57142857142867</v>
      </c>
      <c r="AF13" s="31">
        <f t="shared" si="5"/>
        <v>1369.4285714285716</v>
      </c>
    </row>
    <row r="14" spans="2:32" ht="23.1" customHeight="1" x14ac:dyDescent="0.25">
      <c r="B14" s="23" t="s">
        <v>41</v>
      </c>
      <c r="C14" s="49">
        <f>AVERAGE('22.07 Bulenga-Busega'!C14,'23.07 Bulenga-Busega'!C14,'24.07 Bulenga-Busega'!C14,'25.07 Bulenga-Busega'!C14,'26.07 Bulenga-Busega-24h'!C14,'27.07 Bulenga-Busega-24h'!C14,'28.07 Bulenga-Busega'!C14)</f>
        <v>78.714285714285708</v>
      </c>
      <c r="D14" s="49">
        <f>AVERAGE('22.07 Bulenga-Busega'!D14,'23.07 Bulenga-Busega'!D14,'24.07 Bulenga-Busega'!D14,'25.07 Bulenga-Busega'!D14,'26.07 Bulenga-Busega-24h'!D14,'27.07 Bulenga-Busega-24h'!D14,'28.07 Bulenga-Busega'!D14)</f>
        <v>10.142857142857142</v>
      </c>
      <c r="E14" s="49">
        <f>AVERAGE('22.07 Bulenga-Busega'!E14,'23.07 Bulenga-Busega'!E14,'24.07 Bulenga-Busega'!E14,'25.07 Bulenga-Busega'!E14,'26.07 Bulenga-Busega-24h'!E14,'27.07 Bulenga-Busega-24h'!E14,'28.07 Bulenga-Busega'!E14)</f>
        <v>13.285714285714286</v>
      </c>
      <c r="F14" s="49">
        <f>AVERAGE('22.07 Bulenga-Busega'!F14,'23.07 Bulenga-Busega'!F14,'24.07 Bulenga-Busega'!F14,'25.07 Bulenga-Busega'!F14,'26.07 Bulenga-Busega-24h'!F14,'27.07 Bulenga-Busega-24h'!F14,'28.07 Bulenga-Busega'!F14)</f>
        <v>61.857142857142854</v>
      </c>
      <c r="G14" s="49">
        <f>AVERAGE('22.07 Bulenga-Busega'!G14,'23.07 Bulenga-Busega'!G14,'24.07 Bulenga-Busega'!G14,'25.07 Bulenga-Busega'!G14,'26.07 Bulenga-Busega-24h'!G14,'27.07 Bulenga-Busega-24h'!G14,'28.07 Bulenga-Busega'!G14)</f>
        <v>2.4285714285714284</v>
      </c>
      <c r="H14" s="49">
        <f>AVERAGE('22.07 Bulenga-Busega'!H14,'23.07 Bulenga-Busega'!H14,'24.07 Bulenga-Busega'!H14,'25.07 Bulenga-Busega'!H14,'26.07 Bulenga-Busega-24h'!H14,'27.07 Bulenga-Busega-24h'!H14,'28.07 Bulenga-Busega'!H14)</f>
        <v>1.2857142857142858</v>
      </c>
      <c r="I14" s="49">
        <f>AVERAGE('22.07 Bulenga-Busega'!I14,'23.07 Bulenga-Busega'!I14,'24.07 Bulenga-Busega'!I14,'25.07 Bulenga-Busega'!I14,'26.07 Bulenga-Busega-24h'!I14,'27.07 Bulenga-Busega-24h'!I14,'28.07 Bulenga-Busega'!I14)</f>
        <v>13.571428571428571</v>
      </c>
      <c r="J14" s="49">
        <f>AVERAGE('22.07 Bulenga-Busega'!J14,'23.07 Bulenga-Busega'!J14,'24.07 Bulenga-Busega'!J14,'25.07 Bulenga-Busega'!J14,'26.07 Bulenga-Busega-24h'!J14,'27.07 Bulenga-Busega-24h'!J14,'28.07 Bulenga-Busega'!J14)</f>
        <v>13</v>
      </c>
      <c r="K14" s="49">
        <f>AVERAGE('22.07 Bulenga-Busega'!K14,'23.07 Bulenga-Busega'!K14,'24.07 Bulenga-Busega'!K14,'25.07 Bulenga-Busega'!K14,'26.07 Bulenga-Busega-24h'!K14,'27.07 Bulenga-Busega-24h'!K14,'28.07 Bulenga-Busega'!K14)</f>
        <v>1.4285714285714286</v>
      </c>
      <c r="L14" s="49">
        <f>AVERAGE('22.07 Bulenga-Busega'!L14,'23.07 Bulenga-Busega'!L14,'24.07 Bulenga-Busega'!L14,'25.07 Bulenga-Busega'!L14,'26.07 Bulenga-Busega-24h'!L14,'27.07 Bulenga-Busega-24h'!L14,'28.07 Bulenga-Busega'!L14)</f>
        <v>1.5714285714285714</v>
      </c>
      <c r="M14" s="49">
        <f>AVERAGE('22.07 Bulenga-Busega'!M14,'23.07 Bulenga-Busega'!M14,'24.07 Bulenga-Busega'!M14,'25.07 Bulenga-Busega'!M14,'26.07 Bulenga-Busega-24h'!M14,'27.07 Bulenga-Busega-24h'!M14,'28.07 Bulenga-Busega'!M14)</f>
        <v>174.57142857142858</v>
      </c>
      <c r="N14" s="49">
        <f>AVERAGE('22.07 Bulenga-Busega'!N14,'23.07 Bulenga-Busega'!N14,'24.07 Bulenga-Busega'!N14,'25.07 Bulenga-Busega'!N14,'26.07 Bulenga-Busega-24h'!N14,'27.07 Bulenga-Busega-24h'!N14,'28.07 Bulenga-Busega'!N14)</f>
        <v>0.14285714285714285</v>
      </c>
      <c r="O14" s="15">
        <f t="shared" si="0"/>
        <v>197.42857142857142</v>
      </c>
      <c r="P14" s="15">
        <f t="shared" si="1"/>
        <v>372.00000000000006</v>
      </c>
      <c r="R14" s="1" t="s">
        <v>10</v>
      </c>
      <c r="S14" s="17">
        <f t="shared" ref="S14:AF14" si="6">SUM(C26:C29)</f>
        <v>291.28571428571428</v>
      </c>
      <c r="T14" s="17">
        <f t="shared" si="6"/>
        <v>28.428571428571431</v>
      </c>
      <c r="U14" s="17">
        <f t="shared" si="6"/>
        <v>29</v>
      </c>
      <c r="V14" s="17">
        <f t="shared" si="6"/>
        <v>196.14285714285714</v>
      </c>
      <c r="W14" s="17">
        <f t="shared" si="6"/>
        <v>1.9999999999999998</v>
      </c>
      <c r="X14" s="17">
        <f t="shared" si="6"/>
        <v>1.5714285714285714</v>
      </c>
      <c r="Y14" s="17">
        <f t="shared" si="6"/>
        <v>31.714285714285715</v>
      </c>
      <c r="Z14" s="17">
        <f t="shared" si="6"/>
        <v>28.857142857142858</v>
      </c>
      <c r="AA14" s="17">
        <f t="shared" si="6"/>
        <v>3.5714285714285712</v>
      </c>
      <c r="AB14" s="17">
        <f t="shared" si="6"/>
        <v>8.4285714285714288</v>
      </c>
      <c r="AC14" s="17">
        <f t="shared" si="6"/>
        <v>759.57142857142856</v>
      </c>
      <c r="AD14" s="17">
        <f t="shared" si="6"/>
        <v>0</v>
      </c>
      <c r="AE14" s="31">
        <f t="shared" si="6"/>
        <v>621.00000000000011</v>
      </c>
      <c r="AF14" s="31">
        <f t="shared" si="6"/>
        <v>1380.5714285714287</v>
      </c>
    </row>
    <row r="15" spans="2:32" ht="23.1" customHeight="1" x14ac:dyDescent="0.25">
      <c r="B15" s="23" t="s">
        <v>42</v>
      </c>
      <c r="C15" s="49">
        <f>AVERAGE('22.07 Bulenga-Busega'!C15,'23.07 Bulenga-Busega'!C15,'24.07 Bulenga-Busega'!C15,'25.07 Bulenga-Busega'!C15,'26.07 Bulenga-Busega-24h'!C15,'27.07 Bulenga-Busega-24h'!C15,'28.07 Bulenga-Busega'!C15)</f>
        <v>79.714285714285708</v>
      </c>
      <c r="D15" s="49">
        <f>AVERAGE('22.07 Bulenga-Busega'!D15,'23.07 Bulenga-Busega'!D15,'24.07 Bulenga-Busega'!D15,'25.07 Bulenga-Busega'!D15,'26.07 Bulenga-Busega-24h'!D15,'27.07 Bulenga-Busega-24h'!D15,'28.07 Bulenga-Busega'!D15)</f>
        <v>9.1428571428571423</v>
      </c>
      <c r="E15" s="49">
        <f>AVERAGE('22.07 Bulenga-Busega'!E15,'23.07 Bulenga-Busega'!E15,'24.07 Bulenga-Busega'!E15,'25.07 Bulenga-Busega'!E15,'26.07 Bulenga-Busega-24h'!E15,'27.07 Bulenga-Busega-24h'!E15,'28.07 Bulenga-Busega'!E15)</f>
        <v>12.285714285714286</v>
      </c>
      <c r="F15" s="49">
        <f>AVERAGE('22.07 Bulenga-Busega'!F15,'23.07 Bulenga-Busega'!F15,'24.07 Bulenga-Busega'!F15,'25.07 Bulenga-Busega'!F15,'26.07 Bulenga-Busega-24h'!F15,'27.07 Bulenga-Busega-24h'!F15,'28.07 Bulenga-Busega'!F15)</f>
        <v>63</v>
      </c>
      <c r="G15" s="49">
        <f>AVERAGE('22.07 Bulenga-Busega'!G15,'23.07 Bulenga-Busega'!G15,'24.07 Bulenga-Busega'!G15,'25.07 Bulenga-Busega'!G15,'26.07 Bulenga-Busega-24h'!G15,'27.07 Bulenga-Busega-24h'!G15,'28.07 Bulenga-Busega'!G15)</f>
        <v>1.7142857142857142</v>
      </c>
      <c r="H15" s="49">
        <f>AVERAGE('22.07 Bulenga-Busega'!H15,'23.07 Bulenga-Busega'!H15,'24.07 Bulenga-Busega'!H15,'25.07 Bulenga-Busega'!H15,'26.07 Bulenga-Busega-24h'!H15,'27.07 Bulenga-Busega-24h'!H15,'28.07 Bulenga-Busega'!H15)</f>
        <v>0.7142857142857143</v>
      </c>
      <c r="I15" s="49">
        <f>AVERAGE('22.07 Bulenga-Busega'!I15,'23.07 Bulenga-Busega'!I15,'24.07 Bulenga-Busega'!I15,'25.07 Bulenga-Busega'!I15,'26.07 Bulenga-Busega-24h'!I15,'27.07 Bulenga-Busega-24h'!I15,'28.07 Bulenga-Busega'!I15)</f>
        <v>14.714285714285714</v>
      </c>
      <c r="J15" s="49">
        <f>AVERAGE('22.07 Bulenga-Busega'!J15,'23.07 Bulenga-Busega'!J15,'24.07 Bulenga-Busega'!J15,'25.07 Bulenga-Busega'!J15,'26.07 Bulenga-Busega-24h'!J15,'27.07 Bulenga-Busega-24h'!J15,'28.07 Bulenga-Busega'!J15)</f>
        <v>7.8571428571428568</v>
      </c>
      <c r="K15" s="49">
        <f>AVERAGE('22.07 Bulenga-Busega'!K15,'23.07 Bulenga-Busega'!K15,'24.07 Bulenga-Busega'!K15,'25.07 Bulenga-Busega'!K15,'26.07 Bulenga-Busega-24h'!K15,'27.07 Bulenga-Busega-24h'!K15,'28.07 Bulenga-Busega'!K15)</f>
        <v>1.8571428571428572</v>
      </c>
      <c r="L15" s="49">
        <f>AVERAGE('22.07 Bulenga-Busega'!L15,'23.07 Bulenga-Busega'!L15,'24.07 Bulenga-Busega'!L15,'25.07 Bulenga-Busega'!L15,'26.07 Bulenga-Busega-24h'!L15,'27.07 Bulenga-Busega-24h'!L15,'28.07 Bulenga-Busega'!L15)</f>
        <v>1.7142857142857142</v>
      </c>
      <c r="M15" s="49">
        <f>AVERAGE('22.07 Bulenga-Busega'!M15,'23.07 Bulenga-Busega'!M15,'24.07 Bulenga-Busega'!M15,'25.07 Bulenga-Busega'!M15,'26.07 Bulenga-Busega-24h'!M15,'27.07 Bulenga-Busega-24h'!M15,'28.07 Bulenga-Busega'!M15)</f>
        <v>187.14285714285714</v>
      </c>
      <c r="N15" s="49">
        <f>AVERAGE('22.07 Bulenga-Busega'!N15,'23.07 Bulenga-Busega'!N15,'24.07 Bulenga-Busega'!N15,'25.07 Bulenga-Busega'!N15,'26.07 Bulenga-Busega-24h'!N15,'27.07 Bulenga-Busega-24h'!N15,'28.07 Bulenga-Busega'!N15)</f>
        <v>0</v>
      </c>
      <c r="O15" s="15">
        <f t="shared" si="0"/>
        <v>192.71428571428575</v>
      </c>
      <c r="P15" s="15">
        <f t="shared" si="1"/>
        <v>379.85714285714289</v>
      </c>
      <c r="R15" s="1" t="s">
        <v>11</v>
      </c>
      <c r="S15" s="17">
        <f t="shared" ref="S15:AF15" si="7">SUM(C30:C33)</f>
        <v>238.57142857142858</v>
      </c>
      <c r="T15" s="17">
        <f t="shared" si="7"/>
        <v>24.142857142857142</v>
      </c>
      <c r="U15" s="17">
        <f t="shared" si="7"/>
        <v>31.428571428571431</v>
      </c>
      <c r="V15" s="17">
        <f t="shared" si="7"/>
        <v>153.85714285714286</v>
      </c>
      <c r="W15" s="17">
        <f t="shared" si="7"/>
        <v>1.4285714285714286</v>
      </c>
      <c r="X15" s="17">
        <f t="shared" si="7"/>
        <v>3</v>
      </c>
      <c r="Y15" s="17">
        <f t="shared" si="7"/>
        <v>37.714285714285715</v>
      </c>
      <c r="Z15" s="17">
        <f t="shared" si="7"/>
        <v>25.571428571428573</v>
      </c>
      <c r="AA15" s="17">
        <f t="shared" si="7"/>
        <v>2.1428571428571428</v>
      </c>
      <c r="AB15" s="17">
        <f t="shared" si="7"/>
        <v>39</v>
      </c>
      <c r="AC15" s="17">
        <f t="shared" si="7"/>
        <v>647.85714285714278</v>
      </c>
      <c r="AD15" s="17">
        <f t="shared" si="7"/>
        <v>0</v>
      </c>
      <c r="AE15" s="31">
        <f t="shared" si="7"/>
        <v>556.85714285714289</v>
      </c>
      <c r="AF15" s="31">
        <f t="shared" si="7"/>
        <v>1204.7142857142858</v>
      </c>
    </row>
    <row r="16" spans="2:32" ht="23.1" customHeight="1" x14ac:dyDescent="0.25">
      <c r="B16" s="23" t="s">
        <v>43</v>
      </c>
      <c r="C16" s="49">
        <f>AVERAGE('22.07 Bulenga-Busega'!C16,'23.07 Bulenga-Busega'!C16,'24.07 Bulenga-Busega'!C16,'25.07 Bulenga-Busega'!C16,'26.07 Bulenga-Busega-24h'!C16,'27.07 Bulenga-Busega-24h'!C16,'28.07 Bulenga-Busega'!C16)</f>
        <v>76</v>
      </c>
      <c r="D16" s="49">
        <f>AVERAGE('22.07 Bulenga-Busega'!D16,'23.07 Bulenga-Busega'!D16,'24.07 Bulenga-Busega'!D16,'25.07 Bulenga-Busega'!D16,'26.07 Bulenga-Busega-24h'!D16,'27.07 Bulenga-Busega-24h'!D16,'28.07 Bulenga-Busega'!D16)</f>
        <v>7.1428571428571432</v>
      </c>
      <c r="E16" s="49">
        <f>AVERAGE('22.07 Bulenga-Busega'!E16,'23.07 Bulenga-Busega'!E16,'24.07 Bulenga-Busega'!E16,'25.07 Bulenga-Busega'!E16,'26.07 Bulenga-Busega-24h'!E16,'27.07 Bulenga-Busega-24h'!E16,'28.07 Bulenga-Busega'!E16)</f>
        <v>12.142857142857142</v>
      </c>
      <c r="F16" s="49">
        <f>AVERAGE('22.07 Bulenga-Busega'!F16,'23.07 Bulenga-Busega'!F16,'24.07 Bulenga-Busega'!F16,'25.07 Bulenga-Busega'!F16,'26.07 Bulenga-Busega-24h'!F16,'27.07 Bulenga-Busega-24h'!F16,'28.07 Bulenga-Busega'!F16)</f>
        <v>62.714285714285715</v>
      </c>
      <c r="G16" s="49">
        <f>AVERAGE('22.07 Bulenga-Busega'!G16,'23.07 Bulenga-Busega'!G16,'24.07 Bulenga-Busega'!G16,'25.07 Bulenga-Busega'!G16,'26.07 Bulenga-Busega-24h'!G16,'27.07 Bulenga-Busega-24h'!G16,'28.07 Bulenga-Busega'!G16)</f>
        <v>1.2857142857142858</v>
      </c>
      <c r="H16" s="49">
        <f>AVERAGE('22.07 Bulenga-Busega'!H16,'23.07 Bulenga-Busega'!H16,'24.07 Bulenga-Busega'!H16,'25.07 Bulenga-Busega'!H16,'26.07 Bulenga-Busega-24h'!H16,'27.07 Bulenga-Busega-24h'!H16,'28.07 Bulenga-Busega'!H16)</f>
        <v>0.2857142857142857</v>
      </c>
      <c r="I16" s="49">
        <f>AVERAGE('22.07 Bulenga-Busega'!I16,'23.07 Bulenga-Busega'!I16,'24.07 Bulenga-Busega'!I16,'25.07 Bulenga-Busega'!I16,'26.07 Bulenga-Busega-24h'!I16,'27.07 Bulenga-Busega-24h'!I16,'28.07 Bulenga-Busega'!I16)</f>
        <v>9.2857142857142865</v>
      </c>
      <c r="J16" s="49">
        <f>AVERAGE('22.07 Bulenga-Busega'!J16,'23.07 Bulenga-Busega'!J16,'24.07 Bulenga-Busega'!J16,'25.07 Bulenga-Busega'!J16,'26.07 Bulenga-Busega-24h'!J16,'27.07 Bulenga-Busega-24h'!J16,'28.07 Bulenga-Busega'!J16)</f>
        <v>7.2857142857142856</v>
      </c>
      <c r="K16" s="49">
        <f>AVERAGE('22.07 Bulenga-Busega'!K16,'23.07 Bulenga-Busega'!K16,'24.07 Bulenga-Busega'!K16,'25.07 Bulenga-Busega'!K16,'26.07 Bulenga-Busega-24h'!K16,'27.07 Bulenga-Busega-24h'!K16,'28.07 Bulenga-Busega'!K16)</f>
        <v>2.7142857142857144</v>
      </c>
      <c r="L16" s="49">
        <f>AVERAGE('22.07 Bulenga-Busega'!L16,'23.07 Bulenga-Busega'!L16,'24.07 Bulenga-Busega'!L16,'25.07 Bulenga-Busega'!L16,'26.07 Bulenga-Busega-24h'!L16,'27.07 Bulenga-Busega-24h'!L16,'28.07 Bulenga-Busega'!L16)</f>
        <v>2.5714285714285716</v>
      </c>
      <c r="M16" s="49">
        <f>AVERAGE('22.07 Bulenga-Busega'!M16,'23.07 Bulenga-Busega'!M16,'24.07 Bulenga-Busega'!M16,'25.07 Bulenga-Busega'!M16,'26.07 Bulenga-Busega-24h'!M16,'27.07 Bulenga-Busega-24h'!M16,'28.07 Bulenga-Busega'!M16)</f>
        <v>188.14285714285714</v>
      </c>
      <c r="N16" s="49">
        <f>AVERAGE('22.07 Bulenga-Busega'!N16,'23.07 Bulenga-Busega'!N16,'24.07 Bulenga-Busega'!N16,'25.07 Bulenga-Busega'!N16,'26.07 Bulenga-Busega-24h'!N16,'27.07 Bulenga-Busega-24h'!N16,'28.07 Bulenga-Busega'!N16)</f>
        <v>0</v>
      </c>
      <c r="O16" s="15">
        <f t="shared" si="0"/>
        <v>181.42857142857142</v>
      </c>
      <c r="P16" s="15">
        <f t="shared" si="1"/>
        <v>369.57142857142856</v>
      </c>
      <c r="R16" s="1" t="s">
        <v>12</v>
      </c>
      <c r="S16" s="17">
        <f t="shared" ref="S16:AF16" si="8">SUM(C34:C37)</f>
        <v>226.57142857142858</v>
      </c>
      <c r="T16" s="17">
        <f t="shared" si="8"/>
        <v>28.857142857142854</v>
      </c>
      <c r="U16" s="17">
        <f t="shared" si="8"/>
        <v>33.285714285714292</v>
      </c>
      <c r="V16" s="17">
        <f t="shared" si="8"/>
        <v>152.28571428571428</v>
      </c>
      <c r="W16" s="17">
        <f t="shared" si="8"/>
        <v>4.7142857142857135</v>
      </c>
      <c r="X16" s="17">
        <f t="shared" si="8"/>
        <v>3.2857142857142856</v>
      </c>
      <c r="Y16" s="17">
        <f t="shared" si="8"/>
        <v>34.571428571428569</v>
      </c>
      <c r="Z16" s="17">
        <f t="shared" si="8"/>
        <v>30.285714285714285</v>
      </c>
      <c r="AA16" s="17">
        <f t="shared" si="8"/>
        <v>3.8571428571428572</v>
      </c>
      <c r="AB16" s="17">
        <f t="shared" si="8"/>
        <v>6.2857142857142847</v>
      </c>
      <c r="AC16" s="17">
        <f t="shared" si="8"/>
        <v>612.85714285714289</v>
      </c>
      <c r="AD16" s="17">
        <f t="shared" si="8"/>
        <v>0</v>
      </c>
      <c r="AE16" s="31">
        <f t="shared" si="8"/>
        <v>524</v>
      </c>
      <c r="AF16" s="31">
        <f t="shared" si="8"/>
        <v>1136.8571428571427</v>
      </c>
    </row>
    <row r="17" spans="2:32" ht="23.1" customHeight="1" x14ac:dyDescent="0.25">
      <c r="B17" s="23" t="s">
        <v>44</v>
      </c>
      <c r="C17" s="49">
        <f>AVERAGE('22.07 Bulenga-Busega'!C17,'23.07 Bulenga-Busega'!C17,'24.07 Bulenga-Busega'!C17,'25.07 Bulenga-Busega'!C17,'26.07 Bulenga-Busega-24h'!C17,'27.07 Bulenga-Busega-24h'!C17,'28.07 Bulenga-Busega'!C17)</f>
        <v>65.857142857142861</v>
      </c>
      <c r="D17" s="49">
        <f>AVERAGE('22.07 Bulenga-Busega'!D17,'23.07 Bulenga-Busega'!D17,'24.07 Bulenga-Busega'!D17,'25.07 Bulenga-Busega'!D17,'26.07 Bulenga-Busega-24h'!D17,'27.07 Bulenga-Busega-24h'!D17,'28.07 Bulenga-Busega'!D17)</f>
        <v>8.5714285714285712</v>
      </c>
      <c r="E17" s="49">
        <f>AVERAGE('22.07 Bulenga-Busega'!E17,'23.07 Bulenga-Busega'!E17,'24.07 Bulenga-Busega'!E17,'25.07 Bulenga-Busega'!E17,'26.07 Bulenga-Busega-24h'!E17,'27.07 Bulenga-Busega-24h'!E17,'28.07 Bulenga-Busega'!E17)</f>
        <v>8.1428571428571423</v>
      </c>
      <c r="F17" s="49">
        <f>AVERAGE('22.07 Bulenga-Busega'!F17,'23.07 Bulenga-Busega'!F17,'24.07 Bulenga-Busega'!F17,'25.07 Bulenga-Busega'!F17,'26.07 Bulenga-Busega-24h'!F17,'27.07 Bulenga-Busega-24h'!F17,'28.07 Bulenga-Busega'!F17)</f>
        <v>50.714285714285715</v>
      </c>
      <c r="G17" s="49">
        <f>AVERAGE('22.07 Bulenga-Busega'!G17,'23.07 Bulenga-Busega'!G17,'24.07 Bulenga-Busega'!G17,'25.07 Bulenga-Busega'!G17,'26.07 Bulenga-Busega-24h'!G17,'27.07 Bulenga-Busega-24h'!G17,'28.07 Bulenga-Busega'!G17)</f>
        <v>0.7142857142857143</v>
      </c>
      <c r="H17" s="49">
        <f>AVERAGE('22.07 Bulenga-Busega'!H17,'23.07 Bulenga-Busega'!H17,'24.07 Bulenga-Busega'!H17,'25.07 Bulenga-Busega'!H17,'26.07 Bulenga-Busega-24h'!H17,'27.07 Bulenga-Busega-24h'!H17,'28.07 Bulenga-Busega'!H17)</f>
        <v>0.7142857142857143</v>
      </c>
      <c r="I17" s="49">
        <f>AVERAGE('22.07 Bulenga-Busega'!I17,'23.07 Bulenga-Busega'!I17,'24.07 Bulenga-Busega'!I17,'25.07 Bulenga-Busega'!I17,'26.07 Bulenga-Busega-24h'!I17,'27.07 Bulenga-Busega-24h'!I17,'28.07 Bulenga-Busega'!I17)</f>
        <v>10</v>
      </c>
      <c r="J17" s="49">
        <f>AVERAGE('22.07 Bulenga-Busega'!J17,'23.07 Bulenga-Busega'!J17,'24.07 Bulenga-Busega'!J17,'25.07 Bulenga-Busega'!J17,'26.07 Bulenga-Busega-24h'!J17,'27.07 Bulenga-Busega-24h'!J17,'28.07 Bulenga-Busega'!J17)</f>
        <v>8.5714285714285712</v>
      </c>
      <c r="K17" s="49">
        <f>AVERAGE('22.07 Bulenga-Busega'!K17,'23.07 Bulenga-Busega'!K17,'24.07 Bulenga-Busega'!K17,'25.07 Bulenga-Busega'!K17,'26.07 Bulenga-Busega-24h'!K17,'27.07 Bulenga-Busega-24h'!K17,'28.07 Bulenga-Busega'!K17)</f>
        <v>1.2857142857142858</v>
      </c>
      <c r="L17" s="49">
        <f>AVERAGE('22.07 Bulenga-Busega'!L17,'23.07 Bulenga-Busega'!L17,'24.07 Bulenga-Busega'!L17,'25.07 Bulenga-Busega'!L17,'26.07 Bulenga-Busega-24h'!L17,'27.07 Bulenga-Busega-24h'!L17,'28.07 Bulenga-Busega'!L17)</f>
        <v>1</v>
      </c>
      <c r="M17" s="49">
        <f>AVERAGE('22.07 Bulenga-Busega'!M17,'23.07 Bulenga-Busega'!M17,'24.07 Bulenga-Busega'!M17,'25.07 Bulenga-Busega'!M17,'26.07 Bulenga-Busega-24h'!M17,'27.07 Bulenga-Busega-24h'!M17,'28.07 Bulenga-Busega'!M17)</f>
        <v>201.71428571428572</v>
      </c>
      <c r="N17" s="49">
        <f>AVERAGE('22.07 Bulenga-Busega'!N17,'23.07 Bulenga-Busega'!N17,'24.07 Bulenga-Busega'!N17,'25.07 Bulenga-Busega'!N17,'26.07 Bulenga-Busega-24h'!N17,'27.07 Bulenga-Busega-24h'!N17,'28.07 Bulenga-Busega'!N17)</f>
        <v>0</v>
      </c>
      <c r="O17" s="15">
        <f t="shared" si="0"/>
        <v>155.57142857142858</v>
      </c>
      <c r="P17" s="15">
        <f t="shared" si="1"/>
        <v>357.28571428571433</v>
      </c>
      <c r="R17" s="1" t="s">
        <v>13</v>
      </c>
      <c r="S17" s="17">
        <f t="shared" ref="S17:AF17" si="9">SUM(C38:C41)</f>
        <v>226.85714285714286</v>
      </c>
      <c r="T17" s="17">
        <f t="shared" si="9"/>
        <v>23.571428571428569</v>
      </c>
      <c r="U17" s="17">
        <f t="shared" si="9"/>
        <v>29.285714285714285</v>
      </c>
      <c r="V17" s="17">
        <f t="shared" si="9"/>
        <v>161.14285714285714</v>
      </c>
      <c r="W17" s="17">
        <f t="shared" si="9"/>
        <v>1.7142857142857144</v>
      </c>
      <c r="X17" s="17">
        <f t="shared" si="9"/>
        <v>2.8571428571428568</v>
      </c>
      <c r="Y17" s="17">
        <f t="shared" si="9"/>
        <v>36.714285714285715</v>
      </c>
      <c r="Z17" s="17">
        <f t="shared" si="9"/>
        <v>32.857142857142861</v>
      </c>
      <c r="AA17" s="17">
        <f t="shared" si="9"/>
        <v>9.5714285714285712</v>
      </c>
      <c r="AB17" s="17">
        <f t="shared" si="9"/>
        <v>40</v>
      </c>
      <c r="AC17" s="17">
        <f t="shared" si="9"/>
        <v>499.38571428571436</v>
      </c>
      <c r="AD17" s="17">
        <f t="shared" si="9"/>
        <v>26.428571428571427</v>
      </c>
      <c r="AE17" s="31">
        <f t="shared" si="9"/>
        <v>591</v>
      </c>
      <c r="AF17" s="31">
        <f t="shared" si="9"/>
        <v>1090.3857142857144</v>
      </c>
    </row>
    <row r="18" spans="2:32" ht="23.1" customHeight="1" x14ac:dyDescent="0.25">
      <c r="B18" s="23" t="s">
        <v>45</v>
      </c>
      <c r="C18" s="49">
        <f>AVERAGE('22.07 Bulenga-Busega'!C18,'23.07 Bulenga-Busega'!C18,'24.07 Bulenga-Busega'!C18,'25.07 Bulenga-Busega'!C18,'26.07 Bulenga-Busega-24h'!C18,'27.07 Bulenga-Busega-24h'!C18,'28.07 Bulenga-Busega'!C18)</f>
        <v>80.571428571428569</v>
      </c>
      <c r="D18" s="49">
        <f>AVERAGE('22.07 Bulenga-Busega'!D18,'23.07 Bulenga-Busega'!D18,'24.07 Bulenga-Busega'!D18,'25.07 Bulenga-Busega'!D18,'26.07 Bulenga-Busega-24h'!D18,'27.07 Bulenga-Busega-24h'!D18,'28.07 Bulenga-Busega'!D18)</f>
        <v>9.1428571428571423</v>
      </c>
      <c r="E18" s="49">
        <f>AVERAGE('22.07 Bulenga-Busega'!E18,'23.07 Bulenga-Busega'!E18,'24.07 Bulenga-Busega'!E18,'25.07 Bulenga-Busega'!E18,'26.07 Bulenga-Busega-24h'!E18,'27.07 Bulenga-Busega-24h'!E18,'28.07 Bulenga-Busega'!E18)</f>
        <v>12.285714285714286</v>
      </c>
      <c r="F18" s="49">
        <f>AVERAGE('22.07 Bulenga-Busega'!F18,'23.07 Bulenga-Busega'!F18,'24.07 Bulenga-Busega'!F18,'25.07 Bulenga-Busega'!F18,'26.07 Bulenga-Busega-24h'!F18,'27.07 Bulenga-Busega-24h'!F18,'28.07 Bulenga-Busega'!F18)</f>
        <v>56.571428571428569</v>
      </c>
      <c r="G18" s="49">
        <f>AVERAGE('22.07 Bulenga-Busega'!G18,'23.07 Bulenga-Busega'!G18,'24.07 Bulenga-Busega'!G18,'25.07 Bulenga-Busega'!G18,'26.07 Bulenga-Busega-24h'!G18,'27.07 Bulenga-Busega-24h'!G18,'28.07 Bulenga-Busega'!G18)</f>
        <v>9</v>
      </c>
      <c r="H18" s="49">
        <f>AVERAGE('22.07 Bulenga-Busega'!H18,'23.07 Bulenga-Busega'!H18,'24.07 Bulenga-Busega'!H18,'25.07 Bulenga-Busega'!H18,'26.07 Bulenga-Busega-24h'!H18,'27.07 Bulenga-Busega-24h'!H18,'28.07 Bulenga-Busega'!H18)</f>
        <v>0.2857142857142857</v>
      </c>
      <c r="I18" s="49">
        <f>AVERAGE('22.07 Bulenga-Busega'!I18,'23.07 Bulenga-Busega'!I18,'24.07 Bulenga-Busega'!I18,'25.07 Bulenga-Busega'!I18,'26.07 Bulenga-Busega-24h'!I18,'27.07 Bulenga-Busega-24h'!I18,'28.07 Bulenga-Busega'!I18)</f>
        <v>16.428571428571427</v>
      </c>
      <c r="J18" s="49">
        <f>AVERAGE('22.07 Bulenga-Busega'!J18,'23.07 Bulenga-Busega'!J18,'24.07 Bulenga-Busega'!J18,'25.07 Bulenga-Busega'!J18,'26.07 Bulenga-Busega-24h'!J18,'27.07 Bulenga-Busega-24h'!J18,'28.07 Bulenga-Busega'!J18)</f>
        <v>8.1428571428571423</v>
      </c>
      <c r="K18" s="49">
        <f>AVERAGE('22.07 Bulenga-Busega'!K18,'23.07 Bulenga-Busega'!K18,'24.07 Bulenga-Busega'!K18,'25.07 Bulenga-Busega'!K18,'26.07 Bulenga-Busega-24h'!K18,'27.07 Bulenga-Busega-24h'!K18,'28.07 Bulenga-Busega'!K18)</f>
        <v>0.8571428571428571</v>
      </c>
      <c r="L18" s="49">
        <f>AVERAGE('22.07 Bulenga-Busega'!L18,'23.07 Bulenga-Busega'!L18,'24.07 Bulenga-Busega'!L18,'25.07 Bulenga-Busega'!L18,'26.07 Bulenga-Busega-24h'!L18,'27.07 Bulenga-Busega-24h'!L18,'28.07 Bulenga-Busega'!L18)</f>
        <v>1.8571428571428572</v>
      </c>
      <c r="M18" s="49">
        <f>AVERAGE('22.07 Bulenga-Busega'!M18,'23.07 Bulenga-Busega'!M18,'24.07 Bulenga-Busega'!M18,'25.07 Bulenga-Busega'!M18,'26.07 Bulenga-Busega-24h'!M18,'27.07 Bulenga-Busega-24h'!M18,'28.07 Bulenga-Busega'!M18)</f>
        <v>204.71428571428572</v>
      </c>
      <c r="N18" s="49">
        <f>AVERAGE('22.07 Bulenga-Busega'!N18,'23.07 Bulenga-Busega'!N18,'24.07 Bulenga-Busega'!N18,'25.07 Bulenga-Busega'!N18,'26.07 Bulenga-Busega-24h'!N18,'27.07 Bulenga-Busega-24h'!N18,'28.07 Bulenga-Busega'!N18)</f>
        <v>0</v>
      </c>
      <c r="O18" s="15">
        <f t="shared" si="0"/>
        <v>195.14285714285711</v>
      </c>
      <c r="P18" s="15">
        <f t="shared" si="1"/>
        <v>399.85714285714283</v>
      </c>
      <c r="R18" s="1" t="s">
        <v>14</v>
      </c>
      <c r="S18" s="17">
        <f t="shared" ref="S18:AF18" si="10">SUM(C42:C45)</f>
        <v>252.42857142857142</v>
      </c>
      <c r="T18" s="17">
        <f t="shared" si="10"/>
        <v>27.285714285714285</v>
      </c>
      <c r="U18" s="17">
        <f t="shared" si="10"/>
        <v>31.571428571428569</v>
      </c>
      <c r="V18" s="17">
        <f t="shared" si="10"/>
        <v>178.85714285714286</v>
      </c>
      <c r="W18" s="17">
        <f t="shared" si="10"/>
        <v>2</v>
      </c>
      <c r="X18" s="17">
        <f t="shared" si="10"/>
        <v>2.7142857142857144</v>
      </c>
      <c r="Y18" s="17">
        <f t="shared" si="10"/>
        <v>49.000000000000007</v>
      </c>
      <c r="Z18" s="17">
        <f t="shared" si="10"/>
        <v>31.285714285714285</v>
      </c>
      <c r="AA18" s="17">
        <f t="shared" si="10"/>
        <v>7.4285714285714288</v>
      </c>
      <c r="AB18" s="17">
        <f t="shared" si="10"/>
        <v>8.2857142857142865</v>
      </c>
      <c r="AC18" s="17">
        <f t="shared" si="10"/>
        <v>638.71428571428567</v>
      </c>
      <c r="AD18" s="17">
        <f t="shared" si="10"/>
        <v>0</v>
      </c>
      <c r="AE18" s="31">
        <f t="shared" si="10"/>
        <v>590.85714285714289</v>
      </c>
      <c r="AF18" s="31">
        <f t="shared" si="10"/>
        <v>1229.5714285714284</v>
      </c>
    </row>
    <row r="19" spans="2:32" ht="23.1" customHeight="1" x14ac:dyDescent="0.25">
      <c r="B19" s="23" t="s">
        <v>46</v>
      </c>
      <c r="C19" s="49">
        <f>AVERAGE('22.07 Bulenga-Busega'!C19,'23.07 Bulenga-Busega'!C19,'24.07 Bulenga-Busega'!C19,'25.07 Bulenga-Busega'!C19,'26.07 Bulenga-Busega-24h'!C19,'27.07 Bulenga-Busega-24h'!C19,'28.07 Bulenga-Busega'!C19)</f>
        <v>70.285714285714292</v>
      </c>
      <c r="D19" s="49">
        <f>AVERAGE('22.07 Bulenga-Busega'!D19,'23.07 Bulenga-Busega'!D19,'24.07 Bulenga-Busega'!D19,'25.07 Bulenga-Busega'!D19,'26.07 Bulenga-Busega-24h'!D19,'27.07 Bulenga-Busega-24h'!D19,'28.07 Bulenga-Busega'!D19)</f>
        <v>8</v>
      </c>
      <c r="E19" s="49">
        <f>AVERAGE('22.07 Bulenga-Busega'!E19,'23.07 Bulenga-Busega'!E19,'24.07 Bulenga-Busega'!E19,'25.07 Bulenga-Busega'!E19,'26.07 Bulenga-Busega-24h'!E19,'27.07 Bulenga-Busega-24h'!E19,'28.07 Bulenga-Busega'!E19)</f>
        <v>12.285714285714286</v>
      </c>
      <c r="F19" s="49">
        <f>AVERAGE('22.07 Bulenga-Busega'!F19,'23.07 Bulenga-Busega'!F19,'24.07 Bulenga-Busega'!F19,'25.07 Bulenga-Busega'!F19,'26.07 Bulenga-Busega-24h'!F19,'27.07 Bulenga-Busega-24h'!F19,'28.07 Bulenga-Busega'!F19)</f>
        <v>58.714285714285715</v>
      </c>
      <c r="G19" s="49">
        <f>AVERAGE('22.07 Bulenga-Busega'!G19,'23.07 Bulenga-Busega'!G19,'24.07 Bulenga-Busega'!G19,'25.07 Bulenga-Busega'!G19,'26.07 Bulenga-Busega-24h'!G19,'27.07 Bulenga-Busega-24h'!G19,'28.07 Bulenga-Busega'!G19)</f>
        <v>2.7142857142857144</v>
      </c>
      <c r="H19" s="49">
        <f>AVERAGE('22.07 Bulenga-Busega'!H19,'23.07 Bulenga-Busega'!H19,'24.07 Bulenga-Busega'!H19,'25.07 Bulenga-Busega'!H19,'26.07 Bulenga-Busega-24h'!H19,'27.07 Bulenga-Busega-24h'!H19,'28.07 Bulenga-Busega'!H19)</f>
        <v>0.14285714285714285</v>
      </c>
      <c r="I19" s="49">
        <f>AVERAGE('22.07 Bulenga-Busega'!I19,'23.07 Bulenga-Busega'!I19,'24.07 Bulenga-Busega'!I19,'25.07 Bulenga-Busega'!I19,'26.07 Bulenga-Busega-24h'!I19,'27.07 Bulenga-Busega-24h'!I19,'28.07 Bulenga-Busega'!I19)</f>
        <v>10.571428571428571</v>
      </c>
      <c r="J19" s="49">
        <f>AVERAGE('22.07 Bulenga-Busega'!J19,'23.07 Bulenga-Busega'!J19,'24.07 Bulenga-Busega'!J19,'25.07 Bulenga-Busega'!J19,'26.07 Bulenga-Busega-24h'!J19,'27.07 Bulenga-Busega-24h'!J19,'28.07 Bulenga-Busega'!J19)</f>
        <v>6.8571428571428568</v>
      </c>
      <c r="K19" s="49">
        <f>AVERAGE('22.07 Bulenga-Busega'!K19,'23.07 Bulenga-Busega'!K19,'24.07 Bulenga-Busega'!K19,'25.07 Bulenga-Busega'!K19,'26.07 Bulenga-Busega-24h'!K19,'27.07 Bulenga-Busega-24h'!K19,'28.07 Bulenga-Busega'!K19)</f>
        <v>0.5714285714285714</v>
      </c>
      <c r="L19" s="49">
        <f>AVERAGE('22.07 Bulenga-Busega'!L19,'23.07 Bulenga-Busega'!L19,'24.07 Bulenga-Busega'!L19,'25.07 Bulenga-Busega'!L19,'26.07 Bulenga-Busega-24h'!L19,'27.07 Bulenga-Busega-24h'!L19,'28.07 Bulenga-Busega'!L19)</f>
        <v>1.1428571428571428</v>
      </c>
      <c r="M19" s="49">
        <f>AVERAGE('22.07 Bulenga-Busega'!M19,'23.07 Bulenga-Busega'!M19,'24.07 Bulenga-Busega'!M19,'25.07 Bulenga-Busega'!M19,'26.07 Bulenga-Busega-24h'!M19,'27.07 Bulenga-Busega-24h'!M19,'28.07 Bulenga-Busega'!M19)</f>
        <v>199.71428571428572</v>
      </c>
      <c r="N19" s="49">
        <f>AVERAGE('22.07 Bulenga-Busega'!N19,'23.07 Bulenga-Busega'!N19,'24.07 Bulenga-Busega'!N19,'25.07 Bulenga-Busega'!N19,'26.07 Bulenga-Busega-24h'!N19,'27.07 Bulenga-Busega-24h'!N19,'28.07 Bulenga-Busega'!N19)</f>
        <v>0</v>
      </c>
      <c r="O19" s="15">
        <f t="shared" si="0"/>
        <v>171.28571428571433</v>
      </c>
      <c r="P19" s="15">
        <f t="shared" si="1"/>
        <v>371.00000000000006</v>
      </c>
      <c r="R19" s="1" t="s">
        <v>15</v>
      </c>
      <c r="S19" s="17">
        <f t="shared" ref="S19:AF19" si="11">SUM(C46:C49)</f>
        <v>249.57142857142856</v>
      </c>
      <c r="T19" s="17">
        <f t="shared" si="11"/>
        <v>32</v>
      </c>
      <c r="U19" s="17">
        <f t="shared" si="11"/>
        <v>37</v>
      </c>
      <c r="V19" s="17">
        <f t="shared" si="11"/>
        <v>181.57142857142856</v>
      </c>
      <c r="W19" s="17">
        <f t="shared" si="11"/>
        <v>2.2857142857142856</v>
      </c>
      <c r="X19" s="17">
        <f t="shared" si="11"/>
        <v>2.1428571428571428</v>
      </c>
      <c r="Y19" s="17">
        <f t="shared" si="11"/>
        <v>45.142857142857139</v>
      </c>
      <c r="Z19" s="17">
        <f t="shared" si="11"/>
        <v>40.285714285714285</v>
      </c>
      <c r="AA19" s="17">
        <f t="shared" si="11"/>
        <v>8.1428571428571423</v>
      </c>
      <c r="AB19" s="17">
        <f t="shared" si="11"/>
        <v>11.714285714285715</v>
      </c>
      <c r="AC19" s="17">
        <f t="shared" si="11"/>
        <v>662.14285714285711</v>
      </c>
      <c r="AD19" s="17">
        <f t="shared" si="11"/>
        <v>0</v>
      </c>
      <c r="AE19" s="31">
        <f t="shared" si="11"/>
        <v>609.85714285714289</v>
      </c>
      <c r="AF19" s="31">
        <f t="shared" si="11"/>
        <v>1272</v>
      </c>
    </row>
    <row r="20" spans="2:32" ht="23.1" customHeight="1" x14ac:dyDescent="0.25">
      <c r="B20" s="23" t="s">
        <v>47</v>
      </c>
      <c r="C20" s="49">
        <f>AVERAGE('22.07 Bulenga-Busega'!C20,'23.07 Bulenga-Busega'!C20,'24.07 Bulenga-Busega'!C20,'25.07 Bulenga-Busega'!C20,'26.07 Bulenga-Busega-24h'!C20,'27.07 Bulenga-Busega-24h'!C20,'28.07 Bulenga-Busega'!C20)</f>
        <v>71.571428571428569</v>
      </c>
      <c r="D20" s="49">
        <f>AVERAGE('22.07 Bulenga-Busega'!D20,'23.07 Bulenga-Busega'!D20,'24.07 Bulenga-Busega'!D20,'25.07 Bulenga-Busega'!D20,'26.07 Bulenga-Busega-24h'!D20,'27.07 Bulenga-Busega-24h'!D20,'28.07 Bulenga-Busega'!D20)</f>
        <v>8.2857142857142865</v>
      </c>
      <c r="E20" s="49">
        <f>AVERAGE('22.07 Bulenga-Busega'!E20,'23.07 Bulenga-Busega'!E20,'24.07 Bulenga-Busega'!E20,'25.07 Bulenga-Busega'!E20,'26.07 Bulenga-Busega-24h'!E20,'27.07 Bulenga-Busega-24h'!E20,'28.07 Bulenga-Busega'!E20)</f>
        <v>7</v>
      </c>
      <c r="F20" s="49">
        <f>AVERAGE('22.07 Bulenga-Busega'!F20,'23.07 Bulenga-Busega'!F20,'24.07 Bulenga-Busega'!F20,'25.07 Bulenga-Busega'!F20,'26.07 Bulenga-Busega-24h'!F20,'27.07 Bulenga-Busega-24h'!F20,'28.07 Bulenga-Busega'!F20)</f>
        <v>51.857142857142854</v>
      </c>
      <c r="G20" s="49">
        <f>AVERAGE('22.07 Bulenga-Busega'!G20,'23.07 Bulenga-Busega'!G20,'24.07 Bulenga-Busega'!G20,'25.07 Bulenga-Busega'!G20,'26.07 Bulenga-Busega-24h'!G20,'27.07 Bulenga-Busega-24h'!G20,'28.07 Bulenga-Busega'!G20)</f>
        <v>0.8571428571428571</v>
      </c>
      <c r="H20" s="49">
        <f>AVERAGE('22.07 Bulenga-Busega'!H20,'23.07 Bulenga-Busega'!H20,'24.07 Bulenga-Busega'!H20,'25.07 Bulenga-Busega'!H20,'26.07 Bulenga-Busega-24h'!H20,'27.07 Bulenga-Busega-24h'!H20,'28.07 Bulenga-Busega'!H20)</f>
        <v>0.5714285714285714</v>
      </c>
      <c r="I20" s="49">
        <f>AVERAGE('22.07 Bulenga-Busega'!I20,'23.07 Bulenga-Busega'!I20,'24.07 Bulenga-Busega'!I20,'25.07 Bulenga-Busega'!I20,'26.07 Bulenga-Busega-24h'!I20,'27.07 Bulenga-Busega-24h'!I20,'28.07 Bulenga-Busega'!I20)</f>
        <v>10.857142857142858</v>
      </c>
      <c r="J20" s="49">
        <f>AVERAGE('22.07 Bulenga-Busega'!J20,'23.07 Bulenga-Busega'!J20,'24.07 Bulenga-Busega'!J20,'25.07 Bulenga-Busega'!J20,'26.07 Bulenga-Busega-24h'!J20,'27.07 Bulenga-Busega-24h'!J20,'28.07 Bulenga-Busega'!J20)</f>
        <v>6</v>
      </c>
      <c r="K20" s="49">
        <f>AVERAGE('22.07 Bulenga-Busega'!K20,'23.07 Bulenga-Busega'!K20,'24.07 Bulenga-Busega'!K20,'25.07 Bulenga-Busega'!K20,'26.07 Bulenga-Busega-24h'!K20,'27.07 Bulenga-Busega-24h'!K20,'28.07 Bulenga-Busega'!K20)</f>
        <v>0.8571428571428571</v>
      </c>
      <c r="L20" s="49">
        <f>AVERAGE('22.07 Bulenga-Busega'!L20,'23.07 Bulenga-Busega'!L20,'24.07 Bulenga-Busega'!L20,'25.07 Bulenga-Busega'!L20,'26.07 Bulenga-Busega-24h'!L20,'27.07 Bulenga-Busega-24h'!L20,'28.07 Bulenga-Busega'!L20)</f>
        <v>2</v>
      </c>
      <c r="M20" s="49">
        <f>AVERAGE('22.07 Bulenga-Busega'!M20,'23.07 Bulenga-Busega'!M20,'24.07 Bulenga-Busega'!M20,'25.07 Bulenga-Busega'!M20,'26.07 Bulenga-Busega-24h'!M20,'27.07 Bulenga-Busega-24h'!M20,'28.07 Bulenga-Busega'!M20)</f>
        <v>182</v>
      </c>
      <c r="N20" s="49">
        <f>AVERAGE('22.07 Bulenga-Busega'!N20,'23.07 Bulenga-Busega'!N20,'24.07 Bulenga-Busega'!N20,'25.07 Bulenga-Busega'!N20,'26.07 Bulenga-Busega-24h'!N20,'27.07 Bulenga-Busega-24h'!N20,'28.07 Bulenga-Busega'!N20)</f>
        <v>0</v>
      </c>
      <c r="O20" s="15">
        <f t="shared" si="0"/>
        <v>159.85714285714289</v>
      </c>
      <c r="P20" s="15">
        <f t="shared" si="1"/>
        <v>341.85714285714289</v>
      </c>
      <c r="R20" s="1" t="s">
        <v>16</v>
      </c>
      <c r="S20" s="17">
        <f t="shared" ref="S20:AF20" si="12">SUM(C50:C53)</f>
        <v>384.14285714285711</v>
      </c>
      <c r="T20" s="17">
        <f t="shared" si="12"/>
        <v>32.571428571428569</v>
      </c>
      <c r="U20" s="17">
        <f t="shared" si="12"/>
        <v>58.857142857142854</v>
      </c>
      <c r="V20" s="17">
        <f t="shared" si="12"/>
        <v>227.42857142857144</v>
      </c>
      <c r="W20" s="17">
        <f t="shared" si="12"/>
        <v>12.142857142857144</v>
      </c>
      <c r="X20" s="17">
        <f t="shared" si="12"/>
        <v>10.285714285714285</v>
      </c>
      <c r="Y20" s="17">
        <f t="shared" si="12"/>
        <v>41.571428571428569</v>
      </c>
      <c r="Z20" s="17">
        <f t="shared" si="12"/>
        <v>35</v>
      </c>
      <c r="AA20" s="17">
        <f t="shared" si="12"/>
        <v>10</v>
      </c>
      <c r="AB20" s="17">
        <f t="shared" si="12"/>
        <v>10</v>
      </c>
      <c r="AC20" s="17">
        <f t="shared" si="12"/>
        <v>703.28571428571433</v>
      </c>
      <c r="AD20" s="17">
        <f t="shared" si="12"/>
        <v>0.14285714285714285</v>
      </c>
      <c r="AE20" s="31">
        <f t="shared" si="12"/>
        <v>822.14285714285711</v>
      </c>
      <c r="AF20" s="31">
        <f t="shared" si="12"/>
        <v>1525.4285714285716</v>
      </c>
    </row>
    <row r="21" spans="2:32" ht="23.1" customHeight="1" x14ac:dyDescent="0.25">
      <c r="B21" s="23" t="s">
        <v>48</v>
      </c>
      <c r="C21" s="49">
        <f>AVERAGE('22.07 Bulenga-Busega'!C21,'23.07 Bulenga-Busega'!C21,'24.07 Bulenga-Busega'!C21,'25.07 Bulenga-Busega'!C21,'26.07 Bulenga-Busega-24h'!C21,'27.07 Bulenga-Busega-24h'!C21,'28.07 Bulenga-Busega'!C21)</f>
        <v>73.714285714285708</v>
      </c>
      <c r="D21" s="49">
        <f>AVERAGE('22.07 Bulenga-Busega'!D21,'23.07 Bulenga-Busega'!D21,'24.07 Bulenga-Busega'!D21,'25.07 Bulenga-Busega'!D21,'26.07 Bulenga-Busega-24h'!D21,'27.07 Bulenga-Busega-24h'!D21,'28.07 Bulenga-Busega'!D21)</f>
        <v>6</v>
      </c>
      <c r="E21" s="49">
        <f>AVERAGE('22.07 Bulenga-Busega'!E21,'23.07 Bulenga-Busega'!E21,'24.07 Bulenga-Busega'!E21,'25.07 Bulenga-Busega'!E21,'26.07 Bulenga-Busega-24h'!E21,'27.07 Bulenga-Busega-24h'!E21,'28.07 Bulenga-Busega'!E21)</f>
        <v>9.4285714285714288</v>
      </c>
      <c r="F21" s="49">
        <f>AVERAGE('22.07 Bulenga-Busega'!F21,'23.07 Bulenga-Busega'!F21,'24.07 Bulenga-Busega'!F21,'25.07 Bulenga-Busega'!F21,'26.07 Bulenga-Busega-24h'!F21,'27.07 Bulenga-Busega-24h'!F21,'28.07 Bulenga-Busega'!F21)</f>
        <v>50.428571428571431</v>
      </c>
      <c r="G21" s="49">
        <f>AVERAGE('22.07 Bulenga-Busega'!G21,'23.07 Bulenga-Busega'!G21,'24.07 Bulenga-Busega'!G21,'25.07 Bulenga-Busega'!G21,'26.07 Bulenga-Busega-24h'!G21,'27.07 Bulenga-Busega-24h'!G21,'28.07 Bulenga-Busega'!G21)</f>
        <v>1.7142857142857142</v>
      </c>
      <c r="H21" s="49">
        <f>AVERAGE('22.07 Bulenga-Busega'!H21,'23.07 Bulenga-Busega'!H21,'24.07 Bulenga-Busega'!H21,'25.07 Bulenga-Busega'!H21,'26.07 Bulenga-Busega-24h'!H21,'27.07 Bulenga-Busega-24h'!H21,'28.07 Bulenga-Busega'!H21)</f>
        <v>0.2857142857142857</v>
      </c>
      <c r="I21" s="49">
        <f>AVERAGE('22.07 Bulenga-Busega'!I21,'23.07 Bulenga-Busega'!I21,'24.07 Bulenga-Busega'!I21,'25.07 Bulenga-Busega'!I21,'26.07 Bulenga-Busega-24h'!I21,'27.07 Bulenga-Busega-24h'!I21,'28.07 Bulenga-Busega'!I21)</f>
        <v>9.4285714285714288</v>
      </c>
      <c r="J21" s="49">
        <f>AVERAGE('22.07 Bulenga-Busega'!J21,'23.07 Bulenga-Busega'!J21,'24.07 Bulenga-Busega'!J21,'25.07 Bulenga-Busega'!J21,'26.07 Bulenga-Busega-24h'!J21,'27.07 Bulenga-Busega-24h'!J21,'28.07 Bulenga-Busega'!J21)</f>
        <v>9.1428571428571423</v>
      </c>
      <c r="K21" s="49">
        <f>AVERAGE('22.07 Bulenga-Busega'!K21,'23.07 Bulenga-Busega'!K21,'24.07 Bulenga-Busega'!K21,'25.07 Bulenga-Busega'!K21,'26.07 Bulenga-Busega-24h'!K21,'27.07 Bulenga-Busega-24h'!K21,'28.07 Bulenga-Busega'!K21)</f>
        <v>0.8571428571428571</v>
      </c>
      <c r="L21" s="49">
        <f>AVERAGE('22.07 Bulenga-Busega'!L21,'23.07 Bulenga-Busega'!L21,'24.07 Bulenga-Busega'!L21,'25.07 Bulenga-Busega'!L21,'26.07 Bulenga-Busega-24h'!L21,'27.07 Bulenga-Busega-24h'!L21,'28.07 Bulenga-Busega'!L21)</f>
        <v>1.2857142857142858</v>
      </c>
      <c r="M21" s="49">
        <f>AVERAGE('22.07 Bulenga-Busega'!M21,'23.07 Bulenga-Busega'!M21,'24.07 Bulenga-Busega'!M21,'25.07 Bulenga-Busega'!M21,'26.07 Bulenga-Busega-24h'!M21,'27.07 Bulenga-Busega-24h'!M21,'28.07 Bulenga-Busega'!M21)</f>
        <v>214.71428571428572</v>
      </c>
      <c r="N21" s="49">
        <f>AVERAGE('22.07 Bulenga-Busega'!N21,'23.07 Bulenga-Busega'!N21,'24.07 Bulenga-Busega'!N21,'25.07 Bulenga-Busega'!N21,'26.07 Bulenga-Busega-24h'!N21,'27.07 Bulenga-Busega-24h'!N21,'28.07 Bulenga-Busega'!N21)</f>
        <v>0</v>
      </c>
      <c r="O21" s="15">
        <f t="shared" si="0"/>
        <v>162.28571428571425</v>
      </c>
      <c r="P21" s="15">
        <f t="shared" si="1"/>
        <v>377</v>
      </c>
      <c r="R21" s="36" t="s">
        <v>20</v>
      </c>
      <c r="S21" s="34">
        <f t="shared" ref="S21:AF33" si="13">SUM(C54:C57)</f>
        <v>273.42857142857144</v>
      </c>
      <c r="T21" s="17">
        <f t="shared" si="13"/>
        <v>39.285714285714285</v>
      </c>
      <c r="U21" s="17">
        <f t="shared" si="13"/>
        <v>32.142857142857139</v>
      </c>
      <c r="V21" s="17">
        <f t="shared" si="13"/>
        <v>218</v>
      </c>
      <c r="W21" s="17">
        <f t="shared" si="13"/>
        <v>9.4285714285714288</v>
      </c>
      <c r="X21" s="17">
        <f t="shared" si="13"/>
        <v>9.1428571428571423</v>
      </c>
      <c r="Y21" s="17">
        <f t="shared" si="13"/>
        <v>45</v>
      </c>
      <c r="Z21" s="17">
        <f t="shared" si="13"/>
        <v>24.714285714285715</v>
      </c>
      <c r="AA21" s="17">
        <f t="shared" si="13"/>
        <v>4.2857142857142856</v>
      </c>
      <c r="AB21" s="17">
        <f t="shared" si="13"/>
        <v>8.428571428571427</v>
      </c>
      <c r="AC21" s="17">
        <f t="shared" si="13"/>
        <v>613.14285714285711</v>
      </c>
      <c r="AD21" s="17">
        <f t="shared" si="13"/>
        <v>0</v>
      </c>
      <c r="AE21" s="31">
        <f t="shared" si="13"/>
        <v>663.85714285714289</v>
      </c>
      <c r="AF21" s="31">
        <f t="shared" si="13"/>
        <v>1277</v>
      </c>
    </row>
    <row r="22" spans="2:32" ht="23.1" customHeight="1" x14ac:dyDescent="0.25">
      <c r="B22" s="23" t="s">
        <v>49</v>
      </c>
      <c r="C22" s="49">
        <f>AVERAGE('22.07 Bulenga-Busega'!C22,'23.07 Bulenga-Busega'!C22,'24.07 Bulenga-Busega'!C22,'25.07 Bulenga-Busega'!C22,'26.07 Bulenga-Busega-24h'!C22,'27.07 Bulenga-Busega-24h'!C22,'28.07 Bulenga-Busega'!C22)</f>
        <v>67.571428571428569</v>
      </c>
      <c r="D22" s="49">
        <f>AVERAGE('22.07 Bulenga-Busega'!D22,'23.07 Bulenga-Busega'!D22,'24.07 Bulenga-Busega'!D22,'25.07 Bulenga-Busega'!D22,'26.07 Bulenga-Busega-24h'!D22,'27.07 Bulenga-Busega-24h'!D22,'28.07 Bulenga-Busega'!D22)</f>
        <v>8.7142857142857135</v>
      </c>
      <c r="E22" s="49">
        <f>AVERAGE('22.07 Bulenga-Busega'!E22,'23.07 Bulenga-Busega'!E22,'24.07 Bulenga-Busega'!E22,'25.07 Bulenga-Busega'!E22,'26.07 Bulenga-Busega-24h'!E22,'27.07 Bulenga-Busega-24h'!E22,'28.07 Bulenga-Busega'!E22)</f>
        <v>7.7142857142857144</v>
      </c>
      <c r="F22" s="49">
        <f>AVERAGE('22.07 Bulenga-Busega'!F22,'23.07 Bulenga-Busega'!F22,'24.07 Bulenga-Busega'!F22,'25.07 Bulenga-Busega'!F22,'26.07 Bulenga-Busega-24h'!F22,'27.07 Bulenga-Busega-24h'!F22,'28.07 Bulenga-Busega'!F22)</f>
        <v>48.428571428571431</v>
      </c>
      <c r="G22" s="49">
        <f>AVERAGE('22.07 Bulenga-Busega'!G22,'23.07 Bulenga-Busega'!G22,'24.07 Bulenga-Busega'!G22,'25.07 Bulenga-Busega'!G22,'26.07 Bulenga-Busega-24h'!G22,'27.07 Bulenga-Busega-24h'!G22,'28.07 Bulenga-Busega'!G22)</f>
        <v>0.42857142857142855</v>
      </c>
      <c r="H22" s="49">
        <f>AVERAGE('22.07 Bulenga-Busega'!H22,'23.07 Bulenga-Busega'!H22,'24.07 Bulenga-Busega'!H22,'25.07 Bulenga-Busega'!H22,'26.07 Bulenga-Busega-24h'!H22,'27.07 Bulenga-Busega-24h'!H22,'28.07 Bulenga-Busega'!H22)</f>
        <v>0.42857142857142855</v>
      </c>
      <c r="I22" s="49">
        <f>AVERAGE('22.07 Bulenga-Busega'!I22,'23.07 Bulenga-Busega'!I22,'24.07 Bulenga-Busega'!I22,'25.07 Bulenga-Busega'!I22,'26.07 Bulenga-Busega-24h'!I22,'27.07 Bulenga-Busega-24h'!I22,'28.07 Bulenga-Busega'!I22)</f>
        <v>8.5714285714285712</v>
      </c>
      <c r="J22" s="49">
        <f>AVERAGE('22.07 Bulenga-Busega'!J22,'23.07 Bulenga-Busega'!J22,'24.07 Bulenga-Busega'!J22,'25.07 Bulenga-Busega'!J22,'26.07 Bulenga-Busega-24h'!J22,'27.07 Bulenga-Busega-24h'!J22,'28.07 Bulenga-Busega'!J22)</f>
        <v>5.8571428571428568</v>
      </c>
      <c r="K22" s="49">
        <f>AVERAGE('22.07 Bulenga-Busega'!K22,'23.07 Bulenga-Busega'!K22,'24.07 Bulenga-Busega'!K22,'25.07 Bulenga-Busega'!K22,'26.07 Bulenga-Busega-24h'!K22,'27.07 Bulenga-Busega-24h'!K22,'28.07 Bulenga-Busega'!K22)</f>
        <v>2</v>
      </c>
      <c r="L22" s="49">
        <f>AVERAGE('22.07 Bulenga-Busega'!L22,'23.07 Bulenga-Busega'!L22,'24.07 Bulenga-Busega'!L22,'25.07 Bulenga-Busega'!L22,'26.07 Bulenga-Busega-24h'!L22,'27.07 Bulenga-Busega-24h'!L22,'28.07 Bulenga-Busega'!L22)</f>
        <v>2</v>
      </c>
      <c r="M22" s="49">
        <f>AVERAGE('22.07 Bulenga-Busega'!M22,'23.07 Bulenga-Busega'!M22,'24.07 Bulenga-Busega'!M22,'25.07 Bulenga-Busega'!M22,'26.07 Bulenga-Busega-24h'!M22,'27.07 Bulenga-Busega-24h'!M22,'28.07 Bulenga-Busega'!M22)</f>
        <v>202.57142857142858</v>
      </c>
      <c r="N22" s="49">
        <f>AVERAGE('22.07 Bulenga-Busega'!N22,'23.07 Bulenga-Busega'!N22,'24.07 Bulenga-Busega'!N22,'25.07 Bulenga-Busega'!N22,'26.07 Bulenga-Busega-24h'!N22,'27.07 Bulenga-Busega-24h'!N22,'28.07 Bulenga-Busega'!N22)</f>
        <v>0</v>
      </c>
      <c r="O22" s="49">
        <f>AVERAGE('22.07 Bulenga-Busega'!O22,'23.07 Bulenga-Busega'!O22,'24.07 Bulenga-Busega'!O22,'25.07 Bulenga-Busega'!O22,'26.07 Bulenga-Busega-24h'!O22,'27.07 Bulenga-Busega-24h'!O22,'28.07 Bulenga-Busega'!O22)</f>
        <v>151.71428571428572</v>
      </c>
      <c r="P22" s="49">
        <f>AVERAGE('22.07 Bulenga-Busega'!P22,'23.07 Bulenga-Busega'!P22,'24.07 Bulenga-Busega'!P22,'25.07 Bulenga-Busega'!P22,'26.07 Bulenga-Busega-24h'!P22,'27.07 Bulenga-Busega-24h'!P22,'28.07 Bulenga-Busega'!P22)</f>
        <v>354.28571428571428</v>
      </c>
      <c r="R22" s="1" t="s">
        <v>146</v>
      </c>
      <c r="S22" s="34">
        <f>SUM(C58:C61)</f>
        <v>248.66666666666666</v>
      </c>
      <c r="T22" s="34">
        <f t="shared" ref="T22:AD22" si="14">SUM(D58:D61)</f>
        <v>79.666666666666657</v>
      </c>
      <c r="U22" s="34">
        <f t="shared" si="14"/>
        <v>44.666666666666671</v>
      </c>
      <c r="V22" s="34">
        <f t="shared" si="14"/>
        <v>215</v>
      </c>
      <c r="W22" s="34">
        <f t="shared" si="14"/>
        <v>11.666666666666668</v>
      </c>
      <c r="X22" s="34">
        <f t="shared" si="14"/>
        <v>12</v>
      </c>
      <c r="Y22" s="34">
        <f t="shared" si="14"/>
        <v>139.33333333333334</v>
      </c>
      <c r="Z22" s="34">
        <f t="shared" si="14"/>
        <v>62.333333333333336</v>
      </c>
      <c r="AA22" s="34">
        <f t="shared" si="14"/>
        <v>14.666666666666664</v>
      </c>
      <c r="AB22" s="34">
        <f t="shared" si="14"/>
        <v>6.3333333333333339</v>
      </c>
      <c r="AC22" s="34">
        <f t="shared" si="14"/>
        <v>473</v>
      </c>
      <c r="AD22" s="34">
        <f t="shared" si="14"/>
        <v>0</v>
      </c>
      <c r="AE22" s="31">
        <f t="shared" si="13"/>
        <v>707.09523809523807</v>
      </c>
      <c r="AF22" s="31">
        <f t="shared" si="13"/>
        <v>1283.952380952381</v>
      </c>
    </row>
    <row r="23" spans="2:32" ht="23.1" customHeight="1" x14ac:dyDescent="0.25">
      <c r="B23" s="23" t="s">
        <v>50</v>
      </c>
      <c r="C23" s="49">
        <f>AVERAGE('22.07 Bulenga-Busega'!C23,'23.07 Bulenga-Busega'!C23,'24.07 Bulenga-Busega'!C23,'25.07 Bulenga-Busega'!C23,'26.07 Bulenga-Busega-24h'!C23,'27.07 Bulenga-Busega-24h'!C23,'28.07 Bulenga-Busega'!C23)</f>
        <v>66.857142857142861</v>
      </c>
      <c r="D23" s="49">
        <f>AVERAGE('22.07 Bulenga-Busega'!D23,'23.07 Bulenga-Busega'!D23,'24.07 Bulenga-Busega'!D23,'25.07 Bulenga-Busega'!D23,'26.07 Bulenga-Busega-24h'!D23,'27.07 Bulenga-Busega-24h'!D23,'28.07 Bulenga-Busega'!D23)</f>
        <v>6.1428571428571432</v>
      </c>
      <c r="E23" s="49">
        <f>AVERAGE('22.07 Bulenga-Busega'!E23,'23.07 Bulenga-Busega'!E23,'24.07 Bulenga-Busega'!E23,'25.07 Bulenga-Busega'!E23,'26.07 Bulenga-Busega-24h'!E23,'27.07 Bulenga-Busega-24h'!E23,'28.07 Bulenga-Busega'!E23)</f>
        <v>8.8571428571428577</v>
      </c>
      <c r="F23" s="49">
        <f>AVERAGE('22.07 Bulenga-Busega'!F23,'23.07 Bulenga-Busega'!F23,'24.07 Bulenga-Busega'!F23,'25.07 Bulenga-Busega'!F23,'26.07 Bulenga-Busega-24h'!F23,'27.07 Bulenga-Busega-24h'!F23,'28.07 Bulenga-Busega'!F23)</f>
        <v>46.571428571428569</v>
      </c>
      <c r="G23" s="49">
        <f>AVERAGE('22.07 Bulenga-Busega'!G23,'23.07 Bulenga-Busega'!G23,'24.07 Bulenga-Busega'!G23,'25.07 Bulenga-Busega'!G23,'26.07 Bulenga-Busega-24h'!G23,'27.07 Bulenga-Busega-24h'!G23,'28.07 Bulenga-Busega'!G23)</f>
        <v>3.2857142857142856</v>
      </c>
      <c r="H23" s="49">
        <f>AVERAGE('22.07 Bulenga-Busega'!H23,'23.07 Bulenga-Busega'!H23,'24.07 Bulenga-Busega'!H23,'25.07 Bulenga-Busega'!H23,'26.07 Bulenga-Busega-24h'!H23,'27.07 Bulenga-Busega-24h'!H23,'28.07 Bulenga-Busega'!H23)</f>
        <v>0</v>
      </c>
      <c r="I23" s="49">
        <f>AVERAGE('22.07 Bulenga-Busega'!I23,'23.07 Bulenga-Busega'!I23,'24.07 Bulenga-Busega'!I23,'25.07 Bulenga-Busega'!I23,'26.07 Bulenga-Busega-24h'!I23,'27.07 Bulenga-Busega-24h'!I23,'28.07 Bulenga-Busega'!I23)</f>
        <v>7</v>
      </c>
      <c r="J23" s="49">
        <f>AVERAGE('22.07 Bulenga-Busega'!J23,'23.07 Bulenga-Busega'!J23,'24.07 Bulenga-Busega'!J23,'25.07 Bulenga-Busega'!J23,'26.07 Bulenga-Busega-24h'!J23,'27.07 Bulenga-Busega-24h'!J23,'28.07 Bulenga-Busega'!J23)</f>
        <v>7.1428571428571432</v>
      </c>
      <c r="K23" s="49">
        <f>AVERAGE('22.07 Bulenga-Busega'!K23,'23.07 Bulenga-Busega'!K23,'24.07 Bulenga-Busega'!K23,'25.07 Bulenga-Busega'!K23,'26.07 Bulenga-Busega-24h'!K23,'27.07 Bulenga-Busega-24h'!K23,'28.07 Bulenga-Busega'!K23)</f>
        <v>1</v>
      </c>
      <c r="L23" s="49">
        <f>AVERAGE('22.07 Bulenga-Busega'!L23,'23.07 Bulenga-Busega'!L23,'24.07 Bulenga-Busega'!L23,'25.07 Bulenga-Busega'!L23,'26.07 Bulenga-Busega-24h'!L23,'27.07 Bulenga-Busega-24h'!L23,'28.07 Bulenga-Busega'!L23)</f>
        <v>0.7142857142857143</v>
      </c>
      <c r="M23" s="49">
        <f>AVERAGE('22.07 Bulenga-Busega'!M23,'23.07 Bulenga-Busega'!M23,'24.07 Bulenga-Busega'!M23,'25.07 Bulenga-Busega'!M23,'26.07 Bulenga-Busega-24h'!M23,'27.07 Bulenga-Busega-24h'!M23,'28.07 Bulenga-Busega'!M23)</f>
        <v>193.42857142857142</v>
      </c>
      <c r="N23" s="49">
        <f>AVERAGE('22.07 Bulenga-Busega'!N23,'23.07 Bulenga-Busega'!N23,'24.07 Bulenga-Busega'!N23,'25.07 Bulenga-Busega'!N23,'26.07 Bulenga-Busega-24h'!N23,'27.07 Bulenga-Busega-24h'!N23,'28.07 Bulenga-Busega'!N23)</f>
        <v>0</v>
      </c>
      <c r="O23" s="15">
        <f t="shared" si="0"/>
        <v>147.57142857142858</v>
      </c>
      <c r="P23" s="15">
        <f t="shared" si="1"/>
        <v>341</v>
      </c>
      <c r="R23" s="1" t="s">
        <v>147</v>
      </c>
      <c r="S23" s="34">
        <f>SUM(C62:C65)</f>
        <v>197.33333333333331</v>
      </c>
      <c r="T23" s="34">
        <f t="shared" ref="T23:AD23" si="15">SUM(D62:D65)</f>
        <v>112.66666666666666</v>
      </c>
      <c r="U23" s="34">
        <f t="shared" si="15"/>
        <v>44.666666666666671</v>
      </c>
      <c r="V23" s="34">
        <f t="shared" si="15"/>
        <v>177.66666666666666</v>
      </c>
      <c r="W23" s="34">
        <f t="shared" si="15"/>
        <v>13.666666666666666</v>
      </c>
      <c r="X23" s="34">
        <f t="shared" si="15"/>
        <v>2.333333333333333</v>
      </c>
      <c r="Y23" s="34">
        <f t="shared" si="15"/>
        <v>84.666666666666671</v>
      </c>
      <c r="Z23" s="34">
        <f t="shared" si="15"/>
        <v>25.666666666666668</v>
      </c>
      <c r="AA23" s="34">
        <f t="shared" si="15"/>
        <v>18.333333333333332</v>
      </c>
      <c r="AB23" s="34">
        <f t="shared" si="15"/>
        <v>11.666666666666668</v>
      </c>
      <c r="AC23" s="34">
        <f t="shared" si="15"/>
        <v>417.66666666666669</v>
      </c>
      <c r="AD23" s="34">
        <f t="shared" si="15"/>
        <v>0</v>
      </c>
      <c r="AE23" s="31">
        <f t="shared" si="13"/>
        <v>745.14285714285711</v>
      </c>
      <c r="AF23" s="31">
        <f t="shared" si="13"/>
        <v>1289.6190476190477</v>
      </c>
    </row>
    <row r="24" spans="2:32" ht="23.1" customHeight="1" x14ac:dyDescent="0.25">
      <c r="B24" s="23" t="s">
        <v>51</v>
      </c>
      <c r="C24" s="49">
        <f>AVERAGE('22.07 Bulenga-Busega'!C24,'23.07 Bulenga-Busega'!C24,'24.07 Bulenga-Busega'!C24,'25.07 Bulenga-Busega'!C24,'26.07 Bulenga-Busega-24h'!C24,'27.07 Bulenga-Busega-24h'!C24,'28.07 Bulenga-Busega'!C24)</f>
        <v>71.571428571428569</v>
      </c>
      <c r="D24" s="49">
        <f>AVERAGE('22.07 Bulenga-Busega'!D24,'23.07 Bulenga-Busega'!D24,'24.07 Bulenga-Busega'!D24,'25.07 Bulenga-Busega'!D24,'26.07 Bulenga-Busega-24h'!D24,'27.07 Bulenga-Busega-24h'!D24,'28.07 Bulenga-Busega'!D24)</f>
        <v>5</v>
      </c>
      <c r="E24" s="49">
        <f>AVERAGE('22.07 Bulenga-Busega'!E24,'23.07 Bulenga-Busega'!E24,'24.07 Bulenga-Busega'!E24,'25.07 Bulenga-Busega'!E24,'26.07 Bulenga-Busega-24h'!E24,'27.07 Bulenga-Busega-24h'!E24,'28.07 Bulenga-Busega'!E24)</f>
        <v>9.1428571428571423</v>
      </c>
      <c r="F24" s="49">
        <f>AVERAGE('22.07 Bulenga-Busega'!F24,'23.07 Bulenga-Busega'!F24,'24.07 Bulenga-Busega'!F24,'25.07 Bulenga-Busega'!F24,'26.07 Bulenga-Busega-24h'!F24,'27.07 Bulenga-Busega-24h'!F24,'28.07 Bulenga-Busega'!F24)</f>
        <v>50.428571428571431</v>
      </c>
      <c r="G24" s="49">
        <f>AVERAGE('22.07 Bulenga-Busega'!G24,'23.07 Bulenga-Busega'!G24,'24.07 Bulenga-Busega'!G24,'25.07 Bulenga-Busega'!G24,'26.07 Bulenga-Busega-24h'!G24,'27.07 Bulenga-Busega-24h'!G24,'28.07 Bulenga-Busega'!G24)</f>
        <v>1</v>
      </c>
      <c r="H24" s="49">
        <f>AVERAGE('22.07 Bulenga-Busega'!H24,'23.07 Bulenga-Busega'!H24,'24.07 Bulenga-Busega'!H24,'25.07 Bulenga-Busega'!H24,'26.07 Bulenga-Busega-24h'!H24,'27.07 Bulenga-Busega-24h'!H24,'28.07 Bulenga-Busega'!H24)</f>
        <v>0.42857142857142855</v>
      </c>
      <c r="I24" s="49">
        <f>AVERAGE('22.07 Bulenga-Busega'!I24,'23.07 Bulenga-Busega'!I24,'24.07 Bulenga-Busega'!I24,'25.07 Bulenga-Busega'!I24,'26.07 Bulenga-Busega-24h'!I24,'27.07 Bulenga-Busega-24h'!I24,'28.07 Bulenga-Busega'!I24)</f>
        <v>8</v>
      </c>
      <c r="J24" s="49">
        <f>AVERAGE('22.07 Bulenga-Busega'!J24,'23.07 Bulenga-Busega'!J24,'24.07 Bulenga-Busega'!J24,'25.07 Bulenga-Busega'!J24,'26.07 Bulenga-Busega-24h'!J24,'27.07 Bulenga-Busega-24h'!J24,'28.07 Bulenga-Busega'!J24)</f>
        <v>8</v>
      </c>
      <c r="K24" s="49">
        <f>AVERAGE('22.07 Bulenga-Busega'!K24,'23.07 Bulenga-Busega'!K24,'24.07 Bulenga-Busega'!K24,'25.07 Bulenga-Busega'!K24,'26.07 Bulenga-Busega-24h'!K24,'27.07 Bulenga-Busega-24h'!K24,'28.07 Bulenga-Busega'!K24)</f>
        <v>1.4285714285714286</v>
      </c>
      <c r="L24" s="49">
        <f>AVERAGE('22.07 Bulenga-Busega'!L24,'23.07 Bulenga-Busega'!L24,'24.07 Bulenga-Busega'!L24,'25.07 Bulenga-Busega'!L24,'26.07 Bulenga-Busega-24h'!L24,'27.07 Bulenga-Busega-24h'!L24,'28.07 Bulenga-Busega'!L24)</f>
        <v>0.5714285714285714</v>
      </c>
      <c r="M24" s="49">
        <f>AVERAGE('22.07 Bulenga-Busega'!M24,'23.07 Bulenga-Busega'!M24,'24.07 Bulenga-Busega'!M24,'25.07 Bulenga-Busega'!M24,'26.07 Bulenga-Busega-24h'!M24,'27.07 Bulenga-Busega-24h'!M24,'28.07 Bulenga-Busega'!M24)</f>
        <v>180.28571428571428</v>
      </c>
      <c r="N24" s="49">
        <f>AVERAGE('22.07 Bulenga-Busega'!N24,'23.07 Bulenga-Busega'!N24,'24.07 Bulenga-Busega'!N24,'25.07 Bulenga-Busega'!N24,'26.07 Bulenga-Busega-24h'!N24,'27.07 Bulenga-Busega-24h'!N24,'28.07 Bulenga-Busega'!N24)</f>
        <v>0</v>
      </c>
      <c r="O24" s="15">
        <f t="shared" si="0"/>
        <v>155.57142857142856</v>
      </c>
      <c r="P24" s="15">
        <f t="shared" si="1"/>
        <v>335.85714285714283</v>
      </c>
      <c r="R24" s="1" t="s">
        <v>148</v>
      </c>
      <c r="S24" s="34">
        <f>SUM(C66:C69)</f>
        <v>209.33333333333331</v>
      </c>
      <c r="T24" s="34">
        <f t="shared" ref="T24:AD24" si="16">SUM(D66:D69)</f>
        <v>62.666666666666671</v>
      </c>
      <c r="U24" s="34">
        <f t="shared" si="16"/>
        <v>49.333333333333329</v>
      </c>
      <c r="V24" s="34">
        <f t="shared" si="16"/>
        <v>170.33333333333334</v>
      </c>
      <c r="W24" s="34">
        <f t="shared" si="16"/>
        <v>5</v>
      </c>
      <c r="X24" s="34">
        <f t="shared" si="16"/>
        <v>5.333333333333333</v>
      </c>
      <c r="Y24" s="34">
        <f t="shared" si="16"/>
        <v>75.333333333333343</v>
      </c>
      <c r="Z24" s="34">
        <f t="shared" si="16"/>
        <v>15.333333333333332</v>
      </c>
      <c r="AA24" s="34">
        <f t="shared" si="16"/>
        <v>17.666666666666668</v>
      </c>
      <c r="AB24" s="34">
        <f t="shared" si="16"/>
        <v>10</v>
      </c>
      <c r="AC24" s="34">
        <f t="shared" si="16"/>
        <v>362.33333333333331</v>
      </c>
      <c r="AD24" s="34">
        <f t="shared" si="16"/>
        <v>0</v>
      </c>
      <c r="AE24" s="31">
        <f t="shared" si="13"/>
        <v>782.42857142857133</v>
      </c>
      <c r="AF24" s="31">
        <f t="shared" si="13"/>
        <v>1249.6666666666665</v>
      </c>
    </row>
    <row r="25" spans="2:32" ht="23.1" customHeight="1" x14ac:dyDescent="0.25">
      <c r="B25" s="23" t="s">
        <v>52</v>
      </c>
      <c r="C25" s="49">
        <f>AVERAGE('22.07 Bulenga-Busega'!C25,'23.07 Bulenga-Busega'!C25,'24.07 Bulenga-Busega'!C25,'25.07 Bulenga-Busega'!C25,'26.07 Bulenga-Busega-24h'!C25,'27.07 Bulenga-Busega-24h'!C25,'28.07 Bulenga-Busega'!C25)</f>
        <v>84.714285714285708</v>
      </c>
      <c r="D25" s="49">
        <f>AVERAGE('22.07 Bulenga-Busega'!D25,'23.07 Bulenga-Busega'!D25,'24.07 Bulenga-Busega'!D25,'25.07 Bulenga-Busega'!D25,'26.07 Bulenga-Busega-24h'!D25,'27.07 Bulenga-Busega-24h'!D25,'28.07 Bulenga-Busega'!D25)</f>
        <v>7</v>
      </c>
      <c r="E25" s="49">
        <f>AVERAGE('22.07 Bulenga-Busega'!E25,'23.07 Bulenga-Busega'!E25,'24.07 Bulenga-Busega'!E25,'25.07 Bulenga-Busega'!E25,'26.07 Bulenga-Busega-24h'!E25,'27.07 Bulenga-Busega-24h'!E25,'28.07 Bulenga-Busega'!E25)</f>
        <v>6.1428571428571432</v>
      </c>
      <c r="F25" s="49">
        <f>AVERAGE('22.07 Bulenga-Busega'!F25,'23.07 Bulenga-Busega'!F25,'24.07 Bulenga-Busega'!F25,'25.07 Bulenga-Busega'!F25,'26.07 Bulenga-Busega-24h'!F25,'27.07 Bulenga-Busega-24h'!F25,'28.07 Bulenga-Busega'!F25)</f>
        <v>49.428571428571431</v>
      </c>
      <c r="G25" s="49">
        <f>AVERAGE('22.07 Bulenga-Busega'!G25,'23.07 Bulenga-Busega'!G25,'24.07 Bulenga-Busega'!G25,'25.07 Bulenga-Busega'!G25,'26.07 Bulenga-Busega-24h'!G25,'27.07 Bulenga-Busega-24h'!G25,'28.07 Bulenga-Busega'!G25)</f>
        <v>1</v>
      </c>
      <c r="H25" s="49">
        <f>AVERAGE('22.07 Bulenga-Busega'!H25,'23.07 Bulenga-Busega'!H25,'24.07 Bulenga-Busega'!H25,'25.07 Bulenga-Busega'!H25,'26.07 Bulenga-Busega-24h'!H25,'27.07 Bulenga-Busega-24h'!H25,'28.07 Bulenga-Busega'!H25)</f>
        <v>0</v>
      </c>
      <c r="I25" s="49">
        <f>AVERAGE('22.07 Bulenga-Busega'!I25,'23.07 Bulenga-Busega'!I25,'24.07 Bulenga-Busega'!I25,'25.07 Bulenga-Busega'!I25,'26.07 Bulenga-Busega-24h'!I25,'27.07 Bulenga-Busega-24h'!I25,'28.07 Bulenga-Busega'!I25)</f>
        <v>10</v>
      </c>
      <c r="J25" s="49">
        <f>AVERAGE('22.07 Bulenga-Busega'!J25,'23.07 Bulenga-Busega'!J25,'24.07 Bulenga-Busega'!J25,'25.07 Bulenga-Busega'!J25,'26.07 Bulenga-Busega-24h'!J25,'27.07 Bulenga-Busega-24h'!J25,'28.07 Bulenga-Busega'!J25)</f>
        <v>5.5714285714285712</v>
      </c>
      <c r="K25" s="49">
        <f>AVERAGE('22.07 Bulenga-Busega'!K25,'23.07 Bulenga-Busega'!K25,'24.07 Bulenga-Busega'!K25,'25.07 Bulenga-Busega'!K25,'26.07 Bulenga-Busega-24h'!K25,'27.07 Bulenga-Busega-24h'!K25,'28.07 Bulenga-Busega'!K25)</f>
        <v>1.8571428571428572</v>
      </c>
      <c r="L25" s="49">
        <f>AVERAGE('22.07 Bulenga-Busega'!L25,'23.07 Bulenga-Busega'!L25,'24.07 Bulenga-Busega'!L25,'25.07 Bulenga-Busega'!L25,'26.07 Bulenga-Busega-24h'!L25,'27.07 Bulenga-Busega-24h'!L25,'28.07 Bulenga-Busega'!L25)</f>
        <v>1</v>
      </c>
      <c r="M25" s="49">
        <f>AVERAGE('22.07 Bulenga-Busega'!M25,'23.07 Bulenga-Busega'!M25,'24.07 Bulenga-Busega'!M25,'25.07 Bulenga-Busega'!M25,'26.07 Bulenga-Busega-24h'!M25,'27.07 Bulenga-Busega-24h'!M25,'28.07 Bulenga-Busega'!M25)</f>
        <v>171.57142857142858</v>
      </c>
      <c r="N25" s="49">
        <f>AVERAGE('22.07 Bulenga-Busega'!N25,'23.07 Bulenga-Busega'!N25,'24.07 Bulenga-Busega'!N25,'25.07 Bulenga-Busega'!N25,'26.07 Bulenga-Busega-24h'!N25,'27.07 Bulenga-Busega-24h'!N25,'28.07 Bulenga-Busega'!N25)</f>
        <v>0</v>
      </c>
      <c r="O25" s="15">
        <f t="shared" si="0"/>
        <v>166.71428571428572</v>
      </c>
      <c r="P25" s="15">
        <f t="shared" si="1"/>
        <v>338.28571428571433</v>
      </c>
      <c r="R25" s="1" t="s">
        <v>149</v>
      </c>
      <c r="S25" s="34">
        <f>SUM(C70:C73)</f>
        <v>168.66666666666666</v>
      </c>
      <c r="T25" s="34">
        <f t="shared" ref="T25:AD25" si="17">SUM(D70:D73)</f>
        <v>67.333333333333343</v>
      </c>
      <c r="U25" s="34">
        <f t="shared" si="17"/>
        <v>46</v>
      </c>
      <c r="V25" s="34">
        <f t="shared" si="17"/>
        <v>140.33333333333334</v>
      </c>
      <c r="W25" s="34">
        <f t="shared" si="17"/>
        <v>5</v>
      </c>
      <c r="X25" s="34">
        <f t="shared" si="17"/>
        <v>4.6666666666666661</v>
      </c>
      <c r="Y25" s="34">
        <f t="shared" si="17"/>
        <v>65.666666666666671</v>
      </c>
      <c r="Z25" s="34">
        <f t="shared" si="17"/>
        <v>3.6666666666666665</v>
      </c>
      <c r="AA25" s="34">
        <f t="shared" si="17"/>
        <v>14</v>
      </c>
      <c r="AB25" s="34">
        <f t="shared" si="17"/>
        <v>1</v>
      </c>
      <c r="AC25" s="34">
        <f t="shared" si="17"/>
        <v>261</v>
      </c>
      <c r="AD25" s="34">
        <f t="shared" si="17"/>
        <v>0</v>
      </c>
      <c r="AE25" s="31">
        <f t="shared" si="13"/>
        <v>834.33333333333326</v>
      </c>
      <c r="AF25" s="31">
        <f t="shared" si="13"/>
        <v>1307.3333333333333</v>
      </c>
    </row>
    <row r="26" spans="2:32" ht="23.1" customHeight="1" x14ac:dyDescent="0.25">
      <c r="B26" s="23" t="s">
        <v>53</v>
      </c>
      <c r="C26" s="49">
        <f>AVERAGE('22.07 Bulenga-Busega'!C26,'23.07 Bulenga-Busega'!C26,'24.07 Bulenga-Busega'!C26,'25.07 Bulenga-Busega'!C26,'26.07 Bulenga-Busega-24h'!C26,'27.07 Bulenga-Busega-24h'!C26,'28.07 Bulenga-Busega'!C26)</f>
        <v>80.428571428571431</v>
      </c>
      <c r="D26" s="49">
        <f>AVERAGE('22.07 Bulenga-Busega'!D26,'23.07 Bulenga-Busega'!D26,'24.07 Bulenga-Busega'!D26,'25.07 Bulenga-Busega'!D26,'26.07 Bulenga-Busega-24h'!D26,'27.07 Bulenga-Busega-24h'!D26,'28.07 Bulenga-Busega'!D26)</f>
        <v>8.2857142857142865</v>
      </c>
      <c r="E26" s="49">
        <f>AVERAGE('22.07 Bulenga-Busega'!E26,'23.07 Bulenga-Busega'!E26,'24.07 Bulenga-Busega'!E26,'25.07 Bulenga-Busega'!E26,'26.07 Bulenga-Busega-24h'!E26,'27.07 Bulenga-Busega-24h'!E26,'28.07 Bulenga-Busega'!E26)</f>
        <v>5.8571428571428568</v>
      </c>
      <c r="F26" s="49">
        <f>AVERAGE('22.07 Bulenga-Busega'!F26,'23.07 Bulenga-Busega'!F26,'24.07 Bulenga-Busega'!F26,'25.07 Bulenga-Busega'!F26,'26.07 Bulenga-Busega-24h'!F26,'27.07 Bulenga-Busega-24h'!F26,'28.07 Bulenga-Busega'!F26)</f>
        <v>54.857142857142854</v>
      </c>
      <c r="G26" s="49">
        <f>AVERAGE('22.07 Bulenga-Busega'!G26,'23.07 Bulenga-Busega'!G26,'24.07 Bulenga-Busega'!G26,'25.07 Bulenga-Busega'!G26,'26.07 Bulenga-Busega-24h'!G26,'27.07 Bulenga-Busega-24h'!G26,'28.07 Bulenga-Busega'!G26)</f>
        <v>0.8571428571428571</v>
      </c>
      <c r="H26" s="49">
        <f>AVERAGE('22.07 Bulenga-Busega'!H26,'23.07 Bulenga-Busega'!H26,'24.07 Bulenga-Busega'!H26,'25.07 Bulenga-Busega'!H26,'26.07 Bulenga-Busega-24h'!H26,'27.07 Bulenga-Busega-24h'!H26,'28.07 Bulenga-Busega'!H26)</f>
        <v>0.42857142857142855</v>
      </c>
      <c r="I26" s="49">
        <f>AVERAGE('22.07 Bulenga-Busega'!I26,'23.07 Bulenga-Busega'!I26,'24.07 Bulenga-Busega'!I26,'25.07 Bulenga-Busega'!I26,'26.07 Bulenga-Busega-24h'!I26,'27.07 Bulenga-Busega-24h'!I26,'28.07 Bulenga-Busega'!I26)</f>
        <v>9.5714285714285712</v>
      </c>
      <c r="J26" s="49">
        <f>AVERAGE('22.07 Bulenga-Busega'!J26,'23.07 Bulenga-Busega'!J26,'24.07 Bulenga-Busega'!J26,'25.07 Bulenga-Busega'!J26,'26.07 Bulenga-Busega-24h'!J26,'27.07 Bulenga-Busega-24h'!J26,'28.07 Bulenga-Busega'!J26)</f>
        <v>8.5714285714285712</v>
      </c>
      <c r="K26" s="49">
        <f>AVERAGE('22.07 Bulenga-Busega'!K26,'23.07 Bulenga-Busega'!K26,'24.07 Bulenga-Busega'!K26,'25.07 Bulenga-Busega'!K26,'26.07 Bulenga-Busega-24h'!K26,'27.07 Bulenga-Busega-24h'!K26,'28.07 Bulenga-Busega'!K26)</f>
        <v>0.8571428571428571</v>
      </c>
      <c r="L26" s="49">
        <f>AVERAGE('22.07 Bulenga-Busega'!L26,'23.07 Bulenga-Busega'!L26,'24.07 Bulenga-Busega'!L26,'25.07 Bulenga-Busega'!L26,'26.07 Bulenga-Busega-24h'!L26,'27.07 Bulenga-Busega-24h'!L26,'28.07 Bulenga-Busega'!L26)</f>
        <v>3</v>
      </c>
      <c r="M26" s="49">
        <f>AVERAGE('22.07 Bulenga-Busega'!M26,'23.07 Bulenga-Busega'!M26,'24.07 Bulenga-Busega'!M26,'25.07 Bulenga-Busega'!M26,'26.07 Bulenga-Busega-24h'!M26,'27.07 Bulenga-Busega-24h'!M26,'28.07 Bulenga-Busega'!M26)</f>
        <v>193.14285714285714</v>
      </c>
      <c r="N26" s="49">
        <f>AVERAGE('22.07 Bulenga-Busega'!N26,'23.07 Bulenga-Busega'!N26,'24.07 Bulenga-Busega'!N26,'25.07 Bulenga-Busega'!N26,'26.07 Bulenga-Busega-24h'!N26,'27.07 Bulenga-Busega-24h'!N26,'28.07 Bulenga-Busega'!N26)</f>
        <v>0</v>
      </c>
      <c r="O26" s="15">
        <f t="shared" si="0"/>
        <v>172.71428571428575</v>
      </c>
      <c r="P26" s="15">
        <f t="shared" si="1"/>
        <v>365.85714285714289</v>
      </c>
      <c r="R26" s="1" t="s">
        <v>150</v>
      </c>
      <c r="S26" s="34">
        <f>SUM(C74:C77)</f>
        <v>173.33333333333334</v>
      </c>
      <c r="T26" s="34">
        <f t="shared" ref="T26:AD26" si="18">SUM(D74:D77)</f>
        <v>25.666666666666668</v>
      </c>
      <c r="U26" s="34">
        <f t="shared" si="18"/>
        <v>11</v>
      </c>
      <c r="V26" s="34">
        <f t="shared" si="18"/>
        <v>74</v>
      </c>
      <c r="W26" s="34">
        <f t="shared" si="18"/>
        <v>1</v>
      </c>
      <c r="X26" s="34">
        <f t="shared" si="18"/>
        <v>0.33333333333333331</v>
      </c>
      <c r="Y26" s="34">
        <f t="shared" si="18"/>
        <v>26.666666666666664</v>
      </c>
      <c r="Z26" s="34">
        <f t="shared" si="18"/>
        <v>3</v>
      </c>
      <c r="AA26" s="34">
        <f t="shared" si="18"/>
        <v>16.666666666666664</v>
      </c>
      <c r="AB26" s="34">
        <f t="shared" si="18"/>
        <v>3.6666666666666665</v>
      </c>
      <c r="AC26" s="34">
        <f t="shared" si="18"/>
        <v>247.33333333333334</v>
      </c>
      <c r="AD26" s="34">
        <f t="shared" si="18"/>
        <v>0</v>
      </c>
      <c r="AE26" s="31">
        <f t="shared" si="13"/>
        <v>846</v>
      </c>
      <c r="AF26" s="31">
        <f t="shared" si="13"/>
        <v>1321.3333333333335</v>
      </c>
    </row>
    <row r="27" spans="2:32" ht="23.1" customHeight="1" x14ac:dyDescent="0.25">
      <c r="B27" s="23" t="s">
        <v>54</v>
      </c>
      <c r="C27" s="49">
        <f>AVERAGE('22.07 Bulenga-Busega'!C27,'23.07 Bulenga-Busega'!C27,'24.07 Bulenga-Busega'!C27,'25.07 Bulenga-Busega'!C27,'26.07 Bulenga-Busega-24h'!C27,'27.07 Bulenga-Busega-24h'!C27,'28.07 Bulenga-Busega'!C27)</f>
        <v>81</v>
      </c>
      <c r="D27" s="49">
        <f>AVERAGE('22.07 Bulenga-Busega'!D27,'23.07 Bulenga-Busega'!D27,'24.07 Bulenga-Busega'!D27,'25.07 Bulenga-Busega'!D27,'26.07 Bulenga-Busega-24h'!D27,'27.07 Bulenga-Busega-24h'!D27,'28.07 Bulenga-Busega'!D27)</f>
        <v>7.7142857142857144</v>
      </c>
      <c r="E27" s="49">
        <f>AVERAGE('22.07 Bulenga-Busega'!E27,'23.07 Bulenga-Busega'!E27,'24.07 Bulenga-Busega'!E27,'25.07 Bulenga-Busega'!E27,'26.07 Bulenga-Busega-24h'!E27,'27.07 Bulenga-Busega-24h'!E27,'28.07 Bulenga-Busega'!E27)</f>
        <v>6.4285714285714288</v>
      </c>
      <c r="F27" s="49">
        <f>AVERAGE('22.07 Bulenga-Busega'!F27,'23.07 Bulenga-Busega'!F27,'24.07 Bulenga-Busega'!F27,'25.07 Bulenga-Busega'!F27,'26.07 Bulenga-Busega-24h'!F27,'27.07 Bulenga-Busega-24h'!F27,'28.07 Bulenga-Busega'!F27)</f>
        <v>48.571428571428569</v>
      </c>
      <c r="G27" s="49">
        <f>AVERAGE('22.07 Bulenga-Busega'!G27,'23.07 Bulenga-Busega'!G27,'24.07 Bulenga-Busega'!G27,'25.07 Bulenga-Busega'!G27,'26.07 Bulenga-Busega-24h'!G27,'27.07 Bulenga-Busega-24h'!G27,'28.07 Bulenga-Busega'!G27)</f>
        <v>0.5714285714285714</v>
      </c>
      <c r="H27" s="49">
        <f>AVERAGE('22.07 Bulenga-Busega'!H27,'23.07 Bulenga-Busega'!H27,'24.07 Bulenga-Busega'!H27,'25.07 Bulenga-Busega'!H27,'26.07 Bulenga-Busega-24h'!H27,'27.07 Bulenga-Busega-24h'!H27,'28.07 Bulenga-Busega'!H27)</f>
        <v>0.5714285714285714</v>
      </c>
      <c r="I27" s="49">
        <f>AVERAGE('22.07 Bulenga-Busega'!I27,'23.07 Bulenga-Busega'!I27,'24.07 Bulenga-Busega'!I27,'25.07 Bulenga-Busega'!I27,'26.07 Bulenga-Busega-24h'!I27,'27.07 Bulenga-Busega-24h'!I27,'28.07 Bulenga-Busega'!I27)</f>
        <v>5.5714285714285712</v>
      </c>
      <c r="J27" s="49">
        <f>AVERAGE('22.07 Bulenga-Busega'!J27,'23.07 Bulenga-Busega'!J27,'24.07 Bulenga-Busega'!J27,'25.07 Bulenga-Busega'!J27,'26.07 Bulenga-Busega-24h'!J27,'27.07 Bulenga-Busega-24h'!J27,'28.07 Bulenga-Busega'!J27)</f>
        <v>6</v>
      </c>
      <c r="K27" s="49">
        <f>AVERAGE('22.07 Bulenga-Busega'!K27,'23.07 Bulenga-Busega'!K27,'24.07 Bulenga-Busega'!K27,'25.07 Bulenga-Busega'!K27,'26.07 Bulenga-Busega-24h'!K27,'27.07 Bulenga-Busega-24h'!K27,'28.07 Bulenga-Busega'!K27)</f>
        <v>1.1428571428571428</v>
      </c>
      <c r="L27" s="49">
        <f>AVERAGE('22.07 Bulenga-Busega'!L27,'23.07 Bulenga-Busega'!L27,'24.07 Bulenga-Busega'!L27,'25.07 Bulenga-Busega'!L27,'26.07 Bulenga-Busega-24h'!L27,'27.07 Bulenga-Busega-24h'!L27,'28.07 Bulenga-Busega'!L27)</f>
        <v>1.7142857142857142</v>
      </c>
      <c r="M27" s="49">
        <f>AVERAGE('22.07 Bulenga-Busega'!M27,'23.07 Bulenga-Busega'!M27,'24.07 Bulenga-Busega'!M27,'25.07 Bulenga-Busega'!M27,'26.07 Bulenga-Busega-24h'!M27,'27.07 Bulenga-Busega-24h'!M27,'28.07 Bulenga-Busega'!M27)</f>
        <v>198.57142857142858</v>
      </c>
      <c r="N27" s="49">
        <f>AVERAGE('22.07 Bulenga-Busega'!N27,'23.07 Bulenga-Busega'!N27,'24.07 Bulenga-Busega'!N27,'25.07 Bulenga-Busega'!N27,'26.07 Bulenga-Busega-24h'!N27,'27.07 Bulenga-Busega-24h'!N27,'28.07 Bulenga-Busega'!N27)</f>
        <v>0</v>
      </c>
      <c r="O27" s="15">
        <f t="shared" si="0"/>
        <v>159.28571428571433</v>
      </c>
      <c r="P27" s="15">
        <f t="shared" si="1"/>
        <v>357.85714285714289</v>
      </c>
      <c r="R27" s="1" t="s">
        <v>151</v>
      </c>
      <c r="S27" s="34">
        <f>SUM(C78:C81)</f>
        <v>83.333333333333343</v>
      </c>
      <c r="T27" s="34">
        <f t="shared" ref="T27:AD27" si="19">SUM(D78:D81)</f>
        <v>15.666666666666668</v>
      </c>
      <c r="U27" s="34">
        <f t="shared" si="19"/>
        <v>5.3333333333333321</v>
      </c>
      <c r="V27" s="34">
        <f t="shared" si="19"/>
        <v>20</v>
      </c>
      <c r="W27" s="34">
        <f t="shared" si="19"/>
        <v>0.33333333333333331</v>
      </c>
      <c r="X27" s="34">
        <f t="shared" si="19"/>
        <v>1.6666666666666665</v>
      </c>
      <c r="Y27" s="34">
        <f t="shared" si="19"/>
        <v>21.666666666666668</v>
      </c>
      <c r="Z27" s="34">
        <f t="shared" si="19"/>
        <v>2</v>
      </c>
      <c r="AA27" s="34">
        <f t="shared" si="19"/>
        <v>6.3333333333333339</v>
      </c>
      <c r="AB27" s="34">
        <f t="shared" si="19"/>
        <v>3</v>
      </c>
      <c r="AC27" s="34">
        <f t="shared" si="19"/>
        <v>144.66666666666666</v>
      </c>
      <c r="AD27" s="34">
        <f t="shared" si="19"/>
        <v>0</v>
      </c>
      <c r="AE27" s="31">
        <f t="shared" si="13"/>
        <v>767.00000000000011</v>
      </c>
      <c r="AF27" s="31">
        <f t="shared" si="13"/>
        <v>1186</v>
      </c>
    </row>
    <row r="28" spans="2:32" ht="23.1" customHeight="1" x14ac:dyDescent="0.25">
      <c r="B28" s="23" t="s">
        <v>55</v>
      </c>
      <c r="C28" s="49">
        <f>AVERAGE('22.07 Bulenga-Busega'!C28,'23.07 Bulenga-Busega'!C28,'24.07 Bulenga-Busega'!C28,'25.07 Bulenga-Busega'!C28,'26.07 Bulenga-Busega-24h'!C28,'27.07 Bulenga-Busega-24h'!C28,'28.07 Bulenga-Busega'!C28)</f>
        <v>64.285714285714292</v>
      </c>
      <c r="D28" s="49">
        <f>AVERAGE('22.07 Bulenga-Busega'!D28,'23.07 Bulenga-Busega'!D28,'24.07 Bulenga-Busega'!D28,'25.07 Bulenga-Busega'!D28,'26.07 Bulenga-Busega-24h'!D28,'27.07 Bulenga-Busega-24h'!D28,'28.07 Bulenga-Busega'!D28)</f>
        <v>7</v>
      </c>
      <c r="E28" s="49">
        <f>AVERAGE('22.07 Bulenga-Busega'!E28,'23.07 Bulenga-Busega'!E28,'24.07 Bulenga-Busega'!E28,'25.07 Bulenga-Busega'!E28,'26.07 Bulenga-Busega-24h'!E28,'27.07 Bulenga-Busega-24h'!E28,'28.07 Bulenga-Busega'!E28)</f>
        <v>9.8571428571428577</v>
      </c>
      <c r="F28" s="49">
        <f>AVERAGE('22.07 Bulenga-Busega'!F28,'23.07 Bulenga-Busega'!F28,'24.07 Bulenga-Busega'!F28,'25.07 Bulenga-Busega'!F28,'26.07 Bulenga-Busega-24h'!F28,'27.07 Bulenga-Busega-24h'!F28,'28.07 Bulenga-Busega'!F28)</f>
        <v>43.857142857142854</v>
      </c>
      <c r="G28" s="49">
        <f>AVERAGE('22.07 Bulenga-Busega'!G28,'23.07 Bulenga-Busega'!G28,'24.07 Bulenga-Busega'!G28,'25.07 Bulenga-Busega'!G28,'26.07 Bulenga-Busega-24h'!G28,'27.07 Bulenga-Busega-24h'!G28,'28.07 Bulenga-Busega'!G28)</f>
        <v>0.42857142857142855</v>
      </c>
      <c r="H28" s="49">
        <f>AVERAGE('22.07 Bulenga-Busega'!H28,'23.07 Bulenga-Busega'!H28,'24.07 Bulenga-Busega'!H28,'25.07 Bulenga-Busega'!H28,'26.07 Bulenga-Busega-24h'!H28,'27.07 Bulenga-Busega-24h'!H28,'28.07 Bulenga-Busega'!H28)</f>
        <v>0.42857142857142855</v>
      </c>
      <c r="I28" s="49">
        <f>AVERAGE('22.07 Bulenga-Busega'!I28,'23.07 Bulenga-Busega'!I28,'24.07 Bulenga-Busega'!I28,'25.07 Bulenga-Busega'!I28,'26.07 Bulenga-Busega-24h'!I28,'27.07 Bulenga-Busega-24h'!I28,'28.07 Bulenga-Busega'!I28)</f>
        <v>5.7142857142857144</v>
      </c>
      <c r="J28" s="49">
        <f>AVERAGE('22.07 Bulenga-Busega'!J28,'23.07 Bulenga-Busega'!J28,'24.07 Bulenga-Busega'!J28,'25.07 Bulenga-Busega'!J28,'26.07 Bulenga-Busega-24h'!J28,'27.07 Bulenga-Busega-24h'!J28,'28.07 Bulenga-Busega'!J28)</f>
        <v>5.4285714285714288</v>
      </c>
      <c r="K28" s="49">
        <f>AVERAGE('22.07 Bulenga-Busega'!K28,'23.07 Bulenga-Busega'!K28,'24.07 Bulenga-Busega'!K28,'25.07 Bulenga-Busega'!K28,'26.07 Bulenga-Busega-24h'!K28,'27.07 Bulenga-Busega-24h'!K28,'28.07 Bulenga-Busega'!K28)</f>
        <v>1</v>
      </c>
      <c r="L28" s="49">
        <f>AVERAGE('22.07 Bulenga-Busega'!L28,'23.07 Bulenga-Busega'!L28,'24.07 Bulenga-Busega'!L28,'25.07 Bulenga-Busega'!L28,'26.07 Bulenga-Busega-24h'!L28,'27.07 Bulenga-Busega-24h'!L28,'28.07 Bulenga-Busega'!L28)</f>
        <v>1.7142857142857142</v>
      </c>
      <c r="M28" s="49">
        <f>AVERAGE('22.07 Bulenga-Busega'!M28,'23.07 Bulenga-Busega'!M28,'24.07 Bulenga-Busega'!M28,'25.07 Bulenga-Busega'!M28,'26.07 Bulenga-Busega-24h'!M28,'27.07 Bulenga-Busega-24h'!M28,'28.07 Bulenga-Busega'!M28)</f>
        <v>191.42857142857142</v>
      </c>
      <c r="N28" s="49">
        <f>AVERAGE('22.07 Bulenga-Busega'!N28,'23.07 Bulenga-Busega'!N28,'24.07 Bulenga-Busega'!N28,'25.07 Bulenga-Busega'!N28,'26.07 Bulenga-Busega-24h'!N28,'27.07 Bulenga-Busega-24h'!N28,'28.07 Bulenga-Busega'!N28)</f>
        <v>0</v>
      </c>
      <c r="O28" s="15">
        <f t="shared" si="0"/>
        <v>139.71428571428572</v>
      </c>
      <c r="P28" s="15">
        <f t="shared" si="1"/>
        <v>331.14285714285711</v>
      </c>
      <c r="R28" s="1" t="s">
        <v>152</v>
      </c>
      <c r="S28" s="34">
        <f>SUM(C82:C85)</f>
        <v>97.999999999999986</v>
      </c>
      <c r="T28" s="34">
        <f t="shared" ref="T28:AD28" si="20">SUM(D82:D85)</f>
        <v>15.333333333333334</v>
      </c>
      <c r="U28" s="34">
        <f t="shared" si="20"/>
        <v>6</v>
      </c>
      <c r="V28" s="34">
        <f t="shared" si="20"/>
        <v>17.333333333333336</v>
      </c>
      <c r="W28" s="34">
        <f t="shared" si="20"/>
        <v>1</v>
      </c>
      <c r="X28" s="34">
        <f t="shared" si="20"/>
        <v>0.33333333333333331</v>
      </c>
      <c r="Y28" s="34">
        <f t="shared" si="20"/>
        <v>20.333333333333336</v>
      </c>
      <c r="Z28" s="34">
        <f t="shared" si="20"/>
        <v>6.3333333333333339</v>
      </c>
      <c r="AA28" s="34">
        <f t="shared" si="20"/>
        <v>6.333333333333333</v>
      </c>
      <c r="AB28" s="34">
        <f t="shared" si="20"/>
        <v>2.666666666666667</v>
      </c>
      <c r="AC28" s="34">
        <f t="shared" si="20"/>
        <v>166.33333333333334</v>
      </c>
      <c r="AD28" s="34">
        <f t="shared" si="20"/>
        <v>0</v>
      </c>
      <c r="AE28" s="31">
        <f t="shared" si="13"/>
        <v>674.66666666666674</v>
      </c>
      <c r="AF28" s="31">
        <f t="shared" si="13"/>
        <v>1098.0000000000002</v>
      </c>
    </row>
    <row r="29" spans="2:32" ht="23.1" customHeight="1" x14ac:dyDescent="0.25">
      <c r="B29" s="23" t="s">
        <v>56</v>
      </c>
      <c r="C29" s="49">
        <f>AVERAGE('22.07 Bulenga-Busega'!C29,'23.07 Bulenga-Busega'!C29,'24.07 Bulenga-Busega'!C29,'25.07 Bulenga-Busega'!C29,'26.07 Bulenga-Busega-24h'!C29,'27.07 Bulenga-Busega-24h'!C29,'28.07 Bulenga-Busega'!C29)</f>
        <v>65.571428571428569</v>
      </c>
      <c r="D29" s="49">
        <f>AVERAGE('22.07 Bulenga-Busega'!D29,'23.07 Bulenga-Busega'!D29,'24.07 Bulenga-Busega'!D29,'25.07 Bulenga-Busega'!D29,'26.07 Bulenga-Busega-24h'!D29,'27.07 Bulenga-Busega-24h'!D29,'28.07 Bulenga-Busega'!D29)</f>
        <v>5.4285714285714288</v>
      </c>
      <c r="E29" s="49">
        <f>AVERAGE('22.07 Bulenga-Busega'!E29,'23.07 Bulenga-Busega'!E29,'24.07 Bulenga-Busega'!E29,'25.07 Bulenga-Busega'!E29,'26.07 Bulenga-Busega-24h'!E29,'27.07 Bulenga-Busega-24h'!E29,'28.07 Bulenga-Busega'!E29)</f>
        <v>6.8571428571428568</v>
      </c>
      <c r="F29" s="49">
        <f>AVERAGE('22.07 Bulenga-Busega'!F29,'23.07 Bulenga-Busega'!F29,'24.07 Bulenga-Busega'!F29,'25.07 Bulenga-Busega'!F29,'26.07 Bulenga-Busega-24h'!F29,'27.07 Bulenga-Busega-24h'!F29,'28.07 Bulenga-Busega'!F29)</f>
        <v>48.857142857142854</v>
      </c>
      <c r="G29" s="49">
        <f>AVERAGE('22.07 Bulenga-Busega'!G29,'23.07 Bulenga-Busega'!G29,'24.07 Bulenga-Busega'!G29,'25.07 Bulenga-Busega'!G29,'26.07 Bulenga-Busega-24h'!G29,'27.07 Bulenga-Busega-24h'!G29,'28.07 Bulenga-Busega'!G29)</f>
        <v>0.14285714285714285</v>
      </c>
      <c r="H29" s="49">
        <f>AVERAGE('22.07 Bulenga-Busega'!H29,'23.07 Bulenga-Busega'!H29,'24.07 Bulenga-Busega'!H29,'25.07 Bulenga-Busega'!H29,'26.07 Bulenga-Busega-24h'!H29,'27.07 Bulenga-Busega-24h'!H29,'28.07 Bulenga-Busega'!H29)</f>
        <v>0.14285714285714285</v>
      </c>
      <c r="I29" s="49">
        <f>AVERAGE('22.07 Bulenga-Busega'!I29,'23.07 Bulenga-Busega'!I29,'24.07 Bulenga-Busega'!I29,'25.07 Bulenga-Busega'!I29,'26.07 Bulenga-Busega-24h'!I29,'27.07 Bulenga-Busega-24h'!I29,'28.07 Bulenga-Busega'!I29)</f>
        <v>10.857142857142858</v>
      </c>
      <c r="J29" s="49">
        <f>AVERAGE('22.07 Bulenga-Busega'!J29,'23.07 Bulenga-Busega'!J29,'24.07 Bulenga-Busega'!J29,'25.07 Bulenga-Busega'!J29,'26.07 Bulenga-Busega-24h'!J29,'27.07 Bulenga-Busega-24h'!J29,'28.07 Bulenga-Busega'!J29)</f>
        <v>8.8571428571428577</v>
      </c>
      <c r="K29" s="49">
        <f>AVERAGE('22.07 Bulenga-Busega'!K29,'23.07 Bulenga-Busega'!K29,'24.07 Bulenga-Busega'!K29,'25.07 Bulenga-Busega'!K29,'26.07 Bulenga-Busega-24h'!K29,'27.07 Bulenga-Busega-24h'!K29,'28.07 Bulenga-Busega'!K29)</f>
        <v>0.5714285714285714</v>
      </c>
      <c r="L29" s="49">
        <f>AVERAGE('22.07 Bulenga-Busega'!L29,'23.07 Bulenga-Busega'!L29,'24.07 Bulenga-Busega'!L29,'25.07 Bulenga-Busega'!L29,'26.07 Bulenga-Busega-24h'!L29,'27.07 Bulenga-Busega-24h'!L29,'28.07 Bulenga-Busega'!L29)</f>
        <v>2</v>
      </c>
      <c r="M29" s="49">
        <f>AVERAGE('22.07 Bulenga-Busega'!M29,'23.07 Bulenga-Busega'!M29,'24.07 Bulenga-Busega'!M29,'25.07 Bulenga-Busega'!M29,'26.07 Bulenga-Busega-24h'!M29,'27.07 Bulenga-Busega-24h'!M29,'28.07 Bulenga-Busega'!M29)</f>
        <v>176.42857142857142</v>
      </c>
      <c r="N29" s="49">
        <f>AVERAGE('22.07 Bulenga-Busega'!N29,'23.07 Bulenga-Busega'!N29,'24.07 Bulenga-Busega'!N29,'25.07 Bulenga-Busega'!N29,'26.07 Bulenga-Busega-24h'!N29,'27.07 Bulenga-Busega-24h'!N29,'28.07 Bulenga-Busega'!N29)</f>
        <v>0</v>
      </c>
      <c r="O29" s="15">
        <f t="shared" si="0"/>
        <v>149.28571428571431</v>
      </c>
      <c r="P29" s="15">
        <f t="shared" si="1"/>
        <v>325.71428571428572</v>
      </c>
      <c r="R29" s="1" t="s">
        <v>153</v>
      </c>
      <c r="S29" s="34">
        <f>SUM(C86:C89)</f>
        <v>42.333333333333329</v>
      </c>
      <c r="T29" s="34">
        <f t="shared" ref="T29:AD29" si="21">SUM(D86:D89)</f>
        <v>3.6666666666666665</v>
      </c>
      <c r="U29" s="34">
        <f t="shared" si="21"/>
        <v>2.333333333333333</v>
      </c>
      <c r="V29" s="34">
        <f t="shared" si="21"/>
        <v>3.6666666666666661</v>
      </c>
      <c r="W29" s="34">
        <f t="shared" si="21"/>
        <v>0.66666666666666663</v>
      </c>
      <c r="X29" s="34">
        <f t="shared" si="21"/>
        <v>0.66666666666666663</v>
      </c>
      <c r="Y29" s="34">
        <f t="shared" si="21"/>
        <v>13.000000000000002</v>
      </c>
      <c r="Z29" s="34">
        <f t="shared" si="21"/>
        <v>5.0000000000000009</v>
      </c>
      <c r="AA29" s="34">
        <f t="shared" si="21"/>
        <v>5.333333333333333</v>
      </c>
      <c r="AB29" s="34">
        <f t="shared" si="21"/>
        <v>4</v>
      </c>
      <c r="AC29" s="34">
        <f t="shared" si="21"/>
        <v>113.66666666666666</v>
      </c>
      <c r="AD29" s="34">
        <f t="shared" si="21"/>
        <v>0</v>
      </c>
      <c r="AE29" s="31">
        <f t="shared" si="13"/>
        <v>688.66666666666674</v>
      </c>
      <c r="AF29" s="31">
        <f t="shared" si="13"/>
        <v>1106.3333333333333</v>
      </c>
    </row>
    <row r="30" spans="2:32" ht="23.1" customHeight="1" x14ac:dyDescent="0.25">
      <c r="B30" s="23" t="s">
        <v>57</v>
      </c>
      <c r="C30" s="49">
        <f>AVERAGE('22.07 Bulenga-Busega'!C30,'23.07 Bulenga-Busega'!C30,'24.07 Bulenga-Busega'!C30,'25.07 Bulenga-Busega'!C30,'26.07 Bulenga-Busega-24h'!C30,'27.07 Bulenga-Busega-24h'!C30,'28.07 Bulenga-Busega'!C30)</f>
        <v>61</v>
      </c>
      <c r="D30" s="49">
        <f>AVERAGE('22.07 Bulenga-Busega'!D30,'23.07 Bulenga-Busega'!D30,'24.07 Bulenga-Busega'!D30,'25.07 Bulenga-Busega'!D30,'26.07 Bulenga-Busega-24h'!D30,'27.07 Bulenga-Busega-24h'!D30,'28.07 Bulenga-Busega'!D30)</f>
        <v>5</v>
      </c>
      <c r="E30" s="49">
        <f>AVERAGE('22.07 Bulenga-Busega'!E30,'23.07 Bulenga-Busega'!E30,'24.07 Bulenga-Busega'!E30,'25.07 Bulenga-Busega'!E30,'26.07 Bulenga-Busega-24h'!E30,'27.07 Bulenga-Busega-24h'!E30,'28.07 Bulenga-Busega'!E30)</f>
        <v>9.7142857142857135</v>
      </c>
      <c r="F30" s="49">
        <f>AVERAGE('22.07 Bulenga-Busega'!F30,'23.07 Bulenga-Busega'!F30,'24.07 Bulenga-Busega'!F30,'25.07 Bulenga-Busega'!F30,'26.07 Bulenga-Busega-24h'!F30,'27.07 Bulenga-Busega-24h'!F30,'28.07 Bulenga-Busega'!F30)</f>
        <v>46.285714285714285</v>
      </c>
      <c r="G30" s="49">
        <f>AVERAGE('22.07 Bulenga-Busega'!G30,'23.07 Bulenga-Busega'!G30,'24.07 Bulenga-Busega'!G30,'25.07 Bulenga-Busega'!G30,'26.07 Bulenga-Busega-24h'!G30,'27.07 Bulenga-Busega-24h'!G30,'28.07 Bulenga-Busega'!G30)</f>
        <v>0.2857142857142857</v>
      </c>
      <c r="H30" s="49">
        <f>AVERAGE('22.07 Bulenga-Busega'!H30,'23.07 Bulenga-Busega'!H30,'24.07 Bulenga-Busega'!H30,'25.07 Bulenga-Busega'!H30,'26.07 Bulenga-Busega-24h'!H30,'27.07 Bulenga-Busega-24h'!H30,'28.07 Bulenga-Busega'!H30)</f>
        <v>0</v>
      </c>
      <c r="I30" s="49">
        <f>AVERAGE('22.07 Bulenga-Busega'!I30,'23.07 Bulenga-Busega'!I30,'24.07 Bulenga-Busega'!I30,'25.07 Bulenga-Busega'!I30,'26.07 Bulenga-Busega-24h'!I30,'27.07 Bulenga-Busega-24h'!I30,'28.07 Bulenga-Busega'!I30)</f>
        <v>12</v>
      </c>
      <c r="J30" s="49">
        <f>AVERAGE('22.07 Bulenga-Busega'!J30,'23.07 Bulenga-Busega'!J30,'24.07 Bulenga-Busega'!J30,'25.07 Bulenga-Busega'!J30,'26.07 Bulenga-Busega-24h'!J30,'27.07 Bulenga-Busega-24h'!J30,'28.07 Bulenga-Busega'!J30)</f>
        <v>6.8571428571428568</v>
      </c>
      <c r="K30" s="49">
        <f>AVERAGE('22.07 Bulenga-Busega'!K30,'23.07 Bulenga-Busega'!K30,'24.07 Bulenga-Busega'!K30,'25.07 Bulenga-Busega'!K30,'26.07 Bulenga-Busega-24h'!K30,'27.07 Bulenga-Busega-24h'!K30,'28.07 Bulenga-Busega'!K30)</f>
        <v>1</v>
      </c>
      <c r="L30" s="49">
        <f>AVERAGE('22.07 Bulenga-Busega'!L30,'23.07 Bulenga-Busega'!L30,'24.07 Bulenga-Busega'!L30,'25.07 Bulenga-Busega'!L30,'26.07 Bulenga-Busega-24h'!L30,'27.07 Bulenga-Busega-24h'!L30,'28.07 Bulenga-Busega'!L30)</f>
        <v>1.2857142857142858</v>
      </c>
      <c r="M30" s="49">
        <f>AVERAGE('22.07 Bulenga-Busega'!M30,'23.07 Bulenga-Busega'!M30,'24.07 Bulenga-Busega'!M30,'25.07 Bulenga-Busega'!M30,'26.07 Bulenga-Busega-24h'!M30,'27.07 Bulenga-Busega-24h'!M30,'28.07 Bulenga-Busega'!M30)</f>
        <v>181.85714285714286</v>
      </c>
      <c r="N30" s="49">
        <f>AVERAGE('22.07 Bulenga-Busega'!N30,'23.07 Bulenga-Busega'!N30,'24.07 Bulenga-Busega'!N30,'25.07 Bulenga-Busega'!N30,'26.07 Bulenga-Busega-24h'!N30,'27.07 Bulenga-Busega-24h'!N30,'28.07 Bulenga-Busega'!N30)</f>
        <v>0</v>
      </c>
      <c r="O30" s="15">
        <f t="shared" si="0"/>
        <v>143.42857142857142</v>
      </c>
      <c r="P30" s="15">
        <f t="shared" si="1"/>
        <v>325.28571428571428</v>
      </c>
      <c r="R30" s="1" t="s">
        <v>154</v>
      </c>
      <c r="S30" s="34">
        <f>SUM(C90:C93)</f>
        <v>37.999999999999993</v>
      </c>
      <c r="T30" s="34">
        <f t="shared" ref="T30:AD30" si="22">SUM(D90:D93)</f>
        <v>11.333333333333332</v>
      </c>
      <c r="U30" s="34">
        <f t="shared" si="22"/>
        <v>2.3333333333333335</v>
      </c>
      <c r="V30" s="34">
        <f t="shared" si="22"/>
        <v>3.333333333333333</v>
      </c>
      <c r="W30" s="34">
        <f t="shared" si="22"/>
        <v>0.66666666666666663</v>
      </c>
      <c r="X30" s="34">
        <f t="shared" si="22"/>
        <v>0.66666666666666663</v>
      </c>
      <c r="Y30" s="34">
        <f t="shared" si="22"/>
        <v>9.3333333333333339</v>
      </c>
      <c r="Z30" s="34">
        <f t="shared" si="22"/>
        <v>10.000000000000002</v>
      </c>
      <c r="AA30" s="34">
        <f t="shared" si="22"/>
        <v>7.666666666666667</v>
      </c>
      <c r="AB30" s="34">
        <f t="shared" si="22"/>
        <v>2.6666666666666665</v>
      </c>
      <c r="AC30" s="34">
        <f t="shared" si="22"/>
        <v>74.666666666666657</v>
      </c>
      <c r="AD30" s="34">
        <f t="shared" si="22"/>
        <v>0.33333333333333331</v>
      </c>
      <c r="AE30" s="31">
        <f t="shared" si="13"/>
        <v>623.33333333333337</v>
      </c>
      <c r="AF30" s="31">
        <f t="shared" si="13"/>
        <v>1003</v>
      </c>
    </row>
    <row r="31" spans="2:32" ht="23.1" customHeight="1" x14ac:dyDescent="0.25">
      <c r="B31" s="24" t="s">
        <v>58</v>
      </c>
      <c r="C31" s="49">
        <f>AVERAGE('22.07 Bulenga-Busega'!C31,'23.07 Bulenga-Busega'!C31,'24.07 Bulenga-Busega'!C31,'25.07 Bulenga-Busega'!C31,'26.07 Bulenga-Busega-24h'!C31,'27.07 Bulenga-Busega-24h'!C31,'28.07 Bulenga-Busega'!C31)</f>
        <v>59.428571428571431</v>
      </c>
      <c r="D31" s="49">
        <f>AVERAGE('22.07 Bulenga-Busega'!D31,'23.07 Bulenga-Busega'!D31,'24.07 Bulenga-Busega'!D31,'25.07 Bulenga-Busega'!D31,'26.07 Bulenga-Busega-24h'!D31,'27.07 Bulenga-Busega-24h'!D31,'28.07 Bulenga-Busega'!D31)</f>
        <v>5.7142857142857144</v>
      </c>
      <c r="E31" s="49">
        <f>AVERAGE('22.07 Bulenga-Busega'!E31,'23.07 Bulenga-Busega'!E31,'24.07 Bulenga-Busega'!E31,'25.07 Bulenga-Busega'!E31,'26.07 Bulenga-Busega-24h'!E31,'27.07 Bulenga-Busega-24h'!E31,'28.07 Bulenga-Busega'!E31)</f>
        <v>7.1428571428571432</v>
      </c>
      <c r="F31" s="49">
        <f>AVERAGE('22.07 Bulenga-Busega'!F31,'23.07 Bulenga-Busega'!F31,'24.07 Bulenga-Busega'!F31,'25.07 Bulenga-Busega'!F31,'26.07 Bulenga-Busega-24h'!F31,'27.07 Bulenga-Busega-24h'!F31,'28.07 Bulenga-Busega'!F31)</f>
        <v>33.428571428571431</v>
      </c>
      <c r="G31" s="49">
        <f>AVERAGE('22.07 Bulenga-Busega'!G31,'23.07 Bulenga-Busega'!G31,'24.07 Bulenga-Busega'!G31,'25.07 Bulenga-Busega'!G31,'26.07 Bulenga-Busega-24h'!G31,'27.07 Bulenga-Busega-24h'!G31,'28.07 Bulenga-Busega'!G31)</f>
        <v>0.14285714285714285</v>
      </c>
      <c r="H31" s="49">
        <f>AVERAGE('22.07 Bulenga-Busega'!H31,'23.07 Bulenga-Busega'!H31,'24.07 Bulenga-Busega'!H31,'25.07 Bulenga-Busega'!H31,'26.07 Bulenga-Busega-24h'!H31,'27.07 Bulenga-Busega-24h'!H31,'28.07 Bulenga-Busega'!H31)</f>
        <v>0.14285714285714285</v>
      </c>
      <c r="I31" s="49">
        <f>AVERAGE('22.07 Bulenga-Busega'!I31,'23.07 Bulenga-Busega'!I31,'24.07 Bulenga-Busega'!I31,'25.07 Bulenga-Busega'!I31,'26.07 Bulenga-Busega-24h'!I31,'27.07 Bulenga-Busega-24h'!I31,'28.07 Bulenga-Busega'!I31)</f>
        <v>6.7142857142857144</v>
      </c>
      <c r="J31" s="49">
        <f>AVERAGE('22.07 Bulenga-Busega'!J31,'23.07 Bulenga-Busega'!J31,'24.07 Bulenga-Busega'!J31,'25.07 Bulenga-Busega'!J31,'26.07 Bulenga-Busega-24h'!J31,'27.07 Bulenga-Busega-24h'!J31,'28.07 Bulenga-Busega'!J31)</f>
        <v>7</v>
      </c>
      <c r="K31" s="49">
        <f>AVERAGE('22.07 Bulenga-Busega'!K31,'23.07 Bulenga-Busega'!K31,'24.07 Bulenga-Busega'!K31,'25.07 Bulenga-Busega'!K31,'26.07 Bulenga-Busega-24h'!K31,'27.07 Bulenga-Busega-24h'!K31,'28.07 Bulenga-Busega'!K31)</f>
        <v>0.42857142857142855</v>
      </c>
      <c r="L31" s="49">
        <f>AVERAGE('22.07 Bulenga-Busega'!L31,'23.07 Bulenga-Busega'!L31,'24.07 Bulenga-Busega'!L31,'25.07 Bulenga-Busega'!L31,'26.07 Bulenga-Busega-24h'!L31,'27.07 Bulenga-Busega-24h'!L31,'28.07 Bulenga-Busega'!L31)</f>
        <v>1.4285714285714286</v>
      </c>
      <c r="M31" s="49">
        <f>AVERAGE('22.07 Bulenga-Busega'!M31,'23.07 Bulenga-Busega'!M31,'24.07 Bulenga-Busega'!M31,'25.07 Bulenga-Busega'!M31,'26.07 Bulenga-Busega-24h'!M31,'27.07 Bulenga-Busega-24h'!M31,'28.07 Bulenga-Busega'!M31)</f>
        <v>167.71428571428572</v>
      </c>
      <c r="N31" s="49">
        <f>AVERAGE('22.07 Bulenga-Busega'!N31,'23.07 Bulenga-Busega'!N31,'24.07 Bulenga-Busega'!N31,'25.07 Bulenga-Busega'!N31,'26.07 Bulenga-Busega-24h'!N31,'27.07 Bulenga-Busega-24h'!N31,'28.07 Bulenga-Busega'!N31)</f>
        <v>0</v>
      </c>
      <c r="O31" s="15">
        <f t="shared" si="0"/>
        <v>121.57142857142856</v>
      </c>
      <c r="P31" s="15">
        <f t="shared" si="1"/>
        <v>289.28571428571428</v>
      </c>
      <c r="R31" s="1" t="s">
        <v>155</v>
      </c>
      <c r="S31" s="34">
        <f>SUM(C94:C97)</f>
        <v>35.666666666666671</v>
      </c>
      <c r="T31" s="34">
        <f t="shared" ref="T31:AD31" si="23">SUM(D94:D97)</f>
        <v>19.333333333333336</v>
      </c>
      <c r="U31" s="34">
        <f t="shared" si="23"/>
        <v>0.66666666666666663</v>
      </c>
      <c r="V31" s="34">
        <f t="shared" si="23"/>
        <v>16.666666666666668</v>
      </c>
      <c r="W31" s="34">
        <f t="shared" si="23"/>
        <v>0.66666666666666663</v>
      </c>
      <c r="X31" s="34">
        <f t="shared" si="23"/>
        <v>1.3333333333333333</v>
      </c>
      <c r="Y31" s="34">
        <f t="shared" si="23"/>
        <v>6.6666666666666661</v>
      </c>
      <c r="Z31" s="34">
        <f t="shared" si="23"/>
        <v>6.6666666666666661</v>
      </c>
      <c r="AA31" s="34">
        <f t="shared" si="23"/>
        <v>6</v>
      </c>
      <c r="AB31" s="34">
        <f t="shared" si="23"/>
        <v>1.3333333333333333</v>
      </c>
      <c r="AC31" s="34">
        <f t="shared" si="23"/>
        <v>87.333333333333343</v>
      </c>
      <c r="AD31" s="34">
        <f t="shared" si="23"/>
        <v>0</v>
      </c>
      <c r="AE31" s="31">
        <f t="shared" si="13"/>
        <v>707.33333333333326</v>
      </c>
      <c r="AF31" s="31">
        <f t="shared" si="13"/>
        <v>1123.9999999999998</v>
      </c>
    </row>
    <row r="32" spans="2:32" ht="23.1" customHeight="1" x14ac:dyDescent="0.25">
      <c r="B32" s="24" t="s">
        <v>59</v>
      </c>
      <c r="C32" s="49">
        <f>AVERAGE('22.07 Bulenga-Busega'!C32,'23.07 Bulenga-Busega'!C32,'24.07 Bulenga-Busega'!C32,'25.07 Bulenga-Busega'!C32,'26.07 Bulenga-Busega-24h'!C32,'27.07 Bulenga-Busega-24h'!C32,'28.07 Bulenga-Busega'!C32)</f>
        <v>57.285714285714285</v>
      </c>
      <c r="D32" s="49">
        <f>AVERAGE('22.07 Bulenga-Busega'!D32,'23.07 Bulenga-Busega'!D32,'24.07 Bulenga-Busega'!D32,'25.07 Bulenga-Busega'!D32,'26.07 Bulenga-Busega-24h'!D32,'27.07 Bulenga-Busega-24h'!D32,'28.07 Bulenga-Busega'!D32)</f>
        <v>9.5714285714285712</v>
      </c>
      <c r="E32" s="49">
        <f>AVERAGE('22.07 Bulenga-Busega'!E32,'23.07 Bulenga-Busega'!E32,'24.07 Bulenga-Busega'!E32,'25.07 Bulenga-Busega'!E32,'26.07 Bulenga-Busega-24h'!E32,'27.07 Bulenga-Busega-24h'!E32,'28.07 Bulenga-Busega'!E32)</f>
        <v>9.1428571428571423</v>
      </c>
      <c r="F32" s="49">
        <f>AVERAGE('22.07 Bulenga-Busega'!F32,'23.07 Bulenga-Busega'!F32,'24.07 Bulenga-Busega'!F32,'25.07 Bulenga-Busega'!F32,'26.07 Bulenga-Busega-24h'!F32,'27.07 Bulenga-Busega-24h'!F32,'28.07 Bulenga-Busega'!F32)</f>
        <v>37.142857142857146</v>
      </c>
      <c r="G32" s="49">
        <f>AVERAGE('22.07 Bulenga-Busega'!G32,'23.07 Bulenga-Busega'!G32,'24.07 Bulenga-Busega'!G32,'25.07 Bulenga-Busega'!G32,'26.07 Bulenga-Busega-24h'!G32,'27.07 Bulenga-Busega-24h'!G32,'28.07 Bulenga-Busega'!G32)</f>
        <v>0.5714285714285714</v>
      </c>
      <c r="H32" s="49">
        <f>AVERAGE('22.07 Bulenga-Busega'!H32,'23.07 Bulenga-Busega'!H32,'24.07 Bulenga-Busega'!H32,'25.07 Bulenga-Busega'!H32,'26.07 Bulenga-Busega-24h'!H32,'27.07 Bulenga-Busega-24h'!H32,'28.07 Bulenga-Busega'!H32)</f>
        <v>0.2857142857142857</v>
      </c>
      <c r="I32" s="49">
        <f>AVERAGE('22.07 Bulenga-Busega'!I32,'23.07 Bulenga-Busega'!I32,'24.07 Bulenga-Busega'!I32,'25.07 Bulenga-Busega'!I32,'26.07 Bulenga-Busega-24h'!I32,'27.07 Bulenga-Busega-24h'!I32,'28.07 Bulenga-Busega'!I32)</f>
        <v>11.428571428571429</v>
      </c>
      <c r="J32" s="49">
        <f>AVERAGE('22.07 Bulenga-Busega'!J32,'23.07 Bulenga-Busega'!J32,'24.07 Bulenga-Busega'!J32,'25.07 Bulenga-Busega'!J32,'26.07 Bulenga-Busega-24h'!J32,'27.07 Bulenga-Busega-24h'!J32,'28.07 Bulenga-Busega'!J32)</f>
        <v>7</v>
      </c>
      <c r="K32" s="49">
        <f>AVERAGE('22.07 Bulenga-Busega'!K32,'23.07 Bulenga-Busega'!K32,'24.07 Bulenga-Busega'!K32,'25.07 Bulenga-Busega'!K32,'26.07 Bulenga-Busega-24h'!K32,'27.07 Bulenga-Busega-24h'!K32,'28.07 Bulenga-Busega'!K32)</f>
        <v>0.14285714285714285</v>
      </c>
      <c r="L32" s="49">
        <f>AVERAGE('22.07 Bulenga-Busega'!L32,'23.07 Bulenga-Busega'!L32,'24.07 Bulenga-Busega'!L32,'25.07 Bulenga-Busega'!L32,'26.07 Bulenga-Busega-24h'!L32,'27.07 Bulenga-Busega-24h'!L32,'28.07 Bulenga-Busega'!L32)</f>
        <v>1.2857142857142858</v>
      </c>
      <c r="M32" s="49">
        <f>AVERAGE('22.07 Bulenga-Busega'!M32,'23.07 Bulenga-Busega'!M32,'24.07 Bulenga-Busega'!M32,'25.07 Bulenga-Busega'!M32,'26.07 Bulenga-Busega-24h'!M32,'27.07 Bulenga-Busega-24h'!M32,'28.07 Bulenga-Busega'!M32)</f>
        <v>175.14285714285714</v>
      </c>
      <c r="N32" s="49">
        <f>AVERAGE('22.07 Bulenga-Busega'!N32,'23.07 Bulenga-Busega'!N32,'24.07 Bulenga-Busega'!N32,'25.07 Bulenga-Busega'!N32,'26.07 Bulenga-Busega-24h'!N32,'27.07 Bulenga-Busega-24h'!N32,'28.07 Bulenga-Busega'!N32)</f>
        <v>0</v>
      </c>
      <c r="O32" s="15">
        <f t="shared" si="0"/>
        <v>133.85714285714286</v>
      </c>
      <c r="P32" s="15">
        <f t="shared" si="1"/>
        <v>309</v>
      </c>
      <c r="R32" s="1" t="s">
        <v>156</v>
      </c>
      <c r="S32" s="34">
        <f>SUM(C98:C101)</f>
        <v>96.333333333333329</v>
      </c>
      <c r="T32" s="34">
        <f t="shared" ref="T32:AD32" si="24">SUM(D98:D101)</f>
        <v>24</v>
      </c>
      <c r="U32" s="34">
        <f t="shared" si="24"/>
        <v>10.333333333333334</v>
      </c>
      <c r="V32" s="34">
        <f t="shared" si="24"/>
        <v>111.66666666666667</v>
      </c>
      <c r="W32" s="34">
        <f t="shared" si="24"/>
        <v>2.3333333333333335</v>
      </c>
      <c r="X32" s="34">
        <f t="shared" si="24"/>
        <v>4</v>
      </c>
      <c r="Y32" s="34">
        <f t="shared" si="24"/>
        <v>41</v>
      </c>
      <c r="Z32" s="34">
        <f t="shared" si="24"/>
        <v>18</v>
      </c>
      <c r="AA32" s="34">
        <f t="shared" si="24"/>
        <v>17.333333333333332</v>
      </c>
      <c r="AB32" s="34">
        <f t="shared" si="24"/>
        <v>3.3333333333333335</v>
      </c>
      <c r="AC32" s="34">
        <f t="shared" si="24"/>
        <v>187.66666666666666</v>
      </c>
      <c r="AD32" s="34">
        <f t="shared" si="24"/>
        <v>0</v>
      </c>
      <c r="AE32" s="31">
        <f t="shared" si="13"/>
        <v>737.66666666666674</v>
      </c>
      <c r="AF32" s="31">
        <f t="shared" si="13"/>
        <v>1136.333333333333</v>
      </c>
    </row>
    <row r="33" spans="2:32" ht="23.1" customHeight="1" x14ac:dyDescent="0.25">
      <c r="B33" s="23" t="s">
        <v>60</v>
      </c>
      <c r="C33" s="49">
        <f>AVERAGE('22.07 Bulenga-Busega'!C33,'23.07 Bulenga-Busega'!C33,'24.07 Bulenga-Busega'!C33,'25.07 Bulenga-Busega'!C33,'26.07 Bulenga-Busega-24h'!C33,'27.07 Bulenga-Busega-24h'!C33,'28.07 Bulenga-Busega'!C33)</f>
        <v>60.857142857142854</v>
      </c>
      <c r="D33" s="49">
        <f>AVERAGE('22.07 Bulenga-Busega'!D33,'23.07 Bulenga-Busega'!D33,'24.07 Bulenga-Busega'!D33,'25.07 Bulenga-Busega'!D33,'26.07 Bulenga-Busega-24h'!D33,'27.07 Bulenga-Busega-24h'!D33,'28.07 Bulenga-Busega'!D33)</f>
        <v>3.8571428571428572</v>
      </c>
      <c r="E33" s="49">
        <f>AVERAGE('22.07 Bulenga-Busega'!E33,'23.07 Bulenga-Busega'!E33,'24.07 Bulenga-Busega'!E33,'25.07 Bulenga-Busega'!E33,'26.07 Bulenga-Busega-24h'!E33,'27.07 Bulenga-Busega-24h'!E33,'28.07 Bulenga-Busega'!E33)</f>
        <v>5.4285714285714288</v>
      </c>
      <c r="F33" s="49">
        <f>AVERAGE('22.07 Bulenga-Busega'!F33,'23.07 Bulenga-Busega'!F33,'24.07 Bulenga-Busega'!F33,'25.07 Bulenga-Busega'!F33,'26.07 Bulenga-Busega-24h'!F33,'27.07 Bulenga-Busega-24h'!F33,'28.07 Bulenga-Busega'!F33)</f>
        <v>37</v>
      </c>
      <c r="G33" s="49">
        <f>AVERAGE('22.07 Bulenga-Busega'!G33,'23.07 Bulenga-Busega'!G33,'24.07 Bulenga-Busega'!G33,'25.07 Bulenga-Busega'!G33,'26.07 Bulenga-Busega-24h'!G33,'27.07 Bulenga-Busega-24h'!G33,'28.07 Bulenga-Busega'!G33)</f>
        <v>0.42857142857142855</v>
      </c>
      <c r="H33" s="49">
        <f>AVERAGE('22.07 Bulenga-Busega'!H33,'23.07 Bulenga-Busega'!H33,'24.07 Bulenga-Busega'!H33,'25.07 Bulenga-Busega'!H33,'26.07 Bulenga-Busega-24h'!H33,'27.07 Bulenga-Busega-24h'!H33,'28.07 Bulenga-Busega'!H33)</f>
        <v>2.5714285714285716</v>
      </c>
      <c r="I33" s="49">
        <f>AVERAGE('22.07 Bulenga-Busega'!I33,'23.07 Bulenga-Busega'!I33,'24.07 Bulenga-Busega'!I33,'25.07 Bulenga-Busega'!I33,'26.07 Bulenga-Busega-24h'!I33,'27.07 Bulenga-Busega-24h'!I33,'28.07 Bulenga-Busega'!I33)</f>
        <v>7.5714285714285712</v>
      </c>
      <c r="J33" s="49">
        <f>AVERAGE('22.07 Bulenga-Busega'!J33,'23.07 Bulenga-Busega'!J33,'24.07 Bulenga-Busega'!J33,'25.07 Bulenga-Busega'!J33,'26.07 Bulenga-Busega-24h'!J33,'27.07 Bulenga-Busega-24h'!J33,'28.07 Bulenga-Busega'!J33)</f>
        <v>4.7142857142857144</v>
      </c>
      <c r="K33" s="49">
        <f>AVERAGE('22.07 Bulenga-Busega'!K33,'23.07 Bulenga-Busega'!K33,'24.07 Bulenga-Busega'!K33,'25.07 Bulenga-Busega'!K33,'26.07 Bulenga-Busega-24h'!K33,'27.07 Bulenga-Busega-24h'!K33,'28.07 Bulenga-Busega'!K33)</f>
        <v>0.5714285714285714</v>
      </c>
      <c r="L33" s="49">
        <f>AVERAGE('22.07 Bulenga-Busega'!L33,'23.07 Bulenga-Busega'!L33,'24.07 Bulenga-Busega'!L33,'25.07 Bulenga-Busega'!L33,'26.07 Bulenga-Busega-24h'!L33,'27.07 Bulenga-Busega-24h'!L33,'28.07 Bulenga-Busega'!L33)</f>
        <v>35</v>
      </c>
      <c r="M33" s="49">
        <f>AVERAGE('22.07 Bulenga-Busega'!M33,'23.07 Bulenga-Busega'!M33,'24.07 Bulenga-Busega'!M33,'25.07 Bulenga-Busega'!M33,'26.07 Bulenga-Busega-24h'!M33,'27.07 Bulenga-Busega-24h'!M33,'28.07 Bulenga-Busega'!M33)</f>
        <v>123.14285714285714</v>
      </c>
      <c r="N33" s="49">
        <f>AVERAGE('22.07 Bulenga-Busega'!N33,'23.07 Bulenga-Busega'!N33,'24.07 Bulenga-Busega'!N33,'25.07 Bulenga-Busega'!N33,'26.07 Bulenga-Busega-24h'!N33,'27.07 Bulenga-Busega-24h'!N33,'28.07 Bulenga-Busega'!N33)</f>
        <v>0</v>
      </c>
      <c r="O33" s="15">
        <f t="shared" si="0"/>
        <v>158</v>
      </c>
      <c r="P33" s="15">
        <f t="shared" si="1"/>
        <v>281.14285714285711</v>
      </c>
      <c r="R33" s="1" t="s">
        <v>157</v>
      </c>
      <c r="S33" s="34">
        <f>SUM(C102:C105)</f>
        <v>140</v>
      </c>
      <c r="T33" s="34">
        <f t="shared" ref="T33:AD33" si="25">SUM(D102:D105)</f>
        <v>49.666666666666671</v>
      </c>
      <c r="U33" s="34">
        <f t="shared" si="25"/>
        <v>18.333333333333332</v>
      </c>
      <c r="V33" s="34">
        <f t="shared" si="25"/>
        <v>159.66666666666669</v>
      </c>
      <c r="W33" s="34">
        <f t="shared" si="25"/>
        <v>3.6666666666666661</v>
      </c>
      <c r="X33" s="34">
        <f t="shared" si="25"/>
        <v>2.9999999999999996</v>
      </c>
      <c r="Y33" s="34">
        <f t="shared" si="25"/>
        <v>65</v>
      </c>
      <c r="Z33" s="34">
        <f t="shared" si="25"/>
        <v>16.666666666666668</v>
      </c>
      <c r="AA33" s="34">
        <f t="shared" si="25"/>
        <v>40</v>
      </c>
      <c r="AB33" s="34">
        <f t="shared" si="25"/>
        <v>11.333333333333334</v>
      </c>
      <c r="AC33" s="34">
        <f t="shared" si="25"/>
        <v>327.99999999999994</v>
      </c>
      <c r="AD33" s="34">
        <f t="shared" si="25"/>
        <v>0</v>
      </c>
      <c r="AE33" s="31">
        <f t="shared" si="13"/>
        <v>620.33333333333326</v>
      </c>
      <c r="AF33" s="31">
        <f t="shared" si="13"/>
        <v>982.66666666666652</v>
      </c>
    </row>
    <row r="34" spans="2:32" ht="23.1" customHeight="1" x14ac:dyDescent="0.25">
      <c r="B34" s="24" t="s">
        <v>61</v>
      </c>
      <c r="C34" s="49">
        <f>AVERAGE('22.07 Bulenga-Busega'!C34,'23.07 Bulenga-Busega'!C34,'24.07 Bulenga-Busega'!C34,'25.07 Bulenga-Busega'!C34,'26.07 Bulenga-Busega-24h'!C34,'27.07 Bulenga-Busega-24h'!C34,'28.07 Bulenga-Busega'!C34)</f>
        <v>60.285714285714285</v>
      </c>
      <c r="D34" s="49">
        <f>AVERAGE('22.07 Bulenga-Busega'!D34,'23.07 Bulenga-Busega'!D34,'24.07 Bulenga-Busega'!D34,'25.07 Bulenga-Busega'!D34,'26.07 Bulenga-Busega-24h'!D34,'27.07 Bulenga-Busega-24h'!D34,'28.07 Bulenga-Busega'!D34)</f>
        <v>9.1428571428571423</v>
      </c>
      <c r="E34" s="49">
        <f>AVERAGE('22.07 Bulenga-Busega'!E34,'23.07 Bulenga-Busega'!E34,'24.07 Bulenga-Busega'!E34,'25.07 Bulenga-Busega'!E34,'26.07 Bulenga-Busega-24h'!E34,'27.07 Bulenga-Busega-24h'!E34,'28.07 Bulenga-Busega'!E34)</f>
        <v>8.8571428571428577</v>
      </c>
      <c r="F34" s="49">
        <f>AVERAGE('22.07 Bulenga-Busega'!F34,'23.07 Bulenga-Busega'!F34,'24.07 Bulenga-Busega'!F34,'25.07 Bulenga-Busega'!F34,'26.07 Bulenga-Busega-24h'!F34,'27.07 Bulenga-Busega-24h'!F34,'28.07 Bulenga-Busega'!F34)</f>
        <v>34.571428571428569</v>
      </c>
      <c r="G34" s="49">
        <f>AVERAGE('22.07 Bulenga-Busega'!G34,'23.07 Bulenga-Busega'!G34,'24.07 Bulenga-Busega'!G34,'25.07 Bulenga-Busega'!G34,'26.07 Bulenga-Busega-24h'!G34,'27.07 Bulenga-Busega-24h'!G34,'28.07 Bulenga-Busega'!G34)</f>
        <v>3.1428571428571428</v>
      </c>
      <c r="H34" s="49">
        <f>AVERAGE('22.07 Bulenga-Busega'!H34,'23.07 Bulenga-Busega'!H34,'24.07 Bulenga-Busega'!H34,'25.07 Bulenga-Busega'!H34,'26.07 Bulenga-Busega-24h'!H34,'27.07 Bulenga-Busega-24h'!H34,'28.07 Bulenga-Busega'!H34)</f>
        <v>1.4285714285714286</v>
      </c>
      <c r="I34" s="49">
        <f>AVERAGE('22.07 Bulenga-Busega'!I34,'23.07 Bulenga-Busega'!I34,'24.07 Bulenga-Busega'!I34,'25.07 Bulenga-Busega'!I34,'26.07 Bulenga-Busega-24h'!I34,'27.07 Bulenga-Busega-24h'!I34,'28.07 Bulenga-Busega'!I34)</f>
        <v>9.5714285714285712</v>
      </c>
      <c r="J34" s="49">
        <f>AVERAGE('22.07 Bulenga-Busega'!J34,'23.07 Bulenga-Busega'!J34,'24.07 Bulenga-Busega'!J34,'25.07 Bulenga-Busega'!J34,'26.07 Bulenga-Busega-24h'!J34,'27.07 Bulenga-Busega-24h'!J34,'28.07 Bulenga-Busega'!J34)</f>
        <v>8.4285714285714288</v>
      </c>
      <c r="K34" s="49">
        <f>AVERAGE('22.07 Bulenga-Busega'!K34,'23.07 Bulenga-Busega'!K34,'24.07 Bulenga-Busega'!K34,'25.07 Bulenga-Busega'!K34,'26.07 Bulenga-Busega-24h'!K34,'27.07 Bulenga-Busega-24h'!K34,'28.07 Bulenga-Busega'!K34)</f>
        <v>1.5714285714285714</v>
      </c>
      <c r="L34" s="49">
        <f>AVERAGE('22.07 Bulenga-Busega'!L34,'23.07 Bulenga-Busega'!L34,'24.07 Bulenga-Busega'!L34,'25.07 Bulenga-Busega'!L34,'26.07 Bulenga-Busega-24h'!L34,'27.07 Bulenga-Busega-24h'!L34,'28.07 Bulenga-Busega'!L34)</f>
        <v>2.2857142857142856</v>
      </c>
      <c r="M34" s="49">
        <f>AVERAGE('22.07 Bulenga-Busega'!M34,'23.07 Bulenga-Busega'!M34,'24.07 Bulenga-Busega'!M34,'25.07 Bulenga-Busega'!M34,'26.07 Bulenga-Busega-24h'!M34,'27.07 Bulenga-Busega-24h'!M34,'28.07 Bulenga-Busega'!M34)</f>
        <v>165.28571428571428</v>
      </c>
      <c r="N34" s="49">
        <f>AVERAGE('22.07 Bulenga-Busega'!N34,'23.07 Bulenga-Busega'!N34,'24.07 Bulenga-Busega'!N34,'25.07 Bulenga-Busega'!N34,'26.07 Bulenga-Busega-24h'!N34,'27.07 Bulenga-Busega-24h'!N34,'28.07 Bulenga-Busega'!N34)</f>
        <v>0</v>
      </c>
      <c r="O34" s="15">
        <f t="shared" si="0"/>
        <v>139.28571428571428</v>
      </c>
      <c r="P34" s="15">
        <f t="shared" si="1"/>
        <v>304.57142857142856</v>
      </c>
      <c r="R34" s="38" t="s">
        <v>90</v>
      </c>
      <c r="S34" s="39">
        <f t="shared" ref="S34:AF34" si="26">MAX(S10:S12)</f>
        <v>304.14285714285717</v>
      </c>
      <c r="T34" s="39">
        <f t="shared" si="26"/>
        <v>49.142857142857146</v>
      </c>
      <c r="U34" s="39">
        <f t="shared" si="26"/>
        <v>73.714285714285722</v>
      </c>
      <c r="V34" s="39">
        <f t="shared" si="26"/>
        <v>264.42857142857144</v>
      </c>
      <c r="W34" s="39">
        <f t="shared" si="26"/>
        <v>15.285714285714285</v>
      </c>
      <c r="X34" s="39">
        <f t="shared" si="26"/>
        <v>6.1428571428571423</v>
      </c>
      <c r="Y34" s="39">
        <f t="shared" si="26"/>
        <v>57.428571428571431</v>
      </c>
      <c r="Z34" s="39">
        <f t="shared" si="26"/>
        <v>39.857142857142854</v>
      </c>
      <c r="AA34" s="39">
        <f t="shared" si="26"/>
        <v>12.571428571428573</v>
      </c>
      <c r="AB34" s="39">
        <f t="shared" si="26"/>
        <v>10.857142857142858</v>
      </c>
      <c r="AC34" s="39">
        <f t="shared" si="26"/>
        <v>801.14285714285711</v>
      </c>
      <c r="AD34" s="39">
        <f t="shared" si="26"/>
        <v>0.14285714285714285</v>
      </c>
      <c r="AE34" s="40">
        <f t="shared" si="26"/>
        <v>833.57142857142844</v>
      </c>
      <c r="AF34" s="40">
        <f t="shared" si="26"/>
        <v>1548</v>
      </c>
    </row>
    <row r="35" spans="2:32" ht="23.1" customHeight="1" x14ac:dyDescent="0.25">
      <c r="B35" s="24" t="s">
        <v>62</v>
      </c>
      <c r="C35" s="49">
        <f>AVERAGE('22.07 Bulenga-Busega'!C35,'23.07 Bulenga-Busega'!C35,'24.07 Bulenga-Busega'!C35,'25.07 Bulenga-Busega'!C35,'26.07 Bulenga-Busega-24h'!C35,'27.07 Bulenga-Busega-24h'!C35,'28.07 Bulenga-Busega'!C35)</f>
        <v>52.142857142857146</v>
      </c>
      <c r="D35" s="49">
        <f>AVERAGE('22.07 Bulenga-Busega'!D35,'23.07 Bulenga-Busega'!D35,'24.07 Bulenga-Busega'!D35,'25.07 Bulenga-Busega'!D35,'26.07 Bulenga-Busega-24h'!D35,'27.07 Bulenga-Busega-24h'!D35,'28.07 Bulenga-Busega'!D35)</f>
        <v>6.8571428571428568</v>
      </c>
      <c r="E35" s="49">
        <f>AVERAGE('22.07 Bulenga-Busega'!E35,'23.07 Bulenga-Busega'!E35,'24.07 Bulenga-Busega'!E35,'25.07 Bulenga-Busega'!E35,'26.07 Bulenga-Busega-24h'!E35,'27.07 Bulenga-Busega-24h'!E35,'28.07 Bulenga-Busega'!E35)</f>
        <v>8.2857142857142865</v>
      </c>
      <c r="F35" s="49">
        <f>AVERAGE('22.07 Bulenga-Busega'!F35,'23.07 Bulenga-Busega'!F35,'24.07 Bulenga-Busega'!F35,'25.07 Bulenga-Busega'!F35,'26.07 Bulenga-Busega-24h'!F35,'27.07 Bulenga-Busega-24h'!F35,'28.07 Bulenga-Busega'!F35)</f>
        <v>35.428571428571431</v>
      </c>
      <c r="G35" s="49">
        <f>AVERAGE('22.07 Bulenga-Busega'!G35,'23.07 Bulenga-Busega'!G35,'24.07 Bulenga-Busega'!G35,'25.07 Bulenga-Busega'!G35,'26.07 Bulenga-Busega-24h'!G35,'27.07 Bulenga-Busega-24h'!G35,'28.07 Bulenga-Busega'!G35)</f>
        <v>0.14285714285714285</v>
      </c>
      <c r="H35" s="49">
        <f>AVERAGE('22.07 Bulenga-Busega'!H35,'23.07 Bulenga-Busega'!H35,'24.07 Bulenga-Busega'!H35,'25.07 Bulenga-Busega'!H35,'26.07 Bulenga-Busega-24h'!H35,'27.07 Bulenga-Busega-24h'!H35,'28.07 Bulenga-Busega'!H35)</f>
        <v>0</v>
      </c>
      <c r="I35" s="49">
        <f>AVERAGE('22.07 Bulenga-Busega'!I35,'23.07 Bulenga-Busega'!I35,'24.07 Bulenga-Busega'!I35,'25.07 Bulenga-Busega'!I35,'26.07 Bulenga-Busega-24h'!I35,'27.07 Bulenga-Busega-24h'!I35,'28.07 Bulenga-Busega'!I35)</f>
        <v>7.7142857142857144</v>
      </c>
      <c r="J35" s="49">
        <f>AVERAGE('22.07 Bulenga-Busega'!J35,'23.07 Bulenga-Busega'!J35,'24.07 Bulenga-Busega'!J35,'25.07 Bulenga-Busega'!J35,'26.07 Bulenga-Busega-24h'!J35,'27.07 Bulenga-Busega-24h'!J35,'28.07 Bulenga-Busega'!J35)</f>
        <v>6.1428571428571432</v>
      </c>
      <c r="K35" s="49">
        <f>AVERAGE('22.07 Bulenga-Busega'!K35,'23.07 Bulenga-Busega'!K35,'24.07 Bulenga-Busega'!K35,'25.07 Bulenga-Busega'!K35,'26.07 Bulenga-Busega-24h'!K35,'27.07 Bulenga-Busega-24h'!K35,'28.07 Bulenga-Busega'!K35)</f>
        <v>0.8571428571428571</v>
      </c>
      <c r="L35" s="49">
        <f>AVERAGE('22.07 Bulenga-Busega'!L35,'23.07 Bulenga-Busega'!L35,'24.07 Bulenga-Busega'!L35,'25.07 Bulenga-Busega'!L35,'26.07 Bulenga-Busega-24h'!L35,'27.07 Bulenga-Busega-24h'!L35,'28.07 Bulenga-Busega'!L35)</f>
        <v>1.8571428571428572</v>
      </c>
      <c r="M35" s="49">
        <f>AVERAGE('22.07 Bulenga-Busega'!M35,'23.07 Bulenga-Busega'!M35,'24.07 Bulenga-Busega'!M35,'25.07 Bulenga-Busega'!M35,'26.07 Bulenga-Busega-24h'!M35,'27.07 Bulenga-Busega-24h'!M35,'28.07 Bulenga-Busega'!M35)</f>
        <v>147.42857142857142</v>
      </c>
      <c r="N35" s="49">
        <f>AVERAGE('22.07 Bulenga-Busega'!N35,'23.07 Bulenga-Busega'!N35,'24.07 Bulenga-Busega'!N35,'25.07 Bulenga-Busega'!N35,'26.07 Bulenga-Busega-24h'!N35,'27.07 Bulenga-Busega-24h'!N35,'28.07 Bulenga-Busega'!N35)</f>
        <v>0</v>
      </c>
      <c r="O35" s="15">
        <f t="shared" si="0"/>
        <v>119.42857142857143</v>
      </c>
      <c r="P35" s="15">
        <f t="shared" si="1"/>
        <v>266.85714285714283</v>
      </c>
      <c r="R35" s="38" t="s">
        <v>91</v>
      </c>
      <c r="S35" s="39">
        <f t="shared" ref="S35:AF35" si="27">MAX(S13:S18)</f>
        <v>291.28571428571428</v>
      </c>
      <c r="T35" s="39">
        <f t="shared" si="27"/>
        <v>28.857142857142854</v>
      </c>
      <c r="U35" s="39">
        <f t="shared" si="27"/>
        <v>33.285714285714292</v>
      </c>
      <c r="V35" s="39">
        <f t="shared" si="27"/>
        <v>196.14285714285714</v>
      </c>
      <c r="W35" s="39">
        <f t="shared" si="27"/>
        <v>5.7142857142857135</v>
      </c>
      <c r="X35" s="39">
        <f t="shared" si="27"/>
        <v>3.2857142857142856</v>
      </c>
      <c r="Y35" s="39">
        <f t="shared" si="27"/>
        <v>49.000000000000007</v>
      </c>
      <c r="Z35" s="39">
        <f t="shared" si="27"/>
        <v>32.857142857142861</v>
      </c>
      <c r="AA35" s="39">
        <f t="shared" si="27"/>
        <v>9.5714285714285712</v>
      </c>
      <c r="AB35" s="39">
        <f t="shared" si="27"/>
        <v>40</v>
      </c>
      <c r="AC35" s="39">
        <f t="shared" si="27"/>
        <v>759.57142857142856</v>
      </c>
      <c r="AD35" s="39">
        <f t="shared" si="27"/>
        <v>26.428571428571427</v>
      </c>
      <c r="AE35" s="40">
        <f t="shared" si="27"/>
        <v>621.57142857142867</v>
      </c>
      <c r="AF35" s="40">
        <f t="shared" si="27"/>
        <v>1380.5714285714287</v>
      </c>
    </row>
    <row r="36" spans="2:32" ht="23.1" customHeight="1" x14ac:dyDescent="0.25">
      <c r="B36" s="24" t="s">
        <v>63</v>
      </c>
      <c r="C36" s="49">
        <f>AVERAGE('22.07 Bulenga-Busega'!C36,'23.07 Bulenga-Busega'!C36,'24.07 Bulenga-Busega'!C36,'25.07 Bulenga-Busega'!C36,'26.07 Bulenga-Busega-24h'!C36,'27.07 Bulenga-Busega-24h'!C36,'28.07 Bulenga-Busega'!C36)</f>
        <v>57.285714285714285</v>
      </c>
      <c r="D36" s="49">
        <f>AVERAGE('22.07 Bulenga-Busega'!D36,'23.07 Bulenga-Busega'!D36,'24.07 Bulenga-Busega'!D36,'25.07 Bulenga-Busega'!D36,'26.07 Bulenga-Busega-24h'!D36,'27.07 Bulenga-Busega-24h'!D36,'28.07 Bulenga-Busega'!D36)</f>
        <v>6.5714285714285712</v>
      </c>
      <c r="E36" s="49">
        <f>AVERAGE('22.07 Bulenga-Busega'!E36,'23.07 Bulenga-Busega'!E36,'24.07 Bulenga-Busega'!E36,'25.07 Bulenga-Busega'!E36,'26.07 Bulenga-Busega-24h'!E36,'27.07 Bulenga-Busega-24h'!E36,'28.07 Bulenga-Busega'!E36)</f>
        <v>9.4285714285714288</v>
      </c>
      <c r="F36" s="49">
        <f>AVERAGE('22.07 Bulenga-Busega'!F36,'23.07 Bulenga-Busega'!F36,'24.07 Bulenga-Busega'!F36,'25.07 Bulenga-Busega'!F36,'26.07 Bulenga-Busega-24h'!F36,'27.07 Bulenga-Busega-24h'!F36,'28.07 Bulenga-Busega'!F36)</f>
        <v>40.857142857142854</v>
      </c>
      <c r="G36" s="49">
        <f>AVERAGE('22.07 Bulenga-Busega'!G36,'23.07 Bulenga-Busega'!G36,'24.07 Bulenga-Busega'!G36,'25.07 Bulenga-Busega'!G36,'26.07 Bulenga-Busega-24h'!G36,'27.07 Bulenga-Busega-24h'!G36,'28.07 Bulenga-Busega'!G36)</f>
        <v>0.42857142857142855</v>
      </c>
      <c r="H36" s="49">
        <f>AVERAGE('22.07 Bulenga-Busega'!H36,'23.07 Bulenga-Busega'!H36,'24.07 Bulenga-Busega'!H36,'25.07 Bulenga-Busega'!H36,'26.07 Bulenga-Busega-24h'!H36,'27.07 Bulenga-Busega-24h'!H36,'28.07 Bulenga-Busega'!H36)</f>
        <v>0.7142857142857143</v>
      </c>
      <c r="I36" s="49">
        <f>AVERAGE('22.07 Bulenga-Busega'!I36,'23.07 Bulenga-Busega'!I36,'24.07 Bulenga-Busega'!I36,'25.07 Bulenga-Busega'!I36,'26.07 Bulenga-Busega-24h'!I36,'27.07 Bulenga-Busega-24h'!I36,'28.07 Bulenga-Busega'!I36)</f>
        <v>8.8571428571428577</v>
      </c>
      <c r="J36" s="49">
        <f>AVERAGE('22.07 Bulenga-Busega'!J36,'23.07 Bulenga-Busega'!J36,'24.07 Bulenga-Busega'!J36,'25.07 Bulenga-Busega'!J36,'26.07 Bulenga-Busega-24h'!J36,'27.07 Bulenga-Busega-24h'!J36,'28.07 Bulenga-Busega'!J36)</f>
        <v>9.1428571428571423</v>
      </c>
      <c r="K36" s="49">
        <f>AVERAGE('22.07 Bulenga-Busega'!K36,'23.07 Bulenga-Busega'!K36,'24.07 Bulenga-Busega'!K36,'25.07 Bulenga-Busega'!K36,'26.07 Bulenga-Busega-24h'!K36,'27.07 Bulenga-Busega-24h'!K36,'28.07 Bulenga-Busega'!K36)</f>
        <v>0.7142857142857143</v>
      </c>
      <c r="L36" s="49">
        <f>AVERAGE('22.07 Bulenga-Busega'!L36,'23.07 Bulenga-Busega'!L36,'24.07 Bulenga-Busega'!L36,'25.07 Bulenga-Busega'!L36,'26.07 Bulenga-Busega-24h'!L36,'27.07 Bulenga-Busega-24h'!L36,'28.07 Bulenga-Busega'!L36)</f>
        <v>1.2857142857142858</v>
      </c>
      <c r="M36" s="49">
        <f>AVERAGE('22.07 Bulenga-Busega'!M36,'23.07 Bulenga-Busega'!M36,'24.07 Bulenga-Busega'!M36,'25.07 Bulenga-Busega'!M36,'26.07 Bulenga-Busega-24h'!M36,'27.07 Bulenga-Busega-24h'!M36,'28.07 Bulenga-Busega'!M36)</f>
        <v>151.85714285714286</v>
      </c>
      <c r="N36" s="49">
        <f>AVERAGE('22.07 Bulenga-Busega'!N36,'23.07 Bulenga-Busega'!N36,'24.07 Bulenga-Busega'!N36,'25.07 Bulenga-Busega'!N36,'26.07 Bulenga-Busega-24h'!N36,'27.07 Bulenga-Busega-24h'!N36,'28.07 Bulenga-Busega'!N36)</f>
        <v>0</v>
      </c>
      <c r="O36" s="15">
        <f t="shared" si="0"/>
        <v>135.28571428571428</v>
      </c>
      <c r="P36" s="15">
        <f t="shared" si="1"/>
        <v>287.14285714285711</v>
      </c>
      <c r="R36" s="38" t="s">
        <v>92</v>
      </c>
      <c r="S36" s="39">
        <f t="shared" ref="S36:AF36" si="28">MAX(S19:S21)</f>
        <v>384.14285714285711</v>
      </c>
      <c r="T36" s="39">
        <f t="shared" si="28"/>
        <v>39.285714285714285</v>
      </c>
      <c r="U36" s="39">
        <f t="shared" si="28"/>
        <v>58.857142857142854</v>
      </c>
      <c r="V36" s="39">
        <f t="shared" si="28"/>
        <v>227.42857142857144</v>
      </c>
      <c r="W36" s="39">
        <f t="shared" si="28"/>
        <v>12.142857142857144</v>
      </c>
      <c r="X36" s="39">
        <f t="shared" si="28"/>
        <v>10.285714285714285</v>
      </c>
      <c r="Y36" s="39">
        <f t="shared" si="28"/>
        <v>45.142857142857139</v>
      </c>
      <c r="Z36" s="39">
        <f t="shared" si="28"/>
        <v>40.285714285714285</v>
      </c>
      <c r="AA36" s="39">
        <f t="shared" si="28"/>
        <v>10</v>
      </c>
      <c r="AB36" s="39">
        <f t="shared" si="28"/>
        <v>11.714285714285715</v>
      </c>
      <c r="AC36" s="39">
        <f t="shared" si="28"/>
        <v>703.28571428571433</v>
      </c>
      <c r="AD36" s="39">
        <f t="shared" si="28"/>
        <v>0.14285714285714285</v>
      </c>
      <c r="AE36" s="40">
        <f t="shared" si="28"/>
        <v>822.14285714285711</v>
      </c>
      <c r="AF36" s="40">
        <f t="shared" si="28"/>
        <v>1525.4285714285716</v>
      </c>
    </row>
    <row r="37" spans="2:32" ht="23.1" customHeight="1" x14ac:dyDescent="0.25">
      <c r="B37" s="23" t="s">
        <v>64</v>
      </c>
      <c r="C37" s="49">
        <f>AVERAGE('22.07 Bulenga-Busega'!C37,'23.07 Bulenga-Busega'!C37,'24.07 Bulenga-Busega'!C37,'25.07 Bulenga-Busega'!C37,'26.07 Bulenga-Busega-24h'!C37,'27.07 Bulenga-Busega-24h'!C37,'28.07 Bulenga-Busega'!C37)</f>
        <v>56.857142857142854</v>
      </c>
      <c r="D37" s="49">
        <f>AVERAGE('22.07 Bulenga-Busega'!D37,'23.07 Bulenga-Busega'!D37,'24.07 Bulenga-Busega'!D37,'25.07 Bulenga-Busega'!D37,'26.07 Bulenga-Busega-24h'!D37,'27.07 Bulenga-Busega-24h'!D37,'28.07 Bulenga-Busega'!D37)</f>
        <v>6.2857142857142856</v>
      </c>
      <c r="E37" s="49">
        <f>AVERAGE('22.07 Bulenga-Busega'!E37,'23.07 Bulenga-Busega'!E37,'24.07 Bulenga-Busega'!E37,'25.07 Bulenga-Busega'!E37,'26.07 Bulenga-Busega-24h'!E37,'27.07 Bulenga-Busega-24h'!E37,'28.07 Bulenga-Busega'!E37)</f>
        <v>6.7142857142857144</v>
      </c>
      <c r="F37" s="49">
        <f>AVERAGE('22.07 Bulenga-Busega'!F37,'23.07 Bulenga-Busega'!F37,'24.07 Bulenga-Busega'!F37,'25.07 Bulenga-Busega'!F37,'26.07 Bulenga-Busega-24h'!F37,'27.07 Bulenga-Busega-24h'!F37,'28.07 Bulenga-Busega'!F37)</f>
        <v>41.428571428571431</v>
      </c>
      <c r="G37" s="49">
        <f>AVERAGE('22.07 Bulenga-Busega'!G37,'23.07 Bulenga-Busega'!G37,'24.07 Bulenga-Busega'!G37,'25.07 Bulenga-Busega'!G37,'26.07 Bulenga-Busega-24h'!G37,'27.07 Bulenga-Busega-24h'!G37,'28.07 Bulenga-Busega'!G37)</f>
        <v>1</v>
      </c>
      <c r="H37" s="49">
        <f>AVERAGE('22.07 Bulenga-Busega'!H37,'23.07 Bulenga-Busega'!H37,'24.07 Bulenga-Busega'!H37,'25.07 Bulenga-Busega'!H37,'26.07 Bulenga-Busega-24h'!H37,'27.07 Bulenga-Busega-24h'!H37,'28.07 Bulenga-Busega'!H37)</f>
        <v>1.1428571428571428</v>
      </c>
      <c r="I37" s="49">
        <f>AVERAGE('22.07 Bulenga-Busega'!I37,'23.07 Bulenga-Busega'!I37,'24.07 Bulenga-Busega'!I37,'25.07 Bulenga-Busega'!I37,'26.07 Bulenga-Busega-24h'!I37,'27.07 Bulenga-Busega-24h'!I37,'28.07 Bulenga-Busega'!I37)</f>
        <v>8.4285714285714288</v>
      </c>
      <c r="J37" s="49">
        <f>AVERAGE('22.07 Bulenga-Busega'!J37,'23.07 Bulenga-Busega'!J37,'24.07 Bulenga-Busega'!J37,'25.07 Bulenga-Busega'!J37,'26.07 Bulenga-Busega-24h'!J37,'27.07 Bulenga-Busega-24h'!J37,'28.07 Bulenga-Busega'!J37)</f>
        <v>6.5714285714285712</v>
      </c>
      <c r="K37" s="49">
        <f>AVERAGE('22.07 Bulenga-Busega'!K37,'23.07 Bulenga-Busega'!K37,'24.07 Bulenga-Busega'!K37,'25.07 Bulenga-Busega'!K37,'26.07 Bulenga-Busega-24h'!K37,'27.07 Bulenga-Busega-24h'!K37,'28.07 Bulenga-Busega'!K37)</f>
        <v>0.7142857142857143</v>
      </c>
      <c r="L37" s="49">
        <f>AVERAGE('22.07 Bulenga-Busega'!L37,'23.07 Bulenga-Busega'!L37,'24.07 Bulenga-Busega'!L37,'25.07 Bulenga-Busega'!L37,'26.07 Bulenga-Busega-24h'!L37,'27.07 Bulenga-Busega-24h'!L37,'28.07 Bulenga-Busega'!L37)</f>
        <v>0.8571428571428571</v>
      </c>
      <c r="M37" s="49">
        <f>AVERAGE('22.07 Bulenga-Busega'!M37,'23.07 Bulenga-Busega'!M37,'24.07 Bulenga-Busega'!M37,'25.07 Bulenga-Busega'!M37,'26.07 Bulenga-Busega-24h'!M37,'27.07 Bulenga-Busega-24h'!M37,'28.07 Bulenga-Busega'!M37)</f>
        <v>148.28571428571428</v>
      </c>
      <c r="N37" s="49">
        <f>AVERAGE('22.07 Bulenga-Busega'!N37,'23.07 Bulenga-Busega'!N37,'24.07 Bulenga-Busega'!N37,'25.07 Bulenga-Busega'!N37,'26.07 Bulenga-Busega-24h'!N37,'27.07 Bulenga-Busega-24h'!N37,'28.07 Bulenga-Busega'!N37)</f>
        <v>0</v>
      </c>
      <c r="O37" s="15">
        <f t="shared" si="0"/>
        <v>130</v>
      </c>
      <c r="P37" s="15">
        <f t="shared" si="1"/>
        <v>278.28571428571428</v>
      </c>
      <c r="R37" s="37" t="s">
        <v>85</v>
      </c>
      <c r="S37" s="35">
        <f t="shared" ref="S37:AF37" si="29">SUM(S10:S12)</f>
        <v>900.57142857142867</v>
      </c>
      <c r="T37" s="16">
        <f t="shared" si="29"/>
        <v>115.57142857142857</v>
      </c>
      <c r="U37" s="16">
        <f t="shared" si="29"/>
        <v>160.57142857142858</v>
      </c>
      <c r="V37" s="16">
        <f t="shared" si="29"/>
        <v>720.28571428571433</v>
      </c>
      <c r="W37" s="16">
        <f t="shared" si="29"/>
        <v>35.714285714285715</v>
      </c>
      <c r="X37" s="16">
        <f t="shared" si="29"/>
        <v>10.428571428571427</v>
      </c>
      <c r="Y37" s="16">
        <f t="shared" si="29"/>
        <v>152.28571428571428</v>
      </c>
      <c r="Z37" s="16">
        <f t="shared" si="29"/>
        <v>106.71428571428571</v>
      </c>
      <c r="AA37" s="16">
        <f t="shared" si="29"/>
        <v>23</v>
      </c>
      <c r="AB37" s="16">
        <f t="shared" si="29"/>
        <v>24</v>
      </c>
      <c r="AC37" s="16">
        <f t="shared" si="29"/>
        <v>2267.1428571428569</v>
      </c>
      <c r="AD37" s="16">
        <f t="shared" si="29"/>
        <v>0.14285714285714285</v>
      </c>
      <c r="AE37" s="32">
        <f t="shared" si="29"/>
        <v>2249.2857142857142</v>
      </c>
      <c r="AF37" s="32">
        <f t="shared" si="29"/>
        <v>4516.4285714285716</v>
      </c>
    </row>
    <row r="38" spans="2:32" ht="23.1" customHeight="1" x14ac:dyDescent="0.25">
      <c r="B38" s="24" t="s">
        <v>65</v>
      </c>
      <c r="C38" s="49">
        <f>AVERAGE('22.07 Bulenga-Busega'!C38,'23.07 Bulenga-Busega'!C38,'24.07 Bulenga-Busega'!C38,'25.07 Bulenga-Busega'!C38,'26.07 Bulenga-Busega-24h'!C38,'27.07 Bulenga-Busega-24h'!C38,'28.07 Bulenga-Busega'!C38)</f>
        <v>56.714285714285715</v>
      </c>
      <c r="D38" s="49">
        <f>AVERAGE('22.07 Bulenga-Busega'!D38,'23.07 Bulenga-Busega'!D38,'24.07 Bulenga-Busega'!D38,'25.07 Bulenga-Busega'!D38,'26.07 Bulenga-Busega-24h'!D38,'27.07 Bulenga-Busega-24h'!D38,'28.07 Bulenga-Busega'!D38)</f>
        <v>6</v>
      </c>
      <c r="E38" s="49">
        <f>AVERAGE('22.07 Bulenga-Busega'!E38,'23.07 Bulenga-Busega'!E38,'24.07 Bulenga-Busega'!E38,'25.07 Bulenga-Busega'!E38,'26.07 Bulenga-Busega-24h'!E38,'27.07 Bulenga-Busega-24h'!E38,'28.07 Bulenga-Busega'!E38)</f>
        <v>7</v>
      </c>
      <c r="F38" s="49">
        <f>AVERAGE('22.07 Bulenga-Busega'!F38,'23.07 Bulenga-Busega'!F38,'24.07 Bulenga-Busega'!F38,'25.07 Bulenga-Busega'!F38,'26.07 Bulenga-Busega-24h'!F38,'27.07 Bulenga-Busega-24h'!F38,'28.07 Bulenga-Busega'!F38)</f>
        <v>42.285714285714285</v>
      </c>
      <c r="G38" s="49">
        <f>AVERAGE('22.07 Bulenga-Busega'!G38,'23.07 Bulenga-Busega'!G38,'24.07 Bulenga-Busega'!G38,'25.07 Bulenga-Busega'!G38,'26.07 Bulenga-Busega-24h'!G38,'27.07 Bulenga-Busega-24h'!G38,'28.07 Bulenga-Busega'!G38)</f>
        <v>1.2857142857142858</v>
      </c>
      <c r="H38" s="49">
        <f>AVERAGE('22.07 Bulenga-Busega'!H38,'23.07 Bulenga-Busega'!H38,'24.07 Bulenga-Busega'!H38,'25.07 Bulenga-Busega'!H38,'26.07 Bulenga-Busega-24h'!H38,'27.07 Bulenga-Busega-24h'!H38,'28.07 Bulenga-Busega'!H38)</f>
        <v>0.5714285714285714</v>
      </c>
      <c r="I38" s="49">
        <f>AVERAGE('22.07 Bulenga-Busega'!I38,'23.07 Bulenga-Busega'!I38,'24.07 Bulenga-Busega'!I38,'25.07 Bulenga-Busega'!I38,'26.07 Bulenga-Busega-24h'!I38,'27.07 Bulenga-Busega-24h'!I38,'28.07 Bulenga-Busega'!I38)</f>
        <v>12.142857142857142</v>
      </c>
      <c r="J38" s="49">
        <f>AVERAGE('22.07 Bulenga-Busega'!J38,'23.07 Bulenga-Busega'!J38,'24.07 Bulenga-Busega'!J38,'25.07 Bulenga-Busega'!J38,'26.07 Bulenga-Busega-24h'!J38,'27.07 Bulenga-Busega-24h'!J38,'28.07 Bulenga-Busega'!J38)</f>
        <v>8.8571428571428577</v>
      </c>
      <c r="K38" s="49">
        <f>AVERAGE('22.07 Bulenga-Busega'!K38,'23.07 Bulenga-Busega'!K38,'24.07 Bulenga-Busega'!K38,'25.07 Bulenga-Busega'!K38,'26.07 Bulenga-Busega-24h'!K38,'27.07 Bulenga-Busega-24h'!K38,'28.07 Bulenga-Busega'!K38)</f>
        <v>3.7142857142857144</v>
      </c>
      <c r="L38" s="49">
        <f>AVERAGE('22.07 Bulenga-Busega'!L38,'23.07 Bulenga-Busega'!L38,'24.07 Bulenga-Busega'!L38,'25.07 Bulenga-Busega'!L38,'26.07 Bulenga-Busega-24h'!L38,'27.07 Bulenga-Busega-24h'!L38,'28.07 Bulenga-Busega'!L38)</f>
        <v>2.7142857142857144</v>
      </c>
      <c r="M38" s="49">
        <f>AVERAGE('22.07 Bulenga-Busega'!M38,'23.07 Bulenga-Busega'!M38,'24.07 Bulenga-Busega'!M38,'25.07 Bulenga-Busega'!M38,'26.07 Bulenga-Busega-24h'!M38,'27.07 Bulenga-Busega-24h'!M38,'28.07 Bulenga-Busega'!M38)</f>
        <v>145.42857142857142</v>
      </c>
      <c r="N38" s="49">
        <f>AVERAGE('22.07 Bulenga-Busega'!N38,'23.07 Bulenga-Busega'!N38,'24.07 Bulenga-Busega'!N38,'25.07 Bulenga-Busega'!N38,'26.07 Bulenga-Busega-24h'!N38,'27.07 Bulenga-Busega-24h'!N38,'28.07 Bulenga-Busega'!N38)</f>
        <v>0</v>
      </c>
      <c r="O38" s="15">
        <f t="shared" si="0"/>
        <v>141.28571428571431</v>
      </c>
      <c r="P38" s="15">
        <f t="shared" si="1"/>
        <v>286.71428571428572</v>
      </c>
      <c r="R38" s="28" t="s">
        <v>86</v>
      </c>
      <c r="S38" s="16">
        <f t="shared" ref="S38:AF38" si="30">SUM(S13:S18)</f>
        <v>1526.4285714285713</v>
      </c>
      <c r="T38" s="16">
        <f t="shared" si="30"/>
        <v>159.14285714285711</v>
      </c>
      <c r="U38" s="16">
        <f t="shared" si="30"/>
        <v>186.42857142857144</v>
      </c>
      <c r="V38" s="16">
        <f t="shared" si="30"/>
        <v>1037.1428571428571</v>
      </c>
      <c r="W38" s="16">
        <f t="shared" si="30"/>
        <v>17.571428571428569</v>
      </c>
      <c r="X38" s="16">
        <f t="shared" si="30"/>
        <v>14.285714285714288</v>
      </c>
      <c r="Y38" s="16">
        <f t="shared" si="30"/>
        <v>223.28571428571428</v>
      </c>
      <c r="Z38" s="16">
        <f t="shared" si="30"/>
        <v>175.42857142857142</v>
      </c>
      <c r="AA38" s="16">
        <f t="shared" si="30"/>
        <v>32.857142857142861</v>
      </c>
      <c r="AB38" s="16">
        <f t="shared" si="30"/>
        <v>106.28571428571429</v>
      </c>
      <c r="AC38" s="16">
        <f t="shared" si="30"/>
        <v>3906.2428571428568</v>
      </c>
      <c r="AD38" s="16">
        <f t="shared" si="30"/>
        <v>26.428571428571427</v>
      </c>
      <c r="AE38" s="32">
        <f t="shared" si="30"/>
        <v>3505.2857142857147</v>
      </c>
      <c r="AF38" s="32">
        <f t="shared" si="30"/>
        <v>7411.528571428571</v>
      </c>
    </row>
    <row r="39" spans="2:32" ht="23.1" customHeight="1" x14ac:dyDescent="0.25">
      <c r="B39" s="24" t="s">
        <v>66</v>
      </c>
      <c r="C39" s="49">
        <f>AVERAGE('22.07 Bulenga-Busega'!C39,'23.07 Bulenga-Busega'!C39,'24.07 Bulenga-Busega'!C39,'25.07 Bulenga-Busega'!C39,'26.07 Bulenga-Busega-24h'!C39,'27.07 Bulenga-Busega-24h'!C39,'28.07 Bulenga-Busega'!C39)</f>
        <v>54.571428571428569</v>
      </c>
      <c r="D39" s="49">
        <f>AVERAGE('22.07 Bulenga-Busega'!D39,'23.07 Bulenga-Busega'!D39,'24.07 Bulenga-Busega'!D39,'25.07 Bulenga-Busega'!D39,'26.07 Bulenga-Busega-24h'!D39,'27.07 Bulenga-Busega-24h'!D39,'28.07 Bulenga-Busega'!D39)</f>
        <v>5.7142857142857144</v>
      </c>
      <c r="E39" s="49">
        <f>AVERAGE('22.07 Bulenga-Busega'!E39,'23.07 Bulenga-Busega'!E39,'24.07 Bulenga-Busega'!E39,'25.07 Bulenga-Busega'!E39,'26.07 Bulenga-Busega-24h'!E39,'27.07 Bulenga-Busega-24h'!E39,'28.07 Bulenga-Busega'!E39)</f>
        <v>5.8571428571428568</v>
      </c>
      <c r="F39" s="49">
        <f>AVERAGE('22.07 Bulenga-Busega'!F39,'23.07 Bulenga-Busega'!F39,'24.07 Bulenga-Busega'!F39,'25.07 Bulenga-Busega'!F39,'26.07 Bulenga-Busega-24h'!F39,'27.07 Bulenga-Busega-24h'!F39,'28.07 Bulenga-Busega'!F39)</f>
        <v>31.857142857142858</v>
      </c>
      <c r="G39" s="49">
        <f>AVERAGE('22.07 Bulenga-Busega'!G39,'23.07 Bulenga-Busega'!G39,'24.07 Bulenga-Busega'!G39,'25.07 Bulenga-Busega'!G39,'26.07 Bulenga-Busega-24h'!G39,'27.07 Bulenga-Busega-24h'!G39,'28.07 Bulenga-Busega'!G39)</f>
        <v>0</v>
      </c>
      <c r="H39" s="49">
        <f>AVERAGE('22.07 Bulenga-Busega'!H39,'23.07 Bulenga-Busega'!H39,'24.07 Bulenga-Busega'!H39,'25.07 Bulenga-Busega'!H39,'26.07 Bulenga-Busega-24h'!H39,'27.07 Bulenga-Busega-24h'!H39,'28.07 Bulenga-Busega'!H39)</f>
        <v>0.14285714285714285</v>
      </c>
      <c r="I39" s="49">
        <f>AVERAGE('22.07 Bulenga-Busega'!I39,'23.07 Bulenga-Busega'!I39,'24.07 Bulenga-Busega'!I39,'25.07 Bulenga-Busega'!I39,'26.07 Bulenga-Busega-24h'!I39,'27.07 Bulenga-Busega-24h'!I39,'28.07 Bulenga-Busega'!I39)</f>
        <v>8.5714285714285712</v>
      </c>
      <c r="J39" s="49">
        <f>AVERAGE('22.07 Bulenga-Busega'!J39,'23.07 Bulenga-Busega'!J39,'24.07 Bulenga-Busega'!J39,'25.07 Bulenga-Busega'!J39,'26.07 Bulenga-Busega-24h'!J39,'27.07 Bulenga-Busega-24h'!J39,'28.07 Bulenga-Busega'!J39)</f>
        <v>9</v>
      </c>
      <c r="K39" s="49">
        <f>AVERAGE('22.07 Bulenga-Busega'!K39,'23.07 Bulenga-Busega'!K39,'24.07 Bulenga-Busega'!K39,'25.07 Bulenga-Busega'!K39,'26.07 Bulenga-Busega-24h'!K39,'27.07 Bulenga-Busega-24h'!K39,'28.07 Bulenga-Busega'!K39)</f>
        <v>1</v>
      </c>
      <c r="L39" s="49">
        <f>AVERAGE('22.07 Bulenga-Busega'!L39,'23.07 Bulenga-Busega'!L39,'24.07 Bulenga-Busega'!L39,'25.07 Bulenga-Busega'!L39,'26.07 Bulenga-Busega-24h'!L39,'27.07 Bulenga-Busega-24h'!L39,'28.07 Bulenga-Busega'!L39)</f>
        <v>2</v>
      </c>
      <c r="M39" s="49">
        <f>AVERAGE('22.07 Bulenga-Busega'!M39,'23.07 Bulenga-Busega'!M39,'24.07 Bulenga-Busega'!M39,'25.07 Bulenga-Busega'!M39,'26.07 Bulenga-Busega-24h'!M39,'27.07 Bulenga-Busega-24h'!M39,'28.07 Bulenga-Busega'!M39)</f>
        <v>118.95714285714287</v>
      </c>
      <c r="N39" s="49">
        <f>AVERAGE('22.07 Bulenga-Busega'!N39,'23.07 Bulenga-Busega'!N39,'24.07 Bulenga-Busega'!N39,'25.07 Bulenga-Busega'!N39,'26.07 Bulenga-Busega-24h'!N39,'27.07 Bulenga-Busega-24h'!N39,'28.07 Bulenga-Busega'!N39)</f>
        <v>0</v>
      </c>
      <c r="O39" s="15">
        <f t="shared" si="0"/>
        <v>118.71428571428571</v>
      </c>
      <c r="P39" s="15">
        <f t="shared" si="1"/>
        <v>237.67142857142858</v>
      </c>
      <c r="R39" s="29" t="s">
        <v>87</v>
      </c>
      <c r="S39" s="16">
        <f t="shared" ref="S39:AF39" si="31">SUM(S19:S21)</f>
        <v>907.14285714285711</v>
      </c>
      <c r="T39" s="16">
        <f t="shared" si="31"/>
        <v>103.85714285714286</v>
      </c>
      <c r="U39" s="16">
        <f t="shared" si="31"/>
        <v>128</v>
      </c>
      <c r="V39" s="16">
        <f t="shared" si="31"/>
        <v>627</v>
      </c>
      <c r="W39" s="16">
        <f t="shared" si="31"/>
        <v>23.857142857142861</v>
      </c>
      <c r="X39" s="16">
        <f t="shared" si="31"/>
        <v>21.571428571428569</v>
      </c>
      <c r="Y39" s="16">
        <f t="shared" si="31"/>
        <v>131.71428571428572</v>
      </c>
      <c r="Z39" s="16">
        <f t="shared" si="31"/>
        <v>100</v>
      </c>
      <c r="AA39" s="16">
        <f t="shared" si="31"/>
        <v>22.428571428571427</v>
      </c>
      <c r="AB39" s="16">
        <f t="shared" si="31"/>
        <v>30.142857142857142</v>
      </c>
      <c r="AC39" s="16">
        <f t="shared" si="31"/>
        <v>1978.5714285714287</v>
      </c>
      <c r="AD39" s="16">
        <f t="shared" si="31"/>
        <v>0.14285714285714285</v>
      </c>
      <c r="AE39" s="32">
        <f t="shared" si="31"/>
        <v>2095.8571428571431</v>
      </c>
      <c r="AF39" s="32">
        <f t="shared" si="31"/>
        <v>4074.4285714285716</v>
      </c>
    </row>
    <row r="40" spans="2:32" ht="23.1" customHeight="1" x14ac:dyDescent="0.25">
      <c r="B40" s="24" t="s">
        <v>67</v>
      </c>
      <c r="C40" s="49">
        <f>AVERAGE('22.07 Bulenga-Busega'!C40,'23.07 Bulenga-Busega'!C40,'24.07 Bulenga-Busega'!C40,'25.07 Bulenga-Busega'!C40,'26.07 Bulenga-Busega-24h'!C40,'27.07 Bulenga-Busega-24h'!C40,'28.07 Bulenga-Busega'!C40)</f>
        <v>53.714285714285715</v>
      </c>
      <c r="D40" s="49">
        <f>AVERAGE('22.07 Bulenga-Busega'!D40,'23.07 Bulenga-Busega'!D40,'24.07 Bulenga-Busega'!D40,'25.07 Bulenga-Busega'!D40,'26.07 Bulenga-Busega-24h'!D40,'27.07 Bulenga-Busega-24h'!D40,'28.07 Bulenga-Busega'!D40)</f>
        <v>5.5714285714285712</v>
      </c>
      <c r="E40" s="49">
        <f>AVERAGE('22.07 Bulenga-Busega'!E40,'23.07 Bulenga-Busega'!E40,'24.07 Bulenga-Busega'!E40,'25.07 Bulenga-Busega'!E40,'26.07 Bulenga-Busega-24h'!E40,'27.07 Bulenga-Busega-24h'!E40,'28.07 Bulenga-Busega'!E40)</f>
        <v>7</v>
      </c>
      <c r="F40" s="49">
        <f>AVERAGE('22.07 Bulenga-Busega'!F40,'23.07 Bulenga-Busega'!F40,'24.07 Bulenga-Busega'!F40,'25.07 Bulenga-Busega'!F40,'26.07 Bulenga-Busega-24h'!F40,'27.07 Bulenga-Busega-24h'!F40,'28.07 Bulenga-Busega'!F40)</f>
        <v>37.571428571428569</v>
      </c>
      <c r="G40" s="49">
        <f>AVERAGE('22.07 Bulenga-Busega'!G40,'23.07 Bulenga-Busega'!G40,'24.07 Bulenga-Busega'!G40,'25.07 Bulenga-Busega'!G40,'26.07 Bulenga-Busega-24h'!G40,'27.07 Bulenga-Busega-24h'!G40,'28.07 Bulenga-Busega'!G40)</f>
        <v>0.14285714285714285</v>
      </c>
      <c r="H40" s="49">
        <f>AVERAGE('22.07 Bulenga-Busega'!H40,'23.07 Bulenga-Busega'!H40,'24.07 Bulenga-Busega'!H40,'25.07 Bulenga-Busega'!H40,'26.07 Bulenga-Busega-24h'!H40,'27.07 Bulenga-Busega-24h'!H40,'28.07 Bulenga-Busega'!H40)</f>
        <v>0</v>
      </c>
      <c r="I40" s="49">
        <f>AVERAGE('22.07 Bulenga-Busega'!I40,'23.07 Bulenga-Busega'!I40,'24.07 Bulenga-Busega'!I40,'25.07 Bulenga-Busega'!I40,'26.07 Bulenga-Busega-24h'!I40,'27.07 Bulenga-Busega-24h'!I40,'28.07 Bulenga-Busega'!I40)</f>
        <v>10.142857142857142</v>
      </c>
      <c r="J40" s="49">
        <f>AVERAGE('22.07 Bulenga-Busega'!J40,'23.07 Bulenga-Busega'!J40,'24.07 Bulenga-Busega'!J40,'25.07 Bulenga-Busega'!J40,'26.07 Bulenga-Busega-24h'!J40,'27.07 Bulenga-Busega-24h'!J40,'28.07 Bulenga-Busega'!J40)</f>
        <v>8.2857142857142865</v>
      </c>
      <c r="K40" s="49">
        <f>AVERAGE('22.07 Bulenga-Busega'!K40,'23.07 Bulenga-Busega'!K40,'24.07 Bulenga-Busega'!K40,'25.07 Bulenga-Busega'!K40,'26.07 Bulenga-Busega-24h'!K40,'27.07 Bulenga-Busega-24h'!K40,'28.07 Bulenga-Busega'!K40)</f>
        <v>3.2857142857142856</v>
      </c>
      <c r="L40" s="49">
        <f>AVERAGE('22.07 Bulenga-Busega'!L40,'23.07 Bulenga-Busega'!L40,'24.07 Bulenga-Busega'!L40,'25.07 Bulenga-Busega'!L40,'26.07 Bulenga-Busega-24h'!L40,'27.07 Bulenga-Busega-24h'!L40,'28.07 Bulenga-Busega'!L40)</f>
        <v>1.7142857142857142</v>
      </c>
      <c r="M40" s="49">
        <f>AVERAGE('22.07 Bulenga-Busega'!M40,'23.07 Bulenga-Busega'!M40,'24.07 Bulenga-Busega'!M40,'25.07 Bulenga-Busega'!M40,'26.07 Bulenga-Busega-24h'!M40,'27.07 Bulenga-Busega-24h'!M40,'28.07 Bulenga-Busega'!M40)</f>
        <v>140.14285714285714</v>
      </c>
      <c r="N40" s="49">
        <f>AVERAGE('22.07 Bulenga-Busega'!N40,'23.07 Bulenga-Busega'!N40,'24.07 Bulenga-Busega'!N40,'25.07 Bulenga-Busega'!N40,'26.07 Bulenga-Busega-24h'!N40,'27.07 Bulenga-Busega-24h'!N40,'28.07 Bulenga-Busega'!N40)</f>
        <v>0</v>
      </c>
      <c r="O40" s="15">
        <f t="shared" si="0"/>
        <v>127.42857142857142</v>
      </c>
      <c r="P40" s="15">
        <f t="shared" si="1"/>
        <v>267.57142857142856</v>
      </c>
      <c r="R40" s="5" t="s">
        <v>17</v>
      </c>
      <c r="S40" s="16">
        <f t="shared" ref="S40:AF40" si="32">SUM(S10:S21)</f>
        <v>3334.1428571428578</v>
      </c>
      <c r="T40" s="16">
        <f t="shared" si="32"/>
        <v>378.5714285714285</v>
      </c>
      <c r="U40" s="16">
        <f t="shared" si="32"/>
        <v>475</v>
      </c>
      <c r="V40" s="16">
        <f t="shared" si="32"/>
        <v>2384.4285714285716</v>
      </c>
      <c r="W40" s="16">
        <f t="shared" si="32"/>
        <v>77.142857142857153</v>
      </c>
      <c r="X40" s="16">
        <f t="shared" si="32"/>
        <v>46.285714285714278</v>
      </c>
      <c r="Y40" s="16">
        <f t="shared" si="32"/>
        <v>507.28571428571422</v>
      </c>
      <c r="Z40" s="16">
        <f t="shared" si="32"/>
        <v>382.14285714285717</v>
      </c>
      <c r="AA40" s="16">
        <f t="shared" si="32"/>
        <v>78.285714285714292</v>
      </c>
      <c r="AB40" s="16">
        <f t="shared" si="32"/>
        <v>160.42857142857142</v>
      </c>
      <c r="AC40" s="16">
        <f t="shared" si="32"/>
        <v>8151.9571428571417</v>
      </c>
      <c r="AD40" s="16">
        <f t="shared" si="32"/>
        <v>26.714285714285712</v>
      </c>
      <c r="AE40" s="32">
        <f t="shared" si="32"/>
        <v>7850.4285714285725</v>
      </c>
      <c r="AF40" s="32">
        <f t="shared" si="32"/>
        <v>16002.385714285716</v>
      </c>
    </row>
    <row r="41" spans="2:32" ht="23.1" customHeight="1" x14ac:dyDescent="0.25">
      <c r="B41" s="23" t="s">
        <v>68</v>
      </c>
      <c r="C41" s="49">
        <f>AVERAGE('22.07 Bulenga-Busega'!C41,'23.07 Bulenga-Busega'!C41,'24.07 Bulenga-Busega'!C41,'25.07 Bulenga-Busega'!C41,'26.07 Bulenga-Busega-24h'!C41,'27.07 Bulenga-Busega-24h'!C41,'28.07 Bulenga-Busega'!C41)</f>
        <v>61.857142857142854</v>
      </c>
      <c r="D41" s="49">
        <f>AVERAGE('22.07 Bulenga-Busega'!D41,'23.07 Bulenga-Busega'!D41,'24.07 Bulenga-Busega'!D41,'25.07 Bulenga-Busega'!D41,'26.07 Bulenga-Busega-24h'!D41,'27.07 Bulenga-Busega-24h'!D41,'28.07 Bulenga-Busega'!D41)</f>
        <v>6.2857142857142856</v>
      </c>
      <c r="E41" s="49">
        <f>AVERAGE('22.07 Bulenga-Busega'!E41,'23.07 Bulenga-Busega'!E41,'24.07 Bulenga-Busega'!E41,'25.07 Bulenga-Busega'!E41,'26.07 Bulenga-Busega-24h'!E41,'27.07 Bulenga-Busega-24h'!E41,'28.07 Bulenga-Busega'!E41)</f>
        <v>9.4285714285714288</v>
      </c>
      <c r="F41" s="49">
        <f>AVERAGE('22.07 Bulenga-Busega'!F41,'23.07 Bulenga-Busega'!F41,'24.07 Bulenga-Busega'!F41,'25.07 Bulenga-Busega'!F41,'26.07 Bulenga-Busega-24h'!F41,'27.07 Bulenga-Busega-24h'!F41,'28.07 Bulenga-Busega'!F41)</f>
        <v>49.428571428571431</v>
      </c>
      <c r="G41" s="49">
        <f>AVERAGE('22.07 Bulenga-Busega'!G41,'23.07 Bulenga-Busega'!G41,'24.07 Bulenga-Busega'!G41,'25.07 Bulenga-Busega'!G41,'26.07 Bulenga-Busega-24h'!G41,'27.07 Bulenga-Busega-24h'!G41,'28.07 Bulenga-Busega'!G41)</f>
        <v>0.2857142857142857</v>
      </c>
      <c r="H41" s="49">
        <f>AVERAGE('22.07 Bulenga-Busega'!H41,'23.07 Bulenga-Busega'!H41,'24.07 Bulenga-Busega'!H41,'25.07 Bulenga-Busega'!H41,'26.07 Bulenga-Busega-24h'!H41,'27.07 Bulenga-Busega-24h'!H41,'28.07 Bulenga-Busega'!H41)</f>
        <v>2.1428571428571428</v>
      </c>
      <c r="I41" s="49">
        <f>AVERAGE('22.07 Bulenga-Busega'!I41,'23.07 Bulenga-Busega'!I41,'24.07 Bulenga-Busega'!I41,'25.07 Bulenga-Busega'!I41,'26.07 Bulenga-Busega-24h'!I41,'27.07 Bulenga-Busega-24h'!I41,'28.07 Bulenga-Busega'!I41)</f>
        <v>5.8571428571428568</v>
      </c>
      <c r="J41" s="49">
        <f>AVERAGE('22.07 Bulenga-Busega'!J41,'23.07 Bulenga-Busega'!J41,'24.07 Bulenga-Busega'!J41,'25.07 Bulenga-Busega'!J41,'26.07 Bulenga-Busega-24h'!J41,'27.07 Bulenga-Busega-24h'!J41,'28.07 Bulenga-Busega'!J41)</f>
        <v>6.7142857142857144</v>
      </c>
      <c r="K41" s="49">
        <f>AVERAGE('22.07 Bulenga-Busega'!K41,'23.07 Bulenga-Busega'!K41,'24.07 Bulenga-Busega'!K41,'25.07 Bulenga-Busega'!K41,'26.07 Bulenga-Busega-24h'!K41,'27.07 Bulenga-Busega-24h'!K41,'28.07 Bulenga-Busega'!K41)</f>
        <v>1.5714285714285714</v>
      </c>
      <c r="L41" s="49">
        <f>AVERAGE('22.07 Bulenga-Busega'!L41,'23.07 Bulenga-Busega'!L41,'24.07 Bulenga-Busega'!L41,'25.07 Bulenga-Busega'!L41,'26.07 Bulenga-Busega-24h'!L41,'27.07 Bulenga-Busega-24h'!L41,'28.07 Bulenga-Busega'!L41)</f>
        <v>33.571428571428569</v>
      </c>
      <c r="M41" s="49">
        <f>AVERAGE('22.07 Bulenga-Busega'!M41,'23.07 Bulenga-Busega'!M41,'24.07 Bulenga-Busega'!M41,'25.07 Bulenga-Busega'!M41,'26.07 Bulenga-Busega-24h'!M41,'27.07 Bulenga-Busega-24h'!M41,'28.07 Bulenga-Busega'!M41)</f>
        <v>94.857142857142861</v>
      </c>
      <c r="N41" s="49">
        <f>AVERAGE('22.07 Bulenga-Busega'!N41,'23.07 Bulenga-Busega'!N41,'24.07 Bulenga-Busega'!N41,'25.07 Bulenga-Busega'!N41,'26.07 Bulenga-Busega-24h'!N41,'27.07 Bulenga-Busega-24h'!N41,'28.07 Bulenga-Busega'!N41)</f>
        <v>26.428571428571427</v>
      </c>
      <c r="O41" s="15">
        <f t="shared" si="0"/>
        <v>203.57142857142858</v>
      </c>
      <c r="P41" s="15">
        <f t="shared" si="1"/>
        <v>298.42857142857144</v>
      </c>
      <c r="R41" s="5" t="s">
        <v>180</v>
      </c>
      <c r="S41" s="56">
        <f>SUM(S10:S33)</f>
        <v>4865.1428571428569</v>
      </c>
      <c r="T41" s="56">
        <f t="shared" ref="T41:AD41" si="33">SUM(T10:T33)</f>
        <v>865.57142857142844</v>
      </c>
      <c r="U41" s="56">
        <f t="shared" si="33"/>
        <v>716.00000000000011</v>
      </c>
      <c r="V41" s="56">
        <f t="shared" si="33"/>
        <v>3494.0952380952381</v>
      </c>
      <c r="W41" s="56">
        <f t="shared" si="33"/>
        <v>122.80952380952384</v>
      </c>
      <c r="X41" s="56">
        <f t="shared" si="33"/>
        <v>82.61904761904762</v>
      </c>
      <c r="Y41" s="56">
        <f t="shared" si="33"/>
        <v>1075.9523809523807</v>
      </c>
      <c r="Z41" s="56">
        <f t="shared" si="33"/>
        <v>556.80952380952374</v>
      </c>
      <c r="AA41" s="56">
        <f t="shared" si="33"/>
        <v>248.61904761904765</v>
      </c>
      <c r="AB41" s="56">
        <f t="shared" si="33"/>
        <v>221.42857142857142</v>
      </c>
      <c r="AC41" s="56">
        <f t="shared" si="33"/>
        <v>11015.623809523808</v>
      </c>
      <c r="AD41" s="56">
        <f t="shared" si="33"/>
        <v>27.047619047619044</v>
      </c>
      <c r="AE41" s="57">
        <f>SUM(AE10:AE33)</f>
        <v>16584.428571428572</v>
      </c>
      <c r="AF41" s="57">
        <f>SUM(AF10:AF33)</f>
        <v>30090.623809523808</v>
      </c>
    </row>
    <row r="42" spans="2:32" ht="23.1" customHeight="1" x14ac:dyDescent="0.25">
      <c r="B42" s="24" t="s">
        <v>69</v>
      </c>
      <c r="C42" s="49">
        <f>AVERAGE('22.07 Bulenga-Busega'!C42,'23.07 Bulenga-Busega'!C42,'24.07 Bulenga-Busega'!C42,'25.07 Bulenga-Busega'!C42,'26.07 Bulenga-Busega-24h'!C42,'27.07 Bulenga-Busega-24h'!C42,'28.07 Bulenga-Busega'!C42)</f>
        <v>66.428571428571431</v>
      </c>
      <c r="D42" s="49">
        <f>AVERAGE('22.07 Bulenga-Busega'!D42,'23.07 Bulenga-Busega'!D42,'24.07 Bulenga-Busega'!D42,'25.07 Bulenga-Busega'!D42,'26.07 Bulenga-Busega-24h'!D42,'27.07 Bulenga-Busega-24h'!D42,'28.07 Bulenga-Busega'!D42)</f>
        <v>7.4285714285714288</v>
      </c>
      <c r="E42" s="49">
        <f>AVERAGE('22.07 Bulenga-Busega'!E42,'23.07 Bulenga-Busega'!E42,'24.07 Bulenga-Busega'!E42,'25.07 Bulenga-Busega'!E42,'26.07 Bulenga-Busega-24h'!E42,'27.07 Bulenga-Busega-24h'!E42,'28.07 Bulenga-Busega'!E42)</f>
        <v>9</v>
      </c>
      <c r="F42" s="49">
        <f>AVERAGE('22.07 Bulenga-Busega'!F42,'23.07 Bulenga-Busega'!F42,'24.07 Bulenga-Busega'!F42,'25.07 Bulenga-Busega'!F42,'26.07 Bulenga-Busega-24h'!F42,'27.07 Bulenga-Busega-24h'!F42,'28.07 Bulenga-Busega'!F42)</f>
        <v>53.142857142857146</v>
      </c>
      <c r="G42" s="49">
        <f>AVERAGE('22.07 Bulenga-Busega'!G42,'23.07 Bulenga-Busega'!G42,'24.07 Bulenga-Busega'!G42,'25.07 Bulenga-Busega'!G42,'26.07 Bulenga-Busega-24h'!G42,'27.07 Bulenga-Busega-24h'!G42,'28.07 Bulenga-Busega'!G42)</f>
        <v>0.7142857142857143</v>
      </c>
      <c r="H42" s="49">
        <f>AVERAGE('22.07 Bulenga-Busega'!H42,'23.07 Bulenga-Busega'!H42,'24.07 Bulenga-Busega'!H42,'25.07 Bulenga-Busega'!H42,'26.07 Bulenga-Busega-24h'!H42,'27.07 Bulenga-Busega-24h'!H42,'28.07 Bulenga-Busega'!H42)</f>
        <v>0.5714285714285714</v>
      </c>
      <c r="I42" s="49">
        <f>AVERAGE('22.07 Bulenga-Busega'!I42,'23.07 Bulenga-Busega'!I42,'24.07 Bulenga-Busega'!I42,'25.07 Bulenga-Busega'!I42,'26.07 Bulenga-Busega-24h'!I42,'27.07 Bulenga-Busega-24h'!I42,'28.07 Bulenga-Busega'!I42)</f>
        <v>26.714285714285715</v>
      </c>
      <c r="J42" s="49">
        <f>AVERAGE('22.07 Bulenga-Busega'!J42,'23.07 Bulenga-Busega'!J42,'24.07 Bulenga-Busega'!J42,'25.07 Bulenga-Busega'!J42,'26.07 Bulenga-Busega-24h'!J42,'27.07 Bulenga-Busega-24h'!J42,'28.07 Bulenga-Busega'!J42)</f>
        <v>8.7142857142857135</v>
      </c>
      <c r="K42" s="49">
        <f>AVERAGE('22.07 Bulenga-Busega'!K42,'23.07 Bulenga-Busega'!K42,'24.07 Bulenga-Busega'!K42,'25.07 Bulenga-Busega'!K42,'26.07 Bulenga-Busega-24h'!K42,'27.07 Bulenga-Busega-24h'!K42,'28.07 Bulenga-Busega'!K42)</f>
        <v>2.7142857142857144</v>
      </c>
      <c r="L42" s="49">
        <f>AVERAGE('22.07 Bulenga-Busega'!L42,'23.07 Bulenga-Busega'!L42,'24.07 Bulenga-Busega'!L42,'25.07 Bulenga-Busega'!L42,'26.07 Bulenga-Busega-24h'!L42,'27.07 Bulenga-Busega-24h'!L42,'28.07 Bulenga-Busega'!L42)</f>
        <v>2.1428571428571428</v>
      </c>
      <c r="M42" s="49">
        <f>AVERAGE('22.07 Bulenga-Busega'!M42,'23.07 Bulenga-Busega'!M42,'24.07 Bulenga-Busega'!M42,'25.07 Bulenga-Busega'!M42,'26.07 Bulenga-Busega-24h'!M42,'27.07 Bulenga-Busega-24h'!M42,'28.07 Bulenga-Busega'!M42)</f>
        <v>153.85714285714286</v>
      </c>
      <c r="N42" s="49">
        <f>AVERAGE('22.07 Bulenga-Busega'!N42,'23.07 Bulenga-Busega'!N42,'24.07 Bulenga-Busega'!N42,'25.07 Bulenga-Busega'!N42,'26.07 Bulenga-Busega-24h'!N42,'27.07 Bulenga-Busega-24h'!N42,'28.07 Bulenga-Busega'!N42)</f>
        <v>0</v>
      </c>
      <c r="O42" s="15">
        <f t="shared" si="0"/>
        <v>177.57142857142861</v>
      </c>
      <c r="P42" s="15">
        <f t="shared" si="1"/>
        <v>331.42857142857144</v>
      </c>
      <c r="R42" s="5" t="s">
        <v>160</v>
      </c>
      <c r="S42" s="48">
        <f>S41/S40</f>
        <v>1.4591884827970347</v>
      </c>
      <c r="T42" s="48">
        <f t="shared" ref="T42:AF42" si="34">T41/T40</f>
        <v>2.2864150943396226</v>
      </c>
      <c r="U42" s="48">
        <f t="shared" si="34"/>
        <v>1.5073684210526319</v>
      </c>
      <c r="V42" s="48">
        <f t="shared" si="34"/>
        <v>1.4653805444051684</v>
      </c>
      <c r="W42" s="48">
        <f t="shared" si="34"/>
        <v>1.5919753086419755</v>
      </c>
      <c r="X42" s="48">
        <f t="shared" si="34"/>
        <v>1.7849794238683132</v>
      </c>
      <c r="Y42" s="48">
        <f t="shared" si="34"/>
        <v>2.1209987796864733</v>
      </c>
      <c r="Z42" s="48">
        <f t="shared" si="34"/>
        <v>1.4570716510903423</v>
      </c>
      <c r="AA42" s="48">
        <f t="shared" si="34"/>
        <v>3.1757907542579078</v>
      </c>
      <c r="AB42" s="48">
        <f t="shared" si="34"/>
        <v>1.3802315227070348</v>
      </c>
      <c r="AC42" s="48">
        <f t="shared" si="34"/>
        <v>1.3512857853007545</v>
      </c>
      <c r="AD42" s="48">
        <f t="shared" si="34"/>
        <v>1.0124777183600713</v>
      </c>
      <c r="AE42" s="58">
        <f t="shared" si="34"/>
        <v>2.112550725165141</v>
      </c>
      <c r="AF42" s="58">
        <f t="shared" si="34"/>
        <v>1.8803836094677546</v>
      </c>
    </row>
    <row r="43" spans="2:32" ht="23.1" customHeight="1" x14ac:dyDescent="0.25">
      <c r="B43" s="23" t="s">
        <v>70</v>
      </c>
      <c r="C43" s="49">
        <f>AVERAGE('22.07 Bulenga-Busega'!C43,'23.07 Bulenga-Busega'!C43,'24.07 Bulenga-Busega'!C43,'25.07 Bulenga-Busega'!C43,'26.07 Bulenga-Busega-24h'!C43,'27.07 Bulenga-Busega-24h'!C43,'28.07 Bulenga-Busega'!C43)</f>
        <v>59</v>
      </c>
      <c r="D43" s="49">
        <f>AVERAGE('22.07 Bulenga-Busega'!D43,'23.07 Bulenga-Busega'!D43,'24.07 Bulenga-Busega'!D43,'25.07 Bulenga-Busega'!D43,'26.07 Bulenga-Busega-24h'!D43,'27.07 Bulenga-Busega-24h'!D43,'28.07 Bulenga-Busega'!D43)</f>
        <v>3.8571428571428572</v>
      </c>
      <c r="E43" s="49">
        <f>AVERAGE('22.07 Bulenga-Busega'!E43,'23.07 Bulenga-Busega'!E43,'24.07 Bulenga-Busega'!E43,'25.07 Bulenga-Busega'!E43,'26.07 Bulenga-Busega-24h'!E43,'27.07 Bulenga-Busega-24h'!E43,'28.07 Bulenga-Busega'!E43)</f>
        <v>10.571428571428571</v>
      </c>
      <c r="F43" s="49">
        <f>AVERAGE('22.07 Bulenga-Busega'!F43,'23.07 Bulenga-Busega'!F43,'24.07 Bulenga-Busega'!F43,'25.07 Bulenga-Busega'!F43,'26.07 Bulenga-Busega-24h'!F43,'27.07 Bulenga-Busega-24h'!F43,'28.07 Bulenga-Busega'!F43)</f>
        <v>49.571428571428569</v>
      </c>
      <c r="G43" s="49">
        <f>AVERAGE('22.07 Bulenga-Busega'!G43,'23.07 Bulenga-Busega'!G43,'24.07 Bulenga-Busega'!G43,'25.07 Bulenga-Busega'!G43,'26.07 Bulenga-Busega-24h'!G43,'27.07 Bulenga-Busega-24h'!G43,'28.07 Bulenga-Busega'!G43)</f>
        <v>0.42857142857142855</v>
      </c>
      <c r="H43" s="49">
        <f>AVERAGE('22.07 Bulenga-Busega'!H43,'23.07 Bulenga-Busega'!H43,'24.07 Bulenga-Busega'!H43,'25.07 Bulenga-Busega'!H43,'26.07 Bulenga-Busega-24h'!H43,'27.07 Bulenga-Busega-24h'!H43,'28.07 Bulenga-Busega'!H43)</f>
        <v>0.2857142857142857</v>
      </c>
      <c r="I43" s="49">
        <f>AVERAGE('22.07 Bulenga-Busega'!I43,'23.07 Bulenga-Busega'!I43,'24.07 Bulenga-Busega'!I43,'25.07 Bulenga-Busega'!I43,'26.07 Bulenga-Busega-24h'!I43,'27.07 Bulenga-Busega-24h'!I43,'28.07 Bulenga-Busega'!I43)</f>
        <v>6.1428571428571432</v>
      </c>
      <c r="J43" s="49">
        <f>AVERAGE('22.07 Bulenga-Busega'!J43,'23.07 Bulenga-Busega'!J43,'24.07 Bulenga-Busega'!J43,'25.07 Bulenga-Busega'!J43,'26.07 Bulenga-Busega-24h'!J43,'27.07 Bulenga-Busega-24h'!J43,'28.07 Bulenga-Busega'!J43)</f>
        <v>5.7142857142857144</v>
      </c>
      <c r="K43" s="49">
        <f>AVERAGE('22.07 Bulenga-Busega'!K43,'23.07 Bulenga-Busega'!K43,'24.07 Bulenga-Busega'!K43,'25.07 Bulenga-Busega'!K43,'26.07 Bulenga-Busega-24h'!K43,'27.07 Bulenga-Busega-24h'!K43,'28.07 Bulenga-Busega'!K43)</f>
        <v>0.7142857142857143</v>
      </c>
      <c r="L43" s="49">
        <f>AVERAGE('22.07 Bulenga-Busega'!L43,'23.07 Bulenga-Busega'!L43,'24.07 Bulenga-Busega'!L43,'25.07 Bulenga-Busega'!L43,'26.07 Bulenga-Busega-24h'!L43,'27.07 Bulenga-Busega-24h'!L43,'28.07 Bulenga-Busega'!L43)</f>
        <v>2.1428571428571428</v>
      </c>
      <c r="M43" s="49">
        <f>AVERAGE('22.07 Bulenga-Busega'!M43,'23.07 Bulenga-Busega'!M43,'24.07 Bulenga-Busega'!M43,'25.07 Bulenga-Busega'!M43,'26.07 Bulenga-Busega-24h'!M43,'27.07 Bulenga-Busega-24h'!M43,'28.07 Bulenga-Busega'!M43)</f>
        <v>169.14285714285714</v>
      </c>
      <c r="N43" s="49">
        <f>AVERAGE('22.07 Bulenga-Busega'!N43,'23.07 Bulenga-Busega'!N43,'24.07 Bulenga-Busega'!N43,'25.07 Bulenga-Busega'!N43,'26.07 Bulenga-Busega-24h'!N43,'27.07 Bulenga-Busega-24h'!N43,'28.07 Bulenga-Busega'!N43)</f>
        <v>0</v>
      </c>
      <c r="O43" s="15">
        <f t="shared" si="0"/>
        <v>138.42857142857144</v>
      </c>
      <c r="P43" s="15">
        <f t="shared" si="1"/>
        <v>307.57142857142856</v>
      </c>
    </row>
    <row r="44" spans="2:32" ht="23.1" customHeight="1" x14ac:dyDescent="0.25">
      <c r="B44" s="25" t="s">
        <v>71</v>
      </c>
      <c r="C44" s="49">
        <f>AVERAGE('22.07 Bulenga-Busega'!C44,'23.07 Bulenga-Busega'!C44,'24.07 Bulenga-Busega'!C44,'25.07 Bulenga-Busega'!C44,'26.07 Bulenga-Busega-24h'!C44,'27.07 Bulenga-Busega-24h'!C44,'28.07 Bulenga-Busega'!C44)</f>
        <v>63.857142857142854</v>
      </c>
      <c r="D44" s="49">
        <f>AVERAGE('22.07 Bulenga-Busega'!D44,'23.07 Bulenga-Busega'!D44,'24.07 Bulenga-Busega'!D44,'25.07 Bulenga-Busega'!D44,'26.07 Bulenga-Busega-24h'!D44,'27.07 Bulenga-Busega-24h'!D44,'28.07 Bulenga-Busega'!D44)</f>
        <v>7.4285714285714288</v>
      </c>
      <c r="E44" s="49">
        <f>AVERAGE('22.07 Bulenga-Busega'!E44,'23.07 Bulenga-Busega'!E44,'24.07 Bulenga-Busega'!E44,'25.07 Bulenga-Busega'!E44,'26.07 Bulenga-Busega-24h'!E44,'27.07 Bulenga-Busega-24h'!E44,'28.07 Bulenga-Busega'!E44)</f>
        <v>4.5714285714285712</v>
      </c>
      <c r="F44" s="49">
        <f>AVERAGE('22.07 Bulenga-Busega'!F44,'23.07 Bulenga-Busega'!F44,'24.07 Bulenga-Busega'!F44,'25.07 Bulenga-Busega'!F44,'26.07 Bulenga-Busega-24h'!F44,'27.07 Bulenga-Busega-24h'!F44,'28.07 Bulenga-Busega'!F44)</f>
        <v>39.857142857142854</v>
      </c>
      <c r="G44" s="49">
        <f>AVERAGE('22.07 Bulenga-Busega'!G44,'23.07 Bulenga-Busega'!G44,'24.07 Bulenga-Busega'!G44,'25.07 Bulenga-Busega'!G44,'26.07 Bulenga-Busega-24h'!G44,'27.07 Bulenga-Busega-24h'!G44,'28.07 Bulenga-Busega'!G44)</f>
        <v>0.5714285714285714</v>
      </c>
      <c r="H44" s="49">
        <f>AVERAGE('22.07 Bulenga-Busega'!H44,'23.07 Bulenga-Busega'!H44,'24.07 Bulenga-Busega'!H44,'25.07 Bulenga-Busega'!H44,'26.07 Bulenga-Busega-24h'!H44,'27.07 Bulenga-Busega-24h'!H44,'28.07 Bulenga-Busega'!H44)</f>
        <v>1</v>
      </c>
      <c r="I44" s="49">
        <f>AVERAGE('22.07 Bulenga-Busega'!I44,'23.07 Bulenga-Busega'!I44,'24.07 Bulenga-Busega'!I44,'25.07 Bulenga-Busega'!I44,'26.07 Bulenga-Busega-24h'!I44,'27.07 Bulenga-Busega-24h'!I44,'28.07 Bulenga-Busega'!I44)</f>
        <v>5.1428571428571432</v>
      </c>
      <c r="J44" s="49">
        <f>AVERAGE('22.07 Bulenga-Busega'!J44,'23.07 Bulenga-Busega'!J44,'24.07 Bulenga-Busega'!J44,'25.07 Bulenga-Busega'!J44,'26.07 Bulenga-Busega-24h'!J44,'27.07 Bulenga-Busega-24h'!J44,'28.07 Bulenga-Busega'!J44)</f>
        <v>10</v>
      </c>
      <c r="K44" s="49">
        <f>AVERAGE('22.07 Bulenga-Busega'!K44,'23.07 Bulenga-Busega'!K44,'24.07 Bulenga-Busega'!K44,'25.07 Bulenga-Busega'!K44,'26.07 Bulenga-Busega-24h'!K44,'27.07 Bulenga-Busega-24h'!K44,'28.07 Bulenga-Busega'!K44)</f>
        <v>1.8571428571428572</v>
      </c>
      <c r="L44" s="49">
        <f>AVERAGE('22.07 Bulenga-Busega'!L44,'23.07 Bulenga-Busega'!L44,'24.07 Bulenga-Busega'!L44,'25.07 Bulenga-Busega'!L44,'26.07 Bulenga-Busega-24h'!L44,'27.07 Bulenga-Busega-24h'!L44,'28.07 Bulenga-Busega'!L44)</f>
        <v>2.1428571428571428</v>
      </c>
      <c r="M44" s="49">
        <f>AVERAGE('22.07 Bulenga-Busega'!M44,'23.07 Bulenga-Busega'!M44,'24.07 Bulenga-Busega'!M44,'25.07 Bulenga-Busega'!M44,'26.07 Bulenga-Busega-24h'!M44,'27.07 Bulenga-Busega-24h'!M44,'28.07 Bulenga-Busega'!M44)</f>
        <v>149.57142857142858</v>
      </c>
      <c r="N44" s="49">
        <f>AVERAGE('22.07 Bulenga-Busega'!N44,'23.07 Bulenga-Busega'!N44,'24.07 Bulenga-Busega'!N44,'25.07 Bulenga-Busega'!N44,'26.07 Bulenga-Busega-24h'!N44,'27.07 Bulenga-Busega-24h'!N44,'28.07 Bulenga-Busega'!N44)</f>
        <v>0</v>
      </c>
      <c r="O44" s="15">
        <f t="shared" si="0"/>
        <v>136.42857142857139</v>
      </c>
      <c r="P44" s="15">
        <f t="shared" si="1"/>
        <v>286</v>
      </c>
    </row>
    <row r="45" spans="2:32" ht="23.1" customHeight="1" x14ac:dyDescent="0.25">
      <c r="B45" s="23" t="s">
        <v>72</v>
      </c>
      <c r="C45" s="49">
        <f>AVERAGE('22.07 Bulenga-Busega'!C45,'23.07 Bulenga-Busega'!C45,'24.07 Bulenga-Busega'!C45,'25.07 Bulenga-Busega'!C45,'26.07 Bulenga-Busega-24h'!C45,'27.07 Bulenga-Busega-24h'!C45,'28.07 Bulenga-Busega'!C45)</f>
        <v>63.142857142857146</v>
      </c>
      <c r="D45" s="49">
        <f>AVERAGE('22.07 Bulenga-Busega'!D45,'23.07 Bulenga-Busega'!D45,'24.07 Bulenga-Busega'!D45,'25.07 Bulenga-Busega'!D45,'26.07 Bulenga-Busega-24h'!D45,'27.07 Bulenga-Busega-24h'!D45,'28.07 Bulenga-Busega'!D45)</f>
        <v>8.5714285714285712</v>
      </c>
      <c r="E45" s="49">
        <f>AVERAGE('22.07 Bulenga-Busega'!E45,'23.07 Bulenga-Busega'!E45,'24.07 Bulenga-Busega'!E45,'25.07 Bulenga-Busega'!E45,'26.07 Bulenga-Busega-24h'!E45,'27.07 Bulenga-Busega-24h'!E45,'28.07 Bulenga-Busega'!E45)</f>
        <v>7.4285714285714288</v>
      </c>
      <c r="F45" s="49">
        <f>AVERAGE('22.07 Bulenga-Busega'!F45,'23.07 Bulenga-Busega'!F45,'24.07 Bulenga-Busega'!F45,'25.07 Bulenga-Busega'!F45,'26.07 Bulenga-Busega-24h'!F45,'27.07 Bulenga-Busega-24h'!F45,'28.07 Bulenga-Busega'!F45)</f>
        <v>36.285714285714285</v>
      </c>
      <c r="G45" s="49">
        <f>AVERAGE('22.07 Bulenga-Busega'!G45,'23.07 Bulenga-Busega'!G45,'24.07 Bulenga-Busega'!G45,'25.07 Bulenga-Busega'!G45,'26.07 Bulenga-Busega-24h'!G45,'27.07 Bulenga-Busega-24h'!G45,'28.07 Bulenga-Busega'!G45)</f>
        <v>0.2857142857142857</v>
      </c>
      <c r="H45" s="49">
        <f>AVERAGE('22.07 Bulenga-Busega'!H45,'23.07 Bulenga-Busega'!H45,'24.07 Bulenga-Busega'!H45,'25.07 Bulenga-Busega'!H45,'26.07 Bulenga-Busega-24h'!H45,'27.07 Bulenga-Busega-24h'!H45,'28.07 Bulenga-Busega'!H45)</f>
        <v>0.8571428571428571</v>
      </c>
      <c r="I45" s="49">
        <f>AVERAGE('22.07 Bulenga-Busega'!I45,'23.07 Bulenga-Busega'!I45,'24.07 Bulenga-Busega'!I45,'25.07 Bulenga-Busega'!I45,'26.07 Bulenga-Busega-24h'!I45,'27.07 Bulenga-Busega-24h'!I45,'28.07 Bulenga-Busega'!I45)</f>
        <v>11</v>
      </c>
      <c r="J45" s="49">
        <f>AVERAGE('22.07 Bulenga-Busega'!J45,'23.07 Bulenga-Busega'!J45,'24.07 Bulenga-Busega'!J45,'25.07 Bulenga-Busega'!J45,'26.07 Bulenga-Busega-24h'!J45,'27.07 Bulenga-Busega-24h'!J45,'28.07 Bulenga-Busega'!J45)</f>
        <v>6.8571428571428568</v>
      </c>
      <c r="K45" s="49">
        <f>AVERAGE('22.07 Bulenga-Busega'!K45,'23.07 Bulenga-Busega'!K45,'24.07 Bulenga-Busega'!K45,'25.07 Bulenga-Busega'!K45,'26.07 Bulenga-Busega-24h'!K45,'27.07 Bulenga-Busega-24h'!K45,'28.07 Bulenga-Busega'!K45)</f>
        <v>2.1428571428571428</v>
      </c>
      <c r="L45" s="49">
        <f>AVERAGE('22.07 Bulenga-Busega'!L45,'23.07 Bulenga-Busega'!L45,'24.07 Bulenga-Busega'!L45,'25.07 Bulenga-Busega'!L45,'26.07 Bulenga-Busega-24h'!L45,'27.07 Bulenga-Busega-24h'!L45,'28.07 Bulenga-Busega'!L45)</f>
        <v>1.8571428571428572</v>
      </c>
      <c r="M45" s="49">
        <f>AVERAGE('22.07 Bulenga-Busega'!M45,'23.07 Bulenga-Busega'!M45,'24.07 Bulenga-Busega'!M45,'25.07 Bulenga-Busega'!M45,'26.07 Bulenga-Busega-24h'!M45,'27.07 Bulenga-Busega-24h'!M45,'28.07 Bulenga-Busega'!M45)</f>
        <v>166.14285714285714</v>
      </c>
      <c r="N45" s="49">
        <f>AVERAGE('22.07 Bulenga-Busega'!N45,'23.07 Bulenga-Busega'!N45,'24.07 Bulenga-Busega'!N45,'25.07 Bulenga-Busega'!N45,'26.07 Bulenga-Busega-24h'!N45,'27.07 Bulenga-Busega-24h'!N45,'28.07 Bulenga-Busega'!N45)</f>
        <v>0</v>
      </c>
      <c r="O45" s="15">
        <f t="shared" si="0"/>
        <v>138.42857142857144</v>
      </c>
      <c r="P45" s="15">
        <f t="shared" si="1"/>
        <v>304.57142857142856</v>
      </c>
    </row>
    <row r="46" spans="2:32" ht="23.1" customHeight="1" x14ac:dyDescent="0.25">
      <c r="B46" s="24" t="s">
        <v>73</v>
      </c>
      <c r="C46" s="49">
        <f>AVERAGE('22.07 Bulenga-Busega'!C46,'23.07 Bulenga-Busega'!C46,'24.07 Bulenga-Busega'!C46,'25.07 Bulenga-Busega'!C46,'26.07 Bulenga-Busega-24h'!C46,'27.07 Bulenga-Busega-24h'!C46,'28.07 Bulenga-Busega'!C46)</f>
        <v>62.857142857142854</v>
      </c>
      <c r="D46" s="49">
        <f>AVERAGE('22.07 Bulenga-Busega'!D46,'23.07 Bulenga-Busega'!D46,'24.07 Bulenga-Busega'!D46,'25.07 Bulenga-Busega'!D46,'26.07 Bulenga-Busega-24h'!D46,'27.07 Bulenga-Busega-24h'!D46,'28.07 Bulenga-Busega'!D46)</f>
        <v>7.7142857142857144</v>
      </c>
      <c r="E46" s="49">
        <f>AVERAGE('22.07 Bulenga-Busega'!E46,'23.07 Bulenga-Busega'!E46,'24.07 Bulenga-Busega'!E46,'25.07 Bulenga-Busega'!E46,'26.07 Bulenga-Busega-24h'!E46,'27.07 Bulenga-Busega-24h'!E46,'28.07 Bulenga-Busega'!E46)</f>
        <v>11.428571428571429</v>
      </c>
      <c r="F46" s="49">
        <f>AVERAGE('22.07 Bulenga-Busega'!F46,'23.07 Bulenga-Busega'!F46,'24.07 Bulenga-Busega'!F46,'25.07 Bulenga-Busega'!F46,'26.07 Bulenga-Busega-24h'!F46,'27.07 Bulenga-Busega-24h'!F46,'28.07 Bulenga-Busega'!F46)</f>
        <v>47.142857142857146</v>
      </c>
      <c r="G46" s="49">
        <f>AVERAGE('22.07 Bulenga-Busega'!G46,'23.07 Bulenga-Busega'!G46,'24.07 Bulenga-Busega'!G46,'25.07 Bulenga-Busega'!G46,'26.07 Bulenga-Busega-24h'!G46,'27.07 Bulenga-Busega-24h'!G46,'28.07 Bulenga-Busega'!G46)</f>
        <v>0.7142857142857143</v>
      </c>
      <c r="H46" s="49">
        <f>AVERAGE('22.07 Bulenga-Busega'!H46,'23.07 Bulenga-Busega'!H46,'24.07 Bulenga-Busega'!H46,'25.07 Bulenga-Busega'!H46,'26.07 Bulenga-Busega-24h'!H46,'27.07 Bulenga-Busega-24h'!H46,'28.07 Bulenga-Busega'!H46)</f>
        <v>0</v>
      </c>
      <c r="I46" s="49">
        <f>AVERAGE('22.07 Bulenga-Busega'!I46,'23.07 Bulenga-Busega'!I46,'24.07 Bulenga-Busega'!I46,'25.07 Bulenga-Busega'!I46,'26.07 Bulenga-Busega-24h'!I46,'27.07 Bulenga-Busega-24h'!I46,'28.07 Bulenga-Busega'!I46)</f>
        <v>11</v>
      </c>
      <c r="J46" s="49">
        <f>AVERAGE('22.07 Bulenga-Busega'!J46,'23.07 Bulenga-Busega'!J46,'24.07 Bulenga-Busega'!J46,'25.07 Bulenga-Busega'!J46,'26.07 Bulenga-Busega-24h'!J46,'27.07 Bulenga-Busega-24h'!J46,'28.07 Bulenga-Busega'!J46)</f>
        <v>9.7142857142857135</v>
      </c>
      <c r="K46" s="49">
        <f>AVERAGE('22.07 Bulenga-Busega'!K46,'23.07 Bulenga-Busega'!K46,'24.07 Bulenga-Busega'!K46,'25.07 Bulenga-Busega'!K46,'26.07 Bulenga-Busega-24h'!K46,'27.07 Bulenga-Busega-24h'!K46,'28.07 Bulenga-Busega'!K46)</f>
        <v>2.4285714285714284</v>
      </c>
      <c r="L46" s="49">
        <f>AVERAGE('22.07 Bulenga-Busega'!L46,'23.07 Bulenga-Busega'!L46,'24.07 Bulenga-Busega'!L46,'25.07 Bulenga-Busega'!L46,'26.07 Bulenga-Busega-24h'!L46,'27.07 Bulenga-Busega-24h'!L46,'28.07 Bulenga-Busega'!L46)</f>
        <v>1.5714285714285714</v>
      </c>
      <c r="M46" s="49">
        <f>AVERAGE('22.07 Bulenga-Busega'!M46,'23.07 Bulenga-Busega'!M46,'24.07 Bulenga-Busega'!M46,'25.07 Bulenga-Busega'!M46,'26.07 Bulenga-Busega-24h'!M46,'27.07 Bulenga-Busega-24h'!M46,'28.07 Bulenga-Busega'!M46)</f>
        <v>172</v>
      </c>
      <c r="N46" s="49">
        <f>AVERAGE('22.07 Bulenga-Busega'!N46,'23.07 Bulenga-Busega'!N46,'24.07 Bulenga-Busega'!N46,'25.07 Bulenga-Busega'!N46,'26.07 Bulenga-Busega-24h'!N46,'27.07 Bulenga-Busega-24h'!N46,'28.07 Bulenga-Busega'!N46)</f>
        <v>0</v>
      </c>
      <c r="O46" s="15">
        <f t="shared" si="0"/>
        <v>154.57142857142858</v>
      </c>
      <c r="P46" s="15">
        <f t="shared" si="1"/>
        <v>326.57142857142856</v>
      </c>
      <c r="R46" s="8"/>
      <c r="T46"/>
    </row>
    <row r="47" spans="2:32" ht="23.1" customHeight="1" x14ac:dyDescent="0.25">
      <c r="B47" s="24" t="s">
        <v>74</v>
      </c>
      <c r="C47" s="49">
        <f>AVERAGE('22.07 Bulenga-Busega'!C47,'23.07 Bulenga-Busega'!C47,'24.07 Bulenga-Busega'!C47,'25.07 Bulenga-Busega'!C47,'26.07 Bulenga-Busega-24h'!C47,'27.07 Bulenga-Busega-24h'!C47,'28.07 Bulenga-Busega'!C47)</f>
        <v>62.857142857142854</v>
      </c>
      <c r="D47" s="49">
        <f>AVERAGE('22.07 Bulenga-Busega'!D47,'23.07 Bulenga-Busega'!D47,'24.07 Bulenga-Busega'!D47,'25.07 Bulenga-Busega'!D47,'26.07 Bulenga-Busega-24h'!D47,'27.07 Bulenga-Busega-24h'!D47,'28.07 Bulenga-Busega'!D47)</f>
        <v>7.5714285714285712</v>
      </c>
      <c r="E47" s="49">
        <f>AVERAGE('22.07 Bulenga-Busega'!E47,'23.07 Bulenga-Busega'!E47,'24.07 Bulenga-Busega'!E47,'25.07 Bulenga-Busega'!E47,'26.07 Bulenga-Busega-24h'!E47,'27.07 Bulenga-Busega-24h'!E47,'28.07 Bulenga-Busega'!E47)</f>
        <v>10</v>
      </c>
      <c r="F47" s="49">
        <f>AVERAGE('22.07 Bulenga-Busega'!F47,'23.07 Bulenga-Busega'!F47,'24.07 Bulenga-Busega'!F47,'25.07 Bulenga-Busega'!F47,'26.07 Bulenga-Busega-24h'!F47,'27.07 Bulenga-Busega-24h'!F47,'28.07 Bulenga-Busega'!F47)</f>
        <v>40.285714285714285</v>
      </c>
      <c r="G47" s="49">
        <f>AVERAGE('22.07 Bulenga-Busega'!G47,'23.07 Bulenga-Busega'!G47,'24.07 Bulenga-Busega'!G47,'25.07 Bulenga-Busega'!G47,'26.07 Bulenga-Busega-24h'!G47,'27.07 Bulenga-Busega-24h'!G47,'28.07 Bulenga-Busega'!G47)</f>
        <v>0.5714285714285714</v>
      </c>
      <c r="H47" s="49">
        <f>AVERAGE('22.07 Bulenga-Busega'!H47,'23.07 Bulenga-Busega'!H47,'24.07 Bulenga-Busega'!H47,'25.07 Bulenga-Busega'!H47,'26.07 Bulenga-Busega-24h'!H47,'27.07 Bulenga-Busega-24h'!H47,'28.07 Bulenga-Busega'!H47)</f>
        <v>0.7142857142857143</v>
      </c>
      <c r="I47" s="49">
        <f>AVERAGE('22.07 Bulenga-Busega'!I47,'23.07 Bulenga-Busega'!I47,'24.07 Bulenga-Busega'!I47,'25.07 Bulenga-Busega'!I47,'26.07 Bulenga-Busega-24h'!I47,'27.07 Bulenga-Busega-24h'!I47,'28.07 Bulenga-Busega'!I47)</f>
        <v>14.142857142857142</v>
      </c>
      <c r="J47" s="49">
        <f>AVERAGE('22.07 Bulenga-Busega'!J47,'23.07 Bulenga-Busega'!J47,'24.07 Bulenga-Busega'!J47,'25.07 Bulenga-Busega'!J47,'26.07 Bulenga-Busega-24h'!J47,'27.07 Bulenga-Busega-24h'!J47,'28.07 Bulenga-Busega'!J47)</f>
        <v>12</v>
      </c>
      <c r="K47" s="49">
        <f>AVERAGE('22.07 Bulenga-Busega'!K47,'23.07 Bulenga-Busega'!K47,'24.07 Bulenga-Busega'!K47,'25.07 Bulenga-Busega'!K47,'26.07 Bulenga-Busega-24h'!K47,'27.07 Bulenga-Busega-24h'!K47,'28.07 Bulenga-Busega'!K47)</f>
        <v>1.5714285714285714</v>
      </c>
      <c r="L47" s="49">
        <f>AVERAGE('22.07 Bulenga-Busega'!L47,'23.07 Bulenga-Busega'!L47,'24.07 Bulenga-Busega'!L47,'25.07 Bulenga-Busega'!L47,'26.07 Bulenga-Busega-24h'!L47,'27.07 Bulenga-Busega-24h'!L47,'28.07 Bulenga-Busega'!L47)</f>
        <v>4.2857142857142856</v>
      </c>
      <c r="M47" s="49">
        <f>AVERAGE('22.07 Bulenga-Busega'!M47,'23.07 Bulenga-Busega'!M47,'24.07 Bulenga-Busega'!M47,'25.07 Bulenga-Busega'!M47,'26.07 Bulenga-Busega-24h'!M47,'27.07 Bulenga-Busega-24h'!M47,'28.07 Bulenga-Busega'!M47)</f>
        <v>156.57142857142858</v>
      </c>
      <c r="N47" s="49">
        <f>AVERAGE('22.07 Bulenga-Busega'!N47,'23.07 Bulenga-Busega'!N47,'24.07 Bulenga-Busega'!N47,'25.07 Bulenga-Busega'!N47,'26.07 Bulenga-Busega-24h'!N47,'27.07 Bulenga-Busega-24h'!N47,'28.07 Bulenga-Busega'!N47)</f>
        <v>0</v>
      </c>
      <c r="O47" s="15">
        <f t="shared" si="0"/>
        <v>154</v>
      </c>
      <c r="P47" s="15">
        <f t="shared" si="1"/>
        <v>310.57142857142856</v>
      </c>
      <c r="R47" s="8"/>
      <c r="T47"/>
    </row>
    <row r="48" spans="2:32" ht="23.1" customHeight="1" x14ac:dyDescent="0.25">
      <c r="B48" s="24" t="s">
        <v>75</v>
      </c>
      <c r="C48" s="49">
        <f>AVERAGE('22.07 Bulenga-Busega'!C48,'23.07 Bulenga-Busega'!C48,'24.07 Bulenga-Busega'!C48,'25.07 Bulenga-Busega'!C48,'26.07 Bulenga-Busega-24h'!C48,'27.07 Bulenga-Busega-24h'!C48,'28.07 Bulenga-Busega'!C48)</f>
        <v>62.285714285714285</v>
      </c>
      <c r="D48" s="49">
        <f>AVERAGE('22.07 Bulenga-Busega'!D48,'23.07 Bulenga-Busega'!D48,'24.07 Bulenga-Busega'!D48,'25.07 Bulenga-Busega'!D48,'26.07 Bulenga-Busega-24h'!D48,'27.07 Bulenga-Busega-24h'!D48,'28.07 Bulenga-Busega'!D48)</f>
        <v>9.8571428571428577</v>
      </c>
      <c r="E48" s="49">
        <f>AVERAGE('22.07 Bulenga-Busega'!E48,'23.07 Bulenga-Busega'!E48,'24.07 Bulenga-Busega'!E48,'25.07 Bulenga-Busega'!E48,'26.07 Bulenga-Busega-24h'!E48,'27.07 Bulenga-Busega-24h'!E48,'28.07 Bulenga-Busega'!E48)</f>
        <v>9.1428571428571423</v>
      </c>
      <c r="F48" s="49">
        <f>AVERAGE('22.07 Bulenga-Busega'!F48,'23.07 Bulenga-Busega'!F48,'24.07 Bulenga-Busega'!F48,'25.07 Bulenga-Busega'!F48,'26.07 Bulenga-Busega-24h'!F48,'27.07 Bulenga-Busega-24h'!F48,'28.07 Bulenga-Busega'!F48)</f>
        <v>43.714285714285715</v>
      </c>
      <c r="G48" s="49">
        <f>AVERAGE('22.07 Bulenga-Busega'!G48,'23.07 Bulenga-Busega'!G48,'24.07 Bulenga-Busega'!G48,'25.07 Bulenga-Busega'!G48,'26.07 Bulenga-Busega-24h'!G48,'27.07 Bulenga-Busega-24h'!G48,'28.07 Bulenga-Busega'!G48)</f>
        <v>0</v>
      </c>
      <c r="H48" s="49">
        <f>AVERAGE('22.07 Bulenga-Busega'!H48,'23.07 Bulenga-Busega'!H48,'24.07 Bulenga-Busega'!H48,'25.07 Bulenga-Busega'!H48,'26.07 Bulenga-Busega-24h'!H48,'27.07 Bulenga-Busega-24h'!H48,'28.07 Bulenga-Busega'!H48)</f>
        <v>1</v>
      </c>
      <c r="I48" s="49">
        <f>AVERAGE('22.07 Bulenga-Busega'!I48,'23.07 Bulenga-Busega'!I48,'24.07 Bulenga-Busega'!I48,'25.07 Bulenga-Busega'!I48,'26.07 Bulenga-Busega-24h'!I48,'27.07 Bulenga-Busega-24h'!I48,'28.07 Bulenga-Busega'!I48)</f>
        <v>13.714285714285714</v>
      </c>
      <c r="J48" s="49">
        <f>AVERAGE('22.07 Bulenga-Busega'!J48,'23.07 Bulenga-Busega'!J48,'24.07 Bulenga-Busega'!J48,'25.07 Bulenga-Busega'!J48,'26.07 Bulenga-Busega-24h'!J48,'27.07 Bulenga-Busega-24h'!J48,'28.07 Bulenga-Busega'!J48)</f>
        <v>11.714285714285714</v>
      </c>
      <c r="K48" s="49">
        <f>AVERAGE('22.07 Bulenga-Busega'!K48,'23.07 Bulenga-Busega'!K48,'24.07 Bulenga-Busega'!K48,'25.07 Bulenga-Busega'!K48,'26.07 Bulenga-Busega-24h'!K48,'27.07 Bulenga-Busega-24h'!K48,'28.07 Bulenga-Busega'!K48)</f>
        <v>1.8571428571428572</v>
      </c>
      <c r="L48" s="49">
        <f>AVERAGE('22.07 Bulenga-Busega'!L48,'23.07 Bulenga-Busega'!L48,'24.07 Bulenga-Busega'!L48,'25.07 Bulenga-Busega'!L48,'26.07 Bulenga-Busega-24h'!L48,'27.07 Bulenga-Busega-24h'!L48,'28.07 Bulenga-Busega'!L48)</f>
        <v>3.5714285714285716</v>
      </c>
      <c r="M48" s="49">
        <f>AVERAGE('22.07 Bulenga-Busega'!M48,'23.07 Bulenga-Busega'!M48,'24.07 Bulenga-Busega'!M48,'25.07 Bulenga-Busega'!M48,'26.07 Bulenga-Busega-24h'!M48,'27.07 Bulenga-Busega-24h'!M48,'28.07 Bulenga-Busega'!M48)</f>
        <v>160.14285714285714</v>
      </c>
      <c r="N48" s="49">
        <f>AVERAGE('22.07 Bulenga-Busega'!N48,'23.07 Bulenga-Busega'!N48,'24.07 Bulenga-Busega'!N48,'25.07 Bulenga-Busega'!N48,'26.07 Bulenga-Busega-24h'!N48,'27.07 Bulenga-Busega-24h'!N48,'28.07 Bulenga-Busega'!N48)</f>
        <v>0</v>
      </c>
      <c r="O48" s="15">
        <f t="shared" si="0"/>
        <v>156.85714285714289</v>
      </c>
      <c r="P48" s="15">
        <f t="shared" si="1"/>
        <v>317</v>
      </c>
      <c r="R48" s="8"/>
      <c r="T48"/>
    </row>
    <row r="49" spans="2:20" ht="23.1" customHeight="1" x14ac:dyDescent="0.25">
      <c r="B49" s="23" t="s">
        <v>76</v>
      </c>
      <c r="C49" s="49">
        <f>AVERAGE('22.07 Bulenga-Busega'!C49,'23.07 Bulenga-Busega'!C49,'24.07 Bulenga-Busega'!C49,'25.07 Bulenga-Busega'!C49,'26.07 Bulenga-Busega-24h'!C49,'27.07 Bulenga-Busega-24h'!C49,'28.07 Bulenga-Busega'!C49)</f>
        <v>61.571428571428569</v>
      </c>
      <c r="D49" s="49">
        <f>AVERAGE('22.07 Bulenga-Busega'!D49,'23.07 Bulenga-Busega'!D49,'24.07 Bulenga-Busega'!D49,'25.07 Bulenga-Busega'!D49,'26.07 Bulenga-Busega-24h'!D49,'27.07 Bulenga-Busega-24h'!D49,'28.07 Bulenga-Busega'!D49)</f>
        <v>6.8571428571428568</v>
      </c>
      <c r="E49" s="49">
        <f>AVERAGE('22.07 Bulenga-Busega'!E49,'23.07 Bulenga-Busega'!E49,'24.07 Bulenga-Busega'!E49,'25.07 Bulenga-Busega'!E49,'26.07 Bulenga-Busega-24h'!E49,'27.07 Bulenga-Busega-24h'!E49,'28.07 Bulenga-Busega'!E49)</f>
        <v>6.4285714285714288</v>
      </c>
      <c r="F49" s="49">
        <f>AVERAGE('22.07 Bulenga-Busega'!F49,'23.07 Bulenga-Busega'!F49,'24.07 Bulenga-Busega'!F49,'25.07 Bulenga-Busega'!F49,'26.07 Bulenga-Busega-24h'!F49,'27.07 Bulenga-Busega-24h'!F49,'28.07 Bulenga-Busega'!F49)</f>
        <v>50.428571428571431</v>
      </c>
      <c r="G49" s="49">
        <f>AVERAGE('22.07 Bulenga-Busega'!G49,'23.07 Bulenga-Busega'!G49,'24.07 Bulenga-Busega'!G49,'25.07 Bulenga-Busega'!G49,'26.07 Bulenga-Busega-24h'!G49,'27.07 Bulenga-Busega-24h'!G49,'28.07 Bulenga-Busega'!G49)</f>
        <v>1</v>
      </c>
      <c r="H49" s="49">
        <f>AVERAGE('22.07 Bulenga-Busega'!H49,'23.07 Bulenga-Busega'!H49,'24.07 Bulenga-Busega'!H49,'25.07 Bulenga-Busega'!H49,'26.07 Bulenga-Busega-24h'!H49,'27.07 Bulenga-Busega-24h'!H49,'28.07 Bulenga-Busega'!H49)</f>
        <v>0.42857142857142855</v>
      </c>
      <c r="I49" s="49">
        <f>AVERAGE('22.07 Bulenga-Busega'!I49,'23.07 Bulenga-Busega'!I49,'24.07 Bulenga-Busega'!I49,'25.07 Bulenga-Busega'!I49,'26.07 Bulenga-Busega-24h'!I49,'27.07 Bulenga-Busega-24h'!I49,'28.07 Bulenga-Busega'!I49)</f>
        <v>6.2857142857142856</v>
      </c>
      <c r="J49" s="49">
        <f>AVERAGE('22.07 Bulenga-Busega'!J49,'23.07 Bulenga-Busega'!J49,'24.07 Bulenga-Busega'!J49,'25.07 Bulenga-Busega'!J49,'26.07 Bulenga-Busega-24h'!J49,'27.07 Bulenga-Busega-24h'!J49,'28.07 Bulenga-Busega'!J49)</f>
        <v>6.8571428571428568</v>
      </c>
      <c r="K49" s="49">
        <f>AVERAGE('22.07 Bulenga-Busega'!K49,'23.07 Bulenga-Busega'!K49,'24.07 Bulenga-Busega'!K49,'25.07 Bulenga-Busega'!K49,'26.07 Bulenga-Busega-24h'!K49,'27.07 Bulenga-Busega-24h'!K49,'28.07 Bulenga-Busega'!K49)</f>
        <v>2.2857142857142856</v>
      </c>
      <c r="L49" s="49">
        <f>AVERAGE('22.07 Bulenga-Busega'!L49,'23.07 Bulenga-Busega'!L49,'24.07 Bulenga-Busega'!L49,'25.07 Bulenga-Busega'!L49,'26.07 Bulenga-Busega-24h'!L49,'27.07 Bulenga-Busega-24h'!L49,'28.07 Bulenga-Busega'!L49)</f>
        <v>2.2857142857142856</v>
      </c>
      <c r="M49" s="49">
        <f>AVERAGE('22.07 Bulenga-Busega'!M49,'23.07 Bulenga-Busega'!M49,'24.07 Bulenga-Busega'!M49,'25.07 Bulenga-Busega'!M49,'26.07 Bulenga-Busega-24h'!M49,'27.07 Bulenga-Busega-24h'!M49,'28.07 Bulenga-Busega'!M49)</f>
        <v>173.42857142857142</v>
      </c>
      <c r="N49" s="49">
        <f>AVERAGE('22.07 Bulenga-Busega'!N49,'23.07 Bulenga-Busega'!N49,'24.07 Bulenga-Busega'!N49,'25.07 Bulenga-Busega'!N49,'26.07 Bulenga-Busega-24h'!N49,'27.07 Bulenga-Busega-24h'!N49,'28.07 Bulenga-Busega'!N49)</f>
        <v>0</v>
      </c>
      <c r="O49" s="15">
        <f t="shared" si="0"/>
        <v>144.42857142857142</v>
      </c>
      <c r="P49" s="15">
        <f t="shared" si="1"/>
        <v>317.85714285714283</v>
      </c>
      <c r="R49" s="8"/>
      <c r="T49"/>
    </row>
    <row r="50" spans="2:20" ht="23.1" customHeight="1" x14ac:dyDescent="0.25">
      <c r="B50" s="24" t="s">
        <v>77</v>
      </c>
      <c r="C50" s="49">
        <f>AVERAGE('22.07 Bulenga-Busega'!C50,'23.07 Bulenga-Busega'!C50,'24.07 Bulenga-Busega'!C50,'25.07 Bulenga-Busega'!C50,'26.07 Bulenga-Busega-24h'!C50,'27.07 Bulenga-Busega-24h'!C50,'28.07 Bulenga-Busega'!C50)</f>
        <v>69.142857142857139</v>
      </c>
      <c r="D50" s="49">
        <f>AVERAGE('22.07 Bulenga-Busega'!D50,'23.07 Bulenga-Busega'!D50,'24.07 Bulenga-Busega'!D50,'25.07 Bulenga-Busega'!D50,'26.07 Bulenga-Busega-24h'!D50,'27.07 Bulenga-Busega-24h'!D50,'28.07 Bulenga-Busega'!D50)</f>
        <v>8.1428571428571423</v>
      </c>
      <c r="E50" s="49">
        <f>AVERAGE('22.07 Bulenga-Busega'!E50,'23.07 Bulenga-Busega'!E50,'24.07 Bulenga-Busega'!E50,'25.07 Bulenga-Busega'!E50,'26.07 Bulenga-Busega-24h'!E50,'27.07 Bulenga-Busega-24h'!E50,'28.07 Bulenga-Busega'!E50)</f>
        <v>11.142857142857142</v>
      </c>
      <c r="F50" s="49">
        <f>AVERAGE('22.07 Bulenga-Busega'!F50,'23.07 Bulenga-Busega'!F50,'24.07 Bulenga-Busega'!F50,'25.07 Bulenga-Busega'!F50,'26.07 Bulenga-Busega-24h'!F50,'27.07 Bulenga-Busega-24h'!F50,'28.07 Bulenga-Busega'!F50)</f>
        <v>56.142857142857146</v>
      </c>
      <c r="G50" s="49">
        <f>AVERAGE('22.07 Bulenga-Busega'!G50,'23.07 Bulenga-Busega'!G50,'24.07 Bulenga-Busega'!G50,'25.07 Bulenga-Busega'!G50,'26.07 Bulenga-Busega-24h'!G50,'27.07 Bulenga-Busega-24h'!G50,'28.07 Bulenga-Busega'!G50)</f>
        <v>2.8571428571428572</v>
      </c>
      <c r="H50" s="49">
        <f>AVERAGE('22.07 Bulenga-Busega'!H50,'23.07 Bulenga-Busega'!H50,'24.07 Bulenga-Busega'!H50,'25.07 Bulenga-Busega'!H50,'26.07 Bulenga-Busega-24h'!H50,'27.07 Bulenga-Busega-24h'!H50,'28.07 Bulenga-Busega'!H50)</f>
        <v>2.8571428571428572</v>
      </c>
      <c r="I50" s="49">
        <f>AVERAGE('22.07 Bulenga-Busega'!I50,'23.07 Bulenga-Busega'!I50,'24.07 Bulenga-Busega'!I50,'25.07 Bulenga-Busega'!I50,'26.07 Bulenga-Busega-24h'!I50,'27.07 Bulenga-Busega-24h'!I50,'28.07 Bulenga-Busega'!I50)</f>
        <v>12.142857142857142</v>
      </c>
      <c r="J50" s="49">
        <f>AVERAGE('22.07 Bulenga-Busega'!J50,'23.07 Bulenga-Busega'!J50,'24.07 Bulenga-Busega'!J50,'25.07 Bulenga-Busega'!J50,'26.07 Bulenga-Busega-24h'!J50,'27.07 Bulenga-Busega-24h'!J50,'28.07 Bulenga-Busega'!J50)</f>
        <v>10.857142857142858</v>
      </c>
      <c r="K50" s="49">
        <f>AVERAGE('22.07 Bulenga-Busega'!K50,'23.07 Bulenga-Busega'!K50,'24.07 Bulenga-Busega'!K50,'25.07 Bulenga-Busega'!K50,'26.07 Bulenga-Busega-24h'!K50,'27.07 Bulenga-Busega-24h'!K50,'28.07 Bulenga-Busega'!K50)</f>
        <v>2.5714285714285716</v>
      </c>
      <c r="L50" s="49">
        <f>AVERAGE('22.07 Bulenga-Busega'!L50,'23.07 Bulenga-Busega'!L50,'24.07 Bulenga-Busega'!L50,'25.07 Bulenga-Busega'!L50,'26.07 Bulenga-Busega-24h'!L50,'27.07 Bulenga-Busega-24h'!L50,'28.07 Bulenga-Busega'!L50)</f>
        <v>4.1428571428571432</v>
      </c>
      <c r="M50" s="49">
        <f>AVERAGE('22.07 Bulenga-Busega'!M50,'23.07 Bulenga-Busega'!M50,'24.07 Bulenga-Busega'!M50,'25.07 Bulenga-Busega'!M50,'26.07 Bulenga-Busega-24h'!M50,'27.07 Bulenga-Busega-24h'!M50,'28.07 Bulenga-Busega'!M50)</f>
        <v>195</v>
      </c>
      <c r="N50" s="49">
        <f>AVERAGE('22.07 Bulenga-Busega'!N50,'23.07 Bulenga-Busega'!N50,'24.07 Bulenga-Busega'!N50,'25.07 Bulenga-Busega'!N50,'26.07 Bulenga-Busega-24h'!N50,'27.07 Bulenga-Busega-24h'!N50,'28.07 Bulenga-Busega'!N50)</f>
        <v>0</v>
      </c>
      <c r="O50" s="15">
        <f t="shared" si="0"/>
        <v>180</v>
      </c>
      <c r="P50" s="15">
        <f t="shared" si="1"/>
        <v>375</v>
      </c>
      <c r="R50" s="8"/>
      <c r="T50"/>
    </row>
    <row r="51" spans="2:20" ht="23.1" customHeight="1" x14ac:dyDescent="0.25">
      <c r="B51" s="24" t="s">
        <v>78</v>
      </c>
      <c r="C51" s="49">
        <f>AVERAGE('22.07 Bulenga-Busega'!C51,'23.07 Bulenga-Busega'!C51,'24.07 Bulenga-Busega'!C51,'25.07 Bulenga-Busega'!C51,'26.07 Bulenga-Busega-24h'!C51,'27.07 Bulenga-Busega-24h'!C51,'28.07 Bulenga-Busega'!C51)</f>
        <v>171.57142857142858</v>
      </c>
      <c r="D51" s="49">
        <f>AVERAGE('22.07 Bulenga-Busega'!D51,'23.07 Bulenga-Busega'!D51,'24.07 Bulenga-Busega'!D51,'25.07 Bulenga-Busega'!D51,'26.07 Bulenga-Busega-24h'!D51,'27.07 Bulenga-Busega-24h'!D51,'28.07 Bulenga-Busega'!D51)</f>
        <v>6.8571428571428568</v>
      </c>
      <c r="E51" s="49">
        <f>AVERAGE('22.07 Bulenga-Busega'!E51,'23.07 Bulenga-Busega'!E51,'24.07 Bulenga-Busega'!E51,'25.07 Bulenga-Busega'!E51,'26.07 Bulenga-Busega-24h'!E51,'27.07 Bulenga-Busega-24h'!E51,'28.07 Bulenga-Busega'!E51)</f>
        <v>11.142857142857142</v>
      </c>
      <c r="F51" s="49">
        <f>AVERAGE('22.07 Bulenga-Busega'!F51,'23.07 Bulenga-Busega'!F51,'24.07 Bulenga-Busega'!F51,'25.07 Bulenga-Busega'!F51,'26.07 Bulenga-Busega-24h'!F51,'27.07 Bulenga-Busega-24h'!F51,'28.07 Bulenga-Busega'!F51)</f>
        <v>52.428571428571431</v>
      </c>
      <c r="G51" s="49">
        <f>AVERAGE('22.07 Bulenga-Busega'!G51,'23.07 Bulenga-Busega'!G51,'24.07 Bulenga-Busega'!G51,'25.07 Bulenga-Busega'!G51,'26.07 Bulenga-Busega-24h'!G51,'27.07 Bulenga-Busega-24h'!G51,'28.07 Bulenga-Busega'!G51)</f>
        <v>1.7142857142857142</v>
      </c>
      <c r="H51" s="49">
        <f>AVERAGE('22.07 Bulenga-Busega'!H51,'23.07 Bulenga-Busega'!H51,'24.07 Bulenga-Busega'!H51,'25.07 Bulenga-Busega'!H51,'26.07 Bulenga-Busega-24h'!H51,'27.07 Bulenga-Busega-24h'!H51,'28.07 Bulenga-Busega'!H51)</f>
        <v>1.5714285714285714</v>
      </c>
      <c r="I51" s="49">
        <f>AVERAGE('22.07 Bulenga-Busega'!I51,'23.07 Bulenga-Busega'!I51,'24.07 Bulenga-Busega'!I51,'25.07 Bulenga-Busega'!I51,'26.07 Bulenga-Busega-24h'!I51,'27.07 Bulenga-Busega-24h'!I51,'28.07 Bulenga-Busega'!I51)</f>
        <v>10.428571428571429</v>
      </c>
      <c r="J51" s="49">
        <f>AVERAGE('22.07 Bulenga-Busega'!J51,'23.07 Bulenga-Busega'!J51,'24.07 Bulenga-Busega'!J51,'25.07 Bulenga-Busega'!J51,'26.07 Bulenga-Busega-24h'!J51,'27.07 Bulenga-Busega-24h'!J51,'28.07 Bulenga-Busega'!J51)</f>
        <v>8.1428571428571423</v>
      </c>
      <c r="K51" s="49">
        <f>AVERAGE('22.07 Bulenga-Busega'!K51,'23.07 Bulenga-Busega'!K51,'24.07 Bulenga-Busega'!K51,'25.07 Bulenga-Busega'!K51,'26.07 Bulenga-Busega-24h'!K51,'27.07 Bulenga-Busega-24h'!K51,'28.07 Bulenga-Busega'!K51)</f>
        <v>1.1428571428571428</v>
      </c>
      <c r="L51" s="49">
        <f>AVERAGE('22.07 Bulenga-Busega'!L51,'23.07 Bulenga-Busega'!L51,'24.07 Bulenga-Busega'!L51,'25.07 Bulenga-Busega'!L51,'26.07 Bulenga-Busega-24h'!L51,'27.07 Bulenga-Busega-24h'!L51,'28.07 Bulenga-Busega'!L51)</f>
        <v>2.8571428571428572</v>
      </c>
      <c r="M51" s="49">
        <f>AVERAGE('22.07 Bulenga-Busega'!M51,'23.07 Bulenga-Busega'!M51,'24.07 Bulenga-Busega'!M51,'25.07 Bulenga-Busega'!M51,'26.07 Bulenga-Busega-24h'!M51,'27.07 Bulenga-Busega-24h'!M51,'28.07 Bulenga-Busega'!M51)</f>
        <v>168.57142857142858</v>
      </c>
      <c r="N51" s="49">
        <f>AVERAGE('22.07 Bulenga-Busega'!N51,'23.07 Bulenga-Busega'!N51,'24.07 Bulenga-Busega'!N51,'25.07 Bulenga-Busega'!N51,'26.07 Bulenga-Busega-24h'!N51,'27.07 Bulenga-Busega-24h'!N51,'28.07 Bulenga-Busega'!N51)</f>
        <v>0.14285714285714285</v>
      </c>
      <c r="O51" s="15">
        <f t="shared" si="0"/>
        <v>268.00000000000006</v>
      </c>
      <c r="P51" s="15">
        <f t="shared" si="1"/>
        <v>436.57142857142861</v>
      </c>
      <c r="R51" s="8"/>
      <c r="T51"/>
    </row>
    <row r="52" spans="2:20" ht="23.1" customHeight="1" x14ac:dyDescent="0.25">
      <c r="B52" s="24" t="s">
        <v>79</v>
      </c>
      <c r="C52" s="49">
        <f>AVERAGE('22.07 Bulenga-Busega'!C52,'23.07 Bulenga-Busega'!C52,'24.07 Bulenga-Busega'!C52,'25.07 Bulenga-Busega'!C52,'26.07 Bulenga-Busega-24h'!C52,'27.07 Bulenga-Busega-24h'!C52,'28.07 Bulenga-Busega'!C52)</f>
        <v>67.857142857142861</v>
      </c>
      <c r="D52" s="49">
        <f>AVERAGE('22.07 Bulenga-Busega'!D52,'23.07 Bulenga-Busega'!D52,'24.07 Bulenga-Busega'!D52,'25.07 Bulenga-Busega'!D52,'26.07 Bulenga-Busega-24h'!D52,'27.07 Bulenga-Busega-24h'!D52,'28.07 Bulenga-Busega'!D52)</f>
        <v>9.7142857142857135</v>
      </c>
      <c r="E52" s="49">
        <f>AVERAGE('22.07 Bulenga-Busega'!E52,'23.07 Bulenga-Busega'!E52,'24.07 Bulenga-Busega'!E52,'25.07 Bulenga-Busega'!E52,'26.07 Bulenga-Busega-24h'!E52,'27.07 Bulenga-Busega-24h'!E52,'28.07 Bulenga-Busega'!E52)</f>
        <v>12.857142857142858</v>
      </c>
      <c r="F52" s="49">
        <f>AVERAGE('22.07 Bulenga-Busega'!F52,'23.07 Bulenga-Busega'!F52,'24.07 Bulenga-Busega'!F52,'25.07 Bulenga-Busega'!F52,'26.07 Bulenga-Busega-24h'!F52,'27.07 Bulenga-Busega-24h'!F52,'28.07 Bulenga-Busega'!F52)</f>
        <v>58.285714285714285</v>
      </c>
      <c r="G52" s="49">
        <f>AVERAGE('22.07 Bulenga-Busega'!G52,'23.07 Bulenga-Busega'!G52,'24.07 Bulenga-Busega'!G52,'25.07 Bulenga-Busega'!G52,'26.07 Bulenga-Busega-24h'!G52,'27.07 Bulenga-Busega-24h'!G52,'28.07 Bulenga-Busega'!G52)</f>
        <v>6.1428571428571432</v>
      </c>
      <c r="H52" s="49">
        <f>AVERAGE('22.07 Bulenga-Busega'!H52,'23.07 Bulenga-Busega'!H52,'24.07 Bulenga-Busega'!H52,'25.07 Bulenga-Busega'!H52,'26.07 Bulenga-Busega-24h'!H52,'27.07 Bulenga-Busega-24h'!H52,'28.07 Bulenga-Busega'!H52)</f>
        <v>4.7142857142857144</v>
      </c>
      <c r="I52" s="49">
        <f>AVERAGE('22.07 Bulenga-Busega'!I52,'23.07 Bulenga-Busega'!I52,'24.07 Bulenga-Busega'!I52,'25.07 Bulenga-Busega'!I52,'26.07 Bulenga-Busega-24h'!I52,'27.07 Bulenga-Busega-24h'!I52,'28.07 Bulenga-Busega'!I52)</f>
        <v>8.7142857142857135</v>
      </c>
      <c r="J52" s="49">
        <f>AVERAGE('22.07 Bulenga-Busega'!J52,'23.07 Bulenga-Busega'!J52,'24.07 Bulenga-Busega'!J52,'25.07 Bulenga-Busega'!J52,'26.07 Bulenga-Busega-24h'!J52,'27.07 Bulenga-Busega-24h'!J52,'28.07 Bulenga-Busega'!J52)</f>
        <v>9</v>
      </c>
      <c r="K52" s="49">
        <f>AVERAGE('22.07 Bulenga-Busega'!K52,'23.07 Bulenga-Busega'!K52,'24.07 Bulenga-Busega'!K52,'25.07 Bulenga-Busega'!K52,'26.07 Bulenga-Busega-24h'!K52,'27.07 Bulenga-Busega-24h'!K52,'28.07 Bulenga-Busega'!K52)</f>
        <v>4</v>
      </c>
      <c r="L52" s="49">
        <f>AVERAGE('22.07 Bulenga-Busega'!L52,'23.07 Bulenga-Busega'!L52,'24.07 Bulenga-Busega'!L52,'25.07 Bulenga-Busega'!L52,'26.07 Bulenga-Busega-24h'!L52,'27.07 Bulenga-Busega-24h'!L52,'28.07 Bulenga-Busega'!L52)</f>
        <v>1.5714285714285714</v>
      </c>
      <c r="M52" s="49">
        <f>AVERAGE('22.07 Bulenga-Busega'!M52,'23.07 Bulenga-Busega'!M52,'24.07 Bulenga-Busega'!M52,'25.07 Bulenga-Busega'!M52,'26.07 Bulenga-Busega-24h'!M52,'27.07 Bulenga-Busega-24h'!M52,'28.07 Bulenga-Busega'!M52)</f>
        <v>162.28571428571428</v>
      </c>
      <c r="N52" s="49">
        <f>AVERAGE('22.07 Bulenga-Busega'!N52,'23.07 Bulenga-Busega'!N52,'24.07 Bulenga-Busega'!N52,'25.07 Bulenga-Busega'!N52,'26.07 Bulenga-Busega-24h'!N52,'27.07 Bulenga-Busega-24h'!N52,'28.07 Bulenga-Busega'!N52)</f>
        <v>0</v>
      </c>
      <c r="O52" s="15">
        <f t="shared" si="0"/>
        <v>182.85714285714289</v>
      </c>
      <c r="P52" s="15">
        <f t="shared" si="1"/>
        <v>345.14285714285717</v>
      </c>
      <c r="R52" s="8"/>
      <c r="T52"/>
    </row>
    <row r="53" spans="2:20" ht="23.1" customHeight="1" x14ac:dyDescent="0.25">
      <c r="B53" s="23" t="s">
        <v>80</v>
      </c>
      <c r="C53" s="49">
        <f>AVERAGE('22.07 Bulenga-Busega'!C53,'23.07 Bulenga-Busega'!C53,'24.07 Bulenga-Busega'!C53,'25.07 Bulenga-Busega'!C53,'26.07 Bulenga-Busega-24h'!C53,'27.07 Bulenga-Busega-24h'!C53,'28.07 Bulenga-Busega'!C53)</f>
        <v>75.571428571428569</v>
      </c>
      <c r="D53" s="49">
        <f>AVERAGE('22.07 Bulenga-Busega'!D53,'23.07 Bulenga-Busega'!D53,'24.07 Bulenga-Busega'!D53,'25.07 Bulenga-Busega'!D53,'26.07 Bulenga-Busega-24h'!D53,'27.07 Bulenga-Busega-24h'!D53,'28.07 Bulenga-Busega'!D53)</f>
        <v>7.8571428571428568</v>
      </c>
      <c r="E53" s="49">
        <f>AVERAGE('22.07 Bulenga-Busega'!E53,'23.07 Bulenga-Busega'!E53,'24.07 Bulenga-Busega'!E53,'25.07 Bulenga-Busega'!E53,'26.07 Bulenga-Busega-24h'!E53,'27.07 Bulenga-Busega-24h'!E53,'28.07 Bulenga-Busega'!E53)</f>
        <v>23.714285714285715</v>
      </c>
      <c r="F53" s="49">
        <f>AVERAGE('22.07 Bulenga-Busega'!F53,'23.07 Bulenga-Busega'!F53,'24.07 Bulenga-Busega'!F53,'25.07 Bulenga-Busega'!F53,'26.07 Bulenga-Busega-24h'!F53,'27.07 Bulenga-Busega-24h'!F53,'28.07 Bulenga-Busega'!F53)</f>
        <v>60.571428571428569</v>
      </c>
      <c r="G53" s="49">
        <f>AVERAGE('22.07 Bulenga-Busega'!G53,'23.07 Bulenga-Busega'!G53,'24.07 Bulenga-Busega'!G53,'25.07 Bulenga-Busega'!G53,'26.07 Bulenga-Busega-24h'!G53,'27.07 Bulenga-Busega-24h'!G53,'28.07 Bulenga-Busega'!G53)</f>
        <v>1.4285714285714286</v>
      </c>
      <c r="H53" s="49">
        <f>AVERAGE('22.07 Bulenga-Busega'!H53,'23.07 Bulenga-Busega'!H53,'24.07 Bulenga-Busega'!H53,'25.07 Bulenga-Busega'!H53,'26.07 Bulenga-Busega-24h'!H53,'27.07 Bulenga-Busega-24h'!H53,'28.07 Bulenga-Busega'!H53)</f>
        <v>1.1428571428571428</v>
      </c>
      <c r="I53" s="49">
        <f>AVERAGE('22.07 Bulenga-Busega'!I53,'23.07 Bulenga-Busega'!I53,'24.07 Bulenga-Busega'!I53,'25.07 Bulenga-Busega'!I53,'26.07 Bulenga-Busega-24h'!I53,'27.07 Bulenga-Busega-24h'!I53,'28.07 Bulenga-Busega'!I53)</f>
        <v>10.285714285714286</v>
      </c>
      <c r="J53" s="49">
        <f>AVERAGE('22.07 Bulenga-Busega'!J53,'23.07 Bulenga-Busega'!J53,'24.07 Bulenga-Busega'!J53,'25.07 Bulenga-Busega'!J53,'26.07 Bulenga-Busega-24h'!J53,'27.07 Bulenga-Busega-24h'!J53,'28.07 Bulenga-Busega'!J53)</f>
        <v>7</v>
      </c>
      <c r="K53" s="49">
        <f>AVERAGE('22.07 Bulenga-Busega'!K53,'23.07 Bulenga-Busega'!K53,'24.07 Bulenga-Busega'!K53,'25.07 Bulenga-Busega'!K53,'26.07 Bulenga-Busega-24h'!K53,'27.07 Bulenga-Busega-24h'!K53,'28.07 Bulenga-Busega'!K53)</f>
        <v>2.2857142857142856</v>
      </c>
      <c r="L53" s="49">
        <f>AVERAGE('22.07 Bulenga-Busega'!L53,'23.07 Bulenga-Busega'!L53,'24.07 Bulenga-Busega'!L53,'25.07 Bulenga-Busega'!L53,'26.07 Bulenga-Busega-24h'!L53,'27.07 Bulenga-Busega-24h'!L53,'28.07 Bulenga-Busega'!L53)</f>
        <v>1.4285714285714286</v>
      </c>
      <c r="M53" s="49">
        <f>AVERAGE('22.07 Bulenga-Busega'!M53,'23.07 Bulenga-Busega'!M53,'24.07 Bulenga-Busega'!M53,'25.07 Bulenga-Busega'!M53,'26.07 Bulenga-Busega-24h'!M53,'27.07 Bulenga-Busega-24h'!M53,'28.07 Bulenga-Busega'!M53)</f>
        <v>177.42857142857142</v>
      </c>
      <c r="N53" s="49">
        <f>AVERAGE('22.07 Bulenga-Busega'!N53,'23.07 Bulenga-Busega'!N53,'24.07 Bulenga-Busega'!N53,'25.07 Bulenga-Busega'!N53,'26.07 Bulenga-Busega-24h'!N53,'27.07 Bulenga-Busega-24h'!N53,'28.07 Bulenga-Busega'!N53)</f>
        <v>0</v>
      </c>
      <c r="O53" s="15">
        <f t="shared" si="0"/>
        <v>191.28571428571425</v>
      </c>
      <c r="P53" s="15">
        <f t="shared" si="1"/>
        <v>368.71428571428567</v>
      </c>
      <c r="R53" s="8"/>
      <c r="T53"/>
    </row>
    <row r="54" spans="2:20" ht="23.1" customHeight="1" x14ac:dyDescent="0.25">
      <c r="B54" s="23" t="s">
        <v>81</v>
      </c>
      <c r="C54" s="49">
        <f>AVERAGE('22.07 Bulenga-Busega'!C54,'23.07 Bulenga-Busega'!C54,'24.07 Bulenga-Busega'!C54,'25.07 Bulenga-Busega'!C54,'26.07 Bulenga-Busega-24h'!C54,'27.07 Bulenga-Busega-24h'!C54,'28.07 Bulenga-Busega'!C54)</f>
        <v>67.428571428571431</v>
      </c>
      <c r="D54" s="49">
        <f>AVERAGE('22.07 Bulenga-Busega'!D54,'23.07 Bulenga-Busega'!D54,'24.07 Bulenga-Busega'!D54,'25.07 Bulenga-Busega'!D54,'26.07 Bulenga-Busega-24h'!D54,'27.07 Bulenga-Busega-24h'!D54,'28.07 Bulenga-Busega'!D54)</f>
        <v>7.2857142857142856</v>
      </c>
      <c r="E54" s="49">
        <f>AVERAGE('22.07 Bulenga-Busega'!E54,'23.07 Bulenga-Busega'!E54,'24.07 Bulenga-Busega'!E54,'25.07 Bulenga-Busega'!E54,'26.07 Bulenga-Busega-24h'!E54,'27.07 Bulenga-Busega-24h'!E54,'28.07 Bulenga-Busega'!E54)</f>
        <v>11.857142857142858</v>
      </c>
      <c r="F54" s="49">
        <f>AVERAGE('22.07 Bulenga-Busega'!F54,'23.07 Bulenga-Busega'!F54,'24.07 Bulenga-Busega'!F54,'25.07 Bulenga-Busega'!F54,'26.07 Bulenga-Busega-24h'!F54,'27.07 Bulenga-Busega-24h'!F54,'28.07 Bulenga-Busega'!F54)</f>
        <v>55.285714285714285</v>
      </c>
      <c r="G54" s="49">
        <f>AVERAGE('22.07 Bulenga-Busega'!G54,'23.07 Bulenga-Busega'!G54,'24.07 Bulenga-Busega'!G54,'25.07 Bulenga-Busega'!G54,'26.07 Bulenga-Busega-24h'!G54,'27.07 Bulenga-Busega-24h'!G54,'28.07 Bulenga-Busega'!G54)</f>
        <v>4</v>
      </c>
      <c r="H54" s="49">
        <f>AVERAGE('22.07 Bulenga-Busega'!H54,'23.07 Bulenga-Busega'!H54,'24.07 Bulenga-Busega'!H54,'25.07 Bulenga-Busega'!H54,'26.07 Bulenga-Busega-24h'!H54,'27.07 Bulenga-Busega-24h'!H54,'28.07 Bulenga-Busega'!H54)</f>
        <v>3.4285714285714284</v>
      </c>
      <c r="I54" s="49">
        <f>AVERAGE('22.07 Bulenga-Busega'!I54,'23.07 Bulenga-Busega'!I54,'24.07 Bulenga-Busega'!I54,'25.07 Bulenga-Busega'!I54,'26.07 Bulenga-Busega-24h'!I54,'27.07 Bulenga-Busega-24h'!I54,'28.07 Bulenga-Busega'!I54)</f>
        <v>15.571428571428571</v>
      </c>
      <c r="J54" s="49">
        <f>AVERAGE('22.07 Bulenga-Busega'!J54,'23.07 Bulenga-Busega'!J54,'24.07 Bulenga-Busega'!J54,'25.07 Bulenga-Busega'!J54,'26.07 Bulenga-Busega-24h'!J54,'27.07 Bulenga-Busega-24h'!J54,'28.07 Bulenga-Busega'!J54)</f>
        <v>5.1428571428571432</v>
      </c>
      <c r="K54" s="49">
        <f>AVERAGE('22.07 Bulenga-Busega'!K54,'23.07 Bulenga-Busega'!K54,'24.07 Bulenga-Busega'!K54,'25.07 Bulenga-Busega'!K54,'26.07 Bulenga-Busega-24h'!K54,'27.07 Bulenga-Busega-24h'!K54,'28.07 Bulenga-Busega'!K54)</f>
        <v>1.5714285714285714</v>
      </c>
      <c r="L54" s="49">
        <f>AVERAGE('22.07 Bulenga-Busega'!L54,'23.07 Bulenga-Busega'!L54,'24.07 Bulenga-Busega'!L54,'25.07 Bulenga-Busega'!L54,'26.07 Bulenga-Busega-24h'!L54,'27.07 Bulenga-Busega-24h'!L54,'28.07 Bulenga-Busega'!L54)</f>
        <v>1.8571428571428572</v>
      </c>
      <c r="M54" s="49">
        <f>AVERAGE('22.07 Bulenga-Busega'!M54,'23.07 Bulenga-Busega'!M54,'24.07 Bulenga-Busega'!M54,'25.07 Bulenga-Busega'!M54,'26.07 Bulenga-Busega-24h'!M54,'27.07 Bulenga-Busega-24h'!M54,'28.07 Bulenga-Busega'!M54)</f>
        <v>165.28571428571428</v>
      </c>
      <c r="N54" s="49">
        <f>AVERAGE('22.07 Bulenga-Busega'!N54,'23.07 Bulenga-Busega'!N54,'24.07 Bulenga-Busega'!N54,'25.07 Bulenga-Busega'!N54,'26.07 Bulenga-Busega-24h'!N54,'27.07 Bulenga-Busega-24h'!N54,'28.07 Bulenga-Busega'!N54)</f>
        <v>0</v>
      </c>
      <c r="O54" s="15">
        <f t="shared" si="0"/>
        <v>173.42857142857144</v>
      </c>
      <c r="P54" s="15">
        <f t="shared" si="1"/>
        <v>338.71428571428572</v>
      </c>
      <c r="R54" s="8"/>
      <c r="T54"/>
    </row>
    <row r="55" spans="2:20" ht="23.1" customHeight="1" x14ac:dyDescent="0.25">
      <c r="B55" s="23" t="s">
        <v>82</v>
      </c>
      <c r="C55" s="49">
        <f>AVERAGE('22.07 Bulenga-Busega'!C55,'23.07 Bulenga-Busega'!C55,'24.07 Bulenga-Busega'!C55,'25.07 Bulenga-Busega'!C55,'26.07 Bulenga-Busega-24h'!C55,'27.07 Bulenga-Busega-24h'!C55,'28.07 Bulenga-Busega'!C55)</f>
        <v>66</v>
      </c>
      <c r="D55" s="49">
        <f>AVERAGE('22.07 Bulenga-Busega'!D55,'23.07 Bulenga-Busega'!D55,'24.07 Bulenga-Busega'!D55,'25.07 Bulenga-Busega'!D55,'26.07 Bulenga-Busega-24h'!D55,'27.07 Bulenga-Busega-24h'!D55,'28.07 Bulenga-Busega'!D55)</f>
        <v>12.428571428571429</v>
      </c>
      <c r="E55" s="49">
        <f>AVERAGE('22.07 Bulenga-Busega'!E55,'23.07 Bulenga-Busega'!E55,'24.07 Bulenga-Busega'!E55,'25.07 Bulenga-Busega'!E55,'26.07 Bulenga-Busega-24h'!E55,'27.07 Bulenga-Busega-24h'!E55,'28.07 Bulenga-Busega'!E55)</f>
        <v>5</v>
      </c>
      <c r="F55" s="49">
        <f>AVERAGE('22.07 Bulenga-Busega'!F55,'23.07 Bulenga-Busega'!F55,'24.07 Bulenga-Busega'!F55,'25.07 Bulenga-Busega'!F55,'26.07 Bulenga-Busega-24h'!F55,'27.07 Bulenga-Busega-24h'!F55,'28.07 Bulenga-Busega'!F55)</f>
        <v>47.571428571428569</v>
      </c>
      <c r="G55" s="49">
        <f>AVERAGE('22.07 Bulenga-Busega'!G55,'23.07 Bulenga-Busega'!G55,'24.07 Bulenga-Busega'!G55,'25.07 Bulenga-Busega'!G55,'26.07 Bulenga-Busega-24h'!G55,'27.07 Bulenga-Busega-24h'!G55,'28.07 Bulenga-Busega'!G55)</f>
        <v>0.7142857142857143</v>
      </c>
      <c r="H55" s="49">
        <f>AVERAGE('22.07 Bulenga-Busega'!H55,'23.07 Bulenga-Busega'!H55,'24.07 Bulenga-Busega'!H55,'25.07 Bulenga-Busega'!H55,'26.07 Bulenga-Busega-24h'!H55,'27.07 Bulenga-Busega-24h'!H55,'28.07 Bulenga-Busega'!H55)</f>
        <v>0.5714285714285714</v>
      </c>
      <c r="I55" s="49">
        <f>AVERAGE('22.07 Bulenga-Busega'!I55,'23.07 Bulenga-Busega'!I55,'24.07 Bulenga-Busega'!I55,'25.07 Bulenga-Busega'!I55,'26.07 Bulenga-Busega-24h'!I55,'27.07 Bulenga-Busega-24h'!I55,'28.07 Bulenga-Busega'!I55)</f>
        <v>6.7142857142857144</v>
      </c>
      <c r="J55" s="49">
        <f>AVERAGE('22.07 Bulenga-Busega'!J55,'23.07 Bulenga-Busega'!J55,'24.07 Bulenga-Busega'!J55,'25.07 Bulenga-Busega'!J55,'26.07 Bulenga-Busega-24h'!J55,'27.07 Bulenga-Busega-24h'!J55,'28.07 Bulenga-Busega'!J55)</f>
        <v>6.4285714285714288</v>
      </c>
      <c r="K55" s="49">
        <f>AVERAGE('22.07 Bulenga-Busega'!K55,'23.07 Bulenga-Busega'!K55,'24.07 Bulenga-Busega'!K55,'25.07 Bulenga-Busega'!K55,'26.07 Bulenga-Busega-24h'!K55,'27.07 Bulenga-Busega-24h'!K55,'28.07 Bulenga-Busega'!K55)</f>
        <v>1.4285714285714286</v>
      </c>
      <c r="L55" s="49">
        <f>AVERAGE('22.07 Bulenga-Busega'!L55,'23.07 Bulenga-Busega'!L55,'24.07 Bulenga-Busega'!L55,'25.07 Bulenga-Busega'!L55,'26.07 Bulenga-Busega-24h'!L55,'27.07 Bulenga-Busega-24h'!L55,'28.07 Bulenga-Busega'!L55)</f>
        <v>2.4285714285714284</v>
      </c>
      <c r="M55" s="49">
        <f>AVERAGE('22.07 Bulenga-Busega'!M55,'23.07 Bulenga-Busega'!M55,'24.07 Bulenga-Busega'!M55,'25.07 Bulenga-Busega'!M55,'26.07 Bulenga-Busega-24h'!M55,'27.07 Bulenga-Busega-24h'!M55,'28.07 Bulenga-Busega'!M55)</f>
        <v>157.71428571428572</v>
      </c>
      <c r="N55" s="49">
        <f>AVERAGE('22.07 Bulenga-Busega'!N55,'23.07 Bulenga-Busega'!N55,'24.07 Bulenga-Busega'!N55,'25.07 Bulenga-Busega'!N55,'26.07 Bulenga-Busega-24h'!N55,'27.07 Bulenga-Busega-24h'!N55,'28.07 Bulenga-Busega'!N55)</f>
        <v>0</v>
      </c>
      <c r="O55" s="15">
        <f t="shared" si="0"/>
        <v>149.28571428571428</v>
      </c>
      <c r="P55" s="15">
        <f t="shared" si="1"/>
        <v>307</v>
      </c>
      <c r="R55" s="8"/>
      <c r="T55"/>
    </row>
    <row r="56" spans="2:20" ht="23.1" customHeight="1" x14ac:dyDescent="0.25">
      <c r="B56" s="23" t="s">
        <v>83</v>
      </c>
      <c r="C56" s="49">
        <f>AVERAGE('22.07 Bulenga-Busega'!C56,'23.07 Bulenga-Busega'!C56,'24.07 Bulenga-Busega'!C56,'25.07 Bulenga-Busega'!C56,'26.07 Bulenga-Busega-24h'!C56,'27.07 Bulenga-Busega-24h'!C56,'28.07 Bulenga-Busega'!C56)</f>
        <v>72.428571428571431</v>
      </c>
      <c r="D56" s="49">
        <f>AVERAGE('22.07 Bulenga-Busega'!D56,'23.07 Bulenga-Busega'!D56,'24.07 Bulenga-Busega'!D56,'25.07 Bulenga-Busega'!D56,'26.07 Bulenga-Busega-24h'!D56,'27.07 Bulenga-Busega-24h'!D56,'28.07 Bulenga-Busega'!D56)</f>
        <v>11.714285714285714</v>
      </c>
      <c r="E56" s="49">
        <f>AVERAGE('22.07 Bulenga-Busega'!E56,'23.07 Bulenga-Busega'!E56,'24.07 Bulenga-Busega'!E56,'25.07 Bulenga-Busega'!E56,'26.07 Bulenga-Busega-24h'!E56,'27.07 Bulenga-Busega-24h'!E56,'28.07 Bulenga-Busega'!E56)</f>
        <v>7.1428571428571432</v>
      </c>
      <c r="F56" s="49">
        <f>AVERAGE('22.07 Bulenga-Busega'!F56,'23.07 Bulenga-Busega'!F56,'24.07 Bulenga-Busega'!F56,'25.07 Bulenga-Busega'!F56,'26.07 Bulenga-Busega-24h'!F56,'27.07 Bulenga-Busega-24h'!F56,'28.07 Bulenga-Busega'!F56)</f>
        <v>59.714285714285715</v>
      </c>
      <c r="G56" s="49">
        <f>AVERAGE('22.07 Bulenga-Busega'!G56,'23.07 Bulenga-Busega'!G56,'24.07 Bulenga-Busega'!G56,'25.07 Bulenga-Busega'!G56,'26.07 Bulenga-Busega-24h'!G56,'27.07 Bulenga-Busega-24h'!G56,'28.07 Bulenga-Busega'!G56)</f>
        <v>0.7142857142857143</v>
      </c>
      <c r="H56" s="49">
        <f>AVERAGE('22.07 Bulenga-Busega'!H56,'23.07 Bulenga-Busega'!H56,'24.07 Bulenga-Busega'!H56,'25.07 Bulenga-Busega'!H56,'26.07 Bulenga-Busega-24h'!H56,'27.07 Bulenga-Busega-24h'!H56,'28.07 Bulenga-Busega'!H56)</f>
        <v>2</v>
      </c>
      <c r="I56" s="49">
        <f>AVERAGE('22.07 Bulenga-Busega'!I56,'23.07 Bulenga-Busega'!I56,'24.07 Bulenga-Busega'!I56,'25.07 Bulenga-Busega'!I56,'26.07 Bulenga-Busega-24h'!I56,'27.07 Bulenga-Busega-24h'!I56,'28.07 Bulenga-Busega'!I56)</f>
        <v>10</v>
      </c>
      <c r="J56" s="49">
        <f>AVERAGE('22.07 Bulenga-Busega'!J56,'23.07 Bulenga-Busega'!J56,'24.07 Bulenga-Busega'!J56,'25.07 Bulenga-Busega'!J56,'26.07 Bulenga-Busega-24h'!J56,'27.07 Bulenga-Busega-24h'!J56,'28.07 Bulenga-Busega'!J56)</f>
        <v>6.1428571428571432</v>
      </c>
      <c r="K56" s="49">
        <f>AVERAGE('22.07 Bulenga-Busega'!K56,'23.07 Bulenga-Busega'!K56,'24.07 Bulenga-Busega'!K56,'25.07 Bulenga-Busega'!K56,'26.07 Bulenga-Busega-24h'!K56,'27.07 Bulenga-Busega-24h'!K56,'28.07 Bulenga-Busega'!K56)</f>
        <v>0</v>
      </c>
      <c r="L56" s="49">
        <f>AVERAGE('22.07 Bulenga-Busega'!L56,'23.07 Bulenga-Busega'!L56,'24.07 Bulenga-Busega'!L56,'25.07 Bulenga-Busega'!L56,'26.07 Bulenga-Busega-24h'!L56,'27.07 Bulenga-Busega-24h'!L56,'28.07 Bulenga-Busega'!L56)</f>
        <v>1.8571428571428572</v>
      </c>
      <c r="M56" s="49">
        <f>AVERAGE('22.07 Bulenga-Busega'!M56,'23.07 Bulenga-Busega'!M56,'24.07 Bulenga-Busega'!M56,'25.07 Bulenga-Busega'!M56,'26.07 Bulenga-Busega-24h'!M56,'27.07 Bulenga-Busega-24h'!M56,'28.07 Bulenga-Busega'!M56)</f>
        <v>167.57142857142858</v>
      </c>
      <c r="N56" s="49">
        <f>AVERAGE('22.07 Bulenga-Busega'!N56,'23.07 Bulenga-Busega'!N56,'24.07 Bulenga-Busega'!N56,'25.07 Bulenga-Busega'!N56,'26.07 Bulenga-Busega-24h'!N56,'27.07 Bulenga-Busega-24h'!N56,'28.07 Bulenga-Busega'!N56)</f>
        <v>0</v>
      </c>
      <c r="O56" s="15">
        <f t="shared" si="0"/>
        <v>171.71428571428572</v>
      </c>
      <c r="P56" s="15">
        <f t="shared" si="1"/>
        <v>339.28571428571433</v>
      </c>
      <c r="R56" s="8"/>
      <c r="T56"/>
    </row>
    <row r="57" spans="2:20" ht="23.1" customHeight="1" x14ac:dyDescent="0.25">
      <c r="B57" s="23" t="s">
        <v>84</v>
      </c>
      <c r="C57" s="49">
        <f>AVERAGE('22.07 Bulenga-Busega'!C57,'23.07 Bulenga-Busega'!C57,'24.07 Bulenga-Busega'!C57,'25.07 Bulenga-Busega'!C57,'26.07 Bulenga-Busega-24h'!C57,'27.07 Bulenga-Busega-24h'!C57,'28.07 Bulenga-Busega'!C57)</f>
        <v>67.571428571428569</v>
      </c>
      <c r="D57" s="49">
        <f>AVERAGE('22.07 Bulenga-Busega'!D57,'23.07 Bulenga-Busega'!D57,'24.07 Bulenga-Busega'!D57,'25.07 Bulenga-Busega'!D57,'26.07 Bulenga-Busega-24h'!D57,'27.07 Bulenga-Busega-24h'!D57,'28.07 Bulenga-Busega'!D57)</f>
        <v>7.8571428571428568</v>
      </c>
      <c r="E57" s="49">
        <f>AVERAGE('22.07 Bulenga-Busega'!E57,'23.07 Bulenga-Busega'!E57,'24.07 Bulenga-Busega'!E57,'25.07 Bulenga-Busega'!E57,'26.07 Bulenga-Busega-24h'!E57,'27.07 Bulenga-Busega-24h'!E57,'28.07 Bulenga-Busega'!E57)</f>
        <v>8.1428571428571423</v>
      </c>
      <c r="F57" s="49">
        <f>AVERAGE('22.07 Bulenga-Busega'!F57,'23.07 Bulenga-Busega'!F57,'24.07 Bulenga-Busega'!F57,'25.07 Bulenga-Busega'!F57,'26.07 Bulenga-Busega-24h'!F57,'27.07 Bulenga-Busega-24h'!F57,'28.07 Bulenga-Busega'!F57)</f>
        <v>55.428571428571431</v>
      </c>
      <c r="G57" s="49">
        <f>AVERAGE('22.07 Bulenga-Busega'!G57,'23.07 Bulenga-Busega'!G57,'24.07 Bulenga-Busega'!G57,'25.07 Bulenga-Busega'!G57,'26.07 Bulenga-Busega-24h'!G57,'27.07 Bulenga-Busega-24h'!G57,'28.07 Bulenga-Busega'!G57)</f>
        <v>4</v>
      </c>
      <c r="H57" s="49">
        <f>AVERAGE('22.07 Bulenga-Busega'!H57,'23.07 Bulenga-Busega'!H57,'24.07 Bulenga-Busega'!H57,'25.07 Bulenga-Busega'!H57,'26.07 Bulenga-Busega-24h'!H57,'27.07 Bulenga-Busega-24h'!H57,'28.07 Bulenga-Busega'!H57)</f>
        <v>3.1428571428571428</v>
      </c>
      <c r="I57" s="49">
        <f>AVERAGE('22.07 Bulenga-Busega'!I57,'23.07 Bulenga-Busega'!I57,'24.07 Bulenga-Busega'!I57,'25.07 Bulenga-Busega'!I57,'26.07 Bulenga-Busega-24h'!I57,'27.07 Bulenga-Busega-24h'!I57,'28.07 Bulenga-Busega'!I57)</f>
        <v>12.714285714285714</v>
      </c>
      <c r="J57" s="49">
        <f>AVERAGE('22.07 Bulenga-Busega'!J57,'23.07 Bulenga-Busega'!J57,'24.07 Bulenga-Busega'!J57,'25.07 Bulenga-Busega'!J57,'26.07 Bulenga-Busega-24h'!J57,'27.07 Bulenga-Busega-24h'!J57,'28.07 Bulenga-Busega'!J57)</f>
        <v>7</v>
      </c>
      <c r="K57" s="49">
        <f>AVERAGE('22.07 Bulenga-Busega'!K57,'23.07 Bulenga-Busega'!K57,'24.07 Bulenga-Busega'!K57,'25.07 Bulenga-Busega'!K57,'26.07 Bulenga-Busega-24h'!K57,'27.07 Bulenga-Busega-24h'!K57,'28.07 Bulenga-Busega'!K57)</f>
        <v>1.2857142857142858</v>
      </c>
      <c r="L57" s="49">
        <f>AVERAGE('22.07 Bulenga-Busega'!L57,'23.07 Bulenga-Busega'!L57,'24.07 Bulenga-Busega'!L57,'25.07 Bulenga-Busega'!L57,'26.07 Bulenga-Busega-24h'!L57,'27.07 Bulenga-Busega-24h'!L57,'28.07 Bulenga-Busega'!L57)</f>
        <v>2.2857142857142856</v>
      </c>
      <c r="M57" s="49">
        <f>AVERAGE('22.07 Bulenga-Busega'!M57,'23.07 Bulenga-Busega'!M57,'24.07 Bulenga-Busega'!M57,'25.07 Bulenga-Busega'!M57,'26.07 Bulenga-Busega-24h'!M57,'27.07 Bulenga-Busega-24h'!M57,'28.07 Bulenga-Busega'!M57)</f>
        <v>122.57142857142857</v>
      </c>
      <c r="N57" s="49">
        <f>AVERAGE('22.07 Bulenga-Busega'!N57,'23.07 Bulenga-Busega'!N57,'24.07 Bulenga-Busega'!N57,'25.07 Bulenga-Busega'!N57,'26.07 Bulenga-Busega-24h'!N57,'27.07 Bulenga-Busega-24h'!N57,'28.07 Bulenga-Busega'!N57)</f>
        <v>0</v>
      </c>
      <c r="O57" s="15">
        <f t="shared" si="0"/>
        <v>169.42857142857142</v>
      </c>
      <c r="P57" s="15">
        <f>SUM(C57:N57)</f>
        <v>292</v>
      </c>
      <c r="R57" s="8"/>
      <c r="T57"/>
    </row>
    <row r="58" spans="2:20" ht="23.1" customHeight="1" x14ac:dyDescent="0.25">
      <c r="B58" s="23" t="s">
        <v>99</v>
      </c>
      <c r="C58" s="49">
        <f>AVERAGE('26.07 Bulenga-Busega-24h'!C58,'27.07 Bulenga-Busega-24h'!C58,)</f>
        <v>60.666666666666664</v>
      </c>
      <c r="D58" s="49">
        <f>AVERAGE('26.07 Bulenga-Busega-24h'!D58,'27.07 Bulenga-Busega-24h'!D58,)</f>
        <v>18.333333333333332</v>
      </c>
      <c r="E58" s="49">
        <f>AVERAGE('26.07 Bulenga-Busega-24h'!E58,'27.07 Bulenga-Busega-24h'!E58,)</f>
        <v>14.333333333333334</v>
      </c>
      <c r="F58" s="49">
        <f>AVERAGE('26.07 Bulenga-Busega-24h'!F58,'27.07 Bulenga-Busega-24h'!F58,)</f>
        <v>55</v>
      </c>
      <c r="G58" s="49">
        <f>AVERAGE('26.07 Bulenga-Busega-24h'!G58,'27.07 Bulenga-Busega-24h'!G58,)</f>
        <v>3</v>
      </c>
      <c r="H58" s="49">
        <f>AVERAGE('26.07 Bulenga-Busega-24h'!H58,'27.07 Bulenga-Busega-24h'!H58,)</f>
        <v>6.666666666666667</v>
      </c>
      <c r="I58" s="49">
        <f>AVERAGE('26.07 Bulenga-Busega-24h'!I58,'27.07 Bulenga-Busega-24h'!I58,)</f>
        <v>33</v>
      </c>
      <c r="J58" s="49">
        <f>AVERAGE('26.07 Bulenga-Busega-24h'!J58,'27.07 Bulenga-Busega-24h'!J58,)</f>
        <v>20.666666666666668</v>
      </c>
      <c r="K58" s="49">
        <f>AVERAGE('26.07 Bulenga-Busega-24h'!K58,'27.07 Bulenga-Busega-24h'!K58,)</f>
        <v>2.6666666666666665</v>
      </c>
      <c r="L58" s="49">
        <f>AVERAGE('26.07 Bulenga-Busega-24h'!L58,'27.07 Bulenga-Busega-24h'!L58,)</f>
        <v>2.3333333333333335</v>
      </c>
      <c r="M58" s="49">
        <f>AVERAGE('26.07 Bulenga-Busega-24h'!M58,'27.07 Bulenga-Busega-24h'!M58,)</f>
        <v>129</v>
      </c>
      <c r="N58" s="49">
        <f>AVERAGE('26.07 Bulenga-Busega-24h'!N58,'27.07 Bulenga-Busega-24h'!N58,)</f>
        <v>0</v>
      </c>
      <c r="O58" s="15">
        <f t="shared" si="0"/>
        <v>216.66666666666663</v>
      </c>
      <c r="P58" s="15">
        <f t="shared" ref="P58:P105" si="35">SUM(C58:N58)</f>
        <v>345.66666666666663</v>
      </c>
      <c r="R58" s="8"/>
      <c r="T58"/>
    </row>
    <row r="59" spans="2:20" ht="23.1" customHeight="1" x14ac:dyDescent="0.25">
      <c r="B59" s="23" t="s">
        <v>100</v>
      </c>
      <c r="C59" s="49">
        <f>AVERAGE('26.07 Bulenga-Busega-24h'!C59,'27.07 Bulenga-Busega-24h'!C59,)</f>
        <v>55.666666666666664</v>
      </c>
      <c r="D59" s="49">
        <f>AVERAGE('26.07 Bulenga-Busega-24h'!D59,'27.07 Bulenga-Busega-24h'!D59,)</f>
        <v>20</v>
      </c>
      <c r="E59" s="49">
        <f>AVERAGE('26.07 Bulenga-Busega-24h'!E59,'27.07 Bulenga-Busega-24h'!E59,)</f>
        <v>7.333333333333333</v>
      </c>
      <c r="F59" s="49">
        <f>AVERAGE('26.07 Bulenga-Busega-24h'!F59,'27.07 Bulenga-Busega-24h'!F59,)</f>
        <v>42.666666666666664</v>
      </c>
      <c r="G59" s="49">
        <f>AVERAGE('26.07 Bulenga-Busega-24h'!G59,'27.07 Bulenga-Busega-24h'!G59,)</f>
        <v>2.3333333333333335</v>
      </c>
      <c r="H59" s="49">
        <f>AVERAGE('26.07 Bulenga-Busega-24h'!H59,'27.07 Bulenga-Busega-24h'!H59,)</f>
        <v>1.6666666666666667</v>
      </c>
      <c r="I59" s="49">
        <f>AVERAGE('26.07 Bulenga-Busega-24h'!I59,'27.07 Bulenga-Busega-24h'!I59,)</f>
        <v>41.333333333333336</v>
      </c>
      <c r="J59" s="49">
        <f>AVERAGE('26.07 Bulenga-Busega-24h'!J59,'27.07 Bulenga-Busega-24h'!J59,)</f>
        <v>11.666666666666666</v>
      </c>
      <c r="K59" s="49">
        <f>AVERAGE('26.07 Bulenga-Busega-24h'!K59,'27.07 Bulenga-Busega-24h'!K59,)</f>
        <v>4</v>
      </c>
      <c r="L59" s="49">
        <f>AVERAGE('26.07 Bulenga-Busega-24h'!L59,'27.07 Bulenga-Busega-24h'!L59,)</f>
        <v>0.66666666666666663</v>
      </c>
      <c r="M59" s="49">
        <f>AVERAGE('26.07 Bulenga-Busega-24h'!M59,'27.07 Bulenga-Busega-24h'!M59,)</f>
        <v>125.33333333333333</v>
      </c>
      <c r="N59" s="49">
        <f>AVERAGE('26.07 Bulenga-Busega-24h'!N59,'27.07 Bulenga-Busega-24h'!N59,)</f>
        <v>0</v>
      </c>
      <c r="O59" s="15">
        <f t="shared" si="0"/>
        <v>187.33333333333331</v>
      </c>
      <c r="P59" s="15">
        <f t="shared" si="35"/>
        <v>312.66666666666663</v>
      </c>
      <c r="R59" s="8"/>
      <c r="T59"/>
    </row>
    <row r="60" spans="2:20" ht="23.1" customHeight="1" x14ac:dyDescent="0.25">
      <c r="B60" s="23" t="s">
        <v>101</v>
      </c>
      <c r="C60" s="49">
        <f>AVERAGE('26.07 Bulenga-Busega-24h'!C60,'27.07 Bulenga-Busega-24h'!C60,)</f>
        <v>70</v>
      </c>
      <c r="D60" s="49">
        <f>AVERAGE('26.07 Bulenga-Busega-24h'!D60,'27.07 Bulenga-Busega-24h'!D60,)</f>
        <v>19</v>
      </c>
      <c r="E60" s="49">
        <f>AVERAGE('26.07 Bulenga-Busega-24h'!E60,'27.07 Bulenga-Busega-24h'!E60,)</f>
        <v>10</v>
      </c>
      <c r="F60" s="49">
        <f>AVERAGE('26.07 Bulenga-Busega-24h'!F60,'27.07 Bulenga-Busega-24h'!F60,)</f>
        <v>52</v>
      </c>
      <c r="G60" s="49">
        <f>AVERAGE('26.07 Bulenga-Busega-24h'!G60,'27.07 Bulenga-Busega-24h'!G60,)</f>
        <v>5</v>
      </c>
      <c r="H60" s="49">
        <f>AVERAGE('26.07 Bulenga-Busega-24h'!H60,'27.07 Bulenga-Busega-24h'!H60,)</f>
        <v>2.6666666666666665</v>
      </c>
      <c r="I60" s="49">
        <f>AVERAGE('26.07 Bulenga-Busega-24h'!I60,'27.07 Bulenga-Busega-24h'!I60,)</f>
        <v>29.666666666666668</v>
      </c>
      <c r="J60" s="49">
        <f>AVERAGE('26.07 Bulenga-Busega-24h'!J60,'27.07 Bulenga-Busega-24h'!J60,)</f>
        <v>17</v>
      </c>
      <c r="K60" s="49">
        <f>AVERAGE('26.07 Bulenga-Busega-24h'!K60,'27.07 Bulenga-Busega-24h'!K60,)</f>
        <v>2.6666666666666665</v>
      </c>
      <c r="L60" s="49">
        <f>AVERAGE('26.07 Bulenga-Busega-24h'!L60,'27.07 Bulenga-Busega-24h'!L60,)</f>
        <v>1</v>
      </c>
      <c r="M60" s="49">
        <f>AVERAGE('26.07 Bulenga-Busega-24h'!M60,'27.07 Bulenga-Busega-24h'!M60,)</f>
        <v>90.333333333333329</v>
      </c>
      <c r="N60" s="49">
        <f>AVERAGE('26.07 Bulenga-Busega-24h'!N60,'27.07 Bulenga-Busega-24h'!N60,)</f>
        <v>0</v>
      </c>
      <c r="O60" s="15">
        <f t="shared" si="0"/>
        <v>208.99999999999997</v>
      </c>
      <c r="P60" s="15">
        <f t="shared" si="35"/>
        <v>299.33333333333331</v>
      </c>
      <c r="R60" s="8"/>
      <c r="T60"/>
    </row>
    <row r="61" spans="2:20" ht="23.1" customHeight="1" x14ac:dyDescent="0.25">
      <c r="B61" s="23" t="s">
        <v>102</v>
      </c>
      <c r="C61" s="49">
        <f>AVERAGE('26.07 Bulenga-Busega-24h'!C61,'27.07 Bulenga-Busega-24h'!C61,)</f>
        <v>62.333333333333336</v>
      </c>
      <c r="D61" s="49">
        <f>AVERAGE('26.07 Bulenga-Busega-24h'!D61,'27.07 Bulenga-Busega-24h'!D61,)</f>
        <v>22.333333333333332</v>
      </c>
      <c r="E61" s="49">
        <f>AVERAGE('26.07 Bulenga-Busega-24h'!E61,'27.07 Bulenga-Busega-24h'!E61,)</f>
        <v>13</v>
      </c>
      <c r="F61" s="49">
        <f>AVERAGE('26.07 Bulenga-Busega-24h'!F61,'27.07 Bulenga-Busega-24h'!F61,)</f>
        <v>65.333333333333329</v>
      </c>
      <c r="G61" s="49">
        <f>AVERAGE('26.07 Bulenga-Busega-24h'!G61,'27.07 Bulenga-Busega-24h'!G61,)</f>
        <v>1.3333333333333333</v>
      </c>
      <c r="H61" s="49">
        <f>AVERAGE('26.07 Bulenga-Busega-24h'!H61,'27.07 Bulenga-Busega-24h'!H61,)</f>
        <v>1</v>
      </c>
      <c r="I61" s="49">
        <f>AVERAGE('26.07 Bulenga-Busega-24h'!I61,'27.07 Bulenga-Busega-24h'!I61,)</f>
        <v>35.333333333333336</v>
      </c>
      <c r="J61" s="49">
        <f>AVERAGE('26.07 Bulenga-Busega-24h'!J61,'27.07 Bulenga-Busega-24h'!J61,)</f>
        <v>13</v>
      </c>
      <c r="K61" s="49">
        <f>AVERAGE('26.07 Bulenga-Busega-24h'!K61,'27.07 Bulenga-Busega-24h'!K61,)</f>
        <v>5.333333333333333</v>
      </c>
      <c r="L61" s="49">
        <f>AVERAGE('26.07 Bulenga-Busega-24h'!L61,'27.07 Bulenga-Busega-24h'!L61,)</f>
        <v>2.3333333333333335</v>
      </c>
      <c r="M61" s="49">
        <f>AVERAGE('26.07 Bulenga-Busega-24h'!M61,'27.07 Bulenga-Busega-24h'!M61,)</f>
        <v>128.33333333333334</v>
      </c>
      <c r="N61" s="49">
        <f>AVERAGE('26.07 Bulenga-Busega-24h'!N61,'27.07 Bulenga-Busega-24h'!N61,)</f>
        <v>0</v>
      </c>
      <c r="O61" s="15">
        <f t="shared" si="0"/>
        <v>221.33333333333337</v>
      </c>
      <c r="P61" s="15">
        <f t="shared" si="35"/>
        <v>349.66666666666674</v>
      </c>
      <c r="R61" s="8"/>
      <c r="T61"/>
    </row>
    <row r="62" spans="2:20" ht="23.1" customHeight="1" x14ac:dyDescent="0.25">
      <c r="B62" s="23" t="s">
        <v>107</v>
      </c>
      <c r="C62" s="49">
        <f>AVERAGE('26.07 Bulenga-Busega-24h'!C62,'27.07 Bulenga-Busega-24h'!C62,)</f>
        <v>69.333333333333329</v>
      </c>
      <c r="D62" s="49">
        <f>AVERAGE('26.07 Bulenga-Busega-24h'!D62,'27.07 Bulenga-Busega-24h'!D62,)</f>
        <v>25.333333333333332</v>
      </c>
      <c r="E62" s="49">
        <f>AVERAGE('26.07 Bulenga-Busega-24h'!E62,'27.07 Bulenga-Busega-24h'!E62,)</f>
        <v>9.6666666666666661</v>
      </c>
      <c r="F62" s="49">
        <f>AVERAGE('26.07 Bulenga-Busega-24h'!F62,'27.07 Bulenga-Busega-24h'!F62,)</f>
        <v>60.666666666666664</v>
      </c>
      <c r="G62" s="49">
        <f>AVERAGE('26.07 Bulenga-Busega-24h'!G62,'27.07 Bulenga-Busega-24h'!G62,)</f>
        <v>6</v>
      </c>
      <c r="H62" s="49">
        <f>AVERAGE('26.07 Bulenga-Busega-24h'!H62,'27.07 Bulenga-Busega-24h'!H62,)</f>
        <v>1</v>
      </c>
      <c r="I62" s="49">
        <f>AVERAGE('26.07 Bulenga-Busega-24h'!I62,'27.07 Bulenga-Busega-24h'!I62,)</f>
        <v>31.333333333333332</v>
      </c>
      <c r="J62" s="49">
        <f>AVERAGE('26.07 Bulenga-Busega-24h'!J62,'27.07 Bulenga-Busega-24h'!J62,)</f>
        <v>11.333333333333334</v>
      </c>
      <c r="K62" s="49">
        <f>AVERAGE('26.07 Bulenga-Busega-24h'!K62,'27.07 Bulenga-Busega-24h'!K62,)</f>
        <v>8</v>
      </c>
      <c r="L62" s="49">
        <f>AVERAGE('26.07 Bulenga-Busega-24h'!L62,'27.07 Bulenga-Busega-24h'!L62,)</f>
        <v>5.666666666666667</v>
      </c>
      <c r="M62" s="49">
        <f>AVERAGE('26.07 Bulenga-Busega-24h'!M62,'27.07 Bulenga-Busega-24h'!M62,)</f>
        <v>131.33333333333334</v>
      </c>
      <c r="N62" s="49">
        <f>AVERAGE('26.07 Bulenga-Busega-24h'!N62,'27.07 Bulenga-Busega-24h'!N62,)</f>
        <v>0</v>
      </c>
      <c r="O62" s="15">
        <f t="shared" si="0"/>
        <v>228.33333333333334</v>
      </c>
      <c r="P62" s="15">
        <f t="shared" si="35"/>
        <v>359.66666666666669</v>
      </c>
      <c r="R62" s="8"/>
      <c r="T62"/>
    </row>
    <row r="63" spans="2:20" ht="23.1" customHeight="1" x14ac:dyDescent="0.25">
      <c r="B63" s="23" t="s">
        <v>108</v>
      </c>
      <c r="C63" s="49">
        <f>AVERAGE('26.07 Bulenga-Busega-24h'!C63,'27.07 Bulenga-Busega-24h'!C63,)</f>
        <v>26.333333333333332</v>
      </c>
      <c r="D63" s="49">
        <f>AVERAGE('26.07 Bulenga-Busega-24h'!D63,'27.07 Bulenga-Busega-24h'!D63,)</f>
        <v>11</v>
      </c>
      <c r="E63" s="49">
        <f>AVERAGE('26.07 Bulenga-Busega-24h'!E63,'27.07 Bulenga-Busega-24h'!E63,)</f>
        <v>11.333333333333334</v>
      </c>
      <c r="F63" s="49">
        <f>AVERAGE('26.07 Bulenga-Busega-24h'!F63,'27.07 Bulenga-Busega-24h'!F63,)</f>
        <v>32.333333333333336</v>
      </c>
      <c r="G63" s="49">
        <f>AVERAGE('26.07 Bulenga-Busega-24h'!G63,'27.07 Bulenga-Busega-24h'!G63,)</f>
        <v>3.6666666666666665</v>
      </c>
      <c r="H63" s="49">
        <f>AVERAGE('26.07 Bulenga-Busega-24h'!H63,'27.07 Bulenga-Busega-24h'!H63,)</f>
        <v>0</v>
      </c>
      <c r="I63" s="49">
        <f>AVERAGE('26.07 Bulenga-Busega-24h'!I63,'27.07 Bulenga-Busega-24h'!I63,)</f>
        <v>18.666666666666668</v>
      </c>
      <c r="J63" s="49">
        <f>AVERAGE('26.07 Bulenga-Busega-24h'!J63,'27.07 Bulenga-Busega-24h'!J63,)</f>
        <v>1.3333333333333333</v>
      </c>
      <c r="K63" s="49">
        <f>AVERAGE('26.07 Bulenga-Busega-24h'!K63,'27.07 Bulenga-Busega-24h'!K63,)</f>
        <v>3</v>
      </c>
      <c r="L63" s="49">
        <f>AVERAGE('26.07 Bulenga-Busega-24h'!L63,'27.07 Bulenga-Busega-24h'!L63,)</f>
        <v>0.66666666666666663</v>
      </c>
      <c r="M63" s="49">
        <f>AVERAGE('26.07 Bulenga-Busega-24h'!M63,'27.07 Bulenga-Busega-24h'!M63,)</f>
        <v>69</v>
      </c>
      <c r="N63" s="49">
        <f>AVERAGE('26.07 Bulenga-Busega-24h'!N63,'27.07 Bulenga-Busega-24h'!N63,)</f>
        <v>0</v>
      </c>
      <c r="O63" s="15">
        <f t="shared" si="0"/>
        <v>108.33333333333334</v>
      </c>
      <c r="P63" s="15">
        <f t="shared" si="35"/>
        <v>177.33333333333334</v>
      </c>
      <c r="R63" s="8"/>
      <c r="T63"/>
    </row>
    <row r="64" spans="2:20" ht="23.1" customHeight="1" x14ac:dyDescent="0.25">
      <c r="B64" s="23" t="s">
        <v>109</v>
      </c>
      <c r="C64" s="49">
        <f>AVERAGE('26.07 Bulenga-Busega-24h'!C64,'27.07 Bulenga-Busega-24h'!C64,)</f>
        <v>34</v>
      </c>
      <c r="D64" s="49">
        <f>AVERAGE('26.07 Bulenga-Busega-24h'!D64,'27.07 Bulenga-Busega-24h'!D64,)</f>
        <v>15</v>
      </c>
      <c r="E64" s="49">
        <f>AVERAGE('26.07 Bulenga-Busega-24h'!E64,'27.07 Bulenga-Busega-24h'!E64,)</f>
        <v>6.666666666666667</v>
      </c>
      <c r="F64" s="49">
        <f>AVERAGE('26.07 Bulenga-Busega-24h'!F64,'27.07 Bulenga-Busega-24h'!F64,)</f>
        <v>28</v>
      </c>
      <c r="G64" s="49">
        <f>AVERAGE('26.07 Bulenga-Busega-24h'!G64,'27.07 Bulenga-Busega-24h'!G64,)</f>
        <v>2.6666666666666665</v>
      </c>
      <c r="H64" s="49">
        <f>AVERAGE('26.07 Bulenga-Busega-24h'!H64,'27.07 Bulenga-Busega-24h'!H64,)</f>
        <v>0</v>
      </c>
      <c r="I64" s="49">
        <f>AVERAGE('26.07 Bulenga-Busega-24h'!I64,'27.07 Bulenga-Busega-24h'!I64,)</f>
        <v>15</v>
      </c>
      <c r="J64" s="49">
        <f>AVERAGE('26.07 Bulenga-Busega-24h'!J64,'27.07 Bulenga-Busega-24h'!J64,)</f>
        <v>6.333333333333333</v>
      </c>
      <c r="K64" s="49">
        <f>AVERAGE('26.07 Bulenga-Busega-24h'!K64,'27.07 Bulenga-Busega-24h'!K64,)</f>
        <v>6</v>
      </c>
      <c r="L64" s="49">
        <f>AVERAGE('26.07 Bulenga-Busega-24h'!L64,'27.07 Bulenga-Busega-24h'!L64,)</f>
        <v>3</v>
      </c>
      <c r="M64" s="49">
        <f>AVERAGE('26.07 Bulenga-Busega-24h'!M64,'27.07 Bulenga-Busega-24h'!M64,)</f>
        <v>94.666666666666671</v>
      </c>
      <c r="N64" s="49">
        <f>AVERAGE('26.07 Bulenga-Busega-24h'!N64,'27.07 Bulenga-Busega-24h'!N64,)</f>
        <v>0</v>
      </c>
      <c r="O64" s="15">
        <f t="shared" si="0"/>
        <v>116.66666666666666</v>
      </c>
      <c r="P64" s="15">
        <f t="shared" si="35"/>
        <v>211.33333333333331</v>
      </c>
      <c r="R64" s="8"/>
      <c r="T64"/>
    </row>
    <row r="65" spans="2:20" ht="23.1" customHeight="1" x14ac:dyDescent="0.25">
      <c r="B65" s="23" t="s">
        <v>158</v>
      </c>
      <c r="C65" s="49">
        <f>AVERAGE('26.07 Bulenga-Busega-24h'!C65,'27.07 Bulenga-Busega-24h'!C65,)</f>
        <v>67.666666666666671</v>
      </c>
      <c r="D65" s="49">
        <f>AVERAGE('26.07 Bulenga-Busega-24h'!D65,'27.07 Bulenga-Busega-24h'!D65,)</f>
        <v>61.333333333333336</v>
      </c>
      <c r="E65" s="49">
        <f>AVERAGE('26.07 Bulenga-Busega-24h'!E65,'27.07 Bulenga-Busega-24h'!E65,)</f>
        <v>17</v>
      </c>
      <c r="F65" s="49">
        <f>AVERAGE('26.07 Bulenga-Busega-24h'!F65,'27.07 Bulenga-Busega-24h'!F65,)</f>
        <v>56.666666666666664</v>
      </c>
      <c r="G65" s="49">
        <f>AVERAGE('26.07 Bulenga-Busega-24h'!G65,'27.07 Bulenga-Busega-24h'!G65,)</f>
        <v>1.3333333333333333</v>
      </c>
      <c r="H65" s="49">
        <f>AVERAGE('26.07 Bulenga-Busega-24h'!H65,'27.07 Bulenga-Busega-24h'!H65,)</f>
        <v>1.3333333333333333</v>
      </c>
      <c r="I65" s="49">
        <f>AVERAGE('26.07 Bulenga-Busega-24h'!I65,'27.07 Bulenga-Busega-24h'!I65,)</f>
        <v>19.666666666666668</v>
      </c>
      <c r="J65" s="49">
        <f>AVERAGE('26.07 Bulenga-Busega-24h'!J65,'27.07 Bulenga-Busega-24h'!J65,)</f>
        <v>6.666666666666667</v>
      </c>
      <c r="K65" s="49">
        <f>AVERAGE('26.07 Bulenga-Busega-24h'!K65,'27.07 Bulenga-Busega-24h'!K65,)</f>
        <v>1.3333333333333333</v>
      </c>
      <c r="L65" s="49">
        <f>AVERAGE('26.07 Bulenga-Busega-24h'!L65,'27.07 Bulenga-Busega-24h'!L65,)</f>
        <v>2.3333333333333335</v>
      </c>
      <c r="M65" s="49">
        <f>AVERAGE('26.07 Bulenga-Busega-24h'!M65,'27.07 Bulenga-Busega-24h'!M65,)</f>
        <v>122.66666666666667</v>
      </c>
      <c r="N65" s="49">
        <f>AVERAGE('26.07 Bulenga-Busega-24h'!N65,'27.07 Bulenga-Busega-24h'!N65,)</f>
        <v>0</v>
      </c>
      <c r="O65" s="15">
        <f t="shared" si="0"/>
        <v>235.33333333333334</v>
      </c>
      <c r="P65" s="15">
        <f t="shared" si="35"/>
        <v>358</v>
      </c>
      <c r="R65" s="8"/>
      <c r="T65"/>
    </row>
    <row r="66" spans="2:20" ht="23.1" customHeight="1" x14ac:dyDescent="0.25">
      <c r="B66" s="23" t="s">
        <v>103</v>
      </c>
      <c r="C66" s="49">
        <f>AVERAGE('26.07 Bulenga-Busega-24h'!C66,'27.07 Bulenga-Busega-24h'!C66,)</f>
        <v>52</v>
      </c>
      <c r="D66" s="49">
        <f>AVERAGE('26.07 Bulenga-Busega-24h'!D66,'27.07 Bulenga-Busega-24h'!D66,)</f>
        <v>16</v>
      </c>
      <c r="E66" s="49">
        <f>AVERAGE('26.07 Bulenga-Busega-24h'!E66,'27.07 Bulenga-Busega-24h'!E66,)</f>
        <v>12.333333333333334</v>
      </c>
      <c r="F66" s="49">
        <f>AVERAGE('26.07 Bulenga-Busega-24h'!F66,'27.07 Bulenga-Busega-24h'!F66,)</f>
        <v>42.333333333333336</v>
      </c>
      <c r="G66" s="49">
        <f>AVERAGE('26.07 Bulenga-Busega-24h'!G66,'27.07 Bulenga-Busega-24h'!G66,)</f>
        <v>1.3333333333333333</v>
      </c>
      <c r="H66" s="49">
        <f>AVERAGE('26.07 Bulenga-Busega-24h'!H66,'27.07 Bulenga-Busega-24h'!H66,)</f>
        <v>2.3333333333333335</v>
      </c>
      <c r="I66" s="49">
        <f>AVERAGE('26.07 Bulenga-Busega-24h'!I66,'27.07 Bulenga-Busega-24h'!I66,)</f>
        <v>17</v>
      </c>
      <c r="J66" s="49">
        <f>AVERAGE('26.07 Bulenga-Busega-24h'!J66,'27.07 Bulenga-Busega-24h'!J66,)</f>
        <v>1.3333333333333333</v>
      </c>
      <c r="K66" s="49">
        <f>AVERAGE('26.07 Bulenga-Busega-24h'!K66,'27.07 Bulenga-Busega-24h'!K66,)</f>
        <v>14</v>
      </c>
      <c r="L66" s="49">
        <f>AVERAGE('26.07 Bulenga-Busega-24h'!L66,'27.07 Bulenga-Busega-24h'!L66,)</f>
        <v>4.333333333333333</v>
      </c>
      <c r="M66" s="49">
        <f>AVERAGE('26.07 Bulenga-Busega-24h'!M66,'27.07 Bulenga-Busega-24h'!M66,)</f>
        <v>93.333333333333329</v>
      </c>
      <c r="N66" s="49">
        <f>AVERAGE('26.07 Bulenga-Busega-24h'!N66,'27.07 Bulenga-Busega-24h'!N66,)</f>
        <v>0</v>
      </c>
      <c r="O66" s="15">
        <f t="shared" si="0"/>
        <v>163</v>
      </c>
      <c r="P66" s="15">
        <f t="shared" si="35"/>
        <v>256.33333333333331</v>
      </c>
      <c r="R66" s="8"/>
      <c r="T66"/>
    </row>
    <row r="67" spans="2:20" ht="23.1" customHeight="1" x14ac:dyDescent="0.25">
      <c r="B67" s="23" t="s">
        <v>104</v>
      </c>
      <c r="C67" s="49">
        <f>AVERAGE('26.07 Bulenga-Busega-24h'!C67,'27.07 Bulenga-Busega-24h'!C67,)</f>
        <v>63.666666666666664</v>
      </c>
      <c r="D67" s="49">
        <f>AVERAGE('26.07 Bulenga-Busega-24h'!D67,'27.07 Bulenga-Busega-24h'!D67,)</f>
        <v>22.666666666666668</v>
      </c>
      <c r="E67" s="49">
        <f>AVERAGE('26.07 Bulenga-Busega-24h'!E67,'27.07 Bulenga-Busega-24h'!E67,)</f>
        <v>16.666666666666668</v>
      </c>
      <c r="F67" s="49">
        <f>AVERAGE('26.07 Bulenga-Busega-24h'!F67,'27.07 Bulenga-Busega-24h'!F67,)</f>
        <v>54</v>
      </c>
      <c r="G67" s="49">
        <f>AVERAGE('26.07 Bulenga-Busega-24h'!G67,'27.07 Bulenga-Busega-24h'!G67,)</f>
        <v>2.3333333333333335</v>
      </c>
      <c r="H67" s="49">
        <f>AVERAGE('26.07 Bulenga-Busega-24h'!H67,'27.07 Bulenga-Busega-24h'!H67,)</f>
        <v>2.6666666666666665</v>
      </c>
      <c r="I67" s="49">
        <f>AVERAGE('26.07 Bulenga-Busega-24h'!I67,'27.07 Bulenga-Busega-24h'!I67,)</f>
        <v>19.666666666666668</v>
      </c>
      <c r="J67" s="49">
        <f>AVERAGE('26.07 Bulenga-Busega-24h'!J67,'27.07 Bulenga-Busega-24h'!J67,)</f>
        <v>6</v>
      </c>
      <c r="K67" s="49">
        <f>AVERAGE('26.07 Bulenga-Busega-24h'!K67,'27.07 Bulenga-Busega-24h'!K67,)</f>
        <v>2.6666666666666665</v>
      </c>
      <c r="L67" s="49">
        <f>AVERAGE('26.07 Bulenga-Busega-24h'!L67,'27.07 Bulenga-Busega-24h'!L67,)</f>
        <v>2</v>
      </c>
      <c r="M67" s="49">
        <f>AVERAGE('26.07 Bulenga-Busega-24h'!M67,'27.07 Bulenga-Busega-24h'!M67,)</f>
        <v>106</v>
      </c>
      <c r="N67" s="49">
        <f>AVERAGE('26.07 Bulenga-Busega-24h'!N67,'27.07 Bulenga-Busega-24h'!N67,)</f>
        <v>0</v>
      </c>
      <c r="O67" s="15">
        <f t="shared" si="0"/>
        <v>192.33333333333331</v>
      </c>
      <c r="P67" s="15">
        <f t="shared" si="35"/>
        <v>298.33333333333331</v>
      </c>
      <c r="R67" s="8"/>
      <c r="T67"/>
    </row>
    <row r="68" spans="2:20" ht="23.1" customHeight="1" x14ac:dyDescent="0.25">
      <c r="B68" s="23" t="s">
        <v>105</v>
      </c>
      <c r="C68" s="49">
        <f>AVERAGE('26.07 Bulenga-Busega-24h'!C68,'27.07 Bulenga-Busega-24h'!C68,)</f>
        <v>49</v>
      </c>
      <c r="D68" s="49">
        <f>AVERAGE('26.07 Bulenga-Busega-24h'!D68,'27.07 Bulenga-Busega-24h'!D68,)</f>
        <v>13</v>
      </c>
      <c r="E68" s="49">
        <f>AVERAGE('26.07 Bulenga-Busega-24h'!E68,'27.07 Bulenga-Busega-24h'!E68,)</f>
        <v>12.666666666666666</v>
      </c>
      <c r="F68" s="49">
        <f>AVERAGE('26.07 Bulenga-Busega-24h'!F68,'27.07 Bulenga-Busega-24h'!F68,)</f>
        <v>47.333333333333336</v>
      </c>
      <c r="G68" s="49">
        <f>AVERAGE('26.07 Bulenga-Busega-24h'!G68,'27.07 Bulenga-Busega-24h'!G68,)</f>
        <v>0</v>
      </c>
      <c r="H68" s="49">
        <f>AVERAGE('26.07 Bulenga-Busega-24h'!H68,'27.07 Bulenga-Busega-24h'!H68,)</f>
        <v>0.33333333333333331</v>
      </c>
      <c r="I68" s="49">
        <f>AVERAGE('26.07 Bulenga-Busega-24h'!I68,'27.07 Bulenga-Busega-24h'!I68,)</f>
        <v>16</v>
      </c>
      <c r="J68" s="49">
        <f>AVERAGE('26.07 Bulenga-Busega-24h'!J68,'27.07 Bulenga-Busega-24h'!J68,)</f>
        <v>5</v>
      </c>
      <c r="K68" s="49">
        <f>AVERAGE('26.07 Bulenga-Busega-24h'!K68,'27.07 Bulenga-Busega-24h'!K68,)</f>
        <v>1</v>
      </c>
      <c r="L68" s="49">
        <f>AVERAGE('26.07 Bulenga-Busega-24h'!L68,'27.07 Bulenga-Busega-24h'!L68,)</f>
        <v>2.6666666666666665</v>
      </c>
      <c r="M68" s="49">
        <f>AVERAGE('26.07 Bulenga-Busega-24h'!M68,'27.07 Bulenga-Busega-24h'!M68,)</f>
        <v>76.666666666666671</v>
      </c>
      <c r="N68" s="49">
        <f>AVERAGE('26.07 Bulenga-Busega-24h'!N68,'27.07 Bulenga-Busega-24h'!N68,)</f>
        <v>0</v>
      </c>
      <c r="O68" s="15">
        <f t="shared" si="0"/>
        <v>146.99999999999997</v>
      </c>
      <c r="P68" s="15">
        <f t="shared" si="35"/>
        <v>223.66666666666663</v>
      </c>
      <c r="R68" s="8"/>
      <c r="T68"/>
    </row>
    <row r="69" spans="2:20" ht="23.1" customHeight="1" x14ac:dyDescent="0.25">
      <c r="B69" s="23" t="s">
        <v>106</v>
      </c>
      <c r="C69" s="49">
        <f>AVERAGE('26.07 Bulenga-Busega-24h'!C69,'27.07 Bulenga-Busega-24h'!C69,)</f>
        <v>44.666666666666664</v>
      </c>
      <c r="D69" s="49">
        <f>AVERAGE('26.07 Bulenga-Busega-24h'!D69,'27.07 Bulenga-Busega-24h'!D69,)</f>
        <v>11</v>
      </c>
      <c r="E69" s="49">
        <f>AVERAGE('26.07 Bulenga-Busega-24h'!E69,'27.07 Bulenga-Busega-24h'!E69,)</f>
        <v>7.666666666666667</v>
      </c>
      <c r="F69" s="49">
        <f>AVERAGE('26.07 Bulenga-Busega-24h'!F69,'27.07 Bulenga-Busega-24h'!F69,)</f>
        <v>26.666666666666668</v>
      </c>
      <c r="G69" s="49">
        <f>AVERAGE('26.07 Bulenga-Busega-24h'!G69,'27.07 Bulenga-Busega-24h'!G69,)</f>
        <v>1.3333333333333333</v>
      </c>
      <c r="H69" s="49">
        <f>AVERAGE('26.07 Bulenga-Busega-24h'!H69,'27.07 Bulenga-Busega-24h'!H69,)</f>
        <v>0</v>
      </c>
      <c r="I69" s="49">
        <f>AVERAGE('26.07 Bulenga-Busega-24h'!I69,'27.07 Bulenga-Busega-24h'!I69,)</f>
        <v>22.666666666666668</v>
      </c>
      <c r="J69" s="49">
        <f>AVERAGE('26.07 Bulenga-Busega-24h'!J69,'27.07 Bulenga-Busega-24h'!J69,)</f>
        <v>3</v>
      </c>
      <c r="K69" s="49">
        <f>AVERAGE('26.07 Bulenga-Busega-24h'!K69,'27.07 Bulenga-Busega-24h'!K69,)</f>
        <v>0</v>
      </c>
      <c r="L69" s="49">
        <f>AVERAGE('26.07 Bulenga-Busega-24h'!L69,'27.07 Bulenga-Busega-24h'!L69,)</f>
        <v>1</v>
      </c>
      <c r="M69" s="49">
        <f>AVERAGE('26.07 Bulenga-Busega-24h'!M69,'27.07 Bulenga-Busega-24h'!M69,)</f>
        <v>86.333333333333329</v>
      </c>
      <c r="N69" s="49">
        <f>AVERAGE('26.07 Bulenga-Busega-24h'!N69,'27.07 Bulenga-Busega-24h'!N69,)</f>
        <v>0</v>
      </c>
      <c r="O69" s="15">
        <f t="shared" si="0"/>
        <v>118</v>
      </c>
      <c r="P69" s="15">
        <f t="shared" si="35"/>
        <v>204.33333333333331</v>
      </c>
      <c r="R69" s="8"/>
      <c r="T69"/>
    </row>
    <row r="70" spans="2:20" ht="23.1" customHeight="1" x14ac:dyDescent="0.25">
      <c r="B70" s="23" t="s">
        <v>110</v>
      </c>
      <c r="C70" s="49">
        <f>AVERAGE('26.07 Bulenga-Busega-24h'!C70,'27.07 Bulenga-Busega-24h'!C70,)</f>
        <v>37.666666666666664</v>
      </c>
      <c r="D70" s="49">
        <f>AVERAGE('26.07 Bulenga-Busega-24h'!D70,'27.07 Bulenga-Busega-24h'!D70,)</f>
        <v>29.666666666666668</v>
      </c>
      <c r="E70" s="49">
        <f>AVERAGE('26.07 Bulenga-Busega-24h'!E70,'27.07 Bulenga-Busega-24h'!E70,)</f>
        <v>17.666666666666668</v>
      </c>
      <c r="F70" s="49">
        <f>AVERAGE('26.07 Bulenga-Busega-24h'!F70,'27.07 Bulenga-Busega-24h'!F70,)</f>
        <v>36.333333333333336</v>
      </c>
      <c r="G70" s="49">
        <f>AVERAGE('26.07 Bulenga-Busega-24h'!G70,'27.07 Bulenga-Busega-24h'!G70,)</f>
        <v>1</v>
      </c>
      <c r="H70" s="49">
        <f>AVERAGE('26.07 Bulenga-Busega-24h'!H70,'27.07 Bulenga-Busega-24h'!H70,)</f>
        <v>3</v>
      </c>
      <c r="I70" s="49">
        <f>AVERAGE('26.07 Bulenga-Busega-24h'!I70,'27.07 Bulenga-Busega-24h'!I70,)</f>
        <v>24.666666666666668</v>
      </c>
      <c r="J70" s="49">
        <f>AVERAGE('26.07 Bulenga-Busega-24h'!J70,'27.07 Bulenga-Busega-24h'!J70,)</f>
        <v>0.66666666666666663</v>
      </c>
      <c r="K70" s="49">
        <f>AVERAGE('26.07 Bulenga-Busega-24h'!K70,'27.07 Bulenga-Busega-24h'!K70,)</f>
        <v>6</v>
      </c>
      <c r="L70" s="49">
        <f>AVERAGE('26.07 Bulenga-Busega-24h'!L70,'27.07 Bulenga-Busega-24h'!L70,)</f>
        <v>0.66666666666666663</v>
      </c>
      <c r="M70" s="49">
        <f>AVERAGE('26.07 Bulenga-Busega-24h'!M70,'27.07 Bulenga-Busega-24h'!M70,)</f>
        <v>65.666666666666671</v>
      </c>
      <c r="N70" s="49">
        <f>AVERAGE('26.07 Bulenga-Busega-24h'!N70,'27.07 Bulenga-Busega-24h'!N70,)</f>
        <v>0</v>
      </c>
      <c r="O70" s="15">
        <f t="shared" si="0"/>
        <v>157.33333333333331</v>
      </c>
      <c r="P70" s="15">
        <f t="shared" si="35"/>
        <v>223</v>
      </c>
      <c r="R70" s="8"/>
      <c r="T70"/>
    </row>
    <row r="71" spans="2:20" ht="23.1" customHeight="1" x14ac:dyDescent="0.25">
      <c r="B71" s="23" t="s">
        <v>111</v>
      </c>
      <c r="C71" s="49">
        <f>AVERAGE('26.07 Bulenga-Busega-24h'!C71,'27.07 Bulenga-Busega-24h'!C71,)</f>
        <v>43</v>
      </c>
      <c r="D71" s="49">
        <f>AVERAGE('26.07 Bulenga-Busega-24h'!D71,'27.07 Bulenga-Busega-24h'!D71,)</f>
        <v>13.666666666666666</v>
      </c>
      <c r="E71" s="49">
        <f>AVERAGE('26.07 Bulenga-Busega-24h'!E71,'27.07 Bulenga-Busega-24h'!E71,)</f>
        <v>15.333333333333334</v>
      </c>
      <c r="F71" s="49">
        <f>AVERAGE('26.07 Bulenga-Busega-24h'!F71,'27.07 Bulenga-Busega-24h'!F71,)</f>
        <v>37.333333333333336</v>
      </c>
      <c r="G71" s="49">
        <f>AVERAGE('26.07 Bulenga-Busega-24h'!G71,'27.07 Bulenga-Busega-24h'!G71,)</f>
        <v>3</v>
      </c>
      <c r="H71" s="49">
        <f>AVERAGE('26.07 Bulenga-Busega-24h'!H71,'27.07 Bulenga-Busega-24h'!H71,)</f>
        <v>1.3333333333333333</v>
      </c>
      <c r="I71" s="49">
        <f>AVERAGE('26.07 Bulenga-Busega-24h'!I71,'27.07 Bulenga-Busega-24h'!I71,)</f>
        <v>17.666666666666668</v>
      </c>
      <c r="J71" s="49">
        <f>AVERAGE('26.07 Bulenga-Busega-24h'!J71,'27.07 Bulenga-Busega-24h'!J71,)</f>
        <v>0.66666666666666663</v>
      </c>
      <c r="K71" s="49">
        <f>AVERAGE('26.07 Bulenga-Busega-24h'!K71,'27.07 Bulenga-Busega-24h'!K71,)</f>
        <v>1.6666666666666667</v>
      </c>
      <c r="L71" s="49">
        <f>AVERAGE('26.07 Bulenga-Busega-24h'!L71,'27.07 Bulenga-Busega-24h'!L71,)</f>
        <v>0</v>
      </c>
      <c r="M71" s="49">
        <f>AVERAGE('26.07 Bulenga-Busega-24h'!M71,'27.07 Bulenga-Busega-24h'!M71,)</f>
        <v>76</v>
      </c>
      <c r="N71" s="49">
        <f>AVERAGE('26.07 Bulenga-Busega-24h'!N71,'27.07 Bulenga-Busega-24h'!N71,)</f>
        <v>0</v>
      </c>
      <c r="O71" s="15">
        <f t="shared" si="0"/>
        <v>133.66666666666666</v>
      </c>
      <c r="P71" s="15">
        <f t="shared" si="35"/>
        <v>209.66666666666666</v>
      </c>
      <c r="R71" s="8"/>
      <c r="T71"/>
    </row>
    <row r="72" spans="2:20" ht="23.1" customHeight="1" x14ac:dyDescent="0.25">
      <c r="B72" s="23" t="s">
        <v>112</v>
      </c>
      <c r="C72" s="49">
        <f>AVERAGE('26.07 Bulenga-Busega-24h'!C72,'27.07 Bulenga-Busega-24h'!C72,)</f>
        <v>38</v>
      </c>
      <c r="D72" s="49">
        <f>AVERAGE('26.07 Bulenga-Busega-24h'!D72,'27.07 Bulenga-Busega-24h'!D72,)</f>
        <v>13.333333333333334</v>
      </c>
      <c r="E72" s="49">
        <f>AVERAGE('26.07 Bulenga-Busega-24h'!E72,'27.07 Bulenga-Busega-24h'!E72,)</f>
        <v>6.333333333333333</v>
      </c>
      <c r="F72" s="49">
        <f>AVERAGE('26.07 Bulenga-Busega-24h'!F72,'27.07 Bulenga-Busega-24h'!F72,)</f>
        <v>37.333333333333336</v>
      </c>
      <c r="G72" s="49">
        <f>AVERAGE('26.07 Bulenga-Busega-24h'!G72,'27.07 Bulenga-Busega-24h'!G72,)</f>
        <v>1</v>
      </c>
      <c r="H72" s="49">
        <f>AVERAGE('26.07 Bulenga-Busega-24h'!H72,'27.07 Bulenga-Busega-24h'!H72,)</f>
        <v>0.33333333333333331</v>
      </c>
      <c r="I72" s="49">
        <f>AVERAGE('26.07 Bulenga-Busega-24h'!I72,'27.07 Bulenga-Busega-24h'!I72,)</f>
        <v>13.666666666666666</v>
      </c>
      <c r="J72" s="49">
        <f>AVERAGE('26.07 Bulenga-Busega-24h'!J72,'27.07 Bulenga-Busega-24h'!J72,)</f>
        <v>1.6666666666666667</v>
      </c>
      <c r="K72" s="49">
        <f>AVERAGE('26.07 Bulenga-Busega-24h'!K72,'27.07 Bulenga-Busega-24h'!K72,)</f>
        <v>2.6666666666666665</v>
      </c>
      <c r="L72" s="49">
        <f>AVERAGE('26.07 Bulenga-Busega-24h'!L72,'27.07 Bulenga-Busega-24h'!L72,)</f>
        <v>0</v>
      </c>
      <c r="M72" s="49">
        <f>AVERAGE('26.07 Bulenga-Busega-24h'!M72,'27.07 Bulenga-Busega-24h'!M72,)</f>
        <v>67</v>
      </c>
      <c r="N72" s="49">
        <f>AVERAGE('26.07 Bulenga-Busega-24h'!N72,'27.07 Bulenga-Busega-24h'!N72,)</f>
        <v>0</v>
      </c>
      <c r="O72" s="15">
        <f t="shared" si="0"/>
        <v>114.33333333333334</v>
      </c>
      <c r="P72" s="15">
        <f t="shared" si="35"/>
        <v>181.33333333333334</v>
      </c>
      <c r="R72" s="8"/>
      <c r="T72"/>
    </row>
    <row r="73" spans="2:20" ht="23.1" customHeight="1" x14ac:dyDescent="0.25">
      <c r="B73" s="23" t="s">
        <v>113</v>
      </c>
      <c r="C73" s="49">
        <f>AVERAGE('26.07 Bulenga-Busega-24h'!C73,'27.07 Bulenga-Busega-24h'!C73,)</f>
        <v>50</v>
      </c>
      <c r="D73" s="49">
        <f>AVERAGE('26.07 Bulenga-Busega-24h'!D73,'27.07 Bulenga-Busega-24h'!D73,)</f>
        <v>10.666666666666666</v>
      </c>
      <c r="E73" s="49">
        <f>AVERAGE('26.07 Bulenga-Busega-24h'!E73,'27.07 Bulenga-Busega-24h'!E73,)</f>
        <v>6.666666666666667</v>
      </c>
      <c r="F73" s="49">
        <f>AVERAGE('26.07 Bulenga-Busega-24h'!F73,'27.07 Bulenga-Busega-24h'!F73,)</f>
        <v>29.333333333333332</v>
      </c>
      <c r="G73" s="49">
        <f>AVERAGE('26.07 Bulenga-Busega-24h'!G73,'27.07 Bulenga-Busega-24h'!G73,)</f>
        <v>0</v>
      </c>
      <c r="H73" s="49">
        <f>AVERAGE('26.07 Bulenga-Busega-24h'!H73,'27.07 Bulenga-Busega-24h'!H73,)</f>
        <v>0</v>
      </c>
      <c r="I73" s="49">
        <f>AVERAGE('26.07 Bulenga-Busega-24h'!I73,'27.07 Bulenga-Busega-24h'!I73,)</f>
        <v>9.6666666666666661</v>
      </c>
      <c r="J73" s="49">
        <f>AVERAGE('26.07 Bulenga-Busega-24h'!J73,'27.07 Bulenga-Busega-24h'!J73,)</f>
        <v>0.66666666666666663</v>
      </c>
      <c r="K73" s="49">
        <f>AVERAGE('26.07 Bulenga-Busega-24h'!K73,'27.07 Bulenga-Busega-24h'!K73,)</f>
        <v>3.6666666666666665</v>
      </c>
      <c r="L73" s="49">
        <f>AVERAGE('26.07 Bulenga-Busega-24h'!L73,'27.07 Bulenga-Busega-24h'!L73,)</f>
        <v>0.33333333333333331</v>
      </c>
      <c r="M73" s="49">
        <f>AVERAGE('26.07 Bulenga-Busega-24h'!M73,'27.07 Bulenga-Busega-24h'!M73,)</f>
        <v>52.333333333333336</v>
      </c>
      <c r="N73" s="49">
        <f>AVERAGE('26.07 Bulenga-Busega-24h'!N73,'27.07 Bulenga-Busega-24h'!N73,)</f>
        <v>0</v>
      </c>
      <c r="O73" s="15">
        <f t="shared" si="0"/>
        <v>111</v>
      </c>
      <c r="P73" s="15">
        <f t="shared" si="35"/>
        <v>163.33333333333334</v>
      </c>
      <c r="R73" s="8"/>
      <c r="T73"/>
    </row>
    <row r="74" spans="2:20" ht="23.1" customHeight="1" x14ac:dyDescent="0.25">
      <c r="B74" s="23" t="s">
        <v>114</v>
      </c>
      <c r="C74" s="49">
        <f>AVERAGE('26.07 Bulenga-Busega-24h'!C74,'27.07 Bulenga-Busega-24h'!C74,)</f>
        <v>34.333333333333336</v>
      </c>
      <c r="D74" s="49">
        <f>AVERAGE('26.07 Bulenga-Busega-24h'!D74,'27.07 Bulenga-Busega-24h'!D74,)</f>
        <v>2.3333333333333335</v>
      </c>
      <c r="E74" s="49">
        <f>AVERAGE('26.07 Bulenga-Busega-24h'!E74,'27.07 Bulenga-Busega-24h'!E74,)</f>
        <v>2.6666666666666665</v>
      </c>
      <c r="F74" s="49">
        <f>AVERAGE('26.07 Bulenga-Busega-24h'!F74,'27.07 Bulenga-Busega-24h'!F74,)</f>
        <v>21.666666666666668</v>
      </c>
      <c r="G74" s="49">
        <f>AVERAGE('26.07 Bulenga-Busega-24h'!G74,'27.07 Bulenga-Busega-24h'!G74,)</f>
        <v>1</v>
      </c>
      <c r="H74" s="49">
        <f>AVERAGE('26.07 Bulenga-Busega-24h'!H74,'27.07 Bulenga-Busega-24h'!H74,)</f>
        <v>0</v>
      </c>
      <c r="I74" s="49">
        <f>AVERAGE('26.07 Bulenga-Busega-24h'!I74,'27.07 Bulenga-Busega-24h'!I74,)</f>
        <v>12.666666666666666</v>
      </c>
      <c r="J74" s="49">
        <f>AVERAGE('26.07 Bulenga-Busega-24h'!J74,'27.07 Bulenga-Busega-24h'!J74,)</f>
        <v>0.66666666666666663</v>
      </c>
      <c r="K74" s="49">
        <f>AVERAGE('26.07 Bulenga-Busega-24h'!K74,'27.07 Bulenga-Busega-24h'!K74,)</f>
        <v>9</v>
      </c>
      <c r="L74" s="49">
        <f>AVERAGE('26.07 Bulenga-Busega-24h'!L74,'27.07 Bulenga-Busega-24h'!L74,)</f>
        <v>0.66666666666666663</v>
      </c>
      <c r="M74" s="49">
        <f>AVERAGE('26.07 Bulenga-Busega-24h'!M74,'27.07 Bulenga-Busega-24h'!M74,)</f>
        <v>59.333333333333336</v>
      </c>
      <c r="N74" s="49">
        <f>AVERAGE('26.07 Bulenga-Busega-24h'!N74,'27.07 Bulenga-Busega-24h'!N74,)</f>
        <v>0</v>
      </c>
      <c r="O74" s="15">
        <f t="shared" ref="O74:O105" si="36">SUM(C74:L74,N74)</f>
        <v>85.000000000000014</v>
      </c>
      <c r="P74" s="15">
        <f t="shared" si="35"/>
        <v>144.33333333333334</v>
      </c>
      <c r="R74" s="8"/>
      <c r="T74"/>
    </row>
    <row r="75" spans="2:20" ht="23.1" customHeight="1" x14ac:dyDescent="0.25">
      <c r="B75" s="23" t="s">
        <v>115</v>
      </c>
      <c r="C75" s="49">
        <f>AVERAGE('26.07 Bulenga-Busega-24h'!C75,'27.07 Bulenga-Busega-24h'!C75,)</f>
        <v>40.333333333333336</v>
      </c>
      <c r="D75" s="49">
        <f>AVERAGE('26.07 Bulenga-Busega-24h'!D75,'27.07 Bulenga-Busega-24h'!D75,)</f>
        <v>10</v>
      </c>
      <c r="E75" s="49">
        <f>AVERAGE('26.07 Bulenga-Busega-24h'!E75,'27.07 Bulenga-Busega-24h'!E75,)</f>
        <v>3.3333333333333335</v>
      </c>
      <c r="F75" s="49">
        <f>AVERAGE('26.07 Bulenga-Busega-24h'!F75,'27.07 Bulenga-Busega-24h'!F75,)</f>
        <v>21.333333333333332</v>
      </c>
      <c r="G75" s="49">
        <f>AVERAGE('26.07 Bulenga-Busega-24h'!G75,'27.07 Bulenga-Busega-24h'!G75,)</f>
        <v>0</v>
      </c>
      <c r="H75" s="49">
        <f>AVERAGE('26.07 Bulenga-Busega-24h'!H75,'27.07 Bulenga-Busega-24h'!H75,)</f>
        <v>0.33333333333333331</v>
      </c>
      <c r="I75" s="49">
        <f>AVERAGE('26.07 Bulenga-Busega-24h'!I75,'27.07 Bulenga-Busega-24h'!I75,)</f>
        <v>4.666666666666667</v>
      </c>
      <c r="J75" s="49">
        <f>AVERAGE('26.07 Bulenga-Busega-24h'!J75,'27.07 Bulenga-Busega-24h'!J75,)</f>
        <v>1.3333333333333333</v>
      </c>
      <c r="K75" s="49">
        <f>AVERAGE('26.07 Bulenga-Busega-24h'!K75,'27.07 Bulenga-Busega-24h'!K75,)</f>
        <v>3</v>
      </c>
      <c r="L75" s="49">
        <f>AVERAGE('26.07 Bulenga-Busega-24h'!L75,'27.07 Bulenga-Busega-24h'!L75,)</f>
        <v>0</v>
      </c>
      <c r="M75" s="49">
        <f>AVERAGE('26.07 Bulenga-Busega-24h'!M75,'27.07 Bulenga-Busega-24h'!M75,)</f>
        <v>71</v>
      </c>
      <c r="N75" s="49">
        <f>AVERAGE('26.07 Bulenga-Busega-24h'!N75,'27.07 Bulenga-Busega-24h'!N75,)</f>
        <v>0</v>
      </c>
      <c r="O75" s="15">
        <f t="shared" si="36"/>
        <v>84.333333333333329</v>
      </c>
      <c r="P75" s="15">
        <f t="shared" si="35"/>
        <v>155.33333333333331</v>
      </c>
      <c r="R75" s="8"/>
      <c r="T75"/>
    </row>
    <row r="76" spans="2:20" ht="23.1" customHeight="1" x14ac:dyDescent="0.25">
      <c r="B76" s="23" t="s">
        <v>116</v>
      </c>
      <c r="C76" s="49">
        <f>AVERAGE('26.07 Bulenga-Busega-24h'!C76,'27.07 Bulenga-Busega-24h'!C76,)</f>
        <v>61.333333333333336</v>
      </c>
      <c r="D76" s="49">
        <f>AVERAGE('26.07 Bulenga-Busega-24h'!D76,'27.07 Bulenga-Busega-24h'!D76,)</f>
        <v>9.3333333333333339</v>
      </c>
      <c r="E76" s="49">
        <f>AVERAGE('26.07 Bulenga-Busega-24h'!E76,'27.07 Bulenga-Busega-24h'!E76,)</f>
        <v>2.3333333333333335</v>
      </c>
      <c r="F76" s="49">
        <f>AVERAGE('26.07 Bulenga-Busega-24h'!F76,'27.07 Bulenga-Busega-24h'!F76,)</f>
        <v>20.666666666666668</v>
      </c>
      <c r="G76" s="49">
        <f>AVERAGE('26.07 Bulenga-Busega-24h'!G76,'27.07 Bulenga-Busega-24h'!G76,)</f>
        <v>0</v>
      </c>
      <c r="H76" s="49">
        <f>AVERAGE('26.07 Bulenga-Busega-24h'!H76,'27.07 Bulenga-Busega-24h'!H76,)</f>
        <v>0</v>
      </c>
      <c r="I76" s="49">
        <f>AVERAGE('26.07 Bulenga-Busega-24h'!I76,'27.07 Bulenga-Busega-24h'!I76,)</f>
        <v>5.333333333333333</v>
      </c>
      <c r="J76" s="49">
        <f>AVERAGE('26.07 Bulenga-Busega-24h'!J76,'27.07 Bulenga-Busega-24h'!J76,)</f>
        <v>1</v>
      </c>
      <c r="K76" s="49">
        <f>AVERAGE('26.07 Bulenga-Busega-24h'!K76,'27.07 Bulenga-Busega-24h'!K76,)</f>
        <v>3.6666666666666665</v>
      </c>
      <c r="L76" s="49">
        <f>AVERAGE('26.07 Bulenga-Busega-24h'!L76,'27.07 Bulenga-Busega-24h'!L76,)</f>
        <v>2</v>
      </c>
      <c r="M76" s="49">
        <f>AVERAGE('26.07 Bulenga-Busega-24h'!M76,'27.07 Bulenga-Busega-24h'!M76,)</f>
        <v>60</v>
      </c>
      <c r="N76" s="49">
        <f>AVERAGE('26.07 Bulenga-Busega-24h'!N76,'27.07 Bulenga-Busega-24h'!N76,)</f>
        <v>0</v>
      </c>
      <c r="O76" s="15">
        <f t="shared" si="36"/>
        <v>105.66666666666667</v>
      </c>
      <c r="P76" s="15">
        <f t="shared" si="35"/>
        <v>165.66666666666669</v>
      </c>
      <c r="R76" s="8"/>
      <c r="T76"/>
    </row>
    <row r="77" spans="2:20" ht="23.1" customHeight="1" x14ac:dyDescent="0.25">
      <c r="B77" s="23" t="s">
        <v>117</v>
      </c>
      <c r="C77" s="49">
        <f>AVERAGE('26.07 Bulenga-Busega-24h'!C77,'27.07 Bulenga-Busega-24h'!C77,)</f>
        <v>37.333333333333336</v>
      </c>
      <c r="D77" s="49">
        <f>AVERAGE('26.07 Bulenga-Busega-24h'!D77,'27.07 Bulenga-Busega-24h'!D77,)</f>
        <v>4</v>
      </c>
      <c r="E77" s="49">
        <f>AVERAGE('26.07 Bulenga-Busega-24h'!E77,'27.07 Bulenga-Busega-24h'!E77,)</f>
        <v>2.6666666666666665</v>
      </c>
      <c r="F77" s="49">
        <f>AVERAGE('26.07 Bulenga-Busega-24h'!F77,'27.07 Bulenga-Busega-24h'!F77,)</f>
        <v>10.333333333333334</v>
      </c>
      <c r="G77" s="49">
        <f>AVERAGE('26.07 Bulenga-Busega-24h'!G77,'27.07 Bulenga-Busega-24h'!G77,)</f>
        <v>0</v>
      </c>
      <c r="H77" s="49">
        <f>AVERAGE('26.07 Bulenga-Busega-24h'!H77,'27.07 Bulenga-Busega-24h'!H77,)</f>
        <v>0</v>
      </c>
      <c r="I77" s="49">
        <f>AVERAGE('26.07 Bulenga-Busega-24h'!I77,'27.07 Bulenga-Busega-24h'!I77,)</f>
        <v>4</v>
      </c>
      <c r="J77" s="49">
        <f>AVERAGE('26.07 Bulenga-Busega-24h'!J77,'27.07 Bulenga-Busega-24h'!J77,)</f>
        <v>0</v>
      </c>
      <c r="K77" s="49">
        <f>AVERAGE('26.07 Bulenga-Busega-24h'!K77,'27.07 Bulenga-Busega-24h'!K77,)</f>
        <v>1</v>
      </c>
      <c r="L77" s="49">
        <f>AVERAGE('26.07 Bulenga-Busega-24h'!L77,'27.07 Bulenga-Busega-24h'!L77,)</f>
        <v>1</v>
      </c>
      <c r="M77" s="49">
        <f>AVERAGE('26.07 Bulenga-Busega-24h'!M77,'27.07 Bulenga-Busega-24h'!M77,)</f>
        <v>57</v>
      </c>
      <c r="N77" s="49">
        <f>AVERAGE('26.07 Bulenga-Busega-24h'!N77,'27.07 Bulenga-Busega-24h'!N77,)</f>
        <v>0</v>
      </c>
      <c r="O77" s="15">
        <f t="shared" si="36"/>
        <v>60.333333333333336</v>
      </c>
      <c r="P77" s="15">
        <f t="shared" si="35"/>
        <v>117.33333333333334</v>
      </c>
      <c r="R77" s="8"/>
      <c r="T77"/>
    </row>
    <row r="78" spans="2:20" ht="23.1" customHeight="1" x14ac:dyDescent="0.25">
      <c r="B78" s="24" t="s">
        <v>118</v>
      </c>
      <c r="C78" s="49">
        <f>AVERAGE('26.07 Bulenga-Busega-24h'!C78,'27.07 Bulenga-Busega-24h'!C78,)</f>
        <v>19</v>
      </c>
      <c r="D78" s="49">
        <f>AVERAGE('26.07 Bulenga-Busega-24h'!D78,'27.07 Bulenga-Busega-24h'!D78,)</f>
        <v>8.3333333333333339</v>
      </c>
      <c r="E78" s="49">
        <f>AVERAGE('26.07 Bulenga-Busega-24h'!E78,'27.07 Bulenga-Busega-24h'!E78,)</f>
        <v>2</v>
      </c>
      <c r="F78" s="49">
        <f>AVERAGE('26.07 Bulenga-Busega-24h'!F78,'27.07 Bulenga-Busega-24h'!F78,)</f>
        <v>11</v>
      </c>
      <c r="G78" s="49">
        <f>AVERAGE('26.07 Bulenga-Busega-24h'!G78,'27.07 Bulenga-Busega-24h'!G78,)</f>
        <v>0</v>
      </c>
      <c r="H78" s="49">
        <f>AVERAGE('26.07 Bulenga-Busega-24h'!H78,'27.07 Bulenga-Busega-24h'!H78,)</f>
        <v>0</v>
      </c>
      <c r="I78" s="49">
        <f>AVERAGE('26.07 Bulenga-Busega-24h'!I78,'27.07 Bulenga-Busega-24h'!I78,)</f>
        <v>8.3333333333333339</v>
      </c>
      <c r="J78" s="49">
        <f>AVERAGE('26.07 Bulenga-Busega-24h'!J78,'27.07 Bulenga-Busega-24h'!J78,)</f>
        <v>0</v>
      </c>
      <c r="K78" s="49">
        <f>AVERAGE('26.07 Bulenga-Busega-24h'!K78,'27.07 Bulenga-Busega-24h'!K78,)</f>
        <v>1.6666666666666667</v>
      </c>
      <c r="L78" s="49">
        <f>AVERAGE('26.07 Bulenga-Busega-24h'!L78,'27.07 Bulenga-Busega-24h'!L78,)</f>
        <v>2</v>
      </c>
      <c r="M78" s="49">
        <f>AVERAGE('26.07 Bulenga-Busega-24h'!M78,'27.07 Bulenga-Busega-24h'!M78,)</f>
        <v>40.666666666666664</v>
      </c>
      <c r="N78" s="49">
        <f>AVERAGE('26.07 Bulenga-Busega-24h'!N78,'27.07 Bulenga-Busega-24h'!N78,)</f>
        <v>0</v>
      </c>
      <c r="O78" s="15">
        <f t="shared" si="36"/>
        <v>52.333333333333336</v>
      </c>
      <c r="P78" s="15">
        <f t="shared" si="35"/>
        <v>93</v>
      </c>
      <c r="R78" s="8"/>
      <c r="T78"/>
    </row>
    <row r="79" spans="2:20" ht="23.1" customHeight="1" x14ac:dyDescent="0.25">
      <c r="B79" s="23" t="s">
        <v>119</v>
      </c>
      <c r="C79" s="49">
        <f>AVERAGE('26.07 Bulenga-Busega-24h'!C79,'27.07 Bulenga-Busega-24h'!C79,)</f>
        <v>16.666666666666668</v>
      </c>
      <c r="D79" s="49">
        <f>AVERAGE('26.07 Bulenga-Busega-24h'!D79,'27.07 Bulenga-Busega-24h'!D79,)</f>
        <v>2</v>
      </c>
      <c r="E79" s="49">
        <f>AVERAGE('26.07 Bulenga-Busega-24h'!E79,'27.07 Bulenga-Busega-24h'!E79,)</f>
        <v>2.6666666666666665</v>
      </c>
      <c r="F79" s="49">
        <f>AVERAGE('26.07 Bulenga-Busega-24h'!F79,'27.07 Bulenga-Busega-24h'!F79,)</f>
        <v>2.6666666666666665</v>
      </c>
      <c r="G79" s="49">
        <f>AVERAGE('26.07 Bulenga-Busega-24h'!G79,'27.07 Bulenga-Busega-24h'!G79,)</f>
        <v>0</v>
      </c>
      <c r="H79" s="49">
        <f>AVERAGE('26.07 Bulenga-Busega-24h'!H79,'27.07 Bulenga-Busega-24h'!H79,)</f>
        <v>0.33333333333333331</v>
      </c>
      <c r="I79" s="49">
        <f>AVERAGE('26.07 Bulenga-Busega-24h'!I79,'27.07 Bulenga-Busega-24h'!I79,)</f>
        <v>5.666666666666667</v>
      </c>
      <c r="J79" s="49">
        <f>AVERAGE('26.07 Bulenga-Busega-24h'!J79,'27.07 Bulenga-Busega-24h'!J79,)</f>
        <v>1</v>
      </c>
      <c r="K79" s="49">
        <f>AVERAGE('26.07 Bulenga-Busega-24h'!K79,'27.07 Bulenga-Busega-24h'!K79,)</f>
        <v>1</v>
      </c>
      <c r="L79" s="49">
        <f>AVERAGE('26.07 Bulenga-Busega-24h'!L79,'27.07 Bulenga-Busega-24h'!L79,)</f>
        <v>1</v>
      </c>
      <c r="M79" s="49">
        <f>AVERAGE('26.07 Bulenga-Busega-24h'!M79,'27.07 Bulenga-Busega-24h'!M79,)</f>
        <v>30.333333333333332</v>
      </c>
      <c r="N79" s="49">
        <f>AVERAGE('26.07 Bulenga-Busega-24h'!N79,'27.07 Bulenga-Busega-24h'!N79,)</f>
        <v>0</v>
      </c>
      <c r="O79" s="15">
        <f t="shared" si="36"/>
        <v>33</v>
      </c>
      <c r="P79" s="15">
        <f t="shared" si="35"/>
        <v>63.333333333333329</v>
      </c>
      <c r="R79" s="8"/>
      <c r="T79"/>
    </row>
    <row r="80" spans="2:20" ht="23.1" customHeight="1" x14ac:dyDescent="0.25">
      <c r="B80" s="25" t="s">
        <v>120</v>
      </c>
      <c r="C80" s="49">
        <f>AVERAGE('26.07 Bulenga-Busega-24h'!C80,'27.07 Bulenga-Busega-24h'!C80,)</f>
        <v>25</v>
      </c>
      <c r="D80" s="49">
        <f>AVERAGE('26.07 Bulenga-Busega-24h'!D80,'27.07 Bulenga-Busega-24h'!D80,)</f>
        <v>3.3333333333333335</v>
      </c>
      <c r="E80" s="49">
        <f>AVERAGE('26.07 Bulenga-Busega-24h'!E80,'27.07 Bulenga-Busega-24h'!E80,)</f>
        <v>0.33333333333333331</v>
      </c>
      <c r="F80" s="49">
        <f>AVERAGE('26.07 Bulenga-Busega-24h'!F80,'27.07 Bulenga-Busega-24h'!F80,)</f>
        <v>4.333333333333333</v>
      </c>
      <c r="G80" s="49">
        <f>AVERAGE('26.07 Bulenga-Busega-24h'!G80,'27.07 Bulenga-Busega-24h'!G80,)</f>
        <v>0.33333333333333331</v>
      </c>
      <c r="H80" s="49">
        <f>AVERAGE('26.07 Bulenga-Busega-24h'!H80,'27.07 Bulenga-Busega-24h'!H80,)</f>
        <v>1</v>
      </c>
      <c r="I80" s="49">
        <f>AVERAGE('26.07 Bulenga-Busega-24h'!I80,'27.07 Bulenga-Busega-24h'!I80,)</f>
        <v>5.666666666666667</v>
      </c>
      <c r="J80" s="49">
        <f>AVERAGE('26.07 Bulenga-Busega-24h'!J80,'27.07 Bulenga-Busega-24h'!J80,)</f>
        <v>1</v>
      </c>
      <c r="K80" s="49">
        <f>AVERAGE('26.07 Bulenga-Busega-24h'!K80,'27.07 Bulenga-Busega-24h'!K80,)</f>
        <v>2.6666666666666665</v>
      </c>
      <c r="L80" s="49">
        <f>AVERAGE('26.07 Bulenga-Busega-24h'!L80,'27.07 Bulenga-Busega-24h'!L80,)</f>
        <v>0</v>
      </c>
      <c r="M80" s="49">
        <f>AVERAGE('26.07 Bulenga-Busega-24h'!M80,'27.07 Bulenga-Busega-24h'!M80,)</f>
        <v>39.666666666666664</v>
      </c>
      <c r="N80" s="49">
        <f>AVERAGE('26.07 Bulenga-Busega-24h'!N80,'27.07 Bulenga-Busega-24h'!N80,)</f>
        <v>0</v>
      </c>
      <c r="O80" s="15">
        <f t="shared" si="36"/>
        <v>43.666666666666664</v>
      </c>
      <c r="P80" s="15">
        <f t="shared" si="35"/>
        <v>83.333333333333329</v>
      </c>
      <c r="R80" s="8"/>
      <c r="T80"/>
    </row>
    <row r="81" spans="2:20" ht="23.1" customHeight="1" x14ac:dyDescent="0.25">
      <c r="B81" s="23" t="s">
        <v>121</v>
      </c>
      <c r="C81" s="49">
        <f>AVERAGE('26.07 Bulenga-Busega-24h'!C81,'27.07 Bulenga-Busega-24h'!C81,)</f>
        <v>22.666666666666668</v>
      </c>
      <c r="D81" s="49">
        <f>AVERAGE('26.07 Bulenga-Busega-24h'!D81,'27.07 Bulenga-Busega-24h'!D81,)</f>
        <v>2</v>
      </c>
      <c r="E81" s="49">
        <f>AVERAGE('26.07 Bulenga-Busega-24h'!E81,'27.07 Bulenga-Busega-24h'!E81,)</f>
        <v>0.33333333333333331</v>
      </c>
      <c r="F81" s="49">
        <f>AVERAGE('26.07 Bulenga-Busega-24h'!F81,'27.07 Bulenga-Busega-24h'!F81,)</f>
        <v>2</v>
      </c>
      <c r="G81" s="49">
        <f>AVERAGE('26.07 Bulenga-Busega-24h'!G81,'27.07 Bulenga-Busega-24h'!G81,)</f>
        <v>0</v>
      </c>
      <c r="H81" s="49">
        <f>AVERAGE('26.07 Bulenga-Busega-24h'!H81,'27.07 Bulenga-Busega-24h'!H81,)</f>
        <v>0.33333333333333331</v>
      </c>
      <c r="I81" s="49">
        <f>AVERAGE('26.07 Bulenga-Busega-24h'!I81,'27.07 Bulenga-Busega-24h'!I81,)</f>
        <v>2</v>
      </c>
      <c r="J81" s="49">
        <f>AVERAGE('26.07 Bulenga-Busega-24h'!J81,'27.07 Bulenga-Busega-24h'!J81,)</f>
        <v>0</v>
      </c>
      <c r="K81" s="49">
        <f>AVERAGE('26.07 Bulenga-Busega-24h'!K81,'27.07 Bulenga-Busega-24h'!K81,)</f>
        <v>1</v>
      </c>
      <c r="L81" s="49">
        <f>AVERAGE('26.07 Bulenga-Busega-24h'!L81,'27.07 Bulenga-Busega-24h'!L81,)</f>
        <v>0</v>
      </c>
      <c r="M81" s="49">
        <f>AVERAGE('26.07 Bulenga-Busega-24h'!M81,'27.07 Bulenga-Busega-24h'!M81,)</f>
        <v>34</v>
      </c>
      <c r="N81" s="49">
        <f>AVERAGE('26.07 Bulenga-Busega-24h'!N81,'27.07 Bulenga-Busega-24h'!N81,)</f>
        <v>0</v>
      </c>
      <c r="O81" s="15">
        <f t="shared" si="36"/>
        <v>30.333333333333332</v>
      </c>
      <c r="P81" s="15">
        <f t="shared" si="35"/>
        <v>64.333333333333329</v>
      </c>
      <c r="R81" s="8"/>
      <c r="T81"/>
    </row>
    <row r="82" spans="2:20" ht="23.1" customHeight="1" x14ac:dyDescent="0.25">
      <c r="B82" s="24" t="s">
        <v>122</v>
      </c>
      <c r="C82" s="49">
        <f>AVERAGE('26.07 Bulenga-Busega-24h'!C82,'27.07 Bulenga-Busega-24h'!C82,)</f>
        <v>39</v>
      </c>
      <c r="D82" s="49">
        <f>AVERAGE('26.07 Bulenga-Busega-24h'!D82,'27.07 Bulenga-Busega-24h'!D82,)</f>
        <v>6.333333333333333</v>
      </c>
      <c r="E82" s="49">
        <f>AVERAGE('26.07 Bulenga-Busega-24h'!E82,'27.07 Bulenga-Busega-24h'!E82,)</f>
        <v>2.3333333333333335</v>
      </c>
      <c r="F82" s="49">
        <f>AVERAGE('26.07 Bulenga-Busega-24h'!F82,'27.07 Bulenga-Busega-24h'!F82,)</f>
        <v>12.333333333333334</v>
      </c>
      <c r="G82" s="49">
        <f>AVERAGE('26.07 Bulenga-Busega-24h'!G82,'27.07 Bulenga-Busega-24h'!G82,)</f>
        <v>0.33333333333333331</v>
      </c>
      <c r="H82" s="49">
        <f>AVERAGE('26.07 Bulenga-Busega-24h'!H82,'27.07 Bulenga-Busega-24h'!H82,)</f>
        <v>0</v>
      </c>
      <c r="I82" s="49">
        <f>AVERAGE('26.07 Bulenga-Busega-24h'!I82,'27.07 Bulenga-Busega-24h'!I82,)</f>
        <v>8.3333333333333339</v>
      </c>
      <c r="J82" s="49">
        <f>AVERAGE('26.07 Bulenga-Busega-24h'!J82,'27.07 Bulenga-Busega-24h'!J82,)</f>
        <v>1</v>
      </c>
      <c r="K82" s="49">
        <f>AVERAGE('26.07 Bulenga-Busega-24h'!K82,'27.07 Bulenga-Busega-24h'!K82,)</f>
        <v>1.3333333333333333</v>
      </c>
      <c r="L82" s="49">
        <f>AVERAGE('26.07 Bulenga-Busega-24h'!L82,'27.07 Bulenga-Busega-24h'!L82,)</f>
        <v>0.66666666666666663</v>
      </c>
      <c r="M82" s="49">
        <f>AVERAGE('26.07 Bulenga-Busega-24h'!M82,'27.07 Bulenga-Busega-24h'!M82,)</f>
        <v>57.333333333333336</v>
      </c>
      <c r="N82" s="49">
        <f>AVERAGE('26.07 Bulenga-Busega-24h'!N82,'27.07 Bulenga-Busega-24h'!N82,)</f>
        <v>0</v>
      </c>
      <c r="O82" s="15">
        <f t="shared" si="36"/>
        <v>71.666666666666671</v>
      </c>
      <c r="P82" s="15">
        <f t="shared" si="35"/>
        <v>129</v>
      </c>
      <c r="R82" s="8"/>
      <c r="T82"/>
    </row>
    <row r="83" spans="2:20" ht="23.1" customHeight="1" x14ac:dyDescent="0.25">
      <c r="B83" s="23" t="s">
        <v>123</v>
      </c>
      <c r="C83" s="49">
        <f>AVERAGE('26.07 Bulenga-Busega-24h'!C83,'27.07 Bulenga-Busega-24h'!C83,)</f>
        <v>19</v>
      </c>
      <c r="D83" s="49">
        <f>AVERAGE('26.07 Bulenga-Busega-24h'!D83,'27.07 Bulenga-Busega-24h'!D83,)</f>
        <v>1.3333333333333333</v>
      </c>
      <c r="E83" s="49">
        <f>AVERAGE('26.07 Bulenga-Busega-24h'!E83,'27.07 Bulenga-Busega-24h'!E83,)</f>
        <v>0</v>
      </c>
      <c r="F83" s="49">
        <f>AVERAGE('26.07 Bulenga-Busega-24h'!F83,'27.07 Bulenga-Busega-24h'!F83,)</f>
        <v>0.33333333333333331</v>
      </c>
      <c r="G83" s="49">
        <f>AVERAGE('26.07 Bulenga-Busega-24h'!G83,'27.07 Bulenga-Busega-24h'!G83,)</f>
        <v>0.33333333333333331</v>
      </c>
      <c r="H83" s="49">
        <f>AVERAGE('26.07 Bulenga-Busega-24h'!H83,'27.07 Bulenga-Busega-24h'!H83,)</f>
        <v>0</v>
      </c>
      <c r="I83" s="49">
        <f>AVERAGE('26.07 Bulenga-Busega-24h'!I83,'27.07 Bulenga-Busega-24h'!I83,)</f>
        <v>5</v>
      </c>
      <c r="J83" s="49">
        <f>AVERAGE('26.07 Bulenga-Busega-24h'!J83,'27.07 Bulenga-Busega-24h'!J83,)</f>
        <v>0.33333333333333331</v>
      </c>
      <c r="K83" s="49">
        <f>AVERAGE('26.07 Bulenga-Busega-24h'!K83,'27.07 Bulenga-Busega-24h'!K83,)</f>
        <v>1.3333333333333333</v>
      </c>
      <c r="L83" s="49">
        <f>AVERAGE('26.07 Bulenga-Busega-24h'!L83,'27.07 Bulenga-Busega-24h'!L83,)</f>
        <v>1.3333333333333333</v>
      </c>
      <c r="M83" s="49">
        <f>AVERAGE('26.07 Bulenga-Busega-24h'!M83,'27.07 Bulenga-Busega-24h'!M83,)</f>
        <v>30</v>
      </c>
      <c r="N83" s="49">
        <f>AVERAGE('26.07 Bulenga-Busega-24h'!N83,'27.07 Bulenga-Busega-24h'!N83,)</f>
        <v>0</v>
      </c>
      <c r="O83" s="15">
        <f t="shared" si="36"/>
        <v>28.999999999999993</v>
      </c>
      <c r="P83" s="15">
        <f t="shared" si="35"/>
        <v>58.999999999999993</v>
      </c>
      <c r="R83" s="8"/>
      <c r="T83"/>
    </row>
    <row r="84" spans="2:20" ht="23.1" customHeight="1" x14ac:dyDescent="0.25">
      <c r="B84" s="25" t="s">
        <v>124</v>
      </c>
      <c r="C84" s="49">
        <f>AVERAGE('26.07 Bulenga-Busega-24h'!C84,'27.07 Bulenga-Busega-24h'!C84,)</f>
        <v>32.666666666666664</v>
      </c>
      <c r="D84" s="49">
        <f>AVERAGE('26.07 Bulenga-Busega-24h'!D84,'27.07 Bulenga-Busega-24h'!D84,)</f>
        <v>7.333333333333333</v>
      </c>
      <c r="E84" s="49">
        <f>AVERAGE('26.07 Bulenga-Busega-24h'!E84,'27.07 Bulenga-Busega-24h'!E84,)</f>
        <v>2.6666666666666665</v>
      </c>
      <c r="F84" s="49">
        <f>AVERAGE('26.07 Bulenga-Busega-24h'!F84,'27.07 Bulenga-Busega-24h'!F84,)</f>
        <v>4</v>
      </c>
      <c r="G84" s="49">
        <f>AVERAGE('26.07 Bulenga-Busega-24h'!G84,'27.07 Bulenga-Busega-24h'!G84,)</f>
        <v>0.33333333333333331</v>
      </c>
      <c r="H84" s="49">
        <f>AVERAGE('26.07 Bulenga-Busega-24h'!H84,'27.07 Bulenga-Busega-24h'!H84,)</f>
        <v>0</v>
      </c>
      <c r="I84" s="49">
        <f>AVERAGE('26.07 Bulenga-Busega-24h'!I84,'27.07 Bulenga-Busega-24h'!I84,)</f>
        <v>4.333333333333333</v>
      </c>
      <c r="J84" s="49">
        <f>AVERAGE('26.07 Bulenga-Busega-24h'!J84,'27.07 Bulenga-Busega-24h'!J84,)</f>
        <v>3.3333333333333335</v>
      </c>
      <c r="K84" s="49">
        <f>AVERAGE('26.07 Bulenga-Busega-24h'!K84,'27.07 Bulenga-Busega-24h'!K84,)</f>
        <v>2</v>
      </c>
      <c r="L84" s="49">
        <f>AVERAGE('26.07 Bulenga-Busega-24h'!L84,'27.07 Bulenga-Busega-24h'!L84,)</f>
        <v>0.33333333333333331</v>
      </c>
      <c r="M84" s="49">
        <f>AVERAGE('26.07 Bulenga-Busega-24h'!M84,'27.07 Bulenga-Busega-24h'!M84,)</f>
        <v>40</v>
      </c>
      <c r="N84" s="49">
        <f>AVERAGE('26.07 Bulenga-Busega-24h'!N84,'27.07 Bulenga-Busega-24h'!N84,)</f>
        <v>0</v>
      </c>
      <c r="O84" s="15">
        <f t="shared" si="36"/>
        <v>57.000000000000007</v>
      </c>
      <c r="P84" s="15">
        <f t="shared" si="35"/>
        <v>97</v>
      </c>
      <c r="R84" s="8"/>
      <c r="T84"/>
    </row>
    <row r="85" spans="2:20" ht="23.1" customHeight="1" x14ac:dyDescent="0.25">
      <c r="B85" s="23" t="s">
        <v>125</v>
      </c>
      <c r="C85" s="49">
        <f>AVERAGE('26.07 Bulenga-Busega-24h'!C85,'27.07 Bulenga-Busega-24h'!C85,)</f>
        <v>7.333333333333333</v>
      </c>
      <c r="D85" s="49">
        <f>AVERAGE('26.07 Bulenga-Busega-24h'!D85,'27.07 Bulenga-Busega-24h'!D85,)</f>
        <v>0.33333333333333331</v>
      </c>
      <c r="E85" s="49">
        <f>AVERAGE('26.07 Bulenga-Busega-24h'!E85,'27.07 Bulenga-Busega-24h'!E85,)</f>
        <v>1</v>
      </c>
      <c r="F85" s="49">
        <f>AVERAGE('26.07 Bulenga-Busega-24h'!F85,'27.07 Bulenga-Busega-24h'!F85,)</f>
        <v>0.66666666666666663</v>
      </c>
      <c r="G85" s="49">
        <f>AVERAGE('26.07 Bulenga-Busega-24h'!G85,'27.07 Bulenga-Busega-24h'!G85,)</f>
        <v>0</v>
      </c>
      <c r="H85" s="49">
        <f>AVERAGE('26.07 Bulenga-Busega-24h'!H85,'27.07 Bulenga-Busega-24h'!H85,)</f>
        <v>0.33333333333333331</v>
      </c>
      <c r="I85" s="49">
        <f>AVERAGE('26.07 Bulenga-Busega-24h'!I85,'27.07 Bulenga-Busega-24h'!I85,)</f>
        <v>2.6666666666666665</v>
      </c>
      <c r="J85" s="49">
        <f>AVERAGE('26.07 Bulenga-Busega-24h'!J85,'27.07 Bulenga-Busega-24h'!J85,)</f>
        <v>1.6666666666666667</v>
      </c>
      <c r="K85" s="49">
        <f>AVERAGE('26.07 Bulenga-Busega-24h'!K85,'27.07 Bulenga-Busega-24h'!K85,)</f>
        <v>1.6666666666666667</v>
      </c>
      <c r="L85" s="49">
        <f>AVERAGE('26.07 Bulenga-Busega-24h'!L85,'27.07 Bulenga-Busega-24h'!L85,)</f>
        <v>0.33333333333333331</v>
      </c>
      <c r="M85" s="49">
        <f>AVERAGE('26.07 Bulenga-Busega-24h'!M85,'27.07 Bulenga-Busega-24h'!M85,)</f>
        <v>39</v>
      </c>
      <c r="N85" s="49">
        <f>AVERAGE('26.07 Bulenga-Busega-24h'!N85,'27.07 Bulenga-Busega-24h'!N85,)</f>
        <v>0</v>
      </c>
      <c r="O85" s="15">
        <f t="shared" si="36"/>
        <v>15.999999999999998</v>
      </c>
      <c r="P85" s="15">
        <f t="shared" si="35"/>
        <v>55</v>
      </c>
      <c r="R85" s="8"/>
      <c r="T85"/>
    </row>
    <row r="86" spans="2:20" ht="23.1" customHeight="1" x14ac:dyDescent="0.25">
      <c r="B86" s="24" t="s">
        <v>126</v>
      </c>
      <c r="C86" s="49">
        <f>AVERAGE('26.07 Bulenga-Busega-24h'!C86,'27.07 Bulenga-Busega-24h'!C86,)</f>
        <v>13.666666666666666</v>
      </c>
      <c r="D86" s="49">
        <f>AVERAGE('26.07 Bulenga-Busega-24h'!D86,'27.07 Bulenga-Busega-24h'!D86,)</f>
        <v>1.3333333333333333</v>
      </c>
      <c r="E86" s="49">
        <f>AVERAGE('26.07 Bulenga-Busega-24h'!E86,'27.07 Bulenga-Busega-24h'!E86,)</f>
        <v>0.33333333333333331</v>
      </c>
      <c r="F86" s="49">
        <f>AVERAGE('26.07 Bulenga-Busega-24h'!F86,'27.07 Bulenga-Busega-24h'!F86,)</f>
        <v>1</v>
      </c>
      <c r="G86" s="49">
        <f>AVERAGE('26.07 Bulenga-Busega-24h'!G86,'27.07 Bulenga-Busega-24h'!G86,)</f>
        <v>0</v>
      </c>
      <c r="H86" s="49">
        <f>AVERAGE('26.07 Bulenga-Busega-24h'!H86,'27.07 Bulenga-Busega-24h'!H86,)</f>
        <v>0</v>
      </c>
      <c r="I86" s="49">
        <f>AVERAGE('26.07 Bulenga-Busega-24h'!I86,'27.07 Bulenga-Busega-24h'!I86,)</f>
        <v>4.666666666666667</v>
      </c>
      <c r="J86" s="49">
        <f>AVERAGE('26.07 Bulenga-Busega-24h'!J86,'27.07 Bulenga-Busega-24h'!J86,)</f>
        <v>1.6666666666666667</v>
      </c>
      <c r="K86" s="49">
        <f>AVERAGE('26.07 Bulenga-Busega-24h'!K86,'27.07 Bulenga-Busega-24h'!K86,)</f>
        <v>1.3333333333333333</v>
      </c>
      <c r="L86" s="49">
        <f>AVERAGE('26.07 Bulenga-Busega-24h'!L86,'27.07 Bulenga-Busega-24h'!L86,)</f>
        <v>3.3333333333333335</v>
      </c>
      <c r="M86" s="49">
        <f>AVERAGE('26.07 Bulenga-Busega-24h'!M86,'27.07 Bulenga-Busega-24h'!M86,)</f>
        <v>34.666666666666664</v>
      </c>
      <c r="N86" s="49">
        <f>AVERAGE('26.07 Bulenga-Busega-24h'!N86,'27.07 Bulenga-Busega-24h'!N86,)</f>
        <v>0</v>
      </c>
      <c r="O86" s="15">
        <f t="shared" si="36"/>
        <v>27.333333333333336</v>
      </c>
      <c r="P86" s="15">
        <f t="shared" si="35"/>
        <v>62</v>
      </c>
      <c r="R86" s="8"/>
      <c r="T86"/>
    </row>
    <row r="87" spans="2:20" ht="23.1" customHeight="1" x14ac:dyDescent="0.25">
      <c r="B87" s="23" t="s">
        <v>127</v>
      </c>
      <c r="C87" s="49">
        <f>AVERAGE('26.07 Bulenga-Busega-24h'!C87,'27.07 Bulenga-Busega-24h'!C87,)</f>
        <v>11.666666666666666</v>
      </c>
      <c r="D87" s="49">
        <f>AVERAGE('26.07 Bulenga-Busega-24h'!D87,'27.07 Bulenga-Busega-24h'!D87,)</f>
        <v>1.3333333333333333</v>
      </c>
      <c r="E87" s="49">
        <f>AVERAGE('26.07 Bulenga-Busega-24h'!E87,'27.07 Bulenga-Busega-24h'!E87,)</f>
        <v>0</v>
      </c>
      <c r="F87" s="49">
        <f>AVERAGE('26.07 Bulenga-Busega-24h'!F87,'27.07 Bulenga-Busega-24h'!F87,)</f>
        <v>0.33333333333333331</v>
      </c>
      <c r="G87" s="49">
        <f>AVERAGE('26.07 Bulenga-Busega-24h'!G87,'27.07 Bulenga-Busega-24h'!G87,)</f>
        <v>0</v>
      </c>
      <c r="H87" s="49">
        <f>AVERAGE('26.07 Bulenga-Busega-24h'!H87,'27.07 Bulenga-Busega-24h'!H87,)</f>
        <v>0.66666666666666663</v>
      </c>
      <c r="I87" s="49">
        <f>AVERAGE('26.07 Bulenga-Busega-24h'!I87,'27.07 Bulenga-Busega-24h'!I87,)</f>
        <v>5</v>
      </c>
      <c r="J87" s="49">
        <f>AVERAGE('26.07 Bulenga-Busega-24h'!J87,'27.07 Bulenga-Busega-24h'!J87,)</f>
        <v>1.6666666666666667</v>
      </c>
      <c r="K87" s="49">
        <f>AVERAGE('26.07 Bulenga-Busega-24h'!K87,'27.07 Bulenga-Busega-24h'!K87,)</f>
        <v>0.33333333333333331</v>
      </c>
      <c r="L87" s="49">
        <f>AVERAGE('26.07 Bulenga-Busega-24h'!L87,'27.07 Bulenga-Busega-24h'!L87,)</f>
        <v>0</v>
      </c>
      <c r="M87" s="49">
        <f>AVERAGE('26.07 Bulenga-Busega-24h'!M87,'27.07 Bulenga-Busega-24h'!M87,)</f>
        <v>30</v>
      </c>
      <c r="N87" s="49">
        <f>AVERAGE('26.07 Bulenga-Busega-24h'!N87,'27.07 Bulenga-Busega-24h'!N87,)</f>
        <v>0</v>
      </c>
      <c r="O87" s="15">
        <f t="shared" si="36"/>
        <v>21</v>
      </c>
      <c r="P87" s="15">
        <f t="shared" si="35"/>
        <v>51</v>
      </c>
      <c r="R87" s="8"/>
      <c r="T87"/>
    </row>
    <row r="88" spans="2:20" ht="23.1" customHeight="1" x14ac:dyDescent="0.25">
      <c r="B88" s="25" t="s">
        <v>128</v>
      </c>
      <c r="C88" s="49">
        <f>AVERAGE('26.07 Bulenga-Busega-24h'!C88,'27.07 Bulenga-Busega-24h'!C88,)</f>
        <v>10</v>
      </c>
      <c r="D88" s="49">
        <f>AVERAGE('26.07 Bulenga-Busega-24h'!D88,'27.07 Bulenga-Busega-24h'!D88,)</f>
        <v>1</v>
      </c>
      <c r="E88" s="49">
        <f>AVERAGE('26.07 Bulenga-Busega-24h'!E88,'27.07 Bulenga-Busega-24h'!E88,)</f>
        <v>0.66666666666666663</v>
      </c>
      <c r="F88" s="49">
        <f>AVERAGE('26.07 Bulenga-Busega-24h'!F88,'27.07 Bulenga-Busega-24h'!F88,)</f>
        <v>1</v>
      </c>
      <c r="G88" s="49">
        <f>AVERAGE('26.07 Bulenga-Busega-24h'!G88,'27.07 Bulenga-Busega-24h'!G88,)</f>
        <v>0.33333333333333331</v>
      </c>
      <c r="H88" s="49">
        <f>AVERAGE('26.07 Bulenga-Busega-24h'!H88,'27.07 Bulenga-Busega-24h'!H88,)</f>
        <v>0</v>
      </c>
      <c r="I88" s="49">
        <f>AVERAGE('26.07 Bulenga-Busega-24h'!I88,'27.07 Bulenga-Busega-24h'!I88,)</f>
        <v>1.3333333333333333</v>
      </c>
      <c r="J88" s="49">
        <f>AVERAGE('26.07 Bulenga-Busega-24h'!J88,'27.07 Bulenga-Busega-24h'!J88,)</f>
        <v>1</v>
      </c>
      <c r="K88" s="49">
        <f>AVERAGE('26.07 Bulenga-Busega-24h'!K88,'27.07 Bulenga-Busega-24h'!K88,)</f>
        <v>3</v>
      </c>
      <c r="L88" s="49">
        <f>AVERAGE('26.07 Bulenga-Busega-24h'!L88,'27.07 Bulenga-Busega-24h'!L88,)</f>
        <v>0.66666666666666663</v>
      </c>
      <c r="M88" s="49">
        <f>AVERAGE('26.07 Bulenga-Busega-24h'!M88,'27.07 Bulenga-Busega-24h'!M88,)</f>
        <v>27.666666666666668</v>
      </c>
      <c r="N88" s="49">
        <f>AVERAGE('26.07 Bulenga-Busega-24h'!N88,'27.07 Bulenga-Busega-24h'!N88,)</f>
        <v>0</v>
      </c>
      <c r="O88" s="15">
        <f t="shared" si="36"/>
        <v>19.000000000000004</v>
      </c>
      <c r="P88" s="15">
        <f t="shared" si="35"/>
        <v>46.666666666666671</v>
      </c>
      <c r="R88" s="8"/>
      <c r="T88"/>
    </row>
    <row r="89" spans="2:20" ht="23.1" customHeight="1" x14ac:dyDescent="0.25">
      <c r="B89" s="23" t="s">
        <v>129</v>
      </c>
      <c r="C89" s="49">
        <f>AVERAGE('26.07 Bulenga-Busega-24h'!C89,'27.07 Bulenga-Busega-24h'!C89,)</f>
        <v>7</v>
      </c>
      <c r="D89" s="49">
        <f>AVERAGE('26.07 Bulenga-Busega-24h'!D89,'27.07 Bulenga-Busega-24h'!D89,)</f>
        <v>0</v>
      </c>
      <c r="E89" s="49">
        <f>AVERAGE('26.07 Bulenga-Busega-24h'!E89,'27.07 Bulenga-Busega-24h'!E89,)</f>
        <v>1.3333333333333333</v>
      </c>
      <c r="F89" s="49">
        <f>AVERAGE('26.07 Bulenga-Busega-24h'!F89,'27.07 Bulenga-Busega-24h'!F89,)</f>
        <v>1.3333333333333333</v>
      </c>
      <c r="G89" s="49">
        <f>AVERAGE('26.07 Bulenga-Busega-24h'!G89,'27.07 Bulenga-Busega-24h'!G89,)</f>
        <v>0.33333333333333331</v>
      </c>
      <c r="H89" s="49">
        <f>AVERAGE('26.07 Bulenga-Busega-24h'!H89,'27.07 Bulenga-Busega-24h'!H89,)</f>
        <v>0</v>
      </c>
      <c r="I89" s="49">
        <f>AVERAGE('26.07 Bulenga-Busega-24h'!I89,'27.07 Bulenga-Busega-24h'!I89,)</f>
        <v>2</v>
      </c>
      <c r="J89" s="49">
        <f>AVERAGE('26.07 Bulenga-Busega-24h'!J89,'27.07 Bulenga-Busega-24h'!J89,)</f>
        <v>0.66666666666666663</v>
      </c>
      <c r="K89" s="49">
        <f>AVERAGE('26.07 Bulenga-Busega-24h'!K89,'27.07 Bulenga-Busega-24h'!K89,)</f>
        <v>0.66666666666666663</v>
      </c>
      <c r="L89" s="49">
        <f>AVERAGE('26.07 Bulenga-Busega-24h'!L89,'27.07 Bulenga-Busega-24h'!L89,)</f>
        <v>0</v>
      </c>
      <c r="M89" s="49">
        <f>AVERAGE('26.07 Bulenga-Busega-24h'!M89,'27.07 Bulenga-Busega-24h'!M89,)</f>
        <v>21.333333333333332</v>
      </c>
      <c r="N89" s="49">
        <f>AVERAGE('26.07 Bulenga-Busega-24h'!N89,'27.07 Bulenga-Busega-24h'!N89,)</f>
        <v>0</v>
      </c>
      <c r="O89" s="15">
        <f t="shared" si="36"/>
        <v>13.333333333333334</v>
      </c>
      <c r="P89" s="15">
        <f t="shared" si="35"/>
        <v>34.666666666666664</v>
      </c>
      <c r="R89" s="8"/>
      <c r="T89"/>
    </row>
    <row r="90" spans="2:20" ht="23.1" customHeight="1" x14ac:dyDescent="0.25">
      <c r="B90" s="24" t="s">
        <v>130</v>
      </c>
      <c r="C90" s="49">
        <f>AVERAGE('26.07 Bulenga-Busega-24h'!C90,'27.07 Bulenga-Busega-24h'!C90,)</f>
        <v>8.6666666666666661</v>
      </c>
      <c r="D90" s="49">
        <f>AVERAGE('26.07 Bulenga-Busega-24h'!D90,'27.07 Bulenga-Busega-24h'!D90,)</f>
        <v>2.6666666666666665</v>
      </c>
      <c r="E90" s="49">
        <f>AVERAGE('26.07 Bulenga-Busega-24h'!E90,'27.07 Bulenga-Busega-24h'!E90,)</f>
        <v>0</v>
      </c>
      <c r="F90" s="49">
        <f>AVERAGE('26.07 Bulenga-Busega-24h'!F90,'27.07 Bulenga-Busega-24h'!F90,)</f>
        <v>1</v>
      </c>
      <c r="G90" s="49">
        <f>AVERAGE('26.07 Bulenga-Busega-24h'!G90,'27.07 Bulenga-Busega-24h'!G90,)</f>
        <v>0.33333333333333331</v>
      </c>
      <c r="H90" s="49">
        <f>AVERAGE('26.07 Bulenga-Busega-24h'!H90,'27.07 Bulenga-Busega-24h'!H90,)</f>
        <v>0</v>
      </c>
      <c r="I90" s="49">
        <f>AVERAGE('26.07 Bulenga-Busega-24h'!I90,'27.07 Bulenga-Busega-24h'!I90,)</f>
        <v>3.3333333333333335</v>
      </c>
      <c r="J90" s="49">
        <f>AVERAGE('26.07 Bulenga-Busega-24h'!J90,'27.07 Bulenga-Busega-24h'!J90,)</f>
        <v>3.3333333333333335</v>
      </c>
      <c r="K90" s="49">
        <f>AVERAGE('26.07 Bulenga-Busega-24h'!K90,'27.07 Bulenga-Busega-24h'!K90,)</f>
        <v>1.6666666666666667</v>
      </c>
      <c r="L90" s="49">
        <f>AVERAGE('26.07 Bulenga-Busega-24h'!L90,'27.07 Bulenga-Busega-24h'!L90,)</f>
        <v>1.3333333333333333</v>
      </c>
      <c r="M90" s="49">
        <f>AVERAGE('26.07 Bulenga-Busega-24h'!M90,'27.07 Bulenga-Busega-24h'!M90,)</f>
        <v>19.666666666666668</v>
      </c>
      <c r="N90" s="49">
        <f>AVERAGE('26.07 Bulenga-Busega-24h'!N90,'27.07 Bulenga-Busega-24h'!N90,)</f>
        <v>0</v>
      </c>
      <c r="O90" s="15">
        <f t="shared" si="36"/>
        <v>22.333333333333332</v>
      </c>
      <c r="P90" s="15">
        <f t="shared" si="35"/>
        <v>42</v>
      </c>
      <c r="R90" s="8"/>
      <c r="T90"/>
    </row>
    <row r="91" spans="2:20" ht="23.1" customHeight="1" x14ac:dyDescent="0.25">
      <c r="B91" s="23" t="s">
        <v>131</v>
      </c>
      <c r="C91" s="49">
        <f>AVERAGE('26.07 Bulenga-Busega-24h'!C91,'27.07 Bulenga-Busega-24h'!C91,)</f>
        <v>11</v>
      </c>
      <c r="D91" s="49">
        <f>AVERAGE('26.07 Bulenga-Busega-24h'!D91,'27.07 Bulenga-Busega-24h'!D91,)</f>
        <v>2</v>
      </c>
      <c r="E91" s="49">
        <f>AVERAGE('26.07 Bulenga-Busega-24h'!E91,'27.07 Bulenga-Busega-24h'!E91,)</f>
        <v>2</v>
      </c>
      <c r="F91" s="49">
        <f>AVERAGE('26.07 Bulenga-Busega-24h'!F91,'27.07 Bulenga-Busega-24h'!F91,)</f>
        <v>0.66666666666666663</v>
      </c>
      <c r="G91" s="49">
        <f>AVERAGE('26.07 Bulenga-Busega-24h'!G91,'27.07 Bulenga-Busega-24h'!G91,)</f>
        <v>0.33333333333333331</v>
      </c>
      <c r="H91" s="49">
        <f>AVERAGE('26.07 Bulenga-Busega-24h'!H91,'27.07 Bulenga-Busega-24h'!H91,)</f>
        <v>0.33333333333333331</v>
      </c>
      <c r="I91" s="49">
        <f>AVERAGE('26.07 Bulenga-Busega-24h'!I91,'27.07 Bulenga-Busega-24h'!I91,)</f>
        <v>3</v>
      </c>
      <c r="J91" s="49">
        <f>AVERAGE('26.07 Bulenga-Busega-24h'!J91,'27.07 Bulenga-Busega-24h'!J91,)</f>
        <v>4</v>
      </c>
      <c r="K91" s="49">
        <f>AVERAGE('26.07 Bulenga-Busega-24h'!K91,'27.07 Bulenga-Busega-24h'!K91,)</f>
        <v>1.6666666666666667</v>
      </c>
      <c r="L91" s="49">
        <f>AVERAGE('26.07 Bulenga-Busega-24h'!L91,'27.07 Bulenga-Busega-24h'!L91,)</f>
        <v>0</v>
      </c>
      <c r="M91" s="49">
        <f>AVERAGE('26.07 Bulenga-Busega-24h'!M91,'27.07 Bulenga-Busega-24h'!M91,)</f>
        <v>18.333333333333332</v>
      </c>
      <c r="N91" s="49">
        <f>AVERAGE('26.07 Bulenga-Busega-24h'!N91,'27.07 Bulenga-Busega-24h'!N91,)</f>
        <v>0</v>
      </c>
      <c r="O91" s="15">
        <f t="shared" si="36"/>
        <v>25</v>
      </c>
      <c r="P91" s="15">
        <f t="shared" si="35"/>
        <v>43.333333333333329</v>
      </c>
      <c r="R91" s="8"/>
      <c r="T91"/>
    </row>
    <row r="92" spans="2:20" ht="23.1" customHeight="1" x14ac:dyDescent="0.25">
      <c r="B92" s="25" t="s">
        <v>132</v>
      </c>
      <c r="C92" s="49">
        <f>AVERAGE('26.07 Bulenga-Busega-24h'!C92,'27.07 Bulenga-Busega-24h'!C92,)</f>
        <v>13.666666666666666</v>
      </c>
      <c r="D92" s="49">
        <f>AVERAGE('26.07 Bulenga-Busega-24h'!D92,'27.07 Bulenga-Busega-24h'!D92,)</f>
        <v>3</v>
      </c>
      <c r="E92" s="49">
        <f>AVERAGE('26.07 Bulenga-Busega-24h'!E92,'27.07 Bulenga-Busega-24h'!E92,)</f>
        <v>0</v>
      </c>
      <c r="F92" s="49">
        <f>AVERAGE('26.07 Bulenga-Busega-24h'!F92,'27.07 Bulenga-Busega-24h'!F92,)</f>
        <v>1.6666666666666667</v>
      </c>
      <c r="G92" s="49">
        <f>AVERAGE('26.07 Bulenga-Busega-24h'!G92,'27.07 Bulenga-Busega-24h'!G92,)</f>
        <v>0</v>
      </c>
      <c r="H92" s="49">
        <f>AVERAGE('26.07 Bulenga-Busega-24h'!H92,'27.07 Bulenga-Busega-24h'!H92,)</f>
        <v>0.33333333333333331</v>
      </c>
      <c r="I92" s="49">
        <f>AVERAGE('26.07 Bulenga-Busega-24h'!I92,'27.07 Bulenga-Busega-24h'!I92,)</f>
        <v>2.3333333333333335</v>
      </c>
      <c r="J92" s="49">
        <f>AVERAGE('26.07 Bulenga-Busega-24h'!J92,'27.07 Bulenga-Busega-24h'!J92,)</f>
        <v>1.3333333333333333</v>
      </c>
      <c r="K92" s="49">
        <f>AVERAGE('26.07 Bulenga-Busega-24h'!K92,'27.07 Bulenga-Busega-24h'!K92,)</f>
        <v>2.6666666666666665</v>
      </c>
      <c r="L92" s="49">
        <f>AVERAGE('26.07 Bulenga-Busega-24h'!L92,'27.07 Bulenga-Busega-24h'!L92,)</f>
        <v>1.3333333333333333</v>
      </c>
      <c r="M92" s="49">
        <f>AVERAGE('26.07 Bulenga-Busega-24h'!M92,'27.07 Bulenga-Busega-24h'!M92,)</f>
        <v>16.333333333333332</v>
      </c>
      <c r="N92" s="49">
        <f>AVERAGE('26.07 Bulenga-Busega-24h'!N92,'27.07 Bulenga-Busega-24h'!N92,)</f>
        <v>0.33333333333333331</v>
      </c>
      <c r="O92" s="15">
        <f t="shared" si="36"/>
        <v>26.666666666666661</v>
      </c>
      <c r="P92" s="15">
        <f t="shared" si="35"/>
        <v>42.999999999999993</v>
      </c>
      <c r="R92" s="8"/>
      <c r="T92"/>
    </row>
    <row r="93" spans="2:20" ht="23.1" customHeight="1" x14ac:dyDescent="0.25">
      <c r="B93" s="23" t="s">
        <v>133</v>
      </c>
      <c r="C93" s="49">
        <f>AVERAGE('26.07 Bulenga-Busega-24h'!C93,'27.07 Bulenga-Busega-24h'!C93,)</f>
        <v>4.666666666666667</v>
      </c>
      <c r="D93" s="49">
        <f>AVERAGE('26.07 Bulenga-Busega-24h'!D93,'27.07 Bulenga-Busega-24h'!D93,)</f>
        <v>3.6666666666666665</v>
      </c>
      <c r="E93" s="49">
        <f>AVERAGE('26.07 Bulenga-Busega-24h'!E93,'27.07 Bulenga-Busega-24h'!E93,)</f>
        <v>0.33333333333333331</v>
      </c>
      <c r="F93" s="49">
        <f>AVERAGE('26.07 Bulenga-Busega-24h'!F93,'27.07 Bulenga-Busega-24h'!F93,)</f>
        <v>0</v>
      </c>
      <c r="G93" s="49">
        <f>AVERAGE('26.07 Bulenga-Busega-24h'!G93,'27.07 Bulenga-Busega-24h'!G93,)</f>
        <v>0</v>
      </c>
      <c r="H93" s="49">
        <f>AVERAGE('26.07 Bulenga-Busega-24h'!H93,'27.07 Bulenga-Busega-24h'!H93,)</f>
        <v>0</v>
      </c>
      <c r="I93" s="49">
        <f>AVERAGE('26.07 Bulenga-Busega-24h'!I93,'27.07 Bulenga-Busega-24h'!I93,)</f>
        <v>0.66666666666666663</v>
      </c>
      <c r="J93" s="49">
        <f>AVERAGE('26.07 Bulenga-Busega-24h'!J93,'27.07 Bulenga-Busega-24h'!J93,)</f>
        <v>1.3333333333333333</v>
      </c>
      <c r="K93" s="49">
        <f>AVERAGE('26.07 Bulenga-Busega-24h'!K93,'27.07 Bulenga-Busega-24h'!K93,)</f>
        <v>1.6666666666666667</v>
      </c>
      <c r="L93" s="49">
        <f>AVERAGE('26.07 Bulenga-Busega-24h'!L93,'27.07 Bulenga-Busega-24h'!L93,)</f>
        <v>0</v>
      </c>
      <c r="M93" s="49">
        <f>AVERAGE('26.07 Bulenga-Busega-24h'!M93,'27.07 Bulenga-Busega-24h'!M93,)</f>
        <v>20.333333333333332</v>
      </c>
      <c r="N93" s="49">
        <f>AVERAGE('26.07 Bulenga-Busega-24h'!N93,'27.07 Bulenga-Busega-24h'!N93,)</f>
        <v>0</v>
      </c>
      <c r="O93" s="15">
        <f t="shared" si="36"/>
        <v>12.333333333333334</v>
      </c>
      <c r="P93" s="15">
        <f t="shared" si="35"/>
        <v>32.666666666666664</v>
      </c>
      <c r="R93" s="8"/>
      <c r="T93"/>
    </row>
    <row r="94" spans="2:20" ht="23.1" customHeight="1" x14ac:dyDescent="0.25">
      <c r="B94" s="24" t="s">
        <v>134</v>
      </c>
      <c r="C94" s="49">
        <f>AVERAGE('26.07 Bulenga-Busega-24h'!C94,'27.07 Bulenga-Busega-24h'!C94,)</f>
        <v>9.3333333333333339</v>
      </c>
      <c r="D94" s="49">
        <f>AVERAGE('26.07 Bulenga-Busega-24h'!D94,'27.07 Bulenga-Busega-24h'!D94,)</f>
        <v>2.3333333333333335</v>
      </c>
      <c r="E94" s="49">
        <f>AVERAGE('26.07 Bulenga-Busega-24h'!E94,'27.07 Bulenga-Busega-24h'!E94,)</f>
        <v>0.66666666666666663</v>
      </c>
      <c r="F94" s="49">
        <f>AVERAGE('26.07 Bulenga-Busega-24h'!F94,'27.07 Bulenga-Busega-24h'!F94,)</f>
        <v>2.3333333333333335</v>
      </c>
      <c r="G94" s="49">
        <f>AVERAGE('26.07 Bulenga-Busega-24h'!G94,'27.07 Bulenga-Busega-24h'!G94,)</f>
        <v>0</v>
      </c>
      <c r="H94" s="49">
        <f>AVERAGE('26.07 Bulenga-Busega-24h'!H94,'27.07 Bulenga-Busega-24h'!H94,)</f>
        <v>0.33333333333333331</v>
      </c>
      <c r="I94" s="49">
        <f>AVERAGE('26.07 Bulenga-Busega-24h'!I94,'27.07 Bulenga-Busega-24h'!I94,)</f>
        <v>1.3333333333333333</v>
      </c>
      <c r="J94" s="49">
        <f>AVERAGE('26.07 Bulenga-Busega-24h'!J94,'27.07 Bulenga-Busega-24h'!J94,)</f>
        <v>1.6666666666666667</v>
      </c>
      <c r="K94" s="49">
        <f>AVERAGE('26.07 Bulenga-Busega-24h'!K94,'27.07 Bulenga-Busega-24h'!K94,)</f>
        <v>1.3333333333333333</v>
      </c>
      <c r="L94" s="49">
        <f>AVERAGE('26.07 Bulenga-Busega-24h'!L94,'27.07 Bulenga-Busega-24h'!L94,)</f>
        <v>0.33333333333333331</v>
      </c>
      <c r="M94" s="49">
        <f>AVERAGE('26.07 Bulenga-Busega-24h'!M94,'27.07 Bulenga-Busega-24h'!M94,)</f>
        <v>20.666666666666668</v>
      </c>
      <c r="N94" s="49">
        <f>AVERAGE('26.07 Bulenga-Busega-24h'!N94,'27.07 Bulenga-Busega-24h'!N94,)</f>
        <v>0</v>
      </c>
      <c r="O94" s="15">
        <f t="shared" si="36"/>
        <v>19.666666666666668</v>
      </c>
      <c r="P94" s="15">
        <f t="shared" si="35"/>
        <v>40.333333333333336</v>
      </c>
      <c r="R94" s="8"/>
      <c r="T94"/>
    </row>
    <row r="95" spans="2:20" ht="23.1" customHeight="1" x14ac:dyDescent="0.25">
      <c r="B95" s="23" t="s">
        <v>135</v>
      </c>
      <c r="C95" s="49">
        <f>AVERAGE('26.07 Bulenga-Busega-24h'!C95,'27.07 Bulenga-Busega-24h'!C95,)</f>
        <v>8</v>
      </c>
      <c r="D95" s="49">
        <f>AVERAGE('26.07 Bulenga-Busega-24h'!D95,'27.07 Bulenga-Busega-24h'!D95,)</f>
        <v>7</v>
      </c>
      <c r="E95" s="49">
        <f>AVERAGE('26.07 Bulenga-Busega-24h'!E95,'27.07 Bulenga-Busega-24h'!E95,)</f>
        <v>0</v>
      </c>
      <c r="F95" s="49">
        <f>AVERAGE('26.07 Bulenga-Busega-24h'!F95,'27.07 Bulenga-Busega-24h'!F95,)</f>
        <v>5</v>
      </c>
      <c r="G95" s="49">
        <f>AVERAGE('26.07 Bulenga-Busega-24h'!G95,'27.07 Bulenga-Busega-24h'!G95,)</f>
        <v>0</v>
      </c>
      <c r="H95" s="49">
        <f>AVERAGE('26.07 Bulenga-Busega-24h'!H95,'27.07 Bulenga-Busega-24h'!H95,)</f>
        <v>0.33333333333333331</v>
      </c>
      <c r="I95" s="49">
        <f>AVERAGE('26.07 Bulenga-Busega-24h'!I95,'27.07 Bulenga-Busega-24h'!I95,)</f>
        <v>1</v>
      </c>
      <c r="J95" s="49">
        <f>AVERAGE('26.07 Bulenga-Busega-24h'!J95,'27.07 Bulenga-Busega-24h'!J95,)</f>
        <v>0.33333333333333331</v>
      </c>
      <c r="K95" s="49">
        <f>AVERAGE('26.07 Bulenga-Busega-24h'!K95,'27.07 Bulenga-Busega-24h'!K95,)</f>
        <v>0.66666666666666663</v>
      </c>
      <c r="L95" s="49">
        <f>AVERAGE('26.07 Bulenga-Busega-24h'!L95,'27.07 Bulenga-Busega-24h'!L95,)</f>
        <v>0.66666666666666663</v>
      </c>
      <c r="M95" s="49">
        <f>AVERAGE('26.07 Bulenga-Busega-24h'!M95,'27.07 Bulenga-Busega-24h'!M95,)</f>
        <v>22</v>
      </c>
      <c r="N95" s="49">
        <f>AVERAGE('26.07 Bulenga-Busega-24h'!N95,'27.07 Bulenga-Busega-24h'!N95,)</f>
        <v>0</v>
      </c>
      <c r="O95" s="15">
        <f t="shared" si="36"/>
        <v>23</v>
      </c>
      <c r="P95" s="15">
        <f t="shared" si="35"/>
        <v>45</v>
      </c>
      <c r="R95" s="8"/>
      <c r="T95"/>
    </row>
    <row r="96" spans="2:20" ht="23.1" customHeight="1" x14ac:dyDescent="0.25">
      <c r="B96" s="25" t="s">
        <v>136</v>
      </c>
      <c r="C96" s="49">
        <f>AVERAGE('26.07 Bulenga-Busega-24h'!C96,'27.07 Bulenga-Busega-24h'!C96,)</f>
        <v>3.6666666666666665</v>
      </c>
      <c r="D96" s="49">
        <f>AVERAGE('26.07 Bulenga-Busega-24h'!D96,'27.07 Bulenga-Busega-24h'!D96,)</f>
        <v>2.3333333333333335</v>
      </c>
      <c r="E96" s="49">
        <f>AVERAGE('26.07 Bulenga-Busega-24h'!E96,'27.07 Bulenga-Busega-24h'!E96,)</f>
        <v>0</v>
      </c>
      <c r="F96" s="49">
        <f>AVERAGE('26.07 Bulenga-Busega-24h'!F96,'27.07 Bulenga-Busega-24h'!F96,)</f>
        <v>4</v>
      </c>
      <c r="G96" s="49">
        <f>AVERAGE('26.07 Bulenga-Busega-24h'!G96,'27.07 Bulenga-Busega-24h'!G96,)</f>
        <v>0</v>
      </c>
      <c r="H96" s="49">
        <f>AVERAGE('26.07 Bulenga-Busega-24h'!H96,'27.07 Bulenga-Busega-24h'!H96,)</f>
        <v>0</v>
      </c>
      <c r="I96" s="49">
        <f>AVERAGE('26.07 Bulenga-Busega-24h'!I96,'27.07 Bulenga-Busega-24h'!I96,)</f>
        <v>1.3333333333333333</v>
      </c>
      <c r="J96" s="49">
        <f>AVERAGE('26.07 Bulenga-Busega-24h'!J96,'27.07 Bulenga-Busega-24h'!J96,)</f>
        <v>2</v>
      </c>
      <c r="K96" s="49">
        <f>AVERAGE('26.07 Bulenga-Busega-24h'!K96,'27.07 Bulenga-Busega-24h'!K96,)</f>
        <v>1.6666666666666667</v>
      </c>
      <c r="L96" s="49">
        <f>AVERAGE('26.07 Bulenga-Busega-24h'!L96,'27.07 Bulenga-Busega-24h'!L96,)</f>
        <v>0.33333333333333331</v>
      </c>
      <c r="M96" s="49">
        <f>AVERAGE('26.07 Bulenga-Busega-24h'!M96,'27.07 Bulenga-Busega-24h'!M96,)</f>
        <v>26</v>
      </c>
      <c r="N96" s="49">
        <f>AVERAGE('26.07 Bulenga-Busega-24h'!N96,'27.07 Bulenga-Busega-24h'!N96,)</f>
        <v>0</v>
      </c>
      <c r="O96" s="15">
        <f t="shared" si="36"/>
        <v>15.333333333333334</v>
      </c>
      <c r="P96" s="15">
        <f t="shared" si="35"/>
        <v>41.333333333333336</v>
      </c>
      <c r="R96" s="8"/>
      <c r="T96"/>
    </row>
    <row r="97" spans="2:20" ht="23.1" customHeight="1" x14ac:dyDescent="0.25">
      <c r="B97" s="23" t="s">
        <v>137</v>
      </c>
      <c r="C97" s="49">
        <f>AVERAGE('26.07 Bulenga-Busega-24h'!C97,'27.07 Bulenga-Busega-24h'!C97,)</f>
        <v>14.666666666666666</v>
      </c>
      <c r="D97" s="49">
        <f>AVERAGE('26.07 Bulenga-Busega-24h'!D97,'27.07 Bulenga-Busega-24h'!D97,)</f>
        <v>7.666666666666667</v>
      </c>
      <c r="E97" s="49">
        <f>AVERAGE('26.07 Bulenga-Busega-24h'!E97,'27.07 Bulenga-Busega-24h'!E97,)</f>
        <v>0</v>
      </c>
      <c r="F97" s="49">
        <f>AVERAGE('26.07 Bulenga-Busega-24h'!F97,'27.07 Bulenga-Busega-24h'!F97,)</f>
        <v>5.333333333333333</v>
      </c>
      <c r="G97" s="49">
        <f>AVERAGE('26.07 Bulenga-Busega-24h'!G97,'27.07 Bulenga-Busega-24h'!G97,)</f>
        <v>0.66666666666666663</v>
      </c>
      <c r="H97" s="49">
        <f>AVERAGE('26.07 Bulenga-Busega-24h'!H97,'27.07 Bulenga-Busega-24h'!H97,)</f>
        <v>0.66666666666666663</v>
      </c>
      <c r="I97" s="49">
        <f>AVERAGE('26.07 Bulenga-Busega-24h'!I97,'27.07 Bulenga-Busega-24h'!I97,)</f>
        <v>3</v>
      </c>
      <c r="J97" s="49">
        <f>AVERAGE('26.07 Bulenga-Busega-24h'!J97,'27.07 Bulenga-Busega-24h'!J97,)</f>
        <v>2.6666666666666665</v>
      </c>
      <c r="K97" s="49">
        <f>AVERAGE('26.07 Bulenga-Busega-24h'!K97,'27.07 Bulenga-Busega-24h'!K97,)</f>
        <v>2.3333333333333335</v>
      </c>
      <c r="L97" s="49">
        <f>AVERAGE('26.07 Bulenga-Busega-24h'!L97,'27.07 Bulenga-Busega-24h'!L97,)</f>
        <v>0</v>
      </c>
      <c r="M97" s="49">
        <f>AVERAGE('26.07 Bulenga-Busega-24h'!M97,'27.07 Bulenga-Busega-24h'!M97,)</f>
        <v>18.666666666666668</v>
      </c>
      <c r="N97" s="49">
        <f>AVERAGE('26.07 Bulenga-Busega-24h'!N97,'27.07 Bulenga-Busega-24h'!N97,)</f>
        <v>0</v>
      </c>
      <c r="O97" s="15">
        <f t="shared" si="36"/>
        <v>37</v>
      </c>
      <c r="P97" s="15">
        <f t="shared" si="35"/>
        <v>55.666666666666671</v>
      </c>
      <c r="R97" s="8"/>
      <c r="T97"/>
    </row>
    <row r="98" spans="2:20" ht="23.1" customHeight="1" x14ac:dyDescent="0.25">
      <c r="B98" s="24" t="s">
        <v>138</v>
      </c>
      <c r="C98" s="49">
        <f>AVERAGE('26.07 Bulenga-Busega-24h'!C98,'27.07 Bulenga-Busega-24h'!C98,)</f>
        <v>13.666666666666666</v>
      </c>
      <c r="D98" s="49">
        <f>AVERAGE('26.07 Bulenga-Busega-24h'!D98,'27.07 Bulenga-Busega-24h'!D98,)</f>
        <v>3.3333333333333335</v>
      </c>
      <c r="E98" s="49">
        <f>AVERAGE('26.07 Bulenga-Busega-24h'!E98,'27.07 Bulenga-Busega-24h'!E98,)</f>
        <v>2</v>
      </c>
      <c r="F98" s="49">
        <f>AVERAGE('26.07 Bulenga-Busega-24h'!F98,'27.07 Bulenga-Busega-24h'!F98,)</f>
        <v>16.666666666666668</v>
      </c>
      <c r="G98" s="49">
        <f>AVERAGE('26.07 Bulenga-Busega-24h'!G98,'27.07 Bulenga-Busega-24h'!G98,)</f>
        <v>0</v>
      </c>
      <c r="H98" s="49">
        <f>AVERAGE('26.07 Bulenga-Busega-24h'!H98,'27.07 Bulenga-Busega-24h'!H98,)</f>
        <v>1</v>
      </c>
      <c r="I98" s="49">
        <f>AVERAGE('26.07 Bulenga-Busega-24h'!I98,'27.07 Bulenga-Busega-24h'!I98,)</f>
        <v>3</v>
      </c>
      <c r="J98" s="49">
        <f>AVERAGE('26.07 Bulenga-Busega-24h'!J98,'27.07 Bulenga-Busega-24h'!J98,)</f>
        <v>2</v>
      </c>
      <c r="K98" s="49">
        <f>AVERAGE('26.07 Bulenga-Busega-24h'!K98,'27.07 Bulenga-Busega-24h'!K98,)</f>
        <v>2</v>
      </c>
      <c r="L98" s="49">
        <f>AVERAGE('26.07 Bulenga-Busega-24h'!L98,'27.07 Bulenga-Busega-24h'!L98,)</f>
        <v>1.6666666666666667</v>
      </c>
      <c r="M98" s="49">
        <f>AVERAGE('26.07 Bulenga-Busega-24h'!M98,'27.07 Bulenga-Busega-24h'!M98,)</f>
        <v>33.666666666666664</v>
      </c>
      <c r="N98" s="49">
        <f>AVERAGE('26.07 Bulenga-Busega-24h'!N98,'27.07 Bulenga-Busega-24h'!N98,)</f>
        <v>0</v>
      </c>
      <c r="O98" s="15">
        <f t="shared" si="36"/>
        <v>45.333333333333336</v>
      </c>
      <c r="P98" s="15">
        <f t="shared" si="35"/>
        <v>79</v>
      </c>
      <c r="R98" s="8"/>
      <c r="T98"/>
    </row>
    <row r="99" spans="2:20" ht="23.1" customHeight="1" x14ac:dyDescent="0.25">
      <c r="B99" s="23" t="s">
        <v>139</v>
      </c>
      <c r="C99" s="49">
        <f>AVERAGE('26.07 Bulenga-Busega-24h'!C99,'27.07 Bulenga-Busega-24h'!C99,)</f>
        <v>33.666666666666664</v>
      </c>
      <c r="D99" s="49">
        <f>AVERAGE('26.07 Bulenga-Busega-24h'!D99,'27.07 Bulenga-Busega-24h'!D99,)</f>
        <v>5.666666666666667</v>
      </c>
      <c r="E99" s="49">
        <f>AVERAGE('26.07 Bulenga-Busega-24h'!E99,'27.07 Bulenga-Busega-24h'!E99,)</f>
        <v>2.3333333333333335</v>
      </c>
      <c r="F99" s="49">
        <f>AVERAGE('26.07 Bulenga-Busega-24h'!F99,'27.07 Bulenga-Busega-24h'!F99,)</f>
        <v>32</v>
      </c>
      <c r="G99" s="49">
        <f>AVERAGE('26.07 Bulenga-Busega-24h'!G99,'27.07 Bulenga-Busega-24h'!G99,)</f>
        <v>1</v>
      </c>
      <c r="H99" s="49">
        <f>AVERAGE('26.07 Bulenga-Busega-24h'!H99,'27.07 Bulenga-Busega-24h'!H99,)</f>
        <v>0.66666666666666663</v>
      </c>
      <c r="I99" s="49">
        <f>AVERAGE('26.07 Bulenga-Busega-24h'!I99,'27.07 Bulenga-Busega-24h'!I99,)</f>
        <v>1</v>
      </c>
      <c r="J99" s="49">
        <f>AVERAGE('26.07 Bulenga-Busega-24h'!J99,'27.07 Bulenga-Busega-24h'!J99,)</f>
        <v>2.3333333333333335</v>
      </c>
      <c r="K99" s="49">
        <f>AVERAGE('26.07 Bulenga-Busega-24h'!K99,'27.07 Bulenga-Busega-24h'!K99,)</f>
        <v>1.3333333333333333</v>
      </c>
      <c r="L99" s="49">
        <f>AVERAGE('26.07 Bulenga-Busega-24h'!L99,'27.07 Bulenga-Busega-24h'!L99,)</f>
        <v>0.66666666666666663</v>
      </c>
      <c r="M99" s="49">
        <f>AVERAGE('26.07 Bulenga-Busega-24h'!M99,'27.07 Bulenga-Busega-24h'!M99,)</f>
        <v>34</v>
      </c>
      <c r="N99" s="49">
        <f>AVERAGE('26.07 Bulenga-Busega-24h'!N99,'27.07 Bulenga-Busega-24h'!N99,)</f>
        <v>0</v>
      </c>
      <c r="O99" s="15">
        <f t="shared" si="36"/>
        <v>80.666666666666657</v>
      </c>
      <c r="P99" s="15">
        <f t="shared" si="35"/>
        <v>114.66666666666666</v>
      </c>
      <c r="R99" s="8"/>
      <c r="T99"/>
    </row>
    <row r="100" spans="2:20" ht="23.1" customHeight="1" x14ac:dyDescent="0.25">
      <c r="B100" s="25" t="s">
        <v>140</v>
      </c>
      <c r="C100" s="49">
        <f>AVERAGE('26.07 Bulenga-Busega-24h'!C100,'27.07 Bulenga-Busega-24h'!C100,)</f>
        <v>23.333333333333332</v>
      </c>
      <c r="D100" s="49">
        <f>AVERAGE('26.07 Bulenga-Busega-24h'!D100,'27.07 Bulenga-Busega-24h'!D100,)</f>
        <v>6</v>
      </c>
      <c r="E100" s="49">
        <f>AVERAGE('26.07 Bulenga-Busega-24h'!E100,'27.07 Bulenga-Busega-24h'!E100,)</f>
        <v>4</v>
      </c>
      <c r="F100" s="49">
        <f>AVERAGE('26.07 Bulenga-Busega-24h'!F100,'27.07 Bulenga-Busega-24h'!F100,)</f>
        <v>32</v>
      </c>
      <c r="G100" s="49">
        <f>AVERAGE('26.07 Bulenga-Busega-24h'!G100,'27.07 Bulenga-Busega-24h'!G100,)</f>
        <v>1</v>
      </c>
      <c r="H100" s="49">
        <f>AVERAGE('26.07 Bulenga-Busega-24h'!H100,'27.07 Bulenga-Busega-24h'!H100,)</f>
        <v>0.33333333333333331</v>
      </c>
      <c r="I100" s="49">
        <f>AVERAGE('26.07 Bulenga-Busega-24h'!I100,'27.07 Bulenga-Busega-24h'!I100,)</f>
        <v>19.666666666666668</v>
      </c>
      <c r="J100" s="49">
        <f>AVERAGE('26.07 Bulenga-Busega-24h'!J100,'27.07 Bulenga-Busega-24h'!J100,)</f>
        <v>6.666666666666667</v>
      </c>
      <c r="K100" s="49">
        <f>AVERAGE('26.07 Bulenga-Busega-24h'!K100,'27.07 Bulenga-Busega-24h'!K100,)</f>
        <v>9</v>
      </c>
      <c r="L100" s="49">
        <f>AVERAGE('26.07 Bulenga-Busega-24h'!L100,'27.07 Bulenga-Busega-24h'!L100,)</f>
        <v>0.66666666666666663</v>
      </c>
      <c r="M100" s="49">
        <f>AVERAGE('26.07 Bulenga-Busega-24h'!M100,'27.07 Bulenga-Busega-24h'!M100,)</f>
        <v>58.666666666666664</v>
      </c>
      <c r="N100" s="49">
        <f>AVERAGE('26.07 Bulenga-Busega-24h'!N100,'27.07 Bulenga-Busega-24h'!N100,)</f>
        <v>0</v>
      </c>
      <c r="O100" s="15">
        <f t="shared" si="36"/>
        <v>102.66666666666667</v>
      </c>
      <c r="P100" s="15">
        <f t="shared" si="35"/>
        <v>161.33333333333334</v>
      </c>
      <c r="R100" s="8"/>
      <c r="T100"/>
    </row>
    <row r="101" spans="2:20" ht="23.1" customHeight="1" x14ac:dyDescent="0.25">
      <c r="B101" s="23" t="s">
        <v>141</v>
      </c>
      <c r="C101" s="49">
        <f>AVERAGE('26.07 Bulenga-Busega-24h'!C101,'27.07 Bulenga-Busega-24h'!C101,)</f>
        <v>25.666666666666668</v>
      </c>
      <c r="D101" s="49">
        <f>AVERAGE('26.07 Bulenga-Busega-24h'!D101,'27.07 Bulenga-Busega-24h'!D101,)</f>
        <v>9</v>
      </c>
      <c r="E101" s="49">
        <f>AVERAGE('26.07 Bulenga-Busega-24h'!E101,'27.07 Bulenga-Busega-24h'!E101,)</f>
        <v>2</v>
      </c>
      <c r="F101" s="49">
        <f>AVERAGE('26.07 Bulenga-Busega-24h'!F101,'27.07 Bulenga-Busega-24h'!F101,)</f>
        <v>31</v>
      </c>
      <c r="G101" s="49">
        <f>AVERAGE('26.07 Bulenga-Busega-24h'!G101,'27.07 Bulenga-Busega-24h'!G101,)</f>
        <v>0.33333333333333331</v>
      </c>
      <c r="H101" s="49">
        <f>AVERAGE('26.07 Bulenga-Busega-24h'!H101,'27.07 Bulenga-Busega-24h'!H101,)</f>
        <v>2</v>
      </c>
      <c r="I101" s="49">
        <f>AVERAGE('26.07 Bulenga-Busega-24h'!I101,'27.07 Bulenga-Busega-24h'!I101,)</f>
        <v>17.333333333333332</v>
      </c>
      <c r="J101" s="49">
        <f>AVERAGE('26.07 Bulenga-Busega-24h'!J101,'27.07 Bulenga-Busega-24h'!J101,)</f>
        <v>7</v>
      </c>
      <c r="K101" s="49">
        <f>AVERAGE('26.07 Bulenga-Busega-24h'!K101,'27.07 Bulenga-Busega-24h'!K101,)</f>
        <v>5</v>
      </c>
      <c r="L101" s="49">
        <f>AVERAGE('26.07 Bulenga-Busega-24h'!L101,'27.07 Bulenga-Busega-24h'!L101,)</f>
        <v>0.33333333333333331</v>
      </c>
      <c r="M101" s="49">
        <f>AVERAGE('26.07 Bulenga-Busega-24h'!M101,'27.07 Bulenga-Busega-24h'!M101,)</f>
        <v>61.333333333333336</v>
      </c>
      <c r="N101" s="49">
        <f>AVERAGE('26.07 Bulenga-Busega-24h'!N101,'27.07 Bulenga-Busega-24h'!N101,)</f>
        <v>0</v>
      </c>
      <c r="O101" s="15">
        <f t="shared" si="36"/>
        <v>99.666666666666657</v>
      </c>
      <c r="P101" s="15">
        <f t="shared" si="35"/>
        <v>161</v>
      </c>
      <c r="R101" s="8"/>
      <c r="T101"/>
    </row>
    <row r="102" spans="2:20" ht="23.1" customHeight="1" x14ac:dyDescent="0.25">
      <c r="B102" s="24" t="s">
        <v>142</v>
      </c>
      <c r="C102" s="49">
        <f>AVERAGE('26.07 Bulenga-Busega-24h'!C102,'27.07 Bulenga-Busega-24h'!C102,)</f>
        <v>28.333333333333332</v>
      </c>
      <c r="D102" s="49">
        <f>AVERAGE('26.07 Bulenga-Busega-24h'!D102,'27.07 Bulenga-Busega-24h'!D102,)</f>
        <v>12.333333333333334</v>
      </c>
      <c r="E102" s="49">
        <f>AVERAGE('26.07 Bulenga-Busega-24h'!E102,'27.07 Bulenga-Busega-24h'!E102,)</f>
        <v>5.333333333333333</v>
      </c>
      <c r="F102" s="49">
        <f>AVERAGE('26.07 Bulenga-Busega-24h'!F102,'27.07 Bulenga-Busega-24h'!F102,)</f>
        <v>44.333333333333336</v>
      </c>
      <c r="G102" s="49">
        <f>AVERAGE('26.07 Bulenga-Busega-24h'!G102,'27.07 Bulenga-Busega-24h'!G102,)</f>
        <v>1.3333333333333333</v>
      </c>
      <c r="H102" s="49">
        <f>AVERAGE('26.07 Bulenga-Busega-24h'!H102,'27.07 Bulenga-Busega-24h'!H102,)</f>
        <v>1</v>
      </c>
      <c r="I102" s="49">
        <f>AVERAGE('26.07 Bulenga-Busega-24h'!I102,'27.07 Bulenga-Busega-24h'!I102,)</f>
        <v>18</v>
      </c>
      <c r="J102" s="49">
        <f>AVERAGE('26.07 Bulenga-Busega-24h'!J102,'27.07 Bulenga-Busega-24h'!J102,)</f>
        <v>3.3333333333333335</v>
      </c>
      <c r="K102" s="49">
        <f>AVERAGE('26.07 Bulenga-Busega-24h'!K102,'27.07 Bulenga-Busega-24h'!K102,)</f>
        <v>11.333333333333334</v>
      </c>
      <c r="L102" s="49">
        <f>AVERAGE('26.07 Bulenga-Busega-24h'!L102,'27.07 Bulenga-Busega-24h'!L102,)</f>
        <v>6.333333333333333</v>
      </c>
      <c r="M102" s="49">
        <f>AVERAGE('26.07 Bulenga-Busega-24h'!M102,'27.07 Bulenga-Busega-24h'!M102,)</f>
        <v>60</v>
      </c>
      <c r="N102" s="49">
        <f>AVERAGE('26.07 Bulenga-Busega-24h'!N102,'27.07 Bulenga-Busega-24h'!N102,)</f>
        <v>0</v>
      </c>
      <c r="O102" s="15">
        <f t="shared" si="36"/>
        <v>131.66666666666666</v>
      </c>
      <c r="P102" s="15">
        <f t="shared" si="35"/>
        <v>191.66666666666666</v>
      </c>
      <c r="R102" s="8"/>
      <c r="T102"/>
    </row>
    <row r="103" spans="2:20" ht="23.1" customHeight="1" x14ac:dyDescent="0.25">
      <c r="B103" s="23" t="s">
        <v>143</v>
      </c>
      <c r="C103" s="49">
        <f>AVERAGE('26.07 Bulenga-Busega-24h'!C103,'27.07 Bulenga-Busega-24h'!C103,)</f>
        <v>33.666666666666664</v>
      </c>
      <c r="D103" s="49">
        <f>AVERAGE('26.07 Bulenga-Busega-24h'!D103,'27.07 Bulenga-Busega-24h'!D103,)</f>
        <v>12</v>
      </c>
      <c r="E103" s="49">
        <f>AVERAGE('26.07 Bulenga-Busega-24h'!E103,'27.07 Bulenga-Busega-24h'!E103,)</f>
        <v>3.3333333333333335</v>
      </c>
      <c r="F103" s="49">
        <f>AVERAGE('26.07 Bulenga-Busega-24h'!F103,'27.07 Bulenga-Busega-24h'!F103,)</f>
        <v>43.333333333333336</v>
      </c>
      <c r="G103" s="49">
        <f>AVERAGE('26.07 Bulenga-Busega-24h'!G103,'27.07 Bulenga-Busega-24h'!G103,)</f>
        <v>0.33333333333333331</v>
      </c>
      <c r="H103" s="49">
        <f>AVERAGE('26.07 Bulenga-Busega-24h'!H103,'27.07 Bulenga-Busega-24h'!H103,)</f>
        <v>1.3333333333333333</v>
      </c>
      <c r="I103" s="49">
        <f>AVERAGE('26.07 Bulenga-Busega-24h'!I103,'27.07 Bulenga-Busega-24h'!I103,)</f>
        <v>12.333333333333334</v>
      </c>
      <c r="J103" s="49">
        <f>AVERAGE('26.07 Bulenga-Busega-24h'!J103,'27.07 Bulenga-Busega-24h'!J103,)</f>
        <v>7.333333333333333</v>
      </c>
      <c r="K103" s="49">
        <f>AVERAGE('26.07 Bulenga-Busega-24h'!K103,'27.07 Bulenga-Busega-24h'!K103,)</f>
        <v>11</v>
      </c>
      <c r="L103" s="49">
        <f>AVERAGE('26.07 Bulenga-Busega-24h'!L103,'27.07 Bulenga-Busega-24h'!L103,)</f>
        <v>2.6666666666666665</v>
      </c>
      <c r="M103" s="49">
        <f>AVERAGE('26.07 Bulenga-Busega-24h'!M103,'27.07 Bulenga-Busega-24h'!M103,)</f>
        <v>85.333333333333329</v>
      </c>
      <c r="N103" s="49">
        <f>AVERAGE('26.07 Bulenga-Busega-24h'!N103,'27.07 Bulenga-Busega-24h'!N103,)</f>
        <v>0</v>
      </c>
      <c r="O103" s="15">
        <f t="shared" si="36"/>
        <v>127.33333333333333</v>
      </c>
      <c r="P103" s="15">
        <f t="shared" si="35"/>
        <v>212.66666666666666</v>
      </c>
      <c r="R103" s="8"/>
      <c r="T103"/>
    </row>
    <row r="104" spans="2:20" ht="23.1" customHeight="1" x14ac:dyDescent="0.25">
      <c r="B104" s="25" t="s">
        <v>144</v>
      </c>
      <c r="C104" s="49">
        <f>AVERAGE('26.07 Bulenga-Busega-24h'!C104,'27.07 Bulenga-Busega-24h'!C104,)</f>
        <v>33.666666666666664</v>
      </c>
      <c r="D104" s="49">
        <f>AVERAGE('26.07 Bulenga-Busega-24h'!D104,'27.07 Bulenga-Busega-24h'!D104,)</f>
        <v>6.333333333333333</v>
      </c>
      <c r="E104" s="49">
        <f>AVERAGE('26.07 Bulenga-Busega-24h'!E104,'27.07 Bulenga-Busega-24h'!E104,)</f>
        <v>4.333333333333333</v>
      </c>
      <c r="F104" s="49">
        <f>AVERAGE('26.07 Bulenga-Busega-24h'!F104,'27.07 Bulenga-Busega-24h'!F104,)</f>
        <v>26.666666666666668</v>
      </c>
      <c r="G104" s="49">
        <f>AVERAGE('26.07 Bulenga-Busega-24h'!G104,'27.07 Bulenga-Busega-24h'!G104,)</f>
        <v>0.66666666666666663</v>
      </c>
      <c r="H104" s="49">
        <f>AVERAGE('26.07 Bulenga-Busega-24h'!H104,'27.07 Bulenga-Busega-24h'!H104,)</f>
        <v>0</v>
      </c>
      <c r="I104" s="49">
        <f>AVERAGE('26.07 Bulenga-Busega-24h'!I104,'27.07 Bulenga-Busega-24h'!I104,)</f>
        <v>9.3333333333333339</v>
      </c>
      <c r="J104" s="49">
        <f>AVERAGE('26.07 Bulenga-Busega-24h'!J104,'27.07 Bulenga-Busega-24h'!J104,)</f>
        <v>4.333333333333333</v>
      </c>
      <c r="K104" s="49">
        <f>AVERAGE('26.07 Bulenga-Busega-24h'!K104,'27.07 Bulenga-Busega-24h'!K104,)</f>
        <v>8</v>
      </c>
      <c r="L104" s="49">
        <f>AVERAGE('26.07 Bulenga-Busega-24h'!L104,'27.07 Bulenga-Busega-24h'!L104,)</f>
        <v>1.3333333333333333</v>
      </c>
      <c r="M104" s="49">
        <f>AVERAGE('26.07 Bulenga-Busega-24h'!M104,'27.07 Bulenga-Busega-24h'!M104,)</f>
        <v>78.333333333333329</v>
      </c>
      <c r="N104" s="49">
        <f>AVERAGE('26.07 Bulenga-Busega-24h'!N104,'27.07 Bulenga-Busega-24h'!N104,)</f>
        <v>0</v>
      </c>
      <c r="O104" s="15">
        <f t="shared" si="36"/>
        <v>94.666666666666657</v>
      </c>
      <c r="P104" s="15">
        <f t="shared" si="35"/>
        <v>173</v>
      </c>
      <c r="R104" s="8"/>
      <c r="T104"/>
    </row>
    <row r="105" spans="2:20" ht="23.1" customHeight="1" x14ac:dyDescent="0.25">
      <c r="B105" s="23" t="s">
        <v>145</v>
      </c>
      <c r="C105" s="49">
        <f>AVERAGE('26.07 Bulenga-Busega-24h'!C105,'27.07 Bulenga-Busega-24h'!C105,)</f>
        <v>44.333333333333336</v>
      </c>
      <c r="D105" s="49">
        <f>AVERAGE('26.07 Bulenga-Busega-24h'!D105,'27.07 Bulenga-Busega-24h'!D105,)</f>
        <v>19</v>
      </c>
      <c r="E105" s="49">
        <f>AVERAGE('26.07 Bulenga-Busega-24h'!E105,'27.07 Bulenga-Busega-24h'!E105,)</f>
        <v>5.333333333333333</v>
      </c>
      <c r="F105" s="49">
        <f>AVERAGE('26.07 Bulenga-Busega-24h'!F105,'27.07 Bulenga-Busega-24h'!F105,)</f>
        <v>45.333333333333336</v>
      </c>
      <c r="G105" s="49">
        <f>AVERAGE('26.07 Bulenga-Busega-24h'!G105,'27.07 Bulenga-Busega-24h'!G105,)</f>
        <v>1.3333333333333333</v>
      </c>
      <c r="H105" s="49">
        <f>AVERAGE('26.07 Bulenga-Busega-24h'!H105,'27.07 Bulenga-Busega-24h'!H105,)</f>
        <v>0.66666666666666663</v>
      </c>
      <c r="I105" s="49">
        <f>AVERAGE('26.07 Bulenga-Busega-24h'!I105,'27.07 Bulenga-Busega-24h'!I105,)</f>
        <v>25.333333333333332</v>
      </c>
      <c r="J105" s="49">
        <f>AVERAGE('26.07 Bulenga-Busega-24h'!J105,'27.07 Bulenga-Busega-24h'!J105,)</f>
        <v>1.6666666666666667</v>
      </c>
      <c r="K105" s="49">
        <f>AVERAGE('26.07 Bulenga-Busega-24h'!K105,'27.07 Bulenga-Busega-24h'!K105,)</f>
        <v>9.6666666666666661</v>
      </c>
      <c r="L105" s="49">
        <f>AVERAGE('26.07 Bulenga-Busega-24h'!L105,'27.07 Bulenga-Busega-24h'!L105,)</f>
        <v>1</v>
      </c>
      <c r="M105" s="49">
        <f>AVERAGE('26.07 Bulenga-Busega-24h'!M105,'27.07 Bulenga-Busega-24h'!M105,)</f>
        <v>104.33333333333333</v>
      </c>
      <c r="N105" s="49">
        <f>AVERAGE('26.07 Bulenga-Busega-24h'!N105,'27.07 Bulenga-Busega-24h'!N105,)</f>
        <v>0</v>
      </c>
      <c r="O105" s="15">
        <f t="shared" si="36"/>
        <v>153.66666666666666</v>
      </c>
      <c r="P105" s="15">
        <f t="shared" si="35"/>
        <v>258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4865.1428571428578</v>
      </c>
      <c r="D106" s="16">
        <f t="shared" ref="D106:N106" si="37">SUM(D10:D105)</f>
        <v>865.57142857142878</v>
      </c>
      <c r="E106" s="16">
        <f t="shared" si="37"/>
        <v>716.00000000000023</v>
      </c>
      <c r="F106" s="16">
        <f t="shared" si="37"/>
        <v>3494.095238095239</v>
      </c>
      <c r="G106" s="16">
        <f t="shared" si="37"/>
        <v>122.80952380952374</v>
      </c>
      <c r="H106" s="16">
        <f t="shared" si="37"/>
        <v>82.619047619047578</v>
      </c>
      <c r="I106" s="16">
        <f t="shared" si="37"/>
        <v>1075.9523809523807</v>
      </c>
      <c r="J106" s="16">
        <f t="shared" si="37"/>
        <v>556.80952380952397</v>
      </c>
      <c r="K106" s="16">
        <f t="shared" si="37"/>
        <v>248.61904761904756</v>
      </c>
      <c r="L106" s="16">
        <f t="shared" si="37"/>
        <v>221.42857142857147</v>
      </c>
      <c r="M106" s="16">
        <f t="shared" si="37"/>
        <v>11015.623809523813</v>
      </c>
      <c r="N106" s="16">
        <f t="shared" si="37"/>
        <v>27.047619047619044</v>
      </c>
      <c r="O106" s="16">
        <f t="shared" ref="O106:P106" si="38">SUM(O10:O105)</f>
        <v>12276.095238095244</v>
      </c>
      <c r="P106" s="16">
        <f t="shared" si="38"/>
        <v>23291.719047619044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9">C106/$P$106</f>
        <v>0.20887865112902385</v>
      </c>
      <c r="D107" s="43">
        <f t="shared" si="39"/>
        <v>3.7162196006305957E-2</v>
      </c>
      <c r="E107" s="43">
        <f t="shared" si="39"/>
        <v>3.0740539096155383E-2</v>
      </c>
      <c r="F107" s="43">
        <f t="shared" si="39"/>
        <v>0.15001448501725839</v>
      </c>
      <c r="G107" s="43">
        <f t="shared" si="39"/>
        <v>5.2726689497861572E-3</v>
      </c>
      <c r="H107" s="43">
        <f t="shared" si="39"/>
        <v>3.5471425466766125E-3</v>
      </c>
      <c r="I107" s="43">
        <f t="shared" si="39"/>
        <v>4.6194631609313017E-2</v>
      </c>
      <c r="J107" s="43">
        <f t="shared" si="39"/>
        <v>2.3905900748293754E-2</v>
      </c>
      <c r="K107" s="43">
        <f t="shared" si="39"/>
        <v>1.0674139041036656E-2</v>
      </c>
      <c r="L107" s="43">
        <f t="shared" si="39"/>
        <v>9.5067509176059127E-3</v>
      </c>
      <c r="M107" s="43">
        <f t="shared" si="39"/>
        <v>0.47294164020280272</v>
      </c>
      <c r="N107" s="43">
        <f t="shared" si="39"/>
        <v>1.1612547357419691E-3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0.39631028945143082</v>
      </c>
      <c r="D108" s="44">
        <f t="shared" ref="D108:N108" si="40">D106/$O$106</f>
        <v>7.050869285254345E-2</v>
      </c>
      <c r="E108" s="44">
        <f t="shared" si="40"/>
        <v>5.8324734869936917E-2</v>
      </c>
      <c r="F108" s="44">
        <f t="shared" si="40"/>
        <v>0.28462594744722608</v>
      </c>
      <c r="G108" s="44">
        <f t="shared" si="40"/>
        <v>1.0003956586164351E-2</v>
      </c>
      <c r="H108" s="44">
        <f t="shared" si="40"/>
        <v>6.7300754854575998E-3</v>
      </c>
      <c r="I108" s="44">
        <f t="shared" si="40"/>
        <v>8.7646141552688475E-2</v>
      </c>
      <c r="J108" s="44">
        <f t="shared" si="40"/>
        <v>4.5357217666545116E-2</v>
      </c>
      <c r="K108" s="44">
        <f t="shared" si="40"/>
        <v>2.0252290553068666E-2</v>
      </c>
      <c r="L108" s="44">
        <f t="shared" si="40"/>
        <v>1.8037378102235078E-2</v>
      </c>
      <c r="M108" s="44"/>
      <c r="N108" s="44">
        <f t="shared" si="40"/>
        <v>2.2032754327031227E-3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G55" zoomScale="60" workbookViewId="0">
      <selection activeCell="AE58" sqref="AE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0" width="10.7109375" customWidth="1"/>
    <col min="31" max="31" width="11.7109375" customWidth="1"/>
    <col min="32" max="32" width="12.42578125" customWidth="1"/>
    <col min="33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'28.07 Bulenga-Busega'!C3:G3</f>
        <v>MCC - C1 - STN12-MITYANA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0" t="s">
        <v>169</v>
      </c>
      <c r="E5" s="71"/>
      <c r="F5" s="41" t="s">
        <v>1</v>
      </c>
      <c r="G5" s="68" t="str">
        <f>'Avg Week Bulenga-Busega'!G5:H5</f>
        <v xml:space="preserve">Petro Max </v>
      </c>
      <c r="H5" s="69"/>
      <c r="I5" s="14"/>
      <c r="J5" s="2" t="s">
        <v>5</v>
      </c>
      <c r="K5" s="68" t="str">
        <f>'Avg Week Bulenga-Busega'!K5:L5</f>
        <v>Harriet Nabitosi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72" t="s">
        <v>161</v>
      </c>
      <c r="E6" s="73"/>
      <c r="F6" s="2" t="s">
        <v>2</v>
      </c>
      <c r="G6" s="72" t="s">
        <v>161</v>
      </c>
      <c r="H6" s="73"/>
      <c r="J6" s="2" t="s">
        <v>21</v>
      </c>
      <c r="K6" s="68" t="str">
        <f>'Avg Week Bulenga-Busega'!K6:L6</f>
        <v>Andrew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Busega-Bulenga'!C10+'Avg Week Bulenga-Busega'!C10</f>
        <v>105.14285714285714</v>
      </c>
      <c r="D10" s="49">
        <f>'Avg Week Busega-Bulenga'!D10+'Avg Week Bulenga-Busega'!D10</f>
        <v>19.285714285714285</v>
      </c>
      <c r="E10" s="49">
        <f>'Avg Week Busega-Bulenga'!E10+'Avg Week Bulenga-Busega'!E10</f>
        <v>16</v>
      </c>
      <c r="F10" s="49">
        <f>'Avg Week Busega-Bulenga'!F10+'Avg Week Bulenga-Busega'!F10</f>
        <v>77.285714285714292</v>
      </c>
      <c r="G10" s="49">
        <f>'Avg Week Busega-Bulenga'!G10+'Avg Week Bulenga-Busega'!G10</f>
        <v>4.8571428571428577</v>
      </c>
      <c r="H10" s="49">
        <f>'Avg Week Busega-Bulenga'!H10+'Avg Week Bulenga-Busega'!H10</f>
        <v>3</v>
      </c>
      <c r="I10" s="49">
        <f>'Avg Week Busega-Bulenga'!I10+'Avg Week Bulenga-Busega'!I10</f>
        <v>20.428571428571431</v>
      </c>
      <c r="J10" s="49">
        <f>'Avg Week Busega-Bulenga'!J10+'Avg Week Bulenga-Busega'!J10</f>
        <v>9</v>
      </c>
      <c r="K10" s="49">
        <f>'Avg Week Busega-Bulenga'!K10+'Avg Week Bulenga-Busega'!K10</f>
        <v>6</v>
      </c>
      <c r="L10" s="49">
        <f>'Avg Week Busega-Bulenga'!L10+'Avg Week Bulenga-Busega'!L10</f>
        <v>4</v>
      </c>
      <c r="M10" s="49">
        <f>'Avg Week Busega-Bulenga'!M10+'Avg Week Bulenga-Busega'!M10</f>
        <v>333.42857142857144</v>
      </c>
      <c r="N10" s="49">
        <f>'Avg Week Busega-Bulenga'!N10+'Avg Week Bulenga-Busega'!N10</f>
        <v>0</v>
      </c>
      <c r="O10" s="15">
        <f t="shared" ref="O10:O73" si="0">SUM(C10:L10,N10)</f>
        <v>265</v>
      </c>
      <c r="P10" s="15">
        <f t="shared" ref="P10:P73" si="1">SUM(C10:N10)</f>
        <v>598.42857142857144</v>
      </c>
      <c r="R10" s="1" t="s">
        <v>6</v>
      </c>
      <c r="S10" s="17">
        <f t="shared" ref="S10:AF10" si="2">SUM(C10:C13)</f>
        <v>430.71428571428567</v>
      </c>
      <c r="T10" s="17">
        <f t="shared" si="2"/>
        <v>71.285714285714278</v>
      </c>
      <c r="U10" s="17">
        <f t="shared" si="2"/>
        <v>89.428571428571431</v>
      </c>
      <c r="V10" s="17">
        <f t="shared" si="2"/>
        <v>357.85714285714289</v>
      </c>
      <c r="W10" s="17">
        <f t="shared" si="2"/>
        <v>20.571428571428573</v>
      </c>
      <c r="X10" s="17">
        <f t="shared" si="2"/>
        <v>7.1428571428571423</v>
      </c>
      <c r="Y10" s="17">
        <f t="shared" si="2"/>
        <v>83.428571428571431</v>
      </c>
      <c r="Z10" s="17">
        <f t="shared" si="2"/>
        <v>54.142857142857139</v>
      </c>
      <c r="AA10" s="17">
        <f t="shared" si="2"/>
        <v>16</v>
      </c>
      <c r="AB10" s="17">
        <f t="shared" si="2"/>
        <v>15.428571428571427</v>
      </c>
      <c r="AC10" s="17">
        <f t="shared" si="2"/>
        <v>1470.5714285714287</v>
      </c>
      <c r="AD10" s="17">
        <f t="shared" si="2"/>
        <v>0</v>
      </c>
      <c r="AE10" s="31">
        <f t="shared" si="2"/>
        <v>1146</v>
      </c>
      <c r="AF10" s="31">
        <f t="shared" si="2"/>
        <v>2616.5714285714284</v>
      </c>
    </row>
    <row r="11" spans="2:32" s="6" customFormat="1" ht="23.1" customHeight="1" x14ac:dyDescent="0.25">
      <c r="B11" s="23" t="s">
        <v>38</v>
      </c>
      <c r="C11" s="49">
        <f>'Avg Week Busega-Bulenga'!C11+'Avg Week Bulenga-Busega'!C11</f>
        <v>105.28571428571428</v>
      </c>
      <c r="D11" s="49">
        <f>'Avg Week Busega-Bulenga'!D11+'Avg Week Bulenga-Busega'!D11</f>
        <v>16</v>
      </c>
      <c r="E11" s="49">
        <f>'Avg Week Busega-Bulenga'!E11+'Avg Week Bulenga-Busega'!E11</f>
        <v>22.428571428571431</v>
      </c>
      <c r="F11" s="49">
        <f>'Avg Week Busega-Bulenga'!F11+'Avg Week Bulenga-Busega'!F11</f>
        <v>85.285714285714292</v>
      </c>
      <c r="G11" s="49">
        <f>'Avg Week Busega-Bulenga'!G11+'Avg Week Bulenga-Busega'!G11</f>
        <v>7</v>
      </c>
      <c r="H11" s="49">
        <f>'Avg Week Busega-Bulenga'!H11+'Avg Week Bulenga-Busega'!H11</f>
        <v>1.5714285714285714</v>
      </c>
      <c r="I11" s="49">
        <f>'Avg Week Busega-Bulenga'!I11+'Avg Week Bulenga-Busega'!I11</f>
        <v>19.428571428571431</v>
      </c>
      <c r="J11" s="49">
        <f>'Avg Week Busega-Bulenga'!J11+'Avg Week Bulenga-Busega'!J11</f>
        <v>14.857142857142858</v>
      </c>
      <c r="K11" s="49">
        <f>'Avg Week Busega-Bulenga'!K11+'Avg Week Bulenga-Busega'!K11</f>
        <v>1.8571428571428572</v>
      </c>
      <c r="L11" s="49">
        <f>'Avg Week Busega-Bulenga'!L11+'Avg Week Bulenga-Busega'!L11</f>
        <v>4.2857142857142856</v>
      </c>
      <c r="M11" s="49">
        <f>'Avg Week Busega-Bulenga'!M11+'Avg Week Bulenga-Busega'!M11</f>
        <v>329.85714285714289</v>
      </c>
      <c r="N11" s="49">
        <f>'Avg Week Busega-Bulenga'!N11+'Avg Week Bulenga-Busega'!N11</f>
        <v>0</v>
      </c>
      <c r="O11" s="15">
        <f t="shared" si="0"/>
        <v>277.99999999999994</v>
      </c>
      <c r="P11" s="15">
        <f t="shared" si="1"/>
        <v>607.85714285714289</v>
      </c>
      <c r="R11" s="1" t="s">
        <v>7</v>
      </c>
      <c r="S11" s="17">
        <f t="shared" ref="S11:AF11" si="3">SUM(C14:C17)</f>
        <v>446.28571428571422</v>
      </c>
      <c r="T11" s="17">
        <f t="shared" si="3"/>
        <v>63</v>
      </c>
      <c r="U11" s="17">
        <f t="shared" si="3"/>
        <v>66.571428571428569</v>
      </c>
      <c r="V11" s="17">
        <f t="shared" si="3"/>
        <v>364.71428571428572</v>
      </c>
      <c r="W11" s="17">
        <f t="shared" si="3"/>
        <v>8.2857142857142847</v>
      </c>
      <c r="X11" s="17">
        <f t="shared" si="3"/>
        <v>5.1428571428571432</v>
      </c>
      <c r="Y11" s="17">
        <f t="shared" si="3"/>
        <v>71.142857142857139</v>
      </c>
      <c r="Z11" s="17">
        <f t="shared" si="3"/>
        <v>59.428571428571423</v>
      </c>
      <c r="AA11" s="17">
        <f t="shared" si="3"/>
        <v>11.571428571428571</v>
      </c>
      <c r="AB11" s="17">
        <f t="shared" si="3"/>
        <v>11.428571428571427</v>
      </c>
      <c r="AC11" s="17">
        <f t="shared" si="3"/>
        <v>1776</v>
      </c>
      <c r="AD11" s="17">
        <f t="shared" si="3"/>
        <v>0.42857142857142855</v>
      </c>
      <c r="AE11" s="31">
        <f t="shared" si="3"/>
        <v>1108</v>
      </c>
      <c r="AF11" s="31">
        <f t="shared" si="3"/>
        <v>2883.9999999999995</v>
      </c>
    </row>
    <row r="12" spans="2:32" ht="23.1" customHeight="1" x14ac:dyDescent="0.25">
      <c r="B12" s="23" t="s">
        <v>39</v>
      </c>
      <c r="C12" s="49">
        <f>'Avg Week Busega-Bulenga'!C12+'Avg Week Bulenga-Busega'!C12</f>
        <v>107.28571428571428</v>
      </c>
      <c r="D12" s="49">
        <f>'Avg Week Busega-Bulenga'!D12+'Avg Week Bulenga-Busega'!D12</f>
        <v>19</v>
      </c>
      <c r="E12" s="49">
        <f>'Avg Week Busega-Bulenga'!E12+'Avg Week Bulenga-Busega'!E12</f>
        <v>20</v>
      </c>
      <c r="F12" s="49">
        <f>'Avg Week Busega-Bulenga'!F12+'Avg Week Bulenga-Busega'!F12</f>
        <v>96.571428571428569</v>
      </c>
      <c r="G12" s="49">
        <f>'Avg Week Busega-Bulenga'!G12+'Avg Week Bulenga-Busega'!G12</f>
        <v>5</v>
      </c>
      <c r="H12" s="49">
        <f>'Avg Week Busega-Bulenga'!H12+'Avg Week Bulenga-Busega'!H12</f>
        <v>1.2857142857142856</v>
      </c>
      <c r="I12" s="49">
        <f>'Avg Week Busega-Bulenga'!I12+'Avg Week Bulenga-Busega'!I12</f>
        <v>23.428571428571427</v>
      </c>
      <c r="J12" s="49">
        <f>'Avg Week Busega-Bulenga'!J12+'Avg Week Bulenga-Busega'!J12</f>
        <v>16.714285714285715</v>
      </c>
      <c r="K12" s="49">
        <f>'Avg Week Busega-Bulenga'!K12+'Avg Week Bulenga-Busega'!K12</f>
        <v>3.4285714285714284</v>
      </c>
      <c r="L12" s="49">
        <f>'Avg Week Busega-Bulenga'!L12+'Avg Week Bulenga-Busega'!L12</f>
        <v>2.8571428571428568</v>
      </c>
      <c r="M12" s="49">
        <f>'Avg Week Busega-Bulenga'!M12+'Avg Week Bulenga-Busega'!M12</f>
        <v>370.14285714285711</v>
      </c>
      <c r="N12" s="49">
        <f>'Avg Week Busega-Bulenga'!N12+'Avg Week Bulenga-Busega'!N12</f>
        <v>0</v>
      </c>
      <c r="O12" s="15">
        <f t="shared" si="0"/>
        <v>295.57142857142856</v>
      </c>
      <c r="P12" s="15">
        <f t="shared" si="1"/>
        <v>665.71428571428567</v>
      </c>
      <c r="R12" s="1" t="s">
        <v>8</v>
      </c>
      <c r="S12" s="17">
        <f t="shared" ref="S12:AF12" si="4">SUM(C18:C21)</f>
        <v>451.85714285714289</v>
      </c>
      <c r="T12" s="17">
        <f t="shared" si="4"/>
        <v>55.857142857142854</v>
      </c>
      <c r="U12" s="17">
        <f t="shared" si="4"/>
        <v>60.428571428571431</v>
      </c>
      <c r="V12" s="17">
        <f t="shared" si="4"/>
        <v>329</v>
      </c>
      <c r="W12" s="17">
        <f t="shared" si="4"/>
        <v>16.571428571428573</v>
      </c>
      <c r="X12" s="17">
        <f t="shared" si="4"/>
        <v>3.2857142857142856</v>
      </c>
      <c r="Y12" s="17">
        <f t="shared" si="4"/>
        <v>80.428571428571431</v>
      </c>
      <c r="Z12" s="17">
        <f t="shared" si="4"/>
        <v>55.285714285714285</v>
      </c>
      <c r="AA12" s="17">
        <f t="shared" si="4"/>
        <v>7.7142857142857144</v>
      </c>
      <c r="AB12" s="17">
        <f t="shared" si="4"/>
        <v>11.714285714285715</v>
      </c>
      <c r="AC12" s="17">
        <f t="shared" si="4"/>
        <v>1820.7142857142858</v>
      </c>
      <c r="AD12" s="17">
        <f t="shared" si="4"/>
        <v>0</v>
      </c>
      <c r="AE12" s="31">
        <f t="shared" si="4"/>
        <v>1072.1428571428571</v>
      </c>
      <c r="AF12" s="31">
        <f t="shared" si="4"/>
        <v>2892.8571428571427</v>
      </c>
    </row>
    <row r="13" spans="2:32" ht="23.1" customHeight="1" x14ac:dyDescent="0.25">
      <c r="B13" s="23" t="s">
        <v>40</v>
      </c>
      <c r="C13" s="49">
        <f>'Avg Week Busega-Bulenga'!C13+'Avg Week Bulenga-Busega'!C13</f>
        <v>113</v>
      </c>
      <c r="D13" s="49">
        <f>'Avg Week Busega-Bulenga'!D13+'Avg Week Bulenga-Busega'!D13</f>
        <v>17</v>
      </c>
      <c r="E13" s="49">
        <f>'Avg Week Busega-Bulenga'!E13+'Avg Week Bulenga-Busega'!E13</f>
        <v>31</v>
      </c>
      <c r="F13" s="49">
        <f>'Avg Week Busega-Bulenga'!F13+'Avg Week Bulenga-Busega'!F13</f>
        <v>98.714285714285708</v>
      </c>
      <c r="G13" s="49">
        <f>'Avg Week Busega-Bulenga'!G13+'Avg Week Bulenga-Busega'!G13</f>
        <v>3.7142857142857144</v>
      </c>
      <c r="H13" s="49">
        <f>'Avg Week Busega-Bulenga'!H13+'Avg Week Bulenga-Busega'!H13</f>
        <v>1.2857142857142856</v>
      </c>
      <c r="I13" s="49">
        <f>'Avg Week Busega-Bulenga'!I13+'Avg Week Bulenga-Busega'!I13</f>
        <v>20.142857142857142</v>
      </c>
      <c r="J13" s="49">
        <f>'Avg Week Busega-Bulenga'!J13+'Avg Week Bulenga-Busega'!J13</f>
        <v>13.571428571428571</v>
      </c>
      <c r="K13" s="49">
        <f>'Avg Week Busega-Bulenga'!K13+'Avg Week Bulenga-Busega'!K13</f>
        <v>4.7142857142857144</v>
      </c>
      <c r="L13" s="49">
        <f>'Avg Week Busega-Bulenga'!L13+'Avg Week Bulenga-Busega'!L13</f>
        <v>4.2857142857142856</v>
      </c>
      <c r="M13" s="49">
        <f>'Avg Week Busega-Bulenga'!M13+'Avg Week Bulenga-Busega'!M13</f>
        <v>437.14285714285711</v>
      </c>
      <c r="N13" s="49">
        <f>'Avg Week Busega-Bulenga'!N13+'Avg Week Bulenga-Busega'!N13</f>
        <v>0</v>
      </c>
      <c r="O13" s="15">
        <f t="shared" si="0"/>
        <v>307.42857142857144</v>
      </c>
      <c r="P13" s="15">
        <f t="shared" si="1"/>
        <v>744.57142857142856</v>
      </c>
      <c r="R13" s="1" t="s">
        <v>9</v>
      </c>
      <c r="S13" s="17">
        <f t="shared" ref="S13:AF13" si="5">SUM(C22:C25)</f>
        <v>453.28571428571428</v>
      </c>
      <c r="T13" s="17">
        <f t="shared" si="5"/>
        <v>48.857142857142854</v>
      </c>
      <c r="U13" s="17">
        <f t="shared" si="5"/>
        <v>54.857142857142854</v>
      </c>
      <c r="V13" s="17">
        <f t="shared" si="5"/>
        <v>304</v>
      </c>
      <c r="W13" s="17">
        <f t="shared" si="5"/>
        <v>8.8571428571428577</v>
      </c>
      <c r="X13" s="17">
        <f t="shared" si="5"/>
        <v>1.9999999999999996</v>
      </c>
      <c r="Y13" s="17">
        <f t="shared" si="5"/>
        <v>73.428571428571431</v>
      </c>
      <c r="Z13" s="17">
        <f t="shared" si="5"/>
        <v>53</v>
      </c>
      <c r="AA13" s="17">
        <f t="shared" si="5"/>
        <v>13.142857142857144</v>
      </c>
      <c r="AB13" s="17">
        <f t="shared" si="5"/>
        <v>10.571428571428569</v>
      </c>
      <c r="AC13" s="17">
        <f t="shared" si="5"/>
        <v>1632.7142857142858</v>
      </c>
      <c r="AD13" s="17">
        <f t="shared" si="5"/>
        <v>0.14285714285714285</v>
      </c>
      <c r="AE13" s="31">
        <f t="shared" si="5"/>
        <v>1022.1428571428571</v>
      </c>
      <c r="AF13" s="31">
        <f t="shared" si="5"/>
        <v>2654.8571428571431</v>
      </c>
    </row>
    <row r="14" spans="2:32" ht="23.1" customHeight="1" x14ac:dyDescent="0.25">
      <c r="B14" s="23" t="s">
        <v>41</v>
      </c>
      <c r="C14" s="49">
        <f>'Avg Week Busega-Bulenga'!C14+'Avg Week Bulenga-Busega'!C14</f>
        <v>113.28571428571428</v>
      </c>
      <c r="D14" s="49">
        <f>'Avg Week Busega-Bulenga'!D14+'Avg Week Bulenga-Busega'!D14</f>
        <v>15.857142857142858</v>
      </c>
      <c r="E14" s="49">
        <f>'Avg Week Busega-Bulenga'!E14+'Avg Week Bulenga-Busega'!E14</f>
        <v>18</v>
      </c>
      <c r="F14" s="49">
        <f>'Avg Week Busega-Bulenga'!F14+'Avg Week Bulenga-Busega'!F14</f>
        <v>88.285714285714278</v>
      </c>
      <c r="G14" s="49">
        <f>'Avg Week Busega-Bulenga'!G14+'Avg Week Bulenga-Busega'!G14</f>
        <v>3.8571428571428568</v>
      </c>
      <c r="H14" s="49">
        <f>'Avg Week Busega-Bulenga'!H14+'Avg Week Bulenga-Busega'!H14</f>
        <v>1.8571428571428572</v>
      </c>
      <c r="I14" s="49">
        <f>'Avg Week Busega-Bulenga'!I14+'Avg Week Bulenga-Busega'!I14</f>
        <v>19.142857142857142</v>
      </c>
      <c r="J14" s="49">
        <f>'Avg Week Busega-Bulenga'!J14+'Avg Week Bulenga-Busega'!J14</f>
        <v>17.857142857142858</v>
      </c>
      <c r="K14" s="49">
        <f>'Avg Week Busega-Bulenga'!K14+'Avg Week Bulenga-Busega'!K14</f>
        <v>2.2857142857142856</v>
      </c>
      <c r="L14" s="49">
        <f>'Avg Week Busega-Bulenga'!L14+'Avg Week Bulenga-Busega'!L14</f>
        <v>2.1428571428571428</v>
      </c>
      <c r="M14" s="49">
        <f>'Avg Week Busega-Bulenga'!M14+'Avg Week Bulenga-Busega'!M14</f>
        <v>417.57142857142856</v>
      </c>
      <c r="N14" s="49">
        <f>'Avg Week Busega-Bulenga'!N14+'Avg Week Bulenga-Busega'!N14</f>
        <v>0.14285714285714285</v>
      </c>
      <c r="O14" s="15">
        <f t="shared" si="0"/>
        <v>282.71428571428572</v>
      </c>
      <c r="P14" s="15">
        <f t="shared" si="1"/>
        <v>700.28571428571422</v>
      </c>
      <c r="R14" s="1" t="s">
        <v>10</v>
      </c>
      <c r="S14" s="17">
        <f t="shared" ref="S14:AF14" si="6">SUM(C26:C29)</f>
        <v>463.14285714285717</v>
      </c>
      <c r="T14" s="17">
        <f t="shared" si="6"/>
        <v>57.714285714285715</v>
      </c>
      <c r="U14" s="17">
        <f t="shared" si="6"/>
        <v>50.714285714285708</v>
      </c>
      <c r="V14" s="17">
        <f t="shared" si="6"/>
        <v>313.71428571428567</v>
      </c>
      <c r="W14" s="17">
        <f t="shared" si="6"/>
        <v>6.4285714285714288</v>
      </c>
      <c r="X14" s="17">
        <f t="shared" si="6"/>
        <v>4.4285714285714279</v>
      </c>
      <c r="Y14" s="17">
        <f t="shared" si="6"/>
        <v>73.857142857142861</v>
      </c>
      <c r="Z14" s="17">
        <f t="shared" si="6"/>
        <v>54.857142857142861</v>
      </c>
      <c r="AA14" s="17">
        <f t="shared" si="6"/>
        <v>9</v>
      </c>
      <c r="AB14" s="17">
        <f t="shared" si="6"/>
        <v>14.428571428571427</v>
      </c>
      <c r="AC14" s="17">
        <f t="shared" si="6"/>
        <v>1441.7142857142858</v>
      </c>
      <c r="AD14" s="17">
        <f t="shared" si="6"/>
        <v>0.14285714285714285</v>
      </c>
      <c r="AE14" s="31">
        <f t="shared" si="6"/>
        <v>1048.4285714285713</v>
      </c>
      <c r="AF14" s="31">
        <f t="shared" si="6"/>
        <v>2490.1428571428569</v>
      </c>
    </row>
    <row r="15" spans="2:32" ht="23.1" customHeight="1" x14ac:dyDescent="0.25">
      <c r="B15" s="23" t="s">
        <v>42</v>
      </c>
      <c r="C15" s="49">
        <f>'Avg Week Busega-Bulenga'!C15+'Avg Week Bulenga-Busega'!C15</f>
        <v>111.42857142857142</v>
      </c>
      <c r="D15" s="49">
        <f>'Avg Week Busega-Bulenga'!D15+'Avg Week Bulenga-Busega'!D15</f>
        <v>14.142857142857142</v>
      </c>
      <c r="E15" s="49">
        <f>'Avg Week Busega-Bulenga'!E15+'Avg Week Bulenga-Busega'!E15</f>
        <v>18</v>
      </c>
      <c r="F15" s="49">
        <f>'Avg Week Busega-Bulenga'!F15+'Avg Week Bulenga-Busega'!F15</f>
        <v>89.714285714285722</v>
      </c>
      <c r="G15" s="49">
        <f>'Avg Week Busega-Bulenga'!G15+'Avg Week Bulenga-Busega'!G15</f>
        <v>2</v>
      </c>
      <c r="H15" s="49">
        <f>'Avg Week Busega-Bulenga'!H15+'Avg Week Bulenga-Busega'!H15</f>
        <v>1.5714285714285714</v>
      </c>
      <c r="I15" s="49">
        <f>'Avg Week Busega-Bulenga'!I15+'Avg Week Bulenga-Busega'!I15</f>
        <v>19.285714285714285</v>
      </c>
      <c r="J15" s="49">
        <f>'Avg Week Busega-Bulenga'!J15+'Avg Week Bulenga-Busega'!J15</f>
        <v>13.714285714285714</v>
      </c>
      <c r="K15" s="49">
        <f>'Avg Week Busega-Bulenga'!K15+'Avg Week Bulenga-Busega'!K15</f>
        <v>2.8571428571428572</v>
      </c>
      <c r="L15" s="49">
        <f>'Avg Week Busega-Bulenga'!L15+'Avg Week Bulenga-Busega'!L15</f>
        <v>3.4285714285714284</v>
      </c>
      <c r="M15" s="49">
        <f>'Avg Week Busega-Bulenga'!M15+'Avg Week Bulenga-Busega'!M15</f>
        <v>422.85714285714289</v>
      </c>
      <c r="N15" s="49">
        <f>'Avg Week Busega-Bulenga'!N15+'Avg Week Bulenga-Busega'!N15</f>
        <v>0</v>
      </c>
      <c r="O15" s="15">
        <f t="shared" si="0"/>
        <v>276.14285714285717</v>
      </c>
      <c r="P15" s="15">
        <f t="shared" si="1"/>
        <v>699</v>
      </c>
      <c r="R15" s="1" t="s">
        <v>11</v>
      </c>
      <c r="S15" s="17">
        <f t="shared" ref="S15:AF15" si="7">SUM(C30:C33)</f>
        <v>410.85714285714289</v>
      </c>
      <c r="T15" s="17">
        <f t="shared" si="7"/>
        <v>52.285714285714285</v>
      </c>
      <c r="U15" s="17">
        <f t="shared" si="7"/>
        <v>53</v>
      </c>
      <c r="V15" s="17">
        <f t="shared" si="7"/>
        <v>252</v>
      </c>
      <c r="W15" s="17">
        <f t="shared" si="7"/>
        <v>4.2857142857142856</v>
      </c>
      <c r="X15" s="17">
        <f t="shared" si="7"/>
        <v>7.5714285714285712</v>
      </c>
      <c r="Y15" s="17">
        <f t="shared" si="7"/>
        <v>78.428571428571431</v>
      </c>
      <c r="Z15" s="17">
        <f t="shared" si="7"/>
        <v>52.571428571428569</v>
      </c>
      <c r="AA15" s="17">
        <f t="shared" si="7"/>
        <v>8.5714285714285712</v>
      </c>
      <c r="AB15" s="17">
        <f t="shared" si="7"/>
        <v>76</v>
      </c>
      <c r="AC15" s="17">
        <f t="shared" si="7"/>
        <v>1274.5714285714287</v>
      </c>
      <c r="AD15" s="17">
        <f t="shared" si="7"/>
        <v>0</v>
      </c>
      <c r="AE15" s="31">
        <f t="shared" si="7"/>
        <v>995.57142857142844</v>
      </c>
      <c r="AF15" s="31">
        <f t="shared" si="7"/>
        <v>2270.1428571428573</v>
      </c>
    </row>
    <row r="16" spans="2:32" ht="23.1" customHeight="1" x14ac:dyDescent="0.25">
      <c r="B16" s="23" t="s">
        <v>43</v>
      </c>
      <c r="C16" s="49">
        <f>'Avg Week Busega-Bulenga'!C16+'Avg Week Bulenga-Busega'!C16</f>
        <v>112</v>
      </c>
      <c r="D16" s="49">
        <f>'Avg Week Busega-Bulenga'!D16+'Avg Week Bulenga-Busega'!D16</f>
        <v>16.428571428571431</v>
      </c>
      <c r="E16" s="49">
        <f>'Avg Week Busega-Bulenga'!E16+'Avg Week Bulenga-Busega'!E16</f>
        <v>17.285714285714285</v>
      </c>
      <c r="F16" s="49">
        <f>'Avg Week Busega-Bulenga'!F16+'Avg Week Bulenga-Busega'!F16</f>
        <v>98.285714285714278</v>
      </c>
      <c r="G16" s="49">
        <f>'Avg Week Busega-Bulenga'!G16+'Avg Week Bulenga-Busega'!G16</f>
        <v>1.4285714285714286</v>
      </c>
      <c r="H16" s="49">
        <f>'Avg Week Busega-Bulenga'!H16+'Avg Week Bulenga-Busega'!H16</f>
        <v>1</v>
      </c>
      <c r="I16" s="49">
        <f>'Avg Week Busega-Bulenga'!I16+'Avg Week Bulenga-Busega'!I16</f>
        <v>15.142857142857142</v>
      </c>
      <c r="J16" s="49">
        <f>'Avg Week Busega-Bulenga'!J16+'Avg Week Bulenga-Busega'!J16</f>
        <v>13.571428571428571</v>
      </c>
      <c r="K16" s="49">
        <f>'Avg Week Busega-Bulenga'!K16+'Avg Week Bulenga-Busega'!K16</f>
        <v>3.4285714285714288</v>
      </c>
      <c r="L16" s="49">
        <f>'Avg Week Busega-Bulenga'!L16+'Avg Week Bulenga-Busega'!L16</f>
        <v>3.7142857142857144</v>
      </c>
      <c r="M16" s="49">
        <f>'Avg Week Busega-Bulenga'!M16+'Avg Week Bulenga-Busega'!M16</f>
        <v>453.14285714285711</v>
      </c>
      <c r="N16" s="49">
        <f>'Avg Week Busega-Bulenga'!N16+'Avg Week Bulenga-Busega'!N16</f>
        <v>0</v>
      </c>
      <c r="O16" s="15">
        <f t="shared" si="0"/>
        <v>282.28571428571428</v>
      </c>
      <c r="P16" s="15">
        <f t="shared" si="1"/>
        <v>735.42857142857133</v>
      </c>
      <c r="R16" s="1" t="s">
        <v>12</v>
      </c>
      <c r="S16" s="17">
        <f t="shared" ref="S16:AF16" si="8">SUM(C34:C37)</f>
        <v>402.85714285714289</v>
      </c>
      <c r="T16" s="17">
        <f t="shared" si="8"/>
        <v>58.571428571428569</v>
      </c>
      <c r="U16" s="17">
        <f t="shared" si="8"/>
        <v>51.142857142857139</v>
      </c>
      <c r="V16" s="17">
        <f t="shared" si="8"/>
        <v>258.28571428571428</v>
      </c>
      <c r="W16" s="17">
        <f t="shared" si="8"/>
        <v>6.7142857142857135</v>
      </c>
      <c r="X16" s="17">
        <f t="shared" si="8"/>
        <v>5.5714285714285712</v>
      </c>
      <c r="Y16" s="17">
        <f t="shared" si="8"/>
        <v>73</v>
      </c>
      <c r="Z16" s="17">
        <f t="shared" si="8"/>
        <v>56.428571428571431</v>
      </c>
      <c r="AA16" s="17">
        <f t="shared" si="8"/>
        <v>9.2857142857142865</v>
      </c>
      <c r="AB16" s="17">
        <f t="shared" si="8"/>
        <v>15</v>
      </c>
      <c r="AC16" s="17">
        <f t="shared" si="8"/>
        <v>1219.5714285714284</v>
      </c>
      <c r="AD16" s="17">
        <f t="shared" si="8"/>
        <v>0.14285714285714285</v>
      </c>
      <c r="AE16" s="31">
        <f t="shared" si="8"/>
        <v>937</v>
      </c>
      <c r="AF16" s="31">
        <f t="shared" si="8"/>
        <v>2156.5714285714284</v>
      </c>
    </row>
    <row r="17" spans="2:32" ht="23.1" customHeight="1" x14ac:dyDescent="0.25">
      <c r="B17" s="23" t="s">
        <v>44</v>
      </c>
      <c r="C17" s="49">
        <f>'Avg Week Busega-Bulenga'!C17+'Avg Week Bulenga-Busega'!C17</f>
        <v>109.57142857142858</v>
      </c>
      <c r="D17" s="49">
        <f>'Avg Week Busega-Bulenga'!D17+'Avg Week Bulenga-Busega'!D17</f>
        <v>16.571428571428569</v>
      </c>
      <c r="E17" s="49">
        <f>'Avg Week Busega-Bulenga'!E17+'Avg Week Bulenga-Busega'!E17</f>
        <v>13.285714285714285</v>
      </c>
      <c r="F17" s="49">
        <f>'Avg Week Busega-Bulenga'!F17+'Avg Week Bulenga-Busega'!F17</f>
        <v>88.428571428571431</v>
      </c>
      <c r="G17" s="49">
        <f>'Avg Week Busega-Bulenga'!G17+'Avg Week Bulenga-Busega'!G17</f>
        <v>1</v>
      </c>
      <c r="H17" s="49">
        <f>'Avg Week Busega-Bulenga'!H17+'Avg Week Bulenga-Busega'!H17</f>
        <v>0.7142857142857143</v>
      </c>
      <c r="I17" s="49">
        <f>'Avg Week Busega-Bulenga'!I17+'Avg Week Bulenga-Busega'!I17</f>
        <v>17.571428571428569</v>
      </c>
      <c r="J17" s="49">
        <f>'Avg Week Busega-Bulenga'!J17+'Avg Week Bulenga-Busega'!J17</f>
        <v>14.285714285714285</v>
      </c>
      <c r="K17" s="49">
        <f>'Avg Week Busega-Bulenga'!K17+'Avg Week Bulenga-Busega'!K17</f>
        <v>3</v>
      </c>
      <c r="L17" s="49">
        <f>'Avg Week Busega-Bulenga'!L17+'Avg Week Bulenga-Busega'!L17</f>
        <v>2.1428571428571428</v>
      </c>
      <c r="M17" s="49">
        <f>'Avg Week Busega-Bulenga'!M17+'Avg Week Bulenga-Busega'!M17</f>
        <v>482.42857142857144</v>
      </c>
      <c r="N17" s="49">
        <f>'Avg Week Busega-Bulenga'!N17+'Avg Week Bulenga-Busega'!N17</f>
        <v>0.2857142857142857</v>
      </c>
      <c r="O17" s="15">
        <f t="shared" si="0"/>
        <v>266.85714285714289</v>
      </c>
      <c r="P17" s="15">
        <f t="shared" si="1"/>
        <v>749.28571428571433</v>
      </c>
      <c r="R17" s="1" t="s">
        <v>13</v>
      </c>
      <c r="S17" s="17">
        <f t="shared" ref="S17:AF17" si="9">SUM(C38:C41)</f>
        <v>413.28571428571428</v>
      </c>
      <c r="T17" s="17">
        <f t="shared" si="9"/>
        <v>48.428571428571431</v>
      </c>
      <c r="U17" s="17">
        <f t="shared" si="9"/>
        <v>54.285714285714292</v>
      </c>
      <c r="V17" s="17">
        <f t="shared" si="9"/>
        <v>254.71428571428572</v>
      </c>
      <c r="W17" s="17">
        <f t="shared" si="9"/>
        <v>3.1428571428571423</v>
      </c>
      <c r="X17" s="17">
        <f t="shared" si="9"/>
        <v>5</v>
      </c>
      <c r="Y17" s="17">
        <f t="shared" si="9"/>
        <v>74.142857142857153</v>
      </c>
      <c r="Z17" s="17">
        <f t="shared" si="9"/>
        <v>62.142857142857153</v>
      </c>
      <c r="AA17" s="17">
        <f t="shared" si="9"/>
        <v>15.571428571428571</v>
      </c>
      <c r="AB17" s="17">
        <f t="shared" si="9"/>
        <v>48.571428571428569</v>
      </c>
      <c r="AC17" s="17">
        <f t="shared" si="9"/>
        <v>1071.6714285714288</v>
      </c>
      <c r="AD17" s="17">
        <f t="shared" si="9"/>
        <v>26.571428571428569</v>
      </c>
      <c r="AE17" s="31">
        <f t="shared" si="9"/>
        <v>1005.8571428571429</v>
      </c>
      <c r="AF17" s="31">
        <f t="shared" si="9"/>
        <v>2077.5285714285715</v>
      </c>
    </row>
    <row r="18" spans="2:32" ht="23.1" customHeight="1" x14ac:dyDescent="0.25">
      <c r="B18" s="23" t="s">
        <v>45</v>
      </c>
      <c r="C18" s="49">
        <f>'Avg Week Busega-Bulenga'!C18+'Avg Week Bulenga-Busega'!C18</f>
        <v>120.14285714285714</v>
      </c>
      <c r="D18" s="49">
        <f>'Avg Week Busega-Bulenga'!D18+'Avg Week Bulenga-Busega'!D18</f>
        <v>16.142857142857142</v>
      </c>
      <c r="E18" s="49">
        <f>'Avg Week Busega-Bulenga'!E18+'Avg Week Bulenga-Busega'!E18</f>
        <v>17</v>
      </c>
      <c r="F18" s="49">
        <f>'Avg Week Busega-Bulenga'!F18+'Avg Week Bulenga-Busega'!F18</f>
        <v>80.714285714285708</v>
      </c>
      <c r="G18" s="49">
        <f>'Avg Week Busega-Bulenga'!G18+'Avg Week Bulenga-Busega'!G18</f>
        <v>9.4285714285714288</v>
      </c>
      <c r="H18" s="49">
        <f>'Avg Week Busega-Bulenga'!H18+'Avg Week Bulenga-Busega'!H18</f>
        <v>0.71428571428571419</v>
      </c>
      <c r="I18" s="49">
        <f>'Avg Week Busega-Bulenga'!I18+'Avg Week Bulenga-Busega'!I18</f>
        <v>26.714285714285715</v>
      </c>
      <c r="J18" s="49">
        <f>'Avg Week Busega-Bulenga'!J18+'Avg Week Bulenga-Busega'!J18</f>
        <v>13.428571428571427</v>
      </c>
      <c r="K18" s="49">
        <f>'Avg Week Busega-Bulenga'!K18+'Avg Week Bulenga-Busega'!K18</f>
        <v>2</v>
      </c>
      <c r="L18" s="49">
        <f>'Avg Week Busega-Bulenga'!L18+'Avg Week Bulenga-Busega'!L18</f>
        <v>3.4285714285714288</v>
      </c>
      <c r="M18" s="49">
        <f>'Avg Week Busega-Bulenga'!M18+'Avg Week Bulenga-Busega'!M18</f>
        <v>508.42857142857144</v>
      </c>
      <c r="N18" s="49">
        <f>'Avg Week Busega-Bulenga'!N18+'Avg Week Bulenga-Busega'!N18</f>
        <v>0</v>
      </c>
      <c r="O18" s="15">
        <f t="shared" si="0"/>
        <v>289.71428571428572</v>
      </c>
      <c r="P18" s="15">
        <f t="shared" si="1"/>
        <v>798.14285714285711</v>
      </c>
      <c r="R18" s="1" t="s">
        <v>14</v>
      </c>
      <c r="S18" s="17">
        <f t="shared" ref="S18:AF18" si="10">SUM(C42:C45)</f>
        <v>456.57142857142861</v>
      </c>
      <c r="T18" s="17">
        <f t="shared" si="10"/>
        <v>58.428571428571431</v>
      </c>
      <c r="U18" s="17">
        <f t="shared" si="10"/>
        <v>53.285714285714278</v>
      </c>
      <c r="V18" s="17">
        <f t="shared" si="10"/>
        <v>268.14285714285711</v>
      </c>
      <c r="W18" s="17">
        <f t="shared" si="10"/>
        <v>3.8571428571428568</v>
      </c>
      <c r="X18" s="17">
        <f t="shared" si="10"/>
        <v>5.1428571428571423</v>
      </c>
      <c r="Y18" s="17">
        <f t="shared" si="10"/>
        <v>87.714285714285708</v>
      </c>
      <c r="Z18" s="17">
        <f t="shared" si="10"/>
        <v>58.428571428571431</v>
      </c>
      <c r="AA18" s="17">
        <f t="shared" si="10"/>
        <v>18.428571428571431</v>
      </c>
      <c r="AB18" s="17">
        <f t="shared" si="10"/>
        <v>17</v>
      </c>
      <c r="AC18" s="17">
        <f t="shared" si="10"/>
        <v>1244.5714285714284</v>
      </c>
      <c r="AD18" s="17">
        <f t="shared" si="10"/>
        <v>0</v>
      </c>
      <c r="AE18" s="31">
        <f t="shared" si="10"/>
        <v>1027</v>
      </c>
      <c r="AF18" s="31">
        <f t="shared" si="10"/>
        <v>2271.5714285714284</v>
      </c>
    </row>
    <row r="19" spans="2:32" ht="23.1" customHeight="1" x14ac:dyDescent="0.25">
      <c r="B19" s="23" t="s">
        <v>46</v>
      </c>
      <c r="C19" s="49">
        <f>'Avg Week Busega-Bulenga'!C19+'Avg Week Bulenga-Busega'!C19</f>
        <v>105.85714285714286</v>
      </c>
      <c r="D19" s="49">
        <f>'Avg Week Busega-Bulenga'!D19+'Avg Week Bulenga-Busega'!D19</f>
        <v>13.142857142857142</v>
      </c>
      <c r="E19" s="49">
        <f>'Avg Week Busega-Bulenga'!E19+'Avg Week Bulenga-Busega'!E19</f>
        <v>16.285714285714285</v>
      </c>
      <c r="F19" s="49">
        <f>'Avg Week Busega-Bulenga'!F19+'Avg Week Bulenga-Busega'!F19</f>
        <v>83.857142857142861</v>
      </c>
      <c r="G19" s="49">
        <f>'Avg Week Busega-Bulenga'!G19+'Avg Week Bulenga-Busega'!G19</f>
        <v>3.8571428571428572</v>
      </c>
      <c r="H19" s="49">
        <f>'Avg Week Busega-Bulenga'!H19+'Avg Week Bulenga-Busega'!H19</f>
        <v>0.85714285714285721</v>
      </c>
      <c r="I19" s="49">
        <f>'Avg Week Busega-Bulenga'!I19+'Avg Week Bulenga-Busega'!I19</f>
        <v>18.142857142857142</v>
      </c>
      <c r="J19" s="49">
        <f>'Avg Week Busega-Bulenga'!J19+'Avg Week Bulenga-Busega'!J19</f>
        <v>11.714285714285714</v>
      </c>
      <c r="K19" s="49">
        <f>'Avg Week Busega-Bulenga'!K19+'Avg Week Bulenga-Busega'!K19</f>
        <v>1.7142857142857142</v>
      </c>
      <c r="L19" s="49">
        <f>'Avg Week Busega-Bulenga'!L19+'Avg Week Bulenga-Busega'!L19</f>
        <v>2.2857142857142856</v>
      </c>
      <c r="M19" s="49">
        <f>'Avg Week Busega-Bulenga'!M19+'Avg Week Bulenga-Busega'!M19</f>
        <v>447</v>
      </c>
      <c r="N19" s="49">
        <f>'Avg Week Busega-Bulenga'!N19+'Avg Week Bulenga-Busega'!N19</f>
        <v>0</v>
      </c>
      <c r="O19" s="15">
        <f t="shared" si="0"/>
        <v>257.71428571428572</v>
      </c>
      <c r="P19" s="15">
        <f t="shared" si="1"/>
        <v>704.71428571428578</v>
      </c>
      <c r="R19" s="1" t="s">
        <v>15</v>
      </c>
      <c r="S19" s="17">
        <f t="shared" ref="S19:AF19" si="11">SUM(C46:C49)</f>
        <v>440.85714285714283</v>
      </c>
      <c r="T19" s="17">
        <f t="shared" si="11"/>
        <v>55.428571428571431</v>
      </c>
      <c r="U19" s="17">
        <f t="shared" si="11"/>
        <v>60.285714285714292</v>
      </c>
      <c r="V19" s="17">
        <f t="shared" si="11"/>
        <v>272.85714285714283</v>
      </c>
      <c r="W19" s="17">
        <f t="shared" si="11"/>
        <v>6.2857142857142856</v>
      </c>
      <c r="X19" s="17">
        <f t="shared" si="11"/>
        <v>4</v>
      </c>
      <c r="Y19" s="17">
        <f t="shared" si="11"/>
        <v>75.714285714285708</v>
      </c>
      <c r="Z19" s="17">
        <f t="shared" si="11"/>
        <v>63.714285714285715</v>
      </c>
      <c r="AA19" s="17">
        <f t="shared" si="11"/>
        <v>15.428571428571429</v>
      </c>
      <c r="AB19" s="17">
        <f t="shared" si="11"/>
        <v>20.285714285714285</v>
      </c>
      <c r="AC19" s="17">
        <f t="shared" si="11"/>
        <v>1457.7142857142858</v>
      </c>
      <c r="AD19" s="17">
        <f t="shared" si="11"/>
        <v>0</v>
      </c>
      <c r="AE19" s="31">
        <f t="shared" si="11"/>
        <v>1014.8571428571428</v>
      </c>
      <c r="AF19" s="31">
        <f t="shared" si="11"/>
        <v>2472.5714285714284</v>
      </c>
    </row>
    <row r="20" spans="2:32" ht="23.1" customHeight="1" x14ac:dyDescent="0.25">
      <c r="B20" s="23" t="s">
        <v>47</v>
      </c>
      <c r="C20" s="49">
        <f>'Avg Week Busega-Bulenga'!C20+'Avg Week Bulenga-Busega'!C20</f>
        <v>111.71428571428572</v>
      </c>
      <c r="D20" s="49">
        <f>'Avg Week Busega-Bulenga'!D20+'Avg Week Bulenga-Busega'!D20</f>
        <v>13.285714285714286</v>
      </c>
      <c r="E20" s="49">
        <f>'Avg Week Busega-Bulenga'!E20+'Avg Week Bulenga-Busega'!E20</f>
        <v>12.714285714285715</v>
      </c>
      <c r="F20" s="49">
        <f>'Avg Week Busega-Bulenga'!F20+'Avg Week Bulenga-Busega'!F20</f>
        <v>88.428571428571416</v>
      </c>
      <c r="G20" s="49">
        <f>'Avg Week Busega-Bulenga'!G20+'Avg Week Bulenga-Busega'!G20</f>
        <v>1.4285714285714284</v>
      </c>
      <c r="H20" s="49">
        <f>'Avg Week Busega-Bulenga'!H20+'Avg Week Bulenga-Busega'!H20</f>
        <v>0.8571428571428571</v>
      </c>
      <c r="I20" s="49">
        <f>'Avg Week Busega-Bulenga'!I20+'Avg Week Bulenga-Busega'!I20</f>
        <v>18</v>
      </c>
      <c r="J20" s="49">
        <f>'Avg Week Busega-Bulenga'!J20+'Avg Week Bulenga-Busega'!J20</f>
        <v>13.428571428571429</v>
      </c>
      <c r="K20" s="49">
        <f>'Avg Week Busega-Bulenga'!K20+'Avg Week Bulenga-Busega'!K20</f>
        <v>2.2857142857142856</v>
      </c>
      <c r="L20" s="49">
        <f>'Avg Week Busega-Bulenga'!L20+'Avg Week Bulenga-Busega'!L20</f>
        <v>3.2857142857142856</v>
      </c>
      <c r="M20" s="49">
        <f>'Avg Week Busega-Bulenga'!M20+'Avg Week Bulenga-Busega'!M20</f>
        <v>437.28571428571428</v>
      </c>
      <c r="N20" s="49">
        <f>'Avg Week Busega-Bulenga'!N20+'Avg Week Bulenga-Busega'!N20</f>
        <v>0</v>
      </c>
      <c r="O20" s="15">
        <f t="shared" si="0"/>
        <v>265.42857142857139</v>
      </c>
      <c r="P20" s="15">
        <f t="shared" si="1"/>
        <v>702.71428571428567</v>
      </c>
      <c r="R20" s="1" t="s">
        <v>16</v>
      </c>
      <c r="S20" s="17">
        <f t="shared" ref="S20:AF20" si="12">SUM(C50:C53)</f>
        <v>745.42857142857133</v>
      </c>
      <c r="T20" s="17">
        <f t="shared" si="12"/>
        <v>64.571428571428569</v>
      </c>
      <c r="U20" s="17">
        <f t="shared" si="12"/>
        <v>86</v>
      </c>
      <c r="V20" s="17">
        <f t="shared" si="12"/>
        <v>351.42857142857144</v>
      </c>
      <c r="W20" s="17">
        <f t="shared" si="12"/>
        <v>15.142857142857142</v>
      </c>
      <c r="X20" s="17">
        <f t="shared" si="12"/>
        <v>12.714285714285714</v>
      </c>
      <c r="Y20" s="17">
        <f t="shared" si="12"/>
        <v>77.428571428571431</v>
      </c>
      <c r="Z20" s="17">
        <f t="shared" si="12"/>
        <v>61.428571428571431</v>
      </c>
      <c r="AA20" s="17">
        <f t="shared" si="12"/>
        <v>17.714285714285715</v>
      </c>
      <c r="AB20" s="17">
        <f t="shared" si="12"/>
        <v>16.857142857142858</v>
      </c>
      <c r="AC20" s="17">
        <f t="shared" si="12"/>
        <v>1653.5714285714284</v>
      </c>
      <c r="AD20" s="17">
        <f t="shared" si="12"/>
        <v>0.14285714285714285</v>
      </c>
      <c r="AE20" s="31">
        <f t="shared" si="12"/>
        <v>1448.8571428571429</v>
      </c>
      <c r="AF20" s="31">
        <f t="shared" si="12"/>
        <v>3102.4285714285716</v>
      </c>
    </row>
    <row r="21" spans="2:32" ht="23.1" customHeight="1" x14ac:dyDescent="0.25">
      <c r="B21" s="23" t="s">
        <v>48</v>
      </c>
      <c r="C21" s="49">
        <f>'Avg Week Busega-Bulenga'!C21+'Avg Week Bulenga-Busega'!C21</f>
        <v>114.14285714285714</v>
      </c>
      <c r="D21" s="49">
        <f>'Avg Week Busega-Bulenga'!D21+'Avg Week Bulenga-Busega'!D21</f>
        <v>13.285714285714285</v>
      </c>
      <c r="E21" s="49">
        <f>'Avg Week Busega-Bulenga'!E21+'Avg Week Bulenga-Busega'!E21</f>
        <v>14.428571428571429</v>
      </c>
      <c r="F21" s="49">
        <f>'Avg Week Busega-Bulenga'!F21+'Avg Week Bulenga-Busega'!F21</f>
        <v>76</v>
      </c>
      <c r="G21" s="49">
        <f>'Avg Week Busega-Bulenga'!G21+'Avg Week Bulenga-Busega'!G21</f>
        <v>1.857142857142857</v>
      </c>
      <c r="H21" s="49">
        <f>'Avg Week Busega-Bulenga'!H21+'Avg Week Bulenga-Busega'!H21</f>
        <v>0.8571428571428571</v>
      </c>
      <c r="I21" s="49">
        <f>'Avg Week Busega-Bulenga'!I21+'Avg Week Bulenga-Busega'!I21</f>
        <v>17.571428571428569</v>
      </c>
      <c r="J21" s="49">
        <f>'Avg Week Busega-Bulenga'!J21+'Avg Week Bulenga-Busega'!J21</f>
        <v>16.714285714285715</v>
      </c>
      <c r="K21" s="49">
        <f>'Avg Week Busega-Bulenga'!K21+'Avg Week Bulenga-Busega'!K21</f>
        <v>1.7142857142857142</v>
      </c>
      <c r="L21" s="49">
        <f>'Avg Week Busega-Bulenga'!L21+'Avg Week Bulenga-Busega'!L21</f>
        <v>2.7142857142857144</v>
      </c>
      <c r="M21" s="49">
        <f>'Avg Week Busega-Bulenga'!M21+'Avg Week Bulenga-Busega'!M21</f>
        <v>428</v>
      </c>
      <c r="N21" s="49">
        <f>'Avg Week Busega-Bulenga'!N21+'Avg Week Bulenga-Busega'!N21</f>
        <v>0</v>
      </c>
      <c r="O21" s="15">
        <f t="shared" si="0"/>
        <v>259.28571428571428</v>
      </c>
      <c r="P21" s="15">
        <f t="shared" si="1"/>
        <v>687.28571428571422</v>
      </c>
      <c r="R21" s="36" t="s">
        <v>20</v>
      </c>
      <c r="S21" s="34">
        <f>SUM(C54:C57)</f>
        <v>709</v>
      </c>
      <c r="T21" s="17">
        <f t="shared" ref="T21:AF33" si="13">SUM(D54:D57)</f>
        <v>68.428571428571431</v>
      </c>
      <c r="U21" s="17">
        <f t="shared" si="13"/>
        <v>54</v>
      </c>
      <c r="V21" s="17">
        <f t="shared" si="13"/>
        <v>408.85714285714289</v>
      </c>
      <c r="W21" s="17">
        <f t="shared" si="13"/>
        <v>16</v>
      </c>
      <c r="X21" s="17">
        <f t="shared" si="13"/>
        <v>12.142857142857142</v>
      </c>
      <c r="Y21" s="17">
        <f t="shared" si="13"/>
        <v>75.857142857142861</v>
      </c>
      <c r="Z21" s="17">
        <f t="shared" si="13"/>
        <v>56.714285714285715</v>
      </c>
      <c r="AA21" s="17">
        <f t="shared" si="13"/>
        <v>13.571428571428571</v>
      </c>
      <c r="AB21" s="17">
        <f t="shared" si="13"/>
        <v>18</v>
      </c>
      <c r="AC21" s="17">
        <f t="shared" si="13"/>
        <v>1699</v>
      </c>
      <c r="AD21" s="17">
        <f t="shared" si="13"/>
        <v>0</v>
      </c>
      <c r="AE21" s="31">
        <f t="shared" si="13"/>
        <v>1432.5714285714284</v>
      </c>
      <c r="AF21" s="31">
        <f t="shared" si="13"/>
        <v>3131.5714285714284</v>
      </c>
    </row>
    <row r="22" spans="2:32" ht="23.1" customHeight="1" x14ac:dyDescent="0.25">
      <c r="B22" s="23" t="s">
        <v>49</v>
      </c>
      <c r="C22" s="49">
        <f>'Avg Week Busega-Bulenga'!C22+'Avg Week Bulenga-Busega'!C22</f>
        <v>108.14285714285714</v>
      </c>
      <c r="D22" s="49">
        <f>'Avg Week Busega-Bulenga'!D22+'Avg Week Bulenga-Busega'!D22</f>
        <v>14.571428571428569</v>
      </c>
      <c r="E22" s="49">
        <f>'Avg Week Busega-Bulenga'!E22+'Avg Week Bulenga-Busega'!E22</f>
        <v>14</v>
      </c>
      <c r="F22" s="49">
        <f>'Avg Week Busega-Bulenga'!F22+'Avg Week Bulenga-Busega'!F22</f>
        <v>79.714285714285722</v>
      </c>
      <c r="G22" s="49">
        <f>'Avg Week Busega-Bulenga'!G22+'Avg Week Bulenga-Busega'!G22</f>
        <v>1</v>
      </c>
      <c r="H22" s="49">
        <f>'Avg Week Busega-Bulenga'!H22+'Avg Week Bulenga-Busega'!H22</f>
        <v>0.71428571428571419</v>
      </c>
      <c r="I22" s="49">
        <f>'Avg Week Busega-Bulenga'!I22+'Avg Week Bulenga-Busega'!I22</f>
        <v>20</v>
      </c>
      <c r="J22" s="49">
        <f>'Avg Week Busega-Bulenga'!J22+'Avg Week Bulenga-Busega'!J22</f>
        <v>12.714285714285714</v>
      </c>
      <c r="K22" s="49">
        <f>'Avg Week Busega-Bulenga'!K22+'Avg Week Bulenga-Busega'!K22</f>
        <v>4.4285714285714288</v>
      </c>
      <c r="L22" s="49">
        <f>'Avg Week Busega-Bulenga'!L22+'Avg Week Bulenga-Busega'!L22</f>
        <v>3.4285714285714288</v>
      </c>
      <c r="M22" s="49">
        <f>'Avg Week Busega-Bulenga'!M22+'Avg Week Bulenga-Busega'!M22</f>
        <v>433.14285714285717</v>
      </c>
      <c r="N22" s="49">
        <f>'Avg Week Busega-Bulenga'!N22+'Avg Week Bulenga-Busega'!N22</f>
        <v>0</v>
      </c>
      <c r="O22" s="15">
        <f t="shared" si="0"/>
        <v>258.71428571428572</v>
      </c>
      <c r="P22" s="15">
        <f t="shared" si="1"/>
        <v>691.85714285714289</v>
      </c>
      <c r="R22" s="1" t="s">
        <v>146</v>
      </c>
      <c r="S22" s="34">
        <f>SUM(C58:C61)</f>
        <v>495.33333333333331</v>
      </c>
      <c r="T22" s="34">
        <f t="shared" ref="T22:AD22" si="14">SUM(D58:D61)</f>
        <v>119.66666666666666</v>
      </c>
      <c r="U22" s="34">
        <f t="shared" si="14"/>
        <v>66.333333333333343</v>
      </c>
      <c r="V22" s="34">
        <f t="shared" si="14"/>
        <v>299</v>
      </c>
      <c r="W22" s="34">
        <f t="shared" si="14"/>
        <v>18.333333333333336</v>
      </c>
      <c r="X22" s="34">
        <f t="shared" si="14"/>
        <v>16</v>
      </c>
      <c r="Y22" s="34">
        <f t="shared" si="14"/>
        <v>163</v>
      </c>
      <c r="Z22" s="34">
        <f t="shared" si="14"/>
        <v>80.666666666666671</v>
      </c>
      <c r="AA22" s="34">
        <f t="shared" si="14"/>
        <v>22</v>
      </c>
      <c r="AB22" s="34">
        <f t="shared" si="14"/>
        <v>10.333333333333334</v>
      </c>
      <c r="AC22" s="34">
        <f t="shared" si="14"/>
        <v>873.66666666666663</v>
      </c>
      <c r="AD22" s="34">
        <f t="shared" si="14"/>
        <v>0.33333333333333331</v>
      </c>
      <c r="AE22" s="31">
        <f t="shared" si="13"/>
        <v>1393.6190476190475</v>
      </c>
      <c r="AF22" s="31">
        <f t="shared" si="13"/>
        <v>2864.3809523809518</v>
      </c>
    </row>
    <row r="23" spans="2:32" ht="23.1" customHeight="1" x14ac:dyDescent="0.25">
      <c r="B23" s="23" t="s">
        <v>50</v>
      </c>
      <c r="C23" s="49">
        <f>'Avg Week Busega-Bulenga'!C23+'Avg Week Bulenga-Busega'!C23</f>
        <v>104.28571428571429</v>
      </c>
      <c r="D23" s="49">
        <f>'Avg Week Busega-Bulenga'!D23+'Avg Week Bulenga-Busega'!D23</f>
        <v>11.285714285714286</v>
      </c>
      <c r="E23" s="49">
        <f>'Avg Week Busega-Bulenga'!E23+'Avg Week Bulenga-Busega'!E23</f>
        <v>15.571428571428573</v>
      </c>
      <c r="F23" s="49">
        <f>'Avg Week Busega-Bulenga'!F23+'Avg Week Bulenga-Busega'!F23</f>
        <v>69.857142857142861</v>
      </c>
      <c r="G23" s="49">
        <f>'Avg Week Busega-Bulenga'!G23+'Avg Week Bulenga-Busega'!G23</f>
        <v>4.2857142857142856</v>
      </c>
      <c r="H23" s="49">
        <f>'Avg Week Busega-Bulenga'!H23+'Avg Week Bulenga-Busega'!H23</f>
        <v>0.2857142857142857</v>
      </c>
      <c r="I23" s="49">
        <f>'Avg Week Busega-Bulenga'!I23+'Avg Week Bulenga-Busega'!I23</f>
        <v>15.857142857142858</v>
      </c>
      <c r="J23" s="49">
        <f>'Avg Week Busega-Bulenga'!J23+'Avg Week Bulenga-Busega'!J23</f>
        <v>14</v>
      </c>
      <c r="K23" s="49">
        <f>'Avg Week Busega-Bulenga'!K23+'Avg Week Bulenga-Busega'!K23</f>
        <v>2.2857142857142856</v>
      </c>
      <c r="L23" s="49">
        <f>'Avg Week Busega-Bulenga'!L23+'Avg Week Bulenga-Busega'!L23</f>
        <v>3.1428571428571428</v>
      </c>
      <c r="M23" s="49">
        <f>'Avg Week Busega-Bulenga'!M23+'Avg Week Bulenga-Busega'!M23</f>
        <v>420</v>
      </c>
      <c r="N23" s="49">
        <f>'Avg Week Busega-Bulenga'!N23+'Avg Week Bulenga-Busega'!N23</f>
        <v>0</v>
      </c>
      <c r="O23" s="15">
        <f t="shared" si="0"/>
        <v>240.85714285714286</v>
      </c>
      <c r="P23" s="15">
        <f t="shared" si="1"/>
        <v>660.85714285714289</v>
      </c>
      <c r="R23" s="1" t="s">
        <v>147</v>
      </c>
      <c r="S23" s="34">
        <f>SUM(C62:C65)</f>
        <v>510.33333333333331</v>
      </c>
      <c r="T23" s="34">
        <f t="shared" ref="T23:AD23" si="15">SUM(D62:D65)</f>
        <v>136.33333333333331</v>
      </c>
      <c r="U23" s="34">
        <f t="shared" si="15"/>
        <v>66</v>
      </c>
      <c r="V23" s="34">
        <f t="shared" si="15"/>
        <v>278.33333333333331</v>
      </c>
      <c r="W23" s="34">
        <f t="shared" si="15"/>
        <v>17.333333333333332</v>
      </c>
      <c r="X23" s="34">
        <f t="shared" si="15"/>
        <v>3.333333333333333</v>
      </c>
      <c r="Y23" s="34">
        <f t="shared" si="15"/>
        <v>100.33333333333333</v>
      </c>
      <c r="Z23" s="34">
        <f t="shared" si="15"/>
        <v>38</v>
      </c>
      <c r="AA23" s="34">
        <f t="shared" si="15"/>
        <v>22.666666666666664</v>
      </c>
      <c r="AB23" s="34">
        <f t="shared" si="15"/>
        <v>15</v>
      </c>
      <c r="AC23" s="34">
        <f t="shared" si="15"/>
        <v>883</v>
      </c>
      <c r="AD23" s="34">
        <f t="shared" si="15"/>
        <v>0</v>
      </c>
      <c r="AE23" s="31">
        <f t="shared" si="13"/>
        <v>1376.4285714285716</v>
      </c>
      <c r="AF23" s="31">
        <f t="shared" si="13"/>
        <v>2675.8095238095239</v>
      </c>
    </row>
    <row r="24" spans="2:32" ht="23.1" customHeight="1" x14ac:dyDescent="0.25">
      <c r="B24" s="23" t="s">
        <v>51</v>
      </c>
      <c r="C24" s="49">
        <f>'Avg Week Busega-Bulenga'!C24+'Avg Week Bulenga-Busega'!C24</f>
        <v>117.14285714285714</v>
      </c>
      <c r="D24" s="49">
        <f>'Avg Week Busega-Bulenga'!D24+'Avg Week Bulenga-Busega'!D24</f>
        <v>10.714285714285715</v>
      </c>
      <c r="E24" s="49">
        <f>'Avg Week Busega-Bulenga'!E24+'Avg Week Bulenga-Busega'!E24</f>
        <v>14</v>
      </c>
      <c r="F24" s="49">
        <f>'Avg Week Busega-Bulenga'!F24+'Avg Week Bulenga-Busega'!F24</f>
        <v>80</v>
      </c>
      <c r="G24" s="49">
        <f>'Avg Week Busega-Bulenga'!G24+'Avg Week Bulenga-Busega'!G24</f>
        <v>1.7142857142857144</v>
      </c>
      <c r="H24" s="49">
        <f>'Avg Week Busega-Bulenga'!H24+'Avg Week Bulenga-Busega'!H24</f>
        <v>0.71428571428571419</v>
      </c>
      <c r="I24" s="49">
        <f>'Avg Week Busega-Bulenga'!I24+'Avg Week Bulenga-Busega'!I24</f>
        <v>18.571428571428569</v>
      </c>
      <c r="J24" s="49">
        <f>'Avg Week Busega-Bulenga'!J24+'Avg Week Bulenga-Busega'!J24</f>
        <v>15</v>
      </c>
      <c r="K24" s="49">
        <f>'Avg Week Busega-Bulenga'!K24+'Avg Week Bulenga-Busega'!K24</f>
        <v>3</v>
      </c>
      <c r="L24" s="49">
        <f>'Avg Week Busega-Bulenga'!L24+'Avg Week Bulenga-Busega'!L24</f>
        <v>1.7142857142857142</v>
      </c>
      <c r="M24" s="49">
        <f>'Avg Week Busega-Bulenga'!M24+'Avg Week Bulenga-Busega'!M24</f>
        <v>420.85714285714289</v>
      </c>
      <c r="N24" s="49">
        <f>'Avg Week Busega-Bulenga'!N24+'Avg Week Bulenga-Busega'!N24</f>
        <v>0</v>
      </c>
      <c r="O24" s="15">
        <f t="shared" si="0"/>
        <v>262.57142857142861</v>
      </c>
      <c r="P24" s="15">
        <f t="shared" si="1"/>
        <v>683.42857142857156</v>
      </c>
      <c r="R24" s="1" t="s">
        <v>148</v>
      </c>
      <c r="S24" s="34">
        <f>SUM(C66:C69)</f>
        <v>524.66666666666663</v>
      </c>
      <c r="T24" s="34">
        <f t="shared" ref="T24:AD24" si="16">SUM(D66:D69)</f>
        <v>103</v>
      </c>
      <c r="U24" s="34">
        <f t="shared" si="16"/>
        <v>72</v>
      </c>
      <c r="V24" s="34">
        <f t="shared" si="16"/>
        <v>288</v>
      </c>
      <c r="W24" s="34">
        <f t="shared" si="16"/>
        <v>6.6666666666666661</v>
      </c>
      <c r="X24" s="34">
        <f t="shared" si="16"/>
        <v>6.6666666666666661</v>
      </c>
      <c r="Y24" s="34">
        <f t="shared" si="16"/>
        <v>93</v>
      </c>
      <c r="Z24" s="34">
        <f t="shared" si="16"/>
        <v>31.333333333333336</v>
      </c>
      <c r="AA24" s="34">
        <f t="shared" si="16"/>
        <v>21</v>
      </c>
      <c r="AB24" s="34">
        <f t="shared" si="16"/>
        <v>13.33333333333333</v>
      </c>
      <c r="AC24" s="34">
        <f t="shared" si="16"/>
        <v>759.33333333333326</v>
      </c>
      <c r="AD24" s="34">
        <f t="shared" si="16"/>
        <v>0</v>
      </c>
      <c r="AE24" s="31">
        <f t="shared" si="13"/>
        <v>1367.2857142857142</v>
      </c>
      <c r="AF24" s="31">
        <f t="shared" si="13"/>
        <v>2453.5238095238096</v>
      </c>
    </row>
    <row r="25" spans="2:32" ht="23.1" customHeight="1" x14ac:dyDescent="0.25">
      <c r="B25" s="23" t="s">
        <v>52</v>
      </c>
      <c r="C25" s="49">
        <f>'Avg Week Busega-Bulenga'!C25+'Avg Week Bulenga-Busega'!C25</f>
        <v>123.71428571428571</v>
      </c>
      <c r="D25" s="49">
        <f>'Avg Week Busega-Bulenga'!D25+'Avg Week Bulenga-Busega'!D25</f>
        <v>12.285714285714285</v>
      </c>
      <c r="E25" s="49">
        <f>'Avg Week Busega-Bulenga'!E25+'Avg Week Bulenga-Busega'!E25</f>
        <v>11.285714285714286</v>
      </c>
      <c r="F25" s="49">
        <f>'Avg Week Busega-Bulenga'!F25+'Avg Week Bulenga-Busega'!F25</f>
        <v>74.428571428571431</v>
      </c>
      <c r="G25" s="49">
        <f>'Avg Week Busega-Bulenga'!G25+'Avg Week Bulenga-Busega'!G25</f>
        <v>1.8571428571428572</v>
      </c>
      <c r="H25" s="49">
        <f>'Avg Week Busega-Bulenga'!H25+'Avg Week Bulenga-Busega'!H25</f>
        <v>0.2857142857142857</v>
      </c>
      <c r="I25" s="49">
        <f>'Avg Week Busega-Bulenga'!I25+'Avg Week Bulenga-Busega'!I25</f>
        <v>19</v>
      </c>
      <c r="J25" s="49">
        <f>'Avg Week Busega-Bulenga'!J25+'Avg Week Bulenga-Busega'!J25</f>
        <v>11.285714285714285</v>
      </c>
      <c r="K25" s="49">
        <f>'Avg Week Busega-Bulenga'!K25+'Avg Week Bulenga-Busega'!K25</f>
        <v>3.4285714285714288</v>
      </c>
      <c r="L25" s="49">
        <f>'Avg Week Busega-Bulenga'!L25+'Avg Week Bulenga-Busega'!L25</f>
        <v>2.2857142857142856</v>
      </c>
      <c r="M25" s="49">
        <f>'Avg Week Busega-Bulenga'!M25+'Avg Week Bulenga-Busega'!M25</f>
        <v>358.71428571428572</v>
      </c>
      <c r="N25" s="49">
        <f>'Avg Week Busega-Bulenga'!N25+'Avg Week Bulenga-Busega'!N25</f>
        <v>0.14285714285714285</v>
      </c>
      <c r="O25" s="15">
        <f t="shared" si="0"/>
        <v>260</v>
      </c>
      <c r="P25" s="15">
        <f t="shared" si="1"/>
        <v>618.71428571428567</v>
      </c>
      <c r="R25" s="1" t="s">
        <v>149</v>
      </c>
      <c r="S25" s="34">
        <f>SUM(C70:C73)</f>
        <v>419</v>
      </c>
      <c r="T25" s="34">
        <f t="shared" ref="T25:AD25" si="17">SUM(D70:D73)</f>
        <v>94.333333333333343</v>
      </c>
      <c r="U25" s="34">
        <f t="shared" si="17"/>
        <v>62</v>
      </c>
      <c r="V25" s="34">
        <f t="shared" si="17"/>
        <v>221.33333333333334</v>
      </c>
      <c r="W25" s="34">
        <f t="shared" si="17"/>
        <v>6.333333333333333</v>
      </c>
      <c r="X25" s="34">
        <f t="shared" si="17"/>
        <v>5.333333333333333</v>
      </c>
      <c r="Y25" s="34">
        <f t="shared" si="17"/>
        <v>82.000000000000014</v>
      </c>
      <c r="Z25" s="34">
        <f t="shared" si="17"/>
        <v>21.666666666666664</v>
      </c>
      <c r="AA25" s="34">
        <f t="shared" si="17"/>
        <v>15.999999999999998</v>
      </c>
      <c r="AB25" s="34">
        <f t="shared" si="17"/>
        <v>4.333333333333333</v>
      </c>
      <c r="AC25" s="34">
        <f t="shared" si="17"/>
        <v>594</v>
      </c>
      <c r="AD25" s="34">
        <f t="shared" si="17"/>
        <v>0</v>
      </c>
      <c r="AE25" s="31">
        <f t="shared" si="13"/>
        <v>1291</v>
      </c>
      <c r="AF25" s="31">
        <f t="shared" si="13"/>
        <v>2164.6666666666665</v>
      </c>
    </row>
    <row r="26" spans="2:32" ht="23.1" customHeight="1" x14ac:dyDescent="0.25">
      <c r="B26" s="23" t="s">
        <v>53</v>
      </c>
      <c r="C26" s="49">
        <f>'Avg Week Busega-Bulenga'!C26+'Avg Week Bulenga-Busega'!C26</f>
        <v>117.57142857142858</v>
      </c>
      <c r="D26" s="49">
        <f>'Avg Week Busega-Bulenga'!D26+'Avg Week Bulenga-Busega'!D26</f>
        <v>18</v>
      </c>
      <c r="E26" s="49">
        <f>'Avg Week Busega-Bulenga'!E26+'Avg Week Bulenga-Busega'!E26</f>
        <v>13.285714285714285</v>
      </c>
      <c r="F26" s="49">
        <f>'Avg Week Busega-Bulenga'!F26+'Avg Week Bulenga-Busega'!F26</f>
        <v>87.857142857142861</v>
      </c>
      <c r="G26" s="49">
        <f>'Avg Week Busega-Bulenga'!G26+'Avg Week Bulenga-Busega'!G26</f>
        <v>1.5714285714285714</v>
      </c>
      <c r="H26" s="49">
        <f>'Avg Week Busega-Bulenga'!H26+'Avg Week Bulenga-Busega'!H26</f>
        <v>1.4285714285714286</v>
      </c>
      <c r="I26" s="49">
        <f>'Avg Week Busega-Bulenga'!I26+'Avg Week Bulenga-Busega'!I26</f>
        <v>21.142857142857142</v>
      </c>
      <c r="J26" s="49">
        <f>'Avg Week Busega-Bulenga'!J26+'Avg Week Bulenga-Busega'!J26</f>
        <v>16</v>
      </c>
      <c r="K26" s="49">
        <f>'Avg Week Busega-Bulenga'!K26+'Avg Week Bulenga-Busega'!K26</f>
        <v>2.2857142857142856</v>
      </c>
      <c r="L26" s="49">
        <f>'Avg Week Busega-Bulenga'!L26+'Avg Week Bulenga-Busega'!L26</f>
        <v>4.1428571428571423</v>
      </c>
      <c r="M26" s="49">
        <f>'Avg Week Busega-Bulenga'!M26+'Avg Week Bulenga-Busega'!M26</f>
        <v>399.85714285714289</v>
      </c>
      <c r="N26" s="49">
        <f>'Avg Week Busega-Bulenga'!N26+'Avg Week Bulenga-Busega'!N26</f>
        <v>0</v>
      </c>
      <c r="O26" s="15">
        <f t="shared" si="0"/>
        <v>283.28571428571433</v>
      </c>
      <c r="P26" s="15">
        <f t="shared" si="1"/>
        <v>683.14285714285722</v>
      </c>
      <c r="R26" s="1" t="s">
        <v>150</v>
      </c>
      <c r="S26" s="34">
        <f>SUM(C74:C77)</f>
        <v>345.66666666666669</v>
      </c>
      <c r="T26" s="34">
        <f t="shared" ref="T26:AD26" si="18">SUM(D74:D77)</f>
        <v>52.666666666666664</v>
      </c>
      <c r="U26" s="34">
        <f t="shared" si="18"/>
        <v>23.666666666666668</v>
      </c>
      <c r="V26" s="34">
        <f t="shared" si="18"/>
        <v>117</v>
      </c>
      <c r="W26" s="34">
        <f t="shared" si="18"/>
        <v>2.333333333333333</v>
      </c>
      <c r="X26" s="34">
        <f t="shared" si="18"/>
        <v>0.66666666666666663</v>
      </c>
      <c r="Y26" s="34">
        <f t="shared" si="18"/>
        <v>61.333333333333336</v>
      </c>
      <c r="Z26" s="34">
        <f t="shared" si="18"/>
        <v>13.666666666666666</v>
      </c>
      <c r="AA26" s="34">
        <f t="shared" si="18"/>
        <v>18</v>
      </c>
      <c r="AB26" s="34">
        <f t="shared" si="18"/>
        <v>5.9999999999999991</v>
      </c>
      <c r="AC26" s="34">
        <f t="shared" si="18"/>
        <v>486</v>
      </c>
      <c r="AD26" s="34">
        <f t="shared" si="18"/>
        <v>0</v>
      </c>
      <c r="AE26" s="31">
        <f t="shared" si="13"/>
        <v>1339</v>
      </c>
      <c r="AF26" s="31">
        <f t="shared" si="13"/>
        <v>2265.333333333333</v>
      </c>
    </row>
    <row r="27" spans="2:32" ht="23.1" customHeight="1" x14ac:dyDescent="0.25">
      <c r="B27" s="23" t="s">
        <v>54</v>
      </c>
      <c r="C27" s="49">
        <f>'Avg Week Busega-Bulenga'!C27+'Avg Week Bulenga-Busega'!C27</f>
        <v>126.85714285714286</v>
      </c>
      <c r="D27" s="49">
        <f>'Avg Week Busega-Bulenga'!D27+'Avg Week Bulenga-Busega'!D27</f>
        <v>14.714285714285715</v>
      </c>
      <c r="E27" s="49">
        <f>'Avg Week Busega-Bulenga'!E27+'Avg Week Bulenga-Busega'!E27</f>
        <v>10.285714285714286</v>
      </c>
      <c r="F27" s="49">
        <f>'Avg Week Busega-Bulenga'!F27+'Avg Week Bulenga-Busega'!F27</f>
        <v>74.714285714285708</v>
      </c>
      <c r="G27" s="49">
        <f>'Avg Week Busega-Bulenga'!G27+'Avg Week Bulenga-Busega'!G27</f>
        <v>2.4285714285714288</v>
      </c>
      <c r="H27" s="49">
        <f>'Avg Week Busega-Bulenga'!H27+'Avg Week Bulenga-Busega'!H27</f>
        <v>1.1428571428571428</v>
      </c>
      <c r="I27" s="49">
        <f>'Avg Week Busega-Bulenga'!I27+'Avg Week Bulenga-Busega'!I27</f>
        <v>16.428571428571431</v>
      </c>
      <c r="J27" s="49">
        <f>'Avg Week Busega-Bulenga'!J27+'Avg Week Bulenga-Busega'!J27</f>
        <v>12.285714285714285</v>
      </c>
      <c r="K27" s="49">
        <f>'Avg Week Busega-Bulenga'!K27+'Avg Week Bulenga-Busega'!K27</f>
        <v>2.4285714285714288</v>
      </c>
      <c r="L27" s="49">
        <f>'Avg Week Busega-Bulenga'!L27+'Avg Week Bulenga-Busega'!L27</f>
        <v>3.5714285714285712</v>
      </c>
      <c r="M27" s="49">
        <f>'Avg Week Busega-Bulenga'!M27+'Avg Week Bulenga-Busega'!M27</f>
        <v>368.57142857142856</v>
      </c>
      <c r="N27" s="49">
        <f>'Avg Week Busega-Bulenga'!N27+'Avg Week Bulenga-Busega'!N27</f>
        <v>0</v>
      </c>
      <c r="O27" s="15">
        <f t="shared" si="0"/>
        <v>264.85714285714283</v>
      </c>
      <c r="P27" s="15">
        <f t="shared" si="1"/>
        <v>633.42857142857133</v>
      </c>
      <c r="R27" s="1" t="s">
        <v>151</v>
      </c>
      <c r="S27" s="34">
        <f>SUM(C78:C81)</f>
        <v>181.33333333333331</v>
      </c>
      <c r="T27" s="34">
        <f t="shared" ref="T27:AD27" si="19">SUM(D78:D81)</f>
        <v>35.666666666666664</v>
      </c>
      <c r="U27" s="34">
        <f t="shared" si="19"/>
        <v>11.666666666666668</v>
      </c>
      <c r="V27" s="34">
        <f t="shared" si="19"/>
        <v>36</v>
      </c>
      <c r="W27" s="34">
        <f t="shared" si="19"/>
        <v>1</v>
      </c>
      <c r="X27" s="34">
        <f t="shared" si="19"/>
        <v>1.9999999999999998</v>
      </c>
      <c r="Y27" s="34">
        <f t="shared" si="19"/>
        <v>29.000000000000004</v>
      </c>
      <c r="Z27" s="34">
        <f t="shared" si="19"/>
        <v>6.6666666666666661</v>
      </c>
      <c r="AA27" s="34">
        <f t="shared" si="19"/>
        <v>7.333333333333333</v>
      </c>
      <c r="AB27" s="34">
        <f t="shared" si="19"/>
        <v>4.9999999999999991</v>
      </c>
      <c r="AC27" s="34">
        <f t="shared" si="19"/>
        <v>311</v>
      </c>
      <c r="AD27" s="34">
        <f t="shared" si="19"/>
        <v>0</v>
      </c>
      <c r="AE27" s="31">
        <f t="shared" si="13"/>
        <v>1250.3333333333333</v>
      </c>
      <c r="AF27" s="31">
        <f t="shared" si="13"/>
        <v>2122</v>
      </c>
    </row>
    <row r="28" spans="2:32" ht="23.1" customHeight="1" x14ac:dyDescent="0.25">
      <c r="B28" s="23" t="s">
        <v>55</v>
      </c>
      <c r="C28" s="49">
        <f>'Avg Week Busega-Bulenga'!C28+'Avg Week Bulenga-Busega'!C28</f>
        <v>110.71428571428572</v>
      </c>
      <c r="D28" s="49">
        <f>'Avg Week Busega-Bulenga'!D28+'Avg Week Bulenga-Busega'!D28</f>
        <v>14</v>
      </c>
      <c r="E28" s="49">
        <f>'Avg Week Busega-Bulenga'!E28+'Avg Week Bulenga-Busega'!E28</f>
        <v>15.714285714285715</v>
      </c>
      <c r="F28" s="49">
        <f>'Avg Week Busega-Bulenga'!F28+'Avg Week Bulenga-Busega'!F28</f>
        <v>77.857142857142861</v>
      </c>
      <c r="G28" s="49">
        <f>'Avg Week Busega-Bulenga'!G28+'Avg Week Bulenga-Busega'!G28</f>
        <v>1.4285714285714286</v>
      </c>
      <c r="H28" s="49">
        <f>'Avg Week Busega-Bulenga'!H28+'Avg Week Bulenga-Busega'!H28</f>
        <v>1.2857142857142856</v>
      </c>
      <c r="I28" s="49">
        <f>'Avg Week Busega-Bulenga'!I28+'Avg Week Bulenga-Busega'!I28</f>
        <v>16.714285714285715</v>
      </c>
      <c r="J28" s="49">
        <f>'Avg Week Busega-Bulenga'!J28+'Avg Week Bulenga-Busega'!J28</f>
        <v>12.714285714285715</v>
      </c>
      <c r="K28" s="49">
        <f>'Avg Week Busega-Bulenga'!K28+'Avg Week Bulenga-Busega'!K28</f>
        <v>1.8571428571428572</v>
      </c>
      <c r="L28" s="49">
        <f>'Avg Week Busega-Bulenga'!L28+'Avg Week Bulenga-Busega'!L28</f>
        <v>3</v>
      </c>
      <c r="M28" s="49">
        <f>'Avg Week Busega-Bulenga'!M28+'Avg Week Bulenga-Busega'!M28</f>
        <v>367.85714285714283</v>
      </c>
      <c r="N28" s="49">
        <f>'Avg Week Busega-Bulenga'!N28+'Avg Week Bulenga-Busega'!N28</f>
        <v>0.14285714285714285</v>
      </c>
      <c r="O28" s="15">
        <f t="shared" si="0"/>
        <v>255.42857142857144</v>
      </c>
      <c r="P28" s="15">
        <f t="shared" si="1"/>
        <v>623.28571428571422</v>
      </c>
      <c r="R28" s="1" t="s">
        <v>152</v>
      </c>
      <c r="S28" s="34">
        <f>SUM(C82:C85)</f>
        <v>145.66666666666666</v>
      </c>
      <c r="T28" s="34">
        <f t="shared" ref="T28:AD28" si="20">SUM(D82:D85)</f>
        <v>22.333333333333332</v>
      </c>
      <c r="U28" s="34">
        <f t="shared" si="20"/>
        <v>11</v>
      </c>
      <c r="V28" s="34">
        <f t="shared" si="20"/>
        <v>26.666666666666671</v>
      </c>
      <c r="W28" s="34">
        <f t="shared" si="20"/>
        <v>2.333333333333333</v>
      </c>
      <c r="X28" s="34">
        <f t="shared" si="20"/>
        <v>0.33333333333333331</v>
      </c>
      <c r="Y28" s="34">
        <f t="shared" si="20"/>
        <v>26.666666666666664</v>
      </c>
      <c r="Z28" s="34">
        <f t="shared" si="20"/>
        <v>11.000000000000002</v>
      </c>
      <c r="AA28" s="34">
        <f t="shared" si="20"/>
        <v>6.666666666666667</v>
      </c>
      <c r="AB28" s="34">
        <f t="shared" si="20"/>
        <v>5</v>
      </c>
      <c r="AC28" s="34">
        <f t="shared" si="20"/>
        <v>343.66666666666663</v>
      </c>
      <c r="AD28" s="34">
        <f t="shared" si="20"/>
        <v>0</v>
      </c>
      <c r="AE28" s="31">
        <f t="shared" si="13"/>
        <v>1163.6666666666667</v>
      </c>
      <c r="AF28" s="31">
        <f t="shared" si="13"/>
        <v>2043.6666666666665</v>
      </c>
    </row>
    <row r="29" spans="2:32" ht="23.1" customHeight="1" x14ac:dyDescent="0.25">
      <c r="B29" s="23" t="s">
        <v>56</v>
      </c>
      <c r="C29" s="49">
        <f>'Avg Week Busega-Bulenga'!C29+'Avg Week Bulenga-Busega'!C29</f>
        <v>108</v>
      </c>
      <c r="D29" s="49">
        <f>'Avg Week Busega-Bulenga'!D29+'Avg Week Bulenga-Busega'!D29</f>
        <v>11</v>
      </c>
      <c r="E29" s="49">
        <f>'Avg Week Busega-Bulenga'!E29+'Avg Week Bulenga-Busega'!E29</f>
        <v>11.428571428571427</v>
      </c>
      <c r="F29" s="49">
        <f>'Avg Week Busega-Bulenga'!F29+'Avg Week Bulenga-Busega'!F29</f>
        <v>73.285714285714278</v>
      </c>
      <c r="G29" s="49">
        <f>'Avg Week Busega-Bulenga'!G29+'Avg Week Bulenga-Busega'!G29</f>
        <v>1</v>
      </c>
      <c r="H29" s="49">
        <f>'Avg Week Busega-Bulenga'!H29+'Avg Week Bulenga-Busega'!H29</f>
        <v>0.5714285714285714</v>
      </c>
      <c r="I29" s="49">
        <f>'Avg Week Busega-Bulenga'!I29+'Avg Week Bulenga-Busega'!I29</f>
        <v>19.571428571428569</v>
      </c>
      <c r="J29" s="49">
        <f>'Avg Week Busega-Bulenga'!J29+'Avg Week Bulenga-Busega'!J29</f>
        <v>13.857142857142858</v>
      </c>
      <c r="K29" s="49">
        <f>'Avg Week Busega-Bulenga'!K29+'Avg Week Bulenga-Busega'!K29</f>
        <v>2.4285714285714288</v>
      </c>
      <c r="L29" s="49">
        <f>'Avg Week Busega-Bulenga'!L29+'Avg Week Bulenga-Busega'!L29</f>
        <v>3.7142857142857144</v>
      </c>
      <c r="M29" s="49">
        <f>'Avg Week Busega-Bulenga'!M29+'Avg Week Bulenga-Busega'!M29</f>
        <v>305.42857142857144</v>
      </c>
      <c r="N29" s="49">
        <f>'Avg Week Busega-Bulenga'!N29+'Avg Week Bulenga-Busega'!N29</f>
        <v>0</v>
      </c>
      <c r="O29" s="15">
        <f t="shared" si="0"/>
        <v>244.85714285714283</v>
      </c>
      <c r="P29" s="15">
        <f t="shared" si="1"/>
        <v>550.28571428571422</v>
      </c>
      <c r="R29" s="1" t="s">
        <v>153</v>
      </c>
      <c r="S29" s="34">
        <f>SUM(C86:C89)</f>
        <v>77.999999999999986</v>
      </c>
      <c r="T29" s="34">
        <f t="shared" ref="T29:AD29" si="21">SUM(D86:D89)</f>
        <v>6.333333333333333</v>
      </c>
      <c r="U29" s="34">
        <f t="shared" si="21"/>
        <v>5.6666666666666661</v>
      </c>
      <c r="V29" s="34">
        <f t="shared" si="21"/>
        <v>5.6666666666666661</v>
      </c>
      <c r="W29" s="34">
        <f t="shared" si="21"/>
        <v>1.3333333333333333</v>
      </c>
      <c r="X29" s="34">
        <f t="shared" si="21"/>
        <v>0.66666666666666663</v>
      </c>
      <c r="Y29" s="34">
        <f t="shared" si="21"/>
        <v>15.666666666666668</v>
      </c>
      <c r="Z29" s="34">
        <f t="shared" si="21"/>
        <v>8.3333333333333321</v>
      </c>
      <c r="AA29" s="34">
        <f t="shared" si="21"/>
        <v>5.333333333333333</v>
      </c>
      <c r="AB29" s="34">
        <f t="shared" si="21"/>
        <v>4.3333333333333339</v>
      </c>
      <c r="AC29" s="34">
        <f t="shared" si="21"/>
        <v>202.66666666666663</v>
      </c>
      <c r="AD29" s="34">
        <f t="shared" si="21"/>
        <v>0</v>
      </c>
      <c r="AE29" s="31">
        <f t="shared" si="13"/>
        <v>1187.6666666666665</v>
      </c>
      <c r="AF29" s="31">
        <f t="shared" si="13"/>
        <v>2070.6666666666665</v>
      </c>
    </row>
    <row r="30" spans="2:32" ht="23.1" customHeight="1" x14ac:dyDescent="0.25">
      <c r="B30" s="23" t="s">
        <v>57</v>
      </c>
      <c r="C30" s="49">
        <f>'Avg Week Busega-Bulenga'!C30+'Avg Week Bulenga-Busega'!C30</f>
        <v>107.42857142857143</v>
      </c>
      <c r="D30" s="49">
        <f>'Avg Week Busega-Bulenga'!D30+'Avg Week Bulenga-Busega'!D30</f>
        <v>13.142857142857142</v>
      </c>
      <c r="E30" s="49">
        <f>'Avg Week Busega-Bulenga'!E30+'Avg Week Bulenga-Busega'!E30</f>
        <v>15.142857142857142</v>
      </c>
      <c r="F30" s="49">
        <f>'Avg Week Busega-Bulenga'!F30+'Avg Week Bulenga-Busega'!F30</f>
        <v>74.571428571428569</v>
      </c>
      <c r="G30" s="49">
        <f>'Avg Week Busega-Bulenga'!G30+'Avg Week Bulenga-Busega'!G30</f>
        <v>1.2857142857142856</v>
      </c>
      <c r="H30" s="49">
        <f>'Avg Week Busega-Bulenga'!H30+'Avg Week Bulenga-Busega'!H30</f>
        <v>0.42857142857142855</v>
      </c>
      <c r="I30" s="49">
        <f>'Avg Week Busega-Bulenga'!I30+'Avg Week Bulenga-Busega'!I30</f>
        <v>24.571428571428569</v>
      </c>
      <c r="J30" s="49">
        <f>'Avg Week Busega-Bulenga'!J30+'Avg Week Bulenga-Busega'!J30</f>
        <v>13.857142857142858</v>
      </c>
      <c r="K30" s="49">
        <f>'Avg Week Busega-Bulenga'!K30+'Avg Week Bulenga-Busega'!K30</f>
        <v>3.4285714285714284</v>
      </c>
      <c r="L30" s="49">
        <f>'Avg Week Busega-Bulenga'!L30+'Avg Week Bulenga-Busega'!L30</f>
        <v>3.1428571428571432</v>
      </c>
      <c r="M30" s="49">
        <f>'Avg Week Busega-Bulenga'!M30+'Avg Week Bulenga-Busega'!M30</f>
        <v>359.71428571428572</v>
      </c>
      <c r="N30" s="49">
        <f>'Avg Week Busega-Bulenga'!N30+'Avg Week Bulenga-Busega'!N30</f>
        <v>0</v>
      </c>
      <c r="O30" s="15">
        <f t="shared" si="0"/>
        <v>257</v>
      </c>
      <c r="P30" s="15">
        <f t="shared" si="1"/>
        <v>616.71428571428578</v>
      </c>
      <c r="R30" s="1" t="s">
        <v>154</v>
      </c>
      <c r="S30" s="34">
        <f>SUM(C90:C93)</f>
        <v>65.666666666666657</v>
      </c>
      <c r="T30" s="34">
        <f t="shared" ref="T30:AD30" si="22">SUM(D90:D93)</f>
        <v>13.666666666666666</v>
      </c>
      <c r="U30" s="34">
        <f t="shared" si="22"/>
        <v>6</v>
      </c>
      <c r="V30" s="34">
        <f t="shared" si="22"/>
        <v>4.6666666666666661</v>
      </c>
      <c r="W30" s="34">
        <f t="shared" si="22"/>
        <v>0.66666666666666663</v>
      </c>
      <c r="X30" s="34">
        <f t="shared" si="22"/>
        <v>0.66666666666666663</v>
      </c>
      <c r="Y30" s="34">
        <f t="shared" si="22"/>
        <v>12.333333333333334</v>
      </c>
      <c r="Z30" s="34">
        <f t="shared" si="22"/>
        <v>13</v>
      </c>
      <c r="AA30" s="34">
        <f t="shared" si="22"/>
        <v>10</v>
      </c>
      <c r="AB30" s="34">
        <f t="shared" si="22"/>
        <v>5.333333333333333</v>
      </c>
      <c r="AC30" s="34">
        <f t="shared" si="22"/>
        <v>124.66666666666666</v>
      </c>
      <c r="AD30" s="34">
        <f t="shared" si="22"/>
        <v>0.33333333333333331</v>
      </c>
      <c r="AE30" s="31">
        <f t="shared" si="13"/>
        <v>1136.6666666666667</v>
      </c>
      <c r="AF30" s="31">
        <f t="shared" si="13"/>
        <v>1946.3333333333333</v>
      </c>
    </row>
    <row r="31" spans="2:32" ht="23.1" customHeight="1" x14ac:dyDescent="0.25">
      <c r="B31" s="24" t="s">
        <v>58</v>
      </c>
      <c r="C31" s="49">
        <f>'Avg Week Busega-Bulenga'!C31+'Avg Week Bulenga-Busega'!C31</f>
        <v>93.714285714285722</v>
      </c>
      <c r="D31" s="49">
        <f>'Avg Week Busega-Bulenga'!D31+'Avg Week Bulenga-Busega'!D31</f>
        <v>11.428571428571429</v>
      </c>
      <c r="E31" s="49">
        <f>'Avg Week Busega-Bulenga'!E31+'Avg Week Bulenga-Busega'!E31</f>
        <v>10.571428571428571</v>
      </c>
      <c r="F31" s="49">
        <f>'Avg Week Busega-Bulenga'!F31+'Avg Week Bulenga-Busega'!F31</f>
        <v>51.857142857142861</v>
      </c>
      <c r="G31" s="49">
        <f>'Avg Week Busega-Bulenga'!G31+'Avg Week Bulenga-Busega'!G31</f>
        <v>0.42857142857142855</v>
      </c>
      <c r="H31" s="49">
        <f>'Avg Week Busega-Bulenga'!H31+'Avg Week Bulenga-Busega'!H31</f>
        <v>0.42857142857142855</v>
      </c>
      <c r="I31" s="49">
        <f>'Avg Week Busega-Bulenga'!I31+'Avg Week Bulenga-Busega'!I31</f>
        <v>15.285714285714285</v>
      </c>
      <c r="J31" s="49">
        <f>'Avg Week Busega-Bulenga'!J31+'Avg Week Bulenga-Busega'!J31</f>
        <v>13.428571428571429</v>
      </c>
      <c r="K31" s="49">
        <f>'Avg Week Busega-Bulenga'!K31+'Avg Week Bulenga-Busega'!K31</f>
        <v>1.4285714285714286</v>
      </c>
      <c r="L31" s="49">
        <f>'Avg Week Busega-Bulenga'!L31+'Avg Week Bulenga-Busega'!L31</f>
        <v>3</v>
      </c>
      <c r="M31" s="49">
        <f>'Avg Week Busega-Bulenga'!M31+'Avg Week Bulenga-Busega'!M31</f>
        <v>341.85714285714289</v>
      </c>
      <c r="N31" s="49">
        <f>'Avg Week Busega-Bulenga'!N31+'Avg Week Bulenga-Busega'!N31</f>
        <v>0</v>
      </c>
      <c r="O31" s="15">
        <f t="shared" si="0"/>
        <v>201.57142857142853</v>
      </c>
      <c r="P31" s="15">
        <f t="shared" si="1"/>
        <v>543.42857142857144</v>
      </c>
      <c r="R31" s="1" t="s">
        <v>155</v>
      </c>
      <c r="S31" s="34">
        <f>SUM(C94:C97)</f>
        <v>57.333333333333336</v>
      </c>
      <c r="T31" s="34">
        <f t="shared" ref="T31:AD31" si="23">SUM(D94:D97)</f>
        <v>23.333333333333336</v>
      </c>
      <c r="U31" s="34">
        <f t="shared" si="23"/>
        <v>4.333333333333333</v>
      </c>
      <c r="V31" s="34">
        <f t="shared" si="23"/>
        <v>20.333333333333332</v>
      </c>
      <c r="W31" s="34">
        <f t="shared" si="23"/>
        <v>1</v>
      </c>
      <c r="X31" s="34">
        <f t="shared" si="23"/>
        <v>2</v>
      </c>
      <c r="Y31" s="34">
        <f t="shared" si="23"/>
        <v>9.3333333333333321</v>
      </c>
      <c r="Z31" s="34">
        <f t="shared" si="23"/>
        <v>11.666666666666668</v>
      </c>
      <c r="AA31" s="34">
        <f t="shared" si="23"/>
        <v>6.3333333333333339</v>
      </c>
      <c r="AB31" s="34">
        <f t="shared" si="23"/>
        <v>3.333333333333333</v>
      </c>
      <c r="AC31" s="34">
        <f t="shared" si="23"/>
        <v>157.66666666666669</v>
      </c>
      <c r="AD31" s="34">
        <f t="shared" si="23"/>
        <v>0</v>
      </c>
      <c r="AE31" s="31">
        <f t="shared" si="13"/>
        <v>1245.3333333333335</v>
      </c>
      <c r="AF31" s="31">
        <f t="shared" si="13"/>
        <v>2100.333333333333</v>
      </c>
    </row>
    <row r="32" spans="2:32" ht="23.1" customHeight="1" x14ac:dyDescent="0.25">
      <c r="B32" s="24" t="s">
        <v>59</v>
      </c>
      <c r="C32" s="49">
        <f>'Avg Week Busega-Bulenga'!C32+'Avg Week Bulenga-Busega'!C32</f>
        <v>106.85714285714286</v>
      </c>
      <c r="D32" s="49">
        <f>'Avg Week Busega-Bulenga'!D32+'Avg Week Bulenga-Busega'!D32</f>
        <v>18.285714285714285</v>
      </c>
      <c r="E32" s="49">
        <f>'Avg Week Busega-Bulenga'!E32+'Avg Week Bulenga-Busega'!E32</f>
        <v>17.142857142857142</v>
      </c>
      <c r="F32" s="49">
        <f>'Avg Week Busega-Bulenga'!F32+'Avg Week Bulenga-Busega'!F32</f>
        <v>61.285714285714292</v>
      </c>
      <c r="G32" s="49">
        <f>'Avg Week Busega-Bulenga'!G32+'Avg Week Bulenga-Busega'!G32</f>
        <v>1.1428571428571428</v>
      </c>
      <c r="H32" s="49">
        <f>'Avg Week Busega-Bulenga'!H32+'Avg Week Bulenga-Busega'!H32</f>
        <v>3.1428571428571428</v>
      </c>
      <c r="I32" s="49">
        <f>'Avg Week Busega-Bulenga'!I32+'Avg Week Bulenga-Busega'!I32</f>
        <v>21.428571428571431</v>
      </c>
      <c r="J32" s="49">
        <f>'Avg Week Busega-Bulenga'!J32+'Avg Week Bulenga-Busega'!J32</f>
        <v>12.142857142857142</v>
      </c>
      <c r="K32" s="49">
        <f>'Avg Week Busega-Bulenga'!K32+'Avg Week Bulenga-Busega'!K32</f>
        <v>1.7142857142857142</v>
      </c>
      <c r="L32" s="49">
        <f>'Avg Week Busega-Bulenga'!L32+'Avg Week Bulenga-Busega'!L32</f>
        <v>33</v>
      </c>
      <c r="M32" s="49">
        <f>'Avg Week Busega-Bulenga'!M32+'Avg Week Bulenga-Busega'!M32</f>
        <v>319.28571428571428</v>
      </c>
      <c r="N32" s="49">
        <f>'Avg Week Busega-Bulenga'!N32+'Avg Week Bulenga-Busega'!N32</f>
        <v>0</v>
      </c>
      <c r="O32" s="15">
        <f t="shared" si="0"/>
        <v>276.14285714285711</v>
      </c>
      <c r="P32" s="15">
        <f t="shared" si="1"/>
        <v>595.42857142857133</v>
      </c>
      <c r="R32" s="1" t="s">
        <v>156</v>
      </c>
      <c r="S32" s="34">
        <f>SUM(C98:C101)</f>
        <v>129.66666666666669</v>
      </c>
      <c r="T32" s="34">
        <f t="shared" ref="T32:AD32" si="24">SUM(D98:D101)</f>
        <v>34</v>
      </c>
      <c r="U32" s="34">
        <f t="shared" si="24"/>
        <v>16</v>
      </c>
      <c r="V32" s="34">
        <f t="shared" si="24"/>
        <v>120</v>
      </c>
      <c r="W32" s="34">
        <f t="shared" si="24"/>
        <v>4.333333333333333</v>
      </c>
      <c r="X32" s="34">
        <f t="shared" si="24"/>
        <v>4.666666666666667</v>
      </c>
      <c r="Y32" s="34">
        <f t="shared" si="24"/>
        <v>45</v>
      </c>
      <c r="Z32" s="34">
        <f t="shared" si="24"/>
        <v>23.666666666666668</v>
      </c>
      <c r="AA32" s="34">
        <f t="shared" si="24"/>
        <v>22.666666666666664</v>
      </c>
      <c r="AB32" s="34">
        <f t="shared" si="24"/>
        <v>4.9999999999999991</v>
      </c>
      <c r="AC32" s="34">
        <f t="shared" si="24"/>
        <v>329</v>
      </c>
      <c r="AD32" s="34">
        <f t="shared" si="24"/>
        <v>0</v>
      </c>
      <c r="AE32" s="31">
        <f t="shared" si="13"/>
        <v>1269.0000000000002</v>
      </c>
      <c r="AF32" s="31">
        <f t="shared" si="13"/>
        <v>2080</v>
      </c>
    </row>
    <row r="33" spans="2:32" ht="23.1" customHeight="1" x14ac:dyDescent="0.25">
      <c r="B33" s="23" t="s">
        <v>60</v>
      </c>
      <c r="C33" s="49">
        <f>'Avg Week Busega-Bulenga'!C33+'Avg Week Bulenga-Busega'!C33</f>
        <v>102.85714285714286</v>
      </c>
      <c r="D33" s="49">
        <f>'Avg Week Busega-Bulenga'!D33+'Avg Week Bulenga-Busega'!D33</f>
        <v>9.4285714285714288</v>
      </c>
      <c r="E33" s="49">
        <f>'Avg Week Busega-Bulenga'!E33+'Avg Week Bulenga-Busega'!E33</f>
        <v>10.142857142857142</v>
      </c>
      <c r="F33" s="49">
        <f>'Avg Week Busega-Bulenga'!F33+'Avg Week Bulenga-Busega'!F33</f>
        <v>64.285714285714278</v>
      </c>
      <c r="G33" s="49">
        <f>'Avg Week Busega-Bulenga'!G33+'Avg Week Bulenga-Busega'!G33</f>
        <v>1.4285714285714286</v>
      </c>
      <c r="H33" s="49">
        <f>'Avg Week Busega-Bulenga'!H33+'Avg Week Bulenga-Busega'!H33</f>
        <v>3.5714285714285716</v>
      </c>
      <c r="I33" s="49">
        <f>'Avg Week Busega-Bulenga'!I33+'Avg Week Bulenga-Busega'!I33</f>
        <v>17.142857142857142</v>
      </c>
      <c r="J33" s="49">
        <f>'Avg Week Busega-Bulenga'!J33+'Avg Week Bulenga-Busega'!J33</f>
        <v>13.142857142857142</v>
      </c>
      <c r="K33" s="49">
        <f>'Avg Week Busega-Bulenga'!K33+'Avg Week Bulenga-Busega'!K33</f>
        <v>2</v>
      </c>
      <c r="L33" s="49">
        <f>'Avg Week Busega-Bulenga'!L33+'Avg Week Bulenga-Busega'!L33</f>
        <v>36.857142857142854</v>
      </c>
      <c r="M33" s="49">
        <f>'Avg Week Busega-Bulenga'!M33+'Avg Week Bulenga-Busega'!M33</f>
        <v>253.71428571428572</v>
      </c>
      <c r="N33" s="49">
        <f>'Avg Week Busega-Bulenga'!N33+'Avg Week Bulenga-Busega'!N33</f>
        <v>0</v>
      </c>
      <c r="O33" s="15">
        <f t="shared" si="0"/>
        <v>260.85714285714283</v>
      </c>
      <c r="P33" s="15">
        <f t="shared" si="1"/>
        <v>514.57142857142856</v>
      </c>
      <c r="R33" s="1" t="s">
        <v>157</v>
      </c>
      <c r="S33" s="34">
        <f>SUM(C102:C105)</f>
        <v>201.33333333333331</v>
      </c>
      <c r="T33" s="34">
        <f t="shared" ref="T33:AD33" si="25">SUM(D102:D105)</f>
        <v>66</v>
      </c>
      <c r="U33" s="34">
        <f t="shared" si="25"/>
        <v>24</v>
      </c>
      <c r="V33" s="34">
        <f t="shared" si="25"/>
        <v>189.66666666666669</v>
      </c>
      <c r="W33" s="34">
        <f t="shared" si="25"/>
        <v>5</v>
      </c>
      <c r="X33" s="34">
        <f t="shared" si="25"/>
        <v>4.333333333333333</v>
      </c>
      <c r="Y33" s="34">
        <f t="shared" si="25"/>
        <v>73.666666666666671</v>
      </c>
      <c r="Z33" s="34">
        <f t="shared" si="25"/>
        <v>28.333333333333336</v>
      </c>
      <c r="AA33" s="34">
        <f t="shared" si="25"/>
        <v>41.666666666666671</v>
      </c>
      <c r="AB33" s="34">
        <f t="shared" si="25"/>
        <v>14</v>
      </c>
      <c r="AC33" s="34">
        <f t="shared" si="25"/>
        <v>623.66666666666663</v>
      </c>
      <c r="AD33" s="34">
        <f t="shared" si="25"/>
        <v>0</v>
      </c>
      <c r="AE33" s="31">
        <f t="shared" si="13"/>
        <v>1159.6666666666667</v>
      </c>
      <c r="AF33" s="31">
        <f t="shared" si="13"/>
        <v>1919</v>
      </c>
    </row>
    <row r="34" spans="2:32" ht="23.1" customHeight="1" x14ac:dyDescent="0.25">
      <c r="B34" s="24" t="s">
        <v>61</v>
      </c>
      <c r="C34" s="49">
        <f>'Avg Week Busega-Bulenga'!C34+'Avg Week Bulenga-Busega'!C34</f>
        <v>113.85714285714286</v>
      </c>
      <c r="D34" s="49">
        <f>'Avg Week Busega-Bulenga'!D34+'Avg Week Bulenga-Busega'!D34</f>
        <v>17.285714285714285</v>
      </c>
      <c r="E34" s="49">
        <f>'Avg Week Busega-Bulenga'!E34+'Avg Week Bulenga-Busega'!E34</f>
        <v>13.857142857142858</v>
      </c>
      <c r="F34" s="49">
        <f>'Avg Week Busega-Bulenga'!F34+'Avg Week Bulenga-Busega'!F34</f>
        <v>61.714285714285708</v>
      </c>
      <c r="G34" s="49">
        <f>'Avg Week Busega-Bulenga'!G34+'Avg Week Bulenga-Busega'!G34</f>
        <v>4</v>
      </c>
      <c r="H34" s="49">
        <f>'Avg Week Busega-Bulenga'!H34+'Avg Week Bulenga-Busega'!H34</f>
        <v>2.1428571428571428</v>
      </c>
      <c r="I34" s="49">
        <f>'Avg Week Busega-Bulenga'!I34+'Avg Week Bulenga-Busega'!I34</f>
        <v>19.857142857142858</v>
      </c>
      <c r="J34" s="49">
        <f>'Avg Week Busega-Bulenga'!J34+'Avg Week Bulenga-Busega'!J34</f>
        <v>17.857142857142858</v>
      </c>
      <c r="K34" s="49">
        <f>'Avg Week Busega-Bulenga'!K34+'Avg Week Bulenga-Busega'!K34</f>
        <v>3.4285714285714288</v>
      </c>
      <c r="L34" s="49">
        <f>'Avg Week Busega-Bulenga'!L34+'Avg Week Bulenga-Busega'!L34</f>
        <v>3.4285714285714284</v>
      </c>
      <c r="M34" s="49">
        <f>'Avg Week Busega-Bulenga'!M34+'Avg Week Bulenga-Busega'!M34</f>
        <v>348.28571428571428</v>
      </c>
      <c r="N34" s="49">
        <f>'Avg Week Busega-Bulenga'!N34+'Avg Week Bulenga-Busega'!N34</f>
        <v>0</v>
      </c>
      <c r="O34" s="15">
        <f t="shared" si="0"/>
        <v>257.42857142857144</v>
      </c>
      <c r="P34" s="15">
        <f t="shared" si="1"/>
        <v>605.71428571428578</v>
      </c>
      <c r="R34" s="38" t="s">
        <v>90</v>
      </c>
      <c r="S34" s="39">
        <f t="shared" ref="S34:AF34" si="26">MAX(S10:S12)</f>
        <v>451.85714285714289</v>
      </c>
      <c r="T34" s="39">
        <f t="shared" si="26"/>
        <v>71.285714285714278</v>
      </c>
      <c r="U34" s="39">
        <f t="shared" si="26"/>
        <v>89.428571428571431</v>
      </c>
      <c r="V34" s="39">
        <f t="shared" si="26"/>
        <v>364.71428571428572</v>
      </c>
      <c r="W34" s="39">
        <f t="shared" si="26"/>
        <v>20.571428571428573</v>
      </c>
      <c r="X34" s="39">
        <f t="shared" si="26"/>
        <v>7.1428571428571423</v>
      </c>
      <c r="Y34" s="39">
        <f t="shared" si="26"/>
        <v>83.428571428571431</v>
      </c>
      <c r="Z34" s="39">
        <f t="shared" si="26"/>
        <v>59.428571428571423</v>
      </c>
      <c r="AA34" s="39">
        <f t="shared" si="26"/>
        <v>16</v>
      </c>
      <c r="AB34" s="39">
        <f t="shared" si="26"/>
        <v>15.428571428571427</v>
      </c>
      <c r="AC34" s="39">
        <f t="shared" si="26"/>
        <v>1820.7142857142858</v>
      </c>
      <c r="AD34" s="39">
        <f t="shared" si="26"/>
        <v>0.42857142857142855</v>
      </c>
      <c r="AE34" s="40">
        <f t="shared" si="26"/>
        <v>1146</v>
      </c>
      <c r="AF34" s="40">
        <f t="shared" si="26"/>
        <v>2892.8571428571427</v>
      </c>
    </row>
    <row r="35" spans="2:32" ht="23.1" customHeight="1" x14ac:dyDescent="0.25">
      <c r="B35" s="24" t="s">
        <v>62</v>
      </c>
      <c r="C35" s="49">
        <f>'Avg Week Busega-Bulenga'!C35+'Avg Week Bulenga-Busega'!C35</f>
        <v>93.714285714285722</v>
      </c>
      <c r="D35" s="49">
        <f>'Avg Week Busega-Bulenga'!D35+'Avg Week Bulenga-Busega'!D35</f>
        <v>14.142857142857142</v>
      </c>
      <c r="E35" s="49">
        <f>'Avg Week Busega-Bulenga'!E35+'Avg Week Bulenga-Busega'!E35</f>
        <v>13</v>
      </c>
      <c r="F35" s="49">
        <f>'Avg Week Busega-Bulenga'!F35+'Avg Week Bulenga-Busega'!F35</f>
        <v>63.285714285714292</v>
      </c>
      <c r="G35" s="49">
        <f>'Avg Week Busega-Bulenga'!G35+'Avg Week Bulenga-Busega'!G35</f>
        <v>0.5714285714285714</v>
      </c>
      <c r="H35" s="49">
        <f>'Avg Week Busega-Bulenga'!H35+'Avg Week Bulenga-Busega'!H35</f>
        <v>0.2857142857142857</v>
      </c>
      <c r="I35" s="49">
        <f>'Avg Week Busega-Bulenga'!I35+'Avg Week Bulenga-Busega'!I35</f>
        <v>15.857142857142858</v>
      </c>
      <c r="J35" s="49">
        <f>'Avg Week Busega-Bulenga'!J35+'Avg Week Bulenga-Busega'!J35</f>
        <v>10.428571428571429</v>
      </c>
      <c r="K35" s="49">
        <f>'Avg Week Busega-Bulenga'!K35+'Avg Week Bulenga-Busega'!K35</f>
        <v>2.4285714285714284</v>
      </c>
      <c r="L35" s="49">
        <f>'Avg Week Busega-Bulenga'!L35+'Avg Week Bulenga-Busega'!L35</f>
        <v>4.4285714285714288</v>
      </c>
      <c r="M35" s="49">
        <f>'Avg Week Busega-Bulenga'!M35+'Avg Week Bulenga-Busega'!M35</f>
        <v>284.85714285714283</v>
      </c>
      <c r="N35" s="49">
        <f>'Avg Week Busega-Bulenga'!N35+'Avg Week Bulenga-Busega'!N35</f>
        <v>0</v>
      </c>
      <c r="O35" s="15">
        <f t="shared" si="0"/>
        <v>218.14285714285714</v>
      </c>
      <c r="P35" s="15">
        <f t="shared" si="1"/>
        <v>503</v>
      </c>
      <c r="R35" s="38" t="s">
        <v>91</v>
      </c>
      <c r="S35" s="39">
        <f t="shared" ref="S35:AF35" si="27">MAX(S13:S18)</f>
        <v>463.14285714285717</v>
      </c>
      <c r="T35" s="39">
        <f t="shared" si="27"/>
        <v>58.571428571428569</v>
      </c>
      <c r="U35" s="39">
        <f t="shared" si="27"/>
        <v>54.857142857142854</v>
      </c>
      <c r="V35" s="39">
        <f t="shared" si="27"/>
        <v>313.71428571428567</v>
      </c>
      <c r="W35" s="39">
        <f t="shared" si="27"/>
        <v>8.8571428571428577</v>
      </c>
      <c r="X35" s="39">
        <f t="shared" si="27"/>
        <v>7.5714285714285712</v>
      </c>
      <c r="Y35" s="39">
        <f t="shared" si="27"/>
        <v>87.714285714285708</v>
      </c>
      <c r="Z35" s="39">
        <f t="shared" si="27"/>
        <v>62.142857142857153</v>
      </c>
      <c r="AA35" s="39">
        <f t="shared" si="27"/>
        <v>18.428571428571431</v>
      </c>
      <c r="AB35" s="39">
        <f t="shared" si="27"/>
        <v>76</v>
      </c>
      <c r="AC35" s="39">
        <f t="shared" si="27"/>
        <v>1632.7142857142858</v>
      </c>
      <c r="AD35" s="39">
        <f t="shared" si="27"/>
        <v>26.571428571428569</v>
      </c>
      <c r="AE35" s="40">
        <f t="shared" si="27"/>
        <v>1048.4285714285713</v>
      </c>
      <c r="AF35" s="40">
        <f t="shared" si="27"/>
        <v>2654.8571428571431</v>
      </c>
    </row>
    <row r="36" spans="2:32" ht="23.1" customHeight="1" x14ac:dyDescent="0.25">
      <c r="B36" s="24" t="s">
        <v>63</v>
      </c>
      <c r="C36" s="49">
        <f>'Avg Week Busega-Bulenga'!C36+'Avg Week Bulenga-Busega'!C36</f>
        <v>96.857142857142861</v>
      </c>
      <c r="D36" s="49">
        <f>'Avg Week Busega-Bulenga'!D36+'Avg Week Bulenga-Busega'!D36</f>
        <v>13.714285714285715</v>
      </c>
      <c r="E36" s="49">
        <f>'Avg Week Busega-Bulenga'!E36+'Avg Week Bulenga-Busega'!E36</f>
        <v>14.142857142857142</v>
      </c>
      <c r="F36" s="49">
        <f>'Avg Week Busega-Bulenga'!F36+'Avg Week Bulenga-Busega'!F36</f>
        <v>66.142857142857139</v>
      </c>
      <c r="G36" s="49">
        <f>'Avg Week Busega-Bulenga'!G36+'Avg Week Bulenga-Busega'!G36</f>
        <v>1</v>
      </c>
      <c r="H36" s="49">
        <f>'Avg Week Busega-Bulenga'!H36+'Avg Week Bulenga-Busega'!H36</f>
        <v>1.2857142857142856</v>
      </c>
      <c r="I36" s="49">
        <f>'Avg Week Busega-Bulenga'!I36+'Avg Week Bulenga-Busega'!I36</f>
        <v>19</v>
      </c>
      <c r="J36" s="49">
        <f>'Avg Week Busega-Bulenga'!J36+'Avg Week Bulenga-Busega'!J36</f>
        <v>15</v>
      </c>
      <c r="K36" s="49">
        <f>'Avg Week Busega-Bulenga'!K36+'Avg Week Bulenga-Busega'!K36</f>
        <v>1.8571428571428572</v>
      </c>
      <c r="L36" s="49">
        <f>'Avg Week Busega-Bulenga'!L36+'Avg Week Bulenga-Busega'!L36</f>
        <v>3.4285714285714288</v>
      </c>
      <c r="M36" s="49">
        <f>'Avg Week Busega-Bulenga'!M36+'Avg Week Bulenga-Busega'!M36</f>
        <v>301.57142857142856</v>
      </c>
      <c r="N36" s="49">
        <f>'Avg Week Busega-Bulenga'!N36+'Avg Week Bulenga-Busega'!N36</f>
        <v>0</v>
      </c>
      <c r="O36" s="15">
        <f t="shared" si="0"/>
        <v>232.42857142857142</v>
      </c>
      <c r="P36" s="15">
        <f t="shared" si="1"/>
        <v>534</v>
      </c>
      <c r="R36" s="38" t="s">
        <v>92</v>
      </c>
      <c r="S36" s="39">
        <f t="shared" ref="S36:AF36" si="28">MAX(S19:S21)</f>
        <v>745.42857142857133</v>
      </c>
      <c r="T36" s="39">
        <f t="shared" si="28"/>
        <v>68.428571428571431</v>
      </c>
      <c r="U36" s="39">
        <f t="shared" si="28"/>
        <v>86</v>
      </c>
      <c r="V36" s="39">
        <f t="shared" si="28"/>
        <v>408.85714285714289</v>
      </c>
      <c r="W36" s="39">
        <f t="shared" si="28"/>
        <v>16</v>
      </c>
      <c r="X36" s="39">
        <f t="shared" si="28"/>
        <v>12.714285714285714</v>
      </c>
      <c r="Y36" s="39">
        <f t="shared" si="28"/>
        <v>77.428571428571431</v>
      </c>
      <c r="Z36" s="39">
        <f t="shared" si="28"/>
        <v>63.714285714285715</v>
      </c>
      <c r="AA36" s="39">
        <f t="shared" si="28"/>
        <v>17.714285714285715</v>
      </c>
      <c r="AB36" s="39">
        <f t="shared" si="28"/>
        <v>20.285714285714285</v>
      </c>
      <c r="AC36" s="39">
        <f t="shared" si="28"/>
        <v>1699</v>
      </c>
      <c r="AD36" s="39">
        <f t="shared" si="28"/>
        <v>0.14285714285714285</v>
      </c>
      <c r="AE36" s="40">
        <f t="shared" si="28"/>
        <v>1448.8571428571429</v>
      </c>
      <c r="AF36" s="40">
        <f t="shared" si="28"/>
        <v>3131.5714285714284</v>
      </c>
    </row>
    <row r="37" spans="2:32" ht="23.1" customHeight="1" x14ac:dyDescent="0.25">
      <c r="B37" s="23" t="s">
        <v>64</v>
      </c>
      <c r="C37" s="49">
        <f>'Avg Week Busega-Bulenga'!C37+'Avg Week Bulenga-Busega'!C37</f>
        <v>98.428571428571416</v>
      </c>
      <c r="D37" s="49">
        <f>'Avg Week Busega-Bulenga'!D37+'Avg Week Bulenga-Busega'!D37</f>
        <v>13.428571428571429</v>
      </c>
      <c r="E37" s="49">
        <f>'Avg Week Busega-Bulenga'!E37+'Avg Week Bulenga-Busega'!E37</f>
        <v>10.142857142857142</v>
      </c>
      <c r="F37" s="49">
        <f>'Avg Week Busega-Bulenga'!F37+'Avg Week Bulenga-Busega'!F37</f>
        <v>67.142857142857139</v>
      </c>
      <c r="G37" s="49">
        <f>'Avg Week Busega-Bulenga'!G37+'Avg Week Bulenga-Busega'!G37</f>
        <v>1.1428571428571428</v>
      </c>
      <c r="H37" s="49">
        <f>'Avg Week Busega-Bulenga'!H37+'Avg Week Bulenga-Busega'!H37</f>
        <v>1.8571428571428572</v>
      </c>
      <c r="I37" s="49">
        <f>'Avg Week Busega-Bulenga'!I37+'Avg Week Bulenga-Busega'!I37</f>
        <v>18.285714285714285</v>
      </c>
      <c r="J37" s="49">
        <f>'Avg Week Busega-Bulenga'!J37+'Avg Week Bulenga-Busega'!J37</f>
        <v>13.142857142857142</v>
      </c>
      <c r="K37" s="49">
        <f>'Avg Week Busega-Bulenga'!K37+'Avg Week Bulenga-Busega'!K37</f>
        <v>1.5714285714285714</v>
      </c>
      <c r="L37" s="49">
        <f>'Avg Week Busega-Bulenga'!L37+'Avg Week Bulenga-Busega'!L37</f>
        <v>3.7142857142857144</v>
      </c>
      <c r="M37" s="49">
        <f>'Avg Week Busega-Bulenga'!M37+'Avg Week Bulenga-Busega'!M37</f>
        <v>284.85714285714289</v>
      </c>
      <c r="N37" s="49">
        <f>'Avg Week Busega-Bulenga'!N37+'Avg Week Bulenga-Busega'!N37</f>
        <v>0.14285714285714285</v>
      </c>
      <c r="O37" s="15">
        <f t="shared" si="0"/>
        <v>228.99999999999997</v>
      </c>
      <c r="P37" s="15">
        <f t="shared" si="1"/>
        <v>513.85714285714289</v>
      </c>
      <c r="R37" s="37" t="s">
        <v>85</v>
      </c>
      <c r="S37" s="35">
        <f t="shared" ref="S37:AF37" si="29">SUM(S10:S12)</f>
        <v>1328.8571428571427</v>
      </c>
      <c r="T37" s="16">
        <f t="shared" si="29"/>
        <v>190.14285714285714</v>
      </c>
      <c r="U37" s="16">
        <f t="shared" si="29"/>
        <v>216.42857142857144</v>
      </c>
      <c r="V37" s="16">
        <f t="shared" si="29"/>
        <v>1051.5714285714287</v>
      </c>
      <c r="W37" s="16">
        <f t="shared" si="29"/>
        <v>45.428571428571431</v>
      </c>
      <c r="X37" s="16">
        <f t="shared" si="29"/>
        <v>15.571428571428569</v>
      </c>
      <c r="Y37" s="16">
        <f t="shared" si="29"/>
        <v>235</v>
      </c>
      <c r="Z37" s="16">
        <f t="shared" si="29"/>
        <v>168.85714285714283</v>
      </c>
      <c r="AA37" s="16">
        <f t="shared" si="29"/>
        <v>35.285714285714285</v>
      </c>
      <c r="AB37" s="16">
        <f t="shared" si="29"/>
        <v>38.571428571428569</v>
      </c>
      <c r="AC37" s="16">
        <f t="shared" si="29"/>
        <v>5067.2857142857138</v>
      </c>
      <c r="AD37" s="16">
        <f t="shared" si="29"/>
        <v>0.42857142857142855</v>
      </c>
      <c r="AE37" s="32">
        <f t="shared" si="29"/>
        <v>3326.1428571428569</v>
      </c>
      <c r="AF37" s="32">
        <f t="shared" si="29"/>
        <v>8393.4285714285706</v>
      </c>
    </row>
    <row r="38" spans="2:32" ht="23.1" customHeight="1" x14ac:dyDescent="0.25">
      <c r="B38" s="24" t="s">
        <v>65</v>
      </c>
      <c r="C38" s="49">
        <f>'Avg Week Busega-Bulenga'!C38+'Avg Week Bulenga-Busega'!C38</f>
        <v>105.42857142857143</v>
      </c>
      <c r="D38" s="49">
        <f>'Avg Week Busega-Bulenga'!D38+'Avg Week Bulenga-Busega'!D38</f>
        <v>14.428571428571429</v>
      </c>
      <c r="E38" s="49">
        <f>'Avg Week Busega-Bulenga'!E38+'Avg Week Bulenga-Busega'!E38</f>
        <v>14.714285714285715</v>
      </c>
      <c r="F38" s="49">
        <f>'Avg Week Busega-Bulenga'!F38+'Avg Week Bulenga-Busega'!F38</f>
        <v>69.142857142857139</v>
      </c>
      <c r="G38" s="49">
        <f>'Avg Week Busega-Bulenga'!G38+'Avg Week Bulenga-Busega'!G38</f>
        <v>1.4285714285714286</v>
      </c>
      <c r="H38" s="49">
        <f>'Avg Week Busega-Bulenga'!H38+'Avg Week Bulenga-Busega'!H38</f>
        <v>0.71428571428571419</v>
      </c>
      <c r="I38" s="49">
        <f>'Avg Week Busega-Bulenga'!I38+'Avg Week Bulenga-Busega'!I38</f>
        <v>22</v>
      </c>
      <c r="J38" s="49">
        <f>'Avg Week Busega-Bulenga'!J38+'Avg Week Bulenga-Busega'!J38</f>
        <v>17.285714285714285</v>
      </c>
      <c r="K38" s="49">
        <f>'Avg Week Busega-Bulenga'!K38+'Avg Week Bulenga-Busega'!K38</f>
        <v>5.1428571428571432</v>
      </c>
      <c r="L38" s="49">
        <f>'Avg Week Busega-Bulenga'!L38+'Avg Week Bulenga-Busega'!L38</f>
        <v>5.5714285714285712</v>
      </c>
      <c r="M38" s="49">
        <f>'Avg Week Busega-Bulenga'!M38+'Avg Week Bulenga-Busega'!M38</f>
        <v>289.42857142857144</v>
      </c>
      <c r="N38" s="49">
        <f>'Avg Week Busega-Bulenga'!N38+'Avg Week Bulenga-Busega'!N38</f>
        <v>0</v>
      </c>
      <c r="O38" s="15">
        <f t="shared" si="0"/>
        <v>255.85714285714286</v>
      </c>
      <c r="P38" s="15">
        <f t="shared" si="1"/>
        <v>545.28571428571433</v>
      </c>
      <c r="R38" s="28" t="s">
        <v>86</v>
      </c>
      <c r="S38" s="16">
        <f t="shared" ref="S38:AF38" si="30">SUM(S13:S18)</f>
        <v>2600</v>
      </c>
      <c r="T38" s="16">
        <f t="shared" si="30"/>
        <v>324.28571428571433</v>
      </c>
      <c r="U38" s="16">
        <f t="shared" si="30"/>
        <v>317.28571428571428</v>
      </c>
      <c r="V38" s="16">
        <f t="shared" si="30"/>
        <v>1650.8571428571429</v>
      </c>
      <c r="W38" s="16">
        <f t="shared" si="30"/>
        <v>33.285714285714285</v>
      </c>
      <c r="X38" s="16">
        <f t="shared" si="30"/>
        <v>29.714285714285712</v>
      </c>
      <c r="Y38" s="16">
        <f t="shared" si="30"/>
        <v>460.57142857142861</v>
      </c>
      <c r="Z38" s="16">
        <f t="shared" si="30"/>
        <v>337.4285714285715</v>
      </c>
      <c r="AA38" s="16">
        <f t="shared" si="30"/>
        <v>74</v>
      </c>
      <c r="AB38" s="16">
        <f t="shared" si="30"/>
        <v>181.57142857142856</v>
      </c>
      <c r="AC38" s="16">
        <f t="shared" si="30"/>
        <v>7884.8142857142857</v>
      </c>
      <c r="AD38" s="16">
        <f t="shared" si="30"/>
        <v>26.999999999999996</v>
      </c>
      <c r="AE38" s="32">
        <f t="shared" si="30"/>
        <v>6036</v>
      </c>
      <c r="AF38" s="32">
        <f t="shared" si="30"/>
        <v>13920.814285714285</v>
      </c>
    </row>
    <row r="39" spans="2:32" ht="23.1" customHeight="1" x14ac:dyDescent="0.25">
      <c r="B39" s="24" t="s">
        <v>66</v>
      </c>
      <c r="C39" s="49">
        <f>'Avg Week Busega-Bulenga'!C39+'Avg Week Bulenga-Busega'!C39</f>
        <v>106.28571428571428</v>
      </c>
      <c r="D39" s="49">
        <f>'Avg Week Busega-Bulenga'!D39+'Avg Week Bulenga-Busega'!D39</f>
        <v>11.857142857142858</v>
      </c>
      <c r="E39" s="49">
        <f>'Avg Week Busega-Bulenga'!E39+'Avg Week Bulenga-Busega'!E39</f>
        <v>11</v>
      </c>
      <c r="F39" s="49">
        <f>'Avg Week Busega-Bulenga'!F39+'Avg Week Bulenga-Busega'!F39</f>
        <v>53.428571428571431</v>
      </c>
      <c r="G39" s="49">
        <f>'Avg Week Busega-Bulenga'!G39+'Avg Week Bulenga-Busega'!G39</f>
        <v>0.42857142857142855</v>
      </c>
      <c r="H39" s="49">
        <f>'Avg Week Busega-Bulenga'!H39+'Avg Week Bulenga-Busega'!H39</f>
        <v>0.5714285714285714</v>
      </c>
      <c r="I39" s="49">
        <f>'Avg Week Busega-Bulenga'!I39+'Avg Week Bulenga-Busega'!I39</f>
        <v>16.857142857142858</v>
      </c>
      <c r="J39" s="49">
        <f>'Avg Week Busega-Bulenga'!J39+'Avg Week Bulenga-Busega'!J39</f>
        <v>15.428571428571429</v>
      </c>
      <c r="K39" s="49">
        <f>'Avg Week Busega-Bulenga'!K39+'Avg Week Bulenga-Busega'!K39</f>
        <v>2.8571428571428572</v>
      </c>
      <c r="L39" s="49">
        <f>'Avg Week Busega-Bulenga'!L39+'Avg Week Bulenga-Busega'!L39</f>
        <v>3.2857142857142856</v>
      </c>
      <c r="M39" s="49">
        <f>'Avg Week Busega-Bulenga'!M39+'Avg Week Bulenga-Busega'!M39</f>
        <v>257.10000000000002</v>
      </c>
      <c r="N39" s="49">
        <f>'Avg Week Busega-Bulenga'!N39+'Avg Week Bulenga-Busega'!N39</f>
        <v>0</v>
      </c>
      <c r="O39" s="15">
        <f t="shared" si="0"/>
        <v>221.99999999999997</v>
      </c>
      <c r="P39" s="15">
        <f t="shared" si="1"/>
        <v>479.1</v>
      </c>
      <c r="R39" s="29" t="s">
        <v>87</v>
      </c>
      <c r="S39" s="16">
        <f t="shared" ref="S39:AF39" si="31">SUM(S19:S21)</f>
        <v>1895.2857142857142</v>
      </c>
      <c r="T39" s="16">
        <f t="shared" si="31"/>
        <v>188.42857142857144</v>
      </c>
      <c r="U39" s="16">
        <f t="shared" si="31"/>
        <v>200.28571428571428</v>
      </c>
      <c r="V39" s="16">
        <f t="shared" si="31"/>
        <v>1033.1428571428571</v>
      </c>
      <c r="W39" s="16">
        <f t="shared" si="31"/>
        <v>37.428571428571431</v>
      </c>
      <c r="X39" s="16">
        <f t="shared" si="31"/>
        <v>28.857142857142858</v>
      </c>
      <c r="Y39" s="16">
        <f t="shared" si="31"/>
        <v>229</v>
      </c>
      <c r="Z39" s="16">
        <f t="shared" si="31"/>
        <v>181.85714285714286</v>
      </c>
      <c r="AA39" s="16">
        <f t="shared" si="31"/>
        <v>46.714285714285715</v>
      </c>
      <c r="AB39" s="16">
        <f t="shared" si="31"/>
        <v>55.142857142857139</v>
      </c>
      <c r="AC39" s="16">
        <f t="shared" si="31"/>
        <v>4810.2857142857138</v>
      </c>
      <c r="AD39" s="16">
        <f t="shared" si="31"/>
        <v>0.14285714285714285</v>
      </c>
      <c r="AE39" s="32">
        <f t="shared" si="31"/>
        <v>3896.2857142857142</v>
      </c>
      <c r="AF39" s="32">
        <f t="shared" si="31"/>
        <v>8706.5714285714275</v>
      </c>
    </row>
    <row r="40" spans="2:32" ht="23.1" customHeight="1" x14ac:dyDescent="0.25">
      <c r="B40" s="24" t="s">
        <v>67</v>
      </c>
      <c r="C40" s="49">
        <f>'Avg Week Busega-Bulenga'!C40+'Avg Week Bulenga-Busega'!C40</f>
        <v>97.857142857142861</v>
      </c>
      <c r="D40" s="49">
        <f>'Avg Week Busega-Bulenga'!D40+'Avg Week Bulenga-Busega'!D40</f>
        <v>10.285714285714285</v>
      </c>
      <c r="E40" s="49">
        <f>'Avg Week Busega-Bulenga'!E40+'Avg Week Bulenga-Busega'!E40</f>
        <v>13.428571428571429</v>
      </c>
      <c r="F40" s="49">
        <f>'Avg Week Busega-Bulenga'!F40+'Avg Week Bulenga-Busega'!F40</f>
        <v>65.428571428571431</v>
      </c>
      <c r="G40" s="49">
        <f>'Avg Week Busega-Bulenga'!G40+'Avg Week Bulenga-Busega'!G40</f>
        <v>0.71428571428571419</v>
      </c>
      <c r="H40" s="49">
        <f>'Avg Week Busega-Bulenga'!H40+'Avg Week Bulenga-Busega'!H40</f>
        <v>1</v>
      </c>
      <c r="I40" s="49">
        <f>'Avg Week Busega-Bulenga'!I40+'Avg Week Bulenga-Busega'!I40</f>
        <v>22.428571428571431</v>
      </c>
      <c r="J40" s="49">
        <f>'Avg Week Busega-Bulenga'!J40+'Avg Week Bulenga-Busega'!J40</f>
        <v>15.571428571428573</v>
      </c>
      <c r="K40" s="49">
        <f>'Avg Week Busega-Bulenga'!K40+'Avg Week Bulenga-Busega'!K40</f>
        <v>4.4285714285714288</v>
      </c>
      <c r="L40" s="49">
        <f>'Avg Week Busega-Bulenga'!L40+'Avg Week Bulenga-Busega'!L40</f>
        <v>4.2857142857142856</v>
      </c>
      <c r="M40" s="49">
        <f>'Avg Week Busega-Bulenga'!M40+'Avg Week Bulenga-Busega'!M40</f>
        <v>288.71428571428572</v>
      </c>
      <c r="N40" s="49">
        <f>'Avg Week Busega-Bulenga'!N40+'Avg Week Bulenga-Busega'!N40</f>
        <v>0.14285714285714285</v>
      </c>
      <c r="O40" s="15">
        <f t="shared" si="0"/>
        <v>235.57142857142858</v>
      </c>
      <c r="P40" s="15">
        <f t="shared" si="1"/>
        <v>524.28571428571422</v>
      </c>
      <c r="R40" s="5" t="s">
        <v>17</v>
      </c>
      <c r="S40" s="16">
        <f t="shared" ref="S40:AF40" si="32">SUM(S10:S21)</f>
        <v>5824.1428571428569</v>
      </c>
      <c r="T40" s="16">
        <f t="shared" si="32"/>
        <v>702.85714285714289</v>
      </c>
      <c r="U40" s="16">
        <f t="shared" si="32"/>
        <v>734</v>
      </c>
      <c r="V40" s="16">
        <f t="shared" si="32"/>
        <v>3735.5714285714284</v>
      </c>
      <c r="W40" s="16">
        <f t="shared" si="32"/>
        <v>116.14285714285715</v>
      </c>
      <c r="X40" s="16">
        <f t="shared" si="32"/>
        <v>74.142857142857139</v>
      </c>
      <c r="Y40" s="16">
        <f t="shared" si="32"/>
        <v>924.57142857142856</v>
      </c>
      <c r="Z40" s="16">
        <f t="shared" si="32"/>
        <v>688.14285714285711</v>
      </c>
      <c r="AA40" s="16">
        <f t="shared" si="32"/>
        <v>156.00000000000003</v>
      </c>
      <c r="AB40" s="16">
        <f t="shared" si="32"/>
        <v>275.28571428571422</v>
      </c>
      <c r="AC40" s="16">
        <f t="shared" si="32"/>
        <v>17762.385714285716</v>
      </c>
      <c r="AD40" s="16">
        <f t="shared" si="32"/>
        <v>27.571428571428569</v>
      </c>
      <c r="AE40" s="32">
        <f t="shared" si="32"/>
        <v>13258.428571428572</v>
      </c>
      <c r="AF40" s="32">
        <f t="shared" si="32"/>
        <v>31020.814285714281</v>
      </c>
    </row>
    <row r="41" spans="2:32" ht="23.1" customHeight="1" x14ac:dyDescent="0.25">
      <c r="B41" s="23" t="s">
        <v>68</v>
      </c>
      <c r="C41" s="49">
        <f>'Avg Week Busega-Bulenga'!C41+'Avg Week Bulenga-Busega'!C41</f>
        <v>103.71428571428571</v>
      </c>
      <c r="D41" s="49">
        <f>'Avg Week Busega-Bulenga'!D41+'Avg Week Bulenga-Busega'!D41</f>
        <v>11.857142857142858</v>
      </c>
      <c r="E41" s="49">
        <f>'Avg Week Busega-Bulenga'!E41+'Avg Week Bulenga-Busega'!E41</f>
        <v>15.142857142857142</v>
      </c>
      <c r="F41" s="49">
        <f>'Avg Week Busega-Bulenga'!F41+'Avg Week Bulenga-Busega'!F41</f>
        <v>66.714285714285722</v>
      </c>
      <c r="G41" s="49">
        <f>'Avg Week Busega-Bulenga'!G41+'Avg Week Bulenga-Busega'!G41</f>
        <v>0.5714285714285714</v>
      </c>
      <c r="H41" s="49">
        <f>'Avg Week Busega-Bulenga'!H41+'Avg Week Bulenga-Busega'!H41</f>
        <v>2.7142857142857144</v>
      </c>
      <c r="I41" s="49">
        <f>'Avg Week Busega-Bulenga'!I41+'Avg Week Bulenga-Busega'!I41</f>
        <v>12.857142857142858</v>
      </c>
      <c r="J41" s="49">
        <f>'Avg Week Busega-Bulenga'!J41+'Avg Week Bulenga-Busega'!J41</f>
        <v>13.857142857142858</v>
      </c>
      <c r="K41" s="49">
        <f>'Avg Week Busega-Bulenga'!K41+'Avg Week Bulenga-Busega'!K41</f>
        <v>3.1428571428571428</v>
      </c>
      <c r="L41" s="49">
        <f>'Avg Week Busega-Bulenga'!L41+'Avg Week Bulenga-Busega'!L41</f>
        <v>35.428571428571423</v>
      </c>
      <c r="M41" s="49">
        <f>'Avg Week Busega-Bulenga'!M41+'Avg Week Bulenga-Busega'!M41</f>
        <v>236.42857142857144</v>
      </c>
      <c r="N41" s="49">
        <f>'Avg Week Busega-Bulenga'!N41+'Avg Week Bulenga-Busega'!N41</f>
        <v>26.428571428571427</v>
      </c>
      <c r="O41" s="15">
        <f t="shared" si="0"/>
        <v>292.4285714285715</v>
      </c>
      <c r="P41" s="15">
        <f t="shared" si="1"/>
        <v>528.85714285714289</v>
      </c>
      <c r="R41" s="5" t="s">
        <v>180</v>
      </c>
      <c r="S41" s="56">
        <f>SUM(S10:S33)</f>
        <v>8978.1428571428569</v>
      </c>
      <c r="T41" s="56">
        <f t="shared" ref="T41:AD41" si="33">SUM(T10:T33)</f>
        <v>1410.1904761904761</v>
      </c>
      <c r="U41" s="56">
        <f t="shared" si="33"/>
        <v>1102.6666666666667</v>
      </c>
      <c r="V41" s="56">
        <f t="shared" si="33"/>
        <v>5342.2380952380954</v>
      </c>
      <c r="W41" s="56">
        <f t="shared" si="33"/>
        <v>182.80952380952385</v>
      </c>
      <c r="X41" s="56">
        <f t="shared" si="33"/>
        <v>120.80952380952381</v>
      </c>
      <c r="Y41" s="56">
        <f t="shared" si="33"/>
        <v>1635.9047619047617</v>
      </c>
      <c r="Z41" s="56">
        <f t="shared" si="33"/>
        <v>976.142857142857</v>
      </c>
      <c r="AA41" s="56">
        <f t="shared" si="33"/>
        <v>355.66666666666669</v>
      </c>
      <c r="AB41" s="56">
        <f t="shared" si="33"/>
        <v>366.28571428571411</v>
      </c>
      <c r="AC41" s="56">
        <f t="shared" si="33"/>
        <v>23450.719047619055</v>
      </c>
      <c r="AD41" s="56">
        <f t="shared" si="33"/>
        <v>28.238095238095234</v>
      </c>
      <c r="AE41" s="57">
        <f>SUM(AE10:AE33)</f>
        <v>28438.09523809524</v>
      </c>
      <c r="AF41" s="57">
        <f>SUM(AF10:AF33)</f>
        <v>57726.528571428571</v>
      </c>
    </row>
    <row r="42" spans="2:32" ht="23.1" customHeight="1" x14ac:dyDescent="0.25">
      <c r="B42" s="24" t="s">
        <v>69</v>
      </c>
      <c r="C42" s="49">
        <f>'Avg Week Busega-Bulenga'!C42+'Avg Week Bulenga-Busega'!C42</f>
        <v>113.42857142857143</v>
      </c>
      <c r="D42" s="49">
        <f>'Avg Week Busega-Bulenga'!D42+'Avg Week Bulenga-Busega'!D42</f>
        <v>16.571428571428569</v>
      </c>
      <c r="E42" s="49">
        <f>'Avg Week Busega-Bulenga'!E42+'Avg Week Bulenga-Busega'!E42</f>
        <v>14</v>
      </c>
      <c r="F42" s="49">
        <f>'Avg Week Busega-Bulenga'!F42+'Avg Week Bulenga-Busega'!F42</f>
        <v>79.285714285714292</v>
      </c>
      <c r="G42" s="49">
        <f>'Avg Week Busega-Bulenga'!G42+'Avg Week Bulenga-Busega'!G42</f>
        <v>1.8571428571428572</v>
      </c>
      <c r="H42" s="49">
        <f>'Avg Week Busega-Bulenga'!H42+'Avg Week Bulenga-Busega'!H42</f>
        <v>1.1428571428571428</v>
      </c>
      <c r="I42" s="49">
        <f>'Avg Week Busega-Bulenga'!I42+'Avg Week Bulenga-Busega'!I42</f>
        <v>36.714285714285715</v>
      </c>
      <c r="J42" s="49">
        <f>'Avg Week Busega-Bulenga'!J42+'Avg Week Bulenga-Busega'!J42</f>
        <v>16.285714285714285</v>
      </c>
      <c r="K42" s="49">
        <f>'Avg Week Busega-Bulenga'!K42+'Avg Week Bulenga-Busega'!K42</f>
        <v>5.1428571428571423</v>
      </c>
      <c r="L42" s="49">
        <f>'Avg Week Busega-Bulenga'!L42+'Avg Week Bulenga-Busega'!L42</f>
        <v>3.8571428571428568</v>
      </c>
      <c r="M42" s="49">
        <f>'Avg Week Busega-Bulenga'!M42+'Avg Week Bulenga-Busega'!M42</f>
        <v>328.57142857142856</v>
      </c>
      <c r="N42" s="49">
        <f>'Avg Week Busega-Bulenga'!N42+'Avg Week Bulenga-Busega'!N42</f>
        <v>0</v>
      </c>
      <c r="O42" s="15">
        <f t="shared" si="0"/>
        <v>288.28571428571428</v>
      </c>
      <c r="P42" s="15">
        <f t="shared" si="1"/>
        <v>616.85714285714289</v>
      </c>
      <c r="R42" s="5" t="s">
        <v>160</v>
      </c>
      <c r="S42" s="48">
        <f>S41/S40</f>
        <v>1.5415389143712135</v>
      </c>
      <c r="T42" s="48">
        <f t="shared" ref="T42:AF42" si="34">T41/T40</f>
        <v>2.0063685636856365</v>
      </c>
      <c r="U42" s="48">
        <f t="shared" si="34"/>
        <v>1.502270663033606</v>
      </c>
      <c r="V42" s="48">
        <f t="shared" si="34"/>
        <v>1.4300993027139344</v>
      </c>
      <c r="W42" s="48">
        <f t="shared" si="34"/>
        <v>1.5740057400574008</v>
      </c>
      <c r="X42" s="48">
        <f t="shared" si="34"/>
        <v>1.6294155427103405</v>
      </c>
      <c r="Y42" s="48">
        <f t="shared" si="34"/>
        <v>1.7693654717758547</v>
      </c>
      <c r="Z42" s="48">
        <f t="shared" si="34"/>
        <v>1.4185177496367032</v>
      </c>
      <c r="AA42" s="48">
        <f t="shared" si="34"/>
        <v>2.2799145299145298</v>
      </c>
      <c r="AB42" s="48">
        <f t="shared" si="34"/>
        <v>1.3305656460819923</v>
      </c>
      <c r="AC42" s="48">
        <f t="shared" si="34"/>
        <v>1.3202460201479802</v>
      </c>
      <c r="AD42" s="48">
        <f t="shared" si="34"/>
        <v>1.0241796200345423</v>
      </c>
      <c r="AE42" s="58">
        <f t="shared" si="34"/>
        <v>2.1449069235383065</v>
      </c>
      <c r="AF42" s="58">
        <f t="shared" si="34"/>
        <v>1.860896623787623</v>
      </c>
    </row>
    <row r="43" spans="2:32" ht="23.1" customHeight="1" x14ac:dyDescent="0.25">
      <c r="B43" s="23" t="s">
        <v>70</v>
      </c>
      <c r="C43" s="49">
        <f>'Avg Week Busega-Bulenga'!C43+'Avg Week Bulenga-Busega'!C43</f>
        <v>110.42857142857143</v>
      </c>
      <c r="D43" s="49">
        <f>'Avg Week Busega-Bulenga'!D43+'Avg Week Bulenga-Busega'!D43</f>
        <v>12.142857142857144</v>
      </c>
      <c r="E43" s="49">
        <f>'Avg Week Busega-Bulenga'!E43+'Avg Week Bulenga-Busega'!E43</f>
        <v>15.571428571428571</v>
      </c>
      <c r="F43" s="49">
        <f>'Avg Week Busega-Bulenga'!F43+'Avg Week Bulenga-Busega'!F43</f>
        <v>73</v>
      </c>
      <c r="G43" s="49">
        <f>'Avg Week Busega-Bulenga'!G43+'Avg Week Bulenga-Busega'!G43</f>
        <v>0.71428571428571419</v>
      </c>
      <c r="H43" s="49">
        <f>'Avg Week Busega-Bulenga'!H43+'Avg Week Bulenga-Busega'!H43</f>
        <v>1</v>
      </c>
      <c r="I43" s="49">
        <f>'Avg Week Busega-Bulenga'!I43+'Avg Week Bulenga-Busega'!I43</f>
        <v>14.857142857142858</v>
      </c>
      <c r="J43" s="49">
        <f>'Avg Week Busega-Bulenga'!J43+'Avg Week Bulenga-Busega'!J43</f>
        <v>9.7142857142857153</v>
      </c>
      <c r="K43" s="49">
        <f>'Avg Week Busega-Bulenga'!K43+'Avg Week Bulenga-Busega'!K43</f>
        <v>4</v>
      </c>
      <c r="L43" s="49">
        <f>'Avg Week Busega-Bulenga'!L43+'Avg Week Bulenga-Busega'!L43</f>
        <v>4.8571428571428577</v>
      </c>
      <c r="M43" s="49">
        <f>'Avg Week Busega-Bulenga'!M43+'Avg Week Bulenga-Busega'!M43</f>
        <v>303.57142857142856</v>
      </c>
      <c r="N43" s="49">
        <f>'Avg Week Busega-Bulenga'!N43+'Avg Week Bulenga-Busega'!N43</f>
        <v>0</v>
      </c>
      <c r="O43" s="15">
        <f t="shared" si="0"/>
        <v>246.28571428571431</v>
      </c>
      <c r="P43" s="15">
        <f t="shared" si="1"/>
        <v>549.85714285714289</v>
      </c>
    </row>
    <row r="44" spans="2:32" ht="23.1" customHeight="1" x14ac:dyDescent="0.25">
      <c r="B44" s="25" t="s">
        <v>71</v>
      </c>
      <c r="C44" s="49">
        <f>'Avg Week Busega-Bulenga'!C44+'Avg Week Bulenga-Busega'!C44</f>
        <v>123</v>
      </c>
      <c r="D44" s="49">
        <f>'Avg Week Busega-Bulenga'!D44+'Avg Week Bulenga-Busega'!D44</f>
        <v>14.857142857142858</v>
      </c>
      <c r="E44" s="49">
        <f>'Avg Week Busega-Bulenga'!E44+'Avg Week Bulenga-Busega'!E44</f>
        <v>9.5714285714285712</v>
      </c>
      <c r="F44" s="49">
        <f>'Avg Week Busega-Bulenga'!F44+'Avg Week Bulenga-Busega'!F44</f>
        <v>60.571428571428569</v>
      </c>
      <c r="G44" s="49">
        <f>'Avg Week Busega-Bulenga'!G44+'Avg Week Bulenga-Busega'!G44</f>
        <v>0.8571428571428571</v>
      </c>
      <c r="H44" s="49">
        <f>'Avg Week Busega-Bulenga'!H44+'Avg Week Bulenga-Busega'!H44</f>
        <v>1.7142857142857144</v>
      </c>
      <c r="I44" s="49">
        <f>'Avg Week Busega-Bulenga'!I44+'Avg Week Bulenga-Busega'!I44</f>
        <v>16</v>
      </c>
      <c r="J44" s="49">
        <f>'Avg Week Busega-Bulenga'!J44+'Avg Week Bulenga-Busega'!J44</f>
        <v>18.857142857142858</v>
      </c>
      <c r="K44" s="49">
        <f>'Avg Week Busega-Bulenga'!K44+'Avg Week Bulenga-Busega'!K44</f>
        <v>4.4285714285714288</v>
      </c>
      <c r="L44" s="49">
        <f>'Avg Week Busega-Bulenga'!L44+'Avg Week Bulenga-Busega'!L44</f>
        <v>3.8571428571428568</v>
      </c>
      <c r="M44" s="49">
        <f>'Avg Week Busega-Bulenga'!M44+'Avg Week Bulenga-Busega'!M44</f>
        <v>319.28571428571433</v>
      </c>
      <c r="N44" s="49">
        <f>'Avg Week Busega-Bulenga'!N44+'Avg Week Bulenga-Busega'!N44</f>
        <v>0</v>
      </c>
      <c r="O44" s="15">
        <f t="shared" si="0"/>
        <v>253.71428571428572</v>
      </c>
      <c r="P44" s="15">
        <f t="shared" si="1"/>
        <v>573</v>
      </c>
    </row>
    <row r="45" spans="2:32" ht="23.1" customHeight="1" x14ac:dyDescent="0.25">
      <c r="B45" s="23" t="s">
        <v>72</v>
      </c>
      <c r="C45" s="49">
        <f>'Avg Week Busega-Bulenga'!C45+'Avg Week Bulenga-Busega'!C45</f>
        <v>109.71428571428572</v>
      </c>
      <c r="D45" s="49">
        <f>'Avg Week Busega-Bulenga'!D45+'Avg Week Bulenga-Busega'!D45</f>
        <v>14.857142857142858</v>
      </c>
      <c r="E45" s="49">
        <f>'Avg Week Busega-Bulenga'!E45+'Avg Week Bulenga-Busega'!E45</f>
        <v>14.142857142857142</v>
      </c>
      <c r="F45" s="49">
        <f>'Avg Week Busega-Bulenga'!F45+'Avg Week Bulenga-Busega'!F45</f>
        <v>55.285714285714285</v>
      </c>
      <c r="G45" s="49">
        <f>'Avg Week Busega-Bulenga'!G45+'Avg Week Bulenga-Busega'!G45</f>
        <v>0.42857142857142855</v>
      </c>
      <c r="H45" s="49">
        <f>'Avg Week Busega-Bulenga'!H45+'Avg Week Bulenga-Busega'!H45</f>
        <v>1.2857142857142856</v>
      </c>
      <c r="I45" s="49">
        <f>'Avg Week Busega-Bulenga'!I45+'Avg Week Bulenga-Busega'!I45</f>
        <v>20.142857142857142</v>
      </c>
      <c r="J45" s="49">
        <f>'Avg Week Busega-Bulenga'!J45+'Avg Week Bulenga-Busega'!J45</f>
        <v>13.571428571428571</v>
      </c>
      <c r="K45" s="49">
        <f>'Avg Week Busega-Bulenga'!K45+'Avg Week Bulenga-Busega'!K45</f>
        <v>4.8571428571428577</v>
      </c>
      <c r="L45" s="49">
        <f>'Avg Week Busega-Bulenga'!L45+'Avg Week Bulenga-Busega'!L45</f>
        <v>4.4285714285714288</v>
      </c>
      <c r="M45" s="49">
        <f>'Avg Week Busega-Bulenga'!M45+'Avg Week Bulenga-Busega'!M45</f>
        <v>293.14285714285711</v>
      </c>
      <c r="N45" s="49">
        <f>'Avg Week Busega-Bulenga'!N45+'Avg Week Bulenga-Busega'!N45</f>
        <v>0</v>
      </c>
      <c r="O45" s="15">
        <f t="shared" si="0"/>
        <v>238.71428571428569</v>
      </c>
      <c r="P45" s="15">
        <f t="shared" si="1"/>
        <v>531.85714285714278</v>
      </c>
    </row>
    <row r="46" spans="2:32" ht="23.1" customHeight="1" x14ac:dyDescent="0.25">
      <c r="B46" s="24" t="s">
        <v>73</v>
      </c>
      <c r="C46" s="49">
        <f>'Avg Week Busega-Bulenga'!C46+'Avg Week Bulenga-Busega'!C46</f>
        <v>105.85714285714286</v>
      </c>
      <c r="D46" s="49">
        <f>'Avg Week Busega-Bulenga'!D46+'Avg Week Bulenga-Busega'!D46</f>
        <v>13</v>
      </c>
      <c r="E46" s="49">
        <f>'Avg Week Busega-Bulenga'!E46+'Avg Week Bulenga-Busega'!E46</f>
        <v>17.571428571428573</v>
      </c>
      <c r="F46" s="49">
        <f>'Avg Week Busega-Bulenga'!F46+'Avg Week Bulenga-Busega'!F46</f>
        <v>70.714285714285722</v>
      </c>
      <c r="G46" s="49">
        <f>'Avg Week Busega-Bulenga'!G46+'Avg Week Bulenga-Busega'!G46</f>
        <v>1.1428571428571428</v>
      </c>
      <c r="H46" s="49">
        <f>'Avg Week Busega-Bulenga'!H46+'Avg Week Bulenga-Busega'!H46</f>
        <v>0.42857142857142855</v>
      </c>
      <c r="I46" s="49">
        <f>'Avg Week Busega-Bulenga'!I46+'Avg Week Bulenga-Busega'!I46</f>
        <v>17.142857142857142</v>
      </c>
      <c r="J46" s="49">
        <f>'Avg Week Busega-Bulenga'!J46+'Avg Week Bulenga-Busega'!J46</f>
        <v>14.142857142857142</v>
      </c>
      <c r="K46" s="49">
        <f>'Avg Week Busega-Bulenga'!K46+'Avg Week Bulenga-Busega'!K46</f>
        <v>3.5714285714285712</v>
      </c>
      <c r="L46" s="49">
        <f>'Avg Week Busega-Bulenga'!L46+'Avg Week Bulenga-Busega'!L46</f>
        <v>4</v>
      </c>
      <c r="M46" s="49">
        <f>'Avg Week Busega-Bulenga'!M46+'Avg Week Bulenga-Busega'!M46</f>
        <v>331.57142857142856</v>
      </c>
      <c r="N46" s="49">
        <f>'Avg Week Busega-Bulenga'!N46+'Avg Week Bulenga-Busega'!N46</f>
        <v>0</v>
      </c>
      <c r="O46" s="15">
        <f t="shared" si="0"/>
        <v>247.57142857142858</v>
      </c>
      <c r="P46" s="15">
        <f t="shared" si="1"/>
        <v>579.14285714285711</v>
      </c>
      <c r="R46" s="8"/>
      <c r="T46"/>
    </row>
    <row r="47" spans="2:32" ht="23.1" customHeight="1" x14ac:dyDescent="0.25">
      <c r="B47" s="24" t="s">
        <v>74</v>
      </c>
      <c r="C47" s="49">
        <f>'Avg Week Busega-Bulenga'!C47+'Avg Week Bulenga-Busega'!C47</f>
        <v>102.28571428571428</v>
      </c>
      <c r="D47" s="49">
        <f>'Avg Week Busega-Bulenga'!D47+'Avg Week Bulenga-Busega'!D47</f>
        <v>11.857142857142858</v>
      </c>
      <c r="E47" s="49">
        <f>'Avg Week Busega-Bulenga'!E47+'Avg Week Bulenga-Busega'!E47</f>
        <v>13.571428571428571</v>
      </c>
      <c r="F47" s="49">
        <f>'Avg Week Busega-Bulenga'!F47+'Avg Week Bulenga-Busega'!F47</f>
        <v>61.285714285714285</v>
      </c>
      <c r="G47" s="49">
        <f>'Avg Week Busega-Bulenga'!G47+'Avg Week Bulenga-Busega'!G47</f>
        <v>1.5714285714285714</v>
      </c>
      <c r="H47" s="49">
        <f>'Avg Week Busega-Bulenga'!H47+'Avg Week Bulenga-Busega'!H47</f>
        <v>1</v>
      </c>
      <c r="I47" s="49">
        <f>'Avg Week Busega-Bulenga'!I47+'Avg Week Bulenga-Busega'!I47</f>
        <v>21.571428571428569</v>
      </c>
      <c r="J47" s="49">
        <f>'Avg Week Busega-Bulenga'!J47+'Avg Week Bulenga-Busega'!J47</f>
        <v>19.142857142857142</v>
      </c>
      <c r="K47" s="49">
        <f>'Avg Week Busega-Bulenga'!K47+'Avg Week Bulenga-Busega'!K47</f>
        <v>4.1428571428571432</v>
      </c>
      <c r="L47" s="49">
        <f>'Avg Week Busega-Bulenga'!L47+'Avg Week Bulenga-Busega'!L47</f>
        <v>6</v>
      </c>
      <c r="M47" s="49">
        <f>'Avg Week Busega-Bulenga'!M47+'Avg Week Bulenga-Busega'!M47</f>
        <v>346.42857142857144</v>
      </c>
      <c r="N47" s="49">
        <f>'Avg Week Busega-Bulenga'!N47+'Avg Week Bulenga-Busega'!N47</f>
        <v>0</v>
      </c>
      <c r="O47" s="15">
        <f t="shared" si="0"/>
        <v>242.42857142857144</v>
      </c>
      <c r="P47" s="15">
        <f t="shared" si="1"/>
        <v>588.85714285714289</v>
      </c>
      <c r="R47" s="8"/>
      <c r="T47"/>
    </row>
    <row r="48" spans="2:32" ht="23.1" customHeight="1" x14ac:dyDescent="0.25">
      <c r="B48" s="24" t="s">
        <v>75</v>
      </c>
      <c r="C48" s="49">
        <f>'Avg Week Busega-Bulenga'!C48+'Avg Week Bulenga-Busega'!C48</f>
        <v>112.42857142857143</v>
      </c>
      <c r="D48" s="49">
        <f>'Avg Week Busega-Bulenga'!D48+'Avg Week Bulenga-Busega'!D48</f>
        <v>16.142857142857142</v>
      </c>
      <c r="E48" s="49">
        <f>'Avg Week Busega-Bulenga'!E48+'Avg Week Bulenga-Busega'!E48</f>
        <v>14.714285714285714</v>
      </c>
      <c r="F48" s="49">
        <f>'Avg Week Busega-Bulenga'!F48+'Avg Week Bulenga-Busega'!F48</f>
        <v>66.285714285714292</v>
      </c>
      <c r="G48" s="49">
        <f>'Avg Week Busega-Bulenga'!G48+'Avg Week Bulenga-Busega'!G48</f>
        <v>0.42857142857142855</v>
      </c>
      <c r="H48" s="49">
        <f>'Avg Week Busega-Bulenga'!H48+'Avg Week Bulenga-Busega'!H48</f>
        <v>1.4285714285714286</v>
      </c>
      <c r="I48" s="49">
        <f>'Avg Week Busega-Bulenga'!I48+'Avg Week Bulenga-Busega'!I48</f>
        <v>21.285714285714285</v>
      </c>
      <c r="J48" s="49">
        <f>'Avg Week Busega-Bulenga'!J48+'Avg Week Bulenga-Busega'!J48</f>
        <v>17.142857142857142</v>
      </c>
      <c r="K48" s="49">
        <f>'Avg Week Busega-Bulenga'!K48+'Avg Week Bulenga-Busega'!K48</f>
        <v>3.7142857142857144</v>
      </c>
      <c r="L48" s="49">
        <f>'Avg Week Busega-Bulenga'!L48+'Avg Week Bulenga-Busega'!L48</f>
        <v>5.4285714285714288</v>
      </c>
      <c r="M48" s="49">
        <f>'Avg Week Busega-Bulenga'!M48+'Avg Week Bulenga-Busega'!M48</f>
        <v>379.85714285714289</v>
      </c>
      <c r="N48" s="49">
        <f>'Avg Week Busega-Bulenga'!N48+'Avg Week Bulenga-Busega'!N48</f>
        <v>0</v>
      </c>
      <c r="O48" s="15">
        <f t="shared" si="0"/>
        <v>259</v>
      </c>
      <c r="P48" s="15">
        <f t="shared" si="1"/>
        <v>638.85714285714289</v>
      </c>
      <c r="R48" s="8"/>
      <c r="T48"/>
    </row>
    <row r="49" spans="2:20" ht="23.1" customHeight="1" x14ac:dyDescent="0.25">
      <c r="B49" s="23" t="s">
        <v>76</v>
      </c>
      <c r="C49" s="49">
        <f>'Avg Week Busega-Bulenga'!C49+'Avg Week Bulenga-Busega'!C49</f>
        <v>120.28571428571428</v>
      </c>
      <c r="D49" s="49">
        <f>'Avg Week Busega-Bulenga'!D49+'Avg Week Bulenga-Busega'!D49</f>
        <v>14.428571428571427</v>
      </c>
      <c r="E49" s="49">
        <f>'Avg Week Busega-Bulenga'!E49+'Avg Week Bulenga-Busega'!E49</f>
        <v>14.428571428571429</v>
      </c>
      <c r="F49" s="49">
        <f>'Avg Week Busega-Bulenga'!F49+'Avg Week Bulenga-Busega'!F49</f>
        <v>74.571428571428569</v>
      </c>
      <c r="G49" s="49">
        <f>'Avg Week Busega-Bulenga'!G49+'Avg Week Bulenga-Busega'!G49</f>
        <v>3.1428571428571428</v>
      </c>
      <c r="H49" s="49">
        <f>'Avg Week Busega-Bulenga'!H49+'Avg Week Bulenga-Busega'!H49</f>
        <v>1.1428571428571428</v>
      </c>
      <c r="I49" s="49">
        <f>'Avg Week Busega-Bulenga'!I49+'Avg Week Bulenga-Busega'!I49</f>
        <v>15.714285714285715</v>
      </c>
      <c r="J49" s="49">
        <f>'Avg Week Busega-Bulenga'!J49+'Avg Week Bulenga-Busega'!J49</f>
        <v>13.285714285714285</v>
      </c>
      <c r="K49" s="49">
        <f>'Avg Week Busega-Bulenga'!K49+'Avg Week Bulenga-Busega'!K49</f>
        <v>4</v>
      </c>
      <c r="L49" s="49">
        <f>'Avg Week Busega-Bulenga'!L49+'Avg Week Bulenga-Busega'!L49</f>
        <v>4.8571428571428577</v>
      </c>
      <c r="M49" s="49">
        <f>'Avg Week Busega-Bulenga'!M49+'Avg Week Bulenga-Busega'!M49</f>
        <v>399.85714285714283</v>
      </c>
      <c r="N49" s="49">
        <f>'Avg Week Busega-Bulenga'!N49+'Avg Week Bulenga-Busega'!N49</f>
        <v>0</v>
      </c>
      <c r="O49" s="15">
        <f t="shared" si="0"/>
        <v>265.85714285714278</v>
      </c>
      <c r="P49" s="15">
        <f t="shared" si="1"/>
        <v>665.71428571428555</v>
      </c>
      <c r="R49" s="8"/>
      <c r="T49"/>
    </row>
    <row r="50" spans="2:20" ht="23.1" customHeight="1" x14ac:dyDescent="0.25">
      <c r="B50" s="24" t="s">
        <v>77</v>
      </c>
      <c r="C50" s="49">
        <f>'Avg Week Busega-Bulenga'!C50+'Avg Week Bulenga-Busega'!C50</f>
        <v>137.71428571428572</v>
      </c>
      <c r="D50" s="49">
        <f>'Avg Week Busega-Bulenga'!D50+'Avg Week Bulenga-Busega'!D50</f>
        <v>17.714285714285715</v>
      </c>
      <c r="E50" s="49">
        <f>'Avg Week Busega-Bulenga'!E50+'Avg Week Bulenga-Busega'!E50</f>
        <v>19.857142857142854</v>
      </c>
      <c r="F50" s="49">
        <f>'Avg Week Busega-Bulenga'!F50+'Avg Week Bulenga-Busega'!F50</f>
        <v>88.142857142857139</v>
      </c>
      <c r="G50" s="49">
        <f>'Avg Week Busega-Bulenga'!G50+'Avg Week Bulenga-Busega'!G50</f>
        <v>3.1428571428571428</v>
      </c>
      <c r="H50" s="49">
        <f>'Avg Week Busega-Bulenga'!H50+'Avg Week Bulenga-Busega'!H50</f>
        <v>3.8571428571428572</v>
      </c>
      <c r="I50" s="49">
        <f>'Avg Week Busega-Bulenga'!I50+'Avg Week Bulenga-Busega'!I50</f>
        <v>21.571428571428569</v>
      </c>
      <c r="J50" s="49">
        <f>'Avg Week Busega-Bulenga'!J50+'Avg Week Bulenga-Busega'!J50</f>
        <v>16.285714285714285</v>
      </c>
      <c r="K50" s="49">
        <f>'Avg Week Busega-Bulenga'!K50+'Avg Week Bulenga-Busega'!K50</f>
        <v>4.4285714285714288</v>
      </c>
      <c r="L50" s="49">
        <f>'Avg Week Busega-Bulenga'!L50+'Avg Week Bulenga-Busega'!L50</f>
        <v>6.5714285714285712</v>
      </c>
      <c r="M50" s="49">
        <f>'Avg Week Busega-Bulenga'!M50+'Avg Week Bulenga-Busega'!M50</f>
        <v>441</v>
      </c>
      <c r="N50" s="49">
        <f>'Avg Week Busega-Bulenga'!N50+'Avg Week Bulenga-Busega'!N50</f>
        <v>0</v>
      </c>
      <c r="O50" s="15">
        <f t="shared" si="0"/>
        <v>319.28571428571428</v>
      </c>
      <c r="P50" s="15">
        <f t="shared" si="1"/>
        <v>760.28571428571422</v>
      </c>
      <c r="R50" s="8"/>
      <c r="T50"/>
    </row>
    <row r="51" spans="2:20" ht="23.1" customHeight="1" x14ac:dyDescent="0.25">
      <c r="B51" s="24" t="s">
        <v>78</v>
      </c>
      <c r="C51" s="49">
        <f>'Avg Week Busega-Bulenga'!C51+'Avg Week Bulenga-Busega'!C51</f>
        <v>249.14285714285717</v>
      </c>
      <c r="D51" s="49">
        <f>'Avg Week Busega-Bulenga'!D51+'Avg Week Bulenga-Busega'!D51</f>
        <v>14</v>
      </c>
      <c r="E51" s="49">
        <f>'Avg Week Busega-Bulenga'!E51+'Avg Week Bulenga-Busega'!E51</f>
        <v>17</v>
      </c>
      <c r="F51" s="49">
        <f>'Avg Week Busega-Bulenga'!F51+'Avg Week Bulenga-Busega'!F51</f>
        <v>85.571428571428584</v>
      </c>
      <c r="G51" s="49">
        <f>'Avg Week Busega-Bulenga'!G51+'Avg Week Bulenga-Busega'!G51</f>
        <v>2.5714285714285712</v>
      </c>
      <c r="H51" s="49">
        <f>'Avg Week Busega-Bulenga'!H51+'Avg Week Bulenga-Busega'!H51</f>
        <v>2.2857142857142856</v>
      </c>
      <c r="I51" s="49">
        <f>'Avg Week Busega-Bulenga'!I51+'Avg Week Bulenga-Busega'!I51</f>
        <v>16.857142857142858</v>
      </c>
      <c r="J51" s="49">
        <f>'Avg Week Busega-Bulenga'!J51+'Avg Week Bulenga-Busega'!J51</f>
        <v>14.857142857142858</v>
      </c>
      <c r="K51" s="49">
        <f>'Avg Week Busega-Bulenga'!K51+'Avg Week Bulenga-Busega'!K51</f>
        <v>2.2857142857142856</v>
      </c>
      <c r="L51" s="49">
        <f>'Avg Week Busega-Bulenga'!L51+'Avg Week Bulenga-Busega'!L51</f>
        <v>3.5714285714285716</v>
      </c>
      <c r="M51" s="49">
        <f>'Avg Week Busega-Bulenga'!M51+'Avg Week Bulenga-Busega'!M51</f>
        <v>393.42857142857144</v>
      </c>
      <c r="N51" s="49">
        <f>'Avg Week Busega-Bulenga'!N51+'Avg Week Bulenga-Busega'!N51</f>
        <v>0.14285714285714285</v>
      </c>
      <c r="O51" s="15">
        <f t="shared" si="0"/>
        <v>408.28571428571428</v>
      </c>
      <c r="P51" s="15">
        <f t="shared" si="1"/>
        <v>801.71428571428567</v>
      </c>
      <c r="R51" s="8"/>
      <c r="T51"/>
    </row>
    <row r="52" spans="2:20" ht="23.1" customHeight="1" x14ac:dyDescent="0.25">
      <c r="B52" s="24" t="s">
        <v>79</v>
      </c>
      <c r="C52" s="49">
        <f>'Avg Week Busega-Bulenga'!C52+'Avg Week Bulenga-Busega'!C52</f>
        <v>169.28571428571428</v>
      </c>
      <c r="D52" s="49">
        <f>'Avg Week Busega-Bulenga'!D52+'Avg Week Bulenga-Busega'!D52</f>
        <v>17.285714285714285</v>
      </c>
      <c r="E52" s="49">
        <f>'Avg Week Busega-Bulenga'!E52+'Avg Week Bulenga-Busega'!E52</f>
        <v>19.857142857142858</v>
      </c>
      <c r="F52" s="49">
        <f>'Avg Week Busega-Bulenga'!F52+'Avg Week Bulenga-Busega'!F52</f>
        <v>89.714285714285708</v>
      </c>
      <c r="G52" s="49">
        <f>'Avg Week Busega-Bulenga'!G52+'Avg Week Bulenga-Busega'!G52</f>
        <v>7.1428571428571432</v>
      </c>
      <c r="H52" s="49">
        <f>'Avg Week Busega-Bulenga'!H52+'Avg Week Bulenga-Busega'!H52</f>
        <v>5</v>
      </c>
      <c r="I52" s="49">
        <f>'Avg Week Busega-Bulenga'!I52+'Avg Week Bulenga-Busega'!I52</f>
        <v>20.142857142857142</v>
      </c>
      <c r="J52" s="49">
        <f>'Avg Week Busega-Bulenga'!J52+'Avg Week Bulenga-Busega'!J52</f>
        <v>18.142857142857142</v>
      </c>
      <c r="K52" s="49">
        <f>'Avg Week Busega-Bulenga'!K52+'Avg Week Bulenga-Busega'!K52</f>
        <v>6.2857142857142856</v>
      </c>
      <c r="L52" s="49">
        <f>'Avg Week Busega-Bulenga'!L52+'Avg Week Bulenga-Busega'!L52</f>
        <v>4.4285714285714288</v>
      </c>
      <c r="M52" s="49">
        <f>'Avg Week Busega-Bulenga'!M52+'Avg Week Bulenga-Busega'!M52</f>
        <v>385.14285714285711</v>
      </c>
      <c r="N52" s="49">
        <f>'Avg Week Busega-Bulenga'!N52+'Avg Week Bulenga-Busega'!N52</f>
        <v>0</v>
      </c>
      <c r="O52" s="15">
        <f t="shared" si="0"/>
        <v>357.28571428571433</v>
      </c>
      <c r="P52" s="15">
        <f t="shared" si="1"/>
        <v>742.42857142857144</v>
      </c>
      <c r="R52" s="8"/>
      <c r="T52"/>
    </row>
    <row r="53" spans="2:20" ht="23.1" customHeight="1" x14ac:dyDescent="0.25">
      <c r="B53" s="23" t="s">
        <v>80</v>
      </c>
      <c r="C53" s="49">
        <f>'Avg Week Busega-Bulenga'!C53+'Avg Week Bulenga-Busega'!C53</f>
        <v>189.28571428571428</v>
      </c>
      <c r="D53" s="49">
        <f>'Avg Week Busega-Bulenga'!D53+'Avg Week Bulenga-Busega'!D53</f>
        <v>15.571428571428571</v>
      </c>
      <c r="E53" s="49">
        <f>'Avg Week Busega-Bulenga'!E53+'Avg Week Bulenga-Busega'!E53</f>
        <v>29.285714285714285</v>
      </c>
      <c r="F53" s="49">
        <f>'Avg Week Busega-Bulenga'!F53+'Avg Week Bulenga-Busega'!F53</f>
        <v>88</v>
      </c>
      <c r="G53" s="49">
        <f>'Avg Week Busega-Bulenga'!G53+'Avg Week Bulenga-Busega'!G53</f>
        <v>2.2857142857142856</v>
      </c>
      <c r="H53" s="49">
        <f>'Avg Week Busega-Bulenga'!H53+'Avg Week Bulenga-Busega'!H53</f>
        <v>1.5714285714285714</v>
      </c>
      <c r="I53" s="49">
        <f>'Avg Week Busega-Bulenga'!I53+'Avg Week Bulenga-Busega'!I53</f>
        <v>18.857142857142858</v>
      </c>
      <c r="J53" s="49">
        <f>'Avg Week Busega-Bulenga'!J53+'Avg Week Bulenga-Busega'!J53</f>
        <v>12.142857142857142</v>
      </c>
      <c r="K53" s="49">
        <f>'Avg Week Busega-Bulenga'!K53+'Avg Week Bulenga-Busega'!K53</f>
        <v>4.7142857142857135</v>
      </c>
      <c r="L53" s="49">
        <f>'Avg Week Busega-Bulenga'!L53+'Avg Week Bulenga-Busega'!L53</f>
        <v>2.2857142857142856</v>
      </c>
      <c r="M53" s="49">
        <f>'Avg Week Busega-Bulenga'!M53+'Avg Week Bulenga-Busega'!M53</f>
        <v>434</v>
      </c>
      <c r="N53" s="49">
        <f>'Avg Week Busega-Bulenga'!N53+'Avg Week Bulenga-Busega'!N53</f>
        <v>0</v>
      </c>
      <c r="O53" s="15">
        <f t="shared" si="0"/>
        <v>363.99999999999994</v>
      </c>
      <c r="P53" s="15">
        <f t="shared" si="1"/>
        <v>798</v>
      </c>
      <c r="R53" s="8"/>
      <c r="T53"/>
    </row>
    <row r="54" spans="2:20" ht="23.1" customHeight="1" x14ac:dyDescent="0.25">
      <c r="B54" s="23" t="s">
        <v>81</v>
      </c>
      <c r="C54" s="49">
        <f>'Avg Week Busega-Bulenga'!C54+'Avg Week Bulenga-Busega'!C54</f>
        <v>162.57142857142856</v>
      </c>
      <c r="D54" s="49">
        <f>'Avg Week Busega-Bulenga'!D54+'Avg Week Bulenga-Busega'!D54</f>
        <v>17</v>
      </c>
      <c r="E54" s="49">
        <f>'Avg Week Busega-Bulenga'!E54+'Avg Week Bulenga-Busega'!E54</f>
        <v>19.285714285714285</v>
      </c>
      <c r="F54" s="49">
        <f>'Avg Week Busega-Bulenga'!F54+'Avg Week Bulenga-Busega'!F54</f>
        <v>98.285714285714278</v>
      </c>
      <c r="G54" s="49">
        <f>'Avg Week Busega-Bulenga'!G54+'Avg Week Bulenga-Busega'!G54</f>
        <v>5.5714285714285712</v>
      </c>
      <c r="H54" s="49">
        <f>'Avg Week Busega-Bulenga'!H54+'Avg Week Bulenga-Busega'!H54</f>
        <v>4.1428571428571423</v>
      </c>
      <c r="I54" s="49">
        <f>'Avg Week Busega-Bulenga'!I54+'Avg Week Bulenga-Busega'!I54</f>
        <v>21.428571428571427</v>
      </c>
      <c r="J54" s="49">
        <f>'Avg Week Busega-Bulenga'!J54+'Avg Week Bulenga-Busega'!J54</f>
        <v>13.857142857142858</v>
      </c>
      <c r="K54" s="49">
        <f>'Avg Week Busega-Bulenga'!K54+'Avg Week Bulenga-Busega'!K54</f>
        <v>3.7142857142857144</v>
      </c>
      <c r="L54" s="49">
        <f>'Avg Week Busega-Bulenga'!L54+'Avg Week Bulenga-Busega'!L54</f>
        <v>4.4285714285714288</v>
      </c>
      <c r="M54" s="49">
        <f>'Avg Week Busega-Bulenga'!M54+'Avg Week Bulenga-Busega'!M54</f>
        <v>435.57142857142856</v>
      </c>
      <c r="N54" s="49">
        <f>'Avg Week Busega-Bulenga'!N54+'Avg Week Bulenga-Busega'!N54</f>
        <v>0</v>
      </c>
      <c r="O54" s="15">
        <f t="shared" si="0"/>
        <v>350.28571428571428</v>
      </c>
      <c r="P54" s="15">
        <f t="shared" si="1"/>
        <v>785.85714285714289</v>
      </c>
      <c r="R54" s="8"/>
      <c r="T54"/>
    </row>
    <row r="55" spans="2:20" ht="23.1" customHeight="1" x14ac:dyDescent="0.25">
      <c r="B55" s="23" t="s">
        <v>82</v>
      </c>
      <c r="C55" s="49">
        <f>'Avg Week Busega-Bulenga'!C55+'Avg Week Bulenga-Busega'!C55</f>
        <v>166.85714285714286</v>
      </c>
      <c r="D55" s="49">
        <f>'Avg Week Busega-Bulenga'!D55+'Avg Week Bulenga-Busega'!D55</f>
        <v>17</v>
      </c>
      <c r="E55" s="49">
        <f>'Avg Week Busega-Bulenga'!E55+'Avg Week Bulenga-Busega'!E55</f>
        <v>8.4285714285714288</v>
      </c>
      <c r="F55" s="49">
        <f>'Avg Week Busega-Bulenga'!F55+'Avg Week Bulenga-Busega'!F55</f>
        <v>97.428571428571416</v>
      </c>
      <c r="G55" s="49">
        <f>'Avg Week Busega-Bulenga'!G55+'Avg Week Bulenga-Busega'!G55</f>
        <v>2.4285714285714284</v>
      </c>
      <c r="H55" s="49">
        <f>'Avg Week Busega-Bulenga'!H55+'Avg Week Bulenga-Busega'!H55</f>
        <v>1.1428571428571428</v>
      </c>
      <c r="I55" s="49">
        <f>'Avg Week Busega-Bulenga'!I55+'Avg Week Bulenga-Busega'!I55</f>
        <v>14.857142857142858</v>
      </c>
      <c r="J55" s="49">
        <f>'Avg Week Busega-Bulenga'!J55+'Avg Week Bulenga-Busega'!J55</f>
        <v>13.857142857142858</v>
      </c>
      <c r="K55" s="49">
        <f>'Avg Week Busega-Bulenga'!K55+'Avg Week Bulenga-Busega'!K55</f>
        <v>3.2857142857142856</v>
      </c>
      <c r="L55" s="49">
        <f>'Avg Week Busega-Bulenga'!L55+'Avg Week Bulenga-Busega'!L55</f>
        <v>4.5714285714285712</v>
      </c>
      <c r="M55" s="49">
        <f>'Avg Week Busega-Bulenga'!M55+'Avg Week Bulenga-Busega'!M55</f>
        <v>391.71428571428572</v>
      </c>
      <c r="N55" s="49">
        <f>'Avg Week Busega-Bulenga'!N55+'Avg Week Bulenga-Busega'!N55</f>
        <v>0</v>
      </c>
      <c r="O55" s="15">
        <f t="shared" si="0"/>
        <v>329.85714285714278</v>
      </c>
      <c r="P55" s="15">
        <f t="shared" si="1"/>
        <v>721.57142857142844</v>
      </c>
      <c r="R55" s="8"/>
      <c r="T55"/>
    </row>
    <row r="56" spans="2:20" ht="23.1" customHeight="1" x14ac:dyDescent="0.25">
      <c r="B56" s="23" t="s">
        <v>83</v>
      </c>
      <c r="C56" s="49">
        <f>'Avg Week Busega-Bulenga'!C56+'Avg Week Bulenga-Busega'!C56</f>
        <v>179.42857142857144</v>
      </c>
      <c r="D56" s="49">
        <f>'Avg Week Busega-Bulenga'!D56+'Avg Week Bulenga-Busega'!D56</f>
        <v>17</v>
      </c>
      <c r="E56" s="49">
        <f>'Avg Week Busega-Bulenga'!E56+'Avg Week Bulenga-Busega'!E56</f>
        <v>12</v>
      </c>
      <c r="F56" s="49">
        <f>'Avg Week Busega-Bulenga'!F56+'Avg Week Bulenga-Busega'!F56</f>
        <v>100.71428571428572</v>
      </c>
      <c r="G56" s="49">
        <f>'Avg Week Busega-Bulenga'!G56+'Avg Week Bulenga-Busega'!G56</f>
        <v>2.7142857142857144</v>
      </c>
      <c r="H56" s="49">
        <f>'Avg Week Busega-Bulenga'!H56+'Avg Week Bulenga-Busega'!H56</f>
        <v>2.8571428571428572</v>
      </c>
      <c r="I56" s="49">
        <f>'Avg Week Busega-Bulenga'!I56+'Avg Week Bulenga-Busega'!I56</f>
        <v>17.428571428571431</v>
      </c>
      <c r="J56" s="49">
        <f>'Avg Week Busega-Bulenga'!J56+'Avg Week Bulenga-Busega'!J56</f>
        <v>12</v>
      </c>
      <c r="K56" s="49">
        <f>'Avg Week Busega-Bulenga'!K56+'Avg Week Bulenga-Busega'!K56</f>
        <v>2</v>
      </c>
      <c r="L56" s="49">
        <f>'Avg Week Busega-Bulenga'!L56+'Avg Week Bulenga-Busega'!L56</f>
        <v>4</v>
      </c>
      <c r="M56" s="49">
        <f>'Avg Week Busega-Bulenga'!M56+'Avg Week Bulenga-Busega'!M56</f>
        <v>411.14285714285717</v>
      </c>
      <c r="N56" s="49">
        <f>'Avg Week Busega-Bulenga'!N56+'Avg Week Bulenga-Busega'!N56</f>
        <v>0</v>
      </c>
      <c r="O56" s="15">
        <f t="shared" si="0"/>
        <v>350.14285714285717</v>
      </c>
      <c r="P56" s="15">
        <f t="shared" si="1"/>
        <v>761.28571428571433</v>
      </c>
      <c r="R56" s="8"/>
      <c r="T56"/>
    </row>
    <row r="57" spans="2:20" ht="23.1" customHeight="1" x14ac:dyDescent="0.25">
      <c r="B57" s="23" t="s">
        <v>84</v>
      </c>
      <c r="C57" s="49">
        <f>'Avg Week Busega-Bulenga'!C57+'Avg Week Bulenga-Busega'!C57</f>
        <v>200.14285714285717</v>
      </c>
      <c r="D57" s="49">
        <f>'Avg Week Busega-Bulenga'!D57+'Avg Week Bulenga-Busega'!D57</f>
        <v>17.428571428571427</v>
      </c>
      <c r="E57" s="49">
        <f>'Avg Week Busega-Bulenga'!E57+'Avg Week Bulenga-Busega'!E57</f>
        <v>14.285714285714285</v>
      </c>
      <c r="F57" s="49">
        <f>'Avg Week Busega-Bulenga'!F57+'Avg Week Bulenga-Busega'!F57</f>
        <v>112.42857142857143</v>
      </c>
      <c r="G57" s="49">
        <f>'Avg Week Busega-Bulenga'!G57+'Avg Week Bulenga-Busega'!G57</f>
        <v>5.2857142857142856</v>
      </c>
      <c r="H57" s="49">
        <f>'Avg Week Busega-Bulenga'!H57+'Avg Week Bulenga-Busega'!H57</f>
        <v>4</v>
      </c>
      <c r="I57" s="49">
        <f>'Avg Week Busega-Bulenga'!I57+'Avg Week Bulenga-Busega'!I57</f>
        <v>22.142857142857142</v>
      </c>
      <c r="J57" s="49">
        <f>'Avg Week Busega-Bulenga'!J57+'Avg Week Bulenga-Busega'!J57</f>
        <v>17</v>
      </c>
      <c r="K57" s="49">
        <f>'Avg Week Busega-Bulenga'!K57+'Avg Week Bulenga-Busega'!K57</f>
        <v>4.5714285714285712</v>
      </c>
      <c r="L57" s="49">
        <f>'Avg Week Busega-Bulenga'!L57+'Avg Week Bulenga-Busega'!L57</f>
        <v>5</v>
      </c>
      <c r="M57" s="49">
        <f>'Avg Week Busega-Bulenga'!M57+'Avg Week Bulenga-Busega'!M57</f>
        <v>460.57142857142856</v>
      </c>
      <c r="N57" s="49">
        <f>'Avg Week Busega-Bulenga'!N57+'Avg Week Bulenga-Busega'!N57</f>
        <v>0</v>
      </c>
      <c r="O57" s="15">
        <f t="shared" si="0"/>
        <v>402.28571428571428</v>
      </c>
      <c r="P57" s="15">
        <f t="shared" si="1"/>
        <v>862.85714285714289</v>
      </c>
      <c r="R57" s="8"/>
      <c r="T57"/>
    </row>
    <row r="58" spans="2:20" ht="23.1" customHeight="1" x14ac:dyDescent="0.25">
      <c r="B58" s="23" t="s">
        <v>99</v>
      </c>
      <c r="C58" s="49">
        <f>'Avg Week Busega-Bulenga'!C58+'Avg Week Bulenga-Busega'!C58</f>
        <v>114.33333333333333</v>
      </c>
      <c r="D58" s="49">
        <f>'Avg Week Busega-Bulenga'!D58+'Avg Week Bulenga-Busega'!D58</f>
        <v>28</v>
      </c>
      <c r="E58" s="49">
        <f>'Avg Week Busega-Bulenga'!E58+'Avg Week Bulenga-Busega'!E58</f>
        <v>17.666666666666668</v>
      </c>
      <c r="F58" s="49">
        <f>'Avg Week Busega-Bulenga'!F58+'Avg Week Bulenga-Busega'!F58</f>
        <v>73.333333333333329</v>
      </c>
      <c r="G58" s="49">
        <f>'Avg Week Busega-Bulenga'!G58+'Avg Week Bulenga-Busega'!G58</f>
        <v>4</v>
      </c>
      <c r="H58" s="49">
        <f>'Avg Week Busega-Bulenga'!H58+'Avg Week Bulenga-Busega'!H58</f>
        <v>8.3333333333333339</v>
      </c>
      <c r="I58" s="49">
        <f>'Avg Week Busega-Bulenga'!I58+'Avg Week Bulenga-Busega'!I58</f>
        <v>36.333333333333336</v>
      </c>
      <c r="J58" s="49">
        <f>'Avg Week Busega-Bulenga'!J58+'Avg Week Bulenga-Busega'!J58</f>
        <v>22.333333333333336</v>
      </c>
      <c r="K58" s="49">
        <f>'Avg Week Busega-Bulenga'!K58+'Avg Week Bulenga-Busega'!K58</f>
        <v>3.6666666666666665</v>
      </c>
      <c r="L58" s="49">
        <f>'Avg Week Busega-Bulenga'!L58+'Avg Week Bulenga-Busega'!L58</f>
        <v>3</v>
      </c>
      <c r="M58" s="49">
        <f>'Avg Week Busega-Bulenga'!M58+'Avg Week Bulenga-Busega'!M58</f>
        <v>207.33333333333331</v>
      </c>
      <c r="N58" s="49">
        <f>'Avg Week Busega-Bulenga'!N58+'Avg Week Bulenga-Busega'!N58</f>
        <v>0.33333333333333331</v>
      </c>
      <c r="O58" s="15">
        <f t="shared" si="0"/>
        <v>311.33333333333331</v>
      </c>
      <c r="P58" s="15">
        <f t="shared" si="1"/>
        <v>518.66666666666663</v>
      </c>
      <c r="R58" s="8"/>
      <c r="T58"/>
    </row>
    <row r="59" spans="2:20" ht="23.1" customHeight="1" x14ac:dyDescent="0.25">
      <c r="B59" s="23" t="s">
        <v>100</v>
      </c>
      <c r="C59" s="49">
        <f>'Avg Week Busega-Bulenga'!C59+'Avg Week Bulenga-Busega'!C59</f>
        <v>112.66666666666666</v>
      </c>
      <c r="D59" s="49">
        <f>'Avg Week Busega-Bulenga'!D59+'Avg Week Bulenga-Busega'!D59</f>
        <v>33</v>
      </c>
      <c r="E59" s="49">
        <f>'Avg Week Busega-Bulenga'!E59+'Avg Week Bulenga-Busega'!E59</f>
        <v>14.666666666666666</v>
      </c>
      <c r="F59" s="49">
        <f>'Avg Week Busega-Bulenga'!F59+'Avg Week Bulenga-Busega'!F59</f>
        <v>66.666666666666657</v>
      </c>
      <c r="G59" s="49">
        <f>'Avg Week Busega-Bulenga'!G59+'Avg Week Bulenga-Busega'!G59</f>
        <v>6.3333333333333339</v>
      </c>
      <c r="H59" s="49">
        <f>'Avg Week Busega-Bulenga'!H59+'Avg Week Bulenga-Busega'!H59</f>
        <v>2.666666666666667</v>
      </c>
      <c r="I59" s="49">
        <f>'Avg Week Busega-Bulenga'!I59+'Avg Week Bulenga-Busega'!I59</f>
        <v>52</v>
      </c>
      <c r="J59" s="49">
        <f>'Avg Week Busega-Bulenga'!J59+'Avg Week Bulenga-Busega'!J59</f>
        <v>16.333333333333332</v>
      </c>
      <c r="K59" s="49">
        <f>'Avg Week Busega-Bulenga'!K59+'Avg Week Bulenga-Busega'!K59</f>
        <v>6.3333333333333339</v>
      </c>
      <c r="L59" s="49">
        <f>'Avg Week Busega-Bulenga'!L59+'Avg Week Bulenga-Busega'!L59</f>
        <v>2</v>
      </c>
      <c r="M59" s="49">
        <f>'Avg Week Busega-Bulenga'!M59+'Avg Week Bulenga-Busega'!M59</f>
        <v>220.33333333333331</v>
      </c>
      <c r="N59" s="49">
        <f>'Avg Week Busega-Bulenga'!N59+'Avg Week Bulenga-Busega'!N59</f>
        <v>0</v>
      </c>
      <c r="O59" s="15">
        <f t="shared" si="0"/>
        <v>312.66666666666663</v>
      </c>
      <c r="P59" s="15">
        <f t="shared" si="1"/>
        <v>533</v>
      </c>
      <c r="R59" s="8"/>
      <c r="T59"/>
    </row>
    <row r="60" spans="2:20" ht="23.1" customHeight="1" x14ac:dyDescent="0.25">
      <c r="B60" s="23" t="s">
        <v>101</v>
      </c>
      <c r="C60" s="49">
        <f>'Avg Week Busega-Bulenga'!C60+'Avg Week Bulenga-Busega'!C60</f>
        <v>139.33333333333331</v>
      </c>
      <c r="D60" s="49">
        <f>'Avg Week Busega-Bulenga'!D60+'Avg Week Bulenga-Busega'!D60</f>
        <v>30.666666666666664</v>
      </c>
      <c r="E60" s="49">
        <f>'Avg Week Busega-Bulenga'!E60+'Avg Week Bulenga-Busega'!E60</f>
        <v>17</v>
      </c>
      <c r="F60" s="49">
        <f>'Avg Week Busega-Bulenga'!F60+'Avg Week Bulenga-Busega'!F60</f>
        <v>74</v>
      </c>
      <c r="G60" s="49">
        <f>'Avg Week Busega-Bulenga'!G60+'Avg Week Bulenga-Busega'!G60</f>
        <v>6.333333333333333</v>
      </c>
      <c r="H60" s="49">
        <f>'Avg Week Busega-Bulenga'!H60+'Avg Week Bulenga-Busega'!H60</f>
        <v>3.6666666666666665</v>
      </c>
      <c r="I60" s="49">
        <f>'Avg Week Busega-Bulenga'!I60+'Avg Week Bulenga-Busega'!I60</f>
        <v>37</v>
      </c>
      <c r="J60" s="49">
        <f>'Avg Week Busega-Bulenga'!J60+'Avg Week Bulenga-Busega'!J60</f>
        <v>25.333333333333336</v>
      </c>
      <c r="K60" s="49">
        <f>'Avg Week Busega-Bulenga'!K60+'Avg Week Bulenga-Busega'!K60</f>
        <v>5</v>
      </c>
      <c r="L60" s="49">
        <f>'Avg Week Busega-Bulenga'!L60+'Avg Week Bulenga-Busega'!L60</f>
        <v>2.666666666666667</v>
      </c>
      <c r="M60" s="49">
        <f>'Avg Week Busega-Bulenga'!M60+'Avg Week Bulenga-Busega'!M60</f>
        <v>198</v>
      </c>
      <c r="N60" s="49">
        <f>'Avg Week Busega-Bulenga'!N60+'Avg Week Bulenga-Busega'!N60</f>
        <v>0</v>
      </c>
      <c r="O60" s="15">
        <f t="shared" si="0"/>
        <v>341</v>
      </c>
      <c r="P60" s="15">
        <f t="shared" si="1"/>
        <v>539</v>
      </c>
      <c r="R60" s="8"/>
      <c r="T60"/>
    </row>
    <row r="61" spans="2:20" ht="23.1" customHeight="1" x14ac:dyDescent="0.25">
      <c r="B61" s="23" t="s">
        <v>102</v>
      </c>
      <c r="C61" s="49">
        <f>'Avg Week Busega-Bulenga'!C61+'Avg Week Bulenga-Busega'!C61</f>
        <v>129</v>
      </c>
      <c r="D61" s="49">
        <f>'Avg Week Busega-Bulenga'!D61+'Avg Week Bulenga-Busega'!D61</f>
        <v>28</v>
      </c>
      <c r="E61" s="49">
        <f>'Avg Week Busega-Bulenga'!E61+'Avg Week Bulenga-Busega'!E61</f>
        <v>17</v>
      </c>
      <c r="F61" s="49">
        <f>'Avg Week Busega-Bulenga'!F61+'Avg Week Bulenga-Busega'!F61</f>
        <v>85</v>
      </c>
      <c r="G61" s="49">
        <f>'Avg Week Busega-Bulenga'!G61+'Avg Week Bulenga-Busega'!G61</f>
        <v>1.6666666666666665</v>
      </c>
      <c r="H61" s="49">
        <f>'Avg Week Busega-Bulenga'!H61+'Avg Week Bulenga-Busega'!H61</f>
        <v>1.3333333333333333</v>
      </c>
      <c r="I61" s="49">
        <f>'Avg Week Busega-Bulenga'!I61+'Avg Week Bulenga-Busega'!I61</f>
        <v>37.666666666666671</v>
      </c>
      <c r="J61" s="49">
        <f>'Avg Week Busega-Bulenga'!J61+'Avg Week Bulenga-Busega'!J61</f>
        <v>16.666666666666668</v>
      </c>
      <c r="K61" s="49">
        <f>'Avg Week Busega-Bulenga'!K61+'Avg Week Bulenga-Busega'!K61</f>
        <v>7</v>
      </c>
      <c r="L61" s="49">
        <f>'Avg Week Busega-Bulenga'!L61+'Avg Week Bulenga-Busega'!L61</f>
        <v>2.666666666666667</v>
      </c>
      <c r="M61" s="49">
        <f>'Avg Week Busega-Bulenga'!M61+'Avg Week Bulenga-Busega'!M61</f>
        <v>248</v>
      </c>
      <c r="N61" s="49">
        <f>'Avg Week Busega-Bulenga'!N61+'Avg Week Bulenga-Busega'!N61</f>
        <v>0</v>
      </c>
      <c r="O61" s="15">
        <f t="shared" si="0"/>
        <v>326.00000000000006</v>
      </c>
      <c r="P61" s="15">
        <f t="shared" si="1"/>
        <v>574</v>
      </c>
      <c r="R61" s="8"/>
      <c r="T61"/>
    </row>
    <row r="62" spans="2:20" ht="23.1" customHeight="1" x14ac:dyDescent="0.25">
      <c r="B62" s="23" t="s">
        <v>107</v>
      </c>
      <c r="C62" s="49">
        <f>'Avg Week Busega-Bulenga'!C62+'Avg Week Bulenga-Busega'!C62</f>
        <v>150.33333333333331</v>
      </c>
      <c r="D62" s="49">
        <f>'Avg Week Busega-Bulenga'!D62+'Avg Week Bulenga-Busega'!D62</f>
        <v>30</v>
      </c>
      <c r="E62" s="49">
        <f>'Avg Week Busega-Bulenga'!E62+'Avg Week Bulenga-Busega'!E62</f>
        <v>16</v>
      </c>
      <c r="F62" s="49">
        <f>'Avg Week Busega-Bulenga'!F62+'Avg Week Bulenga-Busega'!F62</f>
        <v>88.666666666666657</v>
      </c>
      <c r="G62" s="49">
        <f>'Avg Week Busega-Bulenga'!G62+'Avg Week Bulenga-Busega'!G62</f>
        <v>7</v>
      </c>
      <c r="H62" s="49">
        <f>'Avg Week Busega-Bulenga'!H62+'Avg Week Bulenga-Busega'!H62</f>
        <v>1</v>
      </c>
      <c r="I62" s="49">
        <f>'Avg Week Busega-Bulenga'!I62+'Avg Week Bulenga-Busega'!I62</f>
        <v>35.333333333333329</v>
      </c>
      <c r="J62" s="49">
        <f>'Avg Week Busega-Bulenga'!J62+'Avg Week Bulenga-Busega'!J62</f>
        <v>15.666666666666668</v>
      </c>
      <c r="K62" s="49">
        <f>'Avg Week Busega-Bulenga'!K62+'Avg Week Bulenga-Busega'!K62</f>
        <v>9</v>
      </c>
      <c r="L62" s="49">
        <f>'Avg Week Busega-Bulenga'!L62+'Avg Week Bulenga-Busega'!L62</f>
        <v>6.3333333333333339</v>
      </c>
      <c r="M62" s="49">
        <f>'Avg Week Busega-Bulenga'!M62+'Avg Week Bulenga-Busega'!M62</f>
        <v>260</v>
      </c>
      <c r="N62" s="49">
        <f>'Avg Week Busega-Bulenga'!N62+'Avg Week Bulenga-Busega'!N62</f>
        <v>0</v>
      </c>
      <c r="O62" s="15">
        <f t="shared" si="0"/>
        <v>359.33333333333331</v>
      </c>
      <c r="P62" s="15">
        <f t="shared" si="1"/>
        <v>619.33333333333326</v>
      </c>
      <c r="R62" s="8"/>
      <c r="T62"/>
    </row>
    <row r="63" spans="2:20" ht="23.1" customHeight="1" x14ac:dyDescent="0.25">
      <c r="B63" s="23" t="s">
        <v>108</v>
      </c>
      <c r="C63" s="49">
        <f>'Avg Week Busega-Bulenga'!C63+'Avg Week Bulenga-Busega'!C63</f>
        <v>101.66666666666666</v>
      </c>
      <c r="D63" s="49">
        <f>'Avg Week Busega-Bulenga'!D63+'Avg Week Bulenga-Busega'!D63</f>
        <v>18.333333333333332</v>
      </c>
      <c r="E63" s="49">
        <f>'Avg Week Busega-Bulenga'!E63+'Avg Week Bulenga-Busega'!E63</f>
        <v>16.666666666666668</v>
      </c>
      <c r="F63" s="49">
        <f>'Avg Week Busega-Bulenga'!F63+'Avg Week Bulenga-Busega'!F63</f>
        <v>51.333333333333336</v>
      </c>
      <c r="G63" s="49">
        <f>'Avg Week Busega-Bulenga'!G63+'Avg Week Bulenga-Busega'!G63</f>
        <v>4.6666666666666661</v>
      </c>
      <c r="H63" s="49">
        <f>'Avg Week Busega-Bulenga'!H63+'Avg Week Bulenga-Busega'!H63</f>
        <v>0.33333333333333331</v>
      </c>
      <c r="I63" s="49">
        <f>'Avg Week Busega-Bulenga'!I63+'Avg Week Bulenga-Busega'!I63</f>
        <v>21.333333333333336</v>
      </c>
      <c r="J63" s="49">
        <f>'Avg Week Busega-Bulenga'!J63+'Avg Week Bulenga-Busega'!J63</f>
        <v>4</v>
      </c>
      <c r="K63" s="49">
        <f>'Avg Week Busega-Bulenga'!K63+'Avg Week Bulenga-Busega'!K63</f>
        <v>4</v>
      </c>
      <c r="L63" s="49">
        <f>'Avg Week Busega-Bulenga'!L63+'Avg Week Bulenga-Busega'!L63</f>
        <v>1.6666666666666665</v>
      </c>
      <c r="M63" s="49">
        <f>'Avg Week Busega-Bulenga'!M63+'Avg Week Bulenga-Busega'!M63</f>
        <v>165.66666666666669</v>
      </c>
      <c r="N63" s="49">
        <f>'Avg Week Busega-Bulenga'!N63+'Avg Week Bulenga-Busega'!N63</f>
        <v>0</v>
      </c>
      <c r="O63" s="15">
        <f t="shared" si="0"/>
        <v>224</v>
      </c>
      <c r="P63" s="15">
        <f t="shared" si="1"/>
        <v>389.66666666666669</v>
      </c>
      <c r="R63" s="8"/>
      <c r="T63"/>
    </row>
    <row r="64" spans="2:20" ht="23.1" customHeight="1" x14ac:dyDescent="0.25">
      <c r="B64" s="23" t="s">
        <v>109</v>
      </c>
      <c r="C64" s="49">
        <f>'Avg Week Busega-Bulenga'!C64+'Avg Week Bulenga-Busega'!C64</f>
        <v>120.33333333333333</v>
      </c>
      <c r="D64" s="49">
        <f>'Avg Week Busega-Bulenga'!D64+'Avg Week Bulenga-Busega'!D64</f>
        <v>21.333333333333332</v>
      </c>
      <c r="E64" s="49">
        <f>'Avg Week Busega-Bulenga'!E64+'Avg Week Bulenga-Busega'!E64</f>
        <v>11.333333333333334</v>
      </c>
      <c r="F64" s="49">
        <f>'Avg Week Busega-Bulenga'!F64+'Avg Week Bulenga-Busega'!F64</f>
        <v>58.333333333333329</v>
      </c>
      <c r="G64" s="49">
        <f>'Avg Week Busega-Bulenga'!G64+'Avg Week Bulenga-Busega'!G64</f>
        <v>3.6666666666666665</v>
      </c>
      <c r="H64" s="49">
        <f>'Avg Week Busega-Bulenga'!H64+'Avg Week Bulenga-Busega'!H64</f>
        <v>0.33333333333333331</v>
      </c>
      <c r="I64" s="49">
        <f>'Avg Week Busega-Bulenga'!I64+'Avg Week Bulenga-Busega'!I64</f>
        <v>19.666666666666668</v>
      </c>
      <c r="J64" s="49">
        <f>'Avg Week Busega-Bulenga'!J64+'Avg Week Bulenga-Busega'!J64</f>
        <v>8.6666666666666661</v>
      </c>
      <c r="K64" s="49">
        <f>'Avg Week Busega-Bulenga'!K64+'Avg Week Bulenga-Busega'!K64</f>
        <v>7.333333333333333</v>
      </c>
      <c r="L64" s="49">
        <f>'Avg Week Busega-Bulenga'!L64+'Avg Week Bulenga-Busega'!L64</f>
        <v>3.3333333333333335</v>
      </c>
      <c r="M64" s="49">
        <f>'Avg Week Busega-Bulenga'!M64+'Avg Week Bulenga-Busega'!M64</f>
        <v>206.33333333333334</v>
      </c>
      <c r="N64" s="49">
        <f>'Avg Week Busega-Bulenga'!N64+'Avg Week Bulenga-Busega'!N64</f>
        <v>0</v>
      </c>
      <c r="O64" s="15">
        <f t="shared" si="0"/>
        <v>254.33333333333331</v>
      </c>
      <c r="P64" s="15">
        <f t="shared" si="1"/>
        <v>460.66666666666663</v>
      </c>
      <c r="R64" s="8"/>
      <c r="T64"/>
    </row>
    <row r="65" spans="2:20" ht="23.1" customHeight="1" x14ac:dyDescent="0.25">
      <c r="B65" s="23" t="s">
        <v>158</v>
      </c>
      <c r="C65" s="49">
        <f>'Avg Week Busega-Bulenga'!C65+'Avg Week Bulenga-Busega'!C65</f>
        <v>138</v>
      </c>
      <c r="D65" s="49">
        <f>'Avg Week Busega-Bulenga'!D65+'Avg Week Bulenga-Busega'!D65</f>
        <v>66.666666666666671</v>
      </c>
      <c r="E65" s="49">
        <f>'Avg Week Busega-Bulenga'!E65+'Avg Week Bulenga-Busega'!E65</f>
        <v>22</v>
      </c>
      <c r="F65" s="49">
        <f>'Avg Week Busega-Bulenga'!F65+'Avg Week Bulenga-Busega'!F65</f>
        <v>80</v>
      </c>
      <c r="G65" s="49">
        <f>'Avg Week Busega-Bulenga'!G65+'Avg Week Bulenga-Busega'!G65</f>
        <v>2</v>
      </c>
      <c r="H65" s="49">
        <f>'Avg Week Busega-Bulenga'!H65+'Avg Week Bulenga-Busega'!H65</f>
        <v>1.6666666666666665</v>
      </c>
      <c r="I65" s="49">
        <f>'Avg Week Busega-Bulenga'!I65+'Avg Week Bulenga-Busega'!I65</f>
        <v>24</v>
      </c>
      <c r="J65" s="49">
        <f>'Avg Week Busega-Bulenga'!J65+'Avg Week Bulenga-Busega'!J65</f>
        <v>9.6666666666666679</v>
      </c>
      <c r="K65" s="49">
        <f>'Avg Week Busega-Bulenga'!K65+'Avg Week Bulenga-Busega'!K65</f>
        <v>2.333333333333333</v>
      </c>
      <c r="L65" s="49">
        <f>'Avg Week Busega-Bulenga'!L65+'Avg Week Bulenga-Busega'!L65</f>
        <v>3.666666666666667</v>
      </c>
      <c r="M65" s="49">
        <f>'Avg Week Busega-Bulenga'!M65+'Avg Week Bulenga-Busega'!M65</f>
        <v>251</v>
      </c>
      <c r="N65" s="49">
        <f>'Avg Week Busega-Bulenga'!N65+'Avg Week Bulenga-Busega'!N65</f>
        <v>0</v>
      </c>
      <c r="O65" s="15">
        <f t="shared" si="0"/>
        <v>350.00000000000006</v>
      </c>
      <c r="P65" s="15">
        <f t="shared" si="1"/>
        <v>601</v>
      </c>
      <c r="R65" s="8"/>
      <c r="T65"/>
    </row>
    <row r="66" spans="2:20" ht="23.1" customHeight="1" x14ac:dyDescent="0.25">
      <c r="B66" s="23" t="s">
        <v>103</v>
      </c>
      <c r="C66" s="49">
        <f>'Avg Week Busega-Bulenga'!C66+'Avg Week Bulenga-Busega'!C66</f>
        <v>134</v>
      </c>
      <c r="D66" s="49">
        <f>'Avg Week Busega-Bulenga'!D66+'Avg Week Bulenga-Busega'!D66</f>
        <v>29.666666666666664</v>
      </c>
      <c r="E66" s="49">
        <f>'Avg Week Busega-Bulenga'!E66+'Avg Week Bulenga-Busega'!E66</f>
        <v>18.666666666666668</v>
      </c>
      <c r="F66" s="49">
        <f>'Avg Week Busega-Bulenga'!F66+'Avg Week Bulenga-Busega'!F66</f>
        <v>71</v>
      </c>
      <c r="G66" s="49">
        <f>'Avg Week Busega-Bulenga'!G66+'Avg Week Bulenga-Busega'!G66</f>
        <v>2</v>
      </c>
      <c r="H66" s="49">
        <f>'Avg Week Busega-Bulenga'!H66+'Avg Week Bulenga-Busega'!H66</f>
        <v>2.666666666666667</v>
      </c>
      <c r="I66" s="49">
        <f>'Avg Week Busega-Bulenga'!I66+'Avg Week Bulenga-Busega'!I66</f>
        <v>23.666666666666668</v>
      </c>
      <c r="J66" s="49">
        <f>'Avg Week Busega-Bulenga'!J66+'Avg Week Bulenga-Busega'!J66</f>
        <v>5.6666666666666661</v>
      </c>
      <c r="K66" s="49">
        <f>'Avg Week Busega-Bulenga'!K66+'Avg Week Bulenga-Busega'!K66</f>
        <v>15.333333333333334</v>
      </c>
      <c r="L66" s="49">
        <f>'Avg Week Busega-Bulenga'!L66+'Avg Week Bulenga-Busega'!L66</f>
        <v>5.6666666666666661</v>
      </c>
      <c r="M66" s="49">
        <f>'Avg Week Busega-Bulenga'!M66+'Avg Week Bulenga-Busega'!M66</f>
        <v>186.66666666666666</v>
      </c>
      <c r="N66" s="49">
        <f>'Avg Week Busega-Bulenga'!N66+'Avg Week Bulenga-Busega'!N66</f>
        <v>0</v>
      </c>
      <c r="O66" s="15">
        <f t="shared" si="0"/>
        <v>308.33333333333337</v>
      </c>
      <c r="P66" s="15">
        <f t="shared" si="1"/>
        <v>495</v>
      </c>
      <c r="R66" s="8"/>
      <c r="T66"/>
    </row>
    <row r="67" spans="2:20" ht="23.1" customHeight="1" x14ac:dyDescent="0.25">
      <c r="B67" s="23" t="s">
        <v>104</v>
      </c>
      <c r="C67" s="49">
        <f>'Avg Week Busega-Bulenga'!C67+'Avg Week Bulenga-Busega'!C67</f>
        <v>143.66666666666666</v>
      </c>
      <c r="D67" s="49">
        <f>'Avg Week Busega-Bulenga'!D67+'Avg Week Bulenga-Busega'!D67</f>
        <v>33</v>
      </c>
      <c r="E67" s="49">
        <f>'Avg Week Busega-Bulenga'!E67+'Avg Week Bulenga-Busega'!E67</f>
        <v>22.333333333333336</v>
      </c>
      <c r="F67" s="49">
        <f>'Avg Week Busega-Bulenga'!F67+'Avg Week Bulenga-Busega'!F67</f>
        <v>85</v>
      </c>
      <c r="G67" s="49">
        <f>'Avg Week Busega-Bulenga'!G67+'Avg Week Bulenga-Busega'!G67</f>
        <v>3</v>
      </c>
      <c r="H67" s="49">
        <f>'Avg Week Busega-Bulenga'!H67+'Avg Week Bulenga-Busega'!H67</f>
        <v>3.333333333333333</v>
      </c>
      <c r="I67" s="49">
        <f>'Avg Week Busega-Bulenga'!I67+'Avg Week Bulenga-Busega'!I67</f>
        <v>26</v>
      </c>
      <c r="J67" s="49">
        <f>'Avg Week Busega-Bulenga'!J67+'Avg Week Bulenga-Busega'!J67</f>
        <v>10</v>
      </c>
      <c r="K67" s="49">
        <f>'Avg Week Busega-Bulenga'!K67+'Avg Week Bulenga-Busega'!K67</f>
        <v>3.6666666666666665</v>
      </c>
      <c r="L67" s="49">
        <f>'Avg Week Busega-Bulenga'!L67+'Avg Week Bulenga-Busega'!L67</f>
        <v>2.6666666666666665</v>
      </c>
      <c r="M67" s="49">
        <f>'Avg Week Busega-Bulenga'!M67+'Avg Week Bulenga-Busega'!M67</f>
        <v>211</v>
      </c>
      <c r="N67" s="49">
        <f>'Avg Week Busega-Bulenga'!N67+'Avg Week Bulenga-Busega'!N67</f>
        <v>0</v>
      </c>
      <c r="O67" s="15">
        <f t="shared" si="0"/>
        <v>332.66666666666669</v>
      </c>
      <c r="P67" s="15">
        <f t="shared" si="1"/>
        <v>543.66666666666674</v>
      </c>
      <c r="R67" s="8"/>
      <c r="T67"/>
    </row>
    <row r="68" spans="2:20" ht="23.1" customHeight="1" x14ac:dyDescent="0.25">
      <c r="B68" s="23" t="s">
        <v>105</v>
      </c>
      <c r="C68" s="49">
        <f>'Avg Week Busega-Bulenga'!C68+'Avg Week Bulenga-Busega'!C68</f>
        <v>126</v>
      </c>
      <c r="D68" s="49">
        <f>'Avg Week Busega-Bulenga'!D68+'Avg Week Bulenga-Busega'!D68</f>
        <v>21</v>
      </c>
      <c r="E68" s="49">
        <f>'Avg Week Busega-Bulenga'!E68+'Avg Week Bulenga-Busega'!E68</f>
        <v>18.666666666666664</v>
      </c>
      <c r="F68" s="49">
        <f>'Avg Week Busega-Bulenga'!F68+'Avg Week Bulenga-Busega'!F68</f>
        <v>78.666666666666671</v>
      </c>
      <c r="G68" s="49">
        <f>'Avg Week Busega-Bulenga'!G68+'Avg Week Bulenga-Busega'!G68</f>
        <v>0.33333333333333331</v>
      </c>
      <c r="H68" s="49">
        <f>'Avg Week Busega-Bulenga'!H68+'Avg Week Bulenga-Busega'!H68</f>
        <v>0.33333333333333331</v>
      </c>
      <c r="I68" s="49">
        <f>'Avg Week Busega-Bulenga'!I68+'Avg Week Bulenga-Busega'!I68</f>
        <v>19</v>
      </c>
      <c r="J68" s="49">
        <f>'Avg Week Busega-Bulenga'!J68+'Avg Week Bulenga-Busega'!J68</f>
        <v>9.3333333333333321</v>
      </c>
      <c r="K68" s="49">
        <f>'Avg Week Busega-Bulenga'!K68+'Avg Week Bulenga-Busega'!K68</f>
        <v>1.3333333333333333</v>
      </c>
      <c r="L68" s="49">
        <f>'Avg Week Busega-Bulenga'!L68+'Avg Week Bulenga-Busega'!L68</f>
        <v>3.333333333333333</v>
      </c>
      <c r="M68" s="49">
        <f>'Avg Week Busega-Bulenga'!M68+'Avg Week Bulenga-Busega'!M68</f>
        <v>162.33333333333334</v>
      </c>
      <c r="N68" s="49">
        <f>'Avg Week Busega-Bulenga'!N68+'Avg Week Bulenga-Busega'!N68</f>
        <v>0</v>
      </c>
      <c r="O68" s="15">
        <f t="shared" si="0"/>
        <v>277.99999999999994</v>
      </c>
      <c r="P68" s="15">
        <f t="shared" si="1"/>
        <v>440.33333333333326</v>
      </c>
      <c r="R68" s="8"/>
      <c r="T68"/>
    </row>
    <row r="69" spans="2:20" ht="23.1" customHeight="1" x14ac:dyDescent="0.25">
      <c r="B69" s="23" t="s">
        <v>106</v>
      </c>
      <c r="C69" s="49">
        <f>'Avg Week Busega-Bulenga'!C69+'Avg Week Bulenga-Busega'!C69</f>
        <v>121</v>
      </c>
      <c r="D69" s="49">
        <f>'Avg Week Busega-Bulenga'!D69+'Avg Week Bulenga-Busega'!D69</f>
        <v>19.333333333333336</v>
      </c>
      <c r="E69" s="49">
        <f>'Avg Week Busega-Bulenga'!E69+'Avg Week Bulenga-Busega'!E69</f>
        <v>12.333333333333334</v>
      </c>
      <c r="F69" s="49">
        <f>'Avg Week Busega-Bulenga'!F69+'Avg Week Bulenga-Busega'!F69</f>
        <v>53.333333333333336</v>
      </c>
      <c r="G69" s="49">
        <f>'Avg Week Busega-Bulenga'!G69+'Avg Week Bulenga-Busega'!G69</f>
        <v>1.3333333333333333</v>
      </c>
      <c r="H69" s="49">
        <f>'Avg Week Busega-Bulenga'!H69+'Avg Week Bulenga-Busega'!H69</f>
        <v>0.33333333333333331</v>
      </c>
      <c r="I69" s="49">
        <f>'Avg Week Busega-Bulenga'!I69+'Avg Week Bulenga-Busega'!I69</f>
        <v>24.333333333333336</v>
      </c>
      <c r="J69" s="49">
        <f>'Avg Week Busega-Bulenga'!J69+'Avg Week Bulenga-Busega'!J69</f>
        <v>6.3333333333333339</v>
      </c>
      <c r="K69" s="49">
        <f>'Avg Week Busega-Bulenga'!K69+'Avg Week Bulenga-Busega'!K69</f>
        <v>0.66666666666666663</v>
      </c>
      <c r="L69" s="49">
        <f>'Avg Week Busega-Bulenga'!L69+'Avg Week Bulenga-Busega'!L69</f>
        <v>1.6666666666666665</v>
      </c>
      <c r="M69" s="49">
        <f>'Avg Week Busega-Bulenga'!M69+'Avg Week Bulenga-Busega'!M69</f>
        <v>199.33333333333331</v>
      </c>
      <c r="N69" s="49">
        <f>'Avg Week Busega-Bulenga'!N69+'Avg Week Bulenga-Busega'!N69</f>
        <v>0</v>
      </c>
      <c r="O69" s="15">
        <f t="shared" si="0"/>
        <v>240.66666666666671</v>
      </c>
      <c r="P69" s="15">
        <f t="shared" si="1"/>
        <v>440</v>
      </c>
      <c r="R69" s="8"/>
      <c r="T69"/>
    </row>
    <row r="70" spans="2:20" ht="23.1" customHeight="1" x14ac:dyDescent="0.25">
      <c r="B70" s="23" t="s">
        <v>110</v>
      </c>
      <c r="C70" s="49">
        <f>'Avg Week Busega-Bulenga'!C70+'Avg Week Bulenga-Busega'!C70</f>
        <v>105</v>
      </c>
      <c r="D70" s="49">
        <f>'Avg Week Busega-Bulenga'!D70+'Avg Week Bulenga-Busega'!D70</f>
        <v>36.666666666666671</v>
      </c>
      <c r="E70" s="49">
        <f>'Avg Week Busega-Bulenga'!E70+'Avg Week Bulenga-Busega'!E70</f>
        <v>22</v>
      </c>
      <c r="F70" s="49">
        <f>'Avg Week Busega-Bulenga'!F70+'Avg Week Bulenga-Busega'!F70</f>
        <v>59.666666666666671</v>
      </c>
      <c r="G70" s="49">
        <f>'Avg Week Busega-Bulenga'!G70+'Avg Week Bulenga-Busega'!G70</f>
        <v>1.3333333333333333</v>
      </c>
      <c r="H70" s="49">
        <f>'Avg Week Busega-Bulenga'!H70+'Avg Week Bulenga-Busega'!H70</f>
        <v>3.6666666666666665</v>
      </c>
      <c r="I70" s="49">
        <f>'Avg Week Busega-Bulenga'!I70+'Avg Week Bulenga-Busega'!I70</f>
        <v>28.666666666666668</v>
      </c>
      <c r="J70" s="49">
        <f>'Avg Week Busega-Bulenga'!J70+'Avg Week Bulenga-Busega'!J70</f>
        <v>4.333333333333333</v>
      </c>
      <c r="K70" s="49">
        <f>'Avg Week Busega-Bulenga'!K70+'Avg Week Bulenga-Busega'!K70</f>
        <v>7</v>
      </c>
      <c r="L70" s="49">
        <f>'Avg Week Busega-Bulenga'!L70+'Avg Week Bulenga-Busega'!L70</f>
        <v>1.3333333333333333</v>
      </c>
      <c r="M70" s="49">
        <f>'Avg Week Busega-Bulenga'!M70+'Avg Week Bulenga-Busega'!M70</f>
        <v>152.33333333333334</v>
      </c>
      <c r="N70" s="49">
        <f>'Avg Week Busega-Bulenga'!N70+'Avg Week Bulenga-Busega'!N70</f>
        <v>0</v>
      </c>
      <c r="O70" s="15">
        <f t="shared" si="0"/>
        <v>269.66666666666669</v>
      </c>
      <c r="P70" s="15">
        <f t="shared" si="1"/>
        <v>422</v>
      </c>
      <c r="R70" s="8"/>
      <c r="T70"/>
    </row>
    <row r="71" spans="2:20" ht="23.1" customHeight="1" x14ac:dyDescent="0.25">
      <c r="B71" s="23" t="s">
        <v>111</v>
      </c>
      <c r="C71" s="49">
        <f>'Avg Week Busega-Bulenga'!C71+'Avg Week Bulenga-Busega'!C71</f>
        <v>102</v>
      </c>
      <c r="D71" s="49">
        <f>'Avg Week Busega-Bulenga'!D71+'Avg Week Bulenga-Busega'!D71</f>
        <v>21.333333333333332</v>
      </c>
      <c r="E71" s="49">
        <f>'Avg Week Busega-Bulenga'!E71+'Avg Week Bulenga-Busega'!E71</f>
        <v>20</v>
      </c>
      <c r="F71" s="49">
        <f>'Avg Week Busega-Bulenga'!F71+'Avg Week Bulenga-Busega'!F71</f>
        <v>61.666666666666671</v>
      </c>
      <c r="G71" s="49">
        <f>'Avg Week Busega-Bulenga'!G71+'Avg Week Bulenga-Busega'!G71</f>
        <v>3.6666666666666665</v>
      </c>
      <c r="H71" s="49">
        <f>'Avg Week Busega-Bulenga'!H71+'Avg Week Bulenga-Busega'!H71</f>
        <v>1.3333333333333333</v>
      </c>
      <c r="I71" s="49">
        <f>'Avg Week Busega-Bulenga'!I71+'Avg Week Bulenga-Busega'!I71</f>
        <v>21</v>
      </c>
      <c r="J71" s="49">
        <f>'Avg Week Busega-Bulenga'!J71+'Avg Week Bulenga-Busega'!J71</f>
        <v>11.333333333333332</v>
      </c>
      <c r="K71" s="49">
        <f>'Avg Week Busega-Bulenga'!K71+'Avg Week Bulenga-Busega'!K71</f>
        <v>1.6666666666666667</v>
      </c>
      <c r="L71" s="49">
        <f>'Avg Week Busega-Bulenga'!L71+'Avg Week Bulenga-Busega'!L71</f>
        <v>1.3333333333333333</v>
      </c>
      <c r="M71" s="49">
        <f>'Avg Week Busega-Bulenga'!M71+'Avg Week Bulenga-Busega'!M71</f>
        <v>170</v>
      </c>
      <c r="N71" s="49">
        <f>'Avg Week Busega-Bulenga'!N71+'Avg Week Bulenga-Busega'!N71</f>
        <v>0</v>
      </c>
      <c r="O71" s="15">
        <f t="shared" si="0"/>
        <v>245.33333333333334</v>
      </c>
      <c r="P71" s="15">
        <f t="shared" si="1"/>
        <v>415.33333333333337</v>
      </c>
      <c r="R71" s="8"/>
      <c r="T71"/>
    </row>
    <row r="72" spans="2:20" ht="23.1" customHeight="1" x14ac:dyDescent="0.25">
      <c r="B72" s="23" t="s">
        <v>112</v>
      </c>
      <c r="C72" s="49">
        <f>'Avg Week Busega-Bulenga'!C72+'Avg Week Bulenga-Busega'!C72</f>
        <v>111.66666666666667</v>
      </c>
      <c r="D72" s="49">
        <f>'Avg Week Busega-Bulenga'!D72+'Avg Week Bulenga-Busega'!D72</f>
        <v>19.666666666666668</v>
      </c>
      <c r="E72" s="49">
        <f>'Avg Week Busega-Bulenga'!E72+'Avg Week Bulenga-Busega'!E72</f>
        <v>9.3333333333333321</v>
      </c>
      <c r="F72" s="49">
        <f>'Avg Week Busega-Bulenga'!F72+'Avg Week Bulenga-Busega'!F72</f>
        <v>52.333333333333336</v>
      </c>
      <c r="G72" s="49">
        <f>'Avg Week Busega-Bulenga'!G72+'Avg Week Bulenga-Busega'!G72</f>
        <v>1.3333333333333333</v>
      </c>
      <c r="H72" s="49">
        <f>'Avg Week Busega-Bulenga'!H72+'Avg Week Bulenga-Busega'!H72</f>
        <v>0.33333333333333331</v>
      </c>
      <c r="I72" s="49">
        <f>'Avg Week Busega-Bulenga'!I72+'Avg Week Bulenga-Busega'!I72</f>
        <v>17.666666666666664</v>
      </c>
      <c r="J72" s="49">
        <f>'Avg Week Busega-Bulenga'!J72+'Avg Week Bulenga-Busega'!J72</f>
        <v>2</v>
      </c>
      <c r="K72" s="49">
        <f>'Avg Week Busega-Bulenga'!K72+'Avg Week Bulenga-Busega'!K72</f>
        <v>2.6666666666666665</v>
      </c>
      <c r="L72" s="49">
        <f>'Avg Week Busega-Bulenga'!L72+'Avg Week Bulenga-Busega'!L72</f>
        <v>0.66666666666666663</v>
      </c>
      <c r="M72" s="49">
        <f>'Avg Week Busega-Bulenga'!M72+'Avg Week Bulenga-Busega'!M72</f>
        <v>160</v>
      </c>
      <c r="N72" s="49">
        <f>'Avg Week Busega-Bulenga'!N72+'Avg Week Bulenga-Busega'!N72</f>
        <v>0</v>
      </c>
      <c r="O72" s="15">
        <f t="shared" si="0"/>
        <v>217.66666666666669</v>
      </c>
      <c r="P72" s="15">
        <f t="shared" si="1"/>
        <v>377.66666666666669</v>
      </c>
      <c r="R72" s="8"/>
      <c r="T72"/>
    </row>
    <row r="73" spans="2:20" ht="23.1" customHeight="1" x14ac:dyDescent="0.25">
      <c r="B73" s="23" t="s">
        <v>113</v>
      </c>
      <c r="C73" s="49">
        <f>'Avg Week Busega-Bulenga'!C73+'Avg Week Bulenga-Busega'!C73</f>
        <v>100.33333333333334</v>
      </c>
      <c r="D73" s="49">
        <f>'Avg Week Busega-Bulenga'!D73+'Avg Week Bulenga-Busega'!D73</f>
        <v>16.666666666666664</v>
      </c>
      <c r="E73" s="49">
        <f>'Avg Week Busega-Bulenga'!E73+'Avg Week Bulenga-Busega'!E73</f>
        <v>10.666666666666668</v>
      </c>
      <c r="F73" s="49">
        <f>'Avg Week Busega-Bulenga'!F73+'Avg Week Bulenga-Busega'!F73</f>
        <v>47.666666666666664</v>
      </c>
      <c r="G73" s="49">
        <f>'Avg Week Busega-Bulenga'!G73+'Avg Week Bulenga-Busega'!G73</f>
        <v>0</v>
      </c>
      <c r="H73" s="49">
        <f>'Avg Week Busega-Bulenga'!H73+'Avg Week Bulenga-Busega'!H73</f>
        <v>0</v>
      </c>
      <c r="I73" s="49">
        <f>'Avg Week Busega-Bulenga'!I73+'Avg Week Bulenga-Busega'!I73</f>
        <v>14.666666666666666</v>
      </c>
      <c r="J73" s="49">
        <f>'Avg Week Busega-Bulenga'!J73+'Avg Week Bulenga-Busega'!J73</f>
        <v>4</v>
      </c>
      <c r="K73" s="49">
        <f>'Avg Week Busega-Bulenga'!K73+'Avg Week Bulenga-Busega'!K73</f>
        <v>4.6666666666666661</v>
      </c>
      <c r="L73" s="49">
        <f>'Avg Week Busega-Bulenga'!L73+'Avg Week Bulenga-Busega'!L73</f>
        <v>1</v>
      </c>
      <c r="M73" s="49">
        <f>'Avg Week Busega-Bulenga'!M73+'Avg Week Bulenga-Busega'!M73</f>
        <v>111.66666666666667</v>
      </c>
      <c r="N73" s="49">
        <f>'Avg Week Busega-Bulenga'!N73+'Avg Week Bulenga-Busega'!N73</f>
        <v>0</v>
      </c>
      <c r="O73" s="15">
        <f t="shared" si="0"/>
        <v>199.66666666666666</v>
      </c>
      <c r="P73" s="15">
        <f t="shared" si="1"/>
        <v>311.33333333333331</v>
      </c>
      <c r="R73" s="8"/>
      <c r="T73"/>
    </row>
    <row r="74" spans="2:20" ht="23.1" customHeight="1" x14ac:dyDescent="0.25">
      <c r="B74" s="23" t="s">
        <v>114</v>
      </c>
      <c r="C74" s="49">
        <f>'Avg Week Busega-Bulenga'!C74+'Avg Week Bulenga-Busega'!C74</f>
        <v>93</v>
      </c>
      <c r="D74" s="49">
        <f>'Avg Week Busega-Bulenga'!D74+'Avg Week Bulenga-Busega'!D74</f>
        <v>12.333333333333334</v>
      </c>
      <c r="E74" s="49">
        <f>'Avg Week Busega-Bulenga'!E74+'Avg Week Bulenga-Busega'!E74</f>
        <v>7.3333333333333339</v>
      </c>
      <c r="F74" s="49">
        <f>'Avg Week Busega-Bulenga'!F74+'Avg Week Bulenga-Busega'!F74</f>
        <v>37.666666666666671</v>
      </c>
      <c r="G74" s="49">
        <f>'Avg Week Busega-Bulenga'!G74+'Avg Week Bulenga-Busega'!G74</f>
        <v>1.3333333333333333</v>
      </c>
      <c r="H74" s="49">
        <f>'Avg Week Busega-Bulenga'!H74+'Avg Week Bulenga-Busega'!H74</f>
        <v>0</v>
      </c>
      <c r="I74" s="49">
        <f>'Avg Week Busega-Bulenga'!I74+'Avg Week Bulenga-Busega'!I74</f>
        <v>15</v>
      </c>
      <c r="J74" s="49">
        <f>'Avg Week Busega-Bulenga'!J74+'Avg Week Bulenga-Busega'!J74</f>
        <v>2</v>
      </c>
      <c r="K74" s="49">
        <f>'Avg Week Busega-Bulenga'!K74+'Avg Week Bulenga-Busega'!K74</f>
        <v>9.6666666666666661</v>
      </c>
      <c r="L74" s="49">
        <f>'Avg Week Busega-Bulenga'!L74+'Avg Week Bulenga-Busega'!L74</f>
        <v>1.6666666666666665</v>
      </c>
      <c r="M74" s="49">
        <f>'Avg Week Busega-Bulenga'!M74+'Avg Week Bulenga-Busega'!M74</f>
        <v>127</v>
      </c>
      <c r="N74" s="49">
        <f>'Avg Week Busega-Bulenga'!N74+'Avg Week Bulenga-Busega'!N74</f>
        <v>0</v>
      </c>
      <c r="O74" s="15">
        <f t="shared" ref="O74:O105" si="35">SUM(C74:L74,N74)</f>
        <v>179.99999999999997</v>
      </c>
      <c r="P74" s="15">
        <f t="shared" ref="P74:P105" si="36">SUM(C74:N74)</f>
        <v>307</v>
      </c>
      <c r="R74" s="8"/>
      <c r="T74"/>
    </row>
    <row r="75" spans="2:20" ht="23.1" customHeight="1" x14ac:dyDescent="0.25">
      <c r="B75" s="23" t="s">
        <v>115</v>
      </c>
      <c r="C75" s="49">
        <f>'Avg Week Busega-Bulenga'!C75+'Avg Week Bulenga-Busega'!C75</f>
        <v>89.666666666666671</v>
      </c>
      <c r="D75" s="49">
        <f>'Avg Week Busega-Bulenga'!D75+'Avg Week Bulenga-Busega'!D75</f>
        <v>18</v>
      </c>
      <c r="E75" s="49">
        <f>'Avg Week Busega-Bulenga'!E75+'Avg Week Bulenga-Busega'!E75</f>
        <v>6.3333333333333339</v>
      </c>
      <c r="F75" s="49">
        <f>'Avg Week Busega-Bulenga'!F75+'Avg Week Bulenga-Busega'!F75</f>
        <v>32.333333333333329</v>
      </c>
      <c r="G75" s="49">
        <f>'Avg Week Busega-Bulenga'!G75+'Avg Week Bulenga-Busega'!G75</f>
        <v>0.33333333333333331</v>
      </c>
      <c r="H75" s="49">
        <f>'Avg Week Busega-Bulenga'!H75+'Avg Week Bulenga-Busega'!H75</f>
        <v>0.33333333333333331</v>
      </c>
      <c r="I75" s="49">
        <f>'Avg Week Busega-Bulenga'!I75+'Avg Week Bulenga-Busega'!I75</f>
        <v>7.666666666666667</v>
      </c>
      <c r="J75" s="49">
        <f>'Avg Week Busega-Bulenga'!J75+'Avg Week Bulenga-Busega'!J75</f>
        <v>3.333333333333333</v>
      </c>
      <c r="K75" s="49">
        <f>'Avg Week Busega-Bulenga'!K75+'Avg Week Bulenga-Busega'!K75</f>
        <v>3.6666666666666665</v>
      </c>
      <c r="L75" s="49">
        <f>'Avg Week Busega-Bulenga'!L75+'Avg Week Bulenga-Busega'!L75</f>
        <v>0.66666666666666663</v>
      </c>
      <c r="M75" s="49">
        <f>'Avg Week Busega-Bulenga'!M75+'Avg Week Bulenga-Busega'!M75</f>
        <v>138</v>
      </c>
      <c r="N75" s="49">
        <f>'Avg Week Busega-Bulenga'!N75+'Avg Week Bulenga-Busega'!N75</f>
        <v>0</v>
      </c>
      <c r="O75" s="15">
        <f t="shared" si="35"/>
        <v>162.33333333333331</v>
      </c>
      <c r="P75" s="15">
        <f t="shared" si="36"/>
        <v>300.33333333333331</v>
      </c>
      <c r="R75" s="8"/>
      <c r="T75"/>
    </row>
    <row r="76" spans="2:20" ht="23.1" customHeight="1" x14ac:dyDescent="0.25">
      <c r="B76" s="23" t="s">
        <v>116</v>
      </c>
      <c r="C76" s="49">
        <f>'Avg Week Busega-Bulenga'!C76+'Avg Week Bulenga-Busega'!C76</f>
        <v>101.66666666666667</v>
      </c>
      <c r="D76" s="49">
        <f>'Avg Week Busega-Bulenga'!D76+'Avg Week Bulenga-Busega'!D76</f>
        <v>14.666666666666668</v>
      </c>
      <c r="E76" s="49">
        <f>'Avg Week Busega-Bulenga'!E76+'Avg Week Bulenga-Busega'!E76</f>
        <v>4</v>
      </c>
      <c r="F76" s="49">
        <f>'Avg Week Busega-Bulenga'!F76+'Avg Week Bulenga-Busega'!F76</f>
        <v>29.666666666666668</v>
      </c>
      <c r="G76" s="49">
        <f>'Avg Week Busega-Bulenga'!G76+'Avg Week Bulenga-Busega'!G76</f>
        <v>0.66666666666666663</v>
      </c>
      <c r="H76" s="49">
        <f>'Avg Week Busega-Bulenga'!H76+'Avg Week Bulenga-Busega'!H76</f>
        <v>0.33333333333333331</v>
      </c>
      <c r="I76" s="49">
        <f>'Avg Week Busega-Bulenga'!I76+'Avg Week Bulenga-Busega'!I76</f>
        <v>31.333333333333332</v>
      </c>
      <c r="J76" s="49">
        <f>'Avg Week Busega-Bulenga'!J76+'Avg Week Bulenga-Busega'!J76</f>
        <v>6</v>
      </c>
      <c r="K76" s="49">
        <f>'Avg Week Busega-Bulenga'!K76+'Avg Week Bulenga-Busega'!K76</f>
        <v>3.6666666666666665</v>
      </c>
      <c r="L76" s="49">
        <f>'Avg Week Busega-Bulenga'!L76+'Avg Week Bulenga-Busega'!L76</f>
        <v>2.3333333333333335</v>
      </c>
      <c r="M76" s="49">
        <f>'Avg Week Busega-Bulenga'!M76+'Avg Week Bulenga-Busega'!M76</f>
        <v>118.33333333333334</v>
      </c>
      <c r="N76" s="49">
        <f>'Avg Week Busega-Bulenga'!N76+'Avg Week Bulenga-Busega'!N76</f>
        <v>0</v>
      </c>
      <c r="O76" s="15">
        <f t="shared" si="35"/>
        <v>194.33333333333334</v>
      </c>
      <c r="P76" s="15">
        <f t="shared" si="36"/>
        <v>312.66666666666669</v>
      </c>
      <c r="R76" s="8"/>
      <c r="T76"/>
    </row>
    <row r="77" spans="2:20" ht="23.1" customHeight="1" x14ac:dyDescent="0.25">
      <c r="B77" s="23" t="s">
        <v>117</v>
      </c>
      <c r="C77" s="49">
        <f>'Avg Week Busega-Bulenga'!C77+'Avg Week Bulenga-Busega'!C77</f>
        <v>61.333333333333336</v>
      </c>
      <c r="D77" s="49">
        <f>'Avg Week Busega-Bulenga'!D77+'Avg Week Bulenga-Busega'!D77</f>
        <v>7.6666666666666661</v>
      </c>
      <c r="E77" s="49">
        <f>'Avg Week Busega-Bulenga'!E77+'Avg Week Bulenga-Busega'!E77</f>
        <v>6</v>
      </c>
      <c r="F77" s="49">
        <f>'Avg Week Busega-Bulenga'!F77+'Avg Week Bulenga-Busega'!F77</f>
        <v>17.333333333333336</v>
      </c>
      <c r="G77" s="49">
        <f>'Avg Week Busega-Bulenga'!G77+'Avg Week Bulenga-Busega'!G77</f>
        <v>0</v>
      </c>
      <c r="H77" s="49">
        <f>'Avg Week Busega-Bulenga'!H77+'Avg Week Bulenga-Busega'!H77</f>
        <v>0</v>
      </c>
      <c r="I77" s="49">
        <f>'Avg Week Busega-Bulenga'!I77+'Avg Week Bulenga-Busega'!I77</f>
        <v>7.3333333333333339</v>
      </c>
      <c r="J77" s="49">
        <f>'Avg Week Busega-Bulenga'!J77+'Avg Week Bulenga-Busega'!J77</f>
        <v>2.3333333333333335</v>
      </c>
      <c r="K77" s="49">
        <f>'Avg Week Busega-Bulenga'!K77+'Avg Week Bulenga-Busega'!K77</f>
        <v>1</v>
      </c>
      <c r="L77" s="49">
        <f>'Avg Week Busega-Bulenga'!L77+'Avg Week Bulenga-Busega'!L77</f>
        <v>1.3333333333333333</v>
      </c>
      <c r="M77" s="49">
        <f>'Avg Week Busega-Bulenga'!M77+'Avg Week Bulenga-Busega'!M77</f>
        <v>102.66666666666666</v>
      </c>
      <c r="N77" s="49">
        <f>'Avg Week Busega-Bulenga'!N77+'Avg Week Bulenga-Busega'!N77</f>
        <v>0</v>
      </c>
      <c r="O77" s="15">
        <f t="shared" si="35"/>
        <v>104.33333333333333</v>
      </c>
      <c r="P77" s="15">
        <f t="shared" si="36"/>
        <v>207</v>
      </c>
      <c r="R77" s="8"/>
      <c r="T77"/>
    </row>
    <row r="78" spans="2:20" ht="23.1" customHeight="1" x14ac:dyDescent="0.25">
      <c r="B78" s="24" t="s">
        <v>118</v>
      </c>
      <c r="C78" s="49">
        <f>'Avg Week Busega-Bulenga'!C78+'Avg Week Bulenga-Busega'!C78</f>
        <v>57.666666666666664</v>
      </c>
      <c r="D78" s="49">
        <f>'Avg Week Busega-Bulenga'!D78+'Avg Week Bulenga-Busega'!D78</f>
        <v>14.666666666666668</v>
      </c>
      <c r="E78" s="49">
        <f>'Avg Week Busega-Bulenga'!E78+'Avg Week Bulenga-Busega'!E78</f>
        <v>3.666666666666667</v>
      </c>
      <c r="F78" s="49">
        <f>'Avg Week Busega-Bulenga'!F78+'Avg Week Bulenga-Busega'!F78</f>
        <v>17</v>
      </c>
      <c r="G78" s="49">
        <f>'Avg Week Busega-Bulenga'!G78+'Avg Week Bulenga-Busega'!G78</f>
        <v>0.66666666666666663</v>
      </c>
      <c r="H78" s="49">
        <f>'Avg Week Busega-Bulenga'!H78+'Avg Week Bulenga-Busega'!H78</f>
        <v>0</v>
      </c>
      <c r="I78" s="49">
        <f>'Avg Week Busega-Bulenga'!I78+'Avg Week Bulenga-Busega'!I78</f>
        <v>11</v>
      </c>
      <c r="J78" s="49">
        <f>'Avg Week Busega-Bulenga'!J78+'Avg Week Bulenga-Busega'!J78</f>
        <v>1</v>
      </c>
      <c r="K78" s="49">
        <f>'Avg Week Busega-Bulenga'!K78+'Avg Week Bulenga-Busega'!K78</f>
        <v>2</v>
      </c>
      <c r="L78" s="49">
        <f>'Avg Week Busega-Bulenga'!L78+'Avg Week Bulenga-Busega'!L78</f>
        <v>3.333333333333333</v>
      </c>
      <c r="M78" s="49">
        <f>'Avg Week Busega-Bulenga'!M78+'Avg Week Bulenga-Busega'!M78</f>
        <v>78.666666666666657</v>
      </c>
      <c r="N78" s="49">
        <f>'Avg Week Busega-Bulenga'!N78+'Avg Week Bulenga-Busega'!N78</f>
        <v>0</v>
      </c>
      <c r="O78" s="15">
        <f t="shared" si="35"/>
        <v>111</v>
      </c>
      <c r="P78" s="15">
        <f t="shared" si="36"/>
        <v>189.66666666666666</v>
      </c>
      <c r="R78" s="8"/>
      <c r="T78"/>
    </row>
    <row r="79" spans="2:20" ht="23.1" customHeight="1" x14ac:dyDescent="0.25">
      <c r="B79" s="23" t="s">
        <v>119</v>
      </c>
      <c r="C79" s="49">
        <f>'Avg Week Busega-Bulenga'!C79+'Avg Week Bulenga-Busega'!C79</f>
        <v>40</v>
      </c>
      <c r="D79" s="49">
        <f>'Avg Week Busega-Bulenga'!D79+'Avg Week Bulenga-Busega'!D79</f>
        <v>6</v>
      </c>
      <c r="E79" s="49">
        <f>'Avg Week Busega-Bulenga'!E79+'Avg Week Bulenga-Busega'!E79</f>
        <v>3.333333333333333</v>
      </c>
      <c r="F79" s="49">
        <f>'Avg Week Busega-Bulenga'!F79+'Avg Week Bulenga-Busega'!F79</f>
        <v>6.6666666666666661</v>
      </c>
      <c r="G79" s="49">
        <f>'Avg Week Busega-Bulenga'!G79+'Avg Week Bulenga-Busega'!G79</f>
        <v>0</v>
      </c>
      <c r="H79" s="49">
        <f>'Avg Week Busega-Bulenga'!H79+'Avg Week Bulenga-Busega'!H79</f>
        <v>0.66666666666666663</v>
      </c>
      <c r="I79" s="49">
        <f>'Avg Week Busega-Bulenga'!I79+'Avg Week Bulenga-Busega'!I79</f>
        <v>7.3333333333333339</v>
      </c>
      <c r="J79" s="49">
        <f>'Avg Week Busega-Bulenga'!J79+'Avg Week Bulenga-Busega'!J79</f>
        <v>1.3333333333333333</v>
      </c>
      <c r="K79" s="49">
        <f>'Avg Week Busega-Bulenga'!K79+'Avg Week Bulenga-Busega'!K79</f>
        <v>1.3333333333333333</v>
      </c>
      <c r="L79" s="49">
        <f>'Avg Week Busega-Bulenga'!L79+'Avg Week Bulenga-Busega'!L79</f>
        <v>1</v>
      </c>
      <c r="M79" s="49">
        <f>'Avg Week Busega-Bulenga'!M79+'Avg Week Bulenga-Busega'!M79</f>
        <v>73.666666666666671</v>
      </c>
      <c r="N79" s="49">
        <f>'Avg Week Busega-Bulenga'!N79+'Avg Week Bulenga-Busega'!N79</f>
        <v>0</v>
      </c>
      <c r="O79" s="15">
        <f t="shared" si="35"/>
        <v>67.666666666666657</v>
      </c>
      <c r="P79" s="15">
        <f t="shared" si="36"/>
        <v>141.33333333333331</v>
      </c>
      <c r="R79" s="8"/>
      <c r="T79"/>
    </row>
    <row r="80" spans="2:20" ht="23.1" customHeight="1" x14ac:dyDescent="0.25">
      <c r="B80" s="25" t="s">
        <v>120</v>
      </c>
      <c r="C80" s="49">
        <f>'Avg Week Busega-Bulenga'!C80+'Avg Week Bulenga-Busega'!C80</f>
        <v>42</v>
      </c>
      <c r="D80" s="49">
        <f>'Avg Week Busega-Bulenga'!D80+'Avg Week Bulenga-Busega'!D80</f>
        <v>8.3333333333333339</v>
      </c>
      <c r="E80" s="49">
        <f>'Avg Week Busega-Bulenga'!E80+'Avg Week Bulenga-Busega'!E80</f>
        <v>3.3333333333333335</v>
      </c>
      <c r="F80" s="49">
        <f>'Avg Week Busega-Bulenga'!F80+'Avg Week Bulenga-Busega'!F80</f>
        <v>7.333333333333333</v>
      </c>
      <c r="G80" s="49">
        <f>'Avg Week Busega-Bulenga'!G80+'Avg Week Bulenga-Busega'!G80</f>
        <v>0.33333333333333331</v>
      </c>
      <c r="H80" s="49">
        <f>'Avg Week Busega-Bulenga'!H80+'Avg Week Bulenga-Busega'!H80</f>
        <v>1</v>
      </c>
      <c r="I80" s="49">
        <f>'Avg Week Busega-Bulenga'!I80+'Avg Week Bulenga-Busega'!I80</f>
        <v>7.3333333333333339</v>
      </c>
      <c r="J80" s="49">
        <f>'Avg Week Busega-Bulenga'!J80+'Avg Week Bulenga-Busega'!J80</f>
        <v>2.333333333333333</v>
      </c>
      <c r="K80" s="49">
        <f>'Avg Week Busega-Bulenga'!K80+'Avg Week Bulenga-Busega'!K80</f>
        <v>3</v>
      </c>
      <c r="L80" s="49">
        <f>'Avg Week Busega-Bulenga'!L80+'Avg Week Bulenga-Busega'!L80</f>
        <v>0.33333333333333331</v>
      </c>
      <c r="M80" s="49">
        <f>'Avg Week Busega-Bulenga'!M80+'Avg Week Bulenga-Busega'!M80</f>
        <v>85</v>
      </c>
      <c r="N80" s="49">
        <f>'Avg Week Busega-Bulenga'!N80+'Avg Week Bulenga-Busega'!N80</f>
        <v>0</v>
      </c>
      <c r="O80" s="15">
        <f t="shared" si="35"/>
        <v>75.333333333333329</v>
      </c>
      <c r="P80" s="15">
        <f t="shared" si="36"/>
        <v>160.33333333333331</v>
      </c>
      <c r="R80" s="8"/>
      <c r="T80"/>
    </row>
    <row r="81" spans="2:20" ht="23.1" customHeight="1" x14ac:dyDescent="0.25">
      <c r="B81" s="23" t="s">
        <v>121</v>
      </c>
      <c r="C81" s="49">
        <f>'Avg Week Busega-Bulenga'!C81+'Avg Week Bulenga-Busega'!C81</f>
        <v>41.666666666666671</v>
      </c>
      <c r="D81" s="49">
        <f>'Avg Week Busega-Bulenga'!D81+'Avg Week Bulenga-Busega'!D81</f>
        <v>6.666666666666667</v>
      </c>
      <c r="E81" s="49">
        <f>'Avg Week Busega-Bulenga'!E81+'Avg Week Bulenga-Busega'!E81</f>
        <v>1.3333333333333333</v>
      </c>
      <c r="F81" s="49">
        <f>'Avg Week Busega-Bulenga'!F81+'Avg Week Bulenga-Busega'!F81</f>
        <v>5</v>
      </c>
      <c r="G81" s="49">
        <f>'Avg Week Busega-Bulenga'!G81+'Avg Week Bulenga-Busega'!G81</f>
        <v>0</v>
      </c>
      <c r="H81" s="49">
        <f>'Avg Week Busega-Bulenga'!H81+'Avg Week Bulenga-Busega'!H81</f>
        <v>0.33333333333333331</v>
      </c>
      <c r="I81" s="49">
        <f>'Avg Week Busega-Bulenga'!I81+'Avg Week Bulenga-Busega'!I81</f>
        <v>3.333333333333333</v>
      </c>
      <c r="J81" s="49">
        <f>'Avg Week Busega-Bulenga'!J81+'Avg Week Bulenga-Busega'!J81</f>
        <v>2</v>
      </c>
      <c r="K81" s="49">
        <f>'Avg Week Busega-Bulenga'!K81+'Avg Week Bulenga-Busega'!K81</f>
        <v>1</v>
      </c>
      <c r="L81" s="49">
        <f>'Avg Week Busega-Bulenga'!L81+'Avg Week Bulenga-Busega'!L81</f>
        <v>0.33333333333333331</v>
      </c>
      <c r="M81" s="49">
        <f>'Avg Week Busega-Bulenga'!M81+'Avg Week Bulenga-Busega'!M81</f>
        <v>73.666666666666657</v>
      </c>
      <c r="N81" s="49">
        <f>'Avg Week Busega-Bulenga'!N81+'Avg Week Bulenga-Busega'!N81</f>
        <v>0</v>
      </c>
      <c r="O81" s="15">
        <f t="shared" si="35"/>
        <v>61.666666666666679</v>
      </c>
      <c r="P81" s="15">
        <f t="shared" si="36"/>
        <v>135.33333333333334</v>
      </c>
      <c r="R81" s="8"/>
      <c r="T81"/>
    </row>
    <row r="82" spans="2:20" ht="23.1" customHeight="1" x14ac:dyDescent="0.25">
      <c r="B82" s="24" t="s">
        <v>122</v>
      </c>
      <c r="C82" s="49">
        <f>'Avg Week Busega-Bulenga'!C82+'Avg Week Bulenga-Busega'!C82</f>
        <v>54.333333333333336</v>
      </c>
      <c r="D82" s="49">
        <f>'Avg Week Busega-Bulenga'!D82+'Avg Week Bulenga-Busega'!D82</f>
        <v>8.6666666666666661</v>
      </c>
      <c r="E82" s="49">
        <f>'Avg Week Busega-Bulenga'!E82+'Avg Week Bulenga-Busega'!E82</f>
        <v>2.3333333333333335</v>
      </c>
      <c r="F82" s="49">
        <f>'Avg Week Busega-Bulenga'!F82+'Avg Week Bulenga-Busega'!F82</f>
        <v>16.333333333333336</v>
      </c>
      <c r="G82" s="49">
        <f>'Avg Week Busega-Bulenga'!G82+'Avg Week Bulenga-Busega'!G82</f>
        <v>0.66666666666666663</v>
      </c>
      <c r="H82" s="49">
        <f>'Avg Week Busega-Bulenga'!H82+'Avg Week Bulenga-Busega'!H82</f>
        <v>0</v>
      </c>
      <c r="I82" s="49">
        <f>'Avg Week Busega-Bulenga'!I82+'Avg Week Bulenga-Busega'!I82</f>
        <v>10</v>
      </c>
      <c r="J82" s="49">
        <f>'Avg Week Busega-Bulenga'!J82+'Avg Week Bulenga-Busega'!J82</f>
        <v>2</v>
      </c>
      <c r="K82" s="49">
        <f>'Avg Week Busega-Bulenga'!K82+'Avg Week Bulenga-Busega'!K82</f>
        <v>1.6666666666666665</v>
      </c>
      <c r="L82" s="49">
        <f>'Avg Week Busega-Bulenga'!L82+'Avg Week Bulenga-Busega'!L82</f>
        <v>1.3333333333333333</v>
      </c>
      <c r="M82" s="49">
        <f>'Avg Week Busega-Bulenga'!M82+'Avg Week Bulenga-Busega'!M82</f>
        <v>93.333333333333343</v>
      </c>
      <c r="N82" s="49">
        <f>'Avg Week Busega-Bulenga'!N82+'Avg Week Bulenga-Busega'!N82</f>
        <v>0</v>
      </c>
      <c r="O82" s="15">
        <f t="shared" si="35"/>
        <v>97.333333333333329</v>
      </c>
      <c r="P82" s="15">
        <f t="shared" si="36"/>
        <v>190.66666666666669</v>
      </c>
      <c r="R82" s="8"/>
      <c r="T82"/>
    </row>
    <row r="83" spans="2:20" ht="23.1" customHeight="1" x14ac:dyDescent="0.25">
      <c r="B83" s="23" t="s">
        <v>123</v>
      </c>
      <c r="C83" s="49">
        <f>'Avg Week Busega-Bulenga'!C83+'Avg Week Bulenga-Busega'!C83</f>
        <v>31</v>
      </c>
      <c r="D83" s="49">
        <f>'Avg Week Busega-Bulenga'!D83+'Avg Week Bulenga-Busega'!D83</f>
        <v>3</v>
      </c>
      <c r="E83" s="49">
        <f>'Avg Week Busega-Bulenga'!E83+'Avg Week Bulenga-Busega'!E83</f>
        <v>2.6666666666666665</v>
      </c>
      <c r="F83" s="49">
        <f>'Avg Week Busega-Bulenga'!F83+'Avg Week Bulenga-Busega'!F83</f>
        <v>2.666666666666667</v>
      </c>
      <c r="G83" s="49">
        <f>'Avg Week Busega-Bulenga'!G83+'Avg Week Bulenga-Busega'!G83</f>
        <v>0.66666666666666663</v>
      </c>
      <c r="H83" s="49">
        <f>'Avg Week Busega-Bulenga'!H83+'Avg Week Bulenga-Busega'!H83</f>
        <v>0</v>
      </c>
      <c r="I83" s="49">
        <f>'Avg Week Busega-Bulenga'!I83+'Avg Week Bulenga-Busega'!I83</f>
        <v>6.333333333333333</v>
      </c>
      <c r="J83" s="49">
        <f>'Avg Week Busega-Bulenga'!J83+'Avg Week Bulenga-Busega'!J83</f>
        <v>1.3333333333333333</v>
      </c>
      <c r="K83" s="49">
        <f>'Avg Week Busega-Bulenga'!K83+'Avg Week Bulenga-Busega'!K83</f>
        <v>1.3333333333333333</v>
      </c>
      <c r="L83" s="49">
        <f>'Avg Week Busega-Bulenga'!L83+'Avg Week Bulenga-Busega'!L83</f>
        <v>2.333333333333333</v>
      </c>
      <c r="M83" s="49">
        <f>'Avg Week Busega-Bulenga'!M83+'Avg Week Bulenga-Busega'!M83</f>
        <v>79.666666666666657</v>
      </c>
      <c r="N83" s="49">
        <f>'Avg Week Busega-Bulenga'!N83+'Avg Week Bulenga-Busega'!N83</f>
        <v>0</v>
      </c>
      <c r="O83" s="15">
        <f t="shared" si="35"/>
        <v>51.333333333333336</v>
      </c>
      <c r="P83" s="15">
        <f t="shared" si="36"/>
        <v>131</v>
      </c>
      <c r="R83" s="8"/>
      <c r="T83"/>
    </row>
    <row r="84" spans="2:20" ht="23.1" customHeight="1" x14ac:dyDescent="0.25">
      <c r="B84" s="25" t="s">
        <v>124</v>
      </c>
      <c r="C84" s="49">
        <f>'Avg Week Busega-Bulenga'!C84+'Avg Week Bulenga-Busega'!C84</f>
        <v>38.666666666666664</v>
      </c>
      <c r="D84" s="49">
        <f>'Avg Week Busega-Bulenga'!D84+'Avg Week Bulenga-Busega'!D84</f>
        <v>8.3333333333333321</v>
      </c>
      <c r="E84" s="49">
        <f>'Avg Week Busega-Bulenga'!E84+'Avg Week Bulenga-Busega'!E84</f>
        <v>3.333333333333333</v>
      </c>
      <c r="F84" s="49">
        <f>'Avg Week Busega-Bulenga'!F84+'Avg Week Bulenga-Busega'!F84</f>
        <v>6</v>
      </c>
      <c r="G84" s="49">
        <f>'Avg Week Busega-Bulenga'!G84+'Avg Week Bulenga-Busega'!G84</f>
        <v>0.33333333333333331</v>
      </c>
      <c r="H84" s="49">
        <f>'Avg Week Busega-Bulenga'!H84+'Avg Week Bulenga-Busega'!H84</f>
        <v>0</v>
      </c>
      <c r="I84" s="49">
        <f>'Avg Week Busega-Bulenga'!I84+'Avg Week Bulenga-Busega'!I84</f>
        <v>6.333333333333333</v>
      </c>
      <c r="J84" s="49">
        <f>'Avg Week Busega-Bulenga'!J84+'Avg Week Bulenga-Busega'!J84</f>
        <v>5.3333333333333339</v>
      </c>
      <c r="K84" s="49">
        <f>'Avg Week Busega-Bulenga'!K84+'Avg Week Bulenga-Busega'!K84</f>
        <v>2</v>
      </c>
      <c r="L84" s="49">
        <f>'Avg Week Busega-Bulenga'!L84+'Avg Week Bulenga-Busega'!L84</f>
        <v>0.66666666666666663</v>
      </c>
      <c r="M84" s="49">
        <f>'Avg Week Busega-Bulenga'!M84+'Avg Week Bulenga-Busega'!M84</f>
        <v>91</v>
      </c>
      <c r="N84" s="49">
        <f>'Avg Week Busega-Bulenga'!N84+'Avg Week Bulenga-Busega'!N84</f>
        <v>0</v>
      </c>
      <c r="O84" s="15">
        <f t="shared" si="35"/>
        <v>71.000000000000014</v>
      </c>
      <c r="P84" s="15">
        <f t="shared" si="36"/>
        <v>162</v>
      </c>
      <c r="R84" s="8"/>
      <c r="T84"/>
    </row>
    <row r="85" spans="2:20" ht="23.1" customHeight="1" x14ac:dyDescent="0.25">
      <c r="B85" s="23" t="s">
        <v>125</v>
      </c>
      <c r="C85" s="49">
        <f>'Avg Week Busega-Bulenga'!C85+'Avg Week Bulenga-Busega'!C85</f>
        <v>21.666666666666668</v>
      </c>
      <c r="D85" s="49">
        <f>'Avg Week Busega-Bulenga'!D85+'Avg Week Bulenga-Busega'!D85</f>
        <v>2.3333333333333335</v>
      </c>
      <c r="E85" s="49">
        <f>'Avg Week Busega-Bulenga'!E85+'Avg Week Bulenga-Busega'!E85</f>
        <v>2.666666666666667</v>
      </c>
      <c r="F85" s="49">
        <f>'Avg Week Busega-Bulenga'!F85+'Avg Week Bulenga-Busega'!F85</f>
        <v>1.6666666666666665</v>
      </c>
      <c r="G85" s="49">
        <f>'Avg Week Busega-Bulenga'!G85+'Avg Week Bulenga-Busega'!G85</f>
        <v>0.66666666666666663</v>
      </c>
      <c r="H85" s="49">
        <f>'Avg Week Busega-Bulenga'!H85+'Avg Week Bulenga-Busega'!H85</f>
        <v>0.33333333333333331</v>
      </c>
      <c r="I85" s="49">
        <f>'Avg Week Busega-Bulenga'!I85+'Avg Week Bulenga-Busega'!I85</f>
        <v>4</v>
      </c>
      <c r="J85" s="49">
        <f>'Avg Week Busega-Bulenga'!J85+'Avg Week Bulenga-Busega'!J85</f>
        <v>2.3333333333333335</v>
      </c>
      <c r="K85" s="49">
        <f>'Avg Week Busega-Bulenga'!K85+'Avg Week Bulenga-Busega'!K85</f>
        <v>1.6666666666666667</v>
      </c>
      <c r="L85" s="49">
        <f>'Avg Week Busega-Bulenga'!L85+'Avg Week Bulenga-Busega'!L85</f>
        <v>0.66666666666666663</v>
      </c>
      <c r="M85" s="49">
        <f>'Avg Week Busega-Bulenga'!M85+'Avg Week Bulenga-Busega'!M85</f>
        <v>79.666666666666657</v>
      </c>
      <c r="N85" s="49">
        <f>'Avg Week Busega-Bulenga'!N85+'Avg Week Bulenga-Busega'!N85</f>
        <v>0</v>
      </c>
      <c r="O85" s="15">
        <f t="shared" si="35"/>
        <v>38</v>
      </c>
      <c r="P85" s="15">
        <f t="shared" si="36"/>
        <v>117.66666666666666</v>
      </c>
      <c r="R85" s="8"/>
      <c r="T85"/>
    </row>
    <row r="86" spans="2:20" ht="23.1" customHeight="1" x14ac:dyDescent="0.25">
      <c r="B86" s="24" t="s">
        <v>126</v>
      </c>
      <c r="C86" s="49">
        <f>'Avg Week Busega-Bulenga'!C86+'Avg Week Bulenga-Busega'!C86</f>
        <v>23.333333333333332</v>
      </c>
      <c r="D86" s="49">
        <f>'Avg Week Busega-Bulenga'!D86+'Avg Week Bulenga-Busega'!D86</f>
        <v>2</v>
      </c>
      <c r="E86" s="49">
        <f>'Avg Week Busega-Bulenga'!E86+'Avg Week Bulenga-Busega'!E86</f>
        <v>1</v>
      </c>
      <c r="F86" s="49">
        <f>'Avg Week Busega-Bulenga'!F86+'Avg Week Bulenga-Busega'!F86</f>
        <v>2.333333333333333</v>
      </c>
      <c r="G86" s="49">
        <f>'Avg Week Busega-Bulenga'!G86+'Avg Week Bulenga-Busega'!G86</f>
        <v>0.33333333333333331</v>
      </c>
      <c r="H86" s="49">
        <f>'Avg Week Busega-Bulenga'!H86+'Avg Week Bulenga-Busega'!H86</f>
        <v>0</v>
      </c>
      <c r="I86" s="49">
        <f>'Avg Week Busega-Bulenga'!I86+'Avg Week Bulenga-Busega'!I86</f>
        <v>5.666666666666667</v>
      </c>
      <c r="J86" s="49">
        <f>'Avg Week Busega-Bulenga'!J86+'Avg Week Bulenga-Busega'!J86</f>
        <v>2.3333333333333335</v>
      </c>
      <c r="K86" s="49">
        <f>'Avg Week Busega-Bulenga'!K86+'Avg Week Bulenga-Busega'!K86</f>
        <v>1.3333333333333333</v>
      </c>
      <c r="L86" s="49">
        <f>'Avg Week Busega-Bulenga'!L86+'Avg Week Bulenga-Busega'!L86</f>
        <v>3.3333333333333335</v>
      </c>
      <c r="M86" s="49">
        <f>'Avg Week Busega-Bulenga'!M86+'Avg Week Bulenga-Busega'!M86</f>
        <v>60.333333333333329</v>
      </c>
      <c r="N86" s="49">
        <f>'Avg Week Busega-Bulenga'!N86+'Avg Week Bulenga-Busega'!N86</f>
        <v>0</v>
      </c>
      <c r="O86" s="15">
        <f t="shared" si="35"/>
        <v>41.666666666666671</v>
      </c>
      <c r="P86" s="15">
        <f t="shared" si="36"/>
        <v>102</v>
      </c>
      <c r="R86" s="8"/>
      <c r="T86"/>
    </row>
    <row r="87" spans="2:20" ht="23.1" customHeight="1" x14ac:dyDescent="0.25">
      <c r="B87" s="23" t="s">
        <v>127</v>
      </c>
      <c r="C87" s="49">
        <f>'Avg Week Busega-Bulenga'!C87+'Avg Week Bulenga-Busega'!C87</f>
        <v>27</v>
      </c>
      <c r="D87" s="49">
        <f>'Avg Week Busega-Bulenga'!D87+'Avg Week Bulenga-Busega'!D87</f>
        <v>2</v>
      </c>
      <c r="E87" s="49">
        <f>'Avg Week Busega-Bulenga'!E87+'Avg Week Bulenga-Busega'!E87</f>
        <v>1.6666666666666667</v>
      </c>
      <c r="F87" s="49">
        <f>'Avg Week Busega-Bulenga'!F87+'Avg Week Bulenga-Busega'!F87</f>
        <v>0.33333333333333331</v>
      </c>
      <c r="G87" s="49">
        <f>'Avg Week Busega-Bulenga'!G87+'Avg Week Bulenga-Busega'!G87</f>
        <v>0</v>
      </c>
      <c r="H87" s="49">
        <f>'Avg Week Busega-Bulenga'!H87+'Avg Week Bulenga-Busega'!H87</f>
        <v>0.66666666666666663</v>
      </c>
      <c r="I87" s="49">
        <f>'Avg Week Busega-Bulenga'!I87+'Avg Week Bulenga-Busega'!I87</f>
        <v>6</v>
      </c>
      <c r="J87" s="49">
        <f>'Avg Week Busega-Bulenga'!J87+'Avg Week Bulenga-Busega'!J87</f>
        <v>3.666666666666667</v>
      </c>
      <c r="K87" s="49">
        <f>'Avg Week Busega-Bulenga'!K87+'Avg Week Bulenga-Busega'!K87</f>
        <v>0.33333333333333331</v>
      </c>
      <c r="L87" s="49">
        <f>'Avg Week Busega-Bulenga'!L87+'Avg Week Bulenga-Busega'!L87</f>
        <v>0</v>
      </c>
      <c r="M87" s="49">
        <f>'Avg Week Busega-Bulenga'!M87+'Avg Week Bulenga-Busega'!M87</f>
        <v>58.333333333333329</v>
      </c>
      <c r="N87" s="49">
        <f>'Avg Week Busega-Bulenga'!N87+'Avg Week Bulenga-Busega'!N87</f>
        <v>0</v>
      </c>
      <c r="O87" s="15">
        <f t="shared" si="35"/>
        <v>41.666666666666671</v>
      </c>
      <c r="P87" s="15">
        <f t="shared" si="36"/>
        <v>100</v>
      </c>
      <c r="R87" s="8"/>
      <c r="T87"/>
    </row>
    <row r="88" spans="2:20" ht="23.1" customHeight="1" x14ac:dyDescent="0.25">
      <c r="B88" s="25" t="s">
        <v>128</v>
      </c>
      <c r="C88" s="49">
        <f>'Avg Week Busega-Bulenga'!C88+'Avg Week Bulenga-Busega'!C88</f>
        <v>15.333333333333332</v>
      </c>
      <c r="D88" s="49">
        <f>'Avg Week Busega-Bulenga'!D88+'Avg Week Bulenga-Busega'!D88</f>
        <v>1</v>
      </c>
      <c r="E88" s="49">
        <f>'Avg Week Busega-Bulenga'!E88+'Avg Week Bulenga-Busega'!E88</f>
        <v>0.66666666666666663</v>
      </c>
      <c r="F88" s="49">
        <f>'Avg Week Busega-Bulenga'!F88+'Avg Week Bulenga-Busega'!F88</f>
        <v>1.6666666666666665</v>
      </c>
      <c r="G88" s="49">
        <f>'Avg Week Busega-Bulenga'!G88+'Avg Week Bulenga-Busega'!G88</f>
        <v>0.66666666666666663</v>
      </c>
      <c r="H88" s="49">
        <f>'Avg Week Busega-Bulenga'!H88+'Avg Week Bulenga-Busega'!H88</f>
        <v>0</v>
      </c>
      <c r="I88" s="49">
        <f>'Avg Week Busega-Bulenga'!I88+'Avg Week Bulenga-Busega'!I88</f>
        <v>1.6666666666666665</v>
      </c>
      <c r="J88" s="49">
        <f>'Avg Week Busega-Bulenga'!J88+'Avg Week Bulenga-Busega'!J88</f>
        <v>1.6666666666666665</v>
      </c>
      <c r="K88" s="49">
        <f>'Avg Week Busega-Bulenga'!K88+'Avg Week Bulenga-Busega'!K88</f>
        <v>3</v>
      </c>
      <c r="L88" s="49">
        <f>'Avg Week Busega-Bulenga'!L88+'Avg Week Bulenga-Busega'!L88</f>
        <v>1</v>
      </c>
      <c r="M88" s="49">
        <f>'Avg Week Busega-Bulenga'!M88+'Avg Week Bulenga-Busega'!M88</f>
        <v>46.666666666666671</v>
      </c>
      <c r="N88" s="49">
        <f>'Avg Week Busega-Bulenga'!N88+'Avg Week Bulenga-Busega'!N88</f>
        <v>0</v>
      </c>
      <c r="O88" s="15">
        <f t="shared" si="35"/>
        <v>26.666666666666671</v>
      </c>
      <c r="P88" s="15">
        <f t="shared" si="36"/>
        <v>73.333333333333343</v>
      </c>
      <c r="R88" s="8"/>
      <c r="T88"/>
    </row>
    <row r="89" spans="2:20" ht="23.1" customHeight="1" x14ac:dyDescent="0.25">
      <c r="B89" s="23" t="s">
        <v>129</v>
      </c>
      <c r="C89" s="49">
        <f>'Avg Week Busega-Bulenga'!C89+'Avg Week Bulenga-Busega'!C89</f>
        <v>12.333333333333332</v>
      </c>
      <c r="D89" s="49">
        <f>'Avg Week Busega-Bulenga'!D89+'Avg Week Bulenga-Busega'!D89</f>
        <v>1.3333333333333333</v>
      </c>
      <c r="E89" s="49">
        <f>'Avg Week Busega-Bulenga'!E89+'Avg Week Bulenga-Busega'!E89</f>
        <v>2.333333333333333</v>
      </c>
      <c r="F89" s="49">
        <f>'Avg Week Busega-Bulenga'!F89+'Avg Week Bulenga-Busega'!F89</f>
        <v>1.3333333333333333</v>
      </c>
      <c r="G89" s="49">
        <f>'Avg Week Busega-Bulenga'!G89+'Avg Week Bulenga-Busega'!G89</f>
        <v>0.33333333333333331</v>
      </c>
      <c r="H89" s="49">
        <f>'Avg Week Busega-Bulenga'!H89+'Avg Week Bulenga-Busega'!H89</f>
        <v>0</v>
      </c>
      <c r="I89" s="49">
        <f>'Avg Week Busega-Bulenga'!I89+'Avg Week Bulenga-Busega'!I89</f>
        <v>2.3333333333333335</v>
      </c>
      <c r="J89" s="49">
        <f>'Avg Week Busega-Bulenga'!J89+'Avg Week Bulenga-Busega'!J89</f>
        <v>0.66666666666666663</v>
      </c>
      <c r="K89" s="49">
        <f>'Avg Week Busega-Bulenga'!K89+'Avg Week Bulenga-Busega'!K89</f>
        <v>0.66666666666666663</v>
      </c>
      <c r="L89" s="49">
        <f>'Avg Week Busega-Bulenga'!L89+'Avg Week Bulenga-Busega'!L89</f>
        <v>0</v>
      </c>
      <c r="M89" s="49">
        <f>'Avg Week Busega-Bulenga'!M89+'Avg Week Bulenga-Busega'!M89</f>
        <v>37.333333333333329</v>
      </c>
      <c r="N89" s="49">
        <f>'Avg Week Busega-Bulenga'!N89+'Avg Week Bulenga-Busega'!N89</f>
        <v>0</v>
      </c>
      <c r="O89" s="15">
        <f t="shared" si="35"/>
        <v>21.333333333333332</v>
      </c>
      <c r="P89" s="15">
        <f t="shared" si="36"/>
        <v>58.666666666666657</v>
      </c>
      <c r="R89" s="8"/>
      <c r="T89"/>
    </row>
    <row r="90" spans="2:20" ht="23.1" customHeight="1" x14ac:dyDescent="0.25">
      <c r="B90" s="24" t="s">
        <v>130</v>
      </c>
      <c r="C90" s="49">
        <f>'Avg Week Busega-Bulenga'!C90+'Avg Week Bulenga-Busega'!C90</f>
        <v>18.333333333333332</v>
      </c>
      <c r="D90" s="49">
        <f>'Avg Week Busega-Bulenga'!D90+'Avg Week Bulenga-Busega'!D90</f>
        <v>3</v>
      </c>
      <c r="E90" s="49">
        <f>'Avg Week Busega-Bulenga'!E90+'Avg Week Bulenga-Busega'!E90</f>
        <v>1</v>
      </c>
      <c r="F90" s="49">
        <f>'Avg Week Busega-Bulenga'!F90+'Avg Week Bulenga-Busega'!F90</f>
        <v>1.6666666666666665</v>
      </c>
      <c r="G90" s="49">
        <f>'Avg Week Busega-Bulenga'!G90+'Avg Week Bulenga-Busega'!G90</f>
        <v>0.33333333333333331</v>
      </c>
      <c r="H90" s="49">
        <f>'Avg Week Busega-Bulenga'!H90+'Avg Week Bulenga-Busega'!H90</f>
        <v>0</v>
      </c>
      <c r="I90" s="49">
        <f>'Avg Week Busega-Bulenga'!I90+'Avg Week Bulenga-Busega'!I90</f>
        <v>4.666666666666667</v>
      </c>
      <c r="J90" s="49">
        <f>'Avg Week Busega-Bulenga'!J90+'Avg Week Bulenga-Busega'!J90</f>
        <v>3.3333333333333335</v>
      </c>
      <c r="K90" s="49">
        <f>'Avg Week Busega-Bulenga'!K90+'Avg Week Bulenga-Busega'!K90</f>
        <v>2</v>
      </c>
      <c r="L90" s="49">
        <f>'Avg Week Busega-Bulenga'!L90+'Avg Week Bulenga-Busega'!L90</f>
        <v>1.6666666666666665</v>
      </c>
      <c r="M90" s="49">
        <f>'Avg Week Busega-Bulenga'!M90+'Avg Week Bulenga-Busega'!M90</f>
        <v>32.666666666666671</v>
      </c>
      <c r="N90" s="49">
        <f>'Avg Week Busega-Bulenga'!N90+'Avg Week Bulenga-Busega'!N90</f>
        <v>0</v>
      </c>
      <c r="O90" s="15">
        <f t="shared" si="35"/>
        <v>36</v>
      </c>
      <c r="P90" s="15">
        <f t="shared" si="36"/>
        <v>68.666666666666671</v>
      </c>
      <c r="R90" s="8"/>
      <c r="T90"/>
    </row>
    <row r="91" spans="2:20" ht="23.1" customHeight="1" x14ac:dyDescent="0.25">
      <c r="B91" s="23" t="s">
        <v>131</v>
      </c>
      <c r="C91" s="49">
        <f>'Avg Week Busega-Bulenga'!C91+'Avg Week Bulenga-Busega'!C91</f>
        <v>17.333333333333332</v>
      </c>
      <c r="D91" s="49">
        <f>'Avg Week Busega-Bulenga'!D91+'Avg Week Bulenga-Busega'!D91</f>
        <v>3</v>
      </c>
      <c r="E91" s="49">
        <f>'Avg Week Busega-Bulenga'!E91+'Avg Week Bulenga-Busega'!E91</f>
        <v>3.666666666666667</v>
      </c>
      <c r="F91" s="49">
        <f>'Avg Week Busega-Bulenga'!F91+'Avg Week Bulenga-Busega'!F91</f>
        <v>1</v>
      </c>
      <c r="G91" s="49">
        <f>'Avg Week Busega-Bulenga'!G91+'Avg Week Bulenga-Busega'!G91</f>
        <v>0.33333333333333331</v>
      </c>
      <c r="H91" s="49">
        <f>'Avg Week Busega-Bulenga'!H91+'Avg Week Bulenga-Busega'!H91</f>
        <v>0.33333333333333331</v>
      </c>
      <c r="I91" s="49">
        <f>'Avg Week Busega-Bulenga'!I91+'Avg Week Bulenga-Busega'!I91</f>
        <v>3.3333333333333335</v>
      </c>
      <c r="J91" s="49">
        <f>'Avg Week Busega-Bulenga'!J91+'Avg Week Bulenga-Busega'!J91</f>
        <v>4.333333333333333</v>
      </c>
      <c r="K91" s="49">
        <f>'Avg Week Busega-Bulenga'!K91+'Avg Week Bulenga-Busega'!K91</f>
        <v>3</v>
      </c>
      <c r="L91" s="49">
        <f>'Avg Week Busega-Bulenga'!L91+'Avg Week Bulenga-Busega'!L91</f>
        <v>0.33333333333333331</v>
      </c>
      <c r="M91" s="49">
        <f>'Avg Week Busega-Bulenga'!M91+'Avg Week Bulenga-Busega'!M91</f>
        <v>35.333333333333329</v>
      </c>
      <c r="N91" s="49">
        <f>'Avg Week Busega-Bulenga'!N91+'Avg Week Bulenga-Busega'!N91</f>
        <v>0</v>
      </c>
      <c r="O91" s="15">
        <f t="shared" si="35"/>
        <v>36.666666666666664</v>
      </c>
      <c r="P91" s="15">
        <f t="shared" si="36"/>
        <v>72</v>
      </c>
      <c r="R91" s="8"/>
      <c r="T91"/>
    </row>
    <row r="92" spans="2:20" ht="23.1" customHeight="1" x14ac:dyDescent="0.25">
      <c r="B92" s="25" t="s">
        <v>132</v>
      </c>
      <c r="C92" s="49">
        <f>'Avg Week Busega-Bulenga'!C92+'Avg Week Bulenga-Busega'!C92</f>
        <v>20.666666666666664</v>
      </c>
      <c r="D92" s="49">
        <f>'Avg Week Busega-Bulenga'!D92+'Avg Week Bulenga-Busega'!D92</f>
        <v>4</v>
      </c>
      <c r="E92" s="49">
        <f>'Avg Week Busega-Bulenga'!E92+'Avg Week Bulenga-Busega'!E92</f>
        <v>1</v>
      </c>
      <c r="F92" s="49">
        <f>'Avg Week Busega-Bulenga'!F92+'Avg Week Bulenga-Busega'!F92</f>
        <v>1.6666666666666667</v>
      </c>
      <c r="G92" s="49">
        <f>'Avg Week Busega-Bulenga'!G92+'Avg Week Bulenga-Busega'!G92</f>
        <v>0</v>
      </c>
      <c r="H92" s="49">
        <f>'Avg Week Busega-Bulenga'!H92+'Avg Week Bulenga-Busega'!H92</f>
        <v>0.33333333333333331</v>
      </c>
      <c r="I92" s="49">
        <f>'Avg Week Busega-Bulenga'!I92+'Avg Week Bulenga-Busega'!I92</f>
        <v>2.666666666666667</v>
      </c>
      <c r="J92" s="49">
        <f>'Avg Week Busega-Bulenga'!J92+'Avg Week Bulenga-Busega'!J92</f>
        <v>3</v>
      </c>
      <c r="K92" s="49">
        <f>'Avg Week Busega-Bulenga'!K92+'Avg Week Bulenga-Busega'!K92</f>
        <v>3</v>
      </c>
      <c r="L92" s="49">
        <f>'Avg Week Busega-Bulenga'!L92+'Avg Week Bulenga-Busega'!L92</f>
        <v>3</v>
      </c>
      <c r="M92" s="49">
        <f>'Avg Week Busega-Bulenga'!M92+'Avg Week Bulenga-Busega'!M92</f>
        <v>26.333333333333332</v>
      </c>
      <c r="N92" s="49">
        <f>'Avg Week Busega-Bulenga'!N92+'Avg Week Bulenga-Busega'!N92</f>
        <v>0.33333333333333331</v>
      </c>
      <c r="O92" s="15">
        <f t="shared" si="35"/>
        <v>39.666666666666664</v>
      </c>
      <c r="P92" s="15">
        <f t="shared" si="36"/>
        <v>65.999999999999986</v>
      </c>
      <c r="R92" s="8"/>
      <c r="T92"/>
    </row>
    <row r="93" spans="2:20" ht="23.1" customHeight="1" x14ac:dyDescent="0.25">
      <c r="B93" s="23" t="s">
        <v>133</v>
      </c>
      <c r="C93" s="49">
        <f>'Avg Week Busega-Bulenga'!C93+'Avg Week Bulenga-Busega'!C93</f>
        <v>9.3333333333333339</v>
      </c>
      <c r="D93" s="49">
        <f>'Avg Week Busega-Bulenga'!D93+'Avg Week Bulenga-Busega'!D93</f>
        <v>3.6666666666666665</v>
      </c>
      <c r="E93" s="49">
        <f>'Avg Week Busega-Bulenga'!E93+'Avg Week Bulenga-Busega'!E93</f>
        <v>0.33333333333333331</v>
      </c>
      <c r="F93" s="49">
        <f>'Avg Week Busega-Bulenga'!F93+'Avg Week Bulenga-Busega'!F93</f>
        <v>0.33333333333333331</v>
      </c>
      <c r="G93" s="49">
        <f>'Avg Week Busega-Bulenga'!G93+'Avg Week Bulenga-Busega'!G93</f>
        <v>0</v>
      </c>
      <c r="H93" s="49">
        <f>'Avg Week Busega-Bulenga'!H93+'Avg Week Bulenga-Busega'!H93</f>
        <v>0</v>
      </c>
      <c r="I93" s="49">
        <f>'Avg Week Busega-Bulenga'!I93+'Avg Week Bulenga-Busega'!I93</f>
        <v>1.6666666666666665</v>
      </c>
      <c r="J93" s="49">
        <f>'Avg Week Busega-Bulenga'!J93+'Avg Week Bulenga-Busega'!J93</f>
        <v>2.333333333333333</v>
      </c>
      <c r="K93" s="49">
        <f>'Avg Week Busega-Bulenga'!K93+'Avg Week Bulenga-Busega'!K93</f>
        <v>2</v>
      </c>
      <c r="L93" s="49">
        <f>'Avg Week Busega-Bulenga'!L93+'Avg Week Bulenga-Busega'!L93</f>
        <v>0.33333333333333331</v>
      </c>
      <c r="M93" s="49">
        <f>'Avg Week Busega-Bulenga'!M93+'Avg Week Bulenga-Busega'!M93</f>
        <v>30.333333333333332</v>
      </c>
      <c r="N93" s="49">
        <f>'Avg Week Busega-Bulenga'!N93+'Avg Week Bulenga-Busega'!N93</f>
        <v>0</v>
      </c>
      <c r="O93" s="15">
        <f t="shared" si="35"/>
        <v>20</v>
      </c>
      <c r="P93" s="15">
        <f t="shared" si="36"/>
        <v>50.333333333333329</v>
      </c>
      <c r="R93" s="8"/>
      <c r="T93"/>
    </row>
    <row r="94" spans="2:20" ht="23.1" customHeight="1" x14ac:dyDescent="0.25">
      <c r="B94" s="24" t="s">
        <v>134</v>
      </c>
      <c r="C94" s="49">
        <f>'Avg Week Busega-Bulenga'!C94+'Avg Week Bulenga-Busega'!C94</f>
        <v>13.666666666666668</v>
      </c>
      <c r="D94" s="49">
        <f>'Avg Week Busega-Bulenga'!D94+'Avg Week Bulenga-Busega'!D94</f>
        <v>3.666666666666667</v>
      </c>
      <c r="E94" s="49">
        <f>'Avg Week Busega-Bulenga'!E94+'Avg Week Bulenga-Busega'!E94</f>
        <v>1.6666666666666665</v>
      </c>
      <c r="F94" s="49">
        <f>'Avg Week Busega-Bulenga'!F94+'Avg Week Bulenga-Busega'!F94</f>
        <v>3.3333333333333335</v>
      </c>
      <c r="G94" s="49">
        <f>'Avg Week Busega-Bulenga'!G94+'Avg Week Bulenga-Busega'!G94</f>
        <v>0</v>
      </c>
      <c r="H94" s="49">
        <f>'Avg Week Busega-Bulenga'!H94+'Avg Week Bulenga-Busega'!H94</f>
        <v>0.66666666666666663</v>
      </c>
      <c r="I94" s="49">
        <f>'Avg Week Busega-Bulenga'!I94+'Avg Week Bulenga-Busega'!I94</f>
        <v>1.6666666666666665</v>
      </c>
      <c r="J94" s="49">
        <f>'Avg Week Busega-Bulenga'!J94+'Avg Week Bulenga-Busega'!J94</f>
        <v>2.3333333333333335</v>
      </c>
      <c r="K94" s="49">
        <f>'Avg Week Busega-Bulenga'!K94+'Avg Week Bulenga-Busega'!K94</f>
        <v>1.3333333333333333</v>
      </c>
      <c r="L94" s="49">
        <f>'Avg Week Busega-Bulenga'!L94+'Avg Week Bulenga-Busega'!L94</f>
        <v>1.3333333333333333</v>
      </c>
      <c r="M94" s="49">
        <f>'Avg Week Busega-Bulenga'!M94+'Avg Week Bulenga-Busega'!M94</f>
        <v>34</v>
      </c>
      <c r="N94" s="49">
        <f>'Avg Week Busega-Bulenga'!N94+'Avg Week Bulenga-Busega'!N94</f>
        <v>0</v>
      </c>
      <c r="O94" s="15">
        <f t="shared" si="35"/>
        <v>29.666666666666668</v>
      </c>
      <c r="P94" s="15">
        <f t="shared" si="36"/>
        <v>63.666666666666671</v>
      </c>
      <c r="R94" s="8"/>
      <c r="T94"/>
    </row>
    <row r="95" spans="2:20" ht="23.1" customHeight="1" x14ac:dyDescent="0.25">
      <c r="B95" s="23" t="s">
        <v>135</v>
      </c>
      <c r="C95" s="49">
        <f>'Avg Week Busega-Bulenga'!C95+'Avg Week Bulenga-Busega'!C95</f>
        <v>13</v>
      </c>
      <c r="D95" s="49">
        <f>'Avg Week Busega-Bulenga'!D95+'Avg Week Bulenga-Busega'!D95</f>
        <v>7.666666666666667</v>
      </c>
      <c r="E95" s="49">
        <f>'Avg Week Busega-Bulenga'!E95+'Avg Week Bulenga-Busega'!E95</f>
        <v>0.66666666666666663</v>
      </c>
      <c r="F95" s="49">
        <f>'Avg Week Busega-Bulenga'!F95+'Avg Week Bulenga-Busega'!F95</f>
        <v>5.333333333333333</v>
      </c>
      <c r="G95" s="49">
        <f>'Avg Week Busega-Bulenga'!G95+'Avg Week Bulenga-Busega'!G95</f>
        <v>0</v>
      </c>
      <c r="H95" s="49">
        <f>'Avg Week Busega-Bulenga'!H95+'Avg Week Bulenga-Busega'!H95</f>
        <v>0.33333333333333331</v>
      </c>
      <c r="I95" s="49">
        <f>'Avg Week Busega-Bulenga'!I95+'Avg Week Bulenga-Busega'!I95</f>
        <v>2</v>
      </c>
      <c r="J95" s="49">
        <f>'Avg Week Busega-Bulenga'!J95+'Avg Week Bulenga-Busega'!J95</f>
        <v>1</v>
      </c>
      <c r="K95" s="49">
        <f>'Avg Week Busega-Bulenga'!K95+'Avg Week Bulenga-Busega'!K95</f>
        <v>0.66666666666666663</v>
      </c>
      <c r="L95" s="49">
        <f>'Avg Week Busega-Bulenga'!L95+'Avg Week Bulenga-Busega'!L95</f>
        <v>0.66666666666666663</v>
      </c>
      <c r="M95" s="49">
        <f>'Avg Week Busega-Bulenga'!M95+'Avg Week Bulenga-Busega'!M95</f>
        <v>41.666666666666671</v>
      </c>
      <c r="N95" s="49">
        <f>'Avg Week Busega-Bulenga'!N95+'Avg Week Bulenga-Busega'!N95</f>
        <v>0</v>
      </c>
      <c r="O95" s="15">
        <f t="shared" si="35"/>
        <v>31.333333333333336</v>
      </c>
      <c r="P95" s="15">
        <f t="shared" si="36"/>
        <v>73</v>
      </c>
      <c r="R95" s="8"/>
      <c r="T95"/>
    </row>
    <row r="96" spans="2:20" ht="23.1" customHeight="1" x14ac:dyDescent="0.25">
      <c r="B96" s="25" t="s">
        <v>136</v>
      </c>
      <c r="C96" s="49">
        <f>'Avg Week Busega-Bulenga'!C96+'Avg Week Bulenga-Busega'!C96</f>
        <v>7.6666666666666661</v>
      </c>
      <c r="D96" s="49">
        <f>'Avg Week Busega-Bulenga'!D96+'Avg Week Bulenga-Busega'!D96</f>
        <v>3.666666666666667</v>
      </c>
      <c r="E96" s="49">
        <f>'Avg Week Busega-Bulenga'!E96+'Avg Week Bulenga-Busega'!E96</f>
        <v>0.66666666666666663</v>
      </c>
      <c r="F96" s="49">
        <f>'Avg Week Busega-Bulenga'!F96+'Avg Week Bulenga-Busega'!F96</f>
        <v>5.666666666666667</v>
      </c>
      <c r="G96" s="49">
        <f>'Avg Week Busega-Bulenga'!G96+'Avg Week Bulenga-Busega'!G96</f>
        <v>0.33333333333333331</v>
      </c>
      <c r="H96" s="49">
        <f>'Avg Week Busega-Bulenga'!H96+'Avg Week Bulenga-Busega'!H96</f>
        <v>0.33333333333333331</v>
      </c>
      <c r="I96" s="49">
        <f>'Avg Week Busega-Bulenga'!I96+'Avg Week Bulenga-Busega'!I96</f>
        <v>1.6666666666666665</v>
      </c>
      <c r="J96" s="49">
        <f>'Avg Week Busega-Bulenga'!J96+'Avg Week Bulenga-Busega'!J96</f>
        <v>4</v>
      </c>
      <c r="K96" s="49">
        <f>'Avg Week Busega-Bulenga'!K96+'Avg Week Bulenga-Busega'!K96</f>
        <v>1.6666666666666667</v>
      </c>
      <c r="L96" s="49">
        <f>'Avg Week Busega-Bulenga'!L96+'Avg Week Bulenga-Busega'!L96</f>
        <v>0.66666666666666663</v>
      </c>
      <c r="M96" s="49">
        <f>'Avg Week Busega-Bulenga'!M96+'Avg Week Bulenga-Busega'!M96</f>
        <v>39.333333333333336</v>
      </c>
      <c r="N96" s="49">
        <f>'Avg Week Busega-Bulenga'!N96+'Avg Week Bulenga-Busega'!N96</f>
        <v>0</v>
      </c>
      <c r="O96" s="15">
        <f t="shared" si="35"/>
        <v>26.333333333333332</v>
      </c>
      <c r="P96" s="15">
        <f t="shared" si="36"/>
        <v>65.666666666666671</v>
      </c>
      <c r="R96" s="8"/>
      <c r="T96"/>
    </row>
    <row r="97" spans="2:20" ht="23.1" customHeight="1" x14ac:dyDescent="0.25">
      <c r="B97" s="23" t="s">
        <v>137</v>
      </c>
      <c r="C97" s="49">
        <f>'Avg Week Busega-Bulenga'!C97+'Avg Week Bulenga-Busega'!C97</f>
        <v>23</v>
      </c>
      <c r="D97" s="49">
        <f>'Avg Week Busega-Bulenga'!D97+'Avg Week Bulenga-Busega'!D97</f>
        <v>8.3333333333333339</v>
      </c>
      <c r="E97" s="49">
        <f>'Avg Week Busega-Bulenga'!E97+'Avg Week Bulenga-Busega'!E97</f>
        <v>1.3333333333333333</v>
      </c>
      <c r="F97" s="49">
        <f>'Avg Week Busega-Bulenga'!F97+'Avg Week Bulenga-Busega'!F97</f>
        <v>6</v>
      </c>
      <c r="G97" s="49">
        <f>'Avg Week Busega-Bulenga'!G97+'Avg Week Bulenga-Busega'!G97</f>
        <v>0.66666666666666663</v>
      </c>
      <c r="H97" s="49">
        <f>'Avg Week Busega-Bulenga'!H97+'Avg Week Bulenga-Busega'!H97</f>
        <v>0.66666666666666663</v>
      </c>
      <c r="I97" s="49">
        <f>'Avg Week Busega-Bulenga'!I97+'Avg Week Bulenga-Busega'!I97</f>
        <v>4</v>
      </c>
      <c r="J97" s="49">
        <f>'Avg Week Busega-Bulenga'!J97+'Avg Week Bulenga-Busega'!J97</f>
        <v>4.333333333333333</v>
      </c>
      <c r="K97" s="49">
        <f>'Avg Week Busega-Bulenga'!K97+'Avg Week Bulenga-Busega'!K97</f>
        <v>2.666666666666667</v>
      </c>
      <c r="L97" s="49">
        <f>'Avg Week Busega-Bulenga'!L97+'Avg Week Bulenga-Busega'!L97</f>
        <v>0.66666666666666663</v>
      </c>
      <c r="M97" s="49">
        <f>'Avg Week Busega-Bulenga'!M97+'Avg Week Bulenga-Busega'!M97</f>
        <v>42.666666666666671</v>
      </c>
      <c r="N97" s="49">
        <f>'Avg Week Busega-Bulenga'!N97+'Avg Week Bulenga-Busega'!N97</f>
        <v>0</v>
      </c>
      <c r="O97" s="15">
        <f t="shared" si="35"/>
        <v>51.666666666666664</v>
      </c>
      <c r="P97" s="15">
        <f t="shared" si="36"/>
        <v>94.333333333333343</v>
      </c>
      <c r="R97" s="8"/>
      <c r="T97"/>
    </row>
    <row r="98" spans="2:20" ht="23.1" customHeight="1" x14ac:dyDescent="0.25">
      <c r="B98" s="24" t="s">
        <v>138</v>
      </c>
      <c r="C98" s="49">
        <f>'Avg Week Busega-Bulenga'!C98+'Avg Week Bulenga-Busega'!C98</f>
        <v>21.333333333333332</v>
      </c>
      <c r="D98" s="49">
        <f>'Avg Week Busega-Bulenga'!D98+'Avg Week Bulenga-Busega'!D98</f>
        <v>6.666666666666667</v>
      </c>
      <c r="E98" s="49">
        <f>'Avg Week Busega-Bulenga'!E98+'Avg Week Bulenga-Busega'!E98</f>
        <v>2.6666666666666665</v>
      </c>
      <c r="F98" s="49">
        <f>'Avg Week Busega-Bulenga'!F98+'Avg Week Bulenga-Busega'!F98</f>
        <v>17.333333333333336</v>
      </c>
      <c r="G98" s="49">
        <f>'Avg Week Busega-Bulenga'!G98+'Avg Week Bulenga-Busega'!G98</f>
        <v>0.66666666666666663</v>
      </c>
      <c r="H98" s="49">
        <f>'Avg Week Busega-Bulenga'!H98+'Avg Week Bulenga-Busega'!H98</f>
        <v>1</v>
      </c>
      <c r="I98" s="49">
        <f>'Avg Week Busega-Bulenga'!I98+'Avg Week Bulenga-Busega'!I98</f>
        <v>3.6666666666666665</v>
      </c>
      <c r="J98" s="49">
        <f>'Avg Week Busega-Bulenga'!J98+'Avg Week Bulenga-Busega'!J98</f>
        <v>2.3333333333333335</v>
      </c>
      <c r="K98" s="49">
        <f>'Avg Week Busega-Bulenga'!K98+'Avg Week Bulenga-Busega'!K98</f>
        <v>2</v>
      </c>
      <c r="L98" s="49">
        <f>'Avg Week Busega-Bulenga'!L98+'Avg Week Bulenga-Busega'!L98</f>
        <v>2</v>
      </c>
      <c r="M98" s="49">
        <f>'Avg Week Busega-Bulenga'!M98+'Avg Week Bulenga-Busega'!M98</f>
        <v>57.666666666666664</v>
      </c>
      <c r="N98" s="49">
        <f>'Avg Week Busega-Bulenga'!N98+'Avg Week Bulenga-Busega'!N98</f>
        <v>0</v>
      </c>
      <c r="O98" s="15">
        <f t="shared" si="35"/>
        <v>59.666666666666664</v>
      </c>
      <c r="P98" s="15">
        <f t="shared" si="36"/>
        <v>117.33333333333333</v>
      </c>
      <c r="R98" s="8"/>
      <c r="T98"/>
    </row>
    <row r="99" spans="2:20" ht="23.1" customHeight="1" x14ac:dyDescent="0.25">
      <c r="B99" s="23" t="s">
        <v>139</v>
      </c>
      <c r="C99" s="49">
        <f>'Avg Week Busega-Bulenga'!C99+'Avg Week Bulenga-Busega'!C99</f>
        <v>40.666666666666664</v>
      </c>
      <c r="D99" s="49">
        <f>'Avg Week Busega-Bulenga'!D99+'Avg Week Bulenga-Busega'!D99</f>
        <v>7.666666666666667</v>
      </c>
      <c r="E99" s="49">
        <f>'Avg Week Busega-Bulenga'!E99+'Avg Week Bulenga-Busega'!E99</f>
        <v>4.3333333333333339</v>
      </c>
      <c r="F99" s="49">
        <f>'Avg Week Busega-Bulenga'!F99+'Avg Week Bulenga-Busega'!F99</f>
        <v>35.666666666666664</v>
      </c>
      <c r="G99" s="49">
        <f>'Avg Week Busega-Bulenga'!G99+'Avg Week Bulenga-Busega'!G99</f>
        <v>1.6666666666666665</v>
      </c>
      <c r="H99" s="49">
        <f>'Avg Week Busega-Bulenga'!H99+'Avg Week Bulenga-Busega'!H99</f>
        <v>1</v>
      </c>
      <c r="I99" s="49">
        <f>'Avg Week Busega-Bulenga'!I99+'Avg Week Bulenga-Busega'!I99</f>
        <v>2.333333333333333</v>
      </c>
      <c r="J99" s="49">
        <f>'Avg Week Busega-Bulenga'!J99+'Avg Week Bulenga-Busega'!J99</f>
        <v>3.666666666666667</v>
      </c>
      <c r="K99" s="49">
        <f>'Avg Week Busega-Bulenga'!K99+'Avg Week Bulenga-Busega'!K99</f>
        <v>2.333333333333333</v>
      </c>
      <c r="L99" s="49">
        <f>'Avg Week Busega-Bulenga'!L99+'Avg Week Bulenga-Busega'!L99</f>
        <v>0.66666666666666663</v>
      </c>
      <c r="M99" s="49">
        <f>'Avg Week Busega-Bulenga'!M99+'Avg Week Bulenga-Busega'!M99</f>
        <v>64.666666666666671</v>
      </c>
      <c r="N99" s="49">
        <f>'Avg Week Busega-Bulenga'!N99+'Avg Week Bulenga-Busega'!N99</f>
        <v>0</v>
      </c>
      <c r="O99" s="15">
        <f t="shared" si="35"/>
        <v>100</v>
      </c>
      <c r="P99" s="15">
        <f t="shared" si="36"/>
        <v>164.66666666666669</v>
      </c>
      <c r="R99" s="8"/>
      <c r="T99"/>
    </row>
    <row r="100" spans="2:20" ht="23.1" customHeight="1" x14ac:dyDescent="0.25">
      <c r="B100" s="25" t="s">
        <v>140</v>
      </c>
      <c r="C100" s="49">
        <f>'Avg Week Busega-Bulenga'!C100+'Avg Week Bulenga-Busega'!C100</f>
        <v>31</v>
      </c>
      <c r="D100" s="49">
        <f>'Avg Week Busega-Bulenga'!D100+'Avg Week Bulenga-Busega'!D100</f>
        <v>8</v>
      </c>
      <c r="E100" s="49">
        <f>'Avg Week Busega-Bulenga'!E100+'Avg Week Bulenga-Busega'!E100</f>
        <v>5.333333333333333</v>
      </c>
      <c r="F100" s="49">
        <f>'Avg Week Busega-Bulenga'!F100+'Avg Week Bulenga-Busega'!F100</f>
        <v>33.333333333333336</v>
      </c>
      <c r="G100" s="49">
        <f>'Avg Week Busega-Bulenga'!G100+'Avg Week Bulenga-Busega'!G100</f>
        <v>1</v>
      </c>
      <c r="H100" s="49">
        <f>'Avg Week Busega-Bulenga'!H100+'Avg Week Bulenga-Busega'!H100</f>
        <v>0.33333333333333331</v>
      </c>
      <c r="I100" s="49">
        <f>'Avg Week Busega-Bulenga'!I100+'Avg Week Bulenga-Busega'!I100</f>
        <v>21</v>
      </c>
      <c r="J100" s="49">
        <f>'Avg Week Busega-Bulenga'!J100+'Avg Week Bulenga-Busega'!J100</f>
        <v>9.6666666666666679</v>
      </c>
      <c r="K100" s="49">
        <f>'Avg Week Busega-Bulenga'!K100+'Avg Week Bulenga-Busega'!K100</f>
        <v>12</v>
      </c>
      <c r="L100" s="49">
        <f>'Avg Week Busega-Bulenga'!L100+'Avg Week Bulenga-Busega'!L100</f>
        <v>2</v>
      </c>
      <c r="M100" s="49">
        <f>'Avg Week Busega-Bulenga'!M100+'Avg Week Bulenga-Busega'!M100</f>
        <v>95.333333333333329</v>
      </c>
      <c r="N100" s="49">
        <f>'Avg Week Busega-Bulenga'!N100+'Avg Week Bulenga-Busega'!N100</f>
        <v>0</v>
      </c>
      <c r="O100" s="15">
        <f t="shared" si="35"/>
        <v>123.66666666666667</v>
      </c>
      <c r="P100" s="15">
        <f t="shared" si="36"/>
        <v>219</v>
      </c>
      <c r="R100" s="8"/>
      <c r="T100"/>
    </row>
    <row r="101" spans="2:20" ht="23.1" customHeight="1" x14ac:dyDescent="0.25">
      <c r="B101" s="23" t="s">
        <v>141</v>
      </c>
      <c r="C101" s="49">
        <f>'Avg Week Busega-Bulenga'!C101+'Avg Week Bulenga-Busega'!C101</f>
        <v>36.666666666666671</v>
      </c>
      <c r="D101" s="49">
        <f>'Avg Week Busega-Bulenga'!D101+'Avg Week Bulenga-Busega'!D101</f>
        <v>11.666666666666666</v>
      </c>
      <c r="E101" s="49">
        <f>'Avg Week Busega-Bulenga'!E101+'Avg Week Bulenga-Busega'!E101</f>
        <v>3.666666666666667</v>
      </c>
      <c r="F101" s="49">
        <f>'Avg Week Busega-Bulenga'!F101+'Avg Week Bulenga-Busega'!F101</f>
        <v>33.666666666666664</v>
      </c>
      <c r="G101" s="49">
        <f>'Avg Week Busega-Bulenga'!G101+'Avg Week Bulenga-Busega'!G101</f>
        <v>1</v>
      </c>
      <c r="H101" s="49">
        <f>'Avg Week Busega-Bulenga'!H101+'Avg Week Bulenga-Busega'!H101</f>
        <v>2.3333333333333335</v>
      </c>
      <c r="I101" s="49">
        <f>'Avg Week Busega-Bulenga'!I101+'Avg Week Bulenga-Busega'!I101</f>
        <v>18</v>
      </c>
      <c r="J101" s="49">
        <f>'Avg Week Busega-Bulenga'!J101+'Avg Week Bulenga-Busega'!J101</f>
        <v>8</v>
      </c>
      <c r="K101" s="49">
        <f>'Avg Week Busega-Bulenga'!K101+'Avg Week Bulenga-Busega'!K101</f>
        <v>6.333333333333333</v>
      </c>
      <c r="L101" s="49">
        <f>'Avg Week Busega-Bulenga'!L101+'Avg Week Bulenga-Busega'!L101</f>
        <v>0.33333333333333331</v>
      </c>
      <c r="M101" s="49">
        <f>'Avg Week Busega-Bulenga'!M101+'Avg Week Bulenga-Busega'!M101</f>
        <v>111.33333333333334</v>
      </c>
      <c r="N101" s="49">
        <f>'Avg Week Busega-Bulenga'!N101+'Avg Week Bulenga-Busega'!N101</f>
        <v>0</v>
      </c>
      <c r="O101" s="15">
        <f t="shared" si="35"/>
        <v>121.66666666666664</v>
      </c>
      <c r="P101" s="15">
        <f t="shared" si="36"/>
        <v>233</v>
      </c>
      <c r="R101" s="8"/>
      <c r="T101"/>
    </row>
    <row r="102" spans="2:20" ht="23.1" customHeight="1" x14ac:dyDescent="0.25">
      <c r="B102" s="24" t="s">
        <v>142</v>
      </c>
      <c r="C102" s="49">
        <f>'Avg Week Busega-Bulenga'!C102+'Avg Week Bulenga-Busega'!C102</f>
        <v>41</v>
      </c>
      <c r="D102" s="49">
        <f>'Avg Week Busega-Bulenga'!D102+'Avg Week Bulenga-Busega'!D102</f>
        <v>14.666666666666668</v>
      </c>
      <c r="E102" s="49">
        <f>'Avg Week Busega-Bulenga'!E102+'Avg Week Bulenga-Busega'!E102</f>
        <v>6</v>
      </c>
      <c r="F102" s="49">
        <f>'Avg Week Busega-Bulenga'!F102+'Avg Week Bulenga-Busega'!F102</f>
        <v>49.666666666666671</v>
      </c>
      <c r="G102" s="49">
        <f>'Avg Week Busega-Bulenga'!G102+'Avg Week Bulenga-Busega'!G102</f>
        <v>1.3333333333333333</v>
      </c>
      <c r="H102" s="49">
        <f>'Avg Week Busega-Bulenga'!H102+'Avg Week Bulenga-Busega'!H102</f>
        <v>1</v>
      </c>
      <c r="I102" s="49">
        <f>'Avg Week Busega-Bulenga'!I102+'Avg Week Bulenga-Busega'!I102</f>
        <v>21</v>
      </c>
      <c r="J102" s="49">
        <f>'Avg Week Busega-Bulenga'!J102+'Avg Week Bulenga-Busega'!J102</f>
        <v>5.666666666666667</v>
      </c>
      <c r="K102" s="49">
        <f>'Avg Week Busega-Bulenga'!K102+'Avg Week Bulenga-Busega'!K102</f>
        <v>12</v>
      </c>
      <c r="L102" s="49">
        <f>'Avg Week Busega-Bulenga'!L102+'Avg Week Bulenga-Busega'!L102</f>
        <v>7</v>
      </c>
      <c r="M102" s="49">
        <f>'Avg Week Busega-Bulenga'!M102+'Avg Week Bulenga-Busega'!M102</f>
        <v>116</v>
      </c>
      <c r="N102" s="49">
        <f>'Avg Week Busega-Bulenga'!N102+'Avg Week Bulenga-Busega'!N102</f>
        <v>0</v>
      </c>
      <c r="O102" s="15">
        <f t="shared" si="35"/>
        <v>159.33333333333334</v>
      </c>
      <c r="P102" s="15">
        <f t="shared" si="36"/>
        <v>275.33333333333337</v>
      </c>
      <c r="R102" s="8"/>
      <c r="T102"/>
    </row>
    <row r="103" spans="2:20" ht="23.1" customHeight="1" x14ac:dyDescent="0.25">
      <c r="B103" s="23" t="s">
        <v>143</v>
      </c>
      <c r="C103" s="49">
        <f>'Avg Week Busega-Bulenga'!C103+'Avg Week Bulenga-Busega'!C103</f>
        <v>47.666666666666664</v>
      </c>
      <c r="D103" s="49">
        <f>'Avg Week Busega-Bulenga'!D103+'Avg Week Bulenga-Busega'!D103</f>
        <v>16.333333333333332</v>
      </c>
      <c r="E103" s="49">
        <f>'Avg Week Busega-Bulenga'!E103+'Avg Week Bulenga-Busega'!E103</f>
        <v>4.666666666666667</v>
      </c>
      <c r="F103" s="49">
        <f>'Avg Week Busega-Bulenga'!F103+'Avg Week Bulenga-Busega'!F103</f>
        <v>47.333333333333336</v>
      </c>
      <c r="G103" s="49">
        <f>'Avg Week Busega-Bulenga'!G103+'Avg Week Bulenga-Busega'!G103</f>
        <v>0.33333333333333331</v>
      </c>
      <c r="H103" s="49">
        <f>'Avg Week Busega-Bulenga'!H103+'Avg Week Bulenga-Busega'!H103</f>
        <v>2</v>
      </c>
      <c r="I103" s="49">
        <f>'Avg Week Busega-Bulenga'!I103+'Avg Week Bulenga-Busega'!I103</f>
        <v>14.333333333333334</v>
      </c>
      <c r="J103" s="49">
        <f>'Avg Week Busega-Bulenga'!J103+'Avg Week Bulenga-Busega'!J103</f>
        <v>9.3333333333333321</v>
      </c>
      <c r="K103" s="49">
        <f>'Avg Week Busega-Bulenga'!K103+'Avg Week Bulenga-Busega'!K103</f>
        <v>11</v>
      </c>
      <c r="L103" s="49">
        <f>'Avg Week Busega-Bulenga'!L103+'Avg Week Bulenga-Busega'!L103</f>
        <v>4</v>
      </c>
      <c r="M103" s="49">
        <f>'Avg Week Busega-Bulenga'!M103+'Avg Week Bulenga-Busega'!M103</f>
        <v>135.33333333333331</v>
      </c>
      <c r="N103" s="49">
        <f>'Avg Week Busega-Bulenga'!N103+'Avg Week Bulenga-Busega'!N103</f>
        <v>0</v>
      </c>
      <c r="O103" s="15">
        <f t="shared" si="35"/>
        <v>157</v>
      </c>
      <c r="P103" s="15">
        <f t="shared" si="36"/>
        <v>292.33333333333331</v>
      </c>
      <c r="R103" s="8"/>
      <c r="T103"/>
    </row>
    <row r="104" spans="2:20" ht="23.1" customHeight="1" x14ac:dyDescent="0.25">
      <c r="B104" s="25" t="s">
        <v>144</v>
      </c>
      <c r="C104" s="49">
        <f>'Avg Week Busega-Bulenga'!C104+'Avg Week Bulenga-Busega'!C104</f>
        <v>51.666666666666664</v>
      </c>
      <c r="D104" s="49">
        <f>'Avg Week Busega-Bulenga'!D104+'Avg Week Bulenga-Busega'!D104</f>
        <v>12.333333333333332</v>
      </c>
      <c r="E104" s="49">
        <f>'Avg Week Busega-Bulenga'!E104+'Avg Week Bulenga-Busega'!E104</f>
        <v>6.6666666666666661</v>
      </c>
      <c r="F104" s="49">
        <f>'Avg Week Busega-Bulenga'!F104+'Avg Week Bulenga-Busega'!F104</f>
        <v>37.666666666666671</v>
      </c>
      <c r="G104" s="49">
        <f>'Avg Week Busega-Bulenga'!G104+'Avg Week Bulenga-Busega'!G104</f>
        <v>1.6666666666666665</v>
      </c>
      <c r="H104" s="49">
        <f>'Avg Week Busega-Bulenga'!H104+'Avg Week Bulenga-Busega'!H104</f>
        <v>0</v>
      </c>
      <c r="I104" s="49">
        <f>'Avg Week Busega-Bulenga'!I104+'Avg Week Bulenga-Busega'!I104</f>
        <v>11.333333333333334</v>
      </c>
      <c r="J104" s="49">
        <f>'Avg Week Busega-Bulenga'!J104+'Avg Week Bulenga-Busega'!J104</f>
        <v>7</v>
      </c>
      <c r="K104" s="49">
        <f>'Avg Week Busega-Bulenga'!K104+'Avg Week Bulenga-Busega'!K104</f>
        <v>8.3333333333333339</v>
      </c>
      <c r="L104" s="49">
        <f>'Avg Week Busega-Bulenga'!L104+'Avg Week Bulenga-Busega'!L104</f>
        <v>2</v>
      </c>
      <c r="M104" s="49">
        <f>'Avg Week Busega-Bulenga'!M104+'Avg Week Bulenga-Busega'!M104</f>
        <v>166.33333333333331</v>
      </c>
      <c r="N104" s="49">
        <f>'Avg Week Busega-Bulenga'!N104+'Avg Week Bulenga-Busega'!N104</f>
        <v>0</v>
      </c>
      <c r="O104" s="15">
        <f t="shared" si="35"/>
        <v>138.66666666666669</v>
      </c>
      <c r="P104" s="15">
        <f t="shared" si="36"/>
        <v>305</v>
      </c>
      <c r="R104" s="8"/>
      <c r="T104"/>
    </row>
    <row r="105" spans="2:20" ht="23.1" customHeight="1" x14ac:dyDescent="0.25">
      <c r="B105" s="23" t="s">
        <v>145</v>
      </c>
      <c r="C105" s="49">
        <f>'Avg Week Busega-Bulenga'!C105+'Avg Week Bulenga-Busega'!C105</f>
        <v>61</v>
      </c>
      <c r="D105" s="49">
        <f>'Avg Week Busega-Bulenga'!D105+'Avg Week Bulenga-Busega'!D105</f>
        <v>22.666666666666668</v>
      </c>
      <c r="E105" s="49">
        <f>'Avg Week Busega-Bulenga'!E105+'Avg Week Bulenga-Busega'!E105</f>
        <v>6.6666666666666661</v>
      </c>
      <c r="F105" s="49">
        <f>'Avg Week Busega-Bulenga'!F105+'Avg Week Bulenga-Busega'!F105</f>
        <v>55</v>
      </c>
      <c r="G105" s="49">
        <f>'Avg Week Busega-Bulenga'!G105+'Avg Week Bulenga-Busega'!G105</f>
        <v>1.6666666666666665</v>
      </c>
      <c r="H105" s="49">
        <f>'Avg Week Busega-Bulenga'!H105+'Avg Week Bulenga-Busega'!H105</f>
        <v>1.3333333333333333</v>
      </c>
      <c r="I105" s="49">
        <f>'Avg Week Busega-Bulenga'!I105+'Avg Week Bulenga-Busega'!I105</f>
        <v>27</v>
      </c>
      <c r="J105" s="49">
        <f>'Avg Week Busega-Bulenga'!J105+'Avg Week Bulenga-Busega'!J105</f>
        <v>6.3333333333333339</v>
      </c>
      <c r="K105" s="49">
        <f>'Avg Week Busega-Bulenga'!K105+'Avg Week Bulenga-Busega'!K105</f>
        <v>10.333333333333332</v>
      </c>
      <c r="L105" s="49">
        <f>'Avg Week Busega-Bulenga'!L105+'Avg Week Bulenga-Busega'!L105</f>
        <v>1</v>
      </c>
      <c r="M105" s="49">
        <f>'Avg Week Busega-Bulenga'!M105+'Avg Week Bulenga-Busega'!M105</f>
        <v>206</v>
      </c>
      <c r="N105" s="49">
        <f>'Avg Week Busega-Bulenga'!N105+'Avg Week Bulenga-Busega'!N105</f>
        <v>0</v>
      </c>
      <c r="O105" s="15">
        <f t="shared" si="35"/>
        <v>193.00000000000003</v>
      </c>
      <c r="P105" s="15">
        <f t="shared" si="36"/>
        <v>399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8978.1428571428569</v>
      </c>
      <c r="D106" s="16">
        <f t="shared" ref="D106:P106" si="37">SUM(D10:D105)</f>
        <v>1410.1904761904768</v>
      </c>
      <c r="E106" s="16">
        <f t="shared" si="37"/>
        <v>1102.6666666666672</v>
      </c>
      <c r="F106" s="16">
        <f t="shared" si="37"/>
        <v>5342.2380952380963</v>
      </c>
      <c r="G106" s="16">
        <f t="shared" si="37"/>
        <v>182.8095238095238</v>
      </c>
      <c r="H106" s="16">
        <f t="shared" si="37"/>
        <v>120.80952380952375</v>
      </c>
      <c r="I106" s="16">
        <f t="shared" si="37"/>
        <v>1635.9047619047619</v>
      </c>
      <c r="J106" s="16">
        <f t="shared" si="37"/>
        <v>976.14285714285757</v>
      </c>
      <c r="K106" s="16">
        <f t="shared" si="37"/>
        <v>355.66666666666657</v>
      </c>
      <c r="L106" s="16">
        <f t="shared" si="37"/>
        <v>366.28571428571428</v>
      </c>
      <c r="M106" s="16">
        <f t="shared" si="37"/>
        <v>23450.719047619044</v>
      </c>
      <c r="N106" s="16">
        <f t="shared" si="37"/>
        <v>28.238095238095234</v>
      </c>
      <c r="O106" s="16">
        <f t="shared" si="37"/>
        <v>20499.095238095244</v>
      </c>
      <c r="P106" s="16">
        <f t="shared" si="37"/>
        <v>43949.814285714274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0.20428170182419109</v>
      </c>
      <c r="D107" s="43">
        <f t="shared" si="38"/>
        <v>3.2086380775648786E-2</v>
      </c>
      <c r="E107" s="43">
        <f t="shared" si="38"/>
        <v>2.5089222436716529E-2</v>
      </c>
      <c r="F107" s="43">
        <f t="shared" si="38"/>
        <v>0.12155314378596979</v>
      </c>
      <c r="G107" s="43">
        <f t="shared" si="38"/>
        <v>4.1595061726789903E-3</v>
      </c>
      <c r="H107" s="43">
        <f t="shared" si="38"/>
        <v>2.7488062412312046E-3</v>
      </c>
      <c r="I107" s="43">
        <f t="shared" si="38"/>
        <v>3.7222108636679879E-2</v>
      </c>
      <c r="J107" s="43">
        <f t="shared" si="38"/>
        <v>2.2210397768623776E-2</v>
      </c>
      <c r="K107" s="43">
        <f t="shared" si="38"/>
        <v>8.0925635852407852E-3</v>
      </c>
      <c r="L107" s="43">
        <f t="shared" si="38"/>
        <v>8.3341811618251622E-3</v>
      </c>
      <c r="M107" s="43">
        <f t="shared" si="38"/>
        <v>0.53357947988512011</v>
      </c>
      <c r="N107" s="43">
        <f t="shared" si="38"/>
        <v>6.4250772607414455E-4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0.43797751817153358</v>
      </c>
      <c r="D108" s="44">
        <f t="shared" ref="D108:N108" si="39">D106/$O$106</f>
        <v>6.879281547849965E-2</v>
      </c>
      <c r="E108" s="44">
        <f t="shared" si="39"/>
        <v>5.379099193692638E-2</v>
      </c>
      <c r="F108" s="44">
        <f t="shared" si="39"/>
        <v>0.26060848213974597</v>
      </c>
      <c r="G108" s="44">
        <f t="shared" si="39"/>
        <v>8.9179313372715601E-3</v>
      </c>
      <c r="H108" s="44">
        <f t="shared" si="39"/>
        <v>5.8934076068397866E-3</v>
      </c>
      <c r="I108" s="44">
        <f t="shared" si="39"/>
        <v>7.9803754404956295E-2</v>
      </c>
      <c r="J108" s="44">
        <f t="shared" si="39"/>
        <v>4.7618826382581352E-2</v>
      </c>
      <c r="K108" s="44">
        <f t="shared" si="39"/>
        <v>1.7350359249304836E-2</v>
      </c>
      <c r="L108" s="44">
        <f t="shared" si="39"/>
        <v>1.7868384435085399E-2</v>
      </c>
      <c r="M108" s="44"/>
      <c r="N108" s="44">
        <f t="shared" si="39"/>
        <v>1.3775288572550235E-3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22.07 Busega-Bulenga</vt:lpstr>
      <vt:lpstr>22.07 Bulenga-Busega</vt:lpstr>
      <vt:lpstr>23.07 Busega-Bulenga</vt:lpstr>
      <vt:lpstr>23.07 Bulenga-Busega</vt:lpstr>
      <vt:lpstr>24.07 Busega-Bulenga</vt:lpstr>
      <vt:lpstr>24.07 Bulenga-Busega</vt:lpstr>
      <vt:lpstr>25.07 Busega-Bulenga</vt:lpstr>
      <vt:lpstr>25.07 Bulenga-Busega</vt:lpstr>
      <vt:lpstr>26.07 Busega-Bulenga-24h</vt:lpstr>
      <vt:lpstr>26.07 Bulenga-Busega-24h</vt:lpstr>
      <vt:lpstr>27.07 Busega-Bulenga-24h</vt:lpstr>
      <vt:lpstr>27.07 Bulenga-Busega-24h</vt:lpstr>
      <vt:lpstr>28.07 Busega-Bulenga</vt:lpstr>
      <vt:lpstr>28.07 Bulenga-Busega</vt:lpstr>
      <vt:lpstr>Avg Week Busega-Bulenga</vt:lpstr>
      <vt:lpstr>Avg Week Bulenga-Busega</vt:lpstr>
      <vt:lpstr>Avg Week Busega-Bulenga-2Dir</vt:lpstr>
      <vt:lpstr>'22.07 Bulenga-Busega'!Print_Area</vt:lpstr>
      <vt:lpstr>'22.07 Busega-Bulenga'!Print_Area</vt:lpstr>
      <vt:lpstr>'23.07 Bulenga-Busega'!Print_Area</vt:lpstr>
      <vt:lpstr>'23.07 Busega-Bulenga'!Print_Area</vt:lpstr>
      <vt:lpstr>'24.07 Bulenga-Busega'!Print_Area</vt:lpstr>
      <vt:lpstr>'24.07 Busega-Bulenga'!Print_Area</vt:lpstr>
      <vt:lpstr>'25.07 Bulenga-Busega'!Print_Area</vt:lpstr>
      <vt:lpstr>'25.07 Busega-Bulenga'!Print_Area</vt:lpstr>
      <vt:lpstr>'26.07 Bulenga-Busega-24h'!Print_Area</vt:lpstr>
      <vt:lpstr>'26.07 Busega-Bulenga-24h'!Print_Area</vt:lpstr>
      <vt:lpstr>'27.07 Bulenga-Busega-24h'!Print_Area</vt:lpstr>
      <vt:lpstr>'27.07 Busega-Bulenga-24h'!Print_Area</vt:lpstr>
      <vt:lpstr>'28.07 Bulenga-Busega'!Print_Area</vt:lpstr>
      <vt:lpstr>'28.07 Busega-Bulenga'!Print_Area</vt:lpstr>
      <vt:lpstr>'Avg Week Bulenga-Busega'!Print_Area</vt:lpstr>
      <vt:lpstr>'Avg Week Busega-Bulenga'!Print_Area</vt:lpstr>
      <vt:lpstr>'Avg Week Busega-Bulenga-2Dir'!Print_Area</vt:lpstr>
      <vt:lpstr>'22.07 Bulenga-Busega'!Print_Titles</vt:lpstr>
      <vt:lpstr>'22.07 Busega-Bulenga'!Print_Titles</vt:lpstr>
      <vt:lpstr>'23.07 Bulenga-Busega'!Print_Titles</vt:lpstr>
      <vt:lpstr>'23.07 Busega-Bulenga'!Print_Titles</vt:lpstr>
      <vt:lpstr>'24.07 Bulenga-Busega'!Print_Titles</vt:lpstr>
      <vt:lpstr>'24.07 Busega-Bulenga'!Print_Titles</vt:lpstr>
      <vt:lpstr>'25.07 Bulenga-Busega'!Print_Titles</vt:lpstr>
      <vt:lpstr>'25.07 Busega-Bulenga'!Print_Titles</vt:lpstr>
      <vt:lpstr>'26.07 Bulenga-Busega-24h'!Print_Titles</vt:lpstr>
      <vt:lpstr>'26.07 Busega-Bulenga-24h'!Print_Titles</vt:lpstr>
      <vt:lpstr>'27.07 Bulenga-Busega-24h'!Print_Titles</vt:lpstr>
      <vt:lpstr>'27.07 Busega-Bulenga-24h'!Print_Titles</vt:lpstr>
      <vt:lpstr>'28.07 Bulenga-Busega'!Print_Titles</vt:lpstr>
      <vt:lpstr>'28.07 Busega-Bulenga'!Print_Titles</vt:lpstr>
      <vt:lpstr>'Avg Week Bulenga-Busega'!Print_Titles</vt:lpstr>
      <vt:lpstr>'Avg Week Busega-Bulenga'!Print_Titles</vt:lpstr>
      <vt:lpstr>'Avg Week Busega-Bulenga-2Dir'!Print_Titles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2020-01-15T20:35:45Z</dcterms:modified>
</cp:coreProperties>
</file>